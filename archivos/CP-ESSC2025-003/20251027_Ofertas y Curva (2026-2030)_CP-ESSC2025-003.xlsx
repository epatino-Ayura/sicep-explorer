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sandra_macias_essa_com_co/Documents/Documentos/Compras de Energía/Convocatorias/2025/CP-ESSC2025-003/SICEP/PLIEGO CONSULTA/"/>
    </mc:Choice>
  </mc:AlternateContent>
  <xr:revisionPtr revIDLastSave="553" documentId="14_{1CB0638B-464D-4AAC-AAB0-162CC1013860}" xr6:coauthVersionLast="47" xr6:coauthVersionMax="47" xr10:uidLastSave="{30BA46A8-7C5A-4A59-AEAC-A0AF2CEEEDEA}"/>
  <bookViews>
    <workbookView minimized="1" xWindow="-15945" yWindow="6660" windowWidth="14400" windowHeight="7275" firstSheet="1" activeTab="3" xr2:uid="{00000000-000D-0000-FFFF-FFFF00000000}"/>
  </bookViews>
  <sheets>
    <sheet name="Listas desplegables" sheetId="53" state="hidden" r:id="rId1"/>
    <sheet name="Banco de Preguntas" sheetId="77" r:id="rId2"/>
    <sheet name="Factor garantia" sheetId="78" r:id="rId3"/>
    <sheet name="Cantidades suministrar P1_26-28" sheetId="67" r:id="rId4"/>
    <sheet name="Cantidades suministrar P2_2026" sheetId="69" r:id="rId5"/>
    <sheet name="Cantidades suministrar P3_2027" sheetId="80" r:id="rId6"/>
    <sheet name="Cantidades suministrar P4_2028" sheetId="71" r:id="rId7"/>
    <sheet name="Cantidades suministrar P5_26-28" sheetId="81" r:id="rId8"/>
    <sheet name="Cantidades suministrar P6_29-30" sheetId="83" r:id="rId9"/>
    <sheet name="Hoja9" sheetId="61" state="hidden" r:id="rId10"/>
    <sheet name="Hoja9 (2)" sheetId="62" state="hidden" r:id="rId11"/>
    <sheet name="Cantidades 1_(26-28)" sheetId="68" r:id="rId12"/>
    <sheet name="Cantidades 2_(2026)" sheetId="79" r:id="rId13"/>
    <sheet name="Cantidades 3_(2027)" sheetId="70" r:id="rId14"/>
    <sheet name="Cantidades P4_(2028)" sheetId="72" r:id="rId15"/>
    <sheet name="Cantidades 5_(26-28)" sheetId="82" r:id="rId16"/>
    <sheet name="Cantidades P6_(2029-2040)" sheetId="55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2" hidden="1">527</definedName>
    <definedName name="_AtRisk_SimSetting_ReportOptionReportSelection" hidden="1">11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2" hidden="1">557</definedName>
    <definedName name="_AtRisk_SimSetting_ReportsList" hidden="1">11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'Banco de Preguntas'!$A$9:$D$9</definedName>
    <definedName name="_Toc148954622" localSheetId="1">'Banco de Preguntas'!#REF!</definedName>
    <definedName name="_Toc148954623" localSheetId="1">'Banco de Preguntas'!#REF!</definedName>
    <definedName name="_Toc148954624" localSheetId="1">'Banco de Preguntas'!#REF!</definedName>
    <definedName name="_Toc148954625" localSheetId="1">'Banco de Preguntas'!#REF!</definedName>
    <definedName name="aaa" localSheetId="11">[1]Hoja9!$A$1,[1]Hoja9!$A$3,[1]Hoja9!$A$5,[1]Hoja9!$B$6,[1]Hoja9!$C$7</definedName>
    <definedName name="aaa" localSheetId="12">[1]Hoja9!$A$1,[1]Hoja9!$A$3,[1]Hoja9!$A$5,[1]Hoja9!$B$6,[1]Hoja9!$C$7</definedName>
    <definedName name="aaa" localSheetId="13">[1]Hoja9!$A$1,[1]Hoja9!$A$3,[1]Hoja9!$A$5,[1]Hoja9!$B$6,[1]Hoja9!$C$7</definedName>
    <definedName name="aaa" localSheetId="15">[1]Hoja9!$A$1,[1]Hoja9!$A$3,[1]Hoja9!$A$5,[1]Hoja9!$B$6,[1]Hoja9!$C$7</definedName>
    <definedName name="aaa" localSheetId="14">[1]Hoja9!$A$1,[1]Hoja9!$A$3,[1]Hoja9!$A$5,[1]Hoja9!$B$6,[1]Hoja9!$C$7</definedName>
    <definedName name="aaa" localSheetId="3">[1]Hoja9!$A$1,[1]Hoja9!$A$3,[1]Hoja9!$A$5,[1]Hoja9!$B$6,[1]Hoja9!$C$7</definedName>
    <definedName name="aaa" localSheetId="4">[1]Hoja9!$A$1,[1]Hoja9!$A$3,[1]Hoja9!$A$5,[1]Hoja9!$B$6,[1]Hoja9!$C$7</definedName>
    <definedName name="aaa" localSheetId="5">[1]Hoja9!$A$1,[1]Hoja9!$A$3,[1]Hoja9!$A$5,[1]Hoja9!$B$6,[1]Hoja9!$C$7</definedName>
    <definedName name="aaa" localSheetId="6">[1]Hoja9!$A$1,[1]Hoja9!$A$3,[1]Hoja9!$A$5,[1]Hoja9!$B$6,[1]Hoja9!$C$7</definedName>
    <definedName name="aaa" localSheetId="7">[1]Hoja9!$A$1,[1]Hoja9!$A$3,[1]Hoja9!$A$5,[1]Hoja9!$B$6,[1]Hoja9!$C$7</definedName>
    <definedName name="aaa" localSheetId="8">[1]Hoja9!$A$1,[1]Hoja9!$A$3,[1]Hoja9!$A$5,[1]Hoja9!$B$6,[1]Hoja9!$C$7</definedName>
    <definedName name="aaa">#REF!,#REF!,#REF!,#REF!,#REF!</definedName>
    <definedName name="AAAA">#REF!</definedName>
    <definedName name="Criterio_Extraer_Dem_Reg" localSheetId="11">#REF!</definedName>
    <definedName name="Criterio_Extraer_Dem_Reg" localSheetId="12">#REF!</definedName>
    <definedName name="Criterio_Extraer_Dem_Reg" localSheetId="13">#REF!</definedName>
    <definedName name="Criterio_Extraer_Dem_Reg" localSheetId="15">#REF!</definedName>
    <definedName name="Criterio_Extraer_Dem_Reg" localSheetId="14">#REF!</definedName>
    <definedName name="Criterio_Extraer_Dem_Reg" localSheetId="16">#REF!</definedName>
    <definedName name="Criterio_Extraer_Dem_Reg" localSheetId="3">#REF!</definedName>
    <definedName name="Criterio_Extraer_Dem_Reg" localSheetId="4">#REF!</definedName>
    <definedName name="Criterio_Extraer_Dem_Reg" localSheetId="5">#REF!</definedName>
    <definedName name="Criterio_Extraer_Dem_Reg" localSheetId="6">#REF!</definedName>
    <definedName name="Criterio_Extraer_Dem_Reg" localSheetId="7">#REF!</definedName>
    <definedName name="Criterio_Extraer_Dem_Reg" localSheetId="8">#REF!</definedName>
    <definedName name="Criterio_Extraer_Dem_Reg">#REF!</definedName>
    <definedName name="Cuadro" localSheetId="11">#REF!</definedName>
    <definedName name="Cuadro" localSheetId="12">#REF!</definedName>
    <definedName name="Cuadro" localSheetId="13">#REF!</definedName>
    <definedName name="Cuadro" localSheetId="15">#REF!</definedName>
    <definedName name="Cuadro" localSheetId="14">#REF!</definedName>
    <definedName name="Cuadro" localSheetId="16">#REF!</definedName>
    <definedName name="Cuadro" localSheetId="3">#REF!</definedName>
    <definedName name="Cuadro" localSheetId="4">#REF!</definedName>
    <definedName name="Cuadro" localSheetId="5">#REF!</definedName>
    <definedName name="Cuadro" localSheetId="6">#REF!</definedName>
    <definedName name="Cuadro" localSheetId="7">#REF!</definedName>
    <definedName name="Cuadro" localSheetId="8">#REF!</definedName>
    <definedName name="Cuadro">#REF!</definedName>
    <definedName name="eeee" localSheetId="11">[2]Comparación!#REF!</definedName>
    <definedName name="eeee" localSheetId="12">[2]Comparación!#REF!</definedName>
    <definedName name="eeee" localSheetId="13">[2]Comparación!#REF!</definedName>
    <definedName name="eeee" localSheetId="15">[2]Comparación!#REF!</definedName>
    <definedName name="eeee" localSheetId="14">[2]Comparación!#REF!</definedName>
    <definedName name="eeee" localSheetId="16">#REF!</definedName>
    <definedName name="eeee" localSheetId="3">[2]Comparación!#REF!</definedName>
    <definedName name="eeee" localSheetId="4">[2]Comparación!#REF!</definedName>
    <definedName name="eeee" localSheetId="5">[2]Comparación!#REF!</definedName>
    <definedName name="eeee" localSheetId="6">[2]Comparación!#REF!</definedName>
    <definedName name="eeee" localSheetId="7">[2]Comparación!#REF!</definedName>
    <definedName name="eeee" localSheetId="8">[2]Comparación!#REF!</definedName>
    <definedName name="eeee">#REF!</definedName>
    <definedName name="Meses" localSheetId="11">[3]Evaluación_Mensual!$S$2:$S$25</definedName>
    <definedName name="Meses" localSheetId="12">[3]Evaluación_Mensual!$S$2:$S$25</definedName>
    <definedName name="Meses" localSheetId="13">[3]Evaluación_Mensual!$S$2:$S$25</definedName>
    <definedName name="Meses" localSheetId="15">[3]Evaluación_Mensual!$S$2:$S$25</definedName>
    <definedName name="Meses" localSheetId="14">[3]Evaluación_Mensual!$S$2:$S$25</definedName>
    <definedName name="Meses" localSheetId="3">[3]Evaluación_Mensual!$S$2:$S$25</definedName>
    <definedName name="Meses" localSheetId="4">[3]Evaluación_Mensual!$S$2:$S$25</definedName>
    <definedName name="Meses" localSheetId="5">[3]Evaluación_Mensual!$S$2:$S$25</definedName>
    <definedName name="Meses" localSheetId="6">[3]Evaluación_Mensual!$S$2:$S$25</definedName>
    <definedName name="Meses" localSheetId="7">[3]Evaluación_Mensual!$S$2:$S$25</definedName>
    <definedName name="Meses" localSheetId="8">[3]Evaluación_Mensual!$S$2:$S$25</definedName>
    <definedName name="Meses" localSheetId="2">[4]Evaluación_Mensual!$S$2:$S$25</definedName>
    <definedName name="Meses">#REF!</definedName>
    <definedName name="Pal_Workbook_GUID" localSheetId="2" hidden="1">"DMVRUGH3ZJMYEFNXE5UILQPQ"</definedName>
    <definedName name="Pal_Workbook_GUID" hidden="1">"KPESJW88VIR9TP7JMWR844SG"</definedName>
    <definedName name="Precio_Estación" localSheetId="11">#REF!</definedName>
    <definedName name="Precio_Estación" localSheetId="12">#REF!</definedName>
    <definedName name="Precio_Estación" localSheetId="13">#REF!</definedName>
    <definedName name="Precio_Estación" localSheetId="15">#REF!</definedName>
    <definedName name="Precio_Estación" localSheetId="14">#REF!</definedName>
    <definedName name="Precio_Estación" localSheetId="16">#REF!</definedName>
    <definedName name="Precio_Estación" localSheetId="3">#REF!</definedName>
    <definedName name="Precio_Estación" localSheetId="4">#REF!</definedName>
    <definedName name="Precio_Estación" localSheetId="5">#REF!</definedName>
    <definedName name="Precio_Estación" localSheetId="6">#REF!</definedName>
    <definedName name="Precio_Estación" localSheetId="7">#REF!</definedName>
    <definedName name="Precio_Estación" localSheetId="8">#REF!</definedName>
    <definedName name="Precio_Estación" localSheetId="2">#N/A</definedName>
    <definedName name="Precio_Estación">#REF!</definedName>
    <definedName name="Precio_Global" localSheetId="11">#REF!</definedName>
    <definedName name="Precio_Global" localSheetId="12">#REF!</definedName>
    <definedName name="Precio_Global" localSheetId="13">#REF!</definedName>
    <definedName name="Precio_Global" localSheetId="15">#REF!</definedName>
    <definedName name="Precio_Global" localSheetId="14">#REF!</definedName>
    <definedName name="Precio_Global" localSheetId="16">#REF!</definedName>
    <definedName name="Precio_Global" localSheetId="3">#REF!</definedName>
    <definedName name="Precio_Global" localSheetId="4">#REF!</definedName>
    <definedName name="Precio_Global" localSheetId="5">#REF!</definedName>
    <definedName name="Precio_Global" localSheetId="6">#REF!</definedName>
    <definedName name="Precio_Global" localSheetId="7">#REF!</definedName>
    <definedName name="Precio_Global" localSheetId="8">#REF!</definedName>
    <definedName name="Precio_Global" localSheetId="2">#N/A</definedName>
    <definedName name="Precio_Global">#REF!</definedName>
    <definedName name="Precio_Mes" localSheetId="11">#REF!</definedName>
    <definedName name="Precio_Mes" localSheetId="12">#REF!</definedName>
    <definedName name="Precio_Mes" localSheetId="13">#REF!</definedName>
    <definedName name="Precio_Mes" localSheetId="15">#REF!</definedName>
    <definedName name="Precio_Mes" localSheetId="14">#REF!</definedName>
    <definedName name="Precio_Mes" localSheetId="16">#REF!</definedName>
    <definedName name="Precio_Mes" localSheetId="3">#REF!</definedName>
    <definedName name="Precio_Mes" localSheetId="4">#REF!</definedName>
    <definedName name="Precio_Mes" localSheetId="5">#REF!</definedName>
    <definedName name="Precio_Mes" localSheetId="6">#REF!</definedName>
    <definedName name="Precio_Mes" localSheetId="7">#REF!</definedName>
    <definedName name="Precio_Mes" localSheetId="8">#REF!</definedName>
    <definedName name="Precio_Mes" localSheetId="2">#N/A</definedName>
    <definedName name="Precio_Mes">#REF!</definedName>
    <definedName name="rbr" localSheetId="11">[5]Hoja9!$A$1,[5]Hoja9!$A$3,[5]Hoja9!$A$5,[5]Hoja9!$B$6,[5]Hoja9!$C$7</definedName>
    <definedName name="rbr" localSheetId="12">[5]Hoja9!$A$1,[5]Hoja9!$A$3,[5]Hoja9!$A$5,[5]Hoja9!$B$6,[5]Hoja9!$C$7</definedName>
    <definedName name="rbr" localSheetId="13">[5]Hoja9!$A$1,[5]Hoja9!$A$3,[5]Hoja9!$A$5,[5]Hoja9!$B$6,[5]Hoja9!$C$7</definedName>
    <definedName name="rbr" localSheetId="15">[5]Hoja9!$A$1,[5]Hoja9!$A$3,[5]Hoja9!$A$5,[5]Hoja9!$B$6,[5]Hoja9!$C$7</definedName>
    <definedName name="rbr" localSheetId="14">[5]Hoja9!$A$1,[5]Hoja9!$A$3,[5]Hoja9!$A$5,[5]Hoja9!$B$6,[5]Hoja9!$C$7</definedName>
    <definedName name="rbr" localSheetId="3">[5]Hoja9!$A$1,[5]Hoja9!$A$3,[5]Hoja9!$A$5,[5]Hoja9!$B$6,[5]Hoja9!$C$7</definedName>
    <definedName name="rbr" localSheetId="4">[5]Hoja9!$A$1,[5]Hoja9!$A$3,[5]Hoja9!$A$5,[5]Hoja9!$B$6,[5]Hoja9!$C$7</definedName>
    <definedName name="rbr" localSheetId="5">[5]Hoja9!$A$1,[5]Hoja9!$A$3,[5]Hoja9!$A$5,[5]Hoja9!$B$6,[5]Hoja9!$C$7</definedName>
    <definedName name="rbr" localSheetId="6">[5]Hoja9!$A$1,[5]Hoja9!$A$3,[5]Hoja9!$A$5,[5]Hoja9!$B$6,[5]Hoja9!$C$7</definedName>
    <definedName name="rbr" localSheetId="7">[5]Hoja9!$A$1,[5]Hoja9!$A$3,[5]Hoja9!$A$5,[5]Hoja9!$B$6,[5]Hoja9!$C$7</definedName>
    <definedName name="rbr" localSheetId="8">[5]Hoja9!$A$1,[5]Hoja9!$A$3,[5]Hoja9!$A$5,[5]Hoja9!$B$6,[5]Hoja9!$C$7</definedName>
    <definedName name="rbr">#REF!,#REF!,#REF!,#REF!,#REF!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2" hidden="1">6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2" hidden="1">3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XX" localSheetId="11">[2]Comparación!#REF!</definedName>
    <definedName name="XX" localSheetId="12">[2]Comparación!#REF!</definedName>
    <definedName name="XX" localSheetId="13">[2]Comparación!#REF!</definedName>
    <definedName name="XX" localSheetId="15">[2]Comparación!#REF!</definedName>
    <definedName name="XX" localSheetId="14">[2]Comparación!#REF!</definedName>
    <definedName name="XX" localSheetId="16">#REF!</definedName>
    <definedName name="XX" localSheetId="3">[2]Comparación!#REF!</definedName>
    <definedName name="XX" localSheetId="4">[2]Comparación!#REF!</definedName>
    <definedName name="XX" localSheetId="5">[2]Comparación!#REF!</definedName>
    <definedName name="XX" localSheetId="6">[2]Comparación!#REF!</definedName>
    <definedName name="XX" localSheetId="7">[2]Comparación!#REF!</definedName>
    <definedName name="XX" localSheetId="8">[2]Comparación!#REF!</definedName>
    <definedName name="XX">#REF!</definedName>
    <definedName name="Z_5E23C26A_5DA4_4377_864E_D3BECE131DEC_.wvu.PrintArea" localSheetId="3" hidden="1">'Cantidades suministrar P1_26-28'!$B$14:$B$54</definedName>
    <definedName name="Z_5E23C26A_5DA4_4377_864E_D3BECE131DEC_.wvu.PrintArea" localSheetId="4" hidden="1">'Cantidades suministrar P2_2026'!$B$13:$B$29</definedName>
    <definedName name="Z_5E23C26A_5DA4_4377_864E_D3BECE131DEC_.wvu.PrintArea" localSheetId="5" hidden="1">'Cantidades suministrar P3_2027'!$B$13:$B$29</definedName>
    <definedName name="Z_5E23C26A_5DA4_4377_864E_D3BECE131DEC_.wvu.PrintArea" localSheetId="6" hidden="1">'Cantidades suministrar P4_2028'!$B$13:$B$29</definedName>
    <definedName name="Z_5E23C26A_5DA4_4377_864E_D3BECE131DEC_.wvu.PrintArea" localSheetId="7" hidden="1">'Cantidades suministrar P5_26-28'!$B$14:$B$54</definedName>
    <definedName name="Z_5E23C26A_5DA4_4377_864E_D3BECE131DEC_.wvu.PrintArea" localSheetId="8" hidden="1">'Cantidades suministrar P6_29-30'!$B$14:$B$42</definedName>
    <definedName name="Z_66AA70F6_2777_42C7_BDA0_CD16FFB959D9_.wvu.PrintArea" localSheetId="3" hidden="1">'Cantidades suministrar P1_26-28'!$B$14:$B$54</definedName>
    <definedName name="Z_66AA70F6_2777_42C7_BDA0_CD16FFB959D9_.wvu.PrintArea" localSheetId="4" hidden="1">'Cantidades suministrar P2_2026'!$B$13:$B$29</definedName>
    <definedName name="Z_66AA70F6_2777_42C7_BDA0_CD16FFB959D9_.wvu.PrintArea" localSheetId="5" hidden="1">'Cantidades suministrar P3_2027'!$B$13:$B$29</definedName>
    <definedName name="Z_66AA70F6_2777_42C7_BDA0_CD16FFB959D9_.wvu.PrintArea" localSheetId="6" hidden="1">'Cantidades suministrar P4_2028'!$B$13:$B$29</definedName>
    <definedName name="Z_66AA70F6_2777_42C7_BDA0_CD16FFB959D9_.wvu.PrintArea" localSheetId="7" hidden="1">'Cantidades suministrar P5_26-28'!$B$14:$B$54</definedName>
    <definedName name="Z_66AA70F6_2777_42C7_BDA0_CD16FFB959D9_.wvu.PrintArea" localSheetId="8" hidden="1">'Cantidades suministrar P6_29-30'!$B$14:$B$42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60" i="55" l="1"/>
  <c r="E41" i="83"/>
  <c r="A41" i="83"/>
  <c r="E40" i="81"/>
  <c r="E39" i="81"/>
  <c r="E36" i="81"/>
  <c r="E34" i="81"/>
  <c r="E32" i="81"/>
  <c r="E31" i="81"/>
  <c r="E30" i="81"/>
  <c r="E29" i="81"/>
  <c r="E28" i="81"/>
  <c r="E27" i="81"/>
  <c r="E26" i="81"/>
  <c r="E25" i="81"/>
  <c r="E24" i="81"/>
  <c r="E23" i="81"/>
  <c r="E22" i="81"/>
  <c r="E21" i="81"/>
  <c r="E20" i="81"/>
  <c r="E19" i="81"/>
  <c r="E18" i="81"/>
  <c r="E35" i="81"/>
  <c r="E33" i="81"/>
  <c r="E37" i="81"/>
  <c r="E38" i="81"/>
  <c r="C30" i="81"/>
  <c r="C31" i="81"/>
  <c r="C32" i="81"/>
  <c r="C33" i="81"/>
  <c r="C34" i="81"/>
  <c r="C35" i="81"/>
  <c r="C36" i="81"/>
  <c r="C37" i="81"/>
  <c r="C38" i="81"/>
  <c r="C39" i="81"/>
  <c r="C40" i="81"/>
  <c r="C29" i="81"/>
  <c r="C19" i="81"/>
  <c r="C20" i="81"/>
  <c r="C21" i="81"/>
  <c r="C22" i="81"/>
  <c r="C23" i="81"/>
  <c r="C24" i="81"/>
  <c r="C25" i="81"/>
  <c r="C26" i="81"/>
  <c r="C27" i="81"/>
  <c r="C28" i="81"/>
  <c r="C18" i="81"/>
  <c r="V112" i="82"/>
  <c r="W112" i="82"/>
  <c r="X112" i="82"/>
  <c r="Y112" i="82"/>
  <c r="Z112" i="82"/>
  <c r="AA112" i="82"/>
  <c r="AB112" i="82"/>
  <c r="V113" i="82"/>
  <c r="W113" i="82"/>
  <c r="X113" i="82"/>
  <c r="Y113" i="82"/>
  <c r="Z113" i="82"/>
  <c r="AA113" i="82"/>
  <c r="AB113" i="82"/>
  <c r="V114" i="82"/>
  <c r="W114" i="82"/>
  <c r="X114" i="82"/>
  <c r="Y114" i="82"/>
  <c r="Z114" i="82"/>
  <c r="AA114" i="82"/>
  <c r="AB114" i="82"/>
  <c r="V115" i="82"/>
  <c r="W115" i="82"/>
  <c r="X115" i="82"/>
  <c r="Y115" i="82"/>
  <c r="Z115" i="82"/>
  <c r="AA115" i="82"/>
  <c r="AB115" i="82"/>
  <c r="V116" i="82"/>
  <c r="W116" i="82"/>
  <c r="X116" i="82"/>
  <c r="Y116" i="82"/>
  <c r="Z116" i="82"/>
  <c r="AA116" i="82"/>
  <c r="AB116" i="82"/>
  <c r="V117" i="82"/>
  <c r="W117" i="82"/>
  <c r="X117" i="82"/>
  <c r="Y117" i="82"/>
  <c r="Z117" i="82"/>
  <c r="AA117" i="82"/>
  <c r="AB117" i="82"/>
  <c r="V118" i="82"/>
  <c r="W118" i="82"/>
  <c r="X118" i="82"/>
  <c r="Y118" i="82"/>
  <c r="Z118" i="82"/>
  <c r="AA118" i="82"/>
  <c r="AB118" i="82"/>
  <c r="V119" i="82"/>
  <c r="W119" i="82"/>
  <c r="X119" i="82"/>
  <c r="Y119" i="82"/>
  <c r="Z119" i="82"/>
  <c r="AA119" i="82"/>
  <c r="AB119" i="82"/>
  <c r="V120" i="82"/>
  <c r="W120" i="82"/>
  <c r="X120" i="82"/>
  <c r="Y120" i="82"/>
  <c r="Z120" i="82"/>
  <c r="AA120" i="82"/>
  <c r="AB120" i="82"/>
  <c r="V121" i="82"/>
  <c r="W121" i="82"/>
  <c r="X121" i="82"/>
  <c r="Y121" i="82"/>
  <c r="Z121" i="82"/>
  <c r="AA121" i="82"/>
  <c r="AB121" i="82"/>
  <c r="V122" i="82"/>
  <c r="W122" i="82"/>
  <c r="X122" i="82"/>
  <c r="Y122" i="82"/>
  <c r="Z122" i="82"/>
  <c r="AA122" i="82"/>
  <c r="AB122" i="82"/>
  <c r="V123" i="82"/>
  <c r="W123" i="82"/>
  <c r="X123" i="82"/>
  <c r="Y123" i="82"/>
  <c r="Z123" i="82"/>
  <c r="AA123" i="82"/>
  <c r="AB123" i="82"/>
  <c r="V124" i="82"/>
  <c r="W124" i="82"/>
  <c r="X124" i="82"/>
  <c r="Y124" i="82"/>
  <c r="Z124" i="82"/>
  <c r="AA124" i="82"/>
  <c r="AB124" i="82"/>
  <c r="V125" i="82"/>
  <c r="W125" i="82"/>
  <c r="X125" i="82"/>
  <c r="Y125" i="82"/>
  <c r="Z125" i="82"/>
  <c r="AA125" i="82"/>
  <c r="AB125" i="82"/>
  <c r="V126" i="82"/>
  <c r="W126" i="82"/>
  <c r="X126" i="82"/>
  <c r="Y126" i="82"/>
  <c r="Z126" i="82"/>
  <c r="AA126" i="82"/>
  <c r="AB126" i="82"/>
  <c r="V127" i="82"/>
  <c r="W127" i="82"/>
  <c r="X127" i="82"/>
  <c r="Y127" i="82"/>
  <c r="Z127" i="82"/>
  <c r="AA127" i="82"/>
  <c r="AB127" i="82"/>
  <c r="V128" i="82"/>
  <c r="W128" i="82"/>
  <c r="X128" i="82"/>
  <c r="Y128" i="82"/>
  <c r="Z128" i="82"/>
  <c r="AA128" i="82"/>
  <c r="AB128" i="82"/>
  <c r="V129" i="82"/>
  <c r="W129" i="82"/>
  <c r="X129" i="82"/>
  <c r="Y129" i="82"/>
  <c r="Z129" i="82"/>
  <c r="AA129" i="82"/>
  <c r="AB129" i="82"/>
  <c r="V130" i="82"/>
  <c r="W130" i="82"/>
  <c r="X130" i="82"/>
  <c r="Y130" i="82"/>
  <c r="Z130" i="82"/>
  <c r="AA130" i="82"/>
  <c r="AB130" i="82"/>
  <c r="V131" i="82"/>
  <c r="W131" i="82"/>
  <c r="X131" i="82"/>
  <c r="Y131" i="82"/>
  <c r="Z131" i="82"/>
  <c r="AA131" i="82"/>
  <c r="AB131" i="82"/>
  <c r="V132" i="82"/>
  <c r="W132" i="82"/>
  <c r="X132" i="82"/>
  <c r="Y132" i="82"/>
  <c r="Z132" i="82"/>
  <c r="AA132" i="82"/>
  <c r="AB132" i="82"/>
  <c r="V133" i="82"/>
  <c r="W133" i="82"/>
  <c r="X133" i="82"/>
  <c r="Y133" i="82"/>
  <c r="Z133" i="82"/>
  <c r="AA133" i="82"/>
  <c r="AB133" i="82"/>
  <c r="V134" i="82"/>
  <c r="W134" i="82"/>
  <c r="X134" i="82"/>
  <c r="Y134" i="82"/>
  <c r="Z134" i="82"/>
  <c r="AA134" i="82"/>
  <c r="AB134" i="82"/>
  <c r="V135" i="82"/>
  <c r="W135" i="82"/>
  <c r="X135" i="82"/>
  <c r="Y135" i="82"/>
  <c r="Z135" i="82"/>
  <c r="AA135" i="82"/>
  <c r="AB135" i="82"/>
  <c r="V136" i="82"/>
  <c r="W136" i="82"/>
  <c r="X136" i="82"/>
  <c r="Y136" i="82"/>
  <c r="Z136" i="82"/>
  <c r="AA136" i="82"/>
  <c r="AB136" i="82"/>
  <c r="V137" i="82"/>
  <c r="W137" i="82"/>
  <c r="X137" i="82"/>
  <c r="Y137" i="82"/>
  <c r="Z137" i="82"/>
  <c r="AA137" i="82"/>
  <c r="AB137" i="82"/>
  <c r="V138" i="82"/>
  <c r="W138" i="82"/>
  <c r="X138" i="82"/>
  <c r="Y138" i="82"/>
  <c r="Z138" i="82"/>
  <c r="AA138" i="82"/>
  <c r="AB138" i="82"/>
  <c r="V139" i="82"/>
  <c r="W139" i="82"/>
  <c r="X139" i="82"/>
  <c r="Y139" i="82"/>
  <c r="Z139" i="82"/>
  <c r="AA139" i="82"/>
  <c r="AB139" i="82"/>
  <c r="V140" i="82"/>
  <c r="W140" i="82"/>
  <c r="X140" i="82"/>
  <c r="Y140" i="82"/>
  <c r="Z140" i="82"/>
  <c r="AA140" i="82"/>
  <c r="AB140" i="82"/>
  <c r="V141" i="82"/>
  <c r="W141" i="82"/>
  <c r="X141" i="82"/>
  <c r="Y141" i="82"/>
  <c r="Z141" i="82"/>
  <c r="AA141" i="82"/>
  <c r="AB141" i="82"/>
  <c r="V142" i="82"/>
  <c r="W142" i="82"/>
  <c r="X142" i="82"/>
  <c r="Y142" i="82"/>
  <c r="Z142" i="82"/>
  <c r="AA142" i="82"/>
  <c r="AB142" i="82"/>
  <c r="V143" i="82"/>
  <c r="W143" i="82"/>
  <c r="X143" i="82"/>
  <c r="Y143" i="82"/>
  <c r="Z143" i="82"/>
  <c r="AA143" i="82"/>
  <c r="AB143" i="82"/>
  <c r="V144" i="82"/>
  <c r="W144" i="82"/>
  <c r="X144" i="82"/>
  <c r="Y144" i="82"/>
  <c r="Z144" i="82"/>
  <c r="AA144" i="82"/>
  <c r="AB144" i="82"/>
  <c r="V145" i="82"/>
  <c r="W145" i="82"/>
  <c r="X145" i="82"/>
  <c r="Y145" i="82"/>
  <c r="Z145" i="82"/>
  <c r="AA145" i="82"/>
  <c r="AB145" i="82"/>
  <c r="V146" i="82"/>
  <c r="W146" i="82"/>
  <c r="X146" i="82"/>
  <c r="Y146" i="82"/>
  <c r="Z146" i="82"/>
  <c r="AA146" i="82"/>
  <c r="AB146" i="82"/>
  <c r="V147" i="82"/>
  <c r="W147" i="82"/>
  <c r="X147" i="82"/>
  <c r="Y147" i="82"/>
  <c r="Z147" i="82"/>
  <c r="AA147" i="82"/>
  <c r="AB147" i="82"/>
  <c r="V148" i="82"/>
  <c r="W148" i="82"/>
  <c r="X148" i="82"/>
  <c r="Y148" i="82"/>
  <c r="Z148" i="82"/>
  <c r="AA148" i="82"/>
  <c r="AB148" i="82"/>
  <c r="V149" i="82"/>
  <c r="W149" i="82"/>
  <c r="X149" i="82"/>
  <c r="Y149" i="82"/>
  <c r="Z149" i="82"/>
  <c r="AA149" i="82"/>
  <c r="AB149" i="82"/>
  <c r="V150" i="82"/>
  <c r="W150" i="82"/>
  <c r="X150" i="82"/>
  <c r="Y150" i="82"/>
  <c r="Z150" i="82"/>
  <c r="AA150" i="82"/>
  <c r="AB150" i="82"/>
  <c r="V151" i="82"/>
  <c r="W151" i="82"/>
  <c r="X151" i="82"/>
  <c r="Y151" i="82"/>
  <c r="Z151" i="82"/>
  <c r="AA151" i="82"/>
  <c r="AB151" i="82"/>
  <c r="V152" i="82"/>
  <c r="W152" i="82"/>
  <c r="X152" i="82"/>
  <c r="Y152" i="82"/>
  <c r="Z152" i="82"/>
  <c r="AA152" i="82"/>
  <c r="AB152" i="82"/>
  <c r="V153" i="82"/>
  <c r="W153" i="82"/>
  <c r="X153" i="82"/>
  <c r="Y153" i="82"/>
  <c r="Z153" i="82"/>
  <c r="AA153" i="82"/>
  <c r="AB153" i="82"/>
  <c r="V154" i="82"/>
  <c r="W154" i="82"/>
  <c r="X154" i="82"/>
  <c r="Y154" i="82"/>
  <c r="Z154" i="82"/>
  <c r="AA154" i="82"/>
  <c r="AB154" i="82"/>
  <c r="V155" i="82"/>
  <c r="W155" i="82"/>
  <c r="X155" i="82"/>
  <c r="Y155" i="82"/>
  <c r="Z155" i="82"/>
  <c r="AA155" i="82"/>
  <c r="AB155" i="82"/>
  <c r="V156" i="82"/>
  <c r="W156" i="82"/>
  <c r="X156" i="82"/>
  <c r="Y156" i="82"/>
  <c r="Z156" i="82"/>
  <c r="AA156" i="82"/>
  <c r="AB156" i="82"/>
  <c r="V157" i="82"/>
  <c r="W157" i="82"/>
  <c r="X157" i="82"/>
  <c r="Y157" i="82"/>
  <c r="Z157" i="82"/>
  <c r="AA157" i="82"/>
  <c r="AB157" i="82"/>
  <c r="V158" i="82"/>
  <c r="W158" i="82"/>
  <c r="X158" i="82"/>
  <c r="Y158" i="82"/>
  <c r="Z158" i="82"/>
  <c r="AA158" i="82"/>
  <c r="AB158" i="82"/>
  <c r="W111" i="82"/>
  <c r="X111" i="82"/>
  <c r="Y111" i="82"/>
  <c r="Z111" i="82"/>
  <c r="AA111" i="82"/>
  <c r="AB111" i="82"/>
  <c r="V111" i="82"/>
  <c r="AC155" i="82" l="1"/>
  <c r="AD125" i="82" s="1"/>
  <c r="C52" i="81" s="1"/>
  <c r="E52" i="81" s="1"/>
  <c r="AC151" i="82"/>
  <c r="AD124" i="82" s="1"/>
  <c r="C51" i="81" s="1"/>
  <c r="E51" i="81" s="1"/>
  <c r="AC147" i="82"/>
  <c r="AD123" i="82" s="1"/>
  <c r="C50" i="81" s="1"/>
  <c r="E50" i="81" s="1"/>
  <c r="AC143" i="82"/>
  <c r="AD122" i="82" s="1"/>
  <c r="C49" i="81" s="1"/>
  <c r="E49" i="81" s="1"/>
  <c r="AC139" i="82"/>
  <c r="AD121" i="82" s="1"/>
  <c r="C48" i="81" s="1"/>
  <c r="E48" i="81" s="1"/>
  <c r="AC135" i="82"/>
  <c r="AD120" i="82" s="1"/>
  <c r="C47" i="81" s="1"/>
  <c r="E47" i="81" s="1"/>
  <c r="AC131" i="82"/>
  <c r="AD119" i="82" s="1"/>
  <c r="C46" i="81" s="1"/>
  <c r="E46" i="81" s="1"/>
  <c r="AC127" i="82"/>
  <c r="AD118" i="82" s="1"/>
  <c r="C45" i="81" s="1"/>
  <c r="E45" i="81" s="1"/>
  <c r="AC123" i="82"/>
  <c r="AD117" i="82" s="1"/>
  <c r="C44" i="81" s="1"/>
  <c r="E44" i="81" s="1"/>
  <c r="AC119" i="82"/>
  <c r="AD116" i="82" s="1"/>
  <c r="C43" i="81" s="1"/>
  <c r="E43" i="81" s="1"/>
  <c r="AC115" i="82"/>
  <c r="AD115" i="82" s="1"/>
  <c r="C42" i="81" s="1"/>
  <c r="E42" i="81" s="1"/>
  <c r="AC111" i="82"/>
  <c r="AD114" i="82" s="1"/>
  <c r="C41" i="81" s="1"/>
  <c r="E41" i="81" s="1"/>
  <c r="AC105" i="82"/>
  <c r="AD75" i="82" s="1"/>
  <c r="AC101" i="82"/>
  <c r="AD74" i="82" s="1"/>
  <c r="AC97" i="82"/>
  <c r="AD73" i="82" s="1"/>
  <c r="AC93" i="82"/>
  <c r="AD72" i="82" s="1"/>
  <c r="AC89" i="82"/>
  <c r="AD71" i="82" s="1"/>
  <c r="AC85" i="82"/>
  <c r="AD70" i="82" s="1"/>
  <c r="AC81" i="82"/>
  <c r="AD69" i="82" s="1"/>
  <c r="AC77" i="82"/>
  <c r="AD68" i="82" s="1"/>
  <c r="AC73" i="82"/>
  <c r="AD67" i="82" s="1"/>
  <c r="AC69" i="82"/>
  <c r="AD66" i="82" s="1"/>
  <c r="AC65" i="82"/>
  <c r="AD65" i="82" s="1"/>
  <c r="AC61" i="82"/>
  <c r="AD64" i="82" s="1"/>
  <c r="AC55" i="82"/>
  <c r="AD25" i="82" s="1"/>
  <c r="AC51" i="82"/>
  <c r="AD24" i="82" s="1"/>
  <c r="AC47" i="82"/>
  <c r="AD23" i="82" s="1"/>
  <c r="AC43" i="82"/>
  <c r="AD22" i="82" s="1"/>
  <c r="AC39" i="82"/>
  <c r="AE18" i="82" s="1"/>
  <c r="AC35" i="82"/>
  <c r="AE17" i="82" s="1"/>
  <c r="AC31" i="82"/>
  <c r="AD19" i="82" s="1"/>
  <c r="AC27" i="82"/>
  <c r="AD18" i="82" s="1"/>
  <c r="AC23" i="82"/>
  <c r="AD17" i="82" s="1"/>
  <c r="AC19" i="82"/>
  <c r="AE13" i="82" s="1"/>
  <c r="AC15" i="82"/>
  <c r="AE12" i="82" s="1"/>
  <c r="AE11" i="82"/>
  <c r="AC11" i="82"/>
  <c r="AE10" i="82"/>
  <c r="D53" i="81"/>
  <c r="A53" i="81"/>
  <c r="E12" i="72"/>
  <c r="F12" i="72"/>
  <c r="G12" i="72"/>
  <c r="H12" i="72"/>
  <c r="I12" i="72"/>
  <c r="J12" i="72"/>
  <c r="K12" i="72"/>
  <c r="L12" i="72"/>
  <c r="M12" i="72"/>
  <c r="N12" i="72"/>
  <c r="O12" i="72"/>
  <c r="P12" i="72"/>
  <c r="Q12" i="72"/>
  <c r="R12" i="72"/>
  <c r="S12" i="72"/>
  <c r="T12" i="72"/>
  <c r="U12" i="72"/>
  <c r="V12" i="72"/>
  <c r="W12" i="72"/>
  <c r="X12" i="72"/>
  <c r="Y12" i="72"/>
  <c r="Z12" i="72"/>
  <c r="AA12" i="72"/>
  <c r="AB12" i="72"/>
  <c r="E13" i="72"/>
  <c r="F13" i="72"/>
  <c r="G13" i="72"/>
  <c r="H13" i="72"/>
  <c r="I13" i="72"/>
  <c r="J13" i="72"/>
  <c r="K13" i="72"/>
  <c r="L13" i="72"/>
  <c r="M13" i="72"/>
  <c r="N13" i="72"/>
  <c r="O13" i="72"/>
  <c r="P13" i="72"/>
  <c r="Q13" i="72"/>
  <c r="R13" i="72"/>
  <c r="S13" i="72"/>
  <c r="T13" i="72"/>
  <c r="U13" i="72"/>
  <c r="V13" i="72"/>
  <c r="W13" i="72"/>
  <c r="X13" i="72"/>
  <c r="Y13" i="72"/>
  <c r="Z13" i="72"/>
  <c r="AA13" i="72"/>
  <c r="AB13" i="72"/>
  <c r="E14" i="72"/>
  <c r="F14" i="72"/>
  <c r="G14" i="72"/>
  <c r="H14" i="72"/>
  <c r="I14" i="72"/>
  <c r="J14" i="72"/>
  <c r="K14" i="72"/>
  <c r="L14" i="72"/>
  <c r="M14" i="72"/>
  <c r="N14" i="72"/>
  <c r="O14" i="72"/>
  <c r="P14" i="72"/>
  <c r="Q14" i="72"/>
  <c r="R14" i="72"/>
  <c r="S14" i="72"/>
  <c r="T14" i="72"/>
  <c r="U14" i="72"/>
  <c r="V14" i="72"/>
  <c r="W14" i="72"/>
  <c r="X14" i="72"/>
  <c r="Y14" i="72"/>
  <c r="Z14" i="72"/>
  <c r="AA14" i="72"/>
  <c r="AB14" i="72"/>
  <c r="E15" i="72"/>
  <c r="F15" i="72"/>
  <c r="G15" i="72"/>
  <c r="H15" i="72"/>
  <c r="I15" i="72"/>
  <c r="J15" i="72"/>
  <c r="K15" i="72"/>
  <c r="L15" i="72"/>
  <c r="M15" i="72"/>
  <c r="N15" i="72"/>
  <c r="O15" i="72"/>
  <c r="P15" i="72"/>
  <c r="Q15" i="72"/>
  <c r="R15" i="72"/>
  <c r="S15" i="72"/>
  <c r="T15" i="72"/>
  <c r="U15" i="72"/>
  <c r="V15" i="72"/>
  <c r="W15" i="72"/>
  <c r="X15" i="72"/>
  <c r="Y15" i="72"/>
  <c r="Z15" i="72"/>
  <c r="AA15" i="72"/>
  <c r="AB15" i="72"/>
  <c r="E16" i="72"/>
  <c r="F16" i="72"/>
  <c r="G16" i="72"/>
  <c r="H16" i="72"/>
  <c r="I16" i="72"/>
  <c r="J16" i="72"/>
  <c r="K16" i="72"/>
  <c r="L16" i="72"/>
  <c r="M16" i="72"/>
  <c r="N16" i="72"/>
  <c r="O16" i="72"/>
  <c r="P16" i="72"/>
  <c r="Q16" i="72"/>
  <c r="R16" i="72"/>
  <c r="S16" i="72"/>
  <c r="T16" i="72"/>
  <c r="U16" i="72"/>
  <c r="V16" i="72"/>
  <c r="W16" i="72"/>
  <c r="X16" i="72"/>
  <c r="Y16" i="72"/>
  <c r="Z16" i="72"/>
  <c r="AA16" i="72"/>
  <c r="AB16" i="72"/>
  <c r="E17" i="72"/>
  <c r="F17" i="72"/>
  <c r="G17" i="72"/>
  <c r="H17" i="72"/>
  <c r="I17" i="72"/>
  <c r="J17" i="72"/>
  <c r="K17" i="72"/>
  <c r="L17" i="72"/>
  <c r="M17" i="72"/>
  <c r="N17" i="72"/>
  <c r="O17" i="72"/>
  <c r="P17" i="72"/>
  <c r="Q17" i="72"/>
  <c r="R17" i="72"/>
  <c r="S17" i="72"/>
  <c r="T17" i="72"/>
  <c r="U17" i="72"/>
  <c r="V17" i="72"/>
  <c r="W17" i="72"/>
  <c r="X17" i="72"/>
  <c r="Y17" i="72"/>
  <c r="Z17" i="72"/>
  <c r="AA17" i="72"/>
  <c r="AB17" i="72"/>
  <c r="E18" i="72"/>
  <c r="F18" i="72"/>
  <c r="G18" i="72"/>
  <c r="H18" i="72"/>
  <c r="I18" i="72"/>
  <c r="J18" i="72"/>
  <c r="K18" i="72"/>
  <c r="L18" i="72"/>
  <c r="M18" i="72"/>
  <c r="N18" i="72"/>
  <c r="O18" i="72"/>
  <c r="P18" i="72"/>
  <c r="Q18" i="72"/>
  <c r="R18" i="72"/>
  <c r="S18" i="72"/>
  <c r="T18" i="72"/>
  <c r="U18" i="72"/>
  <c r="V18" i="72"/>
  <c r="W18" i="72"/>
  <c r="X18" i="72"/>
  <c r="Y18" i="72"/>
  <c r="Z18" i="72"/>
  <c r="AA18" i="72"/>
  <c r="AB18" i="72"/>
  <c r="E19" i="72"/>
  <c r="F19" i="72"/>
  <c r="G19" i="72"/>
  <c r="H19" i="72"/>
  <c r="I19" i="72"/>
  <c r="J19" i="72"/>
  <c r="K19" i="72"/>
  <c r="L19" i="72"/>
  <c r="M19" i="72"/>
  <c r="N19" i="72"/>
  <c r="O19" i="72"/>
  <c r="P19" i="72"/>
  <c r="Q19" i="72"/>
  <c r="R19" i="72"/>
  <c r="S19" i="72"/>
  <c r="T19" i="72"/>
  <c r="U19" i="72"/>
  <c r="V19" i="72"/>
  <c r="W19" i="72"/>
  <c r="X19" i="72"/>
  <c r="Y19" i="72"/>
  <c r="Z19" i="72"/>
  <c r="AA19" i="72"/>
  <c r="AB19" i="72"/>
  <c r="E20" i="72"/>
  <c r="F20" i="72"/>
  <c r="G20" i="72"/>
  <c r="H20" i="72"/>
  <c r="I20" i="72"/>
  <c r="J20" i="72"/>
  <c r="K20" i="72"/>
  <c r="L20" i="72"/>
  <c r="M20" i="72"/>
  <c r="N20" i="72"/>
  <c r="O20" i="72"/>
  <c r="P20" i="72"/>
  <c r="Q20" i="72"/>
  <c r="R20" i="72"/>
  <c r="S20" i="72"/>
  <c r="T20" i="72"/>
  <c r="U20" i="72"/>
  <c r="V20" i="72"/>
  <c r="W20" i="72"/>
  <c r="X20" i="72"/>
  <c r="Y20" i="72"/>
  <c r="Z20" i="72"/>
  <c r="AA20" i="72"/>
  <c r="AB20" i="72"/>
  <c r="E21" i="72"/>
  <c r="F21" i="72"/>
  <c r="G21" i="72"/>
  <c r="H21" i="72"/>
  <c r="I21" i="72"/>
  <c r="J21" i="72"/>
  <c r="K21" i="72"/>
  <c r="L21" i="72"/>
  <c r="M21" i="72"/>
  <c r="N21" i="72"/>
  <c r="O21" i="72"/>
  <c r="P21" i="72"/>
  <c r="Q21" i="72"/>
  <c r="R21" i="72"/>
  <c r="S21" i="72"/>
  <c r="T21" i="72"/>
  <c r="U21" i="72"/>
  <c r="V21" i="72"/>
  <c r="W21" i="72"/>
  <c r="X21" i="72"/>
  <c r="Y21" i="72"/>
  <c r="Z21" i="72"/>
  <c r="AA21" i="72"/>
  <c r="AB21" i="72"/>
  <c r="E22" i="72"/>
  <c r="F22" i="72"/>
  <c r="G22" i="72"/>
  <c r="H22" i="72"/>
  <c r="I22" i="72"/>
  <c r="J22" i="72"/>
  <c r="K22" i="72"/>
  <c r="L22" i="72"/>
  <c r="M22" i="72"/>
  <c r="N22" i="72"/>
  <c r="O22" i="72"/>
  <c r="P22" i="72"/>
  <c r="Q22" i="72"/>
  <c r="R22" i="72"/>
  <c r="S22" i="72"/>
  <c r="T22" i="72"/>
  <c r="U22" i="72"/>
  <c r="V22" i="72"/>
  <c r="W22" i="72"/>
  <c r="X22" i="72"/>
  <c r="Y22" i="72"/>
  <c r="Z22" i="72"/>
  <c r="AA22" i="72"/>
  <c r="AB22" i="72"/>
  <c r="E23" i="72"/>
  <c r="F23" i="72"/>
  <c r="G23" i="72"/>
  <c r="H23" i="72"/>
  <c r="I23" i="72"/>
  <c r="J23" i="72"/>
  <c r="K23" i="72"/>
  <c r="L23" i="72"/>
  <c r="M23" i="72"/>
  <c r="N23" i="72"/>
  <c r="O23" i="72"/>
  <c r="P23" i="72"/>
  <c r="Q23" i="72"/>
  <c r="R23" i="72"/>
  <c r="S23" i="72"/>
  <c r="T23" i="72"/>
  <c r="U23" i="72"/>
  <c r="V23" i="72"/>
  <c r="W23" i="72"/>
  <c r="X23" i="72"/>
  <c r="Y23" i="72"/>
  <c r="Z23" i="72"/>
  <c r="AA23" i="72"/>
  <c r="AB23" i="72"/>
  <c r="E24" i="72"/>
  <c r="F24" i="72"/>
  <c r="G24" i="72"/>
  <c r="H24" i="72"/>
  <c r="I24" i="72"/>
  <c r="J24" i="72"/>
  <c r="K24" i="72"/>
  <c r="L24" i="72"/>
  <c r="M24" i="72"/>
  <c r="N24" i="72"/>
  <c r="O24" i="72"/>
  <c r="P24" i="72"/>
  <c r="Q24" i="72"/>
  <c r="R24" i="72"/>
  <c r="S24" i="72"/>
  <c r="T24" i="72"/>
  <c r="U24" i="72"/>
  <c r="V24" i="72"/>
  <c r="W24" i="72"/>
  <c r="X24" i="72"/>
  <c r="Y24" i="72"/>
  <c r="Z24" i="72"/>
  <c r="AA24" i="72"/>
  <c r="AB24" i="72"/>
  <c r="E25" i="72"/>
  <c r="F25" i="72"/>
  <c r="G25" i="72"/>
  <c r="H25" i="72"/>
  <c r="I25" i="72"/>
  <c r="J25" i="72"/>
  <c r="K25" i="72"/>
  <c r="L25" i="72"/>
  <c r="M25" i="72"/>
  <c r="N25" i="72"/>
  <c r="O25" i="72"/>
  <c r="P25" i="72"/>
  <c r="Q25" i="72"/>
  <c r="R25" i="72"/>
  <c r="S25" i="72"/>
  <c r="T25" i="72"/>
  <c r="U25" i="72"/>
  <c r="V25" i="72"/>
  <c r="W25" i="72"/>
  <c r="X25" i="72"/>
  <c r="Y25" i="72"/>
  <c r="Z25" i="72"/>
  <c r="AA25" i="72"/>
  <c r="AB25" i="72"/>
  <c r="E26" i="72"/>
  <c r="F26" i="72"/>
  <c r="G26" i="72"/>
  <c r="H26" i="72"/>
  <c r="I26" i="72"/>
  <c r="J26" i="72"/>
  <c r="K26" i="72"/>
  <c r="L26" i="72"/>
  <c r="M26" i="72"/>
  <c r="N26" i="72"/>
  <c r="O26" i="72"/>
  <c r="P26" i="72"/>
  <c r="Q26" i="72"/>
  <c r="R26" i="72"/>
  <c r="S26" i="72"/>
  <c r="T26" i="72"/>
  <c r="U26" i="72"/>
  <c r="V26" i="72"/>
  <c r="W26" i="72"/>
  <c r="X26" i="72"/>
  <c r="Y26" i="72"/>
  <c r="Z26" i="72"/>
  <c r="AA26" i="72"/>
  <c r="AB26" i="72"/>
  <c r="E27" i="72"/>
  <c r="F27" i="72"/>
  <c r="G27" i="72"/>
  <c r="H27" i="72"/>
  <c r="I27" i="72"/>
  <c r="J27" i="72"/>
  <c r="K27" i="72"/>
  <c r="L27" i="72"/>
  <c r="M27" i="72"/>
  <c r="N27" i="72"/>
  <c r="O27" i="72"/>
  <c r="P27" i="72"/>
  <c r="Q27" i="72"/>
  <c r="R27" i="72"/>
  <c r="S27" i="72"/>
  <c r="T27" i="72"/>
  <c r="U27" i="72"/>
  <c r="V27" i="72"/>
  <c r="W27" i="72"/>
  <c r="X27" i="72"/>
  <c r="Y27" i="72"/>
  <c r="Z27" i="72"/>
  <c r="AA27" i="72"/>
  <c r="AB27" i="72"/>
  <c r="E28" i="72"/>
  <c r="F28" i="72"/>
  <c r="G28" i="72"/>
  <c r="H28" i="72"/>
  <c r="I28" i="72"/>
  <c r="J28" i="72"/>
  <c r="K28" i="72"/>
  <c r="L28" i="72"/>
  <c r="M28" i="72"/>
  <c r="N28" i="72"/>
  <c r="O28" i="72"/>
  <c r="P28" i="72"/>
  <c r="Q28" i="72"/>
  <c r="R28" i="72"/>
  <c r="S28" i="72"/>
  <c r="T28" i="72"/>
  <c r="U28" i="72"/>
  <c r="V28" i="72"/>
  <c r="W28" i="72"/>
  <c r="X28" i="72"/>
  <c r="Y28" i="72"/>
  <c r="Z28" i="72"/>
  <c r="AA28" i="72"/>
  <c r="AB28" i="72"/>
  <c r="E29" i="72"/>
  <c r="F29" i="72"/>
  <c r="G29" i="72"/>
  <c r="H29" i="72"/>
  <c r="I29" i="72"/>
  <c r="J29" i="72"/>
  <c r="K29" i="72"/>
  <c r="L29" i="72"/>
  <c r="M29" i="72"/>
  <c r="N29" i="72"/>
  <c r="O29" i="72"/>
  <c r="P29" i="72"/>
  <c r="Q29" i="72"/>
  <c r="R29" i="72"/>
  <c r="S29" i="72"/>
  <c r="T29" i="72"/>
  <c r="U29" i="72"/>
  <c r="V29" i="72"/>
  <c r="W29" i="72"/>
  <c r="X29" i="72"/>
  <c r="Y29" i="72"/>
  <c r="Z29" i="72"/>
  <c r="AA29" i="72"/>
  <c r="AB29" i="72"/>
  <c r="E30" i="72"/>
  <c r="F30" i="72"/>
  <c r="G30" i="72"/>
  <c r="H30" i="72"/>
  <c r="I30" i="72"/>
  <c r="J30" i="72"/>
  <c r="K30" i="72"/>
  <c r="L30" i="72"/>
  <c r="M30" i="72"/>
  <c r="N30" i="72"/>
  <c r="O30" i="72"/>
  <c r="P30" i="72"/>
  <c r="Q30" i="72"/>
  <c r="R30" i="72"/>
  <c r="S30" i="72"/>
  <c r="T30" i="72"/>
  <c r="U30" i="72"/>
  <c r="V30" i="72"/>
  <c r="W30" i="72"/>
  <c r="X30" i="72"/>
  <c r="Y30" i="72"/>
  <c r="Z30" i="72"/>
  <c r="AA30" i="72"/>
  <c r="AB30" i="72"/>
  <c r="E31" i="72"/>
  <c r="F31" i="72"/>
  <c r="G31" i="72"/>
  <c r="H31" i="72"/>
  <c r="I31" i="72"/>
  <c r="J31" i="72"/>
  <c r="K31" i="72"/>
  <c r="L31" i="72"/>
  <c r="M31" i="72"/>
  <c r="N31" i="72"/>
  <c r="O31" i="72"/>
  <c r="P31" i="72"/>
  <c r="Q31" i="72"/>
  <c r="R31" i="72"/>
  <c r="S31" i="72"/>
  <c r="T31" i="72"/>
  <c r="U31" i="72"/>
  <c r="V31" i="72"/>
  <c r="W31" i="72"/>
  <c r="X31" i="72"/>
  <c r="Y31" i="72"/>
  <c r="Z31" i="72"/>
  <c r="AA31" i="72"/>
  <c r="AB31" i="72"/>
  <c r="E32" i="72"/>
  <c r="F32" i="72"/>
  <c r="G32" i="72"/>
  <c r="H32" i="72"/>
  <c r="I32" i="72"/>
  <c r="J32" i="72"/>
  <c r="K32" i="72"/>
  <c r="L32" i="72"/>
  <c r="M32" i="72"/>
  <c r="N32" i="72"/>
  <c r="O32" i="72"/>
  <c r="P32" i="72"/>
  <c r="Q32" i="72"/>
  <c r="R32" i="72"/>
  <c r="S32" i="72"/>
  <c r="T32" i="72"/>
  <c r="U32" i="72"/>
  <c r="V32" i="72"/>
  <c r="W32" i="72"/>
  <c r="X32" i="72"/>
  <c r="Y32" i="72"/>
  <c r="Z32" i="72"/>
  <c r="AA32" i="72"/>
  <c r="AB32" i="72"/>
  <c r="E33" i="72"/>
  <c r="F33" i="72"/>
  <c r="G33" i="72"/>
  <c r="H33" i="72"/>
  <c r="I33" i="72"/>
  <c r="J33" i="72"/>
  <c r="K33" i="72"/>
  <c r="L33" i="72"/>
  <c r="M33" i="72"/>
  <c r="N33" i="72"/>
  <c r="O33" i="72"/>
  <c r="P33" i="72"/>
  <c r="Q33" i="72"/>
  <c r="R33" i="72"/>
  <c r="S33" i="72"/>
  <c r="T33" i="72"/>
  <c r="U33" i="72"/>
  <c r="V33" i="72"/>
  <c r="W33" i="72"/>
  <c r="X33" i="72"/>
  <c r="Y33" i="72"/>
  <c r="Z33" i="72"/>
  <c r="AA33" i="72"/>
  <c r="AB33" i="72"/>
  <c r="E34" i="72"/>
  <c r="F34" i="72"/>
  <c r="G34" i="72"/>
  <c r="H34" i="72"/>
  <c r="I34" i="72"/>
  <c r="J34" i="72"/>
  <c r="K34" i="72"/>
  <c r="L34" i="72"/>
  <c r="M34" i="72"/>
  <c r="N34" i="72"/>
  <c r="O34" i="72"/>
  <c r="P34" i="72"/>
  <c r="Q34" i="72"/>
  <c r="R34" i="72"/>
  <c r="S34" i="72"/>
  <c r="T34" i="72"/>
  <c r="U34" i="72"/>
  <c r="V34" i="72"/>
  <c r="W34" i="72"/>
  <c r="X34" i="72"/>
  <c r="Y34" i="72"/>
  <c r="Z34" i="72"/>
  <c r="AA34" i="72"/>
  <c r="AB34" i="72"/>
  <c r="E35" i="72"/>
  <c r="F35" i="72"/>
  <c r="G35" i="72"/>
  <c r="H35" i="72"/>
  <c r="I35" i="72"/>
  <c r="J35" i="72"/>
  <c r="K35" i="72"/>
  <c r="L35" i="72"/>
  <c r="M35" i="72"/>
  <c r="N35" i="72"/>
  <c r="O35" i="72"/>
  <c r="P35" i="72"/>
  <c r="Q35" i="72"/>
  <c r="R35" i="72"/>
  <c r="S35" i="72"/>
  <c r="T35" i="72"/>
  <c r="U35" i="72"/>
  <c r="V35" i="72"/>
  <c r="W35" i="72"/>
  <c r="X35" i="72"/>
  <c r="Y35" i="72"/>
  <c r="Z35" i="72"/>
  <c r="AA35" i="72"/>
  <c r="AB35" i="72"/>
  <c r="E36" i="72"/>
  <c r="F36" i="72"/>
  <c r="G36" i="72"/>
  <c r="H36" i="72"/>
  <c r="I36" i="72"/>
  <c r="J36" i="72"/>
  <c r="K36" i="72"/>
  <c r="L36" i="72"/>
  <c r="M36" i="72"/>
  <c r="N36" i="72"/>
  <c r="O36" i="72"/>
  <c r="P36" i="72"/>
  <c r="Q36" i="72"/>
  <c r="R36" i="72"/>
  <c r="S36" i="72"/>
  <c r="T36" i="72"/>
  <c r="U36" i="72"/>
  <c r="V36" i="72"/>
  <c r="W36" i="72"/>
  <c r="X36" i="72"/>
  <c r="Y36" i="72"/>
  <c r="Z36" i="72"/>
  <c r="AA36" i="72"/>
  <c r="AB36" i="72"/>
  <c r="E37" i="72"/>
  <c r="F37" i="72"/>
  <c r="G37" i="72"/>
  <c r="H37" i="72"/>
  <c r="I37" i="72"/>
  <c r="J37" i="72"/>
  <c r="K37" i="72"/>
  <c r="L37" i="72"/>
  <c r="M37" i="72"/>
  <c r="N37" i="72"/>
  <c r="O37" i="72"/>
  <c r="P37" i="72"/>
  <c r="Q37" i="72"/>
  <c r="R37" i="72"/>
  <c r="S37" i="72"/>
  <c r="T37" i="72"/>
  <c r="U37" i="72"/>
  <c r="V37" i="72"/>
  <c r="W37" i="72"/>
  <c r="X37" i="72"/>
  <c r="Y37" i="72"/>
  <c r="Z37" i="72"/>
  <c r="AA37" i="72"/>
  <c r="AB37" i="72"/>
  <c r="E38" i="72"/>
  <c r="F38" i="72"/>
  <c r="G38" i="72"/>
  <c r="H38" i="72"/>
  <c r="I38" i="72"/>
  <c r="J38" i="72"/>
  <c r="K38" i="72"/>
  <c r="L38" i="72"/>
  <c r="M38" i="72"/>
  <c r="N38" i="72"/>
  <c r="O38" i="72"/>
  <c r="P38" i="72"/>
  <c r="Q38" i="72"/>
  <c r="R38" i="72"/>
  <c r="S38" i="72"/>
  <c r="T38" i="72"/>
  <c r="U38" i="72"/>
  <c r="V38" i="72"/>
  <c r="W38" i="72"/>
  <c r="X38" i="72"/>
  <c r="Y38" i="72"/>
  <c r="Z38" i="72"/>
  <c r="AA38" i="72"/>
  <c r="AB38" i="72"/>
  <c r="E39" i="72"/>
  <c r="F39" i="72"/>
  <c r="G39" i="72"/>
  <c r="H39" i="72"/>
  <c r="I39" i="72"/>
  <c r="J39" i="72"/>
  <c r="K39" i="72"/>
  <c r="L39" i="72"/>
  <c r="M39" i="72"/>
  <c r="N39" i="72"/>
  <c r="O39" i="72"/>
  <c r="P39" i="72"/>
  <c r="Q39" i="72"/>
  <c r="R39" i="72"/>
  <c r="S39" i="72"/>
  <c r="T39" i="72"/>
  <c r="U39" i="72"/>
  <c r="V39" i="72"/>
  <c r="W39" i="72"/>
  <c r="X39" i="72"/>
  <c r="Y39" i="72"/>
  <c r="Z39" i="72"/>
  <c r="AA39" i="72"/>
  <c r="AB39" i="72"/>
  <c r="E40" i="72"/>
  <c r="F40" i="72"/>
  <c r="G40" i="72"/>
  <c r="H40" i="72"/>
  <c r="I40" i="72"/>
  <c r="J40" i="72"/>
  <c r="K40" i="72"/>
  <c r="L40" i="72"/>
  <c r="M40" i="72"/>
  <c r="N40" i="72"/>
  <c r="O40" i="72"/>
  <c r="P40" i="72"/>
  <c r="Q40" i="72"/>
  <c r="R40" i="72"/>
  <c r="S40" i="72"/>
  <c r="T40" i="72"/>
  <c r="U40" i="72"/>
  <c r="V40" i="72"/>
  <c r="W40" i="72"/>
  <c r="X40" i="72"/>
  <c r="Y40" i="72"/>
  <c r="Z40" i="72"/>
  <c r="AA40" i="72"/>
  <c r="AB40" i="72"/>
  <c r="E41" i="72"/>
  <c r="F41" i="72"/>
  <c r="G41" i="72"/>
  <c r="H41" i="72"/>
  <c r="I41" i="72"/>
  <c r="J41" i="72"/>
  <c r="K41" i="72"/>
  <c r="L41" i="72"/>
  <c r="M41" i="72"/>
  <c r="N41" i="72"/>
  <c r="O41" i="72"/>
  <c r="P41" i="72"/>
  <c r="Q41" i="72"/>
  <c r="R41" i="72"/>
  <c r="S41" i="72"/>
  <c r="T41" i="72"/>
  <c r="U41" i="72"/>
  <c r="V41" i="72"/>
  <c r="W41" i="72"/>
  <c r="X41" i="72"/>
  <c r="Y41" i="72"/>
  <c r="Z41" i="72"/>
  <c r="AA41" i="72"/>
  <c r="AB41" i="72"/>
  <c r="E42" i="72"/>
  <c r="F42" i="72"/>
  <c r="G42" i="72"/>
  <c r="H42" i="72"/>
  <c r="I42" i="72"/>
  <c r="J42" i="72"/>
  <c r="K42" i="72"/>
  <c r="L42" i="72"/>
  <c r="M42" i="72"/>
  <c r="N42" i="72"/>
  <c r="O42" i="72"/>
  <c r="P42" i="72"/>
  <c r="Q42" i="72"/>
  <c r="R42" i="72"/>
  <c r="S42" i="72"/>
  <c r="T42" i="72"/>
  <c r="U42" i="72"/>
  <c r="V42" i="72"/>
  <c r="W42" i="72"/>
  <c r="X42" i="72"/>
  <c r="Y42" i="72"/>
  <c r="Z42" i="72"/>
  <c r="AA42" i="72"/>
  <c r="AB42" i="72"/>
  <c r="E43" i="72"/>
  <c r="F43" i="72"/>
  <c r="G43" i="72"/>
  <c r="H43" i="72"/>
  <c r="I43" i="72"/>
  <c r="J43" i="72"/>
  <c r="K43" i="72"/>
  <c r="L43" i="72"/>
  <c r="M43" i="72"/>
  <c r="N43" i="72"/>
  <c r="O43" i="72"/>
  <c r="P43" i="72"/>
  <c r="Q43" i="72"/>
  <c r="R43" i="72"/>
  <c r="S43" i="72"/>
  <c r="T43" i="72"/>
  <c r="U43" i="72"/>
  <c r="V43" i="72"/>
  <c r="W43" i="72"/>
  <c r="X43" i="72"/>
  <c r="Y43" i="72"/>
  <c r="Z43" i="72"/>
  <c r="AA43" i="72"/>
  <c r="AB43" i="72"/>
  <c r="E44" i="72"/>
  <c r="F44" i="72"/>
  <c r="G44" i="72"/>
  <c r="H44" i="72"/>
  <c r="I44" i="72"/>
  <c r="J44" i="72"/>
  <c r="K44" i="72"/>
  <c r="L44" i="72"/>
  <c r="M44" i="72"/>
  <c r="N44" i="72"/>
  <c r="O44" i="72"/>
  <c r="P44" i="72"/>
  <c r="Q44" i="72"/>
  <c r="R44" i="72"/>
  <c r="S44" i="72"/>
  <c r="T44" i="72"/>
  <c r="U44" i="72"/>
  <c r="V44" i="72"/>
  <c r="W44" i="72"/>
  <c r="X44" i="72"/>
  <c r="Y44" i="72"/>
  <c r="Z44" i="72"/>
  <c r="AA44" i="72"/>
  <c r="AB44" i="72"/>
  <c r="E45" i="72"/>
  <c r="F45" i="72"/>
  <c r="G45" i="72"/>
  <c r="H45" i="72"/>
  <c r="I45" i="72"/>
  <c r="J45" i="72"/>
  <c r="K45" i="72"/>
  <c r="L45" i="72"/>
  <c r="M45" i="72"/>
  <c r="N45" i="72"/>
  <c r="O45" i="72"/>
  <c r="P45" i="72"/>
  <c r="Q45" i="72"/>
  <c r="R45" i="72"/>
  <c r="S45" i="72"/>
  <c r="T45" i="72"/>
  <c r="U45" i="72"/>
  <c r="V45" i="72"/>
  <c r="W45" i="72"/>
  <c r="X45" i="72"/>
  <c r="Y45" i="72"/>
  <c r="Z45" i="72"/>
  <c r="AA45" i="72"/>
  <c r="AB45" i="72"/>
  <c r="E46" i="72"/>
  <c r="F46" i="72"/>
  <c r="G46" i="72"/>
  <c r="H46" i="72"/>
  <c r="I46" i="72"/>
  <c r="J46" i="72"/>
  <c r="K46" i="72"/>
  <c r="L46" i="72"/>
  <c r="M46" i="72"/>
  <c r="N46" i="72"/>
  <c r="O46" i="72"/>
  <c r="P46" i="72"/>
  <c r="Q46" i="72"/>
  <c r="R46" i="72"/>
  <c r="S46" i="72"/>
  <c r="T46" i="72"/>
  <c r="U46" i="72"/>
  <c r="V46" i="72"/>
  <c r="W46" i="72"/>
  <c r="X46" i="72"/>
  <c r="Y46" i="72"/>
  <c r="Z46" i="72"/>
  <c r="AA46" i="72"/>
  <c r="AB46" i="72"/>
  <c r="E47" i="72"/>
  <c r="F47" i="72"/>
  <c r="G47" i="72"/>
  <c r="H47" i="72"/>
  <c r="I47" i="72"/>
  <c r="J47" i="72"/>
  <c r="K47" i="72"/>
  <c r="L47" i="72"/>
  <c r="M47" i="72"/>
  <c r="N47" i="72"/>
  <c r="O47" i="72"/>
  <c r="P47" i="72"/>
  <c r="Q47" i="72"/>
  <c r="R47" i="72"/>
  <c r="S47" i="72"/>
  <c r="T47" i="72"/>
  <c r="U47" i="72"/>
  <c r="V47" i="72"/>
  <c r="W47" i="72"/>
  <c r="X47" i="72"/>
  <c r="Y47" i="72"/>
  <c r="Z47" i="72"/>
  <c r="AA47" i="72"/>
  <c r="AB47" i="72"/>
  <c r="E48" i="72"/>
  <c r="F48" i="72"/>
  <c r="G48" i="72"/>
  <c r="H48" i="72"/>
  <c r="I48" i="72"/>
  <c r="J48" i="72"/>
  <c r="K48" i="72"/>
  <c r="L48" i="72"/>
  <c r="M48" i="72"/>
  <c r="N48" i="72"/>
  <c r="O48" i="72"/>
  <c r="P48" i="72"/>
  <c r="Q48" i="72"/>
  <c r="R48" i="72"/>
  <c r="S48" i="72"/>
  <c r="T48" i="72"/>
  <c r="U48" i="72"/>
  <c r="V48" i="72"/>
  <c r="W48" i="72"/>
  <c r="X48" i="72"/>
  <c r="Y48" i="72"/>
  <c r="Z48" i="72"/>
  <c r="AA48" i="72"/>
  <c r="AB48" i="72"/>
  <c r="E49" i="72"/>
  <c r="F49" i="72"/>
  <c r="G49" i="72"/>
  <c r="H49" i="72"/>
  <c r="I49" i="72"/>
  <c r="J49" i="72"/>
  <c r="K49" i="72"/>
  <c r="L49" i="72"/>
  <c r="M49" i="72"/>
  <c r="N49" i="72"/>
  <c r="O49" i="72"/>
  <c r="P49" i="72"/>
  <c r="Q49" i="72"/>
  <c r="R49" i="72"/>
  <c r="S49" i="72"/>
  <c r="T49" i="72"/>
  <c r="U49" i="72"/>
  <c r="V49" i="72"/>
  <c r="W49" i="72"/>
  <c r="X49" i="72"/>
  <c r="Y49" i="72"/>
  <c r="Z49" i="72"/>
  <c r="AA49" i="72"/>
  <c r="AB49" i="72"/>
  <c r="E50" i="72"/>
  <c r="F50" i="72"/>
  <c r="G50" i="72"/>
  <c r="H50" i="72"/>
  <c r="I50" i="72"/>
  <c r="J50" i="72"/>
  <c r="K50" i="72"/>
  <c r="L50" i="72"/>
  <c r="M50" i="72"/>
  <c r="N50" i="72"/>
  <c r="O50" i="72"/>
  <c r="P50" i="72"/>
  <c r="Q50" i="72"/>
  <c r="R50" i="72"/>
  <c r="S50" i="72"/>
  <c r="T50" i="72"/>
  <c r="U50" i="72"/>
  <c r="V50" i="72"/>
  <c r="W50" i="72"/>
  <c r="X50" i="72"/>
  <c r="Y50" i="72"/>
  <c r="Z50" i="72"/>
  <c r="AA50" i="72"/>
  <c r="AB50" i="72"/>
  <c r="E51" i="72"/>
  <c r="F51" i="72"/>
  <c r="G51" i="72"/>
  <c r="H51" i="72"/>
  <c r="I51" i="72"/>
  <c r="J51" i="72"/>
  <c r="K51" i="72"/>
  <c r="L51" i="72"/>
  <c r="M51" i="72"/>
  <c r="N51" i="72"/>
  <c r="O51" i="72"/>
  <c r="P51" i="72"/>
  <c r="Q51" i="72"/>
  <c r="R51" i="72"/>
  <c r="S51" i="72"/>
  <c r="T51" i="72"/>
  <c r="U51" i="72"/>
  <c r="V51" i="72"/>
  <c r="W51" i="72"/>
  <c r="X51" i="72"/>
  <c r="Y51" i="72"/>
  <c r="Z51" i="72"/>
  <c r="AA51" i="72"/>
  <c r="AB51" i="72"/>
  <c r="E52" i="72"/>
  <c r="F52" i="72"/>
  <c r="G52" i="72"/>
  <c r="H52" i="72"/>
  <c r="I52" i="72"/>
  <c r="J52" i="72"/>
  <c r="K52" i="72"/>
  <c r="L52" i="72"/>
  <c r="M52" i="72"/>
  <c r="N52" i="72"/>
  <c r="O52" i="72"/>
  <c r="P52" i="72"/>
  <c r="Q52" i="72"/>
  <c r="R52" i="72"/>
  <c r="S52" i="72"/>
  <c r="T52" i="72"/>
  <c r="U52" i="72"/>
  <c r="V52" i="72"/>
  <c r="W52" i="72"/>
  <c r="X52" i="72"/>
  <c r="Y52" i="72"/>
  <c r="Z52" i="72"/>
  <c r="AA52" i="72"/>
  <c r="AB52" i="72"/>
  <c r="E53" i="72"/>
  <c r="F53" i="72"/>
  <c r="G53" i="72"/>
  <c r="H53" i="72"/>
  <c r="I53" i="72"/>
  <c r="J53" i="72"/>
  <c r="K53" i="72"/>
  <c r="L53" i="72"/>
  <c r="M53" i="72"/>
  <c r="N53" i="72"/>
  <c r="O53" i="72"/>
  <c r="P53" i="72"/>
  <c r="Q53" i="72"/>
  <c r="R53" i="72"/>
  <c r="S53" i="72"/>
  <c r="T53" i="72"/>
  <c r="U53" i="72"/>
  <c r="V53" i="72"/>
  <c r="W53" i="72"/>
  <c r="X53" i="72"/>
  <c r="Y53" i="72"/>
  <c r="Z53" i="72"/>
  <c r="AA53" i="72"/>
  <c r="AB53" i="72"/>
  <c r="E54" i="72"/>
  <c r="F54" i="72"/>
  <c r="G54" i="72"/>
  <c r="H54" i="72"/>
  <c r="I54" i="72"/>
  <c r="J54" i="72"/>
  <c r="K54" i="72"/>
  <c r="L54" i="72"/>
  <c r="M54" i="72"/>
  <c r="N54" i="72"/>
  <c r="O54" i="72"/>
  <c r="P54" i="72"/>
  <c r="Q54" i="72"/>
  <c r="R54" i="72"/>
  <c r="S54" i="72"/>
  <c r="T54" i="72"/>
  <c r="U54" i="72"/>
  <c r="V54" i="72"/>
  <c r="W54" i="72"/>
  <c r="X54" i="72"/>
  <c r="Y54" i="72"/>
  <c r="Z54" i="72"/>
  <c r="AA54" i="72"/>
  <c r="AB54" i="72"/>
  <c r="E55" i="72"/>
  <c r="F55" i="72"/>
  <c r="G55" i="72"/>
  <c r="H55" i="72"/>
  <c r="I55" i="72"/>
  <c r="J55" i="72"/>
  <c r="K55" i="72"/>
  <c r="L55" i="72"/>
  <c r="M55" i="72"/>
  <c r="N55" i="72"/>
  <c r="O55" i="72"/>
  <c r="P55" i="72"/>
  <c r="Q55" i="72"/>
  <c r="R55" i="72"/>
  <c r="S55" i="72"/>
  <c r="T55" i="72"/>
  <c r="U55" i="72"/>
  <c r="V55" i="72"/>
  <c r="W55" i="72"/>
  <c r="X55" i="72"/>
  <c r="Y55" i="72"/>
  <c r="Z55" i="72"/>
  <c r="AA55" i="72"/>
  <c r="AB55" i="72"/>
  <c r="E56" i="72"/>
  <c r="F56" i="72"/>
  <c r="G56" i="72"/>
  <c r="H56" i="72"/>
  <c r="I56" i="72"/>
  <c r="J56" i="72"/>
  <c r="K56" i="72"/>
  <c r="L56" i="72"/>
  <c r="M56" i="72"/>
  <c r="N56" i="72"/>
  <c r="O56" i="72"/>
  <c r="P56" i="72"/>
  <c r="Q56" i="72"/>
  <c r="R56" i="72"/>
  <c r="S56" i="72"/>
  <c r="T56" i="72"/>
  <c r="U56" i="72"/>
  <c r="V56" i="72"/>
  <c r="W56" i="72"/>
  <c r="X56" i="72"/>
  <c r="Y56" i="72"/>
  <c r="Z56" i="72"/>
  <c r="AA56" i="72"/>
  <c r="AB56" i="72"/>
  <c r="E57" i="72"/>
  <c r="F57" i="72"/>
  <c r="G57" i="72"/>
  <c r="H57" i="72"/>
  <c r="I57" i="72"/>
  <c r="J57" i="72"/>
  <c r="K57" i="72"/>
  <c r="L57" i="72"/>
  <c r="M57" i="72"/>
  <c r="N57" i="72"/>
  <c r="O57" i="72"/>
  <c r="P57" i="72"/>
  <c r="Q57" i="72"/>
  <c r="R57" i="72"/>
  <c r="S57" i="72"/>
  <c r="T57" i="72"/>
  <c r="U57" i="72"/>
  <c r="V57" i="72"/>
  <c r="W57" i="72"/>
  <c r="X57" i="72"/>
  <c r="Y57" i="72"/>
  <c r="Z57" i="72"/>
  <c r="AA57" i="72"/>
  <c r="AB57" i="72"/>
  <c r="E58" i="72"/>
  <c r="F58" i="72"/>
  <c r="G58" i="72"/>
  <c r="H58" i="72"/>
  <c r="I58" i="72"/>
  <c r="J58" i="72"/>
  <c r="K58" i="72"/>
  <c r="L58" i="72"/>
  <c r="M58" i="72"/>
  <c r="N58" i="72"/>
  <c r="O58" i="72"/>
  <c r="P58" i="72"/>
  <c r="Q58" i="72"/>
  <c r="R58" i="72"/>
  <c r="S58" i="72"/>
  <c r="T58" i="72"/>
  <c r="U58" i="72"/>
  <c r="V58" i="72"/>
  <c r="W58" i="72"/>
  <c r="X58" i="72"/>
  <c r="Y58" i="72"/>
  <c r="Z58" i="72"/>
  <c r="AA58" i="72"/>
  <c r="AB58" i="72"/>
  <c r="F11" i="72"/>
  <c r="G11" i="72"/>
  <c r="H11" i="72"/>
  <c r="I11" i="72"/>
  <c r="J11" i="72"/>
  <c r="K11" i="72"/>
  <c r="L11" i="72"/>
  <c r="M11" i="72"/>
  <c r="N11" i="72"/>
  <c r="O11" i="72"/>
  <c r="P11" i="72"/>
  <c r="Q11" i="72"/>
  <c r="R11" i="72"/>
  <c r="S11" i="72"/>
  <c r="T11" i="72"/>
  <c r="U11" i="72"/>
  <c r="V11" i="72"/>
  <c r="W11" i="72"/>
  <c r="X11" i="72"/>
  <c r="Y11" i="72"/>
  <c r="Z11" i="72"/>
  <c r="AA11" i="72"/>
  <c r="AB11" i="72"/>
  <c r="E11" i="72"/>
  <c r="D28" i="69"/>
  <c r="A28" i="80"/>
  <c r="C18" i="69"/>
  <c r="C19" i="69"/>
  <c r="C20" i="69"/>
  <c r="C21" i="69"/>
  <c r="C22" i="69"/>
  <c r="C23" i="69"/>
  <c r="C24" i="69"/>
  <c r="C25" i="69"/>
  <c r="C26" i="69"/>
  <c r="C27" i="69"/>
  <c r="C17" i="69"/>
  <c r="AC19" i="79"/>
  <c r="AE13" i="79" s="1"/>
  <c r="AC23" i="79"/>
  <c r="AE14" i="79" s="1"/>
  <c r="AC27" i="79"/>
  <c r="AE15" i="79" s="1"/>
  <c r="AC31" i="79"/>
  <c r="AC35" i="79"/>
  <c r="AD20" i="79" s="1"/>
  <c r="AC39" i="79"/>
  <c r="AC43" i="79"/>
  <c r="AD22" i="79" s="1"/>
  <c r="AC47" i="79"/>
  <c r="AE20" i="79" s="1"/>
  <c r="AC51" i="79"/>
  <c r="AD24" i="79" s="1"/>
  <c r="AC55" i="79"/>
  <c r="AC11" i="79"/>
  <c r="AE11" i="79" s="1"/>
  <c r="AE10" i="79"/>
  <c r="E17" i="69"/>
  <c r="C53" i="81" l="1"/>
  <c r="AE14" i="82"/>
  <c r="AD16" i="82"/>
  <c r="AE19" i="82"/>
  <c r="AD21" i="82"/>
  <c r="AE21" i="82"/>
  <c r="AD20" i="82"/>
  <c r="AE20" i="82"/>
  <c r="AC59" i="82"/>
  <c r="AD15" i="82"/>
  <c r="AE15" i="82"/>
  <c r="AE16" i="82"/>
  <c r="AE22" i="82"/>
  <c r="AC109" i="82"/>
  <c r="AC159" i="82"/>
  <c r="AE18" i="79"/>
  <c r="AD21" i="79"/>
  <c r="AD19" i="79"/>
  <c r="AE16" i="79"/>
  <c r="AD25" i="79"/>
  <c r="AE22" i="79"/>
  <c r="AD16" i="79"/>
  <c r="AC15" i="79"/>
  <c r="AD15" i="79" s="1"/>
  <c r="AE21" i="79"/>
  <c r="AD17" i="79"/>
  <c r="AE17" i="79"/>
  <c r="AD18" i="79"/>
  <c r="AD23" i="79"/>
  <c r="AE19" i="79"/>
  <c r="C42" i="67"/>
  <c r="C43" i="67"/>
  <c r="C44" i="67"/>
  <c r="C45" i="67"/>
  <c r="C46" i="67"/>
  <c r="C47" i="67"/>
  <c r="C48" i="67"/>
  <c r="C49" i="67"/>
  <c r="C50" i="67"/>
  <c r="C51" i="67"/>
  <c r="C52" i="67"/>
  <c r="C41" i="67"/>
  <c r="F41" i="67" s="1"/>
  <c r="G41" i="67" s="1"/>
  <c r="AD125" i="68"/>
  <c r="AD124" i="68"/>
  <c r="AD123" i="68"/>
  <c r="AD122" i="68"/>
  <c r="AD121" i="68"/>
  <c r="AD120" i="68"/>
  <c r="AD119" i="68"/>
  <c r="AD118" i="68"/>
  <c r="AD117" i="68"/>
  <c r="AD116" i="68"/>
  <c r="AD115" i="68"/>
  <c r="AD114" i="68"/>
  <c r="AC160" i="68"/>
  <c r="AC155" i="68"/>
  <c r="AC151" i="68"/>
  <c r="AC147" i="68"/>
  <c r="AC143" i="68"/>
  <c r="AC139" i="68"/>
  <c r="AC135" i="68"/>
  <c r="AC131" i="68"/>
  <c r="AC127" i="68"/>
  <c r="AC123" i="68"/>
  <c r="AC119" i="68"/>
  <c r="AC115" i="68"/>
  <c r="AC111" i="68"/>
  <c r="AC159" i="68" s="1"/>
  <c r="C30" i="67"/>
  <c r="C31" i="67"/>
  <c r="C32" i="67"/>
  <c r="C33" i="67"/>
  <c r="C34" i="67"/>
  <c r="C35" i="67"/>
  <c r="C36" i="67"/>
  <c r="C37" i="67"/>
  <c r="C38" i="67"/>
  <c r="C39" i="67"/>
  <c r="C40" i="67"/>
  <c r="C29" i="67"/>
  <c r="F29" i="67" s="1"/>
  <c r="G29" i="67" s="1"/>
  <c r="AD75" i="68"/>
  <c r="AD74" i="68"/>
  <c r="AD73" i="68"/>
  <c r="AD72" i="68"/>
  <c r="AD71" i="68"/>
  <c r="AD70" i="68"/>
  <c r="AD69" i="68"/>
  <c r="AD68" i="68"/>
  <c r="AD67" i="68"/>
  <c r="AD66" i="68"/>
  <c r="AD65" i="68"/>
  <c r="AD64" i="68"/>
  <c r="AC105" i="68"/>
  <c r="AC101" i="68"/>
  <c r="AC97" i="68"/>
  <c r="AC93" i="68"/>
  <c r="AC89" i="68"/>
  <c r="AC85" i="68"/>
  <c r="AC81" i="68"/>
  <c r="AC77" i="68"/>
  <c r="AC73" i="68"/>
  <c r="AC69" i="68"/>
  <c r="AC65" i="68"/>
  <c r="AC61" i="68"/>
  <c r="F30" i="67"/>
  <c r="G30" i="67" s="1"/>
  <c r="F31" i="67"/>
  <c r="G31" i="67" s="1"/>
  <c r="F32" i="67"/>
  <c r="G32" i="67" s="1"/>
  <c r="F33" i="67"/>
  <c r="G33" i="67" s="1"/>
  <c r="F34" i="67"/>
  <c r="G34" i="67" s="1"/>
  <c r="F35" i="67"/>
  <c r="G35" i="67" s="1"/>
  <c r="F36" i="67"/>
  <c r="G36" i="67" s="1"/>
  <c r="F37" i="67"/>
  <c r="G37" i="67" s="1"/>
  <c r="F38" i="67"/>
  <c r="G38" i="67" s="1"/>
  <c r="F39" i="67"/>
  <c r="G39" i="67" s="1"/>
  <c r="F40" i="67"/>
  <c r="G40" i="67" s="1"/>
  <c r="F42" i="67"/>
  <c r="G42" i="67" s="1"/>
  <c r="F43" i="67"/>
  <c r="G43" i="67" s="1"/>
  <c r="F44" i="67"/>
  <c r="G44" i="67" s="1"/>
  <c r="F45" i="67"/>
  <c r="G45" i="67" s="1"/>
  <c r="F46" i="67"/>
  <c r="G46" i="67" s="1"/>
  <c r="F47" i="67"/>
  <c r="G47" i="67" s="1"/>
  <c r="F48" i="67"/>
  <c r="G48" i="67" s="1"/>
  <c r="F49" i="67"/>
  <c r="G49" i="67" s="1"/>
  <c r="F50" i="67"/>
  <c r="G50" i="67" s="1"/>
  <c r="F51" i="67"/>
  <c r="G51" i="67" s="1"/>
  <c r="F52" i="67"/>
  <c r="G52" i="67" s="1"/>
  <c r="E53" i="67"/>
  <c r="AC160" i="82" l="1"/>
  <c r="AE23" i="82"/>
  <c r="E53" i="81"/>
  <c r="AE12" i="79"/>
  <c r="AE23" i="79" s="1"/>
  <c r="AC59" i="79"/>
  <c r="D29" i="67"/>
  <c r="AC109" i="68"/>
  <c r="D42" i="67" l="1"/>
  <c r="D31" i="67"/>
  <c r="D43" i="67"/>
  <c r="D30" i="67"/>
  <c r="D32" i="67"/>
  <c r="D44" i="67"/>
  <c r="D33" i="67"/>
  <c r="D45" i="67"/>
  <c r="D34" i="67"/>
  <c r="D46" i="67"/>
  <c r="D35" i="67"/>
  <c r="D47" i="67"/>
  <c r="D36" i="67"/>
  <c r="D48" i="67"/>
  <c r="D41" i="67"/>
  <c r="D37" i="67"/>
  <c r="D49" i="67"/>
  <c r="D38" i="67"/>
  <c r="D50" i="67"/>
  <c r="D39" i="67"/>
  <c r="D51" i="67"/>
  <c r="D40" i="67"/>
  <c r="D52" i="67"/>
  <c r="AE10" i="72" l="1"/>
  <c r="A28" i="71"/>
  <c r="AE10" i="70"/>
  <c r="A28" i="69"/>
  <c r="AE10" i="68"/>
  <c r="A53" i="67"/>
  <c r="AC27" i="68" l="1"/>
  <c r="AC23" i="68"/>
  <c r="AC31" i="68"/>
  <c r="AC19" i="68"/>
  <c r="AC15" i="68"/>
  <c r="AC11" i="68"/>
  <c r="AE11" i="68" s="1"/>
  <c r="AE12" i="68" l="1"/>
  <c r="AD15" i="68"/>
  <c r="C18" i="67" s="1"/>
  <c r="AE13" i="68"/>
  <c r="AD16" i="68"/>
  <c r="C19" i="67" s="1"/>
  <c r="AE16" i="68"/>
  <c r="AD19" i="68"/>
  <c r="C22" i="67" s="1"/>
  <c r="AE14" i="68"/>
  <c r="AD17" i="68"/>
  <c r="C20" i="67" s="1"/>
  <c r="AE15" i="68"/>
  <c r="AD18" i="68"/>
  <c r="C21" i="67" s="1"/>
  <c r="L15" i="62"/>
  <c r="K15" i="62"/>
  <c r="J15" i="62"/>
  <c r="I15" i="62"/>
  <c r="H15" i="62"/>
  <c r="G15" i="62"/>
  <c r="F15" i="62"/>
  <c r="M15" i="62" s="1"/>
  <c r="E15" i="62"/>
  <c r="D15" i="62"/>
  <c r="C15" i="62"/>
  <c r="L14" i="62"/>
  <c r="K14" i="62"/>
  <c r="J14" i="62"/>
  <c r="I14" i="62"/>
  <c r="H14" i="62"/>
  <c r="G14" i="62"/>
  <c r="F14" i="62"/>
  <c r="E14" i="62"/>
  <c r="D14" i="62"/>
  <c r="C14" i="62"/>
  <c r="L13" i="62"/>
  <c r="K13" i="62"/>
  <c r="J13" i="62"/>
  <c r="I13" i="62"/>
  <c r="H13" i="62"/>
  <c r="G13" i="62"/>
  <c r="F13" i="62"/>
  <c r="E13" i="62"/>
  <c r="D13" i="62"/>
  <c r="C13" i="62"/>
  <c r="M13" i="62" s="1"/>
  <c r="L12" i="62"/>
  <c r="K12" i="62"/>
  <c r="J12" i="62"/>
  <c r="I12" i="62"/>
  <c r="H12" i="62"/>
  <c r="G12" i="62"/>
  <c r="F12" i="62"/>
  <c r="E12" i="62"/>
  <c r="D12" i="62"/>
  <c r="C12" i="62"/>
  <c r="L11" i="62"/>
  <c r="K11" i="62"/>
  <c r="J11" i="62"/>
  <c r="I11" i="62"/>
  <c r="H11" i="62"/>
  <c r="G11" i="62"/>
  <c r="F11" i="62"/>
  <c r="M11" i="62" s="1"/>
  <c r="E11" i="62"/>
  <c r="D11" i="62"/>
  <c r="C11" i="62"/>
  <c r="L10" i="62"/>
  <c r="J10" i="62"/>
  <c r="H10" i="62"/>
  <c r="G10" i="62"/>
  <c r="F10" i="62"/>
  <c r="E10" i="62"/>
  <c r="D10" i="62"/>
  <c r="C10" i="62"/>
  <c r="L9" i="62"/>
  <c r="K9" i="62"/>
  <c r="J9" i="62"/>
  <c r="I9" i="62"/>
  <c r="H9" i="62"/>
  <c r="G9" i="62"/>
  <c r="F9" i="62"/>
  <c r="E9" i="62"/>
  <c r="D9" i="62"/>
  <c r="C9" i="62"/>
  <c r="M9" i="62" s="1"/>
  <c r="L8" i="62"/>
  <c r="K8" i="62"/>
  <c r="J8" i="62"/>
  <c r="I8" i="62"/>
  <c r="H8" i="62"/>
  <c r="G8" i="62"/>
  <c r="F8" i="62"/>
  <c r="E8" i="62"/>
  <c r="D8" i="62"/>
  <c r="C8" i="62"/>
  <c r="L7" i="62"/>
  <c r="K7" i="62"/>
  <c r="J7" i="62"/>
  <c r="I7" i="62"/>
  <c r="H7" i="62"/>
  <c r="G7" i="62"/>
  <c r="G16" i="62" s="1"/>
  <c r="F7" i="62"/>
  <c r="F16" i="62" s="1"/>
  <c r="E7" i="62"/>
  <c r="D7" i="62"/>
  <c r="C7" i="62"/>
  <c r="L6" i="62"/>
  <c r="K6" i="62"/>
  <c r="J6" i="62"/>
  <c r="I6" i="62"/>
  <c r="H6" i="62"/>
  <c r="M6" i="62" s="1"/>
  <c r="G6" i="62"/>
  <c r="F6" i="62"/>
  <c r="E6" i="62"/>
  <c r="D6" i="62"/>
  <c r="C6" i="62"/>
  <c r="L5" i="62"/>
  <c r="K5" i="62"/>
  <c r="J5" i="62"/>
  <c r="I5" i="62"/>
  <c r="H5" i="62"/>
  <c r="G5" i="62"/>
  <c r="F5" i="62"/>
  <c r="E5" i="62"/>
  <c r="D5" i="62"/>
  <c r="C5" i="62"/>
  <c r="L4" i="62"/>
  <c r="L16" i="62" s="1"/>
  <c r="K4" i="62"/>
  <c r="J4" i="62"/>
  <c r="I4" i="62"/>
  <c r="H4" i="62"/>
  <c r="G4" i="62"/>
  <c r="F4" i="62"/>
  <c r="E4" i="62"/>
  <c r="D4" i="62"/>
  <c r="D16" i="62" s="1"/>
  <c r="C4" i="62"/>
  <c r="L5" i="61"/>
  <c r="L6" i="61"/>
  <c r="L7" i="61"/>
  <c r="L8" i="61"/>
  <c r="L9" i="61"/>
  <c r="L11" i="61"/>
  <c r="L12" i="61"/>
  <c r="L13" i="61"/>
  <c r="L14" i="61"/>
  <c r="L15" i="61"/>
  <c r="L4" i="61"/>
  <c r="K15" i="61"/>
  <c r="K5" i="61"/>
  <c r="K6" i="61"/>
  <c r="K7" i="61"/>
  <c r="K8" i="61"/>
  <c r="K9" i="61"/>
  <c r="K10" i="61"/>
  <c r="K11" i="61"/>
  <c r="K12" i="61"/>
  <c r="K13" i="61"/>
  <c r="K14" i="61"/>
  <c r="K4" i="61"/>
  <c r="J5" i="61"/>
  <c r="J6" i="61"/>
  <c r="J7" i="61"/>
  <c r="J8" i="61"/>
  <c r="J9" i="61"/>
  <c r="J11" i="61"/>
  <c r="J12" i="61"/>
  <c r="J13" i="61"/>
  <c r="J14" i="61"/>
  <c r="J15" i="61"/>
  <c r="J4" i="61"/>
  <c r="I5" i="61"/>
  <c r="I6" i="61"/>
  <c r="I7" i="61"/>
  <c r="I8" i="61"/>
  <c r="I9" i="61"/>
  <c r="I10" i="61"/>
  <c r="I11" i="61"/>
  <c r="I12" i="61"/>
  <c r="I13" i="61"/>
  <c r="I14" i="61"/>
  <c r="I15" i="61"/>
  <c r="I4" i="61"/>
  <c r="H5" i="61"/>
  <c r="H6" i="61"/>
  <c r="H7" i="61"/>
  <c r="H8" i="61"/>
  <c r="H9" i="61"/>
  <c r="H10" i="61"/>
  <c r="H11" i="61"/>
  <c r="H12" i="61"/>
  <c r="H13" i="61"/>
  <c r="H14" i="61"/>
  <c r="H15" i="61"/>
  <c r="H4" i="61"/>
  <c r="G5" i="61"/>
  <c r="G6" i="61"/>
  <c r="G7" i="61"/>
  <c r="G8" i="61"/>
  <c r="G9" i="61"/>
  <c r="G10" i="61"/>
  <c r="G11" i="61"/>
  <c r="G12" i="61"/>
  <c r="G13" i="61"/>
  <c r="G14" i="61"/>
  <c r="G15" i="61"/>
  <c r="G4" i="61"/>
  <c r="F5" i="61"/>
  <c r="F6" i="61"/>
  <c r="F7" i="61"/>
  <c r="F8" i="61"/>
  <c r="F9" i="61"/>
  <c r="F10" i="61"/>
  <c r="F11" i="61"/>
  <c r="F12" i="61"/>
  <c r="F13" i="61"/>
  <c r="F14" i="61"/>
  <c r="F15" i="61"/>
  <c r="M15" i="61" s="1"/>
  <c r="F4" i="61"/>
  <c r="E5" i="61"/>
  <c r="E6" i="61"/>
  <c r="E7" i="61"/>
  <c r="E8" i="61"/>
  <c r="E9" i="61"/>
  <c r="E10" i="61"/>
  <c r="E11" i="61"/>
  <c r="E12" i="61"/>
  <c r="E13" i="61"/>
  <c r="E14" i="61"/>
  <c r="E15" i="61"/>
  <c r="E4" i="61"/>
  <c r="D5" i="61"/>
  <c r="D6" i="61"/>
  <c r="D7" i="61"/>
  <c r="D8" i="61"/>
  <c r="D9" i="61"/>
  <c r="D10" i="61"/>
  <c r="D11" i="61"/>
  <c r="D12" i="61"/>
  <c r="D13" i="61"/>
  <c r="D14" i="61"/>
  <c r="M14" i="61" s="1"/>
  <c r="D15" i="61"/>
  <c r="D4" i="61"/>
  <c r="C5" i="61"/>
  <c r="C6" i="61"/>
  <c r="C7" i="61"/>
  <c r="C8" i="61"/>
  <c r="C9" i="61"/>
  <c r="C10" i="61"/>
  <c r="C11" i="61"/>
  <c r="C12" i="61"/>
  <c r="C13" i="61"/>
  <c r="C14" i="61"/>
  <c r="C15" i="61"/>
  <c r="C4" i="61"/>
  <c r="M7" i="61"/>
  <c r="D21" i="67" l="1"/>
  <c r="F21" i="67"/>
  <c r="G21" i="67" s="1"/>
  <c r="F20" i="67"/>
  <c r="G20" i="67" s="1"/>
  <c r="D20" i="67"/>
  <c r="D22" i="67"/>
  <c r="F22" i="67"/>
  <c r="G22" i="67" s="1"/>
  <c r="F19" i="67"/>
  <c r="G19" i="67" s="1"/>
  <c r="D19" i="67"/>
  <c r="F18" i="67"/>
  <c r="D18" i="67"/>
  <c r="M6" i="61"/>
  <c r="C16" i="61"/>
  <c r="M9" i="61"/>
  <c r="M12" i="62"/>
  <c r="M14" i="62"/>
  <c r="J16" i="62"/>
  <c r="M8" i="62"/>
  <c r="C16" i="62"/>
  <c r="M8" i="61"/>
  <c r="M5" i="62"/>
  <c r="H16" i="62"/>
  <c r="E16" i="62"/>
  <c r="M7" i="62"/>
  <c r="M4" i="62"/>
  <c r="M5" i="61"/>
  <c r="K16" i="61"/>
  <c r="I16" i="61"/>
  <c r="H16" i="61"/>
  <c r="M13" i="61"/>
  <c r="G16" i="61"/>
  <c r="F16" i="61"/>
  <c r="E16" i="61"/>
  <c r="M11" i="61"/>
  <c r="M12" i="61"/>
  <c r="D16" i="61"/>
  <c r="M4" i="61"/>
  <c r="G18" i="67" l="1"/>
  <c r="I10" i="62"/>
  <c r="K10" i="62" l="1"/>
  <c r="K16" i="62" s="1"/>
  <c r="L10" i="61"/>
  <c r="L16" i="61" s="1"/>
  <c r="M10" i="62"/>
  <c r="M16" i="62" s="1"/>
  <c r="I16" i="62"/>
  <c r="J10" i="61"/>
  <c r="BI10" i="55"/>
  <c r="M17" i="62" l="1"/>
  <c r="J16" i="61"/>
  <c r="M10" i="61"/>
  <c r="M16" i="61" s="1"/>
  <c r="M17" i="61" s="1"/>
  <c r="AC35" i="72" l="1"/>
  <c r="AC31" i="72"/>
  <c r="AC47" i="72"/>
  <c r="AC39" i="72"/>
  <c r="AE20" i="72" l="1"/>
  <c r="AD23" i="72"/>
  <c r="C25" i="71" s="1"/>
  <c r="E25" i="71" s="1"/>
  <c r="AE18" i="72"/>
  <c r="AD21" i="72"/>
  <c r="C23" i="71" s="1"/>
  <c r="E23" i="71" s="1"/>
  <c r="AE16" i="72"/>
  <c r="AD19" i="72"/>
  <c r="C21" i="71" s="1"/>
  <c r="E21" i="71" s="1"/>
  <c r="AE17" i="72"/>
  <c r="AD20" i="72"/>
  <c r="C22" i="71" s="1"/>
  <c r="E22" i="71" s="1"/>
  <c r="AC19" i="72"/>
  <c r="AC23" i="72"/>
  <c r="AC65" i="55"/>
  <c r="AD65" i="55" s="1"/>
  <c r="C30" i="83" s="1"/>
  <c r="AC15" i="72"/>
  <c r="AC43" i="72"/>
  <c r="AC55" i="72"/>
  <c r="AC51" i="72"/>
  <c r="AC27" i="72"/>
  <c r="AC11" i="72"/>
  <c r="AD14" i="72" s="1"/>
  <c r="C16" i="71" s="1"/>
  <c r="E16" i="71" s="1"/>
  <c r="AC19" i="55"/>
  <c r="AD16" i="55" s="1"/>
  <c r="C19" i="83" s="1"/>
  <c r="AC73" i="55"/>
  <c r="AD67" i="55" s="1"/>
  <c r="C32" i="83" s="1"/>
  <c r="AC81" i="55"/>
  <c r="AD69" i="55" s="1"/>
  <c r="C34" i="83" s="1"/>
  <c r="AC89" i="55"/>
  <c r="AD71" i="55" s="1"/>
  <c r="C36" i="83" s="1"/>
  <c r="AC77" i="55"/>
  <c r="AD68" i="55" s="1"/>
  <c r="C33" i="83" s="1"/>
  <c r="AC15" i="55"/>
  <c r="AD15" i="55" s="1"/>
  <c r="C18" i="83" s="1"/>
  <c r="AC47" i="55"/>
  <c r="AD23" i="55" s="1"/>
  <c r="C26" i="83" s="1"/>
  <c r="AC93" i="55"/>
  <c r="AD72" i="55" s="1"/>
  <c r="C37" i="83" s="1"/>
  <c r="AC55" i="55"/>
  <c r="AD25" i="55" s="1"/>
  <c r="C28" i="83" s="1"/>
  <c r="AC39" i="55"/>
  <c r="AD21" i="55" s="1"/>
  <c r="C24" i="83" s="1"/>
  <c r="AC35" i="55"/>
  <c r="AD20" i="55" s="1"/>
  <c r="C23" i="83" s="1"/>
  <c r="AC51" i="55"/>
  <c r="AD24" i="55" s="1"/>
  <c r="C27" i="83" s="1"/>
  <c r="AC43" i="55"/>
  <c r="AD22" i="55" s="1"/>
  <c r="C25" i="83" s="1"/>
  <c r="AC105" i="55"/>
  <c r="AD75" i="55" s="1"/>
  <c r="C40" i="83" s="1"/>
  <c r="AC23" i="55"/>
  <c r="AD17" i="55" s="1"/>
  <c r="C20" i="83" s="1"/>
  <c r="AC55" i="68"/>
  <c r="AC43" i="68"/>
  <c r="AC39" i="68"/>
  <c r="AC35" i="68"/>
  <c r="AD20" i="68" s="1"/>
  <c r="C23" i="67" s="1"/>
  <c r="AC51" i="68"/>
  <c r="F30" i="83" l="1"/>
  <c r="G30" i="83" s="1"/>
  <c r="D30" i="83"/>
  <c r="F33" i="83"/>
  <c r="G33" i="83" s="1"/>
  <c r="D33" i="83"/>
  <c r="F36" i="83"/>
  <c r="G36" i="83" s="1"/>
  <c r="D36" i="83"/>
  <c r="F20" i="83"/>
  <c r="G20" i="83" s="1"/>
  <c r="D20" i="83"/>
  <c r="D34" i="83"/>
  <c r="F34" i="83"/>
  <c r="G34" i="83" s="1"/>
  <c r="F18" i="83"/>
  <c r="D18" i="83"/>
  <c r="F32" i="83"/>
  <c r="G32" i="83" s="1"/>
  <c r="D32" i="83"/>
  <c r="D19" i="83"/>
  <c r="F19" i="83"/>
  <c r="G19" i="83" s="1"/>
  <c r="F26" i="83"/>
  <c r="G26" i="83" s="1"/>
  <c r="D26" i="83"/>
  <c r="F27" i="83"/>
  <c r="G27" i="83" s="1"/>
  <c r="D27" i="83"/>
  <c r="F23" i="83"/>
  <c r="G23" i="83" s="1"/>
  <c r="D23" i="83"/>
  <c r="F24" i="83"/>
  <c r="G24" i="83" s="1"/>
  <c r="D24" i="83"/>
  <c r="D28" i="83"/>
  <c r="F28" i="83"/>
  <c r="G28" i="83" s="1"/>
  <c r="D40" i="83"/>
  <c r="F40" i="83"/>
  <c r="G40" i="83" s="1"/>
  <c r="D25" i="83"/>
  <c r="F25" i="83"/>
  <c r="G25" i="83" s="1"/>
  <c r="D37" i="83"/>
  <c r="F37" i="83"/>
  <c r="G37" i="83" s="1"/>
  <c r="AE12" i="72"/>
  <c r="AD15" i="72"/>
  <c r="C17" i="71" s="1"/>
  <c r="E17" i="71" s="1"/>
  <c r="AE13" i="72"/>
  <c r="AD16" i="72"/>
  <c r="C18" i="71" s="1"/>
  <c r="E18" i="71" s="1"/>
  <c r="AE15" i="72"/>
  <c r="AD18" i="72"/>
  <c r="C20" i="71" s="1"/>
  <c r="E20" i="71" s="1"/>
  <c r="AE21" i="72"/>
  <c r="AD24" i="72"/>
  <c r="C26" i="71" s="1"/>
  <c r="E26" i="71" s="1"/>
  <c r="AE22" i="72"/>
  <c r="AD25" i="72"/>
  <c r="C27" i="71" s="1"/>
  <c r="E27" i="71" s="1"/>
  <c r="AE14" i="72"/>
  <c r="AD17" i="72"/>
  <c r="C19" i="71" s="1"/>
  <c r="E19" i="71" s="1"/>
  <c r="AE19" i="72"/>
  <c r="AD22" i="72"/>
  <c r="C24" i="71" s="1"/>
  <c r="E24" i="71" s="1"/>
  <c r="AE18" i="68"/>
  <c r="AD21" i="68"/>
  <c r="C24" i="67" s="1"/>
  <c r="AE22" i="68"/>
  <c r="AD25" i="68"/>
  <c r="C28" i="67" s="1"/>
  <c r="AE19" i="68"/>
  <c r="AD22" i="68"/>
  <c r="C25" i="67" s="1"/>
  <c r="AE21" i="68"/>
  <c r="AD24" i="68"/>
  <c r="C27" i="67" s="1"/>
  <c r="F23" i="67"/>
  <c r="D23" i="67"/>
  <c r="AC69" i="55"/>
  <c r="AD66" i="55" s="1"/>
  <c r="C31" i="83" s="1"/>
  <c r="AC27" i="55"/>
  <c r="AD18" i="55" s="1"/>
  <c r="C21" i="83" s="1"/>
  <c r="AC47" i="68"/>
  <c r="AC101" i="55"/>
  <c r="AD74" i="55" s="1"/>
  <c r="C39" i="83" s="1"/>
  <c r="AC85" i="55"/>
  <c r="AD70" i="55" s="1"/>
  <c r="C35" i="83" s="1"/>
  <c r="AC97" i="55"/>
  <c r="AD73" i="55" s="1"/>
  <c r="C38" i="83" s="1"/>
  <c r="AC31" i="55"/>
  <c r="AD19" i="55" s="1"/>
  <c r="C22" i="83" s="1"/>
  <c r="AC61" i="55"/>
  <c r="AD64" i="55" s="1"/>
  <c r="C29" i="83" s="1"/>
  <c r="AE17" i="68"/>
  <c r="AC11" i="55"/>
  <c r="AD14" i="55" s="1"/>
  <c r="C17" i="83" s="1"/>
  <c r="AE11" i="72"/>
  <c r="AC59" i="72"/>
  <c r="F21" i="83" l="1"/>
  <c r="G21" i="83" s="1"/>
  <c r="D21" i="83"/>
  <c r="F39" i="83"/>
  <c r="G39" i="83" s="1"/>
  <c r="D39" i="83"/>
  <c r="G18" i="83"/>
  <c r="D17" i="83"/>
  <c r="F17" i="83"/>
  <c r="G17" i="83" s="1"/>
  <c r="C41" i="83"/>
  <c r="F22" i="83"/>
  <c r="G22" i="83" s="1"/>
  <c r="D22" i="83"/>
  <c r="D31" i="83"/>
  <c r="F31" i="83"/>
  <c r="G31" i="83" s="1"/>
  <c r="F29" i="83"/>
  <c r="G29" i="83" s="1"/>
  <c r="D29" i="83"/>
  <c r="F38" i="83"/>
  <c r="G38" i="83" s="1"/>
  <c r="D38" i="83"/>
  <c r="F35" i="83"/>
  <c r="G35" i="83" s="1"/>
  <c r="D35" i="83"/>
  <c r="G23" i="67"/>
  <c r="F25" i="67"/>
  <c r="G25" i="67" s="1"/>
  <c r="D25" i="67"/>
  <c r="F27" i="67"/>
  <c r="G27" i="67" s="1"/>
  <c r="D27" i="67"/>
  <c r="F24" i="67"/>
  <c r="G24" i="67" s="1"/>
  <c r="D24" i="67"/>
  <c r="AE20" i="68"/>
  <c r="AD23" i="68"/>
  <c r="C26" i="67" s="1"/>
  <c r="F28" i="67"/>
  <c r="G28" i="67" s="1"/>
  <c r="D28" i="67"/>
  <c r="BG23" i="55"/>
  <c r="BG14" i="55"/>
  <c r="AC59" i="68"/>
  <c r="BG21" i="55"/>
  <c r="AC109" i="55"/>
  <c r="BG13" i="55" s="1"/>
  <c r="BG16" i="55"/>
  <c r="BG18" i="55"/>
  <c r="BG15" i="55"/>
  <c r="AE23" i="68"/>
  <c r="AE23" i="72"/>
  <c r="BG22" i="55"/>
  <c r="AC59" i="55"/>
  <c r="BG17" i="55"/>
  <c r="BG19" i="55"/>
  <c r="F41" i="83" l="1"/>
  <c r="BG12" i="55"/>
  <c r="AC110" i="55"/>
  <c r="F26" i="67"/>
  <c r="G26" i="67" s="1"/>
  <c r="D26" i="67"/>
  <c r="C53" i="67"/>
  <c r="C28" i="71"/>
  <c r="E28" i="71"/>
  <c r="BG20" i="55"/>
  <c r="F53" i="67" l="1"/>
  <c r="AC112" i="55"/>
  <c r="BG25" i="55"/>
  <c r="D28" i="71"/>
  <c r="AC39" i="70" l="1"/>
  <c r="AC27" i="70"/>
  <c r="AC23" i="70"/>
  <c r="AC43" i="70"/>
  <c r="AC15" i="70"/>
  <c r="AC35" i="70"/>
  <c r="AC31" i="70"/>
  <c r="AC47" i="70"/>
  <c r="AC51" i="70"/>
  <c r="AC19" i="70"/>
  <c r="AC55" i="70"/>
  <c r="AE21" i="70" l="1"/>
  <c r="AD24" i="70"/>
  <c r="C26" i="80" s="1"/>
  <c r="E26" i="80" s="1"/>
  <c r="AE20" i="70"/>
  <c r="AD23" i="70"/>
  <c r="C25" i="80" s="1"/>
  <c r="E25" i="80" s="1"/>
  <c r="AE16" i="70"/>
  <c r="AD19" i="70"/>
  <c r="C21" i="80" s="1"/>
  <c r="E21" i="80" s="1"/>
  <c r="AE17" i="70"/>
  <c r="AD20" i="70"/>
  <c r="C22" i="80" s="1"/>
  <c r="E22" i="80" s="1"/>
  <c r="AE12" i="70"/>
  <c r="AD15" i="70"/>
  <c r="C17" i="80" s="1"/>
  <c r="E17" i="80" s="1"/>
  <c r="AE18" i="70"/>
  <c r="AD21" i="70"/>
  <c r="C23" i="80" s="1"/>
  <c r="E23" i="80" s="1"/>
  <c r="AE13" i="70"/>
  <c r="AD16" i="70"/>
  <c r="C18" i="80" s="1"/>
  <c r="E18" i="80" s="1"/>
  <c r="AE19" i="70"/>
  <c r="AD22" i="70"/>
  <c r="C24" i="80" s="1"/>
  <c r="E24" i="80" s="1"/>
  <c r="AE22" i="70"/>
  <c r="AD25" i="70"/>
  <c r="C27" i="80" s="1"/>
  <c r="E27" i="80" s="1"/>
  <c r="AE14" i="70"/>
  <c r="AD17" i="70"/>
  <c r="C19" i="80" s="1"/>
  <c r="E19" i="80" s="1"/>
  <c r="AE15" i="70"/>
  <c r="AD18" i="70"/>
  <c r="C20" i="80" s="1"/>
  <c r="E20" i="80" s="1"/>
  <c r="E24" i="69"/>
  <c r="E19" i="69"/>
  <c r="E22" i="69"/>
  <c r="E20" i="69"/>
  <c r="E18" i="69"/>
  <c r="E26" i="69"/>
  <c r="E25" i="69"/>
  <c r="E27" i="69"/>
  <c r="E21" i="69"/>
  <c r="E23" i="69"/>
  <c r="AC11" i="70"/>
  <c r="AD14" i="70" s="1"/>
  <c r="C16" i="80" s="1"/>
  <c r="E16" i="80" l="1"/>
  <c r="E28" i="80" s="1"/>
  <c r="C28" i="80"/>
  <c r="AC59" i="70"/>
  <c r="AE11" i="70"/>
  <c r="D28" i="80" l="1"/>
  <c r="AE23" i="70"/>
  <c r="E28" i="69" l="1"/>
  <c r="C28" i="69"/>
</calcChain>
</file>

<file path=xl/sharedStrings.xml><?xml version="1.0" encoding="utf-8"?>
<sst xmlns="http://schemas.openxmlformats.org/spreadsheetml/2006/main" count="1426" uniqueCount="163">
  <si>
    <t>ELETRIFICADORA DE SANTANDER S.A  E.S.P.</t>
  </si>
  <si>
    <t>PAGUELO CONTRATADO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</si>
  <si>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</si>
  <si>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</si>
  <si>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</si>
  <si>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</si>
  <si>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</si>
  <si>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</si>
  <si>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</si>
  <si>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</si>
  <si>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</si>
  <si>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</si>
  <si>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</si>
  <si>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</si>
  <si>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</si>
  <si>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</si>
  <si>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</si>
  <si>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</si>
  <si>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</si>
  <si>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</si>
  <si>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</si>
  <si>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</si>
  <si>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</si>
  <si>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</si>
  <si>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</si>
  <si>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</si>
  <si>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</si>
  <si>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</si>
  <si>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</si>
  <si>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</si>
  <si>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</si>
  <si>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</si>
  <si>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</si>
  <si>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</si>
  <si>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Feb</t>
  </si>
  <si>
    <t>OFERENTE:</t>
  </si>
  <si>
    <t>Mes-año</t>
  </si>
  <si>
    <t>Energia Solicitada (kWh)</t>
  </si>
  <si>
    <t>%
a ofertar</t>
  </si>
  <si>
    <t>Energia Oferta
kWh</t>
  </si>
  <si>
    <t>Precio
$ / kWh</t>
  </si>
  <si>
    <t>TOTAL</t>
  </si>
  <si>
    <t xml:space="preserve">(2) Tipo de Contrato: pague lo contratado. </t>
  </si>
  <si>
    <t>FIRMA OFERENTE E.S.P.</t>
  </si>
  <si>
    <t>Tipo de agente:</t>
  </si>
  <si>
    <t>Oferta No.:</t>
  </si>
  <si>
    <t>Tipo de oferta:</t>
  </si>
  <si>
    <t>Notas:</t>
  </si>
  <si>
    <t>TOTAL MES
kWh</t>
  </si>
  <si>
    <t>TOTAL PRODUCTO kWh</t>
  </si>
  <si>
    <t>TOTAL PRODUCTO</t>
  </si>
  <si>
    <t>PERIODO</t>
  </si>
  <si>
    <t>TOTAL DIA</t>
  </si>
  <si>
    <t xml:space="preserve">TOTAL AÑO
 </t>
  </si>
  <si>
    <t>(7) No serán tenidas en cuenta ofertas con condiciones y/o modificaciones adicionales a los Pliegos definitivos.</t>
  </si>
  <si>
    <t>MWh-año</t>
  </si>
  <si>
    <t>Año 2024</t>
  </si>
  <si>
    <t>CURVA</t>
  </si>
  <si>
    <t>Comercializador</t>
  </si>
  <si>
    <t>Generador</t>
  </si>
  <si>
    <t>PLANA</t>
  </si>
  <si>
    <t>MIXTA</t>
  </si>
  <si>
    <t>Elegir de la lista desplegable</t>
  </si>
  <si>
    <t>Diligenciar</t>
  </si>
  <si>
    <t>PLANA SOLAR</t>
  </si>
  <si>
    <t>CURVA SOLAR</t>
  </si>
  <si>
    <t>AÑO 2026
Energia Solicitada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</si>
  <si>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</si>
  <si>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</si>
  <si>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</si>
  <si>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</si>
  <si>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</si>
  <si>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</si>
  <si>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</si>
  <si>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</si>
  <si>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</si>
  <si>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</si>
  <si>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</si>
  <si>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</si>
  <si>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misma curva de la tabla 9.1.2 del producto 1</t>
  </si>
  <si>
    <t>AÑO 2027
Energia Solicitada (kWh)</t>
  </si>
  <si>
    <t>La misma curva de la tabla 9.1.3 del producto 1</t>
  </si>
  <si>
    <t>AÑO 2028
Energia Solicitada (kWh)</t>
  </si>
  <si>
    <t>La misma curva de la tabla 9.1.4 del producto 1</t>
  </si>
  <si>
    <t>AÑO 2029
Energia Solicitada (kWh)</t>
  </si>
  <si>
    <t>La misma curva de la tabla 9.1.5 del producto 1</t>
  </si>
  <si>
    <t>AÑO 2030
Energia Solicitada (kWh)</t>
  </si>
  <si>
    <t>La misma curva de la tabla 9.1.6 del producto 1</t>
  </si>
  <si>
    <t>AÑO 2031
Energia Solicitada (kWh)</t>
  </si>
  <si>
    <t>La misma curva de la tabla 9.1.7 del producto 1</t>
  </si>
  <si>
    <t>AÑO 2032
Energia Solicitada (kWh)</t>
  </si>
  <si>
    <t>La misma curva de la tabla 9.1.8 del producto 1</t>
  </si>
  <si>
    <t>AÑO 2033
Energia Solicitada (kWh)</t>
  </si>
  <si>
    <t>La misma curva de la tabla 9.1.9 del producto 1</t>
  </si>
  <si>
    <t>AÑO 2034
Energia Solicitada (kWh)</t>
  </si>
  <si>
    <t>La misma curva de la tabla 9.1.10 del producto 1</t>
  </si>
  <si>
    <t>La misma curva de la tabla 9.1.11 del producto 1</t>
  </si>
  <si>
    <t>TOTAL PRODUCTO 2
Energia Solicitada (kWh)</t>
  </si>
  <si>
    <t>AÑO 2035
Energia Solicitada (kWh)</t>
  </si>
  <si>
    <t>La misma curva de la tabla 9.1.12 del producto 1</t>
  </si>
  <si>
    <t>AÑO 2036
Energia Solicitada (kWh)</t>
  </si>
  <si>
    <t>TOTAL PRODUCTO 3
Energia Solicitada (kWh)</t>
  </si>
  <si>
    <t>(4) El precio debe ser el mismo para todos los meses del año, con dos cifras decimales</t>
  </si>
  <si>
    <t>(6) El precio incluye todos los cargos, impuestos y contribuciones que según la reglamentación vigente en la fecha de apertura de propuestas son responsabilidad de EL OFERENTE.</t>
  </si>
  <si>
    <t>(9) Tipo de oferta curva</t>
  </si>
  <si>
    <t xml:space="preserve">% de su oferta con FNCER: </t>
  </si>
  <si>
    <t>Fijo</t>
  </si>
  <si>
    <t>AÑO 2026</t>
  </si>
  <si>
    <t>AÑO 2027</t>
  </si>
  <si>
    <t>AÑO 2028</t>
  </si>
  <si>
    <r>
      <t xml:space="preserve">Consolidado banco de preguntas y respuestas agentes convocatorias </t>
    </r>
    <r>
      <rPr>
        <sz val="48"/>
        <color rgb="FF00B0F0"/>
        <rFont val="Franklin Gothic Demi Cond"/>
        <family val="2"/>
      </rPr>
      <t xml:space="preserve">ESSA </t>
    </r>
  </si>
  <si>
    <t xml:space="preserve">N° Convocatoria </t>
  </si>
  <si>
    <t>Nombre remitente correo:</t>
  </si>
  <si>
    <t>Correo electrónico</t>
  </si>
  <si>
    <t>Teléfono de contacto:</t>
  </si>
  <si>
    <t>AGENTE</t>
  </si>
  <si>
    <t>N° pregunta</t>
  </si>
  <si>
    <t>PREGUNTA</t>
  </si>
  <si>
    <t>RESPUESTA</t>
  </si>
  <si>
    <t>12. TABLA  Factores de Indexación IPP serie oferta interna</t>
  </si>
  <si>
    <t xml:space="preserve">Factor </t>
  </si>
  <si>
    <t>(5) El % igual o diferente para cada uno de los meses del año, con dos cifras decimales.</t>
  </si>
  <si>
    <t>CURVA FNCER</t>
  </si>
  <si>
    <t>EL OFERENTE deberá tener en cuenta lo siguiente al completar cada una de las Tablas de las cantidades a ofertar: Debe definir el porcentaje ofertado, hasta máximo el 100% de lo solicitado; EL CONTRATANTE aceptará la oferta de acuerdo a la metodología de evaluación hasta el máximo ofertado.</t>
  </si>
  <si>
    <t>ANEXO 10.1 CANTIDADES DE ENERGÍA REQUERIDA PRODUCTO 1</t>
  </si>
  <si>
    <t>ANEXO 10.2 CANTIDADES DE ENERGÍA REQUERIDA PRODUCTO 2</t>
  </si>
  <si>
    <t>Oferta Básica, para la Solicitud Pública de Ofertas No. CP-ESSC2025-003, del  1 de febrero de 2026 a 31 de diciembre de 2028.</t>
  </si>
  <si>
    <t>AÑOS 2026 -2028</t>
  </si>
  <si>
    <t>(1) La Energía Ofertada se distribuye en forma horaria de acuerdo con la curva de carga presentada en la tabla 9.1. TABLAS CANTIDADES DE ENERGÍA REQUERIDA  PRODUCTO 1 AÑOS 2026 A 2028 del pliego de condiciones.</t>
  </si>
  <si>
    <t>(3) Precio ofertado en $kWh, en pesos de Octubre 2025 (IPP Provisional)</t>
  </si>
  <si>
    <t>(4) El precio igual para todos los meses por año e Independiente por año del producto, con dos cifras decimales</t>
  </si>
  <si>
    <t>(8) La oferta se acoge a todas las condiciones del pliego CP-ESSC2025-003.</t>
  </si>
  <si>
    <t>(9) Tipo de oferta plana, horas 1-24</t>
  </si>
  <si>
    <t>Franja Horaria</t>
  </si>
  <si>
    <t>H1-H24</t>
  </si>
  <si>
    <t>Energía Horaria 
 solicitada 
kWh (h1-h24)</t>
  </si>
  <si>
    <t>Energia Horaria Ofertada
kWh</t>
  </si>
  <si>
    <t>9.1 TABLAS CANTIDADES DE ENERGÍA REQUERIDA PRODUCTO 1 AÑO 2026 -2028
 (kWh)</t>
  </si>
  <si>
    <t>SOLICITUD PÚBLICA DE OFERTAS  CP-ESSC2025-003</t>
  </si>
  <si>
    <t>(5) El % Igual para todos los meses y años  ofertados, con dos cifras decimales.</t>
  </si>
  <si>
    <t>Oferta Básica, para la Solicitud Pública de Ofertas No. CP-ESSC2025-003, del  1 de febrero 2026 a 31 de diciembre de 2026.</t>
  </si>
  <si>
    <t>(1) La Energía Ofertada se distribuye en forma horaria de acuerdo con la curva de carga presentada en la tabla 9.2. TABLAS CANTIDADES DE ENERGÍA REQUERIDA PRODUCTO 2 AÑO 2026 del pliego de condiciones.</t>
  </si>
  <si>
    <t>Oferta Básica, para la Solicitud Pública de Ofertas No. CP-ESSC2025-003, del  1 de enero 2027 a 31 de diciembre de 2027.</t>
  </si>
  <si>
    <t>Oferta Básica, para la Solicitud Pública de Ofertas No. CP-ESSC2025-003, del  1 de enero de 2028 a 31 de diciembre de 2028.</t>
  </si>
  <si>
    <t>H18-H24</t>
  </si>
  <si>
    <t>(5) El % Igual para todos los meses por año e independiente por año del producto, con dos cifras decimales.</t>
  </si>
  <si>
    <t>AÑOS 2029 -2030</t>
  </si>
  <si>
    <t>Oferta Básica, para la Solicitud Pública de Ofertas No. CP-ESSC2025-003, del  1 de enero de 2029 a 31 de diciembre de 2030.</t>
  </si>
  <si>
    <t xml:space="preserve">TOTAL PRODUCTO </t>
  </si>
  <si>
    <t>ANEXO 10.3 CANTIDADES DE ENERGÍA REQUERIDA PRODUCTO 3</t>
  </si>
  <si>
    <t>(1) La Energía Ofertada se distribuye en forma horaria de acuerdo con la curva de carga presentada en la tabla 9.3. TABLAS CANTIDADES DE ENERGÍA REQUERIDA PRODUCTO 3 AÑO 2027 del pliego de condiciones.</t>
  </si>
  <si>
    <t>ANEXO 10.4 CANTIDADES DE ENERGÍA REQUERIDA PRODUCTO 4</t>
  </si>
  <si>
    <t>(1) La Energía Ofertada se distribuye en forma horaria de acuerdo con la curva de carga presentada en la tabla 9.4. TABLAS CANTIDADES DE ENERGÍA REQUERIDA  PRODUCTO 4 AÑO 2028 del pliego de condiciones.</t>
  </si>
  <si>
    <t>ANEXO 10.5 CANTIDADES DE ENERGÍA REQUERIDA PRODUCTO 5</t>
  </si>
  <si>
    <t>(1) La Energía Ofertada se distribuye en forma horaria de acuerdo con la curva de carga presentada en la tabla 9.5. TABLAS CANTIDADES DE ENERGÍA REQUERIDA  PRODUCTO 5 AÑOS 2026 A 2028 del pliego de condiciones.</t>
  </si>
  <si>
    <t>ANEXO 10.6 CANTIDADES DE ENERGÍA REQUERIDA PRODUCTO 6</t>
  </si>
  <si>
    <t>(1) La Energía Ofertada se distribuye en forma horaria de acuerdo con la curva de carga presentada en la tabla 9.6. TABLAS CANTIDADES DE ENERGÍA REQUERIDA  PRODUCTO 6 AÑOS 2029 A 2030 del pliego de condiciones.</t>
  </si>
  <si>
    <t>9.2 TABLAS CANTIDADES DE ENERGÍA REQUERIDA PRODUCTO 2 AÑO 2026
 (kWh)</t>
  </si>
  <si>
    <t>9.3 TABLAS CANTIDADES DE ENERGÍA REQUERIDA PRODUCTO 3 AÑO 2027
 (kWh)</t>
  </si>
  <si>
    <t>9.4 TABLAS CANTIDADES DE ENERGÍA REQUERIDA PRODUCTO 4 AÑO 2028
 (kWh)</t>
  </si>
  <si>
    <t>9.5 TABLAS CANTIDADES DE ENERGÍA REQUERIDA PRODUCTO5 AÑO 2026 -2028
 (kWh)</t>
  </si>
  <si>
    <t>9.6. TABLAS CANTIDADES DE ENERGÍA REQUERIDA PRODUCTO 6 AÑO 2029-2030
 (kWh)</t>
  </si>
  <si>
    <t>(9) Tipo de oferta curva, horas 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</si>
</sst>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69" formatCode="0.0%"/>
    <numFmt numFmtId="170" formatCode="_-* #,##0.00_-;\-* #,##0.00_-;_-* &quot;-&quot;_-;_-@_-"/>
    <numFmt numFmtId="171" formatCode="0_ ;\-0\ "/>
    <numFmt numFmtId="172" formatCode="#,##0.00_ ;\-#,##0.00\ 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48"/>
      <color rgb="FF00B050"/>
      <name val="Franklin Gothic Demi Cond"/>
      <family val="2"/>
    </font>
    <font>
      <b/>
      <sz val="16"/>
      <color theme="2" tint="-0.499984740745262"/>
      <name val="Franklin Gothic Demi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48"/>
      <color rgb="FF00B0F0"/>
      <name val="Franklin Gothic Demi Cond"/>
      <family val="2"/>
    </font>
    <font>
      <sz val="10"/>
      <name val="Arial"/>
      <family val="2"/>
    </font>
    <font>
      <sz val="13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241">
    <xf numFmtId="0" fontId="0" fillId="0" borderId="0" xfId="0"/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0" xfId="5" applyFont="1" applyFill="1" applyAlignment="1">
      <alignment vertical="top"/>
    </xf>
    <xf numFmtId="0" fontId="2" fillId="4" borderId="0" xfId="5" applyFont="1" applyFill="1"/>
    <xf numFmtId="0" fontId="12" fillId="4" borderId="0" xfId="5" applyFont="1" applyFill="1" applyAlignment="1">
      <alignment vertical="top" wrapText="1"/>
    </xf>
    <xf numFmtId="0" fontId="11" fillId="4" borderId="0" xfId="6" applyFont="1" applyFill="1" applyAlignment="1">
      <alignment horizontal="left"/>
    </xf>
    <xf numFmtId="4" fontId="11" fillId="4" borderId="28" xfId="6" applyNumberFormat="1" applyFont="1" applyFill="1" applyBorder="1" applyAlignment="1" applyProtection="1">
      <alignment horizontal="left"/>
      <protection locked="0"/>
    </xf>
    <xf numFmtId="4" fontId="11" fillId="4" borderId="28" xfId="6" applyNumberFormat="1" applyFont="1" applyFill="1" applyBorder="1" applyAlignment="1">
      <alignment horizontal="center"/>
    </xf>
    <xf numFmtId="0" fontId="14" fillId="0" borderId="0" xfId="5" applyFont="1"/>
    <xf numFmtId="165" fontId="15" fillId="2" borderId="29" xfId="7" applyNumberFormat="1" applyFont="1" applyFill="1" applyBorder="1" applyProtection="1"/>
    <xf numFmtId="0" fontId="6" fillId="4" borderId="0" xfId="6" applyFont="1" applyFill="1" applyAlignment="1">
      <alignment horizontal="center" vertical="center"/>
    </xf>
    <xf numFmtId="167" fontId="3" fillId="4" borderId="0" xfId="9" applyNumberFormat="1" applyFont="1" applyFill="1" applyBorder="1" applyProtection="1"/>
    <xf numFmtId="166" fontId="3" fillId="4" borderId="0" xfId="9" applyFont="1" applyFill="1" applyBorder="1" applyAlignment="1" applyProtection="1">
      <alignment horizontal="center"/>
    </xf>
    <xf numFmtId="166" fontId="3" fillId="4" borderId="0" xfId="9" applyFont="1" applyFill="1" applyBorder="1" applyProtection="1"/>
    <xf numFmtId="166" fontId="17" fillId="4" borderId="0" xfId="9" applyFont="1" applyFill="1" applyBorder="1" applyProtection="1"/>
    <xf numFmtId="0" fontId="2" fillId="0" borderId="0" xfId="5" applyFont="1"/>
    <xf numFmtId="0" fontId="2" fillId="0" borderId="0" xfId="5" applyFont="1" applyAlignment="1">
      <alignment horizontal="center"/>
    </xf>
    <xf numFmtId="0" fontId="2" fillId="4" borderId="0" xfId="5" applyFont="1" applyFill="1" applyAlignment="1">
      <alignment horizontal="center"/>
    </xf>
    <xf numFmtId="0" fontId="2" fillId="4" borderId="0" xfId="5" applyFont="1" applyFill="1" applyProtection="1">
      <protection locked="0"/>
    </xf>
    <xf numFmtId="0" fontId="2" fillId="4" borderId="0" xfId="5" applyFont="1" applyFill="1" applyAlignment="1">
      <alignment horizontal="left" wrapText="1"/>
    </xf>
    <xf numFmtId="4" fontId="10" fillId="4" borderId="31" xfId="5" applyNumberFormat="1" applyFont="1" applyFill="1" applyBorder="1"/>
    <xf numFmtId="0" fontId="2" fillId="4" borderId="31" xfId="5" applyFont="1" applyFill="1" applyBorder="1"/>
    <xf numFmtId="4" fontId="10" fillId="4" borderId="0" xfId="5" applyNumberFormat="1" applyFont="1" applyFill="1"/>
    <xf numFmtId="0" fontId="18" fillId="0" borderId="32" xfId="4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2" fillId="4" borderId="0" xfId="5" applyFont="1" applyFill="1" applyAlignment="1">
      <alignment vertical="center"/>
    </xf>
    <xf numFmtId="0" fontId="2" fillId="4" borderId="0" xfId="5" applyFont="1" applyFill="1" applyAlignment="1">
      <alignment vertical="center" wrapText="1"/>
    </xf>
    <xf numFmtId="3" fontId="5" fillId="2" borderId="7" xfId="3" applyNumberFormat="1" applyFont="1" applyFill="1" applyBorder="1" applyAlignment="1">
      <alignment horizontal="center" vertical="center" wrapText="1"/>
    </xf>
    <xf numFmtId="0" fontId="10" fillId="4" borderId="0" xfId="5" applyFont="1" applyFill="1" applyAlignment="1">
      <alignment vertical="top"/>
    </xf>
    <xf numFmtId="0" fontId="11" fillId="4" borderId="0" xfId="5" applyFont="1" applyFill="1" applyAlignment="1">
      <alignment vertical="top" wrapText="1"/>
    </xf>
    <xf numFmtId="3" fontId="7" fillId="2" borderId="9" xfId="0" applyNumberFormat="1" applyFont="1" applyFill="1" applyBorder="1" applyAlignment="1">
      <alignment horizontal="center" vertical="center" wrapText="1"/>
    </xf>
    <xf numFmtId="17" fontId="3" fillId="4" borderId="29" xfId="6" applyNumberFormat="1" applyFont="1" applyFill="1" applyBorder="1" applyAlignment="1">
      <alignment horizontal="center" vertical="center"/>
    </xf>
    <xf numFmtId="9" fontId="15" fillId="2" borderId="29" xfId="2" applyFont="1" applyFill="1" applyBorder="1" applyAlignment="1" applyProtection="1">
      <alignment horizontal="center"/>
    </xf>
    <xf numFmtId="166" fontId="16" fillId="2" borderId="29" xfId="9" applyFont="1" applyFill="1" applyBorder="1" applyAlignment="1" applyProtection="1">
      <alignment horizont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41" fontId="5" fillId="2" borderId="29" xfId="1" applyFont="1" applyFill="1" applyBorder="1" applyAlignment="1">
      <alignment horizontal="center" vertical="center"/>
    </xf>
    <xf numFmtId="3" fontId="5" fillId="2" borderId="29" xfId="3" applyNumberFormat="1" applyFont="1" applyFill="1" applyBorder="1" applyAlignment="1">
      <alignment horizontal="center" vertical="center" wrapText="1"/>
    </xf>
    <xf numFmtId="168" fontId="2" fillId="0" borderId="0" xfId="10" applyNumberFormat="1" applyFont="1" applyAlignment="1">
      <alignment horizontal="center" vertical="center"/>
    </xf>
    <xf numFmtId="4" fontId="26" fillId="4" borderId="0" xfId="6" applyNumberFormat="1" applyFont="1" applyFill="1" applyAlignment="1">
      <alignment horizontal="left"/>
    </xf>
    <xf numFmtId="4" fontId="26" fillId="4" borderId="0" xfId="6" applyNumberFormat="1" applyFont="1" applyFill="1" applyAlignment="1" applyProtection="1">
      <alignment horizontal="left"/>
      <protection locked="0"/>
    </xf>
    <xf numFmtId="165" fontId="0" fillId="0" borderId="0" xfId="0" applyNumberFormat="1"/>
    <xf numFmtId="0" fontId="3" fillId="6" borderId="29" xfId="6" applyFont="1" applyFill="1" applyBorder="1" applyAlignment="1">
      <alignment horizontal="center" vertical="center" wrapText="1"/>
    </xf>
    <xf numFmtId="0" fontId="27" fillId="6" borderId="29" xfId="6" applyFont="1" applyFill="1" applyBorder="1" applyAlignment="1">
      <alignment horizontal="center" vertical="center" wrapText="1"/>
    </xf>
    <xf numFmtId="165" fontId="2" fillId="4" borderId="29" xfId="7" applyNumberFormat="1" applyFont="1" applyFill="1" applyBorder="1" applyProtection="1"/>
    <xf numFmtId="165" fontId="6" fillId="4" borderId="29" xfId="7" applyNumberFormat="1" applyFont="1" applyFill="1" applyBorder="1" applyProtection="1"/>
    <xf numFmtId="0" fontId="8" fillId="2" borderId="29" xfId="6" applyFont="1" applyFill="1" applyBorder="1" applyAlignment="1">
      <alignment horizontal="center" vertical="center" wrapText="1"/>
    </xf>
    <xf numFmtId="0" fontId="27" fillId="7" borderId="29" xfId="6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top"/>
    </xf>
    <xf numFmtId="0" fontId="21" fillId="4" borderId="0" xfId="5" applyFont="1" applyFill="1" applyAlignment="1">
      <alignment horizontal="center" vertical="top"/>
    </xf>
    <xf numFmtId="0" fontId="28" fillId="4" borderId="0" xfId="5" applyFont="1" applyFill="1" applyAlignment="1">
      <alignment vertical="top" wrapText="1"/>
    </xf>
    <xf numFmtId="0" fontId="29" fillId="4" borderId="0" xfId="5" applyFont="1" applyFill="1" applyAlignment="1">
      <alignment vertical="top" wrapText="1"/>
    </xf>
    <xf numFmtId="41" fontId="2" fillId="4" borderId="0" xfId="1" applyFont="1" applyFill="1" applyProtection="1"/>
    <xf numFmtId="0" fontId="25" fillId="0" borderId="33" xfId="0" applyFont="1" applyBorder="1"/>
    <xf numFmtId="17" fontId="31" fillId="4" borderId="29" xfId="6" applyNumberFormat="1" applyFont="1" applyFill="1" applyBorder="1" applyAlignment="1">
      <alignment horizontal="center" vertical="center"/>
    </xf>
    <xf numFmtId="165" fontId="32" fillId="4" borderId="29" xfId="7" applyNumberFormat="1" applyFont="1" applyFill="1" applyBorder="1" applyProtection="1"/>
    <xf numFmtId="169" fontId="32" fillId="5" borderId="29" xfId="8" applyNumberFormat="1" applyFont="1" applyFill="1" applyBorder="1" applyAlignment="1" applyProtection="1">
      <alignment vertical="center"/>
    </xf>
    <xf numFmtId="165" fontId="32" fillId="5" borderId="29" xfId="7" applyNumberFormat="1" applyFont="1" applyFill="1" applyBorder="1" applyProtection="1"/>
    <xf numFmtId="0" fontId="15" fillId="2" borderId="29" xfId="6" applyFont="1" applyFill="1" applyBorder="1" applyAlignment="1">
      <alignment horizontal="center" vertical="center"/>
    </xf>
    <xf numFmtId="166" fontId="15" fillId="2" borderId="29" xfId="9" applyFont="1" applyFill="1" applyBorder="1" applyProtection="1"/>
    <xf numFmtId="0" fontId="7" fillId="4" borderId="0" xfId="5" applyFont="1" applyFill="1"/>
    <xf numFmtId="0" fontId="6" fillId="4" borderId="31" xfId="6" applyFont="1" applyFill="1" applyBorder="1" applyAlignment="1">
      <alignment horizontal="center" vertical="center"/>
    </xf>
    <xf numFmtId="166" fontId="3" fillId="4" borderId="31" xfId="9" applyFont="1" applyFill="1" applyBorder="1" applyProtection="1"/>
    <xf numFmtId="166" fontId="3" fillId="4" borderId="31" xfId="9" applyFont="1" applyFill="1" applyBorder="1" applyAlignment="1" applyProtection="1">
      <alignment horizontal="center"/>
    </xf>
    <xf numFmtId="166" fontId="17" fillId="4" borderId="31" xfId="9" applyFont="1" applyFill="1" applyBorder="1" applyProtection="1"/>
    <xf numFmtId="0" fontId="34" fillId="0" borderId="0" xfId="0" applyFont="1"/>
    <xf numFmtId="0" fontId="2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vertical="center" wrapText="1"/>
    </xf>
    <xf numFmtId="43" fontId="2" fillId="0" borderId="29" xfId="10" applyFont="1" applyBorder="1" applyAlignment="1">
      <alignment horizontal="center" vertical="center"/>
    </xf>
    <xf numFmtId="43" fontId="2" fillId="0" borderId="10" xfId="10" applyFont="1" applyBorder="1" applyAlignment="1">
      <alignment horizontal="center" vertical="center" wrapText="1"/>
    </xf>
    <xf numFmtId="43" fontId="2" fillId="0" borderId="14" xfId="10" applyFont="1" applyBorder="1" applyAlignment="1">
      <alignment horizontal="center" vertical="center" wrapText="1"/>
    </xf>
    <xf numFmtId="43" fontId="2" fillId="0" borderId="25" xfId="10" applyFont="1" applyBorder="1" applyAlignment="1">
      <alignment horizontal="center" vertical="center" wrapText="1"/>
    </xf>
    <xf numFmtId="43" fontId="2" fillId="0" borderId="18" xfId="10" applyFont="1" applyBorder="1" applyAlignment="1">
      <alignment horizontal="center" vertical="center" wrapText="1"/>
    </xf>
    <xf numFmtId="43" fontId="2" fillId="0" borderId="22" xfId="10" applyFont="1" applyBorder="1" applyAlignment="1">
      <alignment horizontal="center" vertical="center" wrapText="1"/>
    </xf>
    <xf numFmtId="171" fontId="7" fillId="2" borderId="9" xfId="10" applyNumberFormat="1" applyFont="1" applyFill="1" applyBorder="1" applyAlignment="1">
      <alignment horizontal="center" vertical="center" wrapText="1"/>
    </xf>
    <xf numFmtId="171" fontId="7" fillId="2" borderId="13" xfId="10" applyNumberFormat="1" applyFont="1" applyFill="1" applyBorder="1" applyAlignment="1">
      <alignment horizontal="center" vertical="center" wrapText="1"/>
    </xf>
    <xf numFmtId="171" fontId="7" fillId="2" borderId="24" xfId="10" applyNumberFormat="1" applyFont="1" applyFill="1" applyBorder="1" applyAlignment="1">
      <alignment horizontal="center" vertical="center" wrapText="1"/>
    </xf>
    <xf numFmtId="171" fontId="7" fillId="2" borderId="17" xfId="10" applyNumberFormat="1" applyFont="1" applyFill="1" applyBorder="1" applyAlignment="1">
      <alignment horizontal="center" vertical="center" wrapText="1"/>
    </xf>
    <xf numFmtId="171" fontId="7" fillId="2" borderId="21" xfId="10" applyNumberFormat="1" applyFont="1" applyFill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center"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0" borderId="14" xfId="1" applyNumberFormat="1" applyFont="1" applyBorder="1" applyAlignment="1">
      <alignment horizontal="right" vertical="center" wrapText="1"/>
    </xf>
    <xf numFmtId="4" fontId="2" fillId="0" borderId="25" xfId="1" applyNumberFormat="1" applyFont="1" applyBorder="1" applyAlignment="1">
      <alignment horizontal="right" vertical="center" wrapText="1"/>
    </xf>
    <xf numFmtId="4" fontId="2" fillId="0" borderId="22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5" fillId="2" borderId="3" xfId="1" applyNumberFormat="1" applyFont="1" applyFill="1" applyBorder="1" applyAlignment="1">
      <alignment horizontal="center" vertical="center"/>
    </xf>
    <xf numFmtId="4" fontId="2" fillId="0" borderId="18" xfId="10" applyNumberFormat="1" applyFont="1" applyBorder="1" applyAlignment="1">
      <alignment horizontal="center" vertical="center" wrapText="1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7" fillId="0" borderId="39" xfId="0" applyFont="1" applyBorder="1" applyAlignment="1">
      <alignment horizontal="center" vertical="center"/>
    </xf>
    <xf numFmtId="0" fontId="40" fillId="8" borderId="22" xfId="0" applyFont="1" applyFill="1" applyBorder="1" applyAlignment="1">
      <alignment horizontal="center" vertical="center"/>
    </xf>
    <xf numFmtId="0" fontId="40" fillId="8" borderId="34" xfId="0" applyFont="1" applyFill="1" applyBorder="1" applyAlignment="1">
      <alignment horizontal="center" vertical="center" wrapText="1"/>
    </xf>
    <xf numFmtId="0" fontId="40" fillId="9" borderId="34" xfId="0" applyFont="1" applyFill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41" fillId="0" borderId="29" xfId="0" applyFont="1" applyBorder="1" applyAlignment="1">
      <alignment horizontal="justify" vertical="center"/>
    </xf>
    <xf numFmtId="0" fontId="41" fillId="0" borderId="40" xfId="0" applyFont="1" applyBorder="1" applyAlignment="1">
      <alignment horizontal="justify" vertical="center"/>
    </xf>
    <xf numFmtId="0" fontId="37" fillId="0" borderId="29" xfId="0" applyFont="1" applyBorder="1" applyAlignment="1">
      <alignment vertical="center"/>
    </xf>
    <xf numFmtId="0" fontId="41" fillId="0" borderId="40" xfId="0" applyFont="1" applyBorder="1" applyAlignment="1">
      <alignment vertical="center"/>
    </xf>
    <xf numFmtId="0" fontId="42" fillId="0" borderId="1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37" fillId="0" borderId="29" xfId="0" applyFont="1" applyBorder="1" applyAlignment="1">
      <alignment horizontal="justify" vertical="center" wrapText="1"/>
    </xf>
    <xf numFmtId="0" fontId="37" fillId="0" borderId="29" xfId="0" applyFont="1" applyBorder="1" applyAlignment="1">
      <alignment horizontal="justify" vertical="center"/>
    </xf>
    <xf numFmtId="0" fontId="43" fillId="0" borderId="40" xfId="11" applyFont="1" applyBorder="1" applyAlignment="1">
      <alignment horizontal="justify" vertical="center"/>
    </xf>
    <xf numFmtId="0" fontId="37" fillId="0" borderId="29" xfId="0" applyFont="1" applyBorder="1" applyAlignment="1">
      <alignment vertical="center" wrapText="1"/>
    </xf>
    <xf numFmtId="0" fontId="37" fillId="0" borderId="40" xfId="0" applyFont="1" applyBorder="1" applyAlignment="1">
      <alignment horizontal="justify" vertical="center" wrapText="1"/>
    </xf>
    <xf numFmtId="0" fontId="41" fillId="0" borderId="40" xfId="0" applyFont="1" applyBorder="1" applyAlignment="1">
      <alignment horizontal="justify" vertical="center" wrapText="1"/>
    </xf>
    <xf numFmtId="0" fontId="41" fillId="0" borderId="40" xfId="0" applyFont="1" applyBorder="1" applyAlignment="1">
      <alignment horizontal="left" vertical="center" indent="1"/>
    </xf>
    <xf numFmtId="0" fontId="37" fillId="0" borderId="25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justify" vertical="center"/>
    </xf>
    <xf numFmtId="0" fontId="41" fillId="0" borderId="36" xfId="0" applyFont="1" applyBorder="1" applyAlignment="1">
      <alignment horizontal="justify" vertical="center"/>
    </xf>
    <xf numFmtId="0" fontId="37" fillId="0" borderId="0" xfId="0" applyFont="1" applyAlignment="1">
      <alignment horizontal="justify" vertical="center" wrapText="1"/>
    </xf>
    <xf numFmtId="0" fontId="44" fillId="0" borderId="0" xfId="0" applyFont="1" applyAlignment="1">
      <alignment horizontal="justify" vertical="center"/>
    </xf>
    <xf numFmtId="0" fontId="45" fillId="0" borderId="0" xfId="0" applyFont="1" applyAlignment="1">
      <alignment horizontal="justify" vertical="center" wrapText="1"/>
    </xf>
    <xf numFmtId="0" fontId="45" fillId="0" borderId="0" xfId="0" applyFont="1" applyAlignment="1">
      <alignment horizontal="justify" vertical="center"/>
    </xf>
    <xf numFmtId="0" fontId="37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37" fillId="3" borderId="0" xfId="0" applyFont="1" applyFill="1" applyAlignment="1">
      <alignment horizontal="center" vertical="center"/>
    </xf>
    <xf numFmtId="0" fontId="37" fillId="0" borderId="0" xfId="0" applyFont="1" applyAlignment="1">
      <alignment horizontal="left" vertical="center" indent="1"/>
    </xf>
    <xf numFmtId="0" fontId="41" fillId="0" borderId="0" xfId="0" applyFont="1" applyAlignment="1">
      <alignment horizontal="left" vertical="center" indent="1"/>
    </xf>
    <xf numFmtId="0" fontId="37" fillId="0" borderId="0" xfId="0" applyFont="1" applyAlignment="1">
      <alignment wrapText="1"/>
    </xf>
    <xf numFmtId="0" fontId="41" fillId="0" borderId="0" xfId="0" applyFont="1" applyAlignment="1">
      <alignment horizontal="left" vertical="center" indent="2"/>
    </xf>
    <xf numFmtId="0" fontId="37" fillId="0" borderId="0" xfId="0" applyFont="1" applyAlignment="1">
      <alignment vertical="center" wrapText="1"/>
    </xf>
    <xf numFmtId="0" fontId="26" fillId="0" borderId="0" xfId="3" applyFont="1"/>
    <xf numFmtId="0" fontId="2" fillId="0" borderId="0" xfId="3" applyAlignment="1">
      <alignment horizontal="center"/>
    </xf>
    <xf numFmtId="0" fontId="2" fillId="0" borderId="0" xfId="3"/>
    <xf numFmtId="170" fontId="2" fillId="0" borderId="0" xfId="3" applyNumberFormat="1"/>
    <xf numFmtId="172" fontId="2" fillId="0" borderId="0" xfId="3" applyNumberFormat="1"/>
    <xf numFmtId="168" fontId="2" fillId="0" borderId="0" xfId="1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/>
    </xf>
    <xf numFmtId="4" fontId="2" fillId="0" borderId="0" xfId="10" applyNumberFormat="1" applyFont="1" applyAlignment="1">
      <alignment horizontal="center" vertical="center"/>
    </xf>
    <xf numFmtId="4" fontId="5" fillId="2" borderId="7" xfId="10" applyNumberFormat="1" applyFont="1" applyFill="1" applyBorder="1" applyAlignment="1">
      <alignment horizontal="center" vertical="center" wrapText="1"/>
    </xf>
    <xf numFmtId="4" fontId="6" fillId="0" borderId="1" xfId="10" applyNumberFormat="1" applyFont="1" applyBorder="1" applyAlignment="1">
      <alignment horizontal="center" vertical="center"/>
    </xf>
    <xf numFmtId="43" fontId="47" fillId="0" borderId="18" xfId="10" applyFont="1" applyBorder="1" applyAlignment="1">
      <alignment horizontal="center" vertical="center" wrapText="1"/>
    </xf>
    <xf numFmtId="167" fontId="3" fillId="4" borderId="31" xfId="9" applyNumberFormat="1" applyFont="1" applyFill="1" applyBorder="1" applyProtection="1"/>
    <xf numFmtId="4" fontId="2" fillId="0" borderId="10" xfId="10" applyNumberFormat="1" applyFont="1" applyBorder="1" applyAlignment="1">
      <alignment horizontal="center" vertical="center" wrapText="1"/>
    </xf>
    <xf numFmtId="4" fontId="2" fillId="0" borderId="14" xfId="10" applyNumberFormat="1" applyFont="1" applyBorder="1" applyAlignment="1">
      <alignment horizontal="center" vertical="center" wrapText="1"/>
    </xf>
    <xf numFmtId="4" fontId="2" fillId="0" borderId="25" xfId="10" applyNumberFormat="1" applyFont="1" applyBorder="1" applyAlignment="1">
      <alignment horizontal="center" vertical="center" wrapText="1"/>
    </xf>
    <xf numFmtId="4" fontId="2" fillId="0" borderId="22" xfId="10" applyNumberFormat="1" applyFont="1" applyBorder="1" applyAlignment="1">
      <alignment horizontal="center" vertical="center" wrapText="1"/>
    </xf>
    <xf numFmtId="0" fontId="21" fillId="0" borderId="0" xfId="3" applyFont="1"/>
    <xf numFmtId="0" fontId="7" fillId="2" borderId="29" xfId="0" applyFont="1" applyFill="1" applyBorder="1"/>
    <xf numFmtId="0" fontId="7" fillId="2" borderId="29" xfId="0" applyFont="1" applyFill="1" applyBorder="1" applyAlignment="1">
      <alignment horizontal="center"/>
    </xf>
    <xf numFmtId="17" fontId="0" fillId="6" borderId="29" xfId="0" applyNumberFormat="1" applyFill="1" applyBorder="1"/>
    <xf numFmtId="170" fontId="0" fillId="0" borderId="29" xfId="12" applyNumberFormat="1" applyFont="1" applyBorder="1" applyAlignment="1">
      <alignment horizontal="center"/>
    </xf>
    <xf numFmtId="17" fontId="0" fillId="11" borderId="29" xfId="0" applyNumberFormat="1" applyFill="1" applyBorder="1"/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49" fillId="4" borderId="0" xfId="5" applyFont="1" applyFill="1"/>
    <xf numFmtId="0" fontId="2" fillId="5" borderId="0" xfId="5" applyFont="1" applyFill="1" applyAlignment="1">
      <alignment horizontal="left" vertical="center" wrapText="1"/>
    </xf>
    <xf numFmtId="17" fontId="31" fillId="0" borderId="29" xfId="6" applyNumberFormat="1" applyFont="1" applyBorder="1" applyAlignment="1">
      <alignment horizontal="center" vertical="center"/>
    </xf>
    <xf numFmtId="165" fontId="32" fillId="0" borderId="29" xfId="7" applyNumberFormat="1" applyFont="1" applyFill="1" applyBorder="1" applyProtection="1"/>
    <xf numFmtId="0" fontId="49" fillId="0" borderId="0" xfId="5" applyFont="1"/>
    <xf numFmtId="168" fontId="2" fillId="0" borderId="0" xfId="10" applyNumberFormat="1" applyFont="1" applyAlignment="1">
      <alignment vertical="center"/>
    </xf>
    <xf numFmtId="0" fontId="22" fillId="0" borderId="0" xfId="0" applyFont="1"/>
    <xf numFmtId="10" fontId="50" fillId="5" borderId="29" xfId="8" applyNumberFormat="1" applyFont="1" applyFill="1" applyBorder="1" applyAlignment="1" applyProtection="1">
      <alignment horizontal="center" vertical="center"/>
    </xf>
    <xf numFmtId="41" fontId="5" fillId="9" borderId="4" xfId="1" applyFont="1" applyFill="1" applyBorder="1" applyAlignment="1">
      <alignment horizontal="center" vertical="center"/>
    </xf>
    <xf numFmtId="41" fontId="5" fillId="9" borderId="5" xfId="1" applyFont="1" applyFill="1" applyBorder="1" applyAlignment="1">
      <alignment horizontal="center" vertical="center"/>
    </xf>
    <xf numFmtId="4" fontId="11" fillId="0" borderId="27" xfId="6" applyNumberFormat="1" applyFont="1" applyBorder="1" applyAlignment="1" applyProtection="1">
      <alignment horizontal="center"/>
      <protection locked="0"/>
    </xf>
    <xf numFmtId="167" fontId="15" fillId="2" borderId="29" xfId="9" applyNumberFormat="1" applyFont="1" applyFill="1" applyBorder="1" applyProtection="1"/>
    <xf numFmtId="0" fontId="25" fillId="0" borderId="0" xfId="0" applyFont="1"/>
    <xf numFmtId="0" fontId="12" fillId="4" borderId="0" xfId="5" applyFont="1" applyFill="1" applyAlignment="1">
      <alignment horizontal="left" vertical="top" wrapText="1"/>
    </xf>
    <xf numFmtId="4" fontId="11" fillId="4" borderId="27" xfId="6" applyNumberFormat="1" applyFont="1" applyFill="1" applyBorder="1" applyAlignment="1" applyProtection="1">
      <alignment horizontal="center"/>
      <protection locked="0"/>
    </xf>
    <xf numFmtId="4" fontId="11" fillId="12" borderId="27" xfId="6" applyNumberFormat="1" applyFont="1" applyFill="1" applyBorder="1" applyAlignment="1" applyProtection="1">
      <alignment horizontal="center"/>
      <protection locked="0"/>
    </xf>
    <xf numFmtId="0" fontId="30" fillId="2" borderId="29" xfId="6" applyFont="1" applyFill="1" applyBorder="1" applyAlignment="1">
      <alignment horizontal="center" vertical="center" wrapText="1"/>
    </xf>
    <xf numFmtId="0" fontId="48" fillId="12" borderId="29" xfId="6" applyFont="1" applyFill="1" applyBorder="1" applyAlignment="1">
      <alignment horizontal="center" vertical="center" wrapText="1"/>
    </xf>
    <xf numFmtId="0" fontId="2" fillId="5" borderId="36" xfId="5" applyFont="1" applyFill="1" applyBorder="1" applyAlignment="1">
      <alignment horizontal="left" vertical="center" wrapText="1"/>
    </xf>
    <xf numFmtId="0" fontId="2" fillId="5" borderId="31" xfId="5" applyFont="1" applyFill="1" applyBorder="1" applyAlignment="1">
      <alignment horizontal="left" vertical="center" wrapText="1"/>
    </xf>
    <xf numFmtId="0" fontId="2" fillId="5" borderId="25" xfId="5" applyFont="1" applyFill="1" applyBorder="1" applyAlignment="1">
      <alignment horizontal="left" vertical="center" wrapText="1"/>
    </xf>
    <xf numFmtId="0" fontId="2" fillId="5" borderId="37" xfId="5" applyFont="1" applyFill="1" applyBorder="1" applyAlignment="1">
      <alignment horizontal="left" vertical="center" wrapText="1"/>
    </xf>
    <xf numFmtId="0" fontId="2" fillId="5" borderId="38" xfId="5" applyFont="1" applyFill="1" applyBorder="1" applyAlignment="1">
      <alignment horizontal="left" vertical="center" wrapText="1"/>
    </xf>
    <xf numFmtId="0" fontId="2" fillId="5" borderId="22" xfId="5" applyFont="1" applyFill="1" applyBorder="1" applyAlignment="1">
      <alignment horizontal="left" vertical="center" wrapText="1"/>
    </xf>
    <xf numFmtId="0" fontId="2" fillId="0" borderId="0" xfId="5" applyFont="1" applyAlignment="1">
      <alignment horizontal="left" wrapText="1"/>
    </xf>
    <xf numFmtId="0" fontId="2" fillId="4" borderId="0" xfId="5" applyFont="1" applyFill="1" applyAlignment="1">
      <alignment horizontal="left" vertical="center" wrapText="1"/>
    </xf>
    <xf numFmtId="0" fontId="2" fillId="4" borderId="0" xfId="5" applyFont="1" applyFill="1" applyAlignment="1">
      <alignment horizontal="left" vertical="top" wrapText="1"/>
    </xf>
    <xf numFmtId="10" fontId="50" fillId="0" borderId="29" xfId="8" applyNumberFormat="1" applyFont="1" applyFill="1" applyBorder="1" applyAlignment="1" applyProtection="1">
      <alignment horizontal="center" vertical="center"/>
    </xf>
    <xf numFmtId="4" fontId="50" fillId="0" borderId="29" xfId="5" applyNumberFormat="1" applyFont="1" applyBorder="1" applyAlignment="1" applyProtection="1">
      <alignment horizontal="center" vertical="center" wrapText="1"/>
      <protection locked="0"/>
    </xf>
    <xf numFmtId="0" fontId="30" fillId="2" borderId="29" xfId="5" applyFont="1" applyFill="1" applyBorder="1" applyAlignment="1">
      <alignment horizontal="center" vertical="center" wrapText="1"/>
    </xf>
    <xf numFmtId="0" fontId="30" fillId="2" borderId="30" xfId="6" applyFont="1" applyFill="1" applyBorder="1" applyAlignment="1">
      <alignment horizontal="center" vertical="center" wrapText="1"/>
    </xf>
    <xf numFmtId="0" fontId="30" fillId="2" borderId="34" xfId="6" applyFont="1" applyFill="1" applyBorder="1" applyAlignment="1">
      <alignment horizontal="center" vertical="center" wrapText="1"/>
    </xf>
    <xf numFmtId="0" fontId="30" fillId="2" borderId="25" xfId="6" applyFont="1" applyFill="1" applyBorder="1" applyAlignment="1">
      <alignment horizontal="center" vertical="center" wrapText="1"/>
    </xf>
    <xf numFmtId="0" fontId="30" fillId="2" borderId="22" xfId="6" applyFont="1" applyFill="1" applyBorder="1" applyAlignment="1">
      <alignment horizontal="center" vertical="center" wrapText="1"/>
    </xf>
    <xf numFmtId="0" fontId="30" fillId="2" borderId="30" xfId="5" applyFont="1" applyFill="1" applyBorder="1" applyAlignment="1">
      <alignment horizontal="center" vertical="center" wrapText="1"/>
    </xf>
    <xf numFmtId="0" fontId="30" fillId="2" borderId="34" xfId="5" applyFont="1" applyFill="1" applyBorder="1" applyAlignment="1">
      <alignment horizontal="center" vertical="center" wrapText="1"/>
    </xf>
    <xf numFmtId="4" fontId="33" fillId="5" borderId="30" xfId="5" applyNumberFormat="1" applyFont="1" applyFill="1" applyBorder="1" applyAlignment="1" applyProtection="1">
      <alignment horizontal="center" vertical="center" wrapText="1"/>
      <protection locked="0"/>
    </xf>
    <xf numFmtId="4" fontId="33" fillId="5" borderId="35" xfId="5" applyNumberFormat="1" applyFont="1" applyFill="1" applyBorder="1" applyAlignment="1" applyProtection="1">
      <alignment horizontal="center" vertical="center" wrapText="1"/>
      <protection locked="0"/>
    </xf>
    <xf numFmtId="4" fontId="33" fillId="5" borderId="34" xfId="5" applyNumberFormat="1" applyFont="1" applyFill="1" applyBorder="1" applyAlignment="1" applyProtection="1">
      <alignment horizontal="center" vertical="center" wrapText="1"/>
      <protection locked="0"/>
    </xf>
    <xf numFmtId="10" fontId="50" fillId="0" borderId="29" xfId="2" applyNumberFormat="1" applyFont="1" applyFill="1" applyBorder="1" applyAlignment="1" applyProtection="1">
      <alignment horizontal="center" vertical="center" wrapText="1"/>
      <protection locked="0"/>
    </xf>
    <xf numFmtId="17" fontId="6" fillId="0" borderId="1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41" fontId="8" fillId="2" borderId="26" xfId="1" applyFont="1" applyFill="1" applyBorder="1" applyAlignment="1">
      <alignment horizontal="center" vertical="center"/>
    </xf>
    <xf numFmtId="41" fontId="8" fillId="2" borderId="27" xfId="1" applyFont="1" applyFill="1" applyBorder="1" applyAlignment="1">
      <alignment horizontal="center" vertical="center"/>
    </xf>
    <xf numFmtId="41" fontId="8" fillId="2" borderId="7" xfId="1" applyFont="1" applyFill="1" applyBorder="1" applyAlignment="1">
      <alignment horizontal="center" vertical="center"/>
    </xf>
    <xf numFmtId="4" fontId="8" fillId="2" borderId="26" xfId="1" applyNumberFormat="1" applyFont="1" applyFill="1" applyBorder="1" applyAlignment="1">
      <alignment horizontal="center" vertical="center"/>
    </xf>
    <xf numFmtId="4" fontId="8" fillId="2" borderId="27" xfId="1" applyNumberFormat="1" applyFont="1" applyFill="1" applyBorder="1" applyAlignment="1">
      <alignment horizontal="center" vertical="center"/>
    </xf>
    <xf numFmtId="4" fontId="8" fillId="2" borderId="7" xfId="1" applyNumberFormat="1" applyFont="1" applyFill="1" applyBorder="1" applyAlignment="1">
      <alignment horizontal="center" vertical="center"/>
    </xf>
    <xf numFmtId="4" fontId="2" fillId="0" borderId="11" xfId="10" applyNumberFormat="1" applyFont="1" applyBorder="1" applyAlignment="1">
      <alignment horizontal="center" vertical="center" wrapText="1"/>
    </xf>
    <xf numFmtId="4" fontId="2" fillId="0" borderId="15" xfId="1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2" fillId="0" borderId="19" xfId="1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right" vertical="center"/>
    </xf>
    <xf numFmtId="4" fontId="8" fillId="2" borderId="27" xfId="1" applyNumberFormat="1" applyFont="1" applyFill="1" applyBorder="1" applyAlignment="1">
      <alignment horizontal="right" vertical="center"/>
    </xf>
    <xf numFmtId="4" fontId="8" fillId="2" borderId="7" xfId="1" applyNumberFormat="1" applyFont="1" applyFill="1" applyBorder="1" applyAlignment="1">
      <alignment horizontal="right" vertical="center"/>
    </xf>
  </cellXfs>
  <cellStyles count="13">
    <cellStyle name="Hipervínculo" xfId="11" xr:uid="{F148BA21-7829-48AC-87CD-D7D9FCBB62E0}"/>
    <cellStyle name="Millares" xfId="10" builtinId="3"/>
    <cellStyle name="Millares [0]" xfId="1" builtinId="6"/>
    <cellStyle name="Millares [0] 2" xfId="12" xr:uid="{757F38DF-AE68-474F-9F58-44C299B26B3E}"/>
    <cellStyle name="Millares 3" xfId="7" xr:uid="{00000000-0005-0000-0000-000001000000}"/>
    <cellStyle name="Millares_PLIEGOS_GR-07-006" xfId="9" xr:uid="{00000000-0005-0000-0000-000002000000}"/>
    <cellStyle name="Normal" xfId="0" builtinId="0"/>
    <cellStyle name="Normal 2" xfId="3" xr:uid="{00000000-0005-0000-0000-000004000000}"/>
    <cellStyle name="Normal 2 2 3" xfId="4" xr:uid="{00000000-0005-0000-0000-000005000000}"/>
    <cellStyle name="Normal_ENE99" xfId="6" xr:uid="{00000000-0005-0000-0000-000006000000}"/>
    <cellStyle name="Normal_GC00-001" xfId="5" xr:uid="{00000000-0005-0000-0000-000007000000}"/>
    <cellStyle name="Porcentaje" xfId="2" builtinId="5"/>
    <cellStyle name="Porcentaje 2" xfId="8" xr:uid="{00000000-0005-0000-0000-000009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0</xdr:col>
      <xdr:colOff>1625600</xdr:colOff>
      <xdr:row>0</xdr:row>
      <xdr:rowOff>697012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192B433-714A-49BB-96E2-9FBB948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8575"/>
          <a:ext cx="1584325" cy="6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ED7A8-1295-4A0E-BAF6-BF38836F8AC0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F2AFF-7AFE-4C5F-A9BD-871525063999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0E11C7-84F9-4A60-BA55-5B88F2762647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4BACE-F784-4381-9E1D-1FAB42ADEC11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BC9DB-C60C-4DA0-B249-9B36E7802733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E2353-2C2A-4E6D-BA25-2CC7B1E0B759}"/>
            </a:ext>
          </a:extLst>
        </xdr:cNvPr>
        <xdr:cNvSpPr/>
      </xdr:nvSpPr>
      <xdr:spPr>
        <a:xfrm>
          <a:off x="11412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ANEXOS\LIQ_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1_2012_SPO_066628\Contratos%20m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0_11_SPO_076577\Evaluaci&#243;n_menor%20precio_sin%20GENERARC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.sharepoint.com/7510%20A%20Compras%20Distribucion%20Respaldo/Procesos%20de%20Compra%20de%20Energia%20MR/Compra_2010_11_SPO_053599/Evaluaci&#243;n_menor%20precio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LicitaEDCC\LIQ_MAY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sandra_macias_essa_com_co/Documents/Documentos/Compras%20de%20Energ&#237;a/Convocatorias/2025/CP-ESSC2025-003/AN&#193;LISIS%20DE%20PRECIOS%20Y%20CANTIDADES/20250729_SIMULACION%20COMPRA%20ENERGIA.xlsx" TargetMode="External"/><Relationship Id="rId1" Type="http://schemas.openxmlformats.org/officeDocument/2006/relationships/externalLinkPath" Target="/personal/sandra_macias_essa_com_co/Documents/Documentos/Compras%20de%20Energ&#237;a/Convocatorias/2025/CP-ESSC2025-003/AN&#193;LISIS%20DE%20PRECIOS%20Y%20CANTIDADES/20250729_SIMULACION%20COMPRA%20ENERGI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pmco-my.sharepoint.com/personal/sandra_macias_essa_com_co/Documents/Documentos/Compras%20de%20Energ&#237;a/Convocatorias/2025/CP-ESSC2025-003/AN&#193;LISIS%20DE%20PRECIOS%20Y%20CANTIDADES/20250729_SIMULACION%20COMPRA%20ENERGIA_GENERADORES%20DISTRIBUIDOS.xlsx" TargetMode="External"/><Relationship Id="rId2" Type="http://schemas.microsoft.com/office/2019/04/relationships/externalLinkLongPath" Target="/personal/sandra_macias_essa_com_co/Documents/Documentos/Compras%20de%20Energ&#237;a/Convocatorias/2025/CP-ESSC2025-003/AN&#193;LISIS%20DE%20PRECIOS%20Y%20CANTIDADES/20250729_SIMULACION%20COMPRA%20ENERGIA_GENERADORES%20DISTRIBUIDOS.xlsx?58C5AC7C" TargetMode="External"/><Relationship Id="rId1" Type="http://schemas.openxmlformats.org/officeDocument/2006/relationships/externalLinkPath" Target="file:///\\58C5AC7C\20250729_SIMULACION%20COMPRA%20ENERGIA_GENERADORES%20DISTRIBU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"/>
      <sheetName val="Ppto"/>
      <sheetName val="Mes"/>
      <sheetName val="Empresa"/>
      <sheetName val="IPP"/>
      <sheetName val="Emgesa"/>
      <sheetName val="Merilectrica"/>
      <sheetName val="ISAGEN_ALT"/>
      <sheetName val="CHIVOR_BIANUAL_2011"/>
      <sheetName val="CHIVOR_BIANUAL_2012"/>
      <sheetName val="CHIVOR_ANUAL_ALT2_2011"/>
      <sheetName val="CHIVOR_ANUAL_ALT2_2012"/>
      <sheetName val="EPM_ALT3_2011"/>
      <sheetName val="EPM_ALT1_2012"/>
      <sheetName val="EPM_ALT2_201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BLOQUE 3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2027 (2)"/>
      <sheetName val="Resumen "/>
      <sheetName val="Vigencia futu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>
        <row r="15">
          <cell r="E15">
            <v>17214.944692307283</v>
          </cell>
          <cell r="F15">
            <v>16010.950152064197</v>
          </cell>
          <cell r="G15">
            <v>15140.674887945857</v>
          </cell>
          <cell r="H15">
            <v>14532.214749602928</v>
          </cell>
          <cell r="I15">
            <v>14387.98889750025</v>
          </cell>
          <cell r="J15">
            <v>14861.27677237774</v>
          </cell>
          <cell r="K15">
            <v>14713.392457143778</v>
          </cell>
          <cell r="L15">
            <v>17044.488221403855</v>
          </cell>
          <cell r="M15">
            <v>19552.85014986571</v>
          </cell>
          <cell r="N15">
            <v>21005.427083042672</v>
          </cell>
          <cell r="O15">
            <v>22503.927286574773</v>
          </cell>
          <cell r="P15">
            <v>23569.600065763785</v>
          </cell>
          <cell r="Q15">
            <v>22775.752920560477</v>
          </cell>
          <cell r="R15">
            <v>23554.986756668794</v>
          </cell>
          <cell r="S15">
            <v>24854.555026364858</v>
          </cell>
          <cell r="T15">
            <v>24977.815813056583</v>
          </cell>
          <cell r="U15">
            <v>24357.284099441735</v>
          </cell>
          <cell r="V15">
            <v>23177.549535031576</v>
          </cell>
          <cell r="W15">
            <v>24850.227086674069</v>
          </cell>
          <cell r="X15">
            <v>24941.759989434868</v>
          </cell>
          <cell r="Y15">
            <v>24234.121657202399</v>
          </cell>
          <cell r="Z15">
            <v>23104.77134011122</v>
          </cell>
          <cell r="AA15">
            <v>21242.633902215017</v>
          </cell>
          <cell r="AB15">
            <v>19151.80906334996</v>
          </cell>
        </row>
        <row r="16">
          <cell r="E16">
            <v>17382.345977704408</v>
          </cell>
          <cell r="F16">
            <v>16193.932742255824</v>
          </cell>
          <cell r="G16">
            <v>15313.471247284117</v>
          </cell>
          <cell r="H16">
            <v>14618.805616745689</v>
          </cell>
          <cell r="I16">
            <v>14436.674805429531</v>
          </cell>
          <cell r="J16">
            <v>14521.916798379094</v>
          </cell>
          <cell r="K16">
            <v>14017.445832360325</v>
          </cell>
          <cell r="L16">
            <v>15827.585528326581</v>
          </cell>
          <cell r="M16">
            <v>18218.305112588005</v>
          </cell>
          <cell r="N16">
            <v>19800.453079080868</v>
          </cell>
          <cell r="O16">
            <v>21103.118817447546</v>
          </cell>
          <cell r="P16">
            <v>21919.648384562468</v>
          </cell>
          <cell r="Q16">
            <v>21538.091947371639</v>
          </cell>
          <cell r="R16">
            <v>21270.561478467887</v>
          </cell>
          <cell r="S16">
            <v>21420.206877182176</v>
          </cell>
          <cell r="T16">
            <v>21411.791093983087</v>
          </cell>
          <cell r="U16">
            <v>21022.035879042756</v>
          </cell>
          <cell r="V16">
            <v>20823.024339415191</v>
          </cell>
          <cell r="W16">
            <v>23477.092814515876</v>
          </cell>
          <cell r="X16">
            <v>23762.215018608258</v>
          </cell>
          <cell r="Y16">
            <v>22967.236561561556</v>
          </cell>
          <cell r="Z16">
            <v>21977.206806056103</v>
          </cell>
          <cell r="AA16">
            <v>20632.583648757089</v>
          </cell>
          <cell r="AB16">
            <v>19062.411697584812</v>
          </cell>
        </row>
        <row r="17">
          <cell r="E17">
            <v>17631.765371032179</v>
          </cell>
          <cell r="F17">
            <v>16485.739667113616</v>
          </cell>
          <cell r="G17">
            <v>15556.334780367943</v>
          </cell>
          <cell r="H17">
            <v>14813.511698950315</v>
          </cell>
          <cell r="I17">
            <v>14435.910521765269</v>
          </cell>
          <cell r="J17">
            <v>14249.686927029656</v>
          </cell>
          <cell r="K17">
            <v>13257.033831194018</v>
          </cell>
          <cell r="L17">
            <v>14072.961110728804</v>
          </cell>
          <cell r="M17">
            <v>15435.83741503585</v>
          </cell>
          <cell r="N17">
            <v>16824.653450599169</v>
          </cell>
          <cell r="O17">
            <v>17678.787333316395</v>
          </cell>
          <cell r="P17">
            <v>18439.367611163667</v>
          </cell>
          <cell r="Q17">
            <v>18892.210555115984</v>
          </cell>
          <cell r="R17">
            <v>18994.299491097372</v>
          </cell>
          <cell r="S17">
            <v>19060.831369475407</v>
          </cell>
          <cell r="T17">
            <v>19100.824694173909</v>
          </cell>
          <cell r="U17">
            <v>18959.71852487254</v>
          </cell>
          <cell r="V17">
            <v>18984.179283858117</v>
          </cell>
          <cell r="W17">
            <v>21888.994740516082</v>
          </cell>
          <cell r="X17">
            <v>22767.125051197025</v>
          </cell>
          <cell r="Y17">
            <v>22666.329701593255</v>
          </cell>
          <cell r="Z17">
            <v>21901.877327505306</v>
          </cell>
          <cell r="AA17">
            <v>20455.687390052208</v>
          </cell>
          <cell r="AB17">
            <v>18686.404925709001</v>
          </cell>
        </row>
        <row r="18">
          <cell r="E18">
            <v>17631.765371032179</v>
          </cell>
          <cell r="F18">
            <v>16485.739667113616</v>
          </cell>
          <cell r="G18">
            <v>15556.334780367943</v>
          </cell>
          <cell r="H18">
            <v>14813.511698950315</v>
          </cell>
          <cell r="I18">
            <v>14435.910521765269</v>
          </cell>
          <cell r="J18">
            <v>14249.686927029656</v>
          </cell>
          <cell r="K18">
            <v>13257.033831194018</v>
          </cell>
          <cell r="L18">
            <v>14072.961110728804</v>
          </cell>
          <cell r="M18">
            <v>15435.83741503585</v>
          </cell>
          <cell r="N18">
            <v>16824.653450599169</v>
          </cell>
          <cell r="O18">
            <v>17678.787333316395</v>
          </cell>
          <cell r="P18">
            <v>18439.367611163667</v>
          </cell>
          <cell r="Q18">
            <v>18892.210555115984</v>
          </cell>
          <cell r="R18">
            <v>18994.299491097372</v>
          </cell>
          <cell r="S18">
            <v>19060.831369475407</v>
          </cell>
          <cell r="T18">
            <v>19100.824694173909</v>
          </cell>
          <cell r="U18">
            <v>18959.71852487254</v>
          </cell>
          <cell r="V18">
            <v>18984.179283858117</v>
          </cell>
          <cell r="W18">
            <v>21888.994740516082</v>
          </cell>
          <cell r="X18">
            <v>22767.125051197025</v>
          </cell>
          <cell r="Y18">
            <v>22666.329701593255</v>
          </cell>
          <cell r="Z18">
            <v>21901.877327505306</v>
          </cell>
          <cell r="AA18">
            <v>20455.687390052208</v>
          </cell>
          <cell r="AB18">
            <v>18686.404925709001</v>
          </cell>
        </row>
        <row r="19">
          <cell r="E19">
            <v>12513.289887406936</v>
          </cell>
          <cell r="F19">
            <v>11589.130134716273</v>
          </cell>
          <cell r="G19">
            <v>10929.013114127305</v>
          </cell>
          <cell r="H19">
            <v>10496.899533481852</v>
          </cell>
          <cell r="I19">
            <v>10528.626591033535</v>
          </cell>
          <cell r="J19">
            <v>11391.132553914027</v>
          </cell>
          <cell r="K19">
            <v>11347.340172826918</v>
          </cell>
          <cell r="L19">
            <v>13034.971718992536</v>
          </cell>
          <cell r="M19">
            <v>14736.694611030674</v>
          </cell>
          <cell r="N19">
            <v>15572.345743500544</v>
          </cell>
          <cell r="O19">
            <v>16570.696515570624</v>
          </cell>
          <cell r="P19">
            <v>17240.501508747311</v>
          </cell>
          <cell r="Q19">
            <v>16403.458189480414</v>
          </cell>
          <cell r="R19">
            <v>17166.799855170124</v>
          </cell>
          <cell r="S19">
            <v>18288.707008560399</v>
          </cell>
          <cell r="T19">
            <v>18432.89565072293</v>
          </cell>
          <cell r="U19">
            <v>18022.499691824181</v>
          </cell>
          <cell r="V19">
            <v>17042.04006259406</v>
          </cell>
          <cell r="W19">
            <v>18213.624261046592</v>
          </cell>
          <cell r="X19">
            <v>18589.337866856225</v>
          </cell>
          <cell r="Y19">
            <v>18122.258277523226</v>
          </cell>
          <cell r="Z19">
            <v>17115.338697456795</v>
          </cell>
          <cell r="AA19">
            <v>15474.183348208378</v>
          </cell>
          <cell r="AB19">
            <v>13823.833166372529</v>
          </cell>
        </row>
        <row r="20">
          <cell r="E20">
            <v>12569.139789285222</v>
          </cell>
          <cell r="F20">
            <v>11713.669604378261</v>
          </cell>
          <cell r="G20">
            <v>10970.14674498229</v>
          </cell>
          <cell r="H20">
            <v>10465.7988205076</v>
          </cell>
          <cell r="I20">
            <v>10273.23440293052</v>
          </cell>
          <cell r="J20">
            <v>10426.065499180226</v>
          </cell>
          <cell r="K20">
            <v>10270.546862131039</v>
          </cell>
          <cell r="L20">
            <v>11788.123685362367</v>
          </cell>
          <cell r="M20">
            <v>13612.76867191782</v>
          </cell>
          <cell r="N20">
            <v>14758.799785484563</v>
          </cell>
          <cell r="O20">
            <v>15695.830062252175</v>
          </cell>
          <cell r="P20">
            <v>16316.463662653943</v>
          </cell>
          <cell r="Q20">
            <v>15944.638137227183</v>
          </cell>
          <cell r="R20">
            <v>15700.280063292576</v>
          </cell>
          <cell r="S20">
            <v>15808.969361557927</v>
          </cell>
          <cell r="T20">
            <v>15806.359700514917</v>
          </cell>
          <cell r="U20">
            <v>15490.480614388965</v>
          </cell>
          <cell r="V20">
            <v>15347.754761141488</v>
          </cell>
          <cell r="W20">
            <v>17287.971066388818</v>
          </cell>
          <cell r="X20">
            <v>17740.915077889</v>
          </cell>
          <cell r="Y20">
            <v>17150.005699405527</v>
          </cell>
          <cell r="Z20">
            <v>16351.929449007504</v>
          </cell>
          <cell r="AA20">
            <v>15267.244667590367</v>
          </cell>
          <cell r="AB20">
            <v>13991.469670357943</v>
          </cell>
        </row>
        <row r="21">
          <cell r="E21">
            <v>12842.24944968403</v>
          </cell>
          <cell r="F21">
            <v>11928.71042981221</v>
          </cell>
          <cell r="G21">
            <v>11222.014701804848</v>
          </cell>
          <cell r="H21">
            <v>10703.595524959899</v>
          </cell>
          <cell r="I21">
            <v>10375.258606905179</v>
          </cell>
          <cell r="J21">
            <v>10306.292981147806</v>
          </cell>
          <cell r="K21">
            <v>9631.7579742538674</v>
          </cell>
          <cell r="L21">
            <v>10285.514937803084</v>
          </cell>
          <cell r="M21">
            <v>11355.992004975797</v>
          </cell>
          <cell r="N21">
            <v>12328.071101259244</v>
          </cell>
          <cell r="O21">
            <v>13037.00259855844</v>
          </cell>
          <cell r="P21">
            <v>13758.028890957041</v>
          </cell>
          <cell r="Q21">
            <v>14171.558853671293</v>
          </cell>
          <cell r="R21">
            <v>14298.27697095797</v>
          </cell>
          <cell r="S21">
            <v>14412.969040983371</v>
          </cell>
          <cell r="T21">
            <v>14501.653579857597</v>
          </cell>
          <cell r="U21">
            <v>14373.729877048794</v>
          </cell>
          <cell r="V21">
            <v>14328.341830660636</v>
          </cell>
          <cell r="W21">
            <v>16490.687914484184</v>
          </cell>
          <cell r="X21">
            <v>17458.718297233445</v>
          </cell>
          <cell r="Y21">
            <v>17475.337182522089</v>
          </cell>
          <cell r="Z21">
            <v>16917.866993720585</v>
          </cell>
          <cell r="AA21">
            <v>15606.466832314407</v>
          </cell>
          <cell r="AB21">
            <v>14039.166885985403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E23">
            <v>15617.329089891889</v>
          </cell>
          <cell r="F23">
            <v>14527.752239664536</v>
          </cell>
          <cell r="G23">
            <v>13706.648951127107</v>
          </cell>
          <cell r="H23">
            <v>13100.656172441166</v>
          </cell>
          <cell r="I23">
            <v>13009.569423474604</v>
          </cell>
          <cell r="J23">
            <v>13669.011164236657</v>
          </cell>
          <cell r="K23">
            <v>13540.801460580256</v>
          </cell>
          <cell r="L23">
            <v>15666.089819555011</v>
          </cell>
          <cell r="M23">
            <v>17809.579529219252</v>
          </cell>
          <cell r="N23">
            <v>18931.401579040968</v>
          </cell>
          <cell r="O23">
            <v>20203.879479526644</v>
          </cell>
          <cell r="P23">
            <v>21032.315802515364</v>
          </cell>
          <cell r="Q23">
            <v>20095.399850578866</v>
          </cell>
          <cell r="R23">
            <v>21095.494518490472</v>
          </cell>
          <cell r="S23">
            <v>22307.68142798189</v>
          </cell>
          <cell r="T23">
            <v>22437.932967975343</v>
          </cell>
          <cell r="U23">
            <v>21961.094066592923</v>
          </cell>
          <cell r="V23">
            <v>20809.419257892027</v>
          </cell>
          <cell r="W23">
            <v>21967.196965439009</v>
          </cell>
          <cell r="X23">
            <v>22304.25928091714</v>
          </cell>
          <cell r="Y23">
            <v>21813.372797225955</v>
          </cell>
          <cell r="Z23">
            <v>20772.93366655719</v>
          </cell>
          <cell r="AA23">
            <v>19145.179557344782</v>
          </cell>
          <cell r="AB23">
            <v>17314.144459199659</v>
          </cell>
        </row>
        <row r="24">
          <cell r="E24">
            <v>15677.22019557677</v>
          </cell>
          <cell r="F24">
            <v>14553.053643623669</v>
          </cell>
          <cell r="G24">
            <v>13761.19042463474</v>
          </cell>
          <cell r="H24">
            <v>13134.532542335142</v>
          </cell>
          <cell r="I24">
            <v>12760.446178006201</v>
          </cell>
          <cell r="J24">
            <v>12703.258954427365</v>
          </cell>
          <cell r="K24">
            <v>12443.954171241778</v>
          </cell>
          <cell r="L24">
            <v>14112.743070563469</v>
          </cell>
          <cell r="M24">
            <v>16124.355095347953</v>
          </cell>
          <cell r="N24">
            <v>17384.07098808033</v>
          </cell>
          <cell r="O24">
            <v>18387.538622801498</v>
          </cell>
          <cell r="P24">
            <v>19029.048287775247</v>
          </cell>
          <cell r="Q24">
            <v>18688.286202607891</v>
          </cell>
          <cell r="R24">
            <v>18441.490218495634</v>
          </cell>
          <cell r="S24">
            <v>18300.519622912256</v>
          </cell>
          <cell r="T24">
            <v>18875.977235216928</v>
          </cell>
          <cell r="U24">
            <v>18066.640628957641</v>
          </cell>
          <cell r="V24">
            <v>17879.366848278285</v>
          </cell>
          <cell r="W24">
            <v>20274.772272059894</v>
          </cell>
          <cell r="X24">
            <v>20651.7914810238</v>
          </cell>
          <cell r="Y24">
            <v>20028.856398062078</v>
          </cell>
          <cell r="Z24">
            <v>19227.211090402419</v>
          </cell>
          <cell r="AA24">
            <v>18163.964377281867</v>
          </cell>
          <cell r="AB24">
            <v>16812.604527150845</v>
          </cell>
        </row>
        <row r="25">
          <cell r="E25">
            <v>15511.60545969041</v>
          </cell>
          <cell r="F25">
            <v>14461.548166145218</v>
          </cell>
          <cell r="G25">
            <v>13524.257623759357</v>
          </cell>
          <cell r="H25">
            <v>12866.674925168514</v>
          </cell>
          <cell r="I25">
            <v>12561.743197980373</v>
          </cell>
          <cell r="J25">
            <v>12363.093676942284</v>
          </cell>
          <cell r="K25">
            <v>11514.852216852731</v>
          </cell>
          <cell r="L25">
            <v>12309.05690930158</v>
          </cell>
          <cell r="M25">
            <v>13459.78019500299</v>
          </cell>
          <cell r="N25">
            <v>14511.951836817283</v>
          </cell>
          <cell r="O25">
            <v>15309.595120087317</v>
          </cell>
          <cell r="P25">
            <v>16063.694245679151</v>
          </cell>
          <cell r="Q25">
            <v>16442.495722929019</v>
          </cell>
          <cell r="R25">
            <v>16539.284126305462</v>
          </cell>
          <cell r="S25">
            <v>16650.055075256063</v>
          </cell>
          <cell r="T25">
            <v>16804.40642526637</v>
          </cell>
          <cell r="U25">
            <v>16534.965425369839</v>
          </cell>
          <cell r="V25">
            <v>16586.771714906503</v>
          </cell>
          <cell r="W25">
            <v>18911.073060664112</v>
          </cell>
          <cell r="X25">
            <v>19770.625476067948</v>
          </cell>
          <cell r="Y25">
            <v>19726.116036328753</v>
          </cell>
          <cell r="Z25">
            <v>19247.085601698098</v>
          </cell>
          <cell r="AA25">
            <v>17958.253588426142</v>
          </cell>
          <cell r="AB25">
            <v>16267.132121471648</v>
          </cell>
        </row>
        <row r="26">
          <cell r="E26">
            <v>15511.60545969041</v>
          </cell>
          <cell r="F26">
            <v>14461.548166145218</v>
          </cell>
          <cell r="G26">
            <v>13524.257623759357</v>
          </cell>
          <cell r="H26">
            <v>12866.674925168514</v>
          </cell>
          <cell r="I26">
            <v>12561.743197980373</v>
          </cell>
          <cell r="J26">
            <v>12363.093676942284</v>
          </cell>
          <cell r="K26">
            <v>11514.852216852731</v>
          </cell>
          <cell r="L26">
            <v>12309.05690930158</v>
          </cell>
          <cell r="M26">
            <v>13459.78019500299</v>
          </cell>
          <cell r="N26">
            <v>14511.951836817283</v>
          </cell>
          <cell r="O26">
            <v>15309.595120087317</v>
          </cell>
          <cell r="P26">
            <v>16063.694245679151</v>
          </cell>
          <cell r="Q26">
            <v>16442.495722929019</v>
          </cell>
          <cell r="R26">
            <v>16539.284126305462</v>
          </cell>
          <cell r="S26">
            <v>16650.055075256063</v>
          </cell>
          <cell r="T26">
            <v>16804.40642526637</v>
          </cell>
          <cell r="U26">
            <v>16534.965425369839</v>
          </cell>
          <cell r="V26">
            <v>16586.771714906503</v>
          </cell>
          <cell r="W26">
            <v>18911.073060664112</v>
          </cell>
          <cell r="X26">
            <v>19770.625476067948</v>
          </cell>
          <cell r="Y26">
            <v>19726.116036328753</v>
          </cell>
          <cell r="Z26">
            <v>19247.085601698098</v>
          </cell>
          <cell r="AA26">
            <v>17958.253588426142</v>
          </cell>
          <cell r="AB26">
            <v>16267.132121471648</v>
          </cell>
        </row>
        <row r="27">
          <cell r="E27">
            <v>9217.2778150894192</v>
          </cell>
          <cell r="F27">
            <v>8604.3103824872633</v>
          </cell>
          <cell r="G27">
            <v>8003.5015122336608</v>
          </cell>
          <cell r="H27">
            <v>7667.6925111311648</v>
          </cell>
          <cell r="I27">
            <v>7587.4533597546706</v>
          </cell>
          <cell r="J27">
            <v>7456.7828620508371</v>
          </cell>
          <cell r="K27">
            <v>7500.0281903825744</v>
          </cell>
          <cell r="L27">
            <v>8905.1063817844897</v>
          </cell>
          <cell r="M27">
            <v>10499.947526723128</v>
          </cell>
          <cell r="N27">
            <v>11442.311173636652</v>
          </cell>
          <cell r="O27">
            <v>12225.722349555617</v>
          </cell>
          <cell r="P27">
            <v>12719.306062423053</v>
          </cell>
          <cell r="Q27">
            <v>12390.004358794347</v>
          </cell>
          <cell r="R27">
            <v>12181.458034365281</v>
          </cell>
          <cell r="S27">
            <v>12300.655660056742</v>
          </cell>
          <cell r="T27">
            <v>12298.08965320405</v>
          </cell>
          <cell r="U27">
            <v>12026.044835099867</v>
          </cell>
          <cell r="V27">
            <v>11927.718736681309</v>
          </cell>
          <cell r="W27">
            <v>13644.998610382452</v>
          </cell>
          <cell r="X27">
            <v>13793.352502877235</v>
          </cell>
          <cell r="Y27">
            <v>13333.109175766298</v>
          </cell>
          <cell r="Z27">
            <v>12696.219388752063</v>
          </cell>
          <cell r="AA27">
            <v>11825.810014288338</v>
          </cell>
          <cell r="AB27">
            <v>10771.448281118814</v>
          </cell>
        </row>
        <row r="28">
          <cell r="E28">
            <v>8726.584254905345</v>
          </cell>
          <cell r="F28">
            <v>8050.0657627378732</v>
          </cell>
          <cell r="G28">
            <v>7536.1767997788756</v>
          </cell>
          <cell r="H28">
            <v>7157.2528328530007</v>
          </cell>
          <cell r="I28">
            <v>7168.6064535901005</v>
          </cell>
          <cell r="J28">
            <v>7318.6821150631204</v>
          </cell>
          <cell r="K28">
            <v>7595.4622205429823</v>
          </cell>
          <cell r="L28">
            <v>8966.0124507621967</v>
          </cell>
          <cell r="M28">
            <v>10374.374958084152</v>
          </cell>
          <cell r="N28">
            <v>11194.769502326359</v>
          </cell>
          <cell r="O28">
            <v>11930.520696481493</v>
          </cell>
          <cell r="P28">
            <v>12438.430278189186</v>
          </cell>
          <cell r="Q28">
            <v>11961.358320829757</v>
          </cell>
          <cell r="R28">
            <v>12296.072908192367</v>
          </cell>
          <cell r="S28">
            <v>12872.43871145181</v>
          </cell>
          <cell r="T28">
            <v>12910.852389103602</v>
          </cell>
          <cell r="U28">
            <v>12628.781969696087</v>
          </cell>
          <cell r="V28">
            <v>12243.749171831398</v>
          </cell>
          <cell r="W28">
            <v>13432.07327300424</v>
          </cell>
          <cell r="X28">
            <v>13591.422636704694</v>
          </cell>
          <cell r="Y28">
            <v>13107.183749647691</v>
          </cell>
          <cell r="Z28">
            <v>12313.068589152645</v>
          </cell>
          <cell r="AA28">
            <v>11066.181032063099</v>
          </cell>
          <cell r="AB28">
            <v>9689.2435560498852</v>
          </cell>
        </row>
        <row r="29">
          <cell r="E29">
            <v>9793.1612352490702</v>
          </cell>
          <cell r="F29">
            <v>9044.079461743484</v>
          </cell>
          <cell r="G29">
            <v>8423.5471320374272</v>
          </cell>
          <cell r="H29">
            <v>8000.251487800233</v>
          </cell>
          <cell r="I29">
            <v>7752.2426320821032</v>
          </cell>
          <cell r="J29">
            <v>7374.0638507270705</v>
          </cell>
          <cell r="K29">
            <v>6995.1550510165634</v>
          </cell>
          <cell r="L29">
            <v>7667.108301291988</v>
          </cell>
          <cell r="M29">
            <v>8555.1612032085486</v>
          </cell>
          <cell r="N29">
            <v>9355.9237319626263</v>
          </cell>
          <cell r="O29">
            <v>9989.0000547510353</v>
          </cell>
          <cell r="P29">
            <v>10505.579973099149</v>
          </cell>
          <cell r="Q29">
            <v>10743.401748156992</v>
          </cell>
          <cell r="R29">
            <v>10787.354233853115</v>
          </cell>
          <cell r="S29">
            <v>10700.744114571611</v>
          </cell>
          <cell r="T29">
            <v>10630.92232652167</v>
          </cell>
          <cell r="U29">
            <v>10471.421609930012</v>
          </cell>
          <cell r="V29">
            <v>10619.221680976198</v>
          </cell>
          <cell r="W29">
            <v>12451.507812808679</v>
          </cell>
          <cell r="X29">
            <v>12976.184703888506</v>
          </cell>
          <cell r="Y29">
            <v>12854.761895266289</v>
          </cell>
          <cell r="Z29">
            <v>12306.740726176933</v>
          </cell>
          <cell r="AA29">
            <v>11251.267725806749</v>
          </cell>
          <cell r="AB29">
            <v>9991.5903165576765</v>
          </cell>
        </row>
        <row r="30">
          <cell r="E30">
            <v>9793.1612352490702</v>
          </cell>
          <cell r="F30">
            <v>9044.079461743484</v>
          </cell>
          <cell r="G30">
            <v>8423.5471320374272</v>
          </cell>
          <cell r="H30">
            <v>8000.251487800233</v>
          </cell>
          <cell r="I30">
            <v>7752.2426320821032</v>
          </cell>
          <cell r="J30">
            <v>7374.0638507270705</v>
          </cell>
          <cell r="K30">
            <v>6995.1550510165634</v>
          </cell>
          <cell r="L30">
            <v>7667.108301291988</v>
          </cell>
          <cell r="M30">
            <v>8555.1612032085486</v>
          </cell>
          <cell r="N30">
            <v>9355.9237319626263</v>
          </cell>
          <cell r="O30">
            <v>9989.0000547510353</v>
          </cell>
          <cell r="P30">
            <v>10505.579973099149</v>
          </cell>
          <cell r="Q30">
            <v>10743.401748156992</v>
          </cell>
          <cell r="R30">
            <v>10787.354233853115</v>
          </cell>
          <cell r="S30">
            <v>10700.744114571611</v>
          </cell>
          <cell r="T30">
            <v>10630.92232652167</v>
          </cell>
          <cell r="U30">
            <v>10471.421609930012</v>
          </cell>
          <cell r="V30">
            <v>10619.221680976198</v>
          </cell>
          <cell r="W30">
            <v>12451.507812808679</v>
          </cell>
          <cell r="X30">
            <v>12976.184703888506</v>
          </cell>
          <cell r="Y30">
            <v>12854.761895266289</v>
          </cell>
          <cell r="Z30">
            <v>12306.740726176933</v>
          </cell>
          <cell r="AA30">
            <v>11251.267725806749</v>
          </cell>
          <cell r="AB30">
            <v>9991.5903165576765</v>
          </cell>
        </row>
        <row r="31">
          <cell r="E31">
            <v>10762.372208570565</v>
          </cell>
          <cell r="F31">
            <v>9942.1850012950563</v>
          </cell>
          <cell r="G31">
            <v>9280.3481113807138</v>
          </cell>
          <cell r="H31">
            <v>8714.3281229879613</v>
          </cell>
          <cell r="I31">
            <v>8561.7556512647243</v>
          </cell>
          <cell r="J31">
            <v>8346.9590906347366</v>
          </cell>
          <cell r="K31">
            <v>8544.2239974491458</v>
          </cell>
          <cell r="L31">
            <v>10001.040026149218</v>
          </cell>
          <cell r="M31">
            <v>11698.927408125775</v>
          </cell>
          <cell r="N31">
            <v>12635.665342835742</v>
          </cell>
          <cell r="O31">
            <v>13230.236468618386</v>
          </cell>
          <cell r="P31">
            <v>13667.155300720206</v>
          </cell>
          <cell r="Q31">
            <v>13346.459872475985</v>
          </cell>
          <cell r="R31">
            <v>13016.458794911847</v>
          </cell>
          <cell r="S31">
            <v>13004.329672106604</v>
          </cell>
          <cell r="T31">
            <v>12902.860440002871</v>
          </cell>
          <cell r="U31">
            <v>12659.619952759815</v>
          </cell>
          <cell r="V31">
            <v>12767.918680546114</v>
          </cell>
          <cell r="W31">
            <v>14696.338765637105</v>
          </cell>
          <cell r="X31">
            <v>14879.652735527699</v>
          </cell>
          <cell r="Y31">
            <v>14239.517644866999</v>
          </cell>
          <cell r="Z31">
            <v>13445.486944603312</v>
          </cell>
          <cell r="AA31">
            <v>12401.294893836628</v>
          </cell>
          <cell r="AB31">
            <v>11231.692229344584</v>
          </cell>
        </row>
        <row r="32">
          <cell r="E32">
            <v>9531.2413664255291</v>
          </cell>
          <cell r="F32">
            <v>8812.4228151371481</v>
          </cell>
          <cell r="G32">
            <v>8286.3134150814985</v>
          </cell>
          <cell r="H32">
            <v>7923.9330934709378</v>
          </cell>
          <cell r="I32">
            <v>7877.4340311727665</v>
          </cell>
          <cell r="J32">
            <v>7861.2458293975269</v>
          </cell>
          <cell r="K32">
            <v>8057.1385920861303</v>
          </cell>
          <cell r="L32">
            <v>9587.3334500961701</v>
          </cell>
          <cell r="M32">
            <v>11083.557986401196</v>
          </cell>
          <cell r="N32">
            <v>11947.544728607132</v>
          </cell>
          <cell r="O32">
            <v>12791.569880382711</v>
          </cell>
          <cell r="P32">
            <v>13399.51120010269</v>
          </cell>
          <cell r="Q32">
            <v>12998.116225647194</v>
          </cell>
          <cell r="R32">
            <v>13189.978334834323</v>
          </cell>
          <cell r="S32">
            <v>13668.766487449404</v>
          </cell>
          <cell r="T32">
            <v>13645.386047378572</v>
          </cell>
          <cell r="U32">
            <v>13376.812191934416</v>
          </cell>
          <cell r="V32">
            <v>13019.843476564936</v>
          </cell>
          <cell r="W32">
            <v>14332.395576492021</v>
          </cell>
          <cell r="X32">
            <v>14696.677041017847</v>
          </cell>
          <cell r="Y32">
            <v>14160.240233459393</v>
          </cell>
          <cell r="Z32">
            <v>13279.438411505162</v>
          </cell>
          <cell r="AA32">
            <v>11955.37920611383</v>
          </cell>
          <cell r="AB32">
            <v>10574.518736477661</v>
          </cell>
        </row>
        <row r="33">
          <cell r="E33">
            <v>9520.537782917283</v>
          </cell>
          <cell r="F33">
            <v>8951.9161258313998</v>
          </cell>
          <cell r="G33">
            <v>8368.763947593503</v>
          </cell>
          <cell r="H33">
            <v>8058.6962298266535</v>
          </cell>
          <cell r="I33">
            <v>7959.2384687824051</v>
          </cell>
          <cell r="J33">
            <v>7637.6172131842741</v>
          </cell>
          <cell r="K33">
            <v>7585.0670126213918</v>
          </cell>
          <cell r="L33">
            <v>8560.2605454531367</v>
          </cell>
          <cell r="M33">
            <v>9690.9933813758034</v>
          </cell>
          <cell r="N33">
            <v>10570.196506579432</v>
          </cell>
          <cell r="O33">
            <v>11238.602017746665</v>
          </cell>
          <cell r="P33">
            <v>12069.060694238269</v>
          </cell>
          <cell r="Q33">
            <v>12534.29147756362</v>
          </cell>
          <cell r="R33">
            <v>12622.450114872503</v>
          </cell>
          <cell r="S33">
            <v>12642.754328590752</v>
          </cell>
          <cell r="T33">
            <v>12677.33280355544</v>
          </cell>
          <cell r="U33">
            <v>12496.977512706613</v>
          </cell>
          <cell r="V33">
            <v>12501.538508336784</v>
          </cell>
          <cell r="W33">
            <v>14561.130748139207</v>
          </cell>
          <cell r="X33">
            <v>15303.577836823559</v>
          </cell>
          <cell r="Y33">
            <v>15179.958119905234</v>
          </cell>
          <cell r="Z33">
            <v>14500.004300700712</v>
          </cell>
          <cell r="AA33">
            <v>13252.943003588218</v>
          </cell>
          <cell r="AB33">
            <v>11795.664291937392</v>
          </cell>
        </row>
        <row r="34">
          <cell r="E34">
            <v>9520.537782917283</v>
          </cell>
          <cell r="F34">
            <v>8951.9161258313998</v>
          </cell>
          <cell r="G34">
            <v>8368.763947593503</v>
          </cell>
          <cell r="H34">
            <v>8058.6962298266535</v>
          </cell>
          <cell r="I34">
            <v>7959.2384687824051</v>
          </cell>
          <cell r="J34">
            <v>7637.6172131842741</v>
          </cell>
          <cell r="K34">
            <v>7585.0670126213918</v>
          </cell>
          <cell r="L34">
            <v>8560.2605454531367</v>
          </cell>
          <cell r="M34">
            <v>9690.9933813758034</v>
          </cell>
          <cell r="N34">
            <v>10570.196506579432</v>
          </cell>
          <cell r="O34">
            <v>11238.602017746665</v>
          </cell>
          <cell r="P34">
            <v>12069.060694238269</v>
          </cell>
          <cell r="Q34">
            <v>12534.29147756362</v>
          </cell>
          <cell r="R34">
            <v>12622.450114872503</v>
          </cell>
          <cell r="S34">
            <v>12642.754328590752</v>
          </cell>
          <cell r="T34">
            <v>12677.33280355544</v>
          </cell>
          <cell r="U34">
            <v>12496.977512706613</v>
          </cell>
          <cell r="V34">
            <v>12501.538508336784</v>
          </cell>
          <cell r="W34">
            <v>14561.130748139207</v>
          </cell>
          <cell r="X34">
            <v>15303.577836823559</v>
          </cell>
          <cell r="Y34">
            <v>15179.958119905234</v>
          </cell>
          <cell r="Z34">
            <v>14500.004300700712</v>
          </cell>
          <cell r="AA34">
            <v>13252.943003588218</v>
          </cell>
          <cell r="AB34">
            <v>11795.664291937392</v>
          </cell>
        </row>
        <row r="35">
          <cell r="E35">
            <v>14792.426674770693</v>
          </cell>
          <cell r="F35">
            <v>13809.830850694798</v>
          </cell>
          <cell r="G35">
            <v>13083.848906703886</v>
          </cell>
          <cell r="H35">
            <v>12599.394712693953</v>
          </cell>
          <cell r="I35">
            <v>12469.98631786765</v>
          </cell>
          <cell r="J35">
            <v>12284.376295468257</v>
          </cell>
          <cell r="K35">
            <v>12572.781773124101</v>
          </cell>
          <cell r="L35">
            <v>14689.500679210818</v>
          </cell>
          <cell r="M35">
            <v>17016.973381589709</v>
          </cell>
          <cell r="N35">
            <v>18448.061727347678</v>
          </cell>
          <cell r="O35">
            <v>19691.660136105318</v>
          </cell>
          <cell r="P35">
            <v>20376.073886304992</v>
          </cell>
          <cell r="Q35">
            <v>20001.445699291424</v>
          </cell>
          <cell r="R35">
            <v>19572.169951915948</v>
          </cell>
          <cell r="S35">
            <v>19592.897671508286</v>
          </cell>
          <cell r="T35">
            <v>19522.183754239555</v>
          </cell>
          <cell r="U35">
            <v>19273.745422077718</v>
          </cell>
          <cell r="V35">
            <v>19299.672102211844</v>
          </cell>
          <cell r="W35">
            <v>21393.05550285046</v>
          </cell>
          <cell r="X35">
            <v>21769.816966750521</v>
          </cell>
          <cell r="Y35">
            <v>20837.092907848535</v>
          </cell>
          <cell r="Z35">
            <v>19772.55938504318</v>
          </cell>
          <cell r="AA35">
            <v>18458.742709474784</v>
          </cell>
          <cell r="AB35">
            <v>16974.264218565477</v>
          </cell>
        </row>
        <row r="36">
          <cell r="E36">
            <v>15382.435239603092</v>
          </cell>
          <cell r="F36">
            <v>14379.393138620704</v>
          </cell>
          <cell r="G36">
            <v>13617.204581971444</v>
          </cell>
          <cell r="H36">
            <v>13088.345315981715</v>
          </cell>
          <cell r="I36">
            <v>13026.109882627588</v>
          </cell>
          <cell r="J36">
            <v>13228.417610872035</v>
          </cell>
          <cell r="K36">
            <v>13352.134344547878</v>
          </cell>
          <cell r="L36">
            <v>15416.706291053833</v>
          </cell>
          <cell r="M36">
            <v>17597.806865067818</v>
          </cell>
          <cell r="N36">
            <v>18859.890036263096</v>
          </cell>
          <cell r="O36">
            <v>20050.815210674984</v>
          </cell>
          <cell r="P36">
            <v>20828.030895029719</v>
          </cell>
          <cell r="Q36">
            <v>20170.346189385749</v>
          </cell>
          <cell r="R36">
            <v>20775.81055185854</v>
          </cell>
          <cell r="S36">
            <v>21651.035114447219</v>
          </cell>
          <cell r="T36">
            <v>21686.038540408943</v>
          </cell>
          <cell r="U36">
            <v>21189.345540738897</v>
          </cell>
          <cell r="V36">
            <v>20328.55299405698</v>
          </cell>
          <cell r="W36">
            <v>21817.497437726684</v>
          </cell>
          <cell r="X36">
            <v>22602.18592930074</v>
          </cell>
          <cell r="Y36">
            <v>21972.733229961126</v>
          </cell>
          <cell r="Z36">
            <v>20829.548741339051</v>
          </cell>
          <cell r="AA36">
            <v>18965.892113020451</v>
          </cell>
          <cell r="AB36">
            <v>17015.656081732082</v>
          </cell>
        </row>
        <row r="37">
          <cell r="E37">
            <v>14401.225825753179</v>
          </cell>
          <cell r="F37">
            <v>13617.07458563106</v>
          </cell>
          <cell r="G37">
            <v>12976.322204396376</v>
          </cell>
          <cell r="H37">
            <v>12561.173417916012</v>
          </cell>
          <cell r="I37">
            <v>12395.576415337207</v>
          </cell>
          <cell r="J37">
            <v>11908.456380272321</v>
          </cell>
          <cell r="K37">
            <v>11685.981641955084</v>
          </cell>
          <cell r="L37">
            <v>13045.287082946776</v>
          </cell>
          <cell r="M37">
            <v>14617.166837315632</v>
          </cell>
          <cell r="N37">
            <v>15596.625163790399</v>
          </cell>
          <cell r="O37">
            <v>16758.147782983458</v>
          </cell>
          <cell r="P37">
            <v>17617.718767302009</v>
          </cell>
          <cell r="Q37">
            <v>18056.118577170357</v>
          </cell>
          <cell r="R37">
            <v>17964.729877925896</v>
          </cell>
          <cell r="S37">
            <v>17773.707718306701</v>
          </cell>
          <cell r="T37">
            <v>17598.092418598691</v>
          </cell>
          <cell r="U37">
            <v>17425.273332459466</v>
          </cell>
          <cell r="V37">
            <v>17763.560642664805</v>
          </cell>
          <cell r="W37">
            <v>20511.577070310566</v>
          </cell>
          <cell r="X37">
            <v>21525.38696017793</v>
          </cell>
          <cell r="Y37">
            <v>21188.793905388782</v>
          </cell>
          <cell r="Z37">
            <v>20221.180685237949</v>
          </cell>
          <cell r="AA37">
            <v>18516.741279695034</v>
          </cell>
          <cell r="AB37">
            <v>16562.232039881896</v>
          </cell>
        </row>
        <row r="38">
          <cell r="E38">
            <v>14401.225825753179</v>
          </cell>
          <cell r="F38">
            <v>13617.07458563106</v>
          </cell>
          <cell r="G38">
            <v>12976.322204396376</v>
          </cell>
          <cell r="H38">
            <v>12561.173417916012</v>
          </cell>
          <cell r="I38">
            <v>12395.576415337207</v>
          </cell>
          <cell r="J38">
            <v>11908.456380272321</v>
          </cell>
          <cell r="K38">
            <v>11685.981641955084</v>
          </cell>
          <cell r="L38">
            <v>13045.287082946776</v>
          </cell>
          <cell r="M38">
            <v>14617.166837315632</v>
          </cell>
          <cell r="N38">
            <v>15596.625163790399</v>
          </cell>
          <cell r="O38">
            <v>16758.147782983458</v>
          </cell>
          <cell r="P38">
            <v>17617.718767302009</v>
          </cell>
          <cell r="Q38">
            <v>18056.118577170357</v>
          </cell>
          <cell r="R38">
            <v>17964.729877925896</v>
          </cell>
          <cell r="S38">
            <v>17773.707718306701</v>
          </cell>
          <cell r="T38">
            <v>17598.092418598691</v>
          </cell>
          <cell r="U38">
            <v>17425.273332459466</v>
          </cell>
          <cell r="V38">
            <v>17763.560642664805</v>
          </cell>
          <cell r="W38">
            <v>20511.577070310566</v>
          </cell>
          <cell r="X38">
            <v>21525.38696017793</v>
          </cell>
          <cell r="Y38">
            <v>21188.793905388782</v>
          </cell>
          <cell r="Z38">
            <v>20221.180685237949</v>
          </cell>
          <cell r="AA38">
            <v>18516.741279695034</v>
          </cell>
          <cell r="AB38">
            <v>16562.232039881896</v>
          </cell>
        </row>
        <row r="39">
          <cell r="E39">
            <v>1874.3451611164182</v>
          </cell>
          <cell r="F39">
            <v>1543.5156492834421</v>
          </cell>
          <cell r="G39">
            <v>1325.4289544025487</v>
          </cell>
          <cell r="H39">
            <v>1163.9826019462625</v>
          </cell>
          <cell r="I39">
            <v>1138.9418742246526</v>
          </cell>
          <cell r="J39">
            <v>1110.3279183939876</v>
          </cell>
          <cell r="K39">
            <v>1166.5771112759558</v>
          </cell>
          <cell r="L39">
            <v>1885.9291517391976</v>
          </cell>
          <cell r="M39">
            <v>2722.8213812578779</v>
          </cell>
          <cell r="N39">
            <v>3196.960431506408</v>
          </cell>
          <cell r="O39">
            <v>3623.4373881206629</v>
          </cell>
          <cell r="P39">
            <v>3817.4845390648115</v>
          </cell>
          <cell r="Q39">
            <v>3702.4582437662411</v>
          </cell>
          <cell r="R39">
            <v>3581.7743455785494</v>
          </cell>
          <cell r="S39">
            <v>3595.8397252820978</v>
          </cell>
          <cell r="T39">
            <v>3619.3749994272857</v>
          </cell>
          <cell r="U39">
            <v>3498.8567061031408</v>
          </cell>
          <cell r="V39">
            <v>3479.763538885858</v>
          </cell>
          <cell r="W39">
            <v>4197.9965039867129</v>
          </cell>
          <cell r="X39">
            <v>4442.4167578348424</v>
          </cell>
          <cell r="Y39">
            <v>4141.7357803939576</v>
          </cell>
          <cell r="Z39">
            <v>3736.4065449732771</v>
          </cell>
          <cell r="AA39">
            <v>3220.6987853251903</v>
          </cell>
          <cell r="AB39">
            <v>2671.2873544635677</v>
          </cell>
        </row>
        <row r="40">
          <cell r="E40">
            <v>2311.8602625896856</v>
          </cell>
          <cell r="F40">
            <v>1928.9083306453958</v>
          </cell>
          <cell r="G40">
            <v>1648.2274416079363</v>
          </cell>
          <cell r="H40">
            <v>1450.1934095281422</v>
          </cell>
          <cell r="I40">
            <v>1436.538752075423</v>
          </cell>
          <cell r="J40">
            <v>1554.4427837955554</v>
          </cell>
          <cell r="K40">
            <v>1592.8845510502688</v>
          </cell>
          <cell r="L40">
            <v>2311.7550721093312</v>
          </cell>
          <cell r="M40">
            <v>3085.528626870625</v>
          </cell>
          <cell r="N40">
            <v>3525.2896228580339</v>
          </cell>
          <cell r="O40">
            <v>3969.7343608603242</v>
          </cell>
          <cell r="P40">
            <v>4290.4608473159424</v>
          </cell>
          <cell r="Q40">
            <v>4047.7624081983904</v>
          </cell>
          <cell r="R40">
            <v>4229.1204063259211</v>
          </cell>
          <cell r="S40">
            <v>4533.8804977625932</v>
          </cell>
          <cell r="T40">
            <v>4533.9687865809465</v>
          </cell>
          <cell r="U40">
            <v>4352.0588630935326</v>
          </cell>
          <cell r="V40">
            <v>4083.7036529598572</v>
          </cell>
          <cell r="W40">
            <v>4707.9732919488233</v>
          </cell>
          <cell r="X40">
            <v>4908.0137350428049</v>
          </cell>
          <cell r="Y40">
            <v>4698.5773050024345</v>
          </cell>
          <cell r="Z40">
            <v>4286.1424005274894</v>
          </cell>
          <cell r="AA40">
            <v>3608.1803755119927</v>
          </cell>
          <cell r="AB40">
            <v>2878.3641188136526</v>
          </cell>
        </row>
        <row r="41">
          <cell r="E41">
            <v>1896.6587763342868</v>
          </cell>
          <cell r="F41">
            <v>1619.6275352236853</v>
          </cell>
          <cell r="G41">
            <v>1385.1264262258264</v>
          </cell>
          <cell r="H41">
            <v>1170.4580900798028</v>
          </cell>
          <cell r="I41">
            <v>1098.3855314113662</v>
          </cell>
          <cell r="J41">
            <v>1003.3530413049275</v>
          </cell>
          <cell r="K41">
            <v>888.93732696331517</v>
          </cell>
          <cell r="L41">
            <v>1328.0507497676817</v>
          </cell>
          <cell r="M41">
            <v>1901.8920291859167</v>
          </cell>
          <cell r="N41">
            <v>2364.95334665681</v>
          </cell>
          <cell r="O41">
            <v>2697.0628667897945</v>
          </cell>
          <cell r="P41">
            <v>2865.3837097339156</v>
          </cell>
          <cell r="Q41">
            <v>3154.1843274639941</v>
          </cell>
          <cell r="R41">
            <v>3173.1546826711237</v>
          </cell>
          <cell r="S41">
            <v>3158.6438795621025</v>
          </cell>
          <cell r="T41">
            <v>3182.0399402550765</v>
          </cell>
          <cell r="U41">
            <v>3118.1388782326176</v>
          </cell>
          <cell r="V41">
            <v>3044.6040564518726</v>
          </cell>
          <cell r="W41">
            <v>3890.4355192093026</v>
          </cell>
          <cell r="X41">
            <v>4378.1234528402765</v>
          </cell>
          <cell r="Y41">
            <v>4251.3072045676308</v>
          </cell>
          <cell r="Z41">
            <v>3934.4222484816419</v>
          </cell>
          <cell r="AA41">
            <v>3398.4751590238084</v>
          </cell>
          <cell r="AB41">
            <v>2801.7376155835964</v>
          </cell>
        </row>
        <row r="42">
          <cell r="E42">
            <v>1896.6587763342868</v>
          </cell>
          <cell r="F42">
            <v>1619.6275352236853</v>
          </cell>
          <cell r="G42">
            <v>1385.1264262258264</v>
          </cell>
          <cell r="H42">
            <v>1170.4580900798028</v>
          </cell>
          <cell r="I42">
            <v>1098.3855314113662</v>
          </cell>
          <cell r="J42">
            <v>1003.3530413049275</v>
          </cell>
          <cell r="K42">
            <v>888.93732696331517</v>
          </cell>
          <cell r="L42">
            <v>1328.0507497676817</v>
          </cell>
          <cell r="M42">
            <v>1901.8920291859167</v>
          </cell>
          <cell r="N42">
            <v>2364.95334665681</v>
          </cell>
          <cell r="O42">
            <v>2697.0628667897945</v>
          </cell>
          <cell r="P42">
            <v>2865.3837097339156</v>
          </cell>
          <cell r="Q42">
            <v>3154.1843274639941</v>
          </cell>
          <cell r="R42">
            <v>3173.1546826711237</v>
          </cell>
          <cell r="S42">
            <v>3158.6438795621025</v>
          </cell>
          <cell r="T42">
            <v>3182.0399402550765</v>
          </cell>
          <cell r="U42">
            <v>3118.1388782326176</v>
          </cell>
          <cell r="V42">
            <v>3044.6040564518726</v>
          </cell>
          <cell r="W42">
            <v>3890.4355192093026</v>
          </cell>
          <cell r="X42">
            <v>4378.1234528402765</v>
          </cell>
          <cell r="Y42">
            <v>4251.3072045676308</v>
          </cell>
          <cell r="Z42">
            <v>3934.4222484816419</v>
          </cell>
          <cell r="AA42">
            <v>3398.4751590238084</v>
          </cell>
          <cell r="AB42">
            <v>2801.7376155835964</v>
          </cell>
        </row>
        <row r="43">
          <cell r="E43">
            <v>4056.2816186963628</v>
          </cell>
          <cell r="F43">
            <v>3568.2724956277616</v>
          </cell>
          <cell r="G43">
            <v>3204.1622322852236</v>
          </cell>
          <cell r="H43">
            <v>2960.3225557751666</v>
          </cell>
          <cell r="I43">
            <v>2870.7545743484579</v>
          </cell>
          <cell r="J43">
            <v>2848.1911109666798</v>
          </cell>
          <cell r="K43">
            <v>2873.9662034647863</v>
          </cell>
          <cell r="L43">
            <v>3782.5307557201686</v>
          </cell>
          <cell r="M43">
            <v>4805.5247853824931</v>
          </cell>
          <cell r="N43">
            <v>5434.2496547551254</v>
          </cell>
          <cell r="O43">
            <v>5956.3981108571443</v>
          </cell>
          <cell r="P43">
            <v>6289.4915353568631</v>
          </cell>
          <cell r="Q43">
            <v>6102.1664653205899</v>
          </cell>
          <cell r="R43">
            <v>5943.9540874525592</v>
          </cell>
          <cell r="S43">
            <v>5927.4749945252261</v>
          </cell>
          <cell r="T43">
            <v>5838.3060049510368</v>
          </cell>
          <cell r="U43">
            <v>5621.0448752819557</v>
          </cell>
          <cell r="V43">
            <v>5606.9599522952412</v>
          </cell>
          <cell r="W43">
            <v>6568.6063222560097</v>
          </cell>
          <cell r="X43">
            <v>6717.085924828787</v>
          </cell>
          <cell r="Y43">
            <v>6373.7114212394135</v>
          </cell>
          <cell r="Z43">
            <v>5900.2975951962908</v>
          </cell>
          <cell r="AA43">
            <v>5232.4510276205874</v>
          </cell>
          <cell r="AB43">
            <v>4521.2447681264421</v>
          </cell>
        </row>
        <row r="44">
          <cell r="E44">
            <v>3936.6334202514954</v>
          </cell>
          <cell r="F44">
            <v>3493.0489885604402</v>
          </cell>
          <cell r="G44">
            <v>3153.7824233897227</v>
          </cell>
          <cell r="H44">
            <v>2914.5330375144185</v>
          </cell>
          <cell r="I44">
            <v>2891.69278417231</v>
          </cell>
          <cell r="J44">
            <v>3020.797636585613</v>
          </cell>
          <cell r="K44">
            <v>3106.3859478153563</v>
          </cell>
          <cell r="L44">
            <v>4031.1825876214862</v>
          </cell>
          <cell r="M44">
            <v>4978.8603281988708</v>
          </cell>
          <cell r="N44">
            <v>5515.6983829656019</v>
          </cell>
          <cell r="O44">
            <v>6072.9362273808092</v>
          </cell>
          <cell r="P44">
            <v>6449.9796499349468</v>
          </cell>
          <cell r="Q44">
            <v>6156.1852452458716</v>
          </cell>
          <cell r="R44">
            <v>6420.0282482022576</v>
          </cell>
          <cell r="S44">
            <v>6816.6281311906878</v>
          </cell>
          <cell r="T44">
            <v>6825.031894045087</v>
          </cell>
          <cell r="U44">
            <v>6607.0606391145411</v>
          </cell>
          <cell r="V44">
            <v>6411.9724786988172</v>
          </cell>
          <cell r="W44">
            <v>7250.2215856378043</v>
          </cell>
          <cell r="X44">
            <v>7200.4641772868999</v>
          </cell>
          <cell r="Y44">
            <v>6885.6103091256846</v>
          </cell>
          <cell r="Z44">
            <v>6340.8623685310122</v>
          </cell>
          <cell r="AA44">
            <v>5472.6317713512544</v>
          </cell>
          <cell r="AB44">
            <v>4581.8770021263281</v>
          </cell>
        </row>
        <row r="45">
          <cell r="E45">
            <v>3932.1800900740982</v>
          </cell>
          <cell r="F45">
            <v>3466.6720286450764</v>
          </cell>
          <cell r="G45">
            <v>3105.1268744399304</v>
          </cell>
          <cell r="H45">
            <v>2843.6322096361073</v>
          </cell>
          <cell r="I45">
            <v>2733.8943147626123</v>
          </cell>
          <cell r="J45">
            <v>2586.0308154224267</v>
          </cell>
          <cell r="K45">
            <v>2424.2573076224617</v>
          </cell>
          <cell r="L45">
            <v>2964.3587923673113</v>
          </cell>
          <cell r="M45">
            <v>3559.0023539384656</v>
          </cell>
          <cell r="N45">
            <v>4094.9202595789066</v>
          </cell>
          <cell r="O45">
            <v>4603.0196071365444</v>
          </cell>
          <cell r="P45">
            <v>5037.7686426482942</v>
          </cell>
          <cell r="Q45">
            <v>5197.7474165303047</v>
          </cell>
          <cell r="R45">
            <v>5148.7996139505758</v>
          </cell>
          <cell r="S45">
            <v>5103.1879886751412</v>
          </cell>
          <cell r="T45">
            <v>5135.3848805691505</v>
          </cell>
          <cell r="U45">
            <v>5042.9269070596929</v>
          </cell>
          <cell r="V45">
            <v>5031.5647569926787</v>
          </cell>
          <cell r="W45">
            <v>6194.9923574596833</v>
          </cell>
          <cell r="X45">
            <v>6825.7067519279899</v>
          </cell>
          <cell r="Y45">
            <v>6762.6361330768323</v>
          </cell>
          <cell r="Z45">
            <v>6320.0485853253958</v>
          </cell>
          <cell r="AA45">
            <v>5552.6089101420075</v>
          </cell>
          <cell r="AB45">
            <v>4711.9210414855861</v>
          </cell>
        </row>
        <row r="46">
          <cell r="E46">
            <v>3932.1800900740982</v>
          </cell>
          <cell r="F46">
            <v>3466.6720286450764</v>
          </cell>
          <cell r="G46">
            <v>3105.1268744399304</v>
          </cell>
          <cell r="H46">
            <v>2843.6322096361073</v>
          </cell>
          <cell r="I46">
            <v>2733.8943147626123</v>
          </cell>
          <cell r="J46">
            <v>2586.0308154224267</v>
          </cell>
          <cell r="K46">
            <v>2424.2573076224617</v>
          </cell>
          <cell r="L46">
            <v>2964.3587923673113</v>
          </cell>
          <cell r="M46">
            <v>3559.0023539384656</v>
          </cell>
          <cell r="N46">
            <v>4094.9202595789066</v>
          </cell>
          <cell r="O46">
            <v>4603.0196071365444</v>
          </cell>
          <cell r="P46">
            <v>5037.7686426482942</v>
          </cell>
          <cell r="Q46">
            <v>5197.7474165303047</v>
          </cell>
          <cell r="R46">
            <v>5148.7996139505758</v>
          </cell>
          <cell r="S46">
            <v>5103.1879886751412</v>
          </cell>
          <cell r="T46">
            <v>5135.3848805691505</v>
          </cell>
          <cell r="U46">
            <v>5042.9269070596929</v>
          </cell>
          <cell r="V46">
            <v>5031.5647569926787</v>
          </cell>
          <cell r="W46">
            <v>6194.9923574596833</v>
          </cell>
          <cell r="X46">
            <v>6825.7067519279899</v>
          </cell>
          <cell r="Y46">
            <v>6762.6361330768323</v>
          </cell>
          <cell r="Z46">
            <v>6320.0485853253958</v>
          </cell>
          <cell r="AA46">
            <v>5552.6089101420075</v>
          </cell>
          <cell r="AB46">
            <v>4711.9210414855861</v>
          </cell>
        </row>
        <row r="47">
          <cell r="E47">
            <v>5378.0286289662545</v>
          </cell>
          <cell r="F47">
            <v>4848.343861409312</v>
          </cell>
          <cell r="G47">
            <v>4438.5180862859997</v>
          </cell>
          <cell r="H47">
            <v>4148.1865111646966</v>
          </cell>
          <cell r="I47">
            <v>4062.9981918213671</v>
          </cell>
          <cell r="J47">
            <v>3945.9949443588102</v>
          </cell>
          <cell r="K47">
            <v>4003.8661082588878</v>
          </cell>
          <cell r="L47">
            <v>5074.6520559671844</v>
          </cell>
          <cell r="M47">
            <v>6218.2684278477027</v>
          </cell>
          <cell r="N47">
            <v>6877.8001122637233</v>
          </cell>
          <cell r="O47">
            <v>7439.6958976124915</v>
          </cell>
          <cell r="P47">
            <v>7718.6433835194039</v>
          </cell>
          <cell r="Q47">
            <v>7477.4566858324761</v>
          </cell>
          <cell r="R47">
            <v>7297.3716429970973</v>
          </cell>
          <cell r="S47">
            <v>7282.6718932902404</v>
          </cell>
          <cell r="T47">
            <v>7261.5593902156979</v>
          </cell>
          <cell r="U47">
            <v>7078.1891632175793</v>
          </cell>
          <cell r="V47">
            <v>7219.6593623031749</v>
          </cell>
          <cell r="W47">
            <v>8489.6365488543888</v>
          </cell>
          <cell r="X47">
            <v>8360.9084313995481</v>
          </cell>
          <cell r="Y47">
            <v>7897.2153843282413</v>
          </cell>
          <cell r="Z47">
            <v>7320.9227655196373</v>
          </cell>
          <cell r="AA47">
            <v>6627.6019640696031</v>
          </cell>
          <cell r="AB47">
            <v>5863.2614634117599</v>
          </cell>
        </row>
        <row r="48">
          <cell r="E48">
            <v>4701.8477557404021</v>
          </cell>
          <cell r="F48">
            <v>4213.5714061185081</v>
          </cell>
          <cell r="G48">
            <v>3872.85516243444</v>
          </cell>
          <cell r="H48">
            <v>3621.7065579121409</v>
          </cell>
          <cell r="I48">
            <v>3625.8265260513308</v>
          </cell>
          <cell r="J48">
            <v>3768.7810683713706</v>
          </cell>
          <cell r="K48">
            <v>3947.2693097528681</v>
          </cell>
          <cell r="L48">
            <v>5038.8390617175664</v>
          </cell>
          <cell r="M48">
            <v>6102.0371944429826</v>
          </cell>
          <cell r="N48">
            <v>6682.2442821508066</v>
          </cell>
          <cell r="O48">
            <v>7296.1700076906764</v>
          </cell>
          <cell r="P48">
            <v>7719.2986957763242</v>
          </cell>
          <cell r="Q48">
            <v>7355.0619680956279</v>
          </cell>
          <cell r="R48">
            <v>7632.9226271049774</v>
          </cell>
          <cell r="S48">
            <v>8101.6491079860371</v>
          </cell>
          <cell r="T48">
            <v>8125.2770651523988</v>
          </cell>
          <cell r="U48">
            <v>7853.6461029247857</v>
          </cell>
          <cell r="V48">
            <v>7889.1142482516934</v>
          </cell>
          <cell r="W48">
            <v>8666.3864014541196</v>
          </cell>
          <cell r="X48">
            <v>8434.2632225557682</v>
          </cell>
          <cell r="Y48">
            <v>8004.6386241180135</v>
          </cell>
          <cell r="Z48">
            <v>7372.039167217401</v>
          </cell>
          <cell r="AA48">
            <v>6460.5100792293088</v>
          </cell>
          <cell r="AB48">
            <v>5513.4565737729499</v>
          </cell>
        </row>
        <row r="49">
          <cell r="E49">
            <v>4997.5995875676126</v>
          </cell>
          <cell r="F49">
            <v>4511.2070205426062</v>
          </cell>
          <cell r="G49">
            <v>4151.1483149359719</v>
          </cell>
          <cell r="H49">
            <v>3879.1773138715489</v>
          </cell>
          <cell r="I49">
            <v>3893.4019856309842</v>
          </cell>
          <cell r="J49">
            <v>4173.6853970783468</v>
          </cell>
          <cell r="K49">
            <v>4350.2887745551361</v>
          </cell>
          <cell r="L49">
            <v>5508.3452096676774</v>
          </cell>
          <cell r="M49">
            <v>6654.9855253684018</v>
          </cell>
          <cell r="N49">
            <v>7261.9907302077881</v>
          </cell>
          <cell r="O49">
            <v>7952.962528353366</v>
          </cell>
          <cell r="P49">
            <v>8418.1464821660265</v>
          </cell>
          <cell r="Q49">
            <v>7945.8607470467177</v>
          </cell>
          <cell r="R49">
            <v>8403.6562651664281</v>
          </cell>
          <cell r="S49">
            <v>9052.8485481011267</v>
          </cell>
          <cell r="T49">
            <v>9070.4548659802076</v>
          </cell>
          <cell r="U49">
            <v>8751.0715695141134</v>
          </cell>
          <cell r="V49">
            <v>8354.01226392627</v>
          </cell>
          <cell r="W49">
            <v>9134.65798212749</v>
          </cell>
          <cell r="X49">
            <v>9030.2642244715207</v>
          </cell>
          <cell r="Y49">
            <v>8668.3202180235512</v>
          </cell>
          <cell r="Z49">
            <v>8022.6053346408225</v>
          </cell>
          <cell r="AA49">
            <v>6955.3580811903066</v>
          </cell>
          <cell r="AB49">
            <v>5882.9075600363158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E51">
            <v>3787.2223224250847</v>
          </cell>
          <cell r="F51">
            <v>3342.8720886816936</v>
          </cell>
          <cell r="G51">
            <v>2989.1904712597307</v>
          </cell>
          <cell r="H51">
            <v>2696.8372528502177</v>
          </cell>
          <cell r="I51">
            <v>2585.9073337791851</v>
          </cell>
          <cell r="J51">
            <v>2524.306554765476</v>
          </cell>
          <cell r="K51">
            <v>2683.1363144209754</v>
          </cell>
          <cell r="L51">
            <v>3647.1307811694569</v>
          </cell>
          <cell r="M51">
            <v>4632.4466338882703</v>
          </cell>
          <cell r="N51">
            <v>5204.4255205791051</v>
          </cell>
          <cell r="O51">
            <v>5731.5816978562452</v>
          </cell>
          <cell r="P51">
            <v>6008.0934389863978</v>
          </cell>
          <cell r="Q51">
            <v>5812.4529805375369</v>
          </cell>
          <cell r="R51">
            <v>5684.3649163128339</v>
          </cell>
          <cell r="S51">
            <v>5728.3581007342236</v>
          </cell>
          <cell r="T51">
            <v>5707.1873090446534</v>
          </cell>
          <cell r="U51">
            <v>5569.4967503833504</v>
          </cell>
          <cell r="V51">
            <v>5844.2863498844326</v>
          </cell>
          <cell r="W51">
            <v>6832.9241616631243</v>
          </cell>
          <cell r="X51">
            <v>6635.2062560085833</v>
          </cell>
          <cell r="Y51">
            <v>6223.5498790757174</v>
          </cell>
          <cell r="Z51">
            <v>5700.3858861795197</v>
          </cell>
          <cell r="AA51">
            <v>5076.4111380615013</v>
          </cell>
          <cell r="AB51">
            <v>4409.2108055717872</v>
          </cell>
        </row>
        <row r="52">
          <cell r="E52">
            <v>3167.4004165198394</v>
          </cell>
          <cell r="F52">
            <v>2763.9882298520915</v>
          </cell>
          <cell r="G52">
            <v>2465.507720853825</v>
          </cell>
          <cell r="H52">
            <v>2286.6108813943792</v>
          </cell>
          <cell r="I52">
            <v>2311.632327559787</v>
          </cell>
          <cell r="J52">
            <v>2454.0938590229925</v>
          </cell>
          <cell r="K52">
            <v>2589.1836538571924</v>
          </cell>
          <cell r="L52">
            <v>3477.2735234604261</v>
          </cell>
          <cell r="M52">
            <v>4363.8395847604897</v>
          </cell>
          <cell r="N52">
            <v>4883.362666252222</v>
          </cell>
          <cell r="O52">
            <v>5360.0522230476563</v>
          </cell>
          <cell r="P52">
            <v>5715.6206246659531</v>
          </cell>
          <cell r="Q52">
            <v>5414.0812508592189</v>
          </cell>
          <cell r="R52">
            <v>5550.6920299798767</v>
          </cell>
          <cell r="S52">
            <v>5861.8372726838534</v>
          </cell>
          <cell r="T52">
            <v>5891.409131159864</v>
          </cell>
          <cell r="U52">
            <v>5750.2188738956302</v>
          </cell>
          <cell r="V52">
            <v>5945.5303942289647</v>
          </cell>
          <cell r="W52">
            <v>6700.8868357181982</v>
          </cell>
          <cell r="X52">
            <v>6473.4438447489338</v>
          </cell>
          <cell r="Y52">
            <v>6027.5901451956088</v>
          </cell>
          <cell r="Z52">
            <v>5413.7286795530235</v>
          </cell>
          <cell r="AA52">
            <v>4613.2646499816692</v>
          </cell>
          <cell r="AB52">
            <v>3810.9883794854923</v>
          </cell>
        </row>
        <row r="53">
          <cell r="E53">
            <v>3254.7226508233398</v>
          </cell>
          <cell r="F53">
            <v>2905.2412496910292</v>
          </cell>
          <cell r="G53">
            <v>2627.2783109923694</v>
          </cell>
          <cell r="H53">
            <v>2456.2200803477326</v>
          </cell>
          <cell r="I53">
            <v>2396.8310089950155</v>
          </cell>
          <cell r="J53">
            <v>2280.2570352619068</v>
          </cell>
          <cell r="K53">
            <v>2107.072176442668</v>
          </cell>
          <cell r="L53">
            <v>2665.7733682251719</v>
          </cell>
          <cell r="M53">
            <v>3129.2716916915888</v>
          </cell>
          <cell r="N53">
            <v>3775.2619236151149</v>
          </cell>
          <cell r="O53">
            <v>4279.4260876654153</v>
          </cell>
          <cell r="P53">
            <v>4678.1749731513028</v>
          </cell>
          <cell r="Q53">
            <v>4880.5058383000414</v>
          </cell>
          <cell r="R53">
            <v>4884.6969902140336</v>
          </cell>
          <cell r="S53">
            <v>4901.0322516011202</v>
          </cell>
          <cell r="T53">
            <v>4925.9659258913234</v>
          </cell>
          <cell r="U53">
            <v>4836.3075835976415</v>
          </cell>
          <cell r="V53">
            <v>5254.1164279461773</v>
          </cell>
          <cell r="W53">
            <v>6425.2075572757021</v>
          </cell>
          <cell r="X53">
            <v>6565.0828997099015</v>
          </cell>
          <cell r="Y53">
            <v>6383.386502399806</v>
          </cell>
          <cell r="Z53">
            <v>5953.8499713807632</v>
          </cell>
          <cell r="AA53">
            <v>5137.4343996755015</v>
          </cell>
          <cell r="AB53">
            <v>4264.3120938424763</v>
          </cell>
        </row>
        <row r="54">
          <cell r="E54">
            <v>3254.7226508233398</v>
          </cell>
          <cell r="F54">
            <v>2905.2412496910292</v>
          </cell>
          <cell r="G54">
            <v>2627.2783109923694</v>
          </cell>
          <cell r="H54">
            <v>2456.2200803477326</v>
          </cell>
          <cell r="I54">
            <v>2396.8310089950155</v>
          </cell>
          <cell r="J54">
            <v>2280.2570352619068</v>
          </cell>
          <cell r="K54">
            <v>2107.072176442668</v>
          </cell>
          <cell r="L54">
            <v>2665.7733682251719</v>
          </cell>
          <cell r="M54">
            <v>3129.2716916915888</v>
          </cell>
          <cell r="N54">
            <v>3775.2619236151149</v>
          </cell>
          <cell r="O54">
            <v>4279.4260876654153</v>
          </cell>
          <cell r="P54">
            <v>4678.1749731513028</v>
          </cell>
          <cell r="Q54">
            <v>4880.5058383000414</v>
          </cell>
          <cell r="R54">
            <v>4884.6969902140336</v>
          </cell>
          <cell r="S54">
            <v>4901.0322516011202</v>
          </cell>
          <cell r="T54">
            <v>4925.9659258913234</v>
          </cell>
          <cell r="U54">
            <v>4836.3075835976415</v>
          </cell>
          <cell r="V54">
            <v>5254.1164279461773</v>
          </cell>
          <cell r="W54">
            <v>6425.2075572757021</v>
          </cell>
          <cell r="X54">
            <v>6565.0828997099015</v>
          </cell>
          <cell r="Y54">
            <v>6383.386502399806</v>
          </cell>
          <cell r="Z54">
            <v>5953.8499713807632</v>
          </cell>
          <cell r="AA54">
            <v>5137.4343996755015</v>
          </cell>
          <cell r="AB54">
            <v>4264.3120938424763</v>
          </cell>
        </row>
        <row r="55">
          <cell r="E55">
            <v>1374.3340622345077</v>
          </cell>
          <cell r="F55">
            <v>1062.498430253574</v>
          </cell>
          <cell r="G55">
            <v>837.26739704096508</v>
          </cell>
          <cell r="H55">
            <v>689.8029799796841</v>
          </cell>
          <cell r="I55">
            <v>691.11930648597445</v>
          </cell>
          <cell r="J55">
            <v>738.46184845728931</v>
          </cell>
          <cell r="K55">
            <v>778.16645426764626</v>
          </cell>
          <cell r="L55">
            <v>1502.7670548462766</v>
          </cell>
          <cell r="M55">
            <v>2276.142035274539</v>
          </cell>
          <cell r="N55">
            <v>2768.5244574098506</v>
          </cell>
          <cell r="O55">
            <v>3140.2964456260561</v>
          </cell>
          <cell r="P55">
            <v>3335.2982296466798</v>
          </cell>
          <cell r="Q55">
            <v>3168.0005169961269</v>
          </cell>
          <cell r="R55">
            <v>3025.6459233207042</v>
          </cell>
          <cell r="S55">
            <v>3005.7226923800699</v>
          </cell>
          <cell r="T55">
            <v>2986.663246115565</v>
          </cell>
          <cell r="U55">
            <v>2904.9002719152841</v>
          </cell>
          <cell r="V55">
            <v>3168.4563431786682</v>
          </cell>
          <cell r="W55">
            <v>3889.7185043820555</v>
          </cell>
          <cell r="X55">
            <v>3702.5179657035296</v>
          </cell>
          <cell r="Y55">
            <v>3349.457422159152</v>
          </cell>
          <cell r="Z55">
            <v>2950.0320254553453</v>
          </cell>
          <cell r="AA55">
            <v>2455.4353907767227</v>
          </cell>
          <cell r="AB55">
            <v>1919.0077068208266</v>
          </cell>
        </row>
        <row r="56">
          <cell r="E56">
            <v>1946.7874152257527</v>
          </cell>
          <cell r="F56">
            <v>1595.1596179975877</v>
          </cell>
          <cell r="G56">
            <v>1335.3327924841142</v>
          </cell>
          <cell r="H56">
            <v>1156.6118790887786</v>
          </cell>
          <cell r="I56">
            <v>1118.7622899298549</v>
          </cell>
          <cell r="J56">
            <v>1161.2767775468037</v>
          </cell>
          <cell r="K56">
            <v>1128.2051749654938</v>
          </cell>
          <cell r="L56">
            <v>1826.3825339768819</v>
          </cell>
          <cell r="M56">
            <v>2552.3329267415866</v>
          </cell>
          <cell r="N56">
            <v>2973.0115074607047</v>
          </cell>
          <cell r="O56">
            <v>3344.2814721589566</v>
          </cell>
          <cell r="P56">
            <v>3633.8274804025368</v>
          </cell>
          <cell r="Q56">
            <v>3447.6547884801839</v>
          </cell>
          <cell r="R56">
            <v>3535.6623940582322</v>
          </cell>
          <cell r="S56">
            <v>3779.5584018504651</v>
          </cell>
          <cell r="T56">
            <v>3793.3292382909749</v>
          </cell>
          <cell r="U56">
            <v>3653.9662004755191</v>
          </cell>
          <cell r="V56">
            <v>3676.4522699623103</v>
          </cell>
          <cell r="W56">
            <v>4405.9942429420971</v>
          </cell>
          <cell r="X56">
            <v>4255.2263467122157</v>
          </cell>
          <cell r="Y56">
            <v>3956.6997423734429</v>
          </cell>
          <cell r="Z56">
            <v>3561.0936868182816</v>
          </cell>
          <cell r="AA56">
            <v>3030.6477305106955</v>
          </cell>
          <cell r="AB56">
            <v>2434.815056606828</v>
          </cell>
        </row>
        <row r="57">
          <cell r="E57">
            <v>1405.6471477121268</v>
          </cell>
          <cell r="F57">
            <v>1065.3042455044369</v>
          </cell>
          <cell r="G57">
            <v>806.94506790491778</v>
          </cell>
          <cell r="H57">
            <v>608.50421754248873</v>
          </cell>
          <cell r="I57">
            <v>541.2680736818038</v>
          </cell>
          <cell r="J57">
            <v>456.76364356135036</v>
          </cell>
          <cell r="K57">
            <v>303.60618598719884</v>
          </cell>
          <cell r="L57">
            <v>652.94541852454677</v>
          </cell>
          <cell r="M57">
            <v>1072.3855887566197</v>
          </cell>
          <cell r="N57">
            <v>1399.830070487008</v>
          </cell>
          <cell r="O57">
            <v>1668.0445413834968</v>
          </cell>
          <cell r="P57">
            <v>1905.7879089690796</v>
          </cell>
          <cell r="Q57">
            <v>1979.9756991028262</v>
          </cell>
          <cell r="R57">
            <v>2015.3564200640476</v>
          </cell>
          <cell r="S57">
            <v>1914.5396598661264</v>
          </cell>
          <cell r="T57">
            <v>1921.607586189436</v>
          </cell>
          <cell r="U57">
            <v>1938.4041835434637</v>
          </cell>
          <cell r="V57">
            <v>2375.2129874825132</v>
          </cell>
          <cell r="W57">
            <v>3229.5177648039244</v>
          </cell>
          <cell r="X57">
            <v>3260.0239477934556</v>
          </cell>
          <cell r="Y57">
            <v>3003.1170129849143</v>
          </cell>
          <cell r="Z57">
            <v>2523.0327435194513</v>
          </cell>
          <cell r="AA57">
            <v>1915.6110575406201</v>
          </cell>
          <cell r="AB57">
            <v>1343.5555575167309</v>
          </cell>
        </row>
        <row r="58">
          <cell r="E58">
            <v>1405.6471477121268</v>
          </cell>
          <cell r="F58">
            <v>1065.3042455044369</v>
          </cell>
          <cell r="G58">
            <v>806.94506790491778</v>
          </cell>
          <cell r="H58">
            <v>608.50421754248873</v>
          </cell>
          <cell r="I58">
            <v>541.2680736818038</v>
          </cell>
          <cell r="J58">
            <v>456.76364356135036</v>
          </cell>
          <cell r="K58">
            <v>303.60618598719884</v>
          </cell>
          <cell r="L58">
            <v>652.94541852454677</v>
          </cell>
          <cell r="M58">
            <v>1072.3855887566197</v>
          </cell>
          <cell r="N58">
            <v>1399.830070487008</v>
          </cell>
          <cell r="O58">
            <v>1668.0445413834968</v>
          </cell>
          <cell r="P58">
            <v>1905.7879089690796</v>
          </cell>
          <cell r="Q58">
            <v>1979.9756991028262</v>
          </cell>
          <cell r="R58">
            <v>2015.3564200640476</v>
          </cell>
          <cell r="S58">
            <v>1914.5396598661264</v>
          </cell>
          <cell r="T58">
            <v>1921.607586189436</v>
          </cell>
          <cell r="U58">
            <v>1938.4041835434637</v>
          </cell>
          <cell r="V58">
            <v>2375.2129874825132</v>
          </cell>
          <cell r="W58">
            <v>3229.5177648039244</v>
          </cell>
          <cell r="X58">
            <v>3260.0239477934556</v>
          </cell>
          <cell r="Y58">
            <v>3003.1170129849143</v>
          </cell>
          <cell r="Z58">
            <v>2523.0327435194513</v>
          </cell>
          <cell r="AA58">
            <v>1915.6110575406201</v>
          </cell>
          <cell r="AB58">
            <v>1343.5555575167309</v>
          </cell>
        </row>
        <row r="59">
          <cell r="E59">
            <v>11620.449076880595</v>
          </cell>
          <cell r="F59">
            <v>10743.322662823955</v>
          </cell>
          <cell r="G59">
            <v>10080.320291759434</v>
          </cell>
          <cell r="H59">
            <v>9619.4796381384967</v>
          </cell>
          <cell r="I59">
            <v>9518.2185622722445</v>
          </cell>
          <cell r="J59">
            <v>9591.9673125877744</v>
          </cell>
          <cell r="K59">
            <v>9422.8284064581858</v>
          </cell>
          <cell r="L59">
            <v>10969.968826743727</v>
          </cell>
          <cell r="M59">
            <v>12658.501644340751</v>
          </cell>
          <cell r="N59">
            <v>13726.83399275038</v>
          </cell>
          <cell r="O59">
            <v>14513.139052666233</v>
          </cell>
          <cell r="P59">
            <v>14984.974602439339</v>
          </cell>
          <cell r="Q59">
            <v>14552.569639683457</v>
          </cell>
          <cell r="R59">
            <v>14242.415438966833</v>
          </cell>
          <cell r="S59">
            <v>14289.189544552752</v>
          </cell>
          <cell r="T59">
            <v>14275.742573004627</v>
          </cell>
          <cell r="U59">
            <v>14036.784541492405</v>
          </cell>
          <cell r="V59">
            <v>14547.33575092944</v>
          </cell>
          <cell r="W59">
            <v>16526.982629890139</v>
          </cell>
          <cell r="X59">
            <v>16057.902157964654</v>
          </cell>
          <cell r="Y59">
            <v>15152.338402702808</v>
          </cell>
          <cell r="Z59">
            <v>14160.478195925447</v>
          </cell>
          <cell r="AA59">
            <v>13198.375272405829</v>
          </cell>
          <cell r="AB59">
            <v>12120.254591528228</v>
          </cell>
        </row>
        <row r="60">
          <cell r="E60">
            <v>11312.831221715684</v>
          </cell>
          <cell r="F60">
            <v>10489.25123556011</v>
          </cell>
          <cell r="G60">
            <v>9870.7413748231193</v>
          </cell>
          <cell r="H60">
            <v>9441.2390068768709</v>
          </cell>
          <cell r="I60">
            <v>9394.1190919016171</v>
          </cell>
          <cell r="J60">
            <v>9626.2337688353255</v>
          </cell>
          <cell r="K60">
            <v>9688.4103430322048</v>
          </cell>
          <cell r="L60">
            <v>11299.837675262108</v>
          </cell>
          <cell r="M60">
            <v>12970.564050405726</v>
          </cell>
          <cell r="N60">
            <v>13936.15034147054</v>
          </cell>
          <cell r="O60">
            <v>14879.775307245862</v>
          </cell>
          <cell r="P60">
            <v>15542.869805167455</v>
          </cell>
          <cell r="Q60">
            <v>15025.76290536025</v>
          </cell>
          <cell r="R60">
            <v>15423.280981369029</v>
          </cell>
          <cell r="S60">
            <v>16096.070334869186</v>
          </cell>
          <cell r="T60">
            <v>16143.193974382586</v>
          </cell>
          <cell r="U60">
            <v>15779.613597845073</v>
          </cell>
          <cell r="V60">
            <v>15405.670358538217</v>
          </cell>
          <cell r="W60">
            <v>16821.542845883167</v>
          </cell>
          <cell r="X60">
            <v>16952.793687432193</v>
          </cell>
          <cell r="Y60">
            <v>16400.150680510036</v>
          </cell>
          <cell r="Z60">
            <v>15472.466579314219</v>
          </cell>
          <cell r="AA60">
            <v>14051.076595416722</v>
          </cell>
          <cell r="AB60">
            <v>12530.984923740878</v>
          </cell>
        </row>
        <row r="61">
          <cell r="E61">
            <v>11215.139233685331</v>
          </cell>
          <cell r="F61">
            <v>10712.255504588569</v>
          </cell>
          <cell r="G61">
            <v>10236.645956958779</v>
          </cell>
          <cell r="H61">
            <v>9780.7348693680633</v>
          </cell>
          <cell r="I61">
            <v>9517.9363541064704</v>
          </cell>
          <cell r="J61">
            <v>9137.8280301828781</v>
          </cell>
          <cell r="K61">
            <v>8259.6826961171773</v>
          </cell>
          <cell r="L61">
            <v>8700.1980905097953</v>
          </cell>
          <cell r="M61">
            <v>9416.3995064010287</v>
          </cell>
          <cell r="N61">
            <v>10088.820038637718</v>
          </cell>
          <cell r="O61">
            <v>10715.687221897992</v>
          </cell>
          <cell r="P61">
            <v>11248.496238879856</v>
          </cell>
          <cell r="Q61">
            <v>11539.719552761511</v>
          </cell>
          <cell r="R61">
            <v>11552.593526209297</v>
          </cell>
          <cell r="S61">
            <v>11477.695809080829</v>
          </cell>
          <cell r="T61">
            <v>11568.792604992774</v>
          </cell>
          <cell r="U61">
            <v>11561.062411726765</v>
          </cell>
          <cell r="V61">
            <v>12096.375324785313</v>
          </cell>
          <cell r="W61">
            <v>14477.698327997405</v>
          </cell>
          <cell r="X61">
            <v>14657.809850687125</v>
          </cell>
          <cell r="Y61">
            <v>14408.795636500472</v>
          </cell>
          <cell r="Z61">
            <v>13818.668325675681</v>
          </cell>
          <cell r="AA61">
            <v>12846.053230497986</v>
          </cell>
          <cell r="AB61">
            <v>11717.607407132145</v>
          </cell>
        </row>
        <row r="62">
          <cell r="E62">
            <v>11215.139233685331</v>
          </cell>
          <cell r="F62">
            <v>10712.255504588569</v>
          </cell>
          <cell r="G62">
            <v>10236.645956958779</v>
          </cell>
          <cell r="H62">
            <v>9780.7348693680633</v>
          </cell>
          <cell r="I62">
            <v>9517.9363541064704</v>
          </cell>
          <cell r="J62">
            <v>9137.8280301828781</v>
          </cell>
          <cell r="K62">
            <v>8259.6826961171773</v>
          </cell>
          <cell r="L62">
            <v>8700.1980905097953</v>
          </cell>
          <cell r="M62">
            <v>9416.3995064010287</v>
          </cell>
          <cell r="N62">
            <v>10088.820038637718</v>
          </cell>
          <cell r="O62">
            <v>10715.687221897992</v>
          </cell>
          <cell r="P62">
            <v>11248.496238879856</v>
          </cell>
          <cell r="Q62">
            <v>11539.719552761511</v>
          </cell>
          <cell r="R62">
            <v>11552.593526209297</v>
          </cell>
          <cell r="S62">
            <v>11477.695809080829</v>
          </cell>
          <cell r="T62">
            <v>11568.792604992774</v>
          </cell>
          <cell r="U62">
            <v>11561.062411726765</v>
          </cell>
          <cell r="V62">
            <v>12096.375324785313</v>
          </cell>
          <cell r="W62">
            <v>14477.698327997405</v>
          </cell>
          <cell r="X62">
            <v>14657.809850687125</v>
          </cell>
          <cell r="Y62">
            <v>14408.795636500472</v>
          </cell>
          <cell r="Z62">
            <v>13818.668325675681</v>
          </cell>
          <cell r="AA62">
            <v>12846.053230497986</v>
          </cell>
          <cell r="AB62">
            <v>11717.607407132145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BLOQUE 3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2027 (2)"/>
      <sheetName val="Resumen "/>
      <sheetName val="Vigencia fu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3">
          <cell r="AC63">
            <v>43824106.800000004</v>
          </cell>
        </row>
      </sheetData>
      <sheetData sheetId="18"/>
      <sheetData sheetId="19"/>
      <sheetData sheetId="20">
        <row r="63">
          <cell r="AC63">
            <v>194154953.85239163</v>
          </cell>
        </row>
      </sheetData>
      <sheetData sheetId="21">
        <row r="63">
          <cell r="AC63">
            <v>91936299.328472003</v>
          </cell>
        </row>
        <row r="192">
          <cell r="V192">
            <v>61663.513295689954</v>
          </cell>
          <cell r="W192">
            <v>63569.371693203466</v>
          </cell>
          <cell r="X192">
            <v>64491.651837053367</v>
          </cell>
          <cell r="Y192">
            <v>65267.989406105269</v>
          </cell>
          <cell r="Z192">
            <v>64357.655555781334</v>
          </cell>
          <cell r="AA192">
            <v>61794.26851765161</v>
          </cell>
          <cell r="AB192">
            <v>59176.996081546909</v>
          </cell>
        </row>
        <row r="193">
          <cell r="V193">
            <v>56894.688272173</v>
          </cell>
          <cell r="W193">
            <v>61228.358013946141</v>
          </cell>
          <cell r="X193">
            <v>62020.925821609548</v>
          </cell>
          <cell r="Y193">
            <v>62330.860950386537</v>
          </cell>
          <cell r="Z193">
            <v>62321.280897032921</v>
          </cell>
          <cell r="AA193">
            <v>61621.238874095267</v>
          </cell>
          <cell r="AB193">
            <v>59300.501190892304</v>
          </cell>
        </row>
        <row r="194">
          <cell r="V194">
            <v>53866.047863315769</v>
          </cell>
          <cell r="W194">
            <v>58666.894884876659</v>
          </cell>
          <cell r="X194">
            <v>60768.915255559405</v>
          </cell>
          <cell r="Y194">
            <v>62496.452316598188</v>
          </cell>
          <cell r="Z194">
            <v>62701.704428693789</v>
          </cell>
          <cell r="AA194">
            <v>61186.730511778223</v>
          </cell>
          <cell r="AB194">
            <v>58189.877788719634</v>
          </cell>
        </row>
        <row r="195">
          <cell r="V195">
            <v>57229.89264790067</v>
          </cell>
          <cell r="W195">
            <v>61279.748188333921</v>
          </cell>
          <cell r="X195">
            <v>63831.837021350482</v>
          </cell>
          <cell r="Y195">
            <v>65814.443281873522</v>
          </cell>
          <cell r="Z195">
            <v>66103.226484814208</v>
          </cell>
          <cell r="AA195">
            <v>63850.832201522644</v>
          </cell>
          <cell r="AB195">
            <v>60016.551137322189</v>
          </cell>
        </row>
        <row r="196">
          <cell r="V196">
            <v>55354.875743107586</v>
          </cell>
          <cell r="W196">
            <v>57914.294922169458</v>
          </cell>
          <cell r="X196">
            <v>59619.988753226367</v>
          </cell>
          <cell r="Y196">
            <v>61226.963311409643</v>
          </cell>
          <cell r="Z196">
            <v>60357.300144022571</v>
          </cell>
          <cell r="AA196">
            <v>57584.300103839145</v>
          </cell>
          <cell r="AB196">
            <v>55478.541677739573</v>
          </cell>
        </row>
        <row r="197">
          <cell r="V197">
            <v>52247.778913376264</v>
          </cell>
          <cell r="W197">
            <v>57965.807784383651</v>
          </cell>
          <cell r="X197">
            <v>58713.909218095978</v>
          </cell>
          <cell r="Y197">
            <v>59250.996277764803</v>
          </cell>
          <cell r="Z197">
            <v>58691.249653619576</v>
          </cell>
          <cell r="AA197">
            <v>57146.395172953889</v>
          </cell>
          <cell r="AB197">
            <v>54804.98535128143</v>
          </cell>
        </row>
        <row r="198">
          <cell r="V198">
            <v>52789.840122056186</v>
          </cell>
          <cell r="W198">
            <v>58882.299263504261</v>
          </cell>
          <cell r="X198">
            <v>61430.454018930766</v>
          </cell>
          <cell r="Y198">
            <v>63475.850938029456</v>
          </cell>
          <cell r="Z198">
            <v>65005.2814020121</v>
          </cell>
          <cell r="AA198">
            <v>63766.107798606543</v>
          </cell>
          <cell r="AB198">
            <v>59842.141855273039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V200">
            <v>58467.277023430419</v>
          </cell>
          <cell r="W200">
            <v>59778.52216844885</v>
          </cell>
          <cell r="X200">
            <v>61148.768695009821</v>
          </cell>
          <cell r="Y200">
            <v>63803.475904929481</v>
          </cell>
          <cell r="Z200">
            <v>63966.123238179141</v>
          </cell>
          <cell r="AA200">
            <v>63278.220562578143</v>
          </cell>
          <cell r="AB200">
            <v>61867.831370741427</v>
          </cell>
        </row>
        <row r="201">
          <cell r="V201">
            <v>48420.261681256168</v>
          </cell>
          <cell r="W201">
            <v>54921.748889222974</v>
          </cell>
          <cell r="X201">
            <v>55799.000787241108</v>
          </cell>
          <cell r="Y201">
            <v>56512.380676931491</v>
          </cell>
          <cell r="Z201">
            <v>57539.919236823327</v>
          </cell>
          <cell r="AA201">
            <v>57666.098931852743</v>
          </cell>
          <cell r="AB201">
            <v>57378.62231917365</v>
          </cell>
        </row>
        <row r="202">
          <cell r="V202">
            <v>50308.308250694805</v>
          </cell>
          <cell r="W202">
            <v>54707.813168807566</v>
          </cell>
          <cell r="X202">
            <v>56611.477048395376</v>
          </cell>
          <cell r="Y202">
            <v>59289.121123147459</v>
          </cell>
          <cell r="Z202">
            <v>62701.649408234873</v>
          </cell>
          <cell r="AA202">
            <v>63416.034595066238</v>
          </cell>
          <cell r="AB202">
            <v>59413.001208272057</v>
          </cell>
        </row>
        <row r="203">
          <cell r="V203">
            <v>46320.739462446552</v>
          </cell>
          <cell r="W203">
            <v>49471.975460866335</v>
          </cell>
          <cell r="X203">
            <v>50969.867570005154</v>
          </cell>
          <cell r="Y203">
            <v>53346.288927798036</v>
          </cell>
          <cell r="Z203">
            <v>57383.941979713367</v>
          </cell>
          <cell r="AA203">
            <v>58121.195439601921</v>
          </cell>
          <cell r="AB203">
            <v>54088.759056708797</v>
          </cell>
        </row>
        <row r="204">
          <cell r="V204">
            <v>40472.786041405772</v>
          </cell>
          <cell r="W204">
            <v>50087.408933402556</v>
          </cell>
          <cell r="X204">
            <v>51498.028479288216</v>
          </cell>
          <cell r="Y204">
            <v>52860.626208255409</v>
          </cell>
          <cell r="Z204">
            <v>54714.107070374979</v>
          </cell>
          <cell r="AA204">
            <v>57576.9276175946</v>
          </cell>
          <cell r="AB204">
            <v>58778.781144669265</v>
          </cell>
        </row>
        <row r="205">
          <cell r="V205">
            <v>54545.098671437081</v>
          </cell>
          <cell r="W205">
            <v>53221.173165735279</v>
          </cell>
          <cell r="X205">
            <v>54697.687115421584</v>
          </cell>
          <cell r="Y205">
            <v>55461.696596422349</v>
          </cell>
          <cell r="Z205">
            <v>54419.211447016118</v>
          </cell>
          <cell r="AA205">
            <v>49654.878177350096</v>
          </cell>
          <cell r="AB205">
            <v>43329.140046882691</v>
          </cell>
        </row>
        <row r="206">
          <cell r="V206">
            <v>46809.672491808611</v>
          </cell>
          <cell r="W206">
            <v>51803.450584986946</v>
          </cell>
          <cell r="X206">
            <v>53550.170063169018</v>
          </cell>
          <cell r="Y206">
            <v>54888.387144478467</v>
          </cell>
          <cell r="Z206">
            <v>56476.987470800341</v>
          </cell>
          <cell r="AA206">
            <v>55784.615954496643</v>
          </cell>
          <cell r="AB206">
            <v>51874.213946504315</v>
          </cell>
        </row>
        <row r="207">
          <cell r="V207">
            <v>48390.756224202771</v>
          </cell>
          <cell r="W207">
            <v>53362.662866482846</v>
          </cell>
          <cell r="X207">
            <v>54011.991905729381</v>
          </cell>
          <cell r="Y207">
            <v>54841.920898483018</v>
          </cell>
          <cell r="Z207">
            <v>54094.354479807305</v>
          </cell>
          <cell r="AA207">
            <v>50439.831448247009</v>
          </cell>
          <cell r="AB207">
            <v>45641.365139511479</v>
          </cell>
        </row>
        <row r="208">
          <cell r="V208">
            <v>37092.27051814273</v>
          </cell>
          <cell r="W208">
            <v>49234.111931210071</v>
          </cell>
          <cell r="X208">
            <v>50297.967282319449</v>
          </cell>
          <cell r="Y208">
            <v>49674.369117032744</v>
          </cell>
          <cell r="Z208">
            <v>50638.557170720233</v>
          </cell>
          <cell r="AA208">
            <v>52539.778724444812</v>
          </cell>
          <cell r="AB208">
            <v>53291.086608350728</v>
          </cell>
        </row>
        <row r="209">
          <cell r="V209">
            <v>55410.87274409875</v>
          </cell>
          <cell r="W209">
            <v>55432.50541077229</v>
          </cell>
          <cell r="X209">
            <v>57124.345437349861</v>
          </cell>
          <cell r="Y209">
            <v>57168.014870234489</v>
          </cell>
          <cell r="Z209">
            <v>56017.37181833887</v>
          </cell>
          <cell r="AA209">
            <v>51310.820696533556</v>
          </cell>
          <cell r="AB209">
            <v>46332.699310571807</v>
          </cell>
        </row>
        <row r="210">
          <cell r="V210">
            <v>56439.44444799747</v>
          </cell>
          <cell r="W210">
            <v>63354.598143070129</v>
          </cell>
          <cell r="X210">
            <v>65801.505260606515</v>
          </cell>
          <cell r="Y210">
            <v>66731.969238215243</v>
          </cell>
          <cell r="Z210">
            <v>66076.805241912283</v>
          </cell>
          <cell r="AA210">
            <v>63172.924208474389</v>
          </cell>
          <cell r="AB210">
            <v>58360.079718666835</v>
          </cell>
        </row>
        <row r="211">
          <cell r="V211">
            <v>48489.09712192334</v>
          </cell>
          <cell r="W211">
            <v>56205.975985387609</v>
          </cell>
          <cell r="X211">
            <v>59791.892495788023</v>
          </cell>
          <cell r="Y211">
            <v>62010.661158883609</v>
          </cell>
          <cell r="Z211">
            <v>62314.400988381101</v>
          </cell>
          <cell r="AA211">
            <v>60636.976060335473</v>
          </cell>
          <cell r="AB211">
            <v>57228.653992423438</v>
          </cell>
        </row>
        <row r="212">
          <cell r="V212">
            <v>46798.773759577278</v>
          </cell>
          <cell r="W212">
            <v>56060.647692214829</v>
          </cell>
          <cell r="X212">
            <v>57062.628894977861</v>
          </cell>
          <cell r="Y212">
            <v>56066.587535649087</v>
          </cell>
          <cell r="Z212">
            <v>57240.086731011346</v>
          </cell>
          <cell r="AA212">
            <v>59323.061473181544</v>
          </cell>
          <cell r="AB212">
            <v>59953.775907696167</v>
          </cell>
        </row>
        <row r="213">
          <cell r="V213">
            <v>70894.235800880837</v>
          </cell>
          <cell r="W213">
            <v>69445.696956575935</v>
          </cell>
          <cell r="X213">
            <v>73049.960345296538</v>
          </cell>
          <cell r="Y213">
            <v>74776.12326139785</v>
          </cell>
          <cell r="Z213">
            <v>73954.133159134421</v>
          </cell>
          <cell r="AA213">
            <v>69334.308117275374</v>
          </cell>
          <cell r="AB213">
            <v>64001.030636392003</v>
          </cell>
        </row>
        <row r="214">
          <cell r="V214">
            <v>61541.142053502081</v>
          </cell>
          <cell r="W214">
            <v>69863.380651058862</v>
          </cell>
          <cell r="X214">
            <v>72259.953387406858</v>
          </cell>
          <cell r="Y214">
            <v>73139.52597644004</v>
          </cell>
          <cell r="Z214">
            <v>72539.904775999035</v>
          </cell>
          <cell r="AA214">
            <v>69128.824622739543</v>
          </cell>
          <cell r="AB214">
            <v>62721.28532826127</v>
          </cell>
        </row>
        <row r="215">
          <cell r="V215">
            <v>60726.275772074463</v>
          </cell>
          <cell r="W215">
            <v>69072.724769255365</v>
          </cell>
          <cell r="X215">
            <v>70742.053846496681</v>
          </cell>
          <cell r="Y215">
            <v>72474.280746510674</v>
          </cell>
          <cell r="Z215">
            <v>72740.624364701711</v>
          </cell>
          <cell r="AA215">
            <v>69684.77774995254</v>
          </cell>
          <cell r="AB215">
            <v>63832.715974728992</v>
          </cell>
        </row>
        <row r="216">
          <cell r="V216">
            <v>30128.224617357959</v>
          </cell>
          <cell r="W216">
            <v>39326.995531908207</v>
          </cell>
          <cell r="X216">
            <v>41125.401745690942</v>
          </cell>
          <cell r="Y216">
            <v>41095.352431228537</v>
          </cell>
          <cell r="Z216">
            <v>42250.672621138525</v>
          </cell>
          <cell r="AA216">
            <v>44660.300296984846</v>
          </cell>
          <cell r="AB216">
            <v>44938.475717514673</v>
          </cell>
        </row>
        <row r="217">
          <cell r="V217">
            <v>53785.305329416522</v>
          </cell>
          <cell r="W217">
            <v>56054.748300028048</v>
          </cell>
          <cell r="X217">
            <v>55360.023304699265</v>
          </cell>
          <cell r="Y217">
            <v>56915.746700115356</v>
          </cell>
          <cell r="Z217">
            <v>55141.195210691236</v>
          </cell>
          <cell r="AA217">
            <v>50246.438352738602</v>
          </cell>
          <cell r="AB217">
            <v>44482.12234500936</v>
          </cell>
        </row>
        <row r="218">
          <cell r="V218">
            <v>42020.52693970254</v>
          </cell>
          <cell r="W218">
            <v>47209.268174347533</v>
          </cell>
          <cell r="X218">
            <v>49692.783059224996</v>
          </cell>
          <cell r="Y218">
            <v>49200.602802622925</v>
          </cell>
          <cell r="Z218">
            <v>48729.925515524388</v>
          </cell>
          <cell r="AA218">
            <v>48594.017059955797</v>
          </cell>
          <cell r="AB218">
            <v>47229.696586964375</v>
          </cell>
        </row>
        <row r="219">
          <cell r="V219">
            <v>40300.982654883395</v>
          </cell>
          <cell r="W219">
            <v>45312.426363971164</v>
          </cell>
          <cell r="X219">
            <v>47155.323389903926</v>
          </cell>
          <cell r="Y219">
            <v>47471.650601480513</v>
          </cell>
          <cell r="Z219">
            <v>48344.657008696806</v>
          </cell>
          <cell r="AA219">
            <v>48315.923223154139</v>
          </cell>
          <cell r="AB219">
            <v>47082.766303777476</v>
          </cell>
        </row>
        <row r="220">
          <cell r="V220">
            <v>27575.008457609776</v>
          </cell>
          <cell r="W220">
            <v>36689.29163158415</v>
          </cell>
          <cell r="X220">
            <v>37713.565330957659</v>
          </cell>
          <cell r="Y220">
            <v>38847.506251967607</v>
          </cell>
          <cell r="Z220">
            <v>40284.528168613804</v>
          </cell>
          <cell r="AA220">
            <v>42855.435511456366</v>
          </cell>
          <cell r="AB220">
            <v>43334.550616945708</v>
          </cell>
        </row>
        <row r="221">
          <cell r="V221">
            <v>55932.761848865761</v>
          </cell>
          <cell r="W221">
            <v>57777.463882441938</v>
          </cell>
          <cell r="X221">
            <v>55030.653479315064</v>
          </cell>
          <cell r="Y221">
            <v>56049.359692504207</v>
          </cell>
          <cell r="Z221">
            <v>55439.579117728565</v>
          </cell>
          <cell r="AA221">
            <v>49977.246881545565</v>
          </cell>
          <cell r="AB221">
            <v>45441.278892103364</v>
          </cell>
        </row>
        <row r="222">
          <cell r="V222">
            <v>44277.844626917271</v>
          </cell>
          <cell r="W222">
            <v>49957.431141590721</v>
          </cell>
          <cell r="X222">
            <v>56631.270019537289</v>
          </cell>
          <cell r="Y222">
            <v>59194.232365279866</v>
          </cell>
          <cell r="Z222">
            <v>59387.926659617413</v>
          </cell>
          <cell r="AA222">
            <v>57885.697445902981</v>
          </cell>
          <cell r="AB222">
            <v>53684.021097183911</v>
          </cell>
        </row>
        <row r="223">
          <cell r="V223">
            <v>41523.989851806495</v>
          </cell>
          <cell r="W223">
            <v>47372.293403257521</v>
          </cell>
          <cell r="X223">
            <v>51930.087323531538</v>
          </cell>
          <cell r="Y223">
            <v>54098.653398756142</v>
          </cell>
          <cell r="Z223">
            <v>54542.497933558479</v>
          </cell>
          <cell r="AA223">
            <v>53264.951131425478</v>
          </cell>
          <cell r="AB223">
            <v>50233.061874123865</v>
          </cell>
        </row>
        <row r="224">
          <cell r="V224">
            <v>28366.182025750688</v>
          </cell>
          <cell r="W224">
            <v>37558.767248546552</v>
          </cell>
          <cell r="X224">
            <v>38078.536704199003</v>
          </cell>
          <cell r="Y224">
            <v>38931.677396905608</v>
          </cell>
          <cell r="Z224">
            <v>40215.109054028144</v>
          </cell>
          <cell r="AA224">
            <v>43453.414938675916</v>
          </cell>
          <cell r="AB224">
            <v>44427.991312859762</v>
          </cell>
        </row>
        <row r="225">
          <cell r="V225">
            <v>50562.103094843202</v>
          </cell>
          <cell r="W225">
            <v>48069.606612636111</v>
          </cell>
          <cell r="X225">
            <v>46195.957704629916</v>
          </cell>
          <cell r="Y225">
            <v>47973.117653443762</v>
          </cell>
          <cell r="Z225">
            <v>48220.047654179063</v>
          </cell>
          <cell r="AA225">
            <v>46591.098848095637</v>
          </cell>
          <cell r="AB225">
            <v>42585.787686624484</v>
          </cell>
        </row>
        <row r="226">
          <cell r="V226">
            <v>70835.671750000634</v>
          </cell>
          <cell r="W226">
            <v>65068.155602496503</v>
          </cell>
          <cell r="X226">
            <v>60711.208650363718</v>
          </cell>
          <cell r="Y226">
            <v>59281.756812444903</v>
          </cell>
          <cell r="Z226">
            <v>57412.7640558274</v>
          </cell>
          <cell r="AA226">
            <v>52600.232488129215</v>
          </cell>
          <cell r="AB226">
            <v>47590.276815639918</v>
          </cell>
        </row>
        <row r="227"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V228">
            <v>32197.727834180136</v>
          </cell>
          <cell r="W228">
            <v>40733.478341815731</v>
          </cell>
          <cell r="X228">
            <v>41620.787686644915</v>
          </cell>
          <cell r="Y228">
            <v>42686.165445526771</v>
          </cell>
          <cell r="Z228">
            <v>43268.758259056172</v>
          </cell>
          <cell r="AA228">
            <v>45721.649251513838</v>
          </cell>
          <cell r="AB228">
            <v>46607.728060399524</v>
          </cell>
        </row>
        <row r="229">
          <cell r="V229">
            <v>49659.205801656513</v>
          </cell>
          <cell r="W229">
            <v>48918.869222415509</v>
          </cell>
          <cell r="X229">
            <v>48235.126236979086</v>
          </cell>
          <cell r="Y229">
            <v>47270.319585064644</v>
          </cell>
          <cell r="Z229">
            <v>45392.400236474932</v>
          </cell>
          <cell r="AA229">
            <v>41959.568177343463</v>
          </cell>
          <cell r="AB229">
            <v>37608.28800552983</v>
          </cell>
        </row>
        <row r="230">
          <cell r="V230">
            <v>47070.880966463366</v>
          </cell>
          <cell r="W230">
            <v>53235.169497464682</v>
          </cell>
          <cell r="X230">
            <v>55668.999407460295</v>
          </cell>
          <cell r="Y230">
            <v>56941.087158152077</v>
          </cell>
          <cell r="Z230">
            <v>56726.578664116627</v>
          </cell>
          <cell r="AA230">
            <v>53318.433048052546</v>
          </cell>
          <cell r="AB230">
            <v>48640.132440244219</v>
          </cell>
        </row>
        <row r="231">
          <cell r="V231">
            <v>44948.470680364342</v>
          </cell>
          <cell r="W231">
            <v>50046.25722900121</v>
          </cell>
          <cell r="X231">
            <v>52178.506087274553</v>
          </cell>
          <cell r="Y231">
            <v>55893.479190564198</v>
          </cell>
          <cell r="Z231">
            <v>55816.760185670304</v>
          </cell>
          <cell r="AA231">
            <v>52896.542728445915</v>
          </cell>
          <cell r="AB231">
            <v>48673.047117020593</v>
          </cell>
        </row>
        <row r="232">
          <cell r="V232">
            <v>22007.730587797152</v>
          </cell>
          <cell r="W232">
            <v>31610.680911284431</v>
          </cell>
          <cell r="X232">
            <v>32429.269573824207</v>
          </cell>
          <cell r="Y232">
            <v>32512.43822842693</v>
          </cell>
          <cell r="Z232">
            <v>33453.564088872918</v>
          </cell>
          <cell r="AA232">
            <v>35915.914227203277</v>
          </cell>
          <cell r="AB232">
            <v>36466.609564986778</v>
          </cell>
        </row>
        <row r="233">
          <cell r="V233">
            <v>49144.491878799687</v>
          </cell>
          <cell r="W233">
            <v>54115.789832403549</v>
          </cell>
          <cell r="X233">
            <v>54516.620104275644</v>
          </cell>
          <cell r="Y233">
            <v>55282.431728925221</v>
          </cell>
          <cell r="Z233">
            <v>55240.906078797198</v>
          </cell>
          <cell r="AA233">
            <v>54217.988069648665</v>
          </cell>
          <cell r="AB233">
            <v>50923.25208517618</v>
          </cell>
        </row>
        <row r="234">
          <cell r="V234">
            <v>30330.715358475838</v>
          </cell>
          <cell r="W234">
            <v>35876.270757162063</v>
          </cell>
          <cell r="X234">
            <v>36634.182234546664</v>
          </cell>
          <cell r="Y234">
            <v>35311.05707299288</v>
          </cell>
          <cell r="Z234">
            <v>32038.85452393346</v>
          </cell>
          <cell r="AA234">
            <v>29290.339682493275</v>
          </cell>
          <cell r="AB234">
            <v>27207.781172167583</v>
          </cell>
        </row>
        <row r="235">
          <cell r="V235">
            <v>28104.042686697478</v>
          </cell>
          <cell r="W235">
            <v>31821.980036042307</v>
          </cell>
          <cell r="X235">
            <v>32504.334999852967</v>
          </cell>
          <cell r="Y235">
            <v>32521.96170273492</v>
          </cell>
          <cell r="Z235">
            <v>30364.460419252882</v>
          </cell>
          <cell r="AA235">
            <v>27933.879725082948</v>
          </cell>
          <cell r="AB235">
            <v>26115.661511837017</v>
          </cell>
        </row>
        <row r="236">
          <cell r="V236">
            <v>42653.845982182429</v>
          </cell>
          <cell r="W236">
            <v>52290.737927217255</v>
          </cell>
          <cell r="X236">
            <v>51219.927119887427</v>
          </cell>
          <cell r="Y236">
            <v>49063.742975314381</v>
          </cell>
          <cell r="Z236">
            <v>47513.6160350836</v>
          </cell>
          <cell r="AA236">
            <v>49330.14148998179</v>
          </cell>
          <cell r="AB236">
            <v>49995.781164261505</v>
          </cell>
        </row>
        <row r="237">
          <cell r="V237">
            <v>65987.349244298588</v>
          </cell>
          <cell r="W237">
            <v>63279.369832439479</v>
          </cell>
          <cell r="X237">
            <v>66861.568896538942</v>
          </cell>
          <cell r="Y237">
            <v>68949.995688574752</v>
          </cell>
          <cell r="Z237">
            <v>68998.692153548312</v>
          </cell>
          <cell r="AA237">
            <v>63953.821973268045</v>
          </cell>
          <cell r="AB237">
            <v>56899.626062289419</v>
          </cell>
        </row>
        <row r="238">
          <cell r="V238">
            <v>43103.457547542384</v>
          </cell>
          <cell r="W238">
            <v>51154.287646301906</v>
          </cell>
          <cell r="X238">
            <v>52852.955133281896</v>
          </cell>
          <cell r="Y238">
            <v>53907.32748565681</v>
          </cell>
          <cell r="Z238">
            <v>55375.753665918812</v>
          </cell>
          <cell r="AA238">
            <v>54262.112784801007</v>
          </cell>
          <cell r="AB238">
            <v>53181.240048066771</v>
          </cell>
        </row>
        <row r="239">
          <cell r="V239">
            <v>47108.122161574713</v>
          </cell>
          <cell r="W239">
            <v>54312.480852809647</v>
          </cell>
          <cell r="X239">
            <v>55073.184294503713</v>
          </cell>
          <cell r="Y239">
            <v>56173.026070715146</v>
          </cell>
          <cell r="Z239">
            <v>56941.891581106924</v>
          </cell>
          <cell r="AA239">
            <v>55826.172358363692</v>
          </cell>
          <cell r="AB239">
            <v>53841.592379686743</v>
          </cell>
        </row>
      </sheetData>
      <sheetData sheetId="22">
        <row r="122">
          <cell r="AC122">
            <v>115632000</v>
          </cell>
        </row>
      </sheetData>
      <sheetData sheetId="23">
        <row r="122">
          <cell r="AC122">
            <v>115632000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81B11-2688-4DAB-8CD7-DB8ACD2B677A}" name="Tabla1" displayName="Tabla1" ref="A9:D36" totalsRowShown="0" headerRowDxfId="18" headerRowBorderDxfId="17" tableBorderDxfId="16" totalsRowBorderDxfId="15">
  <tableColumns count="4">
    <tableColumn id="1" xr3:uid="{46BF30A6-99EE-4B16-9713-C2C3F022B534}" name="AGENTE" dataDxfId="14"/>
    <tableColumn id="2" xr3:uid="{CEC97315-508D-4CFB-8E2F-3C2C251498FF}" name="N° pregunta" dataDxfId="13"/>
    <tableColumn id="3" xr3:uid="{59BA41B6-307D-4CDC-B128-11E197CFE8D3}" name="PREGUNTA" dataDxfId="12"/>
    <tableColumn id="4" xr3:uid="{36A5A987-433D-4937-893E-CAE5FD1E450E}" name="RESPUEST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537-6679-43E1-9C83-9E026E2A3CBF}">
  <sheetPr>
    <tabColor rgb="FFFFC000"/>
  </sheetPr>
  <dimension ref="A2:B8"/>
  <sheetViews>
    <sheetView workbookViewId="0">
      <selection activeCell="B8" sqref="B8"/>
    </sheetView>
  </sheetViews>
  <sheetFormatPr baseColWidth="10" defaultRowHeight="14.5" x14ac:dyDescent="0.35"/>
  <cols>
    <col min="1" max="1" width="28" customWidth="1"/>
    <col min="2" max="2" width="23.90625" customWidth="1"/>
  </cols>
  <sheetData>
    <row r="2" spans="1:2" x14ac:dyDescent="0.35">
      <c r="A2" t="s">
        <v>44</v>
      </c>
      <c r="B2" t="s">
        <v>46</v>
      </c>
    </row>
    <row r="3" spans="1:2" x14ac:dyDescent="0.35">
      <c r="A3" t="s">
        <v>58</v>
      </c>
      <c r="B3" t="s">
        <v>57</v>
      </c>
    </row>
    <row r="4" spans="1:2" x14ac:dyDescent="0.35">
      <c r="A4" t="s">
        <v>59</v>
      </c>
      <c r="B4" t="s">
        <v>65</v>
      </c>
    </row>
    <row r="5" spans="1:2" x14ac:dyDescent="0.35">
      <c r="B5" t="s">
        <v>122</v>
      </c>
    </row>
    <row r="6" spans="1:2" x14ac:dyDescent="0.35">
      <c r="B6" t="s">
        <v>64</v>
      </c>
    </row>
    <row r="7" spans="1:2" x14ac:dyDescent="0.35">
      <c r="B7" t="s">
        <v>61</v>
      </c>
    </row>
    <row r="8" spans="1:2" x14ac:dyDescent="0.35">
      <c r="B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681-F5D7-4081-BB13-05E91DACDE97}">
  <sheetPr>
    <tabColor rgb="FFFFFF00"/>
  </sheetPr>
  <dimension ref="A1:D211"/>
  <sheetViews>
    <sheetView workbookViewId="0">
      <selection activeCell="C16" sqref="C16"/>
    </sheetView>
  </sheetViews>
  <sheetFormatPr baseColWidth="10" defaultRowHeight="9.5" customHeight="1" x14ac:dyDescent="0.3"/>
  <cols>
    <col min="1" max="1" width="40.7265625" style="109" customWidth="1"/>
    <col min="2" max="2" width="25.7265625" style="109" customWidth="1"/>
    <col min="3" max="3" width="115.81640625" style="107" customWidth="1"/>
    <col min="4" max="4" width="87" style="107" hidden="1" customWidth="1"/>
    <col min="5" max="16384" width="10.90625" style="107"/>
  </cols>
  <sheetData>
    <row r="1" spans="1:4" ht="57.5" customHeight="1" x14ac:dyDescent="0.3"/>
    <row r="2" spans="1:4" ht="60.5" customHeight="1" x14ac:dyDescent="0.3">
      <c r="A2" s="110" t="s">
        <v>110</v>
      </c>
    </row>
    <row r="3" spans="1:4" ht="20.5" thickBot="1" x14ac:dyDescent="0.35">
      <c r="A3" s="111" t="s">
        <v>111</v>
      </c>
      <c r="B3" s="112"/>
    </row>
    <row r="4" spans="1:4" ht="21" thickTop="1" thickBot="1" x14ac:dyDescent="0.35">
      <c r="A4" s="111" t="s">
        <v>112</v>
      </c>
      <c r="B4" s="112"/>
    </row>
    <row r="5" spans="1:4" ht="21" thickTop="1" thickBot="1" x14ac:dyDescent="0.35">
      <c r="A5" s="111" t="s">
        <v>113</v>
      </c>
      <c r="B5" s="112"/>
    </row>
    <row r="6" spans="1:4" ht="21" thickTop="1" thickBot="1" x14ac:dyDescent="0.35">
      <c r="A6" s="111" t="s">
        <v>114</v>
      </c>
      <c r="B6" s="112"/>
    </row>
    <row r="7" spans="1:4" ht="20.5" thickTop="1" x14ac:dyDescent="0.3">
      <c r="A7" s="111"/>
    </row>
    <row r="8" spans="1:4" ht="14" x14ac:dyDescent="0.3"/>
    <row r="9" spans="1:4" s="108" customFormat="1" ht="14" x14ac:dyDescent="0.35">
      <c r="A9" s="113" t="s">
        <v>115</v>
      </c>
      <c r="B9" s="114" t="s">
        <v>116</v>
      </c>
      <c r="C9" s="115" t="s">
        <v>117</v>
      </c>
      <c r="D9" s="116" t="s">
        <v>118</v>
      </c>
    </row>
    <row r="10" spans="1:4" ht="14" x14ac:dyDescent="0.3">
      <c r="A10" s="117"/>
      <c r="B10" s="118"/>
      <c r="C10" s="119"/>
      <c r="D10" s="120"/>
    </row>
    <row r="11" spans="1:4" ht="14" x14ac:dyDescent="0.3">
      <c r="A11" s="117"/>
      <c r="B11" s="118"/>
      <c r="C11" s="121"/>
      <c r="D11" s="122"/>
    </row>
    <row r="12" spans="1:4" ht="14" x14ac:dyDescent="0.3">
      <c r="A12" s="117"/>
      <c r="B12" s="118"/>
      <c r="C12" s="121"/>
      <c r="D12" s="122"/>
    </row>
    <row r="13" spans="1:4" ht="14" x14ac:dyDescent="0.3">
      <c r="A13" s="123"/>
      <c r="B13" s="124"/>
      <c r="C13" s="125"/>
      <c r="D13" s="120"/>
    </row>
    <row r="14" spans="1:4" ht="14" x14ac:dyDescent="0.3">
      <c r="A14" s="117"/>
      <c r="B14" s="118"/>
      <c r="C14" s="126"/>
      <c r="D14" s="127"/>
    </row>
    <row r="15" spans="1:4" ht="14" x14ac:dyDescent="0.3">
      <c r="A15" s="123"/>
      <c r="B15" s="124"/>
      <c r="C15" s="128"/>
      <c r="D15" s="129"/>
    </row>
    <row r="16" spans="1:4" ht="14" x14ac:dyDescent="0.3">
      <c r="A16" s="117"/>
      <c r="B16" s="118"/>
      <c r="C16" s="126"/>
      <c r="D16" s="120"/>
    </row>
    <row r="17" spans="1:4" ht="14" x14ac:dyDescent="0.3">
      <c r="A17" s="117"/>
      <c r="B17" s="118"/>
      <c r="C17" s="119"/>
      <c r="D17" s="120"/>
    </row>
    <row r="18" spans="1:4" ht="14" x14ac:dyDescent="0.3">
      <c r="A18" s="117"/>
      <c r="B18" s="118"/>
      <c r="C18" s="126"/>
      <c r="D18" s="120"/>
    </row>
    <row r="19" spans="1:4" ht="14" x14ac:dyDescent="0.3">
      <c r="A19" s="117"/>
      <c r="B19" s="118"/>
      <c r="C19" s="126"/>
      <c r="D19" s="120"/>
    </row>
    <row r="20" spans="1:4" ht="14" x14ac:dyDescent="0.3">
      <c r="A20" s="117"/>
      <c r="B20" s="118"/>
      <c r="C20" s="128"/>
      <c r="D20" s="129"/>
    </row>
    <row r="21" spans="1:4" ht="14" x14ac:dyDescent="0.3">
      <c r="A21" s="117"/>
      <c r="B21" s="118"/>
      <c r="C21" s="126"/>
      <c r="D21" s="120"/>
    </row>
    <row r="22" spans="1:4" ht="14" x14ac:dyDescent="0.3">
      <c r="A22" s="117"/>
      <c r="B22" s="118"/>
      <c r="C22" s="126"/>
      <c r="D22" s="120"/>
    </row>
    <row r="23" spans="1:4" ht="14" x14ac:dyDescent="0.3">
      <c r="A23" s="117"/>
      <c r="B23" s="118"/>
      <c r="C23" s="126"/>
      <c r="D23" s="120"/>
    </row>
    <row r="24" spans="1:4" ht="14" x14ac:dyDescent="0.3">
      <c r="A24" s="117"/>
      <c r="B24" s="118"/>
      <c r="C24" s="126"/>
      <c r="D24" s="120"/>
    </row>
    <row r="25" spans="1:4" ht="14" x14ac:dyDescent="0.3">
      <c r="A25" s="117"/>
      <c r="B25" s="118"/>
      <c r="C25" s="126"/>
      <c r="D25" s="120"/>
    </row>
    <row r="26" spans="1:4" ht="14" x14ac:dyDescent="0.3">
      <c r="A26" s="117"/>
      <c r="B26" s="118"/>
      <c r="C26" s="126"/>
      <c r="D26" s="120"/>
    </row>
    <row r="27" spans="1:4" ht="14" x14ac:dyDescent="0.3">
      <c r="A27" s="117"/>
      <c r="B27" s="118"/>
      <c r="C27" s="126"/>
      <c r="D27" s="120"/>
    </row>
    <row r="28" spans="1:4" ht="14" x14ac:dyDescent="0.3">
      <c r="A28" s="117"/>
      <c r="B28" s="118"/>
      <c r="C28" s="126"/>
      <c r="D28" s="120"/>
    </row>
    <row r="29" spans="1:4" ht="14" x14ac:dyDescent="0.3">
      <c r="A29" s="117"/>
      <c r="B29" s="118"/>
      <c r="C29" s="126"/>
      <c r="D29" s="120"/>
    </row>
    <row r="30" spans="1:4" ht="14" x14ac:dyDescent="0.3">
      <c r="A30" s="117"/>
      <c r="B30" s="118"/>
      <c r="C30" s="125"/>
      <c r="D30" s="120"/>
    </row>
    <row r="31" spans="1:4" ht="14" x14ac:dyDescent="0.3">
      <c r="A31" s="117"/>
      <c r="B31" s="118"/>
      <c r="C31" s="125"/>
      <c r="D31" s="130"/>
    </row>
    <row r="32" spans="1:4" ht="14" x14ac:dyDescent="0.3">
      <c r="A32" s="117"/>
      <c r="B32" s="118"/>
      <c r="C32" s="125"/>
      <c r="D32" s="120"/>
    </row>
    <row r="33" spans="1:4" ht="14" x14ac:dyDescent="0.3">
      <c r="A33" s="117"/>
      <c r="B33" s="118"/>
      <c r="C33" s="126"/>
      <c r="D33" s="120"/>
    </row>
    <row r="34" spans="1:4" ht="14" x14ac:dyDescent="0.3">
      <c r="A34" s="117"/>
      <c r="B34" s="118"/>
      <c r="C34" s="126"/>
      <c r="D34" s="131"/>
    </row>
    <row r="35" spans="1:4" ht="14" x14ac:dyDescent="0.3">
      <c r="A35" s="117"/>
      <c r="B35" s="118"/>
      <c r="C35" s="126"/>
      <c r="D35" s="120"/>
    </row>
    <row r="36" spans="1:4" ht="14" x14ac:dyDescent="0.3">
      <c r="A36" s="132"/>
      <c r="B36" s="133"/>
      <c r="C36" s="134"/>
      <c r="D36" s="135"/>
    </row>
    <row r="37" spans="1:4" ht="14" x14ac:dyDescent="0.3">
      <c r="C37" s="136"/>
      <c r="D37" s="137"/>
    </row>
    <row r="38" spans="1:4" ht="14" x14ac:dyDescent="0.3">
      <c r="C38" s="136"/>
      <c r="D38" s="137"/>
    </row>
    <row r="39" spans="1:4" ht="14" x14ac:dyDescent="0.3">
      <c r="C39" s="136"/>
      <c r="D39" s="137"/>
    </row>
    <row r="40" spans="1:4" ht="14" x14ac:dyDescent="0.3">
      <c r="C40" s="136"/>
      <c r="D40" s="137"/>
    </row>
    <row r="41" spans="1:4" ht="14" x14ac:dyDescent="0.3">
      <c r="C41" s="136"/>
      <c r="D41" s="137"/>
    </row>
    <row r="42" spans="1:4" ht="14" x14ac:dyDescent="0.3">
      <c r="C42" s="138"/>
      <c r="D42" s="137"/>
    </row>
    <row r="43" spans="1:4" ht="14" x14ac:dyDescent="0.3">
      <c r="C43" s="139"/>
      <c r="D43" s="137"/>
    </row>
    <row r="44" spans="1:4" ht="14" x14ac:dyDescent="0.3">
      <c r="C44" s="138"/>
      <c r="D44" s="138"/>
    </row>
    <row r="45" spans="1:4" ht="14" x14ac:dyDescent="0.3">
      <c r="C45" s="138"/>
      <c r="D45" s="137"/>
    </row>
    <row r="46" spans="1:4" ht="14" x14ac:dyDescent="0.3">
      <c r="C46" s="138"/>
      <c r="D46" s="137"/>
    </row>
    <row r="47" spans="1:4" ht="14" x14ac:dyDescent="0.3">
      <c r="C47" s="138"/>
      <c r="D47" s="137"/>
    </row>
    <row r="48" spans="1:4" ht="14" x14ac:dyDescent="0.3">
      <c r="C48" s="138"/>
      <c r="D48" s="137"/>
    </row>
    <row r="49" spans="1:4" ht="14" x14ac:dyDescent="0.3">
      <c r="C49" s="138"/>
      <c r="D49" s="137"/>
    </row>
    <row r="50" spans="1:4" ht="14" x14ac:dyDescent="0.3">
      <c r="C50" s="138"/>
      <c r="D50" s="137"/>
    </row>
    <row r="51" spans="1:4" ht="14" x14ac:dyDescent="0.3">
      <c r="C51" s="139"/>
      <c r="D51" s="137"/>
    </row>
    <row r="52" spans="1:4" ht="14" x14ac:dyDescent="0.3">
      <c r="C52" s="138"/>
      <c r="D52" s="137"/>
    </row>
    <row r="53" spans="1:4" ht="14" x14ac:dyDescent="0.3">
      <c r="C53" s="138"/>
      <c r="D53" s="137"/>
    </row>
    <row r="54" spans="1:4" ht="14" x14ac:dyDescent="0.3">
      <c r="C54" s="140"/>
      <c r="D54" s="137"/>
    </row>
    <row r="55" spans="1:4" ht="14" x14ac:dyDescent="0.3">
      <c r="C55" s="140"/>
      <c r="D55" s="141"/>
    </row>
    <row r="56" spans="1:4" ht="14" x14ac:dyDescent="0.3">
      <c r="C56" s="140"/>
      <c r="D56" s="141"/>
    </row>
    <row r="57" spans="1:4" ht="14" x14ac:dyDescent="0.3">
      <c r="C57" s="140"/>
      <c r="D57" s="141"/>
    </row>
    <row r="58" spans="1:4" ht="14" x14ac:dyDescent="0.3">
      <c r="C58" s="140"/>
      <c r="D58" s="141"/>
    </row>
    <row r="59" spans="1:4" ht="14" x14ac:dyDescent="0.3">
      <c r="C59" s="140"/>
      <c r="D59" s="141"/>
    </row>
    <row r="60" spans="1:4" ht="14" x14ac:dyDescent="0.3">
      <c r="A60" s="142"/>
      <c r="B60" s="142"/>
      <c r="C60" s="140"/>
      <c r="D60" s="141"/>
    </row>
    <row r="61" spans="1:4" ht="14" x14ac:dyDescent="0.3">
      <c r="C61" s="140"/>
      <c r="D61" s="141"/>
    </row>
    <row r="62" spans="1:4" ht="14" x14ac:dyDescent="0.3">
      <c r="C62" s="140"/>
      <c r="D62" s="141"/>
    </row>
    <row r="63" spans="1:4" ht="14" x14ac:dyDescent="0.3">
      <c r="C63" s="140"/>
      <c r="D63" s="141"/>
    </row>
    <row r="64" spans="1:4" ht="14" x14ac:dyDescent="0.3">
      <c r="C64" s="140"/>
      <c r="D64" s="141"/>
    </row>
    <row r="65" spans="3:4" ht="14" x14ac:dyDescent="0.3">
      <c r="C65" s="136"/>
      <c r="D65" s="143"/>
    </row>
    <row r="66" spans="3:4" ht="14" x14ac:dyDescent="0.3">
      <c r="C66" s="140"/>
      <c r="D66" s="141"/>
    </row>
    <row r="67" spans="3:4" ht="14" x14ac:dyDescent="0.3">
      <c r="C67" s="141"/>
      <c r="D67" s="141"/>
    </row>
    <row r="68" spans="3:4" ht="14" x14ac:dyDescent="0.3">
      <c r="C68" s="136"/>
      <c r="D68" s="141"/>
    </row>
    <row r="69" spans="3:4" ht="14" x14ac:dyDescent="0.3">
      <c r="C69" s="141"/>
      <c r="D69" s="141"/>
    </row>
    <row r="70" spans="3:4" ht="14" x14ac:dyDescent="0.3">
      <c r="C70" s="140"/>
      <c r="D70" s="140"/>
    </row>
    <row r="71" spans="3:4" ht="14" x14ac:dyDescent="0.3">
      <c r="C71" s="136"/>
      <c r="D71" s="144"/>
    </row>
    <row r="72" spans="3:4" ht="14" x14ac:dyDescent="0.3">
      <c r="C72" s="145"/>
      <c r="D72" s="144"/>
    </row>
    <row r="73" spans="3:4" ht="14" x14ac:dyDescent="0.3">
      <c r="C73" s="145"/>
      <c r="D73" s="141"/>
    </row>
    <row r="74" spans="3:4" ht="14" x14ac:dyDescent="0.3">
      <c r="C74" s="136"/>
      <c r="D74" s="141"/>
    </row>
    <row r="75" spans="3:4" ht="14" x14ac:dyDescent="0.3">
      <c r="C75" s="140"/>
      <c r="D75" s="141"/>
    </row>
    <row r="76" spans="3:4" ht="14" x14ac:dyDescent="0.3">
      <c r="C76" s="136"/>
      <c r="D76" s="141"/>
    </row>
    <row r="77" spans="3:4" ht="14" x14ac:dyDescent="0.3">
      <c r="C77" s="140"/>
      <c r="D77" s="141"/>
    </row>
    <row r="78" spans="3:4" ht="14" x14ac:dyDescent="0.3">
      <c r="C78" s="140"/>
      <c r="D78" s="141"/>
    </row>
    <row r="79" spans="3:4" ht="14" x14ac:dyDescent="0.3">
      <c r="C79" s="136"/>
      <c r="D79" s="141"/>
    </row>
    <row r="80" spans="3:4" ht="14" x14ac:dyDescent="0.3">
      <c r="C80" s="136"/>
      <c r="D80" s="141"/>
    </row>
    <row r="81" spans="3:4" ht="14" x14ac:dyDescent="0.3">
      <c r="C81" s="145"/>
      <c r="D81" s="141"/>
    </row>
    <row r="82" spans="3:4" ht="14" x14ac:dyDescent="0.3">
      <c r="C82" s="145"/>
      <c r="D82" s="141"/>
    </row>
    <row r="83" spans="3:4" ht="14" x14ac:dyDescent="0.3">
      <c r="C83" s="140"/>
      <c r="D83" s="146"/>
    </row>
    <row r="84" spans="3:4" ht="14" x14ac:dyDescent="0.3">
      <c r="C84" s="140"/>
      <c r="D84" s="141"/>
    </row>
    <row r="85" spans="3:4" ht="14" x14ac:dyDescent="0.3">
      <c r="D85" s="141"/>
    </row>
    <row r="86" spans="3:4" ht="14" x14ac:dyDescent="0.3">
      <c r="C86" s="140"/>
      <c r="D86" s="141"/>
    </row>
    <row r="87" spans="3:4" ht="14" x14ac:dyDescent="0.3">
      <c r="C87" s="140"/>
      <c r="D87" s="141"/>
    </row>
    <row r="88" spans="3:4" ht="14" x14ac:dyDescent="0.3">
      <c r="C88" s="140"/>
      <c r="D88" s="141"/>
    </row>
    <row r="89" spans="3:4" ht="14" x14ac:dyDescent="0.3">
      <c r="C89" s="140"/>
      <c r="D89" s="141"/>
    </row>
    <row r="90" spans="3:4" ht="14" x14ac:dyDescent="0.3">
      <c r="C90" s="136"/>
      <c r="D90" s="141"/>
    </row>
    <row r="91" spans="3:4" ht="14" x14ac:dyDescent="0.3">
      <c r="C91" s="136"/>
      <c r="D91" s="141"/>
    </row>
    <row r="92" spans="3:4" ht="14" x14ac:dyDescent="0.3">
      <c r="C92" s="140"/>
      <c r="D92" s="141"/>
    </row>
    <row r="93" spans="3:4" ht="14" x14ac:dyDescent="0.3">
      <c r="C93" s="140"/>
      <c r="D93" s="141"/>
    </row>
    <row r="94" spans="3:4" ht="14" x14ac:dyDescent="0.3">
      <c r="C94" s="136"/>
      <c r="D94" s="141"/>
    </row>
    <row r="95" spans="3:4" ht="14" x14ac:dyDescent="0.3">
      <c r="C95" s="136"/>
      <c r="D95" s="141"/>
    </row>
    <row r="96" spans="3:4" ht="14" x14ac:dyDescent="0.3">
      <c r="C96" s="136"/>
      <c r="D96" s="141"/>
    </row>
    <row r="97" spans="3:4" ht="14" x14ac:dyDescent="0.3">
      <c r="C97" s="136"/>
      <c r="D97" s="141"/>
    </row>
    <row r="98" spans="3:4" ht="14" x14ac:dyDescent="0.3">
      <c r="C98" s="136"/>
      <c r="D98" s="141"/>
    </row>
    <row r="99" spans="3:4" ht="14" x14ac:dyDescent="0.3">
      <c r="C99" s="136"/>
      <c r="D99" s="141"/>
    </row>
    <row r="100" spans="3:4" ht="14" x14ac:dyDescent="0.3">
      <c r="C100" s="136"/>
      <c r="D100" s="141"/>
    </row>
    <row r="101" spans="3:4" ht="14" x14ac:dyDescent="0.3">
      <c r="C101" s="136"/>
      <c r="D101" s="141"/>
    </row>
    <row r="102" spans="3:4" ht="14" x14ac:dyDescent="0.3">
      <c r="C102" s="136"/>
      <c r="D102" s="141"/>
    </row>
    <row r="103" spans="3:4" ht="14" x14ac:dyDescent="0.3">
      <c r="C103" s="136"/>
      <c r="D103" s="141"/>
    </row>
    <row r="104" spans="3:4" ht="14" x14ac:dyDescent="0.3">
      <c r="C104" s="136"/>
      <c r="D104" s="141"/>
    </row>
    <row r="105" spans="3:4" ht="14" x14ac:dyDescent="0.3">
      <c r="C105" s="136"/>
      <c r="D105" s="141"/>
    </row>
    <row r="106" spans="3:4" ht="14" x14ac:dyDescent="0.3">
      <c r="C106" s="136"/>
      <c r="D106" s="141"/>
    </row>
    <row r="107" spans="3:4" ht="14" x14ac:dyDescent="0.3">
      <c r="C107" s="136"/>
      <c r="D107" s="141"/>
    </row>
    <row r="108" spans="3:4" ht="14" x14ac:dyDescent="0.3">
      <c r="C108" s="136"/>
      <c r="D108" s="141"/>
    </row>
    <row r="109" spans="3:4" ht="14" x14ac:dyDescent="0.3">
      <c r="C109" s="140"/>
      <c r="D109" s="141"/>
    </row>
    <row r="110" spans="3:4" ht="14" x14ac:dyDescent="0.3">
      <c r="C110" s="140"/>
      <c r="D110" s="141"/>
    </row>
    <row r="111" spans="3:4" ht="14" x14ac:dyDescent="0.3">
      <c r="C111" s="140"/>
      <c r="D111" s="141"/>
    </row>
    <row r="112" spans="3:4" ht="14" x14ac:dyDescent="0.3">
      <c r="C112" s="140"/>
      <c r="D112" s="141"/>
    </row>
    <row r="113" spans="3:4" ht="14" x14ac:dyDescent="0.3">
      <c r="C113" s="140"/>
      <c r="D113" s="141"/>
    </row>
    <row r="114" spans="3:4" ht="14" x14ac:dyDescent="0.3">
      <c r="C114" s="140"/>
      <c r="D114" s="141"/>
    </row>
    <row r="115" spans="3:4" ht="14" x14ac:dyDescent="0.3">
      <c r="C115" s="136"/>
      <c r="D115" s="141"/>
    </row>
    <row r="116" spans="3:4" ht="14" x14ac:dyDescent="0.3">
      <c r="C116" s="140"/>
      <c r="D116" s="141"/>
    </row>
    <row r="117" spans="3:4" ht="14" x14ac:dyDescent="0.3">
      <c r="C117" s="140"/>
      <c r="D117" s="141"/>
    </row>
    <row r="118" spans="3:4" ht="14" x14ac:dyDescent="0.3">
      <c r="C118" s="136"/>
      <c r="D118" s="141"/>
    </row>
    <row r="119" spans="3:4" ht="14" x14ac:dyDescent="0.3">
      <c r="C119" s="140"/>
      <c r="D119" s="145"/>
    </row>
    <row r="120" spans="3:4" ht="14" x14ac:dyDescent="0.3">
      <c r="C120" s="140"/>
      <c r="D120" s="141"/>
    </row>
    <row r="121" spans="3:4" ht="14" x14ac:dyDescent="0.3">
      <c r="C121" s="140"/>
      <c r="D121" s="141"/>
    </row>
    <row r="122" spans="3:4" ht="14" x14ac:dyDescent="0.3">
      <c r="C122" s="140"/>
      <c r="D122" s="141"/>
    </row>
    <row r="123" spans="3:4" ht="14" x14ac:dyDescent="0.3">
      <c r="C123" s="136"/>
      <c r="D123" s="141"/>
    </row>
    <row r="124" spans="3:4" ht="14" x14ac:dyDescent="0.3">
      <c r="C124" s="140"/>
      <c r="D124" s="141"/>
    </row>
    <row r="125" spans="3:4" ht="14" x14ac:dyDescent="0.3">
      <c r="C125" s="140"/>
      <c r="D125" s="141"/>
    </row>
    <row r="126" spans="3:4" ht="14" x14ac:dyDescent="0.3">
      <c r="C126" s="136"/>
      <c r="D126" s="141"/>
    </row>
    <row r="127" spans="3:4" ht="14" x14ac:dyDescent="0.3">
      <c r="C127" s="136"/>
      <c r="D127" s="141"/>
    </row>
    <row r="128" spans="3:4" ht="14" x14ac:dyDescent="0.3">
      <c r="C128" s="136"/>
      <c r="D128" s="141"/>
    </row>
    <row r="129" spans="3:4" ht="14" x14ac:dyDescent="0.3">
      <c r="C129" s="136"/>
      <c r="D129" s="141"/>
    </row>
    <row r="130" spans="3:4" ht="14" x14ac:dyDescent="0.3">
      <c r="C130" s="136"/>
      <c r="D130" s="141"/>
    </row>
    <row r="131" spans="3:4" ht="14" x14ac:dyDescent="0.3">
      <c r="C131" s="136"/>
      <c r="D131" s="141"/>
    </row>
    <row r="132" spans="3:4" ht="14" x14ac:dyDescent="0.3">
      <c r="C132" s="136"/>
      <c r="D132" s="141"/>
    </row>
    <row r="133" spans="3:4" ht="14" x14ac:dyDescent="0.3">
      <c r="C133" s="140"/>
      <c r="D133" s="141"/>
    </row>
    <row r="134" spans="3:4" ht="14" x14ac:dyDescent="0.3">
      <c r="C134" s="140"/>
      <c r="D134" s="141"/>
    </row>
    <row r="135" spans="3:4" ht="14" x14ac:dyDescent="0.3">
      <c r="C135" s="136"/>
      <c r="D135" s="141"/>
    </row>
    <row r="136" spans="3:4" ht="14" x14ac:dyDescent="0.3">
      <c r="C136" s="136"/>
      <c r="D136" s="141"/>
    </row>
    <row r="137" spans="3:4" ht="14" x14ac:dyDescent="0.3">
      <c r="C137" s="136"/>
      <c r="D137" s="141"/>
    </row>
    <row r="138" spans="3:4" ht="14" x14ac:dyDescent="0.3">
      <c r="C138" s="136"/>
      <c r="D138" s="141"/>
    </row>
    <row r="139" spans="3:4" ht="14" x14ac:dyDescent="0.3">
      <c r="C139" s="140"/>
      <c r="D139" s="141"/>
    </row>
    <row r="140" spans="3:4" ht="14" x14ac:dyDescent="0.3">
      <c r="C140" s="136"/>
      <c r="D140" s="141"/>
    </row>
    <row r="141" spans="3:4" ht="14" x14ac:dyDescent="0.3">
      <c r="C141" s="136"/>
      <c r="D141" s="141"/>
    </row>
    <row r="142" spans="3:4" ht="14" x14ac:dyDescent="0.3">
      <c r="C142" s="136"/>
      <c r="D142" s="141"/>
    </row>
    <row r="143" spans="3:4" ht="14" x14ac:dyDescent="0.3">
      <c r="C143" s="140"/>
      <c r="D143" s="141"/>
    </row>
    <row r="144" spans="3:4" ht="14" x14ac:dyDescent="0.3">
      <c r="C144" s="140"/>
      <c r="D144" s="141"/>
    </row>
    <row r="145" spans="3:4" ht="14" x14ac:dyDescent="0.3">
      <c r="C145" s="140"/>
      <c r="D145" s="141"/>
    </row>
    <row r="146" spans="3:4" ht="14" x14ac:dyDescent="0.3">
      <c r="C146" s="140"/>
      <c r="D146" s="141"/>
    </row>
    <row r="147" spans="3:4" ht="14" x14ac:dyDescent="0.3">
      <c r="C147" s="140"/>
      <c r="D147" s="141"/>
    </row>
    <row r="148" spans="3:4" ht="14" x14ac:dyDescent="0.3">
      <c r="C148" s="136"/>
      <c r="D148" s="141"/>
    </row>
    <row r="149" spans="3:4" ht="14" x14ac:dyDescent="0.3">
      <c r="C149" s="140"/>
      <c r="D149" s="141"/>
    </row>
    <row r="150" spans="3:4" ht="14" x14ac:dyDescent="0.3">
      <c r="C150" s="140"/>
      <c r="D150" s="140"/>
    </row>
    <row r="151" spans="3:4" ht="14" x14ac:dyDescent="0.3">
      <c r="C151" s="140"/>
      <c r="D151" s="141"/>
    </row>
    <row r="152" spans="3:4" ht="14" x14ac:dyDescent="0.3">
      <c r="C152" s="140"/>
      <c r="D152" s="141"/>
    </row>
    <row r="153" spans="3:4" ht="14" x14ac:dyDescent="0.3">
      <c r="C153" s="136"/>
      <c r="D153" s="140"/>
    </row>
    <row r="154" spans="3:4" ht="14" x14ac:dyDescent="0.3">
      <c r="C154" s="140"/>
      <c r="D154" s="141"/>
    </row>
    <row r="155" spans="3:4" ht="14" x14ac:dyDescent="0.3">
      <c r="C155" s="140"/>
      <c r="D155" s="140"/>
    </row>
    <row r="156" spans="3:4" ht="14" x14ac:dyDescent="0.3">
      <c r="C156" s="140"/>
      <c r="D156" s="140"/>
    </row>
    <row r="157" spans="3:4" ht="14" x14ac:dyDescent="0.3">
      <c r="C157" s="140"/>
      <c r="D157" s="140"/>
    </row>
    <row r="158" spans="3:4" ht="14" x14ac:dyDescent="0.3">
      <c r="C158" s="140"/>
      <c r="D158" s="140"/>
    </row>
    <row r="159" spans="3:4" ht="14" x14ac:dyDescent="0.3">
      <c r="C159" s="136"/>
      <c r="D159" s="141"/>
    </row>
    <row r="160" spans="3:4" ht="14" x14ac:dyDescent="0.3">
      <c r="C160" s="140"/>
      <c r="D160" s="141"/>
    </row>
    <row r="161" spans="3:4" ht="14" x14ac:dyDescent="0.3">
      <c r="C161" s="136"/>
      <c r="D161" s="140"/>
    </row>
    <row r="162" spans="3:4" ht="14" x14ac:dyDescent="0.3">
      <c r="C162" s="140"/>
      <c r="D162" s="140"/>
    </row>
    <row r="163" spans="3:4" ht="14" x14ac:dyDescent="0.3">
      <c r="C163" s="140"/>
      <c r="D163" s="140"/>
    </row>
    <row r="164" spans="3:4" ht="14" x14ac:dyDescent="0.3">
      <c r="C164" s="136"/>
      <c r="D164" s="140"/>
    </row>
    <row r="165" spans="3:4" ht="14" x14ac:dyDescent="0.3">
      <c r="C165" s="136"/>
      <c r="D165" s="141"/>
    </row>
    <row r="166" spans="3:4" ht="14" x14ac:dyDescent="0.3">
      <c r="C166" s="140"/>
      <c r="D166" s="141"/>
    </row>
    <row r="167" spans="3:4" ht="14" x14ac:dyDescent="0.3">
      <c r="C167" s="136"/>
      <c r="D167" s="140"/>
    </row>
    <row r="168" spans="3:4" ht="14" x14ac:dyDescent="0.3">
      <c r="C168" s="140"/>
      <c r="D168" s="140"/>
    </row>
    <row r="169" spans="3:4" ht="14" x14ac:dyDescent="0.3">
      <c r="C169" s="136"/>
      <c r="D169" s="140"/>
    </row>
    <row r="170" spans="3:4" ht="14" x14ac:dyDescent="0.3">
      <c r="C170" s="136"/>
      <c r="D170" s="140"/>
    </row>
    <row r="171" spans="3:4" ht="14" x14ac:dyDescent="0.3">
      <c r="C171" s="140"/>
      <c r="D171" s="140"/>
    </row>
    <row r="172" spans="3:4" ht="14" x14ac:dyDescent="0.3">
      <c r="C172" s="140"/>
      <c r="D172" s="140"/>
    </row>
    <row r="173" spans="3:4" ht="14" x14ac:dyDescent="0.3">
      <c r="C173" s="136"/>
      <c r="D173" s="140"/>
    </row>
    <row r="174" spans="3:4" ht="14" x14ac:dyDescent="0.3">
      <c r="C174" s="136"/>
      <c r="D174" s="140"/>
    </row>
    <row r="175" spans="3:4" ht="14" x14ac:dyDescent="0.3">
      <c r="C175" s="136"/>
      <c r="D175" s="140"/>
    </row>
    <row r="176" spans="3:4" ht="14" x14ac:dyDescent="0.3">
      <c r="C176" s="136"/>
      <c r="D176" s="140"/>
    </row>
    <row r="177" spans="3:4" ht="14" x14ac:dyDescent="0.3">
      <c r="C177" s="140"/>
      <c r="D177" s="140"/>
    </row>
    <row r="178" spans="3:4" ht="14" x14ac:dyDescent="0.3">
      <c r="C178" s="140"/>
      <c r="D178" s="140"/>
    </row>
    <row r="179" spans="3:4" ht="14" x14ac:dyDescent="0.3">
      <c r="C179" s="140"/>
      <c r="D179" s="140"/>
    </row>
    <row r="180" spans="3:4" ht="14" x14ac:dyDescent="0.3">
      <c r="C180" s="136"/>
      <c r="D180" s="140"/>
    </row>
    <row r="181" spans="3:4" ht="14" x14ac:dyDescent="0.3">
      <c r="C181" s="140"/>
      <c r="D181" s="140"/>
    </row>
    <row r="182" spans="3:4" ht="14" x14ac:dyDescent="0.3">
      <c r="C182" s="140"/>
      <c r="D182" s="140"/>
    </row>
    <row r="183" spans="3:4" ht="14" x14ac:dyDescent="0.3">
      <c r="C183" s="140"/>
      <c r="D183" s="140"/>
    </row>
    <row r="184" spans="3:4" ht="14" x14ac:dyDescent="0.3">
      <c r="C184" s="140"/>
      <c r="D184" s="140"/>
    </row>
    <row r="185" spans="3:4" ht="14" x14ac:dyDescent="0.3">
      <c r="C185" s="140"/>
      <c r="D185" s="140"/>
    </row>
    <row r="186" spans="3:4" ht="14" x14ac:dyDescent="0.3">
      <c r="C186" s="136"/>
      <c r="D186" s="140"/>
    </row>
    <row r="187" spans="3:4" ht="14" x14ac:dyDescent="0.3">
      <c r="C187" s="136"/>
      <c r="D187" s="141"/>
    </row>
    <row r="188" spans="3:4" ht="14" x14ac:dyDescent="0.3">
      <c r="C188" s="136"/>
      <c r="D188" s="141"/>
    </row>
    <row r="189" spans="3:4" ht="14" x14ac:dyDescent="0.3">
      <c r="C189" s="136"/>
      <c r="D189" s="145"/>
    </row>
    <row r="190" spans="3:4" ht="14" x14ac:dyDescent="0.3">
      <c r="C190" s="136"/>
      <c r="D190" s="145"/>
    </row>
    <row r="191" spans="3:4" ht="14" x14ac:dyDescent="0.3">
      <c r="C191" s="136"/>
      <c r="D191" s="147"/>
    </row>
    <row r="192" spans="3:4" ht="14" x14ac:dyDescent="0.3">
      <c r="C192" s="136"/>
      <c r="D192" s="145"/>
    </row>
    <row r="193" spans="3:4" ht="14" x14ac:dyDescent="0.3">
      <c r="C193" s="136"/>
      <c r="D193" s="145"/>
    </row>
    <row r="194" spans="3:4" ht="14" x14ac:dyDescent="0.3">
      <c r="C194" s="136"/>
      <c r="D194" s="145"/>
    </row>
    <row r="195" spans="3:4" ht="14" x14ac:dyDescent="0.3">
      <c r="C195" s="136"/>
      <c r="D195" s="145"/>
    </row>
    <row r="196" spans="3:4" ht="14" x14ac:dyDescent="0.3">
      <c r="C196" s="136"/>
      <c r="D196" s="145"/>
    </row>
    <row r="197" spans="3:4" ht="14" x14ac:dyDescent="0.3">
      <c r="C197" s="136"/>
      <c r="D197" s="145"/>
    </row>
    <row r="198" spans="3:4" ht="14" x14ac:dyDescent="0.3">
      <c r="C198" s="136"/>
      <c r="D198" s="145"/>
    </row>
    <row r="199" spans="3:4" ht="14" x14ac:dyDescent="0.3">
      <c r="C199" s="136"/>
      <c r="D199" s="145"/>
    </row>
    <row r="200" spans="3:4" ht="14" x14ac:dyDescent="0.3">
      <c r="C200" s="136"/>
      <c r="D200" s="145"/>
    </row>
    <row r="201" spans="3:4" ht="14" x14ac:dyDescent="0.3">
      <c r="C201" s="136"/>
      <c r="D201" s="145"/>
    </row>
    <row r="202" spans="3:4" ht="14" x14ac:dyDescent="0.3">
      <c r="C202" s="136"/>
      <c r="D202" s="145"/>
    </row>
    <row r="203" spans="3:4" ht="14" x14ac:dyDescent="0.3">
      <c r="C203" s="136"/>
      <c r="D203" s="145"/>
    </row>
    <row r="204" spans="3:4" ht="14" x14ac:dyDescent="0.3">
      <c r="C204" s="136"/>
      <c r="D204" s="145"/>
    </row>
    <row r="205" spans="3:4" ht="14" x14ac:dyDescent="0.3">
      <c r="C205" s="136"/>
      <c r="D205" s="145"/>
    </row>
    <row r="206" spans="3:4" ht="14" x14ac:dyDescent="0.3">
      <c r="C206" s="136"/>
    </row>
    <row r="207" spans="3:4" ht="14" x14ac:dyDescent="0.3">
      <c r="C207" s="136"/>
    </row>
    <row r="208" spans="3:4" ht="14" x14ac:dyDescent="0.3">
      <c r="C208" s="136"/>
    </row>
    <row r="209" spans="3:3" ht="14" x14ac:dyDescent="0.3">
      <c r="C209" s="136"/>
    </row>
    <row r="210" spans="3:3" ht="14" x14ac:dyDescent="0.3">
      <c r="C210" s="136"/>
    </row>
    <row r="211" spans="3:3" ht="14" x14ac:dyDescent="0.3">
      <c r="C211" s="13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0460-5DAC-4947-AF61-139C3753A8C1}">
  <sheetPr>
    <tabColor rgb="FFFFC000"/>
  </sheetPr>
  <dimension ref="A2:H64"/>
  <sheetViews>
    <sheetView showGridLines="0" workbookViewId="0">
      <selection activeCell="D9" sqref="D9"/>
    </sheetView>
  </sheetViews>
  <sheetFormatPr baseColWidth="10" defaultRowHeight="12.5" x14ac:dyDescent="0.25"/>
  <cols>
    <col min="1" max="1" width="7.81640625" style="150" customWidth="1"/>
    <col min="2" max="2" width="7.54296875" style="149" customWidth="1"/>
    <col min="3" max="3" width="3.7265625" style="150" customWidth="1"/>
    <col min="4" max="4" width="4.453125" style="150" customWidth="1"/>
    <col min="5" max="5" width="3.81640625" style="150" customWidth="1"/>
    <col min="6" max="6" width="7.81640625" style="150" customWidth="1"/>
    <col min="7" max="16384" width="10.90625" style="150"/>
  </cols>
  <sheetData>
    <row r="2" spans="1:8" x14ac:dyDescent="0.25">
      <c r="A2" s="148" t="s">
        <v>119</v>
      </c>
    </row>
    <row r="4" spans="1:8" ht="14.5" x14ac:dyDescent="0.35">
      <c r="A4" s="166" t="s">
        <v>2</v>
      </c>
      <c r="B4" s="167" t="s">
        <v>120</v>
      </c>
      <c r="C4"/>
    </row>
    <row r="5" spans="1:8" ht="14.5" x14ac:dyDescent="0.35">
      <c r="A5" s="168">
        <v>46023</v>
      </c>
      <c r="B5" s="169">
        <v>1.01</v>
      </c>
      <c r="C5"/>
      <c r="D5" s="165"/>
      <c r="G5" s="151"/>
      <c r="H5" s="152"/>
    </row>
    <row r="6" spans="1:8" ht="14.5" x14ac:dyDescent="0.35">
      <c r="A6" s="168">
        <v>46054</v>
      </c>
      <c r="B6" s="169">
        <v>1.01</v>
      </c>
      <c r="C6"/>
      <c r="D6" s="165"/>
    </row>
    <row r="7" spans="1:8" ht="14.5" x14ac:dyDescent="0.35">
      <c r="A7" s="168">
        <v>46082</v>
      </c>
      <c r="B7" s="169">
        <v>1.01</v>
      </c>
      <c r="C7"/>
      <c r="D7" s="165"/>
    </row>
    <row r="8" spans="1:8" ht="14.5" x14ac:dyDescent="0.35">
      <c r="A8" s="168">
        <v>46113</v>
      </c>
      <c r="B8" s="169">
        <v>1.01</v>
      </c>
      <c r="C8"/>
      <c r="D8" s="165"/>
    </row>
    <row r="9" spans="1:8" ht="14.5" x14ac:dyDescent="0.35">
      <c r="A9" s="168">
        <v>46143</v>
      </c>
      <c r="B9" s="169">
        <v>1.01</v>
      </c>
      <c r="C9"/>
      <c r="D9" s="165"/>
    </row>
    <row r="10" spans="1:8" ht="14.5" x14ac:dyDescent="0.35">
      <c r="A10" s="168">
        <v>46174</v>
      </c>
      <c r="B10" s="169">
        <v>1.01</v>
      </c>
      <c r="C10"/>
      <c r="D10" s="165"/>
    </row>
    <row r="11" spans="1:8" ht="14.5" x14ac:dyDescent="0.35">
      <c r="A11" s="168">
        <v>46204</v>
      </c>
      <c r="B11" s="169">
        <v>1.02</v>
      </c>
      <c r="C11"/>
      <c r="D11" s="165"/>
    </row>
    <row r="12" spans="1:8" ht="14.5" x14ac:dyDescent="0.35">
      <c r="A12" s="168">
        <v>46235</v>
      </c>
      <c r="B12" s="169">
        <v>1.02</v>
      </c>
      <c r="C12"/>
      <c r="D12" s="165"/>
    </row>
    <row r="13" spans="1:8" ht="14.5" x14ac:dyDescent="0.35">
      <c r="A13" s="168">
        <v>46266</v>
      </c>
      <c r="B13" s="169">
        <v>1.02</v>
      </c>
      <c r="C13"/>
      <c r="D13" s="165"/>
    </row>
    <row r="14" spans="1:8" ht="14.5" x14ac:dyDescent="0.35">
      <c r="A14" s="168">
        <v>46296</v>
      </c>
      <c r="B14" s="169">
        <v>1.02</v>
      </c>
      <c r="C14"/>
      <c r="D14" s="165"/>
    </row>
    <row r="15" spans="1:8" ht="14.5" x14ac:dyDescent="0.35">
      <c r="A15" s="168">
        <v>46327</v>
      </c>
      <c r="B15" s="169">
        <v>1.03</v>
      </c>
      <c r="C15"/>
      <c r="D15" s="165"/>
    </row>
    <row r="16" spans="1:8" ht="14.5" x14ac:dyDescent="0.35">
      <c r="A16" s="168">
        <v>46357</v>
      </c>
      <c r="B16" s="169">
        <v>1.03</v>
      </c>
      <c r="C16"/>
      <c r="D16" s="165"/>
    </row>
    <row r="17" spans="1:8" ht="14.5" x14ac:dyDescent="0.35">
      <c r="A17" s="170">
        <v>46388</v>
      </c>
      <c r="B17" s="169">
        <v>1.03</v>
      </c>
      <c r="C17"/>
      <c r="D17" s="165"/>
    </row>
    <row r="18" spans="1:8" ht="14.5" x14ac:dyDescent="0.35">
      <c r="A18" s="170">
        <v>46419</v>
      </c>
      <c r="B18" s="169">
        <v>1.03</v>
      </c>
      <c r="C18"/>
      <c r="D18" s="165"/>
      <c r="G18" s="151"/>
      <c r="H18" s="152"/>
    </row>
    <row r="19" spans="1:8" ht="14.5" x14ac:dyDescent="0.35">
      <c r="A19" s="170">
        <v>46447</v>
      </c>
      <c r="B19" s="169">
        <v>1.04</v>
      </c>
      <c r="C19"/>
      <c r="D19" s="165"/>
      <c r="G19" s="151"/>
      <c r="H19" s="152"/>
    </row>
    <row r="20" spans="1:8" ht="14.5" x14ac:dyDescent="0.35">
      <c r="A20" s="170">
        <v>46478</v>
      </c>
      <c r="B20" s="169">
        <v>1.04</v>
      </c>
      <c r="C20"/>
      <c r="D20" s="165"/>
      <c r="G20" s="151"/>
      <c r="H20" s="152"/>
    </row>
    <row r="21" spans="1:8" ht="14.5" x14ac:dyDescent="0.35">
      <c r="A21" s="170">
        <v>46508</v>
      </c>
      <c r="B21" s="169">
        <v>1.04</v>
      </c>
      <c r="C21"/>
      <c r="D21" s="165"/>
      <c r="G21" s="151"/>
      <c r="H21" s="152"/>
    </row>
    <row r="22" spans="1:8" ht="14.5" x14ac:dyDescent="0.35">
      <c r="A22" s="170">
        <v>46539</v>
      </c>
      <c r="B22" s="169">
        <v>1.04</v>
      </c>
      <c r="C22"/>
      <c r="D22" s="165"/>
      <c r="G22" s="151"/>
      <c r="H22" s="152"/>
    </row>
    <row r="23" spans="1:8" ht="14.5" x14ac:dyDescent="0.35">
      <c r="A23" s="170">
        <v>46569</v>
      </c>
      <c r="B23" s="169">
        <v>1.04</v>
      </c>
      <c r="C23"/>
      <c r="D23" s="165"/>
      <c r="G23" s="151"/>
      <c r="H23" s="152"/>
    </row>
    <row r="24" spans="1:8" ht="14.5" x14ac:dyDescent="0.35">
      <c r="A24" s="170">
        <v>46600</v>
      </c>
      <c r="B24" s="169">
        <v>1.04</v>
      </c>
      <c r="C24"/>
      <c r="D24" s="165"/>
      <c r="G24" s="151"/>
      <c r="H24" s="152"/>
    </row>
    <row r="25" spans="1:8" ht="14.5" x14ac:dyDescent="0.35">
      <c r="A25" s="170">
        <v>46631</v>
      </c>
      <c r="B25" s="169">
        <v>1.05</v>
      </c>
      <c r="C25"/>
      <c r="D25" s="165"/>
      <c r="G25" s="151"/>
      <c r="H25" s="152"/>
    </row>
    <row r="26" spans="1:8" ht="14.5" x14ac:dyDescent="0.35">
      <c r="A26" s="170">
        <v>46661</v>
      </c>
      <c r="B26" s="169">
        <v>1.05</v>
      </c>
      <c r="C26"/>
      <c r="D26" s="165"/>
      <c r="G26" s="151"/>
      <c r="H26" s="152"/>
    </row>
    <row r="27" spans="1:8" ht="14.5" x14ac:dyDescent="0.35">
      <c r="A27" s="170">
        <v>46692</v>
      </c>
      <c r="B27" s="169">
        <v>1.06</v>
      </c>
      <c r="C27"/>
      <c r="D27" s="165"/>
      <c r="G27" s="151"/>
      <c r="H27" s="152"/>
    </row>
    <row r="28" spans="1:8" ht="14.5" x14ac:dyDescent="0.35">
      <c r="A28" s="170">
        <v>46722</v>
      </c>
      <c r="B28" s="169">
        <v>1.06</v>
      </c>
      <c r="C28"/>
      <c r="D28" s="165"/>
      <c r="G28" s="151"/>
      <c r="H28" s="152"/>
    </row>
    <row r="29" spans="1:8" ht="14.5" x14ac:dyDescent="0.35">
      <c r="A29" s="168">
        <v>46753</v>
      </c>
      <c r="B29" s="169">
        <v>1.06</v>
      </c>
      <c r="C29"/>
      <c r="D29" s="165"/>
      <c r="G29" s="151"/>
      <c r="H29" s="152"/>
    </row>
    <row r="30" spans="1:8" ht="14.5" x14ac:dyDescent="0.35">
      <c r="A30" s="168">
        <v>46784</v>
      </c>
      <c r="B30" s="169">
        <v>1.06</v>
      </c>
      <c r="C30"/>
      <c r="D30" s="165"/>
      <c r="G30" s="151"/>
      <c r="H30" s="152"/>
    </row>
    <row r="31" spans="1:8" ht="14.5" x14ac:dyDescent="0.35">
      <c r="A31" s="168">
        <v>46813</v>
      </c>
      <c r="B31" s="169">
        <v>1.06</v>
      </c>
      <c r="C31"/>
      <c r="D31" s="165"/>
      <c r="G31" s="151"/>
      <c r="H31" s="152"/>
    </row>
    <row r="32" spans="1:8" ht="14.5" x14ac:dyDescent="0.35">
      <c r="A32" s="168">
        <v>46844</v>
      </c>
      <c r="B32" s="169">
        <v>1.06</v>
      </c>
      <c r="C32"/>
      <c r="D32" s="165"/>
      <c r="G32" s="151"/>
      <c r="H32" s="152"/>
    </row>
    <row r="33" spans="1:8" ht="14.5" x14ac:dyDescent="0.35">
      <c r="A33" s="168">
        <v>46874</v>
      </c>
      <c r="B33" s="169">
        <v>1.07</v>
      </c>
      <c r="C33"/>
      <c r="D33" s="165"/>
      <c r="G33" s="151"/>
      <c r="H33" s="152"/>
    </row>
    <row r="34" spans="1:8" ht="14.5" x14ac:dyDescent="0.35">
      <c r="A34" s="168">
        <v>46905</v>
      </c>
      <c r="B34" s="169">
        <v>1.07</v>
      </c>
      <c r="C34"/>
      <c r="D34" s="165"/>
      <c r="G34" s="151"/>
      <c r="H34" s="152"/>
    </row>
    <row r="35" spans="1:8" ht="14.5" x14ac:dyDescent="0.35">
      <c r="A35" s="168">
        <v>46935</v>
      </c>
      <c r="B35" s="169">
        <v>1.07</v>
      </c>
      <c r="C35"/>
      <c r="D35" s="165"/>
      <c r="G35" s="151"/>
      <c r="H35" s="152"/>
    </row>
    <row r="36" spans="1:8" ht="14.5" x14ac:dyDescent="0.35">
      <c r="A36" s="168">
        <v>46966</v>
      </c>
      <c r="B36" s="169">
        <v>1.07</v>
      </c>
      <c r="C36"/>
      <c r="D36" s="165"/>
      <c r="G36" s="151"/>
      <c r="H36" s="152"/>
    </row>
    <row r="37" spans="1:8" ht="14.5" x14ac:dyDescent="0.35">
      <c r="A37" s="168">
        <v>46997</v>
      </c>
      <c r="B37" s="169">
        <v>1.08</v>
      </c>
      <c r="C37"/>
      <c r="D37" s="165"/>
      <c r="G37" s="151"/>
      <c r="H37" s="152"/>
    </row>
    <row r="38" spans="1:8" ht="14.5" x14ac:dyDescent="0.35">
      <c r="A38" s="168">
        <v>47027</v>
      </c>
      <c r="B38" s="169">
        <v>1.08</v>
      </c>
      <c r="C38"/>
      <c r="D38" s="165"/>
      <c r="G38" s="151"/>
      <c r="H38" s="152"/>
    </row>
    <row r="39" spans="1:8" ht="14.5" x14ac:dyDescent="0.35">
      <c r="A39" s="168">
        <v>47058</v>
      </c>
      <c r="B39" s="169">
        <v>1.0900000000000001</v>
      </c>
      <c r="C39"/>
      <c r="D39" s="165"/>
      <c r="G39" s="151"/>
      <c r="H39" s="152"/>
    </row>
    <row r="40" spans="1:8" ht="14.5" x14ac:dyDescent="0.35">
      <c r="A40" s="168">
        <v>47088</v>
      </c>
      <c r="B40" s="169">
        <v>1.0900000000000001</v>
      </c>
      <c r="C40"/>
      <c r="D40" s="165"/>
      <c r="G40" s="151"/>
      <c r="H40" s="152"/>
    </row>
    <row r="41" spans="1:8" ht="14.5" x14ac:dyDescent="0.35">
      <c r="A41" s="170">
        <v>47119</v>
      </c>
      <c r="B41" s="169">
        <v>1.0900000000000001</v>
      </c>
      <c r="C41"/>
      <c r="D41" s="165"/>
    </row>
    <row r="42" spans="1:8" ht="14.5" x14ac:dyDescent="0.35">
      <c r="A42" s="170">
        <v>47150</v>
      </c>
      <c r="B42" s="169">
        <v>1.0900000000000001</v>
      </c>
      <c r="C42"/>
      <c r="D42" s="165"/>
    </row>
    <row r="43" spans="1:8" ht="14.5" x14ac:dyDescent="0.35">
      <c r="A43" s="170">
        <v>47178</v>
      </c>
      <c r="B43" s="169">
        <v>1.0900000000000001</v>
      </c>
      <c r="C43"/>
      <c r="D43" s="165"/>
    </row>
    <row r="44" spans="1:8" ht="14.5" x14ac:dyDescent="0.35">
      <c r="A44" s="170">
        <v>47209</v>
      </c>
      <c r="B44" s="169">
        <v>1.0900000000000001</v>
      </c>
      <c r="C44"/>
      <c r="D44" s="165"/>
    </row>
    <row r="45" spans="1:8" ht="14.5" x14ac:dyDescent="0.35">
      <c r="A45" s="170">
        <v>47239</v>
      </c>
      <c r="B45" s="169">
        <v>1.1000000000000001</v>
      </c>
      <c r="C45"/>
      <c r="D45" s="165"/>
    </row>
    <row r="46" spans="1:8" ht="14.5" x14ac:dyDescent="0.35">
      <c r="A46" s="170">
        <v>47270</v>
      </c>
      <c r="B46" s="169">
        <v>1.1000000000000001</v>
      </c>
      <c r="C46"/>
      <c r="D46" s="165"/>
    </row>
    <row r="47" spans="1:8" ht="14.5" x14ac:dyDescent="0.35">
      <c r="A47" s="170">
        <v>47300</v>
      </c>
      <c r="B47" s="169">
        <v>1.1000000000000001</v>
      </c>
      <c r="C47"/>
      <c r="D47" s="165"/>
    </row>
    <row r="48" spans="1:8" ht="14.5" x14ac:dyDescent="0.35">
      <c r="A48" s="170">
        <v>47331</v>
      </c>
      <c r="B48" s="169">
        <v>1.1000000000000001</v>
      </c>
      <c r="C48"/>
      <c r="D48" s="165"/>
    </row>
    <row r="49" spans="1:4" ht="14.5" x14ac:dyDescent="0.35">
      <c r="A49" s="170">
        <v>47362</v>
      </c>
      <c r="B49" s="169">
        <v>1.1100000000000001</v>
      </c>
      <c r="C49"/>
      <c r="D49" s="165"/>
    </row>
    <row r="50" spans="1:4" ht="14.5" x14ac:dyDescent="0.35">
      <c r="A50" s="170">
        <v>47392</v>
      </c>
      <c r="B50" s="169">
        <v>1.1100000000000001</v>
      </c>
      <c r="C50"/>
      <c r="D50" s="165"/>
    </row>
    <row r="51" spans="1:4" ht="14.5" x14ac:dyDescent="0.35">
      <c r="A51" s="170">
        <v>47423</v>
      </c>
      <c r="B51" s="169">
        <v>1.1100000000000001</v>
      </c>
      <c r="C51"/>
      <c r="D51" s="165"/>
    </row>
    <row r="52" spans="1:4" ht="14.5" x14ac:dyDescent="0.35">
      <c r="A52" s="170">
        <v>47453</v>
      </c>
      <c r="B52" s="169">
        <v>1.1200000000000001</v>
      </c>
      <c r="C52"/>
      <c r="D52" s="165"/>
    </row>
    <row r="53" spans="1:4" ht="14.5" x14ac:dyDescent="0.35">
      <c r="A53" s="168">
        <v>47484</v>
      </c>
      <c r="B53" s="169">
        <v>1.1200000000000001</v>
      </c>
      <c r="C53"/>
      <c r="D53" s="165"/>
    </row>
    <row r="54" spans="1:4" ht="14.5" x14ac:dyDescent="0.35">
      <c r="A54" s="168">
        <v>47515</v>
      </c>
      <c r="B54" s="169">
        <v>1.1200000000000001</v>
      </c>
      <c r="C54"/>
      <c r="D54" s="165"/>
    </row>
    <row r="55" spans="1:4" ht="14.5" x14ac:dyDescent="0.35">
      <c r="A55" s="168">
        <v>47543</v>
      </c>
      <c r="B55" s="169">
        <v>1.1200000000000001</v>
      </c>
      <c r="C55"/>
      <c r="D55" s="165"/>
    </row>
    <row r="56" spans="1:4" ht="14.5" x14ac:dyDescent="0.35">
      <c r="A56" s="168">
        <v>47574</v>
      </c>
      <c r="B56" s="169">
        <v>1.1200000000000001</v>
      </c>
      <c r="C56"/>
      <c r="D56" s="165"/>
    </row>
    <row r="57" spans="1:4" ht="14.5" x14ac:dyDescent="0.35">
      <c r="A57" s="168">
        <v>47604</v>
      </c>
      <c r="B57" s="169">
        <v>1.1299999999999999</v>
      </c>
      <c r="C57"/>
      <c r="D57" s="165"/>
    </row>
    <row r="58" spans="1:4" ht="14.5" x14ac:dyDescent="0.35">
      <c r="A58" s="168">
        <v>47635</v>
      </c>
      <c r="B58" s="169">
        <v>1.1299999999999999</v>
      </c>
      <c r="C58"/>
      <c r="D58" s="165"/>
    </row>
    <row r="59" spans="1:4" ht="14.5" x14ac:dyDescent="0.35">
      <c r="A59" s="168">
        <v>47665</v>
      </c>
      <c r="B59" s="169">
        <v>1.1299999999999999</v>
      </c>
      <c r="C59"/>
      <c r="D59" s="165"/>
    </row>
    <row r="60" spans="1:4" ht="14.5" x14ac:dyDescent="0.35">
      <c r="A60" s="168">
        <v>47696</v>
      </c>
      <c r="B60" s="169">
        <v>1.1299999999999999</v>
      </c>
      <c r="C60"/>
      <c r="D60" s="165"/>
    </row>
    <row r="61" spans="1:4" ht="14.5" x14ac:dyDescent="0.35">
      <c r="A61" s="168">
        <v>47727</v>
      </c>
      <c r="B61" s="169">
        <v>1.1299999999999999</v>
      </c>
      <c r="C61"/>
      <c r="D61" s="165"/>
    </row>
    <row r="62" spans="1:4" ht="14.5" x14ac:dyDescent="0.35">
      <c r="A62" s="168">
        <v>47757</v>
      </c>
      <c r="B62" s="169">
        <v>1.1399999999999999</v>
      </c>
      <c r="C62"/>
      <c r="D62" s="165"/>
    </row>
    <row r="63" spans="1:4" ht="14.5" x14ac:dyDescent="0.35">
      <c r="A63" s="168">
        <v>47788</v>
      </c>
      <c r="B63" s="169">
        <v>1.1399999999999999</v>
      </c>
      <c r="C63"/>
      <c r="D63" s="165"/>
    </row>
    <row r="64" spans="1:4" ht="14.5" x14ac:dyDescent="0.35">
      <c r="A64" s="168">
        <v>47818</v>
      </c>
      <c r="B64" s="169">
        <v>1.1499999999999999</v>
      </c>
      <c r="C64"/>
      <c r="D64" s="16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6EDF-D3F1-4E2E-A6DF-B9A47AE85F9C}">
  <sheetPr>
    <tabColor rgb="FF92D050"/>
    <pageSetUpPr fitToPage="1"/>
  </sheetPr>
  <dimension ref="A2:J73"/>
  <sheetViews>
    <sheetView showGridLines="0" tabSelected="1" topLeftCell="A17" zoomScale="120" zoomScaleNormal="120" zoomScaleSheetLayoutView="100" workbookViewId="0">
      <selection activeCell="G63" sqref="G63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17" style="21" customWidth="1"/>
    <col min="6" max="7" width="18.7265625" style="21" customWidth="1"/>
    <col min="8" max="8" width="10.08984375" style="21" customWidth="1"/>
    <col min="9" max="10" width="1.54296875" style="21" hidden="1" customWidth="1"/>
    <col min="11" max="16384" width="3.453125" style="21" hidden="1"/>
  </cols>
  <sheetData>
    <row r="2" spans="1:9" s="20" customFormat="1" ht="19" x14ac:dyDescent="0.35">
      <c r="B2" s="46" t="s">
        <v>124</v>
      </c>
      <c r="C2" s="66"/>
      <c r="D2" s="67"/>
      <c r="E2" s="66"/>
      <c r="F2" s="66"/>
      <c r="G2" s="66"/>
      <c r="H2" s="66"/>
    </row>
    <row r="3" spans="1:9" ht="16.5" customHeight="1" x14ac:dyDescent="0.25">
      <c r="B3" s="47" t="s">
        <v>127</v>
      </c>
      <c r="C3" s="68"/>
      <c r="D3" s="68"/>
      <c r="E3" s="68"/>
      <c r="F3" s="68"/>
      <c r="G3" s="68"/>
      <c r="H3" s="68"/>
      <c r="I3" s="22"/>
    </row>
    <row r="4" spans="1:9" ht="16.5" customHeight="1" x14ac:dyDescent="0.25">
      <c r="B4" s="69"/>
      <c r="C4" s="68"/>
      <c r="D4" s="68"/>
      <c r="E4" s="68"/>
      <c r="F4" s="68"/>
      <c r="G4" s="68"/>
      <c r="H4" s="68"/>
      <c r="I4" s="22"/>
    </row>
    <row r="5" spans="1:9" ht="16.5" customHeight="1" x14ac:dyDescent="0.25">
      <c r="B5" s="69"/>
      <c r="C5" s="68"/>
      <c r="D5" s="68"/>
      <c r="E5" s="68"/>
      <c r="F5" s="68"/>
      <c r="G5" s="68"/>
      <c r="H5" s="68"/>
      <c r="I5" s="22"/>
    </row>
    <row r="6" spans="1:9" ht="16.5" customHeight="1" x14ac:dyDescent="0.25">
      <c r="B6" s="185" t="s">
        <v>126</v>
      </c>
      <c r="C6" s="185"/>
      <c r="D6" s="185"/>
      <c r="E6" s="185"/>
      <c r="F6" s="185"/>
      <c r="G6" s="185"/>
      <c r="H6" s="185"/>
      <c r="I6" s="22"/>
    </row>
    <row r="7" spans="1:9" ht="18" customHeight="1" x14ac:dyDescent="0.25">
      <c r="B7" s="185"/>
      <c r="C7" s="185"/>
      <c r="D7" s="185"/>
      <c r="E7" s="185"/>
      <c r="F7" s="185"/>
      <c r="G7" s="185"/>
      <c r="H7" s="185"/>
      <c r="I7" s="22"/>
    </row>
    <row r="8" spans="1:9" ht="18" customHeight="1" thickBot="1" x14ac:dyDescent="0.4">
      <c r="B8" s="23" t="s">
        <v>35</v>
      </c>
      <c r="C8" s="24"/>
      <c r="D8" s="25"/>
      <c r="E8" s="58" t="s">
        <v>63</v>
      </c>
    </row>
    <row r="9" spans="1:9" ht="18" customHeight="1" thickBot="1" x14ac:dyDescent="0.4">
      <c r="A9" s="172"/>
      <c r="B9" s="23" t="s">
        <v>44</v>
      </c>
      <c r="C9" s="186"/>
      <c r="D9" s="186"/>
      <c r="E9" s="57" t="s">
        <v>62</v>
      </c>
    </row>
    <row r="10" spans="1:9" ht="18" customHeight="1" thickBot="1" x14ac:dyDescent="0.4">
      <c r="A10" s="172"/>
      <c r="B10" s="41" t="s">
        <v>45</v>
      </c>
      <c r="C10" s="24"/>
      <c r="D10" s="25"/>
      <c r="E10" s="58" t="s">
        <v>63</v>
      </c>
    </row>
    <row r="11" spans="1:9" ht="18" customHeight="1" thickBot="1" x14ac:dyDescent="0.4">
      <c r="A11" s="172"/>
      <c r="B11" s="23" t="s">
        <v>46</v>
      </c>
      <c r="C11" s="187" t="s">
        <v>60</v>
      </c>
      <c r="D11" s="187"/>
      <c r="E11" s="57" t="s">
        <v>106</v>
      </c>
    </row>
    <row r="12" spans="1:9" ht="18" customHeight="1" thickBot="1" x14ac:dyDescent="0.4">
      <c r="A12" s="176">
        <v>24</v>
      </c>
      <c r="B12" s="23" t="s">
        <v>133</v>
      </c>
      <c r="C12" s="186" t="s">
        <v>134</v>
      </c>
      <c r="D12" s="186"/>
      <c r="E12" s="57"/>
    </row>
    <row r="13" spans="1:9" ht="17" thickBot="1" x14ac:dyDescent="0.4">
      <c r="A13" s="172"/>
      <c r="B13" s="23" t="s">
        <v>105</v>
      </c>
      <c r="C13" s="24"/>
      <c r="D13" s="25"/>
      <c r="E13" s="58" t="s">
        <v>63</v>
      </c>
    </row>
    <row r="15" spans="1:9" ht="12.75" customHeight="1" x14ac:dyDescent="0.25">
      <c r="B15" s="188" t="s">
        <v>36</v>
      </c>
      <c r="C15" s="188" t="s">
        <v>37</v>
      </c>
      <c r="D15" s="189" t="s">
        <v>135</v>
      </c>
      <c r="E15" s="188" t="s">
        <v>38</v>
      </c>
      <c r="F15" s="188" t="s">
        <v>39</v>
      </c>
      <c r="G15" s="189" t="s">
        <v>136</v>
      </c>
      <c r="H15" s="201" t="s">
        <v>40</v>
      </c>
    </row>
    <row r="16" spans="1:9" ht="35.25" customHeight="1" x14ac:dyDescent="0.25">
      <c r="A16" s="26"/>
      <c r="B16" s="188"/>
      <c r="C16" s="188"/>
      <c r="D16" s="189"/>
      <c r="E16" s="188"/>
      <c r="F16" s="188"/>
      <c r="G16" s="189"/>
      <c r="H16" s="201"/>
    </row>
    <row r="17" spans="1:8" ht="15.5" customHeight="1" x14ac:dyDescent="0.35">
      <c r="A17">
        <v>31</v>
      </c>
      <c r="B17" s="174">
        <v>46023</v>
      </c>
      <c r="C17" s="175"/>
      <c r="D17" s="175"/>
      <c r="E17" s="199">
        <v>0</v>
      </c>
      <c r="F17" s="175"/>
      <c r="G17" s="175"/>
      <c r="H17" s="200">
        <v>0</v>
      </c>
    </row>
    <row r="18" spans="1:8" ht="15.5" x14ac:dyDescent="0.35">
      <c r="A18">
        <v>28</v>
      </c>
      <c r="B18" s="174">
        <v>46054</v>
      </c>
      <c r="C18" s="175">
        <f>+'Cantidades 1_(26-28)'!AD15</f>
        <v>3360000</v>
      </c>
      <c r="D18" s="175">
        <f>+C18/A18/$A$12</f>
        <v>5000</v>
      </c>
      <c r="E18" s="199"/>
      <c r="F18" s="175">
        <f>+C18*$E$17</f>
        <v>0</v>
      </c>
      <c r="G18" s="175">
        <f>+F18/A18/$A$12</f>
        <v>0</v>
      </c>
      <c r="H18" s="200"/>
    </row>
    <row r="19" spans="1:8" ht="15.5" x14ac:dyDescent="0.35">
      <c r="A19">
        <v>31</v>
      </c>
      <c r="B19" s="174">
        <v>46082</v>
      </c>
      <c r="C19" s="175">
        <f>+'Cantidades 1_(26-28)'!AD16</f>
        <v>3720000</v>
      </c>
      <c r="D19" s="175">
        <f t="shared" ref="D19:D52" si="0">+C19/A19/$A$12</f>
        <v>5000</v>
      </c>
      <c r="E19" s="199"/>
      <c r="F19" s="175">
        <f t="shared" ref="F19:F52" si="1">+C19*$E$17</f>
        <v>0</v>
      </c>
      <c r="G19" s="175">
        <f t="shared" ref="G19:G52" si="2">+F19/A19/$A$12</f>
        <v>0</v>
      </c>
      <c r="H19" s="200"/>
    </row>
    <row r="20" spans="1:8" ht="15.5" x14ac:dyDescent="0.35">
      <c r="A20">
        <v>30</v>
      </c>
      <c r="B20" s="174">
        <v>46113</v>
      </c>
      <c r="C20" s="175">
        <f>+'Cantidades 1_(26-28)'!AD17</f>
        <v>3600000</v>
      </c>
      <c r="D20" s="175">
        <f t="shared" si="0"/>
        <v>5000</v>
      </c>
      <c r="E20" s="199"/>
      <c r="F20" s="175">
        <f>+C20*$E$17</f>
        <v>0</v>
      </c>
      <c r="G20" s="175">
        <f t="shared" si="2"/>
        <v>0</v>
      </c>
      <c r="H20" s="200"/>
    </row>
    <row r="21" spans="1:8" ht="15.5" x14ac:dyDescent="0.35">
      <c r="A21">
        <v>31</v>
      </c>
      <c r="B21" s="174">
        <v>46143</v>
      </c>
      <c r="C21" s="175">
        <f>+'Cantidades 1_(26-28)'!AD18</f>
        <v>3720000</v>
      </c>
      <c r="D21" s="175">
        <f t="shared" si="0"/>
        <v>5000</v>
      </c>
      <c r="E21" s="199"/>
      <c r="F21" s="175">
        <f t="shared" si="1"/>
        <v>0</v>
      </c>
      <c r="G21" s="175">
        <f>+F21/A21/$A$12</f>
        <v>0</v>
      </c>
      <c r="H21" s="200"/>
    </row>
    <row r="22" spans="1:8" ht="15.5" x14ac:dyDescent="0.35">
      <c r="A22">
        <v>30</v>
      </c>
      <c r="B22" s="174">
        <v>46174</v>
      </c>
      <c r="C22" s="175">
        <f>+'Cantidades 1_(26-28)'!AD19</f>
        <v>3600000</v>
      </c>
      <c r="D22" s="175">
        <f t="shared" si="0"/>
        <v>5000</v>
      </c>
      <c r="E22" s="199"/>
      <c r="F22" s="175">
        <f t="shared" si="1"/>
        <v>0</v>
      </c>
      <c r="G22" s="175">
        <f t="shared" si="2"/>
        <v>0</v>
      </c>
      <c r="H22" s="200"/>
    </row>
    <row r="23" spans="1:8" ht="15.5" x14ac:dyDescent="0.35">
      <c r="A23">
        <v>31</v>
      </c>
      <c r="B23" s="174">
        <v>46204</v>
      </c>
      <c r="C23" s="175">
        <f>+'Cantidades 1_(26-28)'!AD20</f>
        <v>3720000</v>
      </c>
      <c r="D23" s="175">
        <f t="shared" si="0"/>
        <v>5000</v>
      </c>
      <c r="E23" s="199"/>
      <c r="F23" s="175">
        <f t="shared" si="1"/>
        <v>0</v>
      </c>
      <c r="G23" s="175">
        <f t="shared" si="2"/>
        <v>0</v>
      </c>
      <c r="H23" s="200"/>
    </row>
    <row r="24" spans="1:8" ht="15.5" x14ac:dyDescent="0.35">
      <c r="A24">
        <v>31</v>
      </c>
      <c r="B24" s="174">
        <v>46235</v>
      </c>
      <c r="C24" s="175">
        <f>+'Cantidades 1_(26-28)'!AD21</f>
        <v>3720000</v>
      </c>
      <c r="D24" s="175">
        <f t="shared" si="0"/>
        <v>5000</v>
      </c>
      <c r="E24" s="199"/>
      <c r="F24" s="175">
        <f t="shared" si="1"/>
        <v>0</v>
      </c>
      <c r="G24" s="175">
        <f t="shared" si="2"/>
        <v>0</v>
      </c>
      <c r="H24" s="200"/>
    </row>
    <row r="25" spans="1:8" ht="15.5" x14ac:dyDescent="0.35">
      <c r="A25">
        <v>30</v>
      </c>
      <c r="B25" s="174">
        <v>46266</v>
      </c>
      <c r="C25" s="175">
        <f>+'Cantidades 1_(26-28)'!AD22</f>
        <v>3600000</v>
      </c>
      <c r="D25" s="175">
        <f t="shared" si="0"/>
        <v>5000</v>
      </c>
      <c r="E25" s="199"/>
      <c r="F25" s="175">
        <f t="shared" si="1"/>
        <v>0</v>
      </c>
      <c r="G25" s="175">
        <f t="shared" si="2"/>
        <v>0</v>
      </c>
      <c r="H25" s="200"/>
    </row>
    <row r="26" spans="1:8" ht="15.5" x14ac:dyDescent="0.35">
      <c r="A26">
        <v>31</v>
      </c>
      <c r="B26" s="174">
        <v>46296</v>
      </c>
      <c r="C26" s="175">
        <f>+'Cantidades 1_(26-28)'!AD23</f>
        <v>3720000</v>
      </c>
      <c r="D26" s="175">
        <f t="shared" si="0"/>
        <v>5000</v>
      </c>
      <c r="E26" s="199"/>
      <c r="F26" s="175">
        <f t="shared" si="1"/>
        <v>0</v>
      </c>
      <c r="G26" s="175">
        <f t="shared" si="2"/>
        <v>0</v>
      </c>
      <c r="H26" s="200"/>
    </row>
    <row r="27" spans="1:8" ht="15.5" x14ac:dyDescent="0.35">
      <c r="A27">
        <v>30</v>
      </c>
      <c r="B27" s="174">
        <v>46327</v>
      </c>
      <c r="C27" s="175">
        <f>+'Cantidades 1_(26-28)'!AD24</f>
        <v>3600000</v>
      </c>
      <c r="D27" s="175">
        <f t="shared" si="0"/>
        <v>5000</v>
      </c>
      <c r="E27" s="199"/>
      <c r="F27" s="175">
        <f t="shared" si="1"/>
        <v>0</v>
      </c>
      <c r="G27" s="175">
        <f t="shared" si="2"/>
        <v>0</v>
      </c>
      <c r="H27" s="200"/>
    </row>
    <row r="28" spans="1:8" ht="15.5" x14ac:dyDescent="0.35">
      <c r="A28">
        <v>31</v>
      </c>
      <c r="B28" s="174">
        <v>46357</v>
      </c>
      <c r="C28" s="175">
        <f>+'Cantidades 1_(26-28)'!AD25</f>
        <v>3720000</v>
      </c>
      <c r="D28" s="175">
        <f t="shared" si="0"/>
        <v>5000</v>
      </c>
      <c r="E28" s="199"/>
      <c r="F28" s="175">
        <f t="shared" si="1"/>
        <v>0</v>
      </c>
      <c r="G28" s="175">
        <f t="shared" si="2"/>
        <v>0</v>
      </c>
      <c r="H28" s="200"/>
    </row>
    <row r="29" spans="1:8" ht="15.5" x14ac:dyDescent="0.35">
      <c r="A29">
        <v>31</v>
      </c>
      <c r="B29" s="174">
        <v>46388</v>
      </c>
      <c r="C29" s="175">
        <f>+'Cantidades 1_(26-28)'!AD64</f>
        <v>3720000</v>
      </c>
      <c r="D29" s="175">
        <f t="shared" si="0"/>
        <v>5000</v>
      </c>
      <c r="E29" s="199"/>
      <c r="F29" s="175">
        <f t="shared" si="1"/>
        <v>0</v>
      </c>
      <c r="G29" s="175">
        <f t="shared" si="2"/>
        <v>0</v>
      </c>
      <c r="H29" s="200">
        <v>0</v>
      </c>
    </row>
    <row r="30" spans="1:8" ht="15.5" x14ac:dyDescent="0.35">
      <c r="A30">
        <v>28</v>
      </c>
      <c r="B30" s="174">
        <v>46419</v>
      </c>
      <c r="C30" s="175">
        <f>+'Cantidades 1_(26-28)'!AD65</f>
        <v>3360000</v>
      </c>
      <c r="D30" s="175">
        <f t="shared" si="0"/>
        <v>5000</v>
      </c>
      <c r="E30" s="199"/>
      <c r="F30" s="175">
        <f t="shared" si="1"/>
        <v>0</v>
      </c>
      <c r="G30" s="175">
        <f t="shared" si="2"/>
        <v>0</v>
      </c>
      <c r="H30" s="200"/>
    </row>
    <row r="31" spans="1:8" ht="15.5" x14ac:dyDescent="0.35">
      <c r="A31">
        <v>31</v>
      </c>
      <c r="B31" s="174">
        <v>46447</v>
      </c>
      <c r="C31" s="175">
        <f>+'Cantidades 1_(26-28)'!AD66</f>
        <v>3720000</v>
      </c>
      <c r="D31" s="175">
        <f t="shared" si="0"/>
        <v>5000</v>
      </c>
      <c r="E31" s="199"/>
      <c r="F31" s="175">
        <f t="shared" si="1"/>
        <v>0</v>
      </c>
      <c r="G31" s="175">
        <f t="shared" si="2"/>
        <v>0</v>
      </c>
      <c r="H31" s="200"/>
    </row>
    <row r="32" spans="1:8" ht="15.5" x14ac:dyDescent="0.35">
      <c r="A32">
        <v>30</v>
      </c>
      <c r="B32" s="174">
        <v>46478</v>
      </c>
      <c r="C32" s="175">
        <f>+'Cantidades 1_(26-28)'!AD67</f>
        <v>3600000</v>
      </c>
      <c r="D32" s="175">
        <f t="shared" si="0"/>
        <v>5000</v>
      </c>
      <c r="E32" s="199"/>
      <c r="F32" s="175">
        <f t="shared" si="1"/>
        <v>0</v>
      </c>
      <c r="G32" s="175">
        <f t="shared" si="2"/>
        <v>0</v>
      </c>
      <c r="H32" s="200"/>
    </row>
    <row r="33" spans="1:8" ht="15.5" x14ac:dyDescent="0.35">
      <c r="A33">
        <v>31</v>
      </c>
      <c r="B33" s="174">
        <v>46508</v>
      </c>
      <c r="C33" s="175">
        <f>+'Cantidades 1_(26-28)'!AD68</f>
        <v>3720000</v>
      </c>
      <c r="D33" s="175">
        <f t="shared" si="0"/>
        <v>5000</v>
      </c>
      <c r="E33" s="199"/>
      <c r="F33" s="175">
        <f t="shared" si="1"/>
        <v>0</v>
      </c>
      <c r="G33" s="175">
        <f t="shared" si="2"/>
        <v>0</v>
      </c>
      <c r="H33" s="200"/>
    </row>
    <row r="34" spans="1:8" ht="15.5" x14ac:dyDescent="0.35">
      <c r="A34">
        <v>30</v>
      </c>
      <c r="B34" s="174">
        <v>46539</v>
      </c>
      <c r="C34" s="175">
        <f>+'Cantidades 1_(26-28)'!AD69</f>
        <v>3600000</v>
      </c>
      <c r="D34" s="175">
        <f t="shared" si="0"/>
        <v>5000</v>
      </c>
      <c r="E34" s="199"/>
      <c r="F34" s="175">
        <f t="shared" si="1"/>
        <v>0</v>
      </c>
      <c r="G34" s="175">
        <f t="shared" si="2"/>
        <v>0</v>
      </c>
      <c r="H34" s="200"/>
    </row>
    <row r="35" spans="1:8" ht="15.5" x14ac:dyDescent="0.35">
      <c r="A35">
        <v>31</v>
      </c>
      <c r="B35" s="174">
        <v>46569</v>
      </c>
      <c r="C35" s="175">
        <f>+'Cantidades 1_(26-28)'!AD70</f>
        <v>3720000</v>
      </c>
      <c r="D35" s="175">
        <f t="shared" si="0"/>
        <v>5000</v>
      </c>
      <c r="E35" s="199"/>
      <c r="F35" s="175">
        <f t="shared" si="1"/>
        <v>0</v>
      </c>
      <c r="G35" s="175">
        <f t="shared" si="2"/>
        <v>0</v>
      </c>
      <c r="H35" s="200"/>
    </row>
    <row r="36" spans="1:8" ht="15.5" x14ac:dyDescent="0.35">
      <c r="A36">
        <v>31</v>
      </c>
      <c r="B36" s="174">
        <v>46600</v>
      </c>
      <c r="C36" s="175">
        <f>+'Cantidades 1_(26-28)'!AD71</f>
        <v>3720000</v>
      </c>
      <c r="D36" s="175">
        <f t="shared" si="0"/>
        <v>5000</v>
      </c>
      <c r="E36" s="199"/>
      <c r="F36" s="175">
        <f t="shared" si="1"/>
        <v>0</v>
      </c>
      <c r="G36" s="175">
        <f t="shared" si="2"/>
        <v>0</v>
      </c>
      <c r="H36" s="200"/>
    </row>
    <row r="37" spans="1:8" ht="15.5" x14ac:dyDescent="0.35">
      <c r="A37">
        <v>30</v>
      </c>
      <c r="B37" s="174">
        <v>46631</v>
      </c>
      <c r="C37" s="175">
        <f>+'Cantidades 1_(26-28)'!AD72</f>
        <v>3600000</v>
      </c>
      <c r="D37" s="175">
        <f t="shared" si="0"/>
        <v>5000</v>
      </c>
      <c r="E37" s="199"/>
      <c r="F37" s="175">
        <f t="shared" si="1"/>
        <v>0</v>
      </c>
      <c r="G37" s="175">
        <f t="shared" si="2"/>
        <v>0</v>
      </c>
      <c r="H37" s="200"/>
    </row>
    <row r="38" spans="1:8" ht="15.5" x14ac:dyDescent="0.35">
      <c r="A38">
        <v>31</v>
      </c>
      <c r="B38" s="174">
        <v>46661</v>
      </c>
      <c r="C38" s="175">
        <f>+'Cantidades 1_(26-28)'!AD73</f>
        <v>3720000</v>
      </c>
      <c r="D38" s="175">
        <f t="shared" si="0"/>
        <v>5000</v>
      </c>
      <c r="E38" s="199"/>
      <c r="F38" s="175">
        <f t="shared" si="1"/>
        <v>0</v>
      </c>
      <c r="G38" s="175">
        <f t="shared" si="2"/>
        <v>0</v>
      </c>
      <c r="H38" s="200"/>
    </row>
    <row r="39" spans="1:8" ht="15.5" x14ac:dyDescent="0.35">
      <c r="A39">
        <v>30</v>
      </c>
      <c r="B39" s="174">
        <v>46692</v>
      </c>
      <c r="C39" s="175">
        <f>+'Cantidades 1_(26-28)'!AD74</f>
        <v>3600000</v>
      </c>
      <c r="D39" s="175">
        <f t="shared" si="0"/>
        <v>5000</v>
      </c>
      <c r="E39" s="199"/>
      <c r="F39" s="175">
        <f t="shared" si="1"/>
        <v>0</v>
      </c>
      <c r="G39" s="175">
        <f t="shared" si="2"/>
        <v>0</v>
      </c>
      <c r="H39" s="200"/>
    </row>
    <row r="40" spans="1:8" ht="15.5" x14ac:dyDescent="0.35">
      <c r="A40">
        <v>31</v>
      </c>
      <c r="B40" s="174">
        <v>46722</v>
      </c>
      <c r="C40" s="175">
        <f>+'Cantidades 1_(26-28)'!AD75</f>
        <v>3720000</v>
      </c>
      <c r="D40" s="175">
        <f t="shared" si="0"/>
        <v>5000</v>
      </c>
      <c r="E40" s="199"/>
      <c r="F40" s="175">
        <f t="shared" si="1"/>
        <v>0</v>
      </c>
      <c r="G40" s="175">
        <f t="shared" si="2"/>
        <v>0</v>
      </c>
      <c r="H40" s="200"/>
    </row>
    <row r="41" spans="1:8" ht="15.5" x14ac:dyDescent="0.35">
      <c r="A41">
        <v>31</v>
      </c>
      <c r="B41" s="174">
        <v>46753</v>
      </c>
      <c r="C41" s="175">
        <f>+'Cantidades 1_(26-28)'!AD114</f>
        <v>3720000</v>
      </c>
      <c r="D41" s="175">
        <f t="shared" si="0"/>
        <v>5000</v>
      </c>
      <c r="E41" s="199"/>
      <c r="F41" s="175">
        <f t="shared" si="1"/>
        <v>0</v>
      </c>
      <c r="G41" s="175">
        <f t="shared" si="2"/>
        <v>0</v>
      </c>
      <c r="H41" s="200">
        <v>0</v>
      </c>
    </row>
    <row r="42" spans="1:8" ht="15.5" x14ac:dyDescent="0.35">
      <c r="A42" s="178">
        <v>29</v>
      </c>
      <c r="B42" s="174">
        <v>46784</v>
      </c>
      <c r="C42" s="175">
        <f>+'Cantidades 1_(26-28)'!AD115</f>
        <v>3480000</v>
      </c>
      <c r="D42" s="175">
        <f t="shared" si="0"/>
        <v>5000</v>
      </c>
      <c r="E42" s="199"/>
      <c r="F42" s="175">
        <f t="shared" si="1"/>
        <v>0</v>
      </c>
      <c r="G42" s="175">
        <f t="shared" si="2"/>
        <v>0</v>
      </c>
      <c r="H42" s="200"/>
    </row>
    <row r="43" spans="1:8" ht="15.5" x14ac:dyDescent="0.35">
      <c r="A43">
        <v>31</v>
      </c>
      <c r="B43" s="174">
        <v>46813</v>
      </c>
      <c r="C43" s="175">
        <f>+'Cantidades 1_(26-28)'!AD116</f>
        <v>3720000</v>
      </c>
      <c r="D43" s="175">
        <f t="shared" si="0"/>
        <v>5000</v>
      </c>
      <c r="E43" s="199"/>
      <c r="F43" s="175">
        <f t="shared" si="1"/>
        <v>0</v>
      </c>
      <c r="G43" s="175">
        <f t="shared" si="2"/>
        <v>0</v>
      </c>
      <c r="H43" s="200"/>
    </row>
    <row r="44" spans="1:8" ht="15.5" x14ac:dyDescent="0.35">
      <c r="A44">
        <v>30</v>
      </c>
      <c r="B44" s="174">
        <v>46844</v>
      </c>
      <c r="C44" s="175">
        <f>+'Cantidades 1_(26-28)'!AD117</f>
        <v>3600000</v>
      </c>
      <c r="D44" s="175">
        <f t="shared" si="0"/>
        <v>5000</v>
      </c>
      <c r="E44" s="199"/>
      <c r="F44" s="175">
        <f t="shared" si="1"/>
        <v>0</v>
      </c>
      <c r="G44" s="175">
        <f t="shared" si="2"/>
        <v>0</v>
      </c>
      <c r="H44" s="200"/>
    </row>
    <row r="45" spans="1:8" ht="15.5" x14ac:dyDescent="0.35">
      <c r="A45">
        <v>31</v>
      </c>
      <c r="B45" s="174">
        <v>46874</v>
      </c>
      <c r="C45" s="175">
        <f>+'Cantidades 1_(26-28)'!AD118</f>
        <v>3720000</v>
      </c>
      <c r="D45" s="175">
        <f t="shared" si="0"/>
        <v>5000</v>
      </c>
      <c r="E45" s="199"/>
      <c r="F45" s="175">
        <f t="shared" si="1"/>
        <v>0</v>
      </c>
      <c r="G45" s="175">
        <f t="shared" si="2"/>
        <v>0</v>
      </c>
      <c r="H45" s="200"/>
    </row>
    <row r="46" spans="1:8" ht="15.5" x14ac:dyDescent="0.35">
      <c r="A46">
        <v>30</v>
      </c>
      <c r="B46" s="174">
        <v>46905</v>
      </c>
      <c r="C46" s="175">
        <f>+'Cantidades 1_(26-28)'!AD119</f>
        <v>3600000</v>
      </c>
      <c r="D46" s="175">
        <f t="shared" si="0"/>
        <v>5000</v>
      </c>
      <c r="E46" s="199"/>
      <c r="F46" s="175">
        <f t="shared" si="1"/>
        <v>0</v>
      </c>
      <c r="G46" s="175">
        <f t="shared" si="2"/>
        <v>0</v>
      </c>
      <c r="H46" s="200"/>
    </row>
    <row r="47" spans="1:8" ht="15.5" x14ac:dyDescent="0.35">
      <c r="A47">
        <v>31</v>
      </c>
      <c r="B47" s="174">
        <v>46935</v>
      </c>
      <c r="C47" s="175">
        <f>+'Cantidades 1_(26-28)'!AD120</f>
        <v>3720000</v>
      </c>
      <c r="D47" s="175">
        <f t="shared" si="0"/>
        <v>5000</v>
      </c>
      <c r="E47" s="199"/>
      <c r="F47" s="175">
        <f t="shared" si="1"/>
        <v>0</v>
      </c>
      <c r="G47" s="175">
        <f t="shared" si="2"/>
        <v>0</v>
      </c>
      <c r="H47" s="200"/>
    </row>
    <row r="48" spans="1:8" ht="15.5" x14ac:dyDescent="0.35">
      <c r="A48">
        <v>31</v>
      </c>
      <c r="B48" s="174">
        <v>46966</v>
      </c>
      <c r="C48" s="175">
        <f>+'Cantidades 1_(26-28)'!AD121</f>
        <v>3720000</v>
      </c>
      <c r="D48" s="175">
        <f t="shared" si="0"/>
        <v>5000</v>
      </c>
      <c r="E48" s="199"/>
      <c r="F48" s="175">
        <f t="shared" si="1"/>
        <v>0</v>
      </c>
      <c r="G48" s="175">
        <f t="shared" si="2"/>
        <v>0</v>
      </c>
      <c r="H48" s="200"/>
    </row>
    <row r="49" spans="1:9" ht="15.5" x14ac:dyDescent="0.35">
      <c r="A49">
        <v>30</v>
      </c>
      <c r="B49" s="174">
        <v>46997</v>
      </c>
      <c r="C49" s="175">
        <f>+'Cantidades 1_(26-28)'!AD122</f>
        <v>3600000</v>
      </c>
      <c r="D49" s="175">
        <f t="shared" si="0"/>
        <v>5000</v>
      </c>
      <c r="E49" s="199"/>
      <c r="F49" s="175">
        <f t="shared" si="1"/>
        <v>0</v>
      </c>
      <c r="G49" s="175">
        <f t="shared" si="2"/>
        <v>0</v>
      </c>
      <c r="H49" s="200"/>
    </row>
    <row r="50" spans="1:9" ht="15.5" x14ac:dyDescent="0.35">
      <c r="A50">
        <v>31</v>
      </c>
      <c r="B50" s="174">
        <v>47027</v>
      </c>
      <c r="C50" s="175">
        <f>+'Cantidades 1_(26-28)'!AD123</f>
        <v>3720000</v>
      </c>
      <c r="D50" s="175">
        <f t="shared" si="0"/>
        <v>5000</v>
      </c>
      <c r="E50" s="199"/>
      <c r="F50" s="175">
        <f t="shared" si="1"/>
        <v>0</v>
      </c>
      <c r="G50" s="175">
        <f t="shared" si="2"/>
        <v>0</v>
      </c>
      <c r="H50" s="200"/>
    </row>
    <row r="51" spans="1:9" ht="15.5" x14ac:dyDescent="0.35">
      <c r="A51">
        <v>30</v>
      </c>
      <c r="B51" s="174">
        <v>47058</v>
      </c>
      <c r="C51" s="175">
        <f>+'Cantidades 1_(26-28)'!AD124</f>
        <v>3600000</v>
      </c>
      <c r="D51" s="175">
        <f t="shared" si="0"/>
        <v>5000</v>
      </c>
      <c r="E51" s="199"/>
      <c r="F51" s="175">
        <f t="shared" si="1"/>
        <v>0</v>
      </c>
      <c r="G51" s="175">
        <f t="shared" si="2"/>
        <v>0</v>
      </c>
      <c r="H51" s="200"/>
    </row>
    <row r="52" spans="1:9" ht="15.5" x14ac:dyDescent="0.35">
      <c r="A52">
        <v>31</v>
      </c>
      <c r="B52" s="174">
        <v>47088</v>
      </c>
      <c r="C52" s="175">
        <f>+'Cantidades 1_(26-28)'!AD125</f>
        <v>3720000</v>
      </c>
      <c r="D52" s="175">
        <f t="shared" si="0"/>
        <v>5000</v>
      </c>
      <c r="E52" s="199"/>
      <c r="F52" s="175">
        <f t="shared" si="1"/>
        <v>0</v>
      </c>
      <c r="G52" s="175">
        <f t="shared" si="2"/>
        <v>0</v>
      </c>
      <c r="H52" s="200"/>
    </row>
    <row r="53" spans="1:9" ht="15.5" x14ac:dyDescent="0.35">
      <c r="A53" s="71">
        <f>SUM(A17:A28)</f>
        <v>365</v>
      </c>
      <c r="B53" s="76" t="s">
        <v>41</v>
      </c>
      <c r="C53" s="27">
        <f>SUM(C17:C52)</f>
        <v>127800000</v>
      </c>
      <c r="D53" s="77"/>
      <c r="E53" s="50">
        <f>+E17</f>
        <v>0</v>
      </c>
      <c r="F53" s="77">
        <f>SUM(F18:F52)</f>
        <v>0</v>
      </c>
      <c r="G53" s="77"/>
      <c r="H53" s="51"/>
    </row>
    <row r="54" spans="1:9" ht="14" x14ac:dyDescent="0.3">
      <c r="A54" s="78"/>
      <c r="B54" s="79"/>
      <c r="C54" s="160"/>
      <c r="D54" s="81"/>
      <c r="E54" s="80"/>
      <c r="F54" s="82"/>
      <c r="G54" s="32"/>
    </row>
    <row r="55" spans="1:9" ht="14" x14ac:dyDescent="0.3">
      <c r="B55" s="28"/>
      <c r="C55" s="29"/>
      <c r="D55" s="30"/>
      <c r="E55" s="31"/>
      <c r="F55" s="31"/>
      <c r="G55" s="31"/>
      <c r="H55" s="32"/>
    </row>
    <row r="56" spans="1:9" ht="13" x14ac:dyDescent="0.3">
      <c r="B56" s="42" t="s">
        <v>47</v>
      </c>
      <c r="C56" s="33"/>
      <c r="D56" s="34"/>
      <c r="E56" s="33"/>
      <c r="F56" s="33"/>
      <c r="G56" s="33"/>
      <c r="H56" s="33"/>
      <c r="I56" s="33"/>
    </row>
    <row r="57" spans="1:9" ht="12.75" customHeight="1" x14ac:dyDescent="0.25">
      <c r="B57" s="196" t="s">
        <v>128</v>
      </c>
      <c r="C57" s="196"/>
      <c r="D57" s="196"/>
      <c r="E57" s="196"/>
      <c r="F57" s="196"/>
      <c r="G57" s="196"/>
      <c r="H57" s="196"/>
      <c r="I57" s="33"/>
    </row>
    <row r="58" spans="1:9" x14ac:dyDescent="0.25">
      <c r="B58" s="196"/>
      <c r="C58" s="196"/>
      <c r="D58" s="196"/>
      <c r="E58" s="196"/>
      <c r="F58" s="196"/>
      <c r="G58" s="196"/>
      <c r="H58" s="196"/>
      <c r="I58" s="33"/>
    </row>
    <row r="59" spans="1:9" ht="12.75" customHeight="1" x14ac:dyDescent="0.35">
      <c r="B59" s="33" t="s">
        <v>42</v>
      </c>
      <c r="C59" s="33"/>
      <c r="D59" s="34"/>
      <c r="E59" s="33"/>
      <c r="F59" s="33"/>
      <c r="G59" s="33"/>
      <c r="H59" s="83"/>
      <c r="I59" s="33"/>
    </row>
    <row r="60" spans="1:9" ht="14.5" x14ac:dyDescent="0.35">
      <c r="B60" s="33" t="s">
        <v>129</v>
      </c>
      <c r="C60" s="33"/>
      <c r="D60" s="34"/>
      <c r="E60" s="33"/>
      <c r="F60" s="33"/>
      <c r="G60" s="33"/>
      <c r="H60" s="83"/>
      <c r="I60" s="33"/>
    </row>
    <row r="61" spans="1:9" ht="14.5" x14ac:dyDescent="0.35">
      <c r="B61" s="21" t="s">
        <v>130</v>
      </c>
      <c r="H61" s="83"/>
    </row>
    <row r="62" spans="1:9" s="36" customFormat="1" ht="20" customHeight="1" x14ac:dyDescent="0.25">
      <c r="B62" s="197" t="s">
        <v>139</v>
      </c>
      <c r="C62" s="197"/>
      <c r="D62" s="197"/>
      <c r="E62" s="197"/>
      <c r="F62" s="197"/>
      <c r="G62" s="197"/>
      <c r="H62" s="197"/>
    </row>
    <row r="63" spans="1:9" s="36" customFormat="1" ht="26.25" customHeight="1" x14ac:dyDescent="0.25">
      <c r="B63" s="198" t="s">
        <v>103</v>
      </c>
      <c r="C63" s="198"/>
      <c r="D63" s="198"/>
      <c r="E63" s="198"/>
      <c r="F63" s="198"/>
      <c r="G63" s="84"/>
      <c r="H63" s="84"/>
    </row>
    <row r="64" spans="1:9" s="36" customFormat="1" ht="13.5" customHeight="1" x14ac:dyDescent="0.25">
      <c r="B64" s="198" t="s">
        <v>54</v>
      </c>
      <c r="C64" s="198"/>
      <c r="D64" s="198"/>
      <c r="E64" s="198"/>
      <c r="F64" s="198"/>
      <c r="G64" s="84"/>
      <c r="H64" s="84"/>
    </row>
    <row r="65" spans="2:8" s="36" customFormat="1" ht="13.5" customHeight="1" x14ac:dyDescent="0.25">
      <c r="B65" s="43" t="s">
        <v>131</v>
      </c>
      <c r="C65" s="84"/>
      <c r="D65" s="84"/>
      <c r="E65" s="84"/>
      <c r="F65" s="84"/>
      <c r="G65" s="84"/>
      <c r="H65" s="84"/>
    </row>
    <row r="66" spans="2:8" s="36" customFormat="1" ht="13.5" customHeight="1" x14ac:dyDescent="0.25">
      <c r="B66" s="43" t="s">
        <v>132</v>
      </c>
      <c r="C66" s="84"/>
      <c r="D66" s="84"/>
      <c r="E66" s="84"/>
      <c r="F66" s="84"/>
      <c r="G66" s="84"/>
      <c r="H66" s="84"/>
    </row>
    <row r="67" spans="2:8" s="36" customFormat="1" ht="13.5" customHeight="1" x14ac:dyDescent="0.25">
      <c r="B67" s="190" t="s">
        <v>123</v>
      </c>
      <c r="C67" s="191"/>
      <c r="D67" s="191"/>
      <c r="E67" s="191"/>
      <c r="F67" s="192"/>
      <c r="G67" s="173"/>
      <c r="H67" s="86"/>
    </row>
    <row r="68" spans="2:8" s="36" customFormat="1" ht="42.75" customHeight="1" x14ac:dyDescent="0.25">
      <c r="B68" s="193"/>
      <c r="C68" s="194"/>
      <c r="D68" s="194"/>
      <c r="E68" s="194"/>
      <c r="F68" s="195"/>
      <c r="G68" s="173"/>
      <c r="H68" s="86"/>
    </row>
    <row r="69" spans="2:8" ht="20.25" customHeight="1" x14ac:dyDescent="0.25">
      <c r="B69" s="44"/>
      <c r="C69" s="44"/>
      <c r="D69" s="44"/>
      <c r="E69" s="44"/>
      <c r="F69" s="44"/>
      <c r="G69" s="44"/>
      <c r="H69" s="44"/>
    </row>
    <row r="70" spans="2:8" ht="20.25" customHeight="1" x14ac:dyDescent="0.25">
      <c r="B70" s="37"/>
      <c r="C70" s="37"/>
      <c r="D70" s="37"/>
      <c r="E70" s="37"/>
      <c r="F70" s="37"/>
      <c r="G70" s="37"/>
      <c r="H70" s="37"/>
    </row>
    <row r="71" spans="2:8" ht="20.25" customHeight="1" x14ac:dyDescent="0.25">
      <c r="B71" s="37"/>
      <c r="C71" s="37"/>
      <c r="D71" s="37"/>
      <c r="E71" s="37"/>
      <c r="F71" s="37"/>
      <c r="G71" s="37"/>
      <c r="H71" s="37"/>
    </row>
    <row r="72" spans="2:8" ht="7.5" customHeight="1" x14ac:dyDescent="0.25"/>
    <row r="73" spans="2:8" ht="17.25" customHeight="1" x14ac:dyDescent="0.4">
      <c r="B73" s="38" t="s">
        <v>43</v>
      </c>
      <c r="C73" s="39"/>
      <c r="F73" s="40"/>
      <c r="G73" s="40"/>
    </row>
  </sheetData>
  <sheetProtection selectLockedCells="1"/>
  <mergeCells count="20">
    <mergeCell ref="E17:E52"/>
    <mergeCell ref="F15:F16"/>
    <mergeCell ref="G15:G16"/>
    <mergeCell ref="H17:H28"/>
    <mergeCell ref="H29:H40"/>
    <mergeCell ref="H41:H52"/>
    <mergeCell ref="E15:E16"/>
    <mergeCell ref="H15:H16"/>
    <mergeCell ref="B67:F68"/>
    <mergeCell ref="B57:H58"/>
    <mergeCell ref="B62:H62"/>
    <mergeCell ref="B63:F63"/>
    <mergeCell ref="B64:F64"/>
    <mergeCell ref="B6:H7"/>
    <mergeCell ref="C9:D9"/>
    <mergeCell ref="C11:D11"/>
    <mergeCell ref="B15:B16"/>
    <mergeCell ref="C15:C16"/>
    <mergeCell ref="D15:D16"/>
    <mergeCell ref="C12:D12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93405D5-9EF5-457C-9A85-8D75AE25923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F1C6B476-76E8-403B-8E76-28A751F1FE3E}">
          <x14:formula1>
            <xm:f>'Listas desplegables'!$B$8</xm:f>
          </x14:formula1>
          <xm:sqref>C11:D11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DB4-1F5E-40F9-8775-B407201B8C8E}">
  <sheetPr>
    <tabColor rgb="FF92D050"/>
    <pageSetUpPr fitToPage="1"/>
  </sheetPr>
  <dimension ref="A2:I48"/>
  <sheetViews>
    <sheetView showGridLines="0" topLeftCell="A23" zoomScale="120" zoomScaleNormal="120" zoomScaleSheetLayoutView="100" workbookViewId="0">
      <selection activeCell="B5" sqref="B5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9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125</v>
      </c>
      <c r="C2" s="66"/>
      <c r="D2" s="67"/>
      <c r="E2" s="66"/>
      <c r="F2" s="66"/>
      <c r="G2" s="66"/>
    </row>
    <row r="3" spans="1:8" ht="16.5" customHeight="1" x14ac:dyDescent="0.25">
      <c r="B3" s="47" t="s">
        <v>107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185" t="s">
        <v>140</v>
      </c>
      <c r="C6" s="185"/>
      <c r="D6" s="185"/>
      <c r="E6" s="185"/>
      <c r="F6" s="185"/>
      <c r="G6" s="185"/>
      <c r="H6" s="22"/>
    </row>
    <row r="7" spans="1:8" ht="18" customHeight="1" x14ac:dyDescent="0.25">
      <c r="B7" s="185"/>
      <c r="C7" s="185"/>
      <c r="D7" s="185"/>
      <c r="E7" s="185"/>
      <c r="F7" s="185"/>
      <c r="G7" s="185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186"/>
      <c r="D9" s="186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186" t="s">
        <v>57</v>
      </c>
      <c r="D11" s="186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</row>
    <row r="14" spans="1:8" ht="12.75" customHeight="1" x14ac:dyDescent="0.25">
      <c r="B14" s="202" t="s">
        <v>36</v>
      </c>
      <c r="C14" s="204" t="s">
        <v>37</v>
      </c>
      <c r="D14" s="202" t="s">
        <v>38</v>
      </c>
      <c r="E14" s="204" t="s">
        <v>39</v>
      </c>
      <c r="F14" s="206" t="s">
        <v>40</v>
      </c>
    </row>
    <row r="15" spans="1:8" ht="35.25" customHeight="1" x14ac:dyDescent="0.25">
      <c r="A15" s="26"/>
      <c r="B15" s="203"/>
      <c r="C15" s="205"/>
      <c r="D15" s="203"/>
      <c r="E15" s="205"/>
      <c r="F15" s="207"/>
      <c r="G15" s="70"/>
    </row>
    <row r="16" spans="1:8" ht="15.5" x14ac:dyDescent="0.35">
      <c r="A16" s="71">
        <v>31</v>
      </c>
      <c r="B16" s="72">
        <v>46023</v>
      </c>
      <c r="C16" s="73"/>
      <c r="D16" s="74"/>
      <c r="E16" s="75"/>
      <c r="F16" s="208">
        <v>0</v>
      </c>
      <c r="G16" s="70"/>
    </row>
    <row r="17" spans="1:8" ht="15.5" x14ac:dyDescent="0.35">
      <c r="A17" s="71">
        <v>28</v>
      </c>
      <c r="B17" s="72">
        <v>46054</v>
      </c>
      <c r="C17" s="73">
        <f>+'Cantidades 2_(2026)'!AD15</f>
        <v>8204161.9999999981</v>
      </c>
      <c r="D17" s="179">
        <v>0</v>
      </c>
      <c r="E17" s="75">
        <f>+C17*D17</f>
        <v>0</v>
      </c>
      <c r="F17" s="209"/>
      <c r="G17" s="70"/>
    </row>
    <row r="18" spans="1:8" ht="15.5" x14ac:dyDescent="0.35">
      <c r="A18" s="71">
        <v>31</v>
      </c>
      <c r="B18" s="72">
        <v>46082</v>
      </c>
      <c r="C18" s="73">
        <f>+'Cantidades 2_(2026)'!AD16</f>
        <v>9865393.2000000011</v>
      </c>
      <c r="D18" s="179">
        <v>0</v>
      </c>
      <c r="E18" s="75">
        <f t="shared" ref="E18:E27" si="0">+C18*D18</f>
        <v>0</v>
      </c>
      <c r="F18" s="209"/>
      <c r="G18" s="70"/>
    </row>
    <row r="19" spans="1:8" ht="15.5" x14ac:dyDescent="0.35">
      <c r="A19" s="71">
        <v>30</v>
      </c>
      <c r="B19" s="72">
        <v>46113</v>
      </c>
      <c r="C19" s="73">
        <f>+'Cantidades 2_(2026)'!AD17</f>
        <v>5842730.4000000004</v>
      </c>
      <c r="D19" s="179">
        <v>0</v>
      </c>
      <c r="E19" s="75">
        <f t="shared" si="0"/>
        <v>0</v>
      </c>
      <c r="F19" s="209"/>
      <c r="G19" s="70"/>
    </row>
    <row r="20" spans="1:8" ht="15.5" x14ac:dyDescent="0.35">
      <c r="A20" s="71">
        <v>31</v>
      </c>
      <c r="B20" s="72">
        <v>46143</v>
      </c>
      <c r="C20" s="73">
        <f>+'Cantidades 2_(2026)'!AD18</f>
        <v>2193087.2999999998</v>
      </c>
      <c r="D20" s="179">
        <v>0</v>
      </c>
      <c r="E20" s="75">
        <f t="shared" si="0"/>
        <v>0</v>
      </c>
      <c r="F20" s="209"/>
      <c r="G20" s="70"/>
    </row>
    <row r="21" spans="1:8" ht="15.5" x14ac:dyDescent="0.35">
      <c r="A21" s="71">
        <v>30</v>
      </c>
      <c r="B21" s="72">
        <v>46174</v>
      </c>
      <c r="C21" s="73">
        <f>+'Cantidades 2_(2026)'!AD19</f>
        <v>2044913.6</v>
      </c>
      <c r="D21" s="179">
        <v>0</v>
      </c>
      <c r="E21" s="75">
        <f t="shared" si="0"/>
        <v>0</v>
      </c>
      <c r="F21" s="209"/>
      <c r="G21" s="70"/>
    </row>
    <row r="22" spans="1:8" ht="15.5" x14ac:dyDescent="0.35">
      <c r="A22" s="71">
        <v>31</v>
      </c>
      <c r="B22" s="72">
        <v>46204</v>
      </c>
      <c r="C22" s="73">
        <f>+'Cantidades 2_(2026)'!AD20</f>
        <v>2074770.6</v>
      </c>
      <c r="D22" s="179">
        <v>0</v>
      </c>
      <c r="E22" s="75">
        <f t="shared" si="0"/>
        <v>0</v>
      </c>
      <c r="F22" s="209"/>
      <c r="G22" s="70"/>
    </row>
    <row r="23" spans="1:8" ht="15.5" x14ac:dyDescent="0.35">
      <c r="A23" s="71">
        <v>31</v>
      </c>
      <c r="B23" s="72">
        <v>46235</v>
      </c>
      <c r="C23" s="73">
        <f>+'Cantidades 2_(2026)'!AD21</f>
        <v>2068744</v>
      </c>
      <c r="D23" s="179">
        <v>0</v>
      </c>
      <c r="E23" s="75">
        <f t="shared" si="0"/>
        <v>0</v>
      </c>
      <c r="F23" s="209"/>
      <c r="G23" s="70"/>
    </row>
    <row r="24" spans="1:8" ht="15.5" x14ac:dyDescent="0.35">
      <c r="A24" s="71">
        <v>30</v>
      </c>
      <c r="B24" s="72">
        <v>46266</v>
      </c>
      <c r="C24" s="73">
        <f>+'Cantidades 2_(2026)'!AD22</f>
        <v>2666666.1999999993</v>
      </c>
      <c r="D24" s="179">
        <v>0</v>
      </c>
      <c r="E24" s="75">
        <f t="shared" si="0"/>
        <v>0</v>
      </c>
      <c r="F24" s="209"/>
      <c r="G24" s="70"/>
    </row>
    <row r="25" spans="1:8" ht="15.5" x14ac:dyDescent="0.35">
      <c r="A25" s="71">
        <v>31</v>
      </c>
      <c r="B25" s="72">
        <v>46296</v>
      </c>
      <c r="C25" s="73">
        <f>+'Cantidades 2_(2026)'!AD23</f>
        <v>1969081.9999999998</v>
      </c>
      <c r="D25" s="179">
        <v>0</v>
      </c>
      <c r="E25" s="75">
        <f t="shared" si="0"/>
        <v>0</v>
      </c>
      <c r="F25" s="209"/>
      <c r="G25" s="70"/>
    </row>
    <row r="26" spans="1:8" ht="15.5" x14ac:dyDescent="0.35">
      <c r="A26" s="71">
        <v>30</v>
      </c>
      <c r="B26" s="72">
        <v>46327</v>
      </c>
      <c r="C26" s="73">
        <f>+'Cantidades 2_(2026)'!AD24</f>
        <v>1831628.2000000002</v>
      </c>
      <c r="D26" s="179">
        <v>0</v>
      </c>
      <c r="E26" s="75">
        <f t="shared" si="0"/>
        <v>0</v>
      </c>
      <c r="F26" s="209"/>
      <c r="G26" s="70"/>
    </row>
    <row r="27" spans="1:8" ht="15.5" x14ac:dyDescent="0.35">
      <c r="A27" s="71">
        <v>31</v>
      </c>
      <c r="B27" s="72">
        <v>46357</v>
      </c>
      <c r="C27" s="73">
        <f>+'Cantidades 2_(2026)'!AD25</f>
        <v>5062929.3</v>
      </c>
      <c r="D27" s="179">
        <v>0</v>
      </c>
      <c r="E27" s="75">
        <f t="shared" si="0"/>
        <v>0</v>
      </c>
      <c r="F27" s="210"/>
      <c r="G27" s="70"/>
    </row>
    <row r="28" spans="1:8" ht="15.5" x14ac:dyDescent="0.35">
      <c r="A28" s="71">
        <f>SUM(A16:A27)</f>
        <v>365</v>
      </c>
      <c r="B28" s="76" t="s">
        <v>41</v>
      </c>
      <c r="C28" s="27">
        <f>SUM(C16:C27)</f>
        <v>43824106.800000004</v>
      </c>
      <c r="D28" s="50">
        <f>+E28/C28</f>
        <v>0</v>
      </c>
      <c r="E28" s="77">
        <f>SUM(E16:E27)</f>
        <v>0</v>
      </c>
      <c r="F28" s="51"/>
      <c r="G28" s="70"/>
    </row>
    <row r="29" spans="1:8" ht="14" x14ac:dyDescent="0.3">
      <c r="A29" s="78"/>
      <c r="B29" s="79"/>
      <c r="C29" s="160"/>
      <c r="D29" s="81"/>
      <c r="E29" s="80"/>
      <c r="F29" s="82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196" t="s">
        <v>141</v>
      </c>
      <c r="C32" s="196"/>
      <c r="D32" s="196"/>
      <c r="E32" s="196"/>
      <c r="F32" s="196"/>
      <c r="G32" s="196"/>
      <c r="H32" s="33"/>
    </row>
    <row r="33" spans="2:8" x14ac:dyDescent="0.25">
      <c r="B33" s="196"/>
      <c r="C33" s="196"/>
      <c r="D33" s="196"/>
      <c r="E33" s="196"/>
      <c r="F33" s="196"/>
      <c r="G33" s="19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3"/>
      <c r="H34" s="33"/>
    </row>
    <row r="35" spans="2:8" ht="14.5" x14ac:dyDescent="0.35">
      <c r="B35" s="33" t="s">
        <v>129</v>
      </c>
      <c r="C35" s="33"/>
      <c r="D35" s="34"/>
      <c r="E35" s="33"/>
      <c r="F35" s="33"/>
      <c r="G35" s="83"/>
      <c r="H35" s="33"/>
    </row>
    <row r="36" spans="2:8" ht="14.5" x14ac:dyDescent="0.35">
      <c r="B36" s="21" t="s">
        <v>102</v>
      </c>
      <c r="G36" s="83"/>
    </row>
    <row r="37" spans="2:8" s="36" customFormat="1" ht="20" customHeight="1" x14ac:dyDescent="0.25">
      <c r="B37" s="197" t="s">
        <v>121</v>
      </c>
      <c r="C37" s="197"/>
      <c r="D37" s="197"/>
      <c r="E37" s="197"/>
      <c r="F37" s="197"/>
      <c r="G37" s="197"/>
    </row>
    <row r="38" spans="2:8" s="36" customFormat="1" ht="26.25" customHeight="1" x14ac:dyDescent="0.25">
      <c r="B38" s="198" t="s">
        <v>103</v>
      </c>
      <c r="C38" s="198"/>
      <c r="D38" s="198"/>
      <c r="E38" s="198"/>
      <c r="F38" s="198"/>
      <c r="G38" s="84"/>
    </row>
    <row r="39" spans="2:8" s="36" customFormat="1" ht="13.5" customHeight="1" x14ac:dyDescent="0.25">
      <c r="B39" s="198" t="s">
        <v>54</v>
      </c>
      <c r="C39" s="198"/>
      <c r="D39" s="198"/>
      <c r="E39" s="198"/>
      <c r="F39" s="198"/>
      <c r="G39" s="84"/>
    </row>
    <row r="40" spans="2:8" s="36" customFormat="1" ht="13.5" customHeight="1" x14ac:dyDescent="0.25">
      <c r="B40" s="43" t="s">
        <v>131</v>
      </c>
      <c r="C40" s="84"/>
      <c r="D40" s="84"/>
      <c r="E40" s="84"/>
      <c r="F40" s="84"/>
      <c r="G40" s="84"/>
    </row>
    <row r="41" spans="2:8" s="36" customFormat="1" ht="13.5" customHeight="1" x14ac:dyDescent="0.25">
      <c r="B41" s="43" t="s">
        <v>104</v>
      </c>
      <c r="C41" s="84"/>
      <c r="D41" s="84"/>
      <c r="E41" s="84"/>
      <c r="F41" s="84"/>
      <c r="G41" s="85"/>
    </row>
    <row r="42" spans="2:8" s="36" customFormat="1" ht="13.5" customHeight="1" x14ac:dyDescent="0.25">
      <c r="B42" s="190" t="s">
        <v>123</v>
      </c>
      <c r="C42" s="191"/>
      <c r="D42" s="191"/>
      <c r="E42" s="191"/>
      <c r="F42" s="192"/>
      <c r="G42" s="86"/>
    </row>
    <row r="43" spans="2:8" s="36" customFormat="1" ht="42.75" customHeight="1" x14ac:dyDescent="0.25">
      <c r="B43" s="193"/>
      <c r="C43" s="194"/>
      <c r="D43" s="194"/>
      <c r="E43" s="194"/>
      <c r="F43" s="195"/>
      <c r="G43" s="86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42:F43"/>
    <mergeCell ref="F16:F27"/>
    <mergeCell ref="B32:G33"/>
    <mergeCell ref="B37:G37"/>
    <mergeCell ref="B38:F38"/>
    <mergeCell ref="B39:F39"/>
    <mergeCell ref="B6:G7"/>
    <mergeCell ref="C9:D9"/>
    <mergeCell ref="C11:D11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6931D4-89E1-4D15-ABBB-6C0A781E7C4D}">
          <x14:formula1>
            <xm:f>'Listas desplegables'!$B$3</xm:f>
          </x14:formula1>
          <xm:sqref>C11:D11</xm:sqref>
        </x14:dataValidation>
        <x14:dataValidation type="list" allowBlank="1" showInputMessage="1" showErrorMessage="1" xr:uid="{6D7EFF59-6FC0-46A6-9216-A84543546535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B37F-8C1E-4458-A70F-F706F8B39C62}">
  <sheetPr>
    <tabColor rgb="FF92D050"/>
    <pageSetUpPr fitToPage="1"/>
  </sheetPr>
  <dimension ref="A2:I48"/>
  <sheetViews>
    <sheetView showGridLines="0" topLeftCell="A17" zoomScale="110" zoomScaleNormal="110" zoomScaleSheetLayoutView="100" workbookViewId="0">
      <selection activeCell="F34" sqref="F34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9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149</v>
      </c>
      <c r="C2" s="66"/>
      <c r="D2" s="67"/>
      <c r="E2" s="66"/>
      <c r="F2" s="66"/>
      <c r="G2" s="66"/>
    </row>
    <row r="3" spans="1:8" ht="16.5" customHeight="1" x14ac:dyDescent="0.25">
      <c r="B3" s="47" t="s">
        <v>108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185" t="s">
        <v>142</v>
      </c>
      <c r="C6" s="185"/>
      <c r="D6" s="185"/>
      <c r="E6" s="185"/>
      <c r="F6" s="185"/>
      <c r="G6" s="185"/>
      <c r="H6" s="22"/>
    </row>
    <row r="7" spans="1:8" ht="18" customHeight="1" x14ac:dyDescent="0.25">
      <c r="B7" s="185"/>
      <c r="C7" s="185"/>
      <c r="D7" s="185"/>
      <c r="E7" s="185"/>
      <c r="F7" s="185"/>
      <c r="G7" s="185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186"/>
      <c r="D9" s="186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186" t="s">
        <v>57</v>
      </c>
      <c r="D11" s="186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</row>
    <row r="14" spans="1:8" ht="12.75" customHeight="1" x14ac:dyDescent="0.25">
      <c r="B14" s="202" t="s">
        <v>36</v>
      </c>
      <c r="C14" s="204" t="s">
        <v>37</v>
      </c>
      <c r="D14" s="202" t="s">
        <v>38</v>
      </c>
      <c r="E14" s="204" t="s">
        <v>39</v>
      </c>
      <c r="F14" s="206" t="s">
        <v>40</v>
      </c>
    </row>
    <row r="15" spans="1:8" ht="35.25" customHeight="1" x14ac:dyDescent="0.25">
      <c r="A15" s="26"/>
      <c r="B15" s="203"/>
      <c r="C15" s="205"/>
      <c r="D15" s="203"/>
      <c r="E15" s="205"/>
      <c r="F15" s="207"/>
      <c r="G15" s="70"/>
    </row>
    <row r="16" spans="1:8" ht="15.5" x14ac:dyDescent="0.35">
      <c r="A16" s="71">
        <v>31</v>
      </c>
      <c r="B16" s="72">
        <v>46388</v>
      </c>
      <c r="C16" s="73">
        <f>+'Cantidades 3_(2027)'!AD14</f>
        <v>28661912.400000002</v>
      </c>
      <c r="D16" s="179">
        <v>0</v>
      </c>
      <c r="E16" s="75">
        <f>+C16*D16</f>
        <v>0</v>
      </c>
      <c r="F16" s="208">
        <v>0</v>
      </c>
      <c r="G16" s="70"/>
    </row>
    <row r="17" spans="1:8" ht="15.5" x14ac:dyDescent="0.35">
      <c r="A17" s="71">
        <v>28</v>
      </c>
      <c r="B17" s="72">
        <v>46419</v>
      </c>
      <c r="C17" s="73">
        <f>+'Cantidades 3_(2027)'!AD15</f>
        <v>25956636.199999999</v>
      </c>
      <c r="D17" s="179">
        <v>0</v>
      </c>
      <c r="E17" s="75">
        <f>+C17*D17</f>
        <v>0</v>
      </c>
      <c r="F17" s="209"/>
      <c r="G17" s="70"/>
    </row>
    <row r="18" spans="1:8" ht="15.5" x14ac:dyDescent="0.35">
      <c r="A18" s="71">
        <v>31</v>
      </c>
      <c r="B18" s="72">
        <v>46447</v>
      </c>
      <c r="C18" s="73">
        <f>+'Cantidades 3_(2027)'!AD16</f>
        <v>28377635.649999999</v>
      </c>
      <c r="D18" s="179">
        <v>0</v>
      </c>
      <c r="E18" s="75">
        <f t="shared" ref="E18:E27" si="0">+C18*D18</f>
        <v>0</v>
      </c>
      <c r="F18" s="209"/>
      <c r="G18" s="70"/>
    </row>
    <row r="19" spans="1:8" ht="15.5" x14ac:dyDescent="0.35">
      <c r="A19" s="71">
        <v>30</v>
      </c>
      <c r="B19" s="72">
        <v>46478</v>
      </c>
      <c r="C19" s="73">
        <f>+'Cantidades 3_(2027)'!AD17</f>
        <v>21852567.860000007</v>
      </c>
      <c r="D19" s="179">
        <v>0</v>
      </c>
      <c r="E19" s="75">
        <f t="shared" si="0"/>
        <v>0</v>
      </c>
      <c r="F19" s="209"/>
      <c r="G19" s="70"/>
    </row>
    <row r="20" spans="1:8" ht="15.5" x14ac:dyDescent="0.35">
      <c r="A20" s="71">
        <v>31</v>
      </c>
      <c r="B20" s="72">
        <v>46508</v>
      </c>
      <c r="C20" s="73">
        <f>+'Cantidades 3_(2027)'!AD18</f>
        <v>23042025.860000003</v>
      </c>
      <c r="D20" s="179">
        <v>0</v>
      </c>
      <c r="E20" s="75">
        <f t="shared" si="0"/>
        <v>0</v>
      </c>
      <c r="F20" s="209"/>
      <c r="G20" s="70"/>
    </row>
    <row r="21" spans="1:8" ht="15.5" x14ac:dyDescent="0.35">
      <c r="A21" s="71">
        <v>30</v>
      </c>
      <c r="B21" s="72">
        <v>46539</v>
      </c>
      <c r="C21" s="73">
        <f>+'Cantidades 3_(2027)'!AD19</f>
        <v>6843780.1600000001</v>
      </c>
      <c r="D21" s="179">
        <v>0</v>
      </c>
      <c r="E21" s="75">
        <f t="shared" si="0"/>
        <v>0</v>
      </c>
      <c r="F21" s="209"/>
      <c r="G21" s="70"/>
    </row>
    <row r="22" spans="1:8" ht="15.5" x14ac:dyDescent="0.35">
      <c r="A22" s="71">
        <v>31</v>
      </c>
      <c r="B22" s="72">
        <v>46569</v>
      </c>
      <c r="C22" s="73">
        <f>+'Cantidades 3_(2027)'!AD20</f>
        <v>3320362.4099999997</v>
      </c>
      <c r="D22" s="179">
        <v>0</v>
      </c>
      <c r="E22" s="75">
        <f t="shared" si="0"/>
        <v>0</v>
      </c>
      <c r="F22" s="209"/>
      <c r="G22" s="70"/>
    </row>
    <row r="23" spans="1:8" ht="15.5" x14ac:dyDescent="0.35">
      <c r="A23" s="71">
        <v>31</v>
      </c>
      <c r="B23" s="72">
        <v>46600</v>
      </c>
      <c r="C23" s="73">
        <f>+'Cantidades 3_(2027)'!AD21</f>
        <v>7378162.379999999</v>
      </c>
      <c r="D23" s="179">
        <v>0</v>
      </c>
      <c r="E23" s="75">
        <f t="shared" si="0"/>
        <v>0</v>
      </c>
      <c r="F23" s="209"/>
      <c r="G23" s="70"/>
    </row>
    <row r="24" spans="1:8" ht="15.5" x14ac:dyDescent="0.35">
      <c r="A24" s="71">
        <v>30</v>
      </c>
      <c r="B24" s="72">
        <v>46631</v>
      </c>
      <c r="C24" s="73">
        <f>+'Cantidades 3_(2027)'!AD22</f>
        <v>7560028.7799999993</v>
      </c>
      <c r="D24" s="179">
        <v>0</v>
      </c>
      <c r="E24" s="75">
        <f t="shared" si="0"/>
        <v>0</v>
      </c>
      <c r="F24" s="209"/>
      <c r="G24" s="70"/>
    </row>
    <row r="25" spans="1:8" ht="15.5" x14ac:dyDescent="0.35">
      <c r="A25" s="71">
        <v>31</v>
      </c>
      <c r="B25" s="72">
        <v>46661</v>
      </c>
      <c r="C25" s="73">
        <f>+'Cantidades 3_(2027)'!AD23</f>
        <v>9628746.8600000013</v>
      </c>
      <c r="D25" s="179">
        <v>0</v>
      </c>
      <c r="E25" s="75">
        <f t="shared" si="0"/>
        <v>0</v>
      </c>
      <c r="F25" s="209"/>
      <c r="G25" s="70"/>
    </row>
    <row r="26" spans="1:8" ht="15.5" x14ac:dyDescent="0.35">
      <c r="A26" s="71">
        <v>30</v>
      </c>
      <c r="B26" s="72">
        <v>46692</v>
      </c>
      <c r="C26" s="73">
        <f>+'Cantidades 3_(2027)'!AD24</f>
        <v>13088728.199999999</v>
      </c>
      <c r="D26" s="179">
        <v>0</v>
      </c>
      <c r="E26" s="75">
        <f t="shared" si="0"/>
        <v>0</v>
      </c>
      <c r="F26" s="209"/>
      <c r="G26" s="70"/>
    </row>
    <row r="27" spans="1:8" ht="15.5" x14ac:dyDescent="0.35">
      <c r="A27" s="71">
        <v>31</v>
      </c>
      <c r="B27" s="72">
        <v>46722</v>
      </c>
      <c r="C27" s="73">
        <f>+'Cantidades 3_(2027)'!AD25</f>
        <v>18444368.09</v>
      </c>
      <c r="D27" s="179">
        <v>0</v>
      </c>
      <c r="E27" s="75">
        <f t="shared" si="0"/>
        <v>0</v>
      </c>
      <c r="F27" s="210"/>
      <c r="G27" s="70"/>
    </row>
    <row r="28" spans="1:8" ht="15.5" x14ac:dyDescent="0.35">
      <c r="A28" s="71">
        <f>SUM(A16:A27)</f>
        <v>365</v>
      </c>
      <c r="B28" s="76" t="s">
        <v>41</v>
      </c>
      <c r="C28" s="27">
        <f>SUM(C16:C27)</f>
        <v>194154954.85000002</v>
      </c>
      <c r="D28" s="50">
        <f>+E28/C28</f>
        <v>0</v>
      </c>
      <c r="E28" s="77">
        <f>SUM(E16:E27)</f>
        <v>0</v>
      </c>
      <c r="F28" s="51"/>
      <c r="G28" s="70"/>
    </row>
    <row r="29" spans="1:8" ht="14" x14ac:dyDescent="0.3">
      <c r="A29" s="78"/>
      <c r="B29" s="79"/>
      <c r="C29" s="160"/>
      <c r="D29" s="81"/>
      <c r="E29" s="80"/>
      <c r="F29" s="82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196" t="s">
        <v>150</v>
      </c>
      <c r="C32" s="196"/>
      <c r="D32" s="196"/>
      <c r="E32" s="196"/>
      <c r="F32" s="196"/>
      <c r="G32" s="196"/>
      <c r="H32" s="33"/>
    </row>
    <row r="33" spans="2:8" x14ac:dyDescent="0.25">
      <c r="B33" s="196"/>
      <c r="C33" s="196"/>
      <c r="D33" s="196"/>
      <c r="E33" s="196"/>
      <c r="F33" s="196"/>
      <c r="G33" s="19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3"/>
      <c r="H34" s="33"/>
    </row>
    <row r="35" spans="2:8" ht="14.5" x14ac:dyDescent="0.35">
      <c r="B35" s="33" t="s">
        <v>129</v>
      </c>
      <c r="C35" s="33"/>
      <c r="D35" s="34"/>
      <c r="E35" s="33"/>
      <c r="F35" s="33"/>
      <c r="G35" s="83"/>
      <c r="H35" s="33"/>
    </row>
    <row r="36" spans="2:8" ht="14.5" x14ac:dyDescent="0.35">
      <c r="B36" s="21" t="s">
        <v>102</v>
      </c>
      <c r="G36" s="83"/>
    </row>
    <row r="37" spans="2:8" s="36" customFormat="1" ht="20" customHeight="1" x14ac:dyDescent="0.25">
      <c r="B37" s="197" t="s">
        <v>121</v>
      </c>
      <c r="C37" s="197"/>
      <c r="D37" s="197"/>
      <c r="E37" s="197"/>
      <c r="F37" s="197"/>
      <c r="G37" s="197"/>
    </row>
    <row r="38" spans="2:8" s="36" customFormat="1" ht="26.25" customHeight="1" x14ac:dyDescent="0.25">
      <c r="B38" s="198" t="s">
        <v>103</v>
      </c>
      <c r="C38" s="198"/>
      <c r="D38" s="198"/>
      <c r="E38" s="198"/>
      <c r="F38" s="198"/>
      <c r="G38" s="84"/>
    </row>
    <row r="39" spans="2:8" s="36" customFormat="1" ht="13.5" customHeight="1" x14ac:dyDescent="0.25">
      <c r="B39" s="198" t="s">
        <v>54</v>
      </c>
      <c r="C39" s="198"/>
      <c r="D39" s="198"/>
      <c r="E39" s="198"/>
      <c r="F39" s="198"/>
      <c r="G39" s="84"/>
    </row>
    <row r="40" spans="2:8" s="36" customFormat="1" ht="13.5" customHeight="1" x14ac:dyDescent="0.25">
      <c r="B40" s="43" t="s">
        <v>131</v>
      </c>
      <c r="C40" s="84"/>
      <c r="D40" s="84"/>
      <c r="E40" s="84"/>
      <c r="F40" s="84"/>
      <c r="G40" s="84"/>
    </row>
    <row r="41" spans="2:8" s="36" customFormat="1" ht="13.5" customHeight="1" x14ac:dyDescent="0.25">
      <c r="B41" s="43" t="s">
        <v>104</v>
      </c>
      <c r="C41" s="84"/>
      <c r="D41" s="84"/>
      <c r="E41" s="84"/>
      <c r="F41" s="84"/>
      <c r="G41" s="85"/>
    </row>
    <row r="42" spans="2:8" s="36" customFormat="1" ht="13.5" customHeight="1" x14ac:dyDescent="0.25">
      <c r="B42" s="190" t="s">
        <v>123</v>
      </c>
      <c r="C42" s="191"/>
      <c r="D42" s="191"/>
      <c r="E42" s="191"/>
      <c r="F42" s="192"/>
      <c r="G42" s="86"/>
    </row>
    <row r="43" spans="2:8" s="36" customFormat="1" ht="42.75" customHeight="1" x14ac:dyDescent="0.25">
      <c r="B43" s="193"/>
      <c r="C43" s="194"/>
      <c r="D43" s="194"/>
      <c r="E43" s="194"/>
      <c r="F43" s="195"/>
      <c r="G43" s="86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42:F43"/>
    <mergeCell ref="B6:G7"/>
    <mergeCell ref="C9:D9"/>
    <mergeCell ref="C11:D11"/>
    <mergeCell ref="B14:B15"/>
    <mergeCell ref="C14:C15"/>
    <mergeCell ref="D14:D15"/>
    <mergeCell ref="E14:E15"/>
    <mergeCell ref="F14:F15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33AE21-2960-42AD-A911-9741DF3224F7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EEC5F9DB-F86F-4F14-989B-E4647913FC76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DD46-F36B-4B74-AE42-3FD7D1EA29A9}">
  <sheetPr>
    <tabColor rgb="FF92D050"/>
    <pageSetUpPr fitToPage="1"/>
  </sheetPr>
  <dimension ref="A2:I48"/>
  <sheetViews>
    <sheetView showGridLines="0" topLeftCell="A23" zoomScale="120" zoomScaleNormal="120" zoomScaleSheetLayoutView="100" workbookViewId="0">
      <selection activeCell="B37" sqref="B37:G37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8164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151</v>
      </c>
      <c r="C2" s="66"/>
      <c r="D2" s="67"/>
      <c r="E2" s="66"/>
      <c r="F2" s="66"/>
      <c r="G2" s="66"/>
    </row>
    <row r="3" spans="1:8" ht="16.5" customHeight="1" x14ac:dyDescent="0.25">
      <c r="B3" s="47" t="s">
        <v>109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185" t="s">
        <v>143</v>
      </c>
      <c r="C6" s="185"/>
      <c r="D6" s="185"/>
      <c r="E6" s="185"/>
      <c r="F6" s="185"/>
      <c r="G6" s="185"/>
      <c r="H6" s="22"/>
    </row>
    <row r="7" spans="1:8" ht="18" customHeight="1" x14ac:dyDescent="0.25">
      <c r="B7" s="185"/>
      <c r="C7" s="185"/>
      <c r="D7" s="185"/>
      <c r="E7" s="185"/>
      <c r="F7" s="185"/>
      <c r="G7" s="185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186"/>
      <c r="D9" s="186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186" t="s">
        <v>57</v>
      </c>
      <c r="D11" s="186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</row>
    <row r="14" spans="1:8" ht="12.75" customHeight="1" x14ac:dyDescent="0.25">
      <c r="B14" s="202" t="s">
        <v>36</v>
      </c>
      <c r="C14" s="204" t="s">
        <v>37</v>
      </c>
      <c r="D14" s="202" t="s">
        <v>38</v>
      </c>
      <c r="E14" s="204" t="s">
        <v>39</v>
      </c>
      <c r="F14" s="206" t="s">
        <v>40</v>
      </c>
    </row>
    <row r="15" spans="1:8" ht="35.25" customHeight="1" x14ac:dyDescent="0.25">
      <c r="A15" s="26"/>
      <c r="B15" s="203"/>
      <c r="C15" s="205"/>
      <c r="D15" s="203"/>
      <c r="E15" s="205"/>
      <c r="F15" s="207"/>
      <c r="G15" s="70"/>
    </row>
    <row r="16" spans="1:8" ht="15.5" x14ac:dyDescent="0.35">
      <c r="A16" s="71">
        <v>31</v>
      </c>
      <c r="B16" s="72">
        <v>46753</v>
      </c>
      <c r="C16" s="73">
        <f>+'Cantidades P4_(2028)'!AD14</f>
        <v>14704773.210000001</v>
      </c>
      <c r="D16" s="179">
        <v>0</v>
      </c>
      <c r="E16" s="75">
        <f>+C16*D16</f>
        <v>0</v>
      </c>
      <c r="F16" s="208">
        <v>0</v>
      </c>
      <c r="G16" s="70"/>
    </row>
    <row r="17" spans="1:8" ht="15.5" x14ac:dyDescent="0.35">
      <c r="A17" s="71">
        <v>28</v>
      </c>
      <c r="B17" s="72">
        <v>46784</v>
      </c>
      <c r="C17" s="73">
        <f>+'Cantidades P4_(2028)'!AD15</f>
        <v>10265949.540000001</v>
      </c>
      <c r="D17" s="179">
        <v>0</v>
      </c>
      <c r="E17" s="75">
        <f>+C17*D17</f>
        <v>0</v>
      </c>
      <c r="F17" s="209"/>
      <c r="G17" s="70"/>
    </row>
    <row r="18" spans="1:8" ht="15.5" x14ac:dyDescent="0.35">
      <c r="A18" s="71">
        <v>31</v>
      </c>
      <c r="B18" s="72">
        <v>46813</v>
      </c>
      <c r="C18" s="73">
        <f>+'Cantidades P4_(2028)'!AD16</f>
        <v>13243873.07</v>
      </c>
      <c r="D18" s="179">
        <v>0</v>
      </c>
      <c r="E18" s="75">
        <f t="shared" ref="E18:E27" si="0">+C18*D18</f>
        <v>0</v>
      </c>
      <c r="F18" s="209"/>
      <c r="G18" s="70"/>
    </row>
    <row r="19" spans="1:8" ht="15.5" x14ac:dyDescent="0.35">
      <c r="A19" s="71">
        <v>30</v>
      </c>
      <c r="B19" s="72">
        <v>46844</v>
      </c>
      <c r="C19" s="73">
        <f>+'Cantidades P4_(2028)'!AD17</f>
        <v>7655859.5899999999</v>
      </c>
      <c r="D19" s="179">
        <v>0</v>
      </c>
      <c r="E19" s="75">
        <f t="shared" si="0"/>
        <v>0</v>
      </c>
      <c r="F19" s="209"/>
      <c r="G19" s="70"/>
    </row>
    <row r="20" spans="1:8" ht="15.5" x14ac:dyDescent="0.35">
      <c r="A20" s="71">
        <v>31</v>
      </c>
      <c r="B20" s="72">
        <v>46874</v>
      </c>
      <c r="C20" s="73">
        <f>+'Cantidades P4_(2028)'!AD18</f>
        <v>8689418.4699999988</v>
      </c>
      <c r="D20" s="179">
        <v>0</v>
      </c>
      <c r="E20" s="75">
        <f t="shared" si="0"/>
        <v>0</v>
      </c>
      <c r="F20" s="209"/>
      <c r="G20" s="70"/>
    </row>
    <row r="21" spans="1:8" ht="15.5" x14ac:dyDescent="0.35">
      <c r="A21" s="71">
        <v>30</v>
      </c>
      <c r="B21" s="72">
        <v>46905</v>
      </c>
      <c r="C21" s="73">
        <f>+'Cantidades P4_(2028)'!AD19</f>
        <v>12471108</v>
      </c>
      <c r="D21" s="179">
        <v>0</v>
      </c>
      <c r="E21" s="75">
        <f t="shared" si="0"/>
        <v>0</v>
      </c>
      <c r="F21" s="209"/>
      <c r="G21" s="70"/>
    </row>
    <row r="22" spans="1:8" ht="15.5" x14ac:dyDescent="0.35">
      <c r="A22" s="71">
        <v>31</v>
      </c>
      <c r="B22" s="72">
        <v>46935</v>
      </c>
      <c r="C22" s="73">
        <f>+'Cantidades P4_(2028)'!AD20</f>
        <v>2132513.0199999996</v>
      </c>
      <c r="D22" s="179">
        <v>0</v>
      </c>
      <c r="E22" s="75">
        <f t="shared" si="0"/>
        <v>0</v>
      </c>
      <c r="F22" s="209"/>
      <c r="G22" s="70"/>
    </row>
    <row r="23" spans="1:8" ht="15.5" x14ac:dyDescent="0.35">
      <c r="A23" s="71">
        <v>31</v>
      </c>
      <c r="B23" s="72">
        <v>46966</v>
      </c>
      <c r="C23" s="73">
        <f>+'Cantidades P4_(2028)'!AD21</f>
        <v>3655478.7699999996</v>
      </c>
      <c r="D23" s="179">
        <v>0</v>
      </c>
      <c r="E23" s="75">
        <f t="shared" si="0"/>
        <v>0</v>
      </c>
      <c r="F23" s="209"/>
      <c r="G23" s="70"/>
    </row>
    <row r="24" spans="1:8" ht="15.5" x14ac:dyDescent="0.35">
      <c r="A24" s="71">
        <v>30</v>
      </c>
      <c r="B24" s="72">
        <v>46997</v>
      </c>
      <c r="C24" s="73">
        <f>+'Cantidades P4_(2028)'!AD22</f>
        <v>4619057.7300000004</v>
      </c>
      <c r="D24" s="179">
        <v>0</v>
      </c>
      <c r="E24" s="75">
        <f t="shared" si="0"/>
        <v>0</v>
      </c>
      <c r="F24" s="209"/>
      <c r="G24" s="70"/>
    </row>
    <row r="25" spans="1:8" ht="15.5" x14ac:dyDescent="0.35">
      <c r="A25" s="71">
        <v>31</v>
      </c>
      <c r="B25" s="72">
        <v>47027</v>
      </c>
      <c r="C25" s="73">
        <f>+'Cantidades P4_(2028)'!AD23</f>
        <v>3459170.4600000004</v>
      </c>
      <c r="D25" s="179">
        <v>0</v>
      </c>
      <c r="E25" s="75">
        <f t="shared" si="0"/>
        <v>0</v>
      </c>
      <c r="F25" s="209"/>
      <c r="G25" s="70"/>
    </row>
    <row r="26" spans="1:8" ht="15.5" x14ac:dyDescent="0.35">
      <c r="A26" s="71">
        <v>30</v>
      </c>
      <c r="B26" s="72">
        <v>47058</v>
      </c>
      <c r="C26" s="73">
        <f>+'Cantidades P4_(2028)'!AD24</f>
        <v>1619459.28</v>
      </c>
      <c r="D26" s="179">
        <v>0</v>
      </c>
      <c r="E26" s="75">
        <f t="shared" si="0"/>
        <v>0</v>
      </c>
      <c r="F26" s="209"/>
      <c r="G26" s="70"/>
    </row>
    <row r="27" spans="1:8" ht="15.5" x14ac:dyDescent="0.35">
      <c r="A27" s="71">
        <v>31</v>
      </c>
      <c r="B27" s="72">
        <v>47088</v>
      </c>
      <c r="C27" s="73">
        <f>+'Cantidades P4_(2028)'!AD25</f>
        <v>9419639.1199999992</v>
      </c>
      <c r="D27" s="179">
        <v>0</v>
      </c>
      <c r="E27" s="75">
        <f t="shared" si="0"/>
        <v>0</v>
      </c>
      <c r="F27" s="210"/>
      <c r="G27" s="70"/>
    </row>
    <row r="28" spans="1:8" ht="15.5" x14ac:dyDescent="0.35">
      <c r="A28" s="71">
        <f>SUM(A16:A27)</f>
        <v>365</v>
      </c>
      <c r="B28" s="76" t="s">
        <v>41</v>
      </c>
      <c r="C28" s="27">
        <f>SUM(C16:C27)</f>
        <v>91936300.25999999</v>
      </c>
      <c r="D28" s="50">
        <f>+E28/C28</f>
        <v>0</v>
      </c>
      <c r="E28" s="77">
        <f>SUM(E16:E27)</f>
        <v>0</v>
      </c>
      <c r="F28" s="51"/>
      <c r="G28" s="70"/>
    </row>
    <row r="29" spans="1:8" ht="14" x14ac:dyDescent="0.3">
      <c r="A29" s="78"/>
      <c r="B29" s="79"/>
      <c r="C29" s="160"/>
      <c r="D29" s="81"/>
      <c r="E29" s="80"/>
      <c r="F29" s="82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196" t="s">
        <v>152</v>
      </c>
      <c r="C32" s="196"/>
      <c r="D32" s="196"/>
      <c r="E32" s="196"/>
      <c r="F32" s="196"/>
      <c r="G32" s="196"/>
      <c r="H32" s="33"/>
    </row>
    <row r="33" spans="2:8" x14ac:dyDescent="0.25">
      <c r="B33" s="196"/>
      <c r="C33" s="196"/>
      <c r="D33" s="196"/>
      <c r="E33" s="196"/>
      <c r="F33" s="196"/>
      <c r="G33" s="19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3"/>
      <c r="H34" s="33"/>
    </row>
    <row r="35" spans="2:8" ht="14.5" x14ac:dyDescent="0.35">
      <c r="B35" s="33" t="s">
        <v>129</v>
      </c>
      <c r="C35" s="33"/>
      <c r="D35" s="34"/>
      <c r="E35" s="33"/>
      <c r="F35" s="33"/>
      <c r="G35" s="83"/>
      <c r="H35" s="33"/>
    </row>
    <row r="36" spans="2:8" ht="14.5" x14ac:dyDescent="0.35">
      <c r="B36" s="21" t="s">
        <v>102</v>
      </c>
      <c r="G36" s="83"/>
    </row>
    <row r="37" spans="2:8" s="36" customFormat="1" ht="20" customHeight="1" x14ac:dyDescent="0.25">
      <c r="B37" s="197" t="s">
        <v>121</v>
      </c>
      <c r="C37" s="197"/>
      <c r="D37" s="197"/>
      <c r="E37" s="197"/>
      <c r="F37" s="197"/>
      <c r="G37" s="197"/>
    </row>
    <row r="38" spans="2:8" s="36" customFormat="1" ht="26.25" customHeight="1" x14ac:dyDescent="0.25">
      <c r="B38" s="198" t="s">
        <v>103</v>
      </c>
      <c r="C38" s="198"/>
      <c r="D38" s="198"/>
      <c r="E38" s="198"/>
      <c r="F38" s="198"/>
      <c r="G38" s="84"/>
    </row>
    <row r="39" spans="2:8" s="36" customFormat="1" ht="13.5" customHeight="1" x14ac:dyDescent="0.25">
      <c r="B39" s="198" t="s">
        <v>54</v>
      </c>
      <c r="C39" s="198"/>
      <c r="D39" s="198"/>
      <c r="E39" s="198"/>
      <c r="F39" s="198"/>
      <c r="G39" s="84"/>
    </row>
    <row r="40" spans="2:8" s="36" customFormat="1" ht="13.5" customHeight="1" x14ac:dyDescent="0.25">
      <c r="B40" s="43" t="s">
        <v>131</v>
      </c>
      <c r="C40" s="84"/>
      <c r="D40" s="84"/>
      <c r="E40" s="84"/>
      <c r="F40" s="84"/>
      <c r="G40" s="84"/>
    </row>
    <row r="41" spans="2:8" s="36" customFormat="1" ht="13.5" customHeight="1" x14ac:dyDescent="0.25">
      <c r="B41" s="43" t="s">
        <v>104</v>
      </c>
      <c r="C41" s="84"/>
      <c r="D41" s="84"/>
      <c r="E41" s="84"/>
      <c r="F41" s="84"/>
      <c r="G41" s="84"/>
    </row>
    <row r="42" spans="2:8" s="36" customFormat="1" ht="13.5" customHeight="1" x14ac:dyDescent="0.25">
      <c r="B42" s="190" t="s">
        <v>123</v>
      </c>
      <c r="C42" s="191"/>
      <c r="D42" s="191"/>
      <c r="E42" s="191"/>
      <c r="F42" s="192"/>
      <c r="G42" s="86"/>
    </row>
    <row r="43" spans="2:8" s="36" customFormat="1" ht="42.75" customHeight="1" x14ac:dyDescent="0.25">
      <c r="B43" s="193"/>
      <c r="C43" s="194"/>
      <c r="D43" s="194"/>
      <c r="E43" s="194"/>
      <c r="F43" s="195"/>
      <c r="G43" s="86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6:G7"/>
    <mergeCell ref="C9:D9"/>
    <mergeCell ref="C11:D11"/>
    <mergeCell ref="B14:B15"/>
    <mergeCell ref="C14:C15"/>
    <mergeCell ref="D14:D15"/>
    <mergeCell ref="E14:E15"/>
    <mergeCell ref="F14:F15"/>
    <mergeCell ref="B42:F43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A9B4AC-1AB9-4D70-AC11-40431BAD100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7F2D2A85-9850-40A9-9E6D-4F00B34530A3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E409-0B50-456C-9199-2BCE97B2D693}">
  <sheetPr>
    <tabColor rgb="FF92D050"/>
    <pageSetUpPr fitToPage="1"/>
  </sheetPr>
  <dimension ref="A2:J73"/>
  <sheetViews>
    <sheetView showGridLines="0" zoomScale="120" zoomScaleNormal="120" zoomScaleSheetLayoutView="100" workbookViewId="0">
      <selection activeCell="F3" sqref="F3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40" style="21" customWidth="1"/>
    <col min="4" max="4" width="18.54296875" style="21" customWidth="1"/>
    <col min="5" max="5" width="18.7265625" style="21" customWidth="1"/>
    <col min="6" max="6" width="13" style="21" customWidth="1"/>
    <col min="7" max="10" width="1.54296875" style="21" hidden="1" customWidth="1"/>
    <col min="11" max="16384" width="3.453125" style="21" hidden="1"/>
  </cols>
  <sheetData>
    <row r="2" spans="1:7" s="20" customFormat="1" ht="19" x14ac:dyDescent="0.35">
      <c r="B2" s="46" t="s">
        <v>153</v>
      </c>
      <c r="C2" s="66"/>
      <c r="D2" s="66"/>
      <c r="E2" s="66"/>
      <c r="F2" s="66"/>
    </row>
    <row r="3" spans="1:7" ht="16.5" customHeight="1" x14ac:dyDescent="0.25">
      <c r="B3" s="47" t="s">
        <v>127</v>
      </c>
      <c r="C3" s="68"/>
      <c r="D3" s="68"/>
      <c r="E3" s="68"/>
      <c r="F3" s="68"/>
      <c r="G3" s="22"/>
    </row>
    <row r="4" spans="1:7" ht="16.5" customHeight="1" x14ac:dyDescent="0.25">
      <c r="B4" s="69"/>
      <c r="C4" s="68"/>
      <c r="D4" s="68"/>
      <c r="E4" s="68"/>
      <c r="F4" s="68"/>
      <c r="G4" s="22"/>
    </row>
    <row r="5" spans="1:7" ht="16.5" customHeight="1" x14ac:dyDescent="0.25">
      <c r="B5" s="69"/>
      <c r="C5" s="68"/>
      <c r="D5" s="68"/>
      <c r="E5" s="68"/>
      <c r="F5" s="68"/>
      <c r="G5" s="22"/>
    </row>
    <row r="6" spans="1:7" ht="16.5" customHeight="1" x14ac:dyDescent="0.25">
      <c r="B6" s="185" t="s">
        <v>126</v>
      </c>
      <c r="C6" s="185"/>
      <c r="D6" s="185"/>
      <c r="E6" s="185"/>
      <c r="F6" s="185"/>
      <c r="G6" s="22"/>
    </row>
    <row r="7" spans="1:7" ht="18" customHeight="1" x14ac:dyDescent="0.25">
      <c r="B7" s="185"/>
      <c r="C7" s="185"/>
      <c r="D7" s="185"/>
      <c r="E7" s="185"/>
      <c r="F7" s="185"/>
      <c r="G7" s="22"/>
    </row>
    <row r="8" spans="1:7" ht="18" customHeight="1" thickBot="1" x14ac:dyDescent="0.4">
      <c r="B8" s="23" t="s">
        <v>35</v>
      </c>
      <c r="C8" s="24"/>
      <c r="D8" s="58" t="s">
        <v>63</v>
      </c>
    </row>
    <row r="9" spans="1:7" ht="18" customHeight="1" thickBot="1" x14ac:dyDescent="0.4">
      <c r="A9" s="172"/>
      <c r="B9" s="23" t="s">
        <v>44</v>
      </c>
      <c r="C9" s="171"/>
      <c r="D9" s="57" t="s">
        <v>62</v>
      </c>
    </row>
    <row r="10" spans="1:7" ht="18" customHeight="1" thickBot="1" x14ac:dyDescent="0.4">
      <c r="A10" s="172"/>
      <c r="B10" s="41" t="s">
        <v>45</v>
      </c>
      <c r="C10" s="24"/>
      <c r="D10" s="58" t="s">
        <v>63</v>
      </c>
    </row>
    <row r="11" spans="1:7" ht="18" customHeight="1" thickBot="1" x14ac:dyDescent="0.4">
      <c r="A11" s="172"/>
      <c r="B11" s="23" t="s">
        <v>46</v>
      </c>
      <c r="C11" s="182" t="s">
        <v>57</v>
      </c>
      <c r="D11" s="57" t="s">
        <v>106</v>
      </c>
    </row>
    <row r="12" spans="1:7" ht="18" customHeight="1" thickBot="1" x14ac:dyDescent="0.4">
      <c r="A12" s="176"/>
      <c r="B12" s="23" t="s">
        <v>133</v>
      </c>
      <c r="C12" s="171" t="s">
        <v>144</v>
      </c>
      <c r="D12" s="57"/>
    </row>
    <row r="13" spans="1:7" ht="17" thickBot="1" x14ac:dyDescent="0.4">
      <c r="A13" s="172"/>
      <c r="B13" s="23" t="s">
        <v>105</v>
      </c>
      <c r="C13" s="24"/>
      <c r="D13" s="58" t="s">
        <v>63</v>
      </c>
    </row>
    <row r="15" spans="1:7" ht="12.75" customHeight="1" x14ac:dyDescent="0.25">
      <c r="B15" s="188" t="s">
        <v>36</v>
      </c>
      <c r="C15" s="188" t="s">
        <v>37</v>
      </c>
      <c r="D15" s="188" t="s">
        <v>38</v>
      </c>
      <c r="E15" s="188" t="s">
        <v>39</v>
      </c>
      <c r="F15" s="201" t="s">
        <v>40</v>
      </c>
    </row>
    <row r="16" spans="1:7" ht="35.25" customHeight="1" x14ac:dyDescent="0.25">
      <c r="A16" s="26"/>
      <c r="B16" s="188"/>
      <c r="C16" s="188"/>
      <c r="D16" s="188"/>
      <c r="E16" s="188"/>
      <c r="F16" s="201"/>
    </row>
    <row r="17" spans="1:6" ht="15.5" customHeight="1" x14ac:dyDescent="0.35">
      <c r="A17" s="184">
        <v>31</v>
      </c>
      <c r="B17" s="174">
        <v>46023</v>
      </c>
      <c r="C17" s="175"/>
      <c r="D17" s="211">
        <v>0</v>
      </c>
      <c r="E17" s="175"/>
      <c r="F17" s="200">
        <v>0</v>
      </c>
    </row>
    <row r="18" spans="1:6" ht="15.5" x14ac:dyDescent="0.35">
      <c r="A18" s="184">
        <v>28</v>
      </c>
      <c r="B18" s="174">
        <v>46054</v>
      </c>
      <c r="C18" s="175">
        <f>+'Cantidades 5_(26-28)'!AD15</f>
        <v>12471487.039999999</v>
      </c>
      <c r="D18" s="211"/>
      <c r="E18" s="175">
        <f t="shared" ref="E18:E28" si="0">+C18*$D$17</f>
        <v>0</v>
      </c>
      <c r="F18" s="200"/>
    </row>
    <row r="19" spans="1:6" ht="15.5" x14ac:dyDescent="0.35">
      <c r="A19" s="184">
        <v>31</v>
      </c>
      <c r="B19" s="174">
        <v>46082</v>
      </c>
      <c r="C19" s="175">
        <f>+'Cantidades 5_(26-28)'!AD16</f>
        <v>13432833.390000001</v>
      </c>
      <c r="D19" s="211"/>
      <c r="E19" s="175">
        <f t="shared" si="0"/>
        <v>0</v>
      </c>
      <c r="F19" s="200"/>
    </row>
    <row r="20" spans="1:6" ht="15.5" x14ac:dyDescent="0.35">
      <c r="A20" s="184">
        <v>30</v>
      </c>
      <c r="B20" s="174">
        <v>46113</v>
      </c>
      <c r="C20" s="175">
        <f>+'Cantidades 5_(26-28)'!AD17</f>
        <v>11611265.000000002</v>
      </c>
      <c r="D20" s="211"/>
      <c r="E20" s="175">
        <f t="shared" si="0"/>
        <v>0</v>
      </c>
      <c r="F20" s="200"/>
    </row>
    <row r="21" spans="1:6" ht="15.5" x14ac:dyDescent="0.35">
      <c r="A21" s="184">
        <v>31</v>
      </c>
      <c r="B21" s="174">
        <v>46143</v>
      </c>
      <c r="C21" s="175">
        <f>+'Cantidades 5_(26-28)'!AD18</f>
        <v>6257333</v>
      </c>
      <c r="D21" s="211"/>
      <c r="E21" s="175">
        <f t="shared" si="0"/>
        <v>0</v>
      </c>
      <c r="F21" s="200"/>
    </row>
    <row r="22" spans="1:6" ht="15.5" x14ac:dyDescent="0.35">
      <c r="A22" s="184">
        <v>30</v>
      </c>
      <c r="B22" s="174">
        <v>46174</v>
      </c>
      <c r="C22" s="175">
        <f>+'Cantidades 5_(26-28)'!AD19</f>
        <v>7351802.080000001</v>
      </c>
      <c r="D22" s="211"/>
      <c r="E22" s="175">
        <f t="shared" si="0"/>
        <v>0</v>
      </c>
      <c r="F22" s="200"/>
    </row>
    <row r="23" spans="1:6" ht="15.5" x14ac:dyDescent="0.35">
      <c r="A23" s="184">
        <v>31</v>
      </c>
      <c r="B23" s="174">
        <v>46204</v>
      </c>
      <c r="C23" s="175">
        <f>+'Cantidades 5_(26-28)'!AD20</f>
        <v>8667289.5899999999</v>
      </c>
      <c r="D23" s="211"/>
      <c r="E23" s="175">
        <f t="shared" si="0"/>
        <v>0</v>
      </c>
      <c r="F23" s="200"/>
    </row>
    <row r="24" spans="1:6" ht="15.5" x14ac:dyDescent="0.35">
      <c r="A24" s="184">
        <v>31</v>
      </c>
      <c r="B24" s="174">
        <v>46235</v>
      </c>
      <c r="C24" s="175">
        <f>+'Cantidades 5_(26-28)'!AD21</f>
        <v>8541286.1100000013</v>
      </c>
      <c r="D24" s="211"/>
      <c r="E24" s="175">
        <f t="shared" si="0"/>
        <v>0</v>
      </c>
      <c r="F24" s="200"/>
    </row>
    <row r="25" spans="1:6" ht="15.5" x14ac:dyDescent="0.35">
      <c r="A25" s="184">
        <v>30</v>
      </c>
      <c r="B25" s="174">
        <v>46266</v>
      </c>
      <c r="C25" s="175">
        <f>+'Cantidades 5_(26-28)'!AD22</f>
        <v>10140570.520000001</v>
      </c>
      <c r="D25" s="211"/>
      <c r="E25" s="175">
        <f t="shared" si="0"/>
        <v>0</v>
      </c>
      <c r="F25" s="200"/>
    </row>
    <row r="26" spans="1:6" ht="15.5" x14ac:dyDescent="0.35">
      <c r="A26" s="184">
        <v>31</v>
      </c>
      <c r="B26" s="174">
        <v>46296</v>
      </c>
      <c r="C26" s="175">
        <f>+'Cantidades 5_(26-28)'!AD23</f>
        <v>10912076.65</v>
      </c>
      <c r="D26" s="211"/>
      <c r="E26" s="175">
        <f t="shared" si="0"/>
        <v>0</v>
      </c>
      <c r="F26" s="200"/>
    </row>
    <row r="27" spans="1:6" ht="15.5" x14ac:dyDescent="0.35">
      <c r="A27" s="184">
        <v>30</v>
      </c>
      <c r="B27" s="174">
        <v>46327</v>
      </c>
      <c r="C27" s="175">
        <f>+'Cantidades 5_(26-28)'!AD24</f>
        <v>9086699.6600000001</v>
      </c>
      <c r="D27" s="211"/>
      <c r="E27" s="175">
        <f t="shared" si="0"/>
        <v>0</v>
      </c>
      <c r="F27" s="200"/>
    </row>
    <row r="28" spans="1:6" ht="15.5" x14ac:dyDescent="0.35">
      <c r="A28" s="184">
        <v>31</v>
      </c>
      <c r="B28" s="174">
        <v>46357</v>
      </c>
      <c r="C28" s="175">
        <f>+'Cantidades 5_(26-28)'!AD25</f>
        <v>12035402.449999999</v>
      </c>
      <c r="D28" s="211"/>
      <c r="E28" s="175">
        <f t="shared" si="0"/>
        <v>0</v>
      </c>
      <c r="F28" s="200"/>
    </row>
    <row r="29" spans="1:6" ht="15.5" x14ac:dyDescent="0.35">
      <c r="A29" s="184">
        <v>31</v>
      </c>
      <c r="B29" s="174">
        <v>46388</v>
      </c>
      <c r="C29" s="175">
        <f>+'Cantidades 5_(26-28)'!AD64</f>
        <v>13512052.130000001</v>
      </c>
      <c r="D29" s="211">
        <v>0</v>
      </c>
      <c r="E29" s="175">
        <f>+C29*$D$29</f>
        <v>0</v>
      </c>
      <c r="F29" s="200">
        <v>0</v>
      </c>
    </row>
    <row r="30" spans="1:6" ht="15.5" x14ac:dyDescent="0.35">
      <c r="A30" s="184">
        <v>28</v>
      </c>
      <c r="B30" s="174">
        <v>46419</v>
      </c>
      <c r="C30" s="175">
        <f>+'Cantidades 5_(26-28)'!AD65</f>
        <v>12535982.880000001</v>
      </c>
      <c r="D30" s="211"/>
      <c r="E30" s="175">
        <f>+C30*$D$29</f>
        <v>0</v>
      </c>
      <c r="F30" s="200"/>
    </row>
    <row r="31" spans="1:6" ht="15.5" x14ac:dyDescent="0.35">
      <c r="A31" s="184">
        <v>31</v>
      </c>
      <c r="B31" s="174">
        <v>46447</v>
      </c>
      <c r="C31" s="175">
        <f>+'Cantidades 5_(26-28)'!AD66</f>
        <v>13410647.460000001</v>
      </c>
      <c r="D31" s="211"/>
      <c r="E31" s="175">
        <f>+C31*$D$29</f>
        <v>0</v>
      </c>
      <c r="F31" s="200"/>
    </row>
    <row r="32" spans="1:6" ht="15.5" x14ac:dyDescent="0.35">
      <c r="A32" s="184">
        <v>30</v>
      </c>
      <c r="B32" s="174">
        <v>46478</v>
      </c>
      <c r="C32" s="175">
        <f>+'Cantidades 5_(26-28)'!AD67</f>
        <v>11845996.82</v>
      </c>
      <c r="D32" s="211"/>
      <c r="E32" s="175">
        <f>+C32*$D$29</f>
        <v>0</v>
      </c>
      <c r="F32" s="200"/>
    </row>
    <row r="33" spans="1:6" ht="15.5" x14ac:dyDescent="0.35">
      <c r="A33" s="184">
        <v>31</v>
      </c>
      <c r="B33" s="174">
        <v>46508</v>
      </c>
      <c r="C33" s="175">
        <f>+'Cantidades 5_(26-28)'!AD68</f>
        <v>12308879.82</v>
      </c>
      <c r="D33" s="211"/>
      <c r="E33" s="175">
        <f t="shared" ref="E33:E38" si="1">+C33*$D$29</f>
        <v>0</v>
      </c>
      <c r="F33" s="200"/>
    </row>
    <row r="34" spans="1:6" ht="15.5" x14ac:dyDescent="0.35">
      <c r="A34" s="184">
        <v>30</v>
      </c>
      <c r="B34" s="174">
        <v>46539</v>
      </c>
      <c r="C34" s="175">
        <f>+'Cantidades 5_(26-28)'!AD69</f>
        <v>7811321.4000000004</v>
      </c>
      <c r="D34" s="211"/>
      <c r="E34" s="175">
        <f>+C34*$D$29</f>
        <v>0</v>
      </c>
      <c r="F34" s="200"/>
    </row>
    <row r="35" spans="1:6" ht="15.5" x14ac:dyDescent="0.35">
      <c r="A35" s="184">
        <v>31</v>
      </c>
      <c r="B35" s="174">
        <v>46569</v>
      </c>
      <c r="C35" s="175">
        <f>+'Cantidades 5_(26-28)'!AD70</f>
        <v>7123196.8699999992</v>
      </c>
      <c r="D35" s="211"/>
      <c r="E35" s="175">
        <f>+C35*$D$29</f>
        <v>0</v>
      </c>
      <c r="F35" s="200"/>
    </row>
    <row r="36" spans="1:6" ht="15.5" x14ac:dyDescent="0.35">
      <c r="A36" s="184">
        <v>31</v>
      </c>
      <c r="B36" s="174">
        <v>46600</v>
      </c>
      <c r="C36" s="175">
        <f>+'Cantidades 5_(26-28)'!AD71</f>
        <v>8553825.0299999993</v>
      </c>
      <c r="D36" s="211"/>
      <c r="E36" s="175">
        <f>+C36*$D$29</f>
        <v>0</v>
      </c>
      <c r="F36" s="200"/>
    </row>
    <row r="37" spans="1:6" ht="15.5" x14ac:dyDescent="0.35">
      <c r="A37" s="184">
        <v>30</v>
      </c>
      <c r="B37" s="174">
        <v>46631</v>
      </c>
      <c r="C37" s="175">
        <f>+'Cantidades 5_(26-28)'!AD72</f>
        <v>7942306.5199999996</v>
      </c>
      <c r="D37" s="211"/>
      <c r="E37" s="175">
        <f t="shared" si="1"/>
        <v>0</v>
      </c>
      <c r="F37" s="200"/>
    </row>
    <row r="38" spans="1:6" ht="15.5" x14ac:dyDescent="0.35">
      <c r="A38" s="184">
        <v>31</v>
      </c>
      <c r="B38" s="174">
        <v>46661</v>
      </c>
      <c r="C38" s="175">
        <f>+'Cantidades 5_(26-28)'!AD73</f>
        <v>9779601.75</v>
      </c>
      <c r="D38" s="211"/>
      <c r="E38" s="175">
        <f t="shared" si="1"/>
        <v>0</v>
      </c>
      <c r="F38" s="200"/>
    </row>
    <row r="39" spans="1:6" ht="15.5" x14ac:dyDescent="0.35">
      <c r="A39" s="184">
        <v>30</v>
      </c>
      <c r="B39" s="174">
        <v>46692</v>
      </c>
      <c r="C39" s="175">
        <f>+'Cantidades 5_(26-28)'!AD74</f>
        <v>10330943.800000001</v>
      </c>
      <c r="D39" s="211"/>
      <c r="E39" s="175">
        <f>+C39*$D$29</f>
        <v>0</v>
      </c>
      <c r="F39" s="200"/>
    </row>
    <row r="40" spans="1:6" ht="15.5" x14ac:dyDescent="0.35">
      <c r="A40" s="184">
        <v>31</v>
      </c>
      <c r="B40" s="174">
        <v>46722</v>
      </c>
      <c r="C40" s="175">
        <f>+'Cantidades 5_(26-28)'!AD75</f>
        <v>11901393.76</v>
      </c>
      <c r="D40" s="211"/>
      <c r="E40" s="175">
        <f>+C40*$D$29</f>
        <v>0</v>
      </c>
      <c r="F40" s="200"/>
    </row>
    <row r="41" spans="1:6" ht="15.5" x14ac:dyDescent="0.35">
      <c r="A41" s="184">
        <v>31</v>
      </c>
      <c r="B41" s="174">
        <v>46753</v>
      </c>
      <c r="C41" s="175">
        <f>+'Cantidades 5_(26-28)'!AD114</f>
        <v>13474936.6</v>
      </c>
      <c r="D41" s="211">
        <v>0</v>
      </c>
      <c r="E41" s="175">
        <f>+C41*$D$41</f>
        <v>0</v>
      </c>
      <c r="F41" s="200">
        <v>0</v>
      </c>
    </row>
    <row r="42" spans="1:6" ht="15.5" x14ac:dyDescent="0.35">
      <c r="A42" s="184">
        <v>29</v>
      </c>
      <c r="B42" s="174">
        <v>46784</v>
      </c>
      <c r="C42" s="175">
        <f>+'Cantidades 5_(26-28)'!AD115</f>
        <v>11854313.899999999</v>
      </c>
      <c r="D42" s="211"/>
      <c r="E42" s="175">
        <f t="shared" ref="E42:E52" si="2">+C42*$D$41</f>
        <v>0</v>
      </c>
      <c r="F42" s="200"/>
    </row>
    <row r="43" spans="1:6" ht="15.5" x14ac:dyDescent="0.35">
      <c r="A43" s="184">
        <v>31</v>
      </c>
      <c r="B43" s="174">
        <v>46813</v>
      </c>
      <c r="C43" s="175">
        <f>+'Cantidades 5_(26-28)'!AD116</f>
        <v>13059269.339999998</v>
      </c>
      <c r="D43" s="211"/>
      <c r="E43" s="175">
        <f t="shared" si="2"/>
        <v>0</v>
      </c>
      <c r="F43" s="200"/>
    </row>
    <row r="44" spans="1:6" ht="15.5" x14ac:dyDescent="0.35">
      <c r="A44" s="184">
        <v>30</v>
      </c>
      <c r="B44" s="174">
        <v>46844</v>
      </c>
      <c r="C44" s="175">
        <f>+'Cantidades 5_(26-28)'!AD117</f>
        <v>10991943.950000001</v>
      </c>
      <c r="D44" s="211"/>
      <c r="E44" s="175">
        <f>+C44*$D$41</f>
        <v>0</v>
      </c>
      <c r="F44" s="200"/>
    </row>
    <row r="45" spans="1:6" ht="15.5" x14ac:dyDescent="0.35">
      <c r="A45" s="184">
        <v>31</v>
      </c>
      <c r="B45" s="174">
        <v>46874</v>
      </c>
      <c r="C45" s="175">
        <f>+'Cantidades 5_(26-28)'!AD118</f>
        <v>11286422.310000001</v>
      </c>
      <c r="D45" s="211"/>
      <c r="E45" s="175">
        <f t="shared" si="2"/>
        <v>0</v>
      </c>
      <c r="F45" s="200"/>
    </row>
    <row r="46" spans="1:6" ht="15.5" x14ac:dyDescent="0.35">
      <c r="A46" s="184">
        <v>30</v>
      </c>
      <c r="B46" s="174">
        <v>46905</v>
      </c>
      <c r="C46" s="175">
        <f>+'Cantidades 5_(26-28)'!AD119</f>
        <v>12715256.299999999</v>
      </c>
      <c r="D46" s="211"/>
      <c r="E46" s="175">
        <f t="shared" si="2"/>
        <v>0</v>
      </c>
      <c r="F46" s="200"/>
    </row>
    <row r="47" spans="1:6" ht="15.5" x14ac:dyDescent="0.35">
      <c r="A47" s="184">
        <v>31</v>
      </c>
      <c r="B47" s="174">
        <v>46935</v>
      </c>
      <c r="C47" s="175">
        <f>+'Cantidades 5_(26-28)'!AD120</f>
        <v>9558262.540000001</v>
      </c>
      <c r="D47" s="211"/>
      <c r="E47" s="175">
        <f>+C47*$D$41</f>
        <v>0</v>
      </c>
      <c r="F47" s="200"/>
    </row>
    <row r="48" spans="1:6" ht="15.5" x14ac:dyDescent="0.35">
      <c r="A48" s="184">
        <v>31</v>
      </c>
      <c r="B48" s="174">
        <v>46966</v>
      </c>
      <c r="C48" s="175">
        <f>+'Cantidades 5_(26-28)'!AD121</f>
        <v>9345896</v>
      </c>
      <c r="D48" s="211"/>
      <c r="E48" s="175">
        <f t="shared" si="2"/>
        <v>0</v>
      </c>
      <c r="F48" s="200"/>
    </row>
    <row r="49" spans="1:7" ht="15.5" x14ac:dyDescent="0.35">
      <c r="A49" s="184">
        <v>30</v>
      </c>
      <c r="B49" s="174">
        <v>46997</v>
      </c>
      <c r="C49" s="175">
        <f>+'Cantidades 5_(26-28)'!AD122</f>
        <v>8996654.209999999</v>
      </c>
      <c r="D49" s="211"/>
      <c r="E49" s="175">
        <f t="shared" si="2"/>
        <v>0</v>
      </c>
      <c r="F49" s="200"/>
    </row>
    <row r="50" spans="1:7" ht="15.5" x14ac:dyDescent="0.35">
      <c r="A50" s="184">
        <v>31</v>
      </c>
      <c r="B50" s="174">
        <v>47027</v>
      </c>
      <c r="C50" s="175">
        <f>+'Cantidades 5_(26-28)'!AD123</f>
        <v>9644197.1400000006</v>
      </c>
      <c r="D50" s="211"/>
      <c r="E50" s="175">
        <f>+C50*$D$41</f>
        <v>0</v>
      </c>
      <c r="F50" s="200"/>
    </row>
    <row r="51" spans="1:7" ht="15.5" x14ac:dyDescent="0.35">
      <c r="A51" s="184">
        <v>30</v>
      </c>
      <c r="B51" s="174">
        <v>47058</v>
      </c>
      <c r="C51" s="175">
        <f>+'Cantidades 5_(26-28)'!AD124</f>
        <v>7307179.3399999999</v>
      </c>
      <c r="D51" s="211"/>
      <c r="E51" s="175">
        <f t="shared" si="2"/>
        <v>0</v>
      </c>
      <c r="F51" s="200"/>
    </row>
    <row r="52" spans="1:7" ht="15.5" x14ac:dyDescent="0.35">
      <c r="A52" s="184">
        <v>31</v>
      </c>
      <c r="B52" s="174">
        <v>47088</v>
      </c>
      <c r="C52" s="175">
        <f>+'Cantidades 5_(26-28)'!AD125</f>
        <v>11351678.969999997</v>
      </c>
      <c r="D52" s="211"/>
      <c r="E52" s="175">
        <f t="shared" si="2"/>
        <v>0</v>
      </c>
      <c r="F52" s="200"/>
    </row>
    <row r="53" spans="1:7" ht="15.5" x14ac:dyDescent="0.35">
      <c r="A53" s="71">
        <f>SUM(A17:A28)</f>
        <v>365</v>
      </c>
      <c r="B53" s="76" t="s">
        <v>41</v>
      </c>
      <c r="C53" s="27">
        <f>SUM(C17:C52)</f>
        <v>367150204.32999992</v>
      </c>
      <c r="D53" s="50">
        <f>+D17</f>
        <v>0</v>
      </c>
      <c r="E53" s="183">
        <f>SUM(E18:E52)</f>
        <v>0</v>
      </c>
      <c r="F53" s="51"/>
    </row>
    <row r="54" spans="1:7" ht="14" x14ac:dyDescent="0.3">
      <c r="A54" s="78"/>
      <c r="B54" s="79"/>
      <c r="C54" s="160"/>
      <c r="D54" s="80"/>
      <c r="E54" s="82"/>
    </row>
    <row r="55" spans="1:7" ht="14" x14ac:dyDescent="0.3">
      <c r="B55" s="28"/>
      <c r="C55" s="29"/>
      <c r="D55" s="31"/>
      <c r="E55" s="31"/>
      <c r="F55" s="32"/>
    </row>
    <row r="56" spans="1:7" ht="13" x14ac:dyDescent="0.3">
      <c r="B56" s="42" t="s">
        <v>47</v>
      </c>
      <c r="C56" s="33"/>
      <c r="D56" s="33"/>
      <c r="E56" s="33"/>
      <c r="F56" s="33"/>
      <c r="G56" s="33"/>
    </row>
    <row r="57" spans="1:7" ht="12.75" customHeight="1" x14ac:dyDescent="0.25">
      <c r="B57" s="196" t="s">
        <v>154</v>
      </c>
      <c r="C57" s="196"/>
      <c r="D57" s="196"/>
      <c r="E57" s="196"/>
      <c r="F57" s="196"/>
      <c r="G57" s="33"/>
    </row>
    <row r="58" spans="1:7" x14ac:dyDescent="0.25">
      <c r="B58" s="196"/>
      <c r="C58" s="196"/>
      <c r="D58" s="196"/>
      <c r="E58" s="196"/>
      <c r="F58" s="196"/>
      <c r="G58" s="33"/>
    </row>
    <row r="59" spans="1:7" ht="12.75" customHeight="1" x14ac:dyDescent="0.35">
      <c r="B59" s="33" t="s">
        <v>42</v>
      </c>
      <c r="C59" s="33"/>
      <c r="D59" s="33"/>
      <c r="E59" s="33"/>
      <c r="F59" s="83"/>
      <c r="G59" s="33"/>
    </row>
    <row r="60" spans="1:7" ht="14.5" x14ac:dyDescent="0.35">
      <c r="B60" s="33" t="s">
        <v>129</v>
      </c>
      <c r="C60" s="33"/>
      <c r="D60" s="33"/>
      <c r="E60" s="33"/>
      <c r="F60" s="83"/>
      <c r="G60" s="33"/>
    </row>
    <row r="61" spans="1:7" ht="14.5" x14ac:dyDescent="0.35">
      <c r="B61" s="21" t="s">
        <v>130</v>
      </c>
      <c r="F61" s="83"/>
    </row>
    <row r="62" spans="1:7" s="36" customFormat="1" ht="20" customHeight="1" x14ac:dyDescent="0.25">
      <c r="B62" s="197" t="s">
        <v>145</v>
      </c>
      <c r="C62" s="197"/>
      <c r="D62" s="197"/>
      <c r="E62" s="197"/>
      <c r="F62" s="197"/>
    </row>
    <row r="63" spans="1:7" s="36" customFormat="1" ht="26.25" customHeight="1" x14ac:dyDescent="0.25">
      <c r="B63" s="198" t="s">
        <v>103</v>
      </c>
      <c r="C63" s="198"/>
      <c r="D63" s="198"/>
      <c r="E63" s="198"/>
      <c r="F63" s="84"/>
    </row>
    <row r="64" spans="1:7" s="36" customFormat="1" ht="13.5" customHeight="1" x14ac:dyDescent="0.25">
      <c r="B64" s="198" t="s">
        <v>54</v>
      </c>
      <c r="C64" s="198"/>
      <c r="D64" s="198"/>
      <c r="E64" s="198"/>
      <c r="F64" s="84"/>
    </row>
    <row r="65" spans="2:6" s="36" customFormat="1" ht="13.5" customHeight="1" x14ac:dyDescent="0.25">
      <c r="B65" s="43" t="s">
        <v>131</v>
      </c>
      <c r="C65" s="84"/>
      <c r="D65" s="84"/>
      <c r="E65" s="84"/>
      <c r="F65" s="84"/>
    </row>
    <row r="66" spans="2:6" s="36" customFormat="1" ht="13.5" customHeight="1" x14ac:dyDescent="0.25">
      <c r="B66" s="43" t="s">
        <v>162</v>
      </c>
      <c r="C66" s="84"/>
      <c r="D66" s="84"/>
      <c r="E66" s="84"/>
      <c r="F66" s="84"/>
    </row>
    <row r="67" spans="2:6" s="36" customFormat="1" ht="13.5" customHeight="1" x14ac:dyDescent="0.25">
      <c r="B67" s="190" t="s">
        <v>123</v>
      </c>
      <c r="C67" s="191"/>
      <c r="D67" s="191"/>
      <c r="E67" s="192"/>
      <c r="F67" s="86"/>
    </row>
    <row r="68" spans="2:6" s="36" customFormat="1" ht="42.75" customHeight="1" x14ac:dyDescent="0.25">
      <c r="B68" s="193"/>
      <c r="C68" s="194"/>
      <c r="D68" s="194"/>
      <c r="E68" s="195"/>
      <c r="F68" s="86"/>
    </row>
    <row r="69" spans="2:6" ht="20.25" customHeight="1" x14ac:dyDescent="0.25">
      <c r="B69" s="44"/>
      <c r="C69" s="44"/>
      <c r="D69" s="44"/>
      <c r="E69" s="44"/>
      <c r="F69" s="44"/>
    </row>
    <row r="70" spans="2:6" ht="20.25" customHeight="1" x14ac:dyDescent="0.25">
      <c r="B70" s="37"/>
      <c r="C70" s="37"/>
      <c r="D70" s="37"/>
      <c r="E70" s="37"/>
      <c r="F70" s="37"/>
    </row>
    <row r="71" spans="2:6" ht="20.25" customHeight="1" x14ac:dyDescent="0.25">
      <c r="B71" s="37"/>
      <c r="C71" s="37"/>
      <c r="D71" s="37"/>
      <c r="E71" s="37"/>
      <c r="F71" s="37"/>
    </row>
    <row r="72" spans="2:6" ht="7.5" customHeight="1" x14ac:dyDescent="0.25"/>
    <row r="73" spans="2:6" ht="17.25" customHeight="1" x14ac:dyDescent="0.4">
      <c r="B73" s="38" t="s">
        <v>43</v>
      </c>
      <c r="C73" s="39"/>
      <c r="E73" s="40"/>
    </row>
  </sheetData>
  <sheetProtection selectLockedCells="1"/>
  <mergeCells count="17">
    <mergeCell ref="B63:E63"/>
    <mergeCell ref="B64:E64"/>
    <mergeCell ref="B67:E68"/>
    <mergeCell ref="D17:D28"/>
    <mergeCell ref="D29:D40"/>
    <mergeCell ref="D41:D52"/>
    <mergeCell ref="F17:F28"/>
    <mergeCell ref="F29:F40"/>
    <mergeCell ref="F41:F52"/>
    <mergeCell ref="B57:F58"/>
    <mergeCell ref="B62:F62"/>
    <mergeCell ref="B6:F7"/>
    <mergeCell ref="B15:B16"/>
    <mergeCell ref="C15:C16"/>
    <mergeCell ref="D15:D16"/>
    <mergeCell ref="E15:E16"/>
    <mergeCell ref="F15:F16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BCFE9F-112D-43C2-8719-A23D782A14E8}">
          <x14:formula1>
            <xm:f>'Listas desplegables'!$B$3</xm:f>
          </x14:formula1>
          <xm:sqref>C11</xm:sqref>
        </x14:dataValidation>
        <x14:dataValidation type="list" allowBlank="1" showInputMessage="1" showErrorMessage="1" xr:uid="{1ED7CB30-7BE3-40E4-829A-B5AAF5B39071}">
          <x14:formula1>
            <xm:f>'Listas desplegables'!$A$3:$A$4</xm:f>
          </x14:formula1>
          <xm:sqref>C9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7E41-4772-4BDB-AE1D-D433DEE193BA}">
  <sheetPr>
    <tabColor rgb="FF92D050"/>
    <pageSetUpPr fitToPage="1"/>
  </sheetPr>
  <dimension ref="A2:J61"/>
  <sheetViews>
    <sheetView showGridLines="0" topLeftCell="A37" zoomScale="120" zoomScaleNormal="120" zoomScaleSheetLayoutView="100" workbookViewId="0">
      <selection activeCell="G49" sqref="G49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17" style="21" customWidth="1"/>
    <col min="6" max="7" width="18.7265625" style="21" customWidth="1"/>
    <col min="8" max="8" width="10.08984375" style="21" customWidth="1"/>
    <col min="9" max="10" width="1.54296875" style="21" hidden="1" customWidth="1"/>
    <col min="11" max="16384" width="3.453125" style="21" hidden="1"/>
  </cols>
  <sheetData>
    <row r="2" spans="1:9" s="20" customFormat="1" ht="19" x14ac:dyDescent="0.35">
      <c r="B2" s="46" t="s">
        <v>155</v>
      </c>
      <c r="C2" s="66"/>
      <c r="D2" s="67"/>
      <c r="E2" s="66"/>
      <c r="F2" s="66"/>
      <c r="G2" s="66"/>
      <c r="H2" s="66"/>
    </row>
    <row r="3" spans="1:9" ht="16.5" customHeight="1" x14ac:dyDescent="0.25">
      <c r="B3" s="47" t="s">
        <v>146</v>
      </c>
      <c r="C3" s="68"/>
      <c r="D3" s="68"/>
      <c r="E3" s="68"/>
      <c r="F3" s="68"/>
      <c r="G3" s="68"/>
      <c r="H3" s="68"/>
      <c r="I3" s="22"/>
    </row>
    <row r="4" spans="1:9" ht="16.5" customHeight="1" x14ac:dyDescent="0.25">
      <c r="B4" s="69"/>
      <c r="C4" s="68"/>
      <c r="D4" s="68"/>
      <c r="E4" s="68"/>
      <c r="F4" s="68"/>
      <c r="G4" s="68"/>
      <c r="H4" s="68"/>
      <c r="I4" s="22"/>
    </row>
    <row r="5" spans="1:9" ht="16.5" customHeight="1" x14ac:dyDescent="0.25">
      <c r="B5" s="69"/>
      <c r="C5" s="68"/>
      <c r="D5" s="68"/>
      <c r="E5" s="68"/>
      <c r="F5" s="68"/>
      <c r="G5" s="68"/>
      <c r="H5" s="68"/>
      <c r="I5" s="22"/>
    </row>
    <row r="6" spans="1:9" ht="16.5" customHeight="1" x14ac:dyDescent="0.25">
      <c r="B6" s="185" t="s">
        <v>147</v>
      </c>
      <c r="C6" s="185"/>
      <c r="D6" s="185"/>
      <c r="E6" s="185"/>
      <c r="F6" s="185"/>
      <c r="G6" s="185"/>
      <c r="H6" s="185"/>
      <c r="I6" s="22"/>
    </row>
    <row r="7" spans="1:9" ht="18" customHeight="1" x14ac:dyDescent="0.25">
      <c r="B7" s="185"/>
      <c r="C7" s="185"/>
      <c r="D7" s="185"/>
      <c r="E7" s="185"/>
      <c r="F7" s="185"/>
      <c r="G7" s="185"/>
      <c r="H7" s="185"/>
      <c r="I7" s="22"/>
    </row>
    <row r="8" spans="1:9" ht="18" customHeight="1" thickBot="1" x14ac:dyDescent="0.4">
      <c r="B8" s="23" t="s">
        <v>35</v>
      </c>
      <c r="C8" s="24"/>
      <c r="D8" s="25"/>
      <c r="E8" s="58" t="s">
        <v>63</v>
      </c>
    </row>
    <row r="9" spans="1:9" ht="18" customHeight="1" thickBot="1" x14ac:dyDescent="0.4">
      <c r="A9" s="172"/>
      <c r="B9" s="23" t="s">
        <v>44</v>
      </c>
      <c r="C9" s="186"/>
      <c r="D9" s="186"/>
      <c r="E9" s="57" t="s">
        <v>62</v>
      </c>
    </row>
    <row r="10" spans="1:9" ht="18" customHeight="1" thickBot="1" x14ac:dyDescent="0.4">
      <c r="A10" s="172"/>
      <c r="B10" s="41" t="s">
        <v>45</v>
      </c>
      <c r="C10" s="24"/>
      <c r="D10" s="25"/>
      <c r="E10" s="58" t="s">
        <v>63</v>
      </c>
    </row>
    <row r="11" spans="1:9" ht="18" customHeight="1" thickBot="1" x14ac:dyDescent="0.4">
      <c r="A11" s="172"/>
      <c r="B11" s="23" t="s">
        <v>46</v>
      </c>
      <c r="C11" s="187" t="s">
        <v>60</v>
      </c>
      <c r="D11" s="187"/>
      <c r="E11" s="57" t="s">
        <v>106</v>
      </c>
    </row>
    <row r="12" spans="1:9" ht="18" customHeight="1" thickBot="1" x14ac:dyDescent="0.4">
      <c r="A12" s="176">
        <v>24</v>
      </c>
      <c r="B12" s="23" t="s">
        <v>133</v>
      </c>
      <c r="C12" s="186" t="s">
        <v>134</v>
      </c>
      <c r="D12" s="186"/>
      <c r="E12" s="57"/>
    </row>
    <row r="13" spans="1:9" ht="17" thickBot="1" x14ac:dyDescent="0.4">
      <c r="A13" s="172"/>
      <c r="B13" s="23" t="s">
        <v>105</v>
      </c>
      <c r="C13" s="24"/>
      <c r="D13" s="25"/>
      <c r="E13" s="58" t="s">
        <v>63</v>
      </c>
    </row>
    <row r="15" spans="1:9" ht="12.75" customHeight="1" x14ac:dyDescent="0.25">
      <c r="B15" s="188" t="s">
        <v>36</v>
      </c>
      <c r="C15" s="188" t="s">
        <v>37</v>
      </c>
      <c r="D15" s="189" t="s">
        <v>135</v>
      </c>
      <c r="E15" s="188" t="s">
        <v>38</v>
      </c>
      <c r="F15" s="188" t="s">
        <v>39</v>
      </c>
      <c r="G15" s="189" t="s">
        <v>136</v>
      </c>
      <c r="H15" s="201" t="s">
        <v>40</v>
      </c>
    </row>
    <row r="16" spans="1:9" ht="35.25" customHeight="1" x14ac:dyDescent="0.25">
      <c r="A16" s="26"/>
      <c r="B16" s="188"/>
      <c r="C16" s="188"/>
      <c r="D16" s="189"/>
      <c r="E16" s="188"/>
      <c r="F16" s="188"/>
      <c r="G16" s="189"/>
      <c r="H16" s="201"/>
    </row>
    <row r="17" spans="1:8" ht="15.5" customHeight="1" x14ac:dyDescent="0.35">
      <c r="A17">
        <v>31</v>
      </c>
      <c r="B17" s="174">
        <v>47119</v>
      </c>
      <c r="C17" s="175">
        <f>+'Cantidades P6_(2029-2040)'!AD14</f>
        <v>9820800</v>
      </c>
      <c r="D17" s="175">
        <f>+C17/A17/$A$12</f>
        <v>13200</v>
      </c>
      <c r="E17" s="199">
        <v>0</v>
      </c>
      <c r="F17" s="175">
        <f>+C17*$E$17</f>
        <v>0</v>
      </c>
      <c r="G17" s="175">
        <f>+F17/A17/$A$12</f>
        <v>0</v>
      </c>
      <c r="H17" s="200">
        <v>0</v>
      </c>
    </row>
    <row r="18" spans="1:8" ht="15.5" x14ac:dyDescent="0.35">
      <c r="A18">
        <v>28</v>
      </c>
      <c r="B18" s="174">
        <v>47150</v>
      </c>
      <c r="C18" s="175">
        <f>+'Cantidades P6_(2029-2040)'!AD15</f>
        <v>8870400</v>
      </c>
      <c r="D18" s="175">
        <f>+C18/A18/$A$12</f>
        <v>13200</v>
      </c>
      <c r="E18" s="199"/>
      <c r="F18" s="175">
        <f>+C18*$E$17</f>
        <v>0</v>
      </c>
      <c r="G18" s="175">
        <f>+F18/A18/$A$12</f>
        <v>0</v>
      </c>
      <c r="H18" s="200"/>
    </row>
    <row r="19" spans="1:8" ht="15.5" x14ac:dyDescent="0.35">
      <c r="A19">
        <v>31</v>
      </c>
      <c r="B19" s="174">
        <v>47178</v>
      </c>
      <c r="C19" s="175">
        <f>+'Cantidades P6_(2029-2040)'!AD16</f>
        <v>9820800</v>
      </c>
      <c r="D19" s="175">
        <f t="shared" ref="D19:D40" si="0">+C19/A19/$A$12</f>
        <v>13200</v>
      </c>
      <c r="E19" s="199"/>
      <c r="F19" s="175">
        <f t="shared" ref="F19:F40" si="1">+C19*$E$17</f>
        <v>0</v>
      </c>
      <c r="G19" s="175">
        <f t="shared" ref="G19:G40" si="2">+F19/A19/$A$12</f>
        <v>0</v>
      </c>
      <c r="H19" s="200"/>
    </row>
    <row r="20" spans="1:8" ht="15.5" x14ac:dyDescent="0.35">
      <c r="A20">
        <v>30</v>
      </c>
      <c r="B20" s="174">
        <v>47209</v>
      </c>
      <c r="C20" s="175">
        <f>+'Cantidades P6_(2029-2040)'!AD17</f>
        <v>9504000</v>
      </c>
      <c r="D20" s="175">
        <f t="shared" si="0"/>
        <v>13200</v>
      </c>
      <c r="E20" s="199"/>
      <c r="F20" s="175">
        <f>+C20*$E$17</f>
        <v>0</v>
      </c>
      <c r="G20" s="175">
        <f t="shared" si="2"/>
        <v>0</v>
      </c>
      <c r="H20" s="200"/>
    </row>
    <row r="21" spans="1:8" ht="15.5" x14ac:dyDescent="0.35">
      <c r="A21">
        <v>31</v>
      </c>
      <c r="B21" s="174">
        <v>47239</v>
      </c>
      <c r="C21" s="175">
        <f>+'Cantidades P6_(2029-2040)'!AD18</f>
        <v>9820800</v>
      </c>
      <c r="D21" s="175">
        <f t="shared" si="0"/>
        <v>13200</v>
      </c>
      <c r="E21" s="199"/>
      <c r="F21" s="175">
        <f t="shared" si="1"/>
        <v>0</v>
      </c>
      <c r="G21" s="175">
        <f>+F21/A21/$A$12</f>
        <v>0</v>
      </c>
      <c r="H21" s="200"/>
    </row>
    <row r="22" spans="1:8" ht="15.5" x14ac:dyDescent="0.35">
      <c r="A22">
        <v>30</v>
      </c>
      <c r="B22" s="174">
        <v>47270</v>
      </c>
      <c r="C22" s="175">
        <f>+'Cantidades P6_(2029-2040)'!AD19</f>
        <v>9504000</v>
      </c>
      <c r="D22" s="175">
        <f t="shared" si="0"/>
        <v>13200</v>
      </c>
      <c r="E22" s="199"/>
      <c r="F22" s="175">
        <f t="shared" si="1"/>
        <v>0</v>
      </c>
      <c r="G22" s="175">
        <f t="shared" si="2"/>
        <v>0</v>
      </c>
      <c r="H22" s="200"/>
    </row>
    <row r="23" spans="1:8" ht="15.5" x14ac:dyDescent="0.35">
      <c r="A23">
        <v>31</v>
      </c>
      <c r="B23" s="174">
        <v>47300</v>
      </c>
      <c r="C23" s="175">
        <f>+'Cantidades P6_(2029-2040)'!AD20</f>
        <v>9820800</v>
      </c>
      <c r="D23" s="175">
        <f t="shared" si="0"/>
        <v>13200</v>
      </c>
      <c r="E23" s="199"/>
      <c r="F23" s="175">
        <f t="shared" si="1"/>
        <v>0</v>
      </c>
      <c r="G23" s="175">
        <f t="shared" si="2"/>
        <v>0</v>
      </c>
      <c r="H23" s="200"/>
    </row>
    <row r="24" spans="1:8" ht="15.5" x14ac:dyDescent="0.35">
      <c r="A24">
        <v>31</v>
      </c>
      <c r="B24" s="174">
        <v>47331</v>
      </c>
      <c r="C24" s="175">
        <f>+'Cantidades P6_(2029-2040)'!AD21</f>
        <v>9820800</v>
      </c>
      <c r="D24" s="175">
        <f t="shared" si="0"/>
        <v>13200</v>
      </c>
      <c r="E24" s="199"/>
      <c r="F24" s="175">
        <f t="shared" si="1"/>
        <v>0</v>
      </c>
      <c r="G24" s="175">
        <f t="shared" si="2"/>
        <v>0</v>
      </c>
      <c r="H24" s="200"/>
    </row>
    <row r="25" spans="1:8" ht="15.5" x14ac:dyDescent="0.35">
      <c r="A25">
        <v>30</v>
      </c>
      <c r="B25" s="174">
        <v>47362</v>
      </c>
      <c r="C25" s="175">
        <f>+'Cantidades P6_(2029-2040)'!AD22</f>
        <v>9504000</v>
      </c>
      <c r="D25" s="175">
        <f t="shared" si="0"/>
        <v>13200</v>
      </c>
      <c r="E25" s="199"/>
      <c r="F25" s="175">
        <f t="shared" si="1"/>
        <v>0</v>
      </c>
      <c r="G25" s="175">
        <f t="shared" si="2"/>
        <v>0</v>
      </c>
      <c r="H25" s="200"/>
    </row>
    <row r="26" spans="1:8" ht="15.5" x14ac:dyDescent="0.35">
      <c r="A26">
        <v>31</v>
      </c>
      <c r="B26" s="174">
        <v>47392</v>
      </c>
      <c r="C26" s="175">
        <f>+'Cantidades P6_(2029-2040)'!AD23</f>
        <v>9820800</v>
      </c>
      <c r="D26" s="175">
        <f t="shared" si="0"/>
        <v>13200</v>
      </c>
      <c r="E26" s="199"/>
      <c r="F26" s="175">
        <f t="shared" si="1"/>
        <v>0</v>
      </c>
      <c r="G26" s="175">
        <f t="shared" si="2"/>
        <v>0</v>
      </c>
      <c r="H26" s="200"/>
    </row>
    <row r="27" spans="1:8" ht="15.5" x14ac:dyDescent="0.35">
      <c r="A27">
        <v>30</v>
      </c>
      <c r="B27" s="174">
        <v>47423</v>
      </c>
      <c r="C27" s="175">
        <f>+'Cantidades P6_(2029-2040)'!AD24</f>
        <v>9504000</v>
      </c>
      <c r="D27" s="175">
        <f t="shared" si="0"/>
        <v>13200</v>
      </c>
      <c r="E27" s="199"/>
      <c r="F27" s="175">
        <f t="shared" si="1"/>
        <v>0</v>
      </c>
      <c r="G27" s="175">
        <f t="shared" si="2"/>
        <v>0</v>
      </c>
      <c r="H27" s="200"/>
    </row>
    <row r="28" spans="1:8" ht="15.5" x14ac:dyDescent="0.35">
      <c r="A28">
        <v>31</v>
      </c>
      <c r="B28" s="174">
        <v>47453</v>
      </c>
      <c r="C28" s="175">
        <f>+'Cantidades P6_(2029-2040)'!AD25</f>
        <v>9820800</v>
      </c>
      <c r="D28" s="175">
        <f t="shared" si="0"/>
        <v>13200</v>
      </c>
      <c r="E28" s="199"/>
      <c r="F28" s="175">
        <f t="shared" si="1"/>
        <v>0</v>
      </c>
      <c r="G28" s="175">
        <f t="shared" si="2"/>
        <v>0</v>
      </c>
      <c r="H28" s="200"/>
    </row>
    <row r="29" spans="1:8" ht="15.5" x14ac:dyDescent="0.35">
      <c r="A29">
        <v>31</v>
      </c>
      <c r="B29" s="174">
        <v>47484</v>
      </c>
      <c r="C29" s="175">
        <f>+'Cantidades P6_(2029-2040)'!AD64</f>
        <v>9820800</v>
      </c>
      <c r="D29" s="175">
        <f t="shared" si="0"/>
        <v>13200</v>
      </c>
      <c r="E29" s="199"/>
      <c r="F29" s="175">
        <f t="shared" si="1"/>
        <v>0</v>
      </c>
      <c r="G29" s="175">
        <f t="shared" si="2"/>
        <v>0</v>
      </c>
      <c r="H29" s="200">
        <v>0</v>
      </c>
    </row>
    <row r="30" spans="1:8" ht="15.5" x14ac:dyDescent="0.35">
      <c r="A30">
        <v>28</v>
      </c>
      <c r="B30" s="174">
        <v>47515</v>
      </c>
      <c r="C30" s="175">
        <f>+'Cantidades P6_(2029-2040)'!AD65</f>
        <v>8870400</v>
      </c>
      <c r="D30" s="175">
        <f t="shared" si="0"/>
        <v>13200</v>
      </c>
      <c r="E30" s="199"/>
      <c r="F30" s="175">
        <f t="shared" si="1"/>
        <v>0</v>
      </c>
      <c r="G30" s="175">
        <f t="shared" si="2"/>
        <v>0</v>
      </c>
      <c r="H30" s="200"/>
    </row>
    <row r="31" spans="1:8" ht="15.5" x14ac:dyDescent="0.35">
      <c r="A31">
        <v>31</v>
      </c>
      <c r="B31" s="174">
        <v>47543</v>
      </c>
      <c r="C31" s="175">
        <f>+'Cantidades P6_(2029-2040)'!AD66</f>
        <v>9820800</v>
      </c>
      <c r="D31" s="175">
        <f t="shared" si="0"/>
        <v>13200</v>
      </c>
      <c r="E31" s="199"/>
      <c r="F31" s="175">
        <f t="shared" si="1"/>
        <v>0</v>
      </c>
      <c r="G31" s="175">
        <f t="shared" si="2"/>
        <v>0</v>
      </c>
      <c r="H31" s="200"/>
    </row>
    <row r="32" spans="1:8" ht="15.5" x14ac:dyDescent="0.35">
      <c r="A32">
        <v>30</v>
      </c>
      <c r="B32" s="174">
        <v>47574</v>
      </c>
      <c r="C32" s="175">
        <f>+'Cantidades P6_(2029-2040)'!AD67</f>
        <v>9504000</v>
      </c>
      <c r="D32" s="175">
        <f t="shared" si="0"/>
        <v>13200</v>
      </c>
      <c r="E32" s="199"/>
      <c r="F32" s="175">
        <f t="shared" si="1"/>
        <v>0</v>
      </c>
      <c r="G32" s="175">
        <f t="shared" si="2"/>
        <v>0</v>
      </c>
      <c r="H32" s="200"/>
    </row>
    <row r="33" spans="1:9" ht="15.5" x14ac:dyDescent="0.35">
      <c r="A33">
        <v>31</v>
      </c>
      <c r="B33" s="174">
        <v>47604</v>
      </c>
      <c r="C33" s="175">
        <f>+'Cantidades P6_(2029-2040)'!AD68</f>
        <v>9820800</v>
      </c>
      <c r="D33" s="175">
        <f t="shared" si="0"/>
        <v>13200</v>
      </c>
      <c r="E33" s="199"/>
      <c r="F33" s="175">
        <f t="shared" si="1"/>
        <v>0</v>
      </c>
      <c r="G33" s="175">
        <f t="shared" si="2"/>
        <v>0</v>
      </c>
      <c r="H33" s="200"/>
    </row>
    <row r="34" spans="1:9" ht="15.5" x14ac:dyDescent="0.35">
      <c r="A34">
        <v>30</v>
      </c>
      <c r="B34" s="174">
        <v>47635</v>
      </c>
      <c r="C34" s="175">
        <f>+'Cantidades P6_(2029-2040)'!AD69</f>
        <v>9504000</v>
      </c>
      <c r="D34" s="175">
        <f t="shared" si="0"/>
        <v>13200</v>
      </c>
      <c r="E34" s="199"/>
      <c r="F34" s="175">
        <f t="shared" si="1"/>
        <v>0</v>
      </c>
      <c r="G34" s="175">
        <f t="shared" si="2"/>
        <v>0</v>
      </c>
      <c r="H34" s="200"/>
    </row>
    <row r="35" spans="1:9" ht="15.5" x14ac:dyDescent="0.35">
      <c r="A35">
        <v>31</v>
      </c>
      <c r="B35" s="174">
        <v>47665</v>
      </c>
      <c r="C35" s="175">
        <f>+'Cantidades P6_(2029-2040)'!AD70</f>
        <v>9820800</v>
      </c>
      <c r="D35" s="175">
        <f t="shared" si="0"/>
        <v>13200</v>
      </c>
      <c r="E35" s="199"/>
      <c r="F35" s="175">
        <f t="shared" si="1"/>
        <v>0</v>
      </c>
      <c r="G35" s="175">
        <f t="shared" si="2"/>
        <v>0</v>
      </c>
      <c r="H35" s="200"/>
    </row>
    <row r="36" spans="1:9" ht="15.5" x14ac:dyDescent="0.35">
      <c r="A36">
        <v>31</v>
      </c>
      <c r="B36" s="174">
        <v>47696</v>
      </c>
      <c r="C36" s="175">
        <f>+'Cantidades P6_(2029-2040)'!AD71</f>
        <v>9820800</v>
      </c>
      <c r="D36" s="175">
        <f t="shared" si="0"/>
        <v>13200</v>
      </c>
      <c r="E36" s="199"/>
      <c r="F36" s="175">
        <f t="shared" si="1"/>
        <v>0</v>
      </c>
      <c r="G36" s="175">
        <f t="shared" si="2"/>
        <v>0</v>
      </c>
      <c r="H36" s="200"/>
    </row>
    <row r="37" spans="1:9" ht="15.5" x14ac:dyDescent="0.35">
      <c r="A37">
        <v>30</v>
      </c>
      <c r="B37" s="174">
        <v>47727</v>
      </c>
      <c r="C37" s="175">
        <f>+'Cantidades P6_(2029-2040)'!AD72</f>
        <v>9504000</v>
      </c>
      <c r="D37" s="175">
        <f t="shared" si="0"/>
        <v>13200</v>
      </c>
      <c r="E37" s="199"/>
      <c r="F37" s="175">
        <f t="shared" si="1"/>
        <v>0</v>
      </c>
      <c r="G37" s="175">
        <f t="shared" si="2"/>
        <v>0</v>
      </c>
      <c r="H37" s="200"/>
    </row>
    <row r="38" spans="1:9" ht="15.5" x14ac:dyDescent="0.35">
      <c r="A38">
        <v>31</v>
      </c>
      <c r="B38" s="174">
        <v>47757</v>
      </c>
      <c r="C38" s="175">
        <f>+'Cantidades P6_(2029-2040)'!AD73</f>
        <v>9820800</v>
      </c>
      <c r="D38" s="175">
        <f t="shared" si="0"/>
        <v>13200</v>
      </c>
      <c r="E38" s="199"/>
      <c r="F38" s="175">
        <f t="shared" si="1"/>
        <v>0</v>
      </c>
      <c r="G38" s="175">
        <f t="shared" si="2"/>
        <v>0</v>
      </c>
      <c r="H38" s="200"/>
    </row>
    <row r="39" spans="1:9" ht="15.5" x14ac:dyDescent="0.35">
      <c r="A39">
        <v>30</v>
      </c>
      <c r="B39" s="174">
        <v>47788</v>
      </c>
      <c r="C39" s="175">
        <f>+'Cantidades P6_(2029-2040)'!AD74</f>
        <v>9504000</v>
      </c>
      <c r="D39" s="175">
        <f t="shared" si="0"/>
        <v>13200</v>
      </c>
      <c r="E39" s="199"/>
      <c r="F39" s="175">
        <f t="shared" si="1"/>
        <v>0</v>
      </c>
      <c r="G39" s="175">
        <f t="shared" si="2"/>
        <v>0</v>
      </c>
      <c r="H39" s="200"/>
    </row>
    <row r="40" spans="1:9" ht="15.5" x14ac:dyDescent="0.35">
      <c r="A40">
        <v>31</v>
      </c>
      <c r="B40" s="174">
        <v>47818</v>
      </c>
      <c r="C40" s="175">
        <f>+'Cantidades P6_(2029-2040)'!AD75</f>
        <v>9820800</v>
      </c>
      <c r="D40" s="175">
        <f t="shared" si="0"/>
        <v>13200</v>
      </c>
      <c r="E40" s="199"/>
      <c r="F40" s="175">
        <f t="shared" si="1"/>
        <v>0</v>
      </c>
      <c r="G40" s="175">
        <f t="shared" si="2"/>
        <v>0</v>
      </c>
      <c r="H40" s="200"/>
    </row>
    <row r="41" spans="1:9" ht="15.5" x14ac:dyDescent="0.35">
      <c r="A41" s="71">
        <f>SUM(A17:A28)</f>
        <v>365</v>
      </c>
      <c r="B41" s="76" t="s">
        <v>41</v>
      </c>
      <c r="C41" s="27">
        <f>SUM(C17:C40)</f>
        <v>231264000</v>
      </c>
      <c r="D41" s="77"/>
      <c r="E41" s="50">
        <f>+E17</f>
        <v>0</v>
      </c>
      <c r="F41" s="183">
        <f>SUM(F17:F40)</f>
        <v>0</v>
      </c>
      <c r="G41" s="77"/>
      <c r="H41" s="51"/>
    </row>
    <row r="42" spans="1:9" ht="14" x14ac:dyDescent="0.3">
      <c r="A42" s="78"/>
      <c r="B42" s="79"/>
      <c r="C42" s="160"/>
      <c r="D42" s="81"/>
      <c r="E42" s="80"/>
      <c r="F42" s="82"/>
      <c r="G42" s="32"/>
    </row>
    <row r="43" spans="1:9" ht="14" x14ac:dyDescent="0.3">
      <c r="B43" s="28"/>
      <c r="C43" s="29"/>
      <c r="D43" s="30"/>
      <c r="E43" s="31"/>
      <c r="F43" s="31"/>
      <c r="G43" s="31"/>
      <c r="H43" s="32"/>
    </row>
    <row r="44" spans="1:9" ht="13" x14ac:dyDescent="0.3">
      <c r="B44" s="42" t="s">
        <v>47</v>
      </c>
      <c r="C44" s="33"/>
      <c r="D44" s="34"/>
      <c r="E44" s="33"/>
      <c r="F44" s="33"/>
      <c r="G44" s="33"/>
      <c r="H44" s="33"/>
      <c r="I44" s="33"/>
    </row>
    <row r="45" spans="1:9" ht="12.75" customHeight="1" x14ac:dyDescent="0.25">
      <c r="B45" s="196" t="s">
        <v>156</v>
      </c>
      <c r="C45" s="196"/>
      <c r="D45" s="196"/>
      <c r="E45" s="196"/>
      <c r="F45" s="196"/>
      <c r="G45" s="196"/>
      <c r="H45" s="196"/>
      <c r="I45" s="33"/>
    </row>
    <row r="46" spans="1:9" x14ac:dyDescent="0.25">
      <c r="B46" s="196"/>
      <c r="C46" s="196"/>
      <c r="D46" s="196"/>
      <c r="E46" s="196"/>
      <c r="F46" s="196"/>
      <c r="G46" s="196"/>
      <c r="H46" s="196"/>
      <c r="I46" s="33"/>
    </row>
    <row r="47" spans="1:9" ht="12.75" customHeight="1" x14ac:dyDescent="0.35">
      <c r="B47" s="33" t="s">
        <v>42</v>
      </c>
      <c r="C47" s="33"/>
      <c r="D47" s="34"/>
      <c r="E47" s="33"/>
      <c r="F47" s="33"/>
      <c r="G47" s="33"/>
      <c r="H47" s="83"/>
      <c r="I47" s="33"/>
    </row>
    <row r="48" spans="1:9" ht="14.5" x14ac:dyDescent="0.35">
      <c r="B48" s="33" t="s">
        <v>129</v>
      </c>
      <c r="C48" s="33"/>
      <c r="D48" s="34"/>
      <c r="E48" s="33"/>
      <c r="F48" s="33"/>
      <c r="G48" s="33"/>
      <c r="H48" s="83"/>
      <c r="I48" s="33"/>
    </row>
    <row r="49" spans="2:8" ht="14.5" x14ac:dyDescent="0.35">
      <c r="B49" s="21" t="s">
        <v>130</v>
      </c>
      <c r="H49" s="83"/>
    </row>
    <row r="50" spans="2:8" s="36" customFormat="1" ht="20" customHeight="1" x14ac:dyDescent="0.25">
      <c r="B50" s="197" t="s">
        <v>139</v>
      </c>
      <c r="C50" s="197"/>
      <c r="D50" s="197"/>
      <c r="E50" s="197"/>
      <c r="F50" s="197"/>
      <c r="G50" s="197"/>
      <c r="H50" s="197"/>
    </row>
    <row r="51" spans="2:8" s="36" customFormat="1" ht="26.25" customHeight="1" x14ac:dyDescent="0.25">
      <c r="B51" s="198" t="s">
        <v>103</v>
      </c>
      <c r="C51" s="198"/>
      <c r="D51" s="198"/>
      <c r="E51" s="198"/>
      <c r="F51" s="198"/>
      <c r="G51" s="84"/>
      <c r="H51" s="84"/>
    </row>
    <row r="52" spans="2:8" s="36" customFormat="1" ht="13.5" customHeight="1" x14ac:dyDescent="0.25">
      <c r="B52" s="198" t="s">
        <v>54</v>
      </c>
      <c r="C52" s="198"/>
      <c r="D52" s="198"/>
      <c r="E52" s="198"/>
      <c r="F52" s="198"/>
      <c r="G52" s="84"/>
      <c r="H52" s="84"/>
    </row>
    <row r="53" spans="2:8" s="36" customFormat="1" ht="13.5" customHeight="1" x14ac:dyDescent="0.25">
      <c r="B53" s="43" t="s">
        <v>131</v>
      </c>
      <c r="C53" s="84"/>
      <c r="D53" s="84"/>
      <c r="E53" s="84"/>
      <c r="F53" s="84"/>
      <c r="G53" s="84"/>
      <c r="H53" s="84"/>
    </row>
    <row r="54" spans="2:8" s="36" customFormat="1" ht="13.5" customHeight="1" x14ac:dyDescent="0.25">
      <c r="B54" s="43" t="s">
        <v>132</v>
      </c>
      <c r="C54" s="84"/>
      <c r="D54" s="84"/>
      <c r="E54" s="84"/>
      <c r="F54" s="84"/>
      <c r="G54" s="84"/>
      <c r="H54" s="84"/>
    </row>
    <row r="55" spans="2:8" s="36" customFormat="1" ht="13.5" customHeight="1" x14ac:dyDescent="0.25">
      <c r="B55" s="190" t="s">
        <v>123</v>
      </c>
      <c r="C55" s="191"/>
      <c r="D55" s="191"/>
      <c r="E55" s="191"/>
      <c r="F55" s="192"/>
      <c r="G55" s="173"/>
      <c r="H55" s="86"/>
    </row>
    <row r="56" spans="2:8" s="36" customFormat="1" ht="42.75" customHeight="1" x14ac:dyDescent="0.25">
      <c r="B56" s="193"/>
      <c r="C56" s="194"/>
      <c r="D56" s="194"/>
      <c r="E56" s="194"/>
      <c r="F56" s="195"/>
      <c r="G56" s="173"/>
      <c r="H56" s="86"/>
    </row>
    <row r="57" spans="2:8" ht="20.25" customHeight="1" x14ac:dyDescent="0.25">
      <c r="B57" s="44"/>
      <c r="C57" s="44"/>
      <c r="D57" s="44"/>
      <c r="E57" s="44"/>
      <c r="F57" s="44"/>
      <c r="G57" s="44"/>
      <c r="H57" s="44"/>
    </row>
    <row r="58" spans="2:8" ht="20.25" customHeight="1" x14ac:dyDescent="0.25">
      <c r="B58" s="37"/>
      <c r="C58" s="37"/>
      <c r="D58" s="37"/>
      <c r="E58" s="37"/>
      <c r="F58" s="37"/>
      <c r="G58" s="37"/>
      <c r="H58" s="37"/>
    </row>
    <row r="59" spans="2:8" ht="20.25" customHeight="1" x14ac:dyDescent="0.25">
      <c r="B59" s="37"/>
      <c r="C59" s="37"/>
      <c r="D59" s="37"/>
      <c r="E59" s="37"/>
      <c r="F59" s="37"/>
      <c r="G59" s="37"/>
      <c r="H59" s="37"/>
    </row>
    <row r="60" spans="2:8" ht="7.5" customHeight="1" x14ac:dyDescent="0.25"/>
    <row r="61" spans="2:8" ht="17.25" customHeight="1" x14ac:dyDescent="0.4">
      <c r="B61" s="38" t="s">
        <v>43</v>
      </c>
      <c r="C61" s="39"/>
      <c r="F61" s="40"/>
      <c r="G61" s="40"/>
    </row>
  </sheetData>
  <sheetProtection selectLockedCells="1"/>
  <mergeCells count="19">
    <mergeCell ref="B50:H50"/>
    <mergeCell ref="B51:F51"/>
    <mergeCell ref="B52:F52"/>
    <mergeCell ref="B55:F56"/>
    <mergeCell ref="H15:H16"/>
    <mergeCell ref="E17:E40"/>
    <mergeCell ref="H17:H28"/>
    <mergeCell ref="H29:H40"/>
    <mergeCell ref="B45:H46"/>
    <mergeCell ref="B6:H7"/>
    <mergeCell ref="C9:D9"/>
    <mergeCell ref="C11:D11"/>
    <mergeCell ref="C12:D12"/>
    <mergeCell ref="B15:B16"/>
    <mergeCell ref="C15:C16"/>
    <mergeCell ref="D15:D16"/>
    <mergeCell ref="E15:E16"/>
    <mergeCell ref="F15:F16"/>
    <mergeCell ref="G15:G16"/>
  </mergeCells>
  <printOptions horizontalCentered="1" verticalCentered="1"/>
  <pageMargins left="0.75" right="0.27559055118110237" top="1" bottom="1" header="0" footer="0"/>
  <pageSetup scale="56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975184-D45D-4F56-B53A-3C044DE7A99B}">
          <x14:formula1>
            <xm:f>'Listas desplegables'!$B$8</xm:f>
          </x14:formula1>
          <xm:sqref>C11:D11</xm:sqref>
        </x14:dataValidation>
        <x14:dataValidation type="list" allowBlank="1" showInputMessage="1" showErrorMessage="1" xr:uid="{3F85B352-9CB5-4A7A-85F1-9DDF8547E4BF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EF3-3DAB-457D-BB73-95F4EDC000EC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4" t="s">
        <v>2</v>
      </c>
      <c r="C2" s="64" t="s">
        <v>66</v>
      </c>
      <c r="D2" s="64" t="s">
        <v>80</v>
      </c>
      <c r="E2" s="64" t="s">
        <v>82</v>
      </c>
      <c r="F2" s="64" t="s">
        <v>84</v>
      </c>
      <c r="G2" s="64" t="s">
        <v>86</v>
      </c>
      <c r="H2" s="64" t="s">
        <v>88</v>
      </c>
      <c r="I2" s="64" t="s">
        <v>90</v>
      </c>
      <c r="J2" s="64" t="s">
        <v>92</v>
      </c>
      <c r="K2" s="64" t="s">
        <v>94</v>
      </c>
      <c r="L2" s="64" t="s">
        <v>98</v>
      </c>
      <c r="M2" s="64" t="s">
        <v>97</v>
      </c>
    </row>
    <row r="3" spans="2:13" ht="38" customHeight="1" x14ac:dyDescent="0.35">
      <c r="B3" s="60" t="s">
        <v>57</v>
      </c>
      <c r="C3" s="65" t="s">
        <v>79</v>
      </c>
      <c r="D3" s="65" t="s">
        <v>81</v>
      </c>
      <c r="E3" s="65" t="s">
        <v>83</v>
      </c>
      <c r="F3" s="65" t="s">
        <v>85</v>
      </c>
      <c r="G3" s="65" t="s">
        <v>87</v>
      </c>
      <c r="H3" s="65" t="s">
        <v>89</v>
      </c>
      <c r="I3" s="65" t="s">
        <v>91</v>
      </c>
      <c r="J3" s="65" t="s">
        <v>93</v>
      </c>
      <c r="K3" s="65" t="s">
        <v>95</v>
      </c>
      <c r="L3" s="65" t="s">
        <v>96</v>
      </c>
      <c r="M3" s="61"/>
    </row>
    <row r="4" spans="2:13" x14ac:dyDescent="0.35">
      <c r="B4" s="49" t="s">
        <v>67</v>
      </c>
      <c r="C4" s="62" t="e">
        <f>+#REF!</f>
        <v>#REF!</v>
      </c>
      <c r="D4" s="62" t="e">
        <f>+#REF!</f>
        <v>#REF!</v>
      </c>
      <c r="E4" s="62" t="e">
        <f>+#REF!</f>
        <v>#REF!</v>
      </c>
      <c r="F4" s="62" t="e">
        <f>+#REF!</f>
        <v>#REF!</v>
      </c>
      <c r="G4" s="62" t="e">
        <f>+#REF!</f>
        <v>#REF!</v>
      </c>
      <c r="H4" s="62" t="e">
        <f>+#REF!</f>
        <v>#REF!</v>
      </c>
      <c r="I4" s="62" t="e">
        <f>+#REF!</f>
        <v>#REF!</v>
      </c>
      <c r="J4" s="62" t="e">
        <f>+#REF!</f>
        <v>#REF!</v>
      </c>
      <c r="K4" s="62" t="e">
        <f>+#REF!</f>
        <v>#REF!</v>
      </c>
      <c r="L4" s="62" t="e">
        <f>+#REF!</f>
        <v>#REF!</v>
      </c>
      <c r="M4" s="62" t="e">
        <f>SUM(C4:L4)</f>
        <v>#REF!</v>
      </c>
    </row>
    <row r="5" spans="2:13" x14ac:dyDescent="0.35">
      <c r="B5" s="49" t="s">
        <v>68</v>
      </c>
      <c r="C5" s="62" t="e">
        <f>+#REF!</f>
        <v>#REF!</v>
      </c>
      <c r="D5" s="62" t="e">
        <f>+#REF!</f>
        <v>#REF!</v>
      </c>
      <c r="E5" s="62" t="e">
        <f>+#REF!</f>
        <v>#REF!</v>
      </c>
      <c r="F5" s="62" t="e">
        <f>+#REF!</f>
        <v>#REF!</v>
      </c>
      <c r="G5" s="62" t="e">
        <f>+#REF!</f>
        <v>#REF!</v>
      </c>
      <c r="H5" s="62" t="e">
        <f>+#REF!</f>
        <v>#REF!</v>
      </c>
      <c r="I5" s="62" t="e">
        <f>+#REF!</f>
        <v>#REF!</v>
      </c>
      <c r="J5" s="62" t="e">
        <f>+#REF!</f>
        <v>#REF!</v>
      </c>
      <c r="K5" s="62" t="e">
        <f>+#REF!</f>
        <v>#REF!</v>
      </c>
      <c r="L5" s="62" t="e">
        <f>+#REF!</f>
        <v>#REF!</v>
      </c>
      <c r="M5" s="62" t="e">
        <f t="shared" ref="M5:M15" si="0">SUM(C5:L5)</f>
        <v>#REF!</v>
      </c>
    </row>
    <row r="6" spans="2:13" x14ac:dyDescent="0.35">
      <c r="B6" s="49" t="s">
        <v>69</v>
      </c>
      <c r="C6" s="62" t="e">
        <f>+#REF!</f>
        <v>#REF!</v>
      </c>
      <c r="D6" s="62" t="e">
        <f>+#REF!</f>
        <v>#REF!</v>
      </c>
      <c r="E6" s="62" t="e">
        <f>+#REF!</f>
        <v>#REF!</v>
      </c>
      <c r="F6" s="62" t="e">
        <f>+#REF!</f>
        <v>#REF!</v>
      </c>
      <c r="G6" s="62" t="e">
        <f>+#REF!</f>
        <v>#REF!</v>
      </c>
      <c r="H6" s="62" t="e">
        <f>+#REF!</f>
        <v>#REF!</v>
      </c>
      <c r="I6" s="62" t="e">
        <f>+#REF!</f>
        <v>#REF!</v>
      </c>
      <c r="J6" s="62" t="e">
        <f>+#REF!</f>
        <v>#REF!</v>
      </c>
      <c r="K6" s="62" t="e">
        <f>+#REF!</f>
        <v>#REF!</v>
      </c>
      <c r="L6" s="62" t="e">
        <f>+#REF!</f>
        <v>#REF!</v>
      </c>
      <c r="M6" s="62" t="e">
        <f t="shared" si="0"/>
        <v>#REF!</v>
      </c>
    </row>
    <row r="7" spans="2:13" x14ac:dyDescent="0.35">
      <c r="B7" s="49" t="s">
        <v>70</v>
      </c>
      <c r="C7" s="62" t="e">
        <f>+#REF!</f>
        <v>#REF!</v>
      </c>
      <c r="D7" s="62" t="e">
        <f>+#REF!</f>
        <v>#REF!</v>
      </c>
      <c r="E7" s="62" t="e">
        <f>+#REF!</f>
        <v>#REF!</v>
      </c>
      <c r="F7" s="62" t="e">
        <f>+#REF!</f>
        <v>#REF!</v>
      </c>
      <c r="G7" s="62" t="e">
        <f>+#REF!</f>
        <v>#REF!</v>
      </c>
      <c r="H7" s="62" t="e">
        <f>+#REF!</f>
        <v>#REF!</v>
      </c>
      <c r="I7" s="62" t="e">
        <f>+#REF!</f>
        <v>#REF!</v>
      </c>
      <c r="J7" s="62" t="e">
        <f>+#REF!</f>
        <v>#REF!</v>
      </c>
      <c r="K7" s="62" t="e">
        <f>+#REF!</f>
        <v>#REF!</v>
      </c>
      <c r="L7" s="62" t="e">
        <f>+#REF!</f>
        <v>#REF!</v>
      </c>
      <c r="M7" s="62" t="e">
        <f t="shared" si="0"/>
        <v>#REF!</v>
      </c>
    </row>
    <row r="8" spans="2:13" x14ac:dyDescent="0.35">
      <c r="B8" s="49" t="s">
        <v>71</v>
      </c>
      <c r="C8" s="62" t="e">
        <f>+#REF!</f>
        <v>#REF!</v>
      </c>
      <c r="D8" s="62" t="e">
        <f>+#REF!</f>
        <v>#REF!</v>
      </c>
      <c r="E8" s="62" t="e">
        <f>+#REF!</f>
        <v>#REF!</v>
      </c>
      <c r="F8" s="62" t="e">
        <f>+#REF!</f>
        <v>#REF!</v>
      </c>
      <c r="G8" s="62" t="e">
        <f>+#REF!</f>
        <v>#REF!</v>
      </c>
      <c r="H8" s="62" t="e">
        <f>+#REF!</f>
        <v>#REF!</v>
      </c>
      <c r="I8" s="62" t="e">
        <f>+#REF!</f>
        <v>#REF!</v>
      </c>
      <c r="J8" s="62" t="e">
        <f>+#REF!</f>
        <v>#REF!</v>
      </c>
      <c r="K8" s="62" t="e">
        <f>+#REF!</f>
        <v>#REF!</v>
      </c>
      <c r="L8" s="62" t="e">
        <f>+#REF!</f>
        <v>#REF!</v>
      </c>
      <c r="M8" s="62" t="e">
        <f t="shared" si="0"/>
        <v>#REF!</v>
      </c>
    </row>
    <row r="9" spans="2:13" x14ac:dyDescent="0.35">
      <c r="B9" s="49" t="s">
        <v>72</v>
      </c>
      <c r="C9" s="62" t="e">
        <f>+#REF!</f>
        <v>#REF!</v>
      </c>
      <c r="D9" s="62" t="e">
        <f>+#REF!</f>
        <v>#REF!</v>
      </c>
      <c r="E9" s="62" t="e">
        <f>+#REF!</f>
        <v>#REF!</v>
      </c>
      <c r="F9" s="62" t="e">
        <f>+#REF!</f>
        <v>#REF!</v>
      </c>
      <c r="G9" s="62" t="e">
        <f>+#REF!</f>
        <v>#REF!</v>
      </c>
      <c r="H9" s="62" t="e">
        <f>+#REF!</f>
        <v>#REF!</v>
      </c>
      <c r="I9" s="62" t="e">
        <f>+#REF!</f>
        <v>#REF!</v>
      </c>
      <c r="J9" s="62" t="e">
        <f>+#REF!</f>
        <v>#REF!</v>
      </c>
      <c r="K9" s="62" t="e">
        <f>+#REF!</f>
        <v>#REF!</v>
      </c>
      <c r="L9" s="62" t="e">
        <f>+#REF!</f>
        <v>#REF!</v>
      </c>
      <c r="M9" s="62" t="e">
        <f t="shared" si="0"/>
        <v>#REF!</v>
      </c>
    </row>
    <row r="10" spans="2:13" x14ac:dyDescent="0.35">
      <c r="B10" s="49" t="s">
        <v>73</v>
      </c>
      <c r="C10" s="62" t="e">
        <f>+#REF!</f>
        <v>#REF!</v>
      </c>
      <c r="D10" s="62" t="e">
        <f>+#REF!</f>
        <v>#REF!</v>
      </c>
      <c r="E10" s="62" t="e">
        <f>+#REF!</f>
        <v>#REF!</v>
      </c>
      <c r="F10" s="62" t="e">
        <f>+#REF!</f>
        <v>#REF!</v>
      </c>
      <c r="G10" s="62" t="e">
        <f>+#REF!</f>
        <v>#REF!</v>
      </c>
      <c r="H10" s="62" t="e">
        <f>+#REF!</f>
        <v>#REF!</v>
      </c>
      <c r="I10" s="62" t="e">
        <f>+#REF!</f>
        <v>#REF!</v>
      </c>
      <c r="J10" s="62" t="e">
        <f>+#REF!</f>
        <v>#REF!</v>
      </c>
      <c r="K10" s="62" t="e">
        <f>+#REF!</f>
        <v>#REF!</v>
      </c>
      <c r="L10" s="62" t="e">
        <f>+#REF!</f>
        <v>#REF!</v>
      </c>
      <c r="M10" s="62" t="e">
        <f t="shared" si="0"/>
        <v>#REF!</v>
      </c>
    </row>
    <row r="11" spans="2:13" x14ac:dyDescent="0.35">
      <c r="B11" s="49" t="s">
        <v>74</v>
      </c>
      <c r="C11" s="62" t="e">
        <f>+#REF!</f>
        <v>#REF!</v>
      </c>
      <c r="D11" s="62" t="e">
        <f>+#REF!</f>
        <v>#REF!</v>
      </c>
      <c r="E11" s="62" t="e">
        <f>+#REF!</f>
        <v>#REF!</v>
      </c>
      <c r="F11" s="62" t="e">
        <f>+#REF!</f>
        <v>#REF!</v>
      </c>
      <c r="G11" s="62" t="e">
        <f>+#REF!</f>
        <v>#REF!</v>
      </c>
      <c r="H11" s="62" t="e">
        <f>+#REF!</f>
        <v>#REF!</v>
      </c>
      <c r="I11" s="62" t="e">
        <f>+#REF!</f>
        <v>#REF!</v>
      </c>
      <c r="J11" s="62" t="e">
        <f>+#REF!</f>
        <v>#REF!</v>
      </c>
      <c r="K11" s="62" t="e">
        <f>+#REF!</f>
        <v>#REF!</v>
      </c>
      <c r="L11" s="62" t="e">
        <f>+#REF!</f>
        <v>#REF!</v>
      </c>
      <c r="M11" s="62" t="e">
        <f t="shared" si="0"/>
        <v>#REF!</v>
      </c>
    </row>
    <row r="12" spans="2:13" x14ac:dyDescent="0.35">
      <c r="B12" s="49" t="s">
        <v>75</v>
      </c>
      <c r="C12" s="62" t="e">
        <f>+#REF!</f>
        <v>#REF!</v>
      </c>
      <c r="D12" s="62" t="e">
        <f>+#REF!</f>
        <v>#REF!</v>
      </c>
      <c r="E12" s="62" t="e">
        <f>+#REF!</f>
        <v>#REF!</v>
      </c>
      <c r="F12" s="62" t="e">
        <f>+#REF!</f>
        <v>#REF!</v>
      </c>
      <c r="G12" s="62" t="e">
        <f>+#REF!</f>
        <v>#REF!</v>
      </c>
      <c r="H12" s="62" t="e">
        <f>+#REF!</f>
        <v>#REF!</v>
      </c>
      <c r="I12" s="62" t="e">
        <f>+#REF!</f>
        <v>#REF!</v>
      </c>
      <c r="J12" s="62" t="e">
        <f>+#REF!</f>
        <v>#REF!</v>
      </c>
      <c r="K12" s="62" t="e">
        <f>+#REF!</f>
        <v>#REF!</v>
      </c>
      <c r="L12" s="62" t="e">
        <f>+#REF!</f>
        <v>#REF!</v>
      </c>
      <c r="M12" s="62" t="e">
        <f t="shared" si="0"/>
        <v>#REF!</v>
      </c>
    </row>
    <row r="13" spans="2:13" x14ac:dyDescent="0.35">
      <c r="B13" s="49" t="s">
        <v>76</v>
      </c>
      <c r="C13" s="62" t="e">
        <f>+#REF!</f>
        <v>#REF!</v>
      </c>
      <c r="D13" s="62" t="e">
        <f>+#REF!</f>
        <v>#REF!</v>
      </c>
      <c r="E13" s="62" t="e">
        <f>+#REF!</f>
        <v>#REF!</v>
      </c>
      <c r="F13" s="62" t="e">
        <f>+#REF!</f>
        <v>#REF!</v>
      </c>
      <c r="G13" s="62" t="e">
        <f>+#REF!</f>
        <v>#REF!</v>
      </c>
      <c r="H13" s="62" t="e">
        <f>+#REF!</f>
        <v>#REF!</v>
      </c>
      <c r="I13" s="62" t="e">
        <f>+#REF!</f>
        <v>#REF!</v>
      </c>
      <c r="J13" s="62" t="e">
        <f>+#REF!</f>
        <v>#REF!</v>
      </c>
      <c r="K13" s="62" t="e">
        <f>+#REF!</f>
        <v>#REF!</v>
      </c>
      <c r="L13" s="62" t="e">
        <f>+#REF!</f>
        <v>#REF!</v>
      </c>
      <c r="M13" s="62" t="e">
        <f t="shared" si="0"/>
        <v>#REF!</v>
      </c>
    </row>
    <row r="14" spans="2:13" x14ac:dyDescent="0.35">
      <c r="B14" s="49" t="s">
        <v>77</v>
      </c>
      <c r="C14" s="62" t="e">
        <f>+#REF!</f>
        <v>#REF!</v>
      </c>
      <c r="D14" s="62" t="e">
        <f>+#REF!</f>
        <v>#REF!</v>
      </c>
      <c r="E14" s="62" t="e">
        <f>+#REF!</f>
        <v>#REF!</v>
      </c>
      <c r="F14" s="62" t="e">
        <f>+#REF!</f>
        <v>#REF!</v>
      </c>
      <c r="G14" s="62" t="e">
        <f>+#REF!</f>
        <v>#REF!</v>
      </c>
      <c r="H14" s="62" t="e">
        <f>+#REF!</f>
        <v>#REF!</v>
      </c>
      <c r="I14" s="62" t="e">
        <f>+#REF!</f>
        <v>#REF!</v>
      </c>
      <c r="J14" s="62" t="e">
        <f>+#REF!</f>
        <v>#REF!</v>
      </c>
      <c r="K14" s="62" t="e">
        <f>+#REF!</f>
        <v>#REF!</v>
      </c>
      <c r="L14" s="62" t="e">
        <f>+#REF!</f>
        <v>#REF!</v>
      </c>
      <c r="M14" s="62" t="e">
        <f t="shared" si="0"/>
        <v>#REF!</v>
      </c>
    </row>
    <row r="15" spans="2:13" x14ac:dyDescent="0.35">
      <c r="B15" s="49" t="s">
        <v>78</v>
      </c>
      <c r="C15" s="62" t="e">
        <f>+#REF!</f>
        <v>#REF!</v>
      </c>
      <c r="D15" s="62" t="e">
        <f>+#REF!</f>
        <v>#REF!</v>
      </c>
      <c r="E15" s="62" t="e">
        <f>+#REF!</f>
        <v>#REF!</v>
      </c>
      <c r="F15" s="62" t="e">
        <f>+#REF!</f>
        <v>#REF!</v>
      </c>
      <c r="G15" s="62" t="e">
        <f>+#REF!</f>
        <v>#REF!</v>
      </c>
      <c r="H15" s="62" t="e">
        <f>+#REF!</f>
        <v>#REF!</v>
      </c>
      <c r="I15" s="62" t="e">
        <f>+#REF!</f>
        <v>#REF!</v>
      </c>
      <c r="J15" s="62" t="e">
        <f>+#REF!</f>
        <v>#REF!</v>
      </c>
      <c r="K15" s="62" t="e">
        <f>+#REF!</f>
        <v>#REF!</v>
      </c>
      <c r="L15" s="62" t="e">
        <f>+#REF!</f>
        <v>#REF!</v>
      </c>
      <c r="M15" s="62" t="e">
        <f t="shared" si="0"/>
        <v>#REF!</v>
      </c>
    </row>
    <row r="16" spans="2:13" x14ac:dyDescent="0.35">
      <c r="B16" s="49" t="s">
        <v>41</v>
      </c>
      <c r="C16" s="63" t="e">
        <f t="shared" ref="C16:M16" si="1">SUM(C4:C15)</f>
        <v>#REF!</v>
      </c>
      <c r="D16" s="63" t="e">
        <f t="shared" si="1"/>
        <v>#REF!</v>
      </c>
      <c r="E16" s="63" t="e">
        <f t="shared" si="1"/>
        <v>#REF!</v>
      </c>
      <c r="F16" s="63" t="e">
        <f t="shared" si="1"/>
        <v>#REF!</v>
      </c>
      <c r="G16" s="63" t="e">
        <f t="shared" si="1"/>
        <v>#REF!</v>
      </c>
      <c r="H16" s="63" t="e">
        <f t="shared" si="1"/>
        <v>#REF!</v>
      </c>
      <c r="I16" s="63" t="e">
        <f t="shared" si="1"/>
        <v>#REF!</v>
      </c>
      <c r="J16" s="63" t="e">
        <f t="shared" si="1"/>
        <v>#REF!</v>
      </c>
      <c r="K16" s="63" t="e">
        <f t="shared" si="1"/>
        <v>#REF!</v>
      </c>
      <c r="L16" s="63" t="e">
        <f t="shared" si="1"/>
        <v>#REF!</v>
      </c>
      <c r="M16" s="63" t="e">
        <f t="shared" si="1"/>
        <v>#REF!</v>
      </c>
    </row>
    <row r="17" spans="13:13" x14ac:dyDescent="0.35">
      <c r="M17" s="59" t="e">
        <f>+M16-#REF!</f>
        <v>#REF!</v>
      </c>
    </row>
  </sheetData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417-E63B-412C-9705-C823278FAC15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4" t="s">
        <v>2</v>
      </c>
      <c r="C2" s="64" t="s">
        <v>80</v>
      </c>
      <c r="D2" s="64" t="s">
        <v>82</v>
      </c>
      <c r="E2" s="64" t="s">
        <v>84</v>
      </c>
      <c r="F2" s="64" t="s">
        <v>86</v>
      </c>
      <c r="G2" s="64" t="s">
        <v>88</v>
      </c>
      <c r="H2" s="64" t="s">
        <v>90</v>
      </c>
      <c r="I2" s="64" t="s">
        <v>92</v>
      </c>
      <c r="J2" s="64" t="s">
        <v>94</v>
      </c>
      <c r="K2" s="64" t="s">
        <v>98</v>
      </c>
      <c r="L2" s="64" t="s">
        <v>100</v>
      </c>
      <c r="M2" s="64" t="s">
        <v>101</v>
      </c>
    </row>
    <row r="3" spans="2:13" ht="38" customHeight="1" x14ac:dyDescent="0.35">
      <c r="B3" s="60" t="s">
        <v>57</v>
      </c>
      <c r="C3" s="65" t="s">
        <v>81</v>
      </c>
      <c r="D3" s="65" t="s">
        <v>83</v>
      </c>
      <c r="E3" s="65" t="s">
        <v>85</v>
      </c>
      <c r="F3" s="65" t="s">
        <v>87</v>
      </c>
      <c r="G3" s="65" t="s">
        <v>89</v>
      </c>
      <c r="H3" s="65" t="s">
        <v>91</v>
      </c>
      <c r="I3" s="65" t="s">
        <v>93</v>
      </c>
      <c r="J3" s="65" t="s">
        <v>95</v>
      </c>
      <c r="K3" s="65" t="s">
        <v>96</v>
      </c>
      <c r="L3" s="65" t="s">
        <v>99</v>
      </c>
      <c r="M3" s="61"/>
    </row>
    <row r="4" spans="2:13" x14ac:dyDescent="0.35">
      <c r="B4" s="49" t="s">
        <v>67</v>
      </c>
      <c r="C4" s="62" t="e">
        <f>+#REF!</f>
        <v>#REF!</v>
      </c>
      <c r="D4" s="62" t="e">
        <f>+#REF!</f>
        <v>#REF!</v>
      </c>
      <c r="E4" s="62" t="e">
        <f>+#REF!</f>
        <v>#REF!</v>
      </c>
      <c r="F4" s="62" t="e">
        <f>+#REF!</f>
        <v>#REF!</v>
      </c>
      <c r="G4" s="62" t="e">
        <f>+#REF!</f>
        <v>#REF!</v>
      </c>
      <c r="H4" s="62" t="e">
        <f>+#REF!</f>
        <v>#REF!</v>
      </c>
      <c r="I4" s="62" t="e">
        <f>+#REF!</f>
        <v>#REF!</v>
      </c>
      <c r="J4" s="62" t="e">
        <f>+#REF!</f>
        <v>#REF!</v>
      </c>
      <c r="K4" s="62" t="e">
        <f>+#REF!</f>
        <v>#REF!</v>
      </c>
      <c r="L4" s="62" t="e">
        <f>+#REF!</f>
        <v>#REF!</v>
      </c>
      <c r="M4" s="62" t="e">
        <f>SUM(C4:L4)</f>
        <v>#REF!</v>
      </c>
    </row>
    <row r="5" spans="2:13" x14ac:dyDescent="0.35">
      <c r="B5" s="49" t="s">
        <v>68</v>
      </c>
      <c r="C5" s="62" t="e">
        <f>+#REF!</f>
        <v>#REF!</v>
      </c>
      <c r="D5" s="62" t="e">
        <f>+#REF!</f>
        <v>#REF!</v>
      </c>
      <c r="E5" s="62" t="e">
        <f>+#REF!</f>
        <v>#REF!</v>
      </c>
      <c r="F5" s="62" t="e">
        <f>+#REF!</f>
        <v>#REF!</v>
      </c>
      <c r="G5" s="62" t="e">
        <f>+#REF!</f>
        <v>#REF!</v>
      </c>
      <c r="H5" s="62" t="e">
        <f>+#REF!</f>
        <v>#REF!</v>
      </c>
      <c r="I5" s="62" t="e">
        <f>+#REF!</f>
        <v>#REF!</v>
      </c>
      <c r="J5" s="62" t="e">
        <f>+#REF!</f>
        <v>#REF!</v>
      </c>
      <c r="K5" s="62" t="e">
        <f>+#REF!</f>
        <v>#REF!</v>
      </c>
      <c r="L5" s="62" t="e">
        <f>+#REF!</f>
        <v>#REF!</v>
      </c>
      <c r="M5" s="62" t="e">
        <f t="shared" ref="M5:M15" si="0">SUM(C5:L5)</f>
        <v>#REF!</v>
      </c>
    </row>
    <row r="6" spans="2:13" x14ac:dyDescent="0.35">
      <c r="B6" s="49" t="s">
        <v>69</v>
      </c>
      <c r="C6" s="62" t="e">
        <f>+#REF!</f>
        <v>#REF!</v>
      </c>
      <c r="D6" s="62" t="e">
        <f>+#REF!</f>
        <v>#REF!</v>
      </c>
      <c r="E6" s="62" t="e">
        <f>+#REF!</f>
        <v>#REF!</v>
      </c>
      <c r="F6" s="62" t="e">
        <f>+#REF!</f>
        <v>#REF!</v>
      </c>
      <c r="G6" s="62" t="e">
        <f>+#REF!</f>
        <v>#REF!</v>
      </c>
      <c r="H6" s="62" t="e">
        <f>+#REF!</f>
        <v>#REF!</v>
      </c>
      <c r="I6" s="62" t="e">
        <f>+#REF!</f>
        <v>#REF!</v>
      </c>
      <c r="J6" s="62" t="e">
        <f>+#REF!</f>
        <v>#REF!</v>
      </c>
      <c r="K6" s="62" t="e">
        <f>+#REF!</f>
        <v>#REF!</v>
      </c>
      <c r="L6" s="62" t="e">
        <f>+#REF!</f>
        <v>#REF!</v>
      </c>
      <c r="M6" s="62" t="e">
        <f t="shared" si="0"/>
        <v>#REF!</v>
      </c>
    </row>
    <row r="7" spans="2:13" x14ac:dyDescent="0.35">
      <c r="B7" s="49" t="s">
        <v>70</v>
      </c>
      <c r="C7" s="62" t="e">
        <f>+#REF!</f>
        <v>#REF!</v>
      </c>
      <c r="D7" s="62" t="e">
        <f>+#REF!</f>
        <v>#REF!</v>
      </c>
      <c r="E7" s="62" t="e">
        <f>+#REF!</f>
        <v>#REF!</v>
      </c>
      <c r="F7" s="62" t="e">
        <f>+#REF!</f>
        <v>#REF!</v>
      </c>
      <c r="G7" s="62" t="e">
        <f>+#REF!</f>
        <v>#REF!</v>
      </c>
      <c r="H7" s="62" t="e">
        <f>+#REF!</f>
        <v>#REF!</v>
      </c>
      <c r="I7" s="62" t="e">
        <f>+#REF!</f>
        <v>#REF!</v>
      </c>
      <c r="J7" s="62" t="e">
        <f>+#REF!</f>
        <v>#REF!</v>
      </c>
      <c r="K7" s="62" t="e">
        <f>+#REF!</f>
        <v>#REF!</v>
      </c>
      <c r="L7" s="62" t="e">
        <f>+#REF!</f>
        <v>#REF!</v>
      </c>
      <c r="M7" s="62" t="e">
        <f t="shared" si="0"/>
        <v>#REF!</v>
      </c>
    </row>
    <row r="8" spans="2:13" x14ac:dyDescent="0.35">
      <c r="B8" s="49" t="s">
        <v>71</v>
      </c>
      <c r="C8" s="62" t="e">
        <f>+#REF!</f>
        <v>#REF!</v>
      </c>
      <c r="D8" s="62" t="e">
        <f>+#REF!</f>
        <v>#REF!</v>
      </c>
      <c r="E8" s="62" t="e">
        <f>+#REF!</f>
        <v>#REF!</v>
      </c>
      <c r="F8" s="62" t="e">
        <f>+#REF!</f>
        <v>#REF!</v>
      </c>
      <c r="G8" s="62" t="e">
        <f>+#REF!</f>
        <v>#REF!</v>
      </c>
      <c r="H8" s="62" t="e">
        <f>+#REF!</f>
        <v>#REF!</v>
      </c>
      <c r="I8" s="62" t="e">
        <f>+#REF!</f>
        <v>#REF!</v>
      </c>
      <c r="J8" s="62" t="e">
        <f>+#REF!</f>
        <v>#REF!</v>
      </c>
      <c r="K8" s="62" t="e">
        <f>+#REF!</f>
        <v>#REF!</v>
      </c>
      <c r="L8" s="62" t="e">
        <f>+#REF!</f>
        <v>#REF!</v>
      </c>
      <c r="M8" s="62" t="e">
        <f t="shared" si="0"/>
        <v>#REF!</v>
      </c>
    </row>
    <row r="9" spans="2:13" x14ac:dyDescent="0.35">
      <c r="B9" s="49" t="s">
        <v>72</v>
      </c>
      <c r="C9" s="62" t="e">
        <f>+#REF!</f>
        <v>#REF!</v>
      </c>
      <c r="D9" s="62" t="e">
        <f>+#REF!</f>
        <v>#REF!</v>
      </c>
      <c r="E9" s="62" t="e">
        <f>+#REF!</f>
        <v>#REF!</v>
      </c>
      <c r="F9" s="62" t="e">
        <f>+#REF!</f>
        <v>#REF!</v>
      </c>
      <c r="G9" s="62" t="e">
        <f>+#REF!</f>
        <v>#REF!</v>
      </c>
      <c r="H9" s="62" t="e">
        <f>+#REF!</f>
        <v>#REF!</v>
      </c>
      <c r="I9" s="62" t="e">
        <f>+#REF!</f>
        <v>#REF!</v>
      </c>
      <c r="J9" s="62" t="e">
        <f>+#REF!</f>
        <v>#REF!</v>
      </c>
      <c r="K9" s="62" t="e">
        <f>+#REF!</f>
        <v>#REF!</v>
      </c>
      <c r="L9" s="62" t="e">
        <f>+#REF!</f>
        <v>#REF!</v>
      </c>
      <c r="M9" s="62" t="e">
        <f t="shared" si="0"/>
        <v>#REF!</v>
      </c>
    </row>
    <row r="10" spans="2:13" x14ac:dyDescent="0.35">
      <c r="B10" s="49" t="s">
        <v>73</v>
      </c>
      <c r="C10" s="62" t="e">
        <f>+#REF!</f>
        <v>#REF!</v>
      </c>
      <c r="D10" s="62" t="e">
        <f>+#REF!</f>
        <v>#REF!</v>
      </c>
      <c r="E10" s="62" t="e">
        <f>+#REF!</f>
        <v>#REF!</v>
      </c>
      <c r="F10" s="62" t="e">
        <f>+#REF!</f>
        <v>#REF!</v>
      </c>
      <c r="G10" s="62" t="e">
        <f>+#REF!</f>
        <v>#REF!</v>
      </c>
      <c r="H10" s="62" t="e">
        <f>+#REF!</f>
        <v>#REF!</v>
      </c>
      <c r="I10" s="62" t="e">
        <f>+#REF!</f>
        <v>#REF!</v>
      </c>
      <c r="J10" s="62" t="e">
        <f>+#REF!</f>
        <v>#REF!</v>
      </c>
      <c r="K10" s="62" t="e">
        <f>+#REF!</f>
        <v>#REF!</v>
      </c>
      <c r="L10" s="62" t="e">
        <f>+#REF!</f>
        <v>#REF!</v>
      </c>
      <c r="M10" s="62" t="e">
        <f t="shared" si="0"/>
        <v>#REF!</v>
      </c>
    </row>
    <row r="11" spans="2:13" x14ac:dyDescent="0.35">
      <c r="B11" s="49" t="s">
        <v>74</v>
      </c>
      <c r="C11" s="62" t="e">
        <f>+#REF!</f>
        <v>#REF!</v>
      </c>
      <c r="D11" s="62" t="e">
        <f>+#REF!</f>
        <v>#REF!</v>
      </c>
      <c r="E11" s="62" t="e">
        <f>+#REF!</f>
        <v>#REF!</v>
      </c>
      <c r="F11" s="62" t="e">
        <f>+#REF!</f>
        <v>#REF!</v>
      </c>
      <c r="G11" s="62" t="e">
        <f>+#REF!</f>
        <v>#REF!</v>
      </c>
      <c r="H11" s="62" t="e">
        <f>+#REF!</f>
        <v>#REF!</v>
      </c>
      <c r="I11" s="62" t="e">
        <f>+#REF!</f>
        <v>#REF!</v>
      </c>
      <c r="J11" s="62" t="e">
        <f>+#REF!</f>
        <v>#REF!</v>
      </c>
      <c r="K11" s="62" t="e">
        <f>+#REF!</f>
        <v>#REF!</v>
      </c>
      <c r="L11" s="62" t="e">
        <f>+#REF!</f>
        <v>#REF!</v>
      </c>
      <c r="M11" s="62" t="e">
        <f t="shared" si="0"/>
        <v>#REF!</v>
      </c>
    </row>
    <row r="12" spans="2:13" x14ac:dyDescent="0.35">
      <c r="B12" s="49" t="s">
        <v>75</v>
      </c>
      <c r="C12" s="62" t="e">
        <f>+#REF!</f>
        <v>#REF!</v>
      </c>
      <c r="D12" s="62" t="e">
        <f>+#REF!</f>
        <v>#REF!</v>
      </c>
      <c r="E12" s="62" t="e">
        <f>+#REF!</f>
        <v>#REF!</v>
      </c>
      <c r="F12" s="62" t="e">
        <f>+#REF!</f>
        <v>#REF!</v>
      </c>
      <c r="G12" s="62" t="e">
        <f>+#REF!</f>
        <v>#REF!</v>
      </c>
      <c r="H12" s="62" t="e">
        <f>+#REF!</f>
        <v>#REF!</v>
      </c>
      <c r="I12" s="62" t="e">
        <f>+#REF!</f>
        <v>#REF!</v>
      </c>
      <c r="J12" s="62" t="e">
        <f>+#REF!</f>
        <v>#REF!</v>
      </c>
      <c r="K12" s="62" t="e">
        <f>+#REF!</f>
        <v>#REF!</v>
      </c>
      <c r="L12" s="62" t="e">
        <f>+#REF!</f>
        <v>#REF!</v>
      </c>
      <c r="M12" s="62" t="e">
        <f t="shared" si="0"/>
        <v>#REF!</v>
      </c>
    </row>
    <row r="13" spans="2:13" x14ac:dyDescent="0.35">
      <c r="B13" s="49" t="s">
        <v>76</v>
      </c>
      <c r="C13" s="62" t="e">
        <f>+#REF!</f>
        <v>#REF!</v>
      </c>
      <c r="D13" s="62" t="e">
        <f>+#REF!</f>
        <v>#REF!</v>
      </c>
      <c r="E13" s="62" t="e">
        <f>+#REF!</f>
        <v>#REF!</v>
      </c>
      <c r="F13" s="62" t="e">
        <f>+#REF!</f>
        <v>#REF!</v>
      </c>
      <c r="G13" s="62" t="e">
        <f>+#REF!</f>
        <v>#REF!</v>
      </c>
      <c r="H13" s="62" t="e">
        <f>+#REF!</f>
        <v>#REF!</v>
      </c>
      <c r="I13" s="62" t="e">
        <f>+#REF!</f>
        <v>#REF!</v>
      </c>
      <c r="J13" s="62" t="e">
        <f>+#REF!</f>
        <v>#REF!</v>
      </c>
      <c r="K13" s="62" t="e">
        <f>+#REF!</f>
        <v>#REF!</v>
      </c>
      <c r="L13" s="62" t="e">
        <f>+#REF!</f>
        <v>#REF!</v>
      </c>
      <c r="M13" s="62" t="e">
        <f t="shared" si="0"/>
        <v>#REF!</v>
      </c>
    </row>
    <row r="14" spans="2:13" x14ac:dyDescent="0.35">
      <c r="B14" s="49" t="s">
        <v>77</v>
      </c>
      <c r="C14" s="62" t="e">
        <f>+#REF!</f>
        <v>#REF!</v>
      </c>
      <c r="D14" s="62" t="e">
        <f>+#REF!</f>
        <v>#REF!</v>
      </c>
      <c r="E14" s="62" t="e">
        <f>+#REF!</f>
        <v>#REF!</v>
      </c>
      <c r="F14" s="62" t="e">
        <f>+#REF!</f>
        <v>#REF!</v>
      </c>
      <c r="G14" s="62" t="e">
        <f>+#REF!</f>
        <v>#REF!</v>
      </c>
      <c r="H14" s="62" t="e">
        <f>+#REF!</f>
        <v>#REF!</v>
      </c>
      <c r="I14" s="62" t="e">
        <f>+#REF!</f>
        <v>#REF!</v>
      </c>
      <c r="J14" s="62" t="e">
        <f>+#REF!</f>
        <v>#REF!</v>
      </c>
      <c r="K14" s="62" t="e">
        <f>+#REF!</f>
        <v>#REF!</v>
      </c>
      <c r="L14" s="62" t="e">
        <f>+#REF!</f>
        <v>#REF!</v>
      </c>
      <c r="M14" s="62" t="e">
        <f t="shared" si="0"/>
        <v>#REF!</v>
      </c>
    </row>
    <row r="15" spans="2:13" x14ac:dyDescent="0.35">
      <c r="B15" s="49" t="s">
        <v>78</v>
      </c>
      <c r="C15" s="62" t="e">
        <f>+#REF!</f>
        <v>#REF!</v>
      </c>
      <c r="D15" s="62" t="e">
        <f>+#REF!</f>
        <v>#REF!</v>
      </c>
      <c r="E15" s="62" t="e">
        <f>+#REF!</f>
        <v>#REF!</v>
      </c>
      <c r="F15" s="62" t="e">
        <f>+#REF!</f>
        <v>#REF!</v>
      </c>
      <c r="G15" s="62" t="e">
        <f>+#REF!</f>
        <v>#REF!</v>
      </c>
      <c r="H15" s="62" t="e">
        <f>+#REF!</f>
        <v>#REF!</v>
      </c>
      <c r="I15" s="62" t="e">
        <f>+#REF!</f>
        <v>#REF!</v>
      </c>
      <c r="J15" s="62" t="e">
        <f>+#REF!</f>
        <v>#REF!</v>
      </c>
      <c r="K15" s="62" t="e">
        <f>+#REF!</f>
        <v>#REF!</v>
      </c>
      <c r="L15" s="62" t="e">
        <f>+#REF!</f>
        <v>#REF!</v>
      </c>
      <c r="M15" s="62" t="e">
        <f t="shared" si="0"/>
        <v>#REF!</v>
      </c>
    </row>
    <row r="16" spans="2:13" x14ac:dyDescent="0.35">
      <c r="B16" s="49" t="s">
        <v>41</v>
      </c>
      <c r="C16" s="63" t="e">
        <f t="shared" ref="C16:M16" si="1">SUM(C4:C15)</f>
        <v>#REF!</v>
      </c>
      <c r="D16" s="63" t="e">
        <f t="shared" si="1"/>
        <v>#REF!</v>
      </c>
      <c r="E16" s="63" t="e">
        <f t="shared" si="1"/>
        <v>#REF!</v>
      </c>
      <c r="F16" s="63" t="e">
        <f t="shared" si="1"/>
        <v>#REF!</v>
      </c>
      <c r="G16" s="63" t="e">
        <f t="shared" si="1"/>
        <v>#REF!</v>
      </c>
      <c r="H16" s="63" t="e">
        <f t="shared" si="1"/>
        <v>#REF!</v>
      </c>
      <c r="I16" s="63" t="e">
        <f t="shared" si="1"/>
        <v>#REF!</v>
      </c>
      <c r="J16" s="63" t="e">
        <f t="shared" si="1"/>
        <v>#REF!</v>
      </c>
      <c r="K16" s="63" t="e">
        <f t="shared" si="1"/>
        <v>#REF!</v>
      </c>
      <c r="L16" s="63" t="e">
        <f t="shared" si="1"/>
        <v>#REF!</v>
      </c>
      <c r="M16" s="63" t="e">
        <f t="shared" si="1"/>
        <v>#REF!</v>
      </c>
    </row>
    <row r="17" spans="13:13" x14ac:dyDescent="0.35">
      <c r="M17" s="59" t="e">
        <f>+M16-#REF!</f>
        <v>#REF!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B27B-EAEE-4198-B756-30AC793CDC9A}">
  <sheetPr>
    <tabColor rgb="FFFFC000"/>
  </sheetPr>
  <dimension ref="B2:AX160"/>
  <sheetViews>
    <sheetView showGridLines="0" zoomScale="70" zoomScaleNormal="70" workbookViewId="0">
      <pane xSplit="4" ySplit="10" topLeftCell="E118" activePane="bottomRight" state="frozen"/>
      <selection activeCell="B27" sqref="B27"/>
      <selection pane="topRight" activeCell="B27" sqref="B27"/>
      <selection pane="bottomLeft" activeCell="B27" sqref="B27"/>
      <selection pane="bottomRight" activeCell="B110" sqref="B110:AC160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16" t="s">
        <v>137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50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50" ht="18.649999999999999" customHeight="1" x14ac:dyDescent="0.35">
      <c r="B6" s="219" t="s">
        <v>138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2:50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50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thickBot="1" x14ac:dyDescent="0.4">
      <c r="B11" s="212">
        <v>46023</v>
      </c>
      <c r="C11" s="7" t="s">
        <v>29</v>
      </c>
      <c r="D11" s="93">
        <v>20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214">
        <f>SUM(E11:AB11)*D11+SUM(E12:AB12)*D12+SUM(E13:AB13)*D13+SUM(E14:AB14)*D14</f>
        <v>0</v>
      </c>
      <c r="AD11" s="19"/>
      <c r="AE11" s="87">
        <f>+AC11</f>
        <v>0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thickBot="1" x14ac:dyDescent="0.4">
      <c r="B12" s="213"/>
      <c r="C12" s="10" t="s">
        <v>30</v>
      </c>
      <c r="D12" s="93">
        <v>5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215"/>
      <c r="AD12" s="19"/>
      <c r="AE12" s="87">
        <f>+AC15</f>
        <v>3360000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thickBot="1" x14ac:dyDescent="0.4">
      <c r="B13" s="213"/>
      <c r="C13" s="10" t="s">
        <v>31</v>
      </c>
      <c r="D13" s="93">
        <v>4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215"/>
      <c r="AD13" s="19"/>
      <c r="AE13" s="87">
        <f>+AC19</f>
        <v>3720000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13"/>
      <c r="C14" s="16" t="s">
        <v>32</v>
      </c>
      <c r="D14" s="93">
        <v>2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215"/>
      <c r="AD14" s="19"/>
      <c r="AE14" s="87">
        <f>+AC23</f>
        <v>3600000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thickBot="1" x14ac:dyDescent="0.4">
      <c r="B15" s="222">
        <v>46054</v>
      </c>
      <c r="C15" s="7" t="s">
        <v>29</v>
      </c>
      <c r="D15" s="93">
        <v>20</v>
      </c>
      <c r="E15" s="88">
        <v>5000</v>
      </c>
      <c r="F15" s="88">
        <v>5000</v>
      </c>
      <c r="G15" s="88">
        <v>5000</v>
      </c>
      <c r="H15" s="88">
        <v>5000</v>
      </c>
      <c r="I15" s="88">
        <v>5000</v>
      </c>
      <c r="J15" s="88">
        <v>5000</v>
      </c>
      <c r="K15" s="88">
        <v>5000</v>
      </c>
      <c r="L15" s="88">
        <v>5000</v>
      </c>
      <c r="M15" s="88">
        <v>5000</v>
      </c>
      <c r="N15" s="88">
        <v>5000</v>
      </c>
      <c r="O15" s="88">
        <v>5000</v>
      </c>
      <c r="P15" s="88">
        <v>5000</v>
      </c>
      <c r="Q15" s="88">
        <v>5000</v>
      </c>
      <c r="R15" s="88">
        <v>5000</v>
      </c>
      <c r="S15" s="88">
        <v>5000</v>
      </c>
      <c r="T15" s="88">
        <v>5000</v>
      </c>
      <c r="U15" s="88">
        <v>5000</v>
      </c>
      <c r="V15" s="88">
        <v>5000</v>
      </c>
      <c r="W15" s="88">
        <v>5000</v>
      </c>
      <c r="X15" s="88">
        <v>5000</v>
      </c>
      <c r="Y15" s="88">
        <v>5000</v>
      </c>
      <c r="Z15" s="88">
        <v>5000</v>
      </c>
      <c r="AA15" s="88">
        <v>5000</v>
      </c>
      <c r="AB15" s="88">
        <v>5000</v>
      </c>
      <c r="AC15" s="225">
        <f>SUM(E15:AB15)*D15+SUM(E16:AB16)*D16+SUM(E17:AB17)*D17+SUM(E18:AB18)*D18</f>
        <v>3360000</v>
      </c>
      <c r="AD15" s="177">
        <f>+AC15</f>
        <v>3360000</v>
      </c>
      <c r="AE15" s="87">
        <f>+AC27</f>
        <v>3720000</v>
      </c>
    </row>
    <row r="16" spans="2:50" ht="18.649999999999999" customHeight="1" thickBot="1" x14ac:dyDescent="0.4">
      <c r="B16" s="223" t="s">
        <v>34</v>
      </c>
      <c r="C16" s="10" t="s">
        <v>30</v>
      </c>
      <c r="D16" s="93">
        <v>4</v>
      </c>
      <c r="E16" s="89">
        <v>5000</v>
      </c>
      <c r="F16" s="89">
        <v>5000</v>
      </c>
      <c r="G16" s="89">
        <v>5000</v>
      </c>
      <c r="H16" s="89">
        <v>5000</v>
      </c>
      <c r="I16" s="89">
        <v>5000</v>
      </c>
      <c r="J16" s="89">
        <v>5000</v>
      </c>
      <c r="K16" s="89">
        <v>5000</v>
      </c>
      <c r="L16" s="89">
        <v>5000</v>
      </c>
      <c r="M16" s="89">
        <v>5000</v>
      </c>
      <c r="N16" s="89">
        <v>5000</v>
      </c>
      <c r="O16" s="89">
        <v>5000</v>
      </c>
      <c r="P16" s="89">
        <v>5000</v>
      </c>
      <c r="Q16" s="89">
        <v>5000</v>
      </c>
      <c r="R16" s="89">
        <v>5000</v>
      </c>
      <c r="S16" s="89">
        <v>5000</v>
      </c>
      <c r="T16" s="89">
        <v>5000</v>
      </c>
      <c r="U16" s="89">
        <v>5000</v>
      </c>
      <c r="V16" s="89">
        <v>5000</v>
      </c>
      <c r="W16" s="89">
        <v>5000</v>
      </c>
      <c r="X16" s="89">
        <v>5000</v>
      </c>
      <c r="Y16" s="89">
        <v>5000</v>
      </c>
      <c r="Z16" s="89">
        <v>5000</v>
      </c>
      <c r="AA16" s="89">
        <v>5000</v>
      </c>
      <c r="AB16" s="89">
        <v>5000</v>
      </c>
      <c r="AC16" s="226"/>
      <c r="AD16" s="177">
        <f>+AC19</f>
        <v>3720000</v>
      </c>
      <c r="AE16" s="87">
        <f>+AC31</f>
        <v>3600000</v>
      </c>
    </row>
    <row r="17" spans="2:31" ht="18.649999999999999" customHeight="1" thickBot="1" x14ac:dyDescent="0.4">
      <c r="B17" s="223" t="s">
        <v>34</v>
      </c>
      <c r="C17" s="10" t="s">
        <v>31</v>
      </c>
      <c r="D17" s="93">
        <v>4</v>
      </c>
      <c r="E17" s="89">
        <v>5000</v>
      </c>
      <c r="F17" s="89">
        <v>5000</v>
      </c>
      <c r="G17" s="89">
        <v>5000</v>
      </c>
      <c r="H17" s="89">
        <v>5000</v>
      </c>
      <c r="I17" s="89">
        <v>5000</v>
      </c>
      <c r="J17" s="89">
        <v>5000</v>
      </c>
      <c r="K17" s="89">
        <v>5000</v>
      </c>
      <c r="L17" s="89">
        <v>5000</v>
      </c>
      <c r="M17" s="89">
        <v>5000</v>
      </c>
      <c r="N17" s="89">
        <v>5000</v>
      </c>
      <c r="O17" s="89">
        <v>5000</v>
      </c>
      <c r="P17" s="89">
        <v>5000</v>
      </c>
      <c r="Q17" s="89">
        <v>5000</v>
      </c>
      <c r="R17" s="89">
        <v>5000</v>
      </c>
      <c r="S17" s="89">
        <v>5000</v>
      </c>
      <c r="T17" s="89">
        <v>5000</v>
      </c>
      <c r="U17" s="89">
        <v>5000</v>
      </c>
      <c r="V17" s="89">
        <v>5000</v>
      </c>
      <c r="W17" s="89">
        <v>5000</v>
      </c>
      <c r="X17" s="89">
        <v>5000</v>
      </c>
      <c r="Y17" s="89">
        <v>5000</v>
      </c>
      <c r="Z17" s="89">
        <v>5000</v>
      </c>
      <c r="AA17" s="89">
        <v>5000</v>
      </c>
      <c r="AB17" s="89">
        <v>5000</v>
      </c>
      <c r="AC17" s="226"/>
      <c r="AD17" s="177">
        <f>+AC23</f>
        <v>3600000</v>
      </c>
      <c r="AE17" s="87">
        <f>+AC35</f>
        <v>3720000</v>
      </c>
    </row>
    <row r="18" spans="2:31" ht="18.649999999999999" customHeight="1" thickBot="1" x14ac:dyDescent="0.4">
      <c r="B18" s="224" t="s">
        <v>34</v>
      </c>
      <c r="C18" s="12" t="s">
        <v>32</v>
      </c>
      <c r="D18" s="93">
        <v>0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227"/>
      <c r="AD18" s="177">
        <f>+AC27</f>
        <v>3720000</v>
      </c>
      <c r="AE18" s="87">
        <f>+AC39</f>
        <v>3720000</v>
      </c>
    </row>
    <row r="19" spans="2:31" ht="18.649999999999999" customHeight="1" thickBot="1" x14ac:dyDescent="0.4">
      <c r="B19" s="212">
        <v>46082</v>
      </c>
      <c r="C19" s="14" t="s">
        <v>29</v>
      </c>
      <c r="D19" s="93">
        <v>21</v>
      </c>
      <c r="E19" s="92">
        <v>5000</v>
      </c>
      <c r="F19" s="92">
        <v>5000</v>
      </c>
      <c r="G19" s="92">
        <v>5000</v>
      </c>
      <c r="H19" s="92">
        <v>5000</v>
      </c>
      <c r="I19" s="92">
        <v>5000</v>
      </c>
      <c r="J19" s="92">
        <v>5000</v>
      </c>
      <c r="K19" s="92">
        <v>5000</v>
      </c>
      <c r="L19" s="92">
        <v>5000</v>
      </c>
      <c r="M19" s="92">
        <v>5000</v>
      </c>
      <c r="N19" s="92">
        <v>5000</v>
      </c>
      <c r="O19" s="92">
        <v>5000</v>
      </c>
      <c r="P19" s="92">
        <v>5000</v>
      </c>
      <c r="Q19" s="92">
        <v>5000</v>
      </c>
      <c r="R19" s="92">
        <v>5000</v>
      </c>
      <c r="S19" s="92">
        <v>5000</v>
      </c>
      <c r="T19" s="92">
        <v>5000</v>
      </c>
      <c r="U19" s="92">
        <v>5000</v>
      </c>
      <c r="V19" s="92">
        <v>5000</v>
      </c>
      <c r="W19" s="92">
        <v>5000</v>
      </c>
      <c r="X19" s="92">
        <v>5000</v>
      </c>
      <c r="Y19" s="92">
        <v>5000</v>
      </c>
      <c r="Z19" s="92">
        <v>5000</v>
      </c>
      <c r="AA19" s="92">
        <v>5000</v>
      </c>
      <c r="AB19" s="92">
        <v>5000</v>
      </c>
      <c r="AC19" s="226">
        <f>SUM(E19:AB19)*D19+SUM(E20:AB20)*D20+SUM(E21:AB21)*D21+SUM(E22:AB22)*D22</f>
        <v>3720000</v>
      </c>
      <c r="AD19" s="177">
        <f>+AC31</f>
        <v>3600000</v>
      </c>
      <c r="AE19" s="87">
        <f>+AC43</f>
        <v>3600000</v>
      </c>
    </row>
    <row r="20" spans="2:31" ht="18.649999999999999" customHeight="1" thickBot="1" x14ac:dyDescent="0.4">
      <c r="B20" s="213"/>
      <c r="C20" s="10" t="s">
        <v>30</v>
      </c>
      <c r="D20" s="93">
        <v>4</v>
      </c>
      <c r="E20" s="89">
        <v>5000</v>
      </c>
      <c r="F20" s="89">
        <v>5000</v>
      </c>
      <c r="G20" s="89">
        <v>5000</v>
      </c>
      <c r="H20" s="89">
        <v>5000</v>
      </c>
      <c r="I20" s="89">
        <v>5000</v>
      </c>
      <c r="J20" s="89">
        <v>5000</v>
      </c>
      <c r="K20" s="89">
        <v>5000</v>
      </c>
      <c r="L20" s="89">
        <v>5000</v>
      </c>
      <c r="M20" s="89">
        <v>5000</v>
      </c>
      <c r="N20" s="89">
        <v>5000</v>
      </c>
      <c r="O20" s="89">
        <v>5000</v>
      </c>
      <c r="P20" s="89">
        <v>5000</v>
      </c>
      <c r="Q20" s="89">
        <v>5000</v>
      </c>
      <c r="R20" s="89">
        <v>5000</v>
      </c>
      <c r="S20" s="89">
        <v>5000</v>
      </c>
      <c r="T20" s="89">
        <v>5000</v>
      </c>
      <c r="U20" s="89">
        <v>5000</v>
      </c>
      <c r="V20" s="89">
        <v>5000</v>
      </c>
      <c r="W20" s="89">
        <v>5000</v>
      </c>
      <c r="X20" s="89">
        <v>5000</v>
      </c>
      <c r="Y20" s="89">
        <v>5000</v>
      </c>
      <c r="Z20" s="89">
        <v>5000</v>
      </c>
      <c r="AA20" s="89">
        <v>5000</v>
      </c>
      <c r="AB20" s="89">
        <v>5000</v>
      </c>
      <c r="AC20" s="226"/>
      <c r="AD20" s="177">
        <f>+AC35</f>
        <v>3720000</v>
      </c>
      <c r="AE20" s="87">
        <f>+AC47</f>
        <v>3720000</v>
      </c>
    </row>
    <row r="21" spans="2:31" ht="18.649999999999999" customHeight="1" thickBot="1" x14ac:dyDescent="0.4">
      <c r="B21" s="213"/>
      <c r="C21" s="10" t="s">
        <v>31</v>
      </c>
      <c r="D21" s="93">
        <v>5</v>
      </c>
      <c r="E21" s="89">
        <v>5000</v>
      </c>
      <c r="F21" s="89">
        <v>5000</v>
      </c>
      <c r="G21" s="89">
        <v>5000</v>
      </c>
      <c r="H21" s="89">
        <v>5000</v>
      </c>
      <c r="I21" s="89">
        <v>5000</v>
      </c>
      <c r="J21" s="89">
        <v>5000</v>
      </c>
      <c r="K21" s="89">
        <v>5000</v>
      </c>
      <c r="L21" s="89">
        <v>5000</v>
      </c>
      <c r="M21" s="89">
        <v>5000</v>
      </c>
      <c r="N21" s="89">
        <v>5000</v>
      </c>
      <c r="O21" s="89">
        <v>5000</v>
      </c>
      <c r="P21" s="89">
        <v>5000</v>
      </c>
      <c r="Q21" s="89">
        <v>5000</v>
      </c>
      <c r="R21" s="89">
        <v>5000</v>
      </c>
      <c r="S21" s="89">
        <v>5000</v>
      </c>
      <c r="T21" s="89">
        <v>5000</v>
      </c>
      <c r="U21" s="89">
        <v>5000</v>
      </c>
      <c r="V21" s="89">
        <v>5000</v>
      </c>
      <c r="W21" s="89">
        <v>5000</v>
      </c>
      <c r="X21" s="89">
        <v>5000</v>
      </c>
      <c r="Y21" s="89">
        <v>5000</v>
      </c>
      <c r="Z21" s="89">
        <v>5000</v>
      </c>
      <c r="AA21" s="89">
        <v>5000</v>
      </c>
      <c r="AB21" s="89">
        <v>5000</v>
      </c>
      <c r="AC21" s="226"/>
      <c r="AD21" s="177">
        <f>+AC39</f>
        <v>3720000</v>
      </c>
      <c r="AE21" s="87">
        <f>+AC51</f>
        <v>3600000</v>
      </c>
    </row>
    <row r="22" spans="2:31" ht="18.649999999999999" customHeight="1" thickBot="1" x14ac:dyDescent="0.4">
      <c r="B22" s="213"/>
      <c r="C22" s="16" t="s">
        <v>32</v>
      </c>
      <c r="D22" s="93">
        <v>1</v>
      </c>
      <c r="E22" s="90">
        <v>5000</v>
      </c>
      <c r="F22" s="90">
        <v>5000</v>
      </c>
      <c r="G22" s="90">
        <v>5000</v>
      </c>
      <c r="H22" s="90">
        <v>5000</v>
      </c>
      <c r="I22" s="90">
        <v>5000</v>
      </c>
      <c r="J22" s="90">
        <v>5000</v>
      </c>
      <c r="K22" s="90">
        <v>5000</v>
      </c>
      <c r="L22" s="90">
        <v>5000</v>
      </c>
      <c r="M22" s="90">
        <v>5000</v>
      </c>
      <c r="N22" s="90">
        <v>5000</v>
      </c>
      <c r="O22" s="90">
        <v>5000</v>
      </c>
      <c r="P22" s="90">
        <v>5000</v>
      </c>
      <c r="Q22" s="90">
        <v>5000</v>
      </c>
      <c r="R22" s="90">
        <v>5000</v>
      </c>
      <c r="S22" s="90">
        <v>5000</v>
      </c>
      <c r="T22" s="90">
        <v>5000</v>
      </c>
      <c r="U22" s="90">
        <v>5000</v>
      </c>
      <c r="V22" s="90">
        <v>5000</v>
      </c>
      <c r="W22" s="90">
        <v>5000</v>
      </c>
      <c r="X22" s="90">
        <v>5000</v>
      </c>
      <c r="Y22" s="90">
        <v>5000</v>
      </c>
      <c r="Z22" s="90">
        <v>5000</v>
      </c>
      <c r="AA22" s="90">
        <v>5000</v>
      </c>
      <c r="AB22" s="90">
        <v>5000</v>
      </c>
      <c r="AC22" s="226"/>
      <c r="AD22" s="177">
        <f>+AC43</f>
        <v>3600000</v>
      </c>
      <c r="AE22" s="87">
        <f>+AC55</f>
        <v>3720000</v>
      </c>
    </row>
    <row r="23" spans="2:31" ht="18.649999999999999" customHeight="1" thickBot="1" x14ac:dyDescent="0.4">
      <c r="B23" s="222">
        <v>46113</v>
      </c>
      <c r="C23" s="7" t="s">
        <v>29</v>
      </c>
      <c r="D23" s="93">
        <v>20</v>
      </c>
      <c r="E23" s="88">
        <v>5000</v>
      </c>
      <c r="F23" s="88">
        <v>5000</v>
      </c>
      <c r="G23" s="88">
        <v>5000</v>
      </c>
      <c r="H23" s="88">
        <v>5000</v>
      </c>
      <c r="I23" s="88">
        <v>5000</v>
      </c>
      <c r="J23" s="88">
        <v>5000</v>
      </c>
      <c r="K23" s="88">
        <v>5000</v>
      </c>
      <c r="L23" s="88">
        <v>5000</v>
      </c>
      <c r="M23" s="88">
        <v>5000</v>
      </c>
      <c r="N23" s="88">
        <v>5000</v>
      </c>
      <c r="O23" s="88">
        <v>5000</v>
      </c>
      <c r="P23" s="88">
        <v>5000</v>
      </c>
      <c r="Q23" s="88">
        <v>5000</v>
      </c>
      <c r="R23" s="88">
        <v>5000</v>
      </c>
      <c r="S23" s="88">
        <v>5000</v>
      </c>
      <c r="T23" s="88">
        <v>5000</v>
      </c>
      <c r="U23" s="88">
        <v>5000</v>
      </c>
      <c r="V23" s="88">
        <v>5000</v>
      </c>
      <c r="W23" s="88">
        <v>5000</v>
      </c>
      <c r="X23" s="88">
        <v>5000</v>
      </c>
      <c r="Y23" s="88">
        <v>5000</v>
      </c>
      <c r="Z23" s="88">
        <v>5000</v>
      </c>
      <c r="AA23" s="88">
        <v>5000</v>
      </c>
      <c r="AB23" s="88">
        <v>5000</v>
      </c>
      <c r="AC23" s="225">
        <f>SUM(E23:AB23)*D23+SUM(E24:AB24)*D24+SUM(E25:AB25)*D25+SUM(E26:AB26)*D26</f>
        <v>3600000</v>
      </c>
      <c r="AD23" s="177">
        <f>+AC47</f>
        <v>3720000</v>
      </c>
      <c r="AE23" s="87">
        <f>SUM(AE11:AE22)</f>
        <v>40080000</v>
      </c>
    </row>
    <row r="24" spans="2:31" ht="18.649999999999999" customHeight="1" thickBot="1" x14ac:dyDescent="0.4">
      <c r="B24" s="223" t="s">
        <v>34</v>
      </c>
      <c r="C24" s="10" t="s">
        <v>30</v>
      </c>
      <c r="D24" s="93">
        <v>4</v>
      </c>
      <c r="E24" s="89">
        <v>5000</v>
      </c>
      <c r="F24" s="89">
        <v>5000</v>
      </c>
      <c r="G24" s="89">
        <v>5000</v>
      </c>
      <c r="H24" s="89">
        <v>5000</v>
      </c>
      <c r="I24" s="89">
        <v>5000</v>
      </c>
      <c r="J24" s="89">
        <v>5000</v>
      </c>
      <c r="K24" s="89">
        <v>5000</v>
      </c>
      <c r="L24" s="89">
        <v>5000</v>
      </c>
      <c r="M24" s="89">
        <v>5000</v>
      </c>
      <c r="N24" s="89">
        <v>5000</v>
      </c>
      <c r="O24" s="89">
        <v>5000</v>
      </c>
      <c r="P24" s="89">
        <v>5000</v>
      </c>
      <c r="Q24" s="89">
        <v>5000</v>
      </c>
      <c r="R24" s="89">
        <v>5000</v>
      </c>
      <c r="S24" s="89">
        <v>5000</v>
      </c>
      <c r="T24" s="89">
        <v>5000</v>
      </c>
      <c r="U24" s="89">
        <v>5000</v>
      </c>
      <c r="V24" s="89">
        <v>5000</v>
      </c>
      <c r="W24" s="89">
        <v>5000</v>
      </c>
      <c r="X24" s="89">
        <v>5000</v>
      </c>
      <c r="Y24" s="89">
        <v>5000</v>
      </c>
      <c r="Z24" s="89">
        <v>5000</v>
      </c>
      <c r="AA24" s="89">
        <v>5000</v>
      </c>
      <c r="AB24" s="89">
        <v>5000</v>
      </c>
      <c r="AC24" s="226"/>
      <c r="AD24" s="177">
        <f>+AC51</f>
        <v>3600000</v>
      </c>
    </row>
    <row r="25" spans="2:31" ht="18.649999999999999" customHeight="1" thickBot="1" x14ac:dyDescent="0.4">
      <c r="B25" s="223" t="s">
        <v>34</v>
      </c>
      <c r="C25" s="10" t="s">
        <v>31</v>
      </c>
      <c r="D25" s="93">
        <v>4</v>
      </c>
      <c r="E25" s="89">
        <v>5000</v>
      </c>
      <c r="F25" s="89">
        <v>5000</v>
      </c>
      <c r="G25" s="89">
        <v>5000</v>
      </c>
      <c r="H25" s="89">
        <v>5000</v>
      </c>
      <c r="I25" s="89">
        <v>5000</v>
      </c>
      <c r="J25" s="89">
        <v>5000</v>
      </c>
      <c r="K25" s="89">
        <v>5000</v>
      </c>
      <c r="L25" s="89">
        <v>5000</v>
      </c>
      <c r="M25" s="89">
        <v>5000</v>
      </c>
      <c r="N25" s="89">
        <v>5000</v>
      </c>
      <c r="O25" s="89">
        <v>5000</v>
      </c>
      <c r="P25" s="89">
        <v>5000</v>
      </c>
      <c r="Q25" s="89">
        <v>5000</v>
      </c>
      <c r="R25" s="89">
        <v>5000</v>
      </c>
      <c r="S25" s="89">
        <v>5000</v>
      </c>
      <c r="T25" s="89">
        <v>5000</v>
      </c>
      <c r="U25" s="89">
        <v>5000</v>
      </c>
      <c r="V25" s="89">
        <v>5000</v>
      </c>
      <c r="W25" s="89">
        <v>5000</v>
      </c>
      <c r="X25" s="89">
        <v>5000</v>
      </c>
      <c r="Y25" s="89">
        <v>5000</v>
      </c>
      <c r="Z25" s="89">
        <v>5000</v>
      </c>
      <c r="AA25" s="89">
        <v>5000</v>
      </c>
      <c r="AB25" s="89">
        <v>5000</v>
      </c>
      <c r="AC25" s="226"/>
      <c r="AD25" s="177">
        <f>+AC55</f>
        <v>3720000</v>
      </c>
    </row>
    <row r="26" spans="2:31" ht="18.649999999999999" customHeight="1" thickBot="1" x14ac:dyDescent="0.4">
      <c r="B26" s="224" t="s">
        <v>34</v>
      </c>
      <c r="C26" s="12" t="s">
        <v>32</v>
      </c>
      <c r="D26" s="93">
        <v>2</v>
      </c>
      <c r="E26" s="91">
        <v>5000</v>
      </c>
      <c r="F26" s="91">
        <v>5000</v>
      </c>
      <c r="G26" s="91">
        <v>5000</v>
      </c>
      <c r="H26" s="91">
        <v>5000</v>
      </c>
      <c r="I26" s="91">
        <v>5000</v>
      </c>
      <c r="J26" s="91">
        <v>5000</v>
      </c>
      <c r="K26" s="91">
        <v>5000</v>
      </c>
      <c r="L26" s="91">
        <v>5000</v>
      </c>
      <c r="M26" s="91">
        <v>5000</v>
      </c>
      <c r="N26" s="91">
        <v>5000</v>
      </c>
      <c r="O26" s="91">
        <v>5000</v>
      </c>
      <c r="P26" s="91">
        <v>5000</v>
      </c>
      <c r="Q26" s="91">
        <v>5000</v>
      </c>
      <c r="R26" s="91">
        <v>5000</v>
      </c>
      <c r="S26" s="91">
        <v>5000</v>
      </c>
      <c r="T26" s="91">
        <v>5000</v>
      </c>
      <c r="U26" s="91">
        <v>5000</v>
      </c>
      <c r="V26" s="91">
        <v>5000</v>
      </c>
      <c r="W26" s="91">
        <v>5000</v>
      </c>
      <c r="X26" s="91">
        <v>5000</v>
      </c>
      <c r="Y26" s="91">
        <v>5000</v>
      </c>
      <c r="Z26" s="91">
        <v>5000</v>
      </c>
      <c r="AA26" s="91">
        <v>5000</v>
      </c>
      <c r="AB26" s="91">
        <v>5000</v>
      </c>
      <c r="AC26" s="227"/>
      <c r="AD26" s="19"/>
    </row>
    <row r="27" spans="2:31" ht="18.649999999999999" customHeight="1" thickBot="1" x14ac:dyDescent="0.4">
      <c r="B27" s="212">
        <v>46143</v>
      </c>
      <c r="C27" s="14" t="s">
        <v>29</v>
      </c>
      <c r="D27" s="93">
        <v>19</v>
      </c>
      <c r="E27" s="92">
        <v>5000</v>
      </c>
      <c r="F27" s="92">
        <v>5000</v>
      </c>
      <c r="G27" s="92">
        <v>5000</v>
      </c>
      <c r="H27" s="92">
        <v>5000</v>
      </c>
      <c r="I27" s="92">
        <v>5000</v>
      </c>
      <c r="J27" s="92">
        <v>5000</v>
      </c>
      <c r="K27" s="92">
        <v>5000</v>
      </c>
      <c r="L27" s="92">
        <v>5000</v>
      </c>
      <c r="M27" s="92">
        <v>5000</v>
      </c>
      <c r="N27" s="92">
        <v>5000</v>
      </c>
      <c r="O27" s="92">
        <v>5000</v>
      </c>
      <c r="P27" s="92">
        <v>5000</v>
      </c>
      <c r="Q27" s="92">
        <v>5000</v>
      </c>
      <c r="R27" s="92">
        <v>5000</v>
      </c>
      <c r="S27" s="92">
        <v>5000</v>
      </c>
      <c r="T27" s="92">
        <v>5000</v>
      </c>
      <c r="U27" s="92">
        <v>5000</v>
      </c>
      <c r="V27" s="92">
        <v>5000</v>
      </c>
      <c r="W27" s="92">
        <v>5000</v>
      </c>
      <c r="X27" s="92">
        <v>5000</v>
      </c>
      <c r="Y27" s="92">
        <v>5000</v>
      </c>
      <c r="Z27" s="92">
        <v>5000</v>
      </c>
      <c r="AA27" s="92">
        <v>5000</v>
      </c>
      <c r="AB27" s="92">
        <v>5000</v>
      </c>
      <c r="AC27" s="226">
        <f>SUM(E27:AB27)*D27+SUM(E28:AB28)*D28+SUM(E29:AB29)*D29+SUM(E30:AB30)*D30</f>
        <v>3720000</v>
      </c>
      <c r="AD27" s="19"/>
    </row>
    <row r="28" spans="2:31" ht="18.649999999999999" customHeight="1" thickBot="1" x14ac:dyDescent="0.4">
      <c r="B28" s="213"/>
      <c r="C28" s="10" t="s">
        <v>30</v>
      </c>
      <c r="D28" s="93">
        <v>5</v>
      </c>
      <c r="E28" s="89">
        <v>5000</v>
      </c>
      <c r="F28" s="89">
        <v>5000</v>
      </c>
      <c r="G28" s="89">
        <v>5000</v>
      </c>
      <c r="H28" s="89">
        <v>5000</v>
      </c>
      <c r="I28" s="89">
        <v>5000</v>
      </c>
      <c r="J28" s="89">
        <v>5000</v>
      </c>
      <c r="K28" s="89">
        <v>5000</v>
      </c>
      <c r="L28" s="89">
        <v>5000</v>
      </c>
      <c r="M28" s="89">
        <v>5000</v>
      </c>
      <c r="N28" s="89">
        <v>5000</v>
      </c>
      <c r="O28" s="89">
        <v>5000</v>
      </c>
      <c r="P28" s="89">
        <v>5000</v>
      </c>
      <c r="Q28" s="89">
        <v>5000</v>
      </c>
      <c r="R28" s="89">
        <v>5000</v>
      </c>
      <c r="S28" s="89">
        <v>5000</v>
      </c>
      <c r="T28" s="89">
        <v>5000</v>
      </c>
      <c r="U28" s="89">
        <v>5000</v>
      </c>
      <c r="V28" s="89">
        <v>5000</v>
      </c>
      <c r="W28" s="89">
        <v>5000</v>
      </c>
      <c r="X28" s="89">
        <v>5000</v>
      </c>
      <c r="Y28" s="89">
        <v>5000</v>
      </c>
      <c r="Z28" s="89">
        <v>5000</v>
      </c>
      <c r="AA28" s="89">
        <v>5000</v>
      </c>
      <c r="AB28" s="89">
        <v>5000</v>
      </c>
      <c r="AC28" s="226"/>
      <c r="AD28" s="19"/>
    </row>
    <row r="29" spans="2:31" ht="18.649999999999999" customHeight="1" thickBot="1" x14ac:dyDescent="0.4">
      <c r="B29" s="213"/>
      <c r="C29" s="10" t="s">
        <v>31</v>
      </c>
      <c r="D29" s="93">
        <v>5</v>
      </c>
      <c r="E29" s="89">
        <v>5000</v>
      </c>
      <c r="F29" s="89">
        <v>5000</v>
      </c>
      <c r="G29" s="89">
        <v>5000</v>
      </c>
      <c r="H29" s="89">
        <v>5000</v>
      </c>
      <c r="I29" s="89">
        <v>5000</v>
      </c>
      <c r="J29" s="89">
        <v>5000</v>
      </c>
      <c r="K29" s="89">
        <v>5000</v>
      </c>
      <c r="L29" s="89">
        <v>5000</v>
      </c>
      <c r="M29" s="89">
        <v>5000</v>
      </c>
      <c r="N29" s="89">
        <v>5000</v>
      </c>
      <c r="O29" s="89">
        <v>5000</v>
      </c>
      <c r="P29" s="89">
        <v>5000</v>
      </c>
      <c r="Q29" s="89">
        <v>5000</v>
      </c>
      <c r="R29" s="89">
        <v>5000</v>
      </c>
      <c r="S29" s="89">
        <v>5000</v>
      </c>
      <c r="T29" s="89">
        <v>5000</v>
      </c>
      <c r="U29" s="89">
        <v>5000</v>
      </c>
      <c r="V29" s="89">
        <v>5000</v>
      </c>
      <c r="W29" s="89">
        <v>5000</v>
      </c>
      <c r="X29" s="89">
        <v>5000</v>
      </c>
      <c r="Y29" s="89">
        <v>5000</v>
      </c>
      <c r="Z29" s="89">
        <v>5000</v>
      </c>
      <c r="AA29" s="89">
        <v>5000</v>
      </c>
      <c r="AB29" s="89">
        <v>5000</v>
      </c>
      <c r="AC29" s="226"/>
      <c r="AD29" s="19"/>
    </row>
    <row r="30" spans="2:31" ht="18.649999999999999" customHeight="1" thickBot="1" x14ac:dyDescent="0.4">
      <c r="B30" s="213"/>
      <c r="C30" s="16" t="s">
        <v>32</v>
      </c>
      <c r="D30" s="93">
        <v>2</v>
      </c>
      <c r="E30" s="90">
        <v>5000</v>
      </c>
      <c r="F30" s="90">
        <v>5000</v>
      </c>
      <c r="G30" s="90">
        <v>5000</v>
      </c>
      <c r="H30" s="90">
        <v>5000</v>
      </c>
      <c r="I30" s="90">
        <v>5000</v>
      </c>
      <c r="J30" s="90">
        <v>5000</v>
      </c>
      <c r="K30" s="90">
        <v>5000</v>
      </c>
      <c r="L30" s="90">
        <v>5000</v>
      </c>
      <c r="M30" s="90">
        <v>5000</v>
      </c>
      <c r="N30" s="90">
        <v>5000</v>
      </c>
      <c r="O30" s="90">
        <v>5000</v>
      </c>
      <c r="P30" s="90">
        <v>5000</v>
      </c>
      <c r="Q30" s="90">
        <v>5000</v>
      </c>
      <c r="R30" s="90">
        <v>5000</v>
      </c>
      <c r="S30" s="90">
        <v>5000</v>
      </c>
      <c r="T30" s="90">
        <v>5000</v>
      </c>
      <c r="U30" s="90">
        <v>5000</v>
      </c>
      <c r="V30" s="90">
        <v>5000</v>
      </c>
      <c r="W30" s="90">
        <v>5000</v>
      </c>
      <c r="X30" s="90">
        <v>5000</v>
      </c>
      <c r="Y30" s="90">
        <v>5000</v>
      </c>
      <c r="Z30" s="90">
        <v>5000</v>
      </c>
      <c r="AA30" s="90">
        <v>5000</v>
      </c>
      <c r="AB30" s="90">
        <v>5000</v>
      </c>
      <c r="AC30" s="226"/>
      <c r="AD30" s="19"/>
    </row>
    <row r="31" spans="2:31" ht="18.649999999999999" customHeight="1" thickBot="1" x14ac:dyDescent="0.4">
      <c r="B31" s="222">
        <v>46174</v>
      </c>
      <c r="C31" s="7" t="s">
        <v>29</v>
      </c>
      <c r="D31" s="93">
        <v>19</v>
      </c>
      <c r="E31" s="88">
        <v>5000</v>
      </c>
      <c r="F31" s="88">
        <v>5000</v>
      </c>
      <c r="G31" s="88">
        <v>5000</v>
      </c>
      <c r="H31" s="88">
        <v>5000</v>
      </c>
      <c r="I31" s="88">
        <v>5000</v>
      </c>
      <c r="J31" s="88">
        <v>5000</v>
      </c>
      <c r="K31" s="88">
        <v>5000</v>
      </c>
      <c r="L31" s="88">
        <v>5000</v>
      </c>
      <c r="M31" s="88">
        <v>5000</v>
      </c>
      <c r="N31" s="88">
        <v>5000</v>
      </c>
      <c r="O31" s="88">
        <v>5000</v>
      </c>
      <c r="P31" s="88">
        <v>5000</v>
      </c>
      <c r="Q31" s="88">
        <v>5000</v>
      </c>
      <c r="R31" s="88">
        <v>5000</v>
      </c>
      <c r="S31" s="88">
        <v>5000</v>
      </c>
      <c r="T31" s="88">
        <v>5000</v>
      </c>
      <c r="U31" s="88">
        <v>5000</v>
      </c>
      <c r="V31" s="88">
        <v>5000</v>
      </c>
      <c r="W31" s="88">
        <v>5000</v>
      </c>
      <c r="X31" s="88">
        <v>5000</v>
      </c>
      <c r="Y31" s="88">
        <v>5000</v>
      </c>
      <c r="Z31" s="88">
        <v>5000</v>
      </c>
      <c r="AA31" s="88">
        <v>5000</v>
      </c>
      <c r="AB31" s="88">
        <v>5000</v>
      </c>
      <c r="AC31" s="225">
        <f>SUM(E31:AB31)*D31+SUM(E32:AB32)*D32+SUM(E33:AB33)*D33+SUM(E34:AB34)*D34</f>
        <v>3600000</v>
      </c>
      <c r="AD31" s="19"/>
    </row>
    <row r="32" spans="2:31" ht="18.649999999999999" customHeight="1" thickBot="1" x14ac:dyDescent="0.4">
      <c r="B32" s="223" t="s">
        <v>34</v>
      </c>
      <c r="C32" s="10" t="s">
        <v>30</v>
      </c>
      <c r="D32" s="93">
        <v>4</v>
      </c>
      <c r="E32" s="89">
        <v>5000</v>
      </c>
      <c r="F32" s="89">
        <v>5000</v>
      </c>
      <c r="G32" s="89">
        <v>5000</v>
      </c>
      <c r="H32" s="89">
        <v>5000</v>
      </c>
      <c r="I32" s="89">
        <v>5000</v>
      </c>
      <c r="J32" s="89">
        <v>5000</v>
      </c>
      <c r="K32" s="89">
        <v>5000</v>
      </c>
      <c r="L32" s="89">
        <v>5000</v>
      </c>
      <c r="M32" s="89">
        <v>5000</v>
      </c>
      <c r="N32" s="89">
        <v>5000</v>
      </c>
      <c r="O32" s="89">
        <v>5000</v>
      </c>
      <c r="P32" s="89">
        <v>5000</v>
      </c>
      <c r="Q32" s="89">
        <v>5000</v>
      </c>
      <c r="R32" s="89">
        <v>5000</v>
      </c>
      <c r="S32" s="89">
        <v>5000</v>
      </c>
      <c r="T32" s="89">
        <v>5000</v>
      </c>
      <c r="U32" s="89">
        <v>5000</v>
      </c>
      <c r="V32" s="89">
        <v>5000</v>
      </c>
      <c r="W32" s="89">
        <v>5000</v>
      </c>
      <c r="X32" s="89">
        <v>5000</v>
      </c>
      <c r="Y32" s="89">
        <v>5000</v>
      </c>
      <c r="Z32" s="89">
        <v>5000</v>
      </c>
      <c r="AA32" s="89">
        <v>5000</v>
      </c>
      <c r="AB32" s="89">
        <v>5000</v>
      </c>
      <c r="AC32" s="226"/>
      <c r="AD32" s="19"/>
    </row>
    <row r="33" spans="2:30" ht="18.649999999999999" customHeight="1" thickBot="1" x14ac:dyDescent="0.4">
      <c r="B33" s="223" t="s">
        <v>34</v>
      </c>
      <c r="C33" s="10" t="s">
        <v>31</v>
      </c>
      <c r="D33" s="93">
        <v>4</v>
      </c>
      <c r="E33" s="89">
        <v>5000</v>
      </c>
      <c r="F33" s="89">
        <v>5000</v>
      </c>
      <c r="G33" s="89">
        <v>5000</v>
      </c>
      <c r="H33" s="89">
        <v>5000</v>
      </c>
      <c r="I33" s="89">
        <v>5000</v>
      </c>
      <c r="J33" s="89">
        <v>5000</v>
      </c>
      <c r="K33" s="89">
        <v>5000</v>
      </c>
      <c r="L33" s="89">
        <v>5000</v>
      </c>
      <c r="M33" s="89">
        <v>5000</v>
      </c>
      <c r="N33" s="89">
        <v>5000</v>
      </c>
      <c r="O33" s="89">
        <v>5000</v>
      </c>
      <c r="P33" s="89">
        <v>5000</v>
      </c>
      <c r="Q33" s="89">
        <v>5000</v>
      </c>
      <c r="R33" s="89">
        <v>5000</v>
      </c>
      <c r="S33" s="89">
        <v>5000</v>
      </c>
      <c r="T33" s="89">
        <v>5000</v>
      </c>
      <c r="U33" s="89">
        <v>5000</v>
      </c>
      <c r="V33" s="89">
        <v>5000</v>
      </c>
      <c r="W33" s="89">
        <v>5000</v>
      </c>
      <c r="X33" s="89">
        <v>5000</v>
      </c>
      <c r="Y33" s="89">
        <v>5000</v>
      </c>
      <c r="Z33" s="89">
        <v>5000</v>
      </c>
      <c r="AA33" s="89">
        <v>5000</v>
      </c>
      <c r="AB33" s="89">
        <v>5000</v>
      </c>
      <c r="AC33" s="226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93">
        <v>3</v>
      </c>
      <c r="E34" s="91">
        <v>5000</v>
      </c>
      <c r="F34" s="91">
        <v>5000</v>
      </c>
      <c r="G34" s="91">
        <v>5000</v>
      </c>
      <c r="H34" s="91">
        <v>5000</v>
      </c>
      <c r="I34" s="91">
        <v>5000</v>
      </c>
      <c r="J34" s="91">
        <v>5000</v>
      </c>
      <c r="K34" s="91">
        <v>5000</v>
      </c>
      <c r="L34" s="91">
        <v>5000</v>
      </c>
      <c r="M34" s="91">
        <v>5000</v>
      </c>
      <c r="N34" s="91">
        <v>5000</v>
      </c>
      <c r="O34" s="91">
        <v>5000</v>
      </c>
      <c r="P34" s="91">
        <v>5000</v>
      </c>
      <c r="Q34" s="91">
        <v>5000</v>
      </c>
      <c r="R34" s="91">
        <v>5000</v>
      </c>
      <c r="S34" s="91">
        <v>5000</v>
      </c>
      <c r="T34" s="91">
        <v>5000</v>
      </c>
      <c r="U34" s="91">
        <v>5000</v>
      </c>
      <c r="V34" s="91">
        <v>5000</v>
      </c>
      <c r="W34" s="91">
        <v>5000</v>
      </c>
      <c r="X34" s="91">
        <v>5000</v>
      </c>
      <c r="Y34" s="91">
        <v>5000</v>
      </c>
      <c r="Z34" s="91">
        <v>5000</v>
      </c>
      <c r="AA34" s="91">
        <v>5000</v>
      </c>
      <c r="AB34" s="91">
        <v>5000</v>
      </c>
      <c r="AC34" s="227"/>
      <c r="AD34" s="19"/>
    </row>
    <row r="35" spans="2:30" ht="18.649999999999999" customHeight="1" thickBot="1" x14ac:dyDescent="0.4">
      <c r="B35" s="212">
        <v>46204</v>
      </c>
      <c r="C35" s="14" t="s">
        <v>29</v>
      </c>
      <c r="D35" s="93">
        <v>22</v>
      </c>
      <c r="E35" s="92">
        <v>5000</v>
      </c>
      <c r="F35" s="92">
        <v>5000</v>
      </c>
      <c r="G35" s="92">
        <v>5000</v>
      </c>
      <c r="H35" s="92">
        <v>5000</v>
      </c>
      <c r="I35" s="92">
        <v>5000</v>
      </c>
      <c r="J35" s="92">
        <v>5000</v>
      </c>
      <c r="K35" s="92">
        <v>5000</v>
      </c>
      <c r="L35" s="92">
        <v>5000</v>
      </c>
      <c r="M35" s="92">
        <v>5000</v>
      </c>
      <c r="N35" s="92">
        <v>5000</v>
      </c>
      <c r="O35" s="92">
        <v>5000</v>
      </c>
      <c r="P35" s="92">
        <v>5000</v>
      </c>
      <c r="Q35" s="92">
        <v>5000</v>
      </c>
      <c r="R35" s="92">
        <v>5000</v>
      </c>
      <c r="S35" s="92">
        <v>5000</v>
      </c>
      <c r="T35" s="92">
        <v>5000</v>
      </c>
      <c r="U35" s="92">
        <v>5000</v>
      </c>
      <c r="V35" s="92">
        <v>5000</v>
      </c>
      <c r="W35" s="92">
        <v>5000</v>
      </c>
      <c r="X35" s="92">
        <v>5000</v>
      </c>
      <c r="Y35" s="92">
        <v>5000</v>
      </c>
      <c r="Z35" s="92">
        <v>5000</v>
      </c>
      <c r="AA35" s="92">
        <v>5000</v>
      </c>
      <c r="AB35" s="92">
        <v>5000</v>
      </c>
      <c r="AC35" s="226">
        <f>SUM(E35:AB35)*D35+SUM(E36:AB36)*D36+SUM(E37:AB37)*D37+SUM(E38:AB38)*D38</f>
        <v>3720000</v>
      </c>
      <c r="AD35" s="19"/>
    </row>
    <row r="36" spans="2:30" ht="18.649999999999999" customHeight="1" thickBot="1" x14ac:dyDescent="0.4">
      <c r="B36" s="213"/>
      <c r="C36" s="10" t="s">
        <v>30</v>
      </c>
      <c r="D36" s="93">
        <v>4</v>
      </c>
      <c r="E36" s="89">
        <v>5000</v>
      </c>
      <c r="F36" s="89">
        <v>5000</v>
      </c>
      <c r="G36" s="89">
        <v>5000</v>
      </c>
      <c r="H36" s="89">
        <v>5000</v>
      </c>
      <c r="I36" s="89">
        <v>5000</v>
      </c>
      <c r="J36" s="89">
        <v>5000</v>
      </c>
      <c r="K36" s="89">
        <v>5000</v>
      </c>
      <c r="L36" s="89">
        <v>5000</v>
      </c>
      <c r="M36" s="89">
        <v>5000</v>
      </c>
      <c r="N36" s="89">
        <v>5000</v>
      </c>
      <c r="O36" s="89">
        <v>5000</v>
      </c>
      <c r="P36" s="89">
        <v>5000</v>
      </c>
      <c r="Q36" s="89">
        <v>5000</v>
      </c>
      <c r="R36" s="89">
        <v>5000</v>
      </c>
      <c r="S36" s="89">
        <v>5000</v>
      </c>
      <c r="T36" s="89">
        <v>5000</v>
      </c>
      <c r="U36" s="89">
        <v>5000</v>
      </c>
      <c r="V36" s="89">
        <v>5000</v>
      </c>
      <c r="W36" s="89">
        <v>5000</v>
      </c>
      <c r="X36" s="89">
        <v>5000</v>
      </c>
      <c r="Y36" s="89">
        <v>5000</v>
      </c>
      <c r="Z36" s="89">
        <v>5000</v>
      </c>
      <c r="AA36" s="89">
        <v>5000</v>
      </c>
      <c r="AB36" s="89">
        <v>5000</v>
      </c>
      <c r="AC36" s="226"/>
      <c r="AD36" s="19"/>
    </row>
    <row r="37" spans="2:30" ht="18.649999999999999" customHeight="1" thickBot="1" x14ac:dyDescent="0.4">
      <c r="B37" s="213"/>
      <c r="C37" s="10" t="s">
        <v>31</v>
      </c>
      <c r="D37" s="93">
        <v>4</v>
      </c>
      <c r="E37" s="89">
        <v>5000</v>
      </c>
      <c r="F37" s="89">
        <v>5000</v>
      </c>
      <c r="G37" s="89">
        <v>5000</v>
      </c>
      <c r="H37" s="89">
        <v>5000</v>
      </c>
      <c r="I37" s="89">
        <v>5000</v>
      </c>
      <c r="J37" s="89">
        <v>5000</v>
      </c>
      <c r="K37" s="89">
        <v>5000</v>
      </c>
      <c r="L37" s="89">
        <v>5000</v>
      </c>
      <c r="M37" s="89">
        <v>5000</v>
      </c>
      <c r="N37" s="89">
        <v>5000</v>
      </c>
      <c r="O37" s="89">
        <v>5000</v>
      </c>
      <c r="P37" s="89">
        <v>5000</v>
      </c>
      <c r="Q37" s="89">
        <v>5000</v>
      </c>
      <c r="R37" s="89">
        <v>5000</v>
      </c>
      <c r="S37" s="89">
        <v>5000</v>
      </c>
      <c r="T37" s="89">
        <v>5000</v>
      </c>
      <c r="U37" s="89">
        <v>5000</v>
      </c>
      <c r="V37" s="89">
        <v>5000</v>
      </c>
      <c r="W37" s="89">
        <v>5000</v>
      </c>
      <c r="X37" s="89">
        <v>5000</v>
      </c>
      <c r="Y37" s="89">
        <v>5000</v>
      </c>
      <c r="Z37" s="89">
        <v>5000</v>
      </c>
      <c r="AA37" s="89">
        <v>5000</v>
      </c>
      <c r="AB37" s="89">
        <v>5000</v>
      </c>
      <c r="AC37" s="226"/>
      <c r="AD37" s="19"/>
    </row>
    <row r="38" spans="2:30" ht="18.649999999999999" customHeight="1" thickBot="1" x14ac:dyDescent="0.4">
      <c r="B38" s="213"/>
      <c r="C38" s="16" t="s">
        <v>32</v>
      </c>
      <c r="D38" s="93">
        <v>1</v>
      </c>
      <c r="E38" s="90">
        <v>5000</v>
      </c>
      <c r="F38" s="90">
        <v>5000</v>
      </c>
      <c r="G38" s="90">
        <v>5000</v>
      </c>
      <c r="H38" s="90">
        <v>5000</v>
      </c>
      <c r="I38" s="90">
        <v>5000</v>
      </c>
      <c r="J38" s="90">
        <v>5000</v>
      </c>
      <c r="K38" s="90">
        <v>5000</v>
      </c>
      <c r="L38" s="90">
        <v>5000</v>
      </c>
      <c r="M38" s="90">
        <v>5000</v>
      </c>
      <c r="N38" s="90">
        <v>5000</v>
      </c>
      <c r="O38" s="90">
        <v>5000</v>
      </c>
      <c r="P38" s="90">
        <v>5000</v>
      </c>
      <c r="Q38" s="90">
        <v>5000</v>
      </c>
      <c r="R38" s="90">
        <v>5000</v>
      </c>
      <c r="S38" s="90">
        <v>5000</v>
      </c>
      <c r="T38" s="90">
        <v>5000</v>
      </c>
      <c r="U38" s="90">
        <v>5000</v>
      </c>
      <c r="V38" s="90">
        <v>5000</v>
      </c>
      <c r="W38" s="90">
        <v>5000</v>
      </c>
      <c r="X38" s="90">
        <v>5000</v>
      </c>
      <c r="Y38" s="90">
        <v>5000</v>
      </c>
      <c r="Z38" s="90">
        <v>5000</v>
      </c>
      <c r="AA38" s="90">
        <v>5000</v>
      </c>
      <c r="AB38" s="90">
        <v>5000</v>
      </c>
      <c r="AC38" s="226"/>
      <c r="AD38" s="19"/>
    </row>
    <row r="39" spans="2:30" ht="18.649999999999999" customHeight="1" thickBot="1" x14ac:dyDescent="0.4">
      <c r="B39" s="222">
        <v>46235</v>
      </c>
      <c r="C39" s="7" t="s">
        <v>29</v>
      </c>
      <c r="D39" s="93">
        <v>19</v>
      </c>
      <c r="E39" s="88">
        <v>5000</v>
      </c>
      <c r="F39" s="88">
        <v>5000</v>
      </c>
      <c r="G39" s="88">
        <v>5000</v>
      </c>
      <c r="H39" s="88">
        <v>5000</v>
      </c>
      <c r="I39" s="88">
        <v>5000</v>
      </c>
      <c r="J39" s="88">
        <v>5000</v>
      </c>
      <c r="K39" s="88">
        <v>5000</v>
      </c>
      <c r="L39" s="88">
        <v>5000</v>
      </c>
      <c r="M39" s="88">
        <v>5000</v>
      </c>
      <c r="N39" s="88">
        <v>5000</v>
      </c>
      <c r="O39" s="88">
        <v>5000</v>
      </c>
      <c r="P39" s="88">
        <v>5000</v>
      </c>
      <c r="Q39" s="88">
        <v>5000</v>
      </c>
      <c r="R39" s="88">
        <v>5000</v>
      </c>
      <c r="S39" s="88">
        <v>5000</v>
      </c>
      <c r="T39" s="88">
        <v>5000</v>
      </c>
      <c r="U39" s="88">
        <v>5000</v>
      </c>
      <c r="V39" s="88">
        <v>5000</v>
      </c>
      <c r="W39" s="88">
        <v>5000</v>
      </c>
      <c r="X39" s="88">
        <v>5000</v>
      </c>
      <c r="Y39" s="88">
        <v>5000</v>
      </c>
      <c r="Z39" s="88">
        <v>5000</v>
      </c>
      <c r="AA39" s="88">
        <v>5000</v>
      </c>
      <c r="AB39" s="88">
        <v>5000</v>
      </c>
      <c r="AC39" s="225">
        <f>SUM(E39:AB39)*D39+SUM(E40:AB40)*D40+SUM(E41:AB41)*D41+SUM(E42:AB42)*D42</f>
        <v>3720000</v>
      </c>
      <c r="AD39" s="19"/>
    </row>
    <row r="40" spans="2:30" ht="18.649999999999999" customHeight="1" thickBot="1" x14ac:dyDescent="0.4">
      <c r="B40" s="223" t="s">
        <v>34</v>
      </c>
      <c r="C40" s="10" t="s">
        <v>30</v>
      </c>
      <c r="D40" s="93">
        <v>5</v>
      </c>
      <c r="E40" s="89">
        <v>5000</v>
      </c>
      <c r="F40" s="89">
        <v>5000</v>
      </c>
      <c r="G40" s="89">
        <v>5000</v>
      </c>
      <c r="H40" s="89">
        <v>5000</v>
      </c>
      <c r="I40" s="89">
        <v>5000</v>
      </c>
      <c r="J40" s="89">
        <v>5000</v>
      </c>
      <c r="K40" s="89">
        <v>5000</v>
      </c>
      <c r="L40" s="89">
        <v>5000</v>
      </c>
      <c r="M40" s="89">
        <v>5000</v>
      </c>
      <c r="N40" s="89">
        <v>5000</v>
      </c>
      <c r="O40" s="89">
        <v>5000</v>
      </c>
      <c r="P40" s="89">
        <v>5000</v>
      </c>
      <c r="Q40" s="89">
        <v>5000</v>
      </c>
      <c r="R40" s="89">
        <v>5000</v>
      </c>
      <c r="S40" s="89">
        <v>5000</v>
      </c>
      <c r="T40" s="89">
        <v>5000</v>
      </c>
      <c r="U40" s="89">
        <v>5000</v>
      </c>
      <c r="V40" s="89">
        <v>5000</v>
      </c>
      <c r="W40" s="89">
        <v>5000</v>
      </c>
      <c r="X40" s="89">
        <v>5000</v>
      </c>
      <c r="Y40" s="89">
        <v>5000</v>
      </c>
      <c r="Z40" s="89">
        <v>5000</v>
      </c>
      <c r="AA40" s="89">
        <v>5000</v>
      </c>
      <c r="AB40" s="89">
        <v>5000</v>
      </c>
      <c r="AC40" s="226"/>
      <c r="AD40" s="19"/>
    </row>
    <row r="41" spans="2:30" ht="18.649999999999999" customHeight="1" thickBot="1" x14ac:dyDescent="0.4">
      <c r="B41" s="223" t="s">
        <v>34</v>
      </c>
      <c r="C41" s="10" t="s">
        <v>31</v>
      </c>
      <c r="D41" s="93">
        <v>5</v>
      </c>
      <c r="E41" s="89">
        <v>5000</v>
      </c>
      <c r="F41" s="89">
        <v>5000</v>
      </c>
      <c r="G41" s="89">
        <v>5000</v>
      </c>
      <c r="H41" s="89">
        <v>5000</v>
      </c>
      <c r="I41" s="89">
        <v>5000</v>
      </c>
      <c r="J41" s="89">
        <v>5000</v>
      </c>
      <c r="K41" s="89">
        <v>5000</v>
      </c>
      <c r="L41" s="89">
        <v>5000</v>
      </c>
      <c r="M41" s="89">
        <v>5000</v>
      </c>
      <c r="N41" s="89">
        <v>5000</v>
      </c>
      <c r="O41" s="89">
        <v>5000</v>
      </c>
      <c r="P41" s="89">
        <v>5000</v>
      </c>
      <c r="Q41" s="89">
        <v>5000</v>
      </c>
      <c r="R41" s="89">
        <v>5000</v>
      </c>
      <c r="S41" s="89">
        <v>5000</v>
      </c>
      <c r="T41" s="89">
        <v>5000</v>
      </c>
      <c r="U41" s="89">
        <v>5000</v>
      </c>
      <c r="V41" s="89">
        <v>5000</v>
      </c>
      <c r="W41" s="89">
        <v>5000</v>
      </c>
      <c r="X41" s="89">
        <v>5000</v>
      </c>
      <c r="Y41" s="89">
        <v>5000</v>
      </c>
      <c r="Z41" s="89">
        <v>5000</v>
      </c>
      <c r="AA41" s="89">
        <v>5000</v>
      </c>
      <c r="AB41" s="89">
        <v>5000</v>
      </c>
      <c r="AC41" s="226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93">
        <v>2</v>
      </c>
      <c r="E42" s="91">
        <v>5000</v>
      </c>
      <c r="F42" s="91">
        <v>5000</v>
      </c>
      <c r="G42" s="91">
        <v>5000</v>
      </c>
      <c r="H42" s="91">
        <v>5000</v>
      </c>
      <c r="I42" s="91">
        <v>5000</v>
      </c>
      <c r="J42" s="91">
        <v>5000</v>
      </c>
      <c r="K42" s="91">
        <v>5000</v>
      </c>
      <c r="L42" s="91">
        <v>5000</v>
      </c>
      <c r="M42" s="91">
        <v>5000</v>
      </c>
      <c r="N42" s="91">
        <v>5000</v>
      </c>
      <c r="O42" s="91">
        <v>5000</v>
      </c>
      <c r="P42" s="91">
        <v>5000</v>
      </c>
      <c r="Q42" s="91">
        <v>5000</v>
      </c>
      <c r="R42" s="91">
        <v>5000</v>
      </c>
      <c r="S42" s="91">
        <v>5000</v>
      </c>
      <c r="T42" s="91">
        <v>5000</v>
      </c>
      <c r="U42" s="91">
        <v>5000</v>
      </c>
      <c r="V42" s="91">
        <v>5000</v>
      </c>
      <c r="W42" s="91">
        <v>5000</v>
      </c>
      <c r="X42" s="91">
        <v>5000</v>
      </c>
      <c r="Y42" s="91">
        <v>5000</v>
      </c>
      <c r="Z42" s="91">
        <v>5000</v>
      </c>
      <c r="AA42" s="91">
        <v>5000</v>
      </c>
      <c r="AB42" s="91">
        <v>5000</v>
      </c>
      <c r="AC42" s="227"/>
      <c r="AD42" s="19"/>
    </row>
    <row r="43" spans="2:30" ht="18.649999999999999" customHeight="1" thickBot="1" x14ac:dyDescent="0.4">
      <c r="B43" s="212">
        <v>46266</v>
      </c>
      <c r="C43" s="14" t="s">
        <v>29</v>
      </c>
      <c r="D43" s="93">
        <v>22</v>
      </c>
      <c r="E43" s="92">
        <v>5000</v>
      </c>
      <c r="F43" s="92">
        <v>5000</v>
      </c>
      <c r="G43" s="92">
        <v>5000</v>
      </c>
      <c r="H43" s="92">
        <v>5000</v>
      </c>
      <c r="I43" s="92">
        <v>5000</v>
      </c>
      <c r="J43" s="92">
        <v>5000</v>
      </c>
      <c r="K43" s="92">
        <v>5000</v>
      </c>
      <c r="L43" s="92">
        <v>5000</v>
      </c>
      <c r="M43" s="92">
        <v>5000</v>
      </c>
      <c r="N43" s="92">
        <v>5000</v>
      </c>
      <c r="O43" s="92">
        <v>5000</v>
      </c>
      <c r="P43" s="92">
        <v>5000</v>
      </c>
      <c r="Q43" s="92">
        <v>5000</v>
      </c>
      <c r="R43" s="92">
        <v>5000</v>
      </c>
      <c r="S43" s="92">
        <v>5000</v>
      </c>
      <c r="T43" s="92">
        <v>5000</v>
      </c>
      <c r="U43" s="92">
        <v>5000</v>
      </c>
      <c r="V43" s="92">
        <v>5000</v>
      </c>
      <c r="W43" s="92">
        <v>5000</v>
      </c>
      <c r="X43" s="92">
        <v>5000</v>
      </c>
      <c r="Y43" s="92">
        <v>5000</v>
      </c>
      <c r="Z43" s="92">
        <v>5000</v>
      </c>
      <c r="AA43" s="92">
        <v>5000</v>
      </c>
      <c r="AB43" s="92">
        <v>5000</v>
      </c>
      <c r="AC43" s="226">
        <f>SUM(E43:AB43)*D43+SUM(E44:AB44)*D44+SUM(E45:AB45)*D45+SUM(E46:AB46)*D46</f>
        <v>3600000</v>
      </c>
      <c r="AD43" s="19"/>
    </row>
    <row r="44" spans="2:30" ht="18.649999999999999" customHeight="1" thickBot="1" x14ac:dyDescent="0.4">
      <c r="B44" s="213"/>
      <c r="C44" s="10" t="s">
        <v>30</v>
      </c>
      <c r="D44" s="93">
        <v>4</v>
      </c>
      <c r="E44" s="89">
        <v>5000</v>
      </c>
      <c r="F44" s="89">
        <v>5000</v>
      </c>
      <c r="G44" s="89">
        <v>5000</v>
      </c>
      <c r="H44" s="89">
        <v>5000</v>
      </c>
      <c r="I44" s="89">
        <v>5000</v>
      </c>
      <c r="J44" s="89">
        <v>5000</v>
      </c>
      <c r="K44" s="89">
        <v>5000</v>
      </c>
      <c r="L44" s="89">
        <v>5000</v>
      </c>
      <c r="M44" s="89">
        <v>5000</v>
      </c>
      <c r="N44" s="89">
        <v>5000</v>
      </c>
      <c r="O44" s="89">
        <v>5000</v>
      </c>
      <c r="P44" s="89">
        <v>5000</v>
      </c>
      <c r="Q44" s="89">
        <v>5000</v>
      </c>
      <c r="R44" s="89">
        <v>5000</v>
      </c>
      <c r="S44" s="89">
        <v>5000</v>
      </c>
      <c r="T44" s="89">
        <v>5000</v>
      </c>
      <c r="U44" s="89">
        <v>5000</v>
      </c>
      <c r="V44" s="89">
        <v>5000</v>
      </c>
      <c r="W44" s="89">
        <v>5000</v>
      </c>
      <c r="X44" s="89">
        <v>5000</v>
      </c>
      <c r="Y44" s="89">
        <v>5000</v>
      </c>
      <c r="Z44" s="89">
        <v>5000</v>
      </c>
      <c r="AA44" s="89">
        <v>5000</v>
      </c>
      <c r="AB44" s="89">
        <v>5000</v>
      </c>
      <c r="AC44" s="226"/>
      <c r="AD44" s="19"/>
    </row>
    <row r="45" spans="2:30" ht="18.649999999999999" customHeight="1" thickBot="1" x14ac:dyDescent="0.4">
      <c r="B45" s="213"/>
      <c r="C45" s="10" t="s">
        <v>31</v>
      </c>
      <c r="D45" s="93">
        <v>4</v>
      </c>
      <c r="E45" s="89">
        <v>5000</v>
      </c>
      <c r="F45" s="89">
        <v>5000</v>
      </c>
      <c r="G45" s="89">
        <v>5000</v>
      </c>
      <c r="H45" s="89">
        <v>5000</v>
      </c>
      <c r="I45" s="89">
        <v>5000</v>
      </c>
      <c r="J45" s="89">
        <v>5000</v>
      </c>
      <c r="K45" s="89">
        <v>5000</v>
      </c>
      <c r="L45" s="89">
        <v>5000</v>
      </c>
      <c r="M45" s="89">
        <v>5000</v>
      </c>
      <c r="N45" s="89">
        <v>5000</v>
      </c>
      <c r="O45" s="89">
        <v>5000</v>
      </c>
      <c r="P45" s="89">
        <v>5000</v>
      </c>
      <c r="Q45" s="89">
        <v>5000</v>
      </c>
      <c r="R45" s="89">
        <v>5000</v>
      </c>
      <c r="S45" s="89">
        <v>5000</v>
      </c>
      <c r="T45" s="89">
        <v>5000</v>
      </c>
      <c r="U45" s="89">
        <v>5000</v>
      </c>
      <c r="V45" s="89">
        <v>5000</v>
      </c>
      <c r="W45" s="89">
        <v>5000</v>
      </c>
      <c r="X45" s="89">
        <v>5000</v>
      </c>
      <c r="Y45" s="89">
        <v>5000</v>
      </c>
      <c r="Z45" s="89">
        <v>5000</v>
      </c>
      <c r="AA45" s="89">
        <v>5000</v>
      </c>
      <c r="AB45" s="89">
        <v>5000</v>
      </c>
      <c r="AC45" s="226"/>
      <c r="AD45" s="19"/>
    </row>
    <row r="46" spans="2:30" ht="18.649999999999999" customHeight="1" thickBot="1" x14ac:dyDescent="0.4">
      <c r="B46" s="213"/>
      <c r="C46" s="16" t="s">
        <v>32</v>
      </c>
      <c r="D46" s="93">
        <v>0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226"/>
      <c r="AD46" s="19"/>
    </row>
    <row r="47" spans="2:30" ht="18.649999999999999" customHeight="1" thickBot="1" x14ac:dyDescent="0.4">
      <c r="B47" s="222">
        <v>46296</v>
      </c>
      <c r="C47" s="7" t="s">
        <v>29</v>
      </c>
      <c r="D47" s="93">
        <v>21</v>
      </c>
      <c r="E47" s="88">
        <v>5000</v>
      </c>
      <c r="F47" s="88">
        <v>5000</v>
      </c>
      <c r="G47" s="88">
        <v>5000</v>
      </c>
      <c r="H47" s="88">
        <v>5000</v>
      </c>
      <c r="I47" s="88">
        <v>5000</v>
      </c>
      <c r="J47" s="88">
        <v>5000</v>
      </c>
      <c r="K47" s="88">
        <v>5000</v>
      </c>
      <c r="L47" s="88">
        <v>5000</v>
      </c>
      <c r="M47" s="88">
        <v>5000</v>
      </c>
      <c r="N47" s="88">
        <v>5000</v>
      </c>
      <c r="O47" s="88">
        <v>5000</v>
      </c>
      <c r="P47" s="88">
        <v>5000</v>
      </c>
      <c r="Q47" s="88">
        <v>5000</v>
      </c>
      <c r="R47" s="88">
        <v>5000</v>
      </c>
      <c r="S47" s="88">
        <v>5000</v>
      </c>
      <c r="T47" s="88">
        <v>5000</v>
      </c>
      <c r="U47" s="88">
        <v>5000</v>
      </c>
      <c r="V47" s="88">
        <v>5000</v>
      </c>
      <c r="W47" s="88">
        <v>5000</v>
      </c>
      <c r="X47" s="88">
        <v>5000</v>
      </c>
      <c r="Y47" s="88">
        <v>5000</v>
      </c>
      <c r="Z47" s="88">
        <v>5000</v>
      </c>
      <c r="AA47" s="88">
        <v>5000</v>
      </c>
      <c r="AB47" s="88">
        <v>5000</v>
      </c>
      <c r="AC47" s="225">
        <f>SUM(E47:AB47)*D47+SUM(E48:AB48)*D48+SUM(E49:AB49)*D49+SUM(E50:AB50)*D50</f>
        <v>3720000</v>
      </c>
      <c r="AD47" s="19"/>
    </row>
    <row r="48" spans="2:30" ht="18.649999999999999" customHeight="1" thickBot="1" x14ac:dyDescent="0.4">
      <c r="B48" s="223" t="s">
        <v>34</v>
      </c>
      <c r="C48" s="10" t="s">
        <v>30</v>
      </c>
      <c r="D48" s="93">
        <v>5</v>
      </c>
      <c r="E48" s="89">
        <v>5000</v>
      </c>
      <c r="F48" s="89">
        <v>5000</v>
      </c>
      <c r="G48" s="89">
        <v>5000</v>
      </c>
      <c r="H48" s="89">
        <v>5000</v>
      </c>
      <c r="I48" s="89">
        <v>5000</v>
      </c>
      <c r="J48" s="89">
        <v>5000</v>
      </c>
      <c r="K48" s="89">
        <v>5000</v>
      </c>
      <c r="L48" s="89">
        <v>5000</v>
      </c>
      <c r="M48" s="89">
        <v>5000</v>
      </c>
      <c r="N48" s="89">
        <v>5000</v>
      </c>
      <c r="O48" s="89">
        <v>5000</v>
      </c>
      <c r="P48" s="89">
        <v>5000</v>
      </c>
      <c r="Q48" s="89">
        <v>5000</v>
      </c>
      <c r="R48" s="89">
        <v>5000</v>
      </c>
      <c r="S48" s="89">
        <v>5000</v>
      </c>
      <c r="T48" s="89">
        <v>5000</v>
      </c>
      <c r="U48" s="89">
        <v>5000</v>
      </c>
      <c r="V48" s="89">
        <v>5000</v>
      </c>
      <c r="W48" s="89">
        <v>5000</v>
      </c>
      <c r="X48" s="89">
        <v>5000</v>
      </c>
      <c r="Y48" s="89">
        <v>5000</v>
      </c>
      <c r="Z48" s="89">
        <v>5000</v>
      </c>
      <c r="AA48" s="89">
        <v>5000</v>
      </c>
      <c r="AB48" s="89">
        <v>5000</v>
      </c>
      <c r="AC48" s="226"/>
      <c r="AD48" s="19"/>
    </row>
    <row r="49" spans="2:31" ht="18.649999999999999" customHeight="1" thickBot="1" x14ac:dyDescent="0.4">
      <c r="B49" s="223" t="s">
        <v>34</v>
      </c>
      <c r="C49" s="10" t="s">
        <v>31</v>
      </c>
      <c r="D49" s="93">
        <v>4</v>
      </c>
      <c r="E49" s="89">
        <v>5000</v>
      </c>
      <c r="F49" s="89">
        <v>5000</v>
      </c>
      <c r="G49" s="89">
        <v>5000</v>
      </c>
      <c r="H49" s="89">
        <v>5000</v>
      </c>
      <c r="I49" s="89">
        <v>5000</v>
      </c>
      <c r="J49" s="89">
        <v>5000</v>
      </c>
      <c r="K49" s="89">
        <v>5000</v>
      </c>
      <c r="L49" s="89">
        <v>5000</v>
      </c>
      <c r="M49" s="89">
        <v>5000</v>
      </c>
      <c r="N49" s="89">
        <v>5000</v>
      </c>
      <c r="O49" s="89">
        <v>5000</v>
      </c>
      <c r="P49" s="89">
        <v>5000</v>
      </c>
      <c r="Q49" s="89">
        <v>5000</v>
      </c>
      <c r="R49" s="89">
        <v>5000</v>
      </c>
      <c r="S49" s="89">
        <v>5000</v>
      </c>
      <c r="T49" s="89">
        <v>5000</v>
      </c>
      <c r="U49" s="89">
        <v>5000</v>
      </c>
      <c r="V49" s="89">
        <v>5000</v>
      </c>
      <c r="W49" s="89">
        <v>5000</v>
      </c>
      <c r="X49" s="89">
        <v>5000</v>
      </c>
      <c r="Y49" s="89">
        <v>5000</v>
      </c>
      <c r="Z49" s="89">
        <v>5000</v>
      </c>
      <c r="AA49" s="89">
        <v>5000</v>
      </c>
      <c r="AB49" s="89">
        <v>5000</v>
      </c>
      <c r="AC49" s="226"/>
      <c r="AD49" s="19"/>
    </row>
    <row r="50" spans="2:31" ht="18.649999999999999" customHeight="1" thickBot="1" x14ac:dyDescent="0.4">
      <c r="B50" s="224" t="s">
        <v>34</v>
      </c>
      <c r="C50" s="12" t="s">
        <v>32</v>
      </c>
      <c r="D50" s="93">
        <v>1</v>
      </c>
      <c r="E50" s="91">
        <v>5000</v>
      </c>
      <c r="F50" s="91">
        <v>5000</v>
      </c>
      <c r="G50" s="91">
        <v>5000</v>
      </c>
      <c r="H50" s="91">
        <v>5000</v>
      </c>
      <c r="I50" s="91">
        <v>5000</v>
      </c>
      <c r="J50" s="91">
        <v>5000</v>
      </c>
      <c r="K50" s="91">
        <v>5000</v>
      </c>
      <c r="L50" s="91">
        <v>5000</v>
      </c>
      <c r="M50" s="91">
        <v>5000</v>
      </c>
      <c r="N50" s="91">
        <v>5000</v>
      </c>
      <c r="O50" s="91">
        <v>5000</v>
      </c>
      <c r="P50" s="91">
        <v>5000</v>
      </c>
      <c r="Q50" s="91">
        <v>5000</v>
      </c>
      <c r="R50" s="91">
        <v>5000</v>
      </c>
      <c r="S50" s="91">
        <v>5000</v>
      </c>
      <c r="T50" s="91">
        <v>5000</v>
      </c>
      <c r="U50" s="91">
        <v>5000</v>
      </c>
      <c r="V50" s="91">
        <v>5000</v>
      </c>
      <c r="W50" s="91">
        <v>5000</v>
      </c>
      <c r="X50" s="91">
        <v>5000</v>
      </c>
      <c r="Y50" s="91">
        <v>5000</v>
      </c>
      <c r="Z50" s="91">
        <v>5000</v>
      </c>
      <c r="AA50" s="91">
        <v>5000</v>
      </c>
      <c r="AB50" s="91">
        <v>5000</v>
      </c>
      <c r="AC50" s="227"/>
      <c r="AD50" s="19"/>
    </row>
    <row r="51" spans="2:31" ht="18.649999999999999" customHeight="1" thickBot="1" x14ac:dyDescent="0.4">
      <c r="B51" s="212">
        <v>46327</v>
      </c>
      <c r="C51" s="14" t="s">
        <v>29</v>
      </c>
      <c r="D51" s="93">
        <v>19</v>
      </c>
      <c r="E51" s="92">
        <v>5000</v>
      </c>
      <c r="F51" s="92">
        <v>5000</v>
      </c>
      <c r="G51" s="92">
        <v>5000</v>
      </c>
      <c r="H51" s="92">
        <v>5000</v>
      </c>
      <c r="I51" s="92">
        <v>5000</v>
      </c>
      <c r="J51" s="92">
        <v>5000</v>
      </c>
      <c r="K51" s="92">
        <v>5000</v>
      </c>
      <c r="L51" s="92">
        <v>5000</v>
      </c>
      <c r="M51" s="92">
        <v>5000</v>
      </c>
      <c r="N51" s="92">
        <v>5000</v>
      </c>
      <c r="O51" s="92">
        <v>5000</v>
      </c>
      <c r="P51" s="92">
        <v>5000</v>
      </c>
      <c r="Q51" s="92">
        <v>5000</v>
      </c>
      <c r="R51" s="92">
        <v>5000</v>
      </c>
      <c r="S51" s="92">
        <v>5000</v>
      </c>
      <c r="T51" s="92">
        <v>5000</v>
      </c>
      <c r="U51" s="92">
        <v>5000</v>
      </c>
      <c r="V51" s="92">
        <v>5000</v>
      </c>
      <c r="W51" s="92">
        <v>5000</v>
      </c>
      <c r="X51" s="92">
        <v>5000</v>
      </c>
      <c r="Y51" s="92">
        <v>5000</v>
      </c>
      <c r="Z51" s="92">
        <v>5000</v>
      </c>
      <c r="AA51" s="92">
        <v>5000</v>
      </c>
      <c r="AB51" s="92">
        <v>5000</v>
      </c>
      <c r="AC51" s="226">
        <f>SUM(E51:AB51)*D51+SUM(E52:AB52)*D52+SUM(E53:AB53)*D53+SUM(E54:AB54)*D54</f>
        <v>3600000</v>
      </c>
      <c r="AD51" s="19"/>
    </row>
    <row r="52" spans="2:31" ht="18.649999999999999" customHeight="1" thickBot="1" x14ac:dyDescent="0.4">
      <c r="B52" s="213"/>
      <c r="C52" s="10" t="s">
        <v>30</v>
      </c>
      <c r="D52" s="93">
        <v>4</v>
      </c>
      <c r="E52" s="89">
        <v>5000</v>
      </c>
      <c r="F52" s="89">
        <v>5000</v>
      </c>
      <c r="G52" s="89">
        <v>5000</v>
      </c>
      <c r="H52" s="89">
        <v>5000</v>
      </c>
      <c r="I52" s="89">
        <v>5000</v>
      </c>
      <c r="J52" s="89">
        <v>5000</v>
      </c>
      <c r="K52" s="89">
        <v>5000</v>
      </c>
      <c r="L52" s="89">
        <v>5000</v>
      </c>
      <c r="M52" s="89">
        <v>5000</v>
      </c>
      <c r="N52" s="89">
        <v>5000</v>
      </c>
      <c r="O52" s="89">
        <v>5000</v>
      </c>
      <c r="P52" s="89">
        <v>5000</v>
      </c>
      <c r="Q52" s="89">
        <v>5000</v>
      </c>
      <c r="R52" s="89">
        <v>5000</v>
      </c>
      <c r="S52" s="89">
        <v>5000</v>
      </c>
      <c r="T52" s="89">
        <v>5000</v>
      </c>
      <c r="U52" s="89">
        <v>5000</v>
      </c>
      <c r="V52" s="89">
        <v>5000</v>
      </c>
      <c r="W52" s="89">
        <v>5000</v>
      </c>
      <c r="X52" s="89">
        <v>5000</v>
      </c>
      <c r="Y52" s="89">
        <v>5000</v>
      </c>
      <c r="Z52" s="89">
        <v>5000</v>
      </c>
      <c r="AA52" s="89">
        <v>5000</v>
      </c>
      <c r="AB52" s="89">
        <v>5000</v>
      </c>
      <c r="AC52" s="226"/>
      <c r="AD52" s="19"/>
    </row>
    <row r="53" spans="2:31" ht="18.649999999999999" customHeight="1" thickBot="1" x14ac:dyDescent="0.4">
      <c r="B53" s="213"/>
      <c r="C53" s="10" t="s">
        <v>31</v>
      </c>
      <c r="D53" s="93">
        <v>5</v>
      </c>
      <c r="E53" s="89">
        <v>5000</v>
      </c>
      <c r="F53" s="89">
        <v>5000</v>
      </c>
      <c r="G53" s="89">
        <v>5000</v>
      </c>
      <c r="H53" s="89">
        <v>5000</v>
      </c>
      <c r="I53" s="89">
        <v>5000</v>
      </c>
      <c r="J53" s="89">
        <v>5000</v>
      </c>
      <c r="K53" s="89">
        <v>5000</v>
      </c>
      <c r="L53" s="89">
        <v>5000</v>
      </c>
      <c r="M53" s="89">
        <v>5000</v>
      </c>
      <c r="N53" s="89">
        <v>5000</v>
      </c>
      <c r="O53" s="89">
        <v>5000</v>
      </c>
      <c r="P53" s="89">
        <v>5000</v>
      </c>
      <c r="Q53" s="89">
        <v>5000</v>
      </c>
      <c r="R53" s="89">
        <v>5000</v>
      </c>
      <c r="S53" s="89">
        <v>5000</v>
      </c>
      <c r="T53" s="89">
        <v>5000</v>
      </c>
      <c r="U53" s="89">
        <v>5000</v>
      </c>
      <c r="V53" s="89">
        <v>5000</v>
      </c>
      <c r="W53" s="89">
        <v>5000</v>
      </c>
      <c r="X53" s="89">
        <v>5000</v>
      </c>
      <c r="Y53" s="89">
        <v>5000</v>
      </c>
      <c r="Z53" s="89">
        <v>5000</v>
      </c>
      <c r="AA53" s="89">
        <v>5000</v>
      </c>
      <c r="AB53" s="89">
        <v>5000</v>
      </c>
      <c r="AC53" s="226"/>
      <c r="AD53" s="19"/>
    </row>
    <row r="54" spans="2:31" ht="18.649999999999999" customHeight="1" thickBot="1" x14ac:dyDescent="0.4">
      <c r="B54" s="213"/>
      <c r="C54" s="16" t="s">
        <v>32</v>
      </c>
      <c r="D54" s="93">
        <v>2</v>
      </c>
      <c r="E54" s="90">
        <v>5000</v>
      </c>
      <c r="F54" s="90">
        <v>5000</v>
      </c>
      <c r="G54" s="90">
        <v>5000</v>
      </c>
      <c r="H54" s="90">
        <v>5000</v>
      </c>
      <c r="I54" s="90">
        <v>5000</v>
      </c>
      <c r="J54" s="90">
        <v>5000</v>
      </c>
      <c r="K54" s="90">
        <v>5000</v>
      </c>
      <c r="L54" s="90">
        <v>5000</v>
      </c>
      <c r="M54" s="90">
        <v>5000</v>
      </c>
      <c r="N54" s="90">
        <v>5000</v>
      </c>
      <c r="O54" s="90">
        <v>5000</v>
      </c>
      <c r="P54" s="90">
        <v>5000</v>
      </c>
      <c r="Q54" s="90">
        <v>5000</v>
      </c>
      <c r="R54" s="90">
        <v>5000</v>
      </c>
      <c r="S54" s="90">
        <v>5000</v>
      </c>
      <c r="T54" s="90">
        <v>5000</v>
      </c>
      <c r="U54" s="90">
        <v>5000</v>
      </c>
      <c r="V54" s="90">
        <v>5000</v>
      </c>
      <c r="W54" s="90">
        <v>5000</v>
      </c>
      <c r="X54" s="90">
        <v>5000</v>
      </c>
      <c r="Y54" s="90">
        <v>5000</v>
      </c>
      <c r="Z54" s="90">
        <v>5000</v>
      </c>
      <c r="AA54" s="90">
        <v>5000</v>
      </c>
      <c r="AB54" s="90">
        <v>5000</v>
      </c>
      <c r="AC54" s="226"/>
      <c r="AD54" s="19"/>
    </row>
    <row r="55" spans="2:31" ht="18.649999999999999" customHeight="1" thickBot="1" x14ac:dyDescent="0.4">
      <c r="B55" s="222">
        <v>46357</v>
      </c>
      <c r="C55" s="7" t="s">
        <v>29</v>
      </c>
      <c r="D55" s="93">
        <v>21</v>
      </c>
      <c r="E55" s="88">
        <v>5000</v>
      </c>
      <c r="F55" s="88">
        <v>5000</v>
      </c>
      <c r="G55" s="88">
        <v>5000</v>
      </c>
      <c r="H55" s="88">
        <v>5000</v>
      </c>
      <c r="I55" s="88">
        <v>5000</v>
      </c>
      <c r="J55" s="88">
        <v>5000</v>
      </c>
      <c r="K55" s="88">
        <v>5000</v>
      </c>
      <c r="L55" s="88">
        <v>5000</v>
      </c>
      <c r="M55" s="88">
        <v>5000</v>
      </c>
      <c r="N55" s="88">
        <v>5000</v>
      </c>
      <c r="O55" s="88">
        <v>5000</v>
      </c>
      <c r="P55" s="88">
        <v>5000</v>
      </c>
      <c r="Q55" s="88">
        <v>5000</v>
      </c>
      <c r="R55" s="88">
        <v>5000</v>
      </c>
      <c r="S55" s="88">
        <v>5000</v>
      </c>
      <c r="T55" s="88">
        <v>5000</v>
      </c>
      <c r="U55" s="88">
        <v>5000</v>
      </c>
      <c r="V55" s="88">
        <v>5000</v>
      </c>
      <c r="W55" s="88">
        <v>5000</v>
      </c>
      <c r="X55" s="88">
        <v>5000</v>
      </c>
      <c r="Y55" s="88">
        <v>5000</v>
      </c>
      <c r="Z55" s="88">
        <v>5000</v>
      </c>
      <c r="AA55" s="88">
        <v>5000</v>
      </c>
      <c r="AB55" s="88">
        <v>5000</v>
      </c>
      <c r="AC55" s="225">
        <f>SUM(E55:AB55)*D55+SUM(E56:AB56)*D56+SUM(E57:AB57)*D57+SUM(E58:AB58)*D58</f>
        <v>3720000</v>
      </c>
      <c r="AD55" s="19"/>
    </row>
    <row r="56" spans="2:31" ht="18.649999999999999" customHeight="1" thickBot="1" x14ac:dyDescent="0.4">
      <c r="B56" s="223" t="s">
        <v>34</v>
      </c>
      <c r="C56" s="10" t="s">
        <v>30</v>
      </c>
      <c r="D56" s="93">
        <v>4</v>
      </c>
      <c r="E56" s="89">
        <v>5000</v>
      </c>
      <c r="F56" s="89">
        <v>5000</v>
      </c>
      <c r="G56" s="89">
        <v>5000</v>
      </c>
      <c r="H56" s="89">
        <v>5000</v>
      </c>
      <c r="I56" s="89">
        <v>5000</v>
      </c>
      <c r="J56" s="89">
        <v>5000</v>
      </c>
      <c r="K56" s="89">
        <v>5000</v>
      </c>
      <c r="L56" s="89">
        <v>5000</v>
      </c>
      <c r="M56" s="89">
        <v>5000</v>
      </c>
      <c r="N56" s="89">
        <v>5000</v>
      </c>
      <c r="O56" s="89">
        <v>5000</v>
      </c>
      <c r="P56" s="89">
        <v>5000</v>
      </c>
      <c r="Q56" s="89">
        <v>5000</v>
      </c>
      <c r="R56" s="89">
        <v>5000</v>
      </c>
      <c r="S56" s="89">
        <v>5000</v>
      </c>
      <c r="T56" s="89">
        <v>5000</v>
      </c>
      <c r="U56" s="89">
        <v>5000</v>
      </c>
      <c r="V56" s="89">
        <v>5000</v>
      </c>
      <c r="W56" s="89">
        <v>5000</v>
      </c>
      <c r="X56" s="89">
        <v>5000</v>
      </c>
      <c r="Y56" s="89">
        <v>5000</v>
      </c>
      <c r="Z56" s="89">
        <v>5000</v>
      </c>
      <c r="AA56" s="89">
        <v>5000</v>
      </c>
      <c r="AB56" s="89">
        <v>5000</v>
      </c>
      <c r="AC56" s="226"/>
      <c r="AD56" s="19"/>
    </row>
    <row r="57" spans="2:31" ht="18.649999999999999" customHeight="1" thickBot="1" x14ac:dyDescent="0.4">
      <c r="B57" s="223" t="s">
        <v>34</v>
      </c>
      <c r="C57" s="10" t="s">
        <v>31</v>
      </c>
      <c r="D57" s="93">
        <v>4</v>
      </c>
      <c r="E57" s="89">
        <v>5000</v>
      </c>
      <c r="F57" s="89">
        <v>5000</v>
      </c>
      <c r="G57" s="89">
        <v>5000</v>
      </c>
      <c r="H57" s="89">
        <v>5000</v>
      </c>
      <c r="I57" s="89">
        <v>5000</v>
      </c>
      <c r="J57" s="89">
        <v>5000</v>
      </c>
      <c r="K57" s="89">
        <v>5000</v>
      </c>
      <c r="L57" s="89">
        <v>5000</v>
      </c>
      <c r="M57" s="89">
        <v>5000</v>
      </c>
      <c r="N57" s="89">
        <v>5000</v>
      </c>
      <c r="O57" s="89">
        <v>5000</v>
      </c>
      <c r="P57" s="89">
        <v>5000</v>
      </c>
      <c r="Q57" s="89">
        <v>5000</v>
      </c>
      <c r="R57" s="89">
        <v>5000</v>
      </c>
      <c r="S57" s="89">
        <v>5000</v>
      </c>
      <c r="T57" s="89">
        <v>5000</v>
      </c>
      <c r="U57" s="89">
        <v>5000</v>
      </c>
      <c r="V57" s="89">
        <v>5000</v>
      </c>
      <c r="W57" s="89">
        <v>5000</v>
      </c>
      <c r="X57" s="89">
        <v>5000</v>
      </c>
      <c r="Y57" s="89">
        <v>5000</v>
      </c>
      <c r="Z57" s="89">
        <v>5000</v>
      </c>
      <c r="AA57" s="89">
        <v>5000</v>
      </c>
      <c r="AB57" s="89">
        <v>5000</v>
      </c>
      <c r="AC57" s="226"/>
      <c r="AD57" s="19"/>
    </row>
    <row r="58" spans="2:31" ht="18.649999999999999" customHeight="1" thickBot="1" x14ac:dyDescent="0.4">
      <c r="B58" s="224" t="s">
        <v>34</v>
      </c>
      <c r="C58" s="12" t="s">
        <v>32</v>
      </c>
      <c r="D58" s="93">
        <v>2</v>
      </c>
      <c r="E58" s="91">
        <v>5000</v>
      </c>
      <c r="F58" s="91">
        <v>5000</v>
      </c>
      <c r="G58" s="91">
        <v>5000</v>
      </c>
      <c r="H58" s="91">
        <v>5000</v>
      </c>
      <c r="I58" s="91">
        <v>5000</v>
      </c>
      <c r="J58" s="91">
        <v>5000</v>
      </c>
      <c r="K58" s="91">
        <v>5000</v>
      </c>
      <c r="L58" s="91">
        <v>5000</v>
      </c>
      <c r="M58" s="91">
        <v>5000</v>
      </c>
      <c r="N58" s="91">
        <v>5000</v>
      </c>
      <c r="O58" s="91">
        <v>5000</v>
      </c>
      <c r="P58" s="91">
        <v>5000</v>
      </c>
      <c r="Q58" s="91">
        <v>5000</v>
      </c>
      <c r="R58" s="91">
        <v>5000</v>
      </c>
      <c r="S58" s="91">
        <v>5000</v>
      </c>
      <c r="T58" s="91">
        <v>5000</v>
      </c>
      <c r="U58" s="91">
        <v>5000</v>
      </c>
      <c r="V58" s="91">
        <v>5000</v>
      </c>
      <c r="W58" s="91">
        <v>5000</v>
      </c>
      <c r="X58" s="91">
        <v>5000</v>
      </c>
      <c r="Y58" s="91">
        <v>5000</v>
      </c>
      <c r="Z58" s="91">
        <v>5000</v>
      </c>
      <c r="AA58" s="91">
        <v>5000</v>
      </c>
      <c r="AB58" s="91">
        <v>5000</v>
      </c>
      <c r="AC58" s="227"/>
      <c r="AD58" s="19"/>
    </row>
    <row r="59" spans="2:31" ht="18.649999999999999" customHeight="1" thickBot="1" x14ac:dyDescent="0.4">
      <c r="Z59" s="228" t="s">
        <v>33</v>
      </c>
      <c r="AA59" s="229"/>
      <c r="AB59" s="230"/>
      <c r="AC59" s="155">
        <f>SUM(AC11:AC58)</f>
        <v>40080000</v>
      </c>
      <c r="AE59" s="19"/>
    </row>
    <row r="60" spans="2:31" ht="26.5" thickBot="1" x14ac:dyDescent="0.4">
      <c r="B60" s="1" t="s">
        <v>2</v>
      </c>
      <c r="C60" s="2" t="s">
        <v>3</v>
      </c>
      <c r="D60" s="1" t="s">
        <v>4</v>
      </c>
      <c r="E60" s="3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5" t="s">
        <v>16</v>
      </c>
      <c r="Q60" s="6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4" t="s">
        <v>22</v>
      </c>
      <c r="W60" s="4" t="s">
        <v>23</v>
      </c>
      <c r="X60" s="4" t="s">
        <v>24</v>
      </c>
      <c r="Y60" s="4" t="s">
        <v>25</v>
      </c>
      <c r="Z60" s="4" t="s">
        <v>26</v>
      </c>
      <c r="AA60" s="4" t="s">
        <v>27</v>
      </c>
      <c r="AB60" s="5" t="s">
        <v>28</v>
      </c>
      <c r="AC60" s="45" t="s">
        <v>48</v>
      </c>
    </row>
    <row r="61" spans="2:31" x14ac:dyDescent="0.35">
      <c r="B61" s="212">
        <v>46388</v>
      </c>
      <c r="C61" s="7" t="s">
        <v>29</v>
      </c>
      <c r="D61" s="93">
        <v>19</v>
      </c>
      <c r="E61" s="161">
        <v>5000</v>
      </c>
      <c r="F61" s="161">
        <v>5000</v>
      </c>
      <c r="G61" s="161">
        <v>5000</v>
      </c>
      <c r="H61" s="161">
        <v>5000</v>
      </c>
      <c r="I61" s="161">
        <v>5000</v>
      </c>
      <c r="J61" s="161">
        <v>5000</v>
      </c>
      <c r="K61" s="161">
        <v>5000</v>
      </c>
      <c r="L61" s="161">
        <v>5000</v>
      </c>
      <c r="M61" s="161">
        <v>5000</v>
      </c>
      <c r="N61" s="161">
        <v>5000</v>
      </c>
      <c r="O61" s="161">
        <v>5000</v>
      </c>
      <c r="P61" s="161">
        <v>5000</v>
      </c>
      <c r="Q61" s="161">
        <v>5000</v>
      </c>
      <c r="R61" s="161">
        <v>5000</v>
      </c>
      <c r="S61" s="161">
        <v>5000</v>
      </c>
      <c r="T61" s="161">
        <v>5000</v>
      </c>
      <c r="U61" s="161">
        <v>5000</v>
      </c>
      <c r="V61" s="161">
        <v>5000</v>
      </c>
      <c r="W61" s="161">
        <v>5000</v>
      </c>
      <c r="X61" s="161">
        <v>5000</v>
      </c>
      <c r="Y61" s="161">
        <v>5000</v>
      </c>
      <c r="Z61" s="161">
        <v>5000</v>
      </c>
      <c r="AA61" s="161">
        <v>5000</v>
      </c>
      <c r="AB61" s="161">
        <v>5000</v>
      </c>
      <c r="AC61" s="225">
        <f>SUM(E61:AB61)*D61+SUM(E62:AB62)*D62+SUM(E63:AB63)*D63+SUM(E64:AB64)*D64</f>
        <v>3720000</v>
      </c>
    </row>
    <row r="62" spans="2:31" x14ac:dyDescent="0.35">
      <c r="B62" s="213"/>
      <c r="C62" s="10" t="s">
        <v>30</v>
      </c>
      <c r="D62" s="94">
        <v>5</v>
      </c>
      <c r="E62" s="162">
        <v>5000</v>
      </c>
      <c r="F62" s="162">
        <v>5000</v>
      </c>
      <c r="G62" s="162">
        <v>5000</v>
      </c>
      <c r="H62" s="162">
        <v>5000</v>
      </c>
      <c r="I62" s="162">
        <v>5000</v>
      </c>
      <c r="J62" s="162">
        <v>5000</v>
      </c>
      <c r="K62" s="162">
        <v>5000</v>
      </c>
      <c r="L62" s="162">
        <v>5000</v>
      </c>
      <c r="M62" s="162">
        <v>5000</v>
      </c>
      <c r="N62" s="162">
        <v>5000</v>
      </c>
      <c r="O62" s="162">
        <v>5000</v>
      </c>
      <c r="P62" s="162">
        <v>5000</v>
      </c>
      <c r="Q62" s="162">
        <v>5000</v>
      </c>
      <c r="R62" s="162">
        <v>5000</v>
      </c>
      <c r="S62" s="162">
        <v>5000</v>
      </c>
      <c r="T62" s="162">
        <v>5000</v>
      </c>
      <c r="U62" s="162">
        <v>5000</v>
      </c>
      <c r="V62" s="162">
        <v>5000</v>
      </c>
      <c r="W62" s="162">
        <v>5000</v>
      </c>
      <c r="X62" s="162">
        <v>5000</v>
      </c>
      <c r="Y62" s="162">
        <v>5000</v>
      </c>
      <c r="Z62" s="162">
        <v>5000</v>
      </c>
      <c r="AA62" s="162">
        <v>5000</v>
      </c>
      <c r="AB62" s="162">
        <v>5000</v>
      </c>
      <c r="AC62" s="226"/>
    </row>
    <row r="63" spans="2:31" x14ac:dyDescent="0.35">
      <c r="B63" s="213"/>
      <c r="C63" s="10" t="s">
        <v>31</v>
      </c>
      <c r="D63" s="94">
        <v>5</v>
      </c>
      <c r="E63" s="162">
        <v>5000</v>
      </c>
      <c r="F63" s="162">
        <v>5000</v>
      </c>
      <c r="G63" s="162">
        <v>5000</v>
      </c>
      <c r="H63" s="162">
        <v>5000</v>
      </c>
      <c r="I63" s="162">
        <v>5000</v>
      </c>
      <c r="J63" s="162">
        <v>5000</v>
      </c>
      <c r="K63" s="162">
        <v>5000</v>
      </c>
      <c r="L63" s="162">
        <v>5000</v>
      </c>
      <c r="M63" s="162">
        <v>5000</v>
      </c>
      <c r="N63" s="162">
        <v>5000</v>
      </c>
      <c r="O63" s="162">
        <v>5000</v>
      </c>
      <c r="P63" s="162">
        <v>5000</v>
      </c>
      <c r="Q63" s="162">
        <v>5000</v>
      </c>
      <c r="R63" s="162">
        <v>5000</v>
      </c>
      <c r="S63" s="162">
        <v>5000</v>
      </c>
      <c r="T63" s="162">
        <v>5000</v>
      </c>
      <c r="U63" s="162">
        <v>5000</v>
      </c>
      <c r="V63" s="162">
        <v>5000</v>
      </c>
      <c r="W63" s="162">
        <v>5000</v>
      </c>
      <c r="X63" s="162">
        <v>5000</v>
      </c>
      <c r="Y63" s="162">
        <v>5000</v>
      </c>
      <c r="Z63" s="162">
        <v>5000</v>
      </c>
      <c r="AA63" s="162">
        <v>5000</v>
      </c>
      <c r="AB63" s="162">
        <v>5000</v>
      </c>
      <c r="AC63" s="226"/>
    </row>
    <row r="64" spans="2:31" ht="13" thickBot="1" x14ac:dyDescent="0.4">
      <c r="B64" s="213"/>
      <c r="C64" s="16" t="s">
        <v>32</v>
      </c>
      <c r="D64" s="95">
        <v>2</v>
      </c>
      <c r="E64" s="163">
        <v>5000</v>
      </c>
      <c r="F64" s="163">
        <v>5000</v>
      </c>
      <c r="G64" s="163">
        <v>5000</v>
      </c>
      <c r="H64" s="163">
        <v>5000</v>
      </c>
      <c r="I64" s="163">
        <v>5000</v>
      </c>
      <c r="J64" s="163">
        <v>5000</v>
      </c>
      <c r="K64" s="163">
        <v>5000</v>
      </c>
      <c r="L64" s="163">
        <v>5000</v>
      </c>
      <c r="M64" s="163">
        <v>5000</v>
      </c>
      <c r="N64" s="163">
        <v>5000</v>
      </c>
      <c r="O64" s="163">
        <v>5000</v>
      </c>
      <c r="P64" s="163">
        <v>5000</v>
      </c>
      <c r="Q64" s="163">
        <v>5000</v>
      </c>
      <c r="R64" s="163">
        <v>5000</v>
      </c>
      <c r="S64" s="163">
        <v>5000</v>
      </c>
      <c r="T64" s="163">
        <v>5000</v>
      </c>
      <c r="U64" s="163">
        <v>5000</v>
      </c>
      <c r="V64" s="163">
        <v>5000</v>
      </c>
      <c r="W64" s="163">
        <v>5000</v>
      </c>
      <c r="X64" s="163">
        <v>5000</v>
      </c>
      <c r="Y64" s="163">
        <v>5000</v>
      </c>
      <c r="Z64" s="163">
        <v>5000</v>
      </c>
      <c r="AA64" s="163">
        <v>5000</v>
      </c>
      <c r="AB64" s="163">
        <v>5000</v>
      </c>
      <c r="AC64" s="226"/>
      <c r="AD64" s="56">
        <f>+AC61</f>
        <v>3720000</v>
      </c>
    </row>
    <row r="65" spans="2:30" x14ac:dyDescent="0.35">
      <c r="B65" s="222">
        <v>46419</v>
      </c>
      <c r="C65" s="7" t="s">
        <v>29</v>
      </c>
      <c r="D65" s="93">
        <v>20</v>
      </c>
      <c r="E65" s="161">
        <v>5000</v>
      </c>
      <c r="F65" s="161">
        <v>5000</v>
      </c>
      <c r="G65" s="161">
        <v>5000</v>
      </c>
      <c r="H65" s="161">
        <v>5000</v>
      </c>
      <c r="I65" s="161">
        <v>5000</v>
      </c>
      <c r="J65" s="161">
        <v>5000</v>
      </c>
      <c r="K65" s="161">
        <v>5000</v>
      </c>
      <c r="L65" s="161">
        <v>5000</v>
      </c>
      <c r="M65" s="161">
        <v>5000</v>
      </c>
      <c r="N65" s="161">
        <v>5000</v>
      </c>
      <c r="O65" s="161">
        <v>5000</v>
      </c>
      <c r="P65" s="161">
        <v>5000</v>
      </c>
      <c r="Q65" s="161">
        <v>5000</v>
      </c>
      <c r="R65" s="161">
        <v>5000</v>
      </c>
      <c r="S65" s="161">
        <v>5000</v>
      </c>
      <c r="T65" s="161">
        <v>5000</v>
      </c>
      <c r="U65" s="161">
        <v>5000</v>
      </c>
      <c r="V65" s="161">
        <v>5000</v>
      </c>
      <c r="W65" s="161">
        <v>5000</v>
      </c>
      <c r="X65" s="161">
        <v>5000</v>
      </c>
      <c r="Y65" s="161">
        <v>5000</v>
      </c>
      <c r="Z65" s="161">
        <v>5000</v>
      </c>
      <c r="AA65" s="161">
        <v>5000</v>
      </c>
      <c r="AB65" s="161">
        <v>5000</v>
      </c>
      <c r="AC65" s="225">
        <f>SUM(E65:AB65)*D65+SUM(E66:AB66)*D66+SUM(E67:AB67)*D67+SUM(E68:AB68)*D68</f>
        <v>3360000</v>
      </c>
      <c r="AD65" s="177">
        <f>+AC65</f>
        <v>3360000</v>
      </c>
    </row>
    <row r="66" spans="2:30" x14ac:dyDescent="0.35">
      <c r="B66" s="223" t="s">
        <v>34</v>
      </c>
      <c r="C66" s="10" t="s">
        <v>30</v>
      </c>
      <c r="D66" s="94">
        <v>4</v>
      </c>
      <c r="E66" s="162">
        <v>5000</v>
      </c>
      <c r="F66" s="162">
        <v>5000</v>
      </c>
      <c r="G66" s="162">
        <v>5000</v>
      </c>
      <c r="H66" s="162">
        <v>5000</v>
      </c>
      <c r="I66" s="162">
        <v>5000</v>
      </c>
      <c r="J66" s="162">
        <v>5000</v>
      </c>
      <c r="K66" s="162">
        <v>5000</v>
      </c>
      <c r="L66" s="162">
        <v>5000</v>
      </c>
      <c r="M66" s="162">
        <v>5000</v>
      </c>
      <c r="N66" s="162">
        <v>5000</v>
      </c>
      <c r="O66" s="162">
        <v>5000</v>
      </c>
      <c r="P66" s="162">
        <v>5000</v>
      </c>
      <c r="Q66" s="162">
        <v>5000</v>
      </c>
      <c r="R66" s="162">
        <v>5000</v>
      </c>
      <c r="S66" s="162">
        <v>5000</v>
      </c>
      <c r="T66" s="162">
        <v>5000</v>
      </c>
      <c r="U66" s="162">
        <v>5000</v>
      </c>
      <c r="V66" s="162">
        <v>5000</v>
      </c>
      <c r="W66" s="162">
        <v>5000</v>
      </c>
      <c r="X66" s="162">
        <v>5000</v>
      </c>
      <c r="Y66" s="162">
        <v>5000</v>
      </c>
      <c r="Z66" s="162">
        <v>5000</v>
      </c>
      <c r="AA66" s="162">
        <v>5000</v>
      </c>
      <c r="AB66" s="162">
        <v>5000</v>
      </c>
      <c r="AC66" s="226"/>
      <c r="AD66" s="177">
        <f>+AC69</f>
        <v>3720000</v>
      </c>
    </row>
    <row r="67" spans="2:30" x14ac:dyDescent="0.35">
      <c r="B67" s="223" t="s">
        <v>34</v>
      </c>
      <c r="C67" s="10" t="s">
        <v>31</v>
      </c>
      <c r="D67" s="94">
        <v>4</v>
      </c>
      <c r="E67" s="162">
        <v>5000</v>
      </c>
      <c r="F67" s="162">
        <v>5000</v>
      </c>
      <c r="G67" s="162">
        <v>5000</v>
      </c>
      <c r="H67" s="162">
        <v>5000</v>
      </c>
      <c r="I67" s="162">
        <v>5000</v>
      </c>
      <c r="J67" s="162">
        <v>5000</v>
      </c>
      <c r="K67" s="162">
        <v>5000</v>
      </c>
      <c r="L67" s="162">
        <v>5000</v>
      </c>
      <c r="M67" s="162">
        <v>5000</v>
      </c>
      <c r="N67" s="162">
        <v>5000</v>
      </c>
      <c r="O67" s="162">
        <v>5000</v>
      </c>
      <c r="P67" s="162">
        <v>5000</v>
      </c>
      <c r="Q67" s="162">
        <v>5000</v>
      </c>
      <c r="R67" s="162">
        <v>5000</v>
      </c>
      <c r="S67" s="162">
        <v>5000</v>
      </c>
      <c r="T67" s="162">
        <v>5000</v>
      </c>
      <c r="U67" s="162">
        <v>5000</v>
      </c>
      <c r="V67" s="162">
        <v>5000</v>
      </c>
      <c r="W67" s="162">
        <v>5000</v>
      </c>
      <c r="X67" s="162">
        <v>5000</v>
      </c>
      <c r="Y67" s="162">
        <v>5000</v>
      </c>
      <c r="Z67" s="162">
        <v>5000</v>
      </c>
      <c r="AA67" s="162">
        <v>5000</v>
      </c>
      <c r="AB67" s="162">
        <v>5000</v>
      </c>
      <c r="AC67" s="226"/>
      <c r="AD67" s="177">
        <f>+AC73</f>
        <v>3600000</v>
      </c>
    </row>
    <row r="68" spans="2:30" ht="13" thickBot="1" x14ac:dyDescent="0.4">
      <c r="B68" s="224" t="s">
        <v>34</v>
      </c>
      <c r="C68" s="12" t="s">
        <v>32</v>
      </c>
      <c r="D68" s="96">
        <v>0</v>
      </c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227"/>
      <c r="AD68" s="177">
        <f>+AC77</f>
        <v>3720000</v>
      </c>
    </row>
    <row r="69" spans="2:30" x14ac:dyDescent="0.35">
      <c r="B69" s="212">
        <v>46447</v>
      </c>
      <c r="C69" s="14" t="s">
        <v>29</v>
      </c>
      <c r="D69" s="97">
        <v>20</v>
      </c>
      <c r="E69" s="164">
        <v>5000</v>
      </c>
      <c r="F69" s="164">
        <v>5000</v>
      </c>
      <c r="G69" s="164">
        <v>5000</v>
      </c>
      <c r="H69" s="164">
        <v>5000</v>
      </c>
      <c r="I69" s="164">
        <v>5000</v>
      </c>
      <c r="J69" s="164">
        <v>5000</v>
      </c>
      <c r="K69" s="164">
        <v>5000</v>
      </c>
      <c r="L69" s="164">
        <v>5000</v>
      </c>
      <c r="M69" s="164">
        <v>5000</v>
      </c>
      <c r="N69" s="164">
        <v>5000</v>
      </c>
      <c r="O69" s="164">
        <v>5000</v>
      </c>
      <c r="P69" s="164">
        <v>5000</v>
      </c>
      <c r="Q69" s="164">
        <v>5000</v>
      </c>
      <c r="R69" s="164">
        <v>5000</v>
      </c>
      <c r="S69" s="164">
        <v>5000</v>
      </c>
      <c r="T69" s="164">
        <v>5000</v>
      </c>
      <c r="U69" s="164">
        <v>5000</v>
      </c>
      <c r="V69" s="164">
        <v>5000</v>
      </c>
      <c r="W69" s="164">
        <v>5000</v>
      </c>
      <c r="X69" s="164">
        <v>5000</v>
      </c>
      <c r="Y69" s="164">
        <v>5000</v>
      </c>
      <c r="Z69" s="164">
        <v>5000</v>
      </c>
      <c r="AA69" s="164">
        <v>5000</v>
      </c>
      <c r="AB69" s="164">
        <v>5000</v>
      </c>
      <c r="AC69" s="226">
        <f>SUM(E69:AB69)*D69+SUM(E70:AB70)*D70+SUM(E71:AB71)*D71+SUM(E72:AB72)*D72</f>
        <v>3720000</v>
      </c>
      <c r="AD69" s="177">
        <f>+AC81</f>
        <v>3600000</v>
      </c>
    </row>
    <row r="70" spans="2:30" x14ac:dyDescent="0.35">
      <c r="B70" s="213"/>
      <c r="C70" s="10" t="s">
        <v>30</v>
      </c>
      <c r="D70" s="94">
        <v>4</v>
      </c>
      <c r="E70" s="162">
        <v>5000</v>
      </c>
      <c r="F70" s="162">
        <v>5000</v>
      </c>
      <c r="G70" s="162">
        <v>5000</v>
      </c>
      <c r="H70" s="162">
        <v>5000</v>
      </c>
      <c r="I70" s="162">
        <v>5000</v>
      </c>
      <c r="J70" s="162">
        <v>5000</v>
      </c>
      <c r="K70" s="162">
        <v>5000</v>
      </c>
      <c r="L70" s="162">
        <v>5000</v>
      </c>
      <c r="M70" s="162">
        <v>5000</v>
      </c>
      <c r="N70" s="162">
        <v>5000</v>
      </c>
      <c r="O70" s="162">
        <v>5000</v>
      </c>
      <c r="P70" s="162">
        <v>5000</v>
      </c>
      <c r="Q70" s="162">
        <v>5000</v>
      </c>
      <c r="R70" s="162">
        <v>5000</v>
      </c>
      <c r="S70" s="162">
        <v>5000</v>
      </c>
      <c r="T70" s="162">
        <v>5000</v>
      </c>
      <c r="U70" s="162">
        <v>5000</v>
      </c>
      <c r="V70" s="162">
        <v>5000</v>
      </c>
      <c r="W70" s="162">
        <v>5000</v>
      </c>
      <c r="X70" s="162">
        <v>5000</v>
      </c>
      <c r="Y70" s="162">
        <v>5000</v>
      </c>
      <c r="Z70" s="162">
        <v>5000</v>
      </c>
      <c r="AA70" s="162">
        <v>5000</v>
      </c>
      <c r="AB70" s="162">
        <v>5000</v>
      </c>
      <c r="AC70" s="226"/>
      <c r="AD70" s="177">
        <f>+AC85</f>
        <v>3720000</v>
      </c>
    </row>
    <row r="71" spans="2:30" x14ac:dyDescent="0.35">
      <c r="B71" s="213"/>
      <c r="C71" s="10" t="s">
        <v>31</v>
      </c>
      <c r="D71" s="94">
        <v>4</v>
      </c>
      <c r="E71" s="162">
        <v>5000</v>
      </c>
      <c r="F71" s="162">
        <v>5000</v>
      </c>
      <c r="G71" s="162">
        <v>5000</v>
      </c>
      <c r="H71" s="162">
        <v>5000</v>
      </c>
      <c r="I71" s="162">
        <v>5000</v>
      </c>
      <c r="J71" s="162">
        <v>5000</v>
      </c>
      <c r="K71" s="162">
        <v>5000</v>
      </c>
      <c r="L71" s="162">
        <v>5000</v>
      </c>
      <c r="M71" s="162">
        <v>5000</v>
      </c>
      <c r="N71" s="162">
        <v>5000</v>
      </c>
      <c r="O71" s="162">
        <v>5000</v>
      </c>
      <c r="P71" s="162">
        <v>5000</v>
      </c>
      <c r="Q71" s="162">
        <v>5000</v>
      </c>
      <c r="R71" s="162">
        <v>5000</v>
      </c>
      <c r="S71" s="162">
        <v>5000</v>
      </c>
      <c r="T71" s="162">
        <v>5000</v>
      </c>
      <c r="U71" s="162">
        <v>5000</v>
      </c>
      <c r="V71" s="162">
        <v>5000</v>
      </c>
      <c r="W71" s="162">
        <v>5000</v>
      </c>
      <c r="X71" s="162">
        <v>5000</v>
      </c>
      <c r="Y71" s="162">
        <v>5000</v>
      </c>
      <c r="Z71" s="162">
        <v>5000</v>
      </c>
      <c r="AA71" s="162">
        <v>5000</v>
      </c>
      <c r="AB71" s="162">
        <v>5000</v>
      </c>
      <c r="AC71" s="226"/>
      <c r="AD71" s="177">
        <f>+AC89</f>
        <v>3720000</v>
      </c>
    </row>
    <row r="72" spans="2:30" ht="13" thickBot="1" x14ac:dyDescent="0.4">
      <c r="B72" s="213"/>
      <c r="C72" s="16" t="s">
        <v>32</v>
      </c>
      <c r="D72" s="95">
        <v>3</v>
      </c>
      <c r="E72" s="163">
        <v>5000</v>
      </c>
      <c r="F72" s="163">
        <v>5000</v>
      </c>
      <c r="G72" s="163">
        <v>5000</v>
      </c>
      <c r="H72" s="163">
        <v>5000</v>
      </c>
      <c r="I72" s="163">
        <v>5000</v>
      </c>
      <c r="J72" s="163">
        <v>5000</v>
      </c>
      <c r="K72" s="163">
        <v>5000</v>
      </c>
      <c r="L72" s="163">
        <v>5000</v>
      </c>
      <c r="M72" s="163">
        <v>5000</v>
      </c>
      <c r="N72" s="163">
        <v>5000</v>
      </c>
      <c r="O72" s="163">
        <v>5000</v>
      </c>
      <c r="P72" s="163">
        <v>5000</v>
      </c>
      <c r="Q72" s="163">
        <v>5000</v>
      </c>
      <c r="R72" s="163">
        <v>5000</v>
      </c>
      <c r="S72" s="163">
        <v>5000</v>
      </c>
      <c r="T72" s="163">
        <v>5000</v>
      </c>
      <c r="U72" s="163">
        <v>5000</v>
      </c>
      <c r="V72" s="163">
        <v>5000</v>
      </c>
      <c r="W72" s="163">
        <v>5000</v>
      </c>
      <c r="X72" s="163">
        <v>5000</v>
      </c>
      <c r="Y72" s="163">
        <v>5000</v>
      </c>
      <c r="Z72" s="163">
        <v>5000</v>
      </c>
      <c r="AA72" s="163">
        <v>5000</v>
      </c>
      <c r="AB72" s="163">
        <v>5000</v>
      </c>
      <c r="AC72" s="226"/>
      <c r="AD72" s="177">
        <f>+AC93</f>
        <v>3600000</v>
      </c>
    </row>
    <row r="73" spans="2:30" x14ac:dyDescent="0.35">
      <c r="B73" s="222">
        <v>46478</v>
      </c>
      <c r="C73" s="7" t="s">
        <v>29</v>
      </c>
      <c r="D73" s="93">
        <v>22</v>
      </c>
      <c r="E73" s="161">
        <v>5000</v>
      </c>
      <c r="F73" s="161">
        <v>5000</v>
      </c>
      <c r="G73" s="161">
        <v>5000</v>
      </c>
      <c r="H73" s="161">
        <v>5000</v>
      </c>
      <c r="I73" s="161">
        <v>5000</v>
      </c>
      <c r="J73" s="161">
        <v>5000</v>
      </c>
      <c r="K73" s="161">
        <v>5000</v>
      </c>
      <c r="L73" s="161">
        <v>5000</v>
      </c>
      <c r="M73" s="161">
        <v>5000</v>
      </c>
      <c r="N73" s="161">
        <v>5000</v>
      </c>
      <c r="O73" s="161">
        <v>5000</v>
      </c>
      <c r="P73" s="161">
        <v>5000</v>
      </c>
      <c r="Q73" s="161">
        <v>5000</v>
      </c>
      <c r="R73" s="161">
        <v>5000</v>
      </c>
      <c r="S73" s="161">
        <v>5000</v>
      </c>
      <c r="T73" s="161">
        <v>5000</v>
      </c>
      <c r="U73" s="161">
        <v>5000</v>
      </c>
      <c r="V73" s="161">
        <v>5000</v>
      </c>
      <c r="W73" s="161">
        <v>5000</v>
      </c>
      <c r="X73" s="161">
        <v>5000</v>
      </c>
      <c r="Y73" s="161">
        <v>5000</v>
      </c>
      <c r="Z73" s="161">
        <v>5000</v>
      </c>
      <c r="AA73" s="161">
        <v>5000</v>
      </c>
      <c r="AB73" s="161">
        <v>5000</v>
      </c>
      <c r="AC73" s="225">
        <f>SUM(E73:AB73)*D73+SUM(E74:AB74)*D74+SUM(E75:AB75)*D75+SUM(E76:AB76)*D76</f>
        <v>3600000</v>
      </c>
      <c r="AD73" s="177">
        <f>+AC97</f>
        <v>3720000</v>
      </c>
    </row>
    <row r="74" spans="2:30" x14ac:dyDescent="0.35">
      <c r="B74" s="223" t="s">
        <v>34</v>
      </c>
      <c r="C74" s="10" t="s">
        <v>30</v>
      </c>
      <c r="D74" s="94">
        <v>4</v>
      </c>
      <c r="E74" s="162">
        <v>5000</v>
      </c>
      <c r="F74" s="162">
        <v>5000</v>
      </c>
      <c r="G74" s="162">
        <v>5000</v>
      </c>
      <c r="H74" s="162">
        <v>5000</v>
      </c>
      <c r="I74" s="162">
        <v>5000</v>
      </c>
      <c r="J74" s="162">
        <v>5000</v>
      </c>
      <c r="K74" s="162">
        <v>5000</v>
      </c>
      <c r="L74" s="162">
        <v>5000</v>
      </c>
      <c r="M74" s="162">
        <v>5000</v>
      </c>
      <c r="N74" s="162">
        <v>5000</v>
      </c>
      <c r="O74" s="162">
        <v>5000</v>
      </c>
      <c r="P74" s="162">
        <v>5000</v>
      </c>
      <c r="Q74" s="162">
        <v>5000</v>
      </c>
      <c r="R74" s="162">
        <v>5000</v>
      </c>
      <c r="S74" s="162">
        <v>5000</v>
      </c>
      <c r="T74" s="162">
        <v>5000</v>
      </c>
      <c r="U74" s="162">
        <v>5000</v>
      </c>
      <c r="V74" s="162">
        <v>5000</v>
      </c>
      <c r="W74" s="162">
        <v>5000</v>
      </c>
      <c r="X74" s="162">
        <v>5000</v>
      </c>
      <c r="Y74" s="162">
        <v>5000</v>
      </c>
      <c r="Z74" s="162">
        <v>5000</v>
      </c>
      <c r="AA74" s="162">
        <v>5000</v>
      </c>
      <c r="AB74" s="162">
        <v>5000</v>
      </c>
      <c r="AC74" s="226"/>
      <c r="AD74" s="177">
        <f>+AC101</f>
        <v>3600000</v>
      </c>
    </row>
    <row r="75" spans="2:30" x14ac:dyDescent="0.35">
      <c r="B75" s="223" t="s">
        <v>34</v>
      </c>
      <c r="C75" s="10" t="s">
        <v>31</v>
      </c>
      <c r="D75" s="94">
        <v>4</v>
      </c>
      <c r="E75" s="162">
        <v>5000</v>
      </c>
      <c r="F75" s="162">
        <v>5000</v>
      </c>
      <c r="G75" s="162">
        <v>5000</v>
      </c>
      <c r="H75" s="162">
        <v>5000</v>
      </c>
      <c r="I75" s="162">
        <v>5000</v>
      </c>
      <c r="J75" s="162">
        <v>5000</v>
      </c>
      <c r="K75" s="162">
        <v>5000</v>
      </c>
      <c r="L75" s="162">
        <v>5000</v>
      </c>
      <c r="M75" s="162">
        <v>5000</v>
      </c>
      <c r="N75" s="162">
        <v>5000</v>
      </c>
      <c r="O75" s="162">
        <v>5000</v>
      </c>
      <c r="P75" s="162">
        <v>5000</v>
      </c>
      <c r="Q75" s="162">
        <v>5000</v>
      </c>
      <c r="R75" s="162">
        <v>5000</v>
      </c>
      <c r="S75" s="162">
        <v>5000</v>
      </c>
      <c r="T75" s="162">
        <v>5000</v>
      </c>
      <c r="U75" s="162">
        <v>5000</v>
      </c>
      <c r="V75" s="162">
        <v>5000</v>
      </c>
      <c r="W75" s="162">
        <v>5000</v>
      </c>
      <c r="X75" s="162">
        <v>5000</v>
      </c>
      <c r="Y75" s="162">
        <v>5000</v>
      </c>
      <c r="Z75" s="162">
        <v>5000</v>
      </c>
      <c r="AA75" s="162">
        <v>5000</v>
      </c>
      <c r="AB75" s="162">
        <v>5000</v>
      </c>
      <c r="AC75" s="226"/>
      <c r="AD75" s="177">
        <f>+AC105</f>
        <v>3720000</v>
      </c>
    </row>
    <row r="76" spans="2:30" ht="13" thickBot="1" x14ac:dyDescent="0.4">
      <c r="B76" s="224" t="s">
        <v>34</v>
      </c>
      <c r="C76" s="12" t="s">
        <v>32</v>
      </c>
      <c r="D76" s="96">
        <v>0</v>
      </c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227"/>
    </row>
    <row r="77" spans="2:30" x14ac:dyDescent="0.35">
      <c r="B77" s="212">
        <v>46508</v>
      </c>
      <c r="C77" s="14" t="s">
        <v>29</v>
      </c>
      <c r="D77" s="97">
        <v>19</v>
      </c>
      <c r="E77" s="164">
        <v>5000</v>
      </c>
      <c r="F77" s="164">
        <v>5000</v>
      </c>
      <c r="G77" s="164">
        <v>5000</v>
      </c>
      <c r="H77" s="164">
        <v>5000</v>
      </c>
      <c r="I77" s="164">
        <v>5000</v>
      </c>
      <c r="J77" s="164">
        <v>5000</v>
      </c>
      <c r="K77" s="164">
        <v>5000</v>
      </c>
      <c r="L77" s="164">
        <v>5000</v>
      </c>
      <c r="M77" s="164">
        <v>5000</v>
      </c>
      <c r="N77" s="164">
        <v>5000</v>
      </c>
      <c r="O77" s="164">
        <v>5000</v>
      </c>
      <c r="P77" s="164">
        <v>5000</v>
      </c>
      <c r="Q77" s="164">
        <v>5000</v>
      </c>
      <c r="R77" s="164">
        <v>5000</v>
      </c>
      <c r="S77" s="164">
        <v>5000</v>
      </c>
      <c r="T77" s="164">
        <v>5000</v>
      </c>
      <c r="U77" s="164">
        <v>5000</v>
      </c>
      <c r="V77" s="164">
        <v>5000</v>
      </c>
      <c r="W77" s="164">
        <v>5000</v>
      </c>
      <c r="X77" s="164">
        <v>5000</v>
      </c>
      <c r="Y77" s="164">
        <v>5000</v>
      </c>
      <c r="Z77" s="164">
        <v>5000</v>
      </c>
      <c r="AA77" s="164">
        <v>5000</v>
      </c>
      <c r="AB77" s="164">
        <v>5000</v>
      </c>
      <c r="AC77" s="226">
        <f>SUM(E77:AB77)*D77+SUM(E78:AB78)*D78+SUM(E79:AB79)*D79+SUM(E80:AB80)*D80</f>
        <v>3720000</v>
      </c>
    </row>
    <row r="78" spans="2:30" x14ac:dyDescent="0.35">
      <c r="B78" s="213"/>
      <c r="C78" s="10" t="s">
        <v>30</v>
      </c>
      <c r="D78" s="94">
        <v>4</v>
      </c>
      <c r="E78" s="162">
        <v>5000</v>
      </c>
      <c r="F78" s="162">
        <v>5000</v>
      </c>
      <c r="G78" s="162">
        <v>5000</v>
      </c>
      <c r="H78" s="162">
        <v>5000</v>
      </c>
      <c r="I78" s="162">
        <v>5000</v>
      </c>
      <c r="J78" s="162">
        <v>5000</v>
      </c>
      <c r="K78" s="162">
        <v>5000</v>
      </c>
      <c r="L78" s="162">
        <v>5000</v>
      </c>
      <c r="M78" s="162">
        <v>5000</v>
      </c>
      <c r="N78" s="162">
        <v>5000</v>
      </c>
      <c r="O78" s="162">
        <v>5000</v>
      </c>
      <c r="P78" s="162">
        <v>5000</v>
      </c>
      <c r="Q78" s="162">
        <v>5000</v>
      </c>
      <c r="R78" s="162">
        <v>5000</v>
      </c>
      <c r="S78" s="162">
        <v>5000</v>
      </c>
      <c r="T78" s="162">
        <v>5000</v>
      </c>
      <c r="U78" s="162">
        <v>5000</v>
      </c>
      <c r="V78" s="162">
        <v>5000</v>
      </c>
      <c r="W78" s="162">
        <v>5000</v>
      </c>
      <c r="X78" s="162">
        <v>5000</v>
      </c>
      <c r="Y78" s="162">
        <v>5000</v>
      </c>
      <c r="Z78" s="162">
        <v>5000</v>
      </c>
      <c r="AA78" s="162">
        <v>5000</v>
      </c>
      <c r="AB78" s="162">
        <v>5000</v>
      </c>
      <c r="AC78" s="226"/>
    </row>
    <row r="79" spans="2:30" x14ac:dyDescent="0.35">
      <c r="B79" s="213"/>
      <c r="C79" s="10" t="s">
        <v>31</v>
      </c>
      <c r="D79" s="94">
        <v>5</v>
      </c>
      <c r="E79" s="162">
        <v>5000</v>
      </c>
      <c r="F79" s="162">
        <v>5000</v>
      </c>
      <c r="G79" s="162">
        <v>5000</v>
      </c>
      <c r="H79" s="162">
        <v>5000</v>
      </c>
      <c r="I79" s="162">
        <v>5000</v>
      </c>
      <c r="J79" s="162">
        <v>5000</v>
      </c>
      <c r="K79" s="162">
        <v>5000</v>
      </c>
      <c r="L79" s="162">
        <v>5000</v>
      </c>
      <c r="M79" s="162">
        <v>5000</v>
      </c>
      <c r="N79" s="162">
        <v>5000</v>
      </c>
      <c r="O79" s="162">
        <v>5000</v>
      </c>
      <c r="P79" s="162">
        <v>5000</v>
      </c>
      <c r="Q79" s="162">
        <v>5000</v>
      </c>
      <c r="R79" s="162">
        <v>5000</v>
      </c>
      <c r="S79" s="162">
        <v>5000</v>
      </c>
      <c r="T79" s="162">
        <v>5000</v>
      </c>
      <c r="U79" s="162">
        <v>5000</v>
      </c>
      <c r="V79" s="162">
        <v>5000</v>
      </c>
      <c r="W79" s="162">
        <v>5000</v>
      </c>
      <c r="X79" s="162">
        <v>5000</v>
      </c>
      <c r="Y79" s="162">
        <v>5000</v>
      </c>
      <c r="Z79" s="162">
        <v>5000</v>
      </c>
      <c r="AA79" s="162">
        <v>5000</v>
      </c>
      <c r="AB79" s="162">
        <v>5000</v>
      </c>
      <c r="AC79" s="226"/>
    </row>
    <row r="80" spans="2:30" ht="13" thickBot="1" x14ac:dyDescent="0.4">
      <c r="B80" s="213"/>
      <c r="C80" s="16" t="s">
        <v>32</v>
      </c>
      <c r="D80" s="95">
        <v>3</v>
      </c>
      <c r="E80" s="163">
        <v>5000</v>
      </c>
      <c r="F80" s="163">
        <v>5000</v>
      </c>
      <c r="G80" s="163">
        <v>5000</v>
      </c>
      <c r="H80" s="163">
        <v>5000</v>
      </c>
      <c r="I80" s="163">
        <v>5000</v>
      </c>
      <c r="J80" s="163">
        <v>5000</v>
      </c>
      <c r="K80" s="163">
        <v>5000</v>
      </c>
      <c r="L80" s="163">
        <v>5000</v>
      </c>
      <c r="M80" s="163">
        <v>5000</v>
      </c>
      <c r="N80" s="163">
        <v>5000</v>
      </c>
      <c r="O80" s="163">
        <v>5000</v>
      </c>
      <c r="P80" s="163">
        <v>5000</v>
      </c>
      <c r="Q80" s="163">
        <v>5000</v>
      </c>
      <c r="R80" s="163">
        <v>5000</v>
      </c>
      <c r="S80" s="163">
        <v>5000</v>
      </c>
      <c r="T80" s="163">
        <v>5000</v>
      </c>
      <c r="U80" s="163">
        <v>5000</v>
      </c>
      <c r="V80" s="163">
        <v>5000</v>
      </c>
      <c r="W80" s="163">
        <v>5000</v>
      </c>
      <c r="X80" s="163">
        <v>5000</v>
      </c>
      <c r="Y80" s="163">
        <v>5000</v>
      </c>
      <c r="Z80" s="163">
        <v>5000</v>
      </c>
      <c r="AA80" s="163">
        <v>5000</v>
      </c>
      <c r="AB80" s="163">
        <v>5000</v>
      </c>
      <c r="AC80" s="226"/>
    </row>
    <row r="81" spans="2:29" x14ac:dyDescent="0.35">
      <c r="B81" s="222">
        <v>46539</v>
      </c>
      <c r="C81" s="7" t="s">
        <v>29</v>
      </c>
      <c r="D81" s="93">
        <v>21</v>
      </c>
      <c r="E81" s="161">
        <v>5000</v>
      </c>
      <c r="F81" s="161">
        <v>5000</v>
      </c>
      <c r="G81" s="161">
        <v>5000</v>
      </c>
      <c r="H81" s="161">
        <v>5000</v>
      </c>
      <c r="I81" s="161">
        <v>5000</v>
      </c>
      <c r="J81" s="161">
        <v>5000</v>
      </c>
      <c r="K81" s="161">
        <v>5000</v>
      </c>
      <c r="L81" s="161">
        <v>5000</v>
      </c>
      <c r="M81" s="161">
        <v>5000</v>
      </c>
      <c r="N81" s="161">
        <v>5000</v>
      </c>
      <c r="O81" s="161">
        <v>5000</v>
      </c>
      <c r="P81" s="161">
        <v>5000</v>
      </c>
      <c r="Q81" s="161">
        <v>5000</v>
      </c>
      <c r="R81" s="161">
        <v>5000</v>
      </c>
      <c r="S81" s="161">
        <v>5000</v>
      </c>
      <c r="T81" s="161">
        <v>5000</v>
      </c>
      <c r="U81" s="161">
        <v>5000</v>
      </c>
      <c r="V81" s="161">
        <v>5000</v>
      </c>
      <c r="W81" s="161">
        <v>5000</v>
      </c>
      <c r="X81" s="161">
        <v>5000</v>
      </c>
      <c r="Y81" s="161">
        <v>5000</v>
      </c>
      <c r="Z81" s="161">
        <v>5000</v>
      </c>
      <c r="AA81" s="161">
        <v>5000</v>
      </c>
      <c r="AB81" s="161">
        <v>5000</v>
      </c>
      <c r="AC81" s="225">
        <f>SUM(E81:AB81)*D81+SUM(E82:AB82)*D82+SUM(E83:AB83)*D83+SUM(E84:AB84)*D84</f>
        <v>3600000</v>
      </c>
    </row>
    <row r="82" spans="2:29" x14ac:dyDescent="0.35">
      <c r="B82" s="223" t="s">
        <v>34</v>
      </c>
      <c r="C82" s="10" t="s">
        <v>30</v>
      </c>
      <c r="D82" s="94">
        <v>4</v>
      </c>
      <c r="E82" s="162">
        <v>5000</v>
      </c>
      <c r="F82" s="162">
        <v>5000</v>
      </c>
      <c r="G82" s="162">
        <v>5000</v>
      </c>
      <c r="H82" s="162">
        <v>5000</v>
      </c>
      <c r="I82" s="162">
        <v>5000</v>
      </c>
      <c r="J82" s="162">
        <v>5000</v>
      </c>
      <c r="K82" s="162">
        <v>5000</v>
      </c>
      <c r="L82" s="162">
        <v>5000</v>
      </c>
      <c r="M82" s="162">
        <v>5000</v>
      </c>
      <c r="N82" s="162">
        <v>5000</v>
      </c>
      <c r="O82" s="162">
        <v>5000</v>
      </c>
      <c r="P82" s="162">
        <v>5000</v>
      </c>
      <c r="Q82" s="162">
        <v>5000</v>
      </c>
      <c r="R82" s="162">
        <v>5000</v>
      </c>
      <c r="S82" s="162">
        <v>5000</v>
      </c>
      <c r="T82" s="162">
        <v>5000</v>
      </c>
      <c r="U82" s="162">
        <v>5000</v>
      </c>
      <c r="V82" s="162">
        <v>5000</v>
      </c>
      <c r="W82" s="162">
        <v>5000</v>
      </c>
      <c r="X82" s="162">
        <v>5000</v>
      </c>
      <c r="Y82" s="162">
        <v>5000</v>
      </c>
      <c r="Z82" s="162">
        <v>5000</v>
      </c>
      <c r="AA82" s="162">
        <v>5000</v>
      </c>
      <c r="AB82" s="162">
        <v>5000</v>
      </c>
      <c r="AC82" s="226"/>
    </row>
    <row r="83" spans="2:29" x14ac:dyDescent="0.35">
      <c r="B83" s="223" t="s">
        <v>34</v>
      </c>
      <c r="C83" s="10" t="s">
        <v>31</v>
      </c>
      <c r="D83" s="94">
        <v>4</v>
      </c>
      <c r="E83" s="162">
        <v>5000</v>
      </c>
      <c r="F83" s="162">
        <v>5000</v>
      </c>
      <c r="G83" s="162">
        <v>5000</v>
      </c>
      <c r="H83" s="162">
        <v>5000</v>
      </c>
      <c r="I83" s="162">
        <v>5000</v>
      </c>
      <c r="J83" s="162">
        <v>5000</v>
      </c>
      <c r="K83" s="162">
        <v>5000</v>
      </c>
      <c r="L83" s="162">
        <v>5000</v>
      </c>
      <c r="M83" s="162">
        <v>5000</v>
      </c>
      <c r="N83" s="162">
        <v>5000</v>
      </c>
      <c r="O83" s="162">
        <v>5000</v>
      </c>
      <c r="P83" s="162">
        <v>5000</v>
      </c>
      <c r="Q83" s="162">
        <v>5000</v>
      </c>
      <c r="R83" s="162">
        <v>5000</v>
      </c>
      <c r="S83" s="162">
        <v>5000</v>
      </c>
      <c r="T83" s="162">
        <v>5000</v>
      </c>
      <c r="U83" s="162">
        <v>5000</v>
      </c>
      <c r="V83" s="162">
        <v>5000</v>
      </c>
      <c r="W83" s="162">
        <v>5000</v>
      </c>
      <c r="X83" s="162">
        <v>5000</v>
      </c>
      <c r="Y83" s="162">
        <v>5000</v>
      </c>
      <c r="Z83" s="162">
        <v>5000</v>
      </c>
      <c r="AA83" s="162">
        <v>5000</v>
      </c>
      <c r="AB83" s="162">
        <v>5000</v>
      </c>
      <c r="AC83" s="226"/>
    </row>
    <row r="84" spans="2:29" ht="13" thickBot="1" x14ac:dyDescent="0.4">
      <c r="B84" s="224" t="s">
        <v>34</v>
      </c>
      <c r="C84" s="12" t="s">
        <v>32</v>
      </c>
      <c r="D84" s="96">
        <v>1</v>
      </c>
      <c r="E84" s="106">
        <v>5000</v>
      </c>
      <c r="F84" s="106">
        <v>5000</v>
      </c>
      <c r="G84" s="106">
        <v>5000</v>
      </c>
      <c r="H84" s="106">
        <v>5000</v>
      </c>
      <c r="I84" s="106">
        <v>5000</v>
      </c>
      <c r="J84" s="106">
        <v>5000</v>
      </c>
      <c r="K84" s="106">
        <v>5000</v>
      </c>
      <c r="L84" s="106">
        <v>5000</v>
      </c>
      <c r="M84" s="106">
        <v>5000</v>
      </c>
      <c r="N84" s="106">
        <v>5000</v>
      </c>
      <c r="O84" s="106">
        <v>5000</v>
      </c>
      <c r="P84" s="106">
        <v>5000</v>
      </c>
      <c r="Q84" s="106">
        <v>5000</v>
      </c>
      <c r="R84" s="106">
        <v>5000</v>
      </c>
      <c r="S84" s="106">
        <v>5000</v>
      </c>
      <c r="T84" s="106">
        <v>5000</v>
      </c>
      <c r="U84" s="106">
        <v>5000</v>
      </c>
      <c r="V84" s="106">
        <v>5000</v>
      </c>
      <c r="W84" s="106">
        <v>5000</v>
      </c>
      <c r="X84" s="106">
        <v>5000</v>
      </c>
      <c r="Y84" s="106">
        <v>5000</v>
      </c>
      <c r="Z84" s="106">
        <v>5000</v>
      </c>
      <c r="AA84" s="106">
        <v>5000</v>
      </c>
      <c r="AB84" s="106">
        <v>5000</v>
      </c>
      <c r="AC84" s="227"/>
    </row>
    <row r="85" spans="2:29" x14ac:dyDescent="0.35">
      <c r="B85" s="212">
        <v>46569</v>
      </c>
      <c r="C85" s="14" t="s">
        <v>29</v>
      </c>
      <c r="D85" s="97">
        <v>20</v>
      </c>
      <c r="E85" s="164">
        <v>5000</v>
      </c>
      <c r="F85" s="164">
        <v>5000</v>
      </c>
      <c r="G85" s="164">
        <v>5000</v>
      </c>
      <c r="H85" s="164">
        <v>5000</v>
      </c>
      <c r="I85" s="164">
        <v>5000</v>
      </c>
      <c r="J85" s="164">
        <v>5000</v>
      </c>
      <c r="K85" s="164">
        <v>5000</v>
      </c>
      <c r="L85" s="164">
        <v>5000</v>
      </c>
      <c r="M85" s="164">
        <v>5000</v>
      </c>
      <c r="N85" s="164">
        <v>5000</v>
      </c>
      <c r="O85" s="164">
        <v>5000</v>
      </c>
      <c r="P85" s="164">
        <v>5000</v>
      </c>
      <c r="Q85" s="164">
        <v>5000</v>
      </c>
      <c r="R85" s="164">
        <v>5000</v>
      </c>
      <c r="S85" s="164">
        <v>5000</v>
      </c>
      <c r="T85" s="164">
        <v>5000</v>
      </c>
      <c r="U85" s="164">
        <v>5000</v>
      </c>
      <c r="V85" s="164">
        <v>5000</v>
      </c>
      <c r="W85" s="164">
        <v>5000</v>
      </c>
      <c r="X85" s="164">
        <v>5000</v>
      </c>
      <c r="Y85" s="164">
        <v>5000</v>
      </c>
      <c r="Z85" s="164">
        <v>5000</v>
      </c>
      <c r="AA85" s="164">
        <v>5000</v>
      </c>
      <c r="AB85" s="164">
        <v>5000</v>
      </c>
      <c r="AC85" s="226">
        <f>SUM(E85:AB85)*D85+SUM(E86:AB86)*D86+SUM(E87:AB87)*D87+SUM(E88:AB88)*D88</f>
        <v>3720000</v>
      </c>
    </row>
    <row r="86" spans="2:29" x14ac:dyDescent="0.35">
      <c r="B86" s="213"/>
      <c r="C86" s="10" t="s">
        <v>30</v>
      </c>
      <c r="D86" s="94">
        <v>5</v>
      </c>
      <c r="E86" s="162">
        <v>5000</v>
      </c>
      <c r="F86" s="162">
        <v>5000</v>
      </c>
      <c r="G86" s="162">
        <v>5000</v>
      </c>
      <c r="H86" s="162">
        <v>5000</v>
      </c>
      <c r="I86" s="162">
        <v>5000</v>
      </c>
      <c r="J86" s="162">
        <v>5000</v>
      </c>
      <c r="K86" s="162">
        <v>5000</v>
      </c>
      <c r="L86" s="162">
        <v>5000</v>
      </c>
      <c r="M86" s="162">
        <v>5000</v>
      </c>
      <c r="N86" s="162">
        <v>5000</v>
      </c>
      <c r="O86" s="162">
        <v>5000</v>
      </c>
      <c r="P86" s="162">
        <v>5000</v>
      </c>
      <c r="Q86" s="162">
        <v>5000</v>
      </c>
      <c r="R86" s="162">
        <v>5000</v>
      </c>
      <c r="S86" s="162">
        <v>5000</v>
      </c>
      <c r="T86" s="162">
        <v>5000</v>
      </c>
      <c r="U86" s="162">
        <v>5000</v>
      </c>
      <c r="V86" s="162">
        <v>5000</v>
      </c>
      <c r="W86" s="162">
        <v>5000</v>
      </c>
      <c r="X86" s="162">
        <v>5000</v>
      </c>
      <c r="Y86" s="162">
        <v>5000</v>
      </c>
      <c r="Z86" s="162">
        <v>5000</v>
      </c>
      <c r="AA86" s="162">
        <v>5000</v>
      </c>
      <c r="AB86" s="162">
        <v>5000</v>
      </c>
      <c r="AC86" s="226"/>
    </row>
    <row r="87" spans="2:29" x14ac:dyDescent="0.35">
      <c r="B87" s="213"/>
      <c r="C87" s="10" t="s">
        <v>31</v>
      </c>
      <c r="D87" s="94">
        <v>4</v>
      </c>
      <c r="E87" s="162">
        <v>5000</v>
      </c>
      <c r="F87" s="162">
        <v>5000</v>
      </c>
      <c r="G87" s="162">
        <v>5000</v>
      </c>
      <c r="H87" s="162">
        <v>5000</v>
      </c>
      <c r="I87" s="162">
        <v>5000</v>
      </c>
      <c r="J87" s="162">
        <v>5000</v>
      </c>
      <c r="K87" s="162">
        <v>5000</v>
      </c>
      <c r="L87" s="162">
        <v>5000</v>
      </c>
      <c r="M87" s="162">
        <v>5000</v>
      </c>
      <c r="N87" s="162">
        <v>5000</v>
      </c>
      <c r="O87" s="162">
        <v>5000</v>
      </c>
      <c r="P87" s="162">
        <v>5000</v>
      </c>
      <c r="Q87" s="162">
        <v>5000</v>
      </c>
      <c r="R87" s="162">
        <v>5000</v>
      </c>
      <c r="S87" s="162">
        <v>5000</v>
      </c>
      <c r="T87" s="162">
        <v>5000</v>
      </c>
      <c r="U87" s="162">
        <v>5000</v>
      </c>
      <c r="V87" s="162">
        <v>5000</v>
      </c>
      <c r="W87" s="162">
        <v>5000</v>
      </c>
      <c r="X87" s="162">
        <v>5000</v>
      </c>
      <c r="Y87" s="162">
        <v>5000</v>
      </c>
      <c r="Z87" s="162">
        <v>5000</v>
      </c>
      <c r="AA87" s="162">
        <v>5000</v>
      </c>
      <c r="AB87" s="162">
        <v>5000</v>
      </c>
      <c r="AC87" s="226"/>
    </row>
    <row r="88" spans="2:29" ht="13" thickBot="1" x14ac:dyDescent="0.4">
      <c r="B88" s="213"/>
      <c r="C88" s="16" t="s">
        <v>32</v>
      </c>
      <c r="D88" s="95">
        <v>2</v>
      </c>
      <c r="E88" s="163">
        <v>5000</v>
      </c>
      <c r="F88" s="163">
        <v>5000</v>
      </c>
      <c r="G88" s="163">
        <v>5000</v>
      </c>
      <c r="H88" s="163">
        <v>5000</v>
      </c>
      <c r="I88" s="163">
        <v>5000</v>
      </c>
      <c r="J88" s="163">
        <v>5000</v>
      </c>
      <c r="K88" s="163">
        <v>5000</v>
      </c>
      <c r="L88" s="163">
        <v>5000</v>
      </c>
      <c r="M88" s="163">
        <v>5000</v>
      </c>
      <c r="N88" s="163">
        <v>5000</v>
      </c>
      <c r="O88" s="163">
        <v>5000</v>
      </c>
      <c r="P88" s="163">
        <v>5000</v>
      </c>
      <c r="Q88" s="163">
        <v>5000</v>
      </c>
      <c r="R88" s="163">
        <v>5000</v>
      </c>
      <c r="S88" s="163">
        <v>5000</v>
      </c>
      <c r="T88" s="163">
        <v>5000</v>
      </c>
      <c r="U88" s="163">
        <v>5000</v>
      </c>
      <c r="V88" s="163">
        <v>5000</v>
      </c>
      <c r="W88" s="163">
        <v>5000</v>
      </c>
      <c r="X88" s="163">
        <v>5000</v>
      </c>
      <c r="Y88" s="163">
        <v>5000</v>
      </c>
      <c r="Z88" s="163">
        <v>5000</v>
      </c>
      <c r="AA88" s="163">
        <v>5000</v>
      </c>
      <c r="AB88" s="163">
        <v>5000</v>
      </c>
      <c r="AC88" s="226"/>
    </row>
    <row r="89" spans="2:29" x14ac:dyDescent="0.35">
      <c r="B89" s="222">
        <v>46600</v>
      </c>
      <c r="C89" s="7" t="s">
        <v>29</v>
      </c>
      <c r="D89" s="93">
        <v>21</v>
      </c>
      <c r="E89" s="161">
        <v>5000</v>
      </c>
      <c r="F89" s="161">
        <v>5000</v>
      </c>
      <c r="G89" s="161">
        <v>5000</v>
      </c>
      <c r="H89" s="161">
        <v>5000</v>
      </c>
      <c r="I89" s="161">
        <v>5000</v>
      </c>
      <c r="J89" s="161">
        <v>5000</v>
      </c>
      <c r="K89" s="161">
        <v>5000</v>
      </c>
      <c r="L89" s="161">
        <v>5000</v>
      </c>
      <c r="M89" s="161">
        <v>5000</v>
      </c>
      <c r="N89" s="161">
        <v>5000</v>
      </c>
      <c r="O89" s="161">
        <v>5000</v>
      </c>
      <c r="P89" s="161">
        <v>5000</v>
      </c>
      <c r="Q89" s="161">
        <v>5000</v>
      </c>
      <c r="R89" s="161">
        <v>5000</v>
      </c>
      <c r="S89" s="161">
        <v>5000</v>
      </c>
      <c r="T89" s="161">
        <v>5000</v>
      </c>
      <c r="U89" s="161">
        <v>5000</v>
      </c>
      <c r="V89" s="161">
        <v>5000</v>
      </c>
      <c r="W89" s="161">
        <v>5000</v>
      </c>
      <c r="X89" s="161">
        <v>5000</v>
      </c>
      <c r="Y89" s="161">
        <v>5000</v>
      </c>
      <c r="Z89" s="161">
        <v>5000</v>
      </c>
      <c r="AA89" s="161">
        <v>5000</v>
      </c>
      <c r="AB89" s="161">
        <v>5000</v>
      </c>
      <c r="AC89" s="225">
        <f>SUM(E89:AB89)*D89+SUM(E90:AB90)*D90+SUM(E91:AB91)*D91+SUM(E92:AB92)*D92</f>
        <v>3720000</v>
      </c>
    </row>
    <row r="90" spans="2:29" x14ac:dyDescent="0.35">
      <c r="B90" s="223" t="s">
        <v>34</v>
      </c>
      <c r="C90" s="10" t="s">
        <v>30</v>
      </c>
      <c r="D90" s="94">
        <v>3</v>
      </c>
      <c r="E90" s="162">
        <v>5000</v>
      </c>
      <c r="F90" s="162">
        <v>5000</v>
      </c>
      <c r="G90" s="162">
        <v>5000</v>
      </c>
      <c r="H90" s="162">
        <v>5000</v>
      </c>
      <c r="I90" s="162">
        <v>5000</v>
      </c>
      <c r="J90" s="162">
        <v>5000</v>
      </c>
      <c r="K90" s="162">
        <v>5000</v>
      </c>
      <c r="L90" s="162">
        <v>5000</v>
      </c>
      <c r="M90" s="162">
        <v>5000</v>
      </c>
      <c r="N90" s="162">
        <v>5000</v>
      </c>
      <c r="O90" s="162">
        <v>5000</v>
      </c>
      <c r="P90" s="162">
        <v>5000</v>
      </c>
      <c r="Q90" s="162">
        <v>5000</v>
      </c>
      <c r="R90" s="162">
        <v>5000</v>
      </c>
      <c r="S90" s="162">
        <v>5000</v>
      </c>
      <c r="T90" s="162">
        <v>5000</v>
      </c>
      <c r="U90" s="162">
        <v>5000</v>
      </c>
      <c r="V90" s="162">
        <v>5000</v>
      </c>
      <c r="W90" s="162">
        <v>5000</v>
      </c>
      <c r="X90" s="162">
        <v>5000</v>
      </c>
      <c r="Y90" s="162">
        <v>5000</v>
      </c>
      <c r="Z90" s="162">
        <v>5000</v>
      </c>
      <c r="AA90" s="162">
        <v>5000</v>
      </c>
      <c r="AB90" s="162">
        <v>5000</v>
      </c>
      <c r="AC90" s="226"/>
    </row>
    <row r="91" spans="2:29" x14ac:dyDescent="0.35">
      <c r="B91" s="223" t="s">
        <v>34</v>
      </c>
      <c r="C91" s="10" t="s">
        <v>31</v>
      </c>
      <c r="D91" s="94">
        <v>5</v>
      </c>
      <c r="E91" s="162">
        <v>5000</v>
      </c>
      <c r="F91" s="162">
        <v>5000</v>
      </c>
      <c r="G91" s="162">
        <v>5000</v>
      </c>
      <c r="H91" s="162">
        <v>5000</v>
      </c>
      <c r="I91" s="162">
        <v>5000</v>
      </c>
      <c r="J91" s="162">
        <v>5000</v>
      </c>
      <c r="K91" s="162">
        <v>5000</v>
      </c>
      <c r="L91" s="162">
        <v>5000</v>
      </c>
      <c r="M91" s="162">
        <v>5000</v>
      </c>
      <c r="N91" s="162">
        <v>5000</v>
      </c>
      <c r="O91" s="162">
        <v>5000</v>
      </c>
      <c r="P91" s="162">
        <v>5000</v>
      </c>
      <c r="Q91" s="162">
        <v>5000</v>
      </c>
      <c r="R91" s="162">
        <v>5000</v>
      </c>
      <c r="S91" s="162">
        <v>5000</v>
      </c>
      <c r="T91" s="162">
        <v>5000</v>
      </c>
      <c r="U91" s="162">
        <v>5000</v>
      </c>
      <c r="V91" s="162">
        <v>5000</v>
      </c>
      <c r="W91" s="162">
        <v>5000</v>
      </c>
      <c r="X91" s="162">
        <v>5000</v>
      </c>
      <c r="Y91" s="162">
        <v>5000</v>
      </c>
      <c r="Z91" s="162">
        <v>5000</v>
      </c>
      <c r="AA91" s="162">
        <v>5000</v>
      </c>
      <c r="AB91" s="162">
        <v>5000</v>
      </c>
      <c r="AC91" s="226"/>
    </row>
    <row r="92" spans="2:29" ht="13" thickBot="1" x14ac:dyDescent="0.4">
      <c r="B92" s="224" t="s">
        <v>34</v>
      </c>
      <c r="C92" s="12" t="s">
        <v>32</v>
      </c>
      <c r="D92" s="96">
        <v>2</v>
      </c>
      <c r="E92" s="106">
        <v>5000</v>
      </c>
      <c r="F92" s="106">
        <v>5000</v>
      </c>
      <c r="G92" s="106">
        <v>5000</v>
      </c>
      <c r="H92" s="106">
        <v>5000</v>
      </c>
      <c r="I92" s="106">
        <v>5000</v>
      </c>
      <c r="J92" s="106">
        <v>5000</v>
      </c>
      <c r="K92" s="106">
        <v>5000</v>
      </c>
      <c r="L92" s="106">
        <v>5000</v>
      </c>
      <c r="M92" s="106">
        <v>5000</v>
      </c>
      <c r="N92" s="106">
        <v>5000</v>
      </c>
      <c r="O92" s="106">
        <v>5000</v>
      </c>
      <c r="P92" s="106">
        <v>5000</v>
      </c>
      <c r="Q92" s="106">
        <v>5000</v>
      </c>
      <c r="R92" s="106">
        <v>5000</v>
      </c>
      <c r="S92" s="106">
        <v>5000</v>
      </c>
      <c r="T92" s="106">
        <v>5000</v>
      </c>
      <c r="U92" s="106">
        <v>5000</v>
      </c>
      <c r="V92" s="106">
        <v>5000</v>
      </c>
      <c r="W92" s="106">
        <v>5000</v>
      </c>
      <c r="X92" s="106">
        <v>5000</v>
      </c>
      <c r="Y92" s="106">
        <v>5000</v>
      </c>
      <c r="Z92" s="106">
        <v>5000</v>
      </c>
      <c r="AA92" s="106">
        <v>5000</v>
      </c>
      <c r="AB92" s="106">
        <v>5000</v>
      </c>
      <c r="AC92" s="227"/>
    </row>
    <row r="93" spans="2:29" x14ac:dyDescent="0.35">
      <c r="B93" s="212">
        <v>46631</v>
      </c>
      <c r="C93" s="14" t="s">
        <v>29</v>
      </c>
      <c r="D93" s="97">
        <v>22</v>
      </c>
      <c r="E93" s="164">
        <v>5000</v>
      </c>
      <c r="F93" s="164">
        <v>5000</v>
      </c>
      <c r="G93" s="164">
        <v>5000</v>
      </c>
      <c r="H93" s="164">
        <v>5000</v>
      </c>
      <c r="I93" s="164">
        <v>5000</v>
      </c>
      <c r="J93" s="164">
        <v>5000</v>
      </c>
      <c r="K93" s="164">
        <v>5000</v>
      </c>
      <c r="L93" s="164">
        <v>5000</v>
      </c>
      <c r="M93" s="164">
        <v>5000</v>
      </c>
      <c r="N93" s="164">
        <v>5000</v>
      </c>
      <c r="O93" s="164">
        <v>5000</v>
      </c>
      <c r="P93" s="164">
        <v>5000</v>
      </c>
      <c r="Q93" s="164">
        <v>5000</v>
      </c>
      <c r="R93" s="164">
        <v>5000</v>
      </c>
      <c r="S93" s="164">
        <v>5000</v>
      </c>
      <c r="T93" s="164">
        <v>5000</v>
      </c>
      <c r="U93" s="164">
        <v>5000</v>
      </c>
      <c r="V93" s="164">
        <v>5000</v>
      </c>
      <c r="W93" s="164">
        <v>5000</v>
      </c>
      <c r="X93" s="164">
        <v>5000</v>
      </c>
      <c r="Y93" s="164">
        <v>5000</v>
      </c>
      <c r="Z93" s="164">
        <v>5000</v>
      </c>
      <c r="AA93" s="164">
        <v>5000</v>
      </c>
      <c r="AB93" s="164">
        <v>5000</v>
      </c>
      <c r="AC93" s="226">
        <f>SUM(E93:AB93)*D93+SUM(E94:AB94)*D94+SUM(E95:AB95)*D95+SUM(E96:AB96)*D96</f>
        <v>3600000</v>
      </c>
    </row>
    <row r="94" spans="2:29" x14ac:dyDescent="0.35">
      <c r="B94" s="213"/>
      <c r="C94" s="10" t="s">
        <v>30</v>
      </c>
      <c r="D94" s="94">
        <v>4</v>
      </c>
      <c r="E94" s="162">
        <v>5000</v>
      </c>
      <c r="F94" s="162">
        <v>5000</v>
      </c>
      <c r="G94" s="162">
        <v>5000</v>
      </c>
      <c r="H94" s="162">
        <v>5000</v>
      </c>
      <c r="I94" s="162">
        <v>5000</v>
      </c>
      <c r="J94" s="162">
        <v>5000</v>
      </c>
      <c r="K94" s="162">
        <v>5000</v>
      </c>
      <c r="L94" s="162">
        <v>5000</v>
      </c>
      <c r="M94" s="162">
        <v>5000</v>
      </c>
      <c r="N94" s="162">
        <v>5000</v>
      </c>
      <c r="O94" s="162">
        <v>5000</v>
      </c>
      <c r="P94" s="162">
        <v>5000</v>
      </c>
      <c r="Q94" s="162">
        <v>5000</v>
      </c>
      <c r="R94" s="162">
        <v>5000</v>
      </c>
      <c r="S94" s="162">
        <v>5000</v>
      </c>
      <c r="T94" s="162">
        <v>5000</v>
      </c>
      <c r="U94" s="162">
        <v>5000</v>
      </c>
      <c r="V94" s="162">
        <v>5000</v>
      </c>
      <c r="W94" s="162">
        <v>5000</v>
      </c>
      <c r="X94" s="162">
        <v>5000</v>
      </c>
      <c r="Y94" s="162">
        <v>5000</v>
      </c>
      <c r="Z94" s="162">
        <v>5000</v>
      </c>
      <c r="AA94" s="162">
        <v>5000</v>
      </c>
      <c r="AB94" s="162">
        <v>5000</v>
      </c>
      <c r="AC94" s="226"/>
    </row>
    <row r="95" spans="2:29" x14ac:dyDescent="0.35">
      <c r="B95" s="213"/>
      <c r="C95" s="10" t="s">
        <v>31</v>
      </c>
      <c r="D95" s="94">
        <v>4</v>
      </c>
      <c r="E95" s="162">
        <v>5000</v>
      </c>
      <c r="F95" s="162">
        <v>5000</v>
      </c>
      <c r="G95" s="162">
        <v>5000</v>
      </c>
      <c r="H95" s="162">
        <v>5000</v>
      </c>
      <c r="I95" s="162">
        <v>5000</v>
      </c>
      <c r="J95" s="162">
        <v>5000</v>
      </c>
      <c r="K95" s="162">
        <v>5000</v>
      </c>
      <c r="L95" s="162">
        <v>5000</v>
      </c>
      <c r="M95" s="162">
        <v>5000</v>
      </c>
      <c r="N95" s="162">
        <v>5000</v>
      </c>
      <c r="O95" s="162">
        <v>5000</v>
      </c>
      <c r="P95" s="162">
        <v>5000</v>
      </c>
      <c r="Q95" s="162">
        <v>5000</v>
      </c>
      <c r="R95" s="162">
        <v>5000</v>
      </c>
      <c r="S95" s="162">
        <v>5000</v>
      </c>
      <c r="T95" s="162">
        <v>5000</v>
      </c>
      <c r="U95" s="162">
        <v>5000</v>
      </c>
      <c r="V95" s="162">
        <v>5000</v>
      </c>
      <c r="W95" s="162">
        <v>5000</v>
      </c>
      <c r="X95" s="162">
        <v>5000</v>
      </c>
      <c r="Y95" s="162">
        <v>5000</v>
      </c>
      <c r="Z95" s="162">
        <v>5000</v>
      </c>
      <c r="AA95" s="162">
        <v>5000</v>
      </c>
      <c r="AB95" s="162">
        <v>5000</v>
      </c>
      <c r="AC95" s="226"/>
    </row>
    <row r="96" spans="2:29" ht="13" thickBot="1" x14ac:dyDescent="0.4">
      <c r="B96" s="213"/>
      <c r="C96" s="16" t="s">
        <v>32</v>
      </c>
      <c r="D96" s="95">
        <v>0</v>
      </c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226"/>
    </row>
    <row r="97" spans="2:29" x14ac:dyDescent="0.35">
      <c r="B97" s="222">
        <v>46661</v>
      </c>
      <c r="C97" s="7" t="s">
        <v>29</v>
      </c>
      <c r="D97" s="93">
        <v>20</v>
      </c>
      <c r="E97" s="161">
        <v>5000</v>
      </c>
      <c r="F97" s="161">
        <v>5000</v>
      </c>
      <c r="G97" s="161">
        <v>5000</v>
      </c>
      <c r="H97" s="161">
        <v>5000</v>
      </c>
      <c r="I97" s="161">
        <v>5000</v>
      </c>
      <c r="J97" s="161">
        <v>5000</v>
      </c>
      <c r="K97" s="161">
        <v>5000</v>
      </c>
      <c r="L97" s="161">
        <v>5000</v>
      </c>
      <c r="M97" s="161">
        <v>5000</v>
      </c>
      <c r="N97" s="161">
        <v>5000</v>
      </c>
      <c r="O97" s="161">
        <v>5000</v>
      </c>
      <c r="P97" s="161">
        <v>5000</v>
      </c>
      <c r="Q97" s="161">
        <v>5000</v>
      </c>
      <c r="R97" s="161">
        <v>5000</v>
      </c>
      <c r="S97" s="161">
        <v>5000</v>
      </c>
      <c r="T97" s="161">
        <v>5000</v>
      </c>
      <c r="U97" s="161">
        <v>5000</v>
      </c>
      <c r="V97" s="161">
        <v>5000</v>
      </c>
      <c r="W97" s="161">
        <v>5000</v>
      </c>
      <c r="X97" s="161">
        <v>5000</v>
      </c>
      <c r="Y97" s="161">
        <v>5000</v>
      </c>
      <c r="Z97" s="161">
        <v>5000</v>
      </c>
      <c r="AA97" s="161">
        <v>5000</v>
      </c>
      <c r="AB97" s="161">
        <v>5000</v>
      </c>
      <c r="AC97" s="225">
        <f>SUM(E97:AB97)*D97+SUM(E98:AB98)*D98+SUM(E99:AB99)*D99+SUM(E100:AB100)*D100</f>
        <v>3720000</v>
      </c>
    </row>
    <row r="98" spans="2:29" x14ac:dyDescent="0.35">
      <c r="B98" s="223" t="s">
        <v>34</v>
      </c>
      <c r="C98" s="10" t="s">
        <v>30</v>
      </c>
      <c r="D98" s="94">
        <v>5</v>
      </c>
      <c r="E98" s="162">
        <v>5000</v>
      </c>
      <c r="F98" s="162">
        <v>5000</v>
      </c>
      <c r="G98" s="162">
        <v>5000</v>
      </c>
      <c r="H98" s="162">
        <v>5000</v>
      </c>
      <c r="I98" s="162">
        <v>5000</v>
      </c>
      <c r="J98" s="162">
        <v>5000</v>
      </c>
      <c r="K98" s="162">
        <v>5000</v>
      </c>
      <c r="L98" s="162">
        <v>5000</v>
      </c>
      <c r="M98" s="162">
        <v>5000</v>
      </c>
      <c r="N98" s="162">
        <v>5000</v>
      </c>
      <c r="O98" s="162">
        <v>5000</v>
      </c>
      <c r="P98" s="162">
        <v>5000</v>
      </c>
      <c r="Q98" s="162">
        <v>5000</v>
      </c>
      <c r="R98" s="162">
        <v>5000</v>
      </c>
      <c r="S98" s="162">
        <v>5000</v>
      </c>
      <c r="T98" s="162">
        <v>5000</v>
      </c>
      <c r="U98" s="162">
        <v>5000</v>
      </c>
      <c r="V98" s="162">
        <v>5000</v>
      </c>
      <c r="W98" s="162">
        <v>5000</v>
      </c>
      <c r="X98" s="162">
        <v>5000</v>
      </c>
      <c r="Y98" s="162">
        <v>5000</v>
      </c>
      <c r="Z98" s="162">
        <v>5000</v>
      </c>
      <c r="AA98" s="162">
        <v>5000</v>
      </c>
      <c r="AB98" s="162">
        <v>5000</v>
      </c>
      <c r="AC98" s="226"/>
    </row>
    <row r="99" spans="2:29" x14ac:dyDescent="0.35">
      <c r="B99" s="223" t="s">
        <v>34</v>
      </c>
      <c r="C99" s="10" t="s">
        <v>31</v>
      </c>
      <c r="D99" s="94">
        <v>5</v>
      </c>
      <c r="E99" s="162">
        <v>5000</v>
      </c>
      <c r="F99" s="162">
        <v>5000</v>
      </c>
      <c r="G99" s="162">
        <v>5000</v>
      </c>
      <c r="H99" s="162">
        <v>5000</v>
      </c>
      <c r="I99" s="162">
        <v>5000</v>
      </c>
      <c r="J99" s="162">
        <v>5000</v>
      </c>
      <c r="K99" s="162">
        <v>5000</v>
      </c>
      <c r="L99" s="162">
        <v>5000</v>
      </c>
      <c r="M99" s="162">
        <v>5000</v>
      </c>
      <c r="N99" s="162">
        <v>5000</v>
      </c>
      <c r="O99" s="162">
        <v>5000</v>
      </c>
      <c r="P99" s="162">
        <v>5000</v>
      </c>
      <c r="Q99" s="162">
        <v>5000</v>
      </c>
      <c r="R99" s="162">
        <v>5000</v>
      </c>
      <c r="S99" s="162">
        <v>5000</v>
      </c>
      <c r="T99" s="162">
        <v>5000</v>
      </c>
      <c r="U99" s="162">
        <v>5000</v>
      </c>
      <c r="V99" s="162">
        <v>5000</v>
      </c>
      <c r="W99" s="162">
        <v>5000</v>
      </c>
      <c r="X99" s="162">
        <v>5000</v>
      </c>
      <c r="Y99" s="162">
        <v>5000</v>
      </c>
      <c r="Z99" s="162">
        <v>5000</v>
      </c>
      <c r="AA99" s="162">
        <v>5000</v>
      </c>
      <c r="AB99" s="162">
        <v>5000</v>
      </c>
      <c r="AC99" s="226"/>
    </row>
    <row r="100" spans="2:29" ht="13" thickBot="1" x14ac:dyDescent="0.4">
      <c r="B100" s="224" t="s">
        <v>34</v>
      </c>
      <c r="C100" s="12" t="s">
        <v>32</v>
      </c>
      <c r="D100" s="96">
        <v>1</v>
      </c>
      <c r="E100" s="106">
        <v>5000</v>
      </c>
      <c r="F100" s="106">
        <v>5000</v>
      </c>
      <c r="G100" s="106">
        <v>5000</v>
      </c>
      <c r="H100" s="106">
        <v>5000</v>
      </c>
      <c r="I100" s="106">
        <v>5000</v>
      </c>
      <c r="J100" s="106">
        <v>5000</v>
      </c>
      <c r="K100" s="106">
        <v>5000</v>
      </c>
      <c r="L100" s="106">
        <v>5000</v>
      </c>
      <c r="M100" s="106">
        <v>5000</v>
      </c>
      <c r="N100" s="106">
        <v>5000</v>
      </c>
      <c r="O100" s="106">
        <v>5000</v>
      </c>
      <c r="P100" s="106">
        <v>5000</v>
      </c>
      <c r="Q100" s="106">
        <v>5000</v>
      </c>
      <c r="R100" s="106">
        <v>5000</v>
      </c>
      <c r="S100" s="106">
        <v>5000</v>
      </c>
      <c r="T100" s="106">
        <v>5000</v>
      </c>
      <c r="U100" s="106">
        <v>5000</v>
      </c>
      <c r="V100" s="106">
        <v>5000</v>
      </c>
      <c r="W100" s="106">
        <v>5000</v>
      </c>
      <c r="X100" s="106">
        <v>5000</v>
      </c>
      <c r="Y100" s="106">
        <v>5000</v>
      </c>
      <c r="Z100" s="106">
        <v>5000</v>
      </c>
      <c r="AA100" s="106">
        <v>5000</v>
      </c>
      <c r="AB100" s="106">
        <v>5000</v>
      </c>
      <c r="AC100" s="227"/>
    </row>
    <row r="101" spans="2:29" x14ac:dyDescent="0.35">
      <c r="B101" s="212">
        <v>46692</v>
      </c>
      <c r="C101" s="14" t="s">
        <v>29</v>
      </c>
      <c r="D101" s="97">
        <v>20</v>
      </c>
      <c r="E101" s="164">
        <v>5000</v>
      </c>
      <c r="F101" s="164">
        <v>5000</v>
      </c>
      <c r="G101" s="164">
        <v>5000</v>
      </c>
      <c r="H101" s="164">
        <v>5000</v>
      </c>
      <c r="I101" s="164">
        <v>5000</v>
      </c>
      <c r="J101" s="164">
        <v>5000</v>
      </c>
      <c r="K101" s="164">
        <v>5000</v>
      </c>
      <c r="L101" s="164">
        <v>5000</v>
      </c>
      <c r="M101" s="164">
        <v>5000</v>
      </c>
      <c r="N101" s="164">
        <v>5000</v>
      </c>
      <c r="O101" s="164">
        <v>5000</v>
      </c>
      <c r="P101" s="164">
        <v>5000</v>
      </c>
      <c r="Q101" s="164">
        <v>5000</v>
      </c>
      <c r="R101" s="164">
        <v>5000</v>
      </c>
      <c r="S101" s="164">
        <v>5000</v>
      </c>
      <c r="T101" s="164">
        <v>5000</v>
      </c>
      <c r="U101" s="164">
        <v>5000</v>
      </c>
      <c r="V101" s="164">
        <v>5000</v>
      </c>
      <c r="W101" s="164">
        <v>5000</v>
      </c>
      <c r="X101" s="164">
        <v>5000</v>
      </c>
      <c r="Y101" s="164">
        <v>5000</v>
      </c>
      <c r="Z101" s="164">
        <v>5000</v>
      </c>
      <c r="AA101" s="164">
        <v>5000</v>
      </c>
      <c r="AB101" s="164">
        <v>5000</v>
      </c>
      <c r="AC101" s="226">
        <f>SUM(E101:AB101)*D101+SUM(E102:AB102)*D102+SUM(E103:AB103)*D103+SUM(E104:AB104)*D104</f>
        <v>3600000</v>
      </c>
    </row>
    <row r="102" spans="2:29" x14ac:dyDescent="0.35">
      <c r="B102" s="213"/>
      <c r="C102" s="10" t="s">
        <v>30</v>
      </c>
      <c r="D102" s="94">
        <v>4</v>
      </c>
      <c r="E102" s="162">
        <v>5000</v>
      </c>
      <c r="F102" s="162">
        <v>5000</v>
      </c>
      <c r="G102" s="162">
        <v>5000</v>
      </c>
      <c r="H102" s="162">
        <v>5000</v>
      </c>
      <c r="I102" s="162">
        <v>5000</v>
      </c>
      <c r="J102" s="162">
        <v>5000</v>
      </c>
      <c r="K102" s="162">
        <v>5000</v>
      </c>
      <c r="L102" s="162">
        <v>5000</v>
      </c>
      <c r="M102" s="162">
        <v>5000</v>
      </c>
      <c r="N102" s="162">
        <v>5000</v>
      </c>
      <c r="O102" s="162">
        <v>5000</v>
      </c>
      <c r="P102" s="162">
        <v>5000</v>
      </c>
      <c r="Q102" s="162">
        <v>5000</v>
      </c>
      <c r="R102" s="162">
        <v>5000</v>
      </c>
      <c r="S102" s="162">
        <v>5000</v>
      </c>
      <c r="T102" s="162">
        <v>5000</v>
      </c>
      <c r="U102" s="162">
        <v>5000</v>
      </c>
      <c r="V102" s="162">
        <v>5000</v>
      </c>
      <c r="W102" s="162">
        <v>5000</v>
      </c>
      <c r="X102" s="162">
        <v>5000</v>
      </c>
      <c r="Y102" s="162">
        <v>5000</v>
      </c>
      <c r="Z102" s="162">
        <v>5000</v>
      </c>
      <c r="AA102" s="162">
        <v>5000</v>
      </c>
      <c r="AB102" s="162">
        <v>5000</v>
      </c>
      <c r="AC102" s="226"/>
    </row>
    <row r="103" spans="2:29" x14ac:dyDescent="0.35">
      <c r="B103" s="213"/>
      <c r="C103" s="10" t="s">
        <v>31</v>
      </c>
      <c r="D103" s="94">
        <v>4</v>
      </c>
      <c r="E103" s="162">
        <v>5000</v>
      </c>
      <c r="F103" s="162">
        <v>5000</v>
      </c>
      <c r="G103" s="162">
        <v>5000</v>
      </c>
      <c r="H103" s="162">
        <v>5000</v>
      </c>
      <c r="I103" s="162">
        <v>5000</v>
      </c>
      <c r="J103" s="162">
        <v>5000</v>
      </c>
      <c r="K103" s="162">
        <v>5000</v>
      </c>
      <c r="L103" s="162">
        <v>5000</v>
      </c>
      <c r="M103" s="162">
        <v>5000</v>
      </c>
      <c r="N103" s="162">
        <v>5000</v>
      </c>
      <c r="O103" s="162">
        <v>5000</v>
      </c>
      <c r="P103" s="162">
        <v>5000</v>
      </c>
      <c r="Q103" s="162">
        <v>5000</v>
      </c>
      <c r="R103" s="162">
        <v>5000</v>
      </c>
      <c r="S103" s="162">
        <v>5000</v>
      </c>
      <c r="T103" s="162">
        <v>5000</v>
      </c>
      <c r="U103" s="162">
        <v>5000</v>
      </c>
      <c r="V103" s="162">
        <v>5000</v>
      </c>
      <c r="W103" s="162">
        <v>5000</v>
      </c>
      <c r="X103" s="162">
        <v>5000</v>
      </c>
      <c r="Y103" s="162">
        <v>5000</v>
      </c>
      <c r="Z103" s="162">
        <v>5000</v>
      </c>
      <c r="AA103" s="162">
        <v>5000</v>
      </c>
      <c r="AB103" s="162">
        <v>5000</v>
      </c>
      <c r="AC103" s="226"/>
    </row>
    <row r="104" spans="2:29" ht="13" thickBot="1" x14ac:dyDescent="0.4">
      <c r="B104" s="213"/>
      <c r="C104" s="16" t="s">
        <v>32</v>
      </c>
      <c r="D104" s="95">
        <v>2</v>
      </c>
      <c r="E104" s="163">
        <v>5000</v>
      </c>
      <c r="F104" s="163">
        <v>5000</v>
      </c>
      <c r="G104" s="163">
        <v>5000</v>
      </c>
      <c r="H104" s="163">
        <v>5000</v>
      </c>
      <c r="I104" s="163">
        <v>5000</v>
      </c>
      <c r="J104" s="163">
        <v>5000</v>
      </c>
      <c r="K104" s="163">
        <v>5000</v>
      </c>
      <c r="L104" s="163">
        <v>5000</v>
      </c>
      <c r="M104" s="163">
        <v>5000</v>
      </c>
      <c r="N104" s="163">
        <v>5000</v>
      </c>
      <c r="O104" s="163">
        <v>5000</v>
      </c>
      <c r="P104" s="163">
        <v>5000</v>
      </c>
      <c r="Q104" s="163">
        <v>5000</v>
      </c>
      <c r="R104" s="163">
        <v>5000</v>
      </c>
      <c r="S104" s="163">
        <v>5000</v>
      </c>
      <c r="T104" s="163">
        <v>5000</v>
      </c>
      <c r="U104" s="163">
        <v>5000</v>
      </c>
      <c r="V104" s="163">
        <v>5000</v>
      </c>
      <c r="W104" s="163">
        <v>5000</v>
      </c>
      <c r="X104" s="163">
        <v>5000</v>
      </c>
      <c r="Y104" s="163">
        <v>5000</v>
      </c>
      <c r="Z104" s="163">
        <v>5000</v>
      </c>
      <c r="AA104" s="163">
        <v>5000</v>
      </c>
      <c r="AB104" s="163">
        <v>5000</v>
      </c>
      <c r="AC104" s="226"/>
    </row>
    <row r="105" spans="2:29" x14ac:dyDescent="0.35">
      <c r="B105" s="222">
        <v>46722</v>
      </c>
      <c r="C105" s="7" t="s">
        <v>29</v>
      </c>
      <c r="D105" s="93">
        <v>22</v>
      </c>
      <c r="E105" s="161">
        <v>5000</v>
      </c>
      <c r="F105" s="161">
        <v>5000</v>
      </c>
      <c r="G105" s="161">
        <v>5000</v>
      </c>
      <c r="H105" s="161">
        <v>5000</v>
      </c>
      <c r="I105" s="161">
        <v>5000</v>
      </c>
      <c r="J105" s="161">
        <v>5000</v>
      </c>
      <c r="K105" s="161">
        <v>5000</v>
      </c>
      <c r="L105" s="161">
        <v>5000</v>
      </c>
      <c r="M105" s="161">
        <v>5000</v>
      </c>
      <c r="N105" s="161">
        <v>5000</v>
      </c>
      <c r="O105" s="161">
        <v>5000</v>
      </c>
      <c r="P105" s="161">
        <v>5000</v>
      </c>
      <c r="Q105" s="161">
        <v>5000</v>
      </c>
      <c r="R105" s="161">
        <v>5000</v>
      </c>
      <c r="S105" s="161">
        <v>5000</v>
      </c>
      <c r="T105" s="161">
        <v>5000</v>
      </c>
      <c r="U105" s="161">
        <v>5000</v>
      </c>
      <c r="V105" s="161">
        <v>5000</v>
      </c>
      <c r="W105" s="161">
        <v>5000</v>
      </c>
      <c r="X105" s="161">
        <v>5000</v>
      </c>
      <c r="Y105" s="161">
        <v>5000</v>
      </c>
      <c r="Z105" s="161">
        <v>5000</v>
      </c>
      <c r="AA105" s="161">
        <v>5000</v>
      </c>
      <c r="AB105" s="161">
        <v>5000</v>
      </c>
      <c r="AC105" s="225">
        <f>SUM(E105:AB105)*D105+SUM(E106:AB106)*D106+SUM(E107:AB107)*D107+SUM(E108:AB108)*D108</f>
        <v>3720000</v>
      </c>
    </row>
    <row r="106" spans="2:29" x14ac:dyDescent="0.35">
      <c r="B106" s="223" t="s">
        <v>34</v>
      </c>
      <c r="C106" s="10" t="s">
        <v>30</v>
      </c>
      <c r="D106" s="94">
        <v>3</v>
      </c>
      <c r="E106" s="162">
        <v>5000</v>
      </c>
      <c r="F106" s="162">
        <v>5000</v>
      </c>
      <c r="G106" s="162">
        <v>5000</v>
      </c>
      <c r="H106" s="162">
        <v>5000</v>
      </c>
      <c r="I106" s="162">
        <v>5000</v>
      </c>
      <c r="J106" s="162">
        <v>5000</v>
      </c>
      <c r="K106" s="162">
        <v>5000</v>
      </c>
      <c r="L106" s="162">
        <v>5000</v>
      </c>
      <c r="M106" s="162">
        <v>5000</v>
      </c>
      <c r="N106" s="162">
        <v>5000</v>
      </c>
      <c r="O106" s="162">
        <v>5000</v>
      </c>
      <c r="P106" s="162">
        <v>5000</v>
      </c>
      <c r="Q106" s="162">
        <v>5000</v>
      </c>
      <c r="R106" s="162">
        <v>5000</v>
      </c>
      <c r="S106" s="162">
        <v>5000</v>
      </c>
      <c r="T106" s="162">
        <v>5000</v>
      </c>
      <c r="U106" s="162">
        <v>5000</v>
      </c>
      <c r="V106" s="162">
        <v>5000</v>
      </c>
      <c r="W106" s="162">
        <v>5000</v>
      </c>
      <c r="X106" s="162">
        <v>5000</v>
      </c>
      <c r="Y106" s="162">
        <v>5000</v>
      </c>
      <c r="Z106" s="162">
        <v>5000</v>
      </c>
      <c r="AA106" s="162">
        <v>5000</v>
      </c>
      <c r="AB106" s="162">
        <v>5000</v>
      </c>
      <c r="AC106" s="226"/>
    </row>
    <row r="107" spans="2:29" x14ac:dyDescent="0.35">
      <c r="B107" s="223" t="s">
        <v>34</v>
      </c>
      <c r="C107" s="10" t="s">
        <v>31</v>
      </c>
      <c r="D107" s="94">
        <v>4</v>
      </c>
      <c r="E107" s="162">
        <v>5000</v>
      </c>
      <c r="F107" s="162">
        <v>5000</v>
      </c>
      <c r="G107" s="162">
        <v>5000</v>
      </c>
      <c r="H107" s="162">
        <v>5000</v>
      </c>
      <c r="I107" s="162">
        <v>5000</v>
      </c>
      <c r="J107" s="162">
        <v>5000</v>
      </c>
      <c r="K107" s="162">
        <v>5000</v>
      </c>
      <c r="L107" s="162">
        <v>5000</v>
      </c>
      <c r="M107" s="162">
        <v>5000</v>
      </c>
      <c r="N107" s="162">
        <v>5000</v>
      </c>
      <c r="O107" s="162">
        <v>5000</v>
      </c>
      <c r="P107" s="162">
        <v>5000</v>
      </c>
      <c r="Q107" s="162">
        <v>5000</v>
      </c>
      <c r="R107" s="162">
        <v>5000</v>
      </c>
      <c r="S107" s="162">
        <v>5000</v>
      </c>
      <c r="T107" s="162">
        <v>5000</v>
      </c>
      <c r="U107" s="162">
        <v>5000</v>
      </c>
      <c r="V107" s="162">
        <v>5000</v>
      </c>
      <c r="W107" s="162">
        <v>5000</v>
      </c>
      <c r="X107" s="162">
        <v>5000</v>
      </c>
      <c r="Y107" s="162">
        <v>5000</v>
      </c>
      <c r="Z107" s="162">
        <v>5000</v>
      </c>
      <c r="AA107" s="162">
        <v>5000</v>
      </c>
      <c r="AB107" s="162">
        <v>5000</v>
      </c>
      <c r="AC107" s="226"/>
    </row>
    <row r="108" spans="2:29" ht="13" thickBot="1" x14ac:dyDescent="0.4">
      <c r="B108" s="224" t="s">
        <v>34</v>
      </c>
      <c r="C108" s="12" t="s">
        <v>32</v>
      </c>
      <c r="D108" s="96">
        <v>2</v>
      </c>
      <c r="E108" s="106">
        <v>5000</v>
      </c>
      <c r="F108" s="106">
        <v>5000</v>
      </c>
      <c r="G108" s="106">
        <v>5000</v>
      </c>
      <c r="H108" s="106">
        <v>5000</v>
      </c>
      <c r="I108" s="106">
        <v>5000</v>
      </c>
      <c r="J108" s="106">
        <v>5000</v>
      </c>
      <c r="K108" s="106">
        <v>5000</v>
      </c>
      <c r="L108" s="106">
        <v>5000</v>
      </c>
      <c r="M108" s="106">
        <v>5000</v>
      </c>
      <c r="N108" s="106">
        <v>5000</v>
      </c>
      <c r="O108" s="106">
        <v>5000</v>
      </c>
      <c r="P108" s="106">
        <v>5000</v>
      </c>
      <c r="Q108" s="106">
        <v>5000</v>
      </c>
      <c r="R108" s="106">
        <v>5000</v>
      </c>
      <c r="S108" s="106">
        <v>5000</v>
      </c>
      <c r="T108" s="106">
        <v>5000</v>
      </c>
      <c r="U108" s="106">
        <v>5000</v>
      </c>
      <c r="V108" s="106">
        <v>5000</v>
      </c>
      <c r="W108" s="106">
        <v>5000</v>
      </c>
      <c r="X108" s="106">
        <v>5000</v>
      </c>
      <c r="Y108" s="106">
        <v>5000</v>
      </c>
      <c r="Z108" s="106">
        <v>5000</v>
      </c>
      <c r="AA108" s="106">
        <v>5000</v>
      </c>
      <c r="AB108" s="106">
        <v>5000</v>
      </c>
      <c r="AC108" s="227"/>
    </row>
    <row r="109" spans="2:29" ht="13.5" thickBot="1" x14ac:dyDescent="0.4"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231" t="s">
        <v>33</v>
      </c>
      <c r="AA109" s="232"/>
      <c r="AB109" s="233"/>
      <c r="AC109" s="155">
        <f>SUM(AC61:AC108)</f>
        <v>43800000</v>
      </c>
    </row>
    <row r="110" spans="2:29" ht="26.5" thickBot="1" x14ac:dyDescent="0.4">
      <c r="B110" s="1" t="s">
        <v>2</v>
      </c>
      <c r="C110" s="2" t="s">
        <v>3</v>
      </c>
      <c r="D110" s="1" t="s">
        <v>4</v>
      </c>
      <c r="E110" s="3" t="s">
        <v>5</v>
      </c>
      <c r="F110" s="4" t="s">
        <v>6</v>
      </c>
      <c r="G110" s="4" t="s">
        <v>7</v>
      </c>
      <c r="H110" s="4" t="s">
        <v>8</v>
      </c>
      <c r="I110" s="4" t="s">
        <v>9</v>
      </c>
      <c r="J110" s="4" t="s">
        <v>10</v>
      </c>
      <c r="K110" s="4" t="s">
        <v>11</v>
      </c>
      <c r="L110" s="4" t="s">
        <v>12</v>
      </c>
      <c r="M110" s="4" t="s">
        <v>13</v>
      </c>
      <c r="N110" s="4" t="s">
        <v>14</v>
      </c>
      <c r="O110" s="4" t="s">
        <v>15</v>
      </c>
      <c r="P110" s="5" t="s">
        <v>16</v>
      </c>
      <c r="Q110" s="6" t="s">
        <v>17</v>
      </c>
      <c r="R110" s="4" t="s">
        <v>18</v>
      </c>
      <c r="S110" s="4" t="s">
        <v>19</v>
      </c>
      <c r="T110" s="4" t="s">
        <v>20</v>
      </c>
      <c r="U110" s="4" t="s">
        <v>21</v>
      </c>
      <c r="V110" s="4" t="s">
        <v>22</v>
      </c>
      <c r="W110" s="4" t="s">
        <v>23</v>
      </c>
      <c r="X110" s="4" t="s">
        <v>24</v>
      </c>
      <c r="Y110" s="4" t="s">
        <v>25</v>
      </c>
      <c r="Z110" s="4" t="s">
        <v>26</v>
      </c>
      <c r="AA110" s="4" t="s">
        <v>27</v>
      </c>
      <c r="AB110" s="5" t="s">
        <v>28</v>
      </c>
      <c r="AC110" s="45" t="s">
        <v>48</v>
      </c>
    </row>
    <row r="111" spans="2:29" x14ac:dyDescent="0.35">
      <c r="B111" s="212">
        <v>46753</v>
      </c>
      <c r="C111" s="7" t="s">
        <v>29</v>
      </c>
      <c r="D111" s="93">
        <v>20</v>
      </c>
      <c r="E111" s="88">
        <v>5000</v>
      </c>
      <c r="F111" s="88">
        <v>5000</v>
      </c>
      <c r="G111" s="88">
        <v>5000</v>
      </c>
      <c r="H111" s="88">
        <v>5000</v>
      </c>
      <c r="I111" s="88">
        <v>5000</v>
      </c>
      <c r="J111" s="88">
        <v>5000</v>
      </c>
      <c r="K111" s="88">
        <v>5000</v>
      </c>
      <c r="L111" s="88">
        <v>5000</v>
      </c>
      <c r="M111" s="88">
        <v>5000</v>
      </c>
      <c r="N111" s="88">
        <v>5000</v>
      </c>
      <c r="O111" s="88">
        <v>5000</v>
      </c>
      <c r="P111" s="88">
        <v>5000</v>
      </c>
      <c r="Q111" s="88">
        <v>5000</v>
      </c>
      <c r="R111" s="88">
        <v>5000</v>
      </c>
      <c r="S111" s="88">
        <v>5000</v>
      </c>
      <c r="T111" s="88">
        <v>5000</v>
      </c>
      <c r="U111" s="88">
        <v>5000</v>
      </c>
      <c r="V111" s="88">
        <v>5000</v>
      </c>
      <c r="W111" s="88">
        <v>5000</v>
      </c>
      <c r="X111" s="88">
        <v>5000</v>
      </c>
      <c r="Y111" s="88">
        <v>5000</v>
      </c>
      <c r="Z111" s="88">
        <v>5000</v>
      </c>
      <c r="AA111" s="88">
        <v>5000</v>
      </c>
      <c r="AB111" s="88">
        <v>5000</v>
      </c>
      <c r="AC111" s="225">
        <f>SUM(E111:AB111)*D111+SUM(E112:AB112)*D112+SUM(E113:AB113)*D113+SUM(E114:AB114)*D114</f>
        <v>3720000</v>
      </c>
    </row>
    <row r="112" spans="2:29" x14ac:dyDescent="0.35">
      <c r="B112" s="213"/>
      <c r="C112" s="10" t="s">
        <v>30</v>
      </c>
      <c r="D112" s="94">
        <v>4</v>
      </c>
      <c r="E112" s="89">
        <v>5000</v>
      </c>
      <c r="F112" s="89">
        <v>5000</v>
      </c>
      <c r="G112" s="89">
        <v>5000</v>
      </c>
      <c r="H112" s="89">
        <v>5000</v>
      </c>
      <c r="I112" s="89">
        <v>5000</v>
      </c>
      <c r="J112" s="89">
        <v>5000</v>
      </c>
      <c r="K112" s="89">
        <v>5000</v>
      </c>
      <c r="L112" s="89">
        <v>5000</v>
      </c>
      <c r="M112" s="89">
        <v>5000</v>
      </c>
      <c r="N112" s="89">
        <v>5000</v>
      </c>
      <c r="O112" s="89">
        <v>5000</v>
      </c>
      <c r="P112" s="89">
        <v>5000</v>
      </c>
      <c r="Q112" s="89">
        <v>5000</v>
      </c>
      <c r="R112" s="89">
        <v>5000</v>
      </c>
      <c r="S112" s="89">
        <v>5000</v>
      </c>
      <c r="T112" s="89">
        <v>5000</v>
      </c>
      <c r="U112" s="89">
        <v>5000</v>
      </c>
      <c r="V112" s="89">
        <v>5000</v>
      </c>
      <c r="W112" s="89">
        <v>5000</v>
      </c>
      <c r="X112" s="89">
        <v>5000</v>
      </c>
      <c r="Y112" s="89">
        <v>5000</v>
      </c>
      <c r="Z112" s="89">
        <v>5000</v>
      </c>
      <c r="AA112" s="89">
        <v>5000</v>
      </c>
      <c r="AB112" s="89">
        <v>5000</v>
      </c>
      <c r="AC112" s="226"/>
    </row>
    <row r="113" spans="2:30" x14ac:dyDescent="0.35">
      <c r="B113" s="213"/>
      <c r="C113" s="10" t="s">
        <v>31</v>
      </c>
      <c r="D113" s="94">
        <v>5</v>
      </c>
      <c r="E113" s="89">
        <v>5000</v>
      </c>
      <c r="F113" s="89">
        <v>5000</v>
      </c>
      <c r="G113" s="89">
        <v>5000</v>
      </c>
      <c r="H113" s="89">
        <v>5000</v>
      </c>
      <c r="I113" s="89">
        <v>5000</v>
      </c>
      <c r="J113" s="89">
        <v>5000</v>
      </c>
      <c r="K113" s="89">
        <v>5000</v>
      </c>
      <c r="L113" s="89">
        <v>5000</v>
      </c>
      <c r="M113" s="89">
        <v>5000</v>
      </c>
      <c r="N113" s="89">
        <v>5000</v>
      </c>
      <c r="O113" s="89">
        <v>5000</v>
      </c>
      <c r="P113" s="89">
        <v>5000</v>
      </c>
      <c r="Q113" s="89">
        <v>5000</v>
      </c>
      <c r="R113" s="89">
        <v>5000</v>
      </c>
      <c r="S113" s="89">
        <v>5000</v>
      </c>
      <c r="T113" s="89">
        <v>5000</v>
      </c>
      <c r="U113" s="89">
        <v>5000</v>
      </c>
      <c r="V113" s="89">
        <v>5000</v>
      </c>
      <c r="W113" s="89">
        <v>5000</v>
      </c>
      <c r="X113" s="89">
        <v>5000</v>
      </c>
      <c r="Y113" s="89">
        <v>5000</v>
      </c>
      <c r="Z113" s="89">
        <v>5000</v>
      </c>
      <c r="AA113" s="89">
        <v>5000</v>
      </c>
      <c r="AB113" s="89">
        <v>5000</v>
      </c>
      <c r="AC113" s="226"/>
    </row>
    <row r="114" spans="2:30" ht="13" thickBot="1" x14ac:dyDescent="0.4">
      <c r="B114" s="213"/>
      <c r="C114" s="16" t="s">
        <v>32</v>
      </c>
      <c r="D114" s="95">
        <v>2</v>
      </c>
      <c r="E114" s="90">
        <v>5000</v>
      </c>
      <c r="F114" s="90">
        <v>5000</v>
      </c>
      <c r="G114" s="90">
        <v>5000</v>
      </c>
      <c r="H114" s="90">
        <v>5000</v>
      </c>
      <c r="I114" s="90">
        <v>5000</v>
      </c>
      <c r="J114" s="90">
        <v>5000</v>
      </c>
      <c r="K114" s="90">
        <v>5000</v>
      </c>
      <c r="L114" s="90">
        <v>5000</v>
      </c>
      <c r="M114" s="90">
        <v>5000</v>
      </c>
      <c r="N114" s="90">
        <v>5000</v>
      </c>
      <c r="O114" s="90">
        <v>5000</v>
      </c>
      <c r="P114" s="90">
        <v>5000</v>
      </c>
      <c r="Q114" s="90">
        <v>5000</v>
      </c>
      <c r="R114" s="90">
        <v>5000</v>
      </c>
      <c r="S114" s="90">
        <v>5000</v>
      </c>
      <c r="T114" s="90">
        <v>5000</v>
      </c>
      <c r="U114" s="90">
        <v>5000</v>
      </c>
      <c r="V114" s="90">
        <v>5000</v>
      </c>
      <c r="W114" s="90">
        <v>5000</v>
      </c>
      <c r="X114" s="90">
        <v>5000</v>
      </c>
      <c r="Y114" s="90">
        <v>5000</v>
      </c>
      <c r="Z114" s="90">
        <v>5000</v>
      </c>
      <c r="AA114" s="90">
        <v>5000</v>
      </c>
      <c r="AB114" s="90">
        <v>5000</v>
      </c>
      <c r="AC114" s="226"/>
      <c r="AD114" s="56">
        <f>+AC111</f>
        <v>3720000</v>
      </c>
    </row>
    <row r="115" spans="2:30" x14ac:dyDescent="0.35">
      <c r="B115" s="222">
        <v>46784</v>
      </c>
      <c r="C115" s="7" t="s">
        <v>29</v>
      </c>
      <c r="D115" s="93">
        <v>21</v>
      </c>
      <c r="E115" s="88">
        <v>5000</v>
      </c>
      <c r="F115" s="88">
        <v>5000</v>
      </c>
      <c r="G115" s="88">
        <v>5000</v>
      </c>
      <c r="H115" s="88">
        <v>5000</v>
      </c>
      <c r="I115" s="88">
        <v>5000</v>
      </c>
      <c r="J115" s="88">
        <v>5000</v>
      </c>
      <c r="K115" s="88">
        <v>5000</v>
      </c>
      <c r="L115" s="88">
        <v>5000</v>
      </c>
      <c r="M115" s="88">
        <v>5000</v>
      </c>
      <c r="N115" s="88">
        <v>5000</v>
      </c>
      <c r="O115" s="88">
        <v>5000</v>
      </c>
      <c r="P115" s="88">
        <v>5000</v>
      </c>
      <c r="Q115" s="88">
        <v>5000</v>
      </c>
      <c r="R115" s="88">
        <v>5000</v>
      </c>
      <c r="S115" s="88">
        <v>5000</v>
      </c>
      <c r="T115" s="88">
        <v>5000</v>
      </c>
      <c r="U115" s="88">
        <v>5000</v>
      </c>
      <c r="V115" s="88">
        <v>5000</v>
      </c>
      <c r="W115" s="88">
        <v>5000</v>
      </c>
      <c r="X115" s="88">
        <v>5000</v>
      </c>
      <c r="Y115" s="88">
        <v>5000</v>
      </c>
      <c r="Z115" s="88">
        <v>5000</v>
      </c>
      <c r="AA115" s="88">
        <v>5000</v>
      </c>
      <c r="AB115" s="88">
        <v>5000</v>
      </c>
      <c r="AC115" s="225">
        <f>SUM(E115:AB115)*D115+SUM(E116:AB116)*D116+SUM(E117:AB117)*D117+SUM(E118:AB118)*D118</f>
        <v>3480000</v>
      </c>
      <c r="AD115" s="177">
        <f>+AC115</f>
        <v>3480000</v>
      </c>
    </row>
    <row r="116" spans="2:30" x14ac:dyDescent="0.35">
      <c r="B116" s="223" t="s">
        <v>34</v>
      </c>
      <c r="C116" s="10" t="s">
        <v>30</v>
      </c>
      <c r="D116" s="94">
        <v>4</v>
      </c>
      <c r="E116" s="89">
        <v>5000</v>
      </c>
      <c r="F116" s="89">
        <v>5000</v>
      </c>
      <c r="G116" s="89">
        <v>5000</v>
      </c>
      <c r="H116" s="89">
        <v>5000</v>
      </c>
      <c r="I116" s="89">
        <v>5000</v>
      </c>
      <c r="J116" s="89">
        <v>5000</v>
      </c>
      <c r="K116" s="89">
        <v>5000</v>
      </c>
      <c r="L116" s="89">
        <v>5000</v>
      </c>
      <c r="M116" s="89">
        <v>5000</v>
      </c>
      <c r="N116" s="89">
        <v>5000</v>
      </c>
      <c r="O116" s="89">
        <v>5000</v>
      </c>
      <c r="P116" s="89">
        <v>5000</v>
      </c>
      <c r="Q116" s="89">
        <v>5000</v>
      </c>
      <c r="R116" s="89">
        <v>5000</v>
      </c>
      <c r="S116" s="89">
        <v>5000</v>
      </c>
      <c r="T116" s="89">
        <v>5000</v>
      </c>
      <c r="U116" s="89">
        <v>5000</v>
      </c>
      <c r="V116" s="89">
        <v>5000</v>
      </c>
      <c r="W116" s="89">
        <v>5000</v>
      </c>
      <c r="X116" s="89">
        <v>5000</v>
      </c>
      <c r="Y116" s="89">
        <v>5000</v>
      </c>
      <c r="Z116" s="89">
        <v>5000</v>
      </c>
      <c r="AA116" s="89">
        <v>5000</v>
      </c>
      <c r="AB116" s="89">
        <v>5000</v>
      </c>
      <c r="AC116" s="226"/>
      <c r="AD116" s="177">
        <f>+AC119</f>
        <v>3720000</v>
      </c>
    </row>
    <row r="117" spans="2:30" x14ac:dyDescent="0.35">
      <c r="B117" s="223" t="s">
        <v>34</v>
      </c>
      <c r="C117" s="10" t="s">
        <v>31</v>
      </c>
      <c r="D117" s="94">
        <v>4</v>
      </c>
      <c r="E117" s="89">
        <v>5000</v>
      </c>
      <c r="F117" s="89">
        <v>5000</v>
      </c>
      <c r="G117" s="89">
        <v>5000</v>
      </c>
      <c r="H117" s="89">
        <v>5000</v>
      </c>
      <c r="I117" s="89">
        <v>5000</v>
      </c>
      <c r="J117" s="89">
        <v>5000</v>
      </c>
      <c r="K117" s="89">
        <v>5000</v>
      </c>
      <c r="L117" s="89">
        <v>5000</v>
      </c>
      <c r="M117" s="89">
        <v>5000</v>
      </c>
      <c r="N117" s="89">
        <v>5000</v>
      </c>
      <c r="O117" s="89">
        <v>5000</v>
      </c>
      <c r="P117" s="89">
        <v>5000</v>
      </c>
      <c r="Q117" s="89">
        <v>5000</v>
      </c>
      <c r="R117" s="89">
        <v>5000</v>
      </c>
      <c r="S117" s="89">
        <v>5000</v>
      </c>
      <c r="T117" s="89">
        <v>5000</v>
      </c>
      <c r="U117" s="89">
        <v>5000</v>
      </c>
      <c r="V117" s="89">
        <v>5000</v>
      </c>
      <c r="W117" s="89">
        <v>5000</v>
      </c>
      <c r="X117" s="89">
        <v>5000</v>
      </c>
      <c r="Y117" s="89">
        <v>5000</v>
      </c>
      <c r="Z117" s="89">
        <v>5000</v>
      </c>
      <c r="AA117" s="89">
        <v>5000</v>
      </c>
      <c r="AB117" s="89">
        <v>5000</v>
      </c>
      <c r="AC117" s="226"/>
      <c r="AD117" s="177">
        <f>+AC123</f>
        <v>3600000</v>
      </c>
    </row>
    <row r="118" spans="2:30" ht="13" thickBot="1" x14ac:dyDescent="0.4">
      <c r="B118" s="224" t="s">
        <v>34</v>
      </c>
      <c r="C118" s="12" t="s">
        <v>32</v>
      </c>
      <c r="D118" s="96">
        <v>0</v>
      </c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227"/>
      <c r="AD118" s="177">
        <f>+AC127</f>
        <v>3720000</v>
      </c>
    </row>
    <row r="119" spans="2:30" x14ac:dyDescent="0.35">
      <c r="B119" s="212">
        <v>46813</v>
      </c>
      <c r="C119" s="14" t="s">
        <v>29</v>
      </c>
      <c r="D119" s="97">
        <v>22</v>
      </c>
      <c r="E119" s="92">
        <v>5000</v>
      </c>
      <c r="F119" s="92">
        <v>5000</v>
      </c>
      <c r="G119" s="92">
        <v>5000</v>
      </c>
      <c r="H119" s="92">
        <v>5000</v>
      </c>
      <c r="I119" s="92">
        <v>5000</v>
      </c>
      <c r="J119" s="92">
        <v>5000</v>
      </c>
      <c r="K119" s="92">
        <v>5000</v>
      </c>
      <c r="L119" s="92">
        <v>5000</v>
      </c>
      <c r="M119" s="92">
        <v>5000</v>
      </c>
      <c r="N119" s="92">
        <v>5000</v>
      </c>
      <c r="O119" s="92">
        <v>5000</v>
      </c>
      <c r="P119" s="92">
        <v>5000</v>
      </c>
      <c r="Q119" s="92">
        <v>5000</v>
      </c>
      <c r="R119" s="92">
        <v>5000</v>
      </c>
      <c r="S119" s="92">
        <v>5000</v>
      </c>
      <c r="T119" s="92">
        <v>5000</v>
      </c>
      <c r="U119" s="92">
        <v>5000</v>
      </c>
      <c r="V119" s="92">
        <v>5000</v>
      </c>
      <c r="W119" s="92">
        <v>5000</v>
      </c>
      <c r="X119" s="92">
        <v>5000</v>
      </c>
      <c r="Y119" s="92">
        <v>5000</v>
      </c>
      <c r="Z119" s="92">
        <v>5000</v>
      </c>
      <c r="AA119" s="92">
        <v>5000</v>
      </c>
      <c r="AB119" s="92">
        <v>5000</v>
      </c>
      <c r="AC119" s="226">
        <f>SUM(E119:AB119)*D119+SUM(E120:AB120)*D120+SUM(E121:AB121)*D121+SUM(E122:AB122)*D122</f>
        <v>3720000</v>
      </c>
      <c r="AD119" s="177">
        <f>+AC131</f>
        <v>3600000</v>
      </c>
    </row>
    <row r="120" spans="2:30" x14ac:dyDescent="0.35">
      <c r="B120" s="213"/>
      <c r="C120" s="10" t="s">
        <v>30</v>
      </c>
      <c r="D120" s="94">
        <v>4</v>
      </c>
      <c r="E120" s="89">
        <v>5000</v>
      </c>
      <c r="F120" s="89">
        <v>5000</v>
      </c>
      <c r="G120" s="89">
        <v>5000</v>
      </c>
      <c r="H120" s="89">
        <v>5000</v>
      </c>
      <c r="I120" s="89">
        <v>5000</v>
      </c>
      <c r="J120" s="89">
        <v>5000</v>
      </c>
      <c r="K120" s="89">
        <v>5000</v>
      </c>
      <c r="L120" s="89">
        <v>5000</v>
      </c>
      <c r="M120" s="89">
        <v>5000</v>
      </c>
      <c r="N120" s="89">
        <v>5000</v>
      </c>
      <c r="O120" s="89">
        <v>5000</v>
      </c>
      <c r="P120" s="89">
        <v>5000</v>
      </c>
      <c r="Q120" s="89">
        <v>5000</v>
      </c>
      <c r="R120" s="89">
        <v>5000</v>
      </c>
      <c r="S120" s="89">
        <v>5000</v>
      </c>
      <c r="T120" s="89">
        <v>5000</v>
      </c>
      <c r="U120" s="89">
        <v>5000</v>
      </c>
      <c r="V120" s="89">
        <v>5000</v>
      </c>
      <c r="W120" s="89">
        <v>5000</v>
      </c>
      <c r="X120" s="89">
        <v>5000</v>
      </c>
      <c r="Y120" s="89">
        <v>5000</v>
      </c>
      <c r="Z120" s="89">
        <v>5000</v>
      </c>
      <c r="AA120" s="89">
        <v>5000</v>
      </c>
      <c r="AB120" s="89">
        <v>5000</v>
      </c>
      <c r="AC120" s="226"/>
      <c r="AD120" s="177">
        <f>+AC135</f>
        <v>3720000</v>
      </c>
    </row>
    <row r="121" spans="2:30" x14ac:dyDescent="0.35">
      <c r="B121" s="213"/>
      <c r="C121" s="10" t="s">
        <v>31</v>
      </c>
      <c r="D121" s="94">
        <v>4</v>
      </c>
      <c r="E121" s="89">
        <v>5000</v>
      </c>
      <c r="F121" s="89">
        <v>5000</v>
      </c>
      <c r="G121" s="89">
        <v>5000</v>
      </c>
      <c r="H121" s="89">
        <v>5000</v>
      </c>
      <c r="I121" s="89">
        <v>5000</v>
      </c>
      <c r="J121" s="89">
        <v>5000</v>
      </c>
      <c r="K121" s="89">
        <v>5000</v>
      </c>
      <c r="L121" s="89">
        <v>5000</v>
      </c>
      <c r="M121" s="89">
        <v>5000</v>
      </c>
      <c r="N121" s="89">
        <v>5000</v>
      </c>
      <c r="O121" s="89">
        <v>5000</v>
      </c>
      <c r="P121" s="89">
        <v>5000</v>
      </c>
      <c r="Q121" s="89">
        <v>5000</v>
      </c>
      <c r="R121" s="89">
        <v>5000</v>
      </c>
      <c r="S121" s="89">
        <v>5000</v>
      </c>
      <c r="T121" s="89">
        <v>5000</v>
      </c>
      <c r="U121" s="89">
        <v>5000</v>
      </c>
      <c r="V121" s="89">
        <v>5000</v>
      </c>
      <c r="W121" s="89">
        <v>5000</v>
      </c>
      <c r="X121" s="89">
        <v>5000</v>
      </c>
      <c r="Y121" s="89">
        <v>5000</v>
      </c>
      <c r="Z121" s="89">
        <v>5000</v>
      </c>
      <c r="AA121" s="89">
        <v>5000</v>
      </c>
      <c r="AB121" s="89">
        <v>5000</v>
      </c>
      <c r="AC121" s="226"/>
      <c r="AD121" s="177">
        <f>+AC139</f>
        <v>3720000</v>
      </c>
    </row>
    <row r="122" spans="2:30" ht="13" thickBot="1" x14ac:dyDescent="0.4">
      <c r="B122" s="213"/>
      <c r="C122" s="16" t="s">
        <v>32</v>
      </c>
      <c r="D122" s="95">
        <v>1</v>
      </c>
      <c r="E122" s="90">
        <v>5000</v>
      </c>
      <c r="F122" s="90">
        <v>5000</v>
      </c>
      <c r="G122" s="90">
        <v>5000</v>
      </c>
      <c r="H122" s="90">
        <v>5000</v>
      </c>
      <c r="I122" s="90">
        <v>5000</v>
      </c>
      <c r="J122" s="90">
        <v>5000</v>
      </c>
      <c r="K122" s="90">
        <v>5000</v>
      </c>
      <c r="L122" s="90">
        <v>5000</v>
      </c>
      <c r="M122" s="90">
        <v>5000</v>
      </c>
      <c r="N122" s="90">
        <v>5000</v>
      </c>
      <c r="O122" s="90">
        <v>5000</v>
      </c>
      <c r="P122" s="90">
        <v>5000</v>
      </c>
      <c r="Q122" s="90">
        <v>5000</v>
      </c>
      <c r="R122" s="90">
        <v>5000</v>
      </c>
      <c r="S122" s="90">
        <v>5000</v>
      </c>
      <c r="T122" s="90">
        <v>5000</v>
      </c>
      <c r="U122" s="90">
        <v>5000</v>
      </c>
      <c r="V122" s="90">
        <v>5000</v>
      </c>
      <c r="W122" s="90">
        <v>5000</v>
      </c>
      <c r="X122" s="90">
        <v>5000</v>
      </c>
      <c r="Y122" s="90">
        <v>5000</v>
      </c>
      <c r="Z122" s="90">
        <v>5000</v>
      </c>
      <c r="AA122" s="90">
        <v>5000</v>
      </c>
      <c r="AB122" s="90">
        <v>5000</v>
      </c>
      <c r="AC122" s="226"/>
      <c r="AD122" s="177">
        <f>+AC143</f>
        <v>3600000</v>
      </c>
    </row>
    <row r="123" spans="2:30" x14ac:dyDescent="0.35">
      <c r="B123" s="222">
        <v>46844</v>
      </c>
      <c r="C123" s="7" t="s">
        <v>29</v>
      </c>
      <c r="D123" s="93">
        <v>18</v>
      </c>
      <c r="E123" s="88">
        <v>5000</v>
      </c>
      <c r="F123" s="88">
        <v>5000</v>
      </c>
      <c r="G123" s="88">
        <v>5000</v>
      </c>
      <c r="H123" s="88">
        <v>5000</v>
      </c>
      <c r="I123" s="88">
        <v>5000</v>
      </c>
      <c r="J123" s="88">
        <v>5000</v>
      </c>
      <c r="K123" s="88">
        <v>5000</v>
      </c>
      <c r="L123" s="88">
        <v>5000</v>
      </c>
      <c r="M123" s="88">
        <v>5000</v>
      </c>
      <c r="N123" s="88">
        <v>5000</v>
      </c>
      <c r="O123" s="88">
        <v>5000</v>
      </c>
      <c r="P123" s="88">
        <v>5000</v>
      </c>
      <c r="Q123" s="88">
        <v>5000</v>
      </c>
      <c r="R123" s="88">
        <v>5000</v>
      </c>
      <c r="S123" s="88">
        <v>5000</v>
      </c>
      <c r="T123" s="88">
        <v>5000</v>
      </c>
      <c r="U123" s="88">
        <v>5000</v>
      </c>
      <c r="V123" s="88">
        <v>5000</v>
      </c>
      <c r="W123" s="88">
        <v>5000</v>
      </c>
      <c r="X123" s="88">
        <v>5000</v>
      </c>
      <c r="Y123" s="88">
        <v>5000</v>
      </c>
      <c r="Z123" s="88">
        <v>5000</v>
      </c>
      <c r="AA123" s="88">
        <v>5000</v>
      </c>
      <c r="AB123" s="88">
        <v>5000</v>
      </c>
      <c r="AC123" s="225">
        <f>SUM(E123:AB123)*D123+SUM(E124:AB124)*D124+SUM(E125:AB125)*D125+SUM(E126:AB126)*D126</f>
        <v>3600000</v>
      </c>
      <c r="AD123" s="177">
        <f>+AC147</f>
        <v>3720000</v>
      </c>
    </row>
    <row r="124" spans="2:30" x14ac:dyDescent="0.35">
      <c r="B124" s="223" t="s">
        <v>34</v>
      </c>
      <c r="C124" s="10" t="s">
        <v>30</v>
      </c>
      <c r="D124" s="94">
        <v>5</v>
      </c>
      <c r="E124" s="89">
        <v>5000</v>
      </c>
      <c r="F124" s="89">
        <v>5000</v>
      </c>
      <c r="G124" s="89">
        <v>5000</v>
      </c>
      <c r="H124" s="89">
        <v>5000</v>
      </c>
      <c r="I124" s="89">
        <v>5000</v>
      </c>
      <c r="J124" s="89">
        <v>5000</v>
      </c>
      <c r="K124" s="89">
        <v>5000</v>
      </c>
      <c r="L124" s="89">
        <v>5000</v>
      </c>
      <c r="M124" s="89">
        <v>5000</v>
      </c>
      <c r="N124" s="89">
        <v>5000</v>
      </c>
      <c r="O124" s="89">
        <v>5000</v>
      </c>
      <c r="P124" s="89">
        <v>5000</v>
      </c>
      <c r="Q124" s="89">
        <v>5000</v>
      </c>
      <c r="R124" s="89">
        <v>5000</v>
      </c>
      <c r="S124" s="89">
        <v>5000</v>
      </c>
      <c r="T124" s="89">
        <v>5000</v>
      </c>
      <c r="U124" s="89">
        <v>5000</v>
      </c>
      <c r="V124" s="89">
        <v>5000</v>
      </c>
      <c r="W124" s="89">
        <v>5000</v>
      </c>
      <c r="X124" s="89">
        <v>5000</v>
      </c>
      <c r="Y124" s="89">
        <v>5000</v>
      </c>
      <c r="Z124" s="89">
        <v>5000</v>
      </c>
      <c r="AA124" s="89">
        <v>5000</v>
      </c>
      <c r="AB124" s="89">
        <v>5000</v>
      </c>
      <c r="AC124" s="226"/>
      <c r="AD124" s="177">
        <f>+AC151</f>
        <v>3600000</v>
      </c>
    </row>
    <row r="125" spans="2:30" x14ac:dyDescent="0.35">
      <c r="B125" s="223" t="s">
        <v>34</v>
      </c>
      <c r="C125" s="10" t="s">
        <v>31</v>
      </c>
      <c r="D125" s="94">
        <v>5</v>
      </c>
      <c r="E125" s="89">
        <v>5000</v>
      </c>
      <c r="F125" s="89">
        <v>5000</v>
      </c>
      <c r="G125" s="89">
        <v>5000</v>
      </c>
      <c r="H125" s="89">
        <v>5000</v>
      </c>
      <c r="I125" s="89">
        <v>5000</v>
      </c>
      <c r="J125" s="89">
        <v>5000</v>
      </c>
      <c r="K125" s="89">
        <v>5000</v>
      </c>
      <c r="L125" s="89">
        <v>5000</v>
      </c>
      <c r="M125" s="89">
        <v>5000</v>
      </c>
      <c r="N125" s="89">
        <v>5000</v>
      </c>
      <c r="O125" s="89">
        <v>5000</v>
      </c>
      <c r="P125" s="89">
        <v>5000</v>
      </c>
      <c r="Q125" s="89">
        <v>5000</v>
      </c>
      <c r="R125" s="89">
        <v>5000</v>
      </c>
      <c r="S125" s="89">
        <v>5000</v>
      </c>
      <c r="T125" s="89">
        <v>5000</v>
      </c>
      <c r="U125" s="89">
        <v>5000</v>
      </c>
      <c r="V125" s="89">
        <v>5000</v>
      </c>
      <c r="W125" s="89">
        <v>5000</v>
      </c>
      <c r="X125" s="89">
        <v>5000</v>
      </c>
      <c r="Y125" s="89">
        <v>5000</v>
      </c>
      <c r="Z125" s="89">
        <v>5000</v>
      </c>
      <c r="AA125" s="89">
        <v>5000</v>
      </c>
      <c r="AB125" s="89">
        <v>5000</v>
      </c>
      <c r="AC125" s="226"/>
      <c r="AD125" s="177">
        <f>+AC155</f>
        <v>3720000</v>
      </c>
    </row>
    <row r="126" spans="2:30" ht="13" thickBot="1" x14ac:dyDescent="0.4">
      <c r="B126" s="224" t="s">
        <v>34</v>
      </c>
      <c r="C126" s="12" t="s">
        <v>32</v>
      </c>
      <c r="D126" s="96">
        <v>2</v>
      </c>
      <c r="E126" s="91">
        <v>5000</v>
      </c>
      <c r="F126" s="91">
        <v>5000</v>
      </c>
      <c r="G126" s="91">
        <v>5000</v>
      </c>
      <c r="H126" s="91">
        <v>5000</v>
      </c>
      <c r="I126" s="91">
        <v>5000</v>
      </c>
      <c r="J126" s="91">
        <v>5000</v>
      </c>
      <c r="K126" s="91">
        <v>5000</v>
      </c>
      <c r="L126" s="91">
        <v>5000</v>
      </c>
      <c r="M126" s="91">
        <v>5000</v>
      </c>
      <c r="N126" s="91">
        <v>5000</v>
      </c>
      <c r="O126" s="91">
        <v>5000</v>
      </c>
      <c r="P126" s="91">
        <v>5000</v>
      </c>
      <c r="Q126" s="91">
        <v>5000</v>
      </c>
      <c r="R126" s="91">
        <v>5000</v>
      </c>
      <c r="S126" s="91">
        <v>5000</v>
      </c>
      <c r="T126" s="91">
        <v>5000</v>
      </c>
      <c r="U126" s="91">
        <v>5000</v>
      </c>
      <c r="V126" s="91">
        <v>5000</v>
      </c>
      <c r="W126" s="91">
        <v>5000</v>
      </c>
      <c r="X126" s="91">
        <v>5000</v>
      </c>
      <c r="Y126" s="91">
        <v>5000</v>
      </c>
      <c r="Z126" s="91">
        <v>5000</v>
      </c>
      <c r="AA126" s="91">
        <v>5000</v>
      </c>
      <c r="AB126" s="91">
        <v>5000</v>
      </c>
      <c r="AC126" s="227"/>
    </row>
    <row r="127" spans="2:30" x14ac:dyDescent="0.35">
      <c r="B127" s="212">
        <v>46874</v>
      </c>
      <c r="C127" s="14" t="s">
        <v>29</v>
      </c>
      <c r="D127" s="97">
        <v>21</v>
      </c>
      <c r="E127" s="92">
        <v>5000</v>
      </c>
      <c r="F127" s="92">
        <v>5000</v>
      </c>
      <c r="G127" s="92">
        <v>5000</v>
      </c>
      <c r="H127" s="92">
        <v>5000</v>
      </c>
      <c r="I127" s="92">
        <v>5000</v>
      </c>
      <c r="J127" s="92">
        <v>5000</v>
      </c>
      <c r="K127" s="92">
        <v>5000</v>
      </c>
      <c r="L127" s="92">
        <v>5000</v>
      </c>
      <c r="M127" s="92">
        <v>5000</v>
      </c>
      <c r="N127" s="92">
        <v>5000</v>
      </c>
      <c r="O127" s="92">
        <v>5000</v>
      </c>
      <c r="P127" s="92">
        <v>5000</v>
      </c>
      <c r="Q127" s="92">
        <v>5000</v>
      </c>
      <c r="R127" s="92">
        <v>5000</v>
      </c>
      <c r="S127" s="92">
        <v>5000</v>
      </c>
      <c r="T127" s="92">
        <v>5000</v>
      </c>
      <c r="U127" s="92">
        <v>5000</v>
      </c>
      <c r="V127" s="92">
        <v>5000</v>
      </c>
      <c r="W127" s="92">
        <v>5000</v>
      </c>
      <c r="X127" s="92">
        <v>5000</v>
      </c>
      <c r="Y127" s="92">
        <v>5000</v>
      </c>
      <c r="Z127" s="92">
        <v>5000</v>
      </c>
      <c r="AA127" s="92">
        <v>5000</v>
      </c>
      <c r="AB127" s="92">
        <v>5000</v>
      </c>
      <c r="AC127" s="226">
        <f>SUM(E127:AB127)*D127+SUM(E128:AB128)*D128+SUM(E129:AB129)*D129+SUM(E130:AB130)*D130</f>
        <v>3720000</v>
      </c>
    </row>
    <row r="128" spans="2:30" x14ac:dyDescent="0.35">
      <c r="B128" s="213"/>
      <c r="C128" s="10" t="s">
        <v>30</v>
      </c>
      <c r="D128" s="94">
        <v>4</v>
      </c>
      <c r="E128" s="89">
        <v>5000</v>
      </c>
      <c r="F128" s="89">
        <v>5000</v>
      </c>
      <c r="G128" s="89">
        <v>5000</v>
      </c>
      <c r="H128" s="89">
        <v>5000</v>
      </c>
      <c r="I128" s="89">
        <v>5000</v>
      </c>
      <c r="J128" s="89">
        <v>5000</v>
      </c>
      <c r="K128" s="89">
        <v>5000</v>
      </c>
      <c r="L128" s="89">
        <v>5000</v>
      </c>
      <c r="M128" s="89">
        <v>5000</v>
      </c>
      <c r="N128" s="89">
        <v>5000</v>
      </c>
      <c r="O128" s="89">
        <v>5000</v>
      </c>
      <c r="P128" s="89">
        <v>5000</v>
      </c>
      <c r="Q128" s="89">
        <v>5000</v>
      </c>
      <c r="R128" s="89">
        <v>5000</v>
      </c>
      <c r="S128" s="89">
        <v>5000</v>
      </c>
      <c r="T128" s="89">
        <v>5000</v>
      </c>
      <c r="U128" s="89">
        <v>5000</v>
      </c>
      <c r="V128" s="89">
        <v>5000</v>
      </c>
      <c r="W128" s="89">
        <v>5000</v>
      </c>
      <c r="X128" s="89">
        <v>5000</v>
      </c>
      <c r="Y128" s="89">
        <v>5000</v>
      </c>
      <c r="Z128" s="89">
        <v>5000</v>
      </c>
      <c r="AA128" s="89">
        <v>5000</v>
      </c>
      <c r="AB128" s="89">
        <v>5000</v>
      </c>
      <c r="AC128" s="226"/>
    </row>
    <row r="129" spans="2:29" x14ac:dyDescent="0.35">
      <c r="B129" s="213"/>
      <c r="C129" s="10" t="s">
        <v>31</v>
      </c>
      <c r="D129" s="94">
        <v>4</v>
      </c>
      <c r="E129" s="89">
        <v>5000</v>
      </c>
      <c r="F129" s="89">
        <v>5000</v>
      </c>
      <c r="G129" s="89">
        <v>5000</v>
      </c>
      <c r="H129" s="89">
        <v>5000</v>
      </c>
      <c r="I129" s="89">
        <v>5000</v>
      </c>
      <c r="J129" s="89">
        <v>5000</v>
      </c>
      <c r="K129" s="89">
        <v>5000</v>
      </c>
      <c r="L129" s="89">
        <v>5000</v>
      </c>
      <c r="M129" s="89">
        <v>5000</v>
      </c>
      <c r="N129" s="89">
        <v>5000</v>
      </c>
      <c r="O129" s="89">
        <v>5000</v>
      </c>
      <c r="P129" s="89">
        <v>5000</v>
      </c>
      <c r="Q129" s="89">
        <v>5000</v>
      </c>
      <c r="R129" s="89">
        <v>5000</v>
      </c>
      <c r="S129" s="89">
        <v>5000</v>
      </c>
      <c r="T129" s="89">
        <v>5000</v>
      </c>
      <c r="U129" s="89">
        <v>5000</v>
      </c>
      <c r="V129" s="89">
        <v>5000</v>
      </c>
      <c r="W129" s="89">
        <v>5000</v>
      </c>
      <c r="X129" s="89">
        <v>5000</v>
      </c>
      <c r="Y129" s="89">
        <v>5000</v>
      </c>
      <c r="Z129" s="89">
        <v>5000</v>
      </c>
      <c r="AA129" s="89">
        <v>5000</v>
      </c>
      <c r="AB129" s="89">
        <v>5000</v>
      </c>
      <c r="AC129" s="226"/>
    </row>
    <row r="130" spans="2:29" ht="13" thickBot="1" x14ac:dyDescent="0.4">
      <c r="B130" s="213"/>
      <c r="C130" s="16" t="s">
        <v>32</v>
      </c>
      <c r="D130" s="95">
        <v>2</v>
      </c>
      <c r="E130" s="90">
        <v>5000</v>
      </c>
      <c r="F130" s="90">
        <v>5000</v>
      </c>
      <c r="G130" s="90">
        <v>5000</v>
      </c>
      <c r="H130" s="90">
        <v>5000</v>
      </c>
      <c r="I130" s="90">
        <v>5000</v>
      </c>
      <c r="J130" s="90">
        <v>5000</v>
      </c>
      <c r="K130" s="90">
        <v>5000</v>
      </c>
      <c r="L130" s="90">
        <v>5000</v>
      </c>
      <c r="M130" s="90">
        <v>5000</v>
      </c>
      <c r="N130" s="90">
        <v>5000</v>
      </c>
      <c r="O130" s="90">
        <v>5000</v>
      </c>
      <c r="P130" s="90">
        <v>5000</v>
      </c>
      <c r="Q130" s="90">
        <v>5000</v>
      </c>
      <c r="R130" s="90">
        <v>5000</v>
      </c>
      <c r="S130" s="90">
        <v>5000</v>
      </c>
      <c r="T130" s="90">
        <v>5000</v>
      </c>
      <c r="U130" s="90">
        <v>5000</v>
      </c>
      <c r="V130" s="90">
        <v>5000</v>
      </c>
      <c r="W130" s="90">
        <v>5000</v>
      </c>
      <c r="X130" s="90">
        <v>5000</v>
      </c>
      <c r="Y130" s="90">
        <v>5000</v>
      </c>
      <c r="Z130" s="90">
        <v>5000</v>
      </c>
      <c r="AA130" s="90">
        <v>5000</v>
      </c>
      <c r="AB130" s="90">
        <v>5000</v>
      </c>
      <c r="AC130" s="226"/>
    </row>
    <row r="131" spans="2:29" x14ac:dyDescent="0.35">
      <c r="B131" s="222">
        <v>46905</v>
      </c>
      <c r="C131" s="7" t="s">
        <v>29</v>
      </c>
      <c r="D131" s="93">
        <v>20</v>
      </c>
      <c r="E131" s="88">
        <v>5000</v>
      </c>
      <c r="F131" s="88">
        <v>5000</v>
      </c>
      <c r="G131" s="88">
        <v>5000</v>
      </c>
      <c r="H131" s="88">
        <v>5000</v>
      </c>
      <c r="I131" s="88">
        <v>5000</v>
      </c>
      <c r="J131" s="88">
        <v>5000</v>
      </c>
      <c r="K131" s="88">
        <v>5000</v>
      </c>
      <c r="L131" s="88">
        <v>5000</v>
      </c>
      <c r="M131" s="88">
        <v>5000</v>
      </c>
      <c r="N131" s="88">
        <v>5000</v>
      </c>
      <c r="O131" s="88">
        <v>5000</v>
      </c>
      <c r="P131" s="88">
        <v>5000</v>
      </c>
      <c r="Q131" s="88">
        <v>5000</v>
      </c>
      <c r="R131" s="88">
        <v>5000</v>
      </c>
      <c r="S131" s="88">
        <v>5000</v>
      </c>
      <c r="T131" s="88">
        <v>5000</v>
      </c>
      <c r="U131" s="88">
        <v>5000</v>
      </c>
      <c r="V131" s="88">
        <v>5000</v>
      </c>
      <c r="W131" s="88">
        <v>5000</v>
      </c>
      <c r="X131" s="88">
        <v>5000</v>
      </c>
      <c r="Y131" s="88">
        <v>5000</v>
      </c>
      <c r="Z131" s="88">
        <v>5000</v>
      </c>
      <c r="AA131" s="88">
        <v>5000</v>
      </c>
      <c r="AB131" s="88">
        <v>5000</v>
      </c>
      <c r="AC131" s="225">
        <f>SUM(E131:AB131)*D131+SUM(E132:AB132)*D132+SUM(E133:AB133)*D133+SUM(E134:AB134)*D134</f>
        <v>3600000</v>
      </c>
    </row>
    <row r="132" spans="2:29" x14ac:dyDescent="0.35">
      <c r="B132" s="223" t="s">
        <v>34</v>
      </c>
      <c r="C132" s="10" t="s">
        <v>30</v>
      </c>
      <c r="D132" s="94">
        <v>4</v>
      </c>
      <c r="E132" s="89">
        <v>5000</v>
      </c>
      <c r="F132" s="89">
        <v>5000</v>
      </c>
      <c r="G132" s="89">
        <v>5000</v>
      </c>
      <c r="H132" s="89">
        <v>5000</v>
      </c>
      <c r="I132" s="89">
        <v>5000</v>
      </c>
      <c r="J132" s="89">
        <v>5000</v>
      </c>
      <c r="K132" s="89">
        <v>5000</v>
      </c>
      <c r="L132" s="89">
        <v>5000</v>
      </c>
      <c r="M132" s="89">
        <v>5000</v>
      </c>
      <c r="N132" s="89">
        <v>5000</v>
      </c>
      <c r="O132" s="89">
        <v>5000</v>
      </c>
      <c r="P132" s="89">
        <v>5000</v>
      </c>
      <c r="Q132" s="89">
        <v>5000</v>
      </c>
      <c r="R132" s="89">
        <v>5000</v>
      </c>
      <c r="S132" s="89">
        <v>5000</v>
      </c>
      <c r="T132" s="89">
        <v>5000</v>
      </c>
      <c r="U132" s="89">
        <v>5000</v>
      </c>
      <c r="V132" s="89">
        <v>5000</v>
      </c>
      <c r="W132" s="89">
        <v>5000</v>
      </c>
      <c r="X132" s="89">
        <v>5000</v>
      </c>
      <c r="Y132" s="89">
        <v>5000</v>
      </c>
      <c r="Z132" s="89">
        <v>5000</v>
      </c>
      <c r="AA132" s="89">
        <v>5000</v>
      </c>
      <c r="AB132" s="89">
        <v>5000</v>
      </c>
      <c r="AC132" s="226"/>
    </row>
    <row r="133" spans="2:29" x14ac:dyDescent="0.35">
      <c r="B133" s="223" t="s">
        <v>34</v>
      </c>
      <c r="C133" s="10" t="s">
        <v>31</v>
      </c>
      <c r="D133" s="94">
        <v>4</v>
      </c>
      <c r="E133" s="89">
        <v>5000</v>
      </c>
      <c r="F133" s="89">
        <v>5000</v>
      </c>
      <c r="G133" s="89">
        <v>5000</v>
      </c>
      <c r="H133" s="89">
        <v>5000</v>
      </c>
      <c r="I133" s="89">
        <v>5000</v>
      </c>
      <c r="J133" s="89">
        <v>5000</v>
      </c>
      <c r="K133" s="89">
        <v>5000</v>
      </c>
      <c r="L133" s="89">
        <v>5000</v>
      </c>
      <c r="M133" s="89">
        <v>5000</v>
      </c>
      <c r="N133" s="89">
        <v>5000</v>
      </c>
      <c r="O133" s="89">
        <v>5000</v>
      </c>
      <c r="P133" s="89">
        <v>5000</v>
      </c>
      <c r="Q133" s="89">
        <v>5000</v>
      </c>
      <c r="R133" s="89">
        <v>5000</v>
      </c>
      <c r="S133" s="89">
        <v>5000</v>
      </c>
      <c r="T133" s="89">
        <v>5000</v>
      </c>
      <c r="U133" s="89">
        <v>5000</v>
      </c>
      <c r="V133" s="89">
        <v>5000</v>
      </c>
      <c r="W133" s="89">
        <v>5000</v>
      </c>
      <c r="X133" s="89">
        <v>5000</v>
      </c>
      <c r="Y133" s="89">
        <v>5000</v>
      </c>
      <c r="Z133" s="89">
        <v>5000</v>
      </c>
      <c r="AA133" s="89">
        <v>5000</v>
      </c>
      <c r="AB133" s="89">
        <v>5000</v>
      </c>
      <c r="AC133" s="226"/>
    </row>
    <row r="134" spans="2:29" ht="13" thickBot="1" x14ac:dyDescent="0.4">
      <c r="B134" s="224" t="s">
        <v>34</v>
      </c>
      <c r="C134" s="12" t="s">
        <v>32</v>
      </c>
      <c r="D134" s="96">
        <v>2</v>
      </c>
      <c r="E134" s="91">
        <v>5000</v>
      </c>
      <c r="F134" s="91">
        <v>5000</v>
      </c>
      <c r="G134" s="91">
        <v>5000</v>
      </c>
      <c r="H134" s="91">
        <v>5000</v>
      </c>
      <c r="I134" s="91">
        <v>5000</v>
      </c>
      <c r="J134" s="91">
        <v>5000</v>
      </c>
      <c r="K134" s="91">
        <v>5000</v>
      </c>
      <c r="L134" s="91">
        <v>5000</v>
      </c>
      <c r="M134" s="91">
        <v>5000</v>
      </c>
      <c r="N134" s="91">
        <v>5000</v>
      </c>
      <c r="O134" s="91">
        <v>5000</v>
      </c>
      <c r="P134" s="91">
        <v>5000</v>
      </c>
      <c r="Q134" s="91">
        <v>5000</v>
      </c>
      <c r="R134" s="91">
        <v>5000</v>
      </c>
      <c r="S134" s="91">
        <v>5000</v>
      </c>
      <c r="T134" s="91">
        <v>5000</v>
      </c>
      <c r="U134" s="91">
        <v>5000</v>
      </c>
      <c r="V134" s="91">
        <v>5000</v>
      </c>
      <c r="W134" s="91">
        <v>5000</v>
      </c>
      <c r="X134" s="91">
        <v>5000</v>
      </c>
      <c r="Y134" s="91">
        <v>5000</v>
      </c>
      <c r="Z134" s="91">
        <v>5000</v>
      </c>
      <c r="AA134" s="91">
        <v>5000</v>
      </c>
      <c r="AB134" s="91">
        <v>5000</v>
      </c>
      <c r="AC134" s="227"/>
    </row>
    <row r="135" spans="2:29" x14ac:dyDescent="0.35">
      <c r="B135" s="212">
        <v>46935</v>
      </c>
      <c r="C135" s="14" t="s">
        <v>29</v>
      </c>
      <c r="D135" s="97">
        <v>19</v>
      </c>
      <c r="E135" s="92">
        <v>5000</v>
      </c>
      <c r="F135" s="92">
        <v>5000</v>
      </c>
      <c r="G135" s="92">
        <v>5000</v>
      </c>
      <c r="H135" s="92">
        <v>5000</v>
      </c>
      <c r="I135" s="92">
        <v>5000</v>
      </c>
      <c r="J135" s="92">
        <v>5000</v>
      </c>
      <c r="K135" s="92">
        <v>5000</v>
      </c>
      <c r="L135" s="92">
        <v>5000</v>
      </c>
      <c r="M135" s="92">
        <v>5000</v>
      </c>
      <c r="N135" s="92">
        <v>5000</v>
      </c>
      <c r="O135" s="92">
        <v>5000</v>
      </c>
      <c r="P135" s="92">
        <v>5000</v>
      </c>
      <c r="Q135" s="92">
        <v>5000</v>
      </c>
      <c r="R135" s="92">
        <v>5000</v>
      </c>
      <c r="S135" s="92">
        <v>5000</v>
      </c>
      <c r="T135" s="92">
        <v>5000</v>
      </c>
      <c r="U135" s="92">
        <v>5000</v>
      </c>
      <c r="V135" s="92">
        <v>5000</v>
      </c>
      <c r="W135" s="92">
        <v>5000</v>
      </c>
      <c r="X135" s="92">
        <v>5000</v>
      </c>
      <c r="Y135" s="92">
        <v>5000</v>
      </c>
      <c r="Z135" s="92">
        <v>5000</v>
      </c>
      <c r="AA135" s="92">
        <v>5000</v>
      </c>
      <c r="AB135" s="92">
        <v>5000</v>
      </c>
      <c r="AC135" s="226">
        <f>SUM(E135:AB135)*D135+SUM(E136:AB136)*D136+SUM(E137:AB137)*D137+SUM(E138:AB138)*D138</f>
        <v>3720000</v>
      </c>
    </row>
    <row r="136" spans="2:29" x14ac:dyDescent="0.35">
      <c r="B136" s="213"/>
      <c r="C136" s="10" t="s">
        <v>30</v>
      </c>
      <c r="D136" s="94">
        <v>5</v>
      </c>
      <c r="E136" s="89">
        <v>5000</v>
      </c>
      <c r="F136" s="89">
        <v>5000</v>
      </c>
      <c r="G136" s="89">
        <v>5000</v>
      </c>
      <c r="H136" s="89">
        <v>5000</v>
      </c>
      <c r="I136" s="89">
        <v>5000</v>
      </c>
      <c r="J136" s="89">
        <v>5000</v>
      </c>
      <c r="K136" s="89">
        <v>5000</v>
      </c>
      <c r="L136" s="89">
        <v>5000</v>
      </c>
      <c r="M136" s="89">
        <v>5000</v>
      </c>
      <c r="N136" s="89">
        <v>5000</v>
      </c>
      <c r="O136" s="89">
        <v>5000</v>
      </c>
      <c r="P136" s="89">
        <v>5000</v>
      </c>
      <c r="Q136" s="89">
        <v>5000</v>
      </c>
      <c r="R136" s="89">
        <v>5000</v>
      </c>
      <c r="S136" s="89">
        <v>5000</v>
      </c>
      <c r="T136" s="89">
        <v>5000</v>
      </c>
      <c r="U136" s="89">
        <v>5000</v>
      </c>
      <c r="V136" s="89">
        <v>5000</v>
      </c>
      <c r="W136" s="89">
        <v>5000</v>
      </c>
      <c r="X136" s="89">
        <v>5000</v>
      </c>
      <c r="Y136" s="89">
        <v>5000</v>
      </c>
      <c r="Z136" s="89">
        <v>5000</v>
      </c>
      <c r="AA136" s="89">
        <v>5000</v>
      </c>
      <c r="AB136" s="89">
        <v>5000</v>
      </c>
      <c r="AC136" s="226"/>
    </row>
    <row r="137" spans="2:29" x14ac:dyDescent="0.35">
      <c r="B137" s="213"/>
      <c r="C137" s="10" t="s">
        <v>31</v>
      </c>
      <c r="D137" s="94">
        <v>5</v>
      </c>
      <c r="E137" s="89">
        <v>5000</v>
      </c>
      <c r="F137" s="89">
        <v>5000</v>
      </c>
      <c r="G137" s="89">
        <v>5000</v>
      </c>
      <c r="H137" s="89">
        <v>5000</v>
      </c>
      <c r="I137" s="89">
        <v>5000</v>
      </c>
      <c r="J137" s="89">
        <v>5000</v>
      </c>
      <c r="K137" s="89">
        <v>5000</v>
      </c>
      <c r="L137" s="89">
        <v>5000</v>
      </c>
      <c r="M137" s="89">
        <v>5000</v>
      </c>
      <c r="N137" s="89">
        <v>5000</v>
      </c>
      <c r="O137" s="89">
        <v>5000</v>
      </c>
      <c r="P137" s="89">
        <v>5000</v>
      </c>
      <c r="Q137" s="89">
        <v>5000</v>
      </c>
      <c r="R137" s="89">
        <v>5000</v>
      </c>
      <c r="S137" s="89">
        <v>5000</v>
      </c>
      <c r="T137" s="89">
        <v>5000</v>
      </c>
      <c r="U137" s="89">
        <v>5000</v>
      </c>
      <c r="V137" s="89">
        <v>5000</v>
      </c>
      <c r="W137" s="89">
        <v>5000</v>
      </c>
      <c r="X137" s="89">
        <v>5000</v>
      </c>
      <c r="Y137" s="89">
        <v>5000</v>
      </c>
      <c r="Z137" s="89">
        <v>5000</v>
      </c>
      <c r="AA137" s="89">
        <v>5000</v>
      </c>
      <c r="AB137" s="89">
        <v>5000</v>
      </c>
      <c r="AC137" s="226"/>
    </row>
    <row r="138" spans="2:29" ht="13" thickBot="1" x14ac:dyDescent="0.4">
      <c r="B138" s="213"/>
      <c r="C138" s="16" t="s">
        <v>32</v>
      </c>
      <c r="D138" s="95">
        <v>2</v>
      </c>
      <c r="E138" s="90">
        <v>5000</v>
      </c>
      <c r="F138" s="90">
        <v>5000</v>
      </c>
      <c r="G138" s="90">
        <v>5000</v>
      </c>
      <c r="H138" s="90">
        <v>5000</v>
      </c>
      <c r="I138" s="90">
        <v>5000</v>
      </c>
      <c r="J138" s="90">
        <v>5000</v>
      </c>
      <c r="K138" s="90">
        <v>5000</v>
      </c>
      <c r="L138" s="90">
        <v>5000</v>
      </c>
      <c r="M138" s="90">
        <v>5000</v>
      </c>
      <c r="N138" s="90">
        <v>5000</v>
      </c>
      <c r="O138" s="90">
        <v>5000</v>
      </c>
      <c r="P138" s="90">
        <v>5000</v>
      </c>
      <c r="Q138" s="90">
        <v>5000</v>
      </c>
      <c r="R138" s="90">
        <v>5000</v>
      </c>
      <c r="S138" s="90">
        <v>5000</v>
      </c>
      <c r="T138" s="90">
        <v>5000</v>
      </c>
      <c r="U138" s="90">
        <v>5000</v>
      </c>
      <c r="V138" s="90">
        <v>5000</v>
      </c>
      <c r="W138" s="90">
        <v>5000</v>
      </c>
      <c r="X138" s="90">
        <v>5000</v>
      </c>
      <c r="Y138" s="90">
        <v>5000</v>
      </c>
      <c r="Z138" s="90">
        <v>5000</v>
      </c>
      <c r="AA138" s="90">
        <v>5000</v>
      </c>
      <c r="AB138" s="90">
        <v>5000</v>
      </c>
      <c r="AC138" s="226"/>
    </row>
    <row r="139" spans="2:29" x14ac:dyDescent="0.35">
      <c r="B139" s="222">
        <v>46966</v>
      </c>
      <c r="C139" s="7" t="s">
        <v>29</v>
      </c>
      <c r="D139" s="93">
        <v>21</v>
      </c>
      <c r="E139" s="88">
        <v>5000</v>
      </c>
      <c r="F139" s="88">
        <v>5000</v>
      </c>
      <c r="G139" s="88">
        <v>5000</v>
      </c>
      <c r="H139" s="88">
        <v>5000</v>
      </c>
      <c r="I139" s="88">
        <v>5000</v>
      </c>
      <c r="J139" s="88">
        <v>5000</v>
      </c>
      <c r="K139" s="88">
        <v>5000</v>
      </c>
      <c r="L139" s="88">
        <v>5000</v>
      </c>
      <c r="M139" s="88">
        <v>5000</v>
      </c>
      <c r="N139" s="88">
        <v>5000</v>
      </c>
      <c r="O139" s="88">
        <v>5000</v>
      </c>
      <c r="P139" s="88">
        <v>5000</v>
      </c>
      <c r="Q139" s="88">
        <v>5000</v>
      </c>
      <c r="R139" s="88">
        <v>5000</v>
      </c>
      <c r="S139" s="88">
        <v>5000</v>
      </c>
      <c r="T139" s="88">
        <v>5000</v>
      </c>
      <c r="U139" s="88">
        <v>5000</v>
      </c>
      <c r="V139" s="88">
        <v>5000</v>
      </c>
      <c r="W139" s="88">
        <v>5000</v>
      </c>
      <c r="X139" s="88">
        <v>5000</v>
      </c>
      <c r="Y139" s="88">
        <v>5000</v>
      </c>
      <c r="Z139" s="88">
        <v>5000</v>
      </c>
      <c r="AA139" s="88">
        <v>5000</v>
      </c>
      <c r="AB139" s="88">
        <v>5000</v>
      </c>
      <c r="AC139" s="225">
        <f>SUM(E139:AB139)*D139+SUM(E140:AB140)*D140+SUM(E141:AB141)*D141+SUM(E142:AB142)*D142</f>
        <v>3720000</v>
      </c>
    </row>
    <row r="140" spans="2:29" x14ac:dyDescent="0.35">
      <c r="B140" s="223" t="s">
        <v>34</v>
      </c>
      <c r="C140" s="10" t="s">
        <v>30</v>
      </c>
      <c r="D140" s="94">
        <v>4</v>
      </c>
      <c r="E140" s="89">
        <v>5000</v>
      </c>
      <c r="F140" s="89">
        <v>5000</v>
      </c>
      <c r="G140" s="89">
        <v>5000</v>
      </c>
      <c r="H140" s="89">
        <v>5000</v>
      </c>
      <c r="I140" s="89">
        <v>5000</v>
      </c>
      <c r="J140" s="89">
        <v>5000</v>
      </c>
      <c r="K140" s="89">
        <v>5000</v>
      </c>
      <c r="L140" s="89">
        <v>5000</v>
      </c>
      <c r="M140" s="89">
        <v>5000</v>
      </c>
      <c r="N140" s="89">
        <v>5000</v>
      </c>
      <c r="O140" s="89">
        <v>5000</v>
      </c>
      <c r="P140" s="89">
        <v>5000</v>
      </c>
      <c r="Q140" s="89">
        <v>5000</v>
      </c>
      <c r="R140" s="89">
        <v>5000</v>
      </c>
      <c r="S140" s="89">
        <v>5000</v>
      </c>
      <c r="T140" s="89">
        <v>5000</v>
      </c>
      <c r="U140" s="89">
        <v>5000</v>
      </c>
      <c r="V140" s="89">
        <v>5000</v>
      </c>
      <c r="W140" s="89">
        <v>5000</v>
      </c>
      <c r="X140" s="89">
        <v>5000</v>
      </c>
      <c r="Y140" s="89">
        <v>5000</v>
      </c>
      <c r="Z140" s="89">
        <v>5000</v>
      </c>
      <c r="AA140" s="89">
        <v>5000</v>
      </c>
      <c r="AB140" s="89">
        <v>5000</v>
      </c>
      <c r="AC140" s="226"/>
    </row>
    <row r="141" spans="2:29" x14ac:dyDescent="0.35">
      <c r="B141" s="223" t="s">
        <v>34</v>
      </c>
      <c r="C141" s="10" t="s">
        <v>31</v>
      </c>
      <c r="D141" s="94">
        <v>4</v>
      </c>
      <c r="E141" s="89">
        <v>5000</v>
      </c>
      <c r="F141" s="89">
        <v>5000</v>
      </c>
      <c r="G141" s="89">
        <v>5000</v>
      </c>
      <c r="H141" s="89">
        <v>5000</v>
      </c>
      <c r="I141" s="89">
        <v>5000</v>
      </c>
      <c r="J141" s="89">
        <v>5000</v>
      </c>
      <c r="K141" s="89">
        <v>5000</v>
      </c>
      <c r="L141" s="89">
        <v>5000</v>
      </c>
      <c r="M141" s="89">
        <v>5000</v>
      </c>
      <c r="N141" s="89">
        <v>5000</v>
      </c>
      <c r="O141" s="89">
        <v>5000</v>
      </c>
      <c r="P141" s="89">
        <v>5000</v>
      </c>
      <c r="Q141" s="89">
        <v>5000</v>
      </c>
      <c r="R141" s="89">
        <v>5000</v>
      </c>
      <c r="S141" s="89">
        <v>5000</v>
      </c>
      <c r="T141" s="89">
        <v>5000</v>
      </c>
      <c r="U141" s="89">
        <v>5000</v>
      </c>
      <c r="V141" s="89">
        <v>5000</v>
      </c>
      <c r="W141" s="89">
        <v>5000</v>
      </c>
      <c r="X141" s="89">
        <v>5000</v>
      </c>
      <c r="Y141" s="89">
        <v>5000</v>
      </c>
      <c r="Z141" s="89">
        <v>5000</v>
      </c>
      <c r="AA141" s="89">
        <v>5000</v>
      </c>
      <c r="AB141" s="89">
        <v>5000</v>
      </c>
      <c r="AC141" s="226"/>
    </row>
    <row r="142" spans="2:29" ht="13" thickBot="1" x14ac:dyDescent="0.4">
      <c r="B142" s="224" t="s">
        <v>34</v>
      </c>
      <c r="C142" s="12" t="s">
        <v>32</v>
      </c>
      <c r="D142" s="96">
        <v>2</v>
      </c>
      <c r="E142" s="91">
        <v>5000</v>
      </c>
      <c r="F142" s="91">
        <v>5000</v>
      </c>
      <c r="G142" s="91">
        <v>5000</v>
      </c>
      <c r="H142" s="91">
        <v>5000</v>
      </c>
      <c r="I142" s="91">
        <v>5000</v>
      </c>
      <c r="J142" s="91">
        <v>5000</v>
      </c>
      <c r="K142" s="91">
        <v>5000</v>
      </c>
      <c r="L142" s="91">
        <v>5000</v>
      </c>
      <c r="M142" s="91">
        <v>5000</v>
      </c>
      <c r="N142" s="91">
        <v>5000</v>
      </c>
      <c r="O142" s="91">
        <v>5000</v>
      </c>
      <c r="P142" s="91">
        <v>5000</v>
      </c>
      <c r="Q142" s="91">
        <v>5000</v>
      </c>
      <c r="R142" s="91">
        <v>5000</v>
      </c>
      <c r="S142" s="91">
        <v>5000</v>
      </c>
      <c r="T142" s="91">
        <v>5000</v>
      </c>
      <c r="U142" s="91">
        <v>5000</v>
      </c>
      <c r="V142" s="91">
        <v>5000</v>
      </c>
      <c r="W142" s="91">
        <v>5000</v>
      </c>
      <c r="X142" s="91">
        <v>5000</v>
      </c>
      <c r="Y142" s="91">
        <v>5000</v>
      </c>
      <c r="Z142" s="91">
        <v>5000</v>
      </c>
      <c r="AA142" s="91">
        <v>5000</v>
      </c>
      <c r="AB142" s="91">
        <v>5000</v>
      </c>
      <c r="AC142" s="227"/>
    </row>
    <row r="143" spans="2:29" x14ac:dyDescent="0.35">
      <c r="B143" s="212">
        <v>46997</v>
      </c>
      <c r="C143" s="14" t="s">
        <v>29</v>
      </c>
      <c r="D143" s="97">
        <v>21</v>
      </c>
      <c r="E143" s="92">
        <v>5000</v>
      </c>
      <c r="F143" s="92">
        <v>5000</v>
      </c>
      <c r="G143" s="92">
        <v>5000</v>
      </c>
      <c r="H143" s="92">
        <v>5000</v>
      </c>
      <c r="I143" s="92">
        <v>5000</v>
      </c>
      <c r="J143" s="92">
        <v>5000</v>
      </c>
      <c r="K143" s="92">
        <v>5000</v>
      </c>
      <c r="L143" s="92">
        <v>5000</v>
      </c>
      <c r="M143" s="92">
        <v>5000</v>
      </c>
      <c r="N143" s="92">
        <v>5000</v>
      </c>
      <c r="O143" s="92">
        <v>5000</v>
      </c>
      <c r="P143" s="92">
        <v>5000</v>
      </c>
      <c r="Q143" s="92">
        <v>5000</v>
      </c>
      <c r="R143" s="92">
        <v>5000</v>
      </c>
      <c r="S143" s="92">
        <v>5000</v>
      </c>
      <c r="T143" s="92">
        <v>5000</v>
      </c>
      <c r="U143" s="92">
        <v>5000</v>
      </c>
      <c r="V143" s="92">
        <v>5000</v>
      </c>
      <c r="W143" s="92">
        <v>5000</v>
      </c>
      <c r="X143" s="92">
        <v>5000</v>
      </c>
      <c r="Y143" s="92">
        <v>5000</v>
      </c>
      <c r="Z143" s="92">
        <v>5000</v>
      </c>
      <c r="AA143" s="92">
        <v>5000</v>
      </c>
      <c r="AB143" s="92">
        <v>5000</v>
      </c>
      <c r="AC143" s="226">
        <f>SUM(E143:AB143)*D143+SUM(E144:AB144)*D144+SUM(E145:AB145)*D145+SUM(E146:AB146)*D146</f>
        <v>3600000</v>
      </c>
    </row>
    <row r="144" spans="2:29" x14ac:dyDescent="0.35">
      <c r="B144" s="213"/>
      <c r="C144" s="10" t="s">
        <v>30</v>
      </c>
      <c r="D144" s="94">
        <v>5</v>
      </c>
      <c r="E144" s="89">
        <v>5000</v>
      </c>
      <c r="F144" s="89">
        <v>5000</v>
      </c>
      <c r="G144" s="89">
        <v>5000</v>
      </c>
      <c r="H144" s="89">
        <v>5000</v>
      </c>
      <c r="I144" s="89">
        <v>5000</v>
      </c>
      <c r="J144" s="89">
        <v>5000</v>
      </c>
      <c r="K144" s="89">
        <v>5000</v>
      </c>
      <c r="L144" s="89">
        <v>5000</v>
      </c>
      <c r="M144" s="89">
        <v>5000</v>
      </c>
      <c r="N144" s="89">
        <v>5000</v>
      </c>
      <c r="O144" s="89">
        <v>5000</v>
      </c>
      <c r="P144" s="89">
        <v>5000</v>
      </c>
      <c r="Q144" s="89">
        <v>5000</v>
      </c>
      <c r="R144" s="89">
        <v>5000</v>
      </c>
      <c r="S144" s="89">
        <v>5000</v>
      </c>
      <c r="T144" s="89">
        <v>5000</v>
      </c>
      <c r="U144" s="89">
        <v>5000</v>
      </c>
      <c r="V144" s="89">
        <v>5000</v>
      </c>
      <c r="W144" s="89">
        <v>5000</v>
      </c>
      <c r="X144" s="89">
        <v>5000</v>
      </c>
      <c r="Y144" s="89">
        <v>5000</v>
      </c>
      <c r="Z144" s="89">
        <v>5000</v>
      </c>
      <c r="AA144" s="89">
        <v>5000</v>
      </c>
      <c r="AB144" s="89">
        <v>5000</v>
      </c>
      <c r="AC144" s="226"/>
    </row>
    <row r="145" spans="2:29" x14ac:dyDescent="0.35">
      <c r="B145" s="213"/>
      <c r="C145" s="10" t="s">
        <v>31</v>
      </c>
      <c r="D145" s="94">
        <v>4</v>
      </c>
      <c r="E145" s="89">
        <v>5000</v>
      </c>
      <c r="F145" s="89">
        <v>5000</v>
      </c>
      <c r="G145" s="89">
        <v>5000</v>
      </c>
      <c r="H145" s="89">
        <v>5000</v>
      </c>
      <c r="I145" s="89">
        <v>5000</v>
      </c>
      <c r="J145" s="89">
        <v>5000</v>
      </c>
      <c r="K145" s="89">
        <v>5000</v>
      </c>
      <c r="L145" s="89">
        <v>5000</v>
      </c>
      <c r="M145" s="89">
        <v>5000</v>
      </c>
      <c r="N145" s="89">
        <v>5000</v>
      </c>
      <c r="O145" s="89">
        <v>5000</v>
      </c>
      <c r="P145" s="89">
        <v>5000</v>
      </c>
      <c r="Q145" s="89">
        <v>5000</v>
      </c>
      <c r="R145" s="89">
        <v>5000</v>
      </c>
      <c r="S145" s="89">
        <v>5000</v>
      </c>
      <c r="T145" s="89">
        <v>5000</v>
      </c>
      <c r="U145" s="89">
        <v>5000</v>
      </c>
      <c r="V145" s="89">
        <v>5000</v>
      </c>
      <c r="W145" s="89">
        <v>5000</v>
      </c>
      <c r="X145" s="89">
        <v>5000</v>
      </c>
      <c r="Y145" s="89">
        <v>5000</v>
      </c>
      <c r="Z145" s="89">
        <v>5000</v>
      </c>
      <c r="AA145" s="89">
        <v>5000</v>
      </c>
      <c r="AB145" s="89">
        <v>5000</v>
      </c>
      <c r="AC145" s="226"/>
    </row>
    <row r="146" spans="2:29" ht="13" thickBot="1" x14ac:dyDescent="0.4">
      <c r="B146" s="213"/>
      <c r="C146" s="16" t="s">
        <v>32</v>
      </c>
      <c r="D146" s="95">
        <v>0</v>
      </c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226"/>
    </row>
    <row r="147" spans="2:29" x14ac:dyDescent="0.35">
      <c r="B147" s="222">
        <v>47027</v>
      </c>
      <c r="C147" s="7" t="s">
        <v>29</v>
      </c>
      <c r="D147" s="93">
        <v>21</v>
      </c>
      <c r="E147" s="88">
        <v>5000</v>
      </c>
      <c r="F147" s="88">
        <v>5000</v>
      </c>
      <c r="G147" s="88">
        <v>5000</v>
      </c>
      <c r="H147" s="88">
        <v>5000</v>
      </c>
      <c r="I147" s="88">
        <v>5000</v>
      </c>
      <c r="J147" s="88">
        <v>5000</v>
      </c>
      <c r="K147" s="88">
        <v>5000</v>
      </c>
      <c r="L147" s="88">
        <v>5000</v>
      </c>
      <c r="M147" s="88">
        <v>5000</v>
      </c>
      <c r="N147" s="88">
        <v>5000</v>
      </c>
      <c r="O147" s="88">
        <v>5000</v>
      </c>
      <c r="P147" s="88">
        <v>5000</v>
      </c>
      <c r="Q147" s="88">
        <v>5000</v>
      </c>
      <c r="R147" s="88">
        <v>5000</v>
      </c>
      <c r="S147" s="88">
        <v>5000</v>
      </c>
      <c r="T147" s="88">
        <v>5000</v>
      </c>
      <c r="U147" s="88">
        <v>5000</v>
      </c>
      <c r="V147" s="88">
        <v>5000</v>
      </c>
      <c r="W147" s="88">
        <v>5000</v>
      </c>
      <c r="X147" s="88">
        <v>5000</v>
      </c>
      <c r="Y147" s="88">
        <v>5000</v>
      </c>
      <c r="Z147" s="88">
        <v>5000</v>
      </c>
      <c r="AA147" s="88">
        <v>5000</v>
      </c>
      <c r="AB147" s="88">
        <v>5000</v>
      </c>
      <c r="AC147" s="225">
        <f>SUM(E147:AB147)*D147+SUM(E148:AB148)*D148+SUM(E149:AB149)*D149+SUM(E150:AB150)*D150</f>
        <v>3720000</v>
      </c>
    </row>
    <row r="148" spans="2:29" x14ac:dyDescent="0.35">
      <c r="B148" s="223" t="s">
        <v>34</v>
      </c>
      <c r="C148" s="10" t="s">
        <v>30</v>
      </c>
      <c r="D148" s="94">
        <v>4</v>
      </c>
      <c r="E148" s="89">
        <v>5000</v>
      </c>
      <c r="F148" s="89">
        <v>5000</v>
      </c>
      <c r="G148" s="89">
        <v>5000</v>
      </c>
      <c r="H148" s="89">
        <v>5000</v>
      </c>
      <c r="I148" s="89">
        <v>5000</v>
      </c>
      <c r="J148" s="89">
        <v>5000</v>
      </c>
      <c r="K148" s="89">
        <v>5000</v>
      </c>
      <c r="L148" s="89">
        <v>5000</v>
      </c>
      <c r="M148" s="89">
        <v>5000</v>
      </c>
      <c r="N148" s="89">
        <v>5000</v>
      </c>
      <c r="O148" s="89">
        <v>5000</v>
      </c>
      <c r="P148" s="89">
        <v>5000</v>
      </c>
      <c r="Q148" s="89">
        <v>5000</v>
      </c>
      <c r="R148" s="89">
        <v>5000</v>
      </c>
      <c r="S148" s="89">
        <v>5000</v>
      </c>
      <c r="T148" s="89">
        <v>5000</v>
      </c>
      <c r="U148" s="89">
        <v>5000</v>
      </c>
      <c r="V148" s="89">
        <v>5000</v>
      </c>
      <c r="W148" s="89">
        <v>5000</v>
      </c>
      <c r="X148" s="89">
        <v>5000</v>
      </c>
      <c r="Y148" s="89">
        <v>5000</v>
      </c>
      <c r="Z148" s="89">
        <v>5000</v>
      </c>
      <c r="AA148" s="89">
        <v>5000</v>
      </c>
      <c r="AB148" s="89">
        <v>5000</v>
      </c>
      <c r="AC148" s="226"/>
    </row>
    <row r="149" spans="2:29" x14ac:dyDescent="0.35">
      <c r="B149" s="223" t="s">
        <v>34</v>
      </c>
      <c r="C149" s="10" t="s">
        <v>31</v>
      </c>
      <c r="D149" s="94">
        <v>5</v>
      </c>
      <c r="E149" s="89">
        <v>5000</v>
      </c>
      <c r="F149" s="89">
        <v>5000</v>
      </c>
      <c r="G149" s="89">
        <v>5000</v>
      </c>
      <c r="H149" s="89">
        <v>5000</v>
      </c>
      <c r="I149" s="89">
        <v>5000</v>
      </c>
      <c r="J149" s="89">
        <v>5000</v>
      </c>
      <c r="K149" s="89">
        <v>5000</v>
      </c>
      <c r="L149" s="89">
        <v>5000</v>
      </c>
      <c r="M149" s="89">
        <v>5000</v>
      </c>
      <c r="N149" s="89">
        <v>5000</v>
      </c>
      <c r="O149" s="89">
        <v>5000</v>
      </c>
      <c r="P149" s="89">
        <v>5000</v>
      </c>
      <c r="Q149" s="89">
        <v>5000</v>
      </c>
      <c r="R149" s="89">
        <v>5000</v>
      </c>
      <c r="S149" s="89">
        <v>5000</v>
      </c>
      <c r="T149" s="89">
        <v>5000</v>
      </c>
      <c r="U149" s="89">
        <v>5000</v>
      </c>
      <c r="V149" s="89">
        <v>5000</v>
      </c>
      <c r="W149" s="89">
        <v>5000</v>
      </c>
      <c r="X149" s="89">
        <v>5000</v>
      </c>
      <c r="Y149" s="89">
        <v>5000</v>
      </c>
      <c r="Z149" s="89">
        <v>5000</v>
      </c>
      <c r="AA149" s="89">
        <v>5000</v>
      </c>
      <c r="AB149" s="89">
        <v>5000</v>
      </c>
      <c r="AC149" s="226"/>
    </row>
    <row r="150" spans="2:29" ht="13" thickBot="1" x14ac:dyDescent="0.4">
      <c r="B150" s="224" t="s">
        <v>34</v>
      </c>
      <c r="C150" s="12" t="s">
        <v>32</v>
      </c>
      <c r="D150" s="96">
        <v>1</v>
      </c>
      <c r="E150" s="91">
        <v>5000</v>
      </c>
      <c r="F150" s="91">
        <v>5000</v>
      </c>
      <c r="G150" s="91">
        <v>5000</v>
      </c>
      <c r="H150" s="91">
        <v>5000</v>
      </c>
      <c r="I150" s="91">
        <v>5000</v>
      </c>
      <c r="J150" s="91">
        <v>5000</v>
      </c>
      <c r="K150" s="91">
        <v>5000</v>
      </c>
      <c r="L150" s="91">
        <v>5000</v>
      </c>
      <c r="M150" s="91">
        <v>5000</v>
      </c>
      <c r="N150" s="91">
        <v>5000</v>
      </c>
      <c r="O150" s="91">
        <v>5000</v>
      </c>
      <c r="P150" s="91">
        <v>5000</v>
      </c>
      <c r="Q150" s="91">
        <v>5000</v>
      </c>
      <c r="R150" s="91">
        <v>5000</v>
      </c>
      <c r="S150" s="91">
        <v>5000</v>
      </c>
      <c r="T150" s="91">
        <v>5000</v>
      </c>
      <c r="U150" s="91">
        <v>5000</v>
      </c>
      <c r="V150" s="91">
        <v>5000</v>
      </c>
      <c r="W150" s="91">
        <v>5000</v>
      </c>
      <c r="X150" s="91">
        <v>5000</v>
      </c>
      <c r="Y150" s="91">
        <v>5000</v>
      </c>
      <c r="Z150" s="91">
        <v>5000</v>
      </c>
      <c r="AA150" s="91">
        <v>5000</v>
      </c>
      <c r="AB150" s="91">
        <v>5000</v>
      </c>
      <c r="AC150" s="227"/>
    </row>
    <row r="151" spans="2:29" x14ac:dyDescent="0.35">
      <c r="B151" s="212">
        <v>47058</v>
      </c>
      <c r="C151" s="14" t="s">
        <v>29</v>
      </c>
      <c r="D151" s="97">
        <v>20</v>
      </c>
      <c r="E151" s="92">
        <v>5000</v>
      </c>
      <c r="F151" s="92">
        <v>5000</v>
      </c>
      <c r="G151" s="92">
        <v>5000</v>
      </c>
      <c r="H151" s="92">
        <v>5000</v>
      </c>
      <c r="I151" s="92">
        <v>5000</v>
      </c>
      <c r="J151" s="92">
        <v>5000</v>
      </c>
      <c r="K151" s="92">
        <v>5000</v>
      </c>
      <c r="L151" s="92">
        <v>5000</v>
      </c>
      <c r="M151" s="92">
        <v>5000</v>
      </c>
      <c r="N151" s="92">
        <v>5000</v>
      </c>
      <c r="O151" s="92">
        <v>5000</v>
      </c>
      <c r="P151" s="92">
        <v>5000</v>
      </c>
      <c r="Q151" s="92">
        <v>5000</v>
      </c>
      <c r="R151" s="92">
        <v>5000</v>
      </c>
      <c r="S151" s="92">
        <v>5000</v>
      </c>
      <c r="T151" s="92">
        <v>5000</v>
      </c>
      <c r="U151" s="92">
        <v>5000</v>
      </c>
      <c r="V151" s="92">
        <v>5000</v>
      </c>
      <c r="W151" s="92">
        <v>5000</v>
      </c>
      <c r="X151" s="92">
        <v>5000</v>
      </c>
      <c r="Y151" s="92">
        <v>5000</v>
      </c>
      <c r="Z151" s="92">
        <v>5000</v>
      </c>
      <c r="AA151" s="92">
        <v>5000</v>
      </c>
      <c r="AB151" s="92">
        <v>5000</v>
      </c>
      <c r="AC151" s="226">
        <f>SUM(E151:AB151)*D151+SUM(E152:AB152)*D152+SUM(E153:AB153)*D153+SUM(E154:AB154)*D154</f>
        <v>3600000</v>
      </c>
    </row>
    <row r="152" spans="2:29" x14ac:dyDescent="0.35">
      <c r="B152" s="213"/>
      <c r="C152" s="10" t="s">
        <v>30</v>
      </c>
      <c r="D152" s="94">
        <v>4</v>
      </c>
      <c r="E152" s="89">
        <v>5000</v>
      </c>
      <c r="F152" s="89">
        <v>5000</v>
      </c>
      <c r="G152" s="89">
        <v>5000</v>
      </c>
      <c r="H152" s="89">
        <v>5000</v>
      </c>
      <c r="I152" s="89">
        <v>5000</v>
      </c>
      <c r="J152" s="89">
        <v>5000</v>
      </c>
      <c r="K152" s="89">
        <v>5000</v>
      </c>
      <c r="L152" s="89">
        <v>5000</v>
      </c>
      <c r="M152" s="89">
        <v>5000</v>
      </c>
      <c r="N152" s="89">
        <v>5000</v>
      </c>
      <c r="O152" s="89">
        <v>5000</v>
      </c>
      <c r="P152" s="89">
        <v>5000</v>
      </c>
      <c r="Q152" s="89">
        <v>5000</v>
      </c>
      <c r="R152" s="89">
        <v>5000</v>
      </c>
      <c r="S152" s="89">
        <v>5000</v>
      </c>
      <c r="T152" s="89">
        <v>5000</v>
      </c>
      <c r="U152" s="89">
        <v>5000</v>
      </c>
      <c r="V152" s="89">
        <v>5000</v>
      </c>
      <c r="W152" s="89">
        <v>5000</v>
      </c>
      <c r="X152" s="89">
        <v>5000</v>
      </c>
      <c r="Y152" s="89">
        <v>5000</v>
      </c>
      <c r="Z152" s="89">
        <v>5000</v>
      </c>
      <c r="AA152" s="89">
        <v>5000</v>
      </c>
      <c r="AB152" s="89">
        <v>5000</v>
      </c>
      <c r="AC152" s="226"/>
    </row>
    <row r="153" spans="2:29" x14ac:dyDescent="0.35">
      <c r="B153" s="213"/>
      <c r="C153" s="10" t="s">
        <v>31</v>
      </c>
      <c r="D153" s="94">
        <v>4</v>
      </c>
      <c r="E153" s="89">
        <v>5000</v>
      </c>
      <c r="F153" s="89">
        <v>5000</v>
      </c>
      <c r="G153" s="89">
        <v>5000</v>
      </c>
      <c r="H153" s="89">
        <v>5000</v>
      </c>
      <c r="I153" s="89">
        <v>5000</v>
      </c>
      <c r="J153" s="89">
        <v>5000</v>
      </c>
      <c r="K153" s="89">
        <v>5000</v>
      </c>
      <c r="L153" s="89">
        <v>5000</v>
      </c>
      <c r="M153" s="89">
        <v>5000</v>
      </c>
      <c r="N153" s="89">
        <v>5000</v>
      </c>
      <c r="O153" s="89">
        <v>5000</v>
      </c>
      <c r="P153" s="89">
        <v>5000</v>
      </c>
      <c r="Q153" s="89">
        <v>5000</v>
      </c>
      <c r="R153" s="89">
        <v>5000</v>
      </c>
      <c r="S153" s="89">
        <v>5000</v>
      </c>
      <c r="T153" s="89">
        <v>5000</v>
      </c>
      <c r="U153" s="89">
        <v>5000</v>
      </c>
      <c r="V153" s="89">
        <v>5000</v>
      </c>
      <c r="W153" s="89">
        <v>5000</v>
      </c>
      <c r="X153" s="89">
        <v>5000</v>
      </c>
      <c r="Y153" s="89">
        <v>5000</v>
      </c>
      <c r="Z153" s="89">
        <v>5000</v>
      </c>
      <c r="AA153" s="89">
        <v>5000</v>
      </c>
      <c r="AB153" s="89">
        <v>5000</v>
      </c>
      <c r="AC153" s="226"/>
    </row>
    <row r="154" spans="2:29" ht="13" thickBot="1" x14ac:dyDescent="0.4">
      <c r="B154" s="213"/>
      <c r="C154" s="16" t="s">
        <v>32</v>
      </c>
      <c r="D154" s="95">
        <v>2</v>
      </c>
      <c r="E154" s="90">
        <v>5000</v>
      </c>
      <c r="F154" s="90">
        <v>5000</v>
      </c>
      <c r="G154" s="90">
        <v>5000</v>
      </c>
      <c r="H154" s="90">
        <v>5000</v>
      </c>
      <c r="I154" s="90">
        <v>5000</v>
      </c>
      <c r="J154" s="90">
        <v>5000</v>
      </c>
      <c r="K154" s="90">
        <v>5000</v>
      </c>
      <c r="L154" s="90">
        <v>5000</v>
      </c>
      <c r="M154" s="90">
        <v>5000</v>
      </c>
      <c r="N154" s="90">
        <v>5000</v>
      </c>
      <c r="O154" s="90">
        <v>5000</v>
      </c>
      <c r="P154" s="90">
        <v>5000</v>
      </c>
      <c r="Q154" s="90">
        <v>5000</v>
      </c>
      <c r="R154" s="90">
        <v>5000</v>
      </c>
      <c r="S154" s="90">
        <v>5000</v>
      </c>
      <c r="T154" s="90">
        <v>5000</v>
      </c>
      <c r="U154" s="90">
        <v>5000</v>
      </c>
      <c r="V154" s="90">
        <v>5000</v>
      </c>
      <c r="W154" s="90">
        <v>5000</v>
      </c>
      <c r="X154" s="90">
        <v>5000</v>
      </c>
      <c r="Y154" s="90">
        <v>5000</v>
      </c>
      <c r="Z154" s="90">
        <v>5000</v>
      </c>
      <c r="AA154" s="90">
        <v>5000</v>
      </c>
      <c r="AB154" s="90">
        <v>5000</v>
      </c>
      <c r="AC154" s="226"/>
    </row>
    <row r="155" spans="2:29" x14ac:dyDescent="0.35">
      <c r="B155" s="222">
        <v>47088</v>
      </c>
      <c r="C155" s="7" t="s">
        <v>29</v>
      </c>
      <c r="D155" s="93">
        <v>19</v>
      </c>
      <c r="E155" s="88">
        <v>5000</v>
      </c>
      <c r="F155" s="88">
        <v>5000</v>
      </c>
      <c r="G155" s="88">
        <v>5000</v>
      </c>
      <c r="H155" s="88">
        <v>5000</v>
      </c>
      <c r="I155" s="88">
        <v>5000</v>
      </c>
      <c r="J155" s="88">
        <v>5000</v>
      </c>
      <c r="K155" s="88">
        <v>5000</v>
      </c>
      <c r="L155" s="88">
        <v>5000</v>
      </c>
      <c r="M155" s="88">
        <v>5000</v>
      </c>
      <c r="N155" s="88">
        <v>5000</v>
      </c>
      <c r="O155" s="88">
        <v>5000</v>
      </c>
      <c r="P155" s="88">
        <v>5000</v>
      </c>
      <c r="Q155" s="88">
        <v>5000</v>
      </c>
      <c r="R155" s="88">
        <v>5000</v>
      </c>
      <c r="S155" s="88">
        <v>5000</v>
      </c>
      <c r="T155" s="88">
        <v>5000</v>
      </c>
      <c r="U155" s="88">
        <v>5000</v>
      </c>
      <c r="V155" s="88">
        <v>5000</v>
      </c>
      <c r="W155" s="88">
        <v>5000</v>
      </c>
      <c r="X155" s="88">
        <v>5000</v>
      </c>
      <c r="Y155" s="88">
        <v>5000</v>
      </c>
      <c r="Z155" s="88">
        <v>5000</v>
      </c>
      <c r="AA155" s="88">
        <v>5000</v>
      </c>
      <c r="AB155" s="88">
        <v>5000</v>
      </c>
      <c r="AC155" s="225">
        <f>SUM(E155:AB155)*D155+SUM(E156:AB156)*D156+SUM(E157:AB157)*D157+SUM(E158:AB158)*D158</f>
        <v>3720000</v>
      </c>
    </row>
    <row r="156" spans="2:29" x14ac:dyDescent="0.35">
      <c r="B156" s="223" t="s">
        <v>34</v>
      </c>
      <c r="C156" s="10" t="s">
        <v>30</v>
      </c>
      <c r="D156" s="94">
        <v>5</v>
      </c>
      <c r="E156" s="89">
        <v>5000</v>
      </c>
      <c r="F156" s="89">
        <v>5000</v>
      </c>
      <c r="G156" s="89">
        <v>5000</v>
      </c>
      <c r="H156" s="89">
        <v>5000</v>
      </c>
      <c r="I156" s="89">
        <v>5000</v>
      </c>
      <c r="J156" s="89">
        <v>5000</v>
      </c>
      <c r="K156" s="89">
        <v>5000</v>
      </c>
      <c r="L156" s="89">
        <v>5000</v>
      </c>
      <c r="M156" s="89">
        <v>5000</v>
      </c>
      <c r="N156" s="89">
        <v>5000</v>
      </c>
      <c r="O156" s="89">
        <v>5000</v>
      </c>
      <c r="P156" s="89">
        <v>5000</v>
      </c>
      <c r="Q156" s="89">
        <v>5000</v>
      </c>
      <c r="R156" s="89">
        <v>5000</v>
      </c>
      <c r="S156" s="89">
        <v>5000</v>
      </c>
      <c r="T156" s="89">
        <v>5000</v>
      </c>
      <c r="U156" s="89">
        <v>5000</v>
      </c>
      <c r="V156" s="89">
        <v>5000</v>
      </c>
      <c r="W156" s="89">
        <v>5000</v>
      </c>
      <c r="X156" s="89">
        <v>5000</v>
      </c>
      <c r="Y156" s="89">
        <v>5000</v>
      </c>
      <c r="Z156" s="89">
        <v>5000</v>
      </c>
      <c r="AA156" s="89">
        <v>5000</v>
      </c>
      <c r="AB156" s="89">
        <v>5000</v>
      </c>
      <c r="AC156" s="226"/>
    </row>
    <row r="157" spans="2:29" x14ac:dyDescent="0.35">
      <c r="B157" s="223" t="s">
        <v>34</v>
      </c>
      <c r="C157" s="10" t="s">
        <v>31</v>
      </c>
      <c r="D157" s="94">
        <v>5</v>
      </c>
      <c r="E157" s="89">
        <v>5000</v>
      </c>
      <c r="F157" s="89">
        <v>5000</v>
      </c>
      <c r="G157" s="89">
        <v>5000</v>
      </c>
      <c r="H157" s="89">
        <v>5000</v>
      </c>
      <c r="I157" s="89">
        <v>5000</v>
      </c>
      <c r="J157" s="89">
        <v>5000</v>
      </c>
      <c r="K157" s="89">
        <v>5000</v>
      </c>
      <c r="L157" s="89">
        <v>5000</v>
      </c>
      <c r="M157" s="89">
        <v>5000</v>
      </c>
      <c r="N157" s="89">
        <v>5000</v>
      </c>
      <c r="O157" s="89">
        <v>5000</v>
      </c>
      <c r="P157" s="89">
        <v>5000</v>
      </c>
      <c r="Q157" s="89">
        <v>5000</v>
      </c>
      <c r="R157" s="89">
        <v>5000</v>
      </c>
      <c r="S157" s="89">
        <v>5000</v>
      </c>
      <c r="T157" s="89">
        <v>5000</v>
      </c>
      <c r="U157" s="89">
        <v>5000</v>
      </c>
      <c r="V157" s="89">
        <v>5000</v>
      </c>
      <c r="W157" s="89">
        <v>5000</v>
      </c>
      <c r="X157" s="89">
        <v>5000</v>
      </c>
      <c r="Y157" s="89">
        <v>5000</v>
      </c>
      <c r="Z157" s="89">
        <v>5000</v>
      </c>
      <c r="AA157" s="89">
        <v>5000</v>
      </c>
      <c r="AB157" s="89">
        <v>5000</v>
      </c>
      <c r="AC157" s="226"/>
    </row>
    <row r="158" spans="2:29" ht="13" thickBot="1" x14ac:dyDescent="0.4">
      <c r="B158" s="224" t="s">
        <v>34</v>
      </c>
      <c r="C158" s="12" t="s">
        <v>32</v>
      </c>
      <c r="D158" s="96">
        <v>2</v>
      </c>
      <c r="E158" s="91">
        <v>5000</v>
      </c>
      <c r="F158" s="91">
        <v>5000</v>
      </c>
      <c r="G158" s="91">
        <v>5000</v>
      </c>
      <c r="H158" s="91">
        <v>5000</v>
      </c>
      <c r="I158" s="91">
        <v>5000</v>
      </c>
      <c r="J158" s="91">
        <v>5000</v>
      </c>
      <c r="K158" s="91">
        <v>5000</v>
      </c>
      <c r="L158" s="91">
        <v>5000</v>
      </c>
      <c r="M158" s="91">
        <v>5000</v>
      </c>
      <c r="N158" s="91">
        <v>5000</v>
      </c>
      <c r="O158" s="91">
        <v>5000</v>
      </c>
      <c r="P158" s="91">
        <v>5000</v>
      </c>
      <c r="Q158" s="91">
        <v>5000</v>
      </c>
      <c r="R158" s="91">
        <v>5000</v>
      </c>
      <c r="S158" s="91">
        <v>5000</v>
      </c>
      <c r="T158" s="91">
        <v>5000</v>
      </c>
      <c r="U158" s="91">
        <v>5000</v>
      </c>
      <c r="V158" s="91">
        <v>5000</v>
      </c>
      <c r="W158" s="91">
        <v>5000</v>
      </c>
      <c r="X158" s="91">
        <v>5000</v>
      </c>
      <c r="Y158" s="91">
        <v>5000</v>
      </c>
      <c r="Z158" s="91">
        <v>5000</v>
      </c>
      <c r="AA158" s="91">
        <v>5000</v>
      </c>
      <c r="AB158" s="91">
        <v>5000</v>
      </c>
      <c r="AC158" s="227"/>
    </row>
    <row r="159" spans="2:29" ht="13.5" thickBot="1" x14ac:dyDescent="0.4">
      <c r="Z159" s="228" t="s">
        <v>33</v>
      </c>
      <c r="AA159" s="229"/>
      <c r="AB159" s="230"/>
      <c r="AC159" s="155">
        <f>SUM(AC111:AC158)</f>
        <v>43920000</v>
      </c>
    </row>
    <row r="160" spans="2:29" ht="13.5" thickBot="1" x14ac:dyDescent="0.4">
      <c r="Z160" s="228" t="s">
        <v>148</v>
      </c>
      <c r="AA160" s="229"/>
      <c r="AB160" s="230"/>
      <c r="AC160" s="155">
        <f>+AC59+AC109+AC159</f>
        <v>127800000</v>
      </c>
    </row>
  </sheetData>
  <mergeCells count="81">
    <mergeCell ref="B155:B158"/>
    <mergeCell ref="AC155:AC158"/>
    <mergeCell ref="Z159:AB159"/>
    <mergeCell ref="Z160:AB160"/>
    <mergeCell ref="B143:B146"/>
    <mergeCell ref="AC143:AC146"/>
    <mergeCell ref="B147:B150"/>
    <mergeCell ref="AC147:AC150"/>
    <mergeCell ref="B151:B154"/>
    <mergeCell ref="AC151:AC154"/>
    <mergeCell ref="B131:B134"/>
    <mergeCell ref="AC131:AC134"/>
    <mergeCell ref="B135:B138"/>
    <mergeCell ref="AC135:AC138"/>
    <mergeCell ref="B139:B142"/>
    <mergeCell ref="AC139:AC142"/>
    <mergeCell ref="B119:B122"/>
    <mergeCell ref="AC119:AC122"/>
    <mergeCell ref="B123:B126"/>
    <mergeCell ref="AC123:AC126"/>
    <mergeCell ref="B127:B130"/>
    <mergeCell ref="AC127:AC130"/>
    <mergeCell ref="Z109:AB109"/>
    <mergeCell ref="B111:B114"/>
    <mergeCell ref="AC111:AC114"/>
    <mergeCell ref="B115:B118"/>
    <mergeCell ref="AC115:AC118"/>
    <mergeCell ref="B97:B100"/>
    <mergeCell ref="AC97:AC100"/>
    <mergeCell ref="B101:B104"/>
    <mergeCell ref="AC101:AC104"/>
    <mergeCell ref="B105:B108"/>
    <mergeCell ref="AC105:AC108"/>
    <mergeCell ref="B85:B88"/>
    <mergeCell ref="AC85:AC88"/>
    <mergeCell ref="B89:B92"/>
    <mergeCell ref="AC89:AC92"/>
    <mergeCell ref="B93:B96"/>
    <mergeCell ref="AC93:AC96"/>
    <mergeCell ref="B73:B76"/>
    <mergeCell ref="AC73:AC76"/>
    <mergeCell ref="B77:B80"/>
    <mergeCell ref="AC77:AC80"/>
    <mergeCell ref="B81:B84"/>
    <mergeCell ref="AC81:AC84"/>
    <mergeCell ref="B61:B64"/>
    <mergeCell ref="AC61:AC64"/>
    <mergeCell ref="B65:B68"/>
    <mergeCell ref="AC65:AC68"/>
    <mergeCell ref="B69:B72"/>
    <mergeCell ref="AC69:AC72"/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10" priority="3" operator="lessThan">
      <formula>0</formula>
    </cfRule>
  </conditionalFormatting>
  <conditionalFormatting sqref="E61:AB108">
    <cfRule type="cellIs" dxfId="9" priority="2" operator="lessThan">
      <formula>0</formula>
    </cfRule>
  </conditionalFormatting>
  <conditionalFormatting sqref="E111:AB158">
    <cfRule type="cellIs" dxfId="8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519-94C1-4813-8AA3-4A98B623C7FD}">
  <sheetPr>
    <tabColor rgb="FFFFC000"/>
  </sheetPr>
  <dimension ref="B2:AX59"/>
  <sheetViews>
    <sheetView showGridLines="0" zoomScale="70" zoomScaleNormal="70" workbookViewId="0">
      <pane xSplit="4" ySplit="10" topLeftCell="E40" activePane="bottomRight" state="frozen"/>
      <selection activeCell="B27" sqref="B27"/>
      <selection pane="topRight" activeCell="B27" sqref="B27"/>
      <selection pane="bottomLeft" activeCell="B27" sqref="B27"/>
      <selection pane="bottomRight" activeCell="R66" sqref="R66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16" t="s">
        <v>157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50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50" ht="18.649999999999999" customHeight="1" x14ac:dyDescent="0.35">
      <c r="B6" s="219" t="s">
        <v>138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2:50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50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thickBot="1" x14ac:dyDescent="0.4">
      <c r="B11" s="212">
        <v>46023</v>
      </c>
      <c r="C11" s="7" t="s">
        <v>29</v>
      </c>
      <c r="D11" s="93">
        <v>20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214">
        <f>SUM(E11:AB11)*D11+SUM(E12:AB12)*D12+SUM(E13:AB13)*D13+SUM(E14:AB14)*D14</f>
        <v>0</v>
      </c>
      <c r="AD11" s="19"/>
      <c r="AE11" s="87">
        <f>+AC11</f>
        <v>0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thickBot="1" x14ac:dyDescent="0.4">
      <c r="B12" s="213"/>
      <c r="C12" s="10" t="s">
        <v>30</v>
      </c>
      <c r="D12" s="93">
        <v>5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215"/>
      <c r="AD12" s="19"/>
      <c r="AE12" s="87">
        <f>+AC15</f>
        <v>8204161.9999999981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thickBot="1" x14ac:dyDescent="0.4">
      <c r="B13" s="213"/>
      <c r="C13" s="10" t="s">
        <v>31</v>
      </c>
      <c r="D13" s="93">
        <v>4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215"/>
      <c r="AD13" s="19"/>
      <c r="AE13" s="87">
        <f>+AC19</f>
        <v>9865393.2000000011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13"/>
      <c r="C14" s="16" t="s">
        <v>32</v>
      </c>
      <c r="D14" s="93">
        <v>2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215"/>
      <c r="AD14" s="19"/>
      <c r="AE14" s="87">
        <f>+AC23</f>
        <v>5842730.4000000004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thickBot="1" x14ac:dyDescent="0.4">
      <c r="B15" s="222">
        <v>46054</v>
      </c>
      <c r="C15" s="7" t="s">
        <v>29</v>
      </c>
      <c r="D15" s="93">
        <v>20</v>
      </c>
      <c r="E15" s="88">
        <v>10269.700000000001</v>
      </c>
      <c r="F15" s="88">
        <v>9463.9</v>
      </c>
      <c r="G15" s="88">
        <v>8888.4</v>
      </c>
      <c r="H15" s="88">
        <v>8511.6</v>
      </c>
      <c r="I15" s="88">
        <v>8539.2999999999993</v>
      </c>
      <c r="J15" s="88">
        <v>9291.2999999999993</v>
      </c>
      <c r="K15" s="88">
        <v>9253.1</v>
      </c>
      <c r="L15" s="88">
        <v>10724.5</v>
      </c>
      <c r="M15" s="88">
        <v>12208.3</v>
      </c>
      <c r="N15" s="88">
        <v>12936.9</v>
      </c>
      <c r="O15" s="88">
        <v>13807.3</v>
      </c>
      <c r="P15" s="88">
        <v>14391.3</v>
      </c>
      <c r="Q15" s="88">
        <v>13661.5</v>
      </c>
      <c r="R15" s="88">
        <v>14327</v>
      </c>
      <c r="S15" s="88">
        <v>15305.2</v>
      </c>
      <c r="T15" s="88">
        <v>15430.9</v>
      </c>
      <c r="U15" s="88">
        <v>15073.1</v>
      </c>
      <c r="V15" s="88">
        <v>14218.3</v>
      </c>
      <c r="W15" s="88">
        <v>15239.8</v>
      </c>
      <c r="X15" s="88">
        <v>15567.3</v>
      </c>
      <c r="Y15" s="88">
        <v>15160.1</v>
      </c>
      <c r="Z15" s="88">
        <v>14282.2</v>
      </c>
      <c r="AA15" s="88">
        <v>12851.3</v>
      </c>
      <c r="AB15" s="88">
        <v>11412.3</v>
      </c>
      <c r="AC15" s="225">
        <f>SUM(E15:AB15)*D15+SUM(E16:AB16)*D16+SUM(E17:AB17)*D17+SUM(E18:AB18)*D18</f>
        <v>8204161.9999999981</v>
      </c>
      <c r="AD15" s="177">
        <f>+AC15</f>
        <v>8204161.9999999981</v>
      </c>
      <c r="AE15" s="87">
        <f>+AC27</f>
        <v>2193087.2999999998</v>
      </c>
    </row>
    <row r="16" spans="2:50" ht="18.649999999999999" customHeight="1" thickBot="1" x14ac:dyDescent="0.4">
      <c r="B16" s="223" t="s">
        <v>34</v>
      </c>
      <c r="C16" s="10" t="s">
        <v>30</v>
      </c>
      <c r="D16" s="93">
        <v>4</v>
      </c>
      <c r="E16" s="89">
        <v>10318.4</v>
      </c>
      <c r="F16" s="89">
        <v>9572.5</v>
      </c>
      <c r="G16" s="89">
        <v>8924.2000000000007</v>
      </c>
      <c r="H16" s="89">
        <v>8484.5</v>
      </c>
      <c r="I16" s="89">
        <v>8316.6</v>
      </c>
      <c r="J16" s="89">
        <v>8449.9</v>
      </c>
      <c r="K16" s="89">
        <v>8314.2999999999993</v>
      </c>
      <c r="L16" s="89">
        <v>9637.4</v>
      </c>
      <c r="M16" s="89">
        <v>11228.3</v>
      </c>
      <c r="N16" s="89">
        <v>12227.5</v>
      </c>
      <c r="O16" s="89">
        <v>13044.5</v>
      </c>
      <c r="P16" s="89">
        <v>13585.6</v>
      </c>
      <c r="Q16" s="89">
        <v>13261.5</v>
      </c>
      <c r="R16" s="89">
        <v>13048.4</v>
      </c>
      <c r="S16" s="89">
        <v>13143.2</v>
      </c>
      <c r="T16" s="89">
        <v>13140.9</v>
      </c>
      <c r="U16" s="89">
        <v>12865.5</v>
      </c>
      <c r="V16" s="89">
        <v>12741</v>
      </c>
      <c r="W16" s="89">
        <v>14432.7</v>
      </c>
      <c r="X16" s="89">
        <v>14827.6</v>
      </c>
      <c r="Y16" s="89">
        <v>14312.4</v>
      </c>
      <c r="Z16" s="89">
        <v>13616.6</v>
      </c>
      <c r="AA16" s="89">
        <v>12670.8</v>
      </c>
      <c r="AB16" s="89">
        <v>11558.5</v>
      </c>
      <c r="AC16" s="226"/>
      <c r="AD16" s="177">
        <f>+AC19</f>
        <v>9865393.2000000011</v>
      </c>
      <c r="AE16" s="87">
        <f>+AC31</f>
        <v>2044913.6</v>
      </c>
    </row>
    <row r="17" spans="2:31" ht="18.649999999999999" customHeight="1" thickBot="1" x14ac:dyDescent="0.4">
      <c r="B17" s="223" t="s">
        <v>34</v>
      </c>
      <c r="C17" s="10" t="s">
        <v>31</v>
      </c>
      <c r="D17" s="93">
        <v>4</v>
      </c>
      <c r="E17" s="89">
        <v>10556.5</v>
      </c>
      <c r="F17" s="89">
        <v>9760</v>
      </c>
      <c r="G17" s="89">
        <v>9143.7999999999993</v>
      </c>
      <c r="H17" s="89">
        <v>8691.7999999999993</v>
      </c>
      <c r="I17" s="89">
        <v>8405.6</v>
      </c>
      <c r="J17" s="89">
        <v>8345.4</v>
      </c>
      <c r="K17" s="89">
        <v>7757.3</v>
      </c>
      <c r="L17" s="89">
        <v>8327.2999999999993</v>
      </c>
      <c r="M17" s="89">
        <v>9260.7000000000007</v>
      </c>
      <c r="N17" s="89">
        <v>10108.200000000001</v>
      </c>
      <c r="O17" s="89">
        <v>10726.3</v>
      </c>
      <c r="P17" s="89">
        <v>11355</v>
      </c>
      <c r="Q17" s="89">
        <v>11715.5</v>
      </c>
      <c r="R17" s="89">
        <v>11826</v>
      </c>
      <c r="S17" s="89">
        <v>11926</v>
      </c>
      <c r="T17" s="89">
        <v>12003.3</v>
      </c>
      <c r="U17" s="89">
        <v>11891.8</v>
      </c>
      <c r="V17" s="89">
        <v>11852.2</v>
      </c>
      <c r="W17" s="89">
        <v>13737.6</v>
      </c>
      <c r="X17" s="89">
        <v>14581.6</v>
      </c>
      <c r="Y17" s="89">
        <v>14596.1</v>
      </c>
      <c r="Z17" s="89">
        <v>14110</v>
      </c>
      <c r="AA17" s="89">
        <v>12966.6</v>
      </c>
      <c r="AB17" s="89">
        <v>11600.1</v>
      </c>
      <c r="AC17" s="226"/>
      <c r="AD17" s="177">
        <f>+AC23</f>
        <v>5842730.4000000004</v>
      </c>
      <c r="AE17" s="87">
        <f>+AC35</f>
        <v>2074770.6</v>
      </c>
    </row>
    <row r="18" spans="2:31" ht="18.649999999999999" customHeight="1" thickBot="1" x14ac:dyDescent="0.4">
      <c r="B18" s="224" t="s">
        <v>34</v>
      </c>
      <c r="C18" s="12" t="s">
        <v>32</v>
      </c>
      <c r="D18" s="93">
        <v>0</v>
      </c>
      <c r="E18" s="91">
        <v>0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91">
        <v>0</v>
      </c>
      <c r="Z18" s="91">
        <v>0</v>
      </c>
      <c r="AA18" s="91">
        <v>0</v>
      </c>
      <c r="AB18" s="91">
        <v>0</v>
      </c>
      <c r="AC18" s="227"/>
      <c r="AD18" s="177">
        <f>+AC27</f>
        <v>2193087.2999999998</v>
      </c>
      <c r="AE18" s="87">
        <f>+AC39</f>
        <v>2068744</v>
      </c>
    </row>
    <row r="19" spans="2:31" ht="18.649999999999999" customHeight="1" thickBot="1" x14ac:dyDescent="0.4">
      <c r="B19" s="212">
        <v>46082</v>
      </c>
      <c r="C19" s="14" t="s">
        <v>29</v>
      </c>
      <c r="D19" s="93">
        <v>21</v>
      </c>
      <c r="E19" s="92">
        <v>11576.7</v>
      </c>
      <c r="F19" s="92">
        <v>10700.6</v>
      </c>
      <c r="G19" s="92">
        <v>10040.4</v>
      </c>
      <c r="H19" s="92">
        <v>9553.2000000000007</v>
      </c>
      <c r="I19" s="92">
        <v>9480</v>
      </c>
      <c r="J19" s="92">
        <v>10010.200000000001</v>
      </c>
      <c r="K19" s="92">
        <v>9907.1</v>
      </c>
      <c r="L19" s="92">
        <v>11615.9</v>
      </c>
      <c r="M19" s="92">
        <v>13339.3</v>
      </c>
      <c r="N19" s="92">
        <v>14241.2</v>
      </c>
      <c r="O19" s="92">
        <v>15264.3</v>
      </c>
      <c r="P19" s="92">
        <v>15930.4</v>
      </c>
      <c r="Q19" s="92">
        <v>15177.1</v>
      </c>
      <c r="R19" s="92">
        <v>15981.2</v>
      </c>
      <c r="S19" s="92">
        <v>16955.8</v>
      </c>
      <c r="T19" s="92">
        <v>17060.5</v>
      </c>
      <c r="U19" s="92">
        <v>16677.099999999999</v>
      </c>
      <c r="V19" s="92">
        <v>15751.2</v>
      </c>
      <c r="W19" s="92">
        <v>16682</v>
      </c>
      <c r="X19" s="92">
        <v>16953</v>
      </c>
      <c r="Y19" s="92">
        <v>16558.400000000001</v>
      </c>
      <c r="Z19" s="92">
        <v>15721.8</v>
      </c>
      <c r="AA19" s="92">
        <v>14413.1</v>
      </c>
      <c r="AB19" s="92">
        <v>12940.9</v>
      </c>
      <c r="AC19" s="226">
        <f>SUM(E19:AB19)*D19+SUM(E20:AB20)*D20+SUM(E21:AB21)*D21+SUM(E22:AB22)*D22</f>
        <v>9865393.2000000011</v>
      </c>
      <c r="AD19" s="177">
        <f>+AC31</f>
        <v>2044913.6</v>
      </c>
      <c r="AE19" s="87">
        <f>+AC43</f>
        <v>2666666.1999999993</v>
      </c>
    </row>
    <row r="20" spans="2:31" ht="18.649999999999999" customHeight="1" thickBot="1" x14ac:dyDescent="0.4">
      <c r="B20" s="213"/>
      <c r="C20" s="10" t="s">
        <v>30</v>
      </c>
      <c r="D20" s="93">
        <v>4</v>
      </c>
      <c r="E20" s="89">
        <v>11624.8</v>
      </c>
      <c r="F20" s="89">
        <v>10721</v>
      </c>
      <c r="G20" s="89">
        <v>10084.299999999999</v>
      </c>
      <c r="H20" s="89">
        <v>9580.4</v>
      </c>
      <c r="I20" s="89">
        <v>9279.7000000000007</v>
      </c>
      <c r="J20" s="89">
        <v>9233.7000000000007</v>
      </c>
      <c r="K20" s="89">
        <v>9025.2000000000007</v>
      </c>
      <c r="L20" s="89">
        <v>10366.9</v>
      </c>
      <c r="M20" s="89">
        <v>11984.3</v>
      </c>
      <c r="N20" s="89">
        <v>12997.1</v>
      </c>
      <c r="O20" s="89">
        <v>13803.9</v>
      </c>
      <c r="P20" s="89">
        <v>14319.7</v>
      </c>
      <c r="Q20" s="89">
        <v>14045.7</v>
      </c>
      <c r="R20" s="89">
        <v>13847.3</v>
      </c>
      <c r="S20" s="89">
        <v>13734</v>
      </c>
      <c r="T20" s="89">
        <v>14196.7</v>
      </c>
      <c r="U20" s="89">
        <v>13545.9</v>
      </c>
      <c r="V20" s="89">
        <v>13395.4</v>
      </c>
      <c r="W20" s="89">
        <v>15321.3</v>
      </c>
      <c r="X20" s="89">
        <v>15624.4</v>
      </c>
      <c r="Y20" s="89">
        <v>15123.6</v>
      </c>
      <c r="Z20" s="89">
        <v>14479.1</v>
      </c>
      <c r="AA20" s="89">
        <v>13624.2</v>
      </c>
      <c r="AB20" s="89">
        <v>12537.7</v>
      </c>
      <c r="AC20" s="226"/>
      <c r="AD20" s="177">
        <f>+AC35</f>
        <v>2074770.6</v>
      </c>
      <c r="AE20" s="87">
        <f>+AC47</f>
        <v>1969081.9999999998</v>
      </c>
    </row>
    <row r="21" spans="2:31" ht="18.649999999999999" customHeight="1" thickBot="1" x14ac:dyDescent="0.4">
      <c r="B21" s="213"/>
      <c r="C21" s="10" t="s">
        <v>31</v>
      </c>
      <c r="D21" s="93">
        <v>5</v>
      </c>
      <c r="E21" s="89">
        <v>11491.6</v>
      </c>
      <c r="F21" s="89">
        <v>10647.4</v>
      </c>
      <c r="G21" s="89">
        <v>9893.7999999999993</v>
      </c>
      <c r="H21" s="89">
        <v>9365.1</v>
      </c>
      <c r="I21" s="89">
        <v>9119.9</v>
      </c>
      <c r="J21" s="89">
        <v>8960.2000000000007</v>
      </c>
      <c r="K21" s="89">
        <v>8278.2000000000007</v>
      </c>
      <c r="L21" s="89">
        <v>8916.7999999999993</v>
      </c>
      <c r="M21" s="89">
        <v>9841.9</v>
      </c>
      <c r="N21" s="89">
        <v>10687.9</v>
      </c>
      <c r="O21" s="89">
        <v>11329.2</v>
      </c>
      <c r="P21" s="89">
        <v>11935.5</v>
      </c>
      <c r="Q21" s="89">
        <v>12240.1</v>
      </c>
      <c r="R21" s="89">
        <v>12317.9</v>
      </c>
      <c r="S21" s="89">
        <v>12407</v>
      </c>
      <c r="T21" s="89">
        <v>12531.1</v>
      </c>
      <c r="U21" s="89">
        <v>12314.4</v>
      </c>
      <c r="V21" s="89">
        <v>12356.1</v>
      </c>
      <c r="W21" s="89">
        <v>14224.9</v>
      </c>
      <c r="X21" s="89">
        <v>14916</v>
      </c>
      <c r="Y21" s="89">
        <v>14880.2</v>
      </c>
      <c r="Z21" s="89">
        <v>14495</v>
      </c>
      <c r="AA21" s="89">
        <v>13458.8</v>
      </c>
      <c r="AB21" s="89">
        <v>12099.1</v>
      </c>
      <c r="AC21" s="226"/>
      <c r="AD21" s="177">
        <f>+AC39</f>
        <v>2068744</v>
      </c>
      <c r="AE21" s="87">
        <f>+AC51</f>
        <v>1831628.2000000002</v>
      </c>
    </row>
    <row r="22" spans="2:31" ht="18.649999999999999" customHeight="1" thickBot="1" x14ac:dyDescent="0.4">
      <c r="B22" s="213"/>
      <c r="C22" s="16" t="s">
        <v>32</v>
      </c>
      <c r="D22" s="93">
        <v>1</v>
      </c>
      <c r="E22" s="90">
        <v>11491.6</v>
      </c>
      <c r="F22" s="90">
        <v>10647.4</v>
      </c>
      <c r="G22" s="90">
        <v>9893.7999999999993</v>
      </c>
      <c r="H22" s="90">
        <v>9365.1</v>
      </c>
      <c r="I22" s="90">
        <v>9119.9</v>
      </c>
      <c r="J22" s="90">
        <v>8960.2000000000007</v>
      </c>
      <c r="K22" s="90">
        <v>8278.2000000000007</v>
      </c>
      <c r="L22" s="90">
        <v>8916.7999999999993</v>
      </c>
      <c r="M22" s="90">
        <v>9841.9</v>
      </c>
      <c r="N22" s="90">
        <v>10687.9</v>
      </c>
      <c r="O22" s="90">
        <v>11329.2</v>
      </c>
      <c r="P22" s="90">
        <v>11935.5</v>
      </c>
      <c r="Q22" s="90">
        <v>12240.1</v>
      </c>
      <c r="R22" s="90">
        <v>12317.9</v>
      </c>
      <c r="S22" s="90">
        <v>12407</v>
      </c>
      <c r="T22" s="90">
        <v>12531.1</v>
      </c>
      <c r="U22" s="90">
        <v>12314.4</v>
      </c>
      <c r="V22" s="90">
        <v>12356.1</v>
      </c>
      <c r="W22" s="90">
        <v>14224.9</v>
      </c>
      <c r="X22" s="90">
        <v>14916</v>
      </c>
      <c r="Y22" s="90">
        <v>14880.2</v>
      </c>
      <c r="Z22" s="90">
        <v>14495</v>
      </c>
      <c r="AA22" s="90">
        <v>13458.8</v>
      </c>
      <c r="AB22" s="90">
        <v>12099.1</v>
      </c>
      <c r="AC22" s="226"/>
      <c r="AD22" s="177">
        <f>+AC43</f>
        <v>2666666.1999999993</v>
      </c>
      <c r="AE22" s="87">
        <f>+AC55</f>
        <v>5062929.3</v>
      </c>
    </row>
    <row r="23" spans="2:31" ht="18.649999999999999" customHeight="1" thickBot="1" x14ac:dyDescent="0.4">
      <c r="B23" s="222">
        <v>46113</v>
      </c>
      <c r="C23" s="7" t="s">
        <v>29</v>
      </c>
      <c r="D23" s="93">
        <v>20</v>
      </c>
      <c r="E23" s="88">
        <v>6899.4</v>
      </c>
      <c r="F23" s="88">
        <v>6386.4</v>
      </c>
      <c r="G23" s="88">
        <v>5883.5</v>
      </c>
      <c r="H23" s="88">
        <v>5602.4</v>
      </c>
      <c r="I23" s="88">
        <v>5535.3</v>
      </c>
      <c r="J23" s="88">
        <v>5425.9</v>
      </c>
      <c r="K23" s="88">
        <v>5462.1</v>
      </c>
      <c r="L23" s="88">
        <v>6638.1</v>
      </c>
      <c r="M23" s="88">
        <v>7972.9</v>
      </c>
      <c r="N23" s="88">
        <v>8761.7000000000007</v>
      </c>
      <c r="O23" s="88">
        <v>9417.4</v>
      </c>
      <c r="P23" s="88">
        <v>9830.5</v>
      </c>
      <c r="Q23" s="88">
        <v>9554.9</v>
      </c>
      <c r="R23" s="88">
        <v>9380.2999999999993</v>
      </c>
      <c r="S23" s="88">
        <v>9480.1</v>
      </c>
      <c r="T23" s="88">
        <v>9477.9</v>
      </c>
      <c r="U23" s="88">
        <v>9250.2000000000007</v>
      </c>
      <c r="V23" s="88">
        <v>9167.9</v>
      </c>
      <c r="W23" s="88">
        <v>10605.2</v>
      </c>
      <c r="X23" s="88">
        <v>10729.4</v>
      </c>
      <c r="Y23" s="88">
        <v>10344.200000000001</v>
      </c>
      <c r="Z23" s="88">
        <v>9811.1</v>
      </c>
      <c r="AA23" s="88">
        <v>9082.6</v>
      </c>
      <c r="AB23" s="88">
        <v>8200.2000000000007</v>
      </c>
      <c r="AC23" s="225">
        <f>SUM(E23:AB23)*D23+SUM(E24:AB24)*D24+SUM(E25:AB25)*D25+SUM(E26:AB26)*D26</f>
        <v>5842730.4000000004</v>
      </c>
      <c r="AD23" s="177">
        <f>+AC47</f>
        <v>1969081.9999999998</v>
      </c>
      <c r="AE23" s="87">
        <f>SUM(AE11:AE22)</f>
        <v>43824106.800000004</v>
      </c>
    </row>
    <row r="24" spans="2:31" ht="18.649999999999999" customHeight="1" thickBot="1" x14ac:dyDescent="0.4">
      <c r="B24" s="223" t="s">
        <v>34</v>
      </c>
      <c r="C24" s="10" t="s">
        <v>30</v>
      </c>
      <c r="D24" s="93">
        <v>4</v>
      </c>
      <c r="E24" s="89">
        <v>6488.7</v>
      </c>
      <c r="F24" s="89">
        <v>5922.5</v>
      </c>
      <c r="G24" s="89">
        <v>5492.4</v>
      </c>
      <c r="H24" s="89">
        <v>5175.2</v>
      </c>
      <c r="I24" s="89">
        <v>5184.7</v>
      </c>
      <c r="J24" s="89">
        <v>5310.3</v>
      </c>
      <c r="K24" s="89">
        <v>5542</v>
      </c>
      <c r="L24" s="89">
        <v>6689.1</v>
      </c>
      <c r="M24" s="89">
        <v>7867.8</v>
      </c>
      <c r="N24" s="89">
        <v>8554.5</v>
      </c>
      <c r="O24" s="89">
        <v>9170.2999999999993</v>
      </c>
      <c r="P24" s="89">
        <v>9595.4</v>
      </c>
      <c r="Q24" s="89">
        <v>9196.1</v>
      </c>
      <c r="R24" s="89">
        <v>9476.2000000000007</v>
      </c>
      <c r="S24" s="89">
        <v>9958.6</v>
      </c>
      <c r="T24" s="89">
        <v>9990.7999999999993</v>
      </c>
      <c r="U24" s="89">
        <v>9754.7000000000007</v>
      </c>
      <c r="V24" s="89">
        <v>9432.4</v>
      </c>
      <c r="W24" s="89">
        <v>10427</v>
      </c>
      <c r="X24" s="89">
        <v>10560.4</v>
      </c>
      <c r="Y24" s="89">
        <v>10155.1</v>
      </c>
      <c r="Z24" s="89">
        <v>9490.5</v>
      </c>
      <c r="AA24" s="89">
        <v>8446.9</v>
      </c>
      <c r="AB24" s="89">
        <v>7294.4</v>
      </c>
      <c r="AC24" s="226"/>
      <c r="AD24" s="177">
        <f>+AC51</f>
        <v>1831628.2000000002</v>
      </c>
    </row>
    <row r="25" spans="2:31" ht="18.649999999999999" customHeight="1" thickBot="1" x14ac:dyDescent="0.4">
      <c r="B25" s="223" t="s">
        <v>34</v>
      </c>
      <c r="C25" s="10" t="s">
        <v>31</v>
      </c>
      <c r="D25" s="93">
        <v>4</v>
      </c>
      <c r="E25" s="89">
        <v>7381.4</v>
      </c>
      <c r="F25" s="89">
        <v>6754.4</v>
      </c>
      <c r="G25" s="89">
        <v>6235.1</v>
      </c>
      <c r="H25" s="89">
        <v>5880.8</v>
      </c>
      <c r="I25" s="89">
        <v>5673.2</v>
      </c>
      <c r="J25" s="89">
        <v>5356.7</v>
      </c>
      <c r="K25" s="89">
        <v>5039.5</v>
      </c>
      <c r="L25" s="89">
        <v>5601.9</v>
      </c>
      <c r="M25" s="89">
        <v>6345.2</v>
      </c>
      <c r="N25" s="89">
        <v>7015.4</v>
      </c>
      <c r="O25" s="89">
        <v>7545.3</v>
      </c>
      <c r="P25" s="89">
        <v>7977.7</v>
      </c>
      <c r="Q25" s="89">
        <v>8176.7</v>
      </c>
      <c r="R25" s="89">
        <v>8213.5</v>
      </c>
      <c r="S25" s="89">
        <v>8141</v>
      </c>
      <c r="T25" s="89">
        <v>8082.6</v>
      </c>
      <c r="U25" s="89">
        <v>7949.1</v>
      </c>
      <c r="V25" s="89">
        <v>8072.8</v>
      </c>
      <c r="W25" s="89">
        <v>9606.2999999999993</v>
      </c>
      <c r="X25" s="89">
        <v>10045.5</v>
      </c>
      <c r="Y25" s="89">
        <v>9943.7999999999993</v>
      </c>
      <c r="Z25" s="89">
        <v>9485.2000000000007</v>
      </c>
      <c r="AA25" s="89">
        <v>8601.7999999999993</v>
      </c>
      <c r="AB25" s="89">
        <v>7547.5</v>
      </c>
      <c r="AC25" s="226"/>
      <c r="AD25" s="177">
        <f>+AC55</f>
        <v>5062929.3</v>
      </c>
    </row>
    <row r="26" spans="2:31" ht="18.649999999999999" customHeight="1" thickBot="1" x14ac:dyDescent="0.4">
      <c r="B26" s="224" t="s">
        <v>34</v>
      </c>
      <c r="C26" s="12" t="s">
        <v>32</v>
      </c>
      <c r="D26" s="93">
        <v>2</v>
      </c>
      <c r="E26" s="91">
        <v>7381.4</v>
      </c>
      <c r="F26" s="91">
        <v>6754.4</v>
      </c>
      <c r="G26" s="91">
        <v>6235.1</v>
      </c>
      <c r="H26" s="91">
        <v>5880.8</v>
      </c>
      <c r="I26" s="91">
        <v>5673.2</v>
      </c>
      <c r="J26" s="91">
        <v>5356.7</v>
      </c>
      <c r="K26" s="91">
        <v>5039.5</v>
      </c>
      <c r="L26" s="91">
        <v>5601.9</v>
      </c>
      <c r="M26" s="91">
        <v>6345.2</v>
      </c>
      <c r="N26" s="91">
        <v>7015.4</v>
      </c>
      <c r="O26" s="91">
        <v>7545.3</v>
      </c>
      <c r="P26" s="91">
        <v>7977.7</v>
      </c>
      <c r="Q26" s="91">
        <v>8176.7</v>
      </c>
      <c r="R26" s="91">
        <v>8213.5</v>
      </c>
      <c r="S26" s="91">
        <v>8141</v>
      </c>
      <c r="T26" s="91">
        <v>8082.6</v>
      </c>
      <c r="U26" s="91">
        <v>7949.1</v>
      </c>
      <c r="V26" s="91">
        <v>8072.8</v>
      </c>
      <c r="W26" s="91">
        <v>9606.2999999999993</v>
      </c>
      <c r="X26" s="91">
        <v>10045.5</v>
      </c>
      <c r="Y26" s="91">
        <v>9943.7999999999993</v>
      </c>
      <c r="Z26" s="91">
        <v>9485.2000000000007</v>
      </c>
      <c r="AA26" s="91">
        <v>8601.7999999999993</v>
      </c>
      <c r="AB26" s="91">
        <v>7547.5</v>
      </c>
      <c r="AC26" s="227"/>
      <c r="AD26" s="19"/>
    </row>
    <row r="27" spans="2:31" ht="18.649999999999999" customHeight="1" thickBot="1" x14ac:dyDescent="0.4">
      <c r="B27" s="212">
        <v>46143</v>
      </c>
      <c r="C27" s="14" t="s">
        <v>29</v>
      </c>
      <c r="D27" s="93">
        <v>19</v>
      </c>
      <c r="E27" s="92">
        <v>2523.9</v>
      </c>
      <c r="F27" s="92">
        <v>2132.4</v>
      </c>
      <c r="G27" s="92">
        <v>1816.5</v>
      </c>
      <c r="H27" s="92">
        <v>1546.3</v>
      </c>
      <c r="I27" s="92">
        <v>1473.5</v>
      </c>
      <c r="J27" s="92">
        <v>1370.9</v>
      </c>
      <c r="K27" s="92">
        <v>1465.1</v>
      </c>
      <c r="L27" s="92">
        <v>2160.5</v>
      </c>
      <c r="M27" s="92">
        <v>2970.9</v>
      </c>
      <c r="N27" s="92">
        <v>3418.1</v>
      </c>
      <c r="O27" s="92">
        <v>3701.9</v>
      </c>
      <c r="P27" s="92">
        <v>3910.4</v>
      </c>
      <c r="Q27" s="92">
        <v>3757.3</v>
      </c>
      <c r="R27" s="92">
        <v>3599.8</v>
      </c>
      <c r="S27" s="92">
        <v>3594</v>
      </c>
      <c r="T27" s="92">
        <v>3545.6</v>
      </c>
      <c r="U27" s="92">
        <v>3429.5</v>
      </c>
      <c r="V27" s="92">
        <v>3481.2</v>
      </c>
      <c r="W27" s="92">
        <v>4401.7</v>
      </c>
      <c r="X27" s="92">
        <v>4489.2</v>
      </c>
      <c r="Y27" s="92">
        <v>4183.6000000000004</v>
      </c>
      <c r="Z27" s="92">
        <v>3804.6</v>
      </c>
      <c r="AA27" s="92">
        <v>3306.2</v>
      </c>
      <c r="AB27" s="92">
        <v>2747.9</v>
      </c>
      <c r="AC27" s="226">
        <f>SUM(E27:AB27)*D27+SUM(E28:AB28)*D28+SUM(E29:AB29)*D29+SUM(E30:AB30)*D30</f>
        <v>2193087.2999999998</v>
      </c>
      <c r="AD27" s="19"/>
    </row>
    <row r="28" spans="2:31" ht="18.649999999999999" customHeight="1" thickBot="1" x14ac:dyDescent="0.4">
      <c r="B28" s="213"/>
      <c r="C28" s="10" t="s">
        <v>30</v>
      </c>
      <c r="D28" s="93">
        <v>5</v>
      </c>
      <c r="E28" s="89">
        <v>1936.2</v>
      </c>
      <c r="F28" s="89">
        <v>1593.1</v>
      </c>
      <c r="G28" s="89">
        <v>1342</v>
      </c>
      <c r="H28" s="89">
        <v>1169</v>
      </c>
      <c r="I28" s="89">
        <v>1146.8</v>
      </c>
      <c r="J28" s="89">
        <v>1139.0999999999999</v>
      </c>
      <c r="K28" s="89">
        <v>1232.5999999999999</v>
      </c>
      <c r="L28" s="89">
        <v>1963</v>
      </c>
      <c r="M28" s="89">
        <v>2677.2</v>
      </c>
      <c r="N28" s="89">
        <v>3089.6</v>
      </c>
      <c r="O28" s="89">
        <v>3492.5</v>
      </c>
      <c r="P28" s="89">
        <v>3782.7</v>
      </c>
      <c r="Q28" s="89">
        <v>3591.1</v>
      </c>
      <c r="R28" s="89">
        <v>3682.6</v>
      </c>
      <c r="S28" s="89">
        <v>3911.2</v>
      </c>
      <c r="T28" s="89">
        <v>3900</v>
      </c>
      <c r="U28" s="89">
        <v>3771.8</v>
      </c>
      <c r="V28" s="89">
        <v>3601.4</v>
      </c>
      <c r="W28" s="89">
        <v>4228</v>
      </c>
      <c r="X28" s="89">
        <v>4401.8</v>
      </c>
      <c r="Y28" s="89">
        <v>4145.8</v>
      </c>
      <c r="Z28" s="89">
        <v>3725.3</v>
      </c>
      <c r="AA28" s="89">
        <v>3093.3</v>
      </c>
      <c r="AB28" s="89">
        <v>2434.1999999999998</v>
      </c>
      <c r="AC28" s="226"/>
      <c r="AD28" s="19"/>
    </row>
    <row r="29" spans="2:31" ht="18.649999999999999" customHeight="1" thickBot="1" x14ac:dyDescent="0.4">
      <c r="B29" s="213"/>
      <c r="C29" s="10" t="s">
        <v>31</v>
      </c>
      <c r="D29" s="93">
        <v>5</v>
      </c>
      <c r="E29" s="89">
        <v>1931.1</v>
      </c>
      <c r="F29" s="89">
        <v>1659.7</v>
      </c>
      <c r="G29" s="89">
        <v>1381.3</v>
      </c>
      <c r="H29" s="89">
        <v>1233.3</v>
      </c>
      <c r="I29" s="89">
        <v>1185.9000000000001</v>
      </c>
      <c r="J29" s="89">
        <v>1032.3</v>
      </c>
      <c r="K29" s="89">
        <v>1007.2</v>
      </c>
      <c r="L29" s="89">
        <v>1472.7</v>
      </c>
      <c r="M29" s="89">
        <v>2012.5</v>
      </c>
      <c r="N29" s="89">
        <v>2432.1</v>
      </c>
      <c r="O29" s="89">
        <v>2751.2</v>
      </c>
      <c r="P29" s="89">
        <v>3147.6</v>
      </c>
      <c r="Q29" s="89">
        <v>3369.7</v>
      </c>
      <c r="R29" s="89">
        <v>3411.7</v>
      </c>
      <c r="S29" s="89">
        <v>3421.4</v>
      </c>
      <c r="T29" s="89">
        <v>3437.9</v>
      </c>
      <c r="U29" s="89">
        <v>3351.9</v>
      </c>
      <c r="V29" s="89">
        <v>3354</v>
      </c>
      <c r="W29" s="89">
        <v>4337.1000000000004</v>
      </c>
      <c r="X29" s="89">
        <v>4691.5</v>
      </c>
      <c r="Y29" s="89">
        <v>4632.5</v>
      </c>
      <c r="Z29" s="89">
        <v>4308</v>
      </c>
      <c r="AA29" s="89">
        <v>3712.7</v>
      </c>
      <c r="AB29" s="89">
        <v>3017.1</v>
      </c>
      <c r="AC29" s="226"/>
      <c r="AD29" s="19"/>
    </row>
    <row r="30" spans="2:31" ht="18.649999999999999" customHeight="1" thickBot="1" x14ac:dyDescent="0.4">
      <c r="B30" s="213"/>
      <c r="C30" s="16" t="s">
        <v>32</v>
      </c>
      <c r="D30" s="93">
        <v>2</v>
      </c>
      <c r="E30" s="90">
        <v>1931.1</v>
      </c>
      <c r="F30" s="90">
        <v>1659.7</v>
      </c>
      <c r="G30" s="90">
        <v>1381.3</v>
      </c>
      <c r="H30" s="90">
        <v>1233.3</v>
      </c>
      <c r="I30" s="90">
        <v>1185.9000000000001</v>
      </c>
      <c r="J30" s="90">
        <v>1032.3</v>
      </c>
      <c r="K30" s="90">
        <v>1007.2</v>
      </c>
      <c r="L30" s="90">
        <v>1472.7</v>
      </c>
      <c r="M30" s="90">
        <v>2012.5</v>
      </c>
      <c r="N30" s="90">
        <v>2432.1</v>
      </c>
      <c r="O30" s="90">
        <v>2751.2</v>
      </c>
      <c r="P30" s="90">
        <v>3147.6</v>
      </c>
      <c r="Q30" s="90">
        <v>3369.7</v>
      </c>
      <c r="R30" s="90">
        <v>3411.7</v>
      </c>
      <c r="S30" s="90">
        <v>3421.4</v>
      </c>
      <c r="T30" s="90">
        <v>3437.9</v>
      </c>
      <c r="U30" s="90">
        <v>3351.9</v>
      </c>
      <c r="V30" s="90">
        <v>3354</v>
      </c>
      <c r="W30" s="90">
        <v>4337.1000000000004</v>
      </c>
      <c r="X30" s="90">
        <v>4691.5</v>
      </c>
      <c r="Y30" s="90">
        <v>4632.5</v>
      </c>
      <c r="Z30" s="90">
        <v>4308</v>
      </c>
      <c r="AA30" s="90">
        <v>3712.7</v>
      </c>
      <c r="AB30" s="90">
        <v>3017.1</v>
      </c>
      <c r="AC30" s="226"/>
      <c r="AD30" s="19"/>
    </row>
    <row r="31" spans="2:31" ht="18.649999999999999" customHeight="1" thickBot="1" x14ac:dyDescent="0.4">
      <c r="B31" s="222">
        <v>46174</v>
      </c>
      <c r="C31" s="7" t="s">
        <v>29</v>
      </c>
      <c r="D31" s="93">
        <v>19</v>
      </c>
      <c r="E31" s="88">
        <v>1963.3</v>
      </c>
      <c r="F31" s="88">
        <v>1617.6</v>
      </c>
      <c r="G31" s="88">
        <v>1362.2</v>
      </c>
      <c r="H31" s="88">
        <v>1191.7</v>
      </c>
      <c r="I31" s="88">
        <v>1146.2</v>
      </c>
      <c r="J31" s="88">
        <v>1080.9000000000001</v>
      </c>
      <c r="K31" s="88">
        <v>1182.4000000000001</v>
      </c>
      <c r="L31" s="88">
        <v>1927.1</v>
      </c>
      <c r="M31" s="88">
        <v>2745.9</v>
      </c>
      <c r="N31" s="88">
        <v>3249.4</v>
      </c>
      <c r="O31" s="88">
        <v>3686.9</v>
      </c>
      <c r="P31" s="88">
        <v>3927.7</v>
      </c>
      <c r="Q31" s="88">
        <v>3795.9</v>
      </c>
      <c r="R31" s="88">
        <v>3644.9</v>
      </c>
      <c r="S31" s="88">
        <v>3652.2</v>
      </c>
      <c r="T31" s="88">
        <v>3627.3</v>
      </c>
      <c r="U31" s="88">
        <v>3539.9</v>
      </c>
      <c r="V31" s="88">
        <v>3549</v>
      </c>
      <c r="W31" s="88">
        <v>4285.5</v>
      </c>
      <c r="X31" s="88">
        <v>4418</v>
      </c>
      <c r="Y31" s="88">
        <v>4089.9</v>
      </c>
      <c r="Z31" s="88">
        <v>3715.4</v>
      </c>
      <c r="AA31" s="88">
        <v>3253.1</v>
      </c>
      <c r="AB31" s="88">
        <v>2730.9</v>
      </c>
      <c r="AC31" s="225">
        <f>SUM(E31:AB31)*D31+SUM(E32:AB32)*D32+SUM(E33:AB33)*D33+SUM(E34:AB34)*D34</f>
        <v>2044913.6</v>
      </c>
      <c r="AD31" s="19"/>
    </row>
    <row r="32" spans="2:31" ht="18.649999999999999" customHeight="1" thickBot="1" x14ac:dyDescent="0.4">
      <c r="B32" s="223" t="s">
        <v>34</v>
      </c>
      <c r="C32" s="10" t="s">
        <v>30</v>
      </c>
      <c r="D32" s="93">
        <v>4</v>
      </c>
      <c r="E32" s="89">
        <v>2170.9</v>
      </c>
      <c r="F32" s="89">
        <v>1818</v>
      </c>
      <c r="G32" s="89">
        <v>1549.8</v>
      </c>
      <c r="H32" s="89">
        <v>1363.8</v>
      </c>
      <c r="I32" s="89">
        <v>1341.9</v>
      </c>
      <c r="J32" s="89">
        <v>1413</v>
      </c>
      <c r="K32" s="89">
        <v>1456.6</v>
      </c>
      <c r="L32" s="89">
        <v>2182.9</v>
      </c>
      <c r="M32" s="89">
        <v>2950.3</v>
      </c>
      <c r="N32" s="89">
        <v>3394.3</v>
      </c>
      <c r="O32" s="89">
        <v>3813.3</v>
      </c>
      <c r="P32" s="89">
        <v>4086.7</v>
      </c>
      <c r="Q32" s="89">
        <v>3855.3</v>
      </c>
      <c r="R32" s="89">
        <v>4068.3</v>
      </c>
      <c r="S32" s="89">
        <v>4376.2</v>
      </c>
      <c r="T32" s="89">
        <v>4388.6000000000004</v>
      </c>
      <c r="U32" s="89">
        <v>4213.8</v>
      </c>
      <c r="V32" s="89">
        <v>3911</v>
      </c>
      <c r="W32" s="89">
        <v>4434.8</v>
      </c>
      <c r="X32" s="89">
        <v>4710.8999999999996</v>
      </c>
      <c r="Y32" s="89">
        <v>4489.3999999999996</v>
      </c>
      <c r="Z32" s="89">
        <v>4087.2</v>
      </c>
      <c r="AA32" s="89">
        <v>3431.6</v>
      </c>
      <c r="AB32" s="89">
        <v>2745.4</v>
      </c>
      <c r="AC32" s="226"/>
      <c r="AD32" s="19"/>
    </row>
    <row r="33" spans="2:30" ht="18.649999999999999" customHeight="1" thickBot="1" x14ac:dyDescent="0.4">
      <c r="B33" s="223" t="s">
        <v>34</v>
      </c>
      <c r="C33" s="10" t="s">
        <v>31</v>
      </c>
      <c r="D33" s="93">
        <v>4</v>
      </c>
      <c r="E33" s="89">
        <v>1825.6</v>
      </c>
      <c r="F33" s="89">
        <v>1549.8</v>
      </c>
      <c r="G33" s="89">
        <v>1324.3</v>
      </c>
      <c r="H33" s="89">
        <v>1178.3</v>
      </c>
      <c r="I33" s="89">
        <v>1120</v>
      </c>
      <c r="J33" s="89">
        <v>948.7</v>
      </c>
      <c r="K33" s="89">
        <v>870.4</v>
      </c>
      <c r="L33" s="89">
        <v>1348.6</v>
      </c>
      <c r="M33" s="89">
        <v>1901.6</v>
      </c>
      <c r="N33" s="89">
        <v>2246.1999999999998</v>
      </c>
      <c r="O33" s="89">
        <v>2654.8</v>
      </c>
      <c r="P33" s="89">
        <v>2957.3</v>
      </c>
      <c r="Q33" s="89">
        <v>3111.5</v>
      </c>
      <c r="R33" s="89">
        <v>3079.3</v>
      </c>
      <c r="S33" s="89">
        <v>3012.1</v>
      </c>
      <c r="T33" s="89">
        <v>2950.4</v>
      </c>
      <c r="U33" s="89">
        <v>2889.6</v>
      </c>
      <c r="V33" s="89">
        <v>3008.6</v>
      </c>
      <c r="W33" s="89">
        <v>3975.4</v>
      </c>
      <c r="X33" s="89">
        <v>4332</v>
      </c>
      <c r="Y33" s="89">
        <v>4213.6000000000004</v>
      </c>
      <c r="Z33" s="89">
        <v>3873.2</v>
      </c>
      <c r="AA33" s="89">
        <v>3273.5</v>
      </c>
      <c r="AB33" s="89">
        <v>2585.9</v>
      </c>
      <c r="AC33" s="226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93">
        <v>3</v>
      </c>
      <c r="E34" s="91">
        <v>1825.6</v>
      </c>
      <c r="F34" s="91">
        <v>1549.8</v>
      </c>
      <c r="G34" s="91">
        <v>1324.3</v>
      </c>
      <c r="H34" s="91">
        <v>1178.3</v>
      </c>
      <c r="I34" s="91">
        <v>1120</v>
      </c>
      <c r="J34" s="91">
        <v>948.7</v>
      </c>
      <c r="K34" s="91">
        <v>870.4</v>
      </c>
      <c r="L34" s="91">
        <v>1348.6</v>
      </c>
      <c r="M34" s="91">
        <v>1901.6</v>
      </c>
      <c r="N34" s="91">
        <v>2246.1999999999998</v>
      </c>
      <c r="O34" s="91">
        <v>2654.8</v>
      </c>
      <c r="P34" s="91">
        <v>2957.3</v>
      </c>
      <c r="Q34" s="91">
        <v>3111.5</v>
      </c>
      <c r="R34" s="91">
        <v>3079.3</v>
      </c>
      <c r="S34" s="91">
        <v>3012.1</v>
      </c>
      <c r="T34" s="91">
        <v>2950.4</v>
      </c>
      <c r="U34" s="91">
        <v>2889.6</v>
      </c>
      <c r="V34" s="91">
        <v>3008.6</v>
      </c>
      <c r="W34" s="91">
        <v>3975.4</v>
      </c>
      <c r="X34" s="91">
        <v>4332</v>
      </c>
      <c r="Y34" s="91">
        <v>4213.6000000000004</v>
      </c>
      <c r="Z34" s="91">
        <v>3873.2</v>
      </c>
      <c r="AA34" s="91">
        <v>3273.5</v>
      </c>
      <c r="AB34" s="91">
        <v>2585.9</v>
      </c>
      <c r="AC34" s="227"/>
      <c r="AD34" s="19"/>
    </row>
    <row r="35" spans="2:30" ht="18.649999999999999" customHeight="1" thickBot="1" x14ac:dyDescent="0.4">
      <c r="B35" s="212">
        <v>46204</v>
      </c>
      <c r="C35" s="14" t="s">
        <v>29</v>
      </c>
      <c r="D35" s="93">
        <v>22</v>
      </c>
      <c r="E35" s="92">
        <v>1881.7</v>
      </c>
      <c r="F35" s="92">
        <v>1550.5</v>
      </c>
      <c r="G35" s="92">
        <v>1332.2</v>
      </c>
      <c r="H35" s="92">
        <v>1170.5999999999999</v>
      </c>
      <c r="I35" s="92">
        <v>1145.5</v>
      </c>
      <c r="J35" s="92">
        <v>1116.9000000000001</v>
      </c>
      <c r="K35" s="92">
        <v>1173.2</v>
      </c>
      <c r="L35" s="92">
        <v>1893.3</v>
      </c>
      <c r="M35" s="92">
        <v>2731.1</v>
      </c>
      <c r="N35" s="92">
        <v>3205.7</v>
      </c>
      <c r="O35" s="92">
        <v>3632.7</v>
      </c>
      <c r="P35" s="92">
        <v>3826.9</v>
      </c>
      <c r="Q35" s="92">
        <v>3711.8</v>
      </c>
      <c r="R35" s="92">
        <v>3591</v>
      </c>
      <c r="S35" s="92">
        <v>605</v>
      </c>
      <c r="T35" s="92">
        <v>3628.6</v>
      </c>
      <c r="U35" s="92">
        <v>3508</v>
      </c>
      <c r="V35" s="92">
        <v>3488.8</v>
      </c>
      <c r="W35" s="92">
        <v>4207.8</v>
      </c>
      <c r="X35" s="92">
        <v>4452.5</v>
      </c>
      <c r="Y35" s="92">
        <v>4151.5</v>
      </c>
      <c r="Z35" s="92">
        <v>3745.8</v>
      </c>
      <c r="AA35" s="92">
        <v>3229.5</v>
      </c>
      <c r="AB35" s="92">
        <v>2679.5</v>
      </c>
      <c r="AC35" s="226">
        <f>SUM(E35:AB35)*D35+SUM(E36:AB36)*D36+SUM(E37:AB37)*D37+SUM(E38:AB38)*D38</f>
        <v>2074770.6</v>
      </c>
      <c r="AD35" s="19"/>
    </row>
    <row r="36" spans="2:30" ht="18.649999999999999" customHeight="1" thickBot="1" x14ac:dyDescent="0.4">
      <c r="B36" s="213"/>
      <c r="C36" s="10" t="s">
        <v>30</v>
      </c>
      <c r="D36" s="93">
        <v>4</v>
      </c>
      <c r="E36" s="89">
        <v>2319.6999999999998</v>
      </c>
      <c r="F36" s="89">
        <v>1936.3</v>
      </c>
      <c r="G36" s="89">
        <v>1655.3</v>
      </c>
      <c r="H36" s="89">
        <v>1457.1</v>
      </c>
      <c r="I36" s="89">
        <v>1443.4</v>
      </c>
      <c r="J36" s="89">
        <v>1561.5</v>
      </c>
      <c r="K36" s="89">
        <v>1599.9</v>
      </c>
      <c r="L36" s="89">
        <v>2319.6</v>
      </c>
      <c r="M36" s="89">
        <v>3094.2</v>
      </c>
      <c r="N36" s="89">
        <v>3534.4</v>
      </c>
      <c r="O36" s="89">
        <v>3979.3</v>
      </c>
      <c r="P36" s="89">
        <v>4300.3999999999996</v>
      </c>
      <c r="Q36" s="89">
        <v>4057.4</v>
      </c>
      <c r="R36" s="89">
        <v>4239</v>
      </c>
      <c r="S36" s="89">
        <v>4544.1000000000004</v>
      </c>
      <c r="T36" s="89">
        <v>4544.2</v>
      </c>
      <c r="U36" s="89">
        <v>4362.1000000000004</v>
      </c>
      <c r="V36" s="89">
        <v>4093.4</v>
      </c>
      <c r="W36" s="89">
        <v>4718.3999999999996</v>
      </c>
      <c r="X36" s="89">
        <v>4918.6000000000004</v>
      </c>
      <c r="Y36" s="89">
        <v>4709</v>
      </c>
      <c r="Z36" s="89">
        <v>4296.1000000000004</v>
      </c>
      <c r="AA36" s="89">
        <v>3617.4</v>
      </c>
      <c r="AB36" s="89">
        <v>2886.8</v>
      </c>
      <c r="AC36" s="226"/>
      <c r="AD36" s="19"/>
    </row>
    <row r="37" spans="2:30" ht="18.649999999999999" customHeight="1" thickBot="1" x14ac:dyDescent="0.4">
      <c r="B37" s="213"/>
      <c r="C37" s="10" t="s">
        <v>31</v>
      </c>
      <c r="D37" s="93">
        <v>4</v>
      </c>
      <c r="E37" s="89">
        <v>1904</v>
      </c>
      <c r="F37" s="89">
        <v>1626.7</v>
      </c>
      <c r="G37" s="89">
        <v>1392</v>
      </c>
      <c r="H37" s="89">
        <v>1177.0999999999999</v>
      </c>
      <c r="I37" s="89">
        <v>1104.9000000000001</v>
      </c>
      <c r="J37" s="89">
        <v>1009.8</v>
      </c>
      <c r="K37" s="89">
        <v>895.2</v>
      </c>
      <c r="L37" s="89">
        <v>1334.8</v>
      </c>
      <c r="M37" s="89">
        <v>1909.3</v>
      </c>
      <c r="N37" s="89">
        <v>2372.8000000000002</v>
      </c>
      <c r="O37" s="89">
        <v>2705.3</v>
      </c>
      <c r="P37" s="89">
        <v>2873.8</v>
      </c>
      <c r="Q37" s="89">
        <v>3162.9</v>
      </c>
      <c r="R37" s="89">
        <v>3181.9</v>
      </c>
      <c r="S37" s="89">
        <v>3167.4</v>
      </c>
      <c r="T37" s="89">
        <v>3190.8</v>
      </c>
      <c r="U37" s="89">
        <v>3126.8</v>
      </c>
      <c r="V37" s="89">
        <v>3053.2</v>
      </c>
      <c r="W37" s="89">
        <v>3899.9</v>
      </c>
      <c r="X37" s="89">
        <v>4388.2</v>
      </c>
      <c r="Y37" s="89">
        <v>4261.2</v>
      </c>
      <c r="Z37" s="89">
        <v>3944</v>
      </c>
      <c r="AA37" s="89">
        <v>3407.5</v>
      </c>
      <c r="AB37" s="89">
        <v>2810.1</v>
      </c>
      <c r="AC37" s="226"/>
      <c r="AD37" s="19"/>
    </row>
    <row r="38" spans="2:30" ht="18.649999999999999" customHeight="1" thickBot="1" x14ac:dyDescent="0.4">
      <c r="B38" s="213"/>
      <c r="C38" s="16" t="s">
        <v>32</v>
      </c>
      <c r="D38" s="93">
        <v>1</v>
      </c>
      <c r="E38" s="90">
        <v>1904</v>
      </c>
      <c r="F38" s="90">
        <v>1626.7</v>
      </c>
      <c r="G38" s="90">
        <v>1392</v>
      </c>
      <c r="H38" s="90">
        <v>1177.0999999999999</v>
      </c>
      <c r="I38" s="90">
        <v>1104.9000000000001</v>
      </c>
      <c r="J38" s="90">
        <v>1009.8</v>
      </c>
      <c r="K38" s="90">
        <v>895.2</v>
      </c>
      <c r="L38" s="90">
        <v>1334.8</v>
      </c>
      <c r="M38" s="90">
        <v>1909.3</v>
      </c>
      <c r="N38" s="90">
        <v>2372.8000000000002</v>
      </c>
      <c r="O38" s="90">
        <v>2705.3</v>
      </c>
      <c r="P38" s="90">
        <v>2873.8</v>
      </c>
      <c r="Q38" s="90">
        <v>3162.9</v>
      </c>
      <c r="R38" s="90">
        <v>3181.9</v>
      </c>
      <c r="S38" s="90">
        <v>3167.4</v>
      </c>
      <c r="T38" s="90">
        <v>3190.8</v>
      </c>
      <c r="U38" s="90">
        <v>3126.8</v>
      </c>
      <c r="V38" s="90">
        <v>3053.2</v>
      </c>
      <c r="W38" s="90">
        <v>3899.9</v>
      </c>
      <c r="X38" s="90">
        <v>4388.2</v>
      </c>
      <c r="Y38" s="90">
        <v>4261.2</v>
      </c>
      <c r="Z38" s="90">
        <v>3944</v>
      </c>
      <c r="AA38" s="90">
        <v>3407.5</v>
      </c>
      <c r="AB38" s="90">
        <v>2810.1</v>
      </c>
      <c r="AC38" s="226"/>
      <c r="AD38" s="19"/>
    </row>
    <row r="39" spans="2:30" ht="18.649999999999999" customHeight="1" thickBot="1" x14ac:dyDescent="0.4">
      <c r="B39" s="222">
        <v>46235</v>
      </c>
      <c r="C39" s="7" t="s">
        <v>29</v>
      </c>
      <c r="D39" s="93">
        <v>19</v>
      </c>
      <c r="E39" s="88">
        <v>2251</v>
      </c>
      <c r="F39" s="88">
        <v>1860.2</v>
      </c>
      <c r="G39" s="88">
        <v>1568.7</v>
      </c>
      <c r="H39" s="88">
        <v>1373.5</v>
      </c>
      <c r="I39" s="88">
        <v>1301.8</v>
      </c>
      <c r="J39" s="88">
        <v>1283.7</v>
      </c>
      <c r="K39" s="88">
        <v>1304.3</v>
      </c>
      <c r="L39" s="88">
        <v>2031.8</v>
      </c>
      <c r="M39" s="88">
        <v>2850.9</v>
      </c>
      <c r="N39" s="88">
        <v>3354.2</v>
      </c>
      <c r="O39" s="88">
        <v>3772.3</v>
      </c>
      <c r="P39" s="88">
        <v>4039</v>
      </c>
      <c r="Q39" s="88">
        <v>3889</v>
      </c>
      <c r="R39" s="88">
        <v>3762.3</v>
      </c>
      <c r="S39" s="88">
        <v>749.1</v>
      </c>
      <c r="T39" s="88">
        <v>677.8</v>
      </c>
      <c r="U39" s="88">
        <v>3503.8</v>
      </c>
      <c r="V39" s="88">
        <v>3492.5</v>
      </c>
      <c r="W39" s="88">
        <v>4262.5</v>
      </c>
      <c r="X39" s="88">
        <v>4381.3999999999996</v>
      </c>
      <c r="Y39" s="88">
        <v>4106.3999999999996</v>
      </c>
      <c r="Z39" s="88">
        <v>3727.4</v>
      </c>
      <c r="AA39" s="88">
        <v>3192.7</v>
      </c>
      <c r="AB39" s="88">
        <v>2623.2</v>
      </c>
      <c r="AC39" s="225">
        <f>SUM(E39:AB39)*D39+SUM(E40:AB40)*D40+SUM(E41:AB41)*D41+SUM(E42:AB42)*D42</f>
        <v>2068744</v>
      </c>
      <c r="AD39" s="19"/>
    </row>
    <row r="40" spans="2:30" ht="18.649999999999999" customHeight="1" thickBot="1" x14ac:dyDescent="0.4">
      <c r="B40" s="223" t="s">
        <v>34</v>
      </c>
      <c r="C40" s="10" t="s">
        <v>30</v>
      </c>
      <c r="D40" s="93">
        <v>5</v>
      </c>
      <c r="E40" s="89">
        <v>2155.1999999999998</v>
      </c>
      <c r="F40" s="89">
        <v>1800</v>
      </c>
      <c r="G40" s="89">
        <v>1528.4</v>
      </c>
      <c r="H40" s="89">
        <v>1336.8</v>
      </c>
      <c r="I40" s="89">
        <v>1318.5</v>
      </c>
      <c r="J40" s="89">
        <v>1421.9</v>
      </c>
      <c r="K40" s="89">
        <v>1490.4</v>
      </c>
      <c r="L40" s="89">
        <v>2230.9</v>
      </c>
      <c r="M40" s="89">
        <v>2989.6</v>
      </c>
      <c r="N40" s="89">
        <v>3419.5</v>
      </c>
      <c r="O40" s="89">
        <v>3865.6</v>
      </c>
      <c r="P40" s="89">
        <v>4167.5</v>
      </c>
      <c r="Q40" s="89">
        <v>3932.3</v>
      </c>
      <c r="R40" s="89">
        <v>4143.5</v>
      </c>
      <c r="S40" s="89">
        <v>4461.1000000000004</v>
      </c>
      <c r="T40" s="89">
        <v>4467.8</v>
      </c>
      <c r="U40" s="89">
        <v>4293.3</v>
      </c>
      <c r="V40" s="89">
        <v>4137.1000000000004</v>
      </c>
      <c r="W40" s="89">
        <v>4808.2</v>
      </c>
      <c r="X40" s="89">
        <v>4768.3999999999996</v>
      </c>
      <c r="Y40" s="89">
        <v>4516.3</v>
      </c>
      <c r="Z40" s="89">
        <v>4080.1</v>
      </c>
      <c r="AA40" s="89">
        <v>3385</v>
      </c>
      <c r="AB40" s="89">
        <v>2671.8</v>
      </c>
      <c r="AC40" s="226"/>
      <c r="AD40" s="19"/>
    </row>
    <row r="41" spans="2:30" ht="18.649999999999999" customHeight="1" thickBot="1" x14ac:dyDescent="0.4">
      <c r="B41" s="223" t="s">
        <v>34</v>
      </c>
      <c r="C41" s="10" t="s">
        <v>31</v>
      </c>
      <c r="D41" s="93">
        <v>5</v>
      </c>
      <c r="E41" s="89">
        <v>2151.6</v>
      </c>
      <c r="F41" s="89">
        <v>1778.9</v>
      </c>
      <c r="G41" s="89">
        <v>1489.4</v>
      </c>
      <c r="H41" s="89">
        <v>1280.0999999999999</v>
      </c>
      <c r="I41" s="89">
        <v>1192.2</v>
      </c>
      <c r="J41" s="89">
        <v>1073.8</v>
      </c>
      <c r="K41" s="89">
        <v>944.3</v>
      </c>
      <c r="L41" s="89">
        <v>1376.7</v>
      </c>
      <c r="M41" s="89">
        <v>1852.8</v>
      </c>
      <c r="N41" s="89">
        <v>2281.9</v>
      </c>
      <c r="O41" s="89">
        <v>2688.7</v>
      </c>
      <c r="P41" s="89">
        <v>3036.8</v>
      </c>
      <c r="Q41" s="89">
        <v>3164.9</v>
      </c>
      <c r="R41" s="89">
        <v>3125.7</v>
      </c>
      <c r="S41" s="89">
        <v>3089.2</v>
      </c>
      <c r="T41" s="89">
        <v>3115</v>
      </c>
      <c r="U41" s="89">
        <v>3040.9</v>
      </c>
      <c r="V41" s="89">
        <v>3031.8</v>
      </c>
      <c r="W41" s="89">
        <v>3963.3</v>
      </c>
      <c r="X41" s="89">
        <v>4468.3</v>
      </c>
      <c r="Y41" s="89">
        <v>4417.8</v>
      </c>
      <c r="Z41" s="89">
        <v>4063.5</v>
      </c>
      <c r="AA41" s="89">
        <v>3449</v>
      </c>
      <c r="AB41" s="89">
        <v>2775.9</v>
      </c>
      <c r="AC41" s="226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93">
        <v>2</v>
      </c>
      <c r="E42" s="91">
        <v>2151.6</v>
      </c>
      <c r="F42" s="91">
        <v>1778.9</v>
      </c>
      <c r="G42" s="91">
        <v>1489.4</v>
      </c>
      <c r="H42" s="91">
        <v>1280.0999999999999</v>
      </c>
      <c r="I42" s="91">
        <v>1192.2</v>
      </c>
      <c r="J42" s="91">
        <v>1073.8</v>
      </c>
      <c r="K42" s="91">
        <v>944.3</v>
      </c>
      <c r="L42" s="91">
        <v>1376.7</v>
      </c>
      <c r="M42" s="91">
        <v>1852.8</v>
      </c>
      <c r="N42" s="91">
        <v>2281.9</v>
      </c>
      <c r="O42" s="91">
        <v>2688.7</v>
      </c>
      <c r="P42" s="91">
        <v>3036.8</v>
      </c>
      <c r="Q42" s="91">
        <v>3164.9</v>
      </c>
      <c r="R42" s="91">
        <v>3125.7</v>
      </c>
      <c r="S42" s="91">
        <v>3089.2</v>
      </c>
      <c r="T42" s="91">
        <v>3115</v>
      </c>
      <c r="U42" s="91">
        <v>3040.9</v>
      </c>
      <c r="V42" s="91">
        <v>3031.8</v>
      </c>
      <c r="W42" s="91">
        <v>3963.3</v>
      </c>
      <c r="X42" s="91">
        <v>4468.3</v>
      </c>
      <c r="Y42" s="91">
        <v>4417.8</v>
      </c>
      <c r="Z42" s="91">
        <v>4063.5</v>
      </c>
      <c r="AA42" s="91">
        <v>3449</v>
      </c>
      <c r="AB42" s="91">
        <v>2775.9</v>
      </c>
      <c r="AC42" s="227"/>
      <c r="AD42" s="19"/>
    </row>
    <row r="43" spans="2:30" ht="18.649999999999999" customHeight="1" thickBot="1" x14ac:dyDescent="0.4">
      <c r="B43" s="212">
        <v>46266</v>
      </c>
      <c r="C43" s="14" t="s">
        <v>29</v>
      </c>
      <c r="D43" s="93">
        <v>22</v>
      </c>
      <c r="E43" s="92">
        <v>2912.5</v>
      </c>
      <c r="F43" s="92">
        <v>2508.6</v>
      </c>
      <c r="G43" s="92">
        <v>2196.1999999999998</v>
      </c>
      <c r="H43" s="92">
        <v>1974.8</v>
      </c>
      <c r="I43" s="92">
        <v>1909.9</v>
      </c>
      <c r="J43" s="92">
        <v>1820.6</v>
      </c>
      <c r="K43" s="92">
        <v>1864.8</v>
      </c>
      <c r="L43" s="92">
        <v>2681.2</v>
      </c>
      <c r="M43" s="92">
        <v>3553.1</v>
      </c>
      <c r="N43" s="92">
        <v>4055.9</v>
      </c>
      <c r="O43" s="92">
        <v>4484.3</v>
      </c>
      <c r="P43" s="92">
        <v>4697</v>
      </c>
      <c r="Q43" s="92">
        <v>4513.1000000000004</v>
      </c>
      <c r="R43" s="92">
        <v>4375.8</v>
      </c>
      <c r="S43" s="92">
        <v>4364.6000000000004</v>
      </c>
      <c r="T43" s="92">
        <v>4348.5</v>
      </c>
      <c r="U43" s="92">
        <v>4208.7</v>
      </c>
      <c r="V43" s="92">
        <v>4316.6000000000004</v>
      </c>
      <c r="W43" s="92">
        <v>5284.8</v>
      </c>
      <c r="X43" s="92">
        <v>5186.7</v>
      </c>
      <c r="Y43" s="92">
        <v>4833.2</v>
      </c>
      <c r="Z43" s="92">
        <v>4393.8</v>
      </c>
      <c r="AA43" s="92">
        <v>3865.2</v>
      </c>
      <c r="AB43" s="92">
        <v>3282.4</v>
      </c>
      <c r="AC43" s="226">
        <f>SUM(E43:AB43)*D43+SUM(E44:AB44)*D44+SUM(E45:AB45)*D45+SUM(E46:AB46)*D46</f>
        <v>2666666.1999999993</v>
      </c>
      <c r="AD43" s="19"/>
    </row>
    <row r="44" spans="2:30" ht="18.649999999999999" customHeight="1" thickBot="1" x14ac:dyDescent="0.4">
      <c r="B44" s="213"/>
      <c r="C44" s="10" t="s">
        <v>30</v>
      </c>
      <c r="D44" s="93">
        <v>4</v>
      </c>
      <c r="E44" s="89">
        <v>2396.9</v>
      </c>
      <c r="F44" s="89">
        <v>2024.7</v>
      </c>
      <c r="G44" s="89">
        <v>1764.9</v>
      </c>
      <c r="H44" s="89">
        <v>1573.4</v>
      </c>
      <c r="I44" s="89">
        <v>1576.5</v>
      </c>
      <c r="J44" s="89">
        <v>1685.5</v>
      </c>
      <c r="K44" s="89">
        <v>1821.6</v>
      </c>
      <c r="L44" s="89">
        <v>2653.9</v>
      </c>
      <c r="M44" s="89">
        <v>3464.5</v>
      </c>
      <c r="N44" s="89">
        <v>3906.8</v>
      </c>
      <c r="O44" s="89">
        <v>4374.8999999999996</v>
      </c>
      <c r="P44" s="89">
        <v>4697.5</v>
      </c>
      <c r="Q44" s="89">
        <v>4419.8</v>
      </c>
      <c r="R44" s="89">
        <v>4631.6000000000004</v>
      </c>
      <c r="S44" s="89">
        <v>4989</v>
      </c>
      <c r="T44" s="89">
        <v>5007</v>
      </c>
      <c r="U44" s="89">
        <v>4799.8999999999996</v>
      </c>
      <c r="V44" s="89">
        <v>4827</v>
      </c>
      <c r="W44" s="89">
        <v>5419.6</v>
      </c>
      <c r="X44" s="89">
        <v>5242.6000000000004</v>
      </c>
      <c r="Y44" s="89">
        <v>4915.1000000000004</v>
      </c>
      <c r="Z44" s="89">
        <v>4432.7</v>
      </c>
      <c r="AA44" s="89">
        <v>3737.8</v>
      </c>
      <c r="AB44" s="89">
        <v>3015.7</v>
      </c>
      <c r="AC44" s="226"/>
      <c r="AD44" s="19"/>
    </row>
    <row r="45" spans="2:30" ht="18.649999999999999" customHeight="1" thickBot="1" x14ac:dyDescent="0.4">
      <c r="B45" s="213"/>
      <c r="C45" s="10" t="s">
        <v>31</v>
      </c>
      <c r="D45" s="93">
        <v>4</v>
      </c>
      <c r="E45" s="89">
        <v>2622.4</v>
      </c>
      <c r="F45" s="89">
        <v>2251.6</v>
      </c>
      <c r="G45" s="89">
        <v>1977.1</v>
      </c>
      <c r="H45" s="89">
        <v>1769.7</v>
      </c>
      <c r="I45" s="89">
        <v>1780.5</v>
      </c>
      <c r="J45" s="89">
        <v>1994.2</v>
      </c>
      <c r="K45" s="89">
        <v>2128.9</v>
      </c>
      <c r="L45" s="89">
        <v>3011.8</v>
      </c>
      <c r="M45" s="89">
        <v>3886</v>
      </c>
      <c r="N45" s="89">
        <v>4348.8</v>
      </c>
      <c r="O45" s="89">
        <v>4875.7</v>
      </c>
      <c r="P45" s="89">
        <v>5230.3</v>
      </c>
      <c r="Q45" s="89">
        <v>4870.2</v>
      </c>
      <c r="R45" s="89">
        <v>5219.3</v>
      </c>
      <c r="S45" s="89">
        <v>5714.2</v>
      </c>
      <c r="T45" s="89">
        <v>5727.7</v>
      </c>
      <c r="U45" s="89">
        <v>5484.2</v>
      </c>
      <c r="V45" s="89">
        <v>5181.3999999999996</v>
      </c>
      <c r="W45" s="89">
        <v>5776.6</v>
      </c>
      <c r="X45" s="89">
        <v>5697</v>
      </c>
      <c r="Y45" s="89">
        <v>5421.1</v>
      </c>
      <c r="Z45" s="89">
        <v>4928.8</v>
      </c>
      <c r="AA45" s="89">
        <v>4115.1000000000004</v>
      </c>
      <c r="AB45" s="89">
        <v>3297.4</v>
      </c>
      <c r="AC45" s="226"/>
      <c r="AD45" s="19"/>
    </row>
    <row r="46" spans="2:30" ht="18.649999999999999" customHeight="1" thickBot="1" x14ac:dyDescent="0.4">
      <c r="B46" s="213"/>
      <c r="C46" s="16" t="s">
        <v>32</v>
      </c>
      <c r="D46" s="93">
        <v>0</v>
      </c>
      <c r="E46" s="91">
        <v>0</v>
      </c>
      <c r="F46" s="91">
        <v>0</v>
      </c>
      <c r="G46" s="91">
        <v>0</v>
      </c>
      <c r="H46" s="91">
        <v>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0</v>
      </c>
      <c r="AB46" s="91">
        <v>0</v>
      </c>
      <c r="AC46" s="226"/>
      <c r="AD46" s="19"/>
    </row>
    <row r="47" spans="2:30" ht="18.649999999999999" customHeight="1" thickBot="1" x14ac:dyDescent="0.4">
      <c r="B47" s="222">
        <v>46296</v>
      </c>
      <c r="C47" s="7" t="s">
        <v>29</v>
      </c>
      <c r="D47" s="93">
        <v>21</v>
      </c>
      <c r="E47" s="88">
        <v>1955.3</v>
      </c>
      <c r="F47" s="88">
        <v>1603.6</v>
      </c>
      <c r="G47" s="88">
        <v>1323.7</v>
      </c>
      <c r="H47" s="88">
        <v>1092.2</v>
      </c>
      <c r="I47" s="88">
        <v>1004.4</v>
      </c>
      <c r="J47" s="88">
        <v>955.7</v>
      </c>
      <c r="K47" s="88">
        <v>1081.4000000000001</v>
      </c>
      <c r="L47" s="88">
        <v>1844.4</v>
      </c>
      <c r="M47" s="88">
        <v>2624.3</v>
      </c>
      <c r="N47" s="88">
        <v>3077.1</v>
      </c>
      <c r="O47" s="88">
        <v>3494.3</v>
      </c>
      <c r="P47" s="88">
        <v>3713.2</v>
      </c>
      <c r="Q47" s="88">
        <v>3558.3</v>
      </c>
      <c r="R47" s="88">
        <v>3457</v>
      </c>
      <c r="S47" s="88">
        <v>3491.8</v>
      </c>
      <c r="T47" s="88">
        <v>3475</v>
      </c>
      <c r="U47" s="88">
        <v>3366</v>
      </c>
      <c r="V47" s="88">
        <v>3583.5</v>
      </c>
      <c r="W47" s="88">
        <v>4366.1000000000004</v>
      </c>
      <c r="X47" s="88">
        <v>4209.6000000000004</v>
      </c>
      <c r="Y47" s="88">
        <v>3883.7</v>
      </c>
      <c r="Z47" s="88">
        <v>3469.6</v>
      </c>
      <c r="AA47" s="88">
        <v>2975.7</v>
      </c>
      <c r="AB47" s="88">
        <v>2447.6</v>
      </c>
      <c r="AC47" s="225">
        <f>SUM(E47:AB47)*D47+SUM(E48:AB48)*D48+SUM(E49:AB49)*D49+SUM(E50:AB50)*D50</f>
        <v>1969081.9999999998</v>
      </c>
      <c r="AD47" s="19"/>
    </row>
    <row r="48" spans="2:30" ht="18.649999999999999" customHeight="1" thickBot="1" x14ac:dyDescent="0.4">
      <c r="B48" s="223" t="s">
        <v>34</v>
      </c>
      <c r="C48" s="10" t="s">
        <v>30</v>
      </c>
      <c r="D48" s="93">
        <v>5</v>
      </c>
      <c r="E48" s="89">
        <v>1464.7</v>
      </c>
      <c r="F48" s="89">
        <v>1145.4000000000001</v>
      </c>
      <c r="G48" s="89">
        <v>909.1</v>
      </c>
      <c r="H48" s="89">
        <v>767.5</v>
      </c>
      <c r="I48" s="89">
        <v>787.3</v>
      </c>
      <c r="J48" s="89">
        <v>900.1</v>
      </c>
      <c r="K48" s="89">
        <v>1007</v>
      </c>
      <c r="L48" s="89">
        <v>1710</v>
      </c>
      <c r="M48" s="89">
        <v>2411.6999999999998</v>
      </c>
      <c r="N48" s="89">
        <v>2822.9</v>
      </c>
      <c r="O48" s="89">
        <v>3200.3</v>
      </c>
      <c r="P48" s="89">
        <v>3481.7</v>
      </c>
      <c r="Q48" s="89">
        <v>3243</v>
      </c>
      <c r="R48" s="89">
        <v>3351.1</v>
      </c>
      <c r="S48" s="89">
        <v>3597.4</v>
      </c>
      <c r="T48" s="89">
        <v>3620.8</v>
      </c>
      <c r="U48" s="89">
        <v>3509.1</v>
      </c>
      <c r="V48" s="89">
        <v>3663.7</v>
      </c>
      <c r="W48" s="89">
        <v>4261.6000000000004</v>
      </c>
      <c r="X48" s="89">
        <v>4081.5</v>
      </c>
      <c r="Y48" s="89">
        <v>3728.6</v>
      </c>
      <c r="Z48" s="89">
        <v>3242.7</v>
      </c>
      <c r="AA48" s="89">
        <v>2609.1</v>
      </c>
      <c r="AB48" s="89">
        <v>1974.1</v>
      </c>
      <c r="AC48" s="226"/>
      <c r="AD48" s="19"/>
    </row>
    <row r="49" spans="2:31" ht="18.649999999999999" customHeight="1" thickBot="1" x14ac:dyDescent="0.4">
      <c r="B49" s="223" t="s">
        <v>34</v>
      </c>
      <c r="C49" s="10" t="s">
        <v>31</v>
      </c>
      <c r="D49" s="93">
        <v>4</v>
      </c>
      <c r="E49" s="89">
        <v>1533.8</v>
      </c>
      <c r="F49" s="89">
        <v>1257.2</v>
      </c>
      <c r="G49" s="89">
        <v>1037.2</v>
      </c>
      <c r="H49" s="89">
        <v>901.8</v>
      </c>
      <c r="I49" s="89">
        <v>854.8</v>
      </c>
      <c r="J49" s="89">
        <v>762.5</v>
      </c>
      <c r="K49" s="89">
        <v>625.4</v>
      </c>
      <c r="L49" s="89">
        <v>1067.7</v>
      </c>
      <c r="M49" s="89">
        <v>1434.5</v>
      </c>
      <c r="N49" s="89">
        <v>1945.8</v>
      </c>
      <c r="O49" s="89">
        <v>2344.9</v>
      </c>
      <c r="P49" s="89">
        <v>2660.5</v>
      </c>
      <c r="Q49" s="89">
        <v>2820.7</v>
      </c>
      <c r="R49" s="89">
        <v>2824</v>
      </c>
      <c r="S49" s="89">
        <v>2836.9</v>
      </c>
      <c r="T49" s="89">
        <v>2856.7</v>
      </c>
      <c r="U49" s="89">
        <v>2785.7</v>
      </c>
      <c r="V49" s="89">
        <v>3116.4</v>
      </c>
      <c r="W49" s="89">
        <v>4043.3</v>
      </c>
      <c r="X49" s="89">
        <v>4154.1000000000004</v>
      </c>
      <c r="Y49" s="89">
        <v>4010.2</v>
      </c>
      <c r="Z49" s="89">
        <v>3670.3</v>
      </c>
      <c r="AA49" s="89">
        <v>3024</v>
      </c>
      <c r="AB49" s="89">
        <v>2332.9</v>
      </c>
      <c r="AC49" s="226"/>
      <c r="AD49" s="19"/>
    </row>
    <row r="50" spans="2:31" ht="18.649999999999999" customHeight="1" thickBot="1" x14ac:dyDescent="0.4">
      <c r="B50" s="224" t="s">
        <v>34</v>
      </c>
      <c r="C50" s="12" t="s">
        <v>32</v>
      </c>
      <c r="D50" s="93">
        <v>1</v>
      </c>
      <c r="E50" s="91">
        <v>1533.8</v>
      </c>
      <c r="F50" s="91">
        <v>1257.2</v>
      </c>
      <c r="G50" s="91">
        <v>1037.2</v>
      </c>
      <c r="H50" s="91">
        <v>901.8</v>
      </c>
      <c r="I50" s="91">
        <v>854.8</v>
      </c>
      <c r="J50" s="91">
        <v>762.5</v>
      </c>
      <c r="K50" s="91">
        <v>625.4</v>
      </c>
      <c r="L50" s="91">
        <v>1067.7</v>
      </c>
      <c r="M50" s="91">
        <v>1434.5</v>
      </c>
      <c r="N50" s="91">
        <v>1945.8</v>
      </c>
      <c r="O50" s="91">
        <v>2344.9</v>
      </c>
      <c r="P50" s="91">
        <v>2660.5</v>
      </c>
      <c r="Q50" s="91">
        <v>2820.7</v>
      </c>
      <c r="R50" s="91">
        <v>2824</v>
      </c>
      <c r="S50" s="91">
        <v>2836.9</v>
      </c>
      <c r="T50" s="91">
        <v>2856.7</v>
      </c>
      <c r="U50" s="91">
        <v>2785.7</v>
      </c>
      <c r="V50" s="91">
        <v>3116.4</v>
      </c>
      <c r="W50" s="91">
        <v>4043.3</v>
      </c>
      <c r="X50" s="91">
        <v>4154.1000000000004</v>
      </c>
      <c r="Y50" s="91">
        <v>4010.2</v>
      </c>
      <c r="Z50" s="91">
        <v>3670.3</v>
      </c>
      <c r="AA50" s="91">
        <v>3024</v>
      </c>
      <c r="AB50" s="91">
        <v>2332.9</v>
      </c>
      <c r="AC50" s="227"/>
      <c r="AD50" s="19"/>
    </row>
    <row r="51" spans="2:31" ht="18.649999999999999" customHeight="1" thickBot="1" x14ac:dyDescent="0.4">
      <c r="B51" s="212">
        <v>46327</v>
      </c>
      <c r="C51" s="14" t="s">
        <v>29</v>
      </c>
      <c r="D51" s="93">
        <v>19</v>
      </c>
      <c r="E51" s="92">
        <v>1654.4</v>
      </c>
      <c r="F51" s="92">
        <v>1328.8</v>
      </c>
      <c r="G51" s="92">
        <v>1093.7</v>
      </c>
      <c r="H51" s="92">
        <v>939.8</v>
      </c>
      <c r="I51" s="92">
        <v>941.1</v>
      </c>
      <c r="J51" s="92">
        <v>990.6</v>
      </c>
      <c r="K51" s="92">
        <v>1032</v>
      </c>
      <c r="L51" s="92">
        <v>1788.5</v>
      </c>
      <c r="M51" s="92">
        <v>2595.8000000000002</v>
      </c>
      <c r="N51" s="92">
        <v>3109.8</v>
      </c>
      <c r="O51" s="92">
        <v>3497.9</v>
      </c>
      <c r="P51" s="92">
        <v>3701.5</v>
      </c>
      <c r="Q51" s="92">
        <v>3526.8</v>
      </c>
      <c r="R51" s="92">
        <v>3378.2</v>
      </c>
      <c r="S51" s="92">
        <v>3357.4</v>
      </c>
      <c r="T51" s="92">
        <v>3337.5</v>
      </c>
      <c r="U51" s="92">
        <v>3252.2</v>
      </c>
      <c r="V51" s="92">
        <v>3527.3</v>
      </c>
      <c r="W51" s="92">
        <v>4280.3</v>
      </c>
      <c r="X51" s="92">
        <v>4084.8</v>
      </c>
      <c r="Y51" s="92">
        <v>3716.3</v>
      </c>
      <c r="Z51" s="92">
        <v>3299.3</v>
      </c>
      <c r="AA51" s="92">
        <v>2783</v>
      </c>
      <c r="AB51" s="92">
        <v>2223</v>
      </c>
      <c r="AC51" s="226">
        <f>SUM(E51:AB51)*D51+SUM(E52:AB52)*D52+SUM(E53:AB53)*D53+SUM(E54:AB54)*D54</f>
        <v>1831628.2000000002</v>
      </c>
      <c r="AD51" s="19"/>
    </row>
    <row r="52" spans="2:31" ht="18.649999999999999" customHeight="1" thickBot="1" x14ac:dyDescent="0.4">
      <c r="B52" s="213"/>
      <c r="C52" s="10" t="s">
        <v>30</v>
      </c>
      <c r="D52" s="93">
        <v>4</v>
      </c>
      <c r="E52" s="89">
        <v>2252</v>
      </c>
      <c r="F52" s="89">
        <v>1884.9</v>
      </c>
      <c r="G52" s="89">
        <v>1613.7</v>
      </c>
      <c r="H52" s="89">
        <v>1427.1</v>
      </c>
      <c r="I52" s="89">
        <v>1387.6</v>
      </c>
      <c r="J52" s="89">
        <v>1432</v>
      </c>
      <c r="K52" s="89">
        <v>1397.4</v>
      </c>
      <c r="L52" s="89">
        <v>2126.3000000000002</v>
      </c>
      <c r="M52" s="89">
        <v>2884.1</v>
      </c>
      <c r="N52" s="89">
        <v>3323.3</v>
      </c>
      <c r="O52" s="89">
        <v>3710.9</v>
      </c>
      <c r="P52" s="89">
        <v>4013.1</v>
      </c>
      <c r="Q52" s="89">
        <v>3818.8</v>
      </c>
      <c r="R52" s="89">
        <v>3910.7</v>
      </c>
      <c r="S52" s="89">
        <v>4165.3</v>
      </c>
      <c r="T52" s="89">
        <v>4179.6000000000004</v>
      </c>
      <c r="U52" s="89">
        <v>4034.2</v>
      </c>
      <c r="V52" s="89">
        <v>4057.6</v>
      </c>
      <c r="W52" s="89">
        <v>4819.2</v>
      </c>
      <c r="X52" s="89">
        <v>4661.8</v>
      </c>
      <c r="Y52" s="89">
        <v>4350.2</v>
      </c>
      <c r="Z52" s="89">
        <v>3937.2</v>
      </c>
      <c r="AA52" s="89">
        <v>3383.5</v>
      </c>
      <c r="AB52" s="89">
        <v>2761.4</v>
      </c>
      <c r="AC52" s="226"/>
      <c r="AD52" s="19"/>
    </row>
    <row r="53" spans="2:31" ht="18.649999999999999" customHeight="1" thickBot="1" x14ac:dyDescent="0.4">
      <c r="B53" s="213"/>
      <c r="C53" s="10" t="s">
        <v>31</v>
      </c>
      <c r="D53" s="93">
        <v>5</v>
      </c>
      <c r="E53" s="89">
        <v>1687.1</v>
      </c>
      <c r="F53" s="89">
        <v>1331.8</v>
      </c>
      <c r="G53" s="89">
        <v>1062.0999999999999</v>
      </c>
      <c r="H53" s="89">
        <v>854.9</v>
      </c>
      <c r="I53" s="89">
        <v>784.7</v>
      </c>
      <c r="J53" s="89">
        <v>696.5</v>
      </c>
      <c r="K53" s="89">
        <v>536.6</v>
      </c>
      <c r="L53" s="89">
        <v>901.3</v>
      </c>
      <c r="M53" s="89">
        <v>1339.2</v>
      </c>
      <c r="N53" s="89">
        <v>1681</v>
      </c>
      <c r="O53" s="89">
        <v>1961</v>
      </c>
      <c r="P53" s="89">
        <v>2209.1999999999998</v>
      </c>
      <c r="Q53" s="89">
        <v>2286.6</v>
      </c>
      <c r="R53" s="89">
        <v>2323.6</v>
      </c>
      <c r="S53" s="89">
        <v>2218.3000000000002</v>
      </c>
      <c r="T53" s="89">
        <v>2225.6999999999998</v>
      </c>
      <c r="U53" s="89">
        <v>2243.1999999999998</v>
      </c>
      <c r="V53" s="89">
        <v>2699.2</v>
      </c>
      <c r="W53" s="89">
        <v>3591.1</v>
      </c>
      <c r="X53" s="89">
        <v>3622.9</v>
      </c>
      <c r="Y53" s="89">
        <v>3354.7</v>
      </c>
      <c r="Z53" s="89">
        <v>2853.5</v>
      </c>
      <c r="AA53" s="89">
        <v>2219.4</v>
      </c>
      <c r="AB53" s="89">
        <v>1622.2</v>
      </c>
      <c r="AC53" s="226"/>
      <c r="AD53" s="19"/>
    </row>
    <row r="54" spans="2:31" ht="18.649999999999999" customHeight="1" thickBot="1" x14ac:dyDescent="0.4">
      <c r="B54" s="213"/>
      <c r="C54" s="16" t="s">
        <v>32</v>
      </c>
      <c r="D54" s="93">
        <v>2</v>
      </c>
      <c r="E54" s="90">
        <v>1687.1</v>
      </c>
      <c r="F54" s="90">
        <v>1331.8</v>
      </c>
      <c r="G54" s="90">
        <v>1062.0999999999999</v>
      </c>
      <c r="H54" s="90">
        <v>854.9</v>
      </c>
      <c r="I54" s="90">
        <v>784.7</v>
      </c>
      <c r="J54" s="90">
        <v>696.5</v>
      </c>
      <c r="K54" s="90">
        <v>536.6</v>
      </c>
      <c r="L54" s="90">
        <v>901.3</v>
      </c>
      <c r="M54" s="90">
        <v>1339.2</v>
      </c>
      <c r="N54" s="90">
        <v>1681</v>
      </c>
      <c r="O54" s="90">
        <v>1961</v>
      </c>
      <c r="P54" s="90">
        <v>2209.1999999999998</v>
      </c>
      <c r="Q54" s="90">
        <v>2286.6</v>
      </c>
      <c r="R54" s="90">
        <v>2323.6</v>
      </c>
      <c r="S54" s="90">
        <v>2218.3000000000002</v>
      </c>
      <c r="T54" s="90">
        <v>2225.6999999999998</v>
      </c>
      <c r="U54" s="90">
        <v>2243.1999999999998</v>
      </c>
      <c r="V54" s="90">
        <v>2699.2</v>
      </c>
      <c r="W54" s="90">
        <v>3591.1</v>
      </c>
      <c r="X54" s="90">
        <v>3622.9</v>
      </c>
      <c r="Y54" s="90">
        <v>3354.7</v>
      </c>
      <c r="Z54" s="90">
        <v>2853.5</v>
      </c>
      <c r="AA54" s="90">
        <v>2219.4</v>
      </c>
      <c r="AB54" s="90">
        <v>1622.2</v>
      </c>
      <c r="AC54" s="226"/>
      <c r="AD54" s="19"/>
    </row>
    <row r="55" spans="2:31" ht="18.649999999999999" customHeight="1" thickBot="1" x14ac:dyDescent="0.4">
      <c r="B55" s="222">
        <v>46357</v>
      </c>
      <c r="C55" s="7" t="s">
        <v>29</v>
      </c>
      <c r="D55" s="93">
        <v>21</v>
      </c>
      <c r="E55" s="88">
        <v>6087.7</v>
      </c>
      <c r="F55" s="88">
        <v>5502.6</v>
      </c>
      <c r="G55" s="88">
        <v>5060.3</v>
      </c>
      <c r="H55" s="88">
        <v>4752.8999999999996</v>
      </c>
      <c r="I55" s="88">
        <v>4685.3</v>
      </c>
      <c r="J55" s="88">
        <v>4734.5</v>
      </c>
      <c r="K55" s="88">
        <v>4621.7</v>
      </c>
      <c r="L55" s="88">
        <v>5653.8</v>
      </c>
      <c r="M55" s="88">
        <v>6780.2</v>
      </c>
      <c r="N55" s="88">
        <v>7492.9</v>
      </c>
      <c r="O55" s="88">
        <v>8017.5</v>
      </c>
      <c r="P55" s="88">
        <v>8332.2999999999993</v>
      </c>
      <c r="Q55" s="88">
        <v>8043.8</v>
      </c>
      <c r="R55" s="88">
        <v>7836.9</v>
      </c>
      <c r="S55" s="88">
        <v>7868.1</v>
      </c>
      <c r="T55" s="88">
        <v>7859.1</v>
      </c>
      <c r="U55" s="88">
        <v>7699.7</v>
      </c>
      <c r="V55" s="88">
        <v>8040.3</v>
      </c>
      <c r="W55" s="88">
        <v>9361</v>
      </c>
      <c r="X55" s="88">
        <v>9048</v>
      </c>
      <c r="Y55" s="88">
        <v>8443.9</v>
      </c>
      <c r="Z55" s="88">
        <v>7782.2</v>
      </c>
      <c r="AA55" s="88">
        <v>7140.4</v>
      </c>
      <c r="AB55" s="88">
        <v>6421.2</v>
      </c>
      <c r="AC55" s="225">
        <f>SUM(E55:AB55)*D55+SUM(E56:AB56)*D56+SUM(E57:AB57)*D57+SUM(E58:AB58)*D58</f>
        <v>5062929.3</v>
      </c>
      <c r="AD55" s="19"/>
    </row>
    <row r="56" spans="2:31" ht="18.649999999999999" customHeight="1" thickBot="1" x14ac:dyDescent="0.4">
      <c r="B56" s="223" t="s">
        <v>34</v>
      </c>
      <c r="C56" s="10" t="s">
        <v>30</v>
      </c>
      <c r="D56" s="93">
        <v>4</v>
      </c>
      <c r="E56" s="89">
        <v>5882.5</v>
      </c>
      <c r="F56" s="89">
        <v>5333.1</v>
      </c>
      <c r="G56" s="89">
        <v>4920.5</v>
      </c>
      <c r="H56" s="89">
        <v>4634</v>
      </c>
      <c r="I56" s="89">
        <v>4602.5</v>
      </c>
      <c r="J56" s="89">
        <v>4757.3999999999996</v>
      </c>
      <c r="K56" s="89">
        <v>4798.8999999999996</v>
      </c>
      <c r="L56" s="89">
        <v>5873.9</v>
      </c>
      <c r="M56" s="89">
        <v>6988.4</v>
      </c>
      <c r="N56" s="89">
        <v>7632.6</v>
      </c>
      <c r="O56" s="89">
        <v>8262.1</v>
      </c>
      <c r="P56" s="89">
        <v>8704.4</v>
      </c>
      <c r="Q56" s="89">
        <v>8359.5</v>
      </c>
      <c r="R56" s="89">
        <v>8624.7000000000007</v>
      </c>
      <c r="S56" s="89">
        <v>9073.5</v>
      </c>
      <c r="T56" s="89">
        <v>9104.9</v>
      </c>
      <c r="U56" s="89">
        <v>8862.4</v>
      </c>
      <c r="V56" s="89">
        <v>8612.9</v>
      </c>
      <c r="W56" s="89">
        <v>9557.5</v>
      </c>
      <c r="X56" s="89">
        <v>9645</v>
      </c>
      <c r="Y56" s="89">
        <v>9276.2999999999993</v>
      </c>
      <c r="Z56" s="89">
        <v>8657.5</v>
      </c>
      <c r="AA56" s="89">
        <v>7709.2</v>
      </c>
      <c r="AB56" s="89">
        <v>6695.2</v>
      </c>
      <c r="AC56" s="226"/>
      <c r="AD56" s="19"/>
    </row>
    <row r="57" spans="2:31" ht="18.649999999999999" customHeight="1" thickBot="1" x14ac:dyDescent="0.4">
      <c r="B57" s="223" t="s">
        <v>34</v>
      </c>
      <c r="C57" s="10" t="s">
        <v>31</v>
      </c>
      <c r="D57" s="93">
        <v>4</v>
      </c>
      <c r="E57" s="89">
        <v>5817.4</v>
      </c>
      <c r="F57" s="89">
        <v>5481.9</v>
      </c>
      <c r="G57" s="89">
        <v>5164.6000000000004</v>
      </c>
      <c r="H57" s="89">
        <v>4860.3999999999996</v>
      </c>
      <c r="I57" s="89">
        <v>4685.1000000000004</v>
      </c>
      <c r="J57" s="89">
        <v>4431.5</v>
      </c>
      <c r="K57" s="89">
        <v>3845.7</v>
      </c>
      <c r="L57" s="89">
        <v>4139.6000000000004</v>
      </c>
      <c r="M57" s="89">
        <v>4617.3999999999996</v>
      </c>
      <c r="N57" s="89">
        <v>5066</v>
      </c>
      <c r="O57" s="89">
        <v>5484.2</v>
      </c>
      <c r="P57" s="89">
        <v>5839.6</v>
      </c>
      <c r="Q57" s="89">
        <v>6033.9</v>
      </c>
      <c r="R57" s="89">
        <v>6042.5</v>
      </c>
      <c r="S57" s="89">
        <v>5992.5</v>
      </c>
      <c r="T57" s="89">
        <v>6053.3</v>
      </c>
      <c r="U57" s="89">
        <v>6048.1</v>
      </c>
      <c r="V57" s="89">
        <v>6405.2</v>
      </c>
      <c r="W57" s="89">
        <v>7993.9</v>
      </c>
      <c r="X57" s="89">
        <v>8114</v>
      </c>
      <c r="Y57" s="89">
        <v>7947.9</v>
      </c>
      <c r="Z57" s="89">
        <v>7554.2</v>
      </c>
      <c r="AA57" s="89">
        <v>6905.4</v>
      </c>
      <c r="AB57" s="89">
        <v>6152.6</v>
      </c>
      <c r="AC57" s="226"/>
      <c r="AD57" s="19"/>
    </row>
    <row r="58" spans="2:31" ht="18.649999999999999" customHeight="1" thickBot="1" x14ac:dyDescent="0.4">
      <c r="B58" s="224" t="s">
        <v>34</v>
      </c>
      <c r="C58" s="12" t="s">
        <v>32</v>
      </c>
      <c r="D58" s="93">
        <v>2</v>
      </c>
      <c r="E58" s="91">
        <v>5817.4</v>
      </c>
      <c r="F58" s="91">
        <v>5481.9</v>
      </c>
      <c r="G58" s="91">
        <v>5164.6000000000004</v>
      </c>
      <c r="H58" s="91">
        <v>4860.3999999999996</v>
      </c>
      <c r="I58" s="91">
        <v>4685.1000000000004</v>
      </c>
      <c r="J58" s="91">
        <v>4431.5</v>
      </c>
      <c r="K58" s="91">
        <v>3845.7</v>
      </c>
      <c r="L58" s="91">
        <v>4139.6000000000004</v>
      </c>
      <c r="M58" s="91">
        <v>4617.3999999999996</v>
      </c>
      <c r="N58" s="91">
        <v>5066</v>
      </c>
      <c r="O58" s="91">
        <v>5484.2</v>
      </c>
      <c r="P58" s="91">
        <v>5839.6</v>
      </c>
      <c r="Q58" s="91">
        <v>6033.9</v>
      </c>
      <c r="R58" s="91">
        <v>6042.5</v>
      </c>
      <c r="S58" s="91">
        <v>5992.5</v>
      </c>
      <c r="T58" s="91">
        <v>6053.3</v>
      </c>
      <c r="U58" s="91">
        <v>6048.1</v>
      </c>
      <c r="V58" s="91">
        <v>6405.2</v>
      </c>
      <c r="W58" s="91">
        <v>7993.9</v>
      </c>
      <c r="X58" s="91">
        <v>8114</v>
      </c>
      <c r="Y58" s="91">
        <v>7947.9</v>
      </c>
      <c r="Z58" s="91">
        <v>7554.2</v>
      </c>
      <c r="AA58" s="91">
        <v>6905.4</v>
      </c>
      <c r="AB58" s="91">
        <v>6152.6</v>
      </c>
      <c r="AC58" s="227"/>
      <c r="AD58" s="19"/>
    </row>
    <row r="59" spans="2:31" ht="18.5" customHeight="1" thickBot="1" x14ac:dyDescent="0.4">
      <c r="Z59" s="228" t="s">
        <v>33</v>
      </c>
      <c r="AA59" s="229"/>
      <c r="AB59" s="230"/>
      <c r="AC59" s="155">
        <f>SUM(AC11:AC58)</f>
        <v>43824106.800000004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conditionalFormatting sqref="E11:AB58">
    <cfRule type="cellIs" dxfId="7" priority="3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B43B-CBA4-4B96-9CFE-5CAA4216AB46}">
  <sheetPr>
    <tabColor rgb="FFFFC000"/>
  </sheetPr>
  <dimension ref="B2:AX59"/>
  <sheetViews>
    <sheetView showGridLines="0" zoomScale="60" zoomScaleNormal="60" workbookViewId="0">
      <pane xSplit="4" ySplit="10" topLeftCell="E24" activePane="bottomRight" state="frozen"/>
      <selection activeCell="B27" sqref="B27"/>
      <selection pane="topRight" activeCell="B27" sqref="B27"/>
      <selection pane="bottomLeft" activeCell="B27" sqref="B27"/>
      <selection pane="bottomRight" activeCell="B7" sqref="B7:AC7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16" width="11.26953125" style="18" customWidth="1"/>
    <col min="17" max="17" width="11.54296875" style="18" customWidth="1"/>
    <col min="18" max="18" width="13.08984375" style="18" customWidth="1"/>
    <col min="19" max="19" width="11.54296875" style="18" customWidth="1"/>
    <col min="20" max="20" width="12.6328125" style="18" customWidth="1"/>
    <col min="21" max="23" width="11.26953125" style="18" customWidth="1"/>
    <col min="24" max="27" width="12.90625" style="18" customWidth="1"/>
    <col min="28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16" t="s">
        <v>158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50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50" ht="18.649999999999999" customHeight="1" x14ac:dyDescent="0.35">
      <c r="B6" s="219" t="s">
        <v>138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2:50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50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12">
        <v>46388</v>
      </c>
      <c r="C11" s="7" t="s">
        <v>29</v>
      </c>
      <c r="D11" s="93">
        <v>19</v>
      </c>
      <c r="E11" s="161">
        <v>34104.86</v>
      </c>
      <c r="F11" s="161">
        <v>31985.47</v>
      </c>
      <c r="G11" s="161">
        <v>30453.53</v>
      </c>
      <c r="H11" s="161">
        <v>29382.46</v>
      </c>
      <c r="I11" s="161">
        <v>29128.58</v>
      </c>
      <c r="J11" s="161">
        <v>29961.71</v>
      </c>
      <c r="K11" s="161">
        <v>29701.39</v>
      </c>
      <c r="L11" s="161">
        <v>33804.800000000003</v>
      </c>
      <c r="M11" s="161">
        <v>38220.26</v>
      </c>
      <c r="N11" s="161">
        <v>40777.22</v>
      </c>
      <c r="O11" s="161">
        <v>43415.03</v>
      </c>
      <c r="P11" s="161">
        <v>45290.92</v>
      </c>
      <c r="Q11" s="161">
        <v>43893.52</v>
      </c>
      <c r="R11" s="161">
        <v>45265.2</v>
      </c>
      <c r="S11" s="161">
        <v>47552.82</v>
      </c>
      <c r="T11" s="161">
        <v>47769.8</v>
      </c>
      <c r="U11" s="161">
        <v>46677.48</v>
      </c>
      <c r="V11" s="161">
        <v>44600.800000000003</v>
      </c>
      <c r="W11" s="161">
        <v>47545.21</v>
      </c>
      <c r="X11" s="161">
        <v>47706.33</v>
      </c>
      <c r="Y11" s="161">
        <v>46460.68</v>
      </c>
      <c r="Z11" s="161">
        <v>44472.69</v>
      </c>
      <c r="AA11" s="161">
        <v>41194.78</v>
      </c>
      <c r="AB11" s="161">
        <v>37514.31</v>
      </c>
      <c r="AC11" s="225">
        <f>SUM(E11:AB11)*D11+SUM(E12:AB12)*D12+SUM(E13:AB13)*D13+SUM(E14:AB14)*D14</f>
        <v>28661912.400000002</v>
      </c>
      <c r="AD11" s="19"/>
      <c r="AE11" s="87">
        <f>+AC11</f>
        <v>28661912.400000002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13"/>
      <c r="C12" s="10" t="s">
        <v>30</v>
      </c>
      <c r="D12" s="94">
        <v>5</v>
      </c>
      <c r="E12" s="162">
        <v>34399.53</v>
      </c>
      <c r="F12" s="162">
        <v>32307.57</v>
      </c>
      <c r="G12" s="162">
        <v>30757.7</v>
      </c>
      <c r="H12" s="162">
        <v>29534.89</v>
      </c>
      <c r="I12" s="162">
        <v>29214.28</v>
      </c>
      <c r="J12" s="162">
        <v>29364.33</v>
      </c>
      <c r="K12" s="162">
        <v>28476.31</v>
      </c>
      <c r="L12" s="162">
        <v>31662.69</v>
      </c>
      <c r="M12" s="162">
        <v>35871.07</v>
      </c>
      <c r="N12" s="162">
        <v>38656.11</v>
      </c>
      <c r="O12" s="162">
        <v>40949.19</v>
      </c>
      <c r="P12" s="162">
        <v>42386.52</v>
      </c>
      <c r="Q12" s="162">
        <v>41714.870000000003</v>
      </c>
      <c r="R12" s="162">
        <v>41243.94</v>
      </c>
      <c r="S12" s="162">
        <v>41507.360000000001</v>
      </c>
      <c r="T12" s="162">
        <v>41492.54</v>
      </c>
      <c r="U12" s="162">
        <v>40806.46</v>
      </c>
      <c r="V12" s="162">
        <v>40456.14</v>
      </c>
      <c r="W12" s="162">
        <v>45128.08</v>
      </c>
      <c r="X12" s="162">
        <v>45629.98</v>
      </c>
      <c r="Y12" s="162">
        <v>44230.59</v>
      </c>
      <c r="Z12" s="162">
        <v>42487.839999999997</v>
      </c>
      <c r="AA12" s="162">
        <v>40120.910000000003</v>
      </c>
      <c r="AB12" s="162">
        <v>37356.94</v>
      </c>
      <c r="AC12" s="226"/>
      <c r="AD12" s="19"/>
      <c r="AE12" s="87">
        <f>+AC15</f>
        <v>25956636.199999999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13"/>
      <c r="C13" s="10" t="s">
        <v>31</v>
      </c>
      <c r="D13" s="94">
        <v>5</v>
      </c>
      <c r="E13" s="162">
        <v>34838.58</v>
      </c>
      <c r="F13" s="162">
        <v>32821.24</v>
      </c>
      <c r="G13" s="162">
        <v>31185.21</v>
      </c>
      <c r="H13" s="162">
        <v>29877.63</v>
      </c>
      <c r="I13" s="162">
        <v>29212.94</v>
      </c>
      <c r="J13" s="162">
        <v>28885.13</v>
      </c>
      <c r="K13" s="162">
        <v>27137.77</v>
      </c>
      <c r="L13" s="162">
        <v>28574.04</v>
      </c>
      <c r="M13" s="162">
        <v>30973.1</v>
      </c>
      <c r="N13" s="162">
        <v>33417.83</v>
      </c>
      <c r="O13" s="162">
        <v>34921.360000000001</v>
      </c>
      <c r="P13" s="162">
        <v>36260.199999999997</v>
      </c>
      <c r="Q13" s="162">
        <v>37057.339999999997</v>
      </c>
      <c r="R13" s="162">
        <v>37237.050000000003</v>
      </c>
      <c r="S13" s="162">
        <v>37354.160000000003</v>
      </c>
      <c r="T13" s="162">
        <v>37424.559999999998</v>
      </c>
      <c r="U13" s="162">
        <v>37176.17</v>
      </c>
      <c r="V13" s="162">
        <v>37219.230000000003</v>
      </c>
      <c r="W13" s="162">
        <v>42332.56</v>
      </c>
      <c r="X13" s="162">
        <v>43878.33</v>
      </c>
      <c r="Y13" s="162">
        <v>43700.9</v>
      </c>
      <c r="Z13" s="162">
        <v>42355.24</v>
      </c>
      <c r="AA13" s="162">
        <v>39809.519999999997</v>
      </c>
      <c r="AB13" s="162">
        <v>36695.06</v>
      </c>
      <c r="AC13" s="226"/>
      <c r="AD13" s="19"/>
      <c r="AE13" s="87">
        <f>+AC19</f>
        <v>28377635.649999999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13"/>
      <c r="C14" s="16" t="s">
        <v>32</v>
      </c>
      <c r="D14" s="95">
        <v>2</v>
      </c>
      <c r="E14" s="163">
        <v>34838.58</v>
      </c>
      <c r="F14" s="163">
        <v>32821.24</v>
      </c>
      <c r="G14" s="163">
        <v>31185.21</v>
      </c>
      <c r="H14" s="163">
        <v>29877.63</v>
      </c>
      <c r="I14" s="163">
        <v>29212.94</v>
      </c>
      <c r="J14" s="163">
        <v>28885.13</v>
      </c>
      <c r="K14" s="163">
        <v>27137.77</v>
      </c>
      <c r="L14" s="163">
        <v>28574.04</v>
      </c>
      <c r="M14" s="163">
        <v>30973.1</v>
      </c>
      <c r="N14" s="163">
        <v>33417.83</v>
      </c>
      <c r="O14" s="163">
        <v>34921.360000000001</v>
      </c>
      <c r="P14" s="163">
        <v>36260.199999999997</v>
      </c>
      <c r="Q14" s="163">
        <v>37057.339999999997</v>
      </c>
      <c r="R14" s="163">
        <v>37237.050000000003</v>
      </c>
      <c r="S14" s="163">
        <v>37354.160000000003</v>
      </c>
      <c r="T14" s="163">
        <v>37424.559999999998</v>
      </c>
      <c r="U14" s="163">
        <v>37176.17</v>
      </c>
      <c r="V14" s="163">
        <v>37219.230000000003</v>
      </c>
      <c r="W14" s="163">
        <v>42332.56</v>
      </c>
      <c r="X14" s="163">
        <v>43878.33</v>
      </c>
      <c r="Y14" s="163">
        <v>43700.9</v>
      </c>
      <c r="Z14" s="163">
        <v>42355.24</v>
      </c>
      <c r="AA14" s="163">
        <v>39809.519999999997</v>
      </c>
      <c r="AB14" s="163">
        <v>36695.06</v>
      </c>
      <c r="AC14" s="226"/>
      <c r="AD14" s="56">
        <f>+AC11</f>
        <v>28661912.400000002</v>
      </c>
      <c r="AE14" s="87">
        <f>+AC23</f>
        <v>21852567.860000007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22">
        <v>46419</v>
      </c>
      <c r="C15" s="7" t="s">
        <v>29</v>
      </c>
      <c r="D15" s="93">
        <v>20</v>
      </c>
      <c r="E15" s="161">
        <v>33710.620000000003</v>
      </c>
      <c r="F15" s="161">
        <v>31667.9</v>
      </c>
      <c r="G15" s="161">
        <v>30208.81</v>
      </c>
      <c r="H15" s="161">
        <v>29253.68</v>
      </c>
      <c r="I15" s="161">
        <v>29323.81</v>
      </c>
      <c r="J15" s="161">
        <v>31230.25</v>
      </c>
      <c r="K15" s="161">
        <v>31133.46</v>
      </c>
      <c r="L15" s="161">
        <v>34863.730000000003</v>
      </c>
      <c r="M15" s="161">
        <v>38625.14</v>
      </c>
      <c r="N15" s="161">
        <v>40472.230000000003</v>
      </c>
      <c r="O15" s="161">
        <v>42678.94</v>
      </c>
      <c r="P15" s="161">
        <v>44159.45</v>
      </c>
      <c r="Q15" s="161">
        <v>42309.279999999999</v>
      </c>
      <c r="R15" s="161">
        <v>43996.54</v>
      </c>
      <c r="S15" s="161">
        <v>46476.36</v>
      </c>
      <c r="T15" s="161">
        <v>46795.06</v>
      </c>
      <c r="U15" s="161">
        <v>45887.94</v>
      </c>
      <c r="V15" s="161">
        <v>43720.78</v>
      </c>
      <c r="W15" s="161">
        <v>46310.400000000001</v>
      </c>
      <c r="X15" s="161">
        <v>47140.86</v>
      </c>
      <c r="Y15" s="161">
        <v>46108.44</v>
      </c>
      <c r="Z15" s="161">
        <v>43882.79</v>
      </c>
      <c r="AA15" s="161">
        <v>40255.25</v>
      </c>
      <c r="AB15" s="161">
        <v>36607.39</v>
      </c>
      <c r="AC15" s="225">
        <f>SUM(E15:AB15)*D15+SUM(E16:AB16)*D16+SUM(E17:AB17)*D17+SUM(E18:AB18)*D18</f>
        <v>25956636.199999999</v>
      </c>
      <c r="AD15" s="177">
        <f>+AC15</f>
        <v>25956636.199999999</v>
      </c>
      <c r="AE15" s="87">
        <f>+AC27</f>
        <v>23042025.860000003</v>
      </c>
    </row>
    <row r="16" spans="2:50" ht="18.649999999999999" customHeight="1" x14ac:dyDescent="0.35">
      <c r="B16" s="223" t="s">
        <v>34</v>
      </c>
      <c r="C16" s="10" t="s">
        <v>30</v>
      </c>
      <c r="D16" s="94">
        <v>4</v>
      </c>
      <c r="E16" s="162">
        <v>33834.07</v>
      </c>
      <c r="F16" s="162">
        <v>31943.18</v>
      </c>
      <c r="G16" s="162">
        <v>30299.73</v>
      </c>
      <c r="H16" s="162">
        <v>29184.94</v>
      </c>
      <c r="I16" s="162">
        <v>28759.3</v>
      </c>
      <c r="J16" s="162">
        <v>29097.11</v>
      </c>
      <c r="K16" s="162">
        <v>28753.360000000001</v>
      </c>
      <c r="L16" s="162">
        <v>32107.75</v>
      </c>
      <c r="M16" s="162">
        <v>36140.86</v>
      </c>
      <c r="N16" s="162">
        <v>38674</v>
      </c>
      <c r="O16" s="162">
        <v>40745.17</v>
      </c>
      <c r="P16" s="162">
        <v>42116.99</v>
      </c>
      <c r="Q16" s="162">
        <v>41295.129999999997</v>
      </c>
      <c r="R16" s="162">
        <v>40755.01</v>
      </c>
      <c r="S16" s="162">
        <v>40995.25</v>
      </c>
      <c r="T16" s="162">
        <v>40989.480000000003</v>
      </c>
      <c r="U16" s="162">
        <v>40291.279999999999</v>
      </c>
      <c r="V16" s="162">
        <v>39975.800000000003</v>
      </c>
      <c r="W16" s="162">
        <v>44264.37</v>
      </c>
      <c r="X16" s="162">
        <v>45265.54</v>
      </c>
      <c r="Y16" s="162">
        <v>43959.42</v>
      </c>
      <c r="Z16" s="162">
        <v>42195.39</v>
      </c>
      <c r="AA16" s="162">
        <v>39797.85</v>
      </c>
      <c r="AB16" s="162">
        <v>36977.93</v>
      </c>
      <c r="AC16" s="226"/>
      <c r="AD16" s="177">
        <f>+AC19</f>
        <v>28377635.649999999</v>
      </c>
      <c r="AE16" s="87">
        <f>+AC31</f>
        <v>6843780.1600000001</v>
      </c>
    </row>
    <row r="17" spans="2:31" ht="18.649999999999999" customHeight="1" x14ac:dyDescent="0.35">
      <c r="B17" s="223" t="s">
        <v>34</v>
      </c>
      <c r="C17" s="10" t="s">
        <v>31</v>
      </c>
      <c r="D17" s="94">
        <v>4</v>
      </c>
      <c r="E17" s="162">
        <v>34437.74</v>
      </c>
      <c r="F17" s="162">
        <v>32418.49</v>
      </c>
      <c r="G17" s="162">
        <v>30856.44</v>
      </c>
      <c r="H17" s="162">
        <v>29710.55</v>
      </c>
      <c r="I17" s="162">
        <v>28984.81</v>
      </c>
      <c r="J17" s="162">
        <v>28832.37</v>
      </c>
      <c r="K17" s="162">
        <v>27341.41</v>
      </c>
      <c r="L17" s="162">
        <v>28786.44</v>
      </c>
      <c r="M17" s="162">
        <v>31152.58</v>
      </c>
      <c r="N17" s="162">
        <v>33301.22</v>
      </c>
      <c r="O17" s="162">
        <v>34868.21</v>
      </c>
      <c r="P17" s="162">
        <v>36461.94</v>
      </c>
      <c r="Q17" s="162">
        <v>37375.99</v>
      </c>
      <c r="R17" s="162">
        <v>37656.080000000002</v>
      </c>
      <c r="S17" s="162">
        <v>37909.589999999997</v>
      </c>
      <c r="T17" s="162">
        <v>38105.620000000003</v>
      </c>
      <c r="U17" s="162">
        <v>37822.86</v>
      </c>
      <c r="V17" s="162">
        <v>37722.54</v>
      </c>
      <c r="W17" s="162">
        <v>42502.09</v>
      </c>
      <c r="X17" s="162">
        <v>44641.78</v>
      </c>
      <c r="Y17" s="162">
        <v>44678.52</v>
      </c>
      <c r="Z17" s="162">
        <v>43446.31</v>
      </c>
      <c r="AA17" s="162">
        <v>40547.65</v>
      </c>
      <c r="AB17" s="162">
        <v>37083.360000000001</v>
      </c>
      <c r="AC17" s="226"/>
      <c r="AD17" s="177">
        <f>+AC23</f>
        <v>21852567.860000007</v>
      </c>
      <c r="AE17" s="87">
        <f>+AC35</f>
        <v>3320362.4099999997</v>
      </c>
    </row>
    <row r="18" spans="2:31" ht="18.649999999999999" customHeight="1" thickBot="1" x14ac:dyDescent="0.4">
      <c r="B18" s="224" t="s">
        <v>34</v>
      </c>
      <c r="C18" s="12" t="s">
        <v>32</v>
      </c>
      <c r="D18" s="96">
        <v>0</v>
      </c>
      <c r="E18" s="106">
        <v>0</v>
      </c>
      <c r="F18" s="106">
        <v>0</v>
      </c>
      <c r="G18" s="106">
        <v>0</v>
      </c>
      <c r="H18" s="106">
        <v>0</v>
      </c>
      <c r="I18" s="106">
        <v>0</v>
      </c>
      <c r="J18" s="106">
        <v>0</v>
      </c>
      <c r="K18" s="106">
        <v>0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106">
        <v>0</v>
      </c>
      <c r="R18" s="106">
        <v>0</v>
      </c>
      <c r="S18" s="106">
        <v>0</v>
      </c>
      <c r="T18" s="106">
        <v>0</v>
      </c>
      <c r="U18" s="106">
        <v>0</v>
      </c>
      <c r="V18" s="106">
        <v>0</v>
      </c>
      <c r="W18" s="106">
        <v>0</v>
      </c>
      <c r="X18" s="106">
        <v>0</v>
      </c>
      <c r="Y18" s="106">
        <v>0</v>
      </c>
      <c r="Z18" s="106">
        <v>0</v>
      </c>
      <c r="AA18" s="106">
        <v>0</v>
      </c>
      <c r="AB18" s="106">
        <v>0</v>
      </c>
      <c r="AC18" s="227"/>
      <c r="AD18" s="177">
        <f>+AC27</f>
        <v>23042025.860000003</v>
      </c>
      <c r="AE18" s="87">
        <f>+AC39</f>
        <v>7378162.379999999</v>
      </c>
    </row>
    <row r="19" spans="2:31" ht="18.649999999999999" customHeight="1" x14ac:dyDescent="0.35">
      <c r="B19" s="212">
        <v>46447</v>
      </c>
      <c r="C19" s="14" t="s">
        <v>29</v>
      </c>
      <c r="D19" s="97">
        <v>20</v>
      </c>
      <c r="E19" s="164">
        <v>34320.74</v>
      </c>
      <c r="F19" s="164">
        <v>32242.73</v>
      </c>
      <c r="G19" s="164">
        <v>30676.75</v>
      </c>
      <c r="H19" s="164">
        <v>29521.02</v>
      </c>
      <c r="I19" s="164">
        <v>29347.3</v>
      </c>
      <c r="J19" s="164">
        <v>30604.97</v>
      </c>
      <c r="K19" s="164">
        <v>30360.45</v>
      </c>
      <c r="L19" s="164">
        <v>34413.730000000003</v>
      </c>
      <c r="M19" s="164">
        <v>38501.730000000003</v>
      </c>
      <c r="N19" s="164">
        <v>40641.230000000003</v>
      </c>
      <c r="O19" s="164">
        <v>43068.07</v>
      </c>
      <c r="P19" s="164">
        <v>44648.03</v>
      </c>
      <c r="Q19" s="164">
        <v>42861.18</v>
      </c>
      <c r="R19" s="164">
        <v>44768.53</v>
      </c>
      <c r="S19" s="164">
        <v>47080.37</v>
      </c>
      <c r="T19" s="164">
        <v>47328.78</v>
      </c>
      <c r="U19" s="164">
        <v>46419.37</v>
      </c>
      <c r="V19" s="164">
        <v>44222.93</v>
      </c>
      <c r="W19" s="164">
        <v>46431.01</v>
      </c>
      <c r="X19" s="164">
        <v>47073.85</v>
      </c>
      <c r="Y19" s="164">
        <v>46137.64</v>
      </c>
      <c r="Z19" s="164">
        <v>44153.35</v>
      </c>
      <c r="AA19" s="164">
        <v>41048.949999999997</v>
      </c>
      <c r="AB19" s="164">
        <v>37556.85</v>
      </c>
      <c r="AC19" s="226">
        <f>SUM(E19:AB19)*D19+SUM(E20:AB20)*D20+SUM(E21:AB21)*D21+SUM(E22:AB22)*D22</f>
        <v>28377635.649999999</v>
      </c>
      <c r="AD19" s="177">
        <f>+AC31</f>
        <v>6843780.1600000001</v>
      </c>
      <c r="AE19" s="87">
        <f>+AC43</f>
        <v>7560028.7799999993</v>
      </c>
    </row>
    <row r="20" spans="2:31" ht="18.649999999999999" customHeight="1" x14ac:dyDescent="0.35">
      <c r="B20" s="213"/>
      <c r="C20" s="10" t="s">
        <v>30</v>
      </c>
      <c r="D20" s="94">
        <v>4</v>
      </c>
      <c r="E20" s="162">
        <v>34434.959999999999</v>
      </c>
      <c r="F20" s="162">
        <v>32290.98</v>
      </c>
      <c r="G20" s="162">
        <v>30780.77</v>
      </c>
      <c r="H20" s="162">
        <v>29585.62</v>
      </c>
      <c r="I20" s="162">
        <v>28872.18</v>
      </c>
      <c r="J20" s="162">
        <v>28763.11</v>
      </c>
      <c r="K20" s="162">
        <v>28268.57</v>
      </c>
      <c r="L20" s="162">
        <v>31451.24</v>
      </c>
      <c r="M20" s="162">
        <v>35287.72</v>
      </c>
      <c r="N20" s="162">
        <v>37690.21</v>
      </c>
      <c r="O20" s="162">
        <v>39604</v>
      </c>
      <c r="P20" s="162">
        <v>40827.46</v>
      </c>
      <c r="Q20" s="162">
        <v>40177.57</v>
      </c>
      <c r="R20" s="162">
        <v>39706.89</v>
      </c>
      <c r="S20" s="162">
        <v>39438.04</v>
      </c>
      <c r="T20" s="162">
        <v>40535.53</v>
      </c>
      <c r="U20" s="162">
        <v>38991.99</v>
      </c>
      <c r="V20" s="162">
        <v>38634.83</v>
      </c>
      <c r="W20" s="162">
        <v>43203.27</v>
      </c>
      <c r="X20" s="162">
        <v>43922.31</v>
      </c>
      <c r="Y20" s="162">
        <v>42734.27</v>
      </c>
      <c r="Z20" s="162">
        <v>41205.39</v>
      </c>
      <c r="AA20" s="162">
        <v>39177.599999999999</v>
      </c>
      <c r="AB20" s="162">
        <v>36600.33</v>
      </c>
      <c r="AC20" s="226"/>
      <c r="AD20" s="177">
        <f>+AC35</f>
        <v>3320362.4099999997</v>
      </c>
      <c r="AE20" s="87">
        <f>+AC47</f>
        <v>9628746.8600000013</v>
      </c>
    </row>
    <row r="21" spans="2:31" ht="18.649999999999999" customHeight="1" x14ac:dyDescent="0.35">
      <c r="B21" s="213"/>
      <c r="C21" s="10" t="s">
        <v>31</v>
      </c>
      <c r="D21" s="94">
        <v>4</v>
      </c>
      <c r="E21" s="162">
        <v>34119.1</v>
      </c>
      <c r="F21" s="162">
        <v>32116.47</v>
      </c>
      <c r="G21" s="162">
        <v>30328.9</v>
      </c>
      <c r="H21" s="162">
        <v>29074.77</v>
      </c>
      <c r="I21" s="162">
        <v>28493.22</v>
      </c>
      <c r="J21" s="162">
        <v>28114.36</v>
      </c>
      <c r="K21" s="162">
        <v>26496.62</v>
      </c>
      <c r="L21" s="162">
        <v>28011.3</v>
      </c>
      <c r="M21" s="162">
        <v>30205.93</v>
      </c>
      <c r="N21" s="162">
        <v>32212.6</v>
      </c>
      <c r="O21" s="162">
        <v>33733.839999999997</v>
      </c>
      <c r="P21" s="162">
        <v>35172.03</v>
      </c>
      <c r="Q21" s="162">
        <v>35894.47</v>
      </c>
      <c r="R21" s="162">
        <v>36079.06</v>
      </c>
      <c r="S21" s="162">
        <v>36290.32</v>
      </c>
      <c r="T21" s="162">
        <v>36584.69</v>
      </c>
      <c r="U21" s="162">
        <v>36070.83</v>
      </c>
      <c r="V21" s="162">
        <v>36169.629999999997</v>
      </c>
      <c r="W21" s="162">
        <v>40602.46</v>
      </c>
      <c r="X21" s="162">
        <v>42241.78</v>
      </c>
      <c r="Y21" s="162">
        <v>42156.89</v>
      </c>
      <c r="Z21" s="162">
        <v>41243.300000000003</v>
      </c>
      <c r="AA21" s="162">
        <v>38785.279999999999</v>
      </c>
      <c r="AB21" s="162">
        <v>35560.019999999997</v>
      </c>
      <c r="AC21" s="226"/>
      <c r="AD21" s="177">
        <f>+AC39</f>
        <v>7378162.379999999</v>
      </c>
      <c r="AE21" s="87">
        <f>+AC51</f>
        <v>13088728.199999999</v>
      </c>
    </row>
    <row r="22" spans="2:31" ht="18.649999999999999" customHeight="1" thickBot="1" x14ac:dyDescent="0.4">
      <c r="B22" s="213"/>
      <c r="C22" s="16" t="s">
        <v>32</v>
      </c>
      <c r="D22" s="95">
        <v>3</v>
      </c>
      <c r="E22" s="163">
        <v>34119.1</v>
      </c>
      <c r="F22" s="163">
        <v>32116.47</v>
      </c>
      <c r="G22" s="163">
        <v>30328.9</v>
      </c>
      <c r="H22" s="163">
        <v>29074.77</v>
      </c>
      <c r="I22" s="163">
        <v>28493.22</v>
      </c>
      <c r="J22" s="163">
        <v>28114.36</v>
      </c>
      <c r="K22" s="163">
        <v>26496.62</v>
      </c>
      <c r="L22" s="163">
        <v>28011.3</v>
      </c>
      <c r="M22" s="163">
        <v>30205.93</v>
      </c>
      <c r="N22" s="163">
        <v>32212.6</v>
      </c>
      <c r="O22" s="163">
        <v>33733.839999999997</v>
      </c>
      <c r="P22" s="163">
        <v>35172.03</v>
      </c>
      <c r="Q22" s="163">
        <v>35894.47</v>
      </c>
      <c r="R22" s="163">
        <v>36079.06</v>
      </c>
      <c r="S22" s="163">
        <v>36290.32</v>
      </c>
      <c r="T22" s="163">
        <v>36584.69</v>
      </c>
      <c r="U22" s="163">
        <v>36070.83</v>
      </c>
      <c r="V22" s="163">
        <v>36169.629999999997</v>
      </c>
      <c r="W22" s="163">
        <v>40602.46</v>
      </c>
      <c r="X22" s="163">
        <v>42241.78</v>
      </c>
      <c r="Y22" s="163">
        <v>42156.89</v>
      </c>
      <c r="Z22" s="163">
        <v>41243.300000000003</v>
      </c>
      <c r="AA22" s="163">
        <v>38785.279999999999</v>
      </c>
      <c r="AB22" s="163">
        <v>35560.019999999997</v>
      </c>
      <c r="AC22" s="226"/>
      <c r="AD22" s="177">
        <f>+AC43</f>
        <v>7560028.7799999993</v>
      </c>
      <c r="AE22" s="87">
        <f>+AC55</f>
        <v>18444368.09</v>
      </c>
    </row>
    <row r="23" spans="2:31" ht="18.649999999999999" customHeight="1" x14ac:dyDescent="0.35">
      <c r="B23" s="222">
        <v>46478</v>
      </c>
      <c r="C23" s="7" t="s">
        <v>29</v>
      </c>
      <c r="D23" s="93">
        <v>22</v>
      </c>
      <c r="E23" s="161">
        <v>26951.05</v>
      </c>
      <c r="F23" s="161">
        <v>25573.51</v>
      </c>
      <c r="G23" s="161">
        <v>24223.29</v>
      </c>
      <c r="H23" s="161">
        <v>23468.61</v>
      </c>
      <c r="I23" s="161">
        <v>23288.29</v>
      </c>
      <c r="J23" s="161">
        <v>22994.62</v>
      </c>
      <c r="K23" s="161">
        <v>23091.81</v>
      </c>
      <c r="L23" s="161">
        <v>26249.5</v>
      </c>
      <c r="M23" s="161">
        <v>29833.65</v>
      </c>
      <c r="N23" s="161">
        <v>31951.46</v>
      </c>
      <c r="O23" s="161">
        <v>33712.050000000003</v>
      </c>
      <c r="P23" s="161">
        <v>34821.300000000003</v>
      </c>
      <c r="Q23" s="161">
        <v>34081.25</v>
      </c>
      <c r="R23" s="161">
        <v>33612.57</v>
      </c>
      <c r="S23" s="161">
        <v>33880.449999999997</v>
      </c>
      <c r="T23" s="161">
        <v>33874.69</v>
      </c>
      <c r="U23" s="161">
        <v>33263.31</v>
      </c>
      <c r="V23" s="161">
        <v>33042.339999999997</v>
      </c>
      <c r="W23" s="161">
        <v>36901.65</v>
      </c>
      <c r="X23" s="161">
        <v>37235.050000000003</v>
      </c>
      <c r="Y23" s="161">
        <v>36200.730000000003</v>
      </c>
      <c r="Z23" s="161">
        <v>34769.42</v>
      </c>
      <c r="AA23" s="161">
        <v>32813.31</v>
      </c>
      <c r="AB23" s="161">
        <v>30443.8</v>
      </c>
      <c r="AC23" s="225">
        <f>SUM(E23:AB23)*D23+SUM(E24:AB24)*D24+SUM(E25:AB25)*D25+SUM(E26:AB26)*D26</f>
        <v>21852567.860000007</v>
      </c>
      <c r="AD23" s="177">
        <f>+AC47</f>
        <v>9628746.8600000013</v>
      </c>
      <c r="AE23" s="87">
        <f>SUM(AE11:AE22)</f>
        <v>194154954.85000002</v>
      </c>
    </row>
    <row r="24" spans="2:31" ht="18.649999999999999" customHeight="1" x14ac:dyDescent="0.35">
      <c r="B24" s="223" t="s">
        <v>34</v>
      </c>
      <c r="C24" s="10" t="s">
        <v>30</v>
      </c>
      <c r="D24" s="94">
        <v>4</v>
      </c>
      <c r="E24" s="162">
        <v>25848.3</v>
      </c>
      <c r="F24" s="162">
        <v>24327.93</v>
      </c>
      <c r="G24" s="162">
        <v>23173.05</v>
      </c>
      <c r="H24" s="162">
        <v>22321.48</v>
      </c>
      <c r="I24" s="162">
        <v>22346.99</v>
      </c>
      <c r="J24" s="162">
        <v>22684.26</v>
      </c>
      <c r="K24" s="162">
        <v>23306.28</v>
      </c>
      <c r="L24" s="162">
        <v>26386.38</v>
      </c>
      <c r="M24" s="162">
        <v>29551.45</v>
      </c>
      <c r="N24" s="162">
        <v>31395.15</v>
      </c>
      <c r="O24" s="162">
        <v>33048.629999999997</v>
      </c>
      <c r="P24" s="162">
        <v>34190.080000000002</v>
      </c>
      <c r="Q24" s="162">
        <v>33117.94</v>
      </c>
      <c r="R24" s="162">
        <v>33870.15</v>
      </c>
      <c r="S24" s="162">
        <v>35165.440000000002</v>
      </c>
      <c r="T24" s="162">
        <v>35251.769999999997</v>
      </c>
      <c r="U24" s="162">
        <v>34617.86</v>
      </c>
      <c r="V24" s="162">
        <v>33752.559999999998</v>
      </c>
      <c r="W24" s="162">
        <v>36423.129999999997</v>
      </c>
      <c r="X24" s="162">
        <v>36781.24</v>
      </c>
      <c r="Y24" s="162">
        <v>35693</v>
      </c>
      <c r="Z24" s="162">
        <v>33908.35</v>
      </c>
      <c r="AA24" s="162">
        <v>31106.17</v>
      </c>
      <c r="AB24" s="162">
        <v>28011.72</v>
      </c>
      <c r="AC24" s="226"/>
      <c r="AD24" s="177">
        <f>+AC51</f>
        <v>13088728.199999999</v>
      </c>
    </row>
    <row r="25" spans="2:31" ht="18.649999999999999" customHeight="1" x14ac:dyDescent="0.35">
      <c r="B25" s="223" t="s">
        <v>34</v>
      </c>
      <c r="C25" s="10" t="s">
        <v>31</v>
      </c>
      <c r="D25" s="94">
        <v>4</v>
      </c>
      <c r="E25" s="162">
        <v>28245.26</v>
      </c>
      <c r="F25" s="162">
        <v>26561.82</v>
      </c>
      <c r="G25" s="162">
        <v>25167.27</v>
      </c>
      <c r="H25" s="162">
        <v>24215.98</v>
      </c>
      <c r="I25" s="162">
        <v>23658.62</v>
      </c>
      <c r="J25" s="162">
        <v>22808.73</v>
      </c>
      <c r="K25" s="162">
        <v>21957.19</v>
      </c>
      <c r="L25" s="162">
        <v>23467.3</v>
      </c>
      <c r="M25" s="162">
        <v>25463.05</v>
      </c>
      <c r="N25" s="162">
        <v>27262.639999999999</v>
      </c>
      <c r="O25" s="162">
        <v>28685.38</v>
      </c>
      <c r="P25" s="162">
        <v>29846.31</v>
      </c>
      <c r="Q25" s="162">
        <v>30380.77</v>
      </c>
      <c r="R25" s="162">
        <v>30479.55</v>
      </c>
      <c r="S25" s="162">
        <v>30284.91</v>
      </c>
      <c r="T25" s="162">
        <v>30127.99</v>
      </c>
      <c r="U25" s="162">
        <v>29769.54</v>
      </c>
      <c r="V25" s="162">
        <v>30101.7</v>
      </c>
      <c r="W25" s="162">
        <v>34219.47</v>
      </c>
      <c r="X25" s="162">
        <v>35398.6</v>
      </c>
      <c r="Y25" s="162">
        <v>35125.72</v>
      </c>
      <c r="Z25" s="162">
        <v>33894.129999999997</v>
      </c>
      <c r="AA25" s="162">
        <v>31522.12</v>
      </c>
      <c r="AB25" s="162">
        <v>28691.200000000001</v>
      </c>
      <c r="AC25" s="226"/>
      <c r="AD25" s="177">
        <f>+AC55</f>
        <v>18444368.09</v>
      </c>
    </row>
    <row r="26" spans="2:31" ht="18.649999999999999" customHeight="1" thickBot="1" x14ac:dyDescent="0.4">
      <c r="B26" s="224" t="s">
        <v>34</v>
      </c>
      <c r="C26" s="12" t="s">
        <v>32</v>
      </c>
      <c r="D26" s="96">
        <v>0</v>
      </c>
      <c r="E26" s="106">
        <v>0</v>
      </c>
      <c r="F26" s="106">
        <v>0</v>
      </c>
      <c r="G26" s="106">
        <v>0</v>
      </c>
      <c r="H26" s="106">
        <v>0</v>
      </c>
      <c r="I26" s="106">
        <v>0</v>
      </c>
      <c r="J26" s="106">
        <v>0</v>
      </c>
      <c r="K26" s="106">
        <v>0</v>
      </c>
      <c r="L26" s="106">
        <v>0</v>
      </c>
      <c r="M26" s="106">
        <v>0</v>
      </c>
      <c r="N26" s="106">
        <v>0</v>
      </c>
      <c r="O26" s="106">
        <v>0</v>
      </c>
      <c r="P26" s="106">
        <v>0</v>
      </c>
      <c r="Q26" s="106">
        <v>0</v>
      </c>
      <c r="R26" s="106">
        <v>0</v>
      </c>
      <c r="S26" s="106">
        <v>0</v>
      </c>
      <c r="T26" s="106">
        <v>0</v>
      </c>
      <c r="U26" s="106">
        <v>0</v>
      </c>
      <c r="V26" s="106">
        <v>0</v>
      </c>
      <c r="W26" s="106">
        <v>0</v>
      </c>
      <c r="X26" s="106">
        <v>0</v>
      </c>
      <c r="Y26" s="106">
        <v>0</v>
      </c>
      <c r="Z26" s="106">
        <v>0</v>
      </c>
      <c r="AA26" s="106">
        <v>0</v>
      </c>
      <c r="AB26" s="106">
        <v>0</v>
      </c>
      <c r="AC26" s="227"/>
      <c r="AD26" s="19"/>
    </row>
    <row r="27" spans="2:31" ht="18.649999999999999" customHeight="1" x14ac:dyDescent="0.35">
      <c r="B27" s="212">
        <v>46508</v>
      </c>
      <c r="C27" s="14" t="s">
        <v>29</v>
      </c>
      <c r="D27" s="97">
        <v>19</v>
      </c>
      <c r="E27" s="164">
        <v>29068.18</v>
      </c>
      <c r="F27" s="164">
        <v>27295.46</v>
      </c>
      <c r="G27" s="164">
        <v>25864.99</v>
      </c>
      <c r="H27" s="164">
        <v>24641.62</v>
      </c>
      <c r="I27" s="164">
        <v>24311.85</v>
      </c>
      <c r="J27" s="164">
        <v>23847.599999999999</v>
      </c>
      <c r="K27" s="164">
        <v>24273.96</v>
      </c>
      <c r="L27" s="164">
        <v>27422.67</v>
      </c>
      <c r="M27" s="164">
        <v>31092.41</v>
      </c>
      <c r="N27" s="164">
        <v>33117.040000000001</v>
      </c>
      <c r="O27" s="164">
        <v>34402.129999999997</v>
      </c>
      <c r="P27" s="164">
        <v>35346.47</v>
      </c>
      <c r="Q27" s="164">
        <v>34653.33</v>
      </c>
      <c r="R27" s="164">
        <v>33940.080000000002</v>
      </c>
      <c r="S27" s="164">
        <v>33913.86</v>
      </c>
      <c r="T27" s="164">
        <v>33694.550000000003</v>
      </c>
      <c r="U27" s="164">
        <v>33168.82</v>
      </c>
      <c r="V27" s="164">
        <v>33402.89</v>
      </c>
      <c r="W27" s="164">
        <v>37570.9</v>
      </c>
      <c r="X27" s="164">
        <v>37967.11</v>
      </c>
      <c r="Y27" s="164">
        <v>36583.550000000003</v>
      </c>
      <c r="Z27" s="164">
        <v>34867.360000000001</v>
      </c>
      <c r="AA27" s="164">
        <v>32610.48</v>
      </c>
      <c r="AB27" s="164">
        <v>30082.55</v>
      </c>
      <c r="AC27" s="226">
        <f>SUM(E27:AB27)*D27+SUM(E28:AB28)*D28+SUM(E29:AB29)*D29+SUM(E30:AB30)*D30</f>
        <v>23042025.860000003</v>
      </c>
      <c r="AD27" s="19"/>
    </row>
    <row r="28" spans="2:31" ht="18.649999999999999" customHeight="1" x14ac:dyDescent="0.35">
      <c r="B28" s="213"/>
      <c r="C28" s="10" t="s">
        <v>30</v>
      </c>
      <c r="D28" s="94">
        <v>4</v>
      </c>
      <c r="E28" s="162">
        <v>26407.26</v>
      </c>
      <c r="F28" s="162">
        <v>24853.64</v>
      </c>
      <c r="G28" s="162">
        <v>23716.52</v>
      </c>
      <c r="H28" s="162">
        <v>22933.29</v>
      </c>
      <c r="I28" s="162">
        <v>22832.79</v>
      </c>
      <c r="J28" s="162">
        <v>22797.8</v>
      </c>
      <c r="K28" s="162">
        <v>23221.19</v>
      </c>
      <c r="L28" s="162">
        <v>26528.5</v>
      </c>
      <c r="M28" s="162">
        <v>29762.38</v>
      </c>
      <c r="N28" s="162">
        <v>31629.77</v>
      </c>
      <c r="O28" s="162">
        <v>33454.01</v>
      </c>
      <c r="P28" s="162">
        <v>34767.99</v>
      </c>
      <c r="Q28" s="162">
        <v>33900.43</v>
      </c>
      <c r="R28" s="162">
        <v>34315.11</v>
      </c>
      <c r="S28" s="162">
        <v>35349.949999999997</v>
      </c>
      <c r="T28" s="162">
        <v>35299.410000000003</v>
      </c>
      <c r="U28" s="162">
        <v>34718.93</v>
      </c>
      <c r="V28" s="162">
        <v>33947.39</v>
      </c>
      <c r="W28" s="162">
        <v>36784.29</v>
      </c>
      <c r="X28" s="162">
        <v>37571.629999999997</v>
      </c>
      <c r="Y28" s="162">
        <v>36412.199999999997</v>
      </c>
      <c r="Z28" s="162">
        <v>34508.47</v>
      </c>
      <c r="AA28" s="162">
        <v>31646.7</v>
      </c>
      <c r="AB28" s="162">
        <v>28662.16</v>
      </c>
      <c r="AC28" s="226"/>
      <c r="AD28" s="19"/>
    </row>
    <row r="29" spans="2:31" ht="18.649999999999999" customHeight="1" x14ac:dyDescent="0.35">
      <c r="B29" s="213"/>
      <c r="C29" s="10" t="s">
        <v>31</v>
      </c>
      <c r="D29" s="94">
        <v>5</v>
      </c>
      <c r="E29" s="162">
        <v>26384.13</v>
      </c>
      <c r="F29" s="162">
        <v>25155.13</v>
      </c>
      <c r="G29" s="162">
        <v>23894.73</v>
      </c>
      <c r="H29" s="162">
        <v>23224.560000000001</v>
      </c>
      <c r="I29" s="162">
        <v>23009.599999999999</v>
      </c>
      <c r="J29" s="162">
        <v>22314.46</v>
      </c>
      <c r="K29" s="162">
        <v>22200.880000000001</v>
      </c>
      <c r="L29" s="162">
        <v>24308.62</v>
      </c>
      <c r="M29" s="162">
        <v>26752.54</v>
      </c>
      <c r="N29" s="162">
        <v>28652.82</v>
      </c>
      <c r="O29" s="162">
        <v>30097.48</v>
      </c>
      <c r="P29" s="162">
        <v>31892.41</v>
      </c>
      <c r="Q29" s="162">
        <v>32897.94</v>
      </c>
      <c r="R29" s="162">
        <v>33088.480000000003</v>
      </c>
      <c r="S29" s="162">
        <v>33132.370000000003</v>
      </c>
      <c r="T29" s="162">
        <v>33207.1</v>
      </c>
      <c r="U29" s="162">
        <v>32817.29</v>
      </c>
      <c r="V29" s="162">
        <v>32827.15</v>
      </c>
      <c r="W29" s="162">
        <v>37278.67</v>
      </c>
      <c r="X29" s="162">
        <v>38883.370000000003</v>
      </c>
      <c r="Y29" s="162">
        <v>38616.18</v>
      </c>
      <c r="Z29" s="162">
        <v>37146.550000000003</v>
      </c>
      <c r="AA29" s="162">
        <v>34451.199999999997</v>
      </c>
      <c r="AB29" s="162">
        <v>31301.5</v>
      </c>
      <c r="AC29" s="226"/>
      <c r="AD29" s="19"/>
    </row>
    <row r="30" spans="2:31" ht="18.649999999999999" customHeight="1" thickBot="1" x14ac:dyDescent="0.4">
      <c r="B30" s="213"/>
      <c r="C30" s="16" t="s">
        <v>32</v>
      </c>
      <c r="D30" s="95">
        <v>3</v>
      </c>
      <c r="E30" s="163">
        <v>26384.13</v>
      </c>
      <c r="F30" s="163">
        <v>25155.13</v>
      </c>
      <c r="G30" s="163">
        <v>23894.73</v>
      </c>
      <c r="H30" s="163">
        <v>23224.560000000001</v>
      </c>
      <c r="I30" s="163">
        <v>23009.599999999999</v>
      </c>
      <c r="J30" s="163">
        <v>22314.46</v>
      </c>
      <c r="K30" s="163">
        <v>22200.880000000001</v>
      </c>
      <c r="L30" s="163">
        <v>24308.62</v>
      </c>
      <c r="M30" s="163">
        <v>26752.54</v>
      </c>
      <c r="N30" s="163">
        <v>28652.82</v>
      </c>
      <c r="O30" s="163">
        <v>30097.48</v>
      </c>
      <c r="P30" s="163">
        <v>31892.41</v>
      </c>
      <c r="Q30" s="163">
        <v>32897.94</v>
      </c>
      <c r="R30" s="163">
        <v>33088.480000000003</v>
      </c>
      <c r="S30" s="163">
        <v>33132.370000000003</v>
      </c>
      <c r="T30" s="163">
        <v>33207.1</v>
      </c>
      <c r="U30" s="163">
        <v>32817.29</v>
      </c>
      <c r="V30" s="163">
        <v>32827.15</v>
      </c>
      <c r="W30" s="163">
        <v>37278.67</v>
      </c>
      <c r="X30" s="163">
        <v>38883.370000000003</v>
      </c>
      <c r="Y30" s="163">
        <v>38616.18</v>
      </c>
      <c r="Z30" s="163">
        <v>37146.550000000003</v>
      </c>
      <c r="AA30" s="163">
        <v>34451.199999999997</v>
      </c>
      <c r="AB30" s="163">
        <v>31301.5</v>
      </c>
      <c r="AC30" s="226"/>
      <c r="AD30" s="19"/>
    </row>
    <row r="31" spans="2:31" ht="18.649999999999999" customHeight="1" x14ac:dyDescent="0.35">
      <c r="B31" s="222">
        <v>46539</v>
      </c>
      <c r="C31" s="7" t="s">
        <v>29</v>
      </c>
      <c r="D31" s="93">
        <v>21</v>
      </c>
      <c r="E31" s="161">
        <v>7841.29</v>
      </c>
      <c r="F31" s="161">
        <v>7203.78</v>
      </c>
      <c r="G31" s="161">
        <v>6732.76</v>
      </c>
      <c r="H31" s="161">
        <v>6418.45</v>
      </c>
      <c r="I31" s="161">
        <v>6334.49</v>
      </c>
      <c r="J31" s="161">
        <v>6214.07</v>
      </c>
      <c r="K31" s="161">
        <v>6401.19</v>
      </c>
      <c r="L31" s="161">
        <v>7774.51</v>
      </c>
      <c r="M31" s="161">
        <v>9284.57</v>
      </c>
      <c r="N31" s="161">
        <v>10213.049999999999</v>
      </c>
      <c r="O31" s="161">
        <v>11019.9</v>
      </c>
      <c r="P31" s="161">
        <v>11463.95</v>
      </c>
      <c r="Q31" s="161">
        <v>11220.89</v>
      </c>
      <c r="R31" s="161">
        <v>10942.37</v>
      </c>
      <c r="S31" s="161">
        <v>10955.82</v>
      </c>
      <c r="T31" s="161">
        <v>10909.94</v>
      </c>
      <c r="U31" s="161">
        <v>10748.76</v>
      </c>
      <c r="V31" s="161">
        <v>10765.58</v>
      </c>
      <c r="W31" s="161">
        <v>12123.76</v>
      </c>
      <c r="X31" s="161">
        <v>12368.2</v>
      </c>
      <c r="Y31" s="161">
        <v>11763.05</v>
      </c>
      <c r="Z31" s="161">
        <v>11072.39</v>
      </c>
      <c r="AA31" s="161">
        <v>10219.98</v>
      </c>
      <c r="AB31" s="161">
        <v>9256.86</v>
      </c>
      <c r="AC31" s="225">
        <f>SUM(E31:AB31)*D31+SUM(E32:AB32)*D32+SUM(E33:AB33)*D33+SUM(E34:AB34)*D34</f>
        <v>6843780.1600000001</v>
      </c>
      <c r="AD31" s="19"/>
    </row>
    <row r="32" spans="2:31" ht="18.649999999999999" customHeight="1" x14ac:dyDescent="0.35">
      <c r="B32" s="223" t="s">
        <v>34</v>
      </c>
      <c r="C32" s="10" t="s">
        <v>30</v>
      </c>
      <c r="D32" s="94">
        <v>4</v>
      </c>
      <c r="E32" s="162">
        <v>8224.08</v>
      </c>
      <c r="F32" s="162">
        <v>7573.31</v>
      </c>
      <c r="G32" s="162">
        <v>7078.8</v>
      </c>
      <c r="H32" s="162">
        <v>6735.68</v>
      </c>
      <c r="I32" s="162">
        <v>6695.3</v>
      </c>
      <c r="J32" s="162">
        <v>6826.56</v>
      </c>
      <c r="K32" s="162">
        <v>6906.83</v>
      </c>
      <c r="L32" s="162">
        <v>8246.32</v>
      </c>
      <c r="M32" s="162">
        <v>9661.41</v>
      </c>
      <c r="N32" s="162">
        <v>10480.25</v>
      </c>
      <c r="O32" s="162">
        <v>11252.92</v>
      </c>
      <c r="P32" s="162">
        <v>11757.17</v>
      </c>
      <c r="Q32" s="162">
        <v>11330.47</v>
      </c>
      <c r="R32" s="162">
        <v>11723.29</v>
      </c>
      <c r="S32" s="162">
        <v>12291.14</v>
      </c>
      <c r="T32" s="162">
        <v>12313.85</v>
      </c>
      <c r="U32" s="162">
        <v>11991.59</v>
      </c>
      <c r="V32" s="162">
        <v>11433.11</v>
      </c>
      <c r="W32" s="162">
        <v>12399.14</v>
      </c>
      <c r="X32" s="162">
        <v>12908.24</v>
      </c>
      <c r="Y32" s="162">
        <v>12499.85</v>
      </c>
      <c r="Z32" s="162">
        <v>11758.16</v>
      </c>
      <c r="AA32" s="162">
        <v>10549.02</v>
      </c>
      <c r="AB32" s="162">
        <v>9283.7099999999991</v>
      </c>
      <c r="AC32" s="226"/>
      <c r="AD32" s="19"/>
    </row>
    <row r="33" spans="2:30" ht="18.649999999999999" customHeight="1" x14ac:dyDescent="0.35">
      <c r="B33" s="223" t="s">
        <v>34</v>
      </c>
      <c r="C33" s="10" t="s">
        <v>31</v>
      </c>
      <c r="D33" s="94">
        <v>4</v>
      </c>
      <c r="E33" s="162">
        <v>7587.48</v>
      </c>
      <c r="F33" s="162">
        <v>7078.72</v>
      </c>
      <c r="G33" s="162">
        <v>6663</v>
      </c>
      <c r="H33" s="162">
        <v>6393.65</v>
      </c>
      <c r="I33" s="162">
        <v>6286.21</v>
      </c>
      <c r="J33" s="162">
        <v>5970.17</v>
      </c>
      <c r="K33" s="162">
        <v>5825.83</v>
      </c>
      <c r="L33" s="162">
        <v>6707.75</v>
      </c>
      <c r="M33" s="162">
        <v>7727.58</v>
      </c>
      <c r="N33" s="162">
        <v>8363.0499999999993</v>
      </c>
      <c r="O33" s="162">
        <v>9116.64</v>
      </c>
      <c r="P33" s="162">
        <v>9674.33</v>
      </c>
      <c r="Q33" s="162">
        <v>9958.76</v>
      </c>
      <c r="R33" s="162">
        <v>9899.4699999999993</v>
      </c>
      <c r="S33" s="162">
        <v>9775.5400000000009</v>
      </c>
      <c r="T33" s="162">
        <v>9661.6</v>
      </c>
      <c r="U33" s="162">
        <v>9549.4699999999993</v>
      </c>
      <c r="V33" s="162">
        <v>9768.9500000000007</v>
      </c>
      <c r="W33" s="162">
        <v>11551.86</v>
      </c>
      <c r="X33" s="162">
        <v>12209.62</v>
      </c>
      <c r="Y33" s="162">
        <v>11991.24</v>
      </c>
      <c r="Z33" s="162">
        <v>11363.45</v>
      </c>
      <c r="AA33" s="162">
        <v>10257.61</v>
      </c>
      <c r="AB33" s="162">
        <v>8989.5300000000007</v>
      </c>
      <c r="AC33" s="226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96">
        <v>1</v>
      </c>
      <c r="E34" s="106">
        <v>7587.48</v>
      </c>
      <c r="F34" s="106">
        <v>7078.72</v>
      </c>
      <c r="G34" s="106">
        <v>6663</v>
      </c>
      <c r="H34" s="106">
        <v>6393.65</v>
      </c>
      <c r="I34" s="106">
        <v>6286.21</v>
      </c>
      <c r="J34" s="106">
        <v>5970.17</v>
      </c>
      <c r="K34" s="106">
        <v>5825.83</v>
      </c>
      <c r="L34" s="106">
        <v>6707.75</v>
      </c>
      <c r="M34" s="106">
        <v>7727.58</v>
      </c>
      <c r="N34" s="106">
        <v>8363.0499999999993</v>
      </c>
      <c r="O34" s="106">
        <v>9116.64</v>
      </c>
      <c r="P34" s="106">
        <v>9674.33</v>
      </c>
      <c r="Q34" s="106">
        <v>9958.76</v>
      </c>
      <c r="R34" s="106">
        <v>9899.4699999999993</v>
      </c>
      <c r="S34" s="106">
        <v>9775.5400000000009</v>
      </c>
      <c r="T34" s="106">
        <v>9661.6</v>
      </c>
      <c r="U34" s="106">
        <v>9549.4699999999993</v>
      </c>
      <c r="V34" s="106">
        <v>9768.9500000000007</v>
      </c>
      <c r="W34" s="106">
        <v>11551.86</v>
      </c>
      <c r="X34" s="106">
        <v>12209.62</v>
      </c>
      <c r="Y34" s="106">
        <v>11991.24</v>
      </c>
      <c r="Z34" s="106">
        <v>11363.45</v>
      </c>
      <c r="AA34" s="106">
        <v>10257.61</v>
      </c>
      <c r="AB34" s="106">
        <v>8989.5300000000007</v>
      </c>
      <c r="AC34" s="227"/>
      <c r="AD34" s="19"/>
    </row>
    <row r="35" spans="2:30" ht="18.649999999999999" customHeight="1" x14ac:dyDescent="0.35">
      <c r="B35" s="212">
        <v>46569</v>
      </c>
      <c r="C35" s="14" t="s">
        <v>29</v>
      </c>
      <c r="D35" s="97">
        <v>20</v>
      </c>
      <c r="E35" s="164">
        <v>3260.06</v>
      </c>
      <c r="F35" s="164">
        <v>2862.54</v>
      </c>
      <c r="G35" s="164">
        <v>2600.4899999999998</v>
      </c>
      <c r="H35" s="164">
        <v>2406.5</v>
      </c>
      <c r="I35" s="164">
        <v>2376.41</v>
      </c>
      <c r="J35" s="164">
        <v>2342.0300000000002</v>
      </c>
      <c r="K35" s="164">
        <v>2409.62</v>
      </c>
      <c r="L35" s="164">
        <v>3273.98</v>
      </c>
      <c r="M35" s="164">
        <v>4279.57</v>
      </c>
      <c r="N35" s="164">
        <v>4849.28</v>
      </c>
      <c r="O35" s="164">
        <v>5361.73</v>
      </c>
      <c r="P35" s="164">
        <v>5594.89</v>
      </c>
      <c r="Q35" s="164">
        <v>5456.68</v>
      </c>
      <c r="R35" s="164">
        <v>5311.67</v>
      </c>
      <c r="S35" s="164">
        <v>5328.57</v>
      </c>
      <c r="T35" s="164">
        <v>5356.85</v>
      </c>
      <c r="U35" s="164">
        <v>5212.04</v>
      </c>
      <c r="V35" s="164">
        <v>5189.09</v>
      </c>
      <c r="W35" s="164">
        <v>6052.11</v>
      </c>
      <c r="X35" s="164">
        <v>6345.8</v>
      </c>
      <c r="Y35" s="164">
        <v>5984.5</v>
      </c>
      <c r="Z35" s="164">
        <v>5497.47</v>
      </c>
      <c r="AA35" s="164">
        <v>4877.8100000000004</v>
      </c>
      <c r="AB35" s="164">
        <v>4217.6499999999996</v>
      </c>
      <c r="AC35" s="226">
        <f>SUM(E35:AB35)*D35+SUM(E36:AB36)*D36+SUM(E37:AB37)*D37+SUM(E38:AB38)*D38</f>
        <v>3320362.4099999997</v>
      </c>
      <c r="AD35" s="19"/>
    </row>
    <row r="36" spans="2:30" ht="18.649999999999999" customHeight="1" x14ac:dyDescent="0.35">
      <c r="B36" s="213"/>
      <c r="C36" s="10" t="s">
        <v>30</v>
      </c>
      <c r="D36" s="94">
        <v>5</v>
      </c>
      <c r="E36" s="162">
        <v>3785.77</v>
      </c>
      <c r="F36" s="162">
        <v>3325.62</v>
      </c>
      <c r="G36" s="162">
        <v>2988.36</v>
      </c>
      <c r="H36" s="162">
        <v>2750.41</v>
      </c>
      <c r="I36" s="162">
        <v>2734</v>
      </c>
      <c r="J36" s="162">
        <v>2875.67</v>
      </c>
      <c r="K36" s="162">
        <v>2921.86</v>
      </c>
      <c r="L36" s="162">
        <v>3785.64</v>
      </c>
      <c r="M36" s="162">
        <v>4715.3900000000003</v>
      </c>
      <c r="N36" s="162">
        <v>5243.8</v>
      </c>
      <c r="O36" s="162">
        <v>5777.83</v>
      </c>
      <c r="P36" s="162">
        <v>6163.21</v>
      </c>
      <c r="Q36" s="162">
        <v>5871.59</v>
      </c>
      <c r="R36" s="162">
        <v>6089.5</v>
      </c>
      <c r="S36" s="162">
        <v>6455.7</v>
      </c>
      <c r="T36" s="162">
        <v>6455.8</v>
      </c>
      <c r="U36" s="162">
        <v>6237.22</v>
      </c>
      <c r="V36" s="162">
        <v>5914.77</v>
      </c>
      <c r="W36" s="162">
        <v>6664.88</v>
      </c>
      <c r="X36" s="162">
        <v>6905.25</v>
      </c>
      <c r="Y36" s="162">
        <v>6653.59</v>
      </c>
      <c r="Z36" s="162">
        <v>6158.02</v>
      </c>
      <c r="AA36" s="162">
        <v>5343.4</v>
      </c>
      <c r="AB36" s="162">
        <v>4466.47</v>
      </c>
      <c r="AC36" s="226"/>
      <c r="AD36" s="19"/>
    </row>
    <row r="37" spans="2:30" ht="18.649999999999999" customHeight="1" x14ac:dyDescent="0.35">
      <c r="B37" s="213"/>
      <c r="C37" s="10" t="s">
        <v>31</v>
      </c>
      <c r="D37" s="94">
        <v>4</v>
      </c>
      <c r="E37" s="162">
        <v>3286.87</v>
      </c>
      <c r="F37" s="162">
        <v>2954</v>
      </c>
      <c r="G37" s="162">
        <v>2672.22</v>
      </c>
      <c r="H37" s="162">
        <v>2414.2800000000002</v>
      </c>
      <c r="I37" s="162">
        <v>2327.6799999999998</v>
      </c>
      <c r="J37" s="162">
        <v>2213.4899999999998</v>
      </c>
      <c r="K37" s="162">
        <v>2076.0100000000002</v>
      </c>
      <c r="L37" s="162">
        <v>2603.64</v>
      </c>
      <c r="M37" s="162">
        <v>3293.16</v>
      </c>
      <c r="N37" s="162">
        <v>3849.56</v>
      </c>
      <c r="O37" s="162">
        <v>4248.62</v>
      </c>
      <c r="P37" s="162">
        <v>4450.87</v>
      </c>
      <c r="Q37" s="162">
        <v>4797.88</v>
      </c>
      <c r="R37" s="162">
        <v>4820.68</v>
      </c>
      <c r="S37" s="162">
        <v>4803.24</v>
      </c>
      <c r="T37" s="162">
        <v>4831.3599999999997</v>
      </c>
      <c r="U37" s="162">
        <v>4754.57</v>
      </c>
      <c r="V37" s="162">
        <v>4666.22</v>
      </c>
      <c r="W37" s="162">
        <v>5682.55</v>
      </c>
      <c r="X37" s="162">
        <v>6268.54</v>
      </c>
      <c r="Y37" s="162">
        <v>6116.16</v>
      </c>
      <c r="Z37" s="162">
        <v>5735.4</v>
      </c>
      <c r="AA37" s="162">
        <v>5091.42</v>
      </c>
      <c r="AB37" s="162">
        <v>4374.3900000000003</v>
      </c>
      <c r="AC37" s="226"/>
      <c r="AD37" s="19"/>
    </row>
    <row r="38" spans="2:30" ht="18.649999999999999" customHeight="1" thickBot="1" x14ac:dyDescent="0.4">
      <c r="B38" s="213"/>
      <c r="C38" s="16" t="s">
        <v>32</v>
      </c>
      <c r="D38" s="95">
        <v>2</v>
      </c>
      <c r="E38" s="163">
        <v>3286.87</v>
      </c>
      <c r="F38" s="163">
        <v>2954</v>
      </c>
      <c r="G38" s="163">
        <v>2672.22</v>
      </c>
      <c r="H38" s="163">
        <v>2414.2800000000002</v>
      </c>
      <c r="I38" s="163">
        <v>2327.6799999999998</v>
      </c>
      <c r="J38" s="163">
        <v>2213.4899999999998</v>
      </c>
      <c r="K38" s="163">
        <v>2076.0100000000002</v>
      </c>
      <c r="L38" s="163">
        <v>2603.64</v>
      </c>
      <c r="M38" s="163">
        <v>3293.16</v>
      </c>
      <c r="N38" s="163">
        <v>3849.56</v>
      </c>
      <c r="O38" s="163">
        <v>4248.62</v>
      </c>
      <c r="P38" s="163">
        <v>4450.87</v>
      </c>
      <c r="Q38" s="163">
        <v>4797.88</v>
      </c>
      <c r="R38" s="163">
        <v>4820.68</v>
      </c>
      <c r="S38" s="163">
        <v>4803.24</v>
      </c>
      <c r="T38" s="163">
        <v>4831.3599999999997</v>
      </c>
      <c r="U38" s="163">
        <v>4754.57</v>
      </c>
      <c r="V38" s="163">
        <v>4666.22</v>
      </c>
      <c r="W38" s="163">
        <v>5682.55</v>
      </c>
      <c r="X38" s="163">
        <v>6268.54</v>
      </c>
      <c r="Y38" s="163">
        <v>6116.16</v>
      </c>
      <c r="Z38" s="163">
        <v>5735.4</v>
      </c>
      <c r="AA38" s="163">
        <v>5091.42</v>
      </c>
      <c r="AB38" s="163">
        <v>4374.3900000000003</v>
      </c>
      <c r="AC38" s="226"/>
      <c r="AD38" s="19"/>
    </row>
    <row r="39" spans="2:30" ht="18.649999999999999" customHeight="1" x14ac:dyDescent="0.35">
      <c r="B39" s="222">
        <v>46600</v>
      </c>
      <c r="C39" s="7" t="s">
        <v>29</v>
      </c>
      <c r="D39" s="93">
        <v>21</v>
      </c>
      <c r="E39" s="161">
        <v>8660.9599999999991</v>
      </c>
      <c r="F39" s="161">
        <v>7924.82</v>
      </c>
      <c r="G39" s="161">
        <v>7375.58</v>
      </c>
      <c r="H39" s="161">
        <v>7007.76</v>
      </c>
      <c r="I39" s="161">
        <v>6872.65</v>
      </c>
      <c r="J39" s="161">
        <v>6838.61</v>
      </c>
      <c r="K39" s="161">
        <v>6877.49</v>
      </c>
      <c r="L39" s="161">
        <v>8248.02</v>
      </c>
      <c r="M39" s="161">
        <v>9791.15</v>
      </c>
      <c r="N39" s="161">
        <v>10739.55</v>
      </c>
      <c r="O39" s="161">
        <v>11527.19</v>
      </c>
      <c r="P39" s="161">
        <v>12029.65</v>
      </c>
      <c r="Q39" s="161">
        <v>11747.07</v>
      </c>
      <c r="R39" s="161">
        <v>11508.42</v>
      </c>
      <c r="S39" s="161">
        <v>11483.56</v>
      </c>
      <c r="T39" s="161">
        <v>11349.05</v>
      </c>
      <c r="U39" s="161">
        <v>11021.33</v>
      </c>
      <c r="V39" s="161">
        <v>11000.08</v>
      </c>
      <c r="W39" s="161">
        <v>12450.68</v>
      </c>
      <c r="X39" s="161">
        <v>12674.65</v>
      </c>
      <c r="Y39" s="161">
        <v>12156.69</v>
      </c>
      <c r="Z39" s="161">
        <v>11442.57</v>
      </c>
      <c r="AA39" s="161">
        <v>10435.15</v>
      </c>
      <c r="AB39" s="161">
        <v>9362.33</v>
      </c>
      <c r="AC39" s="225">
        <f>SUM(E39:AB39)*D39+SUM(E40:AB40)*D40+SUM(E41:AB41)*D41+SUM(E42:AB42)*D42</f>
        <v>7378162.379999999</v>
      </c>
      <c r="AD39" s="19"/>
    </row>
    <row r="40" spans="2:30" ht="18.649999999999999" customHeight="1" x14ac:dyDescent="0.35">
      <c r="B40" s="223" t="s">
        <v>34</v>
      </c>
      <c r="C40" s="10" t="s">
        <v>30</v>
      </c>
      <c r="D40" s="94">
        <v>3</v>
      </c>
      <c r="E40" s="162">
        <v>8480.4699999999993</v>
      </c>
      <c r="F40" s="162">
        <v>7811.35</v>
      </c>
      <c r="G40" s="162">
        <v>7299.58</v>
      </c>
      <c r="H40" s="162">
        <v>6938.69</v>
      </c>
      <c r="I40" s="162">
        <v>6904.23</v>
      </c>
      <c r="J40" s="162">
        <v>7098.98</v>
      </c>
      <c r="K40" s="162">
        <v>7228.09</v>
      </c>
      <c r="L40" s="162">
        <v>8623.1</v>
      </c>
      <c r="M40" s="162">
        <v>10052.620000000001</v>
      </c>
      <c r="N40" s="162">
        <v>10862.42</v>
      </c>
      <c r="O40" s="162">
        <v>11702.98</v>
      </c>
      <c r="P40" s="162">
        <v>12271.73</v>
      </c>
      <c r="Q40" s="162">
        <v>11828.56</v>
      </c>
      <c r="R40" s="162">
        <v>12226.55</v>
      </c>
      <c r="S40" s="162">
        <v>12824.8</v>
      </c>
      <c r="T40" s="162">
        <v>12837.48</v>
      </c>
      <c r="U40" s="162">
        <v>12508.68</v>
      </c>
      <c r="V40" s="162">
        <v>12214.4</v>
      </c>
      <c r="W40" s="162">
        <v>13478.86</v>
      </c>
      <c r="X40" s="162">
        <v>13403.8</v>
      </c>
      <c r="Y40" s="162">
        <v>12928.86</v>
      </c>
      <c r="Z40" s="162">
        <v>12107.14</v>
      </c>
      <c r="AA40" s="162">
        <v>10797.45</v>
      </c>
      <c r="AB40" s="162">
        <v>9453.7900000000009</v>
      </c>
      <c r="AC40" s="226"/>
      <c r="AD40" s="19"/>
    </row>
    <row r="41" spans="2:30" ht="18.649999999999999" customHeight="1" x14ac:dyDescent="0.35">
      <c r="B41" s="223" t="s">
        <v>34</v>
      </c>
      <c r="C41" s="10" t="s">
        <v>31</v>
      </c>
      <c r="D41" s="94">
        <v>5</v>
      </c>
      <c r="E41" s="162">
        <v>8473.76</v>
      </c>
      <c r="F41" s="162">
        <v>7771.56</v>
      </c>
      <c r="G41" s="162">
        <v>7226.19</v>
      </c>
      <c r="H41" s="162">
        <v>6831.74</v>
      </c>
      <c r="I41" s="162">
        <v>6666.2</v>
      </c>
      <c r="J41" s="162">
        <v>6443.16</v>
      </c>
      <c r="K41" s="162">
        <v>6199.13</v>
      </c>
      <c r="L41" s="162">
        <v>7013.85</v>
      </c>
      <c r="M41" s="162">
        <v>7910.84</v>
      </c>
      <c r="N41" s="162">
        <v>8719.24</v>
      </c>
      <c r="O41" s="162">
        <v>9485.68</v>
      </c>
      <c r="P41" s="162">
        <v>10141.48</v>
      </c>
      <c r="Q41" s="162">
        <v>10382.799999999999</v>
      </c>
      <c r="R41" s="162">
        <v>10308.969999999999</v>
      </c>
      <c r="S41" s="162">
        <v>10240.16</v>
      </c>
      <c r="T41" s="162">
        <v>10288.73</v>
      </c>
      <c r="U41" s="162">
        <v>10149.26</v>
      </c>
      <c r="V41" s="162">
        <v>10132.120000000001</v>
      </c>
      <c r="W41" s="162">
        <v>11887.1</v>
      </c>
      <c r="X41" s="162">
        <v>12838.5</v>
      </c>
      <c r="Y41" s="162">
        <v>12743.36</v>
      </c>
      <c r="Z41" s="162">
        <v>12075.74</v>
      </c>
      <c r="AA41" s="162">
        <v>10918.09</v>
      </c>
      <c r="AB41" s="162">
        <v>9649.9599999999991</v>
      </c>
      <c r="AC41" s="226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96">
        <v>2</v>
      </c>
      <c r="E42" s="106">
        <v>8473.76</v>
      </c>
      <c r="F42" s="106">
        <v>7771.56</v>
      </c>
      <c r="G42" s="106">
        <v>7226.19</v>
      </c>
      <c r="H42" s="106">
        <v>6831.74</v>
      </c>
      <c r="I42" s="106">
        <v>6666.2</v>
      </c>
      <c r="J42" s="106">
        <v>6443.16</v>
      </c>
      <c r="K42" s="106">
        <v>6199.13</v>
      </c>
      <c r="L42" s="106">
        <v>7013.85</v>
      </c>
      <c r="M42" s="106">
        <v>7910.84</v>
      </c>
      <c r="N42" s="106">
        <v>8719.24</v>
      </c>
      <c r="O42" s="106">
        <v>9485.68</v>
      </c>
      <c r="P42" s="106">
        <v>10141.48</v>
      </c>
      <c r="Q42" s="106">
        <v>10382.799999999999</v>
      </c>
      <c r="R42" s="106">
        <v>10308.969999999999</v>
      </c>
      <c r="S42" s="106">
        <v>10240.16</v>
      </c>
      <c r="T42" s="106">
        <v>10288.73</v>
      </c>
      <c r="U42" s="106">
        <v>10149.26</v>
      </c>
      <c r="V42" s="106">
        <v>10132.120000000001</v>
      </c>
      <c r="W42" s="106">
        <v>11887.1</v>
      </c>
      <c r="X42" s="106">
        <v>12838.5</v>
      </c>
      <c r="Y42" s="106">
        <v>12743.36</v>
      </c>
      <c r="Z42" s="106">
        <v>12075.74</v>
      </c>
      <c r="AA42" s="106">
        <v>10918.09</v>
      </c>
      <c r="AB42" s="106">
        <v>9649.9599999999991</v>
      </c>
      <c r="AC42" s="227"/>
      <c r="AD42" s="19"/>
    </row>
    <row r="43" spans="2:30" ht="18.649999999999999" customHeight="1" x14ac:dyDescent="0.35">
      <c r="B43" s="212">
        <v>46631</v>
      </c>
      <c r="C43" s="14" t="s">
        <v>29</v>
      </c>
      <c r="D43" s="97">
        <v>22</v>
      </c>
      <c r="E43" s="164">
        <v>9090.9599999999991</v>
      </c>
      <c r="F43" s="164">
        <v>8371.77</v>
      </c>
      <c r="G43" s="164">
        <v>7815.32</v>
      </c>
      <c r="H43" s="164">
        <v>7421.12</v>
      </c>
      <c r="I43" s="164">
        <v>7305.45</v>
      </c>
      <c r="J43" s="164">
        <v>7146.59</v>
      </c>
      <c r="K43" s="164">
        <v>7225.17</v>
      </c>
      <c r="L43" s="164">
        <v>8679.0499999999993</v>
      </c>
      <c r="M43" s="164">
        <v>10231.81</v>
      </c>
      <c r="N43" s="164">
        <v>11127.3</v>
      </c>
      <c r="O43" s="164">
        <v>11890.23</v>
      </c>
      <c r="P43" s="164">
        <v>12268.97</v>
      </c>
      <c r="Q43" s="164">
        <v>11941.5</v>
      </c>
      <c r="R43" s="164">
        <v>11696.99</v>
      </c>
      <c r="S43" s="164">
        <v>11677.03</v>
      </c>
      <c r="T43" s="164">
        <v>11648.36</v>
      </c>
      <c r="U43" s="164">
        <v>11399.39</v>
      </c>
      <c r="V43" s="164">
        <v>11591.47</v>
      </c>
      <c r="W43" s="164">
        <v>13315.81</v>
      </c>
      <c r="X43" s="164">
        <v>13141.02</v>
      </c>
      <c r="Y43" s="164">
        <v>12511.43</v>
      </c>
      <c r="Z43" s="164">
        <v>11728.96</v>
      </c>
      <c r="AA43" s="164">
        <v>10787.59</v>
      </c>
      <c r="AB43" s="164">
        <v>9749.7999999999993</v>
      </c>
      <c r="AC43" s="226">
        <f>SUM(E43:AB43)*D43+SUM(E44:AB44)*D44+SUM(E45:AB45)*D45+SUM(E46:AB46)*D46</f>
        <v>7560028.7799999993</v>
      </c>
      <c r="AD43" s="19"/>
    </row>
    <row r="44" spans="2:30" ht="18.649999999999999" customHeight="1" x14ac:dyDescent="0.35">
      <c r="B44" s="213"/>
      <c r="C44" s="10" t="s">
        <v>30</v>
      </c>
      <c r="D44" s="94">
        <v>4</v>
      </c>
      <c r="E44" s="162">
        <v>8172.86</v>
      </c>
      <c r="F44" s="162">
        <v>7509.9</v>
      </c>
      <c r="G44" s="162">
        <v>7047.28</v>
      </c>
      <c r="H44" s="162">
        <v>6706.28</v>
      </c>
      <c r="I44" s="162">
        <v>6711.88</v>
      </c>
      <c r="J44" s="162">
        <v>6905.98</v>
      </c>
      <c r="K44" s="162">
        <v>7148.32</v>
      </c>
      <c r="L44" s="162">
        <v>8630.42</v>
      </c>
      <c r="M44" s="162">
        <v>10074</v>
      </c>
      <c r="N44" s="162">
        <v>10861.78</v>
      </c>
      <c r="O44" s="162">
        <v>11695.35</v>
      </c>
      <c r="P44" s="162">
        <v>12269.86</v>
      </c>
      <c r="Q44" s="162">
        <v>11775.32</v>
      </c>
      <c r="R44" s="162">
        <v>12152.59</v>
      </c>
      <c r="S44" s="162">
        <v>12789.01</v>
      </c>
      <c r="T44" s="162">
        <v>12821.09</v>
      </c>
      <c r="U44" s="162">
        <v>12452.28</v>
      </c>
      <c r="V44" s="162">
        <v>12500.43</v>
      </c>
      <c r="W44" s="162">
        <v>13555.79</v>
      </c>
      <c r="X44" s="162">
        <v>13240.62</v>
      </c>
      <c r="Y44" s="162">
        <v>12657.29</v>
      </c>
      <c r="Z44" s="162">
        <v>11798.37</v>
      </c>
      <c r="AA44" s="162">
        <v>10560.72</v>
      </c>
      <c r="AB44" s="162">
        <v>9274.84</v>
      </c>
      <c r="AC44" s="226"/>
      <c r="AD44" s="19"/>
    </row>
    <row r="45" spans="2:30" ht="18.649999999999999" customHeight="1" x14ac:dyDescent="0.35">
      <c r="B45" s="213"/>
      <c r="C45" s="10" t="s">
        <v>31</v>
      </c>
      <c r="D45" s="94">
        <v>4</v>
      </c>
      <c r="E45" s="162">
        <v>8574.43</v>
      </c>
      <c r="F45" s="162">
        <v>7914.02</v>
      </c>
      <c r="G45" s="162">
        <v>7425.14</v>
      </c>
      <c r="H45" s="162">
        <v>7055.87</v>
      </c>
      <c r="I45" s="162">
        <v>7075.18</v>
      </c>
      <c r="J45" s="162">
        <v>7455.74</v>
      </c>
      <c r="K45" s="162">
        <v>7695.53</v>
      </c>
      <c r="L45" s="162">
        <v>9267.9</v>
      </c>
      <c r="M45" s="162">
        <v>10824.77</v>
      </c>
      <c r="N45" s="162">
        <v>11648.95</v>
      </c>
      <c r="O45" s="162">
        <v>12587.13</v>
      </c>
      <c r="P45" s="162">
        <v>13218.74</v>
      </c>
      <c r="Q45" s="162">
        <v>12577.48</v>
      </c>
      <c r="R45" s="162">
        <v>13199.06</v>
      </c>
      <c r="S45" s="162">
        <v>14080.52</v>
      </c>
      <c r="T45" s="162">
        <v>14104.42</v>
      </c>
      <c r="U45" s="162">
        <v>13670.77</v>
      </c>
      <c r="V45" s="162">
        <v>13131.66</v>
      </c>
      <c r="W45" s="162">
        <v>14191.6</v>
      </c>
      <c r="X45" s="162">
        <v>14049.85</v>
      </c>
      <c r="Y45" s="162">
        <v>13558.42</v>
      </c>
      <c r="Z45" s="162">
        <v>12681.68</v>
      </c>
      <c r="AA45" s="162">
        <v>11232.61</v>
      </c>
      <c r="AB45" s="162">
        <v>9776.4699999999993</v>
      </c>
      <c r="AC45" s="226"/>
      <c r="AD45" s="19"/>
    </row>
    <row r="46" spans="2:30" ht="18.649999999999999" customHeight="1" thickBot="1" x14ac:dyDescent="0.4">
      <c r="B46" s="213"/>
      <c r="C46" s="16" t="s">
        <v>32</v>
      </c>
      <c r="D46" s="95">
        <v>0</v>
      </c>
      <c r="E46" s="106">
        <v>0</v>
      </c>
      <c r="F46" s="106">
        <v>0</v>
      </c>
      <c r="G46" s="106">
        <v>0</v>
      </c>
      <c r="H46" s="106">
        <v>0</v>
      </c>
      <c r="I46" s="106">
        <v>0</v>
      </c>
      <c r="J46" s="106">
        <v>0</v>
      </c>
      <c r="K46" s="106">
        <v>0</v>
      </c>
      <c r="L46" s="106">
        <v>0</v>
      </c>
      <c r="M46" s="106">
        <v>0</v>
      </c>
      <c r="N46" s="106">
        <v>0</v>
      </c>
      <c r="O46" s="106">
        <v>0</v>
      </c>
      <c r="P46" s="106">
        <v>0</v>
      </c>
      <c r="Q46" s="106">
        <v>0</v>
      </c>
      <c r="R46" s="106">
        <v>0</v>
      </c>
      <c r="S46" s="106">
        <v>0</v>
      </c>
      <c r="T46" s="106">
        <v>0</v>
      </c>
      <c r="U46" s="106">
        <v>0</v>
      </c>
      <c r="V46" s="106">
        <v>0</v>
      </c>
      <c r="W46" s="106">
        <v>0</v>
      </c>
      <c r="X46" s="106">
        <v>0</v>
      </c>
      <c r="Y46" s="106">
        <v>0</v>
      </c>
      <c r="Z46" s="106">
        <v>0</v>
      </c>
      <c r="AA46" s="106">
        <v>0</v>
      </c>
      <c r="AB46" s="106">
        <v>0</v>
      </c>
      <c r="AC46" s="226"/>
      <c r="AD46" s="19"/>
    </row>
    <row r="47" spans="2:30" ht="18.649999999999999" customHeight="1" x14ac:dyDescent="0.35">
      <c r="B47" s="222">
        <v>46661</v>
      </c>
      <c r="C47" s="7" t="s">
        <v>29</v>
      </c>
      <c r="D47" s="93">
        <v>20</v>
      </c>
      <c r="E47" s="161">
        <v>11351.84</v>
      </c>
      <c r="F47" s="161">
        <v>10524.97</v>
      </c>
      <c r="G47" s="161">
        <v>9866.81</v>
      </c>
      <c r="H47" s="161">
        <v>9322.7800000000007</v>
      </c>
      <c r="I47" s="161">
        <v>9116.36</v>
      </c>
      <c r="J47" s="161">
        <v>9001.73</v>
      </c>
      <c r="K47" s="161">
        <v>9297.2900000000009</v>
      </c>
      <c r="L47" s="161">
        <v>11091.15</v>
      </c>
      <c r="M47" s="161">
        <v>12924.69</v>
      </c>
      <c r="N47" s="161">
        <v>13989.07</v>
      </c>
      <c r="O47" s="161">
        <v>14970.04</v>
      </c>
      <c r="P47" s="161">
        <v>15484.59</v>
      </c>
      <c r="Q47" s="161">
        <v>15120.53</v>
      </c>
      <c r="R47" s="161">
        <v>14882.17</v>
      </c>
      <c r="S47" s="161">
        <v>14964.04</v>
      </c>
      <c r="T47" s="161">
        <v>14924.64</v>
      </c>
      <c r="U47" s="161">
        <v>14668.42</v>
      </c>
      <c r="V47" s="161">
        <v>15179.76</v>
      </c>
      <c r="W47" s="161">
        <v>17019.490000000002</v>
      </c>
      <c r="X47" s="161">
        <v>16651.560000000001</v>
      </c>
      <c r="Y47" s="161">
        <v>15885.52</v>
      </c>
      <c r="Z47" s="161">
        <v>14911.99</v>
      </c>
      <c r="AA47" s="161">
        <v>13750.85</v>
      </c>
      <c r="AB47" s="161">
        <v>12509.28</v>
      </c>
      <c r="AC47" s="225">
        <f>SUM(E47:AB47)*D47+SUM(E48:AB48)*D48+SUM(E49:AB49)*D49+SUM(E50:AB50)*D50</f>
        <v>9628746.8600000013</v>
      </c>
      <c r="AD47" s="19"/>
    </row>
    <row r="48" spans="2:30" ht="18.649999999999999" customHeight="1" x14ac:dyDescent="0.35">
      <c r="B48" s="223" t="s">
        <v>34</v>
      </c>
      <c r="C48" s="10" t="s">
        <v>30</v>
      </c>
      <c r="D48" s="94">
        <v>5</v>
      </c>
      <c r="E48" s="162">
        <v>10198.44</v>
      </c>
      <c r="F48" s="162">
        <v>9447.74</v>
      </c>
      <c r="G48" s="162">
        <v>8892.31</v>
      </c>
      <c r="H48" s="162">
        <v>8559.41</v>
      </c>
      <c r="I48" s="162">
        <v>8605.9699999999993</v>
      </c>
      <c r="J48" s="162">
        <v>8871.07</v>
      </c>
      <c r="K48" s="162">
        <v>9122.4500000000007</v>
      </c>
      <c r="L48" s="162">
        <v>10775.07</v>
      </c>
      <c r="M48" s="162">
        <v>12424.85</v>
      </c>
      <c r="N48" s="162">
        <v>13391.61</v>
      </c>
      <c r="O48" s="162">
        <v>14278.67</v>
      </c>
      <c r="P48" s="162">
        <v>14940.33</v>
      </c>
      <c r="Q48" s="162">
        <v>14379.21</v>
      </c>
      <c r="R48" s="162">
        <v>14633.42</v>
      </c>
      <c r="S48" s="162">
        <v>15212.42</v>
      </c>
      <c r="T48" s="162">
        <v>15267.45</v>
      </c>
      <c r="U48" s="162">
        <v>15004.72</v>
      </c>
      <c r="V48" s="162">
        <v>15368.17</v>
      </c>
      <c r="W48" s="162">
        <v>16773.78</v>
      </c>
      <c r="X48" s="162">
        <v>16350.54</v>
      </c>
      <c r="Y48" s="162">
        <v>15520.87</v>
      </c>
      <c r="Z48" s="162">
        <v>14378.55</v>
      </c>
      <c r="AA48" s="162">
        <v>12889</v>
      </c>
      <c r="AB48" s="162">
        <v>11396.07</v>
      </c>
      <c r="AC48" s="226"/>
      <c r="AD48" s="19"/>
    </row>
    <row r="49" spans="2:31" ht="18.649999999999999" customHeight="1" x14ac:dyDescent="0.35">
      <c r="B49" s="223" t="s">
        <v>34</v>
      </c>
      <c r="C49" s="10" t="s">
        <v>31</v>
      </c>
      <c r="D49" s="94">
        <v>5</v>
      </c>
      <c r="E49" s="162">
        <v>10360.93</v>
      </c>
      <c r="F49" s="162">
        <v>9710.6</v>
      </c>
      <c r="G49" s="162">
        <v>9193.34</v>
      </c>
      <c r="H49" s="162">
        <v>8875.0300000000007</v>
      </c>
      <c r="I49" s="162">
        <v>8764.51</v>
      </c>
      <c r="J49" s="162">
        <v>8547.58</v>
      </c>
      <c r="K49" s="162">
        <v>8225.31</v>
      </c>
      <c r="L49" s="162">
        <v>9264.98</v>
      </c>
      <c r="M49" s="162">
        <v>10127.49</v>
      </c>
      <c r="N49" s="162">
        <v>11329.59</v>
      </c>
      <c r="O49" s="162">
        <v>12267.77</v>
      </c>
      <c r="P49" s="162">
        <v>13009.79</v>
      </c>
      <c r="Q49" s="162">
        <v>13386.3</v>
      </c>
      <c r="R49" s="162">
        <v>13394.1</v>
      </c>
      <c r="S49" s="162">
        <v>13424.5</v>
      </c>
      <c r="T49" s="162">
        <v>13470.89</v>
      </c>
      <c r="U49" s="162">
        <v>13304.05</v>
      </c>
      <c r="V49" s="162">
        <v>14081.54</v>
      </c>
      <c r="W49" s="162">
        <v>16260.78</v>
      </c>
      <c r="X49" s="162">
        <v>16521.07</v>
      </c>
      <c r="Y49" s="162">
        <v>16182.96</v>
      </c>
      <c r="Z49" s="162">
        <v>15383.65</v>
      </c>
      <c r="AA49" s="162">
        <v>13864.41</v>
      </c>
      <c r="AB49" s="162">
        <v>12239.64</v>
      </c>
      <c r="AC49" s="226"/>
      <c r="AD49" s="19"/>
    </row>
    <row r="50" spans="2:31" ht="18.649999999999999" customHeight="1" thickBot="1" x14ac:dyDescent="0.4">
      <c r="B50" s="224" t="s">
        <v>34</v>
      </c>
      <c r="C50" s="12" t="s">
        <v>32</v>
      </c>
      <c r="D50" s="96">
        <v>1</v>
      </c>
      <c r="E50" s="106">
        <v>10360.93</v>
      </c>
      <c r="F50" s="106">
        <v>9710.6</v>
      </c>
      <c r="G50" s="106">
        <v>9193.34</v>
      </c>
      <c r="H50" s="106">
        <v>8875.0300000000007</v>
      </c>
      <c r="I50" s="106">
        <v>8764.51</v>
      </c>
      <c r="J50" s="106">
        <v>8547.58</v>
      </c>
      <c r="K50" s="106">
        <v>8225.31</v>
      </c>
      <c r="L50" s="106">
        <v>9264.98</v>
      </c>
      <c r="M50" s="106">
        <v>10127.49</v>
      </c>
      <c r="N50" s="106">
        <v>11329.59</v>
      </c>
      <c r="O50" s="106">
        <v>12267.77</v>
      </c>
      <c r="P50" s="106">
        <v>13009.79</v>
      </c>
      <c r="Q50" s="106">
        <v>13386.3</v>
      </c>
      <c r="R50" s="106">
        <v>13394.1</v>
      </c>
      <c r="S50" s="106">
        <v>13424.5</v>
      </c>
      <c r="T50" s="106">
        <v>13470.89</v>
      </c>
      <c r="U50" s="106">
        <v>13304.05</v>
      </c>
      <c r="V50" s="106">
        <v>14081.54</v>
      </c>
      <c r="W50" s="106">
        <v>16260.78</v>
      </c>
      <c r="X50" s="106">
        <v>16521.07</v>
      </c>
      <c r="Y50" s="106">
        <v>16182.96</v>
      </c>
      <c r="Z50" s="106">
        <v>15383.65</v>
      </c>
      <c r="AA50" s="106">
        <v>13864.41</v>
      </c>
      <c r="AB50" s="106">
        <v>12239.64</v>
      </c>
      <c r="AC50" s="227"/>
      <c r="AD50" s="19"/>
    </row>
    <row r="51" spans="2:31" ht="18.649999999999999" customHeight="1" x14ac:dyDescent="0.35">
      <c r="B51" s="212">
        <v>46692</v>
      </c>
      <c r="C51" s="14" t="s">
        <v>29</v>
      </c>
      <c r="D51" s="97">
        <v>20</v>
      </c>
      <c r="E51" s="164">
        <v>15381.33</v>
      </c>
      <c r="F51" s="164">
        <v>14384.27</v>
      </c>
      <c r="G51" s="164">
        <v>13664.11</v>
      </c>
      <c r="H51" s="164">
        <v>13192.61</v>
      </c>
      <c r="I51" s="164">
        <v>13196.82</v>
      </c>
      <c r="J51" s="164">
        <v>13348.19</v>
      </c>
      <c r="K51" s="164">
        <v>13475.14</v>
      </c>
      <c r="L51" s="164">
        <v>15791.99</v>
      </c>
      <c r="M51" s="164">
        <v>18264.78</v>
      </c>
      <c r="N51" s="164">
        <v>19839.13</v>
      </c>
      <c r="O51" s="164">
        <v>21027.83</v>
      </c>
      <c r="P51" s="164">
        <v>21651.33</v>
      </c>
      <c r="Q51" s="164">
        <v>21116.41</v>
      </c>
      <c r="R51" s="164">
        <v>20661.25</v>
      </c>
      <c r="S51" s="164">
        <v>20597.54</v>
      </c>
      <c r="T51" s="164">
        <v>20536.599999999999</v>
      </c>
      <c r="U51" s="164">
        <v>20275.169999999998</v>
      </c>
      <c r="V51" s="164">
        <v>21117.87</v>
      </c>
      <c r="W51" s="164">
        <v>23424.04</v>
      </c>
      <c r="X51" s="164">
        <v>22825.48</v>
      </c>
      <c r="Y51" s="164">
        <v>21696.6</v>
      </c>
      <c r="Z51" s="164">
        <v>20419.48</v>
      </c>
      <c r="AA51" s="164">
        <v>18838.05</v>
      </c>
      <c r="AB51" s="164">
        <v>17122.88</v>
      </c>
      <c r="AC51" s="226">
        <f>SUM(E51:AB51)*D51+SUM(E52:AB52)*D52+SUM(E53:AB53)*D53+SUM(E54:AB54)*D54</f>
        <v>13088728.199999999</v>
      </c>
      <c r="AD51" s="19"/>
    </row>
    <row r="52" spans="2:31" ht="18.649999999999999" customHeight="1" x14ac:dyDescent="0.35">
      <c r="B52" s="213"/>
      <c r="C52" s="10" t="s">
        <v>30</v>
      </c>
      <c r="D52" s="94">
        <v>4</v>
      </c>
      <c r="E52" s="162">
        <v>17211.7</v>
      </c>
      <c r="F52" s="162">
        <v>16087.4</v>
      </c>
      <c r="G52" s="162">
        <v>15256.63</v>
      </c>
      <c r="H52" s="162">
        <v>14685.19</v>
      </c>
      <c r="I52" s="162">
        <v>14564.17</v>
      </c>
      <c r="J52" s="162">
        <v>14700.1</v>
      </c>
      <c r="K52" s="162">
        <v>14594.36</v>
      </c>
      <c r="L52" s="162">
        <v>16826.72</v>
      </c>
      <c r="M52" s="162">
        <v>19147.87</v>
      </c>
      <c r="N52" s="162">
        <v>20492.95</v>
      </c>
      <c r="O52" s="162">
        <v>21680.05</v>
      </c>
      <c r="P52" s="162">
        <v>22605.85</v>
      </c>
      <c r="Q52" s="162">
        <v>22010.58</v>
      </c>
      <c r="R52" s="162">
        <v>22291.98</v>
      </c>
      <c r="S52" s="162">
        <v>23071.81</v>
      </c>
      <c r="T52" s="162">
        <v>23115.84</v>
      </c>
      <c r="U52" s="162">
        <v>22670.240000000002</v>
      </c>
      <c r="V52" s="162">
        <v>22742.14</v>
      </c>
      <c r="W52" s="162">
        <v>25074.78</v>
      </c>
      <c r="X52" s="162">
        <v>24592.720000000001</v>
      </c>
      <c r="Y52" s="162">
        <v>23638.2</v>
      </c>
      <c r="Z52" s="162">
        <v>22373.29</v>
      </c>
      <c r="AA52" s="162">
        <v>20677.240000000002</v>
      </c>
      <c r="AB52" s="162">
        <v>18772.12</v>
      </c>
      <c r="AC52" s="226"/>
      <c r="AD52" s="19"/>
    </row>
    <row r="53" spans="2:31" ht="18.649999999999999" customHeight="1" x14ac:dyDescent="0.35">
      <c r="B53" s="213"/>
      <c r="C53" s="10" t="s">
        <v>31</v>
      </c>
      <c r="D53" s="94">
        <v>4</v>
      </c>
      <c r="E53" s="162">
        <v>15481.45</v>
      </c>
      <c r="F53" s="162">
        <v>14393.24</v>
      </c>
      <c r="G53" s="162">
        <v>13567.16</v>
      </c>
      <c r="H53" s="162">
        <v>12932.66</v>
      </c>
      <c r="I53" s="162">
        <v>12717.68</v>
      </c>
      <c r="J53" s="162">
        <v>12447.49</v>
      </c>
      <c r="K53" s="162">
        <v>11957.78</v>
      </c>
      <c r="L53" s="162">
        <v>13074.76</v>
      </c>
      <c r="M53" s="162">
        <v>14415.88</v>
      </c>
      <c r="N53" s="162">
        <v>15462.85</v>
      </c>
      <c r="O53" s="162">
        <v>16320.44</v>
      </c>
      <c r="P53" s="162">
        <v>17080.61</v>
      </c>
      <c r="Q53" s="162">
        <v>17317.82</v>
      </c>
      <c r="R53" s="162">
        <v>17430.939999999999</v>
      </c>
      <c r="S53" s="162">
        <v>17108.59</v>
      </c>
      <c r="T53" s="162">
        <v>17131.189999999999</v>
      </c>
      <c r="U53" s="162">
        <v>17184.89</v>
      </c>
      <c r="V53" s="162">
        <v>18581.55</v>
      </c>
      <c r="W53" s="162">
        <v>21313.11</v>
      </c>
      <c r="X53" s="162">
        <v>21410.65</v>
      </c>
      <c r="Y53" s="162">
        <v>20589.21</v>
      </c>
      <c r="Z53" s="162">
        <v>19054.189999999999</v>
      </c>
      <c r="AA53" s="162">
        <v>17112.02</v>
      </c>
      <c r="AB53" s="162">
        <v>15282.92</v>
      </c>
      <c r="AC53" s="226"/>
      <c r="AD53" s="19"/>
    </row>
    <row r="54" spans="2:31" ht="18.649999999999999" customHeight="1" thickBot="1" x14ac:dyDescent="0.4">
      <c r="B54" s="213"/>
      <c r="C54" s="16" t="s">
        <v>32</v>
      </c>
      <c r="D54" s="95">
        <v>2</v>
      </c>
      <c r="E54" s="163">
        <v>15481.45</v>
      </c>
      <c r="F54" s="163">
        <v>14393.24</v>
      </c>
      <c r="G54" s="163">
        <v>13567.16</v>
      </c>
      <c r="H54" s="163">
        <v>12932.66</v>
      </c>
      <c r="I54" s="163">
        <v>12717.68</v>
      </c>
      <c r="J54" s="163">
        <v>12447.49</v>
      </c>
      <c r="K54" s="163">
        <v>11957.78</v>
      </c>
      <c r="L54" s="163">
        <v>13074.76</v>
      </c>
      <c r="M54" s="163">
        <v>14415.88</v>
      </c>
      <c r="N54" s="163">
        <v>15462.85</v>
      </c>
      <c r="O54" s="163">
        <v>16320.44</v>
      </c>
      <c r="P54" s="163">
        <v>17080.61</v>
      </c>
      <c r="Q54" s="163">
        <v>17317.82</v>
      </c>
      <c r="R54" s="163">
        <v>17430.939999999999</v>
      </c>
      <c r="S54" s="163">
        <v>17108.59</v>
      </c>
      <c r="T54" s="163">
        <v>17131.189999999999</v>
      </c>
      <c r="U54" s="163">
        <v>17184.89</v>
      </c>
      <c r="V54" s="163">
        <v>18581.55</v>
      </c>
      <c r="W54" s="163">
        <v>21313.11</v>
      </c>
      <c r="X54" s="163">
        <v>21410.65</v>
      </c>
      <c r="Y54" s="163">
        <v>20589.21</v>
      </c>
      <c r="Z54" s="163">
        <v>19054.189999999999</v>
      </c>
      <c r="AA54" s="163">
        <v>17112.02</v>
      </c>
      <c r="AB54" s="163">
        <v>15282.92</v>
      </c>
      <c r="AC54" s="226"/>
      <c r="AD54" s="19"/>
    </row>
    <row r="55" spans="2:31" ht="18.649999999999999" customHeight="1" x14ac:dyDescent="0.35">
      <c r="B55" s="222">
        <v>46722</v>
      </c>
      <c r="C55" s="7" t="s">
        <v>29</v>
      </c>
      <c r="D55" s="93">
        <v>22</v>
      </c>
      <c r="E55" s="161">
        <v>23010.400000000001</v>
      </c>
      <c r="F55" s="161">
        <v>21532.18</v>
      </c>
      <c r="G55" s="161">
        <v>20414.82</v>
      </c>
      <c r="H55" s="161">
        <v>19638.169999999998</v>
      </c>
      <c r="I55" s="161">
        <v>19467.509999999998</v>
      </c>
      <c r="J55" s="161">
        <v>19591.8</v>
      </c>
      <c r="K55" s="161">
        <v>19306.75</v>
      </c>
      <c r="L55" s="161">
        <v>21914.14</v>
      </c>
      <c r="M55" s="161">
        <v>24759.82</v>
      </c>
      <c r="N55" s="161">
        <v>26560.28</v>
      </c>
      <c r="O55" s="161">
        <v>27885.439999999999</v>
      </c>
      <c r="P55" s="161">
        <v>28680.62</v>
      </c>
      <c r="Q55" s="161">
        <v>27951.89</v>
      </c>
      <c r="R55" s="161">
        <v>27429.19</v>
      </c>
      <c r="S55" s="161">
        <v>27508.02</v>
      </c>
      <c r="T55" s="161">
        <v>27485.35</v>
      </c>
      <c r="U55" s="161">
        <v>27082.639999999999</v>
      </c>
      <c r="V55" s="161">
        <v>27943.07</v>
      </c>
      <c r="W55" s="161">
        <v>31279.360000000001</v>
      </c>
      <c r="X55" s="161">
        <v>30488.82</v>
      </c>
      <c r="Y55" s="161">
        <v>28962.68</v>
      </c>
      <c r="Z55" s="161">
        <v>27291.1</v>
      </c>
      <c r="AA55" s="161">
        <v>25669.67</v>
      </c>
      <c r="AB55" s="161">
        <v>23852.720000000001</v>
      </c>
      <c r="AC55" s="225">
        <f>SUM(E55:AB55)*D55+SUM(E56:AB56)*D56+SUM(E57:AB57)*D57+SUM(E58:AB58)*D58</f>
        <v>18444368.09</v>
      </c>
      <c r="AD55" s="19"/>
    </row>
    <row r="56" spans="2:31" ht="18.649999999999999" customHeight="1" x14ac:dyDescent="0.35">
      <c r="B56" s="223" t="s">
        <v>34</v>
      </c>
      <c r="C56" s="10" t="s">
        <v>30</v>
      </c>
      <c r="D56" s="94">
        <v>3</v>
      </c>
      <c r="E56" s="162">
        <v>22491.97</v>
      </c>
      <c r="F56" s="162">
        <v>21103.99</v>
      </c>
      <c r="G56" s="162">
        <v>20061.62</v>
      </c>
      <c r="H56" s="162">
        <v>19337.78</v>
      </c>
      <c r="I56" s="162">
        <v>19258.37</v>
      </c>
      <c r="J56" s="162">
        <v>19649.55</v>
      </c>
      <c r="K56" s="162">
        <v>19754.34</v>
      </c>
      <c r="L56" s="162">
        <v>22470.07</v>
      </c>
      <c r="M56" s="162">
        <v>25285.74</v>
      </c>
      <c r="N56" s="162">
        <v>26913.040000000001</v>
      </c>
      <c r="O56" s="162">
        <v>28503.33</v>
      </c>
      <c r="P56" s="162">
        <v>29620.84</v>
      </c>
      <c r="Q56" s="162">
        <v>28749.360000000001</v>
      </c>
      <c r="R56" s="162">
        <v>29419.3</v>
      </c>
      <c r="S56" s="162">
        <v>30553.15</v>
      </c>
      <c r="T56" s="162">
        <v>30632.560000000001</v>
      </c>
      <c r="U56" s="162">
        <v>30019.82</v>
      </c>
      <c r="V56" s="162">
        <v>29389.62</v>
      </c>
      <c r="W56" s="162">
        <v>31775.78</v>
      </c>
      <c r="X56" s="162">
        <v>31996.98</v>
      </c>
      <c r="Y56" s="162">
        <v>31065.61</v>
      </c>
      <c r="Z56" s="162">
        <v>29502.19</v>
      </c>
      <c r="AA56" s="162">
        <v>27106.720000000001</v>
      </c>
      <c r="AB56" s="162">
        <v>24544.92</v>
      </c>
      <c r="AC56" s="226"/>
      <c r="AD56" s="19"/>
    </row>
    <row r="57" spans="2:31" ht="18.649999999999999" customHeight="1" x14ac:dyDescent="0.35">
      <c r="B57" s="223" t="s">
        <v>34</v>
      </c>
      <c r="C57" s="10" t="s">
        <v>31</v>
      </c>
      <c r="D57" s="94">
        <v>4</v>
      </c>
      <c r="E57" s="162">
        <v>22327.33</v>
      </c>
      <c r="F57" s="162">
        <v>21479.82</v>
      </c>
      <c r="G57" s="162">
        <v>20678.28</v>
      </c>
      <c r="H57" s="162">
        <v>19909.93</v>
      </c>
      <c r="I57" s="162">
        <v>19467.04</v>
      </c>
      <c r="J57" s="162">
        <v>18826.439999999999</v>
      </c>
      <c r="K57" s="162">
        <v>17346.509999999998</v>
      </c>
      <c r="L57" s="162">
        <v>18088.900000000001</v>
      </c>
      <c r="M57" s="162">
        <v>19295.919999999998</v>
      </c>
      <c r="N57" s="162">
        <v>20429.150000000001</v>
      </c>
      <c r="O57" s="162">
        <v>21485.599999999999</v>
      </c>
      <c r="P57" s="162">
        <v>22383.54</v>
      </c>
      <c r="Q57" s="162">
        <v>22874.34</v>
      </c>
      <c r="R57" s="162">
        <v>22896.04</v>
      </c>
      <c r="S57" s="162">
        <v>22769.81</v>
      </c>
      <c r="T57" s="162">
        <v>22923.34</v>
      </c>
      <c r="U57" s="162">
        <v>22910.31</v>
      </c>
      <c r="V57" s="162">
        <v>23812.47</v>
      </c>
      <c r="W57" s="162">
        <v>27825.71</v>
      </c>
      <c r="X57" s="162">
        <v>28129.25</v>
      </c>
      <c r="Y57" s="162">
        <v>27709.59</v>
      </c>
      <c r="Z57" s="162">
        <v>26715.05</v>
      </c>
      <c r="AA57" s="162">
        <v>25075.9</v>
      </c>
      <c r="AB57" s="162">
        <v>23174.14</v>
      </c>
      <c r="AC57" s="226"/>
      <c r="AD57" s="19"/>
    </row>
    <row r="58" spans="2:31" ht="18.649999999999999" customHeight="1" thickBot="1" x14ac:dyDescent="0.4">
      <c r="B58" s="224" t="s">
        <v>34</v>
      </c>
      <c r="C58" s="12" t="s">
        <v>32</v>
      </c>
      <c r="D58" s="96">
        <v>2</v>
      </c>
      <c r="E58" s="106">
        <v>22327.33</v>
      </c>
      <c r="F58" s="106">
        <v>21479.82</v>
      </c>
      <c r="G58" s="106">
        <v>20678.28</v>
      </c>
      <c r="H58" s="106">
        <v>19909.93</v>
      </c>
      <c r="I58" s="106">
        <v>19467.04</v>
      </c>
      <c r="J58" s="106">
        <v>18826.439999999999</v>
      </c>
      <c r="K58" s="106">
        <v>17346.509999999998</v>
      </c>
      <c r="L58" s="106">
        <v>18088.900000000001</v>
      </c>
      <c r="M58" s="106">
        <v>19295.919999999998</v>
      </c>
      <c r="N58" s="106">
        <v>20429.150000000001</v>
      </c>
      <c r="O58" s="106">
        <v>21485.599999999999</v>
      </c>
      <c r="P58" s="106">
        <v>22383.54</v>
      </c>
      <c r="Q58" s="106">
        <v>22874.34</v>
      </c>
      <c r="R58" s="106">
        <v>22896.04</v>
      </c>
      <c r="S58" s="106">
        <v>22769.81</v>
      </c>
      <c r="T58" s="106">
        <v>22923.34</v>
      </c>
      <c r="U58" s="106">
        <v>22910.31</v>
      </c>
      <c r="V58" s="106">
        <v>23812.47</v>
      </c>
      <c r="W58" s="106">
        <v>27825.71</v>
      </c>
      <c r="X58" s="106">
        <v>28129.25</v>
      </c>
      <c r="Y58" s="106">
        <v>27709.59</v>
      </c>
      <c r="Z58" s="106">
        <v>26715.05</v>
      </c>
      <c r="AA58" s="106">
        <v>25075.9</v>
      </c>
      <c r="AB58" s="106">
        <v>23174.14</v>
      </c>
      <c r="AC58" s="227"/>
      <c r="AD58" s="19"/>
    </row>
    <row r="59" spans="2:31" ht="18.649999999999999" customHeight="1" thickBot="1" x14ac:dyDescent="0.4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231" t="s">
        <v>33</v>
      </c>
      <c r="AA59" s="232"/>
      <c r="AB59" s="233"/>
      <c r="AC59" s="155">
        <f>SUM(AC11:AC58)</f>
        <v>194154954.85000002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2746-26E5-4805-9149-754ACC135FBA}">
  <sheetPr>
    <tabColor rgb="FFFFC000"/>
  </sheetPr>
  <dimension ref="B2:AX59"/>
  <sheetViews>
    <sheetView showGridLines="0" zoomScale="80" zoomScaleNormal="80" workbookViewId="0">
      <pane xSplit="4" ySplit="10" topLeftCell="E36" activePane="bottomRight" state="frozen"/>
      <selection activeCell="B27" sqref="B27"/>
      <selection pane="topRight" activeCell="B27" sqref="B27"/>
      <selection pane="bottomLeft" activeCell="B27" sqref="B27"/>
      <selection pane="bottomRight" activeCell="B6" sqref="B6:AC6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16" t="s">
        <v>159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50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50" ht="18.649999999999999" customHeight="1" x14ac:dyDescent="0.35">
      <c r="B6" s="219" t="s">
        <v>138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2:50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50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12">
        <v>46753</v>
      </c>
      <c r="C11" s="7" t="s">
        <v>29</v>
      </c>
      <c r="D11" s="93">
        <v>20</v>
      </c>
      <c r="E11" s="88">
        <f>ROUND('[6]2028'!E15,2)</f>
        <v>17214.939999999999</v>
      </c>
      <c r="F11" s="88">
        <f>ROUND('[6]2028'!F15,2)</f>
        <v>16010.95</v>
      </c>
      <c r="G11" s="88">
        <f>ROUND('[6]2028'!G15,2)</f>
        <v>15140.67</v>
      </c>
      <c r="H11" s="88">
        <f>ROUND('[6]2028'!H15,2)</f>
        <v>14532.21</v>
      </c>
      <c r="I11" s="88">
        <f>ROUND('[6]2028'!I15,2)</f>
        <v>14387.99</v>
      </c>
      <c r="J11" s="88">
        <f>ROUND('[6]2028'!J15,2)</f>
        <v>14861.28</v>
      </c>
      <c r="K11" s="88">
        <f>ROUND('[6]2028'!K15,2)</f>
        <v>14713.39</v>
      </c>
      <c r="L11" s="88">
        <f>ROUND('[6]2028'!L15,2)</f>
        <v>17044.490000000002</v>
      </c>
      <c r="M11" s="88">
        <f>ROUND('[6]2028'!M15,2)</f>
        <v>19552.849999999999</v>
      </c>
      <c r="N11" s="88">
        <f>ROUND('[6]2028'!N15,2)</f>
        <v>21005.43</v>
      </c>
      <c r="O11" s="88">
        <f>ROUND('[6]2028'!O15,2)</f>
        <v>22503.93</v>
      </c>
      <c r="P11" s="88">
        <f>ROUND('[6]2028'!P15,2)</f>
        <v>23569.599999999999</v>
      </c>
      <c r="Q11" s="88">
        <f>ROUND('[6]2028'!Q15,2)</f>
        <v>22775.75</v>
      </c>
      <c r="R11" s="88">
        <f>ROUND('[6]2028'!R15,2)</f>
        <v>23554.99</v>
      </c>
      <c r="S11" s="88">
        <f>ROUND('[6]2028'!S15,2)</f>
        <v>24854.560000000001</v>
      </c>
      <c r="T11" s="88">
        <f>ROUND('[6]2028'!T15,2)</f>
        <v>24977.82</v>
      </c>
      <c r="U11" s="88">
        <f>ROUND('[6]2028'!U15,2)</f>
        <v>24357.279999999999</v>
      </c>
      <c r="V11" s="88">
        <f>ROUND('[6]2028'!V15,2)</f>
        <v>23177.55</v>
      </c>
      <c r="W11" s="88">
        <f>ROUND('[6]2028'!W15,2)</f>
        <v>24850.23</v>
      </c>
      <c r="X11" s="88">
        <f>ROUND('[6]2028'!X15,2)</f>
        <v>24941.759999999998</v>
      </c>
      <c r="Y11" s="88">
        <f>ROUND('[6]2028'!Y15,2)</f>
        <v>24234.12</v>
      </c>
      <c r="Z11" s="88">
        <f>ROUND('[6]2028'!Z15,2)</f>
        <v>23104.77</v>
      </c>
      <c r="AA11" s="88">
        <f>ROUND('[6]2028'!AA15,2)</f>
        <v>21242.63</v>
      </c>
      <c r="AB11" s="88">
        <f>ROUND('[6]2028'!AB15,2)</f>
        <v>19151.810000000001</v>
      </c>
      <c r="AC11" s="225">
        <f>SUM(E11:AB11)*D11+SUM(E12:AB12)*D12+SUM(E13:AB13)*D13+SUM(E14:AB14)*D14</f>
        <v>14704773.210000001</v>
      </c>
      <c r="AD11" s="19"/>
      <c r="AE11" s="87">
        <f>+AC11</f>
        <v>14704773.210000001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13"/>
      <c r="C12" s="10" t="s">
        <v>30</v>
      </c>
      <c r="D12" s="94">
        <v>4</v>
      </c>
      <c r="E12" s="89">
        <f>ROUND('[6]2028'!E16,2)</f>
        <v>17382.349999999999</v>
      </c>
      <c r="F12" s="89">
        <f>ROUND('[6]2028'!F16,2)</f>
        <v>16193.93</v>
      </c>
      <c r="G12" s="89">
        <f>ROUND('[6]2028'!G16,2)</f>
        <v>15313.47</v>
      </c>
      <c r="H12" s="89">
        <f>ROUND('[6]2028'!H16,2)</f>
        <v>14618.81</v>
      </c>
      <c r="I12" s="89">
        <f>ROUND('[6]2028'!I16,2)</f>
        <v>14436.67</v>
      </c>
      <c r="J12" s="89">
        <f>ROUND('[6]2028'!J16,2)</f>
        <v>14521.92</v>
      </c>
      <c r="K12" s="89">
        <f>ROUND('[6]2028'!K16,2)</f>
        <v>14017.45</v>
      </c>
      <c r="L12" s="89">
        <f>ROUND('[6]2028'!L16,2)</f>
        <v>15827.59</v>
      </c>
      <c r="M12" s="89">
        <f>ROUND('[6]2028'!M16,2)</f>
        <v>18218.310000000001</v>
      </c>
      <c r="N12" s="89">
        <f>ROUND('[6]2028'!N16,2)</f>
        <v>19800.45</v>
      </c>
      <c r="O12" s="89">
        <f>ROUND('[6]2028'!O16,2)</f>
        <v>21103.119999999999</v>
      </c>
      <c r="P12" s="89">
        <f>ROUND('[6]2028'!P16,2)</f>
        <v>21919.65</v>
      </c>
      <c r="Q12" s="89">
        <f>ROUND('[6]2028'!Q16,2)</f>
        <v>21538.09</v>
      </c>
      <c r="R12" s="89">
        <f>ROUND('[6]2028'!R16,2)</f>
        <v>21270.560000000001</v>
      </c>
      <c r="S12" s="89">
        <f>ROUND('[6]2028'!S16,2)</f>
        <v>21420.21</v>
      </c>
      <c r="T12" s="89">
        <f>ROUND('[6]2028'!T16,2)</f>
        <v>21411.79</v>
      </c>
      <c r="U12" s="89">
        <f>ROUND('[6]2028'!U16,2)</f>
        <v>21022.04</v>
      </c>
      <c r="V12" s="89">
        <f>ROUND('[6]2028'!V16,2)</f>
        <v>20823.02</v>
      </c>
      <c r="W12" s="89">
        <f>ROUND('[6]2028'!W16,2)</f>
        <v>23477.09</v>
      </c>
      <c r="X12" s="89">
        <f>ROUND('[6]2028'!X16,2)</f>
        <v>23762.22</v>
      </c>
      <c r="Y12" s="89">
        <f>ROUND('[6]2028'!Y16,2)</f>
        <v>22967.24</v>
      </c>
      <c r="Z12" s="89">
        <f>ROUND('[6]2028'!Z16,2)</f>
        <v>21977.21</v>
      </c>
      <c r="AA12" s="89">
        <f>ROUND('[6]2028'!AA16,2)</f>
        <v>20632.580000000002</v>
      </c>
      <c r="AB12" s="89">
        <f>ROUND('[6]2028'!AB16,2)</f>
        <v>19062.41</v>
      </c>
      <c r="AC12" s="226"/>
      <c r="AD12" s="19"/>
      <c r="AE12" s="87">
        <f>+AC15</f>
        <v>10265949.540000001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13"/>
      <c r="C13" s="10" t="s">
        <v>31</v>
      </c>
      <c r="D13" s="94">
        <v>5</v>
      </c>
      <c r="E13" s="89">
        <f>ROUND('[6]2028'!E17,2)</f>
        <v>17631.77</v>
      </c>
      <c r="F13" s="89">
        <f>ROUND('[6]2028'!F17,2)</f>
        <v>16485.740000000002</v>
      </c>
      <c r="G13" s="89">
        <f>ROUND('[6]2028'!G17,2)</f>
        <v>15556.33</v>
      </c>
      <c r="H13" s="89">
        <f>ROUND('[6]2028'!H17,2)</f>
        <v>14813.51</v>
      </c>
      <c r="I13" s="89">
        <f>ROUND('[6]2028'!I17,2)</f>
        <v>14435.91</v>
      </c>
      <c r="J13" s="89">
        <f>ROUND('[6]2028'!J17,2)</f>
        <v>14249.69</v>
      </c>
      <c r="K13" s="89">
        <f>ROUND('[6]2028'!K17,2)</f>
        <v>13257.03</v>
      </c>
      <c r="L13" s="89">
        <f>ROUND('[6]2028'!L17,2)</f>
        <v>14072.96</v>
      </c>
      <c r="M13" s="89">
        <f>ROUND('[6]2028'!M17,2)</f>
        <v>15435.84</v>
      </c>
      <c r="N13" s="89">
        <f>ROUND('[6]2028'!N17,2)</f>
        <v>16824.650000000001</v>
      </c>
      <c r="O13" s="89">
        <f>ROUND('[6]2028'!O17,2)</f>
        <v>17678.79</v>
      </c>
      <c r="P13" s="89">
        <f>ROUND('[6]2028'!P17,2)</f>
        <v>18439.37</v>
      </c>
      <c r="Q13" s="89">
        <f>ROUND('[6]2028'!Q17,2)</f>
        <v>18892.21</v>
      </c>
      <c r="R13" s="89">
        <f>ROUND('[6]2028'!R17,2)</f>
        <v>18994.3</v>
      </c>
      <c r="S13" s="89">
        <f>ROUND('[6]2028'!S17,2)</f>
        <v>19060.830000000002</v>
      </c>
      <c r="T13" s="89">
        <f>ROUND('[6]2028'!T17,2)</f>
        <v>19100.82</v>
      </c>
      <c r="U13" s="89">
        <f>ROUND('[6]2028'!U17,2)</f>
        <v>18959.72</v>
      </c>
      <c r="V13" s="89">
        <f>ROUND('[6]2028'!V17,2)</f>
        <v>18984.18</v>
      </c>
      <c r="W13" s="89">
        <f>ROUND('[6]2028'!W17,2)</f>
        <v>21888.99</v>
      </c>
      <c r="X13" s="89">
        <f>ROUND('[6]2028'!X17,2)</f>
        <v>22767.13</v>
      </c>
      <c r="Y13" s="89">
        <f>ROUND('[6]2028'!Y17,2)</f>
        <v>22666.33</v>
      </c>
      <c r="Z13" s="89">
        <f>ROUND('[6]2028'!Z17,2)</f>
        <v>21901.88</v>
      </c>
      <c r="AA13" s="89">
        <f>ROUND('[6]2028'!AA17,2)</f>
        <v>20455.689999999999</v>
      </c>
      <c r="AB13" s="89">
        <f>ROUND('[6]2028'!AB17,2)</f>
        <v>18686.400000000001</v>
      </c>
      <c r="AC13" s="226"/>
      <c r="AD13" s="19"/>
      <c r="AE13" s="87">
        <f>+AC19</f>
        <v>13243873.07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13"/>
      <c r="C14" s="16" t="s">
        <v>32</v>
      </c>
      <c r="D14" s="95">
        <v>2</v>
      </c>
      <c r="E14" s="90">
        <f>ROUND('[6]2028'!E18,2)</f>
        <v>17631.77</v>
      </c>
      <c r="F14" s="90">
        <f>ROUND('[6]2028'!F18,2)</f>
        <v>16485.740000000002</v>
      </c>
      <c r="G14" s="90">
        <f>ROUND('[6]2028'!G18,2)</f>
        <v>15556.33</v>
      </c>
      <c r="H14" s="90">
        <f>ROUND('[6]2028'!H18,2)</f>
        <v>14813.51</v>
      </c>
      <c r="I14" s="90">
        <f>ROUND('[6]2028'!I18,2)</f>
        <v>14435.91</v>
      </c>
      <c r="J14" s="90">
        <f>ROUND('[6]2028'!J18,2)</f>
        <v>14249.69</v>
      </c>
      <c r="K14" s="90">
        <f>ROUND('[6]2028'!K18,2)</f>
        <v>13257.03</v>
      </c>
      <c r="L14" s="90">
        <f>ROUND('[6]2028'!L18,2)</f>
        <v>14072.96</v>
      </c>
      <c r="M14" s="90">
        <f>ROUND('[6]2028'!M18,2)</f>
        <v>15435.84</v>
      </c>
      <c r="N14" s="90">
        <f>ROUND('[6]2028'!N18,2)</f>
        <v>16824.650000000001</v>
      </c>
      <c r="O14" s="90">
        <f>ROUND('[6]2028'!O18,2)</f>
        <v>17678.79</v>
      </c>
      <c r="P14" s="90">
        <f>ROUND('[6]2028'!P18,2)</f>
        <v>18439.37</v>
      </c>
      <c r="Q14" s="90">
        <f>ROUND('[6]2028'!Q18,2)</f>
        <v>18892.21</v>
      </c>
      <c r="R14" s="90">
        <f>ROUND('[6]2028'!R18,2)</f>
        <v>18994.3</v>
      </c>
      <c r="S14" s="90">
        <f>ROUND('[6]2028'!S18,2)</f>
        <v>19060.830000000002</v>
      </c>
      <c r="T14" s="90">
        <f>ROUND('[6]2028'!T18,2)</f>
        <v>19100.82</v>
      </c>
      <c r="U14" s="90">
        <f>ROUND('[6]2028'!U18,2)</f>
        <v>18959.72</v>
      </c>
      <c r="V14" s="90">
        <f>ROUND('[6]2028'!V18,2)</f>
        <v>18984.18</v>
      </c>
      <c r="W14" s="90">
        <f>ROUND('[6]2028'!W18,2)</f>
        <v>21888.99</v>
      </c>
      <c r="X14" s="90">
        <f>ROUND('[6]2028'!X18,2)</f>
        <v>22767.13</v>
      </c>
      <c r="Y14" s="90">
        <f>ROUND('[6]2028'!Y18,2)</f>
        <v>22666.33</v>
      </c>
      <c r="Z14" s="90">
        <f>ROUND('[6]2028'!Z18,2)</f>
        <v>21901.88</v>
      </c>
      <c r="AA14" s="90">
        <f>ROUND('[6]2028'!AA18,2)</f>
        <v>20455.689999999999</v>
      </c>
      <c r="AB14" s="90">
        <f>ROUND('[6]2028'!AB18,2)</f>
        <v>18686.400000000001</v>
      </c>
      <c r="AC14" s="226"/>
      <c r="AD14" s="56">
        <f>+AC11</f>
        <v>14704773.210000001</v>
      </c>
      <c r="AE14" s="87">
        <f>+AC23</f>
        <v>7655859.5899999999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22">
        <v>46784</v>
      </c>
      <c r="C15" s="7" t="s">
        <v>29</v>
      </c>
      <c r="D15" s="93">
        <v>21</v>
      </c>
      <c r="E15" s="88">
        <f>ROUND('[6]2028'!E19,2)</f>
        <v>12513.29</v>
      </c>
      <c r="F15" s="88">
        <f>ROUND('[6]2028'!F19,2)</f>
        <v>11589.13</v>
      </c>
      <c r="G15" s="88">
        <f>ROUND('[6]2028'!G19,2)</f>
        <v>10929.01</v>
      </c>
      <c r="H15" s="88">
        <f>ROUND('[6]2028'!H19,2)</f>
        <v>10496.9</v>
      </c>
      <c r="I15" s="88">
        <f>ROUND('[6]2028'!I19,2)</f>
        <v>10528.63</v>
      </c>
      <c r="J15" s="88">
        <f>ROUND('[6]2028'!J19,2)</f>
        <v>11391.13</v>
      </c>
      <c r="K15" s="88">
        <f>ROUND('[6]2028'!K19,2)</f>
        <v>11347.34</v>
      </c>
      <c r="L15" s="88">
        <f>ROUND('[6]2028'!L19,2)</f>
        <v>13034.97</v>
      </c>
      <c r="M15" s="88">
        <f>ROUND('[6]2028'!M19,2)</f>
        <v>14736.69</v>
      </c>
      <c r="N15" s="88">
        <f>ROUND('[6]2028'!N19,2)</f>
        <v>15572.35</v>
      </c>
      <c r="O15" s="88">
        <f>ROUND('[6]2028'!O19,2)</f>
        <v>16570.7</v>
      </c>
      <c r="P15" s="88">
        <f>ROUND('[6]2028'!P19,2)</f>
        <v>17240.5</v>
      </c>
      <c r="Q15" s="88">
        <f>ROUND('[6]2028'!Q19,2)</f>
        <v>16403.46</v>
      </c>
      <c r="R15" s="88">
        <f>ROUND('[6]2028'!R19,2)</f>
        <v>17166.8</v>
      </c>
      <c r="S15" s="88">
        <f>ROUND('[6]2028'!S19,2)</f>
        <v>18288.71</v>
      </c>
      <c r="T15" s="88">
        <f>ROUND('[6]2028'!T19,2)</f>
        <v>18432.900000000001</v>
      </c>
      <c r="U15" s="88">
        <f>ROUND('[6]2028'!U19,2)</f>
        <v>18022.5</v>
      </c>
      <c r="V15" s="88">
        <f>ROUND('[6]2028'!V19,2)</f>
        <v>17042.04</v>
      </c>
      <c r="W15" s="88">
        <f>ROUND('[6]2028'!W19,2)</f>
        <v>18213.62</v>
      </c>
      <c r="X15" s="88">
        <f>ROUND('[6]2028'!X19,2)</f>
        <v>18589.34</v>
      </c>
      <c r="Y15" s="88">
        <f>ROUND('[6]2028'!Y19,2)</f>
        <v>18122.259999999998</v>
      </c>
      <c r="Z15" s="88">
        <f>ROUND('[6]2028'!Z19,2)</f>
        <v>17115.34</v>
      </c>
      <c r="AA15" s="88">
        <f>ROUND('[6]2028'!AA19,2)</f>
        <v>15474.18</v>
      </c>
      <c r="AB15" s="88">
        <f>ROUND('[6]2028'!AB19,2)</f>
        <v>13823.83</v>
      </c>
      <c r="AC15" s="225">
        <f>SUM(E15:AB15)*D15+SUM(E16:AB16)*D16+SUM(E17:AB17)*D17+SUM(E18:AB18)*D18</f>
        <v>10265949.540000001</v>
      </c>
      <c r="AD15" s="177">
        <f>+AC15</f>
        <v>10265949.540000001</v>
      </c>
      <c r="AE15" s="87">
        <f>+AC27</f>
        <v>8689418.4699999988</v>
      </c>
    </row>
    <row r="16" spans="2:50" ht="18.649999999999999" customHeight="1" x14ac:dyDescent="0.35">
      <c r="B16" s="223" t="s">
        <v>34</v>
      </c>
      <c r="C16" s="10" t="s">
        <v>30</v>
      </c>
      <c r="D16" s="94">
        <v>4</v>
      </c>
      <c r="E16" s="89">
        <f>ROUND('[6]2028'!E20,2)</f>
        <v>12569.14</v>
      </c>
      <c r="F16" s="89">
        <f>ROUND('[6]2028'!F20,2)</f>
        <v>11713.67</v>
      </c>
      <c r="G16" s="89">
        <f>ROUND('[6]2028'!G20,2)</f>
        <v>10970.15</v>
      </c>
      <c r="H16" s="89">
        <f>ROUND('[6]2028'!H20,2)</f>
        <v>10465.799999999999</v>
      </c>
      <c r="I16" s="89">
        <f>ROUND('[6]2028'!I20,2)</f>
        <v>10273.23</v>
      </c>
      <c r="J16" s="89">
        <f>ROUND('[6]2028'!J20,2)</f>
        <v>10426.07</v>
      </c>
      <c r="K16" s="89">
        <f>ROUND('[6]2028'!K20,2)</f>
        <v>10270.549999999999</v>
      </c>
      <c r="L16" s="89">
        <f>ROUND('[6]2028'!L20,2)</f>
        <v>11788.12</v>
      </c>
      <c r="M16" s="89">
        <f>ROUND('[6]2028'!M20,2)</f>
        <v>13612.77</v>
      </c>
      <c r="N16" s="89">
        <f>ROUND('[6]2028'!N20,2)</f>
        <v>14758.8</v>
      </c>
      <c r="O16" s="89">
        <f>ROUND('[6]2028'!O20,2)</f>
        <v>15695.83</v>
      </c>
      <c r="P16" s="89">
        <f>ROUND('[6]2028'!P20,2)</f>
        <v>16316.46</v>
      </c>
      <c r="Q16" s="89">
        <f>ROUND('[6]2028'!Q20,2)</f>
        <v>15944.64</v>
      </c>
      <c r="R16" s="89">
        <f>ROUND('[6]2028'!R20,2)</f>
        <v>15700.28</v>
      </c>
      <c r="S16" s="89">
        <f>ROUND('[6]2028'!S20,2)</f>
        <v>15808.97</v>
      </c>
      <c r="T16" s="89">
        <f>ROUND('[6]2028'!T20,2)</f>
        <v>15806.36</v>
      </c>
      <c r="U16" s="89">
        <f>ROUND('[6]2028'!U20,2)</f>
        <v>15490.48</v>
      </c>
      <c r="V16" s="89">
        <f>ROUND('[6]2028'!V20,2)</f>
        <v>15347.75</v>
      </c>
      <c r="W16" s="89">
        <f>ROUND('[6]2028'!W20,2)</f>
        <v>17287.97</v>
      </c>
      <c r="X16" s="89">
        <f>ROUND('[6]2028'!X20,2)</f>
        <v>17740.919999999998</v>
      </c>
      <c r="Y16" s="89">
        <f>ROUND('[6]2028'!Y20,2)</f>
        <v>17150.009999999998</v>
      </c>
      <c r="Z16" s="89">
        <f>ROUND('[6]2028'!Z20,2)</f>
        <v>16351.93</v>
      </c>
      <c r="AA16" s="89">
        <f>ROUND('[6]2028'!AA20,2)</f>
        <v>15267.24</v>
      </c>
      <c r="AB16" s="89">
        <f>ROUND('[6]2028'!AB20,2)</f>
        <v>13991.47</v>
      </c>
      <c r="AC16" s="226"/>
      <c r="AD16" s="177">
        <f>+AC19</f>
        <v>13243873.07</v>
      </c>
      <c r="AE16" s="87">
        <f>+AC31</f>
        <v>12471108</v>
      </c>
    </row>
    <row r="17" spans="2:31" ht="18.649999999999999" customHeight="1" x14ac:dyDescent="0.35">
      <c r="B17" s="223" t="s">
        <v>34</v>
      </c>
      <c r="C17" s="10" t="s">
        <v>31</v>
      </c>
      <c r="D17" s="94">
        <v>4</v>
      </c>
      <c r="E17" s="89">
        <f>ROUND('[6]2028'!E21,2)</f>
        <v>12842.25</v>
      </c>
      <c r="F17" s="89">
        <f>ROUND('[6]2028'!F21,2)</f>
        <v>11928.71</v>
      </c>
      <c r="G17" s="89">
        <f>ROUND('[6]2028'!G21,2)</f>
        <v>11222.01</v>
      </c>
      <c r="H17" s="89">
        <f>ROUND('[6]2028'!H21,2)</f>
        <v>10703.6</v>
      </c>
      <c r="I17" s="89">
        <f>ROUND('[6]2028'!I21,2)</f>
        <v>10375.26</v>
      </c>
      <c r="J17" s="89">
        <f>ROUND('[6]2028'!J21,2)</f>
        <v>10306.290000000001</v>
      </c>
      <c r="K17" s="89">
        <f>ROUND('[6]2028'!K21,2)</f>
        <v>9631.76</v>
      </c>
      <c r="L17" s="89">
        <f>ROUND('[6]2028'!L21,2)</f>
        <v>10285.51</v>
      </c>
      <c r="M17" s="89">
        <f>ROUND('[6]2028'!M21,2)</f>
        <v>11355.99</v>
      </c>
      <c r="N17" s="89">
        <f>ROUND('[6]2028'!N21,2)</f>
        <v>12328.07</v>
      </c>
      <c r="O17" s="89">
        <f>ROUND('[6]2028'!O21,2)</f>
        <v>13037</v>
      </c>
      <c r="P17" s="89">
        <f>ROUND('[6]2028'!P21,2)</f>
        <v>13758.03</v>
      </c>
      <c r="Q17" s="89">
        <f>ROUND('[6]2028'!Q21,2)</f>
        <v>14171.56</v>
      </c>
      <c r="R17" s="89">
        <f>ROUND('[6]2028'!R21,2)</f>
        <v>14298.28</v>
      </c>
      <c r="S17" s="89">
        <f>ROUND('[6]2028'!S21,2)</f>
        <v>14412.97</v>
      </c>
      <c r="T17" s="89">
        <f>ROUND('[6]2028'!T21,2)</f>
        <v>14501.65</v>
      </c>
      <c r="U17" s="89">
        <f>ROUND('[6]2028'!U21,2)</f>
        <v>14373.73</v>
      </c>
      <c r="V17" s="89">
        <f>ROUND('[6]2028'!V21,2)</f>
        <v>14328.34</v>
      </c>
      <c r="W17" s="89">
        <f>ROUND('[6]2028'!W21,2)</f>
        <v>16490.689999999999</v>
      </c>
      <c r="X17" s="89">
        <f>ROUND('[6]2028'!X21,2)</f>
        <v>17458.72</v>
      </c>
      <c r="Y17" s="89">
        <f>ROUND('[6]2028'!Y21,2)</f>
        <v>17475.34</v>
      </c>
      <c r="Z17" s="89">
        <f>ROUND('[6]2028'!Z21,2)</f>
        <v>16917.87</v>
      </c>
      <c r="AA17" s="89">
        <f>ROUND('[6]2028'!AA21,2)</f>
        <v>15606.47</v>
      </c>
      <c r="AB17" s="89">
        <f>ROUND('[6]2028'!AB21,2)</f>
        <v>14039.17</v>
      </c>
      <c r="AC17" s="226"/>
      <c r="AD17" s="177">
        <f>+AC23</f>
        <v>7655859.5899999999</v>
      </c>
      <c r="AE17" s="87">
        <f>+AC35</f>
        <v>2132513.0199999996</v>
      </c>
    </row>
    <row r="18" spans="2:31" ht="18.649999999999999" customHeight="1" thickBot="1" x14ac:dyDescent="0.4">
      <c r="B18" s="224" t="s">
        <v>34</v>
      </c>
      <c r="C18" s="12" t="s">
        <v>32</v>
      </c>
      <c r="D18" s="96">
        <v>0</v>
      </c>
      <c r="E18" s="91">
        <f>ROUND('[6]2028'!E22,2)</f>
        <v>0</v>
      </c>
      <c r="F18" s="91">
        <f>ROUND('[6]2028'!F22,2)</f>
        <v>0</v>
      </c>
      <c r="G18" s="91">
        <f>ROUND('[6]2028'!G22,2)</f>
        <v>0</v>
      </c>
      <c r="H18" s="91">
        <f>ROUND('[6]2028'!H22,2)</f>
        <v>0</v>
      </c>
      <c r="I18" s="91">
        <f>ROUND('[6]2028'!I22,2)</f>
        <v>0</v>
      </c>
      <c r="J18" s="91">
        <f>ROUND('[6]2028'!J22,2)</f>
        <v>0</v>
      </c>
      <c r="K18" s="91">
        <f>ROUND('[6]2028'!K22,2)</f>
        <v>0</v>
      </c>
      <c r="L18" s="91">
        <f>ROUND('[6]2028'!L22,2)</f>
        <v>0</v>
      </c>
      <c r="M18" s="91">
        <f>ROUND('[6]2028'!M22,2)</f>
        <v>0</v>
      </c>
      <c r="N18" s="91">
        <f>ROUND('[6]2028'!N22,2)</f>
        <v>0</v>
      </c>
      <c r="O18" s="91">
        <f>ROUND('[6]2028'!O22,2)</f>
        <v>0</v>
      </c>
      <c r="P18" s="91">
        <f>ROUND('[6]2028'!P22,2)</f>
        <v>0</v>
      </c>
      <c r="Q18" s="91">
        <f>ROUND('[6]2028'!Q22,2)</f>
        <v>0</v>
      </c>
      <c r="R18" s="91">
        <f>ROUND('[6]2028'!R22,2)</f>
        <v>0</v>
      </c>
      <c r="S18" s="91">
        <f>ROUND('[6]2028'!S22,2)</f>
        <v>0</v>
      </c>
      <c r="T18" s="91">
        <f>ROUND('[6]2028'!T22,2)</f>
        <v>0</v>
      </c>
      <c r="U18" s="91">
        <f>ROUND('[6]2028'!U22,2)</f>
        <v>0</v>
      </c>
      <c r="V18" s="91">
        <f>ROUND('[6]2028'!V22,2)</f>
        <v>0</v>
      </c>
      <c r="W18" s="91">
        <f>ROUND('[6]2028'!W22,2)</f>
        <v>0</v>
      </c>
      <c r="X18" s="91">
        <f>ROUND('[6]2028'!X22,2)</f>
        <v>0</v>
      </c>
      <c r="Y18" s="91">
        <f>ROUND('[6]2028'!Y22,2)</f>
        <v>0</v>
      </c>
      <c r="Z18" s="91">
        <f>ROUND('[6]2028'!Z22,2)</f>
        <v>0</v>
      </c>
      <c r="AA18" s="91">
        <f>ROUND('[6]2028'!AA22,2)</f>
        <v>0</v>
      </c>
      <c r="AB18" s="91">
        <f>ROUND('[6]2028'!AB22,2)</f>
        <v>0</v>
      </c>
      <c r="AC18" s="227"/>
      <c r="AD18" s="177">
        <f>+AC27</f>
        <v>8689418.4699999988</v>
      </c>
      <c r="AE18" s="87">
        <f>+AC39</f>
        <v>3655478.7699999996</v>
      </c>
    </row>
    <row r="19" spans="2:31" ht="18.649999999999999" customHeight="1" x14ac:dyDescent="0.35">
      <c r="B19" s="212">
        <v>46813</v>
      </c>
      <c r="C19" s="14" t="s">
        <v>29</v>
      </c>
      <c r="D19" s="97">
        <v>22</v>
      </c>
      <c r="E19" s="92">
        <f>ROUND('[6]2028'!E23,2)</f>
        <v>15617.33</v>
      </c>
      <c r="F19" s="92">
        <f>ROUND('[6]2028'!F23,2)</f>
        <v>14527.75</v>
      </c>
      <c r="G19" s="92">
        <f>ROUND('[6]2028'!G23,2)</f>
        <v>13706.65</v>
      </c>
      <c r="H19" s="92">
        <f>ROUND('[6]2028'!H23,2)</f>
        <v>13100.66</v>
      </c>
      <c r="I19" s="92">
        <f>ROUND('[6]2028'!I23,2)</f>
        <v>13009.57</v>
      </c>
      <c r="J19" s="92">
        <f>ROUND('[6]2028'!J23,2)</f>
        <v>13669.01</v>
      </c>
      <c r="K19" s="92">
        <f>ROUND('[6]2028'!K23,2)</f>
        <v>13540.8</v>
      </c>
      <c r="L19" s="92">
        <f>ROUND('[6]2028'!L23,2)</f>
        <v>15666.09</v>
      </c>
      <c r="M19" s="92">
        <f>ROUND('[6]2028'!M23,2)</f>
        <v>17809.580000000002</v>
      </c>
      <c r="N19" s="92">
        <f>ROUND('[6]2028'!N23,2)</f>
        <v>18931.400000000001</v>
      </c>
      <c r="O19" s="92">
        <f>ROUND('[6]2028'!O23,2)</f>
        <v>20203.88</v>
      </c>
      <c r="P19" s="92">
        <f>ROUND('[6]2028'!P23,2)</f>
        <v>21032.32</v>
      </c>
      <c r="Q19" s="92">
        <f>ROUND('[6]2028'!Q23,2)</f>
        <v>20095.400000000001</v>
      </c>
      <c r="R19" s="92">
        <f>ROUND('[6]2028'!R23,2)</f>
        <v>21095.49</v>
      </c>
      <c r="S19" s="92">
        <f>ROUND('[6]2028'!S23,2)</f>
        <v>22307.68</v>
      </c>
      <c r="T19" s="92">
        <f>ROUND('[6]2028'!T23,2)</f>
        <v>22437.93</v>
      </c>
      <c r="U19" s="92">
        <f>ROUND('[6]2028'!U23,2)</f>
        <v>21961.09</v>
      </c>
      <c r="V19" s="92">
        <f>ROUND('[6]2028'!V23,2)</f>
        <v>20809.419999999998</v>
      </c>
      <c r="W19" s="92">
        <f>ROUND('[6]2028'!W23,2)</f>
        <v>21967.200000000001</v>
      </c>
      <c r="X19" s="92">
        <f>ROUND('[6]2028'!X23,2)</f>
        <v>22304.26</v>
      </c>
      <c r="Y19" s="92">
        <f>ROUND('[6]2028'!Y23,2)</f>
        <v>21813.37</v>
      </c>
      <c r="Z19" s="92">
        <f>ROUND('[6]2028'!Z23,2)</f>
        <v>20772.93</v>
      </c>
      <c r="AA19" s="92">
        <f>ROUND('[6]2028'!AA23,2)</f>
        <v>19145.18</v>
      </c>
      <c r="AB19" s="92">
        <f>ROUND('[6]2028'!AB23,2)</f>
        <v>17314.14</v>
      </c>
      <c r="AC19" s="226">
        <f>SUM(E19:AB19)*D19+SUM(E20:AB20)*D20+SUM(E21:AB21)*D21+SUM(E22:AB22)*D22</f>
        <v>13243873.07</v>
      </c>
      <c r="AD19" s="177">
        <f>+AC31</f>
        <v>12471108</v>
      </c>
      <c r="AE19" s="87">
        <f>+AC43</f>
        <v>4619057.7300000004</v>
      </c>
    </row>
    <row r="20" spans="2:31" ht="18.649999999999999" customHeight="1" x14ac:dyDescent="0.35">
      <c r="B20" s="213"/>
      <c r="C20" s="10" t="s">
        <v>30</v>
      </c>
      <c r="D20" s="94">
        <v>4</v>
      </c>
      <c r="E20" s="89">
        <f>ROUND('[6]2028'!E24,2)</f>
        <v>15677.22</v>
      </c>
      <c r="F20" s="89">
        <f>ROUND('[6]2028'!F24,2)</f>
        <v>14553.05</v>
      </c>
      <c r="G20" s="89">
        <f>ROUND('[6]2028'!G24,2)</f>
        <v>13761.19</v>
      </c>
      <c r="H20" s="89">
        <f>ROUND('[6]2028'!H24,2)</f>
        <v>13134.53</v>
      </c>
      <c r="I20" s="89">
        <f>ROUND('[6]2028'!I24,2)</f>
        <v>12760.45</v>
      </c>
      <c r="J20" s="89">
        <f>ROUND('[6]2028'!J24,2)</f>
        <v>12703.26</v>
      </c>
      <c r="K20" s="89">
        <f>ROUND('[6]2028'!K24,2)</f>
        <v>12443.95</v>
      </c>
      <c r="L20" s="89">
        <f>ROUND('[6]2028'!L24,2)</f>
        <v>14112.74</v>
      </c>
      <c r="M20" s="89">
        <f>ROUND('[6]2028'!M24,2)</f>
        <v>16124.36</v>
      </c>
      <c r="N20" s="89">
        <f>ROUND('[6]2028'!N24,2)</f>
        <v>17384.07</v>
      </c>
      <c r="O20" s="89">
        <f>ROUND('[6]2028'!O24,2)</f>
        <v>18387.54</v>
      </c>
      <c r="P20" s="89">
        <f>ROUND('[6]2028'!P24,2)</f>
        <v>19029.05</v>
      </c>
      <c r="Q20" s="89">
        <f>ROUND('[6]2028'!Q24,2)</f>
        <v>18688.29</v>
      </c>
      <c r="R20" s="89">
        <f>ROUND('[6]2028'!R24,2)</f>
        <v>18441.490000000002</v>
      </c>
      <c r="S20" s="89">
        <f>ROUND('[6]2028'!S24,2)</f>
        <v>18300.52</v>
      </c>
      <c r="T20" s="89">
        <f>ROUND('[6]2028'!T24,2)</f>
        <v>18875.98</v>
      </c>
      <c r="U20" s="89">
        <f>ROUND('[6]2028'!U24,2)</f>
        <v>18066.64</v>
      </c>
      <c r="V20" s="89">
        <f>ROUND('[6]2028'!V24,2)</f>
        <v>17879.37</v>
      </c>
      <c r="W20" s="89">
        <f>ROUND('[6]2028'!W24,2)</f>
        <v>20274.77</v>
      </c>
      <c r="X20" s="89">
        <f>ROUND('[6]2028'!X24,2)</f>
        <v>20651.79</v>
      </c>
      <c r="Y20" s="89">
        <f>ROUND('[6]2028'!Y24,2)</f>
        <v>20028.86</v>
      </c>
      <c r="Z20" s="89">
        <f>ROUND('[6]2028'!Z24,2)</f>
        <v>19227.21</v>
      </c>
      <c r="AA20" s="89">
        <f>ROUND('[6]2028'!AA24,2)</f>
        <v>18163.96</v>
      </c>
      <c r="AB20" s="89">
        <f>ROUND('[6]2028'!AB24,2)</f>
        <v>16812.599999999999</v>
      </c>
      <c r="AC20" s="226"/>
      <c r="AD20" s="177">
        <f>+AC35</f>
        <v>2132513.0199999996</v>
      </c>
      <c r="AE20" s="87">
        <f>+AC47</f>
        <v>3459170.4600000004</v>
      </c>
    </row>
    <row r="21" spans="2:31" ht="18.649999999999999" customHeight="1" x14ac:dyDescent="0.35">
      <c r="B21" s="213"/>
      <c r="C21" s="10" t="s">
        <v>31</v>
      </c>
      <c r="D21" s="94">
        <v>4</v>
      </c>
      <c r="E21" s="89">
        <f>ROUND('[6]2028'!E25,2)</f>
        <v>15511.61</v>
      </c>
      <c r="F21" s="89">
        <f>ROUND('[6]2028'!F25,2)</f>
        <v>14461.55</v>
      </c>
      <c r="G21" s="89">
        <f>ROUND('[6]2028'!G25,2)</f>
        <v>13524.26</v>
      </c>
      <c r="H21" s="89">
        <f>ROUND('[6]2028'!H25,2)</f>
        <v>12866.67</v>
      </c>
      <c r="I21" s="89">
        <f>ROUND('[6]2028'!I25,2)</f>
        <v>12561.74</v>
      </c>
      <c r="J21" s="89">
        <f>ROUND('[6]2028'!J25,2)</f>
        <v>12363.09</v>
      </c>
      <c r="K21" s="89">
        <f>ROUND('[6]2028'!K25,2)</f>
        <v>11514.85</v>
      </c>
      <c r="L21" s="89">
        <f>ROUND('[6]2028'!L25,2)</f>
        <v>12309.06</v>
      </c>
      <c r="M21" s="89">
        <f>ROUND('[6]2028'!M25,2)</f>
        <v>13459.78</v>
      </c>
      <c r="N21" s="89">
        <f>ROUND('[6]2028'!N25,2)</f>
        <v>14511.95</v>
      </c>
      <c r="O21" s="89">
        <f>ROUND('[6]2028'!O25,2)</f>
        <v>15309.6</v>
      </c>
      <c r="P21" s="89">
        <f>ROUND('[6]2028'!P25,2)</f>
        <v>16063.69</v>
      </c>
      <c r="Q21" s="89">
        <f>ROUND('[6]2028'!Q25,2)</f>
        <v>16442.5</v>
      </c>
      <c r="R21" s="89">
        <f>ROUND('[6]2028'!R25,2)</f>
        <v>16539.28</v>
      </c>
      <c r="S21" s="89">
        <f>ROUND('[6]2028'!S25,2)</f>
        <v>16650.060000000001</v>
      </c>
      <c r="T21" s="89">
        <f>ROUND('[6]2028'!T25,2)</f>
        <v>16804.41</v>
      </c>
      <c r="U21" s="89">
        <f>ROUND('[6]2028'!U25,2)</f>
        <v>16534.97</v>
      </c>
      <c r="V21" s="89">
        <f>ROUND('[6]2028'!V25,2)</f>
        <v>16586.77</v>
      </c>
      <c r="W21" s="89">
        <f>ROUND('[6]2028'!W25,2)</f>
        <v>18911.07</v>
      </c>
      <c r="X21" s="89">
        <f>ROUND('[6]2028'!X25,2)</f>
        <v>19770.63</v>
      </c>
      <c r="Y21" s="89">
        <f>ROUND('[6]2028'!Y25,2)</f>
        <v>19726.12</v>
      </c>
      <c r="Z21" s="89">
        <f>ROUND('[6]2028'!Z25,2)</f>
        <v>19247.09</v>
      </c>
      <c r="AA21" s="89">
        <f>ROUND('[6]2028'!AA25,2)</f>
        <v>17958.25</v>
      </c>
      <c r="AB21" s="89">
        <f>ROUND('[6]2028'!AB25,2)</f>
        <v>16267.13</v>
      </c>
      <c r="AC21" s="226"/>
      <c r="AD21" s="177">
        <f>+AC39</f>
        <v>3655478.7699999996</v>
      </c>
      <c r="AE21" s="87">
        <f>+AC51</f>
        <v>1619459.28</v>
      </c>
    </row>
    <row r="22" spans="2:31" ht="18.649999999999999" customHeight="1" thickBot="1" x14ac:dyDescent="0.4">
      <c r="B22" s="213"/>
      <c r="C22" s="16" t="s">
        <v>32</v>
      </c>
      <c r="D22" s="95">
        <v>1</v>
      </c>
      <c r="E22" s="90">
        <f>ROUND('[6]2028'!E26,2)</f>
        <v>15511.61</v>
      </c>
      <c r="F22" s="90">
        <f>ROUND('[6]2028'!F26,2)</f>
        <v>14461.55</v>
      </c>
      <c r="G22" s="90">
        <f>ROUND('[6]2028'!G26,2)</f>
        <v>13524.26</v>
      </c>
      <c r="H22" s="90">
        <f>ROUND('[6]2028'!H26,2)</f>
        <v>12866.67</v>
      </c>
      <c r="I22" s="90">
        <f>ROUND('[6]2028'!I26,2)</f>
        <v>12561.74</v>
      </c>
      <c r="J22" s="90">
        <f>ROUND('[6]2028'!J26,2)</f>
        <v>12363.09</v>
      </c>
      <c r="K22" s="90">
        <f>ROUND('[6]2028'!K26,2)</f>
        <v>11514.85</v>
      </c>
      <c r="L22" s="90">
        <f>ROUND('[6]2028'!L26,2)</f>
        <v>12309.06</v>
      </c>
      <c r="M22" s="90">
        <f>ROUND('[6]2028'!M26,2)</f>
        <v>13459.78</v>
      </c>
      <c r="N22" s="90">
        <f>ROUND('[6]2028'!N26,2)</f>
        <v>14511.95</v>
      </c>
      <c r="O22" s="90">
        <f>ROUND('[6]2028'!O26,2)</f>
        <v>15309.6</v>
      </c>
      <c r="P22" s="90">
        <f>ROUND('[6]2028'!P26,2)</f>
        <v>16063.69</v>
      </c>
      <c r="Q22" s="90">
        <f>ROUND('[6]2028'!Q26,2)</f>
        <v>16442.5</v>
      </c>
      <c r="R22" s="90">
        <f>ROUND('[6]2028'!R26,2)</f>
        <v>16539.28</v>
      </c>
      <c r="S22" s="90">
        <f>ROUND('[6]2028'!S26,2)</f>
        <v>16650.060000000001</v>
      </c>
      <c r="T22" s="90">
        <f>ROUND('[6]2028'!T26,2)</f>
        <v>16804.41</v>
      </c>
      <c r="U22" s="90">
        <f>ROUND('[6]2028'!U26,2)</f>
        <v>16534.97</v>
      </c>
      <c r="V22" s="90">
        <f>ROUND('[6]2028'!V26,2)</f>
        <v>16586.77</v>
      </c>
      <c r="W22" s="90">
        <f>ROUND('[6]2028'!W26,2)</f>
        <v>18911.07</v>
      </c>
      <c r="X22" s="90">
        <f>ROUND('[6]2028'!X26,2)</f>
        <v>19770.63</v>
      </c>
      <c r="Y22" s="90">
        <f>ROUND('[6]2028'!Y26,2)</f>
        <v>19726.12</v>
      </c>
      <c r="Z22" s="90">
        <f>ROUND('[6]2028'!Z26,2)</f>
        <v>19247.09</v>
      </c>
      <c r="AA22" s="90">
        <f>ROUND('[6]2028'!AA26,2)</f>
        <v>17958.25</v>
      </c>
      <c r="AB22" s="90">
        <f>ROUND('[6]2028'!AB26,2)</f>
        <v>16267.13</v>
      </c>
      <c r="AC22" s="226"/>
      <c r="AD22" s="177">
        <f>+AC43</f>
        <v>4619057.7300000004</v>
      </c>
      <c r="AE22" s="87">
        <f>+AC55</f>
        <v>9419639.1199999992</v>
      </c>
    </row>
    <row r="23" spans="2:31" ht="18.649999999999999" customHeight="1" x14ac:dyDescent="0.35">
      <c r="B23" s="222">
        <v>46844</v>
      </c>
      <c r="C23" s="7" t="s">
        <v>29</v>
      </c>
      <c r="D23" s="93">
        <v>18</v>
      </c>
      <c r="E23" s="88">
        <f>ROUND('[6]2028'!E27,2)</f>
        <v>9217.2800000000007</v>
      </c>
      <c r="F23" s="88">
        <f>ROUND('[6]2028'!F27,2)</f>
        <v>8604.31</v>
      </c>
      <c r="G23" s="88">
        <f>ROUND('[6]2028'!G27,2)</f>
        <v>8003.5</v>
      </c>
      <c r="H23" s="88">
        <f>ROUND('[6]2028'!H27,2)</f>
        <v>7667.69</v>
      </c>
      <c r="I23" s="88">
        <f>ROUND('[6]2028'!I27,2)</f>
        <v>7587.45</v>
      </c>
      <c r="J23" s="88">
        <f>ROUND('[6]2028'!J27,2)</f>
        <v>7456.78</v>
      </c>
      <c r="K23" s="88">
        <f>ROUND('[6]2028'!K27,2)</f>
        <v>7500.03</v>
      </c>
      <c r="L23" s="88">
        <f>ROUND('[6]2028'!L27,2)</f>
        <v>8905.11</v>
      </c>
      <c r="M23" s="88">
        <f>ROUND('[6]2028'!M27,2)</f>
        <v>10499.95</v>
      </c>
      <c r="N23" s="88">
        <f>ROUND('[6]2028'!N27,2)</f>
        <v>11442.31</v>
      </c>
      <c r="O23" s="88">
        <f>ROUND('[6]2028'!O27,2)</f>
        <v>12225.72</v>
      </c>
      <c r="P23" s="88">
        <f>ROUND('[6]2028'!P27,2)</f>
        <v>12719.31</v>
      </c>
      <c r="Q23" s="88">
        <f>ROUND('[6]2028'!Q27,2)</f>
        <v>12390</v>
      </c>
      <c r="R23" s="88">
        <f>ROUND('[6]2028'!R27,2)</f>
        <v>12181.46</v>
      </c>
      <c r="S23" s="88">
        <f>ROUND('[6]2028'!S27,2)</f>
        <v>12300.66</v>
      </c>
      <c r="T23" s="88">
        <f>ROUND('[6]2028'!T27,2)</f>
        <v>12298.09</v>
      </c>
      <c r="U23" s="88">
        <f>ROUND('[6]2028'!U27,2)</f>
        <v>12026.04</v>
      </c>
      <c r="V23" s="88">
        <f>ROUND('[6]2028'!V27,2)</f>
        <v>11927.72</v>
      </c>
      <c r="W23" s="88">
        <f>ROUND('[6]2028'!W27,2)</f>
        <v>13645</v>
      </c>
      <c r="X23" s="88">
        <f>ROUND('[6]2028'!X27,2)</f>
        <v>13793.35</v>
      </c>
      <c r="Y23" s="88">
        <f>ROUND('[6]2028'!Y27,2)</f>
        <v>13333.11</v>
      </c>
      <c r="Z23" s="88">
        <f>ROUND('[6]2028'!Z27,2)</f>
        <v>12696.22</v>
      </c>
      <c r="AA23" s="88">
        <f>ROUND('[6]2028'!AA27,2)</f>
        <v>11825.81</v>
      </c>
      <c r="AB23" s="88">
        <f>ROUND('[6]2028'!AB27,2)</f>
        <v>10771.45</v>
      </c>
      <c r="AC23" s="225">
        <f>SUM(E23:AB23)*D23+SUM(E24:AB24)*D24+SUM(E25:AB25)*D25+SUM(E26:AB26)*D26</f>
        <v>7655859.5899999999</v>
      </c>
      <c r="AD23" s="177">
        <f>+AC47</f>
        <v>3459170.4600000004</v>
      </c>
      <c r="AE23" s="87">
        <f>SUM(AE11:AE22)</f>
        <v>91936300.25999999</v>
      </c>
    </row>
    <row r="24" spans="2:31" ht="18.649999999999999" customHeight="1" x14ac:dyDescent="0.35">
      <c r="B24" s="223" t="s">
        <v>34</v>
      </c>
      <c r="C24" s="10" t="s">
        <v>30</v>
      </c>
      <c r="D24" s="94">
        <v>5</v>
      </c>
      <c r="E24" s="89">
        <f>ROUND('[6]2028'!E28,2)</f>
        <v>8726.58</v>
      </c>
      <c r="F24" s="89">
        <f>ROUND('[6]2028'!F28,2)</f>
        <v>8050.07</v>
      </c>
      <c r="G24" s="89">
        <f>ROUND('[6]2028'!G28,2)</f>
        <v>7536.18</v>
      </c>
      <c r="H24" s="89">
        <f>ROUND('[6]2028'!H28,2)</f>
        <v>7157.25</v>
      </c>
      <c r="I24" s="89">
        <f>ROUND('[6]2028'!I28,2)</f>
        <v>7168.61</v>
      </c>
      <c r="J24" s="89">
        <f>ROUND('[6]2028'!J28,2)</f>
        <v>7318.68</v>
      </c>
      <c r="K24" s="89">
        <f>ROUND('[6]2028'!K28,2)</f>
        <v>7595.46</v>
      </c>
      <c r="L24" s="89">
        <f>ROUND('[6]2028'!L28,2)</f>
        <v>8966.01</v>
      </c>
      <c r="M24" s="89">
        <f>ROUND('[6]2028'!M28,2)</f>
        <v>10374.370000000001</v>
      </c>
      <c r="N24" s="89">
        <f>ROUND('[6]2028'!N28,2)</f>
        <v>11194.77</v>
      </c>
      <c r="O24" s="89">
        <f>ROUND('[6]2028'!O28,2)</f>
        <v>11930.52</v>
      </c>
      <c r="P24" s="89">
        <f>ROUND('[6]2028'!P28,2)</f>
        <v>12438.43</v>
      </c>
      <c r="Q24" s="89">
        <f>ROUND('[6]2028'!Q28,2)</f>
        <v>11961.36</v>
      </c>
      <c r="R24" s="89">
        <f>ROUND('[6]2028'!R28,2)</f>
        <v>12296.07</v>
      </c>
      <c r="S24" s="89">
        <f>ROUND('[6]2028'!S28,2)</f>
        <v>12872.44</v>
      </c>
      <c r="T24" s="89">
        <f>ROUND('[6]2028'!T28,2)</f>
        <v>12910.85</v>
      </c>
      <c r="U24" s="89">
        <f>ROUND('[6]2028'!U28,2)</f>
        <v>12628.78</v>
      </c>
      <c r="V24" s="89">
        <f>ROUND('[6]2028'!V28,2)</f>
        <v>12243.75</v>
      </c>
      <c r="W24" s="89">
        <f>ROUND('[6]2028'!W28,2)</f>
        <v>13432.07</v>
      </c>
      <c r="X24" s="89">
        <f>ROUND('[6]2028'!X28,2)</f>
        <v>13591.42</v>
      </c>
      <c r="Y24" s="89">
        <f>ROUND('[6]2028'!Y28,2)</f>
        <v>13107.18</v>
      </c>
      <c r="Z24" s="89">
        <f>ROUND('[6]2028'!Z28,2)</f>
        <v>12313.07</v>
      </c>
      <c r="AA24" s="89">
        <f>ROUND('[6]2028'!AA28,2)</f>
        <v>11066.18</v>
      </c>
      <c r="AB24" s="89">
        <f>ROUND('[6]2028'!AB28,2)</f>
        <v>9689.24</v>
      </c>
      <c r="AC24" s="226"/>
      <c r="AD24" s="177">
        <f>+AC51</f>
        <v>1619459.28</v>
      </c>
    </row>
    <row r="25" spans="2:31" ht="18.649999999999999" customHeight="1" x14ac:dyDescent="0.35">
      <c r="B25" s="223" t="s">
        <v>34</v>
      </c>
      <c r="C25" s="10" t="s">
        <v>31</v>
      </c>
      <c r="D25" s="94">
        <v>5</v>
      </c>
      <c r="E25" s="89">
        <f>ROUND('[6]2028'!E29,2)</f>
        <v>9793.16</v>
      </c>
      <c r="F25" s="89">
        <f>ROUND('[6]2028'!F29,2)</f>
        <v>9044.08</v>
      </c>
      <c r="G25" s="89">
        <f>ROUND('[6]2028'!G29,2)</f>
        <v>8423.5499999999993</v>
      </c>
      <c r="H25" s="89">
        <f>ROUND('[6]2028'!H29,2)</f>
        <v>8000.25</v>
      </c>
      <c r="I25" s="89">
        <f>ROUND('[6]2028'!I29,2)</f>
        <v>7752.24</v>
      </c>
      <c r="J25" s="89">
        <f>ROUND('[6]2028'!J29,2)</f>
        <v>7374.06</v>
      </c>
      <c r="K25" s="89">
        <f>ROUND('[6]2028'!K29,2)</f>
        <v>6995.16</v>
      </c>
      <c r="L25" s="89">
        <f>ROUND('[6]2028'!L29,2)</f>
        <v>7667.11</v>
      </c>
      <c r="M25" s="89">
        <f>ROUND('[6]2028'!M29,2)</f>
        <v>8555.16</v>
      </c>
      <c r="N25" s="89">
        <f>ROUND('[6]2028'!N29,2)</f>
        <v>9355.92</v>
      </c>
      <c r="O25" s="89">
        <f>ROUND('[6]2028'!O29,2)</f>
        <v>9989</v>
      </c>
      <c r="P25" s="89">
        <f>ROUND('[6]2028'!P29,2)</f>
        <v>10505.58</v>
      </c>
      <c r="Q25" s="89">
        <f>ROUND('[6]2028'!Q29,2)</f>
        <v>10743.4</v>
      </c>
      <c r="R25" s="89">
        <f>ROUND('[6]2028'!R29,2)</f>
        <v>10787.35</v>
      </c>
      <c r="S25" s="89">
        <f>ROUND('[6]2028'!S29,2)</f>
        <v>10700.74</v>
      </c>
      <c r="T25" s="89">
        <f>ROUND('[6]2028'!T29,2)</f>
        <v>10630.92</v>
      </c>
      <c r="U25" s="89">
        <f>ROUND('[6]2028'!U29,2)</f>
        <v>10471.42</v>
      </c>
      <c r="V25" s="89">
        <f>ROUND('[6]2028'!V29,2)</f>
        <v>10619.22</v>
      </c>
      <c r="W25" s="89">
        <f>ROUND('[6]2028'!W29,2)</f>
        <v>12451.51</v>
      </c>
      <c r="X25" s="89">
        <f>ROUND('[6]2028'!X29,2)</f>
        <v>12976.18</v>
      </c>
      <c r="Y25" s="89">
        <f>ROUND('[6]2028'!Y29,2)</f>
        <v>12854.76</v>
      </c>
      <c r="Z25" s="89">
        <f>ROUND('[6]2028'!Z29,2)</f>
        <v>12306.74</v>
      </c>
      <c r="AA25" s="89">
        <f>ROUND('[6]2028'!AA29,2)</f>
        <v>11251.27</v>
      </c>
      <c r="AB25" s="89">
        <f>ROUND('[6]2028'!AB29,2)</f>
        <v>9991.59</v>
      </c>
      <c r="AC25" s="226"/>
      <c r="AD25" s="177">
        <f>+AC55</f>
        <v>9419639.1199999992</v>
      </c>
    </row>
    <row r="26" spans="2:31" ht="18.649999999999999" customHeight="1" thickBot="1" x14ac:dyDescent="0.4">
      <c r="B26" s="224" t="s">
        <v>34</v>
      </c>
      <c r="C26" s="12" t="s">
        <v>32</v>
      </c>
      <c r="D26" s="96">
        <v>2</v>
      </c>
      <c r="E26" s="91">
        <f>ROUND('[6]2028'!E30,2)</f>
        <v>9793.16</v>
      </c>
      <c r="F26" s="91">
        <f>ROUND('[6]2028'!F30,2)</f>
        <v>9044.08</v>
      </c>
      <c r="G26" s="91">
        <f>ROUND('[6]2028'!G30,2)</f>
        <v>8423.5499999999993</v>
      </c>
      <c r="H26" s="91">
        <f>ROUND('[6]2028'!H30,2)</f>
        <v>8000.25</v>
      </c>
      <c r="I26" s="91">
        <f>ROUND('[6]2028'!I30,2)</f>
        <v>7752.24</v>
      </c>
      <c r="J26" s="91">
        <f>ROUND('[6]2028'!J30,2)</f>
        <v>7374.06</v>
      </c>
      <c r="K26" s="91">
        <f>ROUND('[6]2028'!K30,2)</f>
        <v>6995.16</v>
      </c>
      <c r="L26" s="91">
        <f>ROUND('[6]2028'!L30,2)</f>
        <v>7667.11</v>
      </c>
      <c r="M26" s="91">
        <f>ROUND('[6]2028'!M30,2)</f>
        <v>8555.16</v>
      </c>
      <c r="N26" s="91">
        <f>ROUND('[6]2028'!N30,2)</f>
        <v>9355.92</v>
      </c>
      <c r="O26" s="91">
        <f>ROUND('[6]2028'!O30,2)</f>
        <v>9989</v>
      </c>
      <c r="P26" s="91">
        <f>ROUND('[6]2028'!P30,2)</f>
        <v>10505.58</v>
      </c>
      <c r="Q26" s="91">
        <f>ROUND('[6]2028'!Q30,2)</f>
        <v>10743.4</v>
      </c>
      <c r="R26" s="91">
        <f>ROUND('[6]2028'!R30,2)</f>
        <v>10787.35</v>
      </c>
      <c r="S26" s="91">
        <f>ROUND('[6]2028'!S30,2)</f>
        <v>10700.74</v>
      </c>
      <c r="T26" s="91">
        <f>ROUND('[6]2028'!T30,2)</f>
        <v>10630.92</v>
      </c>
      <c r="U26" s="91">
        <f>ROUND('[6]2028'!U30,2)</f>
        <v>10471.42</v>
      </c>
      <c r="V26" s="91">
        <f>ROUND('[6]2028'!V30,2)</f>
        <v>10619.22</v>
      </c>
      <c r="W26" s="91">
        <f>ROUND('[6]2028'!W30,2)</f>
        <v>12451.51</v>
      </c>
      <c r="X26" s="91">
        <f>ROUND('[6]2028'!X30,2)</f>
        <v>12976.18</v>
      </c>
      <c r="Y26" s="91">
        <f>ROUND('[6]2028'!Y30,2)</f>
        <v>12854.76</v>
      </c>
      <c r="Z26" s="91">
        <f>ROUND('[6]2028'!Z30,2)</f>
        <v>12306.74</v>
      </c>
      <c r="AA26" s="91">
        <f>ROUND('[6]2028'!AA30,2)</f>
        <v>11251.27</v>
      </c>
      <c r="AB26" s="91">
        <f>ROUND('[6]2028'!AB30,2)</f>
        <v>9991.59</v>
      </c>
      <c r="AC26" s="227"/>
      <c r="AD26" s="19"/>
    </row>
    <row r="27" spans="2:31" ht="18.649999999999999" customHeight="1" x14ac:dyDescent="0.35">
      <c r="B27" s="212">
        <v>46874</v>
      </c>
      <c r="C27" s="14" t="s">
        <v>29</v>
      </c>
      <c r="D27" s="97">
        <v>21</v>
      </c>
      <c r="E27" s="92">
        <f>ROUND('[6]2028'!E31,2)</f>
        <v>10762.37</v>
      </c>
      <c r="F27" s="92">
        <f>ROUND('[6]2028'!F31,2)</f>
        <v>9942.19</v>
      </c>
      <c r="G27" s="92">
        <f>ROUND('[6]2028'!G31,2)</f>
        <v>9280.35</v>
      </c>
      <c r="H27" s="92">
        <f>ROUND('[6]2028'!H31,2)</f>
        <v>8714.33</v>
      </c>
      <c r="I27" s="92">
        <f>ROUND('[6]2028'!I31,2)</f>
        <v>8561.76</v>
      </c>
      <c r="J27" s="92">
        <f>ROUND('[6]2028'!J31,2)</f>
        <v>8346.9599999999991</v>
      </c>
      <c r="K27" s="92">
        <f>ROUND('[6]2028'!K31,2)</f>
        <v>8544.2199999999993</v>
      </c>
      <c r="L27" s="92">
        <f>ROUND('[6]2028'!L31,2)</f>
        <v>10001.040000000001</v>
      </c>
      <c r="M27" s="92">
        <f>ROUND('[6]2028'!M31,2)</f>
        <v>11698.93</v>
      </c>
      <c r="N27" s="92">
        <f>ROUND('[6]2028'!N31,2)</f>
        <v>12635.67</v>
      </c>
      <c r="O27" s="92">
        <f>ROUND('[6]2028'!O31,2)</f>
        <v>13230.24</v>
      </c>
      <c r="P27" s="92">
        <f>ROUND('[6]2028'!P31,2)</f>
        <v>13667.16</v>
      </c>
      <c r="Q27" s="92">
        <f>ROUND('[6]2028'!Q31,2)</f>
        <v>13346.46</v>
      </c>
      <c r="R27" s="92">
        <f>ROUND('[6]2028'!R31,2)</f>
        <v>13016.46</v>
      </c>
      <c r="S27" s="92">
        <f>ROUND('[6]2028'!S31,2)</f>
        <v>13004.33</v>
      </c>
      <c r="T27" s="92">
        <f>ROUND('[6]2028'!T31,2)</f>
        <v>12902.86</v>
      </c>
      <c r="U27" s="92">
        <f>ROUND('[6]2028'!U31,2)</f>
        <v>12659.62</v>
      </c>
      <c r="V27" s="92">
        <f>ROUND('[6]2028'!V31,2)</f>
        <v>12767.92</v>
      </c>
      <c r="W27" s="92">
        <f>ROUND('[6]2028'!W31,2)</f>
        <v>14696.34</v>
      </c>
      <c r="X27" s="92">
        <f>ROUND('[6]2028'!X31,2)</f>
        <v>14879.65</v>
      </c>
      <c r="Y27" s="92">
        <f>ROUND('[6]2028'!Y31,2)</f>
        <v>14239.52</v>
      </c>
      <c r="Z27" s="92">
        <f>ROUND('[6]2028'!Z31,2)</f>
        <v>13445.49</v>
      </c>
      <c r="AA27" s="92">
        <f>ROUND('[6]2028'!AA31,2)</f>
        <v>12401.29</v>
      </c>
      <c r="AB27" s="92">
        <f>ROUND('[6]2028'!AB31,2)</f>
        <v>11231.69</v>
      </c>
      <c r="AC27" s="226">
        <f>SUM(E27:AB27)*D27+SUM(E28:AB28)*D28+SUM(E29:AB29)*D29+SUM(E30:AB30)*D30</f>
        <v>8689418.4699999988</v>
      </c>
      <c r="AD27" s="19"/>
    </row>
    <row r="28" spans="2:31" ht="18.649999999999999" customHeight="1" x14ac:dyDescent="0.35">
      <c r="B28" s="213"/>
      <c r="C28" s="10" t="s">
        <v>30</v>
      </c>
      <c r="D28" s="94">
        <v>4</v>
      </c>
      <c r="E28" s="89">
        <f>ROUND('[6]2028'!E32,2)</f>
        <v>9531.24</v>
      </c>
      <c r="F28" s="89">
        <f>ROUND('[6]2028'!F32,2)</f>
        <v>8812.42</v>
      </c>
      <c r="G28" s="89">
        <f>ROUND('[6]2028'!G32,2)</f>
        <v>8286.31</v>
      </c>
      <c r="H28" s="89">
        <f>ROUND('[6]2028'!H32,2)</f>
        <v>7923.93</v>
      </c>
      <c r="I28" s="89">
        <f>ROUND('[6]2028'!I32,2)</f>
        <v>7877.43</v>
      </c>
      <c r="J28" s="89">
        <f>ROUND('[6]2028'!J32,2)</f>
        <v>7861.25</v>
      </c>
      <c r="K28" s="89">
        <f>ROUND('[6]2028'!K32,2)</f>
        <v>8057.14</v>
      </c>
      <c r="L28" s="89">
        <f>ROUND('[6]2028'!L32,2)</f>
        <v>9587.33</v>
      </c>
      <c r="M28" s="89">
        <f>ROUND('[6]2028'!M32,2)</f>
        <v>11083.56</v>
      </c>
      <c r="N28" s="89">
        <f>ROUND('[6]2028'!N32,2)</f>
        <v>11947.54</v>
      </c>
      <c r="O28" s="89">
        <f>ROUND('[6]2028'!O32,2)</f>
        <v>12791.57</v>
      </c>
      <c r="P28" s="89">
        <f>ROUND('[6]2028'!P32,2)</f>
        <v>13399.51</v>
      </c>
      <c r="Q28" s="89">
        <f>ROUND('[6]2028'!Q32,2)</f>
        <v>12998.12</v>
      </c>
      <c r="R28" s="89">
        <f>ROUND('[6]2028'!R32,2)</f>
        <v>13189.98</v>
      </c>
      <c r="S28" s="89">
        <f>ROUND('[6]2028'!S32,2)</f>
        <v>13668.77</v>
      </c>
      <c r="T28" s="89">
        <f>ROUND('[6]2028'!T32,2)</f>
        <v>13645.39</v>
      </c>
      <c r="U28" s="89">
        <f>ROUND('[6]2028'!U32,2)</f>
        <v>13376.81</v>
      </c>
      <c r="V28" s="89">
        <f>ROUND('[6]2028'!V32,2)</f>
        <v>13019.84</v>
      </c>
      <c r="W28" s="89">
        <f>ROUND('[6]2028'!W32,2)</f>
        <v>14332.4</v>
      </c>
      <c r="X28" s="89">
        <f>ROUND('[6]2028'!X32,2)</f>
        <v>14696.68</v>
      </c>
      <c r="Y28" s="89">
        <f>ROUND('[6]2028'!Y32,2)</f>
        <v>14160.24</v>
      </c>
      <c r="Z28" s="89">
        <f>ROUND('[6]2028'!Z32,2)</f>
        <v>13279.44</v>
      </c>
      <c r="AA28" s="89">
        <f>ROUND('[6]2028'!AA32,2)</f>
        <v>11955.38</v>
      </c>
      <c r="AB28" s="89">
        <f>ROUND('[6]2028'!AB32,2)</f>
        <v>10574.52</v>
      </c>
      <c r="AC28" s="226"/>
      <c r="AD28" s="19"/>
    </row>
    <row r="29" spans="2:31" ht="18.649999999999999" customHeight="1" x14ac:dyDescent="0.35">
      <c r="B29" s="213"/>
      <c r="C29" s="10" t="s">
        <v>31</v>
      </c>
      <c r="D29" s="94">
        <v>4</v>
      </c>
      <c r="E29" s="89">
        <f>ROUND('[6]2028'!E33,2)</f>
        <v>9520.5400000000009</v>
      </c>
      <c r="F29" s="89">
        <f>ROUND('[6]2028'!F33,2)</f>
        <v>8951.92</v>
      </c>
      <c r="G29" s="89">
        <f>ROUND('[6]2028'!G33,2)</f>
        <v>8368.76</v>
      </c>
      <c r="H29" s="89">
        <f>ROUND('[6]2028'!H33,2)</f>
        <v>8058.7</v>
      </c>
      <c r="I29" s="89">
        <f>ROUND('[6]2028'!I33,2)</f>
        <v>7959.24</v>
      </c>
      <c r="J29" s="89">
        <f>ROUND('[6]2028'!J33,2)</f>
        <v>7637.62</v>
      </c>
      <c r="K29" s="89">
        <f>ROUND('[6]2028'!K33,2)</f>
        <v>7585.07</v>
      </c>
      <c r="L29" s="89">
        <f>ROUND('[6]2028'!L33,2)</f>
        <v>8560.26</v>
      </c>
      <c r="M29" s="89">
        <f>ROUND('[6]2028'!M33,2)</f>
        <v>9690.99</v>
      </c>
      <c r="N29" s="89">
        <f>ROUND('[6]2028'!N33,2)</f>
        <v>10570.2</v>
      </c>
      <c r="O29" s="89">
        <f>ROUND('[6]2028'!O33,2)</f>
        <v>11238.6</v>
      </c>
      <c r="P29" s="89">
        <f>ROUND('[6]2028'!P33,2)</f>
        <v>12069.06</v>
      </c>
      <c r="Q29" s="89">
        <f>ROUND('[6]2028'!Q33,2)</f>
        <v>12534.29</v>
      </c>
      <c r="R29" s="89">
        <f>ROUND('[6]2028'!R33,2)</f>
        <v>12622.45</v>
      </c>
      <c r="S29" s="89">
        <f>ROUND('[6]2028'!S33,2)</f>
        <v>12642.75</v>
      </c>
      <c r="T29" s="89">
        <f>ROUND('[6]2028'!T33,2)</f>
        <v>12677.33</v>
      </c>
      <c r="U29" s="89">
        <f>ROUND('[6]2028'!U33,2)</f>
        <v>12496.98</v>
      </c>
      <c r="V29" s="89">
        <f>ROUND('[6]2028'!V33,2)</f>
        <v>12501.54</v>
      </c>
      <c r="W29" s="89">
        <f>ROUND('[6]2028'!W33,2)</f>
        <v>14561.13</v>
      </c>
      <c r="X29" s="89">
        <f>ROUND('[6]2028'!X33,2)</f>
        <v>15303.58</v>
      </c>
      <c r="Y29" s="89">
        <f>ROUND('[6]2028'!Y33,2)</f>
        <v>15179.96</v>
      </c>
      <c r="Z29" s="89">
        <f>ROUND('[6]2028'!Z33,2)</f>
        <v>14500</v>
      </c>
      <c r="AA29" s="89">
        <f>ROUND('[6]2028'!AA33,2)</f>
        <v>13252.94</v>
      </c>
      <c r="AB29" s="89">
        <f>ROUND('[6]2028'!AB33,2)</f>
        <v>11795.66</v>
      </c>
      <c r="AC29" s="226"/>
      <c r="AD29" s="19"/>
    </row>
    <row r="30" spans="2:31" ht="18.649999999999999" customHeight="1" thickBot="1" x14ac:dyDescent="0.4">
      <c r="B30" s="213"/>
      <c r="C30" s="16" t="s">
        <v>32</v>
      </c>
      <c r="D30" s="95">
        <v>2</v>
      </c>
      <c r="E30" s="90">
        <f>ROUND('[6]2028'!E34,2)</f>
        <v>9520.5400000000009</v>
      </c>
      <c r="F30" s="90">
        <f>ROUND('[6]2028'!F34,2)</f>
        <v>8951.92</v>
      </c>
      <c r="G30" s="90">
        <f>ROUND('[6]2028'!G34,2)</f>
        <v>8368.76</v>
      </c>
      <c r="H30" s="90">
        <f>ROUND('[6]2028'!H34,2)</f>
        <v>8058.7</v>
      </c>
      <c r="I30" s="90">
        <f>ROUND('[6]2028'!I34,2)</f>
        <v>7959.24</v>
      </c>
      <c r="J30" s="90">
        <f>ROUND('[6]2028'!J34,2)</f>
        <v>7637.62</v>
      </c>
      <c r="K30" s="90">
        <f>ROUND('[6]2028'!K34,2)</f>
        <v>7585.07</v>
      </c>
      <c r="L30" s="90">
        <f>ROUND('[6]2028'!L34,2)</f>
        <v>8560.26</v>
      </c>
      <c r="M30" s="90">
        <f>ROUND('[6]2028'!M34,2)</f>
        <v>9690.99</v>
      </c>
      <c r="N30" s="90">
        <f>ROUND('[6]2028'!N34,2)</f>
        <v>10570.2</v>
      </c>
      <c r="O30" s="90">
        <f>ROUND('[6]2028'!O34,2)</f>
        <v>11238.6</v>
      </c>
      <c r="P30" s="90">
        <f>ROUND('[6]2028'!P34,2)</f>
        <v>12069.06</v>
      </c>
      <c r="Q30" s="90">
        <f>ROUND('[6]2028'!Q34,2)</f>
        <v>12534.29</v>
      </c>
      <c r="R30" s="90">
        <f>ROUND('[6]2028'!R34,2)</f>
        <v>12622.45</v>
      </c>
      <c r="S30" s="90">
        <f>ROUND('[6]2028'!S34,2)</f>
        <v>12642.75</v>
      </c>
      <c r="T30" s="90">
        <f>ROUND('[6]2028'!T34,2)</f>
        <v>12677.33</v>
      </c>
      <c r="U30" s="90">
        <f>ROUND('[6]2028'!U34,2)</f>
        <v>12496.98</v>
      </c>
      <c r="V30" s="90">
        <f>ROUND('[6]2028'!V34,2)</f>
        <v>12501.54</v>
      </c>
      <c r="W30" s="90">
        <f>ROUND('[6]2028'!W34,2)</f>
        <v>14561.13</v>
      </c>
      <c r="X30" s="90">
        <f>ROUND('[6]2028'!X34,2)</f>
        <v>15303.58</v>
      </c>
      <c r="Y30" s="90">
        <f>ROUND('[6]2028'!Y34,2)</f>
        <v>15179.96</v>
      </c>
      <c r="Z30" s="90">
        <f>ROUND('[6]2028'!Z34,2)</f>
        <v>14500</v>
      </c>
      <c r="AA30" s="90">
        <f>ROUND('[6]2028'!AA34,2)</f>
        <v>13252.94</v>
      </c>
      <c r="AB30" s="90">
        <f>ROUND('[6]2028'!AB34,2)</f>
        <v>11795.66</v>
      </c>
      <c r="AC30" s="226"/>
      <c r="AD30" s="19"/>
    </row>
    <row r="31" spans="2:31" ht="18.649999999999999" customHeight="1" x14ac:dyDescent="0.35">
      <c r="B31" s="222">
        <v>46905</v>
      </c>
      <c r="C31" s="7" t="s">
        <v>29</v>
      </c>
      <c r="D31" s="93">
        <v>20</v>
      </c>
      <c r="E31" s="88">
        <f>ROUND('[6]2028'!E35,2)</f>
        <v>14792.43</v>
      </c>
      <c r="F31" s="88">
        <f>ROUND('[6]2028'!F35,2)</f>
        <v>13809.83</v>
      </c>
      <c r="G31" s="88">
        <f>ROUND('[6]2028'!G35,2)</f>
        <v>13083.85</v>
      </c>
      <c r="H31" s="88">
        <f>ROUND('[6]2028'!H35,2)</f>
        <v>12599.39</v>
      </c>
      <c r="I31" s="88">
        <f>ROUND('[6]2028'!I35,2)</f>
        <v>12469.99</v>
      </c>
      <c r="J31" s="88">
        <f>ROUND('[6]2028'!J35,2)</f>
        <v>12284.38</v>
      </c>
      <c r="K31" s="88">
        <f>ROUND('[6]2028'!K35,2)</f>
        <v>12572.78</v>
      </c>
      <c r="L31" s="88">
        <f>ROUND('[6]2028'!L35,2)</f>
        <v>14689.5</v>
      </c>
      <c r="M31" s="88">
        <f>ROUND('[6]2028'!M35,2)</f>
        <v>17016.97</v>
      </c>
      <c r="N31" s="88">
        <f>ROUND('[6]2028'!N35,2)</f>
        <v>18448.060000000001</v>
      </c>
      <c r="O31" s="88">
        <f>ROUND('[6]2028'!O35,2)</f>
        <v>19691.66</v>
      </c>
      <c r="P31" s="88">
        <f>ROUND('[6]2028'!P35,2)</f>
        <v>20376.07</v>
      </c>
      <c r="Q31" s="88">
        <f>ROUND('[6]2028'!Q35,2)</f>
        <v>20001.45</v>
      </c>
      <c r="R31" s="88">
        <f>ROUND('[6]2028'!R35,2)</f>
        <v>19572.169999999998</v>
      </c>
      <c r="S31" s="88">
        <f>ROUND('[6]2028'!S35,2)</f>
        <v>19592.900000000001</v>
      </c>
      <c r="T31" s="88">
        <f>ROUND('[6]2028'!T35,2)</f>
        <v>19522.18</v>
      </c>
      <c r="U31" s="88">
        <f>ROUND('[6]2028'!U35,2)</f>
        <v>19273.75</v>
      </c>
      <c r="V31" s="88">
        <f>ROUND('[6]2028'!V35,2)</f>
        <v>19299.669999999998</v>
      </c>
      <c r="W31" s="88">
        <f>ROUND('[6]2028'!W35,2)</f>
        <v>21393.06</v>
      </c>
      <c r="X31" s="88">
        <f>ROUND('[6]2028'!X35,2)</f>
        <v>21769.82</v>
      </c>
      <c r="Y31" s="88">
        <f>ROUND('[6]2028'!Y35,2)</f>
        <v>20837.09</v>
      </c>
      <c r="Z31" s="88">
        <f>ROUND('[6]2028'!Z35,2)</f>
        <v>19772.560000000001</v>
      </c>
      <c r="AA31" s="88">
        <f>ROUND('[6]2028'!AA35,2)</f>
        <v>18458.740000000002</v>
      </c>
      <c r="AB31" s="88">
        <f>ROUND('[6]2028'!AB35,2)</f>
        <v>16974.259999999998</v>
      </c>
      <c r="AC31" s="225">
        <f>SUM(E31:AB31)*D31+SUM(E32:AB32)*D32+SUM(E33:AB33)*D33+SUM(E34:AB34)*D34</f>
        <v>12471108</v>
      </c>
      <c r="AD31" s="19"/>
    </row>
    <row r="32" spans="2:31" ht="18.649999999999999" customHeight="1" x14ac:dyDescent="0.35">
      <c r="B32" s="223" t="s">
        <v>34</v>
      </c>
      <c r="C32" s="10" t="s">
        <v>30</v>
      </c>
      <c r="D32" s="94">
        <v>4</v>
      </c>
      <c r="E32" s="89">
        <f>ROUND('[6]2028'!E36,2)</f>
        <v>15382.44</v>
      </c>
      <c r="F32" s="89">
        <f>ROUND('[6]2028'!F36,2)</f>
        <v>14379.39</v>
      </c>
      <c r="G32" s="89">
        <f>ROUND('[6]2028'!G36,2)</f>
        <v>13617.2</v>
      </c>
      <c r="H32" s="89">
        <f>ROUND('[6]2028'!H36,2)</f>
        <v>13088.35</v>
      </c>
      <c r="I32" s="89">
        <f>ROUND('[6]2028'!I36,2)</f>
        <v>13026.11</v>
      </c>
      <c r="J32" s="89">
        <f>ROUND('[6]2028'!J36,2)</f>
        <v>13228.42</v>
      </c>
      <c r="K32" s="89">
        <f>ROUND('[6]2028'!K36,2)</f>
        <v>13352.13</v>
      </c>
      <c r="L32" s="89">
        <f>ROUND('[6]2028'!L36,2)</f>
        <v>15416.71</v>
      </c>
      <c r="M32" s="89">
        <f>ROUND('[6]2028'!M36,2)</f>
        <v>17597.810000000001</v>
      </c>
      <c r="N32" s="89">
        <f>ROUND('[6]2028'!N36,2)</f>
        <v>18859.89</v>
      </c>
      <c r="O32" s="89">
        <f>ROUND('[6]2028'!O36,2)</f>
        <v>20050.82</v>
      </c>
      <c r="P32" s="89">
        <f>ROUND('[6]2028'!P36,2)</f>
        <v>20828.03</v>
      </c>
      <c r="Q32" s="89">
        <f>ROUND('[6]2028'!Q36,2)</f>
        <v>20170.349999999999</v>
      </c>
      <c r="R32" s="89">
        <f>ROUND('[6]2028'!R36,2)</f>
        <v>20775.810000000001</v>
      </c>
      <c r="S32" s="89">
        <f>ROUND('[6]2028'!S36,2)</f>
        <v>21651.040000000001</v>
      </c>
      <c r="T32" s="89">
        <f>ROUND('[6]2028'!T36,2)</f>
        <v>21686.04</v>
      </c>
      <c r="U32" s="89">
        <f>ROUND('[6]2028'!U36,2)</f>
        <v>21189.35</v>
      </c>
      <c r="V32" s="89">
        <f>ROUND('[6]2028'!V36,2)</f>
        <v>20328.55</v>
      </c>
      <c r="W32" s="89">
        <f>ROUND('[6]2028'!W36,2)</f>
        <v>21817.5</v>
      </c>
      <c r="X32" s="89">
        <f>ROUND('[6]2028'!X36,2)</f>
        <v>22602.19</v>
      </c>
      <c r="Y32" s="89">
        <f>ROUND('[6]2028'!Y36,2)</f>
        <v>21972.73</v>
      </c>
      <c r="Z32" s="89">
        <f>ROUND('[6]2028'!Z36,2)</f>
        <v>20829.55</v>
      </c>
      <c r="AA32" s="89">
        <f>ROUND('[6]2028'!AA36,2)</f>
        <v>18965.89</v>
      </c>
      <c r="AB32" s="89">
        <f>ROUND('[6]2028'!AB36,2)</f>
        <v>17015.66</v>
      </c>
      <c r="AC32" s="226"/>
      <c r="AD32" s="19"/>
    </row>
    <row r="33" spans="2:30" ht="18.649999999999999" customHeight="1" x14ac:dyDescent="0.35">
      <c r="B33" s="223" t="s">
        <v>34</v>
      </c>
      <c r="C33" s="10" t="s">
        <v>31</v>
      </c>
      <c r="D33" s="94">
        <v>4</v>
      </c>
      <c r="E33" s="89">
        <f>ROUND('[6]2028'!E37,2)</f>
        <v>14401.23</v>
      </c>
      <c r="F33" s="89">
        <f>ROUND('[6]2028'!F37,2)</f>
        <v>13617.07</v>
      </c>
      <c r="G33" s="89">
        <f>ROUND('[6]2028'!G37,2)</f>
        <v>12976.32</v>
      </c>
      <c r="H33" s="89">
        <f>ROUND('[6]2028'!H37,2)</f>
        <v>12561.17</v>
      </c>
      <c r="I33" s="89">
        <f>ROUND('[6]2028'!I37,2)</f>
        <v>12395.58</v>
      </c>
      <c r="J33" s="89">
        <f>ROUND('[6]2028'!J37,2)</f>
        <v>11908.46</v>
      </c>
      <c r="K33" s="89">
        <f>ROUND('[6]2028'!K37,2)</f>
        <v>11685.98</v>
      </c>
      <c r="L33" s="89">
        <f>ROUND('[6]2028'!L37,2)</f>
        <v>13045.29</v>
      </c>
      <c r="M33" s="89">
        <f>ROUND('[6]2028'!M37,2)</f>
        <v>14617.17</v>
      </c>
      <c r="N33" s="89">
        <f>ROUND('[6]2028'!N37,2)</f>
        <v>15596.63</v>
      </c>
      <c r="O33" s="89">
        <f>ROUND('[6]2028'!O37,2)</f>
        <v>16758.150000000001</v>
      </c>
      <c r="P33" s="89">
        <f>ROUND('[6]2028'!P37,2)</f>
        <v>17617.72</v>
      </c>
      <c r="Q33" s="89">
        <f>ROUND('[6]2028'!Q37,2)</f>
        <v>18056.12</v>
      </c>
      <c r="R33" s="89">
        <f>ROUND('[6]2028'!R37,2)</f>
        <v>17964.73</v>
      </c>
      <c r="S33" s="89">
        <f>ROUND('[6]2028'!S37,2)</f>
        <v>17773.71</v>
      </c>
      <c r="T33" s="89">
        <f>ROUND('[6]2028'!T37,2)</f>
        <v>17598.09</v>
      </c>
      <c r="U33" s="89">
        <f>ROUND('[6]2028'!U37,2)</f>
        <v>17425.27</v>
      </c>
      <c r="V33" s="89">
        <f>ROUND('[6]2028'!V37,2)</f>
        <v>17763.560000000001</v>
      </c>
      <c r="W33" s="89">
        <f>ROUND('[6]2028'!W37,2)</f>
        <v>20511.580000000002</v>
      </c>
      <c r="X33" s="89">
        <f>ROUND('[6]2028'!X37,2)</f>
        <v>21525.39</v>
      </c>
      <c r="Y33" s="89">
        <f>ROUND('[6]2028'!Y37,2)</f>
        <v>21188.79</v>
      </c>
      <c r="Z33" s="89">
        <f>ROUND('[6]2028'!Z37,2)</f>
        <v>20221.18</v>
      </c>
      <c r="AA33" s="89">
        <f>ROUND('[6]2028'!AA37,2)</f>
        <v>18516.740000000002</v>
      </c>
      <c r="AB33" s="89">
        <f>ROUND('[6]2028'!AB37,2)</f>
        <v>16562.23</v>
      </c>
      <c r="AC33" s="226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96">
        <v>2</v>
      </c>
      <c r="E34" s="91">
        <f>ROUND('[6]2028'!E38,2)</f>
        <v>14401.23</v>
      </c>
      <c r="F34" s="91">
        <f>ROUND('[6]2028'!F38,2)</f>
        <v>13617.07</v>
      </c>
      <c r="G34" s="91">
        <f>ROUND('[6]2028'!G38,2)</f>
        <v>12976.32</v>
      </c>
      <c r="H34" s="91">
        <f>ROUND('[6]2028'!H38,2)</f>
        <v>12561.17</v>
      </c>
      <c r="I34" s="91">
        <f>ROUND('[6]2028'!I38,2)</f>
        <v>12395.58</v>
      </c>
      <c r="J34" s="91">
        <f>ROUND('[6]2028'!J38,2)</f>
        <v>11908.46</v>
      </c>
      <c r="K34" s="91">
        <f>ROUND('[6]2028'!K38,2)</f>
        <v>11685.98</v>
      </c>
      <c r="L34" s="91">
        <f>ROUND('[6]2028'!L38,2)</f>
        <v>13045.29</v>
      </c>
      <c r="M34" s="91">
        <f>ROUND('[6]2028'!M38,2)</f>
        <v>14617.17</v>
      </c>
      <c r="N34" s="91">
        <f>ROUND('[6]2028'!N38,2)</f>
        <v>15596.63</v>
      </c>
      <c r="O34" s="91">
        <f>ROUND('[6]2028'!O38,2)</f>
        <v>16758.150000000001</v>
      </c>
      <c r="P34" s="91">
        <f>ROUND('[6]2028'!P38,2)</f>
        <v>17617.72</v>
      </c>
      <c r="Q34" s="91">
        <f>ROUND('[6]2028'!Q38,2)</f>
        <v>18056.12</v>
      </c>
      <c r="R34" s="91">
        <f>ROUND('[6]2028'!R38,2)</f>
        <v>17964.73</v>
      </c>
      <c r="S34" s="91">
        <f>ROUND('[6]2028'!S38,2)</f>
        <v>17773.71</v>
      </c>
      <c r="T34" s="91">
        <f>ROUND('[6]2028'!T38,2)</f>
        <v>17598.09</v>
      </c>
      <c r="U34" s="91">
        <f>ROUND('[6]2028'!U38,2)</f>
        <v>17425.27</v>
      </c>
      <c r="V34" s="91">
        <f>ROUND('[6]2028'!V38,2)</f>
        <v>17763.560000000001</v>
      </c>
      <c r="W34" s="91">
        <f>ROUND('[6]2028'!W38,2)</f>
        <v>20511.580000000002</v>
      </c>
      <c r="X34" s="91">
        <f>ROUND('[6]2028'!X38,2)</f>
        <v>21525.39</v>
      </c>
      <c r="Y34" s="91">
        <f>ROUND('[6]2028'!Y38,2)</f>
        <v>21188.79</v>
      </c>
      <c r="Z34" s="91">
        <f>ROUND('[6]2028'!Z38,2)</f>
        <v>20221.18</v>
      </c>
      <c r="AA34" s="91">
        <f>ROUND('[6]2028'!AA38,2)</f>
        <v>18516.740000000002</v>
      </c>
      <c r="AB34" s="91">
        <f>ROUND('[6]2028'!AB38,2)</f>
        <v>16562.23</v>
      </c>
      <c r="AC34" s="227"/>
      <c r="AD34" s="19"/>
    </row>
    <row r="35" spans="2:30" ht="18.649999999999999" customHeight="1" x14ac:dyDescent="0.35">
      <c r="B35" s="212">
        <v>46935</v>
      </c>
      <c r="C35" s="14" t="s">
        <v>29</v>
      </c>
      <c r="D35" s="97">
        <v>19</v>
      </c>
      <c r="E35" s="92">
        <f>ROUND('[6]2028'!E39,2)</f>
        <v>1874.35</v>
      </c>
      <c r="F35" s="92">
        <f>ROUND('[6]2028'!F39,2)</f>
        <v>1543.52</v>
      </c>
      <c r="G35" s="92">
        <f>ROUND('[6]2028'!G39,2)</f>
        <v>1325.43</v>
      </c>
      <c r="H35" s="92">
        <f>ROUND('[6]2028'!H39,2)</f>
        <v>1163.98</v>
      </c>
      <c r="I35" s="92">
        <f>ROUND('[6]2028'!I39,2)</f>
        <v>1138.94</v>
      </c>
      <c r="J35" s="92">
        <f>ROUND('[6]2028'!J39,2)</f>
        <v>1110.33</v>
      </c>
      <c r="K35" s="92">
        <f>ROUND('[6]2028'!K39,2)</f>
        <v>1166.58</v>
      </c>
      <c r="L35" s="92">
        <f>ROUND('[6]2028'!L39,2)</f>
        <v>1885.93</v>
      </c>
      <c r="M35" s="92">
        <f>ROUND('[6]2028'!M39,2)</f>
        <v>2722.82</v>
      </c>
      <c r="N35" s="92">
        <f>ROUND('[6]2028'!N39,2)</f>
        <v>3196.96</v>
      </c>
      <c r="O35" s="92">
        <f>ROUND('[6]2028'!O39,2)</f>
        <v>3623.44</v>
      </c>
      <c r="P35" s="92">
        <f>ROUND('[6]2028'!P39,2)</f>
        <v>3817.48</v>
      </c>
      <c r="Q35" s="92">
        <f>ROUND('[6]2028'!Q39,2)</f>
        <v>3702.46</v>
      </c>
      <c r="R35" s="92">
        <f>ROUND('[6]2028'!R39,2)</f>
        <v>3581.77</v>
      </c>
      <c r="S35" s="92">
        <f>ROUND('[6]2028'!S39,2)</f>
        <v>3595.84</v>
      </c>
      <c r="T35" s="92">
        <f>ROUND('[6]2028'!T39,2)</f>
        <v>3619.37</v>
      </c>
      <c r="U35" s="92">
        <f>ROUND('[6]2028'!U39,2)</f>
        <v>3498.86</v>
      </c>
      <c r="V35" s="92">
        <f>ROUND('[6]2028'!V39,2)</f>
        <v>3479.76</v>
      </c>
      <c r="W35" s="92">
        <f>ROUND('[6]2028'!W39,2)</f>
        <v>4198</v>
      </c>
      <c r="X35" s="92">
        <f>ROUND('[6]2028'!X39,2)</f>
        <v>4442.42</v>
      </c>
      <c r="Y35" s="92">
        <f>ROUND('[6]2028'!Y39,2)</f>
        <v>4141.74</v>
      </c>
      <c r="Z35" s="92">
        <f>ROUND('[6]2028'!Z39,2)</f>
        <v>3736.41</v>
      </c>
      <c r="AA35" s="92">
        <f>ROUND('[6]2028'!AA39,2)</f>
        <v>3220.7</v>
      </c>
      <c r="AB35" s="92">
        <f>ROUND('[6]2028'!AB39,2)</f>
        <v>2671.29</v>
      </c>
      <c r="AC35" s="226">
        <f>SUM(E35:AB35)*D35+SUM(E36:AB36)*D36+SUM(E37:AB37)*D37+SUM(E38:AB38)*D38</f>
        <v>2132513.0199999996</v>
      </c>
      <c r="AD35" s="19"/>
    </row>
    <row r="36" spans="2:30" ht="18.649999999999999" customHeight="1" x14ac:dyDescent="0.35">
      <c r="B36" s="213"/>
      <c r="C36" s="10" t="s">
        <v>30</v>
      </c>
      <c r="D36" s="94">
        <v>5</v>
      </c>
      <c r="E36" s="89">
        <f>ROUND('[6]2028'!E40,2)</f>
        <v>2311.86</v>
      </c>
      <c r="F36" s="89">
        <f>ROUND('[6]2028'!F40,2)</f>
        <v>1928.91</v>
      </c>
      <c r="G36" s="89">
        <f>ROUND('[6]2028'!G40,2)</f>
        <v>1648.23</v>
      </c>
      <c r="H36" s="89">
        <f>ROUND('[6]2028'!H40,2)</f>
        <v>1450.19</v>
      </c>
      <c r="I36" s="89">
        <f>ROUND('[6]2028'!I40,2)</f>
        <v>1436.54</v>
      </c>
      <c r="J36" s="89">
        <f>ROUND('[6]2028'!J40,2)</f>
        <v>1554.44</v>
      </c>
      <c r="K36" s="89">
        <f>ROUND('[6]2028'!K40,2)</f>
        <v>1592.88</v>
      </c>
      <c r="L36" s="89">
        <f>ROUND('[6]2028'!L40,2)</f>
        <v>2311.7600000000002</v>
      </c>
      <c r="M36" s="89">
        <f>ROUND('[6]2028'!M40,2)</f>
        <v>3085.53</v>
      </c>
      <c r="N36" s="89">
        <f>ROUND('[6]2028'!N40,2)</f>
        <v>3525.29</v>
      </c>
      <c r="O36" s="89">
        <f>ROUND('[6]2028'!O40,2)</f>
        <v>3969.73</v>
      </c>
      <c r="P36" s="89">
        <f>ROUND('[6]2028'!P40,2)</f>
        <v>4290.46</v>
      </c>
      <c r="Q36" s="89">
        <f>ROUND('[6]2028'!Q40,2)</f>
        <v>4047.76</v>
      </c>
      <c r="R36" s="89">
        <f>ROUND('[6]2028'!R40,2)</f>
        <v>4229.12</v>
      </c>
      <c r="S36" s="89">
        <f>ROUND('[6]2028'!S40,2)</f>
        <v>4533.88</v>
      </c>
      <c r="T36" s="89">
        <f>ROUND('[6]2028'!T40,2)</f>
        <v>4533.97</v>
      </c>
      <c r="U36" s="89">
        <f>ROUND('[6]2028'!U40,2)</f>
        <v>4352.0600000000004</v>
      </c>
      <c r="V36" s="89">
        <f>ROUND('[6]2028'!V40,2)</f>
        <v>4083.7</v>
      </c>
      <c r="W36" s="89">
        <f>ROUND('[6]2028'!W40,2)</f>
        <v>4707.97</v>
      </c>
      <c r="X36" s="89">
        <f>ROUND('[6]2028'!X40,2)</f>
        <v>4908.01</v>
      </c>
      <c r="Y36" s="89">
        <f>ROUND('[6]2028'!Y40,2)</f>
        <v>4698.58</v>
      </c>
      <c r="Z36" s="89">
        <f>ROUND('[6]2028'!Z40,2)</f>
        <v>4286.1400000000003</v>
      </c>
      <c r="AA36" s="89">
        <f>ROUND('[6]2028'!AA40,2)</f>
        <v>3608.18</v>
      </c>
      <c r="AB36" s="89">
        <f>ROUND('[6]2028'!AB40,2)</f>
        <v>2878.36</v>
      </c>
      <c r="AC36" s="226"/>
      <c r="AD36" s="19"/>
    </row>
    <row r="37" spans="2:30" ht="18.649999999999999" customHeight="1" x14ac:dyDescent="0.35">
      <c r="B37" s="213"/>
      <c r="C37" s="10" t="s">
        <v>31</v>
      </c>
      <c r="D37" s="94">
        <v>5</v>
      </c>
      <c r="E37" s="89">
        <f>ROUND('[6]2028'!E41,2)</f>
        <v>1896.66</v>
      </c>
      <c r="F37" s="89">
        <f>ROUND('[6]2028'!F41,2)</f>
        <v>1619.63</v>
      </c>
      <c r="G37" s="89">
        <f>ROUND('[6]2028'!G41,2)</f>
        <v>1385.13</v>
      </c>
      <c r="H37" s="89">
        <f>ROUND('[6]2028'!H41,2)</f>
        <v>1170.46</v>
      </c>
      <c r="I37" s="89">
        <f>ROUND('[6]2028'!I41,2)</f>
        <v>1098.3900000000001</v>
      </c>
      <c r="J37" s="89">
        <f>ROUND('[6]2028'!J41,2)</f>
        <v>1003.35</v>
      </c>
      <c r="K37" s="89">
        <f>ROUND('[6]2028'!K41,2)</f>
        <v>888.94</v>
      </c>
      <c r="L37" s="89">
        <f>ROUND('[6]2028'!L41,2)</f>
        <v>1328.05</v>
      </c>
      <c r="M37" s="89">
        <f>ROUND('[6]2028'!M41,2)</f>
        <v>1901.89</v>
      </c>
      <c r="N37" s="89">
        <f>ROUND('[6]2028'!N41,2)</f>
        <v>2364.9499999999998</v>
      </c>
      <c r="O37" s="89">
        <f>ROUND('[6]2028'!O41,2)</f>
        <v>2697.06</v>
      </c>
      <c r="P37" s="89">
        <f>ROUND('[6]2028'!P41,2)</f>
        <v>2865.38</v>
      </c>
      <c r="Q37" s="89">
        <f>ROUND('[6]2028'!Q41,2)</f>
        <v>3154.18</v>
      </c>
      <c r="R37" s="89">
        <f>ROUND('[6]2028'!R41,2)</f>
        <v>3173.15</v>
      </c>
      <c r="S37" s="89">
        <f>ROUND('[6]2028'!S41,2)</f>
        <v>3158.64</v>
      </c>
      <c r="T37" s="89">
        <f>ROUND('[6]2028'!T41,2)</f>
        <v>3182.04</v>
      </c>
      <c r="U37" s="89">
        <f>ROUND('[6]2028'!U41,2)</f>
        <v>3118.14</v>
      </c>
      <c r="V37" s="89">
        <f>ROUND('[6]2028'!V41,2)</f>
        <v>3044.6</v>
      </c>
      <c r="W37" s="89">
        <f>ROUND('[6]2028'!W41,2)</f>
        <v>3890.44</v>
      </c>
      <c r="X37" s="89">
        <f>ROUND('[6]2028'!X41,2)</f>
        <v>4378.12</v>
      </c>
      <c r="Y37" s="89">
        <f>ROUND('[6]2028'!Y41,2)</f>
        <v>4251.3100000000004</v>
      </c>
      <c r="Z37" s="89">
        <f>ROUND('[6]2028'!Z41,2)</f>
        <v>3934.42</v>
      </c>
      <c r="AA37" s="89">
        <f>ROUND('[6]2028'!AA41,2)</f>
        <v>3398.48</v>
      </c>
      <c r="AB37" s="89">
        <f>ROUND('[6]2028'!AB41,2)</f>
        <v>2801.74</v>
      </c>
      <c r="AC37" s="226"/>
      <c r="AD37" s="19"/>
    </row>
    <row r="38" spans="2:30" ht="18.649999999999999" customHeight="1" thickBot="1" x14ac:dyDescent="0.4">
      <c r="B38" s="213"/>
      <c r="C38" s="16" t="s">
        <v>32</v>
      </c>
      <c r="D38" s="95">
        <v>2</v>
      </c>
      <c r="E38" s="90">
        <f>ROUND('[6]2028'!E42,2)</f>
        <v>1896.66</v>
      </c>
      <c r="F38" s="90">
        <f>ROUND('[6]2028'!F42,2)</f>
        <v>1619.63</v>
      </c>
      <c r="G38" s="90">
        <f>ROUND('[6]2028'!G42,2)</f>
        <v>1385.13</v>
      </c>
      <c r="H38" s="90">
        <f>ROUND('[6]2028'!H42,2)</f>
        <v>1170.46</v>
      </c>
      <c r="I38" s="90">
        <f>ROUND('[6]2028'!I42,2)</f>
        <v>1098.3900000000001</v>
      </c>
      <c r="J38" s="90">
        <f>ROUND('[6]2028'!J42,2)</f>
        <v>1003.35</v>
      </c>
      <c r="K38" s="90">
        <f>ROUND('[6]2028'!K42,2)</f>
        <v>888.94</v>
      </c>
      <c r="L38" s="90">
        <f>ROUND('[6]2028'!L42,2)</f>
        <v>1328.05</v>
      </c>
      <c r="M38" s="90">
        <f>ROUND('[6]2028'!M42,2)</f>
        <v>1901.89</v>
      </c>
      <c r="N38" s="90">
        <f>ROUND('[6]2028'!N42,2)</f>
        <v>2364.9499999999998</v>
      </c>
      <c r="O38" s="90">
        <f>ROUND('[6]2028'!O42,2)</f>
        <v>2697.06</v>
      </c>
      <c r="P38" s="90">
        <f>ROUND('[6]2028'!P42,2)</f>
        <v>2865.38</v>
      </c>
      <c r="Q38" s="90">
        <f>ROUND('[6]2028'!Q42,2)</f>
        <v>3154.18</v>
      </c>
      <c r="R38" s="90">
        <f>ROUND('[6]2028'!R42,2)</f>
        <v>3173.15</v>
      </c>
      <c r="S38" s="90">
        <f>ROUND('[6]2028'!S42,2)</f>
        <v>3158.64</v>
      </c>
      <c r="T38" s="90">
        <f>ROUND('[6]2028'!T42,2)</f>
        <v>3182.04</v>
      </c>
      <c r="U38" s="90">
        <f>ROUND('[6]2028'!U42,2)</f>
        <v>3118.14</v>
      </c>
      <c r="V38" s="90">
        <f>ROUND('[6]2028'!V42,2)</f>
        <v>3044.6</v>
      </c>
      <c r="W38" s="90">
        <f>ROUND('[6]2028'!W42,2)</f>
        <v>3890.44</v>
      </c>
      <c r="X38" s="90">
        <f>ROUND('[6]2028'!X42,2)</f>
        <v>4378.12</v>
      </c>
      <c r="Y38" s="90">
        <f>ROUND('[6]2028'!Y42,2)</f>
        <v>4251.3100000000004</v>
      </c>
      <c r="Z38" s="90">
        <f>ROUND('[6]2028'!Z42,2)</f>
        <v>3934.42</v>
      </c>
      <c r="AA38" s="90">
        <f>ROUND('[6]2028'!AA42,2)</f>
        <v>3398.48</v>
      </c>
      <c r="AB38" s="90">
        <f>ROUND('[6]2028'!AB42,2)</f>
        <v>2801.74</v>
      </c>
      <c r="AC38" s="226"/>
      <c r="AD38" s="19"/>
    </row>
    <row r="39" spans="2:30" ht="18.649999999999999" customHeight="1" x14ac:dyDescent="0.35">
      <c r="B39" s="222">
        <v>46966</v>
      </c>
      <c r="C39" s="7" t="s">
        <v>29</v>
      </c>
      <c r="D39" s="93">
        <v>21</v>
      </c>
      <c r="E39" s="88">
        <f>ROUND('[6]2028'!E43,2)</f>
        <v>4056.28</v>
      </c>
      <c r="F39" s="88">
        <f>ROUND('[6]2028'!F43,2)</f>
        <v>3568.27</v>
      </c>
      <c r="G39" s="88">
        <f>ROUND('[6]2028'!G43,2)</f>
        <v>3204.16</v>
      </c>
      <c r="H39" s="88">
        <f>ROUND('[6]2028'!H43,2)</f>
        <v>2960.32</v>
      </c>
      <c r="I39" s="88">
        <f>ROUND('[6]2028'!I43,2)</f>
        <v>2870.75</v>
      </c>
      <c r="J39" s="88">
        <f>ROUND('[6]2028'!J43,2)</f>
        <v>2848.19</v>
      </c>
      <c r="K39" s="88">
        <f>ROUND('[6]2028'!K43,2)</f>
        <v>2873.97</v>
      </c>
      <c r="L39" s="88">
        <f>ROUND('[6]2028'!L43,2)</f>
        <v>3782.53</v>
      </c>
      <c r="M39" s="88">
        <f>ROUND('[6]2028'!M43,2)</f>
        <v>4805.5200000000004</v>
      </c>
      <c r="N39" s="88">
        <f>ROUND('[6]2028'!N43,2)</f>
        <v>5434.25</v>
      </c>
      <c r="O39" s="88">
        <f>ROUND('[6]2028'!O43,2)</f>
        <v>5956.4</v>
      </c>
      <c r="P39" s="88">
        <f>ROUND('[6]2028'!P43,2)</f>
        <v>6289.49</v>
      </c>
      <c r="Q39" s="88">
        <f>ROUND('[6]2028'!Q43,2)</f>
        <v>6102.17</v>
      </c>
      <c r="R39" s="88">
        <f>ROUND('[6]2028'!R43,2)</f>
        <v>5943.95</v>
      </c>
      <c r="S39" s="88">
        <f>ROUND('[6]2028'!S43,2)</f>
        <v>5927.47</v>
      </c>
      <c r="T39" s="88">
        <f>ROUND('[6]2028'!T43,2)</f>
        <v>5838.31</v>
      </c>
      <c r="U39" s="88">
        <f>ROUND('[6]2028'!U43,2)</f>
        <v>5621.04</v>
      </c>
      <c r="V39" s="88">
        <f>ROUND('[6]2028'!V43,2)</f>
        <v>5606.96</v>
      </c>
      <c r="W39" s="88">
        <f>ROUND('[6]2028'!W43,2)</f>
        <v>6568.61</v>
      </c>
      <c r="X39" s="88">
        <f>ROUND('[6]2028'!X43,2)</f>
        <v>6717.09</v>
      </c>
      <c r="Y39" s="88">
        <f>ROUND('[6]2028'!Y43,2)</f>
        <v>6373.71</v>
      </c>
      <c r="Z39" s="88">
        <f>ROUND('[6]2028'!Z43,2)</f>
        <v>5900.3</v>
      </c>
      <c r="AA39" s="88">
        <f>ROUND('[6]2028'!AA43,2)</f>
        <v>5232.45</v>
      </c>
      <c r="AB39" s="88">
        <f>ROUND('[6]2028'!AB43,2)</f>
        <v>4521.24</v>
      </c>
      <c r="AC39" s="225">
        <f>SUM(E39:AB39)*D39+SUM(E40:AB40)*D40+SUM(E41:AB41)*D41+SUM(E42:AB42)*D42</f>
        <v>3655478.7699999996</v>
      </c>
      <c r="AD39" s="19"/>
    </row>
    <row r="40" spans="2:30" ht="18.649999999999999" customHeight="1" x14ac:dyDescent="0.35">
      <c r="B40" s="223" t="s">
        <v>34</v>
      </c>
      <c r="C40" s="10" t="s">
        <v>30</v>
      </c>
      <c r="D40" s="94">
        <v>4</v>
      </c>
      <c r="E40" s="89">
        <f>ROUND('[6]2028'!E44,2)</f>
        <v>3936.63</v>
      </c>
      <c r="F40" s="89">
        <f>ROUND('[6]2028'!F44,2)</f>
        <v>3493.05</v>
      </c>
      <c r="G40" s="89">
        <f>ROUND('[6]2028'!G44,2)</f>
        <v>3153.78</v>
      </c>
      <c r="H40" s="89">
        <f>ROUND('[6]2028'!H44,2)</f>
        <v>2914.53</v>
      </c>
      <c r="I40" s="89">
        <f>ROUND('[6]2028'!I44,2)</f>
        <v>2891.69</v>
      </c>
      <c r="J40" s="89">
        <f>ROUND('[6]2028'!J44,2)</f>
        <v>3020.8</v>
      </c>
      <c r="K40" s="89">
        <f>ROUND('[6]2028'!K44,2)</f>
        <v>3106.39</v>
      </c>
      <c r="L40" s="89">
        <f>ROUND('[6]2028'!L44,2)</f>
        <v>4031.18</v>
      </c>
      <c r="M40" s="89">
        <f>ROUND('[6]2028'!M44,2)</f>
        <v>4978.8599999999997</v>
      </c>
      <c r="N40" s="89">
        <f>ROUND('[6]2028'!N44,2)</f>
        <v>5515.7</v>
      </c>
      <c r="O40" s="89">
        <f>ROUND('[6]2028'!O44,2)</f>
        <v>6072.94</v>
      </c>
      <c r="P40" s="89">
        <f>ROUND('[6]2028'!P44,2)</f>
        <v>6449.98</v>
      </c>
      <c r="Q40" s="89">
        <f>ROUND('[6]2028'!Q44,2)</f>
        <v>6156.19</v>
      </c>
      <c r="R40" s="89">
        <f>ROUND('[6]2028'!R44,2)</f>
        <v>6420.03</v>
      </c>
      <c r="S40" s="89">
        <f>ROUND('[6]2028'!S44,2)</f>
        <v>6816.63</v>
      </c>
      <c r="T40" s="89">
        <f>ROUND('[6]2028'!T44,2)</f>
        <v>6825.03</v>
      </c>
      <c r="U40" s="89">
        <f>ROUND('[6]2028'!U44,2)</f>
        <v>6607.06</v>
      </c>
      <c r="V40" s="89">
        <f>ROUND('[6]2028'!V44,2)</f>
        <v>6411.97</v>
      </c>
      <c r="W40" s="89">
        <f>ROUND('[6]2028'!W44,2)</f>
        <v>7250.22</v>
      </c>
      <c r="X40" s="89">
        <f>ROUND('[6]2028'!X44,2)</f>
        <v>7200.46</v>
      </c>
      <c r="Y40" s="89">
        <f>ROUND('[6]2028'!Y44,2)</f>
        <v>6885.61</v>
      </c>
      <c r="Z40" s="89">
        <f>ROUND('[6]2028'!Z44,2)</f>
        <v>6340.86</v>
      </c>
      <c r="AA40" s="89">
        <f>ROUND('[6]2028'!AA44,2)</f>
        <v>5472.63</v>
      </c>
      <c r="AB40" s="89">
        <f>ROUND('[6]2028'!AB44,2)</f>
        <v>4581.88</v>
      </c>
      <c r="AC40" s="226"/>
      <c r="AD40" s="19"/>
    </row>
    <row r="41" spans="2:30" ht="18.649999999999999" customHeight="1" x14ac:dyDescent="0.35">
      <c r="B41" s="223" t="s">
        <v>34</v>
      </c>
      <c r="C41" s="10" t="s">
        <v>31</v>
      </c>
      <c r="D41" s="94">
        <v>4</v>
      </c>
      <c r="E41" s="89">
        <f>ROUND('[6]2028'!E45,2)</f>
        <v>3932.18</v>
      </c>
      <c r="F41" s="89">
        <f>ROUND('[6]2028'!F45,2)</f>
        <v>3466.67</v>
      </c>
      <c r="G41" s="89">
        <f>ROUND('[6]2028'!G45,2)</f>
        <v>3105.13</v>
      </c>
      <c r="H41" s="89">
        <f>ROUND('[6]2028'!H45,2)</f>
        <v>2843.63</v>
      </c>
      <c r="I41" s="89">
        <f>ROUND('[6]2028'!I45,2)</f>
        <v>2733.89</v>
      </c>
      <c r="J41" s="89">
        <f>ROUND('[6]2028'!J45,2)</f>
        <v>2586.0300000000002</v>
      </c>
      <c r="K41" s="89">
        <f>ROUND('[6]2028'!K45,2)</f>
        <v>2424.2600000000002</v>
      </c>
      <c r="L41" s="89">
        <f>ROUND('[6]2028'!L45,2)</f>
        <v>2964.36</v>
      </c>
      <c r="M41" s="89">
        <f>ROUND('[6]2028'!M45,2)</f>
        <v>3559</v>
      </c>
      <c r="N41" s="89">
        <f>ROUND('[6]2028'!N45,2)</f>
        <v>4094.92</v>
      </c>
      <c r="O41" s="89">
        <f>ROUND('[6]2028'!O45,2)</f>
        <v>4603.0200000000004</v>
      </c>
      <c r="P41" s="89">
        <f>ROUND('[6]2028'!P45,2)</f>
        <v>5037.7700000000004</v>
      </c>
      <c r="Q41" s="89">
        <f>ROUND('[6]2028'!Q45,2)</f>
        <v>5197.75</v>
      </c>
      <c r="R41" s="89">
        <f>ROUND('[6]2028'!R45,2)</f>
        <v>5148.8</v>
      </c>
      <c r="S41" s="89">
        <f>ROUND('[6]2028'!S45,2)</f>
        <v>5103.1899999999996</v>
      </c>
      <c r="T41" s="89">
        <f>ROUND('[6]2028'!T45,2)</f>
        <v>5135.38</v>
      </c>
      <c r="U41" s="89">
        <f>ROUND('[6]2028'!U45,2)</f>
        <v>5042.93</v>
      </c>
      <c r="V41" s="89">
        <f>ROUND('[6]2028'!V45,2)</f>
        <v>5031.5600000000004</v>
      </c>
      <c r="W41" s="89">
        <f>ROUND('[6]2028'!W45,2)</f>
        <v>6194.99</v>
      </c>
      <c r="X41" s="89">
        <f>ROUND('[6]2028'!X45,2)</f>
        <v>6825.71</v>
      </c>
      <c r="Y41" s="89">
        <f>ROUND('[6]2028'!Y45,2)</f>
        <v>6762.64</v>
      </c>
      <c r="Z41" s="89">
        <f>ROUND('[6]2028'!Z45,2)</f>
        <v>6320.05</v>
      </c>
      <c r="AA41" s="89">
        <f>ROUND('[6]2028'!AA45,2)</f>
        <v>5552.61</v>
      </c>
      <c r="AB41" s="89">
        <f>ROUND('[6]2028'!AB45,2)</f>
        <v>4711.92</v>
      </c>
      <c r="AC41" s="226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96">
        <v>2</v>
      </c>
      <c r="E42" s="91">
        <f>ROUND('[6]2028'!E46,2)</f>
        <v>3932.18</v>
      </c>
      <c r="F42" s="91">
        <f>ROUND('[6]2028'!F46,2)</f>
        <v>3466.67</v>
      </c>
      <c r="G42" s="91">
        <f>ROUND('[6]2028'!G46,2)</f>
        <v>3105.13</v>
      </c>
      <c r="H42" s="91">
        <f>ROUND('[6]2028'!H46,2)</f>
        <v>2843.63</v>
      </c>
      <c r="I42" s="91">
        <f>ROUND('[6]2028'!I46,2)</f>
        <v>2733.89</v>
      </c>
      <c r="J42" s="91">
        <f>ROUND('[6]2028'!J46,2)</f>
        <v>2586.0300000000002</v>
      </c>
      <c r="K42" s="91">
        <f>ROUND('[6]2028'!K46,2)</f>
        <v>2424.2600000000002</v>
      </c>
      <c r="L42" s="91">
        <f>ROUND('[6]2028'!L46,2)</f>
        <v>2964.36</v>
      </c>
      <c r="M42" s="91">
        <f>ROUND('[6]2028'!M46,2)</f>
        <v>3559</v>
      </c>
      <c r="N42" s="91">
        <f>ROUND('[6]2028'!N46,2)</f>
        <v>4094.92</v>
      </c>
      <c r="O42" s="91">
        <f>ROUND('[6]2028'!O46,2)</f>
        <v>4603.0200000000004</v>
      </c>
      <c r="P42" s="91">
        <f>ROUND('[6]2028'!P46,2)</f>
        <v>5037.7700000000004</v>
      </c>
      <c r="Q42" s="91">
        <f>ROUND('[6]2028'!Q46,2)</f>
        <v>5197.75</v>
      </c>
      <c r="R42" s="91">
        <f>ROUND('[6]2028'!R46,2)</f>
        <v>5148.8</v>
      </c>
      <c r="S42" s="91">
        <f>ROUND('[6]2028'!S46,2)</f>
        <v>5103.1899999999996</v>
      </c>
      <c r="T42" s="91">
        <f>ROUND('[6]2028'!T46,2)</f>
        <v>5135.38</v>
      </c>
      <c r="U42" s="91">
        <f>ROUND('[6]2028'!U46,2)</f>
        <v>5042.93</v>
      </c>
      <c r="V42" s="91">
        <f>ROUND('[6]2028'!V46,2)</f>
        <v>5031.5600000000004</v>
      </c>
      <c r="W42" s="91">
        <f>ROUND('[6]2028'!W46,2)</f>
        <v>6194.99</v>
      </c>
      <c r="X42" s="91">
        <f>ROUND('[6]2028'!X46,2)</f>
        <v>6825.71</v>
      </c>
      <c r="Y42" s="91">
        <f>ROUND('[6]2028'!Y46,2)</f>
        <v>6762.64</v>
      </c>
      <c r="Z42" s="91">
        <f>ROUND('[6]2028'!Z46,2)</f>
        <v>6320.05</v>
      </c>
      <c r="AA42" s="91">
        <f>ROUND('[6]2028'!AA46,2)</f>
        <v>5552.61</v>
      </c>
      <c r="AB42" s="91">
        <f>ROUND('[6]2028'!AB46,2)</f>
        <v>4711.92</v>
      </c>
      <c r="AC42" s="227"/>
      <c r="AD42" s="19"/>
    </row>
    <row r="43" spans="2:30" ht="18.649999999999999" customHeight="1" x14ac:dyDescent="0.35">
      <c r="B43" s="212">
        <v>46997</v>
      </c>
      <c r="C43" s="14" t="s">
        <v>29</v>
      </c>
      <c r="D43" s="97">
        <v>21</v>
      </c>
      <c r="E43" s="92">
        <f>ROUND('[6]2028'!E47,2)</f>
        <v>5378.03</v>
      </c>
      <c r="F43" s="92">
        <f>ROUND('[6]2028'!F47,2)</f>
        <v>4848.34</v>
      </c>
      <c r="G43" s="92">
        <f>ROUND('[6]2028'!G47,2)</f>
        <v>4438.5200000000004</v>
      </c>
      <c r="H43" s="92">
        <f>ROUND('[6]2028'!H47,2)</f>
        <v>4148.1899999999996</v>
      </c>
      <c r="I43" s="92">
        <f>ROUND('[6]2028'!I47,2)</f>
        <v>4063</v>
      </c>
      <c r="J43" s="92">
        <f>ROUND('[6]2028'!J47,2)</f>
        <v>3945.99</v>
      </c>
      <c r="K43" s="92">
        <f>ROUND('[6]2028'!K47,2)</f>
        <v>4003.87</v>
      </c>
      <c r="L43" s="92">
        <f>ROUND('[6]2028'!L47,2)</f>
        <v>5074.6499999999996</v>
      </c>
      <c r="M43" s="92">
        <f>ROUND('[6]2028'!M47,2)</f>
        <v>6218.27</v>
      </c>
      <c r="N43" s="92">
        <f>ROUND('[6]2028'!N47,2)</f>
        <v>6877.8</v>
      </c>
      <c r="O43" s="92">
        <f>ROUND('[6]2028'!O47,2)</f>
        <v>7439.7</v>
      </c>
      <c r="P43" s="92">
        <f>ROUND('[6]2028'!P47,2)</f>
        <v>7718.64</v>
      </c>
      <c r="Q43" s="92">
        <f>ROUND('[6]2028'!Q47,2)</f>
        <v>7477.46</v>
      </c>
      <c r="R43" s="92">
        <f>ROUND('[6]2028'!R47,2)</f>
        <v>7297.37</v>
      </c>
      <c r="S43" s="92">
        <f>ROUND('[6]2028'!S47,2)</f>
        <v>7282.67</v>
      </c>
      <c r="T43" s="92">
        <f>ROUND('[6]2028'!T47,2)</f>
        <v>7261.56</v>
      </c>
      <c r="U43" s="92">
        <f>ROUND('[6]2028'!U47,2)</f>
        <v>7078.19</v>
      </c>
      <c r="V43" s="92">
        <f>ROUND('[6]2028'!V47,2)</f>
        <v>7219.66</v>
      </c>
      <c r="W43" s="92">
        <f>ROUND('[6]2028'!W47,2)</f>
        <v>8489.64</v>
      </c>
      <c r="X43" s="92">
        <f>ROUND('[6]2028'!X47,2)</f>
        <v>8360.91</v>
      </c>
      <c r="Y43" s="92">
        <f>ROUND('[6]2028'!Y47,2)</f>
        <v>7897.22</v>
      </c>
      <c r="Z43" s="92">
        <f>ROUND('[6]2028'!Z47,2)</f>
        <v>7320.92</v>
      </c>
      <c r="AA43" s="92">
        <f>ROUND('[6]2028'!AA47,2)</f>
        <v>6627.6</v>
      </c>
      <c r="AB43" s="92">
        <f>ROUND('[6]2028'!AB47,2)</f>
        <v>5863.26</v>
      </c>
      <c r="AC43" s="226">
        <f>SUM(E43:AB43)*D43+SUM(E44:AB44)*D44+SUM(E45:AB45)*D45+SUM(E46:AB46)*D46</f>
        <v>4619057.7300000004</v>
      </c>
      <c r="AD43" s="19"/>
    </row>
    <row r="44" spans="2:30" ht="18.649999999999999" customHeight="1" x14ac:dyDescent="0.35">
      <c r="B44" s="213"/>
      <c r="C44" s="10" t="s">
        <v>30</v>
      </c>
      <c r="D44" s="94">
        <v>5</v>
      </c>
      <c r="E44" s="89">
        <f>ROUND('[6]2028'!E48,2)</f>
        <v>4701.8500000000004</v>
      </c>
      <c r="F44" s="89">
        <f>ROUND('[6]2028'!F48,2)</f>
        <v>4213.57</v>
      </c>
      <c r="G44" s="89">
        <f>ROUND('[6]2028'!G48,2)</f>
        <v>3872.86</v>
      </c>
      <c r="H44" s="89">
        <f>ROUND('[6]2028'!H48,2)</f>
        <v>3621.71</v>
      </c>
      <c r="I44" s="89">
        <f>ROUND('[6]2028'!I48,2)</f>
        <v>3625.83</v>
      </c>
      <c r="J44" s="89">
        <f>ROUND('[6]2028'!J48,2)</f>
        <v>3768.78</v>
      </c>
      <c r="K44" s="89">
        <f>ROUND('[6]2028'!K48,2)</f>
        <v>3947.27</v>
      </c>
      <c r="L44" s="89">
        <f>ROUND('[6]2028'!L48,2)</f>
        <v>5038.84</v>
      </c>
      <c r="M44" s="89">
        <f>ROUND('[6]2028'!M48,2)</f>
        <v>6102.04</v>
      </c>
      <c r="N44" s="89">
        <f>ROUND('[6]2028'!N48,2)</f>
        <v>6682.24</v>
      </c>
      <c r="O44" s="89">
        <f>ROUND('[6]2028'!O48,2)</f>
        <v>7296.17</v>
      </c>
      <c r="P44" s="89">
        <f>ROUND('[6]2028'!P48,2)</f>
        <v>7719.3</v>
      </c>
      <c r="Q44" s="89">
        <f>ROUND('[6]2028'!Q48,2)</f>
        <v>7355.06</v>
      </c>
      <c r="R44" s="89">
        <f>ROUND('[6]2028'!R48,2)</f>
        <v>7632.92</v>
      </c>
      <c r="S44" s="89">
        <f>ROUND('[6]2028'!S48,2)</f>
        <v>8101.65</v>
      </c>
      <c r="T44" s="89">
        <f>ROUND('[6]2028'!T48,2)</f>
        <v>8125.28</v>
      </c>
      <c r="U44" s="89">
        <f>ROUND('[6]2028'!U48,2)</f>
        <v>7853.65</v>
      </c>
      <c r="V44" s="89">
        <f>ROUND('[6]2028'!V48,2)</f>
        <v>7889.11</v>
      </c>
      <c r="W44" s="89">
        <f>ROUND('[6]2028'!W48,2)</f>
        <v>8666.39</v>
      </c>
      <c r="X44" s="89">
        <f>ROUND('[6]2028'!X48,2)</f>
        <v>8434.26</v>
      </c>
      <c r="Y44" s="89">
        <f>ROUND('[6]2028'!Y48,2)</f>
        <v>8004.64</v>
      </c>
      <c r="Z44" s="89">
        <f>ROUND('[6]2028'!Z48,2)</f>
        <v>7372.04</v>
      </c>
      <c r="AA44" s="89">
        <f>ROUND('[6]2028'!AA48,2)</f>
        <v>6460.51</v>
      </c>
      <c r="AB44" s="89">
        <f>ROUND('[6]2028'!AB48,2)</f>
        <v>5513.46</v>
      </c>
      <c r="AC44" s="226"/>
      <c r="AD44" s="19"/>
    </row>
    <row r="45" spans="2:30" ht="18.649999999999999" customHeight="1" x14ac:dyDescent="0.35">
      <c r="B45" s="213"/>
      <c r="C45" s="10" t="s">
        <v>31</v>
      </c>
      <c r="D45" s="94">
        <v>4</v>
      </c>
      <c r="E45" s="89">
        <f>ROUND('[6]2028'!E49,2)</f>
        <v>4997.6000000000004</v>
      </c>
      <c r="F45" s="89">
        <f>ROUND('[6]2028'!F49,2)</f>
        <v>4511.21</v>
      </c>
      <c r="G45" s="89">
        <f>ROUND('[6]2028'!G49,2)</f>
        <v>4151.1499999999996</v>
      </c>
      <c r="H45" s="89">
        <f>ROUND('[6]2028'!H49,2)</f>
        <v>3879.18</v>
      </c>
      <c r="I45" s="89">
        <f>ROUND('[6]2028'!I49,2)</f>
        <v>3893.4</v>
      </c>
      <c r="J45" s="89">
        <f>ROUND('[6]2028'!J49,2)</f>
        <v>4173.6899999999996</v>
      </c>
      <c r="K45" s="89">
        <f>ROUND('[6]2028'!K49,2)</f>
        <v>4350.29</v>
      </c>
      <c r="L45" s="89">
        <f>ROUND('[6]2028'!L49,2)</f>
        <v>5508.35</v>
      </c>
      <c r="M45" s="89">
        <f>ROUND('[6]2028'!M49,2)</f>
        <v>6654.99</v>
      </c>
      <c r="N45" s="89">
        <f>ROUND('[6]2028'!N49,2)</f>
        <v>7261.99</v>
      </c>
      <c r="O45" s="89">
        <f>ROUND('[6]2028'!O49,2)</f>
        <v>7952.96</v>
      </c>
      <c r="P45" s="89">
        <f>ROUND('[6]2028'!P49,2)</f>
        <v>8418.15</v>
      </c>
      <c r="Q45" s="89">
        <f>ROUND('[6]2028'!Q49,2)</f>
        <v>7945.86</v>
      </c>
      <c r="R45" s="89">
        <f>ROUND('[6]2028'!R49,2)</f>
        <v>8403.66</v>
      </c>
      <c r="S45" s="89">
        <f>ROUND('[6]2028'!S49,2)</f>
        <v>9052.85</v>
      </c>
      <c r="T45" s="89">
        <f>ROUND('[6]2028'!T49,2)</f>
        <v>9070.4500000000007</v>
      </c>
      <c r="U45" s="89">
        <f>ROUND('[6]2028'!U49,2)</f>
        <v>8751.07</v>
      </c>
      <c r="V45" s="89">
        <f>ROUND('[6]2028'!V49,2)</f>
        <v>8354.01</v>
      </c>
      <c r="W45" s="89">
        <f>ROUND('[6]2028'!W49,2)</f>
        <v>9134.66</v>
      </c>
      <c r="X45" s="89">
        <f>ROUND('[6]2028'!X49,2)</f>
        <v>9030.26</v>
      </c>
      <c r="Y45" s="89">
        <f>ROUND('[6]2028'!Y49,2)</f>
        <v>8668.32</v>
      </c>
      <c r="Z45" s="89">
        <f>ROUND('[6]2028'!Z49,2)</f>
        <v>8022.61</v>
      </c>
      <c r="AA45" s="89">
        <f>ROUND('[6]2028'!AA49,2)</f>
        <v>6955.36</v>
      </c>
      <c r="AB45" s="89">
        <f>ROUND('[6]2028'!AB49,2)</f>
        <v>5882.91</v>
      </c>
      <c r="AC45" s="226"/>
      <c r="AD45" s="19"/>
    </row>
    <row r="46" spans="2:30" ht="18.649999999999999" customHeight="1" thickBot="1" x14ac:dyDescent="0.4">
      <c r="B46" s="213"/>
      <c r="C46" s="16" t="s">
        <v>32</v>
      </c>
      <c r="D46" s="95">
        <v>0</v>
      </c>
      <c r="E46" s="91">
        <f>ROUND('[6]2028'!E50,2)</f>
        <v>0</v>
      </c>
      <c r="F46" s="91">
        <f>ROUND('[6]2028'!F50,2)</f>
        <v>0</v>
      </c>
      <c r="G46" s="91">
        <f>ROUND('[6]2028'!G50,2)</f>
        <v>0</v>
      </c>
      <c r="H46" s="91">
        <f>ROUND('[6]2028'!H50,2)</f>
        <v>0</v>
      </c>
      <c r="I46" s="91">
        <f>ROUND('[6]2028'!I50,2)</f>
        <v>0</v>
      </c>
      <c r="J46" s="91">
        <f>ROUND('[6]2028'!J50,2)</f>
        <v>0</v>
      </c>
      <c r="K46" s="91">
        <f>ROUND('[6]2028'!K50,2)</f>
        <v>0</v>
      </c>
      <c r="L46" s="91">
        <f>ROUND('[6]2028'!L50,2)</f>
        <v>0</v>
      </c>
      <c r="M46" s="91">
        <f>ROUND('[6]2028'!M50,2)</f>
        <v>0</v>
      </c>
      <c r="N46" s="91">
        <f>ROUND('[6]2028'!N50,2)</f>
        <v>0</v>
      </c>
      <c r="O46" s="91">
        <f>ROUND('[6]2028'!O50,2)</f>
        <v>0</v>
      </c>
      <c r="P46" s="91">
        <f>ROUND('[6]2028'!P50,2)</f>
        <v>0</v>
      </c>
      <c r="Q46" s="91">
        <f>ROUND('[6]2028'!Q50,2)</f>
        <v>0</v>
      </c>
      <c r="R46" s="91">
        <f>ROUND('[6]2028'!R50,2)</f>
        <v>0</v>
      </c>
      <c r="S46" s="91">
        <f>ROUND('[6]2028'!S50,2)</f>
        <v>0</v>
      </c>
      <c r="T46" s="91">
        <f>ROUND('[6]2028'!T50,2)</f>
        <v>0</v>
      </c>
      <c r="U46" s="91">
        <f>ROUND('[6]2028'!U50,2)</f>
        <v>0</v>
      </c>
      <c r="V46" s="91">
        <f>ROUND('[6]2028'!V50,2)</f>
        <v>0</v>
      </c>
      <c r="W46" s="91">
        <f>ROUND('[6]2028'!W50,2)</f>
        <v>0</v>
      </c>
      <c r="X46" s="91">
        <f>ROUND('[6]2028'!X50,2)</f>
        <v>0</v>
      </c>
      <c r="Y46" s="91">
        <f>ROUND('[6]2028'!Y50,2)</f>
        <v>0</v>
      </c>
      <c r="Z46" s="91">
        <f>ROUND('[6]2028'!Z50,2)</f>
        <v>0</v>
      </c>
      <c r="AA46" s="91">
        <f>ROUND('[6]2028'!AA50,2)</f>
        <v>0</v>
      </c>
      <c r="AB46" s="91">
        <f>ROUND('[6]2028'!AB50,2)</f>
        <v>0</v>
      </c>
      <c r="AC46" s="226"/>
      <c r="AD46" s="19"/>
    </row>
    <row r="47" spans="2:30" ht="18.649999999999999" customHeight="1" x14ac:dyDescent="0.35">
      <c r="B47" s="222">
        <v>47027</v>
      </c>
      <c r="C47" s="7" t="s">
        <v>29</v>
      </c>
      <c r="D47" s="93">
        <v>21</v>
      </c>
      <c r="E47" s="88">
        <f>ROUND('[6]2028'!E51,2)</f>
        <v>3787.22</v>
      </c>
      <c r="F47" s="88">
        <f>ROUND('[6]2028'!F51,2)</f>
        <v>3342.87</v>
      </c>
      <c r="G47" s="88">
        <f>ROUND('[6]2028'!G51,2)</f>
        <v>2989.19</v>
      </c>
      <c r="H47" s="88">
        <f>ROUND('[6]2028'!H51,2)</f>
        <v>2696.84</v>
      </c>
      <c r="I47" s="88">
        <f>ROUND('[6]2028'!I51,2)</f>
        <v>2585.91</v>
      </c>
      <c r="J47" s="88">
        <f>ROUND('[6]2028'!J51,2)</f>
        <v>2524.31</v>
      </c>
      <c r="K47" s="88">
        <f>ROUND('[6]2028'!K51,2)</f>
        <v>2683.14</v>
      </c>
      <c r="L47" s="88">
        <f>ROUND('[6]2028'!L51,2)</f>
        <v>3647.13</v>
      </c>
      <c r="M47" s="88">
        <f>ROUND('[6]2028'!M51,2)</f>
        <v>4632.45</v>
      </c>
      <c r="N47" s="88">
        <f>ROUND('[6]2028'!N51,2)</f>
        <v>5204.43</v>
      </c>
      <c r="O47" s="88">
        <f>ROUND('[6]2028'!O51,2)</f>
        <v>5731.58</v>
      </c>
      <c r="P47" s="88">
        <f>ROUND('[6]2028'!P51,2)</f>
        <v>6008.09</v>
      </c>
      <c r="Q47" s="88">
        <f>ROUND('[6]2028'!Q51,2)</f>
        <v>5812.45</v>
      </c>
      <c r="R47" s="88">
        <f>ROUND('[6]2028'!R51,2)</f>
        <v>5684.36</v>
      </c>
      <c r="S47" s="88">
        <f>ROUND('[6]2028'!S51,2)</f>
        <v>5728.36</v>
      </c>
      <c r="T47" s="88">
        <f>ROUND('[6]2028'!T51,2)</f>
        <v>5707.19</v>
      </c>
      <c r="U47" s="88">
        <f>ROUND('[6]2028'!U51,2)</f>
        <v>5569.5</v>
      </c>
      <c r="V47" s="88">
        <f>ROUND('[6]2028'!V51,2)</f>
        <v>5844.29</v>
      </c>
      <c r="W47" s="88">
        <f>ROUND('[6]2028'!W51,2)</f>
        <v>6832.92</v>
      </c>
      <c r="X47" s="88">
        <f>ROUND('[6]2028'!X51,2)</f>
        <v>6635.21</v>
      </c>
      <c r="Y47" s="88">
        <f>ROUND('[6]2028'!Y51,2)</f>
        <v>6223.55</v>
      </c>
      <c r="Z47" s="88">
        <f>ROUND('[6]2028'!Z51,2)</f>
        <v>5700.39</v>
      </c>
      <c r="AA47" s="88">
        <f>ROUND('[6]2028'!AA51,2)</f>
        <v>5076.41</v>
      </c>
      <c r="AB47" s="88">
        <f>ROUND('[6]2028'!AB51,2)</f>
        <v>4409.21</v>
      </c>
      <c r="AC47" s="225">
        <f>SUM(E47:AB47)*D47+SUM(E48:AB48)*D48+SUM(E49:AB49)*D49+SUM(E50:AB50)*D50</f>
        <v>3459170.4600000004</v>
      </c>
      <c r="AD47" s="19"/>
    </row>
    <row r="48" spans="2:30" ht="18.649999999999999" customHeight="1" x14ac:dyDescent="0.35">
      <c r="B48" s="223" t="s">
        <v>34</v>
      </c>
      <c r="C48" s="10" t="s">
        <v>30</v>
      </c>
      <c r="D48" s="94">
        <v>4</v>
      </c>
      <c r="E48" s="89">
        <f>ROUND('[6]2028'!E52,2)</f>
        <v>3167.4</v>
      </c>
      <c r="F48" s="89">
        <f>ROUND('[6]2028'!F52,2)</f>
        <v>2763.99</v>
      </c>
      <c r="G48" s="89">
        <f>ROUND('[6]2028'!G52,2)</f>
        <v>2465.5100000000002</v>
      </c>
      <c r="H48" s="89">
        <f>ROUND('[6]2028'!H52,2)</f>
        <v>2286.61</v>
      </c>
      <c r="I48" s="89">
        <f>ROUND('[6]2028'!I52,2)</f>
        <v>2311.63</v>
      </c>
      <c r="J48" s="89">
        <f>ROUND('[6]2028'!J52,2)</f>
        <v>2454.09</v>
      </c>
      <c r="K48" s="89">
        <f>ROUND('[6]2028'!K52,2)</f>
        <v>2589.1799999999998</v>
      </c>
      <c r="L48" s="89">
        <f>ROUND('[6]2028'!L52,2)</f>
        <v>3477.27</v>
      </c>
      <c r="M48" s="89">
        <f>ROUND('[6]2028'!M52,2)</f>
        <v>4363.84</v>
      </c>
      <c r="N48" s="89">
        <f>ROUND('[6]2028'!N52,2)</f>
        <v>4883.3599999999997</v>
      </c>
      <c r="O48" s="89">
        <f>ROUND('[6]2028'!O52,2)</f>
        <v>5360.05</v>
      </c>
      <c r="P48" s="89">
        <f>ROUND('[6]2028'!P52,2)</f>
        <v>5715.62</v>
      </c>
      <c r="Q48" s="89">
        <f>ROUND('[6]2028'!Q52,2)</f>
        <v>5414.08</v>
      </c>
      <c r="R48" s="89">
        <f>ROUND('[6]2028'!R52,2)</f>
        <v>5550.69</v>
      </c>
      <c r="S48" s="89">
        <f>ROUND('[6]2028'!S52,2)</f>
        <v>5861.84</v>
      </c>
      <c r="T48" s="89">
        <f>ROUND('[6]2028'!T52,2)</f>
        <v>5891.41</v>
      </c>
      <c r="U48" s="89">
        <f>ROUND('[6]2028'!U52,2)</f>
        <v>5750.22</v>
      </c>
      <c r="V48" s="89">
        <f>ROUND('[6]2028'!V52,2)</f>
        <v>5945.53</v>
      </c>
      <c r="W48" s="89">
        <f>ROUND('[6]2028'!W52,2)</f>
        <v>6700.89</v>
      </c>
      <c r="X48" s="89">
        <f>ROUND('[6]2028'!X52,2)</f>
        <v>6473.44</v>
      </c>
      <c r="Y48" s="89">
        <f>ROUND('[6]2028'!Y52,2)</f>
        <v>6027.59</v>
      </c>
      <c r="Z48" s="89">
        <f>ROUND('[6]2028'!Z52,2)</f>
        <v>5413.73</v>
      </c>
      <c r="AA48" s="89">
        <f>ROUND('[6]2028'!AA52,2)</f>
        <v>4613.26</v>
      </c>
      <c r="AB48" s="89">
        <f>ROUND('[6]2028'!AB52,2)</f>
        <v>3810.99</v>
      </c>
      <c r="AC48" s="226"/>
      <c r="AD48" s="19"/>
    </row>
    <row r="49" spans="2:31" ht="18.649999999999999" customHeight="1" x14ac:dyDescent="0.35">
      <c r="B49" s="223" t="s">
        <v>34</v>
      </c>
      <c r="C49" s="10" t="s">
        <v>31</v>
      </c>
      <c r="D49" s="94">
        <v>5</v>
      </c>
      <c r="E49" s="89">
        <f>ROUND('[6]2028'!E53,2)</f>
        <v>3254.72</v>
      </c>
      <c r="F49" s="89">
        <f>ROUND('[6]2028'!F53,2)</f>
        <v>2905.24</v>
      </c>
      <c r="G49" s="89">
        <f>ROUND('[6]2028'!G53,2)</f>
        <v>2627.28</v>
      </c>
      <c r="H49" s="89">
        <f>ROUND('[6]2028'!H53,2)</f>
        <v>2456.2199999999998</v>
      </c>
      <c r="I49" s="89">
        <f>ROUND('[6]2028'!I53,2)</f>
        <v>2396.83</v>
      </c>
      <c r="J49" s="89">
        <f>ROUND('[6]2028'!J53,2)</f>
        <v>2280.2600000000002</v>
      </c>
      <c r="K49" s="89">
        <f>ROUND('[6]2028'!K53,2)</f>
        <v>2107.0700000000002</v>
      </c>
      <c r="L49" s="89">
        <f>ROUND('[6]2028'!L53,2)</f>
        <v>2665.77</v>
      </c>
      <c r="M49" s="89">
        <f>ROUND('[6]2028'!M53,2)</f>
        <v>3129.27</v>
      </c>
      <c r="N49" s="89">
        <f>ROUND('[6]2028'!N53,2)</f>
        <v>3775.26</v>
      </c>
      <c r="O49" s="89">
        <f>ROUND('[6]2028'!O53,2)</f>
        <v>4279.43</v>
      </c>
      <c r="P49" s="89">
        <f>ROUND('[6]2028'!P53,2)</f>
        <v>4678.17</v>
      </c>
      <c r="Q49" s="89">
        <f>ROUND('[6]2028'!Q53,2)</f>
        <v>4880.51</v>
      </c>
      <c r="R49" s="89">
        <f>ROUND('[6]2028'!R53,2)</f>
        <v>4884.7</v>
      </c>
      <c r="S49" s="89">
        <f>ROUND('[6]2028'!S53,2)</f>
        <v>4901.03</v>
      </c>
      <c r="T49" s="89">
        <f>ROUND('[6]2028'!T53,2)</f>
        <v>4925.97</v>
      </c>
      <c r="U49" s="89">
        <f>ROUND('[6]2028'!U53,2)</f>
        <v>4836.3100000000004</v>
      </c>
      <c r="V49" s="89">
        <f>ROUND('[6]2028'!V53,2)</f>
        <v>5254.12</v>
      </c>
      <c r="W49" s="89">
        <f>ROUND('[6]2028'!W53,2)</f>
        <v>6425.21</v>
      </c>
      <c r="X49" s="89">
        <f>ROUND('[6]2028'!X53,2)</f>
        <v>6565.08</v>
      </c>
      <c r="Y49" s="89">
        <f>ROUND('[6]2028'!Y53,2)</f>
        <v>6383.39</v>
      </c>
      <c r="Z49" s="89">
        <f>ROUND('[6]2028'!Z53,2)</f>
        <v>5953.85</v>
      </c>
      <c r="AA49" s="89">
        <f>ROUND('[6]2028'!AA53,2)</f>
        <v>5137.43</v>
      </c>
      <c r="AB49" s="89">
        <f>ROUND('[6]2028'!AB53,2)</f>
        <v>4264.3100000000004</v>
      </c>
      <c r="AC49" s="226"/>
      <c r="AD49" s="19"/>
    </row>
    <row r="50" spans="2:31" ht="18.649999999999999" customHeight="1" thickBot="1" x14ac:dyDescent="0.4">
      <c r="B50" s="224" t="s">
        <v>34</v>
      </c>
      <c r="C50" s="12" t="s">
        <v>32</v>
      </c>
      <c r="D50" s="96">
        <v>1</v>
      </c>
      <c r="E50" s="91">
        <f>ROUND('[6]2028'!E54,2)</f>
        <v>3254.72</v>
      </c>
      <c r="F50" s="91">
        <f>ROUND('[6]2028'!F54,2)</f>
        <v>2905.24</v>
      </c>
      <c r="G50" s="91">
        <f>ROUND('[6]2028'!G54,2)</f>
        <v>2627.28</v>
      </c>
      <c r="H50" s="91">
        <f>ROUND('[6]2028'!H54,2)</f>
        <v>2456.2199999999998</v>
      </c>
      <c r="I50" s="91">
        <f>ROUND('[6]2028'!I54,2)</f>
        <v>2396.83</v>
      </c>
      <c r="J50" s="91">
        <f>ROUND('[6]2028'!J54,2)</f>
        <v>2280.2600000000002</v>
      </c>
      <c r="K50" s="91">
        <f>ROUND('[6]2028'!K54,2)</f>
        <v>2107.0700000000002</v>
      </c>
      <c r="L50" s="91">
        <f>ROUND('[6]2028'!L54,2)</f>
        <v>2665.77</v>
      </c>
      <c r="M50" s="91">
        <f>ROUND('[6]2028'!M54,2)</f>
        <v>3129.27</v>
      </c>
      <c r="N50" s="91">
        <f>ROUND('[6]2028'!N54,2)</f>
        <v>3775.26</v>
      </c>
      <c r="O50" s="91">
        <f>ROUND('[6]2028'!O54,2)</f>
        <v>4279.43</v>
      </c>
      <c r="P50" s="91">
        <f>ROUND('[6]2028'!P54,2)</f>
        <v>4678.17</v>
      </c>
      <c r="Q50" s="91">
        <f>ROUND('[6]2028'!Q54,2)</f>
        <v>4880.51</v>
      </c>
      <c r="R50" s="91">
        <f>ROUND('[6]2028'!R54,2)</f>
        <v>4884.7</v>
      </c>
      <c r="S50" s="91">
        <f>ROUND('[6]2028'!S54,2)</f>
        <v>4901.03</v>
      </c>
      <c r="T50" s="91">
        <f>ROUND('[6]2028'!T54,2)</f>
        <v>4925.97</v>
      </c>
      <c r="U50" s="91">
        <f>ROUND('[6]2028'!U54,2)</f>
        <v>4836.3100000000004</v>
      </c>
      <c r="V50" s="91">
        <f>ROUND('[6]2028'!V54,2)</f>
        <v>5254.12</v>
      </c>
      <c r="W50" s="91">
        <f>ROUND('[6]2028'!W54,2)</f>
        <v>6425.21</v>
      </c>
      <c r="X50" s="91">
        <f>ROUND('[6]2028'!X54,2)</f>
        <v>6565.08</v>
      </c>
      <c r="Y50" s="91">
        <f>ROUND('[6]2028'!Y54,2)</f>
        <v>6383.39</v>
      </c>
      <c r="Z50" s="91">
        <f>ROUND('[6]2028'!Z54,2)</f>
        <v>5953.85</v>
      </c>
      <c r="AA50" s="91">
        <f>ROUND('[6]2028'!AA54,2)</f>
        <v>5137.43</v>
      </c>
      <c r="AB50" s="91">
        <f>ROUND('[6]2028'!AB54,2)</f>
        <v>4264.3100000000004</v>
      </c>
      <c r="AC50" s="227"/>
      <c r="AD50" s="19"/>
    </row>
    <row r="51" spans="2:31" ht="18.649999999999999" customHeight="1" x14ac:dyDescent="0.35">
      <c r="B51" s="212">
        <v>47058</v>
      </c>
      <c r="C51" s="14" t="s">
        <v>29</v>
      </c>
      <c r="D51" s="97">
        <v>20</v>
      </c>
      <c r="E51" s="92">
        <f>ROUND('[6]2028'!E55,2)</f>
        <v>1374.33</v>
      </c>
      <c r="F51" s="92">
        <f>ROUND('[6]2028'!F55,2)</f>
        <v>1062.5</v>
      </c>
      <c r="G51" s="92">
        <f>ROUND('[6]2028'!G55,2)</f>
        <v>837.27</v>
      </c>
      <c r="H51" s="92">
        <f>ROUND('[6]2028'!H55,2)</f>
        <v>689.8</v>
      </c>
      <c r="I51" s="92">
        <f>ROUND('[6]2028'!I55,2)</f>
        <v>691.12</v>
      </c>
      <c r="J51" s="92">
        <f>ROUND('[6]2028'!J55,2)</f>
        <v>738.46</v>
      </c>
      <c r="K51" s="92">
        <f>ROUND('[6]2028'!K55,2)</f>
        <v>778.17</v>
      </c>
      <c r="L51" s="92">
        <f>ROUND('[6]2028'!L55,2)</f>
        <v>1502.77</v>
      </c>
      <c r="M51" s="92">
        <f>ROUND('[6]2028'!M55,2)</f>
        <v>2276.14</v>
      </c>
      <c r="N51" s="92">
        <f>ROUND('[6]2028'!N55,2)</f>
        <v>2768.52</v>
      </c>
      <c r="O51" s="92">
        <f>ROUND('[6]2028'!O55,2)</f>
        <v>3140.3</v>
      </c>
      <c r="P51" s="92">
        <f>ROUND('[6]2028'!P55,2)</f>
        <v>3335.3</v>
      </c>
      <c r="Q51" s="92">
        <f>ROUND('[6]2028'!Q55,2)</f>
        <v>3168</v>
      </c>
      <c r="R51" s="92">
        <f>ROUND('[6]2028'!R55,2)</f>
        <v>3025.65</v>
      </c>
      <c r="S51" s="92">
        <f>ROUND('[6]2028'!S55,2)</f>
        <v>3005.72</v>
      </c>
      <c r="T51" s="92">
        <f>ROUND('[6]2028'!T55,2)</f>
        <v>2986.66</v>
      </c>
      <c r="U51" s="92">
        <f>ROUND('[6]2028'!U55,2)</f>
        <v>2904.9</v>
      </c>
      <c r="V51" s="92">
        <f>ROUND('[6]2028'!V55,2)</f>
        <v>3168.46</v>
      </c>
      <c r="W51" s="92">
        <f>ROUND('[6]2028'!W55,2)</f>
        <v>3889.72</v>
      </c>
      <c r="X51" s="92">
        <f>ROUND('[6]2028'!X55,2)</f>
        <v>3702.52</v>
      </c>
      <c r="Y51" s="92">
        <f>ROUND('[6]2028'!Y55,2)</f>
        <v>3349.46</v>
      </c>
      <c r="Z51" s="92">
        <f>ROUND('[6]2028'!Z55,2)</f>
        <v>2950.03</v>
      </c>
      <c r="AA51" s="92">
        <f>ROUND('[6]2028'!AA55,2)</f>
        <v>2455.44</v>
      </c>
      <c r="AB51" s="92">
        <f>ROUND('[6]2028'!AB55,2)</f>
        <v>1919.01</v>
      </c>
      <c r="AC51" s="226">
        <f>SUM(E51:AB51)*D51+SUM(E52:AB52)*D52+SUM(E53:AB53)*D53+SUM(E54:AB54)*D54</f>
        <v>1619459.28</v>
      </c>
      <c r="AD51" s="19"/>
    </row>
    <row r="52" spans="2:31" ht="18.649999999999999" customHeight="1" x14ac:dyDescent="0.35">
      <c r="B52" s="213"/>
      <c r="C52" s="10" t="s">
        <v>30</v>
      </c>
      <c r="D52" s="94">
        <v>4</v>
      </c>
      <c r="E52" s="89">
        <f>ROUND('[6]2028'!E56,2)</f>
        <v>1946.79</v>
      </c>
      <c r="F52" s="89">
        <f>ROUND('[6]2028'!F56,2)</f>
        <v>1595.16</v>
      </c>
      <c r="G52" s="89">
        <f>ROUND('[6]2028'!G56,2)</f>
        <v>1335.33</v>
      </c>
      <c r="H52" s="89">
        <f>ROUND('[6]2028'!H56,2)</f>
        <v>1156.6099999999999</v>
      </c>
      <c r="I52" s="89">
        <f>ROUND('[6]2028'!I56,2)</f>
        <v>1118.76</v>
      </c>
      <c r="J52" s="89">
        <f>ROUND('[6]2028'!J56,2)</f>
        <v>1161.28</v>
      </c>
      <c r="K52" s="89">
        <f>ROUND('[6]2028'!K56,2)</f>
        <v>1128.21</v>
      </c>
      <c r="L52" s="89">
        <f>ROUND('[6]2028'!L56,2)</f>
        <v>1826.38</v>
      </c>
      <c r="M52" s="89">
        <f>ROUND('[6]2028'!M56,2)</f>
        <v>2552.33</v>
      </c>
      <c r="N52" s="89">
        <f>ROUND('[6]2028'!N56,2)</f>
        <v>2973.01</v>
      </c>
      <c r="O52" s="89">
        <f>ROUND('[6]2028'!O56,2)</f>
        <v>3344.28</v>
      </c>
      <c r="P52" s="89">
        <f>ROUND('[6]2028'!P56,2)</f>
        <v>3633.83</v>
      </c>
      <c r="Q52" s="89">
        <f>ROUND('[6]2028'!Q56,2)</f>
        <v>3447.65</v>
      </c>
      <c r="R52" s="89">
        <f>ROUND('[6]2028'!R56,2)</f>
        <v>3535.66</v>
      </c>
      <c r="S52" s="89">
        <f>ROUND('[6]2028'!S56,2)</f>
        <v>3779.56</v>
      </c>
      <c r="T52" s="89">
        <f>ROUND('[6]2028'!T56,2)</f>
        <v>3793.33</v>
      </c>
      <c r="U52" s="89">
        <f>ROUND('[6]2028'!U56,2)</f>
        <v>3653.97</v>
      </c>
      <c r="V52" s="89">
        <f>ROUND('[6]2028'!V56,2)</f>
        <v>3676.45</v>
      </c>
      <c r="W52" s="89">
        <f>ROUND('[6]2028'!W56,2)</f>
        <v>4405.99</v>
      </c>
      <c r="X52" s="89">
        <f>ROUND('[6]2028'!X56,2)</f>
        <v>4255.2299999999996</v>
      </c>
      <c r="Y52" s="89">
        <f>ROUND('[6]2028'!Y56,2)</f>
        <v>3956.7</v>
      </c>
      <c r="Z52" s="89">
        <f>ROUND('[6]2028'!Z56,2)</f>
        <v>3561.09</v>
      </c>
      <c r="AA52" s="89">
        <f>ROUND('[6]2028'!AA56,2)</f>
        <v>3030.65</v>
      </c>
      <c r="AB52" s="89">
        <f>ROUND('[6]2028'!AB56,2)</f>
        <v>2434.8200000000002</v>
      </c>
      <c r="AC52" s="226"/>
      <c r="AD52" s="19"/>
    </row>
    <row r="53" spans="2:31" ht="18.649999999999999" customHeight="1" x14ac:dyDescent="0.35">
      <c r="B53" s="213"/>
      <c r="C53" s="10" t="s">
        <v>31</v>
      </c>
      <c r="D53" s="94">
        <v>4</v>
      </c>
      <c r="E53" s="89">
        <f>ROUND('[6]2028'!E57,2)</f>
        <v>1405.65</v>
      </c>
      <c r="F53" s="89">
        <f>ROUND('[6]2028'!F57,2)</f>
        <v>1065.3</v>
      </c>
      <c r="G53" s="89">
        <f>ROUND('[6]2028'!G57,2)</f>
        <v>806.95</v>
      </c>
      <c r="H53" s="89">
        <f>ROUND('[6]2028'!H57,2)</f>
        <v>608.5</v>
      </c>
      <c r="I53" s="89">
        <f>ROUND('[6]2028'!I57,2)</f>
        <v>541.27</v>
      </c>
      <c r="J53" s="89">
        <f>ROUND('[6]2028'!J57,2)</f>
        <v>456.76</v>
      </c>
      <c r="K53" s="89">
        <f>ROUND('[6]2028'!K57,2)</f>
        <v>303.61</v>
      </c>
      <c r="L53" s="89">
        <f>ROUND('[6]2028'!L57,2)</f>
        <v>652.95000000000005</v>
      </c>
      <c r="M53" s="89">
        <f>ROUND('[6]2028'!M57,2)</f>
        <v>1072.3900000000001</v>
      </c>
      <c r="N53" s="89">
        <f>ROUND('[6]2028'!N57,2)</f>
        <v>1399.83</v>
      </c>
      <c r="O53" s="89">
        <f>ROUND('[6]2028'!O57,2)</f>
        <v>1668.04</v>
      </c>
      <c r="P53" s="89">
        <f>ROUND('[6]2028'!P57,2)</f>
        <v>1905.79</v>
      </c>
      <c r="Q53" s="89">
        <f>ROUND('[6]2028'!Q57,2)</f>
        <v>1979.98</v>
      </c>
      <c r="R53" s="89">
        <f>ROUND('[6]2028'!R57,2)</f>
        <v>2015.36</v>
      </c>
      <c r="S53" s="89">
        <f>ROUND('[6]2028'!S57,2)</f>
        <v>1914.54</v>
      </c>
      <c r="T53" s="89">
        <f>ROUND('[6]2028'!T57,2)</f>
        <v>1921.61</v>
      </c>
      <c r="U53" s="89">
        <f>ROUND('[6]2028'!U57,2)</f>
        <v>1938.4</v>
      </c>
      <c r="V53" s="89">
        <f>ROUND('[6]2028'!V57,2)</f>
        <v>2375.21</v>
      </c>
      <c r="W53" s="89">
        <f>ROUND('[6]2028'!W57,2)</f>
        <v>3229.52</v>
      </c>
      <c r="X53" s="89">
        <f>ROUND('[6]2028'!X57,2)</f>
        <v>3260.02</v>
      </c>
      <c r="Y53" s="89">
        <f>ROUND('[6]2028'!Y57,2)</f>
        <v>3003.12</v>
      </c>
      <c r="Z53" s="89">
        <f>ROUND('[6]2028'!Z57,2)</f>
        <v>2523.0300000000002</v>
      </c>
      <c r="AA53" s="89">
        <f>ROUND('[6]2028'!AA57,2)</f>
        <v>1915.61</v>
      </c>
      <c r="AB53" s="89">
        <f>ROUND('[6]2028'!AB57,2)</f>
        <v>1343.56</v>
      </c>
      <c r="AC53" s="226"/>
      <c r="AD53" s="19"/>
    </row>
    <row r="54" spans="2:31" ht="18.649999999999999" customHeight="1" thickBot="1" x14ac:dyDescent="0.4">
      <c r="B54" s="213"/>
      <c r="C54" s="16" t="s">
        <v>32</v>
      </c>
      <c r="D54" s="95">
        <v>2</v>
      </c>
      <c r="E54" s="90">
        <f>ROUND('[6]2028'!E58,2)</f>
        <v>1405.65</v>
      </c>
      <c r="F54" s="90">
        <f>ROUND('[6]2028'!F58,2)</f>
        <v>1065.3</v>
      </c>
      <c r="G54" s="90">
        <f>ROUND('[6]2028'!G58,2)</f>
        <v>806.95</v>
      </c>
      <c r="H54" s="90">
        <f>ROUND('[6]2028'!H58,2)</f>
        <v>608.5</v>
      </c>
      <c r="I54" s="90">
        <f>ROUND('[6]2028'!I58,2)</f>
        <v>541.27</v>
      </c>
      <c r="J54" s="90">
        <f>ROUND('[6]2028'!J58,2)</f>
        <v>456.76</v>
      </c>
      <c r="K54" s="90">
        <f>ROUND('[6]2028'!K58,2)</f>
        <v>303.61</v>
      </c>
      <c r="L54" s="90">
        <f>ROUND('[6]2028'!L58,2)</f>
        <v>652.95000000000005</v>
      </c>
      <c r="M54" s="90">
        <f>ROUND('[6]2028'!M58,2)</f>
        <v>1072.3900000000001</v>
      </c>
      <c r="N54" s="90">
        <f>ROUND('[6]2028'!N58,2)</f>
        <v>1399.83</v>
      </c>
      <c r="O54" s="90">
        <f>ROUND('[6]2028'!O58,2)</f>
        <v>1668.04</v>
      </c>
      <c r="P54" s="90">
        <f>ROUND('[6]2028'!P58,2)</f>
        <v>1905.79</v>
      </c>
      <c r="Q54" s="90">
        <f>ROUND('[6]2028'!Q58,2)</f>
        <v>1979.98</v>
      </c>
      <c r="R54" s="90">
        <f>ROUND('[6]2028'!R58,2)</f>
        <v>2015.36</v>
      </c>
      <c r="S54" s="90">
        <f>ROUND('[6]2028'!S58,2)</f>
        <v>1914.54</v>
      </c>
      <c r="T54" s="90">
        <f>ROUND('[6]2028'!T58,2)</f>
        <v>1921.61</v>
      </c>
      <c r="U54" s="90">
        <f>ROUND('[6]2028'!U58,2)</f>
        <v>1938.4</v>
      </c>
      <c r="V54" s="90">
        <f>ROUND('[6]2028'!V58,2)</f>
        <v>2375.21</v>
      </c>
      <c r="W54" s="90">
        <f>ROUND('[6]2028'!W58,2)</f>
        <v>3229.52</v>
      </c>
      <c r="X54" s="90">
        <f>ROUND('[6]2028'!X58,2)</f>
        <v>3260.02</v>
      </c>
      <c r="Y54" s="90">
        <f>ROUND('[6]2028'!Y58,2)</f>
        <v>3003.12</v>
      </c>
      <c r="Z54" s="90">
        <f>ROUND('[6]2028'!Z58,2)</f>
        <v>2523.0300000000002</v>
      </c>
      <c r="AA54" s="90">
        <f>ROUND('[6]2028'!AA58,2)</f>
        <v>1915.61</v>
      </c>
      <c r="AB54" s="90">
        <f>ROUND('[6]2028'!AB58,2)</f>
        <v>1343.56</v>
      </c>
      <c r="AC54" s="226"/>
      <c r="AD54" s="19"/>
    </row>
    <row r="55" spans="2:31" ht="18.649999999999999" customHeight="1" x14ac:dyDescent="0.35">
      <c r="B55" s="222">
        <v>47088</v>
      </c>
      <c r="C55" s="7" t="s">
        <v>29</v>
      </c>
      <c r="D55" s="93">
        <v>19</v>
      </c>
      <c r="E55" s="88">
        <f>ROUND('[6]2028'!E59,2)</f>
        <v>11620.45</v>
      </c>
      <c r="F55" s="88">
        <f>ROUND('[6]2028'!F59,2)</f>
        <v>10743.32</v>
      </c>
      <c r="G55" s="88">
        <f>ROUND('[6]2028'!G59,2)</f>
        <v>10080.32</v>
      </c>
      <c r="H55" s="88">
        <f>ROUND('[6]2028'!H59,2)</f>
        <v>9619.48</v>
      </c>
      <c r="I55" s="88">
        <f>ROUND('[6]2028'!I59,2)</f>
        <v>9518.2199999999993</v>
      </c>
      <c r="J55" s="88">
        <f>ROUND('[6]2028'!J59,2)</f>
        <v>9591.9699999999993</v>
      </c>
      <c r="K55" s="88">
        <f>ROUND('[6]2028'!K59,2)</f>
        <v>9422.83</v>
      </c>
      <c r="L55" s="88">
        <f>ROUND('[6]2028'!L59,2)</f>
        <v>10969.97</v>
      </c>
      <c r="M55" s="88">
        <f>ROUND('[6]2028'!M59,2)</f>
        <v>12658.5</v>
      </c>
      <c r="N55" s="88">
        <f>ROUND('[6]2028'!N59,2)</f>
        <v>13726.83</v>
      </c>
      <c r="O55" s="88">
        <f>ROUND('[6]2028'!O59,2)</f>
        <v>14513.14</v>
      </c>
      <c r="P55" s="88">
        <f>ROUND('[6]2028'!P59,2)</f>
        <v>14984.97</v>
      </c>
      <c r="Q55" s="88">
        <f>ROUND('[6]2028'!Q59,2)</f>
        <v>14552.57</v>
      </c>
      <c r="R55" s="88">
        <f>ROUND('[6]2028'!R59,2)</f>
        <v>14242.42</v>
      </c>
      <c r="S55" s="88">
        <f>ROUND('[6]2028'!S59,2)</f>
        <v>14289.19</v>
      </c>
      <c r="T55" s="88">
        <f>ROUND('[6]2028'!T59,2)</f>
        <v>14275.74</v>
      </c>
      <c r="U55" s="88">
        <f>ROUND('[6]2028'!U59,2)</f>
        <v>14036.78</v>
      </c>
      <c r="V55" s="88">
        <f>ROUND('[6]2028'!V59,2)</f>
        <v>14547.34</v>
      </c>
      <c r="W55" s="88">
        <f>ROUND('[6]2028'!W59,2)</f>
        <v>16526.98</v>
      </c>
      <c r="X55" s="88">
        <f>ROUND('[6]2028'!X59,2)</f>
        <v>16057.9</v>
      </c>
      <c r="Y55" s="88">
        <f>ROUND('[6]2028'!Y59,2)</f>
        <v>15152.34</v>
      </c>
      <c r="Z55" s="88">
        <f>ROUND('[6]2028'!Z59,2)</f>
        <v>14160.48</v>
      </c>
      <c r="AA55" s="88">
        <f>ROUND('[6]2028'!AA59,2)</f>
        <v>13198.38</v>
      </c>
      <c r="AB55" s="88">
        <f>ROUND('[6]2028'!AB59,2)</f>
        <v>12120.25</v>
      </c>
      <c r="AC55" s="225">
        <f>SUM(E55:AB55)*D55+SUM(E56:AB56)*D56+SUM(E57:AB57)*D57+SUM(E58:AB58)*D58</f>
        <v>9419639.1199999992</v>
      </c>
      <c r="AD55" s="19"/>
    </row>
    <row r="56" spans="2:31" ht="18.649999999999999" customHeight="1" x14ac:dyDescent="0.35">
      <c r="B56" s="223" t="s">
        <v>34</v>
      </c>
      <c r="C56" s="10" t="s">
        <v>30</v>
      </c>
      <c r="D56" s="94">
        <v>5</v>
      </c>
      <c r="E56" s="89">
        <f>ROUND('[6]2028'!E60,2)</f>
        <v>11312.83</v>
      </c>
      <c r="F56" s="89">
        <f>ROUND('[6]2028'!F60,2)</f>
        <v>10489.25</v>
      </c>
      <c r="G56" s="89">
        <f>ROUND('[6]2028'!G60,2)</f>
        <v>9870.74</v>
      </c>
      <c r="H56" s="89">
        <f>ROUND('[6]2028'!H60,2)</f>
        <v>9441.24</v>
      </c>
      <c r="I56" s="89">
        <f>ROUND('[6]2028'!I60,2)</f>
        <v>9394.1200000000008</v>
      </c>
      <c r="J56" s="89">
        <f>ROUND('[6]2028'!J60,2)</f>
        <v>9626.23</v>
      </c>
      <c r="K56" s="89">
        <f>ROUND('[6]2028'!K60,2)</f>
        <v>9688.41</v>
      </c>
      <c r="L56" s="89">
        <f>ROUND('[6]2028'!L60,2)</f>
        <v>11299.84</v>
      </c>
      <c r="M56" s="89">
        <f>ROUND('[6]2028'!M60,2)</f>
        <v>12970.56</v>
      </c>
      <c r="N56" s="89">
        <f>ROUND('[6]2028'!N60,2)</f>
        <v>13936.15</v>
      </c>
      <c r="O56" s="89">
        <f>ROUND('[6]2028'!O60,2)</f>
        <v>14879.78</v>
      </c>
      <c r="P56" s="89">
        <f>ROUND('[6]2028'!P60,2)</f>
        <v>15542.87</v>
      </c>
      <c r="Q56" s="89">
        <f>ROUND('[6]2028'!Q60,2)</f>
        <v>15025.76</v>
      </c>
      <c r="R56" s="89">
        <f>ROUND('[6]2028'!R60,2)</f>
        <v>15423.28</v>
      </c>
      <c r="S56" s="89">
        <f>ROUND('[6]2028'!S60,2)</f>
        <v>16096.07</v>
      </c>
      <c r="T56" s="89">
        <f>ROUND('[6]2028'!T60,2)</f>
        <v>16143.19</v>
      </c>
      <c r="U56" s="89">
        <f>ROUND('[6]2028'!U60,2)</f>
        <v>15779.61</v>
      </c>
      <c r="V56" s="89">
        <f>ROUND('[6]2028'!V60,2)</f>
        <v>15405.67</v>
      </c>
      <c r="W56" s="89">
        <f>ROUND('[6]2028'!W60,2)</f>
        <v>16821.54</v>
      </c>
      <c r="X56" s="89">
        <f>ROUND('[6]2028'!X60,2)</f>
        <v>16952.79</v>
      </c>
      <c r="Y56" s="89">
        <f>ROUND('[6]2028'!Y60,2)</f>
        <v>16400.150000000001</v>
      </c>
      <c r="Z56" s="89">
        <f>ROUND('[6]2028'!Z60,2)</f>
        <v>15472.47</v>
      </c>
      <c r="AA56" s="89">
        <f>ROUND('[6]2028'!AA60,2)</f>
        <v>14051.08</v>
      </c>
      <c r="AB56" s="89">
        <f>ROUND('[6]2028'!AB60,2)</f>
        <v>12530.98</v>
      </c>
      <c r="AC56" s="226"/>
      <c r="AD56" s="19"/>
    </row>
    <row r="57" spans="2:31" ht="18.649999999999999" customHeight="1" x14ac:dyDescent="0.35">
      <c r="B57" s="223" t="s">
        <v>34</v>
      </c>
      <c r="C57" s="10" t="s">
        <v>31</v>
      </c>
      <c r="D57" s="94">
        <v>5</v>
      </c>
      <c r="E57" s="89">
        <f>ROUND('[6]2028'!E61,2)</f>
        <v>11215.14</v>
      </c>
      <c r="F57" s="89">
        <f>ROUND('[6]2028'!F61,2)</f>
        <v>10712.26</v>
      </c>
      <c r="G57" s="89">
        <f>ROUND('[6]2028'!G61,2)</f>
        <v>10236.65</v>
      </c>
      <c r="H57" s="89">
        <f>ROUND('[6]2028'!H61,2)</f>
        <v>9780.73</v>
      </c>
      <c r="I57" s="89">
        <f>ROUND('[6]2028'!I61,2)</f>
        <v>9517.94</v>
      </c>
      <c r="J57" s="89">
        <f>ROUND('[6]2028'!J61,2)</f>
        <v>9137.83</v>
      </c>
      <c r="K57" s="89">
        <f>ROUND('[6]2028'!K61,2)</f>
        <v>8259.68</v>
      </c>
      <c r="L57" s="89">
        <f>ROUND('[6]2028'!L61,2)</f>
        <v>8700.2000000000007</v>
      </c>
      <c r="M57" s="89">
        <f>ROUND('[6]2028'!M61,2)</f>
        <v>9416.4</v>
      </c>
      <c r="N57" s="89">
        <f>ROUND('[6]2028'!N61,2)</f>
        <v>10088.82</v>
      </c>
      <c r="O57" s="89">
        <f>ROUND('[6]2028'!O61,2)</f>
        <v>10715.69</v>
      </c>
      <c r="P57" s="89">
        <f>ROUND('[6]2028'!P61,2)</f>
        <v>11248.5</v>
      </c>
      <c r="Q57" s="89">
        <f>ROUND('[6]2028'!Q61,2)</f>
        <v>11539.72</v>
      </c>
      <c r="R57" s="89">
        <f>ROUND('[6]2028'!R61,2)</f>
        <v>11552.59</v>
      </c>
      <c r="S57" s="89">
        <f>ROUND('[6]2028'!S61,2)</f>
        <v>11477.7</v>
      </c>
      <c r="T57" s="89">
        <f>ROUND('[6]2028'!T61,2)</f>
        <v>11568.79</v>
      </c>
      <c r="U57" s="89">
        <f>ROUND('[6]2028'!U61,2)</f>
        <v>11561.06</v>
      </c>
      <c r="V57" s="89">
        <f>ROUND('[6]2028'!V61,2)</f>
        <v>12096.38</v>
      </c>
      <c r="W57" s="89">
        <f>ROUND('[6]2028'!W61,2)</f>
        <v>14477.7</v>
      </c>
      <c r="X57" s="89">
        <f>ROUND('[6]2028'!X61,2)</f>
        <v>14657.81</v>
      </c>
      <c r="Y57" s="89">
        <f>ROUND('[6]2028'!Y61,2)</f>
        <v>14408.8</v>
      </c>
      <c r="Z57" s="89">
        <f>ROUND('[6]2028'!Z61,2)</f>
        <v>13818.67</v>
      </c>
      <c r="AA57" s="89">
        <f>ROUND('[6]2028'!AA61,2)</f>
        <v>12846.05</v>
      </c>
      <c r="AB57" s="89">
        <f>ROUND('[6]2028'!AB61,2)</f>
        <v>11717.61</v>
      </c>
      <c r="AC57" s="226"/>
      <c r="AD57" s="19"/>
    </row>
    <row r="58" spans="2:31" ht="18.649999999999999" customHeight="1" thickBot="1" x14ac:dyDescent="0.4">
      <c r="B58" s="224" t="s">
        <v>34</v>
      </c>
      <c r="C58" s="12" t="s">
        <v>32</v>
      </c>
      <c r="D58" s="96">
        <v>2</v>
      </c>
      <c r="E58" s="91">
        <f>ROUND('[6]2028'!E62,2)</f>
        <v>11215.14</v>
      </c>
      <c r="F58" s="91">
        <f>ROUND('[6]2028'!F62,2)</f>
        <v>10712.26</v>
      </c>
      <c r="G58" s="91">
        <f>ROUND('[6]2028'!G62,2)</f>
        <v>10236.65</v>
      </c>
      <c r="H58" s="91">
        <f>ROUND('[6]2028'!H62,2)</f>
        <v>9780.73</v>
      </c>
      <c r="I58" s="91">
        <f>ROUND('[6]2028'!I62,2)</f>
        <v>9517.94</v>
      </c>
      <c r="J58" s="91">
        <f>ROUND('[6]2028'!J62,2)</f>
        <v>9137.83</v>
      </c>
      <c r="K58" s="91">
        <f>ROUND('[6]2028'!K62,2)</f>
        <v>8259.68</v>
      </c>
      <c r="L58" s="91">
        <f>ROUND('[6]2028'!L62,2)</f>
        <v>8700.2000000000007</v>
      </c>
      <c r="M58" s="91">
        <f>ROUND('[6]2028'!M62,2)</f>
        <v>9416.4</v>
      </c>
      <c r="N58" s="91">
        <f>ROUND('[6]2028'!N62,2)</f>
        <v>10088.82</v>
      </c>
      <c r="O58" s="91">
        <f>ROUND('[6]2028'!O62,2)</f>
        <v>10715.69</v>
      </c>
      <c r="P58" s="91">
        <f>ROUND('[6]2028'!P62,2)</f>
        <v>11248.5</v>
      </c>
      <c r="Q58" s="91">
        <f>ROUND('[6]2028'!Q62,2)</f>
        <v>11539.72</v>
      </c>
      <c r="R58" s="91">
        <f>ROUND('[6]2028'!R62,2)</f>
        <v>11552.59</v>
      </c>
      <c r="S58" s="91">
        <f>ROUND('[6]2028'!S62,2)</f>
        <v>11477.7</v>
      </c>
      <c r="T58" s="91">
        <f>ROUND('[6]2028'!T62,2)</f>
        <v>11568.79</v>
      </c>
      <c r="U58" s="91">
        <f>ROUND('[6]2028'!U62,2)</f>
        <v>11561.06</v>
      </c>
      <c r="V58" s="91">
        <f>ROUND('[6]2028'!V62,2)</f>
        <v>12096.38</v>
      </c>
      <c r="W58" s="91">
        <f>ROUND('[6]2028'!W62,2)</f>
        <v>14477.7</v>
      </c>
      <c r="X58" s="91">
        <f>ROUND('[6]2028'!X62,2)</f>
        <v>14657.81</v>
      </c>
      <c r="Y58" s="91">
        <f>ROUND('[6]2028'!Y62,2)</f>
        <v>14408.8</v>
      </c>
      <c r="Z58" s="91">
        <f>ROUND('[6]2028'!Z62,2)</f>
        <v>13818.67</v>
      </c>
      <c r="AA58" s="91">
        <f>ROUND('[6]2028'!AA62,2)</f>
        <v>12846.05</v>
      </c>
      <c r="AB58" s="91">
        <f>ROUND('[6]2028'!AB62,2)</f>
        <v>11717.61</v>
      </c>
      <c r="AC58" s="227"/>
      <c r="AD58" s="19"/>
    </row>
    <row r="59" spans="2:31" ht="18.649999999999999" customHeight="1" thickBot="1" x14ac:dyDescent="0.4">
      <c r="Z59" s="228" t="s">
        <v>33</v>
      </c>
      <c r="AA59" s="229"/>
      <c r="AB59" s="230"/>
      <c r="AC59" s="155">
        <f>SUM(AC11:AC58)</f>
        <v>91936300.25999999</v>
      </c>
      <c r="AE59" s="19"/>
    </row>
  </sheetData>
  <mergeCells count="30">
    <mergeCell ref="B11:B14"/>
    <mergeCell ref="AC11:AC14"/>
    <mergeCell ref="B4:AC4"/>
    <mergeCell ref="B5:AC5"/>
    <mergeCell ref="B6:AC6"/>
    <mergeCell ref="B7:AC7"/>
    <mergeCell ref="B8:AC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</mergeCells>
  <phoneticPr fontId="23" type="noConversion"/>
  <conditionalFormatting sqref="E11:AB58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9582-2E56-46DC-8A69-8500158218E6}">
  <sheetPr>
    <tabColor rgb="FFFFC000"/>
  </sheetPr>
  <dimension ref="B2:AX160"/>
  <sheetViews>
    <sheetView showGridLines="0" zoomScale="70" zoomScaleNormal="70" workbookViewId="0">
      <pane xSplit="4" ySplit="10" topLeftCell="E102" activePane="bottomRight" state="frozen"/>
      <selection activeCell="B27" sqref="B27"/>
      <selection pane="topRight" activeCell="B27" sqref="B27"/>
      <selection pane="bottomLeft" activeCell="B27" sqref="B27"/>
      <selection pane="bottomRight" activeCell="AG128" sqref="AG128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16" t="s">
        <v>160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50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50" ht="18.649999999999999" customHeight="1" x14ac:dyDescent="0.35">
      <c r="B6" s="219" t="s">
        <v>138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2:50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50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180" t="s">
        <v>22</v>
      </c>
      <c r="W10" s="180" t="s">
        <v>23</v>
      </c>
      <c r="X10" s="180" t="s">
        <v>24</v>
      </c>
      <c r="Y10" s="180" t="s">
        <v>25</v>
      </c>
      <c r="Z10" s="180" t="s">
        <v>26</v>
      </c>
      <c r="AA10" s="180" t="s">
        <v>27</v>
      </c>
      <c r="AB10" s="181" t="s">
        <v>28</v>
      </c>
      <c r="AC10" s="45" t="s">
        <v>48</v>
      </c>
      <c r="AE10" s="45" t="str">
        <f>+AC10</f>
        <v>TOTAL MES
kWh</v>
      </c>
    </row>
    <row r="11" spans="2:50" ht="18.649999999999999" customHeight="1" thickBot="1" x14ac:dyDescent="0.4">
      <c r="B11" s="212">
        <v>46023</v>
      </c>
      <c r="C11" s="7" t="s">
        <v>29</v>
      </c>
      <c r="D11" s="93">
        <v>20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214">
        <f>SUM(E11:AB11)*D11+SUM(E12:AB12)*D12+SUM(E13:AB13)*D13+SUM(E14:AB14)*D14</f>
        <v>0</v>
      </c>
      <c r="AD11" s="19"/>
      <c r="AE11" s="87">
        <f>+AC11</f>
        <v>0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thickBot="1" x14ac:dyDescent="0.4">
      <c r="B12" s="213"/>
      <c r="C12" s="10" t="s">
        <v>30</v>
      </c>
      <c r="D12" s="93">
        <v>5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215"/>
      <c r="AD12" s="19"/>
      <c r="AE12" s="87">
        <f>+AC15</f>
        <v>12471487.039999999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thickBot="1" x14ac:dyDescent="0.4">
      <c r="B13" s="213"/>
      <c r="C13" s="10" t="s">
        <v>31</v>
      </c>
      <c r="D13" s="93">
        <v>4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215"/>
      <c r="AD13" s="19"/>
      <c r="AE13" s="87">
        <f>+AC19</f>
        <v>13432833.390000001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13"/>
      <c r="C14" s="16" t="s">
        <v>32</v>
      </c>
      <c r="D14" s="93">
        <v>2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215"/>
      <c r="AD14" s="19"/>
      <c r="AE14" s="87">
        <f>+AC23</f>
        <v>11611265.000000002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thickBot="1" x14ac:dyDescent="0.4">
      <c r="B15" s="222">
        <v>46054</v>
      </c>
      <c r="C15" s="7" t="s">
        <v>29</v>
      </c>
      <c r="D15" s="93">
        <v>20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>
        <v>60612.69</v>
      </c>
      <c r="W15" s="88">
        <v>58240.7</v>
      </c>
      <c r="X15" s="88">
        <v>62992.800000000003</v>
      </c>
      <c r="Y15" s="88">
        <v>65934.320000000007</v>
      </c>
      <c r="Z15" s="88">
        <v>66035.710000000006</v>
      </c>
      <c r="AA15" s="88">
        <v>64706.02</v>
      </c>
      <c r="AB15" s="88">
        <v>63842.6</v>
      </c>
      <c r="AC15" s="225">
        <f>SUM(E15:AB15)*D15+SUM(E16:AB16)*D16+SUM(E17:AB17)*D17+SUM(E18:AB18)*D18</f>
        <v>12471487.039999999</v>
      </c>
      <c r="AD15" s="177">
        <f>+AC15</f>
        <v>12471487.039999999</v>
      </c>
      <c r="AE15" s="87">
        <f>+AC27</f>
        <v>6257333</v>
      </c>
    </row>
    <row r="16" spans="2:50" ht="18.649999999999999" customHeight="1" thickBot="1" x14ac:dyDescent="0.4">
      <c r="B16" s="223" t="s">
        <v>34</v>
      </c>
      <c r="C16" s="10" t="s">
        <v>30</v>
      </c>
      <c r="D16" s="93">
        <v>4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>
        <v>61015.15</v>
      </c>
      <c r="W16" s="89">
        <v>60125.07</v>
      </c>
      <c r="X16" s="89">
        <v>62613.11</v>
      </c>
      <c r="Y16" s="89">
        <v>62880.98</v>
      </c>
      <c r="Z16" s="89">
        <v>63309.02</v>
      </c>
      <c r="AA16" s="89">
        <v>63244.37</v>
      </c>
      <c r="AB16" s="89">
        <v>62924.12</v>
      </c>
      <c r="AC16" s="226"/>
      <c r="AD16" s="177">
        <f>+AC19</f>
        <v>13432833.390000001</v>
      </c>
      <c r="AE16" s="87">
        <f>+AC31</f>
        <v>7351802.080000001</v>
      </c>
    </row>
    <row r="17" spans="2:31" ht="18.649999999999999" customHeight="1" thickBot="1" x14ac:dyDescent="0.4">
      <c r="B17" s="223" t="s">
        <v>34</v>
      </c>
      <c r="C17" s="10" t="s">
        <v>31</v>
      </c>
      <c r="D17" s="93">
        <v>4</v>
      </c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>
        <v>62207.89</v>
      </c>
      <c r="W17" s="89">
        <v>61187.7</v>
      </c>
      <c r="X17" s="89">
        <v>65868.649999999994</v>
      </c>
      <c r="Y17" s="89">
        <v>69532.52</v>
      </c>
      <c r="Z17" s="89">
        <v>72057.02</v>
      </c>
      <c r="AA17" s="89">
        <v>71327.240000000005</v>
      </c>
      <c r="AB17" s="89">
        <v>67754.720000000001</v>
      </c>
      <c r="AC17" s="226"/>
      <c r="AD17" s="177">
        <f>+AC23</f>
        <v>11611265.000000002</v>
      </c>
      <c r="AE17" s="87">
        <f>+AC35</f>
        <v>8667289.5899999999</v>
      </c>
    </row>
    <row r="18" spans="2:31" ht="18.649999999999999" customHeight="1" thickBot="1" x14ac:dyDescent="0.4">
      <c r="B18" s="224" t="s">
        <v>34</v>
      </c>
      <c r="C18" s="12" t="s">
        <v>32</v>
      </c>
      <c r="D18" s="93">
        <v>0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>
        <v>0</v>
      </c>
      <c r="W18" s="91">
        <v>0</v>
      </c>
      <c r="X18" s="91">
        <v>0</v>
      </c>
      <c r="Y18" s="91">
        <v>0</v>
      </c>
      <c r="Z18" s="91">
        <v>0</v>
      </c>
      <c r="AA18" s="91">
        <v>0</v>
      </c>
      <c r="AB18" s="91">
        <v>0</v>
      </c>
      <c r="AC18" s="227"/>
      <c r="AD18" s="177">
        <f>+AC27</f>
        <v>6257333</v>
      </c>
      <c r="AE18" s="87">
        <f>+AC39</f>
        <v>8541286.1100000013</v>
      </c>
    </row>
    <row r="19" spans="2:31" ht="18.649999999999999" customHeight="1" thickBot="1" x14ac:dyDescent="0.4">
      <c r="B19" s="212">
        <v>46082</v>
      </c>
      <c r="C19" s="14" t="s">
        <v>29</v>
      </c>
      <c r="D19" s="93">
        <v>21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>
        <v>61665.29</v>
      </c>
      <c r="W19" s="92">
        <v>59997.58</v>
      </c>
      <c r="X19" s="92">
        <v>59923.360000000001</v>
      </c>
      <c r="Y19" s="92">
        <v>62940.51</v>
      </c>
      <c r="Z19" s="92">
        <v>64925.1</v>
      </c>
      <c r="AA19" s="92">
        <v>66389.47</v>
      </c>
      <c r="AB19" s="92">
        <v>66766.399999999994</v>
      </c>
      <c r="AC19" s="226">
        <f>SUM(E19:AB19)*D19+SUM(E20:AB20)*D20+SUM(E21:AB21)*D21+SUM(E22:AB22)*D22</f>
        <v>13432833.390000001</v>
      </c>
      <c r="AD19" s="177">
        <f>+AC31</f>
        <v>7351802.080000001</v>
      </c>
      <c r="AE19" s="87">
        <f>+AC43</f>
        <v>10140570.520000001</v>
      </c>
    </row>
    <row r="20" spans="2:31" ht="18.649999999999999" customHeight="1" thickBot="1" x14ac:dyDescent="0.4">
      <c r="B20" s="213"/>
      <c r="C20" s="10" t="s">
        <v>30</v>
      </c>
      <c r="D20" s="93">
        <v>4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>
        <v>53859.01</v>
      </c>
      <c r="W20" s="89">
        <v>55201.7</v>
      </c>
      <c r="X20" s="89">
        <v>53225.440000000002</v>
      </c>
      <c r="Y20" s="89">
        <v>55265.39</v>
      </c>
      <c r="Z20" s="89">
        <v>57292.56</v>
      </c>
      <c r="AA20" s="89">
        <v>59243.62</v>
      </c>
      <c r="AB20" s="89">
        <v>60289.09</v>
      </c>
      <c r="AC20" s="226"/>
      <c r="AD20" s="177">
        <f>+AC35</f>
        <v>8667289.5899999999</v>
      </c>
      <c r="AE20" s="87">
        <f>+AC47</f>
        <v>10912076.65</v>
      </c>
    </row>
    <row r="21" spans="2:31" ht="18.649999999999999" customHeight="1" thickBot="1" x14ac:dyDescent="0.4">
      <c r="B21" s="213"/>
      <c r="C21" s="10" t="s">
        <v>31</v>
      </c>
      <c r="D21" s="93">
        <v>5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>
        <v>58024.46</v>
      </c>
      <c r="W21" s="89">
        <v>57668.13</v>
      </c>
      <c r="X21" s="89">
        <v>56823.09</v>
      </c>
      <c r="Y21" s="89">
        <v>60119.55</v>
      </c>
      <c r="Z21" s="89">
        <v>64015.67</v>
      </c>
      <c r="AA21" s="89">
        <v>66411.5</v>
      </c>
      <c r="AB21" s="89">
        <v>65544</v>
      </c>
      <c r="AC21" s="226"/>
      <c r="AD21" s="177">
        <f>+AC39</f>
        <v>8541286.1100000013</v>
      </c>
      <c r="AE21" s="87">
        <f>+AC51</f>
        <v>9086699.6600000001</v>
      </c>
    </row>
    <row r="22" spans="2:31" ht="18.649999999999999" customHeight="1" thickBot="1" x14ac:dyDescent="0.4">
      <c r="B22" s="213"/>
      <c r="C22" s="16" t="s">
        <v>32</v>
      </c>
      <c r="D22" s="93">
        <v>1</v>
      </c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>
        <v>56822.68</v>
      </c>
      <c r="W22" s="90">
        <v>56090.14</v>
      </c>
      <c r="X22" s="90">
        <v>55122.81</v>
      </c>
      <c r="Y22" s="90">
        <v>58328.49</v>
      </c>
      <c r="Z22" s="90">
        <v>62413.01</v>
      </c>
      <c r="AA22" s="90">
        <v>64815.74</v>
      </c>
      <c r="AB22" s="90">
        <v>63939.37</v>
      </c>
      <c r="AC22" s="226"/>
      <c r="AD22" s="177">
        <f>+AC43</f>
        <v>10140570.520000001</v>
      </c>
      <c r="AE22" s="87">
        <f>+AC55</f>
        <v>12035402.449999999</v>
      </c>
    </row>
    <row r="23" spans="2:31" ht="18.649999999999999" customHeight="1" thickBot="1" x14ac:dyDescent="0.4">
      <c r="B23" s="222">
        <v>46113</v>
      </c>
      <c r="C23" s="7" t="s">
        <v>29</v>
      </c>
      <c r="D23" s="93">
        <v>20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>
        <v>44743.4</v>
      </c>
      <c r="W23" s="88">
        <v>51438.09</v>
      </c>
      <c r="X23" s="88">
        <v>51140.15</v>
      </c>
      <c r="Y23" s="88">
        <v>52868.17</v>
      </c>
      <c r="Z23" s="88">
        <v>55730.95</v>
      </c>
      <c r="AA23" s="88">
        <v>60405.55</v>
      </c>
      <c r="AB23" s="88">
        <v>63137.81</v>
      </c>
      <c r="AC23" s="225">
        <f>SUM(E23:AB23)*D23+SUM(E24:AB24)*D24+SUM(E25:AB25)*D25+SUM(E26:AB26)*D26</f>
        <v>11611265.000000002</v>
      </c>
      <c r="AD23" s="177">
        <f>+AC47</f>
        <v>10912076.65</v>
      </c>
      <c r="AE23" s="87">
        <f>SUM(AE11:AE22)</f>
        <v>110508045.48999999</v>
      </c>
    </row>
    <row r="24" spans="2:31" ht="18.649999999999999" customHeight="1" thickBot="1" x14ac:dyDescent="0.4">
      <c r="B24" s="223" t="s">
        <v>34</v>
      </c>
      <c r="C24" s="10" t="s">
        <v>30</v>
      </c>
      <c r="D24" s="93">
        <v>4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>
        <v>62407.44</v>
      </c>
      <c r="W24" s="89">
        <v>57641.35</v>
      </c>
      <c r="X24" s="89">
        <v>55599.27</v>
      </c>
      <c r="Y24" s="89">
        <v>56652.06</v>
      </c>
      <c r="Z24" s="89">
        <v>56345.25</v>
      </c>
      <c r="AA24" s="89">
        <v>53243.95</v>
      </c>
      <c r="AB24" s="89">
        <v>48803.88</v>
      </c>
      <c r="AC24" s="226"/>
      <c r="AD24" s="177">
        <f>+AC51</f>
        <v>9086699.6600000001</v>
      </c>
    </row>
    <row r="25" spans="2:31" ht="18.649999999999999" customHeight="1" thickBot="1" x14ac:dyDescent="0.4">
      <c r="B25" s="223" t="s">
        <v>34</v>
      </c>
      <c r="C25" s="10" t="s">
        <v>31</v>
      </c>
      <c r="D25" s="93">
        <v>4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>
        <v>57601.74</v>
      </c>
      <c r="W25" s="89">
        <v>58678.04</v>
      </c>
      <c r="X25" s="89">
        <v>57368.44</v>
      </c>
      <c r="Y25" s="89">
        <v>58796.39</v>
      </c>
      <c r="Z25" s="89">
        <v>60130.83</v>
      </c>
      <c r="AA25" s="89">
        <v>60466.31</v>
      </c>
      <c r="AB25" s="89">
        <v>57862.54</v>
      </c>
      <c r="AC25" s="226"/>
      <c r="AD25" s="177">
        <f>+AC55</f>
        <v>12035402.449999999</v>
      </c>
    </row>
    <row r="26" spans="2:31" ht="18.649999999999999" customHeight="1" thickBot="1" x14ac:dyDescent="0.4">
      <c r="B26" s="224" t="s">
        <v>34</v>
      </c>
      <c r="C26" s="12" t="s">
        <v>32</v>
      </c>
      <c r="D26" s="93">
        <v>2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>
        <v>58074.03</v>
      </c>
      <c r="W26" s="91">
        <v>59143.8</v>
      </c>
      <c r="X26" s="91">
        <v>57506.38</v>
      </c>
      <c r="Y26" s="91">
        <v>58782.51</v>
      </c>
      <c r="Z26" s="91">
        <v>59419.12</v>
      </c>
      <c r="AA26" s="91">
        <v>58869.760000000002</v>
      </c>
      <c r="AB26" s="91">
        <v>56000.72</v>
      </c>
      <c r="AC26" s="227"/>
      <c r="AD26" s="19"/>
    </row>
    <row r="27" spans="2:31" ht="18.649999999999999" customHeight="1" thickBot="1" x14ac:dyDescent="0.4">
      <c r="B27" s="212">
        <v>46143</v>
      </c>
      <c r="C27" s="14" t="s">
        <v>29</v>
      </c>
      <c r="D27" s="93">
        <v>19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>
        <v>9060.36</v>
      </c>
      <c r="W27" s="92">
        <v>19064.03</v>
      </c>
      <c r="X27" s="92">
        <v>19065.98</v>
      </c>
      <c r="Y27" s="92">
        <v>19900.21</v>
      </c>
      <c r="Z27" s="92">
        <v>27873.91</v>
      </c>
      <c r="AA27" s="92">
        <v>32600.76</v>
      </c>
      <c r="AB27" s="92">
        <v>36322.06</v>
      </c>
      <c r="AC27" s="226">
        <f>SUM(E27:AB27)*D27+SUM(E28:AB28)*D28+SUM(E29:AB29)*D29+SUM(E30:AB30)*D30</f>
        <v>6257333</v>
      </c>
      <c r="AD27" s="19"/>
    </row>
    <row r="28" spans="2:31" ht="18.649999999999999" customHeight="1" thickBot="1" x14ac:dyDescent="0.4">
      <c r="B28" s="213"/>
      <c r="C28" s="10" t="s">
        <v>30</v>
      </c>
      <c r="D28" s="93">
        <v>5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>
        <v>36325.24</v>
      </c>
      <c r="W28" s="89">
        <v>31681.53</v>
      </c>
      <c r="X28" s="89">
        <v>31249.33</v>
      </c>
      <c r="Y28" s="89">
        <v>32212.400000000001</v>
      </c>
      <c r="Z28" s="89">
        <v>32735.61</v>
      </c>
      <c r="AA28" s="89">
        <v>31067.3</v>
      </c>
      <c r="AB28" s="89">
        <v>29473.77</v>
      </c>
      <c r="AC28" s="226"/>
      <c r="AD28" s="19"/>
    </row>
    <row r="29" spans="2:31" ht="18.649999999999999" customHeight="1" thickBot="1" x14ac:dyDescent="0.4">
      <c r="B29" s="213"/>
      <c r="C29" s="10" t="s">
        <v>31</v>
      </c>
      <c r="D29" s="93">
        <v>5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>
        <v>39695.699999999997</v>
      </c>
      <c r="W29" s="89">
        <v>40762.99</v>
      </c>
      <c r="X29" s="89">
        <v>40726.33</v>
      </c>
      <c r="Y29" s="89">
        <v>42258.33</v>
      </c>
      <c r="Z29" s="89">
        <v>43261.9</v>
      </c>
      <c r="AA29" s="89">
        <v>43257.42</v>
      </c>
      <c r="AB29" s="89">
        <v>41441.160000000003</v>
      </c>
      <c r="AC29" s="226"/>
      <c r="AD29" s="19"/>
    </row>
    <row r="30" spans="2:31" ht="18.649999999999999" customHeight="1" thickBot="1" x14ac:dyDescent="0.4">
      <c r="B30" s="213"/>
      <c r="C30" s="16" t="s">
        <v>32</v>
      </c>
      <c r="D30" s="93">
        <v>2</v>
      </c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>
        <v>37295.919999999998</v>
      </c>
      <c r="W30" s="90">
        <v>38605.21</v>
      </c>
      <c r="X30" s="90">
        <v>38912.36</v>
      </c>
      <c r="Y30" s="90">
        <v>40833.22</v>
      </c>
      <c r="Z30" s="90">
        <v>42126.23</v>
      </c>
      <c r="AA30" s="90">
        <v>42491.95</v>
      </c>
      <c r="AB30" s="90">
        <v>41099.64</v>
      </c>
      <c r="AC30" s="226"/>
      <c r="AD30" s="19"/>
    </row>
    <row r="31" spans="2:31" ht="18.649999999999999" customHeight="1" thickBot="1" x14ac:dyDescent="0.4">
      <c r="B31" s="222">
        <v>46174</v>
      </c>
      <c r="C31" s="7" t="s">
        <v>29</v>
      </c>
      <c r="D31" s="93">
        <v>19</v>
      </c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>
        <v>18983.91</v>
      </c>
      <c r="W31" s="88">
        <v>28018.39</v>
      </c>
      <c r="X31" s="88">
        <v>27342.16</v>
      </c>
      <c r="Y31" s="88">
        <v>27812.59</v>
      </c>
      <c r="Z31" s="88">
        <v>30764.720000000001</v>
      </c>
      <c r="AA31" s="88">
        <v>35686.32</v>
      </c>
      <c r="AB31" s="88">
        <v>39382.730000000003</v>
      </c>
      <c r="AC31" s="225">
        <f>SUM(E31:AB31)*D31+SUM(E32:AB32)*D32+SUM(E33:AB33)*D33+SUM(E34:AB34)*D34</f>
        <v>7351802.080000001</v>
      </c>
      <c r="AD31" s="19"/>
    </row>
    <row r="32" spans="2:31" ht="18.649999999999999" customHeight="1" thickBot="1" x14ac:dyDescent="0.4">
      <c r="B32" s="223" t="s">
        <v>34</v>
      </c>
      <c r="C32" s="10" t="s">
        <v>30</v>
      </c>
      <c r="D32" s="93">
        <v>4</v>
      </c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>
        <v>46894.21</v>
      </c>
      <c r="W32" s="89">
        <v>41146.129999999997</v>
      </c>
      <c r="X32" s="89">
        <v>42043.1</v>
      </c>
      <c r="Y32" s="89">
        <v>44501.27</v>
      </c>
      <c r="Z32" s="89">
        <v>45307.45</v>
      </c>
      <c r="AA32" s="89">
        <v>43377.82</v>
      </c>
      <c r="AB32" s="89">
        <v>40597.78</v>
      </c>
      <c r="AC32" s="226"/>
      <c r="AD32" s="19"/>
    </row>
    <row r="33" spans="2:30" ht="18.649999999999999" customHeight="1" thickBot="1" x14ac:dyDescent="0.4">
      <c r="B33" s="223" t="s">
        <v>34</v>
      </c>
      <c r="C33" s="10" t="s">
        <v>31</v>
      </c>
      <c r="D33" s="93">
        <v>4</v>
      </c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>
        <v>42038.84</v>
      </c>
      <c r="W33" s="89">
        <v>44757.14</v>
      </c>
      <c r="X33" s="89">
        <v>43955.21</v>
      </c>
      <c r="Y33" s="89">
        <v>45326.93</v>
      </c>
      <c r="Z33" s="89">
        <v>46454.96</v>
      </c>
      <c r="AA33" s="89">
        <v>46177.91</v>
      </c>
      <c r="AB33" s="89">
        <v>43608.59</v>
      </c>
      <c r="AC33" s="226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93">
        <v>3</v>
      </c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>
        <v>41793.94</v>
      </c>
      <c r="W34" s="91">
        <v>44519.519999999997</v>
      </c>
      <c r="X34" s="91">
        <v>43499.02</v>
      </c>
      <c r="Y34" s="91">
        <v>45127</v>
      </c>
      <c r="Z34" s="91">
        <v>46515.29</v>
      </c>
      <c r="AA34" s="91">
        <v>46345</v>
      </c>
      <c r="AB34" s="91">
        <v>43942.61</v>
      </c>
      <c r="AC34" s="227"/>
      <c r="AD34" s="19"/>
    </row>
    <row r="35" spans="2:30" ht="18.649999999999999" customHeight="1" thickBot="1" x14ac:dyDescent="0.4">
      <c r="B35" s="212">
        <v>46204</v>
      </c>
      <c r="C35" s="14" t="s">
        <v>29</v>
      </c>
      <c r="D35" s="93">
        <v>22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>
        <v>27060.42</v>
      </c>
      <c r="W35" s="92">
        <v>34331.32</v>
      </c>
      <c r="X35" s="92">
        <v>35082.97</v>
      </c>
      <c r="Y35" s="92">
        <v>35973.79</v>
      </c>
      <c r="Z35" s="92">
        <v>38150.6</v>
      </c>
      <c r="AA35" s="92">
        <v>42501.58</v>
      </c>
      <c r="AB35" s="92">
        <v>44619.01</v>
      </c>
      <c r="AC35" s="226">
        <f>SUM(E35:AB35)*D35+SUM(E36:AB36)*D36+SUM(E37:AB37)*D37+SUM(E38:AB38)*D38</f>
        <v>8667289.5899999999</v>
      </c>
      <c r="AD35" s="19"/>
    </row>
    <row r="36" spans="2:30" ht="18.649999999999999" customHeight="1" thickBot="1" x14ac:dyDescent="0.4">
      <c r="B36" s="213"/>
      <c r="C36" s="10" t="s">
        <v>30</v>
      </c>
      <c r="D36" s="93">
        <v>4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>
        <v>52301.16</v>
      </c>
      <c r="W36" s="89">
        <v>52972.92</v>
      </c>
      <c r="X36" s="89">
        <v>49792.27</v>
      </c>
      <c r="Y36" s="89">
        <v>51722.98</v>
      </c>
      <c r="Z36" s="89">
        <v>51289.29</v>
      </c>
      <c r="AA36" s="89">
        <v>48160.99</v>
      </c>
      <c r="AB36" s="89">
        <v>44399.41</v>
      </c>
      <c r="AC36" s="226"/>
      <c r="AD36" s="19"/>
    </row>
    <row r="37" spans="2:30" ht="18.649999999999999" customHeight="1" thickBot="1" x14ac:dyDescent="0.4">
      <c r="B37" s="213"/>
      <c r="C37" s="10" t="s">
        <v>31</v>
      </c>
      <c r="D37" s="93">
        <v>4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>
        <v>42040.34</v>
      </c>
      <c r="W37" s="89">
        <v>45280.36</v>
      </c>
      <c r="X37" s="89">
        <v>45252.97</v>
      </c>
      <c r="Y37" s="89">
        <v>45480.91</v>
      </c>
      <c r="Z37" s="89">
        <v>46292.12</v>
      </c>
      <c r="AA37" s="89">
        <v>47386.21</v>
      </c>
      <c r="AB37" s="89">
        <v>47765.71</v>
      </c>
      <c r="AC37" s="226"/>
      <c r="AD37" s="19"/>
    </row>
    <row r="38" spans="2:30" ht="18.649999999999999" customHeight="1" thickBot="1" x14ac:dyDescent="0.4">
      <c r="B38" s="213"/>
      <c r="C38" s="16" t="s">
        <v>32</v>
      </c>
      <c r="D38" s="93">
        <v>1</v>
      </c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>
        <v>41527.47</v>
      </c>
      <c r="W38" s="90">
        <v>44714.63</v>
      </c>
      <c r="X38" s="90">
        <v>44496.160000000003</v>
      </c>
      <c r="Y38" s="90">
        <v>44965.24</v>
      </c>
      <c r="Z38" s="90">
        <v>46177.21</v>
      </c>
      <c r="AA38" s="90">
        <v>47303.26</v>
      </c>
      <c r="AB38" s="90">
        <v>47721.88</v>
      </c>
      <c r="AC38" s="226"/>
      <c r="AD38" s="19"/>
    </row>
    <row r="39" spans="2:30" ht="18.649999999999999" customHeight="1" thickBot="1" x14ac:dyDescent="0.4">
      <c r="B39" s="222">
        <v>46235</v>
      </c>
      <c r="C39" s="7" t="s">
        <v>29</v>
      </c>
      <c r="D39" s="93">
        <v>19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>
        <v>19993.36</v>
      </c>
      <c r="W39" s="88">
        <v>30639.74</v>
      </c>
      <c r="X39" s="88">
        <v>30171.75</v>
      </c>
      <c r="Y39" s="88">
        <v>31828.240000000002</v>
      </c>
      <c r="Z39" s="88">
        <v>34646.04</v>
      </c>
      <c r="AA39" s="88">
        <v>39456.29</v>
      </c>
      <c r="AB39" s="88">
        <v>41980.91</v>
      </c>
      <c r="AC39" s="225">
        <f>SUM(E39:AB39)*D39+SUM(E40:AB40)*D40+SUM(E41:AB41)*D41+SUM(E42:AB42)*D42</f>
        <v>8541286.1100000013</v>
      </c>
      <c r="AD39" s="19"/>
    </row>
    <row r="40" spans="2:30" ht="18.649999999999999" customHeight="1" thickBot="1" x14ac:dyDescent="0.4">
      <c r="B40" s="223" t="s">
        <v>34</v>
      </c>
      <c r="C40" s="10" t="s">
        <v>30</v>
      </c>
      <c r="D40" s="93">
        <v>5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>
        <v>54604.89</v>
      </c>
      <c r="W40" s="89">
        <v>53602.37</v>
      </c>
      <c r="X40" s="89">
        <v>49545.98</v>
      </c>
      <c r="Y40" s="89">
        <v>51140.78</v>
      </c>
      <c r="Z40" s="89">
        <v>51561.53</v>
      </c>
      <c r="AA40" s="89">
        <v>48672.86</v>
      </c>
      <c r="AB40" s="89">
        <v>45701.19</v>
      </c>
      <c r="AC40" s="226"/>
      <c r="AD40" s="19"/>
    </row>
    <row r="41" spans="2:30" ht="18.649999999999999" customHeight="1" thickBot="1" x14ac:dyDescent="0.4">
      <c r="B41" s="223" t="s">
        <v>34</v>
      </c>
      <c r="C41" s="10" t="s">
        <v>31</v>
      </c>
      <c r="D41" s="93">
        <v>5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>
        <v>43739.68</v>
      </c>
      <c r="W41" s="89">
        <v>45939.44</v>
      </c>
      <c r="X41" s="89">
        <v>49332.24</v>
      </c>
      <c r="Y41" s="89">
        <v>51762.03</v>
      </c>
      <c r="Z41" s="89">
        <v>53052.29</v>
      </c>
      <c r="AA41" s="89">
        <v>53275.76</v>
      </c>
      <c r="AB41" s="89">
        <v>51249.7</v>
      </c>
      <c r="AC41" s="226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93">
        <v>2</v>
      </c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>
        <v>42908.69</v>
      </c>
      <c r="W42" s="91">
        <v>45159.360000000001</v>
      </c>
      <c r="X42" s="91">
        <v>47913.64</v>
      </c>
      <c r="Y42" s="91">
        <v>50224.42</v>
      </c>
      <c r="Z42" s="91">
        <v>51590.16</v>
      </c>
      <c r="AA42" s="91">
        <v>51881.440000000002</v>
      </c>
      <c r="AB42" s="91">
        <v>50208.36</v>
      </c>
      <c r="AC42" s="227"/>
      <c r="AD42" s="19"/>
    </row>
    <row r="43" spans="2:30" ht="18.649999999999999" customHeight="1" thickBot="1" x14ac:dyDescent="0.4">
      <c r="B43" s="212">
        <v>46266</v>
      </c>
      <c r="C43" s="14" t="s">
        <v>29</v>
      </c>
      <c r="D43" s="93">
        <v>22</v>
      </c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>
        <v>35623.07</v>
      </c>
      <c r="W43" s="92">
        <v>41483.97</v>
      </c>
      <c r="X43" s="92">
        <v>41724.35</v>
      </c>
      <c r="Y43" s="92">
        <v>42950.26</v>
      </c>
      <c r="Z43" s="92">
        <v>44956.46</v>
      </c>
      <c r="AA43" s="92">
        <v>49522.46</v>
      </c>
      <c r="AB43" s="92">
        <v>52512.83</v>
      </c>
      <c r="AC43" s="226">
        <f>SUM(E43:AB43)*D43+SUM(E44:AB44)*D44+SUM(E45:AB45)*D45+SUM(E46:AB46)*D46</f>
        <v>10140570.520000001</v>
      </c>
      <c r="AD43" s="19"/>
    </row>
    <row r="44" spans="2:30" ht="18.649999999999999" customHeight="1" thickBot="1" x14ac:dyDescent="0.4">
      <c r="B44" s="213"/>
      <c r="C44" s="10" t="s">
        <v>30</v>
      </c>
      <c r="D44" s="93">
        <v>4</v>
      </c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>
        <v>60214.51</v>
      </c>
      <c r="W44" s="89">
        <v>54006.96</v>
      </c>
      <c r="X44" s="89">
        <v>51445.86</v>
      </c>
      <c r="Y44" s="89">
        <v>52883.65</v>
      </c>
      <c r="Z44" s="89">
        <v>53571.78</v>
      </c>
      <c r="AA44" s="89">
        <v>52389.74</v>
      </c>
      <c r="AB44" s="89">
        <v>49720.800000000003</v>
      </c>
      <c r="AC44" s="226"/>
      <c r="AD44" s="19"/>
    </row>
    <row r="45" spans="2:30" ht="18.649999999999999" customHeight="1" thickBot="1" x14ac:dyDescent="0.4">
      <c r="B45" s="213"/>
      <c r="C45" s="10" t="s">
        <v>31</v>
      </c>
      <c r="D45" s="93">
        <v>4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>
        <v>79346.100000000006</v>
      </c>
      <c r="W45" s="89">
        <v>70821.919999999998</v>
      </c>
      <c r="X45" s="89">
        <v>65866.45</v>
      </c>
      <c r="Y45" s="89">
        <v>64724.639999999999</v>
      </c>
      <c r="Z45" s="89">
        <v>63612.29</v>
      </c>
      <c r="AA45" s="89">
        <v>60838.44</v>
      </c>
      <c r="AB45" s="89">
        <v>57445.79</v>
      </c>
      <c r="AC45" s="226"/>
      <c r="AD45" s="19"/>
    </row>
    <row r="46" spans="2:30" ht="18.649999999999999" customHeight="1" thickBot="1" x14ac:dyDescent="0.4">
      <c r="B46" s="213"/>
      <c r="C46" s="16" t="s">
        <v>32</v>
      </c>
      <c r="D46" s="93">
        <v>0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1">
        <v>0</v>
      </c>
      <c r="AB46" s="91">
        <v>0</v>
      </c>
      <c r="AC46" s="226"/>
      <c r="AD46" s="19"/>
    </row>
    <row r="47" spans="2:30" ht="18.649999999999999" customHeight="1" thickBot="1" x14ac:dyDescent="0.4">
      <c r="B47" s="222">
        <v>46296</v>
      </c>
      <c r="C47" s="7" t="s">
        <v>29</v>
      </c>
      <c r="D47" s="93">
        <v>21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>
        <v>39947.629999999997</v>
      </c>
      <c r="W47" s="88">
        <v>46249.16</v>
      </c>
      <c r="X47" s="88">
        <v>47369.74</v>
      </c>
      <c r="Y47" s="88">
        <v>48800.18</v>
      </c>
      <c r="Z47" s="88">
        <v>50316.93</v>
      </c>
      <c r="AA47" s="88">
        <v>54533.54</v>
      </c>
      <c r="AB47" s="88">
        <v>56265.81</v>
      </c>
      <c r="AC47" s="225">
        <f>SUM(E47:AB47)*D47+SUM(E48:AB48)*D48+SUM(E49:AB49)*D49+SUM(E50:AB50)*D50</f>
        <v>10912076.65</v>
      </c>
      <c r="AD47" s="19"/>
    </row>
    <row r="48" spans="2:30" ht="18.649999999999999" customHeight="1" thickBot="1" x14ac:dyDescent="0.4">
      <c r="B48" s="223" t="s">
        <v>34</v>
      </c>
      <c r="C48" s="10" t="s">
        <v>30</v>
      </c>
      <c r="D48" s="93">
        <v>5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>
        <v>54300.97</v>
      </c>
      <c r="W48" s="89">
        <v>50977.66</v>
      </c>
      <c r="X48" s="89">
        <v>49815.61</v>
      </c>
      <c r="Y48" s="89">
        <v>49179.32</v>
      </c>
      <c r="Z48" s="89">
        <v>47993.440000000002</v>
      </c>
      <c r="AA48" s="89">
        <v>46246.47</v>
      </c>
      <c r="AB48" s="89">
        <v>43448.69</v>
      </c>
      <c r="AC48" s="226"/>
      <c r="AD48" s="19"/>
    </row>
    <row r="49" spans="2:31" ht="18.649999999999999" customHeight="1" thickBot="1" x14ac:dyDescent="0.4">
      <c r="B49" s="223" t="s">
        <v>34</v>
      </c>
      <c r="C49" s="10" t="s">
        <v>31</v>
      </c>
      <c r="D49" s="93">
        <v>4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>
        <v>53751.1</v>
      </c>
      <c r="W49" s="89">
        <v>55976.17</v>
      </c>
      <c r="X49" s="89">
        <v>57553.24</v>
      </c>
      <c r="Y49" s="89">
        <v>58663.08</v>
      </c>
      <c r="Z49" s="89">
        <v>59370.78</v>
      </c>
      <c r="AA49" s="89">
        <v>57854.41</v>
      </c>
      <c r="AB49" s="89">
        <v>55322.82</v>
      </c>
      <c r="AC49" s="226"/>
      <c r="AD49" s="19"/>
    </row>
    <row r="50" spans="2:31" ht="18.649999999999999" customHeight="1" thickBot="1" x14ac:dyDescent="0.4">
      <c r="B50" s="224" t="s">
        <v>34</v>
      </c>
      <c r="C50" s="12" t="s">
        <v>32</v>
      </c>
      <c r="D50" s="93">
        <v>1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>
        <v>53116.2</v>
      </c>
      <c r="W50" s="91">
        <v>55022.22</v>
      </c>
      <c r="X50" s="91">
        <v>56509.08</v>
      </c>
      <c r="Y50" s="91">
        <v>58349.69</v>
      </c>
      <c r="Z50" s="91">
        <v>59098.6</v>
      </c>
      <c r="AA50" s="91">
        <v>57728.2</v>
      </c>
      <c r="AB50" s="91">
        <v>55332.67</v>
      </c>
      <c r="AC50" s="227"/>
      <c r="AD50" s="19"/>
    </row>
    <row r="51" spans="2:31" ht="18.649999999999999" customHeight="1" thickBot="1" x14ac:dyDescent="0.4">
      <c r="B51" s="212">
        <v>46327</v>
      </c>
      <c r="C51" s="14" t="s">
        <v>29</v>
      </c>
      <c r="D51" s="93">
        <v>19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>
        <v>30781.02</v>
      </c>
      <c r="W51" s="92">
        <v>37457.279999999999</v>
      </c>
      <c r="X51" s="92">
        <v>38522.78</v>
      </c>
      <c r="Y51" s="92">
        <v>39655.06</v>
      </c>
      <c r="Z51" s="92">
        <v>41518.89</v>
      </c>
      <c r="AA51" s="92">
        <v>45232.65</v>
      </c>
      <c r="AB51" s="92">
        <v>47422.78</v>
      </c>
      <c r="AC51" s="226">
        <f>SUM(E51:AB51)*D51+SUM(E52:AB52)*D52+SUM(E53:AB53)*D53+SUM(E54:AB54)*D54</f>
        <v>9086699.6600000001</v>
      </c>
      <c r="AD51" s="19"/>
    </row>
    <row r="52" spans="2:31" ht="18.649999999999999" customHeight="1" thickBot="1" x14ac:dyDescent="0.4">
      <c r="B52" s="213"/>
      <c r="C52" s="10" t="s">
        <v>30</v>
      </c>
      <c r="D52" s="93">
        <v>4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>
        <v>59248.83</v>
      </c>
      <c r="W52" s="89">
        <v>61006.44</v>
      </c>
      <c r="X52" s="89">
        <v>60686.93</v>
      </c>
      <c r="Y52" s="89">
        <v>61549.279999999999</v>
      </c>
      <c r="Z52" s="89">
        <v>61862.74</v>
      </c>
      <c r="AA52" s="89">
        <v>61561.88</v>
      </c>
      <c r="AB52" s="89">
        <v>59814.27</v>
      </c>
      <c r="AC52" s="226"/>
      <c r="AD52" s="19"/>
    </row>
    <row r="53" spans="2:31" ht="18.649999999999999" customHeight="1" thickBot="1" x14ac:dyDescent="0.4">
      <c r="B53" s="213"/>
      <c r="C53" s="10" t="s">
        <v>31</v>
      </c>
      <c r="D53" s="93">
        <v>5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>
        <v>42570.51</v>
      </c>
      <c r="W53" s="89">
        <v>44742.9</v>
      </c>
      <c r="X53" s="89">
        <v>44908.160000000003</v>
      </c>
      <c r="Y53" s="89">
        <v>43407.12</v>
      </c>
      <c r="Z53" s="89">
        <v>40883.15</v>
      </c>
      <c r="AA53" s="89">
        <v>39474.19</v>
      </c>
      <c r="AB53" s="89">
        <v>38725.49</v>
      </c>
      <c r="AC53" s="226"/>
      <c r="AD53" s="19"/>
    </row>
    <row r="54" spans="2:31" ht="18.649999999999999" customHeight="1" thickBot="1" x14ac:dyDescent="0.4">
      <c r="B54" s="213"/>
      <c r="C54" s="16" t="s">
        <v>32</v>
      </c>
      <c r="D54" s="93">
        <v>2</v>
      </c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>
        <v>41900.74</v>
      </c>
      <c r="W54" s="90">
        <v>43523.4</v>
      </c>
      <c r="X54" s="90">
        <v>43665.93</v>
      </c>
      <c r="Y54" s="90">
        <v>42568.18</v>
      </c>
      <c r="Z54" s="90">
        <v>40379.5</v>
      </c>
      <c r="AA54" s="90">
        <v>39066.19</v>
      </c>
      <c r="AB54" s="90">
        <v>38396.980000000003</v>
      </c>
      <c r="AC54" s="226"/>
      <c r="AD54" s="19"/>
    </row>
    <row r="55" spans="2:31" ht="18.649999999999999" customHeight="1" thickBot="1" x14ac:dyDescent="0.4">
      <c r="B55" s="222">
        <v>46357</v>
      </c>
      <c r="C55" s="7" t="s">
        <v>29</v>
      </c>
      <c r="D55" s="93">
        <v>21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>
        <v>46965.21</v>
      </c>
      <c r="W55" s="88">
        <v>53725.56</v>
      </c>
      <c r="X55" s="88">
        <v>53203.32</v>
      </c>
      <c r="Y55" s="88">
        <v>52098.82</v>
      </c>
      <c r="Z55" s="88">
        <v>51652.45</v>
      </c>
      <c r="AA55" s="88">
        <v>55281.83</v>
      </c>
      <c r="AB55" s="88">
        <v>57997.02</v>
      </c>
      <c r="AC55" s="225">
        <f>SUM(E55:AB55)*D55+SUM(E56:AB56)*D56+SUM(E57:AB57)*D57+SUM(E58:AB58)*D58</f>
        <v>12035402.449999999</v>
      </c>
      <c r="AD55" s="19"/>
    </row>
    <row r="56" spans="2:31" ht="18.649999999999999" customHeight="1" thickBot="1" x14ac:dyDescent="0.4">
      <c r="B56" s="223" t="s">
        <v>34</v>
      </c>
      <c r="C56" s="10" t="s">
        <v>30</v>
      </c>
      <c r="D56" s="93">
        <v>4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>
        <v>71647.31</v>
      </c>
      <c r="W56" s="89">
        <v>66346.17</v>
      </c>
      <c r="X56" s="89">
        <v>68743.490000000005</v>
      </c>
      <c r="Y56" s="89">
        <v>69720.86</v>
      </c>
      <c r="Z56" s="89">
        <v>69563.14</v>
      </c>
      <c r="AA56" s="89">
        <v>65917.899999999994</v>
      </c>
      <c r="AB56" s="89">
        <v>61853.919999999998</v>
      </c>
      <c r="AC56" s="226"/>
      <c r="AD56" s="19"/>
    </row>
    <row r="57" spans="2:31" ht="18.649999999999999" customHeight="1" thickBot="1" x14ac:dyDescent="0.4">
      <c r="B57" s="223" t="s">
        <v>34</v>
      </c>
      <c r="C57" s="10" t="s">
        <v>31</v>
      </c>
      <c r="D57" s="93">
        <v>4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>
        <v>50556.83</v>
      </c>
      <c r="W57" s="89">
        <v>53554.95</v>
      </c>
      <c r="X57" s="89">
        <v>54307.35</v>
      </c>
      <c r="Y57" s="89">
        <v>56207.79</v>
      </c>
      <c r="Z57" s="89">
        <v>58351.34</v>
      </c>
      <c r="AA57" s="89">
        <v>58924.32</v>
      </c>
      <c r="AB57" s="89">
        <v>58363.53</v>
      </c>
      <c r="AC57" s="226"/>
      <c r="AD57" s="19"/>
    </row>
    <row r="58" spans="2:31" ht="18.649999999999999" customHeight="1" thickBot="1" x14ac:dyDescent="0.4">
      <c r="B58" s="224" t="s">
        <v>34</v>
      </c>
      <c r="C58" s="12" t="s">
        <v>32</v>
      </c>
      <c r="D58" s="93">
        <v>2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>
        <v>51753.38</v>
      </c>
      <c r="W58" s="91">
        <v>54498.59</v>
      </c>
      <c r="X58" s="91">
        <v>54970.73</v>
      </c>
      <c r="Y58" s="91">
        <v>56884.75</v>
      </c>
      <c r="Z58" s="91">
        <v>58819.29</v>
      </c>
      <c r="AA58" s="91">
        <v>59391.64</v>
      </c>
      <c r="AB58" s="91">
        <v>58560.84</v>
      </c>
      <c r="AC58" s="227"/>
      <c r="AD58" s="19"/>
    </row>
    <row r="59" spans="2:31" ht="18.649999999999999" customHeight="1" thickBot="1" x14ac:dyDescent="0.4">
      <c r="Z59" s="228" t="s">
        <v>33</v>
      </c>
      <c r="AA59" s="229"/>
      <c r="AB59" s="230"/>
      <c r="AC59" s="155">
        <f>SUM(AC11:AC58)</f>
        <v>110508045.48999999</v>
      </c>
      <c r="AE59" s="19"/>
    </row>
    <row r="60" spans="2:31" ht="26.5" thickBot="1" x14ac:dyDescent="0.4">
      <c r="B60" s="1" t="s">
        <v>2</v>
      </c>
      <c r="C60" s="2" t="s">
        <v>3</v>
      </c>
      <c r="D60" s="1" t="s">
        <v>4</v>
      </c>
      <c r="E60" s="3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5" t="s">
        <v>16</v>
      </c>
      <c r="Q60" s="6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180" t="s">
        <v>22</v>
      </c>
      <c r="W60" s="180" t="s">
        <v>23</v>
      </c>
      <c r="X60" s="180" t="s">
        <v>24</v>
      </c>
      <c r="Y60" s="180" t="s">
        <v>25</v>
      </c>
      <c r="Z60" s="180" t="s">
        <v>26</v>
      </c>
      <c r="AA60" s="180" t="s">
        <v>27</v>
      </c>
      <c r="AB60" s="181" t="s">
        <v>28</v>
      </c>
      <c r="AC60" s="45" t="s">
        <v>48</v>
      </c>
    </row>
    <row r="61" spans="2:31" x14ac:dyDescent="0.35">
      <c r="B61" s="212">
        <v>46388</v>
      </c>
      <c r="C61" s="7" t="s">
        <v>29</v>
      </c>
      <c r="D61" s="93">
        <v>19</v>
      </c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>
        <v>62677.8</v>
      </c>
      <c r="W61" s="161">
        <v>65148.160000000003</v>
      </c>
      <c r="X61" s="161">
        <v>65184.59</v>
      </c>
      <c r="Y61" s="161">
        <v>65406.36</v>
      </c>
      <c r="Z61" s="161">
        <v>64353.22</v>
      </c>
      <c r="AA61" s="161">
        <v>61630.46</v>
      </c>
      <c r="AB61" s="161">
        <v>58469.4</v>
      </c>
      <c r="AC61" s="225">
        <f>SUM(E61:AB61)*D61+SUM(E62:AB62)*D62+SUM(E63:AB63)*D63+SUM(E64:AB64)*D64</f>
        <v>13512052.130000001</v>
      </c>
    </row>
    <row r="62" spans="2:31" x14ac:dyDescent="0.35">
      <c r="B62" s="213"/>
      <c r="C62" s="10" t="s">
        <v>30</v>
      </c>
      <c r="D62" s="94">
        <v>5</v>
      </c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>
        <v>58369.94</v>
      </c>
      <c r="W62" s="162">
        <v>62828.56</v>
      </c>
      <c r="X62" s="162">
        <v>62810.7</v>
      </c>
      <c r="Y62" s="162">
        <v>62190.11</v>
      </c>
      <c r="Z62" s="162">
        <v>61580.77</v>
      </c>
      <c r="AA62" s="162">
        <v>60363.74</v>
      </c>
      <c r="AB62" s="162">
        <v>57941.38</v>
      </c>
      <c r="AC62" s="226"/>
    </row>
    <row r="63" spans="2:31" x14ac:dyDescent="0.35">
      <c r="B63" s="213"/>
      <c r="C63" s="10" t="s">
        <v>31</v>
      </c>
      <c r="D63" s="94">
        <v>5</v>
      </c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>
        <v>55066.92</v>
      </c>
      <c r="W63" s="162">
        <v>60338.59</v>
      </c>
      <c r="X63" s="162">
        <v>61757.27</v>
      </c>
      <c r="Y63" s="162">
        <v>62873.83</v>
      </c>
      <c r="Z63" s="162">
        <v>64183.67</v>
      </c>
      <c r="AA63" s="162">
        <v>60960.82</v>
      </c>
      <c r="AB63" s="162">
        <v>57996.5</v>
      </c>
      <c r="AC63" s="226"/>
    </row>
    <row r="64" spans="2:31" ht="13" thickBot="1" x14ac:dyDescent="0.4">
      <c r="B64" s="213"/>
      <c r="C64" s="16" t="s">
        <v>32</v>
      </c>
      <c r="D64" s="95">
        <v>2</v>
      </c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>
        <v>55470.01</v>
      </c>
      <c r="W64" s="163">
        <v>60651.68</v>
      </c>
      <c r="X64" s="163">
        <v>62124.3</v>
      </c>
      <c r="Y64" s="163">
        <v>63271.44</v>
      </c>
      <c r="Z64" s="163">
        <v>64591.28</v>
      </c>
      <c r="AA64" s="163">
        <v>61280.06</v>
      </c>
      <c r="AB64" s="163">
        <v>58215.39</v>
      </c>
      <c r="AC64" s="226"/>
      <c r="AD64" s="56">
        <f>+AC61</f>
        <v>13512052.130000001</v>
      </c>
    </row>
    <row r="65" spans="2:30" x14ac:dyDescent="0.35">
      <c r="B65" s="222">
        <v>46419</v>
      </c>
      <c r="C65" s="7" t="s">
        <v>29</v>
      </c>
      <c r="D65" s="93">
        <v>20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>
        <v>61106.68</v>
      </c>
      <c r="W65" s="161">
        <v>63950.1</v>
      </c>
      <c r="X65" s="161">
        <v>66947.83</v>
      </c>
      <c r="Y65" s="161">
        <v>67944.75</v>
      </c>
      <c r="Z65" s="161">
        <v>66321.83</v>
      </c>
      <c r="AA65" s="161">
        <v>62690.8</v>
      </c>
      <c r="AB65" s="161">
        <v>59417.4</v>
      </c>
      <c r="AC65" s="225">
        <f>SUM(E65:AB65)*D65+SUM(E66:AB66)*D66+SUM(E67:AB67)*D67+SUM(E68:AB68)*D68</f>
        <v>12535982.880000001</v>
      </c>
      <c r="AD65" s="177">
        <f>+AC65</f>
        <v>12535982.880000001</v>
      </c>
    </row>
    <row r="66" spans="2:30" x14ac:dyDescent="0.35">
      <c r="B66" s="223" t="s">
        <v>34</v>
      </c>
      <c r="C66" s="10" t="s">
        <v>30</v>
      </c>
      <c r="D66" s="94">
        <v>4</v>
      </c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>
        <v>58073.86</v>
      </c>
      <c r="W66" s="162">
        <v>63439.16</v>
      </c>
      <c r="X66" s="162">
        <v>65337.97</v>
      </c>
      <c r="Y66" s="162">
        <v>64745.21</v>
      </c>
      <c r="Z66" s="162">
        <v>63640.09</v>
      </c>
      <c r="AA66" s="162">
        <v>61660.57</v>
      </c>
      <c r="AB66" s="162">
        <v>59092.83</v>
      </c>
      <c r="AC66" s="226"/>
      <c r="AD66" s="177">
        <f>+AC69</f>
        <v>13410647.460000001</v>
      </c>
    </row>
    <row r="67" spans="2:30" x14ac:dyDescent="0.35">
      <c r="B67" s="223" t="s">
        <v>34</v>
      </c>
      <c r="C67" s="10" t="s">
        <v>31</v>
      </c>
      <c r="D67" s="94">
        <v>4</v>
      </c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>
        <v>57363.75</v>
      </c>
      <c r="W67" s="162">
        <v>62986.87</v>
      </c>
      <c r="X67" s="162">
        <v>67020.070000000007</v>
      </c>
      <c r="Y67" s="162">
        <v>69129.39</v>
      </c>
      <c r="Z67" s="162">
        <v>69799.789999999994</v>
      </c>
      <c r="AA67" s="162">
        <v>67292.509999999995</v>
      </c>
      <c r="AB67" s="162">
        <v>62516.7</v>
      </c>
      <c r="AC67" s="226"/>
      <c r="AD67" s="177">
        <f>+AC73</f>
        <v>11845996.82</v>
      </c>
    </row>
    <row r="68" spans="2:30" ht="13" thickBot="1" x14ac:dyDescent="0.4">
      <c r="B68" s="224" t="s">
        <v>34</v>
      </c>
      <c r="C68" s="12" t="s">
        <v>32</v>
      </c>
      <c r="D68" s="96">
        <v>0</v>
      </c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>
        <v>0</v>
      </c>
      <c r="W68" s="106">
        <v>0</v>
      </c>
      <c r="X68" s="106">
        <v>0</v>
      </c>
      <c r="Y68" s="106">
        <v>0</v>
      </c>
      <c r="Z68" s="106">
        <v>0</v>
      </c>
      <c r="AA68" s="106">
        <v>0</v>
      </c>
      <c r="AB68" s="106">
        <v>0</v>
      </c>
      <c r="AC68" s="227"/>
      <c r="AD68" s="177">
        <f>+AC77</f>
        <v>12308879.82</v>
      </c>
    </row>
    <row r="69" spans="2:30" x14ac:dyDescent="0.35">
      <c r="B69" s="212">
        <v>46447</v>
      </c>
      <c r="C69" s="14" t="s">
        <v>29</v>
      </c>
      <c r="D69" s="97">
        <v>20</v>
      </c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>
        <v>61350.21</v>
      </c>
      <c r="W69" s="164">
        <v>63621.82</v>
      </c>
      <c r="X69" s="164">
        <v>64334.09</v>
      </c>
      <c r="Y69" s="164">
        <v>65710.570000000007</v>
      </c>
      <c r="Z69" s="164">
        <v>65367.33</v>
      </c>
      <c r="AA69" s="164">
        <v>63891.02</v>
      </c>
      <c r="AB69" s="164">
        <v>61526.32</v>
      </c>
      <c r="AC69" s="226">
        <f>SUM(E69:AB69)*D69+SUM(E70:AB70)*D70+SUM(E71:AB71)*D71+SUM(E72:AB72)*D72</f>
        <v>13410647.460000001</v>
      </c>
      <c r="AD69" s="177">
        <f>+AC81</f>
        <v>7811321.4000000004</v>
      </c>
    </row>
    <row r="70" spans="2:30" x14ac:dyDescent="0.35">
      <c r="B70" s="213"/>
      <c r="C70" s="10" t="s">
        <v>30</v>
      </c>
      <c r="D70" s="94">
        <v>4</v>
      </c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>
        <v>52058.7</v>
      </c>
      <c r="W70" s="162">
        <v>58340.47</v>
      </c>
      <c r="X70" s="162">
        <v>58161.49</v>
      </c>
      <c r="Y70" s="162">
        <v>58475.5</v>
      </c>
      <c r="Z70" s="162">
        <v>58650.84</v>
      </c>
      <c r="AA70" s="162">
        <v>58257.02</v>
      </c>
      <c r="AB70" s="162">
        <v>57029.62</v>
      </c>
      <c r="AC70" s="226"/>
      <c r="AD70" s="177">
        <f>+AC85</f>
        <v>7123196.8699999992</v>
      </c>
    </row>
    <row r="71" spans="2:30" x14ac:dyDescent="0.35">
      <c r="B71" s="213"/>
      <c r="C71" s="10" t="s">
        <v>31</v>
      </c>
      <c r="D71" s="94">
        <v>4</v>
      </c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>
        <v>52861.120000000003</v>
      </c>
      <c r="W71" s="162">
        <v>57725.68</v>
      </c>
      <c r="X71" s="162">
        <v>58861.38</v>
      </c>
      <c r="Y71" s="162">
        <v>60892.87</v>
      </c>
      <c r="Z71" s="162">
        <v>62850.19</v>
      </c>
      <c r="AA71" s="162">
        <v>62526.93</v>
      </c>
      <c r="AB71" s="162">
        <v>59144.43</v>
      </c>
      <c r="AC71" s="226"/>
      <c r="AD71" s="177">
        <f>+AC89</f>
        <v>8553825.0299999993</v>
      </c>
    </row>
    <row r="72" spans="2:30" ht="13" thickBot="1" x14ac:dyDescent="0.4">
      <c r="B72" s="213"/>
      <c r="C72" s="16" t="s">
        <v>32</v>
      </c>
      <c r="D72" s="95">
        <v>3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>
        <v>52379.56</v>
      </c>
      <c r="W72" s="163">
        <v>57093.36</v>
      </c>
      <c r="X72" s="163">
        <v>58180.07</v>
      </c>
      <c r="Y72" s="163">
        <v>60175.18</v>
      </c>
      <c r="Z72" s="163">
        <v>62207.99</v>
      </c>
      <c r="AA72" s="163">
        <v>61887.49</v>
      </c>
      <c r="AB72" s="163">
        <v>58501.45</v>
      </c>
      <c r="AC72" s="226"/>
      <c r="AD72" s="177">
        <f>+AC93</f>
        <v>7942306.5199999996</v>
      </c>
    </row>
    <row r="73" spans="2:30" x14ac:dyDescent="0.35">
      <c r="B73" s="222">
        <v>46478</v>
      </c>
      <c r="C73" s="7" t="s">
        <v>29</v>
      </c>
      <c r="D73" s="93">
        <v>22</v>
      </c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>
        <v>47480.73</v>
      </c>
      <c r="W73" s="161">
        <v>56586.73</v>
      </c>
      <c r="X73" s="161">
        <v>57065.26</v>
      </c>
      <c r="Y73" s="161">
        <v>57348.38</v>
      </c>
      <c r="Z73" s="161">
        <v>57929.35</v>
      </c>
      <c r="AA73" s="161">
        <v>59124.27</v>
      </c>
      <c r="AB73" s="161">
        <v>58781.43</v>
      </c>
      <c r="AC73" s="225">
        <f>SUM(E73:AB73)*D73+SUM(E74:AB74)*D74+SUM(E75:AB75)*D75+SUM(E76:AB76)*D76</f>
        <v>11845996.82</v>
      </c>
      <c r="AD73" s="177">
        <f>+AC97</f>
        <v>9779601.75</v>
      </c>
    </row>
    <row r="74" spans="2:30" x14ac:dyDescent="0.35">
      <c r="B74" s="223" t="s">
        <v>34</v>
      </c>
      <c r="C74" s="10" t="s">
        <v>30</v>
      </c>
      <c r="D74" s="94">
        <v>4</v>
      </c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>
        <v>58916.5</v>
      </c>
      <c r="W74" s="162">
        <v>59601.61</v>
      </c>
      <c r="X74" s="162">
        <v>59385.78</v>
      </c>
      <c r="Y74" s="162">
        <v>59196.68</v>
      </c>
      <c r="Z74" s="162">
        <v>57464.06</v>
      </c>
      <c r="AA74" s="162">
        <v>52868.43</v>
      </c>
      <c r="AB74" s="162">
        <v>47103.519999999997</v>
      </c>
      <c r="AC74" s="226"/>
      <c r="AD74" s="177">
        <f>+AC101</f>
        <v>10330943.800000001</v>
      </c>
    </row>
    <row r="75" spans="2:30" x14ac:dyDescent="0.35">
      <c r="B75" s="223" t="s">
        <v>34</v>
      </c>
      <c r="C75" s="10" t="s">
        <v>31</v>
      </c>
      <c r="D75" s="94">
        <v>4</v>
      </c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>
        <v>52111.41</v>
      </c>
      <c r="W75" s="162">
        <v>57882.720000000001</v>
      </c>
      <c r="X75" s="162">
        <v>58630.67</v>
      </c>
      <c r="Y75" s="162">
        <v>59312.39</v>
      </c>
      <c r="Z75" s="162">
        <v>59334.95</v>
      </c>
      <c r="AA75" s="162">
        <v>57559.73</v>
      </c>
      <c r="AB75" s="162">
        <v>53391.93</v>
      </c>
      <c r="AC75" s="226"/>
      <c r="AD75" s="177">
        <f>+AC105</f>
        <v>11901393.76</v>
      </c>
    </row>
    <row r="76" spans="2:30" ht="13" thickBot="1" x14ac:dyDescent="0.4">
      <c r="B76" s="224" t="s">
        <v>34</v>
      </c>
      <c r="C76" s="12" t="s">
        <v>32</v>
      </c>
      <c r="D76" s="96">
        <v>0</v>
      </c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>
        <v>0</v>
      </c>
      <c r="W76" s="106">
        <v>0</v>
      </c>
      <c r="X76" s="106">
        <v>0</v>
      </c>
      <c r="Y76" s="106">
        <v>0</v>
      </c>
      <c r="Z76" s="106">
        <v>0</v>
      </c>
      <c r="AA76" s="106">
        <v>0</v>
      </c>
      <c r="AB76" s="106">
        <v>0</v>
      </c>
      <c r="AC76" s="227"/>
    </row>
    <row r="77" spans="2:30" x14ac:dyDescent="0.35">
      <c r="B77" s="212">
        <v>46508</v>
      </c>
      <c r="C77" s="14" t="s">
        <v>29</v>
      </c>
      <c r="D77" s="97">
        <v>19</v>
      </c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>
        <v>45163.22</v>
      </c>
      <c r="W77" s="164">
        <v>55437.120000000003</v>
      </c>
      <c r="X77" s="164">
        <v>55833.93</v>
      </c>
      <c r="Y77" s="164">
        <v>54789.22</v>
      </c>
      <c r="Z77" s="164">
        <v>54713.96</v>
      </c>
      <c r="AA77" s="164">
        <v>55136.84</v>
      </c>
      <c r="AB77" s="164">
        <v>54617.52</v>
      </c>
      <c r="AC77" s="226">
        <f>SUM(E77:AB77)*D77+SUM(E78:AB78)*D78+SUM(E79:AB79)*D79+SUM(E80:AB80)*D80</f>
        <v>12308879.82</v>
      </c>
    </row>
    <row r="78" spans="2:30" x14ac:dyDescent="0.35">
      <c r="B78" s="213"/>
      <c r="C78" s="10" t="s">
        <v>30</v>
      </c>
      <c r="D78" s="94">
        <v>4</v>
      </c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>
        <v>57914.89</v>
      </c>
      <c r="W78" s="162">
        <v>59327.7</v>
      </c>
      <c r="X78" s="162">
        <v>59843.85</v>
      </c>
      <c r="Y78" s="162">
        <v>59107.8</v>
      </c>
      <c r="Z78" s="162">
        <v>57255.38</v>
      </c>
      <c r="AA78" s="162">
        <v>52988.49</v>
      </c>
      <c r="AB78" s="162">
        <v>48647</v>
      </c>
      <c r="AC78" s="226"/>
    </row>
    <row r="79" spans="2:30" x14ac:dyDescent="0.35">
      <c r="B79" s="213"/>
      <c r="C79" s="10" t="s">
        <v>31</v>
      </c>
      <c r="D79" s="94">
        <v>5</v>
      </c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>
        <v>58873.27</v>
      </c>
      <c r="W79" s="162">
        <v>65663.100000000006</v>
      </c>
      <c r="X79" s="162">
        <v>67388.95</v>
      </c>
      <c r="Y79" s="162">
        <v>68064.66</v>
      </c>
      <c r="Z79" s="162">
        <v>67036.88</v>
      </c>
      <c r="AA79" s="162">
        <v>63994.34</v>
      </c>
      <c r="AB79" s="162">
        <v>59282.28</v>
      </c>
      <c r="AC79" s="226"/>
    </row>
    <row r="80" spans="2:30" ht="13" thickBot="1" x14ac:dyDescent="0.4">
      <c r="B80" s="213"/>
      <c r="C80" s="16" t="s">
        <v>32</v>
      </c>
      <c r="D80" s="95">
        <v>3</v>
      </c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>
        <v>57914.5</v>
      </c>
      <c r="W80" s="163">
        <v>64801.01</v>
      </c>
      <c r="X80" s="163">
        <v>66664.23</v>
      </c>
      <c r="Y80" s="163">
        <v>67495.289999999994</v>
      </c>
      <c r="Z80" s="163">
        <v>66583.16</v>
      </c>
      <c r="AA80" s="163">
        <v>63688.51</v>
      </c>
      <c r="AB80" s="163">
        <v>59145.83</v>
      </c>
      <c r="AC80" s="226"/>
    </row>
    <row r="81" spans="2:29" x14ac:dyDescent="0.35">
      <c r="B81" s="222">
        <v>46539</v>
      </c>
      <c r="C81" s="7" t="s">
        <v>29</v>
      </c>
      <c r="D81" s="93">
        <v>21</v>
      </c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>
        <v>26519.08</v>
      </c>
      <c r="W81" s="161">
        <v>33366.5</v>
      </c>
      <c r="X81" s="161">
        <v>33528.25</v>
      </c>
      <c r="Y81" s="161">
        <v>33160.19</v>
      </c>
      <c r="Z81" s="161">
        <v>34639.11</v>
      </c>
      <c r="AA81" s="161">
        <v>37251.120000000003</v>
      </c>
      <c r="AB81" s="161">
        <v>38758.959999999999</v>
      </c>
      <c r="AC81" s="225">
        <f>SUM(E81:AB81)*D81+SUM(E82:AB82)*D82+SUM(E83:AB83)*D83+SUM(E84:AB84)*D84</f>
        <v>7811321.4000000004</v>
      </c>
    </row>
    <row r="82" spans="2:29" x14ac:dyDescent="0.35">
      <c r="B82" s="223" t="s">
        <v>34</v>
      </c>
      <c r="C82" s="10" t="s">
        <v>30</v>
      </c>
      <c r="D82" s="94">
        <v>4</v>
      </c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>
        <v>46046.59</v>
      </c>
      <c r="W82" s="162">
        <v>44087.05</v>
      </c>
      <c r="X82" s="162">
        <v>45981.02</v>
      </c>
      <c r="Y82" s="162">
        <v>47545.91</v>
      </c>
      <c r="Z82" s="162">
        <v>47341.82</v>
      </c>
      <c r="AA82" s="162">
        <v>44392.94</v>
      </c>
      <c r="AB82" s="162">
        <v>40793.85</v>
      </c>
      <c r="AC82" s="226"/>
    </row>
    <row r="83" spans="2:29" x14ac:dyDescent="0.35">
      <c r="B83" s="223" t="s">
        <v>34</v>
      </c>
      <c r="C83" s="10" t="s">
        <v>31</v>
      </c>
      <c r="D83" s="94">
        <v>4</v>
      </c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>
        <v>39970.639999999999</v>
      </c>
      <c r="W83" s="162">
        <v>45517.54</v>
      </c>
      <c r="X83" s="162">
        <v>46280.09</v>
      </c>
      <c r="Y83" s="162">
        <v>47125.46</v>
      </c>
      <c r="Z83" s="162">
        <v>47180.6</v>
      </c>
      <c r="AA83" s="162">
        <v>45427.37</v>
      </c>
      <c r="AB83" s="162">
        <v>41519.57</v>
      </c>
      <c r="AC83" s="226"/>
    </row>
    <row r="84" spans="2:29" ht="13" thickBot="1" x14ac:dyDescent="0.4">
      <c r="B84" s="224" t="s">
        <v>34</v>
      </c>
      <c r="C84" s="12" t="s">
        <v>32</v>
      </c>
      <c r="D84" s="96">
        <v>1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>
        <v>39873.440000000002</v>
      </c>
      <c r="W84" s="106">
        <v>45423.24</v>
      </c>
      <c r="X84" s="106">
        <v>46099.05</v>
      </c>
      <c r="Y84" s="106">
        <v>47046.11</v>
      </c>
      <c r="Z84" s="106">
        <v>47204.53</v>
      </c>
      <c r="AA84" s="106">
        <v>45493.68</v>
      </c>
      <c r="AB84" s="106">
        <v>41652.14</v>
      </c>
      <c r="AC84" s="227"/>
    </row>
    <row r="85" spans="2:29" x14ac:dyDescent="0.35">
      <c r="B85" s="212">
        <v>46569</v>
      </c>
      <c r="C85" s="14" t="s">
        <v>29</v>
      </c>
      <c r="D85" s="97">
        <v>20</v>
      </c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>
        <v>21251.54</v>
      </c>
      <c r="W85" s="164">
        <v>28633.86</v>
      </c>
      <c r="X85" s="164">
        <v>29871.599999999999</v>
      </c>
      <c r="Y85" s="164">
        <v>30031.64</v>
      </c>
      <c r="Z85" s="164">
        <v>31162.85</v>
      </c>
      <c r="AA85" s="164">
        <v>33605.21</v>
      </c>
      <c r="AB85" s="164">
        <v>34228.53</v>
      </c>
      <c r="AC85" s="226">
        <f>SUM(E85:AB85)*D85+SUM(E86:AB86)*D86+SUM(E87:AB87)*D87+SUM(E88:AB88)*D88</f>
        <v>7123196.8699999992</v>
      </c>
    </row>
    <row r="86" spans="2:29" x14ac:dyDescent="0.35">
      <c r="B86" s="213"/>
      <c r="C86" s="10" t="s">
        <v>30</v>
      </c>
      <c r="D86" s="94">
        <v>5</v>
      </c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>
        <v>41714.43</v>
      </c>
      <c r="W86" s="162">
        <v>43408.18</v>
      </c>
      <c r="X86" s="162">
        <v>42056.26</v>
      </c>
      <c r="Y86" s="162">
        <v>43382.9</v>
      </c>
      <c r="Z86" s="162">
        <v>42191.55</v>
      </c>
      <c r="AA86" s="162">
        <v>38440</v>
      </c>
      <c r="AB86" s="162">
        <v>34025.93</v>
      </c>
      <c r="AC86" s="226"/>
    </row>
    <row r="87" spans="2:29" x14ac:dyDescent="0.35">
      <c r="B87" s="213"/>
      <c r="C87" s="10" t="s">
        <v>31</v>
      </c>
      <c r="D87" s="94">
        <v>4</v>
      </c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>
        <v>32035.56</v>
      </c>
      <c r="W87" s="162">
        <v>36102.36</v>
      </c>
      <c r="X87" s="162">
        <v>37508.31</v>
      </c>
      <c r="Y87" s="162">
        <v>37293.57</v>
      </c>
      <c r="Z87" s="162">
        <v>37206.5</v>
      </c>
      <c r="AA87" s="162">
        <v>37280.160000000003</v>
      </c>
      <c r="AB87" s="162">
        <v>36486.239999999998</v>
      </c>
      <c r="AC87" s="226"/>
    </row>
    <row r="88" spans="2:29" ht="13" thickBot="1" x14ac:dyDescent="0.4">
      <c r="B88" s="213"/>
      <c r="C88" s="16" t="s">
        <v>32</v>
      </c>
      <c r="D88" s="95">
        <v>2</v>
      </c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>
        <v>31829.83</v>
      </c>
      <c r="W88" s="163">
        <v>35875.410000000003</v>
      </c>
      <c r="X88" s="163">
        <v>37204.71</v>
      </c>
      <c r="Y88" s="163">
        <v>37086.71</v>
      </c>
      <c r="Z88" s="163">
        <v>37160.410000000003</v>
      </c>
      <c r="AA88" s="163">
        <v>37246.879999999997</v>
      </c>
      <c r="AB88" s="163">
        <v>36468.660000000003</v>
      </c>
      <c r="AC88" s="226"/>
    </row>
    <row r="89" spans="2:29" x14ac:dyDescent="0.35">
      <c r="B89" s="222">
        <v>46600</v>
      </c>
      <c r="C89" s="7" t="s">
        <v>29</v>
      </c>
      <c r="D89" s="93">
        <v>21</v>
      </c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>
        <v>27064.68</v>
      </c>
      <c r="W89" s="161">
        <v>34714.78</v>
      </c>
      <c r="X89" s="161">
        <v>35123.910000000003</v>
      </c>
      <c r="Y89" s="161">
        <v>35726.300000000003</v>
      </c>
      <c r="Z89" s="161">
        <v>36721.1</v>
      </c>
      <c r="AA89" s="161">
        <v>38660.85</v>
      </c>
      <c r="AB89" s="161">
        <v>38844.06</v>
      </c>
      <c r="AC89" s="225">
        <f>SUM(E89:AB89)*D89+SUM(E90:AB90)*D90+SUM(E91:AB91)*D91+SUM(E92:AB92)*D92</f>
        <v>8553825.0299999993</v>
      </c>
    </row>
    <row r="90" spans="2:29" x14ac:dyDescent="0.35">
      <c r="B90" s="223" t="s">
        <v>34</v>
      </c>
      <c r="C90" s="10" t="s">
        <v>30</v>
      </c>
      <c r="D90" s="94">
        <v>3</v>
      </c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>
        <v>51059.93</v>
      </c>
      <c r="W90" s="162">
        <v>52734.99</v>
      </c>
      <c r="X90" s="162">
        <v>50019.89</v>
      </c>
      <c r="Y90" s="162">
        <v>50594.43</v>
      </c>
      <c r="Z90" s="162">
        <v>49766.14</v>
      </c>
      <c r="AA90" s="162">
        <v>45340.63</v>
      </c>
      <c r="AB90" s="162">
        <v>41199.79</v>
      </c>
      <c r="AC90" s="226"/>
    </row>
    <row r="91" spans="2:29" x14ac:dyDescent="0.35">
      <c r="B91" s="223" t="s">
        <v>34</v>
      </c>
      <c r="C91" s="10" t="s">
        <v>31</v>
      </c>
      <c r="D91" s="94">
        <v>5</v>
      </c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>
        <v>40451.9</v>
      </c>
      <c r="W91" s="162">
        <v>45263.35</v>
      </c>
      <c r="X91" s="162">
        <v>50012</v>
      </c>
      <c r="Y91" s="162">
        <v>51853.85</v>
      </c>
      <c r="Z91" s="162">
        <v>51817.05</v>
      </c>
      <c r="AA91" s="162">
        <v>50261.11</v>
      </c>
      <c r="AB91" s="162">
        <v>46691.89</v>
      </c>
      <c r="AC91" s="226"/>
    </row>
    <row r="92" spans="2:29" ht="13" thickBot="1" x14ac:dyDescent="0.4">
      <c r="B92" s="224" t="s">
        <v>34</v>
      </c>
      <c r="C92" s="12" t="s">
        <v>32</v>
      </c>
      <c r="D92" s="96">
        <v>2</v>
      </c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>
        <v>40120.6</v>
      </c>
      <c r="W92" s="106">
        <v>44952.35</v>
      </c>
      <c r="X92" s="106">
        <v>49446.44</v>
      </c>
      <c r="Y92" s="106">
        <v>51240.83</v>
      </c>
      <c r="Z92" s="106">
        <v>51234.13</v>
      </c>
      <c r="AA92" s="106">
        <v>49705.22</v>
      </c>
      <c r="AB92" s="106">
        <v>46276.73</v>
      </c>
      <c r="AC92" s="227"/>
    </row>
    <row r="93" spans="2:29" x14ac:dyDescent="0.35">
      <c r="B93" s="212">
        <v>46631</v>
      </c>
      <c r="C93" s="14" t="s">
        <v>29</v>
      </c>
      <c r="D93" s="97">
        <v>22</v>
      </c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>
        <v>26674.959999999999</v>
      </c>
      <c r="W93" s="164">
        <v>34074.42</v>
      </c>
      <c r="X93" s="164">
        <v>34299.19</v>
      </c>
      <c r="Y93" s="164">
        <v>34730.400000000001</v>
      </c>
      <c r="Z93" s="164">
        <v>35525.730000000003</v>
      </c>
      <c r="AA93" s="164">
        <v>37976.71</v>
      </c>
      <c r="AB93" s="164">
        <v>38784.19</v>
      </c>
      <c r="AC93" s="226">
        <f>SUM(E93:AB93)*D93+SUM(E94:AB94)*D94+SUM(E95:AB95)*D95+SUM(E96:AB96)*D96</f>
        <v>7942306.5199999996</v>
      </c>
    </row>
    <row r="94" spans="2:29" x14ac:dyDescent="0.35">
      <c r="B94" s="213"/>
      <c r="C94" s="10" t="s">
        <v>30</v>
      </c>
      <c r="D94" s="94">
        <v>4</v>
      </c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>
        <v>45650.23</v>
      </c>
      <c r="W94" s="162">
        <v>43222.27</v>
      </c>
      <c r="X94" s="162">
        <v>41329.94</v>
      </c>
      <c r="Y94" s="162">
        <v>42300.36</v>
      </c>
      <c r="Z94" s="162">
        <v>42136.76</v>
      </c>
      <c r="AA94" s="162">
        <v>40260.089999999997</v>
      </c>
      <c r="AB94" s="162">
        <v>36741.51</v>
      </c>
      <c r="AC94" s="226"/>
    </row>
    <row r="95" spans="2:29" x14ac:dyDescent="0.35">
      <c r="B95" s="213"/>
      <c r="C95" s="10" t="s">
        <v>31</v>
      </c>
      <c r="D95" s="94">
        <v>4</v>
      </c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>
        <v>61831.16</v>
      </c>
      <c r="W95" s="162">
        <v>57079.33</v>
      </c>
      <c r="X95" s="162">
        <v>53336.92</v>
      </c>
      <c r="Y95" s="162">
        <v>52002.74</v>
      </c>
      <c r="Z95" s="162">
        <v>50241.93</v>
      </c>
      <c r="AA95" s="162">
        <v>46206.15</v>
      </c>
      <c r="AB95" s="162">
        <v>41876.44</v>
      </c>
      <c r="AC95" s="226"/>
    </row>
    <row r="96" spans="2:29" ht="13" thickBot="1" x14ac:dyDescent="0.4">
      <c r="B96" s="213"/>
      <c r="C96" s="16" t="s">
        <v>32</v>
      </c>
      <c r="D96" s="95">
        <v>0</v>
      </c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>
        <v>0</v>
      </c>
      <c r="W96" s="106">
        <v>0</v>
      </c>
      <c r="X96" s="106">
        <v>0</v>
      </c>
      <c r="Y96" s="106">
        <v>0</v>
      </c>
      <c r="Z96" s="106">
        <v>0</v>
      </c>
      <c r="AA96" s="106">
        <v>0</v>
      </c>
      <c r="AB96" s="106">
        <v>0</v>
      </c>
      <c r="AC96" s="226"/>
    </row>
    <row r="97" spans="2:29" x14ac:dyDescent="0.35">
      <c r="B97" s="222">
        <v>46661</v>
      </c>
      <c r="C97" s="7" t="s">
        <v>29</v>
      </c>
      <c r="D97" s="93">
        <v>20</v>
      </c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>
        <v>36343.15</v>
      </c>
      <c r="W97" s="161">
        <v>43797.01</v>
      </c>
      <c r="X97" s="161">
        <v>44220.959999999999</v>
      </c>
      <c r="Y97" s="161">
        <v>44470.22</v>
      </c>
      <c r="Z97" s="161">
        <v>44368.14</v>
      </c>
      <c r="AA97" s="161">
        <v>45802.23</v>
      </c>
      <c r="AB97" s="161">
        <v>45659.64</v>
      </c>
      <c r="AC97" s="225">
        <f>SUM(E97:AB97)*D97+SUM(E98:AB98)*D98+SUM(E99:AB99)*D99+SUM(E100:AB100)*D100</f>
        <v>9779601.75</v>
      </c>
    </row>
    <row r="98" spans="2:29" x14ac:dyDescent="0.35">
      <c r="B98" s="223" t="s">
        <v>34</v>
      </c>
      <c r="C98" s="10" t="s">
        <v>30</v>
      </c>
      <c r="D98" s="94">
        <v>5</v>
      </c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>
        <v>48632.18</v>
      </c>
      <c r="W98" s="162">
        <v>48558.1</v>
      </c>
      <c r="X98" s="162">
        <v>47496.480000000003</v>
      </c>
      <c r="Y98" s="162">
        <v>46141.46</v>
      </c>
      <c r="Z98" s="162">
        <v>43944.14</v>
      </c>
      <c r="AA98" s="162">
        <v>40608.6</v>
      </c>
      <c r="AB98" s="162">
        <v>36529.519999999997</v>
      </c>
      <c r="AC98" s="226"/>
    </row>
    <row r="99" spans="2:29" x14ac:dyDescent="0.35">
      <c r="B99" s="223" t="s">
        <v>34</v>
      </c>
      <c r="C99" s="10" t="s">
        <v>31</v>
      </c>
      <c r="D99" s="94">
        <v>5</v>
      </c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>
        <v>46246.65</v>
      </c>
      <c r="W99" s="162">
        <v>51601.48</v>
      </c>
      <c r="X99" s="162">
        <v>53374.45</v>
      </c>
      <c r="Y99" s="162">
        <v>53977.68</v>
      </c>
      <c r="Z99" s="162">
        <v>53424.32</v>
      </c>
      <c r="AA99" s="162">
        <v>50152.87</v>
      </c>
      <c r="AB99" s="162">
        <v>45916.15</v>
      </c>
      <c r="AC99" s="226"/>
    </row>
    <row r="100" spans="2:29" ht="13" thickBot="1" x14ac:dyDescent="0.4">
      <c r="B100" s="224" t="s">
        <v>34</v>
      </c>
      <c r="C100" s="12" t="s">
        <v>32</v>
      </c>
      <c r="D100" s="96">
        <v>1</v>
      </c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>
        <v>45991.68</v>
      </c>
      <c r="W100" s="106">
        <v>51218.400000000001</v>
      </c>
      <c r="X100" s="106">
        <v>52955.13</v>
      </c>
      <c r="Y100" s="106">
        <v>53851.83</v>
      </c>
      <c r="Z100" s="106">
        <v>53315.02</v>
      </c>
      <c r="AA100" s="106">
        <v>50102.19</v>
      </c>
      <c r="AB100" s="106">
        <v>45920.1</v>
      </c>
      <c r="AC100" s="227"/>
    </row>
    <row r="101" spans="2:29" x14ac:dyDescent="0.35">
      <c r="B101" s="212">
        <v>46692</v>
      </c>
      <c r="C101" s="14" t="s">
        <v>29</v>
      </c>
      <c r="D101" s="97">
        <v>20</v>
      </c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>
        <v>41088.47</v>
      </c>
      <c r="W101" s="164">
        <v>49449.81</v>
      </c>
      <c r="X101" s="164">
        <v>49345.63</v>
      </c>
      <c r="Y101" s="164">
        <v>48412.7</v>
      </c>
      <c r="Z101" s="164">
        <v>47815.67</v>
      </c>
      <c r="AA101" s="164">
        <v>47996.23</v>
      </c>
      <c r="AB101" s="164">
        <v>46883.83</v>
      </c>
      <c r="AC101" s="226">
        <f>SUM(E101:AB101)*D101+SUM(E102:AB102)*D102+SUM(E103:AB103)*D103+SUM(E104:AB104)*D104</f>
        <v>10330943.800000001</v>
      </c>
    </row>
    <row r="102" spans="2:29" x14ac:dyDescent="0.35">
      <c r="B102" s="213"/>
      <c r="C102" s="10" t="s">
        <v>30</v>
      </c>
      <c r="D102" s="94">
        <v>4</v>
      </c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>
        <v>62001.01</v>
      </c>
      <c r="W102" s="162">
        <v>67149.100000000006</v>
      </c>
      <c r="X102" s="162">
        <v>66501.100000000006</v>
      </c>
      <c r="Y102" s="162">
        <v>65845.3</v>
      </c>
      <c r="Z102" s="162">
        <v>64361</v>
      </c>
      <c r="AA102" s="162">
        <v>61823.67</v>
      </c>
      <c r="AB102" s="162">
        <v>57840.58</v>
      </c>
      <c r="AC102" s="226"/>
    </row>
    <row r="103" spans="2:29" x14ac:dyDescent="0.35">
      <c r="B103" s="213"/>
      <c r="C103" s="10" t="s">
        <v>31</v>
      </c>
      <c r="D103" s="94">
        <v>4</v>
      </c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>
        <v>44954.55</v>
      </c>
      <c r="W103" s="162">
        <v>50922.78</v>
      </c>
      <c r="X103" s="162">
        <v>51305.81</v>
      </c>
      <c r="Y103" s="162">
        <v>49295.53</v>
      </c>
      <c r="Z103" s="162">
        <v>45458.81</v>
      </c>
      <c r="AA103" s="162">
        <v>41708.49</v>
      </c>
      <c r="AB103" s="162">
        <v>38547.980000000003</v>
      </c>
      <c r="AC103" s="226"/>
    </row>
    <row r="104" spans="2:29" ht="13" thickBot="1" x14ac:dyDescent="0.4">
      <c r="B104" s="213"/>
      <c r="C104" s="16" t="s">
        <v>32</v>
      </c>
      <c r="D104" s="95">
        <v>2</v>
      </c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>
        <v>44687.58</v>
      </c>
      <c r="W104" s="163">
        <v>50436.7</v>
      </c>
      <c r="X104" s="163">
        <v>50810.68</v>
      </c>
      <c r="Y104" s="163">
        <v>48961.15</v>
      </c>
      <c r="Z104" s="163">
        <v>45258.07</v>
      </c>
      <c r="AA104" s="163">
        <v>41545.86</v>
      </c>
      <c r="AB104" s="163">
        <v>38417.040000000001</v>
      </c>
      <c r="AC104" s="226"/>
    </row>
    <row r="105" spans="2:29" x14ac:dyDescent="0.35">
      <c r="B105" s="222">
        <v>46722</v>
      </c>
      <c r="C105" s="7" t="s">
        <v>29</v>
      </c>
      <c r="D105" s="93">
        <v>22</v>
      </c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>
        <v>49332.83</v>
      </c>
      <c r="W105" s="161">
        <v>57886.23</v>
      </c>
      <c r="X105" s="161">
        <v>56687.34</v>
      </c>
      <c r="Y105" s="161">
        <v>54309.81</v>
      </c>
      <c r="Z105" s="161">
        <v>52230.47</v>
      </c>
      <c r="AA105" s="161">
        <v>52758.43</v>
      </c>
      <c r="AB105" s="161">
        <v>52437.4</v>
      </c>
      <c r="AC105" s="225">
        <f>SUM(E105:AB105)*D105+SUM(E106:AB106)*D106+SUM(E107:AB107)*D107+SUM(E108:AB108)*D108</f>
        <v>11901393.76</v>
      </c>
    </row>
    <row r="106" spans="2:29" x14ac:dyDescent="0.35">
      <c r="B106" s="223" t="s">
        <v>34</v>
      </c>
      <c r="C106" s="10" t="s">
        <v>30</v>
      </c>
      <c r="D106" s="94">
        <v>3</v>
      </c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>
        <v>66895.92</v>
      </c>
      <c r="W106" s="162">
        <v>66406.87</v>
      </c>
      <c r="X106" s="162">
        <v>68510.679999999993</v>
      </c>
      <c r="Y106" s="162">
        <v>68604.009999999995</v>
      </c>
      <c r="Z106" s="162">
        <v>67141.06</v>
      </c>
      <c r="AA106" s="162">
        <v>62187.33</v>
      </c>
      <c r="AB106" s="162">
        <v>56407.87</v>
      </c>
      <c r="AC106" s="226"/>
    </row>
    <row r="107" spans="2:29" x14ac:dyDescent="0.35">
      <c r="B107" s="223" t="s">
        <v>34</v>
      </c>
      <c r="C107" s="10" t="s">
        <v>31</v>
      </c>
      <c r="D107" s="94">
        <v>4</v>
      </c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>
        <v>47276.53</v>
      </c>
      <c r="W107" s="162">
        <v>54421.24</v>
      </c>
      <c r="X107" s="162">
        <v>55434.95</v>
      </c>
      <c r="Y107" s="162">
        <v>56123.75</v>
      </c>
      <c r="Z107" s="162">
        <v>56500.45</v>
      </c>
      <c r="AA107" s="162">
        <v>54990.53</v>
      </c>
      <c r="AB107" s="162">
        <v>52771.79</v>
      </c>
      <c r="AC107" s="226"/>
    </row>
    <row r="108" spans="2:29" ht="13" thickBot="1" x14ac:dyDescent="0.4">
      <c r="B108" s="224" t="s">
        <v>34</v>
      </c>
      <c r="C108" s="12" t="s">
        <v>32</v>
      </c>
      <c r="D108" s="96">
        <v>2</v>
      </c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>
        <v>47754.04</v>
      </c>
      <c r="W108" s="106">
        <v>54797.81</v>
      </c>
      <c r="X108" s="106">
        <v>55699.68</v>
      </c>
      <c r="Y108" s="106">
        <v>56393.9</v>
      </c>
      <c r="Z108" s="106">
        <v>56687.199999999997</v>
      </c>
      <c r="AA108" s="106">
        <v>55177.02</v>
      </c>
      <c r="AB108" s="106">
        <v>52850.53</v>
      </c>
      <c r="AC108" s="227"/>
    </row>
    <row r="109" spans="2:29" ht="13.5" thickBot="1" x14ac:dyDescent="0.4"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231" t="s">
        <v>33</v>
      </c>
      <c r="AA109" s="232"/>
      <c r="AB109" s="233"/>
      <c r="AC109" s="155">
        <f>SUM(AC61:AC108)</f>
        <v>127056148.24000001</v>
      </c>
    </row>
    <row r="110" spans="2:29" ht="26.5" thickBot="1" x14ac:dyDescent="0.4">
      <c r="B110" s="1" t="s">
        <v>2</v>
      </c>
      <c r="C110" s="2" t="s">
        <v>3</v>
      </c>
      <c r="D110" s="1" t="s">
        <v>4</v>
      </c>
      <c r="E110" s="3" t="s">
        <v>5</v>
      </c>
      <c r="F110" s="4" t="s">
        <v>6</v>
      </c>
      <c r="G110" s="4" t="s">
        <v>7</v>
      </c>
      <c r="H110" s="4" t="s">
        <v>8</v>
      </c>
      <c r="I110" s="4" t="s">
        <v>9</v>
      </c>
      <c r="J110" s="4" t="s">
        <v>10</v>
      </c>
      <c r="K110" s="4" t="s">
        <v>11</v>
      </c>
      <c r="L110" s="4" t="s">
        <v>12</v>
      </c>
      <c r="M110" s="4" t="s">
        <v>13</v>
      </c>
      <c r="N110" s="4" t="s">
        <v>14</v>
      </c>
      <c r="O110" s="4" t="s">
        <v>15</v>
      </c>
      <c r="P110" s="5" t="s">
        <v>16</v>
      </c>
      <c r="Q110" s="6" t="s">
        <v>17</v>
      </c>
      <c r="R110" s="4" t="s">
        <v>18</v>
      </c>
      <c r="S110" s="4" t="s">
        <v>19</v>
      </c>
      <c r="T110" s="4" t="s">
        <v>20</v>
      </c>
      <c r="U110" s="4" t="s">
        <v>21</v>
      </c>
      <c r="V110" s="180" t="s">
        <v>22</v>
      </c>
      <c r="W110" s="180" t="s">
        <v>23</v>
      </c>
      <c r="X110" s="180" t="s">
        <v>24</v>
      </c>
      <c r="Y110" s="180" t="s">
        <v>25</v>
      </c>
      <c r="Z110" s="180" t="s">
        <v>26</v>
      </c>
      <c r="AA110" s="180" t="s">
        <v>27</v>
      </c>
      <c r="AB110" s="181" t="s">
        <v>28</v>
      </c>
      <c r="AC110" s="45" t="s">
        <v>48</v>
      </c>
    </row>
    <row r="111" spans="2:29" x14ac:dyDescent="0.35">
      <c r="B111" s="212">
        <v>46753</v>
      </c>
      <c r="C111" s="7" t="s">
        <v>29</v>
      </c>
      <c r="D111" s="93">
        <v>20</v>
      </c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>
        <f>ROUND('[7]2028'!V192,2)</f>
        <v>61663.51</v>
      </c>
      <c r="W111" s="88">
        <f>ROUND('[7]2028'!W192,2)</f>
        <v>63569.37</v>
      </c>
      <c r="X111" s="88">
        <f>ROUND('[7]2028'!X192,2)</f>
        <v>64491.65</v>
      </c>
      <c r="Y111" s="88">
        <f>ROUND('[7]2028'!Y192,2)</f>
        <v>65267.99</v>
      </c>
      <c r="Z111" s="88">
        <f>ROUND('[7]2028'!Z192,2)</f>
        <v>64357.66</v>
      </c>
      <c r="AA111" s="88">
        <f>ROUND('[7]2028'!AA192,2)</f>
        <v>61794.27</v>
      </c>
      <c r="AB111" s="88">
        <f>ROUND('[7]2028'!AB192,2)</f>
        <v>59177</v>
      </c>
      <c r="AC111" s="225">
        <f>SUM(E111:AB111)*D111+SUM(E112:AB112)*D112+SUM(E113:AB113)*D113+SUM(E114:AB114)*D114</f>
        <v>13474936.6</v>
      </c>
    </row>
    <row r="112" spans="2:29" x14ac:dyDescent="0.35">
      <c r="B112" s="213"/>
      <c r="C112" s="10" t="s">
        <v>30</v>
      </c>
      <c r="D112" s="94">
        <v>4</v>
      </c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>
        <f>ROUND('[7]2028'!V193,2)</f>
        <v>56894.69</v>
      </c>
      <c r="W112" s="89">
        <f>ROUND('[7]2028'!W193,2)</f>
        <v>61228.36</v>
      </c>
      <c r="X112" s="89">
        <f>ROUND('[7]2028'!X193,2)</f>
        <v>62020.93</v>
      </c>
      <c r="Y112" s="89">
        <f>ROUND('[7]2028'!Y193,2)</f>
        <v>62330.86</v>
      </c>
      <c r="Z112" s="89">
        <f>ROUND('[7]2028'!Z193,2)</f>
        <v>62321.279999999999</v>
      </c>
      <c r="AA112" s="89">
        <f>ROUND('[7]2028'!AA193,2)</f>
        <v>61621.24</v>
      </c>
      <c r="AB112" s="89">
        <f>ROUND('[7]2028'!AB193,2)</f>
        <v>59300.5</v>
      </c>
      <c r="AC112" s="226"/>
    </row>
    <row r="113" spans="2:30" x14ac:dyDescent="0.35">
      <c r="B113" s="213"/>
      <c r="C113" s="10" t="s">
        <v>31</v>
      </c>
      <c r="D113" s="94">
        <v>5</v>
      </c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>
        <f>ROUND('[7]2028'!V194,2)</f>
        <v>53866.05</v>
      </c>
      <c r="W113" s="89">
        <f>ROUND('[7]2028'!W194,2)</f>
        <v>58666.89</v>
      </c>
      <c r="X113" s="89">
        <f>ROUND('[7]2028'!X194,2)</f>
        <v>60768.92</v>
      </c>
      <c r="Y113" s="89">
        <f>ROUND('[7]2028'!Y194,2)</f>
        <v>62496.45</v>
      </c>
      <c r="Z113" s="89">
        <f>ROUND('[7]2028'!Z194,2)</f>
        <v>62701.7</v>
      </c>
      <c r="AA113" s="89">
        <f>ROUND('[7]2028'!AA194,2)</f>
        <v>61186.73</v>
      </c>
      <c r="AB113" s="89">
        <f>ROUND('[7]2028'!AB194,2)</f>
        <v>58189.88</v>
      </c>
      <c r="AC113" s="226"/>
    </row>
    <row r="114" spans="2:30" ht="13" thickBot="1" x14ac:dyDescent="0.4">
      <c r="B114" s="213"/>
      <c r="C114" s="16" t="s">
        <v>32</v>
      </c>
      <c r="D114" s="95">
        <v>2</v>
      </c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>
        <f>ROUND('[7]2028'!V195,2)</f>
        <v>57229.89</v>
      </c>
      <c r="W114" s="90">
        <f>ROUND('[7]2028'!W195,2)</f>
        <v>61279.75</v>
      </c>
      <c r="X114" s="90">
        <f>ROUND('[7]2028'!X195,2)</f>
        <v>63831.839999999997</v>
      </c>
      <c r="Y114" s="90">
        <f>ROUND('[7]2028'!Y195,2)</f>
        <v>65814.44</v>
      </c>
      <c r="Z114" s="90">
        <f>ROUND('[7]2028'!Z195,2)</f>
        <v>66103.23</v>
      </c>
      <c r="AA114" s="90">
        <f>ROUND('[7]2028'!AA195,2)</f>
        <v>63850.83</v>
      </c>
      <c r="AB114" s="90">
        <f>ROUND('[7]2028'!AB195,2)</f>
        <v>60016.55</v>
      </c>
      <c r="AC114" s="226"/>
      <c r="AD114" s="56">
        <f>+AC111</f>
        <v>13474936.6</v>
      </c>
    </row>
    <row r="115" spans="2:30" x14ac:dyDescent="0.35">
      <c r="B115" s="222">
        <v>46784</v>
      </c>
      <c r="C115" s="7" t="s">
        <v>29</v>
      </c>
      <c r="D115" s="93">
        <v>21</v>
      </c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>
        <f>ROUND('[7]2028'!V196,2)</f>
        <v>55354.879999999997</v>
      </c>
      <c r="W115" s="88">
        <f>ROUND('[7]2028'!W196,2)</f>
        <v>57914.29</v>
      </c>
      <c r="X115" s="88">
        <f>ROUND('[7]2028'!X196,2)</f>
        <v>59619.99</v>
      </c>
      <c r="Y115" s="88">
        <f>ROUND('[7]2028'!Y196,2)</f>
        <v>61226.96</v>
      </c>
      <c r="Z115" s="88">
        <f>ROUND('[7]2028'!Z196,2)</f>
        <v>60357.3</v>
      </c>
      <c r="AA115" s="88">
        <f>ROUND('[7]2028'!AA196,2)</f>
        <v>57584.3</v>
      </c>
      <c r="AB115" s="88">
        <f>ROUND('[7]2028'!AB196,2)</f>
        <v>55478.54</v>
      </c>
      <c r="AC115" s="225">
        <f>SUM(E115:AB115)*D115+SUM(E116:AB116)*D116+SUM(E117:AB117)*D117+SUM(E118:AB118)*D118</f>
        <v>11854313.899999999</v>
      </c>
      <c r="AD115" s="177">
        <f>+AC115</f>
        <v>11854313.899999999</v>
      </c>
    </row>
    <row r="116" spans="2:30" x14ac:dyDescent="0.35">
      <c r="B116" s="223" t="s">
        <v>34</v>
      </c>
      <c r="C116" s="10" t="s">
        <v>30</v>
      </c>
      <c r="D116" s="94">
        <v>4</v>
      </c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>
        <f>ROUND('[7]2028'!V197,2)</f>
        <v>52247.78</v>
      </c>
      <c r="W116" s="89">
        <f>ROUND('[7]2028'!W197,2)</f>
        <v>57965.81</v>
      </c>
      <c r="X116" s="89">
        <f>ROUND('[7]2028'!X197,2)</f>
        <v>58713.91</v>
      </c>
      <c r="Y116" s="89">
        <f>ROUND('[7]2028'!Y197,2)</f>
        <v>59251</v>
      </c>
      <c r="Z116" s="89">
        <f>ROUND('[7]2028'!Z197,2)</f>
        <v>58691.25</v>
      </c>
      <c r="AA116" s="89">
        <f>ROUND('[7]2028'!AA197,2)</f>
        <v>57146.400000000001</v>
      </c>
      <c r="AB116" s="89">
        <f>ROUND('[7]2028'!AB197,2)</f>
        <v>54804.99</v>
      </c>
      <c r="AC116" s="226"/>
      <c r="AD116" s="177">
        <f>+AC119</f>
        <v>13059269.339999998</v>
      </c>
    </row>
    <row r="117" spans="2:30" x14ac:dyDescent="0.35">
      <c r="B117" s="223" t="s">
        <v>34</v>
      </c>
      <c r="C117" s="10" t="s">
        <v>31</v>
      </c>
      <c r="D117" s="94">
        <v>4</v>
      </c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>
        <f>ROUND('[7]2028'!V198,2)</f>
        <v>52789.84</v>
      </c>
      <c r="W117" s="89">
        <f>ROUND('[7]2028'!W198,2)</f>
        <v>58882.3</v>
      </c>
      <c r="X117" s="89">
        <f>ROUND('[7]2028'!X198,2)</f>
        <v>61430.45</v>
      </c>
      <c r="Y117" s="89">
        <f>ROUND('[7]2028'!Y198,2)</f>
        <v>63475.85</v>
      </c>
      <c r="Z117" s="89">
        <f>ROUND('[7]2028'!Z198,2)</f>
        <v>65005.279999999999</v>
      </c>
      <c r="AA117" s="89">
        <f>ROUND('[7]2028'!AA198,2)</f>
        <v>63766.11</v>
      </c>
      <c r="AB117" s="89">
        <f>ROUND('[7]2028'!AB198,2)</f>
        <v>59842.14</v>
      </c>
      <c r="AC117" s="226"/>
      <c r="AD117" s="177">
        <f>+AC123</f>
        <v>10991943.950000001</v>
      </c>
    </row>
    <row r="118" spans="2:30" ht="13" thickBot="1" x14ac:dyDescent="0.4">
      <c r="B118" s="224" t="s">
        <v>34</v>
      </c>
      <c r="C118" s="12" t="s">
        <v>32</v>
      </c>
      <c r="D118" s="96">
        <v>0</v>
      </c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>
        <f>ROUND('[7]2028'!V199,2)</f>
        <v>0</v>
      </c>
      <c r="W118" s="91">
        <f>ROUND('[7]2028'!W199,2)</f>
        <v>0</v>
      </c>
      <c r="X118" s="91">
        <f>ROUND('[7]2028'!X199,2)</f>
        <v>0</v>
      </c>
      <c r="Y118" s="91">
        <f>ROUND('[7]2028'!Y199,2)</f>
        <v>0</v>
      </c>
      <c r="Z118" s="91">
        <f>ROUND('[7]2028'!Z199,2)</f>
        <v>0</v>
      </c>
      <c r="AA118" s="91">
        <f>ROUND('[7]2028'!AA199,2)</f>
        <v>0</v>
      </c>
      <c r="AB118" s="91">
        <f>ROUND('[7]2028'!AB199,2)</f>
        <v>0</v>
      </c>
      <c r="AC118" s="227"/>
      <c r="AD118" s="177">
        <f>+AC127</f>
        <v>11286422.310000001</v>
      </c>
    </row>
    <row r="119" spans="2:30" x14ac:dyDescent="0.35">
      <c r="B119" s="212">
        <v>46813</v>
      </c>
      <c r="C119" s="14" t="s">
        <v>29</v>
      </c>
      <c r="D119" s="97">
        <v>22</v>
      </c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>
        <f>ROUND('[7]2028'!V200,2)</f>
        <v>58467.28</v>
      </c>
      <c r="W119" s="92">
        <f>ROUND('[7]2028'!W200,2)</f>
        <v>59778.52</v>
      </c>
      <c r="X119" s="92">
        <f>ROUND('[7]2028'!X200,2)</f>
        <v>61148.77</v>
      </c>
      <c r="Y119" s="92">
        <f>ROUND('[7]2028'!Y200,2)</f>
        <v>63803.48</v>
      </c>
      <c r="Z119" s="92">
        <f>ROUND('[7]2028'!Z200,2)</f>
        <v>63966.12</v>
      </c>
      <c r="AA119" s="92">
        <f>ROUND('[7]2028'!AA200,2)</f>
        <v>63278.22</v>
      </c>
      <c r="AB119" s="92">
        <f>ROUND('[7]2028'!AB200,2)</f>
        <v>61867.83</v>
      </c>
      <c r="AC119" s="226">
        <f>SUM(E119:AB119)*D119+SUM(E120:AB120)*D120+SUM(E121:AB121)*D121+SUM(E122:AB122)*D122</f>
        <v>13059269.339999998</v>
      </c>
      <c r="AD119" s="177">
        <f>+AC131</f>
        <v>12715256.299999999</v>
      </c>
    </row>
    <row r="120" spans="2:30" x14ac:dyDescent="0.35">
      <c r="B120" s="213"/>
      <c r="C120" s="10" t="s">
        <v>30</v>
      </c>
      <c r="D120" s="94">
        <v>4</v>
      </c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>
        <f>ROUND('[7]2028'!V201,2)</f>
        <v>48420.26</v>
      </c>
      <c r="W120" s="89">
        <f>ROUND('[7]2028'!W201,2)</f>
        <v>54921.75</v>
      </c>
      <c r="X120" s="89">
        <f>ROUND('[7]2028'!X201,2)</f>
        <v>55799</v>
      </c>
      <c r="Y120" s="89">
        <f>ROUND('[7]2028'!Y201,2)</f>
        <v>56512.38</v>
      </c>
      <c r="Z120" s="89">
        <f>ROUND('[7]2028'!Z201,2)</f>
        <v>57539.92</v>
      </c>
      <c r="AA120" s="89">
        <f>ROUND('[7]2028'!AA201,2)</f>
        <v>57666.1</v>
      </c>
      <c r="AB120" s="89">
        <f>ROUND('[7]2028'!AB201,2)</f>
        <v>57378.62</v>
      </c>
      <c r="AC120" s="226"/>
      <c r="AD120" s="177">
        <f>+AC135</f>
        <v>9558262.540000001</v>
      </c>
    </row>
    <row r="121" spans="2:30" x14ac:dyDescent="0.35">
      <c r="B121" s="213"/>
      <c r="C121" s="10" t="s">
        <v>31</v>
      </c>
      <c r="D121" s="94">
        <v>4</v>
      </c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>
        <f>ROUND('[7]2028'!V202,2)</f>
        <v>50308.31</v>
      </c>
      <c r="W121" s="89">
        <f>ROUND('[7]2028'!W202,2)</f>
        <v>54707.81</v>
      </c>
      <c r="X121" s="89">
        <f>ROUND('[7]2028'!X202,2)</f>
        <v>56611.48</v>
      </c>
      <c r="Y121" s="89">
        <f>ROUND('[7]2028'!Y202,2)</f>
        <v>59289.120000000003</v>
      </c>
      <c r="Z121" s="89">
        <f>ROUND('[7]2028'!Z202,2)</f>
        <v>62701.65</v>
      </c>
      <c r="AA121" s="89">
        <f>ROUND('[7]2028'!AA202,2)</f>
        <v>63416.03</v>
      </c>
      <c r="AB121" s="89">
        <f>ROUND('[7]2028'!AB202,2)</f>
        <v>59413</v>
      </c>
      <c r="AC121" s="226"/>
      <c r="AD121" s="177">
        <f>+AC139</f>
        <v>9345896</v>
      </c>
    </row>
    <row r="122" spans="2:30" ht="13" thickBot="1" x14ac:dyDescent="0.4">
      <c r="B122" s="213"/>
      <c r="C122" s="16" t="s">
        <v>32</v>
      </c>
      <c r="D122" s="95">
        <v>1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>
        <f>ROUND('[7]2028'!V203,2)</f>
        <v>46320.74</v>
      </c>
      <c r="W122" s="90">
        <f>ROUND('[7]2028'!W203,2)</f>
        <v>49471.98</v>
      </c>
      <c r="X122" s="90">
        <f>ROUND('[7]2028'!X203,2)</f>
        <v>50969.87</v>
      </c>
      <c r="Y122" s="90">
        <f>ROUND('[7]2028'!Y203,2)</f>
        <v>53346.29</v>
      </c>
      <c r="Z122" s="90">
        <f>ROUND('[7]2028'!Z203,2)</f>
        <v>57383.94</v>
      </c>
      <c r="AA122" s="90">
        <f>ROUND('[7]2028'!AA203,2)</f>
        <v>58121.2</v>
      </c>
      <c r="AB122" s="90">
        <f>ROUND('[7]2028'!AB203,2)</f>
        <v>54088.76</v>
      </c>
      <c r="AC122" s="226"/>
      <c r="AD122" s="177">
        <f>+AC143</f>
        <v>8996654.209999999</v>
      </c>
    </row>
    <row r="123" spans="2:30" x14ac:dyDescent="0.35">
      <c r="B123" s="222">
        <v>46844</v>
      </c>
      <c r="C123" s="7" t="s">
        <v>29</v>
      </c>
      <c r="D123" s="93">
        <v>18</v>
      </c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>
        <f>ROUND('[7]2028'!V204,2)</f>
        <v>40472.79</v>
      </c>
      <c r="W123" s="88">
        <f>ROUND('[7]2028'!W204,2)</f>
        <v>50087.41</v>
      </c>
      <c r="X123" s="88">
        <f>ROUND('[7]2028'!X204,2)</f>
        <v>51498.03</v>
      </c>
      <c r="Y123" s="88">
        <f>ROUND('[7]2028'!Y204,2)</f>
        <v>52860.63</v>
      </c>
      <c r="Z123" s="88">
        <f>ROUND('[7]2028'!Z204,2)</f>
        <v>54714.11</v>
      </c>
      <c r="AA123" s="88">
        <f>ROUND('[7]2028'!AA204,2)</f>
        <v>57576.93</v>
      </c>
      <c r="AB123" s="88">
        <f>ROUND('[7]2028'!AB204,2)</f>
        <v>58778.78</v>
      </c>
      <c r="AC123" s="225">
        <f>SUM(E123:AB123)*D123+SUM(E124:AB124)*D124+SUM(E125:AB125)*D125+SUM(E126:AB126)*D126</f>
        <v>10991943.950000001</v>
      </c>
      <c r="AD123" s="177">
        <f>+AC147</f>
        <v>9644197.1400000006</v>
      </c>
    </row>
    <row r="124" spans="2:30" x14ac:dyDescent="0.35">
      <c r="B124" s="223" t="s">
        <v>34</v>
      </c>
      <c r="C124" s="10" t="s">
        <v>30</v>
      </c>
      <c r="D124" s="94">
        <v>5</v>
      </c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>
        <f>ROUND('[7]2028'!V205,2)</f>
        <v>54545.1</v>
      </c>
      <c r="W124" s="89">
        <f>ROUND('[7]2028'!W205,2)</f>
        <v>53221.17</v>
      </c>
      <c r="X124" s="89">
        <f>ROUND('[7]2028'!X205,2)</f>
        <v>54697.69</v>
      </c>
      <c r="Y124" s="89">
        <f>ROUND('[7]2028'!Y205,2)</f>
        <v>55461.7</v>
      </c>
      <c r="Z124" s="89">
        <f>ROUND('[7]2028'!Z205,2)</f>
        <v>54419.21</v>
      </c>
      <c r="AA124" s="89">
        <f>ROUND('[7]2028'!AA205,2)</f>
        <v>49654.879999999997</v>
      </c>
      <c r="AB124" s="89">
        <f>ROUND('[7]2028'!AB205,2)</f>
        <v>43329.14</v>
      </c>
      <c r="AC124" s="226"/>
      <c r="AD124" s="177">
        <f>+AC151</f>
        <v>7307179.3399999999</v>
      </c>
    </row>
    <row r="125" spans="2:30" x14ac:dyDescent="0.35">
      <c r="B125" s="223" t="s">
        <v>34</v>
      </c>
      <c r="C125" s="10" t="s">
        <v>31</v>
      </c>
      <c r="D125" s="94">
        <v>5</v>
      </c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>
        <f>ROUND('[7]2028'!V206,2)</f>
        <v>46809.67</v>
      </c>
      <c r="W125" s="89">
        <f>ROUND('[7]2028'!W206,2)</f>
        <v>51803.45</v>
      </c>
      <c r="X125" s="89">
        <f>ROUND('[7]2028'!X206,2)</f>
        <v>53550.17</v>
      </c>
      <c r="Y125" s="89">
        <f>ROUND('[7]2028'!Y206,2)</f>
        <v>54888.39</v>
      </c>
      <c r="Z125" s="89">
        <f>ROUND('[7]2028'!Z206,2)</f>
        <v>56476.99</v>
      </c>
      <c r="AA125" s="89">
        <f>ROUND('[7]2028'!AA206,2)</f>
        <v>55784.62</v>
      </c>
      <c r="AB125" s="89">
        <f>ROUND('[7]2028'!AB206,2)</f>
        <v>51874.21</v>
      </c>
      <c r="AC125" s="226"/>
      <c r="AD125" s="177">
        <f>+AC155</f>
        <v>11351678.969999997</v>
      </c>
    </row>
    <row r="126" spans="2:30" ht="13" thickBot="1" x14ac:dyDescent="0.4">
      <c r="B126" s="224" t="s">
        <v>34</v>
      </c>
      <c r="C126" s="12" t="s">
        <v>32</v>
      </c>
      <c r="D126" s="96">
        <v>2</v>
      </c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>
        <f>ROUND('[7]2028'!V207,2)</f>
        <v>48390.76</v>
      </c>
      <c r="W126" s="91">
        <f>ROUND('[7]2028'!W207,2)</f>
        <v>53362.66</v>
      </c>
      <c r="X126" s="91">
        <f>ROUND('[7]2028'!X207,2)</f>
        <v>54011.99</v>
      </c>
      <c r="Y126" s="91">
        <f>ROUND('[7]2028'!Y207,2)</f>
        <v>54841.919999999998</v>
      </c>
      <c r="Z126" s="91">
        <f>ROUND('[7]2028'!Z207,2)</f>
        <v>54094.35</v>
      </c>
      <c r="AA126" s="91">
        <f>ROUND('[7]2028'!AA207,2)</f>
        <v>50439.83</v>
      </c>
      <c r="AB126" s="91">
        <f>ROUND('[7]2028'!AB207,2)</f>
        <v>45641.37</v>
      </c>
      <c r="AC126" s="227"/>
    </row>
    <row r="127" spans="2:30" x14ac:dyDescent="0.35">
      <c r="B127" s="212">
        <v>46874</v>
      </c>
      <c r="C127" s="14" t="s">
        <v>29</v>
      </c>
      <c r="D127" s="97">
        <v>21</v>
      </c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>
        <f>ROUND('[7]2028'!V208,2)</f>
        <v>37092.269999999997</v>
      </c>
      <c r="W127" s="92">
        <f>ROUND('[7]2028'!W208,2)</f>
        <v>49234.11</v>
      </c>
      <c r="X127" s="92">
        <f>ROUND('[7]2028'!X208,2)</f>
        <v>50297.97</v>
      </c>
      <c r="Y127" s="92">
        <f>ROUND('[7]2028'!Y208,2)</f>
        <v>49674.37</v>
      </c>
      <c r="Z127" s="92">
        <f>ROUND('[7]2028'!Z208,2)</f>
        <v>50638.559999999998</v>
      </c>
      <c r="AA127" s="92">
        <f>ROUND('[7]2028'!AA208,2)</f>
        <v>52539.78</v>
      </c>
      <c r="AB127" s="92">
        <f>ROUND('[7]2028'!AB208,2)</f>
        <v>53291.09</v>
      </c>
      <c r="AC127" s="226">
        <f>SUM(E127:AB127)*D127+SUM(E128:AB128)*D128+SUM(E129:AB129)*D129+SUM(E130:AB130)*D130</f>
        <v>11286422.310000001</v>
      </c>
    </row>
    <row r="128" spans="2:30" x14ac:dyDescent="0.35">
      <c r="B128" s="213"/>
      <c r="C128" s="10" t="s">
        <v>30</v>
      </c>
      <c r="D128" s="94">
        <v>4</v>
      </c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>
        <f>ROUND('[7]2028'!V209,2)</f>
        <v>55410.87</v>
      </c>
      <c r="W128" s="89">
        <f>ROUND('[7]2028'!W209,2)</f>
        <v>55432.51</v>
      </c>
      <c r="X128" s="89">
        <f>ROUND('[7]2028'!X209,2)</f>
        <v>57124.35</v>
      </c>
      <c r="Y128" s="89">
        <f>ROUND('[7]2028'!Y209,2)</f>
        <v>57168.01</v>
      </c>
      <c r="Z128" s="89">
        <f>ROUND('[7]2028'!Z209,2)</f>
        <v>56017.37</v>
      </c>
      <c r="AA128" s="89">
        <f>ROUND('[7]2028'!AA209,2)</f>
        <v>51310.82</v>
      </c>
      <c r="AB128" s="89">
        <f>ROUND('[7]2028'!AB209,2)</f>
        <v>46332.7</v>
      </c>
      <c r="AC128" s="226"/>
    </row>
    <row r="129" spans="2:29" x14ac:dyDescent="0.35">
      <c r="B129" s="213"/>
      <c r="C129" s="10" t="s">
        <v>31</v>
      </c>
      <c r="D129" s="94">
        <v>4</v>
      </c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>
        <f>ROUND('[7]2028'!V210,2)</f>
        <v>56439.44</v>
      </c>
      <c r="W129" s="89">
        <f>ROUND('[7]2028'!W210,2)</f>
        <v>63354.6</v>
      </c>
      <c r="X129" s="89">
        <f>ROUND('[7]2028'!X210,2)</f>
        <v>65801.509999999995</v>
      </c>
      <c r="Y129" s="89">
        <f>ROUND('[7]2028'!Y210,2)</f>
        <v>66731.97</v>
      </c>
      <c r="Z129" s="89">
        <f>ROUND('[7]2028'!Z210,2)</f>
        <v>66076.81</v>
      </c>
      <c r="AA129" s="89">
        <f>ROUND('[7]2028'!AA210,2)</f>
        <v>63172.92</v>
      </c>
      <c r="AB129" s="89">
        <f>ROUND('[7]2028'!AB210,2)</f>
        <v>58360.08</v>
      </c>
      <c r="AC129" s="226"/>
    </row>
    <row r="130" spans="2:29" ht="13" thickBot="1" x14ac:dyDescent="0.4">
      <c r="B130" s="213"/>
      <c r="C130" s="16" t="s">
        <v>32</v>
      </c>
      <c r="D130" s="95">
        <v>2</v>
      </c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>
        <f>ROUND('[7]2028'!V211,2)</f>
        <v>48489.1</v>
      </c>
      <c r="W130" s="90">
        <f>ROUND('[7]2028'!W211,2)</f>
        <v>56205.98</v>
      </c>
      <c r="X130" s="90">
        <f>ROUND('[7]2028'!X211,2)</f>
        <v>59791.89</v>
      </c>
      <c r="Y130" s="90">
        <f>ROUND('[7]2028'!Y211,2)</f>
        <v>62010.66</v>
      </c>
      <c r="Z130" s="90">
        <f>ROUND('[7]2028'!Z211,2)</f>
        <v>62314.400000000001</v>
      </c>
      <c r="AA130" s="90">
        <f>ROUND('[7]2028'!AA211,2)</f>
        <v>60636.98</v>
      </c>
      <c r="AB130" s="90">
        <f>ROUND('[7]2028'!AB211,2)</f>
        <v>57228.65</v>
      </c>
      <c r="AC130" s="226"/>
    </row>
    <row r="131" spans="2:29" x14ac:dyDescent="0.35">
      <c r="B131" s="222">
        <v>46905</v>
      </c>
      <c r="C131" s="7" t="s">
        <v>29</v>
      </c>
      <c r="D131" s="93">
        <v>20</v>
      </c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>
        <f>ROUND('[7]2028'!V212,2)</f>
        <v>46798.77</v>
      </c>
      <c r="W131" s="88">
        <f>ROUND('[7]2028'!W212,2)</f>
        <v>56060.65</v>
      </c>
      <c r="X131" s="88">
        <f>ROUND('[7]2028'!X212,2)</f>
        <v>57062.63</v>
      </c>
      <c r="Y131" s="88">
        <f>ROUND('[7]2028'!Y212,2)</f>
        <v>56066.59</v>
      </c>
      <c r="Z131" s="88">
        <f>ROUND('[7]2028'!Z212,2)</f>
        <v>57240.09</v>
      </c>
      <c r="AA131" s="88">
        <f>ROUND('[7]2028'!AA212,2)</f>
        <v>59323.06</v>
      </c>
      <c r="AB131" s="88">
        <f>ROUND('[7]2028'!AB212,2)</f>
        <v>59953.78</v>
      </c>
      <c r="AC131" s="225">
        <f>SUM(E131:AB131)*D131+SUM(E132:AB132)*D132+SUM(E133:AB133)*D133+SUM(E134:AB134)*D134</f>
        <v>12715256.299999999</v>
      </c>
    </row>
    <row r="132" spans="2:29" x14ac:dyDescent="0.35">
      <c r="B132" s="223" t="s">
        <v>34</v>
      </c>
      <c r="C132" s="10" t="s">
        <v>30</v>
      </c>
      <c r="D132" s="94">
        <v>4</v>
      </c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>
        <f>ROUND('[7]2028'!V213,2)</f>
        <v>70894.240000000005</v>
      </c>
      <c r="W132" s="89">
        <f>ROUND('[7]2028'!W213,2)</f>
        <v>69445.7</v>
      </c>
      <c r="X132" s="89">
        <f>ROUND('[7]2028'!X213,2)</f>
        <v>73049.960000000006</v>
      </c>
      <c r="Y132" s="89">
        <f>ROUND('[7]2028'!Y213,2)</f>
        <v>74776.12</v>
      </c>
      <c r="Z132" s="89">
        <f>ROUND('[7]2028'!Z213,2)</f>
        <v>73954.13</v>
      </c>
      <c r="AA132" s="89">
        <f>ROUND('[7]2028'!AA213,2)</f>
        <v>69334.31</v>
      </c>
      <c r="AB132" s="89">
        <f>ROUND('[7]2028'!AB213,2)</f>
        <v>64001.03</v>
      </c>
      <c r="AC132" s="226"/>
    </row>
    <row r="133" spans="2:29" x14ac:dyDescent="0.35">
      <c r="B133" s="223" t="s">
        <v>34</v>
      </c>
      <c r="C133" s="10" t="s">
        <v>31</v>
      </c>
      <c r="D133" s="94">
        <v>4</v>
      </c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>
        <f>ROUND('[7]2028'!V214,2)</f>
        <v>61541.14</v>
      </c>
      <c r="W133" s="89">
        <f>ROUND('[7]2028'!W214,2)</f>
        <v>69863.38</v>
      </c>
      <c r="X133" s="89">
        <f>ROUND('[7]2028'!X214,2)</f>
        <v>72259.95</v>
      </c>
      <c r="Y133" s="89">
        <f>ROUND('[7]2028'!Y214,2)</f>
        <v>73139.53</v>
      </c>
      <c r="Z133" s="89">
        <f>ROUND('[7]2028'!Z214,2)</f>
        <v>72539.899999999994</v>
      </c>
      <c r="AA133" s="89">
        <f>ROUND('[7]2028'!AA214,2)</f>
        <v>69128.820000000007</v>
      </c>
      <c r="AB133" s="89">
        <f>ROUND('[7]2028'!AB214,2)</f>
        <v>62721.29</v>
      </c>
      <c r="AC133" s="226"/>
    </row>
    <row r="134" spans="2:29" ht="13" thickBot="1" x14ac:dyDescent="0.4">
      <c r="B134" s="224" t="s">
        <v>34</v>
      </c>
      <c r="C134" s="12" t="s">
        <v>32</v>
      </c>
      <c r="D134" s="96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>
        <f>ROUND('[7]2028'!V215,2)</f>
        <v>60726.28</v>
      </c>
      <c r="W134" s="91">
        <f>ROUND('[7]2028'!W215,2)</f>
        <v>69072.72</v>
      </c>
      <c r="X134" s="91">
        <f>ROUND('[7]2028'!X215,2)</f>
        <v>70742.05</v>
      </c>
      <c r="Y134" s="91">
        <f>ROUND('[7]2028'!Y215,2)</f>
        <v>72474.28</v>
      </c>
      <c r="Z134" s="91">
        <f>ROUND('[7]2028'!Z215,2)</f>
        <v>72740.62</v>
      </c>
      <c r="AA134" s="91">
        <f>ROUND('[7]2028'!AA215,2)</f>
        <v>69684.78</v>
      </c>
      <c r="AB134" s="91">
        <f>ROUND('[7]2028'!AB215,2)</f>
        <v>63832.72</v>
      </c>
      <c r="AC134" s="227"/>
    </row>
    <row r="135" spans="2:29" x14ac:dyDescent="0.35">
      <c r="B135" s="212">
        <v>46935</v>
      </c>
      <c r="C135" s="14" t="s">
        <v>29</v>
      </c>
      <c r="D135" s="97">
        <v>19</v>
      </c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>
        <f>ROUND('[7]2028'!V216,2)</f>
        <v>30128.22</v>
      </c>
      <c r="W135" s="92">
        <f>ROUND('[7]2028'!W216,2)</f>
        <v>39327</v>
      </c>
      <c r="X135" s="92">
        <f>ROUND('[7]2028'!X216,2)</f>
        <v>41125.4</v>
      </c>
      <c r="Y135" s="92">
        <f>ROUND('[7]2028'!Y216,2)</f>
        <v>41095.35</v>
      </c>
      <c r="Z135" s="92">
        <f>ROUND('[7]2028'!Z216,2)</f>
        <v>42250.67</v>
      </c>
      <c r="AA135" s="92">
        <f>ROUND('[7]2028'!AA216,2)</f>
        <v>44660.3</v>
      </c>
      <c r="AB135" s="92">
        <f>ROUND('[7]2028'!AB216,2)</f>
        <v>44938.48</v>
      </c>
      <c r="AC135" s="226">
        <f>SUM(E135:AB135)*D135+SUM(E136:AB136)*D136+SUM(E137:AB137)*D137+SUM(E138:AB138)*D138</f>
        <v>9558262.540000001</v>
      </c>
    </row>
    <row r="136" spans="2:29" x14ac:dyDescent="0.35">
      <c r="B136" s="213"/>
      <c r="C136" s="10" t="s">
        <v>30</v>
      </c>
      <c r="D136" s="94">
        <v>5</v>
      </c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>
        <f>ROUND('[7]2028'!V217,2)</f>
        <v>53785.31</v>
      </c>
      <c r="W136" s="89">
        <f>ROUND('[7]2028'!W217,2)</f>
        <v>56054.75</v>
      </c>
      <c r="X136" s="89">
        <f>ROUND('[7]2028'!X217,2)</f>
        <v>55360.02</v>
      </c>
      <c r="Y136" s="89">
        <f>ROUND('[7]2028'!Y217,2)</f>
        <v>56915.75</v>
      </c>
      <c r="Z136" s="89">
        <f>ROUND('[7]2028'!Z217,2)</f>
        <v>55141.2</v>
      </c>
      <c r="AA136" s="89">
        <f>ROUND('[7]2028'!AA217,2)</f>
        <v>50246.44</v>
      </c>
      <c r="AB136" s="89">
        <f>ROUND('[7]2028'!AB217,2)</f>
        <v>44482.12</v>
      </c>
      <c r="AC136" s="226"/>
    </row>
    <row r="137" spans="2:29" x14ac:dyDescent="0.35">
      <c r="B137" s="213"/>
      <c r="C137" s="10" t="s">
        <v>31</v>
      </c>
      <c r="D137" s="94">
        <v>5</v>
      </c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>
        <f>ROUND('[7]2028'!V218,2)</f>
        <v>42020.53</v>
      </c>
      <c r="W137" s="89">
        <f>ROUND('[7]2028'!W218,2)</f>
        <v>47209.27</v>
      </c>
      <c r="X137" s="89">
        <f>ROUND('[7]2028'!X218,2)</f>
        <v>49692.78</v>
      </c>
      <c r="Y137" s="89">
        <f>ROUND('[7]2028'!Y218,2)</f>
        <v>49200.6</v>
      </c>
      <c r="Z137" s="89">
        <f>ROUND('[7]2028'!Z218,2)</f>
        <v>48729.93</v>
      </c>
      <c r="AA137" s="89">
        <f>ROUND('[7]2028'!AA218,2)</f>
        <v>48594.02</v>
      </c>
      <c r="AB137" s="89">
        <f>ROUND('[7]2028'!AB218,2)</f>
        <v>47229.7</v>
      </c>
      <c r="AC137" s="226"/>
    </row>
    <row r="138" spans="2:29" ht="13" thickBot="1" x14ac:dyDescent="0.4">
      <c r="B138" s="213"/>
      <c r="C138" s="16" t="s">
        <v>32</v>
      </c>
      <c r="D138" s="95">
        <v>2</v>
      </c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>
        <f>ROUND('[7]2028'!V219,2)</f>
        <v>40300.980000000003</v>
      </c>
      <c r="W138" s="90">
        <f>ROUND('[7]2028'!W219,2)</f>
        <v>45312.43</v>
      </c>
      <c r="X138" s="90">
        <f>ROUND('[7]2028'!X219,2)</f>
        <v>47155.32</v>
      </c>
      <c r="Y138" s="90">
        <f>ROUND('[7]2028'!Y219,2)</f>
        <v>47471.65</v>
      </c>
      <c r="Z138" s="90">
        <f>ROUND('[7]2028'!Z219,2)</f>
        <v>48344.66</v>
      </c>
      <c r="AA138" s="90">
        <f>ROUND('[7]2028'!AA219,2)</f>
        <v>48315.92</v>
      </c>
      <c r="AB138" s="90">
        <f>ROUND('[7]2028'!AB219,2)</f>
        <v>47082.77</v>
      </c>
      <c r="AC138" s="226"/>
    </row>
    <row r="139" spans="2:29" x14ac:dyDescent="0.35">
      <c r="B139" s="222">
        <v>46966</v>
      </c>
      <c r="C139" s="7" t="s">
        <v>29</v>
      </c>
      <c r="D139" s="93">
        <v>21</v>
      </c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>
        <f>ROUND('[7]2028'!V220,2)</f>
        <v>27575.01</v>
      </c>
      <c r="W139" s="88">
        <f>ROUND('[7]2028'!W220,2)</f>
        <v>36689.29</v>
      </c>
      <c r="X139" s="88">
        <f>ROUND('[7]2028'!X220,2)</f>
        <v>37713.57</v>
      </c>
      <c r="Y139" s="88">
        <f>ROUND('[7]2028'!Y220,2)</f>
        <v>38847.51</v>
      </c>
      <c r="Z139" s="88">
        <f>ROUND('[7]2028'!Z220,2)</f>
        <v>40284.53</v>
      </c>
      <c r="AA139" s="88">
        <f>ROUND('[7]2028'!AA220,2)</f>
        <v>42855.44</v>
      </c>
      <c r="AB139" s="88">
        <f>ROUND('[7]2028'!AB220,2)</f>
        <v>43334.55</v>
      </c>
      <c r="AC139" s="225">
        <f>SUM(E139:AB139)*D139+SUM(E140:AB140)*D140+SUM(E141:AB141)*D141+SUM(E142:AB142)*D142</f>
        <v>9345896</v>
      </c>
    </row>
    <row r="140" spans="2:29" x14ac:dyDescent="0.35">
      <c r="B140" s="223" t="s">
        <v>34</v>
      </c>
      <c r="C140" s="10" t="s">
        <v>30</v>
      </c>
      <c r="D140" s="94">
        <v>4</v>
      </c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>
        <f>ROUND('[7]2028'!V221,2)</f>
        <v>55932.76</v>
      </c>
      <c r="W140" s="89">
        <f>ROUND('[7]2028'!W221,2)</f>
        <v>57777.46</v>
      </c>
      <c r="X140" s="89">
        <f>ROUND('[7]2028'!X221,2)</f>
        <v>55030.65</v>
      </c>
      <c r="Y140" s="89">
        <f>ROUND('[7]2028'!Y221,2)</f>
        <v>56049.36</v>
      </c>
      <c r="Z140" s="89">
        <f>ROUND('[7]2028'!Z221,2)</f>
        <v>55439.58</v>
      </c>
      <c r="AA140" s="89">
        <f>ROUND('[7]2028'!AA221,2)</f>
        <v>49977.25</v>
      </c>
      <c r="AB140" s="89">
        <f>ROUND('[7]2028'!AB221,2)</f>
        <v>45441.279999999999</v>
      </c>
      <c r="AC140" s="226"/>
    </row>
    <row r="141" spans="2:29" x14ac:dyDescent="0.35">
      <c r="B141" s="223" t="s">
        <v>34</v>
      </c>
      <c r="C141" s="10" t="s">
        <v>31</v>
      </c>
      <c r="D141" s="94">
        <v>4</v>
      </c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>
        <f>ROUND('[7]2028'!V222,2)</f>
        <v>44277.84</v>
      </c>
      <c r="W141" s="89">
        <f>ROUND('[7]2028'!W222,2)</f>
        <v>49957.43</v>
      </c>
      <c r="X141" s="89">
        <f>ROUND('[7]2028'!X222,2)</f>
        <v>56631.27</v>
      </c>
      <c r="Y141" s="89">
        <f>ROUND('[7]2028'!Y222,2)</f>
        <v>59194.23</v>
      </c>
      <c r="Z141" s="89">
        <f>ROUND('[7]2028'!Z222,2)</f>
        <v>59387.93</v>
      </c>
      <c r="AA141" s="89">
        <f>ROUND('[7]2028'!AA222,2)</f>
        <v>57885.7</v>
      </c>
      <c r="AB141" s="89">
        <f>ROUND('[7]2028'!AB222,2)</f>
        <v>53684.02</v>
      </c>
      <c r="AC141" s="226"/>
    </row>
    <row r="142" spans="2:29" ht="13" thickBot="1" x14ac:dyDescent="0.4">
      <c r="B142" s="224" t="s">
        <v>34</v>
      </c>
      <c r="C142" s="12" t="s">
        <v>32</v>
      </c>
      <c r="D142" s="96">
        <v>2</v>
      </c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>
        <f>ROUND('[7]2028'!V223,2)</f>
        <v>41523.99</v>
      </c>
      <c r="W142" s="91">
        <f>ROUND('[7]2028'!W223,2)</f>
        <v>47372.29</v>
      </c>
      <c r="X142" s="91">
        <f>ROUND('[7]2028'!X223,2)</f>
        <v>51930.09</v>
      </c>
      <c r="Y142" s="91">
        <f>ROUND('[7]2028'!Y223,2)</f>
        <v>54098.65</v>
      </c>
      <c r="Z142" s="91">
        <f>ROUND('[7]2028'!Z223,2)</f>
        <v>54542.5</v>
      </c>
      <c r="AA142" s="91">
        <f>ROUND('[7]2028'!AA223,2)</f>
        <v>53264.95</v>
      </c>
      <c r="AB142" s="91">
        <f>ROUND('[7]2028'!AB223,2)</f>
        <v>50233.06</v>
      </c>
      <c r="AC142" s="227"/>
    </row>
    <row r="143" spans="2:29" x14ac:dyDescent="0.35">
      <c r="B143" s="212">
        <v>46997</v>
      </c>
      <c r="C143" s="14" t="s">
        <v>29</v>
      </c>
      <c r="D143" s="97">
        <v>21</v>
      </c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>
        <f>ROUND('[7]2028'!V224,2)</f>
        <v>28366.18</v>
      </c>
      <c r="W143" s="92">
        <f>ROUND('[7]2028'!W224,2)</f>
        <v>37558.769999999997</v>
      </c>
      <c r="X143" s="92">
        <f>ROUND('[7]2028'!X224,2)</f>
        <v>38078.54</v>
      </c>
      <c r="Y143" s="92">
        <f>ROUND('[7]2028'!Y224,2)</f>
        <v>38931.68</v>
      </c>
      <c r="Z143" s="92">
        <f>ROUND('[7]2028'!Z224,2)</f>
        <v>40215.11</v>
      </c>
      <c r="AA143" s="92">
        <f>ROUND('[7]2028'!AA224,2)</f>
        <v>43453.41</v>
      </c>
      <c r="AB143" s="92">
        <f>ROUND('[7]2028'!AB224,2)</f>
        <v>44427.99</v>
      </c>
      <c r="AC143" s="226">
        <f>SUM(E143:AB143)*D143+SUM(E144:AB144)*D144+SUM(E145:AB145)*D145+SUM(E146:AB146)*D146</f>
        <v>8996654.209999999</v>
      </c>
    </row>
    <row r="144" spans="2:29" x14ac:dyDescent="0.35">
      <c r="B144" s="213"/>
      <c r="C144" s="10" t="s">
        <v>30</v>
      </c>
      <c r="D144" s="94">
        <v>5</v>
      </c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>
        <f>ROUND('[7]2028'!V225,2)</f>
        <v>50562.1</v>
      </c>
      <c r="W144" s="89">
        <f>ROUND('[7]2028'!W225,2)</f>
        <v>48069.61</v>
      </c>
      <c r="X144" s="89">
        <f>ROUND('[7]2028'!X225,2)</f>
        <v>46195.96</v>
      </c>
      <c r="Y144" s="89">
        <f>ROUND('[7]2028'!Y225,2)</f>
        <v>47973.120000000003</v>
      </c>
      <c r="Z144" s="89">
        <f>ROUND('[7]2028'!Z225,2)</f>
        <v>48220.05</v>
      </c>
      <c r="AA144" s="89">
        <f>ROUND('[7]2028'!AA225,2)</f>
        <v>46591.1</v>
      </c>
      <c r="AB144" s="89">
        <f>ROUND('[7]2028'!AB225,2)</f>
        <v>42585.79</v>
      </c>
      <c r="AC144" s="226"/>
    </row>
    <row r="145" spans="2:29" x14ac:dyDescent="0.35">
      <c r="B145" s="213"/>
      <c r="C145" s="10" t="s">
        <v>31</v>
      </c>
      <c r="D145" s="94">
        <v>4</v>
      </c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>
        <f>ROUND('[7]2028'!V226,2)</f>
        <v>70835.67</v>
      </c>
      <c r="W145" s="89">
        <f>ROUND('[7]2028'!W226,2)</f>
        <v>65068.160000000003</v>
      </c>
      <c r="X145" s="89">
        <f>ROUND('[7]2028'!X226,2)</f>
        <v>60711.21</v>
      </c>
      <c r="Y145" s="89">
        <f>ROUND('[7]2028'!Y226,2)</f>
        <v>59281.760000000002</v>
      </c>
      <c r="Z145" s="89">
        <f>ROUND('[7]2028'!Z226,2)</f>
        <v>57412.76</v>
      </c>
      <c r="AA145" s="89">
        <f>ROUND('[7]2028'!AA226,2)</f>
        <v>52600.23</v>
      </c>
      <c r="AB145" s="89">
        <f>ROUND('[7]2028'!AB226,2)</f>
        <v>47590.28</v>
      </c>
      <c r="AC145" s="226"/>
    </row>
    <row r="146" spans="2:29" ht="13" thickBot="1" x14ac:dyDescent="0.4">
      <c r="B146" s="213"/>
      <c r="C146" s="16" t="s">
        <v>32</v>
      </c>
      <c r="D146" s="95">
        <v>0</v>
      </c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>
        <f>ROUND('[7]2028'!V227,2)</f>
        <v>0</v>
      </c>
      <c r="W146" s="91">
        <f>ROUND('[7]2028'!W227,2)</f>
        <v>0</v>
      </c>
      <c r="X146" s="91">
        <f>ROUND('[7]2028'!X227,2)</f>
        <v>0</v>
      </c>
      <c r="Y146" s="91">
        <f>ROUND('[7]2028'!Y227,2)</f>
        <v>0</v>
      </c>
      <c r="Z146" s="91">
        <f>ROUND('[7]2028'!Z227,2)</f>
        <v>0</v>
      </c>
      <c r="AA146" s="91">
        <f>ROUND('[7]2028'!AA227,2)</f>
        <v>0</v>
      </c>
      <c r="AB146" s="91">
        <f>ROUND('[7]2028'!AB227,2)</f>
        <v>0</v>
      </c>
      <c r="AC146" s="226"/>
    </row>
    <row r="147" spans="2:29" x14ac:dyDescent="0.35">
      <c r="B147" s="222">
        <v>47027</v>
      </c>
      <c r="C147" s="7" t="s">
        <v>29</v>
      </c>
      <c r="D147" s="93">
        <v>21</v>
      </c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>
        <f>ROUND('[7]2028'!V228,2)</f>
        <v>32197.73</v>
      </c>
      <c r="W147" s="88">
        <f>ROUND('[7]2028'!W228,2)</f>
        <v>40733.480000000003</v>
      </c>
      <c r="X147" s="88">
        <f>ROUND('[7]2028'!X228,2)</f>
        <v>41620.79</v>
      </c>
      <c r="Y147" s="88">
        <f>ROUND('[7]2028'!Y228,2)</f>
        <v>42686.17</v>
      </c>
      <c r="Z147" s="88">
        <f>ROUND('[7]2028'!Z228,2)</f>
        <v>43268.76</v>
      </c>
      <c r="AA147" s="88">
        <f>ROUND('[7]2028'!AA228,2)</f>
        <v>45721.65</v>
      </c>
      <c r="AB147" s="88">
        <f>ROUND('[7]2028'!AB228,2)</f>
        <v>46607.73</v>
      </c>
      <c r="AC147" s="225">
        <f>SUM(E147:AB147)*D147+SUM(E148:AB148)*D148+SUM(E149:AB149)*D149+SUM(E150:AB150)*D150</f>
        <v>9644197.1400000006</v>
      </c>
    </row>
    <row r="148" spans="2:29" x14ac:dyDescent="0.35">
      <c r="B148" s="223" t="s">
        <v>34</v>
      </c>
      <c r="C148" s="10" t="s">
        <v>30</v>
      </c>
      <c r="D148" s="94">
        <v>4</v>
      </c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>
        <f>ROUND('[7]2028'!V229,2)</f>
        <v>49659.21</v>
      </c>
      <c r="W148" s="89">
        <f>ROUND('[7]2028'!W229,2)</f>
        <v>48918.87</v>
      </c>
      <c r="X148" s="89">
        <f>ROUND('[7]2028'!X229,2)</f>
        <v>48235.13</v>
      </c>
      <c r="Y148" s="89">
        <f>ROUND('[7]2028'!Y229,2)</f>
        <v>47270.32</v>
      </c>
      <c r="Z148" s="89">
        <f>ROUND('[7]2028'!Z229,2)</f>
        <v>45392.4</v>
      </c>
      <c r="AA148" s="89">
        <f>ROUND('[7]2028'!AA229,2)</f>
        <v>41959.57</v>
      </c>
      <c r="AB148" s="89">
        <f>ROUND('[7]2028'!AB229,2)</f>
        <v>37608.29</v>
      </c>
      <c r="AC148" s="226"/>
    </row>
    <row r="149" spans="2:29" x14ac:dyDescent="0.35">
      <c r="B149" s="223" t="s">
        <v>34</v>
      </c>
      <c r="C149" s="10" t="s">
        <v>31</v>
      </c>
      <c r="D149" s="94">
        <v>5</v>
      </c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>
        <f>ROUND('[7]2028'!V230,2)</f>
        <v>47070.879999999997</v>
      </c>
      <c r="W149" s="89">
        <f>ROUND('[7]2028'!W230,2)</f>
        <v>53235.17</v>
      </c>
      <c r="X149" s="89">
        <f>ROUND('[7]2028'!X230,2)</f>
        <v>55669</v>
      </c>
      <c r="Y149" s="89">
        <f>ROUND('[7]2028'!Y230,2)</f>
        <v>56941.09</v>
      </c>
      <c r="Z149" s="89">
        <f>ROUND('[7]2028'!Z230,2)</f>
        <v>56726.58</v>
      </c>
      <c r="AA149" s="89">
        <f>ROUND('[7]2028'!AA230,2)</f>
        <v>53318.43</v>
      </c>
      <c r="AB149" s="89">
        <f>ROUND('[7]2028'!AB230,2)</f>
        <v>48640.13</v>
      </c>
      <c r="AC149" s="226"/>
    </row>
    <row r="150" spans="2:29" ht="13" thickBot="1" x14ac:dyDescent="0.4">
      <c r="B150" s="224" t="s">
        <v>34</v>
      </c>
      <c r="C150" s="12" t="s">
        <v>32</v>
      </c>
      <c r="D150" s="96">
        <v>1</v>
      </c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>
        <f>ROUND('[7]2028'!V231,2)</f>
        <v>44948.47</v>
      </c>
      <c r="W150" s="91">
        <f>ROUND('[7]2028'!W231,2)</f>
        <v>50046.26</v>
      </c>
      <c r="X150" s="91">
        <f>ROUND('[7]2028'!X231,2)</f>
        <v>52178.51</v>
      </c>
      <c r="Y150" s="91">
        <f>ROUND('[7]2028'!Y231,2)</f>
        <v>55893.48</v>
      </c>
      <c r="Z150" s="91">
        <f>ROUND('[7]2028'!Z231,2)</f>
        <v>55816.76</v>
      </c>
      <c r="AA150" s="91">
        <f>ROUND('[7]2028'!AA231,2)</f>
        <v>52896.54</v>
      </c>
      <c r="AB150" s="91">
        <f>ROUND('[7]2028'!AB231,2)</f>
        <v>48673.05</v>
      </c>
      <c r="AC150" s="227"/>
    </row>
    <row r="151" spans="2:29" x14ac:dyDescent="0.35">
      <c r="B151" s="212">
        <v>47058</v>
      </c>
      <c r="C151" s="14" t="s">
        <v>29</v>
      </c>
      <c r="D151" s="97">
        <v>20</v>
      </c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>
        <f>ROUND('[7]2028'!V232,2)</f>
        <v>22007.73</v>
      </c>
      <c r="W151" s="92">
        <f>ROUND('[7]2028'!W232,2)</f>
        <v>31610.68</v>
      </c>
      <c r="X151" s="92">
        <f>ROUND('[7]2028'!X232,2)</f>
        <v>32429.27</v>
      </c>
      <c r="Y151" s="92">
        <f>ROUND('[7]2028'!Y232,2)</f>
        <v>32512.44</v>
      </c>
      <c r="Z151" s="92">
        <f>ROUND('[7]2028'!Z232,2)</f>
        <v>33453.56</v>
      </c>
      <c r="AA151" s="92">
        <f>ROUND('[7]2028'!AA232,2)</f>
        <v>35915.910000000003</v>
      </c>
      <c r="AB151" s="92">
        <f>ROUND('[7]2028'!AB232,2)</f>
        <v>36466.61</v>
      </c>
      <c r="AC151" s="226">
        <f>SUM(E151:AB151)*D151+SUM(E152:AB152)*D152+SUM(E153:AB153)*D153+SUM(E154:AB154)*D154</f>
        <v>7307179.3399999999</v>
      </c>
    </row>
    <row r="152" spans="2:29" x14ac:dyDescent="0.35">
      <c r="B152" s="213"/>
      <c r="C152" s="10" t="s">
        <v>30</v>
      </c>
      <c r="D152" s="94">
        <v>4</v>
      </c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>
        <f>ROUND('[7]2028'!V233,2)</f>
        <v>49144.49</v>
      </c>
      <c r="W152" s="89">
        <f>ROUND('[7]2028'!W233,2)</f>
        <v>54115.79</v>
      </c>
      <c r="X152" s="89">
        <f>ROUND('[7]2028'!X233,2)</f>
        <v>54516.62</v>
      </c>
      <c r="Y152" s="89">
        <f>ROUND('[7]2028'!Y233,2)</f>
        <v>55282.43</v>
      </c>
      <c r="Z152" s="89">
        <f>ROUND('[7]2028'!Z233,2)</f>
        <v>55240.91</v>
      </c>
      <c r="AA152" s="89">
        <f>ROUND('[7]2028'!AA233,2)</f>
        <v>54217.99</v>
      </c>
      <c r="AB152" s="89">
        <f>ROUND('[7]2028'!AB233,2)</f>
        <v>50923.25</v>
      </c>
      <c r="AC152" s="226"/>
    </row>
    <row r="153" spans="2:29" x14ac:dyDescent="0.35">
      <c r="B153" s="213"/>
      <c r="C153" s="10" t="s">
        <v>31</v>
      </c>
      <c r="D153" s="94">
        <v>4</v>
      </c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>
        <f>ROUND('[7]2028'!V234,2)</f>
        <v>30330.720000000001</v>
      </c>
      <c r="W153" s="89">
        <f>ROUND('[7]2028'!W234,2)</f>
        <v>35876.269999999997</v>
      </c>
      <c r="X153" s="89">
        <f>ROUND('[7]2028'!X234,2)</f>
        <v>36634.18</v>
      </c>
      <c r="Y153" s="89">
        <f>ROUND('[7]2028'!Y234,2)</f>
        <v>35311.06</v>
      </c>
      <c r="Z153" s="89">
        <f>ROUND('[7]2028'!Z234,2)</f>
        <v>32038.85</v>
      </c>
      <c r="AA153" s="89">
        <f>ROUND('[7]2028'!AA234,2)</f>
        <v>29290.34</v>
      </c>
      <c r="AB153" s="89">
        <f>ROUND('[7]2028'!AB234,2)</f>
        <v>27207.78</v>
      </c>
      <c r="AC153" s="226"/>
    </row>
    <row r="154" spans="2:29" ht="13" thickBot="1" x14ac:dyDescent="0.4">
      <c r="B154" s="213"/>
      <c r="C154" s="16" t="s">
        <v>32</v>
      </c>
      <c r="D154" s="95">
        <v>2</v>
      </c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>
        <f>ROUND('[7]2028'!V235,2)</f>
        <v>28104.04</v>
      </c>
      <c r="W154" s="90">
        <f>ROUND('[7]2028'!W235,2)</f>
        <v>31821.98</v>
      </c>
      <c r="X154" s="90">
        <f>ROUND('[7]2028'!X235,2)</f>
        <v>32504.33</v>
      </c>
      <c r="Y154" s="90">
        <f>ROUND('[7]2028'!Y235,2)</f>
        <v>32521.96</v>
      </c>
      <c r="Z154" s="90">
        <f>ROUND('[7]2028'!Z235,2)</f>
        <v>30364.46</v>
      </c>
      <c r="AA154" s="90">
        <f>ROUND('[7]2028'!AA235,2)</f>
        <v>27933.88</v>
      </c>
      <c r="AB154" s="90">
        <f>ROUND('[7]2028'!AB235,2)</f>
        <v>26115.66</v>
      </c>
      <c r="AC154" s="226"/>
    </row>
    <row r="155" spans="2:29" x14ac:dyDescent="0.35">
      <c r="B155" s="222">
        <v>47088</v>
      </c>
      <c r="C155" s="7" t="s">
        <v>29</v>
      </c>
      <c r="D155" s="93">
        <v>19</v>
      </c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>
        <f>ROUND('[7]2028'!V236,2)</f>
        <v>42653.85</v>
      </c>
      <c r="W155" s="88">
        <f>ROUND('[7]2028'!W236,2)</f>
        <v>52290.74</v>
      </c>
      <c r="X155" s="88">
        <f>ROUND('[7]2028'!X236,2)</f>
        <v>51219.93</v>
      </c>
      <c r="Y155" s="88">
        <f>ROUND('[7]2028'!Y236,2)</f>
        <v>49063.74</v>
      </c>
      <c r="Z155" s="88">
        <f>ROUND('[7]2028'!Z236,2)</f>
        <v>47513.62</v>
      </c>
      <c r="AA155" s="88">
        <f>ROUND('[7]2028'!AA236,2)</f>
        <v>49330.14</v>
      </c>
      <c r="AB155" s="88">
        <f>ROUND('[7]2028'!AB236,2)</f>
        <v>49995.78</v>
      </c>
      <c r="AC155" s="225">
        <f>SUM(E155:AB155)*D155+SUM(E156:AB156)*D156+SUM(E157:AB157)*D157+SUM(E158:AB158)*D158</f>
        <v>11351678.969999997</v>
      </c>
    </row>
    <row r="156" spans="2:29" x14ac:dyDescent="0.35">
      <c r="B156" s="223" t="s">
        <v>34</v>
      </c>
      <c r="C156" s="10" t="s">
        <v>30</v>
      </c>
      <c r="D156" s="94">
        <v>5</v>
      </c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>
        <f>ROUND('[7]2028'!V237,2)</f>
        <v>65987.350000000006</v>
      </c>
      <c r="W156" s="89">
        <f>ROUND('[7]2028'!W237,2)</f>
        <v>63279.37</v>
      </c>
      <c r="X156" s="89">
        <f>ROUND('[7]2028'!X237,2)</f>
        <v>66861.570000000007</v>
      </c>
      <c r="Y156" s="89">
        <f>ROUND('[7]2028'!Y237,2)</f>
        <v>68950</v>
      </c>
      <c r="Z156" s="89">
        <f>ROUND('[7]2028'!Z237,2)</f>
        <v>68998.69</v>
      </c>
      <c r="AA156" s="89">
        <f>ROUND('[7]2028'!AA237,2)</f>
        <v>63953.82</v>
      </c>
      <c r="AB156" s="89">
        <f>ROUND('[7]2028'!AB237,2)</f>
        <v>56899.63</v>
      </c>
      <c r="AC156" s="226"/>
    </row>
    <row r="157" spans="2:29" x14ac:dyDescent="0.35">
      <c r="B157" s="223" t="s">
        <v>34</v>
      </c>
      <c r="C157" s="10" t="s">
        <v>31</v>
      </c>
      <c r="D157" s="94">
        <v>5</v>
      </c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>
        <f>ROUND('[7]2028'!V238,2)</f>
        <v>43103.46</v>
      </c>
      <c r="W157" s="89">
        <f>ROUND('[7]2028'!W238,2)</f>
        <v>51154.29</v>
      </c>
      <c r="X157" s="89">
        <f>ROUND('[7]2028'!X238,2)</f>
        <v>52852.959999999999</v>
      </c>
      <c r="Y157" s="89">
        <f>ROUND('[7]2028'!Y238,2)</f>
        <v>53907.33</v>
      </c>
      <c r="Z157" s="89">
        <f>ROUND('[7]2028'!Z238,2)</f>
        <v>55375.75</v>
      </c>
      <c r="AA157" s="89">
        <f>ROUND('[7]2028'!AA238,2)</f>
        <v>54262.11</v>
      </c>
      <c r="AB157" s="89">
        <f>ROUND('[7]2028'!AB238,2)</f>
        <v>53181.24</v>
      </c>
      <c r="AC157" s="226"/>
    </row>
    <row r="158" spans="2:29" ht="13" thickBot="1" x14ac:dyDescent="0.4">
      <c r="B158" s="224" t="s">
        <v>34</v>
      </c>
      <c r="C158" s="12" t="s">
        <v>32</v>
      </c>
      <c r="D158" s="96">
        <v>2</v>
      </c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>
        <f>ROUND('[7]2028'!V239,2)</f>
        <v>47108.12</v>
      </c>
      <c r="W158" s="91">
        <f>ROUND('[7]2028'!W239,2)</f>
        <v>54312.480000000003</v>
      </c>
      <c r="X158" s="91">
        <f>ROUND('[7]2028'!X239,2)</f>
        <v>55073.18</v>
      </c>
      <c r="Y158" s="91">
        <f>ROUND('[7]2028'!Y239,2)</f>
        <v>56173.03</v>
      </c>
      <c r="Z158" s="91">
        <f>ROUND('[7]2028'!Z239,2)</f>
        <v>56941.89</v>
      </c>
      <c r="AA158" s="91">
        <f>ROUND('[7]2028'!AA239,2)</f>
        <v>55826.17</v>
      </c>
      <c r="AB158" s="91">
        <f>ROUND('[7]2028'!AB239,2)</f>
        <v>53841.59</v>
      </c>
      <c r="AC158" s="227"/>
    </row>
    <row r="159" spans="2:29" ht="13.5" thickBot="1" x14ac:dyDescent="0.4">
      <c r="Z159" s="228" t="s">
        <v>33</v>
      </c>
      <c r="AA159" s="229"/>
      <c r="AB159" s="230"/>
      <c r="AC159" s="155">
        <f>SUM(AC111:AC158)</f>
        <v>129586010.60000001</v>
      </c>
    </row>
    <row r="160" spans="2:29" ht="13.5" thickBot="1" x14ac:dyDescent="0.4">
      <c r="Z160" s="228" t="s">
        <v>50</v>
      </c>
      <c r="AA160" s="229"/>
      <c r="AB160" s="230"/>
      <c r="AC160" s="155">
        <f>+AC59+AC109+AC159</f>
        <v>367150204.33000004</v>
      </c>
    </row>
  </sheetData>
  <mergeCells count="81">
    <mergeCell ref="Z160:AB160"/>
    <mergeCell ref="B139:B142"/>
    <mergeCell ref="AC139:AC142"/>
    <mergeCell ref="B143:B146"/>
    <mergeCell ref="AC143:AC146"/>
    <mergeCell ref="B147:B150"/>
    <mergeCell ref="AC147:AC150"/>
    <mergeCell ref="B151:B154"/>
    <mergeCell ref="AC151:AC154"/>
    <mergeCell ref="B155:B158"/>
    <mergeCell ref="AC155:AC158"/>
    <mergeCell ref="Z159:AB159"/>
    <mergeCell ref="B127:B130"/>
    <mergeCell ref="AC127:AC130"/>
    <mergeCell ref="B131:B134"/>
    <mergeCell ref="AC131:AC134"/>
    <mergeCell ref="B135:B138"/>
    <mergeCell ref="AC135:AC138"/>
    <mergeCell ref="B115:B118"/>
    <mergeCell ref="AC115:AC118"/>
    <mergeCell ref="B119:B122"/>
    <mergeCell ref="AC119:AC122"/>
    <mergeCell ref="B123:B126"/>
    <mergeCell ref="AC123:AC126"/>
    <mergeCell ref="B111:B114"/>
    <mergeCell ref="AC111:AC114"/>
    <mergeCell ref="B89:B92"/>
    <mergeCell ref="AC89:AC92"/>
    <mergeCell ref="B93:B96"/>
    <mergeCell ref="AC93:AC96"/>
    <mergeCell ref="B97:B100"/>
    <mergeCell ref="AC97:AC100"/>
    <mergeCell ref="B101:B104"/>
    <mergeCell ref="AC101:AC104"/>
    <mergeCell ref="B105:B108"/>
    <mergeCell ref="AC105:AC108"/>
    <mergeCell ref="Z109:AB109"/>
    <mergeCell ref="B77:B80"/>
    <mergeCell ref="AC77:AC80"/>
    <mergeCell ref="B81:B84"/>
    <mergeCell ref="AC81:AC84"/>
    <mergeCell ref="B85:B88"/>
    <mergeCell ref="AC85:AC88"/>
    <mergeCell ref="B65:B68"/>
    <mergeCell ref="AC65:AC68"/>
    <mergeCell ref="B69:B72"/>
    <mergeCell ref="AC69:AC72"/>
    <mergeCell ref="B73:B76"/>
    <mergeCell ref="AC73:AC76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conditionalFormatting sqref="E11:AB58">
    <cfRule type="cellIs" dxfId="4" priority="3" operator="lessThan">
      <formula>0</formula>
    </cfRule>
  </conditionalFormatting>
  <conditionalFormatting sqref="E61:AB108">
    <cfRule type="cellIs" dxfId="3" priority="2" operator="lessThan">
      <formula>0</formula>
    </cfRule>
  </conditionalFormatting>
  <conditionalFormatting sqref="E111:AB158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81A-4A58-4EF7-993A-23A3229C32F3}">
  <sheetPr>
    <tabColor rgb="FFFFC000"/>
  </sheetPr>
  <dimension ref="B2:BJ112"/>
  <sheetViews>
    <sheetView showGridLines="0" zoomScale="80" zoomScaleNormal="80" workbookViewId="0">
      <pane xSplit="4" ySplit="10" topLeftCell="E87" activePane="bottomRight" state="frozen"/>
      <selection activeCell="V654" sqref="V654"/>
      <selection pane="topRight" activeCell="V654" sqref="V654"/>
      <selection pane="bottomLeft" activeCell="V654" sqref="V654"/>
      <selection pane="bottomRight" activeCell="B5" sqref="B5:AC5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99" customWidth="1"/>
    <col min="6" max="28" width="11" style="18" customWidth="1"/>
    <col min="29" max="29" width="17.26953125" style="156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hidden="1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16" t="s">
        <v>161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2:62" ht="28.5" customHeight="1" x14ac:dyDescent="0.35">
      <c r="B5" s="218" t="s">
        <v>0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spans="2:62" ht="18.649999999999999" customHeight="1" x14ac:dyDescent="0.35">
      <c r="B6" s="236" t="s">
        <v>138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</row>
    <row r="7" spans="2:62" ht="18.649999999999999" customHeight="1" x14ac:dyDescent="0.35">
      <c r="B7" s="221" t="s">
        <v>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spans="2:62" ht="18.649999999999999" customHeight="1" x14ac:dyDescent="0.35"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05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57" t="s">
        <v>48</v>
      </c>
      <c r="AF10" s="54" t="s">
        <v>51</v>
      </c>
      <c r="AG10" s="54" t="s">
        <v>5</v>
      </c>
      <c r="AH10" s="54" t="s">
        <v>6</v>
      </c>
      <c r="AI10" s="54" t="s">
        <v>7</v>
      </c>
      <c r="AJ10" s="54" t="s">
        <v>8</v>
      </c>
      <c r="AK10" s="54" t="s">
        <v>9</v>
      </c>
      <c r="AL10" s="54" t="s">
        <v>10</v>
      </c>
      <c r="AM10" s="54" t="s">
        <v>11</v>
      </c>
      <c r="AN10" s="54" t="s">
        <v>12</v>
      </c>
      <c r="AO10" s="54" t="s">
        <v>13</v>
      </c>
      <c r="AP10" s="54" t="s">
        <v>14</v>
      </c>
      <c r="AQ10" s="54" t="s">
        <v>15</v>
      </c>
      <c r="AR10" s="54" t="s">
        <v>16</v>
      </c>
      <c r="AS10" s="54" t="s">
        <v>17</v>
      </c>
      <c r="AT10" s="54" t="s">
        <v>18</v>
      </c>
      <c r="AU10" s="54" t="s">
        <v>19</v>
      </c>
      <c r="AV10" s="54" t="s">
        <v>20</v>
      </c>
      <c r="AW10" s="54" t="s">
        <v>21</v>
      </c>
      <c r="AX10" s="54" t="s">
        <v>22</v>
      </c>
      <c r="AY10" s="54" t="s">
        <v>23</v>
      </c>
      <c r="AZ10" s="54" t="s">
        <v>24</v>
      </c>
      <c r="BA10" s="54" t="s">
        <v>25</v>
      </c>
      <c r="BB10" s="54" t="s">
        <v>26</v>
      </c>
      <c r="BC10" s="54" t="s">
        <v>27</v>
      </c>
      <c r="BD10" s="54" t="s">
        <v>28</v>
      </c>
      <c r="BE10" s="55" t="s">
        <v>52</v>
      </c>
      <c r="BF10" s="55" t="s">
        <v>53</v>
      </c>
      <c r="BH10" s="52" t="s">
        <v>56</v>
      </c>
      <c r="BI10" s="53" t="e">
        <f>(+#REF!)/1000</f>
        <v>#REF!</v>
      </c>
      <c r="BJ10" s="52" t="s">
        <v>55</v>
      </c>
    </row>
    <row r="11" spans="2:62" ht="18.649999999999999" customHeight="1" x14ac:dyDescent="0.35">
      <c r="B11" s="212">
        <v>47119</v>
      </c>
      <c r="C11" s="7" t="s">
        <v>29</v>
      </c>
      <c r="D11" s="48">
        <v>21</v>
      </c>
      <c r="E11" s="100">
        <v>13200</v>
      </c>
      <c r="F11" s="100">
        <v>13200</v>
      </c>
      <c r="G11" s="100">
        <v>13200</v>
      </c>
      <c r="H11" s="100">
        <v>13200</v>
      </c>
      <c r="I11" s="100">
        <v>13200</v>
      </c>
      <c r="J11" s="100">
        <v>13200</v>
      </c>
      <c r="K11" s="100">
        <v>13200</v>
      </c>
      <c r="L11" s="100">
        <v>13200</v>
      </c>
      <c r="M11" s="100">
        <v>13200</v>
      </c>
      <c r="N11" s="100">
        <v>13200</v>
      </c>
      <c r="O11" s="100">
        <v>13200</v>
      </c>
      <c r="P11" s="100">
        <v>13200</v>
      </c>
      <c r="Q11" s="100">
        <v>13200</v>
      </c>
      <c r="R11" s="100">
        <v>13200</v>
      </c>
      <c r="S11" s="100">
        <v>13200</v>
      </c>
      <c r="T11" s="100">
        <v>13200</v>
      </c>
      <c r="U11" s="100">
        <v>13200</v>
      </c>
      <c r="V11" s="100">
        <v>13200</v>
      </c>
      <c r="W11" s="100">
        <v>13200</v>
      </c>
      <c r="X11" s="100">
        <v>13200</v>
      </c>
      <c r="Y11" s="100">
        <v>13200</v>
      </c>
      <c r="Z11" s="100">
        <v>13200</v>
      </c>
      <c r="AA11" s="100">
        <v>13200</v>
      </c>
      <c r="AB11" s="100">
        <v>13200</v>
      </c>
      <c r="AC11" s="234">
        <f>SUM(E11:AB11)*D11+SUM(E12:AB12)*D12+SUM(E13:AB13)*D13+SUM(E14:AB14)*D14</f>
        <v>9820800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customHeight="1" x14ac:dyDescent="0.35">
      <c r="B12" s="213"/>
      <c r="C12" s="10" t="s">
        <v>30</v>
      </c>
      <c r="D12" s="11">
        <v>4</v>
      </c>
      <c r="E12" s="101">
        <v>13200</v>
      </c>
      <c r="F12" s="101">
        <v>13200</v>
      </c>
      <c r="G12" s="101">
        <v>13200</v>
      </c>
      <c r="H12" s="101">
        <v>13200</v>
      </c>
      <c r="I12" s="101">
        <v>13200</v>
      </c>
      <c r="J12" s="101">
        <v>13200</v>
      </c>
      <c r="K12" s="101">
        <v>13200</v>
      </c>
      <c r="L12" s="101">
        <v>13200</v>
      </c>
      <c r="M12" s="101">
        <v>13200</v>
      </c>
      <c r="N12" s="101">
        <v>13200</v>
      </c>
      <c r="O12" s="101">
        <v>13200</v>
      </c>
      <c r="P12" s="101">
        <v>13200</v>
      </c>
      <c r="Q12" s="101">
        <v>13200</v>
      </c>
      <c r="R12" s="101">
        <v>13200</v>
      </c>
      <c r="S12" s="101">
        <v>13200</v>
      </c>
      <c r="T12" s="101">
        <v>13200</v>
      </c>
      <c r="U12" s="101">
        <v>13200</v>
      </c>
      <c r="V12" s="101">
        <v>13200</v>
      </c>
      <c r="W12" s="101">
        <v>13200</v>
      </c>
      <c r="X12" s="101">
        <v>13200</v>
      </c>
      <c r="Y12" s="101">
        <v>13200</v>
      </c>
      <c r="Z12" s="101">
        <v>13200</v>
      </c>
      <c r="AA12" s="101">
        <v>13200</v>
      </c>
      <c r="AB12" s="101">
        <v>13200</v>
      </c>
      <c r="AC12" s="235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153">
        <f>+AC59/1000</f>
        <v>115632</v>
      </c>
    </row>
    <row r="13" spans="2:62" ht="18.649999999999999" customHeight="1" x14ac:dyDescent="0.35">
      <c r="B13" s="213"/>
      <c r="C13" s="10" t="s">
        <v>31</v>
      </c>
      <c r="D13" s="11">
        <v>4</v>
      </c>
      <c r="E13" s="101">
        <v>13200</v>
      </c>
      <c r="F13" s="101">
        <v>13200</v>
      </c>
      <c r="G13" s="101">
        <v>13200</v>
      </c>
      <c r="H13" s="101">
        <v>13200</v>
      </c>
      <c r="I13" s="101">
        <v>13200</v>
      </c>
      <c r="J13" s="101">
        <v>13200</v>
      </c>
      <c r="K13" s="101">
        <v>13200</v>
      </c>
      <c r="L13" s="101">
        <v>13200</v>
      </c>
      <c r="M13" s="101">
        <v>13200</v>
      </c>
      <c r="N13" s="101">
        <v>13200</v>
      </c>
      <c r="O13" s="101">
        <v>13200</v>
      </c>
      <c r="P13" s="101">
        <v>13200</v>
      </c>
      <c r="Q13" s="101">
        <v>13200</v>
      </c>
      <c r="R13" s="101">
        <v>13200</v>
      </c>
      <c r="S13" s="101">
        <v>13200</v>
      </c>
      <c r="T13" s="101">
        <v>13200</v>
      </c>
      <c r="U13" s="101">
        <v>13200</v>
      </c>
      <c r="V13" s="101">
        <v>13200</v>
      </c>
      <c r="W13" s="101">
        <v>13200</v>
      </c>
      <c r="X13" s="101">
        <v>13200</v>
      </c>
      <c r="Y13" s="101">
        <v>13200</v>
      </c>
      <c r="Z13" s="101">
        <v>13200</v>
      </c>
      <c r="AA13" s="101">
        <v>13200</v>
      </c>
      <c r="AB13" s="101">
        <v>13200</v>
      </c>
      <c r="AC13" s="235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154">
        <f>(+AC109)/1000</f>
        <v>115632</v>
      </c>
    </row>
    <row r="14" spans="2:62" ht="18.649999999999999" customHeight="1" thickBot="1" x14ac:dyDescent="0.4">
      <c r="B14" s="213"/>
      <c r="C14" s="16" t="s">
        <v>32</v>
      </c>
      <c r="D14" s="17">
        <v>2</v>
      </c>
      <c r="E14" s="102">
        <v>13200</v>
      </c>
      <c r="F14" s="102">
        <v>13200</v>
      </c>
      <c r="G14" s="102">
        <v>13200</v>
      </c>
      <c r="H14" s="102">
        <v>13200</v>
      </c>
      <c r="I14" s="102">
        <v>13200</v>
      </c>
      <c r="J14" s="102">
        <v>13200</v>
      </c>
      <c r="K14" s="102">
        <v>13200</v>
      </c>
      <c r="L14" s="102">
        <v>13200</v>
      </c>
      <c r="M14" s="102">
        <v>13200</v>
      </c>
      <c r="N14" s="102">
        <v>13200</v>
      </c>
      <c r="O14" s="102">
        <v>13200</v>
      </c>
      <c r="P14" s="102">
        <v>13200</v>
      </c>
      <c r="Q14" s="102">
        <v>13200</v>
      </c>
      <c r="R14" s="102">
        <v>13200</v>
      </c>
      <c r="S14" s="102">
        <v>13200</v>
      </c>
      <c r="T14" s="102">
        <v>13200</v>
      </c>
      <c r="U14" s="102">
        <v>13200</v>
      </c>
      <c r="V14" s="102">
        <v>13200</v>
      </c>
      <c r="W14" s="102">
        <v>13200</v>
      </c>
      <c r="X14" s="102">
        <v>13200</v>
      </c>
      <c r="Y14" s="102">
        <v>13200</v>
      </c>
      <c r="Z14" s="102">
        <v>13200</v>
      </c>
      <c r="AA14" s="102">
        <v>13200</v>
      </c>
      <c r="AB14" s="102">
        <v>13200</v>
      </c>
      <c r="AC14" s="235"/>
      <c r="AD14" s="56">
        <f>+AC11</f>
        <v>9820800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154" t="e">
        <f>(+#REF!)/1000</f>
        <v>#REF!</v>
      </c>
    </row>
    <row r="15" spans="2:62" ht="18.649999999999999" customHeight="1" x14ac:dyDescent="0.35">
      <c r="B15" s="222">
        <v>47150</v>
      </c>
      <c r="C15" s="7" t="s">
        <v>29</v>
      </c>
      <c r="D15" s="8">
        <v>20</v>
      </c>
      <c r="E15" s="100">
        <v>13200</v>
      </c>
      <c r="F15" s="100">
        <v>13200</v>
      </c>
      <c r="G15" s="100">
        <v>13200</v>
      </c>
      <c r="H15" s="100">
        <v>13200</v>
      </c>
      <c r="I15" s="100">
        <v>13200</v>
      </c>
      <c r="J15" s="100">
        <v>13200</v>
      </c>
      <c r="K15" s="100">
        <v>13200</v>
      </c>
      <c r="L15" s="100">
        <v>13200</v>
      </c>
      <c r="M15" s="100">
        <v>13200</v>
      </c>
      <c r="N15" s="100">
        <v>13200</v>
      </c>
      <c r="O15" s="100">
        <v>13200</v>
      </c>
      <c r="P15" s="100">
        <v>13200</v>
      </c>
      <c r="Q15" s="100">
        <v>13200</v>
      </c>
      <c r="R15" s="100">
        <v>13200</v>
      </c>
      <c r="S15" s="100">
        <v>13200</v>
      </c>
      <c r="T15" s="100">
        <v>13200</v>
      </c>
      <c r="U15" s="100">
        <v>13200</v>
      </c>
      <c r="V15" s="100">
        <v>13200</v>
      </c>
      <c r="W15" s="100">
        <v>13200</v>
      </c>
      <c r="X15" s="100">
        <v>13200</v>
      </c>
      <c r="Y15" s="100">
        <v>13200</v>
      </c>
      <c r="Z15" s="100">
        <v>13200</v>
      </c>
      <c r="AA15" s="100">
        <v>13200</v>
      </c>
      <c r="AB15" s="100">
        <v>13200</v>
      </c>
      <c r="AC15" s="234">
        <f>SUM(E15:AB15)*D15+SUM(E16:AB16)*D16+SUM(E17:AB17)*D17+SUM(E18:AB18)*D18</f>
        <v>8870400</v>
      </c>
      <c r="AD15" s="177">
        <f>+AC15</f>
        <v>8870400</v>
      </c>
      <c r="BG15" s="154" t="e">
        <f>(+#REF!)/1000</f>
        <v>#REF!</v>
      </c>
    </row>
    <row r="16" spans="2:62" ht="18.649999999999999" customHeight="1" x14ac:dyDescent="0.35">
      <c r="B16" s="223" t="s">
        <v>34</v>
      </c>
      <c r="C16" s="10" t="s">
        <v>30</v>
      </c>
      <c r="D16" s="11">
        <v>4</v>
      </c>
      <c r="E16" s="101">
        <v>13200</v>
      </c>
      <c r="F16" s="101">
        <v>13200</v>
      </c>
      <c r="G16" s="101">
        <v>13200</v>
      </c>
      <c r="H16" s="101">
        <v>13200</v>
      </c>
      <c r="I16" s="101">
        <v>13200</v>
      </c>
      <c r="J16" s="101">
        <v>13200</v>
      </c>
      <c r="K16" s="101">
        <v>13200</v>
      </c>
      <c r="L16" s="101">
        <v>13200</v>
      </c>
      <c r="M16" s="101">
        <v>13200</v>
      </c>
      <c r="N16" s="101">
        <v>13200</v>
      </c>
      <c r="O16" s="101">
        <v>13200</v>
      </c>
      <c r="P16" s="101">
        <v>13200</v>
      </c>
      <c r="Q16" s="101">
        <v>13200</v>
      </c>
      <c r="R16" s="101">
        <v>13200</v>
      </c>
      <c r="S16" s="101">
        <v>13200</v>
      </c>
      <c r="T16" s="101">
        <v>13200</v>
      </c>
      <c r="U16" s="101">
        <v>13200</v>
      </c>
      <c r="V16" s="101">
        <v>13200</v>
      </c>
      <c r="W16" s="101">
        <v>13200</v>
      </c>
      <c r="X16" s="101">
        <v>13200</v>
      </c>
      <c r="Y16" s="101">
        <v>13200</v>
      </c>
      <c r="Z16" s="101">
        <v>13200</v>
      </c>
      <c r="AA16" s="101">
        <v>13200</v>
      </c>
      <c r="AB16" s="101">
        <v>13200</v>
      </c>
      <c r="AC16" s="235"/>
      <c r="AD16" s="177">
        <f>+AC19</f>
        <v>9820800</v>
      </c>
      <c r="BG16" s="154" t="e">
        <f>(+#REF!)/1000</f>
        <v>#REF!</v>
      </c>
    </row>
    <row r="17" spans="2:59" ht="18.649999999999999" customHeight="1" x14ac:dyDescent="0.35">
      <c r="B17" s="223" t="s">
        <v>34</v>
      </c>
      <c r="C17" s="10" t="s">
        <v>31</v>
      </c>
      <c r="D17" s="11">
        <v>4</v>
      </c>
      <c r="E17" s="101">
        <v>13200</v>
      </c>
      <c r="F17" s="101">
        <v>13200</v>
      </c>
      <c r="G17" s="101">
        <v>13200</v>
      </c>
      <c r="H17" s="101">
        <v>13200</v>
      </c>
      <c r="I17" s="101">
        <v>13200</v>
      </c>
      <c r="J17" s="101">
        <v>13200</v>
      </c>
      <c r="K17" s="101">
        <v>13200</v>
      </c>
      <c r="L17" s="101">
        <v>13200</v>
      </c>
      <c r="M17" s="101">
        <v>13200</v>
      </c>
      <c r="N17" s="101">
        <v>13200</v>
      </c>
      <c r="O17" s="101">
        <v>13200</v>
      </c>
      <c r="P17" s="101">
        <v>13200</v>
      </c>
      <c r="Q17" s="101">
        <v>13200</v>
      </c>
      <c r="R17" s="101">
        <v>13200</v>
      </c>
      <c r="S17" s="101">
        <v>13200</v>
      </c>
      <c r="T17" s="101">
        <v>13200</v>
      </c>
      <c r="U17" s="101">
        <v>13200</v>
      </c>
      <c r="V17" s="101">
        <v>13200</v>
      </c>
      <c r="W17" s="101">
        <v>13200</v>
      </c>
      <c r="X17" s="101">
        <v>13200</v>
      </c>
      <c r="Y17" s="101">
        <v>13200</v>
      </c>
      <c r="Z17" s="101">
        <v>13200</v>
      </c>
      <c r="AA17" s="101">
        <v>13200</v>
      </c>
      <c r="AB17" s="101">
        <v>13200</v>
      </c>
      <c r="AC17" s="235"/>
      <c r="AD17" s="177">
        <f>+AC23</f>
        <v>9504000</v>
      </c>
      <c r="BG17" s="154" t="e">
        <f>(+#REF!)/1000</f>
        <v>#REF!</v>
      </c>
    </row>
    <row r="18" spans="2:59" ht="18.649999999999999" customHeight="1" thickBot="1" x14ac:dyDescent="0.4">
      <c r="B18" s="224" t="s">
        <v>34</v>
      </c>
      <c r="C18" s="12" t="s">
        <v>32</v>
      </c>
      <c r="D18" s="13">
        <v>0</v>
      </c>
      <c r="E18" s="159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237"/>
      <c r="AD18" s="177">
        <f>+AC27</f>
        <v>9820800</v>
      </c>
      <c r="BG18" s="154" t="e">
        <f>(+#REF!)/1000</f>
        <v>#REF!</v>
      </c>
    </row>
    <row r="19" spans="2:59" ht="18.649999999999999" customHeight="1" x14ac:dyDescent="0.35">
      <c r="B19" s="212">
        <v>47178</v>
      </c>
      <c r="C19" s="14" t="s">
        <v>29</v>
      </c>
      <c r="D19" s="15">
        <v>19</v>
      </c>
      <c r="E19" s="103">
        <v>13200</v>
      </c>
      <c r="F19" s="103">
        <v>13200</v>
      </c>
      <c r="G19" s="103">
        <v>13200</v>
      </c>
      <c r="H19" s="103">
        <v>13200</v>
      </c>
      <c r="I19" s="103">
        <v>13200</v>
      </c>
      <c r="J19" s="103">
        <v>13200</v>
      </c>
      <c r="K19" s="103">
        <v>13200</v>
      </c>
      <c r="L19" s="103">
        <v>13200</v>
      </c>
      <c r="M19" s="103">
        <v>13200</v>
      </c>
      <c r="N19" s="103">
        <v>13200</v>
      </c>
      <c r="O19" s="103">
        <v>13200</v>
      </c>
      <c r="P19" s="103">
        <v>13200</v>
      </c>
      <c r="Q19" s="103">
        <v>13200</v>
      </c>
      <c r="R19" s="103">
        <v>13200</v>
      </c>
      <c r="S19" s="103">
        <v>13200</v>
      </c>
      <c r="T19" s="103">
        <v>13200</v>
      </c>
      <c r="U19" s="103">
        <v>13200</v>
      </c>
      <c r="V19" s="103">
        <v>13200</v>
      </c>
      <c r="W19" s="103">
        <v>13200</v>
      </c>
      <c r="X19" s="103">
        <v>13200</v>
      </c>
      <c r="Y19" s="103">
        <v>13200</v>
      </c>
      <c r="Z19" s="103">
        <v>13200</v>
      </c>
      <c r="AA19" s="103">
        <v>13200</v>
      </c>
      <c r="AB19" s="103">
        <v>13200</v>
      </c>
      <c r="AC19" s="235">
        <f>SUM(E19:AB19)*D19+SUM(E20:AB20)*D20+SUM(E21:AB21)*D21+SUM(E22:AB22)*D22</f>
        <v>9820800</v>
      </c>
      <c r="AD19" s="177">
        <f>+AC31</f>
        <v>9504000</v>
      </c>
      <c r="BG19" s="154" t="e">
        <f>(+#REF!)/1000</f>
        <v>#REF!</v>
      </c>
    </row>
    <row r="20" spans="2:59" ht="18.649999999999999" customHeight="1" x14ac:dyDescent="0.35">
      <c r="B20" s="213"/>
      <c r="C20" s="10" t="s">
        <v>30</v>
      </c>
      <c r="D20" s="11">
        <v>5</v>
      </c>
      <c r="E20" s="101">
        <v>13200</v>
      </c>
      <c r="F20" s="101">
        <v>13200</v>
      </c>
      <c r="G20" s="101">
        <v>13200</v>
      </c>
      <c r="H20" s="101">
        <v>13200</v>
      </c>
      <c r="I20" s="101">
        <v>13200</v>
      </c>
      <c r="J20" s="101">
        <v>13200</v>
      </c>
      <c r="K20" s="101">
        <v>13200</v>
      </c>
      <c r="L20" s="101">
        <v>13200</v>
      </c>
      <c r="M20" s="101">
        <v>13200</v>
      </c>
      <c r="N20" s="101">
        <v>13200</v>
      </c>
      <c r="O20" s="101">
        <v>13200</v>
      </c>
      <c r="P20" s="101">
        <v>13200</v>
      </c>
      <c r="Q20" s="101">
        <v>13200</v>
      </c>
      <c r="R20" s="101">
        <v>13200</v>
      </c>
      <c r="S20" s="101">
        <v>13200</v>
      </c>
      <c r="T20" s="101">
        <v>13200</v>
      </c>
      <c r="U20" s="101">
        <v>13200</v>
      </c>
      <c r="V20" s="101">
        <v>13200</v>
      </c>
      <c r="W20" s="101">
        <v>13200</v>
      </c>
      <c r="X20" s="101">
        <v>13200</v>
      </c>
      <c r="Y20" s="101">
        <v>13200</v>
      </c>
      <c r="Z20" s="101">
        <v>13200</v>
      </c>
      <c r="AA20" s="101">
        <v>13200</v>
      </c>
      <c r="AB20" s="101">
        <v>13200</v>
      </c>
      <c r="AC20" s="235"/>
      <c r="AD20" s="177">
        <f>+AC35</f>
        <v>9820800</v>
      </c>
      <c r="BG20" s="56" t="e">
        <f>+#REF!/1000</f>
        <v>#REF!</v>
      </c>
    </row>
    <row r="21" spans="2:59" ht="18.649999999999999" customHeight="1" x14ac:dyDescent="0.35">
      <c r="B21" s="213"/>
      <c r="C21" s="10" t="s">
        <v>31</v>
      </c>
      <c r="D21" s="11">
        <v>4</v>
      </c>
      <c r="E21" s="101">
        <v>13200</v>
      </c>
      <c r="F21" s="101">
        <v>13200</v>
      </c>
      <c r="G21" s="101">
        <v>13200</v>
      </c>
      <c r="H21" s="101">
        <v>13200</v>
      </c>
      <c r="I21" s="101">
        <v>13200</v>
      </c>
      <c r="J21" s="101">
        <v>13200</v>
      </c>
      <c r="K21" s="101">
        <v>13200</v>
      </c>
      <c r="L21" s="101">
        <v>13200</v>
      </c>
      <c r="M21" s="101">
        <v>13200</v>
      </c>
      <c r="N21" s="101">
        <v>13200</v>
      </c>
      <c r="O21" s="101">
        <v>13200</v>
      </c>
      <c r="P21" s="101">
        <v>13200</v>
      </c>
      <c r="Q21" s="101">
        <v>13200</v>
      </c>
      <c r="R21" s="101">
        <v>13200</v>
      </c>
      <c r="S21" s="101">
        <v>13200</v>
      </c>
      <c r="T21" s="101">
        <v>13200</v>
      </c>
      <c r="U21" s="101">
        <v>13200</v>
      </c>
      <c r="V21" s="101">
        <v>13200</v>
      </c>
      <c r="W21" s="101">
        <v>13200</v>
      </c>
      <c r="X21" s="101">
        <v>13200</v>
      </c>
      <c r="Y21" s="101">
        <v>13200</v>
      </c>
      <c r="Z21" s="101">
        <v>13200</v>
      </c>
      <c r="AA21" s="101">
        <v>13200</v>
      </c>
      <c r="AB21" s="101">
        <v>13200</v>
      </c>
      <c r="AC21" s="235"/>
      <c r="AD21" s="177">
        <f>+AC39</f>
        <v>9820800</v>
      </c>
      <c r="BG21" s="154" t="e">
        <f>(+#REF!)/1000</f>
        <v>#REF!</v>
      </c>
    </row>
    <row r="22" spans="2:59" ht="18.649999999999999" customHeight="1" thickBot="1" x14ac:dyDescent="0.4">
      <c r="B22" s="213"/>
      <c r="C22" s="16" t="s">
        <v>32</v>
      </c>
      <c r="D22" s="17">
        <v>3</v>
      </c>
      <c r="E22" s="102">
        <v>13200</v>
      </c>
      <c r="F22" s="102">
        <v>13200</v>
      </c>
      <c r="G22" s="102">
        <v>13200</v>
      </c>
      <c r="H22" s="102">
        <v>13200</v>
      </c>
      <c r="I22" s="102">
        <v>13200</v>
      </c>
      <c r="J22" s="102">
        <v>13200</v>
      </c>
      <c r="K22" s="102">
        <v>13200</v>
      </c>
      <c r="L22" s="102">
        <v>13200</v>
      </c>
      <c r="M22" s="102">
        <v>13200</v>
      </c>
      <c r="N22" s="102">
        <v>13200</v>
      </c>
      <c r="O22" s="102">
        <v>13200</v>
      </c>
      <c r="P22" s="102">
        <v>13200</v>
      </c>
      <c r="Q22" s="102">
        <v>13200</v>
      </c>
      <c r="R22" s="102">
        <v>13200</v>
      </c>
      <c r="S22" s="102">
        <v>13200</v>
      </c>
      <c r="T22" s="102">
        <v>13200</v>
      </c>
      <c r="U22" s="102">
        <v>13200</v>
      </c>
      <c r="V22" s="102">
        <v>13200</v>
      </c>
      <c r="W22" s="102">
        <v>13200</v>
      </c>
      <c r="X22" s="102">
        <v>13200</v>
      </c>
      <c r="Y22" s="102">
        <v>13200</v>
      </c>
      <c r="Z22" s="102">
        <v>13200</v>
      </c>
      <c r="AA22" s="102">
        <v>13200</v>
      </c>
      <c r="AB22" s="102">
        <v>13200</v>
      </c>
      <c r="AC22" s="235"/>
      <c r="AD22" s="177">
        <f>+AC43</f>
        <v>9504000</v>
      </c>
      <c r="BG22" s="154" t="e">
        <f>(+#REF!)/1000</f>
        <v>#REF!</v>
      </c>
    </row>
    <row r="23" spans="2:59" ht="18.649999999999999" customHeight="1" x14ac:dyDescent="0.35">
      <c r="B23" s="222">
        <v>47209</v>
      </c>
      <c r="C23" s="7" t="s">
        <v>29</v>
      </c>
      <c r="D23" s="8">
        <v>21</v>
      </c>
      <c r="E23" s="100">
        <v>13200</v>
      </c>
      <c r="F23" s="100">
        <v>13200</v>
      </c>
      <c r="G23" s="100">
        <v>13200</v>
      </c>
      <c r="H23" s="100">
        <v>13200</v>
      </c>
      <c r="I23" s="100">
        <v>13200</v>
      </c>
      <c r="J23" s="100">
        <v>13200</v>
      </c>
      <c r="K23" s="100">
        <v>13200</v>
      </c>
      <c r="L23" s="100">
        <v>13200</v>
      </c>
      <c r="M23" s="100">
        <v>13200</v>
      </c>
      <c r="N23" s="100">
        <v>13200</v>
      </c>
      <c r="O23" s="100">
        <v>13200</v>
      </c>
      <c r="P23" s="100">
        <v>13200</v>
      </c>
      <c r="Q23" s="100">
        <v>13200</v>
      </c>
      <c r="R23" s="100">
        <v>13200</v>
      </c>
      <c r="S23" s="100">
        <v>13200</v>
      </c>
      <c r="T23" s="100">
        <v>13200</v>
      </c>
      <c r="U23" s="100">
        <v>13200</v>
      </c>
      <c r="V23" s="100">
        <v>13200</v>
      </c>
      <c r="W23" s="100">
        <v>13200</v>
      </c>
      <c r="X23" s="100">
        <v>13200</v>
      </c>
      <c r="Y23" s="100">
        <v>13200</v>
      </c>
      <c r="Z23" s="100">
        <v>13200</v>
      </c>
      <c r="AA23" s="100">
        <v>13200</v>
      </c>
      <c r="AB23" s="100">
        <v>13200</v>
      </c>
      <c r="AC23" s="234">
        <f>SUM(E23:AB23)*D23+SUM(E24:AB24)*D24+SUM(E25:AB25)*D25+SUM(E26:AB26)*D26</f>
        <v>9504000</v>
      </c>
      <c r="AD23" s="177">
        <f>+AC47</f>
        <v>9820800</v>
      </c>
      <c r="BG23" s="154" t="e">
        <f>(+#REF!)/1000</f>
        <v>#REF!</v>
      </c>
    </row>
    <row r="24" spans="2:59" ht="18.649999999999999" customHeight="1" x14ac:dyDescent="0.35">
      <c r="B24" s="223" t="s">
        <v>34</v>
      </c>
      <c r="C24" s="10" t="s">
        <v>30</v>
      </c>
      <c r="D24" s="11">
        <v>4</v>
      </c>
      <c r="E24" s="101">
        <v>13200</v>
      </c>
      <c r="F24" s="101">
        <v>13200</v>
      </c>
      <c r="G24" s="101">
        <v>13200</v>
      </c>
      <c r="H24" s="101">
        <v>13200</v>
      </c>
      <c r="I24" s="101">
        <v>13200</v>
      </c>
      <c r="J24" s="101">
        <v>13200</v>
      </c>
      <c r="K24" s="101">
        <v>13200</v>
      </c>
      <c r="L24" s="101">
        <v>13200</v>
      </c>
      <c r="M24" s="101">
        <v>13200</v>
      </c>
      <c r="N24" s="101">
        <v>13200</v>
      </c>
      <c r="O24" s="101">
        <v>13200</v>
      </c>
      <c r="P24" s="101">
        <v>13200</v>
      </c>
      <c r="Q24" s="101">
        <v>13200</v>
      </c>
      <c r="R24" s="101">
        <v>13200</v>
      </c>
      <c r="S24" s="101">
        <v>13200</v>
      </c>
      <c r="T24" s="101">
        <v>13200</v>
      </c>
      <c r="U24" s="101">
        <v>13200</v>
      </c>
      <c r="V24" s="101">
        <v>13200</v>
      </c>
      <c r="W24" s="101">
        <v>13200</v>
      </c>
      <c r="X24" s="101">
        <v>13200</v>
      </c>
      <c r="Y24" s="101">
        <v>13200</v>
      </c>
      <c r="Z24" s="101">
        <v>13200</v>
      </c>
      <c r="AA24" s="101">
        <v>13200</v>
      </c>
      <c r="AB24" s="101">
        <v>13200</v>
      </c>
      <c r="AC24" s="235"/>
      <c r="AD24" s="177">
        <f>+AC51</f>
        <v>9504000</v>
      </c>
    </row>
    <row r="25" spans="2:59" ht="18.649999999999999" customHeight="1" x14ac:dyDescent="0.35">
      <c r="B25" s="223" t="s">
        <v>34</v>
      </c>
      <c r="C25" s="10" t="s">
        <v>31</v>
      </c>
      <c r="D25" s="11">
        <v>5</v>
      </c>
      <c r="E25" s="101">
        <v>13200</v>
      </c>
      <c r="F25" s="101">
        <v>13200</v>
      </c>
      <c r="G25" s="101">
        <v>13200</v>
      </c>
      <c r="H25" s="101">
        <v>13200</v>
      </c>
      <c r="I25" s="101">
        <v>13200</v>
      </c>
      <c r="J25" s="101">
        <v>13200</v>
      </c>
      <c r="K25" s="101">
        <v>13200</v>
      </c>
      <c r="L25" s="101">
        <v>13200</v>
      </c>
      <c r="M25" s="101">
        <v>13200</v>
      </c>
      <c r="N25" s="101">
        <v>13200</v>
      </c>
      <c r="O25" s="101">
        <v>13200</v>
      </c>
      <c r="P25" s="101">
        <v>13200</v>
      </c>
      <c r="Q25" s="101">
        <v>13200</v>
      </c>
      <c r="R25" s="101">
        <v>13200</v>
      </c>
      <c r="S25" s="101">
        <v>13200</v>
      </c>
      <c r="T25" s="101">
        <v>13200</v>
      </c>
      <c r="U25" s="101">
        <v>13200</v>
      </c>
      <c r="V25" s="101">
        <v>13200</v>
      </c>
      <c r="W25" s="101">
        <v>13200</v>
      </c>
      <c r="X25" s="101">
        <v>13200</v>
      </c>
      <c r="Y25" s="101">
        <v>13200</v>
      </c>
      <c r="Z25" s="101">
        <v>13200</v>
      </c>
      <c r="AA25" s="101">
        <v>13200</v>
      </c>
      <c r="AB25" s="101">
        <v>13200</v>
      </c>
      <c r="AC25" s="235"/>
      <c r="AD25" s="177">
        <f>+AC55</f>
        <v>9820800</v>
      </c>
      <c r="BG25" s="154">
        <f>+AC110/1000</f>
        <v>231264</v>
      </c>
    </row>
    <row r="26" spans="2:59" ht="18.649999999999999" customHeight="1" thickBot="1" x14ac:dyDescent="0.4">
      <c r="B26" s="224" t="s">
        <v>34</v>
      </c>
      <c r="C26" s="12" t="s">
        <v>32</v>
      </c>
      <c r="D26" s="13">
        <v>0</v>
      </c>
      <c r="E26" s="159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237"/>
      <c r="AD26" s="19"/>
      <c r="BG26" s="9">
        <v>1000</v>
      </c>
    </row>
    <row r="27" spans="2:59" ht="18.649999999999999" customHeight="1" x14ac:dyDescent="0.35">
      <c r="B27" s="212">
        <v>47239</v>
      </c>
      <c r="C27" s="14" t="s">
        <v>29</v>
      </c>
      <c r="D27" s="15">
        <v>21</v>
      </c>
      <c r="E27" s="103">
        <v>13200</v>
      </c>
      <c r="F27" s="103">
        <v>13200</v>
      </c>
      <c r="G27" s="103">
        <v>13200</v>
      </c>
      <c r="H27" s="103">
        <v>13200</v>
      </c>
      <c r="I27" s="103">
        <v>13200</v>
      </c>
      <c r="J27" s="103">
        <v>13200</v>
      </c>
      <c r="K27" s="103">
        <v>13200</v>
      </c>
      <c r="L27" s="103">
        <v>13200</v>
      </c>
      <c r="M27" s="103">
        <v>13200</v>
      </c>
      <c r="N27" s="103">
        <v>13200</v>
      </c>
      <c r="O27" s="103">
        <v>13200</v>
      </c>
      <c r="P27" s="103">
        <v>13200</v>
      </c>
      <c r="Q27" s="103">
        <v>13200</v>
      </c>
      <c r="R27" s="103">
        <v>13200</v>
      </c>
      <c r="S27" s="103">
        <v>13200</v>
      </c>
      <c r="T27" s="103">
        <v>13200</v>
      </c>
      <c r="U27" s="103">
        <v>13200</v>
      </c>
      <c r="V27" s="103">
        <v>13200</v>
      </c>
      <c r="W27" s="103">
        <v>13200</v>
      </c>
      <c r="X27" s="103">
        <v>13200</v>
      </c>
      <c r="Y27" s="103">
        <v>13200</v>
      </c>
      <c r="Z27" s="103">
        <v>13200</v>
      </c>
      <c r="AA27" s="103">
        <v>13200</v>
      </c>
      <c r="AB27" s="103">
        <v>13200</v>
      </c>
      <c r="AC27" s="235">
        <f>SUM(E27:AB27)*D27+SUM(E28:AB28)*D28+SUM(E29:AB29)*D29+SUM(E30:AB30)*D30</f>
        <v>9820800</v>
      </c>
      <c r="AD27" s="19"/>
    </row>
    <row r="28" spans="2:59" ht="18.649999999999999" customHeight="1" x14ac:dyDescent="0.35">
      <c r="B28" s="213"/>
      <c r="C28" s="10" t="s">
        <v>30</v>
      </c>
      <c r="D28" s="11">
        <v>4</v>
      </c>
      <c r="E28" s="101">
        <v>13200</v>
      </c>
      <c r="F28" s="101">
        <v>13200</v>
      </c>
      <c r="G28" s="101">
        <v>13200</v>
      </c>
      <c r="H28" s="101">
        <v>13200</v>
      </c>
      <c r="I28" s="101">
        <v>13200</v>
      </c>
      <c r="J28" s="101">
        <v>13200</v>
      </c>
      <c r="K28" s="101">
        <v>13200</v>
      </c>
      <c r="L28" s="101">
        <v>13200</v>
      </c>
      <c r="M28" s="101">
        <v>13200</v>
      </c>
      <c r="N28" s="101">
        <v>13200</v>
      </c>
      <c r="O28" s="101">
        <v>13200</v>
      </c>
      <c r="P28" s="101">
        <v>13200</v>
      </c>
      <c r="Q28" s="101">
        <v>13200</v>
      </c>
      <c r="R28" s="101">
        <v>13200</v>
      </c>
      <c r="S28" s="101">
        <v>13200</v>
      </c>
      <c r="T28" s="101">
        <v>13200</v>
      </c>
      <c r="U28" s="101">
        <v>13200</v>
      </c>
      <c r="V28" s="101">
        <v>13200</v>
      </c>
      <c r="W28" s="101">
        <v>13200</v>
      </c>
      <c r="X28" s="101">
        <v>13200</v>
      </c>
      <c r="Y28" s="101">
        <v>13200</v>
      </c>
      <c r="Z28" s="101">
        <v>13200</v>
      </c>
      <c r="AA28" s="101">
        <v>13200</v>
      </c>
      <c r="AB28" s="101">
        <v>13200</v>
      </c>
      <c r="AC28" s="235"/>
      <c r="AD28" s="19"/>
    </row>
    <row r="29" spans="2:59" ht="18.649999999999999" customHeight="1" x14ac:dyDescent="0.35">
      <c r="B29" s="213"/>
      <c r="C29" s="10" t="s">
        <v>31</v>
      </c>
      <c r="D29" s="11">
        <v>4</v>
      </c>
      <c r="E29" s="101">
        <v>13200</v>
      </c>
      <c r="F29" s="101">
        <v>13200</v>
      </c>
      <c r="G29" s="101">
        <v>13200</v>
      </c>
      <c r="H29" s="101">
        <v>13200</v>
      </c>
      <c r="I29" s="101">
        <v>13200</v>
      </c>
      <c r="J29" s="101">
        <v>13200</v>
      </c>
      <c r="K29" s="101">
        <v>13200</v>
      </c>
      <c r="L29" s="101">
        <v>13200</v>
      </c>
      <c r="M29" s="101">
        <v>13200</v>
      </c>
      <c r="N29" s="101">
        <v>13200</v>
      </c>
      <c r="O29" s="101">
        <v>13200</v>
      </c>
      <c r="P29" s="101">
        <v>13200</v>
      </c>
      <c r="Q29" s="101">
        <v>13200</v>
      </c>
      <c r="R29" s="101">
        <v>13200</v>
      </c>
      <c r="S29" s="101">
        <v>13200</v>
      </c>
      <c r="T29" s="101">
        <v>13200</v>
      </c>
      <c r="U29" s="101">
        <v>13200</v>
      </c>
      <c r="V29" s="101">
        <v>13200</v>
      </c>
      <c r="W29" s="101">
        <v>13200</v>
      </c>
      <c r="X29" s="101">
        <v>13200</v>
      </c>
      <c r="Y29" s="101">
        <v>13200</v>
      </c>
      <c r="Z29" s="101">
        <v>13200</v>
      </c>
      <c r="AA29" s="101">
        <v>13200</v>
      </c>
      <c r="AB29" s="101">
        <v>13200</v>
      </c>
      <c r="AC29" s="235"/>
      <c r="AD29" s="19"/>
    </row>
    <row r="30" spans="2:59" ht="18.649999999999999" customHeight="1" thickBot="1" x14ac:dyDescent="0.4">
      <c r="B30" s="213"/>
      <c r="C30" s="16" t="s">
        <v>32</v>
      </c>
      <c r="D30" s="17">
        <v>2</v>
      </c>
      <c r="E30" s="102">
        <v>13200</v>
      </c>
      <c r="F30" s="102">
        <v>13200</v>
      </c>
      <c r="G30" s="102">
        <v>13200</v>
      </c>
      <c r="H30" s="102">
        <v>13200</v>
      </c>
      <c r="I30" s="102">
        <v>13200</v>
      </c>
      <c r="J30" s="102">
        <v>13200</v>
      </c>
      <c r="K30" s="102">
        <v>13200</v>
      </c>
      <c r="L30" s="102">
        <v>13200</v>
      </c>
      <c r="M30" s="102">
        <v>13200</v>
      </c>
      <c r="N30" s="102">
        <v>13200</v>
      </c>
      <c r="O30" s="102">
        <v>13200</v>
      </c>
      <c r="P30" s="102">
        <v>13200</v>
      </c>
      <c r="Q30" s="102">
        <v>13200</v>
      </c>
      <c r="R30" s="102">
        <v>13200</v>
      </c>
      <c r="S30" s="102">
        <v>13200</v>
      </c>
      <c r="T30" s="102">
        <v>13200</v>
      </c>
      <c r="U30" s="102">
        <v>13200</v>
      </c>
      <c r="V30" s="102">
        <v>13200</v>
      </c>
      <c r="W30" s="102">
        <v>13200</v>
      </c>
      <c r="X30" s="102">
        <v>13200</v>
      </c>
      <c r="Y30" s="102">
        <v>13200</v>
      </c>
      <c r="Z30" s="102">
        <v>13200</v>
      </c>
      <c r="AA30" s="102">
        <v>13200</v>
      </c>
      <c r="AB30" s="102">
        <v>13200</v>
      </c>
      <c r="AC30" s="235"/>
      <c r="AD30" s="19"/>
    </row>
    <row r="31" spans="2:59" ht="18.649999999999999" customHeight="1" x14ac:dyDescent="0.35">
      <c r="B31" s="222">
        <v>47270</v>
      </c>
      <c r="C31" s="7" t="s">
        <v>29</v>
      </c>
      <c r="D31" s="8">
        <v>19</v>
      </c>
      <c r="E31" s="100">
        <v>13200</v>
      </c>
      <c r="F31" s="100">
        <v>13200</v>
      </c>
      <c r="G31" s="100">
        <v>13200</v>
      </c>
      <c r="H31" s="100">
        <v>13200</v>
      </c>
      <c r="I31" s="100">
        <v>13200</v>
      </c>
      <c r="J31" s="100">
        <v>13200</v>
      </c>
      <c r="K31" s="100">
        <v>13200</v>
      </c>
      <c r="L31" s="100">
        <v>13200</v>
      </c>
      <c r="M31" s="100">
        <v>13200</v>
      </c>
      <c r="N31" s="100">
        <v>13200</v>
      </c>
      <c r="O31" s="100">
        <v>13200</v>
      </c>
      <c r="P31" s="100">
        <v>13200</v>
      </c>
      <c r="Q31" s="100">
        <v>13200</v>
      </c>
      <c r="R31" s="100">
        <v>13200</v>
      </c>
      <c r="S31" s="100">
        <v>13200</v>
      </c>
      <c r="T31" s="100">
        <v>13200</v>
      </c>
      <c r="U31" s="100">
        <v>13200</v>
      </c>
      <c r="V31" s="100">
        <v>13200</v>
      </c>
      <c r="W31" s="100">
        <v>13200</v>
      </c>
      <c r="X31" s="100">
        <v>13200</v>
      </c>
      <c r="Y31" s="100">
        <v>13200</v>
      </c>
      <c r="Z31" s="100">
        <v>13200</v>
      </c>
      <c r="AA31" s="100">
        <v>13200</v>
      </c>
      <c r="AB31" s="100">
        <v>13200</v>
      </c>
      <c r="AC31" s="234">
        <f>SUM(E31:AB31)*D31+SUM(E32:AB32)*D32+SUM(E33:AB33)*D33+SUM(E34:AB34)*D34</f>
        <v>9504000</v>
      </c>
      <c r="AD31" s="19"/>
    </row>
    <row r="32" spans="2:59" ht="18.649999999999999" customHeight="1" x14ac:dyDescent="0.35">
      <c r="B32" s="223" t="s">
        <v>34</v>
      </c>
      <c r="C32" s="10" t="s">
        <v>30</v>
      </c>
      <c r="D32" s="11">
        <v>5</v>
      </c>
      <c r="E32" s="101">
        <v>13200</v>
      </c>
      <c r="F32" s="101">
        <v>13200</v>
      </c>
      <c r="G32" s="101">
        <v>13200</v>
      </c>
      <c r="H32" s="101">
        <v>13200</v>
      </c>
      <c r="I32" s="101">
        <v>13200</v>
      </c>
      <c r="J32" s="101">
        <v>13200</v>
      </c>
      <c r="K32" s="101">
        <v>13200</v>
      </c>
      <c r="L32" s="101">
        <v>13200</v>
      </c>
      <c r="M32" s="101">
        <v>13200</v>
      </c>
      <c r="N32" s="101">
        <v>13200</v>
      </c>
      <c r="O32" s="101">
        <v>13200</v>
      </c>
      <c r="P32" s="101">
        <v>13200</v>
      </c>
      <c r="Q32" s="101">
        <v>13200</v>
      </c>
      <c r="R32" s="101">
        <v>13200</v>
      </c>
      <c r="S32" s="101">
        <v>13200</v>
      </c>
      <c r="T32" s="101">
        <v>13200</v>
      </c>
      <c r="U32" s="101">
        <v>13200</v>
      </c>
      <c r="V32" s="101">
        <v>13200</v>
      </c>
      <c r="W32" s="101">
        <v>13200</v>
      </c>
      <c r="X32" s="101">
        <v>13200</v>
      </c>
      <c r="Y32" s="101">
        <v>13200</v>
      </c>
      <c r="Z32" s="101">
        <v>13200</v>
      </c>
      <c r="AA32" s="101">
        <v>13200</v>
      </c>
      <c r="AB32" s="101">
        <v>13200</v>
      </c>
      <c r="AC32" s="235"/>
      <c r="AD32" s="19"/>
    </row>
    <row r="33" spans="2:30" ht="18.649999999999999" customHeight="1" x14ac:dyDescent="0.35">
      <c r="B33" s="223" t="s">
        <v>34</v>
      </c>
      <c r="C33" s="10" t="s">
        <v>31</v>
      </c>
      <c r="D33" s="11">
        <v>4</v>
      </c>
      <c r="E33" s="101">
        <v>13200</v>
      </c>
      <c r="F33" s="101">
        <v>13200</v>
      </c>
      <c r="G33" s="101">
        <v>13200</v>
      </c>
      <c r="H33" s="101">
        <v>13200</v>
      </c>
      <c r="I33" s="101">
        <v>13200</v>
      </c>
      <c r="J33" s="101">
        <v>13200</v>
      </c>
      <c r="K33" s="101">
        <v>13200</v>
      </c>
      <c r="L33" s="101">
        <v>13200</v>
      </c>
      <c r="M33" s="101">
        <v>13200</v>
      </c>
      <c r="N33" s="101">
        <v>13200</v>
      </c>
      <c r="O33" s="101">
        <v>13200</v>
      </c>
      <c r="P33" s="101">
        <v>13200</v>
      </c>
      <c r="Q33" s="101">
        <v>13200</v>
      </c>
      <c r="R33" s="101">
        <v>13200</v>
      </c>
      <c r="S33" s="101">
        <v>13200</v>
      </c>
      <c r="T33" s="101">
        <v>13200</v>
      </c>
      <c r="U33" s="101">
        <v>13200</v>
      </c>
      <c r="V33" s="101">
        <v>13200</v>
      </c>
      <c r="W33" s="101">
        <v>13200</v>
      </c>
      <c r="X33" s="101">
        <v>13200</v>
      </c>
      <c r="Y33" s="101">
        <v>13200</v>
      </c>
      <c r="Z33" s="101">
        <v>13200</v>
      </c>
      <c r="AA33" s="101">
        <v>13200</v>
      </c>
      <c r="AB33" s="101">
        <v>13200</v>
      </c>
      <c r="AC33" s="235"/>
      <c r="AD33" s="19"/>
    </row>
    <row r="34" spans="2:30" ht="18.649999999999999" customHeight="1" thickBot="1" x14ac:dyDescent="0.4">
      <c r="B34" s="224" t="s">
        <v>34</v>
      </c>
      <c r="C34" s="12" t="s">
        <v>32</v>
      </c>
      <c r="D34" s="13">
        <v>2</v>
      </c>
      <c r="E34" s="98">
        <v>13200</v>
      </c>
      <c r="F34" s="98">
        <v>13200</v>
      </c>
      <c r="G34" s="98">
        <v>13200</v>
      </c>
      <c r="H34" s="98">
        <v>13200</v>
      </c>
      <c r="I34" s="98">
        <v>13200</v>
      </c>
      <c r="J34" s="98">
        <v>13200</v>
      </c>
      <c r="K34" s="98">
        <v>13200</v>
      </c>
      <c r="L34" s="98">
        <v>13200</v>
      </c>
      <c r="M34" s="98">
        <v>13200</v>
      </c>
      <c r="N34" s="98">
        <v>13200</v>
      </c>
      <c r="O34" s="98">
        <v>13200</v>
      </c>
      <c r="P34" s="98">
        <v>13200</v>
      </c>
      <c r="Q34" s="98">
        <v>13200</v>
      </c>
      <c r="R34" s="98">
        <v>13200</v>
      </c>
      <c r="S34" s="98">
        <v>13200</v>
      </c>
      <c r="T34" s="98">
        <v>13200</v>
      </c>
      <c r="U34" s="98">
        <v>13200</v>
      </c>
      <c r="V34" s="98">
        <v>13200</v>
      </c>
      <c r="W34" s="98">
        <v>13200</v>
      </c>
      <c r="X34" s="98">
        <v>13200</v>
      </c>
      <c r="Y34" s="98">
        <v>13200</v>
      </c>
      <c r="Z34" s="98">
        <v>13200</v>
      </c>
      <c r="AA34" s="98">
        <v>13200</v>
      </c>
      <c r="AB34" s="98">
        <v>13200</v>
      </c>
      <c r="AC34" s="237"/>
      <c r="AD34" s="19"/>
    </row>
    <row r="35" spans="2:30" ht="18.649999999999999" customHeight="1" x14ac:dyDescent="0.35">
      <c r="B35" s="212">
        <v>47300</v>
      </c>
      <c r="C35" s="14" t="s">
        <v>29</v>
      </c>
      <c r="D35" s="15">
        <v>20</v>
      </c>
      <c r="E35" s="103">
        <v>13200</v>
      </c>
      <c r="F35" s="103">
        <v>13200</v>
      </c>
      <c r="G35" s="103">
        <v>13200</v>
      </c>
      <c r="H35" s="103">
        <v>13200</v>
      </c>
      <c r="I35" s="103">
        <v>13200</v>
      </c>
      <c r="J35" s="103">
        <v>13200</v>
      </c>
      <c r="K35" s="103">
        <v>13200</v>
      </c>
      <c r="L35" s="103">
        <v>13200</v>
      </c>
      <c r="M35" s="103">
        <v>13200</v>
      </c>
      <c r="N35" s="103">
        <v>13200</v>
      </c>
      <c r="O35" s="103">
        <v>13200</v>
      </c>
      <c r="P35" s="103">
        <v>13200</v>
      </c>
      <c r="Q35" s="103">
        <v>13200</v>
      </c>
      <c r="R35" s="103">
        <v>13200</v>
      </c>
      <c r="S35" s="103">
        <v>13200</v>
      </c>
      <c r="T35" s="103">
        <v>13200</v>
      </c>
      <c r="U35" s="103">
        <v>13200</v>
      </c>
      <c r="V35" s="103">
        <v>13200</v>
      </c>
      <c r="W35" s="103">
        <v>13200</v>
      </c>
      <c r="X35" s="103">
        <v>13200</v>
      </c>
      <c r="Y35" s="103">
        <v>13200</v>
      </c>
      <c r="Z35" s="103">
        <v>13200</v>
      </c>
      <c r="AA35" s="103">
        <v>13200</v>
      </c>
      <c r="AB35" s="103">
        <v>13200</v>
      </c>
      <c r="AC35" s="235">
        <f>SUM(E35:AB35)*D35+SUM(E36:AB36)*D36+SUM(E37:AB37)*D37+SUM(E38:AB38)*D38</f>
        <v>9820800</v>
      </c>
      <c r="AD35" s="19"/>
    </row>
    <row r="36" spans="2:30" ht="18.649999999999999" customHeight="1" x14ac:dyDescent="0.35">
      <c r="B36" s="213"/>
      <c r="C36" s="10" t="s">
        <v>30</v>
      </c>
      <c r="D36" s="11">
        <v>4</v>
      </c>
      <c r="E36" s="101">
        <v>13200</v>
      </c>
      <c r="F36" s="101">
        <v>13200</v>
      </c>
      <c r="G36" s="101">
        <v>13200</v>
      </c>
      <c r="H36" s="101">
        <v>13200</v>
      </c>
      <c r="I36" s="101">
        <v>13200</v>
      </c>
      <c r="J36" s="101">
        <v>13200</v>
      </c>
      <c r="K36" s="101">
        <v>13200</v>
      </c>
      <c r="L36" s="101">
        <v>13200</v>
      </c>
      <c r="M36" s="101">
        <v>13200</v>
      </c>
      <c r="N36" s="101">
        <v>13200</v>
      </c>
      <c r="O36" s="101">
        <v>13200</v>
      </c>
      <c r="P36" s="101">
        <v>13200</v>
      </c>
      <c r="Q36" s="101">
        <v>13200</v>
      </c>
      <c r="R36" s="101">
        <v>13200</v>
      </c>
      <c r="S36" s="101">
        <v>13200</v>
      </c>
      <c r="T36" s="101">
        <v>13200</v>
      </c>
      <c r="U36" s="101">
        <v>13200</v>
      </c>
      <c r="V36" s="101">
        <v>13200</v>
      </c>
      <c r="W36" s="101">
        <v>13200</v>
      </c>
      <c r="X36" s="101">
        <v>13200</v>
      </c>
      <c r="Y36" s="101">
        <v>13200</v>
      </c>
      <c r="Z36" s="101">
        <v>13200</v>
      </c>
      <c r="AA36" s="101">
        <v>13200</v>
      </c>
      <c r="AB36" s="101">
        <v>13200</v>
      </c>
      <c r="AC36" s="235"/>
      <c r="AD36" s="19"/>
    </row>
    <row r="37" spans="2:30" ht="18.649999999999999" customHeight="1" x14ac:dyDescent="0.35">
      <c r="B37" s="213"/>
      <c r="C37" s="10" t="s">
        <v>31</v>
      </c>
      <c r="D37" s="11">
        <v>5</v>
      </c>
      <c r="E37" s="101">
        <v>13200</v>
      </c>
      <c r="F37" s="101">
        <v>13200</v>
      </c>
      <c r="G37" s="101">
        <v>13200</v>
      </c>
      <c r="H37" s="101">
        <v>13200</v>
      </c>
      <c r="I37" s="101">
        <v>13200</v>
      </c>
      <c r="J37" s="101">
        <v>13200</v>
      </c>
      <c r="K37" s="101">
        <v>13200</v>
      </c>
      <c r="L37" s="101">
        <v>13200</v>
      </c>
      <c r="M37" s="101">
        <v>13200</v>
      </c>
      <c r="N37" s="101">
        <v>13200</v>
      </c>
      <c r="O37" s="101">
        <v>13200</v>
      </c>
      <c r="P37" s="101">
        <v>13200</v>
      </c>
      <c r="Q37" s="101">
        <v>13200</v>
      </c>
      <c r="R37" s="101">
        <v>13200</v>
      </c>
      <c r="S37" s="101">
        <v>13200</v>
      </c>
      <c r="T37" s="101">
        <v>13200</v>
      </c>
      <c r="U37" s="101">
        <v>13200</v>
      </c>
      <c r="V37" s="101">
        <v>13200</v>
      </c>
      <c r="W37" s="101">
        <v>13200</v>
      </c>
      <c r="X37" s="101">
        <v>13200</v>
      </c>
      <c r="Y37" s="101">
        <v>13200</v>
      </c>
      <c r="Z37" s="101">
        <v>13200</v>
      </c>
      <c r="AA37" s="101">
        <v>13200</v>
      </c>
      <c r="AB37" s="101">
        <v>13200</v>
      </c>
      <c r="AC37" s="235"/>
      <c r="AD37" s="19"/>
    </row>
    <row r="38" spans="2:30" ht="18.649999999999999" customHeight="1" thickBot="1" x14ac:dyDescent="0.4">
      <c r="B38" s="213"/>
      <c r="C38" s="16" t="s">
        <v>32</v>
      </c>
      <c r="D38" s="17">
        <v>2</v>
      </c>
      <c r="E38" s="102">
        <v>13200</v>
      </c>
      <c r="F38" s="102">
        <v>13200</v>
      </c>
      <c r="G38" s="102">
        <v>13200</v>
      </c>
      <c r="H38" s="102">
        <v>13200</v>
      </c>
      <c r="I38" s="102">
        <v>13200</v>
      </c>
      <c r="J38" s="102">
        <v>13200</v>
      </c>
      <c r="K38" s="102">
        <v>13200</v>
      </c>
      <c r="L38" s="102">
        <v>13200</v>
      </c>
      <c r="M38" s="102">
        <v>13200</v>
      </c>
      <c r="N38" s="102">
        <v>13200</v>
      </c>
      <c r="O38" s="102">
        <v>13200</v>
      </c>
      <c r="P38" s="102">
        <v>13200</v>
      </c>
      <c r="Q38" s="102">
        <v>13200</v>
      </c>
      <c r="R38" s="102">
        <v>13200</v>
      </c>
      <c r="S38" s="102">
        <v>13200</v>
      </c>
      <c r="T38" s="102">
        <v>13200</v>
      </c>
      <c r="U38" s="102">
        <v>13200</v>
      </c>
      <c r="V38" s="102">
        <v>13200</v>
      </c>
      <c r="W38" s="102">
        <v>13200</v>
      </c>
      <c r="X38" s="102">
        <v>13200</v>
      </c>
      <c r="Y38" s="102">
        <v>13200</v>
      </c>
      <c r="Z38" s="102">
        <v>13200</v>
      </c>
      <c r="AA38" s="102">
        <v>13200</v>
      </c>
      <c r="AB38" s="102">
        <v>13200</v>
      </c>
      <c r="AC38" s="235"/>
      <c r="AD38" s="19"/>
    </row>
    <row r="39" spans="2:30" ht="18.649999999999999" customHeight="1" x14ac:dyDescent="0.35">
      <c r="B39" s="222">
        <v>47331</v>
      </c>
      <c r="C39" s="7" t="s">
        <v>29</v>
      </c>
      <c r="D39" s="8">
        <v>21</v>
      </c>
      <c r="E39" s="100">
        <v>13200</v>
      </c>
      <c r="F39" s="100">
        <v>13200</v>
      </c>
      <c r="G39" s="100">
        <v>13200</v>
      </c>
      <c r="H39" s="100">
        <v>13200</v>
      </c>
      <c r="I39" s="100">
        <v>13200</v>
      </c>
      <c r="J39" s="100">
        <v>13200</v>
      </c>
      <c r="K39" s="100">
        <v>13200</v>
      </c>
      <c r="L39" s="100">
        <v>13200</v>
      </c>
      <c r="M39" s="100">
        <v>13200</v>
      </c>
      <c r="N39" s="100">
        <v>13200</v>
      </c>
      <c r="O39" s="100">
        <v>13200</v>
      </c>
      <c r="P39" s="100">
        <v>13200</v>
      </c>
      <c r="Q39" s="100">
        <v>13200</v>
      </c>
      <c r="R39" s="100">
        <v>13200</v>
      </c>
      <c r="S39" s="100">
        <v>13200</v>
      </c>
      <c r="T39" s="100">
        <v>13200</v>
      </c>
      <c r="U39" s="100">
        <v>13200</v>
      </c>
      <c r="V39" s="100">
        <v>13200</v>
      </c>
      <c r="W39" s="100">
        <v>13200</v>
      </c>
      <c r="X39" s="100">
        <v>13200</v>
      </c>
      <c r="Y39" s="100">
        <v>13200</v>
      </c>
      <c r="Z39" s="100">
        <v>13200</v>
      </c>
      <c r="AA39" s="100">
        <v>13200</v>
      </c>
      <c r="AB39" s="100">
        <v>13200</v>
      </c>
      <c r="AC39" s="234">
        <f>SUM(E39:AB39)*D39+SUM(E40:AB40)*D40+SUM(E41:AB41)*D41+SUM(E42:AB42)*D42</f>
        <v>9820800</v>
      </c>
      <c r="AD39" s="19"/>
    </row>
    <row r="40" spans="2:30" ht="18.649999999999999" customHeight="1" x14ac:dyDescent="0.35">
      <c r="B40" s="223" t="s">
        <v>34</v>
      </c>
      <c r="C40" s="10" t="s">
        <v>30</v>
      </c>
      <c r="D40" s="11">
        <v>4</v>
      </c>
      <c r="E40" s="101">
        <v>13200</v>
      </c>
      <c r="F40" s="101">
        <v>13200</v>
      </c>
      <c r="G40" s="101">
        <v>13200</v>
      </c>
      <c r="H40" s="101">
        <v>13200</v>
      </c>
      <c r="I40" s="101">
        <v>13200</v>
      </c>
      <c r="J40" s="101">
        <v>13200</v>
      </c>
      <c r="K40" s="101">
        <v>13200</v>
      </c>
      <c r="L40" s="101">
        <v>13200</v>
      </c>
      <c r="M40" s="101">
        <v>13200</v>
      </c>
      <c r="N40" s="101">
        <v>13200</v>
      </c>
      <c r="O40" s="101">
        <v>13200</v>
      </c>
      <c r="P40" s="101">
        <v>13200</v>
      </c>
      <c r="Q40" s="101">
        <v>13200</v>
      </c>
      <c r="R40" s="101">
        <v>13200</v>
      </c>
      <c r="S40" s="101">
        <v>13200</v>
      </c>
      <c r="T40" s="101">
        <v>13200</v>
      </c>
      <c r="U40" s="101">
        <v>13200</v>
      </c>
      <c r="V40" s="101">
        <v>13200</v>
      </c>
      <c r="W40" s="101">
        <v>13200</v>
      </c>
      <c r="X40" s="101">
        <v>13200</v>
      </c>
      <c r="Y40" s="101">
        <v>13200</v>
      </c>
      <c r="Z40" s="101">
        <v>13200</v>
      </c>
      <c r="AA40" s="101">
        <v>13200</v>
      </c>
      <c r="AB40" s="101">
        <v>13200</v>
      </c>
      <c r="AC40" s="235"/>
      <c r="AD40" s="19"/>
    </row>
    <row r="41" spans="2:30" ht="18.649999999999999" customHeight="1" x14ac:dyDescent="0.35">
      <c r="B41" s="223" t="s">
        <v>34</v>
      </c>
      <c r="C41" s="10" t="s">
        <v>31</v>
      </c>
      <c r="D41" s="11">
        <v>4</v>
      </c>
      <c r="E41" s="101">
        <v>13200</v>
      </c>
      <c r="F41" s="101">
        <v>13200</v>
      </c>
      <c r="G41" s="101">
        <v>13200</v>
      </c>
      <c r="H41" s="101">
        <v>13200</v>
      </c>
      <c r="I41" s="101">
        <v>13200</v>
      </c>
      <c r="J41" s="101">
        <v>13200</v>
      </c>
      <c r="K41" s="101">
        <v>13200</v>
      </c>
      <c r="L41" s="101">
        <v>13200</v>
      </c>
      <c r="M41" s="101">
        <v>13200</v>
      </c>
      <c r="N41" s="101">
        <v>13200</v>
      </c>
      <c r="O41" s="101">
        <v>13200</v>
      </c>
      <c r="P41" s="101">
        <v>13200</v>
      </c>
      <c r="Q41" s="101">
        <v>13200</v>
      </c>
      <c r="R41" s="101">
        <v>13200</v>
      </c>
      <c r="S41" s="101">
        <v>13200</v>
      </c>
      <c r="T41" s="101">
        <v>13200</v>
      </c>
      <c r="U41" s="101">
        <v>13200</v>
      </c>
      <c r="V41" s="101">
        <v>13200</v>
      </c>
      <c r="W41" s="101">
        <v>13200</v>
      </c>
      <c r="X41" s="101">
        <v>13200</v>
      </c>
      <c r="Y41" s="101">
        <v>13200</v>
      </c>
      <c r="Z41" s="101">
        <v>13200</v>
      </c>
      <c r="AA41" s="101">
        <v>13200</v>
      </c>
      <c r="AB41" s="101">
        <v>13200</v>
      </c>
      <c r="AC41" s="235"/>
      <c r="AD41" s="19"/>
    </row>
    <row r="42" spans="2:30" ht="18.649999999999999" customHeight="1" thickBot="1" x14ac:dyDescent="0.4">
      <c r="B42" s="224" t="s">
        <v>34</v>
      </c>
      <c r="C42" s="12" t="s">
        <v>32</v>
      </c>
      <c r="D42" s="13">
        <v>2</v>
      </c>
      <c r="E42" s="98">
        <v>13200</v>
      </c>
      <c r="F42" s="98">
        <v>13200</v>
      </c>
      <c r="G42" s="98">
        <v>13200</v>
      </c>
      <c r="H42" s="98">
        <v>13200</v>
      </c>
      <c r="I42" s="98">
        <v>13200</v>
      </c>
      <c r="J42" s="98">
        <v>13200</v>
      </c>
      <c r="K42" s="98">
        <v>13200</v>
      </c>
      <c r="L42" s="98">
        <v>13200</v>
      </c>
      <c r="M42" s="98">
        <v>13200</v>
      </c>
      <c r="N42" s="98">
        <v>13200</v>
      </c>
      <c r="O42" s="98">
        <v>13200</v>
      </c>
      <c r="P42" s="98">
        <v>13200</v>
      </c>
      <c r="Q42" s="98">
        <v>13200</v>
      </c>
      <c r="R42" s="98">
        <v>13200</v>
      </c>
      <c r="S42" s="98">
        <v>13200</v>
      </c>
      <c r="T42" s="98">
        <v>13200</v>
      </c>
      <c r="U42" s="98">
        <v>13200</v>
      </c>
      <c r="V42" s="98">
        <v>13200</v>
      </c>
      <c r="W42" s="98">
        <v>13200</v>
      </c>
      <c r="X42" s="98">
        <v>13200</v>
      </c>
      <c r="Y42" s="98">
        <v>13200</v>
      </c>
      <c r="Z42" s="98">
        <v>13200</v>
      </c>
      <c r="AA42" s="98">
        <v>13200</v>
      </c>
      <c r="AB42" s="98">
        <v>13200</v>
      </c>
      <c r="AC42" s="237"/>
      <c r="AD42" s="19"/>
    </row>
    <row r="43" spans="2:30" ht="18.649999999999999" customHeight="1" x14ac:dyDescent="0.35">
      <c r="B43" s="212">
        <v>47362</v>
      </c>
      <c r="C43" s="14" t="s">
        <v>29</v>
      </c>
      <c r="D43" s="15">
        <v>20</v>
      </c>
      <c r="E43" s="103">
        <v>13200</v>
      </c>
      <c r="F43" s="103">
        <v>13200</v>
      </c>
      <c r="G43" s="103">
        <v>13200</v>
      </c>
      <c r="H43" s="103">
        <v>13200</v>
      </c>
      <c r="I43" s="103">
        <v>13200</v>
      </c>
      <c r="J43" s="103">
        <v>13200</v>
      </c>
      <c r="K43" s="103">
        <v>13200</v>
      </c>
      <c r="L43" s="103">
        <v>13200</v>
      </c>
      <c r="M43" s="103">
        <v>13200</v>
      </c>
      <c r="N43" s="103">
        <v>13200</v>
      </c>
      <c r="O43" s="103">
        <v>13200</v>
      </c>
      <c r="P43" s="103">
        <v>13200</v>
      </c>
      <c r="Q43" s="103">
        <v>13200</v>
      </c>
      <c r="R43" s="103">
        <v>13200</v>
      </c>
      <c r="S43" s="103">
        <v>13200</v>
      </c>
      <c r="T43" s="103">
        <v>13200</v>
      </c>
      <c r="U43" s="103">
        <v>13200</v>
      </c>
      <c r="V43" s="103">
        <v>13200</v>
      </c>
      <c r="W43" s="103">
        <v>13200</v>
      </c>
      <c r="X43" s="103">
        <v>13200</v>
      </c>
      <c r="Y43" s="103">
        <v>13200</v>
      </c>
      <c r="Z43" s="103">
        <v>13200</v>
      </c>
      <c r="AA43" s="103">
        <v>13200</v>
      </c>
      <c r="AB43" s="103">
        <v>13200</v>
      </c>
      <c r="AC43" s="235">
        <f>SUM(E43:AB43)*D43+SUM(E44:AB44)*D44+SUM(E45:AB45)*D45+SUM(E46:AB46)*D46</f>
        <v>9504000</v>
      </c>
      <c r="AD43" s="19"/>
    </row>
    <row r="44" spans="2:30" ht="18.649999999999999" customHeight="1" x14ac:dyDescent="0.35">
      <c r="B44" s="213"/>
      <c r="C44" s="10" t="s">
        <v>30</v>
      </c>
      <c r="D44" s="11">
        <v>5</v>
      </c>
      <c r="E44" s="101">
        <v>13200</v>
      </c>
      <c r="F44" s="101">
        <v>13200</v>
      </c>
      <c r="G44" s="101">
        <v>13200</v>
      </c>
      <c r="H44" s="101">
        <v>13200</v>
      </c>
      <c r="I44" s="101">
        <v>13200</v>
      </c>
      <c r="J44" s="101">
        <v>13200</v>
      </c>
      <c r="K44" s="101">
        <v>13200</v>
      </c>
      <c r="L44" s="101">
        <v>13200</v>
      </c>
      <c r="M44" s="101">
        <v>13200</v>
      </c>
      <c r="N44" s="101">
        <v>13200</v>
      </c>
      <c r="O44" s="101">
        <v>13200</v>
      </c>
      <c r="P44" s="101">
        <v>13200</v>
      </c>
      <c r="Q44" s="101">
        <v>13200</v>
      </c>
      <c r="R44" s="101">
        <v>13200</v>
      </c>
      <c r="S44" s="101">
        <v>13200</v>
      </c>
      <c r="T44" s="101">
        <v>13200</v>
      </c>
      <c r="U44" s="101">
        <v>13200</v>
      </c>
      <c r="V44" s="101">
        <v>13200</v>
      </c>
      <c r="W44" s="101">
        <v>13200</v>
      </c>
      <c r="X44" s="101">
        <v>13200</v>
      </c>
      <c r="Y44" s="101">
        <v>13200</v>
      </c>
      <c r="Z44" s="101">
        <v>13200</v>
      </c>
      <c r="AA44" s="101">
        <v>13200</v>
      </c>
      <c r="AB44" s="101">
        <v>13200</v>
      </c>
      <c r="AC44" s="235"/>
      <c r="AD44" s="19"/>
    </row>
    <row r="45" spans="2:30" ht="18.649999999999999" customHeight="1" x14ac:dyDescent="0.35">
      <c r="B45" s="213"/>
      <c r="C45" s="10" t="s">
        <v>31</v>
      </c>
      <c r="D45" s="11">
        <v>5</v>
      </c>
      <c r="E45" s="101">
        <v>13200</v>
      </c>
      <c r="F45" s="101">
        <v>13200</v>
      </c>
      <c r="G45" s="101">
        <v>13200</v>
      </c>
      <c r="H45" s="101">
        <v>13200</v>
      </c>
      <c r="I45" s="101">
        <v>13200</v>
      </c>
      <c r="J45" s="101">
        <v>13200</v>
      </c>
      <c r="K45" s="101">
        <v>13200</v>
      </c>
      <c r="L45" s="101">
        <v>13200</v>
      </c>
      <c r="M45" s="101">
        <v>13200</v>
      </c>
      <c r="N45" s="101">
        <v>13200</v>
      </c>
      <c r="O45" s="101">
        <v>13200</v>
      </c>
      <c r="P45" s="101">
        <v>13200</v>
      </c>
      <c r="Q45" s="101">
        <v>13200</v>
      </c>
      <c r="R45" s="101">
        <v>13200</v>
      </c>
      <c r="S45" s="101">
        <v>13200</v>
      </c>
      <c r="T45" s="101">
        <v>13200</v>
      </c>
      <c r="U45" s="101">
        <v>13200</v>
      </c>
      <c r="V45" s="101">
        <v>13200</v>
      </c>
      <c r="W45" s="101">
        <v>13200</v>
      </c>
      <c r="X45" s="101">
        <v>13200</v>
      </c>
      <c r="Y45" s="101">
        <v>13200</v>
      </c>
      <c r="Z45" s="101">
        <v>13200</v>
      </c>
      <c r="AA45" s="101">
        <v>13200</v>
      </c>
      <c r="AB45" s="101">
        <v>13200</v>
      </c>
      <c r="AC45" s="235"/>
      <c r="AD45" s="19"/>
    </row>
    <row r="46" spans="2:30" ht="18.649999999999999" customHeight="1" thickBot="1" x14ac:dyDescent="0.4">
      <c r="B46" s="213"/>
      <c r="C46" s="16" t="s">
        <v>32</v>
      </c>
      <c r="D46" s="17">
        <v>0</v>
      </c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235"/>
      <c r="AD46" s="19"/>
    </row>
    <row r="47" spans="2:30" ht="18.649999999999999" customHeight="1" x14ac:dyDescent="0.35">
      <c r="B47" s="222">
        <v>47392</v>
      </c>
      <c r="C47" s="7" t="s">
        <v>29</v>
      </c>
      <c r="D47" s="8">
        <v>22</v>
      </c>
      <c r="E47" s="100">
        <v>13200</v>
      </c>
      <c r="F47" s="100">
        <v>13200</v>
      </c>
      <c r="G47" s="100">
        <v>13200</v>
      </c>
      <c r="H47" s="100">
        <v>13200</v>
      </c>
      <c r="I47" s="100">
        <v>13200</v>
      </c>
      <c r="J47" s="100">
        <v>13200</v>
      </c>
      <c r="K47" s="100">
        <v>13200</v>
      </c>
      <c r="L47" s="100">
        <v>13200</v>
      </c>
      <c r="M47" s="100">
        <v>13200</v>
      </c>
      <c r="N47" s="100">
        <v>13200</v>
      </c>
      <c r="O47" s="100">
        <v>13200</v>
      </c>
      <c r="P47" s="100">
        <v>13200</v>
      </c>
      <c r="Q47" s="100">
        <v>13200</v>
      </c>
      <c r="R47" s="100">
        <v>13200</v>
      </c>
      <c r="S47" s="100">
        <v>13200</v>
      </c>
      <c r="T47" s="100">
        <v>13200</v>
      </c>
      <c r="U47" s="100">
        <v>13200</v>
      </c>
      <c r="V47" s="100">
        <v>13200</v>
      </c>
      <c r="W47" s="100">
        <v>13200</v>
      </c>
      <c r="X47" s="100">
        <v>13200</v>
      </c>
      <c r="Y47" s="100">
        <v>13200</v>
      </c>
      <c r="Z47" s="100">
        <v>13200</v>
      </c>
      <c r="AA47" s="100">
        <v>13200</v>
      </c>
      <c r="AB47" s="100">
        <v>13200</v>
      </c>
      <c r="AC47" s="234">
        <f>SUM(E47:AB47)*D47+SUM(E48:AB48)*D48+SUM(E49:AB49)*D49+SUM(E50:AB50)*D50</f>
        <v>9820800</v>
      </c>
      <c r="AD47" s="19"/>
    </row>
    <row r="48" spans="2:30" ht="18.649999999999999" customHeight="1" x14ac:dyDescent="0.35">
      <c r="B48" s="223" t="s">
        <v>34</v>
      </c>
      <c r="C48" s="10" t="s">
        <v>30</v>
      </c>
      <c r="D48" s="11">
        <v>4</v>
      </c>
      <c r="E48" s="101">
        <v>13200</v>
      </c>
      <c r="F48" s="101">
        <v>13200</v>
      </c>
      <c r="G48" s="101">
        <v>13200</v>
      </c>
      <c r="H48" s="101">
        <v>13200</v>
      </c>
      <c r="I48" s="101">
        <v>13200</v>
      </c>
      <c r="J48" s="101">
        <v>13200</v>
      </c>
      <c r="K48" s="101">
        <v>13200</v>
      </c>
      <c r="L48" s="101">
        <v>13200</v>
      </c>
      <c r="M48" s="101">
        <v>13200</v>
      </c>
      <c r="N48" s="101">
        <v>13200</v>
      </c>
      <c r="O48" s="101">
        <v>13200</v>
      </c>
      <c r="P48" s="101">
        <v>13200</v>
      </c>
      <c r="Q48" s="101">
        <v>13200</v>
      </c>
      <c r="R48" s="101">
        <v>13200</v>
      </c>
      <c r="S48" s="101">
        <v>13200</v>
      </c>
      <c r="T48" s="101">
        <v>13200</v>
      </c>
      <c r="U48" s="101">
        <v>13200</v>
      </c>
      <c r="V48" s="101">
        <v>13200</v>
      </c>
      <c r="W48" s="101">
        <v>13200</v>
      </c>
      <c r="X48" s="101">
        <v>13200</v>
      </c>
      <c r="Y48" s="101">
        <v>13200</v>
      </c>
      <c r="Z48" s="101">
        <v>13200</v>
      </c>
      <c r="AA48" s="101">
        <v>13200</v>
      </c>
      <c r="AB48" s="101">
        <v>13200</v>
      </c>
      <c r="AC48" s="235"/>
      <c r="AD48" s="19"/>
    </row>
    <row r="49" spans="2:62" ht="18.649999999999999" customHeight="1" x14ac:dyDescent="0.35">
      <c r="B49" s="223" t="s">
        <v>34</v>
      </c>
      <c r="C49" s="10" t="s">
        <v>31</v>
      </c>
      <c r="D49" s="11">
        <v>4</v>
      </c>
      <c r="E49" s="101">
        <v>13200</v>
      </c>
      <c r="F49" s="101">
        <v>13200</v>
      </c>
      <c r="G49" s="101">
        <v>13200</v>
      </c>
      <c r="H49" s="101">
        <v>13200</v>
      </c>
      <c r="I49" s="101">
        <v>13200</v>
      </c>
      <c r="J49" s="101">
        <v>13200</v>
      </c>
      <c r="K49" s="101">
        <v>13200</v>
      </c>
      <c r="L49" s="101">
        <v>13200</v>
      </c>
      <c r="M49" s="101">
        <v>13200</v>
      </c>
      <c r="N49" s="101">
        <v>13200</v>
      </c>
      <c r="O49" s="101">
        <v>13200</v>
      </c>
      <c r="P49" s="101">
        <v>13200</v>
      </c>
      <c r="Q49" s="101">
        <v>13200</v>
      </c>
      <c r="R49" s="101">
        <v>13200</v>
      </c>
      <c r="S49" s="101">
        <v>13200</v>
      </c>
      <c r="T49" s="101">
        <v>13200</v>
      </c>
      <c r="U49" s="101">
        <v>13200</v>
      </c>
      <c r="V49" s="101">
        <v>13200</v>
      </c>
      <c r="W49" s="101">
        <v>13200</v>
      </c>
      <c r="X49" s="101">
        <v>13200</v>
      </c>
      <c r="Y49" s="101">
        <v>13200</v>
      </c>
      <c r="Z49" s="101">
        <v>13200</v>
      </c>
      <c r="AA49" s="101">
        <v>13200</v>
      </c>
      <c r="AB49" s="101">
        <v>13200</v>
      </c>
      <c r="AC49" s="235"/>
      <c r="AD49" s="19"/>
    </row>
    <row r="50" spans="2:62" ht="18.649999999999999" customHeight="1" thickBot="1" x14ac:dyDescent="0.4">
      <c r="B50" s="224" t="s">
        <v>34</v>
      </c>
      <c r="C50" s="12" t="s">
        <v>32</v>
      </c>
      <c r="D50" s="13">
        <v>1</v>
      </c>
      <c r="E50" s="98">
        <v>13200</v>
      </c>
      <c r="F50" s="98">
        <v>13200</v>
      </c>
      <c r="G50" s="98">
        <v>13200</v>
      </c>
      <c r="H50" s="98">
        <v>13200</v>
      </c>
      <c r="I50" s="98">
        <v>13200</v>
      </c>
      <c r="J50" s="98">
        <v>13200</v>
      </c>
      <c r="K50" s="98">
        <v>13200</v>
      </c>
      <c r="L50" s="98">
        <v>13200</v>
      </c>
      <c r="M50" s="98">
        <v>13200</v>
      </c>
      <c r="N50" s="98">
        <v>13200</v>
      </c>
      <c r="O50" s="98">
        <v>13200</v>
      </c>
      <c r="P50" s="98">
        <v>13200</v>
      </c>
      <c r="Q50" s="98">
        <v>13200</v>
      </c>
      <c r="R50" s="98">
        <v>13200</v>
      </c>
      <c r="S50" s="98">
        <v>13200</v>
      </c>
      <c r="T50" s="98">
        <v>13200</v>
      </c>
      <c r="U50" s="98">
        <v>13200</v>
      </c>
      <c r="V50" s="98">
        <v>13200</v>
      </c>
      <c r="W50" s="98">
        <v>13200</v>
      </c>
      <c r="X50" s="98">
        <v>13200</v>
      </c>
      <c r="Y50" s="98">
        <v>13200</v>
      </c>
      <c r="Z50" s="98">
        <v>13200</v>
      </c>
      <c r="AA50" s="98">
        <v>13200</v>
      </c>
      <c r="AB50" s="98">
        <v>13200</v>
      </c>
      <c r="AC50" s="237"/>
      <c r="AD50" s="19"/>
    </row>
    <row r="51" spans="2:62" ht="18.649999999999999" customHeight="1" x14ac:dyDescent="0.35">
      <c r="B51" s="212">
        <v>47423</v>
      </c>
      <c r="C51" s="14" t="s">
        <v>29</v>
      </c>
      <c r="D51" s="15">
        <v>20</v>
      </c>
      <c r="E51" s="103">
        <v>13200</v>
      </c>
      <c r="F51" s="103">
        <v>13200</v>
      </c>
      <c r="G51" s="103">
        <v>13200</v>
      </c>
      <c r="H51" s="103">
        <v>13200</v>
      </c>
      <c r="I51" s="103">
        <v>13200</v>
      </c>
      <c r="J51" s="103">
        <v>13200</v>
      </c>
      <c r="K51" s="103">
        <v>13200</v>
      </c>
      <c r="L51" s="103">
        <v>13200</v>
      </c>
      <c r="M51" s="103">
        <v>13200</v>
      </c>
      <c r="N51" s="103">
        <v>13200</v>
      </c>
      <c r="O51" s="103">
        <v>13200</v>
      </c>
      <c r="P51" s="103">
        <v>13200</v>
      </c>
      <c r="Q51" s="103">
        <v>13200</v>
      </c>
      <c r="R51" s="103">
        <v>13200</v>
      </c>
      <c r="S51" s="103">
        <v>13200</v>
      </c>
      <c r="T51" s="103">
        <v>13200</v>
      </c>
      <c r="U51" s="103">
        <v>13200</v>
      </c>
      <c r="V51" s="103">
        <v>13200</v>
      </c>
      <c r="W51" s="103">
        <v>13200</v>
      </c>
      <c r="X51" s="103">
        <v>13200</v>
      </c>
      <c r="Y51" s="103">
        <v>13200</v>
      </c>
      <c r="Z51" s="103">
        <v>13200</v>
      </c>
      <c r="AA51" s="103">
        <v>13200</v>
      </c>
      <c r="AB51" s="103">
        <v>13200</v>
      </c>
      <c r="AC51" s="235">
        <f>SUM(E51:AB51)*D51+SUM(E52:AB52)*D52+SUM(E53:AB53)*D53+SUM(E54:AB54)*D54</f>
        <v>9504000</v>
      </c>
      <c r="AD51" s="19"/>
    </row>
    <row r="52" spans="2:62" ht="18.649999999999999" customHeight="1" x14ac:dyDescent="0.35">
      <c r="B52" s="213"/>
      <c r="C52" s="10" t="s">
        <v>30</v>
      </c>
      <c r="D52" s="11">
        <v>4</v>
      </c>
      <c r="E52" s="101">
        <v>13200</v>
      </c>
      <c r="F52" s="101">
        <v>13200</v>
      </c>
      <c r="G52" s="101">
        <v>13200</v>
      </c>
      <c r="H52" s="101">
        <v>13200</v>
      </c>
      <c r="I52" s="101">
        <v>13200</v>
      </c>
      <c r="J52" s="101">
        <v>13200</v>
      </c>
      <c r="K52" s="101">
        <v>13200</v>
      </c>
      <c r="L52" s="101">
        <v>13200</v>
      </c>
      <c r="M52" s="101">
        <v>13200</v>
      </c>
      <c r="N52" s="101">
        <v>13200</v>
      </c>
      <c r="O52" s="101">
        <v>13200</v>
      </c>
      <c r="P52" s="101">
        <v>13200</v>
      </c>
      <c r="Q52" s="101">
        <v>13200</v>
      </c>
      <c r="R52" s="101">
        <v>13200</v>
      </c>
      <c r="S52" s="101">
        <v>13200</v>
      </c>
      <c r="T52" s="101">
        <v>13200</v>
      </c>
      <c r="U52" s="101">
        <v>13200</v>
      </c>
      <c r="V52" s="101">
        <v>13200</v>
      </c>
      <c r="W52" s="101">
        <v>13200</v>
      </c>
      <c r="X52" s="101">
        <v>13200</v>
      </c>
      <c r="Y52" s="101">
        <v>13200</v>
      </c>
      <c r="Z52" s="101">
        <v>13200</v>
      </c>
      <c r="AA52" s="101">
        <v>13200</v>
      </c>
      <c r="AB52" s="101">
        <v>13200</v>
      </c>
      <c r="AC52" s="235"/>
      <c r="AD52" s="19"/>
    </row>
    <row r="53" spans="2:62" ht="18.649999999999999" customHeight="1" x14ac:dyDescent="0.35">
      <c r="B53" s="213"/>
      <c r="C53" s="10" t="s">
        <v>31</v>
      </c>
      <c r="D53" s="11">
        <v>4</v>
      </c>
      <c r="E53" s="101">
        <v>13200</v>
      </c>
      <c r="F53" s="101">
        <v>13200</v>
      </c>
      <c r="G53" s="101">
        <v>13200</v>
      </c>
      <c r="H53" s="101">
        <v>13200</v>
      </c>
      <c r="I53" s="101">
        <v>13200</v>
      </c>
      <c r="J53" s="101">
        <v>13200</v>
      </c>
      <c r="K53" s="101">
        <v>13200</v>
      </c>
      <c r="L53" s="101">
        <v>13200</v>
      </c>
      <c r="M53" s="101">
        <v>13200</v>
      </c>
      <c r="N53" s="101">
        <v>13200</v>
      </c>
      <c r="O53" s="101">
        <v>13200</v>
      </c>
      <c r="P53" s="101">
        <v>13200</v>
      </c>
      <c r="Q53" s="101">
        <v>13200</v>
      </c>
      <c r="R53" s="101">
        <v>13200</v>
      </c>
      <c r="S53" s="101">
        <v>13200</v>
      </c>
      <c r="T53" s="101">
        <v>13200</v>
      </c>
      <c r="U53" s="101">
        <v>13200</v>
      </c>
      <c r="V53" s="101">
        <v>13200</v>
      </c>
      <c r="W53" s="101">
        <v>13200</v>
      </c>
      <c r="X53" s="101">
        <v>13200</v>
      </c>
      <c r="Y53" s="101">
        <v>13200</v>
      </c>
      <c r="Z53" s="101">
        <v>13200</v>
      </c>
      <c r="AA53" s="101">
        <v>13200</v>
      </c>
      <c r="AB53" s="101">
        <v>13200</v>
      </c>
      <c r="AC53" s="235"/>
      <c r="AD53" s="19"/>
    </row>
    <row r="54" spans="2:62" ht="18.649999999999999" customHeight="1" thickBot="1" x14ac:dyDescent="0.4">
      <c r="B54" s="213"/>
      <c r="C54" s="16" t="s">
        <v>32</v>
      </c>
      <c r="D54" s="17">
        <v>2</v>
      </c>
      <c r="E54" s="102">
        <v>13200</v>
      </c>
      <c r="F54" s="102">
        <v>13200</v>
      </c>
      <c r="G54" s="102">
        <v>13200</v>
      </c>
      <c r="H54" s="102">
        <v>13200</v>
      </c>
      <c r="I54" s="102">
        <v>13200</v>
      </c>
      <c r="J54" s="102">
        <v>13200</v>
      </c>
      <c r="K54" s="102">
        <v>13200</v>
      </c>
      <c r="L54" s="102">
        <v>13200</v>
      </c>
      <c r="M54" s="102">
        <v>13200</v>
      </c>
      <c r="N54" s="102">
        <v>13200</v>
      </c>
      <c r="O54" s="102">
        <v>13200</v>
      </c>
      <c r="P54" s="102">
        <v>13200</v>
      </c>
      <c r="Q54" s="102">
        <v>13200</v>
      </c>
      <c r="R54" s="102">
        <v>13200</v>
      </c>
      <c r="S54" s="102">
        <v>13200</v>
      </c>
      <c r="T54" s="102">
        <v>13200</v>
      </c>
      <c r="U54" s="102">
        <v>13200</v>
      </c>
      <c r="V54" s="102">
        <v>13200</v>
      </c>
      <c r="W54" s="102">
        <v>13200</v>
      </c>
      <c r="X54" s="102">
        <v>13200</v>
      </c>
      <c r="Y54" s="102">
        <v>13200</v>
      </c>
      <c r="Z54" s="102">
        <v>13200</v>
      </c>
      <c r="AA54" s="102">
        <v>13200</v>
      </c>
      <c r="AB54" s="102">
        <v>13200</v>
      </c>
      <c r="AC54" s="235"/>
      <c r="AD54" s="19"/>
    </row>
    <row r="55" spans="2:62" ht="18.649999999999999" customHeight="1" x14ac:dyDescent="0.35">
      <c r="B55" s="222">
        <v>47453</v>
      </c>
      <c r="C55" s="7" t="s">
        <v>29</v>
      </c>
      <c r="D55" s="8">
        <v>20</v>
      </c>
      <c r="E55" s="100">
        <v>13200</v>
      </c>
      <c r="F55" s="100">
        <v>13200</v>
      </c>
      <c r="G55" s="100">
        <v>13200</v>
      </c>
      <c r="H55" s="100">
        <v>13200</v>
      </c>
      <c r="I55" s="100">
        <v>13200</v>
      </c>
      <c r="J55" s="100">
        <v>13200</v>
      </c>
      <c r="K55" s="100">
        <v>13200</v>
      </c>
      <c r="L55" s="100">
        <v>13200</v>
      </c>
      <c r="M55" s="100">
        <v>13200</v>
      </c>
      <c r="N55" s="100">
        <v>13200</v>
      </c>
      <c r="O55" s="100">
        <v>13200</v>
      </c>
      <c r="P55" s="100">
        <v>13200</v>
      </c>
      <c r="Q55" s="100">
        <v>13200</v>
      </c>
      <c r="R55" s="100">
        <v>13200</v>
      </c>
      <c r="S55" s="100">
        <v>13200</v>
      </c>
      <c r="T55" s="100">
        <v>13200</v>
      </c>
      <c r="U55" s="100">
        <v>13200</v>
      </c>
      <c r="V55" s="100">
        <v>13200</v>
      </c>
      <c r="W55" s="100">
        <v>13200</v>
      </c>
      <c r="X55" s="100">
        <v>13200</v>
      </c>
      <c r="Y55" s="100">
        <v>13200</v>
      </c>
      <c r="Z55" s="100">
        <v>13200</v>
      </c>
      <c r="AA55" s="100">
        <v>13200</v>
      </c>
      <c r="AB55" s="100">
        <v>13200</v>
      </c>
      <c r="AC55" s="234">
        <f>SUM(E55:AB55)*D55+SUM(E56:AB56)*D56+SUM(E57:AB57)*D57+SUM(E58:AB58)*D58</f>
        <v>9820800</v>
      </c>
      <c r="AD55" s="19"/>
    </row>
    <row r="56" spans="2:62" ht="18.649999999999999" customHeight="1" x14ac:dyDescent="0.35">
      <c r="B56" s="223" t="s">
        <v>34</v>
      </c>
      <c r="C56" s="10" t="s">
        <v>30</v>
      </c>
      <c r="D56" s="11">
        <v>4</v>
      </c>
      <c r="E56" s="101">
        <v>13200</v>
      </c>
      <c r="F56" s="101">
        <v>13200</v>
      </c>
      <c r="G56" s="101">
        <v>13200</v>
      </c>
      <c r="H56" s="101">
        <v>13200</v>
      </c>
      <c r="I56" s="101">
        <v>13200</v>
      </c>
      <c r="J56" s="101">
        <v>13200</v>
      </c>
      <c r="K56" s="101">
        <v>13200</v>
      </c>
      <c r="L56" s="101">
        <v>13200</v>
      </c>
      <c r="M56" s="101">
        <v>13200</v>
      </c>
      <c r="N56" s="101">
        <v>13200</v>
      </c>
      <c r="O56" s="101">
        <v>13200</v>
      </c>
      <c r="P56" s="101">
        <v>13200</v>
      </c>
      <c r="Q56" s="101">
        <v>13200</v>
      </c>
      <c r="R56" s="101">
        <v>13200</v>
      </c>
      <c r="S56" s="101">
        <v>13200</v>
      </c>
      <c r="T56" s="101">
        <v>13200</v>
      </c>
      <c r="U56" s="101">
        <v>13200</v>
      </c>
      <c r="V56" s="101">
        <v>13200</v>
      </c>
      <c r="W56" s="101">
        <v>13200</v>
      </c>
      <c r="X56" s="101">
        <v>13200</v>
      </c>
      <c r="Y56" s="101">
        <v>13200</v>
      </c>
      <c r="Z56" s="101">
        <v>13200</v>
      </c>
      <c r="AA56" s="101">
        <v>13200</v>
      </c>
      <c r="AB56" s="101">
        <v>13200</v>
      </c>
      <c r="AC56" s="235"/>
      <c r="AD56" s="19"/>
    </row>
    <row r="57" spans="2:62" ht="18.649999999999999" customHeight="1" x14ac:dyDescent="0.35">
      <c r="B57" s="223" t="s">
        <v>34</v>
      </c>
      <c r="C57" s="10" t="s">
        <v>31</v>
      </c>
      <c r="D57" s="11">
        <v>5</v>
      </c>
      <c r="E57" s="101">
        <v>13200</v>
      </c>
      <c r="F57" s="101">
        <v>13200</v>
      </c>
      <c r="G57" s="101">
        <v>13200</v>
      </c>
      <c r="H57" s="101">
        <v>13200</v>
      </c>
      <c r="I57" s="101">
        <v>13200</v>
      </c>
      <c r="J57" s="101">
        <v>13200</v>
      </c>
      <c r="K57" s="101">
        <v>13200</v>
      </c>
      <c r="L57" s="101">
        <v>13200</v>
      </c>
      <c r="M57" s="101">
        <v>13200</v>
      </c>
      <c r="N57" s="101">
        <v>13200</v>
      </c>
      <c r="O57" s="101">
        <v>13200</v>
      </c>
      <c r="P57" s="101">
        <v>13200</v>
      </c>
      <c r="Q57" s="101">
        <v>13200</v>
      </c>
      <c r="R57" s="101">
        <v>13200</v>
      </c>
      <c r="S57" s="101">
        <v>13200</v>
      </c>
      <c r="T57" s="101">
        <v>13200</v>
      </c>
      <c r="U57" s="101">
        <v>13200</v>
      </c>
      <c r="V57" s="101">
        <v>13200</v>
      </c>
      <c r="W57" s="101">
        <v>13200</v>
      </c>
      <c r="X57" s="101">
        <v>13200</v>
      </c>
      <c r="Y57" s="101">
        <v>13200</v>
      </c>
      <c r="Z57" s="101">
        <v>13200</v>
      </c>
      <c r="AA57" s="101">
        <v>13200</v>
      </c>
      <c r="AB57" s="101">
        <v>13200</v>
      </c>
      <c r="AC57" s="235"/>
      <c r="AD57" s="19"/>
    </row>
    <row r="58" spans="2:62" ht="18.649999999999999" customHeight="1" thickBot="1" x14ac:dyDescent="0.4">
      <c r="B58" s="224" t="s">
        <v>34</v>
      </c>
      <c r="C58" s="12" t="s">
        <v>32</v>
      </c>
      <c r="D58" s="13">
        <v>2</v>
      </c>
      <c r="E58" s="98">
        <v>13200</v>
      </c>
      <c r="F58" s="98">
        <v>13200</v>
      </c>
      <c r="G58" s="98">
        <v>13200</v>
      </c>
      <c r="H58" s="98">
        <v>13200</v>
      </c>
      <c r="I58" s="98">
        <v>13200</v>
      </c>
      <c r="J58" s="98">
        <v>13200</v>
      </c>
      <c r="K58" s="98">
        <v>13200</v>
      </c>
      <c r="L58" s="98">
        <v>13200</v>
      </c>
      <c r="M58" s="98">
        <v>13200</v>
      </c>
      <c r="N58" s="98">
        <v>13200</v>
      </c>
      <c r="O58" s="98">
        <v>13200</v>
      </c>
      <c r="P58" s="98">
        <v>13200</v>
      </c>
      <c r="Q58" s="98">
        <v>13200</v>
      </c>
      <c r="R58" s="98">
        <v>13200</v>
      </c>
      <c r="S58" s="98">
        <v>13200</v>
      </c>
      <c r="T58" s="98">
        <v>13200</v>
      </c>
      <c r="U58" s="98">
        <v>13200</v>
      </c>
      <c r="V58" s="98">
        <v>13200</v>
      </c>
      <c r="W58" s="98">
        <v>13200</v>
      </c>
      <c r="X58" s="98">
        <v>13200</v>
      </c>
      <c r="Y58" s="98">
        <v>13200</v>
      </c>
      <c r="Z58" s="98">
        <v>13200</v>
      </c>
      <c r="AA58" s="98">
        <v>13200</v>
      </c>
      <c r="AB58" s="98">
        <v>13200</v>
      </c>
      <c r="AC58" s="237"/>
      <c r="AD58" s="19"/>
    </row>
    <row r="59" spans="2:62" ht="18.649999999999999" customHeight="1" thickBot="1" x14ac:dyDescent="0.4"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238" t="s">
        <v>33</v>
      </c>
      <c r="AA59" s="239"/>
      <c r="AB59" s="240"/>
      <c r="AC59" s="158">
        <f>SUM(AC11:AC58)</f>
        <v>115632000</v>
      </c>
      <c r="AD59" s="18"/>
      <c r="AE59" s="19"/>
    </row>
    <row r="60" spans="2:62" ht="34.5" customHeight="1" thickBot="1" x14ac:dyDescent="0.4">
      <c r="B60" s="1" t="s">
        <v>2</v>
      </c>
      <c r="C60" s="2" t="s">
        <v>3</v>
      </c>
      <c r="D60" s="1" t="s">
        <v>4</v>
      </c>
      <c r="E60" s="105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5" t="s">
        <v>16</v>
      </c>
      <c r="Q60" s="6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4" t="s">
        <v>22</v>
      </c>
      <c r="W60" s="4" t="s">
        <v>23</v>
      </c>
      <c r="X60" s="4" t="s">
        <v>24</v>
      </c>
      <c r="Y60" s="4" t="s">
        <v>25</v>
      </c>
      <c r="Z60" s="4" t="s">
        <v>26</v>
      </c>
      <c r="AA60" s="4" t="s">
        <v>27</v>
      </c>
      <c r="AB60" s="5" t="s">
        <v>28</v>
      </c>
      <c r="AC60" s="157" t="s">
        <v>48</v>
      </c>
      <c r="AF60" s="54" t="s">
        <v>51</v>
      </c>
      <c r="AG60" s="54" t="s">
        <v>5</v>
      </c>
      <c r="AH60" s="54" t="s">
        <v>6</v>
      </c>
      <c r="AI60" s="54" t="s">
        <v>7</v>
      </c>
      <c r="AJ60" s="54" t="s">
        <v>8</v>
      </c>
      <c r="AK60" s="54" t="s">
        <v>9</v>
      </c>
      <c r="AL60" s="54" t="s">
        <v>10</v>
      </c>
      <c r="AM60" s="54" t="s">
        <v>11</v>
      </c>
      <c r="AN60" s="54" t="s">
        <v>12</v>
      </c>
      <c r="AO60" s="54" t="s">
        <v>13</v>
      </c>
      <c r="AP60" s="54" t="s">
        <v>14</v>
      </c>
      <c r="AQ60" s="54" t="s">
        <v>15</v>
      </c>
      <c r="AR60" s="54" t="s">
        <v>16</v>
      </c>
      <c r="AS60" s="54" t="s">
        <v>17</v>
      </c>
      <c r="AT60" s="54" t="s">
        <v>18</v>
      </c>
      <c r="AU60" s="54" t="s">
        <v>19</v>
      </c>
      <c r="AV60" s="54" t="s">
        <v>20</v>
      </c>
      <c r="AW60" s="54" t="s">
        <v>21</v>
      </c>
      <c r="AX60" s="54" t="s">
        <v>22</v>
      </c>
      <c r="AY60" s="54" t="s">
        <v>23</v>
      </c>
      <c r="AZ60" s="54" t="s">
        <v>24</v>
      </c>
      <c r="BA60" s="54" t="s">
        <v>25</v>
      </c>
      <c r="BB60" s="54" t="s">
        <v>26</v>
      </c>
      <c r="BC60" s="54" t="s">
        <v>27</v>
      </c>
      <c r="BD60" s="54" t="s">
        <v>28</v>
      </c>
      <c r="BE60" s="55" t="s">
        <v>52</v>
      </c>
      <c r="BF60" s="55" t="s">
        <v>53</v>
      </c>
      <c r="BH60" s="52" t="s">
        <v>56</v>
      </c>
      <c r="BI60" s="53" t="e">
        <f>(+#REF!)/1000</f>
        <v>#REF!</v>
      </c>
      <c r="BJ60" s="52" t="s">
        <v>55</v>
      </c>
    </row>
    <row r="61" spans="2:62" ht="18.649999999999999" customHeight="1" x14ac:dyDescent="0.35">
      <c r="B61" s="212">
        <v>47484</v>
      </c>
      <c r="C61" s="7" t="s">
        <v>29</v>
      </c>
      <c r="D61" s="48">
        <v>21</v>
      </c>
      <c r="E61" s="100">
        <v>13200</v>
      </c>
      <c r="F61" s="100">
        <v>13200</v>
      </c>
      <c r="G61" s="100">
        <v>13200</v>
      </c>
      <c r="H61" s="100">
        <v>13200</v>
      </c>
      <c r="I61" s="100">
        <v>13200</v>
      </c>
      <c r="J61" s="100">
        <v>13200</v>
      </c>
      <c r="K61" s="100">
        <v>13200</v>
      </c>
      <c r="L61" s="100">
        <v>13200</v>
      </c>
      <c r="M61" s="100">
        <v>13200</v>
      </c>
      <c r="N61" s="100">
        <v>13200</v>
      </c>
      <c r="O61" s="100">
        <v>13200</v>
      </c>
      <c r="P61" s="100">
        <v>13200</v>
      </c>
      <c r="Q61" s="100">
        <v>13200</v>
      </c>
      <c r="R61" s="100">
        <v>13200</v>
      </c>
      <c r="S61" s="100">
        <v>13200</v>
      </c>
      <c r="T61" s="100">
        <v>13200</v>
      </c>
      <c r="U61" s="100">
        <v>13200</v>
      </c>
      <c r="V61" s="100">
        <v>13200</v>
      </c>
      <c r="W61" s="100">
        <v>13200</v>
      </c>
      <c r="X61" s="100">
        <v>13200</v>
      </c>
      <c r="Y61" s="100">
        <v>13200</v>
      </c>
      <c r="Z61" s="100">
        <v>13200</v>
      </c>
      <c r="AA61" s="100">
        <v>13200</v>
      </c>
      <c r="AB61" s="100">
        <v>13200</v>
      </c>
      <c r="AC61" s="234">
        <f>SUM(E61:AB61)*D61+SUM(E62:AB62)*D62+SUM(E63:AB63)*D63+SUM(E64:AB64)*D64</f>
        <v>9820800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62" ht="18.649999999999999" customHeight="1" x14ac:dyDescent="0.35">
      <c r="B62" s="213"/>
      <c r="C62" s="10" t="s">
        <v>30</v>
      </c>
      <c r="D62" s="11">
        <v>4</v>
      </c>
      <c r="E62" s="101">
        <v>13200</v>
      </c>
      <c r="F62" s="101">
        <v>13200</v>
      </c>
      <c r="G62" s="101">
        <v>13200</v>
      </c>
      <c r="H62" s="101">
        <v>13200</v>
      </c>
      <c r="I62" s="101">
        <v>13200</v>
      </c>
      <c r="J62" s="101">
        <v>13200</v>
      </c>
      <c r="K62" s="101">
        <v>13200</v>
      </c>
      <c r="L62" s="101">
        <v>13200</v>
      </c>
      <c r="M62" s="101">
        <v>13200</v>
      </c>
      <c r="N62" s="101">
        <v>13200</v>
      </c>
      <c r="O62" s="101">
        <v>13200</v>
      </c>
      <c r="P62" s="101">
        <v>13200</v>
      </c>
      <c r="Q62" s="101">
        <v>13200</v>
      </c>
      <c r="R62" s="101">
        <v>13200</v>
      </c>
      <c r="S62" s="101">
        <v>13200</v>
      </c>
      <c r="T62" s="101">
        <v>13200</v>
      </c>
      <c r="U62" s="101">
        <v>13200</v>
      </c>
      <c r="V62" s="101">
        <v>13200</v>
      </c>
      <c r="W62" s="101">
        <v>13200</v>
      </c>
      <c r="X62" s="101">
        <v>13200</v>
      </c>
      <c r="Y62" s="101">
        <v>13200</v>
      </c>
      <c r="Z62" s="101">
        <v>13200</v>
      </c>
      <c r="AA62" s="101">
        <v>13200</v>
      </c>
      <c r="AB62" s="101">
        <v>13200</v>
      </c>
      <c r="AC62" s="235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62" ht="18.649999999999999" customHeight="1" x14ac:dyDescent="0.35">
      <c r="B63" s="213"/>
      <c r="C63" s="10" t="s">
        <v>31</v>
      </c>
      <c r="D63" s="11">
        <v>4</v>
      </c>
      <c r="E63" s="101">
        <v>13200</v>
      </c>
      <c r="F63" s="101">
        <v>13200</v>
      </c>
      <c r="G63" s="101">
        <v>13200</v>
      </c>
      <c r="H63" s="101">
        <v>13200</v>
      </c>
      <c r="I63" s="101">
        <v>13200</v>
      </c>
      <c r="J63" s="101">
        <v>13200</v>
      </c>
      <c r="K63" s="101">
        <v>13200</v>
      </c>
      <c r="L63" s="101">
        <v>13200</v>
      </c>
      <c r="M63" s="101">
        <v>13200</v>
      </c>
      <c r="N63" s="101">
        <v>13200</v>
      </c>
      <c r="O63" s="101">
        <v>13200</v>
      </c>
      <c r="P63" s="101">
        <v>13200</v>
      </c>
      <c r="Q63" s="101">
        <v>13200</v>
      </c>
      <c r="R63" s="101">
        <v>13200</v>
      </c>
      <c r="S63" s="101">
        <v>13200</v>
      </c>
      <c r="T63" s="101">
        <v>13200</v>
      </c>
      <c r="U63" s="101">
        <v>13200</v>
      </c>
      <c r="V63" s="101">
        <v>13200</v>
      </c>
      <c r="W63" s="101">
        <v>13200</v>
      </c>
      <c r="X63" s="101">
        <v>13200</v>
      </c>
      <c r="Y63" s="101">
        <v>13200</v>
      </c>
      <c r="Z63" s="101">
        <v>13200</v>
      </c>
      <c r="AA63" s="101">
        <v>13200</v>
      </c>
      <c r="AB63" s="101">
        <v>13200</v>
      </c>
      <c r="AC63" s="235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62" ht="18.649999999999999" customHeight="1" thickBot="1" x14ac:dyDescent="0.4">
      <c r="B64" s="213"/>
      <c r="C64" s="16" t="s">
        <v>32</v>
      </c>
      <c r="D64" s="17">
        <v>2</v>
      </c>
      <c r="E64" s="102">
        <v>13200</v>
      </c>
      <c r="F64" s="102">
        <v>13200</v>
      </c>
      <c r="G64" s="102">
        <v>13200</v>
      </c>
      <c r="H64" s="102">
        <v>13200</v>
      </c>
      <c r="I64" s="102">
        <v>13200</v>
      </c>
      <c r="J64" s="102">
        <v>13200</v>
      </c>
      <c r="K64" s="102">
        <v>13200</v>
      </c>
      <c r="L64" s="102">
        <v>13200</v>
      </c>
      <c r="M64" s="102">
        <v>13200</v>
      </c>
      <c r="N64" s="102">
        <v>13200</v>
      </c>
      <c r="O64" s="102">
        <v>13200</v>
      </c>
      <c r="P64" s="102">
        <v>13200</v>
      </c>
      <c r="Q64" s="102">
        <v>13200</v>
      </c>
      <c r="R64" s="102">
        <v>13200</v>
      </c>
      <c r="S64" s="102">
        <v>13200</v>
      </c>
      <c r="T64" s="102">
        <v>13200</v>
      </c>
      <c r="U64" s="102">
        <v>13200</v>
      </c>
      <c r="V64" s="102">
        <v>13200</v>
      </c>
      <c r="W64" s="102">
        <v>13200</v>
      </c>
      <c r="X64" s="102">
        <v>13200</v>
      </c>
      <c r="Y64" s="102">
        <v>13200</v>
      </c>
      <c r="Z64" s="102">
        <v>13200</v>
      </c>
      <c r="AA64" s="102">
        <v>13200</v>
      </c>
      <c r="AB64" s="102">
        <v>13200</v>
      </c>
      <c r="AC64" s="235"/>
      <c r="AD64" s="56">
        <f>+AC61</f>
        <v>9820800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</row>
    <row r="65" spans="2:30" ht="18.649999999999999" customHeight="1" x14ac:dyDescent="0.35">
      <c r="B65" s="222">
        <v>47515</v>
      </c>
      <c r="C65" s="7" t="s">
        <v>29</v>
      </c>
      <c r="D65" s="8">
        <v>20</v>
      </c>
      <c r="E65" s="100">
        <v>13200</v>
      </c>
      <c r="F65" s="100">
        <v>13200</v>
      </c>
      <c r="G65" s="100">
        <v>13200</v>
      </c>
      <c r="H65" s="100">
        <v>13200</v>
      </c>
      <c r="I65" s="100">
        <v>13200</v>
      </c>
      <c r="J65" s="100">
        <v>13200</v>
      </c>
      <c r="K65" s="100">
        <v>13200</v>
      </c>
      <c r="L65" s="100">
        <v>13200</v>
      </c>
      <c r="M65" s="100">
        <v>13200</v>
      </c>
      <c r="N65" s="100">
        <v>13200</v>
      </c>
      <c r="O65" s="100">
        <v>13200</v>
      </c>
      <c r="P65" s="100">
        <v>13200</v>
      </c>
      <c r="Q65" s="100">
        <v>13200</v>
      </c>
      <c r="R65" s="100">
        <v>13200</v>
      </c>
      <c r="S65" s="100">
        <v>13200</v>
      </c>
      <c r="T65" s="100">
        <v>13200</v>
      </c>
      <c r="U65" s="100">
        <v>13200</v>
      </c>
      <c r="V65" s="100">
        <v>13200</v>
      </c>
      <c r="W65" s="100">
        <v>13200</v>
      </c>
      <c r="X65" s="100">
        <v>13200</v>
      </c>
      <c r="Y65" s="100">
        <v>13200</v>
      </c>
      <c r="Z65" s="100">
        <v>13200</v>
      </c>
      <c r="AA65" s="100">
        <v>13200</v>
      </c>
      <c r="AB65" s="100">
        <v>13200</v>
      </c>
      <c r="AC65" s="234">
        <f>SUM(E65:AB65)*D65+SUM(E66:AB66)*D66+SUM(E67:AB67)*D67+SUM(E68:AB68)*D68</f>
        <v>8870400</v>
      </c>
      <c r="AD65" s="177">
        <f>+AC65</f>
        <v>8870400</v>
      </c>
    </row>
    <row r="66" spans="2:30" ht="18.649999999999999" customHeight="1" x14ac:dyDescent="0.35">
      <c r="B66" s="223" t="s">
        <v>34</v>
      </c>
      <c r="C66" s="10" t="s">
        <v>30</v>
      </c>
      <c r="D66" s="11">
        <v>4</v>
      </c>
      <c r="E66" s="101">
        <v>13200</v>
      </c>
      <c r="F66" s="101">
        <v>13200</v>
      </c>
      <c r="G66" s="101">
        <v>13200</v>
      </c>
      <c r="H66" s="101">
        <v>13200</v>
      </c>
      <c r="I66" s="101">
        <v>13200</v>
      </c>
      <c r="J66" s="101">
        <v>13200</v>
      </c>
      <c r="K66" s="101">
        <v>13200</v>
      </c>
      <c r="L66" s="101">
        <v>13200</v>
      </c>
      <c r="M66" s="101">
        <v>13200</v>
      </c>
      <c r="N66" s="101">
        <v>13200</v>
      </c>
      <c r="O66" s="101">
        <v>13200</v>
      </c>
      <c r="P66" s="101">
        <v>13200</v>
      </c>
      <c r="Q66" s="101">
        <v>13200</v>
      </c>
      <c r="R66" s="101">
        <v>13200</v>
      </c>
      <c r="S66" s="101">
        <v>13200</v>
      </c>
      <c r="T66" s="101">
        <v>13200</v>
      </c>
      <c r="U66" s="101">
        <v>13200</v>
      </c>
      <c r="V66" s="101">
        <v>13200</v>
      </c>
      <c r="W66" s="101">
        <v>13200</v>
      </c>
      <c r="X66" s="101">
        <v>13200</v>
      </c>
      <c r="Y66" s="101">
        <v>13200</v>
      </c>
      <c r="Z66" s="101">
        <v>13200</v>
      </c>
      <c r="AA66" s="101">
        <v>13200</v>
      </c>
      <c r="AB66" s="101">
        <v>13200</v>
      </c>
      <c r="AC66" s="235"/>
      <c r="AD66" s="177">
        <f>+AC69</f>
        <v>9820800</v>
      </c>
    </row>
    <row r="67" spans="2:30" ht="18.649999999999999" customHeight="1" x14ac:dyDescent="0.35">
      <c r="B67" s="223" t="s">
        <v>34</v>
      </c>
      <c r="C67" s="10" t="s">
        <v>31</v>
      </c>
      <c r="D67" s="11">
        <v>4</v>
      </c>
      <c r="E67" s="101">
        <v>13200</v>
      </c>
      <c r="F67" s="101">
        <v>13200</v>
      </c>
      <c r="G67" s="101">
        <v>13200</v>
      </c>
      <c r="H67" s="101">
        <v>13200</v>
      </c>
      <c r="I67" s="101">
        <v>13200</v>
      </c>
      <c r="J67" s="101">
        <v>13200</v>
      </c>
      <c r="K67" s="101">
        <v>13200</v>
      </c>
      <c r="L67" s="101">
        <v>13200</v>
      </c>
      <c r="M67" s="101">
        <v>13200</v>
      </c>
      <c r="N67" s="101">
        <v>13200</v>
      </c>
      <c r="O67" s="101">
        <v>13200</v>
      </c>
      <c r="P67" s="101">
        <v>13200</v>
      </c>
      <c r="Q67" s="101">
        <v>13200</v>
      </c>
      <c r="R67" s="101">
        <v>13200</v>
      </c>
      <c r="S67" s="101">
        <v>13200</v>
      </c>
      <c r="T67" s="101">
        <v>13200</v>
      </c>
      <c r="U67" s="101">
        <v>13200</v>
      </c>
      <c r="V67" s="101">
        <v>13200</v>
      </c>
      <c r="W67" s="101">
        <v>13200</v>
      </c>
      <c r="X67" s="101">
        <v>13200</v>
      </c>
      <c r="Y67" s="101">
        <v>13200</v>
      </c>
      <c r="Z67" s="101">
        <v>13200</v>
      </c>
      <c r="AA67" s="101">
        <v>13200</v>
      </c>
      <c r="AB67" s="101">
        <v>13200</v>
      </c>
      <c r="AC67" s="235"/>
      <c r="AD67" s="177">
        <f>+AC73</f>
        <v>9504000</v>
      </c>
    </row>
    <row r="68" spans="2:30" ht="18.649999999999999" customHeight="1" thickBot="1" x14ac:dyDescent="0.4">
      <c r="B68" s="224" t="s">
        <v>34</v>
      </c>
      <c r="C68" s="12" t="s">
        <v>32</v>
      </c>
      <c r="D68" s="13">
        <v>0</v>
      </c>
      <c r="E68" s="159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237"/>
      <c r="AD68" s="177">
        <f>+AC77</f>
        <v>9820800</v>
      </c>
    </row>
    <row r="69" spans="2:30" ht="18.649999999999999" customHeight="1" x14ac:dyDescent="0.35">
      <c r="B69" s="212">
        <v>47543</v>
      </c>
      <c r="C69" s="14" t="s">
        <v>29</v>
      </c>
      <c r="D69" s="15">
        <v>20</v>
      </c>
      <c r="E69" s="103">
        <v>13200</v>
      </c>
      <c r="F69" s="103">
        <v>13200</v>
      </c>
      <c r="G69" s="103">
        <v>13200</v>
      </c>
      <c r="H69" s="103">
        <v>13200</v>
      </c>
      <c r="I69" s="103">
        <v>13200</v>
      </c>
      <c r="J69" s="103">
        <v>13200</v>
      </c>
      <c r="K69" s="103">
        <v>13200</v>
      </c>
      <c r="L69" s="103">
        <v>13200</v>
      </c>
      <c r="M69" s="103">
        <v>13200</v>
      </c>
      <c r="N69" s="103">
        <v>13200</v>
      </c>
      <c r="O69" s="103">
        <v>13200</v>
      </c>
      <c r="P69" s="103">
        <v>13200</v>
      </c>
      <c r="Q69" s="103">
        <v>13200</v>
      </c>
      <c r="R69" s="103">
        <v>13200</v>
      </c>
      <c r="S69" s="103">
        <v>13200</v>
      </c>
      <c r="T69" s="103">
        <v>13200</v>
      </c>
      <c r="U69" s="103">
        <v>13200</v>
      </c>
      <c r="V69" s="103">
        <v>13200</v>
      </c>
      <c r="W69" s="103">
        <v>13200</v>
      </c>
      <c r="X69" s="103">
        <v>13200</v>
      </c>
      <c r="Y69" s="103">
        <v>13200</v>
      </c>
      <c r="Z69" s="103">
        <v>13200</v>
      </c>
      <c r="AA69" s="103">
        <v>13200</v>
      </c>
      <c r="AB69" s="103">
        <v>13200</v>
      </c>
      <c r="AC69" s="235">
        <f>SUM(E69:AB69)*D69+SUM(E70:AB70)*D70+SUM(E71:AB71)*D71+SUM(E72:AB72)*D72</f>
        <v>9820800</v>
      </c>
      <c r="AD69" s="177">
        <f>+AC81</f>
        <v>9504000</v>
      </c>
    </row>
    <row r="70" spans="2:30" ht="18.649999999999999" customHeight="1" x14ac:dyDescent="0.35">
      <c r="B70" s="213"/>
      <c r="C70" s="10" t="s">
        <v>30</v>
      </c>
      <c r="D70" s="11">
        <v>5</v>
      </c>
      <c r="E70" s="101">
        <v>13200</v>
      </c>
      <c r="F70" s="101">
        <v>13200</v>
      </c>
      <c r="G70" s="101">
        <v>13200</v>
      </c>
      <c r="H70" s="101">
        <v>13200</v>
      </c>
      <c r="I70" s="101">
        <v>13200</v>
      </c>
      <c r="J70" s="101">
        <v>13200</v>
      </c>
      <c r="K70" s="101">
        <v>13200</v>
      </c>
      <c r="L70" s="101">
        <v>13200</v>
      </c>
      <c r="M70" s="101">
        <v>13200</v>
      </c>
      <c r="N70" s="101">
        <v>13200</v>
      </c>
      <c r="O70" s="101">
        <v>13200</v>
      </c>
      <c r="P70" s="101">
        <v>13200</v>
      </c>
      <c r="Q70" s="101">
        <v>13200</v>
      </c>
      <c r="R70" s="101">
        <v>13200</v>
      </c>
      <c r="S70" s="101">
        <v>13200</v>
      </c>
      <c r="T70" s="101">
        <v>13200</v>
      </c>
      <c r="U70" s="101">
        <v>13200</v>
      </c>
      <c r="V70" s="101">
        <v>13200</v>
      </c>
      <c r="W70" s="101">
        <v>13200</v>
      </c>
      <c r="X70" s="101">
        <v>13200</v>
      </c>
      <c r="Y70" s="101">
        <v>13200</v>
      </c>
      <c r="Z70" s="101">
        <v>13200</v>
      </c>
      <c r="AA70" s="101">
        <v>13200</v>
      </c>
      <c r="AB70" s="101">
        <v>13200</v>
      </c>
      <c r="AC70" s="235"/>
      <c r="AD70" s="177">
        <f>+AC85</f>
        <v>9820800</v>
      </c>
    </row>
    <row r="71" spans="2:30" ht="18.649999999999999" customHeight="1" x14ac:dyDescent="0.35">
      <c r="B71" s="213"/>
      <c r="C71" s="10" t="s">
        <v>31</v>
      </c>
      <c r="D71" s="11">
        <v>5</v>
      </c>
      <c r="E71" s="101">
        <v>13200</v>
      </c>
      <c r="F71" s="101">
        <v>13200</v>
      </c>
      <c r="G71" s="101">
        <v>13200</v>
      </c>
      <c r="H71" s="101">
        <v>13200</v>
      </c>
      <c r="I71" s="101">
        <v>13200</v>
      </c>
      <c r="J71" s="101">
        <v>13200</v>
      </c>
      <c r="K71" s="101">
        <v>13200</v>
      </c>
      <c r="L71" s="101">
        <v>13200</v>
      </c>
      <c r="M71" s="101">
        <v>13200</v>
      </c>
      <c r="N71" s="101">
        <v>13200</v>
      </c>
      <c r="O71" s="101">
        <v>13200</v>
      </c>
      <c r="P71" s="101">
        <v>13200</v>
      </c>
      <c r="Q71" s="101">
        <v>13200</v>
      </c>
      <c r="R71" s="101">
        <v>13200</v>
      </c>
      <c r="S71" s="101">
        <v>13200</v>
      </c>
      <c r="T71" s="101">
        <v>13200</v>
      </c>
      <c r="U71" s="101">
        <v>13200</v>
      </c>
      <c r="V71" s="101">
        <v>13200</v>
      </c>
      <c r="W71" s="101">
        <v>13200</v>
      </c>
      <c r="X71" s="101">
        <v>13200</v>
      </c>
      <c r="Y71" s="101">
        <v>13200</v>
      </c>
      <c r="Z71" s="101">
        <v>13200</v>
      </c>
      <c r="AA71" s="101">
        <v>13200</v>
      </c>
      <c r="AB71" s="101">
        <v>13200</v>
      </c>
      <c r="AC71" s="235"/>
      <c r="AD71" s="177">
        <f>+AC89</f>
        <v>9820800</v>
      </c>
    </row>
    <row r="72" spans="2:30" ht="18.649999999999999" customHeight="1" thickBot="1" x14ac:dyDescent="0.4">
      <c r="B72" s="213"/>
      <c r="C72" s="16" t="s">
        <v>32</v>
      </c>
      <c r="D72" s="17">
        <v>1</v>
      </c>
      <c r="E72" s="102">
        <v>13200</v>
      </c>
      <c r="F72" s="102">
        <v>13200</v>
      </c>
      <c r="G72" s="102">
        <v>13200</v>
      </c>
      <c r="H72" s="102">
        <v>13200</v>
      </c>
      <c r="I72" s="102">
        <v>13200</v>
      </c>
      <c r="J72" s="102">
        <v>13200</v>
      </c>
      <c r="K72" s="102">
        <v>13200</v>
      </c>
      <c r="L72" s="102">
        <v>13200</v>
      </c>
      <c r="M72" s="102">
        <v>13200</v>
      </c>
      <c r="N72" s="102">
        <v>13200</v>
      </c>
      <c r="O72" s="102">
        <v>13200</v>
      </c>
      <c r="P72" s="102">
        <v>13200</v>
      </c>
      <c r="Q72" s="102">
        <v>13200</v>
      </c>
      <c r="R72" s="102">
        <v>13200</v>
      </c>
      <c r="S72" s="102">
        <v>13200</v>
      </c>
      <c r="T72" s="102">
        <v>13200</v>
      </c>
      <c r="U72" s="102">
        <v>13200</v>
      </c>
      <c r="V72" s="102">
        <v>13200</v>
      </c>
      <c r="W72" s="102">
        <v>13200</v>
      </c>
      <c r="X72" s="102">
        <v>13200</v>
      </c>
      <c r="Y72" s="102">
        <v>13200</v>
      </c>
      <c r="Z72" s="102">
        <v>13200</v>
      </c>
      <c r="AA72" s="102">
        <v>13200</v>
      </c>
      <c r="AB72" s="102">
        <v>13200</v>
      </c>
      <c r="AC72" s="235"/>
      <c r="AD72" s="177">
        <f>+AC93</f>
        <v>9504000</v>
      </c>
    </row>
    <row r="73" spans="2:30" ht="18.649999999999999" customHeight="1" x14ac:dyDescent="0.35">
      <c r="B73" s="222">
        <v>47574</v>
      </c>
      <c r="C73" s="7" t="s">
        <v>29</v>
      </c>
      <c r="D73" s="8">
        <v>20</v>
      </c>
      <c r="E73" s="100">
        <v>13200</v>
      </c>
      <c r="F73" s="100">
        <v>13200</v>
      </c>
      <c r="G73" s="100">
        <v>13200</v>
      </c>
      <c r="H73" s="100">
        <v>13200</v>
      </c>
      <c r="I73" s="100">
        <v>13200</v>
      </c>
      <c r="J73" s="100">
        <v>13200</v>
      </c>
      <c r="K73" s="100">
        <v>13200</v>
      </c>
      <c r="L73" s="100">
        <v>13200</v>
      </c>
      <c r="M73" s="100">
        <v>13200</v>
      </c>
      <c r="N73" s="100">
        <v>13200</v>
      </c>
      <c r="O73" s="100">
        <v>13200</v>
      </c>
      <c r="P73" s="100">
        <v>13200</v>
      </c>
      <c r="Q73" s="100">
        <v>13200</v>
      </c>
      <c r="R73" s="100">
        <v>13200</v>
      </c>
      <c r="S73" s="100">
        <v>13200</v>
      </c>
      <c r="T73" s="100">
        <v>13200</v>
      </c>
      <c r="U73" s="100">
        <v>13200</v>
      </c>
      <c r="V73" s="100">
        <v>13200</v>
      </c>
      <c r="W73" s="100">
        <v>13200</v>
      </c>
      <c r="X73" s="100">
        <v>13200</v>
      </c>
      <c r="Y73" s="100">
        <v>13200</v>
      </c>
      <c r="Z73" s="100">
        <v>13200</v>
      </c>
      <c r="AA73" s="100">
        <v>13200</v>
      </c>
      <c r="AB73" s="100">
        <v>13200</v>
      </c>
      <c r="AC73" s="234">
        <f>SUM(E73:AB73)*D73+SUM(E74:AB74)*D74+SUM(E75:AB75)*D75+SUM(E76:AB76)*D76</f>
        <v>9504000</v>
      </c>
      <c r="AD73" s="177">
        <f>+AC97</f>
        <v>9820800</v>
      </c>
    </row>
    <row r="74" spans="2:30" ht="18.649999999999999" customHeight="1" x14ac:dyDescent="0.35">
      <c r="B74" s="223" t="s">
        <v>34</v>
      </c>
      <c r="C74" s="10" t="s">
        <v>30</v>
      </c>
      <c r="D74" s="11">
        <v>4</v>
      </c>
      <c r="E74" s="101">
        <v>13200</v>
      </c>
      <c r="F74" s="101">
        <v>13200</v>
      </c>
      <c r="G74" s="101">
        <v>13200</v>
      </c>
      <c r="H74" s="101">
        <v>13200</v>
      </c>
      <c r="I74" s="101">
        <v>13200</v>
      </c>
      <c r="J74" s="101">
        <v>13200</v>
      </c>
      <c r="K74" s="101">
        <v>13200</v>
      </c>
      <c r="L74" s="101">
        <v>13200</v>
      </c>
      <c r="M74" s="101">
        <v>13200</v>
      </c>
      <c r="N74" s="101">
        <v>13200</v>
      </c>
      <c r="O74" s="101">
        <v>13200</v>
      </c>
      <c r="P74" s="101">
        <v>13200</v>
      </c>
      <c r="Q74" s="101">
        <v>13200</v>
      </c>
      <c r="R74" s="101">
        <v>13200</v>
      </c>
      <c r="S74" s="101">
        <v>13200</v>
      </c>
      <c r="T74" s="101">
        <v>13200</v>
      </c>
      <c r="U74" s="101">
        <v>13200</v>
      </c>
      <c r="V74" s="101">
        <v>13200</v>
      </c>
      <c r="W74" s="101">
        <v>13200</v>
      </c>
      <c r="X74" s="101">
        <v>13200</v>
      </c>
      <c r="Y74" s="101">
        <v>13200</v>
      </c>
      <c r="Z74" s="101">
        <v>13200</v>
      </c>
      <c r="AA74" s="101">
        <v>13200</v>
      </c>
      <c r="AB74" s="101">
        <v>13200</v>
      </c>
      <c r="AC74" s="235"/>
      <c r="AD74" s="177">
        <f>+AC101</f>
        <v>9504000</v>
      </c>
    </row>
    <row r="75" spans="2:30" ht="18.649999999999999" customHeight="1" x14ac:dyDescent="0.35">
      <c r="B75" s="223" t="s">
        <v>34</v>
      </c>
      <c r="C75" s="10" t="s">
        <v>31</v>
      </c>
      <c r="D75" s="11">
        <v>4</v>
      </c>
      <c r="E75" s="101">
        <v>13200</v>
      </c>
      <c r="F75" s="101">
        <v>13200</v>
      </c>
      <c r="G75" s="101">
        <v>13200</v>
      </c>
      <c r="H75" s="101">
        <v>13200</v>
      </c>
      <c r="I75" s="101">
        <v>13200</v>
      </c>
      <c r="J75" s="101">
        <v>13200</v>
      </c>
      <c r="K75" s="101">
        <v>13200</v>
      </c>
      <c r="L75" s="101">
        <v>13200</v>
      </c>
      <c r="M75" s="101">
        <v>13200</v>
      </c>
      <c r="N75" s="101">
        <v>13200</v>
      </c>
      <c r="O75" s="101">
        <v>13200</v>
      </c>
      <c r="P75" s="101">
        <v>13200</v>
      </c>
      <c r="Q75" s="101">
        <v>13200</v>
      </c>
      <c r="R75" s="101">
        <v>13200</v>
      </c>
      <c r="S75" s="101">
        <v>13200</v>
      </c>
      <c r="T75" s="101">
        <v>13200</v>
      </c>
      <c r="U75" s="101">
        <v>13200</v>
      </c>
      <c r="V75" s="101">
        <v>13200</v>
      </c>
      <c r="W75" s="101">
        <v>13200</v>
      </c>
      <c r="X75" s="101">
        <v>13200</v>
      </c>
      <c r="Y75" s="101">
        <v>13200</v>
      </c>
      <c r="Z75" s="101">
        <v>13200</v>
      </c>
      <c r="AA75" s="101">
        <v>13200</v>
      </c>
      <c r="AB75" s="101">
        <v>13200</v>
      </c>
      <c r="AC75" s="235"/>
      <c r="AD75" s="177">
        <f>+AC105</f>
        <v>9820800</v>
      </c>
    </row>
    <row r="76" spans="2:30" ht="18.649999999999999" customHeight="1" thickBot="1" x14ac:dyDescent="0.4">
      <c r="B76" s="224" t="s">
        <v>34</v>
      </c>
      <c r="C76" s="12" t="s">
        <v>32</v>
      </c>
      <c r="D76" s="13">
        <v>2</v>
      </c>
      <c r="E76" s="98">
        <v>13200</v>
      </c>
      <c r="F76" s="98">
        <v>13200</v>
      </c>
      <c r="G76" s="98">
        <v>13200</v>
      </c>
      <c r="H76" s="98">
        <v>13200</v>
      </c>
      <c r="I76" s="98">
        <v>13200</v>
      </c>
      <c r="J76" s="98">
        <v>13200</v>
      </c>
      <c r="K76" s="98">
        <v>13200</v>
      </c>
      <c r="L76" s="98">
        <v>13200</v>
      </c>
      <c r="M76" s="98">
        <v>13200</v>
      </c>
      <c r="N76" s="98">
        <v>13200</v>
      </c>
      <c r="O76" s="98">
        <v>13200</v>
      </c>
      <c r="P76" s="98">
        <v>13200</v>
      </c>
      <c r="Q76" s="98">
        <v>13200</v>
      </c>
      <c r="R76" s="98">
        <v>13200</v>
      </c>
      <c r="S76" s="98">
        <v>13200</v>
      </c>
      <c r="T76" s="98">
        <v>13200</v>
      </c>
      <c r="U76" s="98">
        <v>13200</v>
      </c>
      <c r="V76" s="98">
        <v>13200</v>
      </c>
      <c r="W76" s="98">
        <v>13200</v>
      </c>
      <c r="X76" s="98">
        <v>13200</v>
      </c>
      <c r="Y76" s="98">
        <v>13200</v>
      </c>
      <c r="Z76" s="98">
        <v>13200</v>
      </c>
      <c r="AA76" s="98">
        <v>13200</v>
      </c>
      <c r="AB76" s="98">
        <v>13200</v>
      </c>
      <c r="AC76" s="237"/>
      <c r="AD76" s="19"/>
    </row>
    <row r="77" spans="2:30" ht="18.649999999999999" customHeight="1" x14ac:dyDescent="0.35">
      <c r="B77" s="212">
        <v>47604</v>
      </c>
      <c r="C77" s="14" t="s">
        <v>29</v>
      </c>
      <c r="D77" s="15">
        <v>22</v>
      </c>
      <c r="E77" s="103">
        <v>13200</v>
      </c>
      <c r="F77" s="103">
        <v>13200</v>
      </c>
      <c r="G77" s="103">
        <v>13200</v>
      </c>
      <c r="H77" s="103">
        <v>13200</v>
      </c>
      <c r="I77" s="103">
        <v>13200</v>
      </c>
      <c r="J77" s="103">
        <v>13200</v>
      </c>
      <c r="K77" s="103">
        <v>13200</v>
      </c>
      <c r="L77" s="103">
        <v>13200</v>
      </c>
      <c r="M77" s="103">
        <v>13200</v>
      </c>
      <c r="N77" s="103">
        <v>13200</v>
      </c>
      <c r="O77" s="103">
        <v>13200</v>
      </c>
      <c r="P77" s="103">
        <v>13200</v>
      </c>
      <c r="Q77" s="103">
        <v>13200</v>
      </c>
      <c r="R77" s="103">
        <v>13200</v>
      </c>
      <c r="S77" s="103">
        <v>13200</v>
      </c>
      <c r="T77" s="103">
        <v>13200</v>
      </c>
      <c r="U77" s="103">
        <v>13200</v>
      </c>
      <c r="V77" s="103">
        <v>13200</v>
      </c>
      <c r="W77" s="103">
        <v>13200</v>
      </c>
      <c r="X77" s="103">
        <v>13200</v>
      </c>
      <c r="Y77" s="103">
        <v>13200</v>
      </c>
      <c r="Z77" s="103">
        <v>13200</v>
      </c>
      <c r="AA77" s="103">
        <v>13200</v>
      </c>
      <c r="AB77" s="103">
        <v>13200</v>
      </c>
      <c r="AC77" s="235">
        <f>SUM(E77:AB77)*D77+SUM(E78:AB78)*D78+SUM(E79:AB79)*D79+SUM(E80:AB80)*D80</f>
        <v>9820800</v>
      </c>
      <c r="AD77" s="19"/>
    </row>
    <row r="78" spans="2:30" ht="18.649999999999999" customHeight="1" x14ac:dyDescent="0.35">
      <c r="B78" s="213"/>
      <c r="C78" s="10" t="s">
        <v>30</v>
      </c>
      <c r="D78" s="11">
        <v>4</v>
      </c>
      <c r="E78" s="101">
        <v>13200</v>
      </c>
      <c r="F78" s="101">
        <v>13200</v>
      </c>
      <c r="G78" s="101">
        <v>13200</v>
      </c>
      <c r="H78" s="101">
        <v>13200</v>
      </c>
      <c r="I78" s="101">
        <v>13200</v>
      </c>
      <c r="J78" s="101">
        <v>13200</v>
      </c>
      <c r="K78" s="101">
        <v>13200</v>
      </c>
      <c r="L78" s="101">
        <v>13200</v>
      </c>
      <c r="M78" s="101">
        <v>13200</v>
      </c>
      <c r="N78" s="101">
        <v>13200</v>
      </c>
      <c r="O78" s="101">
        <v>13200</v>
      </c>
      <c r="P78" s="101">
        <v>13200</v>
      </c>
      <c r="Q78" s="101">
        <v>13200</v>
      </c>
      <c r="R78" s="101">
        <v>13200</v>
      </c>
      <c r="S78" s="101">
        <v>13200</v>
      </c>
      <c r="T78" s="101">
        <v>13200</v>
      </c>
      <c r="U78" s="101">
        <v>13200</v>
      </c>
      <c r="V78" s="101">
        <v>13200</v>
      </c>
      <c r="W78" s="101">
        <v>13200</v>
      </c>
      <c r="X78" s="101">
        <v>13200</v>
      </c>
      <c r="Y78" s="101">
        <v>13200</v>
      </c>
      <c r="Z78" s="101">
        <v>13200</v>
      </c>
      <c r="AA78" s="101">
        <v>13200</v>
      </c>
      <c r="AB78" s="101">
        <v>13200</v>
      </c>
      <c r="AC78" s="235"/>
      <c r="AD78" s="19"/>
    </row>
    <row r="79" spans="2:30" ht="18.649999999999999" customHeight="1" x14ac:dyDescent="0.35">
      <c r="B79" s="213"/>
      <c r="C79" s="10" t="s">
        <v>31</v>
      </c>
      <c r="D79" s="11">
        <v>4</v>
      </c>
      <c r="E79" s="101">
        <v>13200</v>
      </c>
      <c r="F79" s="101">
        <v>13200</v>
      </c>
      <c r="G79" s="101">
        <v>13200</v>
      </c>
      <c r="H79" s="101">
        <v>13200</v>
      </c>
      <c r="I79" s="101">
        <v>13200</v>
      </c>
      <c r="J79" s="101">
        <v>13200</v>
      </c>
      <c r="K79" s="101">
        <v>13200</v>
      </c>
      <c r="L79" s="101">
        <v>13200</v>
      </c>
      <c r="M79" s="101">
        <v>13200</v>
      </c>
      <c r="N79" s="101">
        <v>13200</v>
      </c>
      <c r="O79" s="101">
        <v>13200</v>
      </c>
      <c r="P79" s="101">
        <v>13200</v>
      </c>
      <c r="Q79" s="101">
        <v>13200</v>
      </c>
      <c r="R79" s="101">
        <v>13200</v>
      </c>
      <c r="S79" s="101">
        <v>13200</v>
      </c>
      <c r="T79" s="101">
        <v>13200</v>
      </c>
      <c r="U79" s="101">
        <v>13200</v>
      </c>
      <c r="V79" s="101">
        <v>13200</v>
      </c>
      <c r="W79" s="101">
        <v>13200</v>
      </c>
      <c r="X79" s="101">
        <v>13200</v>
      </c>
      <c r="Y79" s="101">
        <v>13200</v>
      </c>
      <c r="Z79" s="101">
        <v>13200</v>
      </c>
      <c r="AA79" s="101">
        <v>13200</v>
      </c>
      <c r="AB79" s="101">
        <v>13200</v>
      </c>
      <c r="AC79" s="235"/>
      <c r="AD79" s="19"/>
    </row>
    <row r="80" spans="2:30" ht="18.649999999999999" customHeight="1" thickBot="1" x14ac:dyDescent="0.4">
      <c r="B80" s="213"/>
      <c r="C80" s="16" t="s">
        <v>32</v>
      </c>
      <c r="D80" s="17">
        <v>1</v>
      </c>
      <c r="E80" s="102">
        <v>13200</v>
      </c>
      <c r="F80" s="102">
        <v>13200</v>
      </c>
      <c r="G80" s="102">
        <v>13200</v>
      </c>
      <c r="H80" s="102">
        <v>13200</v>
      </c>
      <c r="I80" s="102">
        <v>13200</v>
      </c>
      <c r="J80" s="102">
        <v>13200</v>
      </c>
      <c r="K80" s="102">
        <v>13200</v>
      </c>
      <c r="L80" s="102">
        <v>13200</v>
      </c>
      <c r="M80" s="102">
        <v>13200</v>
      </c>
      <c r="N80" s="102">
        <v>13200</v>
      </c>
      <c r="O80" s="102">
        <v>13200</v>
      </c>
      <c r="P80" s="102">
        <v>13200</v>
      </c>
      <c r="Q80" s="102">
        <v>13200</v>
      </c>
      <c r="R80" s="102">
        <v>13200</v>
      </c>
      <c r="S80" s="102">
        <v>13200</v>
      </c>
      <c r="T80" s="102">
        <v>13200</v>
      </c>
      <c r="U80" s="102">
        <v>13200</v>
      </c>
      <c r="V80" s="102">
        <v>13200</v>
      </c>
      <c r="W80" s="102">
        <v>13200</v>
      </c>
      <c r="X80" s="102">
        <v>13200</v>
      </c>
      <c r="Y80" s="102">
        <v>13200</v>
      </c>
      <c r="Z80" s="102">
        <v>13200</v>
      </c>
      <c r="AA80" s="102">
        <v>13200</v>
      </c>
      <c r="AB80" s="102">
        <v>13200</v>
      </c>
      <c r="AC80" s="235"/>
      <c r="AD80" s="19"/>
    </row>
    <row r="81" spans="2:30" ht="18.649999999999999" customHeight="1" x14ac:dyDescent="0.35">
      <c r="B81" s="222">
        <v>47635</v>
      </c>
      <c r="C81" s="7" t="s">
        <v>29</v>
      </c>
      <c r="D81" s="8">
        <v>18</v>
      </c>
      <c r="E81" s="100">
        <v>13200</v>
      </c>
      <c r="F81" s="100">
        <v>13200</v>
      </c>
      <c r="G81" s="100">
        <v>13200</v>
      </c>
      <c r="H81" s="100">
        <v>13200</v>
      </c>
      <c r="I81" s="100">
        <v>13200</v>
      </c>
      <c r="J81" s="100">
        <v>13200</v>
      </c>
      <c r="K81" s="100">
        <v>13200</v>
      </c>
      <c r="L81" s="100">
        <v>13200</v>
      </c>
      <c r="M81" s="100">
        <v>13200</v>
      </c>
      <c r="N81" s="100">
        <v>13200</v>
      </c>
      <c r="O81" s="100">
        <v>13200</v>
      </c>
      <c r="P81" s="100">
        <v>13200</v>
      </c>
      <c r="Q81" s="100">
        <v>13200</v>
      </c>
      <c r="R81" s="100">
        <v>13200</v>
      </c>
      <c r="S81" s="100">
        <v>13200</v>
      </c>
      <c r="T81" s="100">
        <v>13200</v>
      </c>
      <c r="U81" s="100">
        <v>13200</v>
      </c>
      <c r="V81" s="100">
        <v>13200</v>
      </c>
      <c r="W81" s="100">
        <v>13200</v>
      </c>
      <c r="X81" s="100">
        <v>13200</v>
      </c>
      <c r="Y81" s="100">
        <v>13200</v>
      </c>
      <c r="Z81" s="100">
        <v>13200</v>
      </c>
      <c r="AA81" s="100">
        <v>13200</v>
      </c>
      <c r="AB81" s="100">
        <v>13200</v>
      </c>
      <c r="AC81" s="234">
        <f>SUM(E81:AB81)*D81+SUM(E82:AB82)*D82+SUM(E83:AB83)*D83+SUM(E84:AB84)*D84</f>
        <v>9504000</v>
      </c>
      <c r="AD81" s="19"/>
    </row>
    <row r="82" spans="2:30" ht="18.649999999999999" customHeight="1" x14ac:dyDescent="0.35">
      <c r="B82" s="223" t="s">
        <v>34</v>
      </c>
      <c r="C82" s="10" t="s">
        <v>30</v>
      </c>
      <c r="D82" s="11">
        <v>5</v>
      </c>
      <c r="E82" s="101">
        <v>13200</v>
      </c>
      <c r="F82" s="101">
        <v>13200</v>
      </c>
      <c r="G82" s="101">
        <v>13200</v>
      </c>
      <c r="H82" s="101">
        <v>13200</v>
      </c>
      <c r="I82" s="101">
        <v>13200</v>
      </c>
      <c r="J82" s="101">
        <v>13200</v>
      </c>
      <c r="K82" s="101">
        <v>13200</v>
      </c>
      <c r="L82" s="101">
        <v>13200</v>
      </c>
      <c r="M82" s="101">
        <v>13200</v>
      </c>
      <c r="N82" s="101">
        <v>13200</v>
      </c>
      <c r="O82" s="101">
        <v>13200</v>
      </c>
      <c r="P82" s="101">
        <v>13200</v>
      </c>
      <c r="Q82" s="101">
        <v>13200</v>
      </c>
      <c r="R82" s="101">
        <v>13200</v>
      </c>
      <c r="S82" s="101">
        <v>13200</v>
      </c>
      <c r="T82" s="101">
        <v>13200</v>
      </c>
      <c r="U82" s="101">
        <v>13200</v>
      </c>
      <c r="V82" s="101">
        <v>13200</v>
      </c>
      <c r="W82" s="101">
        <v>13200</v>
      </c>
      <c r="X82" s="101">
        <v>13200</v>
      </c>
      <c r="Y82" s="101">
        <v>13200</v>
      </c>
      <c r="Z82" s="101">
        <v>13200</v>
      </c>
      <c r="AA82" s="101">
        <v>13200</v>
      </c>
      <c r="AB82" s="101">
        <v>13200</v>
      </c>
      <c r="AC82" s="235"/>
      <c r="AD82" s="19"/>
    </row>
    <row r="83" spans="2:30" ht="18.649999999999999" customHeight="1" x14ac:dyDescent="0.35">
      <c r="B83" s="223" t="s">
        <v>34</v>
      </c>
      <c r="C83" s="10" t="s">
        <v>31</v>
      </c>
      <c r="D83" s="11">
        <v>5</v>
      </c>
      <c r="E83" s="101">
        <v>13200</v>
      </c>
      <c r="F83" s="101">
        <v>13200</v>
      </c>
      <c r="G83" s="101">
        <v>13200</v>
      </c>
      <c r="H83" s="101">
        <v>13200</v>
      </c>
      <c r="I83" s="101">
        <v>13200</v>
      </c>
      <c r="J83" s="101">
        <v>13200</v>
      </c>
      <c r="K83" s="101">
        <v>13200</v>
      </c>
      <c r="L83" s="101">
        <v>13200</v>
      </c>
      <c r="M83" s="101">
        <v>13200</v>
      </c>
      <c r="N83" s="101">
        <v>13200</v>
      </c>
      <c r="O83" s="101">
        <v>13200</v>
      </c>
      <c r="P83" s="101">
        <v>13200</v>
      </c>
      <c r="Q83" s="101">
        <v>13200</v>
      </c>
      <c r="R83" s="101">
        <v>13200</v>
      </c>
      <c r="S83" s="101">
        <v>13200</v>
      </c>
      <c r="T83" s="101">
        <v>13200</v>
      </c>
      <c r="U83" s="101">
        <v>13200</v>
      </c>
      <c r="V83" s="101">
        <v>13200</v>
      </c>
      <c r="W83" s="101">
        <v>13200</v>
      </c>
      <c r="X83" s="101">
        <v>13200</v>
      </c>
      <c r="Y83" s="101">
        <v>13200</v>
      </c>
      <c r="Z83" s="101">
        <v>13200</v>
      </c>
      <c r="AA83" s="101">
        <v>13200</v>
      </c>
      <c r="AB83" s="101">
        <v>13200</v>
      </c>
      <c r="AC83" s="235"/>
      <c r="AD83" s="19"/>
    </row>
    <row r="84" spans="2:30" ht="18.649999999999999" customHeight="1" thickBot="1" x14ac:dyDescent="0.4">
      <c r="B84" s="224" t="s">
        <v>34</v>
      </c>
      <c r="C84" s="12" t="s">
        <v>32</v>
      </c>
      <c r="D84" s="13">
        <v>2</v>
      </c>
      <c r="E84" s="98">
        <v>13200</v>
      </c>
      <c r="F84" s="98">
        <v>13200</v>
      </c>
      <c r="G84" s="98">
        <v>13200</v>
      </c>
      <c r="H84" s="98">
        <v>13200</v>
      </c>
      <c r="I84" s="98">
        <v>13200</v>
      </c>
      <c r="J84" s="98">
        <v>13200</v>
      </c>
      <c r="K84" s="98">
        <v>13200</v>
      </c>
      <c r="L84" s="98">
        <v>13200</v>
      </c>
      <c r="M84" s="98">
        <v>13200</v>
      </c>
      <c r="N84" s="98">
        <v>13200</v>
      </c>
      <c r="O84" s="98">
        <v>13200</v>
      </c>
      <c r="P84" s="98">
        <v>13200</v>
      </c>
      <c r="Q84" s="98">
        <v>13200</v>
      </c>
      <c r="R84" s="98">
        <v>13200</v>
      </c>
      <c r="S84" s="98">
        <v>13200</v>
      </c>
      <c r="T84" s="98">
        <v>13200</v>
      </c>
      <c r="U84" s="98">
        <v>13200</v>
      </c>
      <c r="V84" s="98">
        <v>13200</v>
      </c>
      <c r="W84" s="98">
        <v>13200</v>
      </c>
      <c r="X84" s="98">
        <v>13200</v>
      </c>
      <c r="Y84" s="98">
        <v>13200</v>
      </c>
      <c r="Z84" s="98">
        <v>13200</v>
      </c>
      <c r="AA84" s="98">
        <v>13200</v>
      </c>
      <c r="AB84" s="98">
        <v>13200</v>
      </c>
      <c r="AC84" s="237"/>
      <c r="AD84" s="19"/>
    </row>
    <row r="85" spans="2:30" ht="18.649999999999999" customHeight="1" x14ac:dyDescent="0.35">
      <c r="B85" s="212">
        <v>47665</v>
      </c>
      <c r="C85" s="14" t="s">
        <v>29</v>
      </c>
      <c r="D85" s="15">
        <v>22</v>
      </c>
      <c r="E85" s="103">
        <v>13200</v>
      </c>
      <c r="F85" s="103">
        <v>13200</v>
      </c>
      <c r="G85" s="103">
        <v>13200</v>
      </c>
      <c r="H85" s="103">
        <v>13200</v>
      </c>
      <c r="I85" s="103">
        <v>13200</v>
      </c>
      <c r="J85" s="103">
        <v>13200</v>
      </c>
      <c r="K85" s="103">
        <v>13200</v>
      </c>
      <c r="L85" s="103">
        <v>13200</v>
      </c>
      <c r="M85" s="103">
        <v>13200</v>
      </c>
      <c r="N85" s="103">
        <v>13200</v>
      </c>
      <c r="O85" s="103">
        <v>13200</v>
      </c>
      <c r="P85" s="103">
        <v>13200</v>
      </c>
      <c r="Q85" s="103">
        <v>13200</v>
      </c>
      <c r="R85" s="103">
        <v>13200</v>
      </c>
      <c r="S85" s="103">
        <v>13200</v>
      </c>
      <c r="T85" s="103">
        <v>13200</v>
      </c>
      <c r="U85" s="103">
        <v>13200</v>
      </c>
      <c r="V85" s="103">
        <v>13200</v>
      </c>
      <c r="W85" s="103">
        <v>13200</v>
      </c>
      <c r="X85" s="103">
        <v>13200</v>
      </c>
      <c r="Y85" s="103">
        <v>13200</v>
      </c>
      <c r="Z85" s="103">
        <v>13200</v>
      </c>
      <c r="AA85" s="103">
        <v>13200</v>
      </c>
      <c r="AB85" s="103">
        <v>13200</v>
      </c>
      <c r="AC85" s="235">
        <f>SUM(E85:AB85)*D85+SUM(E86:AB86)*D86+SUM(E87:AB87)*D87+SUM(E88:AB88)*D88</f>
        <v>9820800</v>
      </c>
      <c r="AD85" s="19"/>
    </row>
    <row r="86" spans="2:30" ht="18.649999999999999" customHeight="1" x14ac:dyDescent="0.35">
      <c r="B86" s="213"/>
      <c r="C86" s="10" t="s">
        <v>30</v>
      </c>
      <c r="D86" s="11">
        <v>3</v>
      </c>
      <c r="E86" s="101">
        <v>13200</v>
      </c>
      <c r="F86" s="101">
        <v>13200</v>
      </c>
      <c r="G86" s="101">
        <v>13200</v>
      </c>
      <c r="H86" s="101">
        <v>13200</v>
      </c>
      <c r="I86" s="101">
        <v>13200</v>
      </c>
      <c r="J86" s="101">
        <v>13200</v>
      </c>
      <c r="K86" s="101">
        <v>13200</v>
      </c>
      <c r="L86" s="101">
        <v>13200</v>
      </c>
      <c r="M86" s="101">
        <v>13200</v>
      </c>
      <c r="N86" s="101">
        <v>13200</v>
      </c>
      <c r="O86" s="101">
        <v>13200</v>
      </c>
      <c r="P86" s="101">
        <v>13200</v>
      </c>
      <c r="Q86" s="101">
        <v>13200</v>
      </c>
      <c r="R86" s="101">
        <v>13200</v>
      </c>
      <c r="S86" s="101">
        <v>13200</v>
      </c>
      <c r="T86" s="101">
        <v>13200</v>
      </c>
      <c r="U86" s="101">
        <v>13200</v>
      </c>
      <c r="V86" s="101">
        <v>13200</v>
      </c>
      <c r="W86" s="101">
        <v>13200</v>
      </c>
      <c r="X86" s="101">
        <v>13200</v>
      </c>
      <c r="Y86" s="101">
        <v>13200</v>
      </c>
      <c r="Z86" s="101">
        <v>13200</v>
      </c>
      <c r="AA86" s="101">
        <v>13200</v>
      </c>
      <c r="AB86" s="101">
        <v>13200</v>
      </c>
      <c r="AC86" s="235"/>
      <c r="AD86" s="19"/>
    </row>
    <row r="87" spans="2:30" ht="18.649999999999999" customHeight="1" x14ac:dyDescent="0.35">
      <c r="B87" s="213"/>
      <c r="C87" s="10" t="s">
        <v>31</v>
      </c>
      <c r="D87" s="11">
        <v>4</v>
      </c>
      <c r="E87" s="101">
        <v>13200</v>
      </c>
      <c r="F87" s="101">
        <v>13200</v>
      </c>
      <c r="G87" s="101">
        <v>13200</v>
      </c>
      <c r="H87" s="101">
        <v>13200</v>
      </c>
      <c r="I87" s="101">
        <v>13200</v>
      </c>
      <c r="J87" s="101">
        <v>13200</v>
      </c>
      <c r="K87" s="101">
        <v>13200</v>
      </c>
      <c r="L87" s="101">
        <v>13200</v>
      </c>
      <c r="M87" s="101">
        <v>13200</v>
      </c>
      <c r="N87" s="101">
        <v>13200</v>
      </c>
      <c r="O87" s="101">
        <v>13200</v>
      </c>
      <c r="P87" s="101">
        <v>13200</v>
      </c>
      <c r="Q87" s="101">
        <v>13200</v>
      </c>
      <c r="R87" s="101">
        <v>13200</v>
      </c>
      <c r="S87" s="101">
        <v>13200</v>
      </c>
      <c r="T87" s="101">
        <v>13200</v>
      </c>
      <c r="U87" s="101">
        <v>13200</v>
      </c>
      <c r="V87" s="101">
        <v>13200</v>
      </c>
      <c r="W87" s="101">
        <v>13200</v>
      </c>
      <c r="X87" s="101">
        <v>13200</v>
      </c>
      <c r="Y87" s="101">
        <v>13200</v>
      </c>
      <c r="Z87" s="101">
        <v>13200</v>
      </c>
      <c r="AA87" s="101">
        <v>13200</v>
      </c>
      <c r="AB87" s="101">
        <v>13200</v>
      </c>
      <c r="AC87" s="235"/>
      <c r="AD87" s="19"/>
    </row>
    <row r="88" spans="2:30" ht="18.649999999999999" customHeight="1" thickBot="1" x14ac:dyDescent="0.4">
      <c r="B88" s="213"/>
      <c r="C88" s="16" t="s">
        <v>32</v>
      </c>
      <c r="D88" s="17">
        <v>2</v>
      </c>
      <c r="E88" s="102">
        <v>13200</v>
      </c>
      <c r="F88" s="102">
        <v>13200</v>
      </c>
      <c r="G88" s="102">
        <v>13200</v>
      </c>
      <c r="H88" s="102">
        <v>13200</v>
      </c>
      <c r="I88" s="102">
        <v>13200</v>
      </c>
      <c r="J88" s="102">
        <v>13200</v>
      </c>
      <c r="K88" s="102">
        <v>13200</v>
      </c>
      <c r="L88" s="102">
        <v>13200</v>
      </c>
      <c r="M88" s="102">
        <v>13200</v>
      </c>
      <c r="N88" s="102">
        <v>13200</v>
      </c>
      <c r="O88" s="102">
        <v>13200</v>
      </c>
      <c r="P88" s="102">
        <v>13200</v>
      </c>
      <c r="Q88" s="102">
        <v>13200</v>
      </c>
      <c r="R88" s="102">
        <v>13200</v>
      </c>
      <c r="S88" s="102">
        <v>13200</v>
      </c>
      <c r="T88" s="102">
        <v>13200</v>
      </c>
      <c r="U88" s="102">
        <v>13200</v>
      </c>
      <c r="V88" s="102">
        <v>13200</v>
      </c>
      <c r="W88" s="102">
        <v>13200</v>
      </c>
      <c r="X88" s="102">
        <v>13200</v>
      </c>
      <c r="Y88" s="102">
        <v>13200</v>
      </c>
      <c r="Z88" s="102">
        <v>13200</v>
      </c>
      <c r="AA88" s="102">
        <v>13200</v>
      </c>
      <c r="AB88" s="102">
        <v>13200</v>
      </c>
      <c r="AC88" s="235"/>
      <c r="AD88" s="19"/>
    </row>
    <row r="89" spans="2:30" ht="18.649999999999999" customHeight="1" x14ac:dyDescent="0.35">
      <c r="B89" s="222">
        <v>47696</v>
      </c>
      <c r="C89" s="7" t="s">
        <v>29</v>
      </c>
      <c r="D89" s="8">
        <v>20</v>
      </c>
      <c r="E89" s="100">
        <v>13200</v>
      </c>
      <c r="F89" s="100">
        <v>13200</v>
      </c>
      <c r="G89" s="100">
        <v>13200</v>
      </c>
      <c r="H89" s="100">
        <v>13200</v>
      </c>
      <c r="I89" s="100">
        <v>13200</v>
      </c>
      <c r="J89" s="100">
        <v>13200</v>
      </c>
      <c r="K89" s="100">
        <v>13200</v>
      </c>
      <c r="L89" s="100">
        <v>13200</v>
      </c>
      <c r="M89" s="100">
        <v>13200</v>
      </c>
      <c r="N89" s="100">
        <v>13200</v>
      </c>
      <c r="O89" s="100">
        <v>13200</v>
      </c>
      <c r="P89" s="100">
        <v>13200</v>
      </c>
      <c r="Q89" s="100">
        <v>13200</v>
      </c>
      <c r="R89" s="100">
        <v>13200</v>
      </c>
      <c r="S89" s="100">
        <v>13200</v>
      </c>
      <c r="T89" s="100">
        <v>13200</v>
      </c>
      <c r="U89" s="100">
        <v>13200</v>
      </c>
      <c r="V89" s="100">
        <v>13200</v>
      </c>
      <c r="W89" s="100">
        <v>13200</v>
      </c>
      <c r="X89" s="100">
        <v>13200</v>
      </c>
      <c r="Y89" s="100">
        <v>13200</v>
      </c>
      <c r="Z89" s="100">
        <v>13200</v>
      </c>
      <c r="AA89" s="100">
        <v>13200</v>
      </c>
      <c r="AB89" s="100">
        <v>13200</v>
      </c>
      <c r="AC89" s="234">
        <f>SUM(E89:AB89)*D89+SUM(E90:AB90)*D90+SUM(E91:AB91)*D91+SUM(E92:AB92)*D92</f>
        <v>9820800</v>
      </c>
      <c r="AD89" s="19"/>
    </row>
    <row r="90" spans="2:30" ht="18.649999999999999" customHeight="1" x14ac:dyDescent="0.35">
      <c r="B90" s="223" t="s">
        <v>34</v>
      </c>
      <c r="C90" s="10" t="s">
        <v>30</v>
      </c>
      <c r="D90" s="11">
        <v>5</v>
      </c>
      <c r="E90" s="101">
        <v>13200</v>
      </c>
      <c r="F90" s="101">
        <v>13200</v>
      </c>
      <c r="G90" s="101">
        <v>13200</v>
      </c>
      <c r="H90" s="101">
        <v>13200</v>
      </c>
      <c r="I90" s="101">
        <v>13200</v>
      </c>
      <c r="J90" s="101">
        <v>13200</v>
      </c>
      <c r="K90" s="101">
        <v>13200</v>
      </c>
      <c r="L90" s="101">
        <v>13200</v>
      </c>
      <c r="M90" s="101">
        <v>13200</v>
      </c>
      <c r="N90" s="101">
        <v>13200</v>
      </c>
      <c r="O90" s="101">
        <v>13200</v>
      </c>
      <c r="P90" s="101">
        <v>13200</v>
      </c>
      <c r="Q90" s="101">
        <v>13200</v>
      </c>
      <c r="R90" s="101">
        <v>13200</v>
      </c>
      <c r="S90" s="101">
        <v>13200</v>
      </c>
      <c r="T90" s="101">
        <v>13200</v>
      </c>
      <c r="U90" s="101">
        <v>13200</v>
      </c>
      <c r="V90" s="101">
        <v>13200</v>
      </c>
      <c r="W90" s="101">
        <v>13200</v>
      </c>
      <c r="X90" s="101">
        <v>13200</v>
      </c>
      <c r="Y90" s="101">
        <v>13200</v>
      </c>
      <c r="Z90" s="101">
        <v>13200</v>
      </c>
      <c r="AA90" s="101">
        <v>13200</v>
      </c>
      <c r="AB90" s="101">
        <v>13200</v>
      </c>
      <c r="AC90" s="235"/>
      <c r="AD90" s="19"/>
    </row>
    <row r="91" spans="2:30" ht="18.649999999999999" customHeight="1" x14ac:dyDescent="0.35">
      <c r="B91" s="223" t="s">
        <v>34</v>
      </c>
      <c r="C91" s="10" t="s">
        <v>31</v>
      </c>
      <c r="D91" s="11">
        <v>4</v>
      </c>
      <c r="E91" s="101">
        <v>13200</v>
      </c>
      <c r="F91" s="101">
        <v>13200</v>
      </c>
      <c r="G91" s="101">
        <v>13200</v>
      </c>
      <c r="H91" s="101">
        <v>13200</v>
      </c>
      <c r="I91" s="101">
        <v>13200</v>
      </c>
      <c r="J91" s="101">
        <v>13200</v>
      </c>
      <c r="K91" s="101">
        <v>13200</v>
      </c>
      <c r="L91" s="101">
        <v>13200</v>
      </c>
      <c r="M91" s="101">
        <v>13200</v>
      </c>
      <c r="N91" s="101">
        <v>13200</v>
      </c>
      <c r="O91" s="101">
        <v>13200</v>
      </c>
      <c r="P91" s="101">
        <v>13200</v>
      </c>
      <c r="Q91" s="101">
        <v>13200</v>
      </c>
      <c r="R91" s="101">
        <v>13200</v>
      </c>
      <c r="S91" s="101">
        <v>13200</v>
      </c>
      <c r="T91" s="101">
        <v>13200</v>
      </c>
      <c r="U91" s="101">
        <v>13200</v>
      </c>
      <c r="V91" s="101">
        <v>13200</v>
      </c>
      <c r="W91" s="101">
        <v>13200</v>
      </c>
      <c r="X91" s="101">
        <v>13200</v>
      </c>
      <c r="Y91" s="101">
        <v>13200</v>
      </c>
      <c r="Z91" s="101">
        <v>13200</v>
      </c>
      <c r="AA91" s="101">
        <v>13200</v>
      </c>
      <c r="AB91" s="101">
        <v>13200</v>
      </c>
      <c r="AC91" s="235"/>
      <c r="AD91" s="19"/>
    </row>
    <row r="92" spans="2:30" ht="18.649999999999999" customHeight="1" thickBot="1" x14ac:dyDescent="0.4">
      <c r="B92" s="224" t="s">
        <v>34</v>
      </c>
      <c r="C92" s="12" t="s">
        <v>32</v>
      </c>
      <c r="D92" s="13">
        <v>2</v>
      </c>
      <c r="E92" s="98">
        <v>13200</v>
      </c>
      <c r="F92" s="98">
        <v>13200</v>
      </c>
      <c r="G92" s="98">
        <v>13200</v>
      </c>
      <c r="H92" s="98">
        <v>13200</v>
      </c>
      <c r="I92" s="98">
        <v>13200</v>
      </c>
      <c r="J92" s="98">
        <v>13200</v>
      </c>
      <c r="K92" s="98">
        <v>13200</v>
      </c>
      <c r="L92" s="98">
        <v>13200</v>
      </c>
      <c r="M92" s="98">
        <v>13200</v>
      </c>
      <c r="N92" s="98">
        <v>13200</v>
      </c>
      <c r="O92" s="98">
        <v>13200</v>
      </c>
      <c r="P92" s="98">
        <v>13200</v>
      </c>
      <c r="Q92" s="98">
        <v>13200</v>
      </c>
      <c r="R92" s="98">
        <v>13200</v>
      </c>
      <c r="S92" s="98">
        <v>13200</v>
      </c>
      <c r="T92" s="98">
        <v>13200</v>
      </c>
      <c r="U92" s="98">
        <v>13200</v>
      </c>
      <c r="V92" s="98">
        <v>13200</v>
      </c>
      <c r="W92" s="98">
        <v>13200</v>
      </c>
      <c r="X92" s="98">
        <v>13200</v>
      </c>
      <c r="Y92" s="98">
        <v>13200</v>
      </c>
      <c r="Z92" s="98">
        <v>13200</v>
      </c>
      <c r="AA92" s="98">
        <v>13200</v>
      </c>
      <c r="AB92" s="98">
        <v>13200</v>
      </c>
      <c r="AC92" s="237"/>
      <c r="AD92" s="19"/>
    </row>
    <row r="93" spans="2:30" ht="18.649999999999999" customHeight="1" x14ac:dyDescent="0.35">
      <c r="B93" s="212">
        <v>47727</v>
      </c>
      <c r="C93" s="14" t="s">
        <v>29</v>
      </c>
      <c r="D93" s="15">
        <v>21</v>
      </c>
      <c r="E93" s="103">
        <v>13200</v>
      </c>
      <c r="F93" s="103">
        <v>13200</v>
      </c>
      <c r="G93" s="103">
        <v>13200</v>
      </c>
      <c r="H93" s="103">
        <v>13200</v>
      </c>
      <c r="I93" s="103">
        <v>13200</v>
      </c>
      <c r="J93" s="103">
        <v>13200</v>
      </c>
      <c r="K93" s="103">
        <v>13200</v>
      </c>
      <c r="L93" s="103">
        <v>13200</v>
      </c>
      <c r="M93" s="103">
        <v>13200</v>
      </c>
      <c r="N93" s="103">
        <v>13200</v>
      </c>
      <c r="O93" s="103">
        <v>13200</v>
      </c>
      <c r="P93" s="103">
        <v>13200</v>
      </c>
      <c r="Q93" s="103">
        <v>13200</v>
      </c>
      <c r="R93" s="103">
        <v>13200</v>
      </c>
      <c r="S93" s="103">
        <v>13200</v>
      </c>
      <c r="T93" s="103">
        <v>13200</v>
      </c>
      <c r="U93" s="103">
        <v>13200</v>
      </c>
      <c r="V93" s="103">
        <v>13200</v>
      </c>
      <c r="W93" s="103">
        <v>13200</v>
      </c>
      <c r="X93" s="103">
        <v>13200</v>
      </c>
      <c r="Y93" s="103">
        <v>13200</v>
      </c>
      <c r="Z93" s="103">
        <v>13200</v>
      </c>
      <c r="AA93" s="103">
        <v>13200</v>
      </c>
      <c r="AB93" s="103">
        <v>13200</v>
      </c>
      <c r="AC93" s="235">
        <f>SUM(E93:AB93)*D93+SUM(E94:AB94)*D94+SUM(E95:AB95)*D95+SUM(E96:AB96)*D96</f>
        <v>9504000</v>
      </c>
      <c r="AD93" s="19"/>
    </row>
    <row r="94" spans="2:30" ht="18.649999999999999" customHeight="1" x14ac:dyDescent="0.35">
      <c r="B94" s="213"/>
      <c r="C94" s="10" t="s">
        <v>30</v>
      </c>
      <c r="D94" s="11">
        <v>4</v>
      </c>
      <c r="E94" s="101">
        <v>13200</v>
      </c>
      <c r="F94" s="101">
        <v>13200</v>
      </c>
      <c r="G94" s="101">
        <v>13200</v>
      </c>
      <c r="H94" s="101">
        <v>13200</v>
      </c>
      <c r="I94" s="101">
        <v>13200</v>
      </c>
      <c r="J94" s="101">
        <v>13200</v>
      </c>
      <c r="K94" s="101">
        <v>13200</v>
      </c>
      <c r="L94" s="101">
        <v>13200</v>
      </c>
      <c r="M94" s="101">
        <v>13200</v>
      </c>
      <c r="N94" s="101">
        <v>13200</v>
      </c>
      <c r="O94" s="101">
        <v>13200</v>
      </c>
      <c r="P94" s="101">
        <v>13200</v>
      </c>
      <c r="Q94" s="101">
        <v>13200</v>
      </c>
      <c r="R94" s="101">
        <v>13200</v>
      </c>
      <c r="S94" s="101">
        <v>13200</v>
      </c>
      <c r="T94" s="101">
        <v>13200</v>
      </c>
      <c r="U94" s="101">
        <v>13200</v>
      </c>
      <c r="V94" s="101">
        <v>13200</v>
      </c>
      <c r="W94" s="101">
        <v>13200</v>
      </c>
      <c r="X94" s="101">
        <v>13200</v>
      </c>
      <c r="Y94" s="101">
        <v>13200</v>
      </c>
      <c r="Z94" s="101">
        <v>13200</v>
      </c>
      <c r="AA94" s="101">
        <v>13200</v>
      </c>
      <c r="AB94" s="101">
        <v>13200</v>
      </c>
      <c r="AC94" s="235"/>
      <c r="AD94" s="19"/>
    </row>
    <row r="95" spans="2:30" ht="18.649999999999999" customHeight="1" x14ac:dyDescent="0.35">
      <c r="B95" s="213"/>
      <c r="C95" s="10" t="s">
        <v>31</v>
      </c>
      <c r="D95" s="11">
        <v>5</v>
      </c>
      <c r="E95" s="101">
        <v>13200</v>
      </c>
      <c r="F95" s="101">
        <v>13200</v>
      </c>
      <c r="G95" s="101">
        <v>13200</v>
      </c>
      <c r="H95" s="101">
        <v>13200</v>
      </c>
      <c r="I95" s="101">
        <v>13200</v>
      </c>
      <c r="J95" s="101">
        <v>13200</v>
      </c>
      <c r="K95" s="101">
        <v>13200</v>
      </c>
      <c r="L95" s="101">
        <v>13200</v>
      </c>
      <c r="M95" s="101">
        <v>13200</v>
      </c>
      <c r="N95" s="101">
        <v>13200</v>
      </c>
      <c r="O95" s="101">
        <v>13200</v>
      </c>
      <c r="P95" s="101">
        <v>13200</v>
      </c>
      <c r="Q95" s="101">
        <v>13200</v>
      </c>
      <c r="R95" s="101">
        <v>13200</v>
      </c>
      <c r="S95" s="101">
        <v>13200</v>
      </c>
      <c r="T95" s="101">
        <v>13200</v>
      </c>
      <c r="U95" s="101">
        <v>13200</v>
      </c>
      <c r="V95" s="101">
        <v>13200</v>
      </c>
      <c r="W95" s="101">
        <v>13200</v>
      </c>
      <c r="X95" s="101">
        <v>13200</v>
      </c>
      <c r="Y95" s="101">
        <v>13200</v>
      </c>
      <c r="Z95" s="101">
        <v>13200</v>
      </c>
      <c r="AA95" s="101">
        <v>13200</v>
      </c>
      <c r="AB95" s="101">
        <v>13200</v>
      </c>
      <c r="AC95" s="235"/>
      <c r="AD95" s="19"/>
    </row>
    <row r="96" spans="2:30" ht="18.649999999999999" customHeight="1" thickBot="1" x14ac:dyDescent="0.4">
      <c r="B96" s="213"/>
      <c r="C96" s="16" t="s">
        <v>32</v>
      </c>
      <c r="D96" s="17">
        <v>0</v>
      </c>
      <c r="E96" s="159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235"/>
      <c r="AD96" s="19"/>
    </row>
    <row r="97" spans="2:31" ht="18.649999999999999" customHeight="1" x14ac:dyDescent="0.35">
      <c r="B97" s="222">
        <v>47757</v>
      </c>
      <c r="C97" s="7" t="s">
        <v>29</v>
      </c>
      <c r="D97" s="8">
        <v>22</v>
      </c>
      <c r="E97" s="100">
        <v>13200</v>
      </c>
      <c r="F97" s="100">
        <v>13200</v>
      </c>
      <c r="G97" s="100">
        <v>13200</v>
      </c>
      <c r="H97" s="100">
        <v>13200</v>
      </c>
      <c r="I97" s="100">
        <v>13200</v>
      </c>
      <c r="J97" s="100">
        <v>13200</v>
      </c>
      <c r="K97" s="100">
        <v>13200</v>
      </c>
      <c r="L97" s="100">
        <v>13200</v>
      </c>
      <c r="M97" s="100">
        <v>13200</v>
      </c>
      <c r="N97" s="100">
        <v>13200</v>
      </c>
      <c r="O97" s="100">
        <v>13200</v>
      </c>
      <c r="P97" s="100">
        <v>13200</v>
      </c>
      <c r="Q97" s="100">
        <v>13200</v>
      </c>
      <c r="R97" s="100">
        <v>13200</v>
      </c>
      <c r="S97" s="100">
        <v>13200</v>
      </c>
      <c r="T97" s="100">
        <v>13200</v>
      </c>
      <c r="U97" s="100">
        <v>13200</v>
      </c>
      <c r="V97" s="100">
        <v>13200</v>
      </c>
      <c r="W97" s="100">
        <v>13200</v>
      </c>
      <c r="X97" s="100">
        <v>13200</v>
      </c>
      <c r="Y97" s="100">
        <v>13200</v>
      </c>
      <c r="Z97" s="100">
        <v>13200</v>
      </c>
      <c r="AA97" s="100">
        <v>13200</v>
      </c>
      <c r="AB97" s="100">
        <v>13200</v>
      </c>
      <c r="AC97" s="234">
        <f>SUM(E97:AB97)*D97+SUM(E98:AB98)*D98+SUM(E99:AB99)*D99+SUM(E100:AB100)*D100</f>
        <v>9820800</v>
      </c>
      <c r="AD97" s="19"/>
    </row>
    <row r="98" spans="2:31" ht="18.649999999999999" customHeight="1" x14ac:dyDescent="0.35">
      <c r="B98" s="223" t="s">
        <v>34</v>
      </c>
      <c r="C98" s="10" t="s">
        <v>30</v>
      </c>
      <c r="D98" s="11">
        <v>4</v>
      </c>
      <c r="E98" s="101">
        <v>13200</v>
      </c>
      <c r="F98" s="101">
        <v>13200</v>
      </c>
      <c r="G98" s="101">
        <v>13200</v>
      </c>
      <c r="H98" s="101">
        <v>13200</v>
      </c>
      <c r="I98" s="101">
        <v>13200</v>
      </c>
      <c r="J98" s="101">
        <v>13200</v>
      </c>
      <c r="K98" s="101">
        <v>13200</v>
      </c>
      <c r="L98" s="101">
        <v>13200</v>
      </c>
      <c r="M98" s="101">
        <v>13200</v>
      </c>
      <c r="N98" s="101">
        <v>13200</v>
      </c>
      <c r="O98" s="101">
        <v>13200</v>
      </c>
      <c r="P98" s="101">
        <v>13200</v>
      </c>
      <c r="Q98" s="101">
        <v>13200</v>
      </c>
      <c r="R98" s="101">
        <v>13200</v>
      </c>
      <c r="S98" s="101">
        <v>13200</v>
      </c>
      <c r="T98" s="101">
        <v>13200</v>
      </c>
      <c r="U98" s="101">
        <v>13200</v>
      </c>
      <c r="V98" s="101">
        <v>13200</v>
      </c>
      <c r="W98" s="101">
        <v>13200</v>
      </c>
      <c r="X98" s="101">
        <v>13200</v>
      </c>
      <c r="Y98" s="101">
        <v>13200</v>
      </c>
      <c r="Z98" s="101">
        <v>13200</v>
      </c>
      <c r="AA98" s="101">
        <v>13200</v>
      </c>
      <c r="AB98" s="101">
        <v>13200</v>
      </c>
      <c r="AC98" s="235"/>
      <c r="AD98" s="19"/>
    </row>
    <row r="99" spans="2:31" ht="18.649999999999999" customHeight="1" x14ac:dyDescent="0.35">
      <c r="B99" s="223" t="s">
        <v>34</v>
      </c>
      <c r="C99" s="10" t="s">
        <v>31</v>
      </c>
      <c r="D99" s="11">
        <v>4</v>
      </c>
      <c r="E99" s="101">
        <v>13200</v>
      </c>
      <c r="F99" s="101">
        <v>13200</v>
      </c>
      <c r="G99" s="101">
        <v>13200</v>
      </c>
      <c r="H99" s="101">
        <v>13200</v>
      </c>
      <c r="I99" s="101">
        <v>13200</v>
      </c>
      <c r="J99" s="101">
        <v>13200</v>
      </c>
      <c r="K99" s="101">
        <v>13200</v>
      </c>
      <c r="L99" s="101">
        <v>13200</v>
      </c>
      <c r="M99" s="101">
        <v>13200</v>
      </c>
      <c r="N99" s="101">
        <v>13200</v>
      </c>
      <c r="O99" s="101">
        <v>13200</v>
      </c>
      <c r="P99" s="101">
        <v>13200</v>
      </c>
      <c r="Q99" s="101">
        <v>13200</v>
      </c>
      <c r="R99" s="101">
        <v>13200</v>
      </c>
      <c r="S99" s="101">
        <v>13200</v>
      </c>
      <c r="T99" s="101">
        <v>13200</v>
      </c>
      <c r="U99" s="101">
        <v>13200</v>
      </c>
      <c r="V99" s="101">
        <v>13200</v>
      </c>
      <c r="W99" s="101">
        <v>13200</v>
      </c>
      <c r="X99" s="101">
        <v>13200</v>
      </c>
      <c r="Y99" s="101">
        <v>13200</v>
      </c>
      <c r="Z99" s="101">
        <v>13200</v>
      </c>
      <c r="AA99" s="101">
        <v>13200</v>
      </c>
      <c r="AB99" s="101">
        <v>13200</v>
      </c>
      <c r="AC99" s="235"/>
      <c r="AD99" s="19"/>
    </row>
    <row r="100" spans="2:31" ht="18.649999999999999" customHeight="1" thickBot="1" x14ac:dyDescent="0.4">
      <c r="B100" s="224" t="s">
        <v>34</v>
      </c>
      <c r="C100" s="12" t="s">
        <v>32</v>
      </c>
      <c r="D100" s="13">
        <v>1</v>
      </c>
      <c r="E100" s="98">
        <v>13200</v>
      </c>
      <c r="F100" s="98">
        <v>13200</v>
      </c>
      <c r="G100" s="98">
        <v>13200</v>
      </c>
      <c r="H100" s="98">
        <v>13200</v>
      </c>
      <c r="I100" s="98">
        <v>13200</v>
      </c>
      <c r="J100" s="98">
        <v>13200</v>
      </c>
      <c r="K100" s="98">
        <v>13200</v>
      </c>
      <c r="L100" s="98">
        <v>13200</v>
      </c>
      <c r="M100" s="98">
        <v>13200</v>
      </c>
      <c r="N100" s="98">
        <v>13200</v>
      </c>
      <c r="O100" s="98">
        <v>13200</v>
      </c>
      <c r="P100" s="98">
        <v>13200</v>
      </c>
      <c r="Q100" s="98">
        <v>13200</v>
      </c>
      <c r="R100" s="98">
        <v>13200</v>
      </c>
      <c r="S100" s="98">
        <v>13200</v>
      </c>
      <c r="T100" s="98">
        <v>13200</v>
      </c>
      <c r="U100" s="98">
        <v>13200</v>
      </c>
      <c r="V100" s="98">
        <v>13200</v>
      </c>
      <c r="W100" s="98">
        <v>13200</v>
      </c>
      <c r="X100" s="98">
        <v>13200</v>
      </c>
      <c r="Y100" s="98">
        <v>13200</v>
      </c>
      <c r="Z100" s="98">
        <v>13200</v>
      </c>
      <c r="AA100" s="98">
        <v>13200</v>
      </c>
      <c r="AB100" s="98">
        <v>13200</v>
      </c>
      <c r="AC100" s="237"/>
      <c r="AD100" s="19"/>
    </row>
    <row r="101" spans="2:31" ht="18.649999999999999" customHeight="1" x14ac:dyDescent="0.35">
      <c r="B101" s="212">
        <v>47788</v>
      </c>
      <c r="C101" s="14" t="s">
        <v>29</v>
      </c>
      <c r="D101" s="15">
        <v>19</v>
      </c>
      <c r="E101" s="103">
        <v>13200</v>
      </c>
      <c r="F101" s="103">
        <v>13200</v>
      </c>
      <c r="G101" s="103">
        <v>13200</v>
      </c>
      <c r="H101" s="103">
        <v>13200</v>
      </c>
      <c r="I101" s="103">
        <v>13200</v>
      </c>
      <c r="J101" s="103">
        <v>13200</v>
      </c>
      <c r="K101" s="103">
        <v>13200</v>
      </c>
      <c r="L101" s="103">
        <v>13200</v>
      </c>
      <c r="M101" s="103">
        <v>13200</v>
      </c>
      <c r="N101" s="103">
        <v>13200</v>
      </c>
      <c r="O101" s="103">
        <v>13200</v>
      </c>
      <c r="P101" s="103">
        <v>13200</v>
      </c>
      <c r="Q101" s="103">
        <v>13200</v>
      </c>
      <c r="R101" s="103">
        <v>13200</v>
      </c>
      <c r="S101" s="103">
        <v>13200</v>
      </c>
      <c r="T101" s="103">
        <v>13200</v>
      </c>
      <c r="U101" s="103">
        <v>13200</v>
      </c>
      <c r="V101" s="103">
        <v>13200</v>
      </c>
      <c r="W101" s="103">
        <v>13200</v>
      </c>
      <c r="X101" s="103">
        <v>13200</v>
      </c>
      <c r="Y101" s="103">
        <v>13200</v>
      </c>
      <c r="Z101" s="103">
        <v>13200</v>
      </c>
      <c r="AA101" s="103">
        <v>13200</v>
      </c>
      <c r="AB101" s="103">
        <v>13200</v>
      </c>
      <c r="AC101" s="235">
        <f>SUM(E101:AB101)*D101+SUM(E102:AB102)*D102+SUM(E103:AB103)*D103+SUM(E104:AB104)*D104</f>
        <v>9504000</v>
      </c>
      <c r="AD101" s="19"/>
    </row>
    <row r="102" spans="2:31" ht="18.649999999999999" customHeight="1" x14ac:dyDescent="0.35">
      <c r="B102" s="213"/>
      <c r="C102" s="10" t="s">
        <v>30</v>
      </c>
      <c r="D102" s="11">
        <v>5</v>
      </c>
      <c r="E102" s="101">
        <v>13200</v>
      </c>
      <c r="F102" s="101">
        <v>13200</v>
      </c>
      <c r="G102" s="101">
        <v>13200</v>
      </c>
      <c r="H102" s="101">
        <v>13200</v>
      </c>
      <c r="I102" s="101">
        <v>13200</v>
      </c>
      <c r="J102" s="101">
        <v>13200</v>
      </c>
      <c r="K102" s="101">
        <v>13200</v>
      </c>
      <c r="L102" s="101">
        <v>13200</v>
      </c>
      <c r="M102" s="101">
        <v>13200</v>
      </c>
      <c r="N102" s="101">
        <v>13200</v>
      </c>
      <c r="O102" s="101">
        <v>13200</v>
      </c>
      <c r="P102" s="101">
        <v>13200</v>
      </c>
      <c r="Q102" s="101">
        <v>13200</v>
      </c>
      <c r="R102" s="101">
        <v>13200</v>
      </c>
      <c r="S102" s="101">
        <v>13200</v>
      </c>
      <c r="T102" s="101">
        <v>13200</v>
      </c>
      <c r="U102" s="101">
        <v>13200</v>
      </c>
      <c r="V102" s="101">
        <v>13200</v>
      </c>
      <c r="W102" s="101">
        <v>13200</v>
      </c>
      <c r="X102" s="101">
        <v>13200</v>
      </c>
      <c r="Y102" s="101">
        <v>13200</v>
      </c>
      <c r="Z102" s="101">
        <v>13200</v>
      </c>
      <c r="AA102" s="101">
        <v>13200</v>
      </c>
      <c r="AB102" s="101">
        <v>13200</v>
      </c>
      <c r="AC102" s="235"/>
      <c r="AD102" s="19"/>
    </row>
    <row r="103" spans="2:31" ht="18.649999999999999" customHeight="1" x14ac:dyDescent="0.35">
      <c r="B103" s="213"/>
      <c r="C103" s="10" t="s">
        <v>31</v>
      </c>
      <c r="D103" s="11">
        <v>4</v>
      </c>
      <c r="E103" s="101">
        <v>13200</v>
      </c>
      <c r="F103" s="101">
        <v>13200</v>
      </c>
      <c r="G103" s="101">
        <v>13200</v>
      </c>
      <c r="H103" s="101">
        <v>13200</v>
      </c>
      <c r="I103" s="101">
        <v>13200</v>
      </c>
      <c r="J103" s="101">
        <v>13200</v>
      </c>
      <c r="K103" s="101">
        <v>13200</v>
      </c>
      <c r="L103" s="101">
        <v>13200</v>
      </c>
      <c r="M103" s="101">
        <v>13200</v>
      </c>
      <c r="N103" s="101">
        <v>13200</v>
      </c>
      <c r="O103" s="101">
        <v>13200</v>
      </c>
      <c r="P103" s="101">
        <v>13200</v>
      </c>
      <c r="Q103" s="101">
        <v>13200</v>
      </c>
      <c r="R103" s="101">
        <v>13200</v>
      </c>
      <c r="S103" s="101">
        <v>13200</v>
      </c>
      <c r="T103" s="101">
        <v>13200</v>
      </c>
      <c r="U103" s="101">
        <v>13200</v>
      </c>
      <c r="V103" s="101">
        <v>13200</v>
      </c>
      <c r="W103" s="101">
        <v>13200</v>
      </c>
      <c r="X103" s="101">
        <v>13200</v>
      </c>
      <c r="Y103" s="101">
        <v>13200</v>
      </c>
      <c r="Z103" s="101">
        <v>13200</v>
      </c>
      <c r="AA103" s="101">
        <v>13200</v>
      </c>
      <c r="AB103" s="101">
        <v>13200</v>
      </c>
      <c r="AC103" s="235"/>
      <c r="AD103" s="19"/>
    </row>
    <row r="104" spans="2:31" ht="18.649999999999999" customHeight="1" thickBot="1" x14ac:dyDescent="0.4">
      <c r="B104" s="213"/>
      <c r="C104" s="16" t="s">
        <v>32</v>
      </c>
      <c r="D104" s="17">
        <v>2</v>
      </c>
      <c r="E104" s="102">
        <v>13200</v>
      </c>
      <c r="F104" s="102">
        <v>13200</v>
      </c>
      <c r="G104" s="102">
        <v>13200</v>
      </c>
      <c r="H104" s="102">
        <v>13200</v>
      </c>
      <c r="I104" s="102">
        <v>13200</v>
      </c>
      <c r="J104" s="102">
        <v>13200</v>
      </c>
      <c r="K104" s="102">
        <v>13200</v>
      </c>
      <c r="L104" s="102">
        <v>13200</v>
      </c>
      <c r="M104" s="102">
        <v>13200</v>
      </c>
      <c r="N104" s="102">
        <v>13200</v>
      </c>
      <c r="O104" s="102">
        <v>13200</v>
      </c>
      <c r="P104" s="102">
        <v>13200</v>
      </c>
      <c r="Q104" s="102">
        <v>13200</v>
      </c>
      <c r="R104" s="102">
        <v>13200</v>
      </c>
      <c r="S104" s="102">
        <v>13200</v>
      </c>
      <c r="T104" s="102">
        <v>13200</v>
      </c>
      <c r="U104" s="102">
        <v>13200</v>
      </c>
      <c r="V104" s="102">
        <v>13200</v>
      </c>
      <c r="W104" s="102">
        <v>13200</v>
      </c>
      <c r="X104" s="102">
        <v>13200</v>
      </c>
      <c r="Y104" s="102">
        <v>13200</v>
      </c>
      <c r="Z104" s="102">
        <v>13200</v>
      </c>
      <c r="AA104" s="102">
        <v>13200</v>
      </c>
      <c r="AB104" s="102">
        <v>13200</v>
      </c>
      <c r="AC104" s="235"/>
      <c r="AD104" s="19"/>
    </row>
    <row r="105" spans="2:31" ht="18.649999999999999" customHeight="1" x14ac:dyDescent="0.35">
      <c r="B105" s="222">
        <v>47818</v>
      </c>
      <c r="C105" s="7" t="s">
        <v>29</v>
      </c>
      <c r="D105" s="8">
        <v>21</v>
      </c>
      <c r="E105" s="100">
        <v>13200</v>
      </c>
      <c r="F105" s="100">
        <v>13200</v>
      </c>
      <c r="G105" s="100">
        <v>13200</v>
      </c>
      <c r="H105" s="100">
        <v>13200</v>
      </c>
      <c r="I105" s="100">
        <v>13200</v>
      </c>
      <c r="J105" s="100">
        <v>13200</v>
      </c>
      <c r="K105" s="100">
        <v>13200</v>
      </c>
      <c r="L105" s="100">
        <v>13200</v>
      </c>
      <c r="M105" s="100">
        <v>13200</v>
      </c>
      <c r="N105" s="100">
        <v>13200</v>
      </c>
      <c r="O105" s="100">
        <v>13200</v>
      </c>
      <c r="P105" s="100">
        <v>13200</v>
      </c>
      <c r="Q105" s="100">
        <v>13200</v>
      </c>
      <c r="R105" s="100">
        <v>13200</v>
      </c>
      <c r="S105" s="100">
        <v>13200</v>
      </c>
      <c r="T105" s="100">
        <v>13200</v>
      </c>
      <c r="U105" s="100">
        <v>13200</v>
      </c>
      <c r="V105" s="100">
        <v>13200</v>
      </c>
      <c r="W105" s="100">
        <v>13200</v>
      </c>
      <c r="X105" s="100">
        <v>13200</v>
      </c>
      <c r="Y105" s="100">
        <v>13200</v>
      </c>
      <c r="Z105" s="100">
        <v>13200</v>
      </c>
      <c r="AA105" s="100">
        <v>13200</v>
      </c>
      <c r="AB105" s="100">
        <v>13200</v>
      </c>
      <c r="AC105" s="234">
        <f>SUM(E105:AB105)*D105+SUM(E106:AB106)*D106+SUM(E107:AB107)*D107+SUM(E108:AB108)*D108</f>
        <v>9820800</v>
      </c>
      <c r="AD105" s="19"/>
    </row>
    <row r="106" spans="2:31" ht="18.649999999999999" customHeight="1" x14ac:dyDescent="0.35">
      <c r="B106" s="223" t="s">
        <v>34</v>
      </c>
      <c r="C106" s="10" t="s">
        <v>30</v>
      </c>
      <c r="D106" s="11">
        <v>4</v>
      </c>
      <c r="E106" s="101">
        <v>13200</v>
      </c>
      <c r="F106" s="101">
        <v>13200</v>
      </c>
      <c r="G106" s="101">
        <v>13200</v>
      </c>
      <c r="H106" s="101">
        <v>13200</v>
      </c>
      <c r="I106" s="101">
        <v>13200</v>
      </c>
      <c r="J106" s="101">
        <v>13200</v>
      </c>
      <c r="K106" s="101">
        <v>13200</v>
      </c>
      <c r="L106" s="101">
        <v>13200</v>
      </c>
      <c r="M106" s="101">
        <v>13200</v>
      </c>
      <c r="N106" s="101">
        <v>13200</v>
      </c>
      <c r="O106" s="101">
        <v>13200</v>
      </c>
      <c r="P106" s="101">
        <v>13200</v>
      </c>
      <c r="Q106" s="101">
        <v>13200</v>
      </c>
      <c r="R106" s="101">
        <v>13200</v>
      </c>
      <c r="S106" s="101">
        <v>13200</v>
      </c>
      <c r="T106" s="101">
        <v>13200</v>
      </c>
      <c r="U106" s="101">
        <v>13200</v>
      </c>
      <c r="V106" s="101">
        <v>13200</v>
      </c>
      <c r="W106" s="101">
        <v>13200</v>
      </c>
      <c r="X106" s="101">
        <v>13200</v>
      </c>
      <c r="Y106" s="101">
        <v>13200</v>
      </c>
      <c r="Z106" s="101">
        <v>13200</v>
      </c>
      <c r="AA106" s="101">
        <v>13200</v>
      </c>
      <c r="AB106" s="101">
        <v>13200</v>
      </c>
      <c r="AC106" s="235"/>
      <c r="AD106" s="19"/>
    </row>
    <row r="107" spans="2:31" ht="18.649999999999999" customHeight="1" x14ac:dyDescent="0.35">
      <c r="B107" s="223" t="s">
        <v>34</v>
      </c>
      <c r="C107" s="10" t="s">
        <v>31</v>
      </c>
      <c r="D107" s="11">
        <v>4</v>
      </c>
      <c r="E107" s="101">
        <v>13200</v>
      </c>
      <c r="F107" s="101">
        <v>13200</v>
      </c>
      <c r="G107" s="101">
        <v>13200</v>
      </c>
      <c r="H107" s="101">
        <v>13200</v>
      </c>
      <c r="I107" s="101">
        <v>13200</v>
      </c>
      <c r="J107" s="101">
        <v>13200</v>
      </c>
      <c r="K107" s="101">
        <v>13200</v>
      </c>
      <c r="L107" s="101">
        <v>13200</v>
      </c>
      <c r="M107" s="101">
        <v>13200</v>
      </c>
      <c r="N107" s="101">
        <v>13200</v>
      </c>
      <c r="O107" s="101">
        <v>13200</v>
      </c>
      <c r="P107" s="101">
        <v>13200</v>
      </c>
      <c r="Q107" s="101">
        <v>13200</v>
      </c>
      <c r="R107" s="101">
        <v>13200</v>
      </c>
      <c r="S107" s="101">
        <v>13200</v>
      </c>
      <c r="T107" s="101">
        <v>13200</v>
      </c>
      <c r="U107" s="101">
        <v>13200</v>
      </c>
      <c r="V107" s="101">
        <v>13200</v>
      </c>
      <c r="W107" s="101">
        <v>13200</v>
      </c>
      <c r="X107" s="101">
        <v>13200</v>
      </c>
      <c r="Y107" s="101">
        <v>13200</v>
      </c>
      <c r="Z107" s="101">
        <v>13200</v>
      </c>
      <c r="AA107" s="101">
        <v>13200</v>
      </c>
      <c r="AB107" s="101">
        <v>13200</v>
      </c>
      <c r="AC107" s="235"/>
      <c r="AD107" s="19"/>
    </row>
    <row r="108" spans="2:31" ht="18.649999999999999" customHeight="1" thickBot="1" x14ac:dyDescent="0.4">
      <c r="B108" s="224" t="s">
        <v>34</v>
      </c>
      <c r="C108" s="12" t="s">
        <v>32</v>
      </c>
      <c r="D108" s="13">
        <v>2</v>
      </c>
      <c r="E108" s="98">
        <v>13200</v>
      </c>
      <c r="F108" s="98">
        <v>13200</v>
      </c>
      <c r="G108" s="98">
        <v>13200</v>
      </c>
      <c r="H108" s="98">
        <v>13200</v>
      </c>
      <c r="I108" s="98">
        <v>13200</v>
      </c>
      <c r="J108" s="98">
        <v>13200</v>
      </c>
      <c r="K108" s="98">
        <v>13200</v>
      </c>
      <c r="L108" s="98">
        <v>13200</v>
      </c>
      <c r="M108" s="98">
        <v>13200</v>
      </c>
      <c r="N108" s="98">
        <v>13200</v>
      </c>
      <c r="O108" s="98">
        <v>13200</v>
      </c>
      <c r="P108" s="98">
        <v>13200</v>
      </c>
      <c r="Q108" s="98">
        <v>13200</v>
      </c>
      <c r="R108" s="98">
        <v>13200</v>
      </c>
      <c r="S108" s="98">
        <v>13200</v>
      </c>
      <c r="T108" s="98">
        <v>13200</v>
      </c>
      <c r="U108" s="98">
        <v>13200</v>
      </c>
      <c r="V108" s="98">
        <v>13200</v>
      </c>
      <c r="W108" s="98">
        <v>13200</v>
      </c>
      <c r="X108" s="98">
        <v>13200</v>
      </c>
      <c r="Y108" s="98">
        <v>13200</v>
      </c>
      <c r="Z108" s="98">
        <v>13200</v>
      </c>
      <c r="AA108" s="98">
        <v>13200</v>
      </c>
      <c r="AB108" s="98">
        <v>13200</v>
      </c>
      <c r="AC108" s="237"/>
      <c r="AD108" s="19"/>
    </row>
    <row r="109" spans="2:31" ht="18.649999999999999" customHeight="1" thickBot="1" x14ac:dyDescent="0.4"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238" t="s">
        <v>33</v>
      </c>
      <c r="AA109" s="239"/>
      <c r="AB109" s="240"/>
      <c r="AC109" s="158">
        <f>SUM(AC61:AC108)</f>
        <v>115632000</v>
      </c>
      <c r="AD109" s="18"/>
      <c r="AE109" s="19"/>
    </row>
    <row r="110" spans="2:31" ht="20.25" customHeight="1" thickBot="1" x14ac:dyDescent="0.4">
      <c r="Z110" s="228" t="s">
        <v>49</v>
      </c>
      <c r="AA110" s="229"/>
      <c r="AB110" s="230"/>
      <c r="AC110" s="158">
        <f>+AC59+AC109</f>
        <v>231264000</v>
      </c>
    </row>
    <row r="112" spans="2:31" x14ac:dyDescent="0.35">
      <c r="AC112" s="156">
        <f>+AC110/1000</f>
        <v>231264</v>
      </c>
    </row>
  </sheetData>
  <mergeCells count="56">
    <mergeCell ref="Z110:AB110"/>
    <mergeCell ref="B101:B104"/>
    <mergeCell ref="AC101:AC104"/>
    <mergeCell ref="B105:B108"/>
    <mergeCell ref="AC105:AC108"/>
    <mergeCell ref="Z109:AB109"/>
    <mergeCell ref="B89:B92"/>
    <mergeCell ref="AC89:AC92"/>
    <mergeCell ref="B93:B96"/>
    <mergeCell ref="AC93:AC96"/>
    <mergeCell ref="B97:B100"/>
    <mergeCell ref="AC97:AC100"/>
    <mergeCell ref="B77:B80"/>
    <mergeCell ref="AC77:AC80"/>
    <mergeCell ref="B81:B84"/>
    <mergeCell ref="AC81:AC84"/>
    <mergeCell ref="B85:B88"/>
    <mergeCell ref="AC85:AC88"/>
    <mergeCell ref="B65:B68"/>
    <mergeCell ref="AC65:AC68"/>
    <mergeCell ref="B69:B72"/>
    <mergeCell ref="AC69:AC72"/>
    <mergeCell ref="B73:B76"/>
    <mergeCell ref="AC73:AC76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1" priority="22" operator="lessThan">
      <formula>0</formula>
    </cfRule>
  </conditionalFormatting>
  <conditionalFormatting sqref="E61:AB108">
    <cfRule type="cellIs" dxfId="0" priority="20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Listas desplegables</vt:lpstr>
      <vt:lpstr>Banco de Preguntas</vt:lpstr>
      <vt:lpstr>Factor garantia</vt:lpstr>
      <vt:lpstr>Cantidades suministrar P1_26-28</vt:lpstr>
      <vt:lpstr>Cantidades suministrar P2_2026</vt:lpstr>
      <vt:lpstr>Cantidades suministrar P3_2027</vt:lpstr>
      <vt:lpstr>Cantidades suministrar P4_2028</vt:lpstr>
      <vt:lpstr>Cantidades suministrar P5_26-28</vt:lpstr>
      <vt:lpstr>Cantidades suministrar P6_29-30</vt:lpstr>
      <vt:lpstr>Hoja9</vt:lpstr>
      <vt:lpstr>Hoja9 (2)</vt:lpstr>
      <vt:lpstr>Cantidades 1_(26-28)</vt:lpstr>
      <vt:lpstr>Cantidades 2_(2026)</vt:lpstr>
      <vt:lpstr>Cantidades 3_(2027)</vt:lpstr>
      <vt:lpstr>Cantidades P4_(2028)</vt:lpstr>
      <vt:lpstr>Cantidades 5_(26-28)</vt:lpstr>
      <vt:lpstr>Cantidades P6_(2029-2040)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Transacciones del MEM</dc:creator>
  <cp:lastModifiedBy>SANDRA MILENA MACIAS PARRADO</cp:lastModifiedBy>
  <cp:lastPrinted>2025-10-27T22:56:38Z</cp:lastPrinted>
  <dcterms:created xsi:type="dcterms:W3CDTF">2021-02-19T12:20:54Z</dcterms:created>
  <dcterms:modified xsi:type="dcterms:W3CDTF">2025-11-10T19:50:14Z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