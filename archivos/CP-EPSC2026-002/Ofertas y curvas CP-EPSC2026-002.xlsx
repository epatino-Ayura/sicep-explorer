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LSIA COLOMBIA/Licitaciones/2026/CP-EPSC2026-002/Prepliegos/"/>
    </mc:Choice>
  </mc:AlternateContent>
  <xr:revisionPtr revIDLastSave="506" documentId="8_{FFCDC07D-3E81-4B66-8782-D9AE71B5DE20}" xr6:coauthVersionLast="47" xr6:coauthVersionMax="47" xr10:uidLastSave="{046A6BB8-065D-4D72-B0CA-8590D6B54767}"/>
  <bookViews>
    <workbookView xWindow="20370" yWindow="-120" windowWidth="29040" windowHeight="15720" tabRatio="602" activeTab="6" xr2:uid="{AE04A264-B901-4B34-A8A6-2C5B58A0F334}"/>
  </bookViews>
  <sheets>
    <sheet name="Anexo1" sheetId="13" r:id="rId1"/>
    <sheet name="Anexo 1A" sheetId="35" r:id="rId2"/>
    <sheet name="Anexo 5" sheetId="14" r:id="rId3"/>
    <sheet name="Cantidades Ofertadas Prod1" sheetId="19" r:id="rId4"/>
    <sheet name="Anexo 2" sheetId="20" r:id="rId5"/>
    <sheet name="Anexo 2A" sheetId="31" r:id="rId6"/>
    <sheet name="Anexo 6" sheetId="21" r:id="rId7"/>
    <sheet name="Cantidades Ofertadas Prod 2" sheetId="22" r:id="rId8"/>
    <sheet name="Anexo 3" sheetId="24" r:id="rId9"/>
    <sheet name="Anexo 3A" sheetId="36" r:id="rId10"/>
    <sheet name="Anexo 7" sheetId="25" r:id="rId11"/>
    <sheet name="Cantidades Ofertadas Prod 3" sheetId="28" r:id="rId12"/>
    <sheet name="Anexo 4" sheetId="11" r:id="rId13"/>
    <sheet name="Anexo 4A" sheetId="32" r:id="rId14"/>
    <sheet name="Anexo 8" sheetId="12" r:id="rId15"/>
    <sheet name="Cantidades Ofertadas Prod 4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35" l="1"/>
  <c r="E12" i="35"/>
  <c r="E13" i="35"/>
  <c r="E14" i="35"/>
  <c r="E15" i="35"/>
  <c r="E16" i="35"/>
  <c r="E17" i="35"/>
  <c r="E18" i="35"/>
  <c r="E19" i="35"/>
  <c r="E20" i="35"/>
  <c r="E21" i="35"/>
  <c r="E10" i="35"/>
  <c r="C11" i="35" l="1"/>
  <c r="C12" i="35"/>
  <c r="C13" i="35"/>
  <c r="C14" i="35"/>
  <c r="C15" i="35"/>
  <c r="C16" i="35"/>
  <c r="C17" i="35"/>
  <c r="C18" i="35"/>
  <c r="C19" i="35"/>
  <c r="C20" i="35"/>
  <c r="C21" i="35"/>
  <c r="C10" i="35"/>
  <c r="F22" i="36" l="1"/>
  <c r="E21" i="36"/>
  <c r="C21" i="36"/>
  <c r="E20" i="36"/>
  <c r="C20" i="36"/>
  <c r="E19" i="36"/>
  <c r="C19" i="36"/>
  <c r="E18" i="36"/>
  <c r="C18" i="36"/>
  <c r="E17" i="36"/>
  <c r="C17" i="36"/>
  <c r="E16" i="36"/>
  <c r="C16" i="36"/>
  <c r="E15" i="36"/>
  <c r="C15" i="36"/>
  <c r="E14" i="36"/>
  <c r="C14" i="36"/>
  <c r="E13" i="36"/>
  <c r="C13" i="36"/>
  <c r="E12" i="36"/>
  <c r="C12" i="36"/>
  <c r="E11" i="36"/>
  <c r="C11" i="36"/>
  <c r="E10" i="36"/>
  <c r="E22" i="36" s="1"/>
  <c r="C10" i="36"/>
  <c r="C22" i="36" s="1"/>
  <c r="D6" i="19" l="1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6" i="19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6" i="21"/>
  <c r="C21" i="32" l="1"/>
  <c r="C20" i="32"/>
  <c r="C19" i="32"/>
  <c r="C18" i="32"/>
  <c r="C17" i="32"/>
  <c r="C16" i="32"/>
  <c r="C15" i="32"/>
  <c r="C14" i="32"/>
  <c r="C13" i="32"/>
  <c r="C12" i="32"/>
  <c r="C11" i="32"/>
  <c r="C10" i="32"/>
  <c r="C21" i="31"/>
  <c r="C20" i="31"/>
  <c r="C19" i="31"/>
  <c r="C18" i="31"/>
  <c r="C17" i="31"/>
  <c r="C16" i="31"/>
  <c r="C15" i="31"/>
  <c r="C14" i="31"/>
  <c r="C13" i="31"/>
  <c r="C12" i="31"/>
  <c r="C11" i="31"/>
  <c r="C10" i="31"/>
  <c r="F22" i="35"/>
  <c r="E21" i="32"/>
  <c r="E20" i="32"/>
  <c r="E19" i="32"/>
  <c r="E18" i="32"/>
  <c r="E17" i="32"/>
  <c r="E16" i="32"/>
  <c r="E15" i="32"/>
  <c r="E14" i="32"/>
  <c r="E13" i="32"/>
  <c r="E12" i="32"/>
  <c r="E11" i="32"/>
  <c r="E10" i="32"/>
  <c r="C22" i="35" l="1"/>
  <c r="E22" i="35"/>
  <c r="H34" i="32"/>
  <c r="H33" i="32"/>
  <c r="F22" i="32"/>
  <c r="C22" i="32" l="1"/>
  <c r="E11" i="31"/>
  <c r="E12" i="31"/>
  <c r="E13" i="31"/>
  <c r="E14" i="31"/>
  <c r="E15" i="31"/>
  <c r="E16" i="31"/>
  <c r="E17" i="31"/>
  <c r="E18" i="31"/>
  <c r="E19" i="31"/>
  <c r="E20" i="31"/>
  <c r="E21" i="31"/>
  <c r="E10" i="31"/>
  <c r="F22" i="31"/>
  <c r="C22" i="31" l="1"/>
  <c r="E22" i="31"/>
  <c r="D20" i="18" l="1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C19" i="18"/>
  <c r="C20" i="18"/>
  <c r="C18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C16" i="18"/>
  <c r="C17" i="18"/>
  <c r="C15" i="18"/>
  <c r="C12" i="18"/>
  <c r="D12" i="18"/>
  <c r="E12" i="18"/>
  <c r="F12" i="18"/>
  <c r="G12" i="18"/>
  <c r="H12" i="18"/>
  <c r="I12" i="18"/>
  <c r="J12" i="18"/>
  <c r="K12" i="18"/>
  <c r="L12" i="18"/>
  <c r="M12" i="18"/>
  <c r="C13" i="18"/>
  <c r="D13" i="18"/>
  <c r="E13" i="18"/>
  <c r="F13" i="18"/>
  <c r="G13" i="18"/>
  <c r="H13" i="18"/>
  <c r="I13" i="18"/>
  <c r="J13" i="18"/>
  <c r="K13" i="18"/>
  <c r="L13" i="18"/>
  <c r="M13" i="18"/>
  <c r="C14" i="18"/>
  <c r="D14" i="18"/>
  <c r="E14" i="18"/>
  <c r="F14" i="18"/>
  <c r="G14" i="18"/>
  <c r="H14" i="18"/>
  <c r="I14" i="18"/>
  <c r="J14" i="18"/>
  <c r="K14" i="18"/>
  <c r="L14" i="18"/>
  <c r="M14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N13" i="18"/>
  <c r="N14" i="18"/>
  <c r="N12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C10" i="18"/>
  <c r="C11" i="18"/>
  <c r="C9" i="18"/>
  <c r="F22" i="11"/>
  <c r="F22" i="13"/>
  <c r="F22" i="24"/>
  <c r="F22" i="20"/>
  <c r="Z41" i="28" l="1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B42" i="28"/>
  <c r="AB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H37" i="24"/>
  <c r="H36" i="24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6" i="22"/>
  <c r="AC9" i="25" l="1"/>
  <c r="C11" i="24" s="1"/>
  <c r="AC24" i="25"/>
  <c r="C16" i="24" s="1"/>
  <c r="AC15" i="25"/>
  <c r="C13" i="24" s="1"/>
  <c r="AC39" i="25"/>
  <c r="C21" i="24" s="1"/>
  <c r="AC12" i="25"/>
  <c r="C12" i="24" s="1"/>
  <c r="AC6" i="25"/>
  <c r="C10" i="24" s="1"/>
  <c r="AC30" i="25"/>
  <c r="C18" i="24" s="1"/>
  <c r="AC33" i="25"/>
  <c r="C19" i="24" s="1"/>
  <c r="AC18" i="25"/>
  <c r="C14" i="24" s="1"/>
  <c r="AC36" i="25"/>
  <c r="C20" i="24" s="1"/>
  <c r="AC27" i="25"/>
  <c r="C17" i="24" s="1"/>
  <c r="AC21" i="25"/>
  <c r="C15" i="24" s="1"/>
  <c r="AA7" i="28"/>
  <c r="AA8" i="28"/>
  <c r="AA9" i="28"/>
  <c r="AA10" i="28"/>
  <c r="AA11" i="28"/>
  <c r="AA12" i="28"/>
  <c r="AA13" i="28"/>
  <c r="AA15" i="28"/>
  <c r="AA16" i="28"/>
  <c r="AA17" i="28"/>
  <c r="AA18" i="28"/>
  <c r="AA19" i="28"/>
  <c r="AA20" i="28"/>
  <c r="AA21" i="28"/>
  <c r="AA22" i="28"/>
  <c r="AA23" i="28"/>
  <c r="AA24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AA14" i="28"/>
  <c r="AA6" i="28"/>
  <c r="AA25" i="28"/>
  <c r="AA42" i="25"/>
  <c r="AB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B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C42" i="25" l="1"/>
  <c r="AC6" i="28"/>
  <c r="AC18" i="28"/>
  <c r="AC9" i="28"/>
  <c r="AC27" i="28"/>
  <c r="AC33" i="28"/>
  <c r="AC39" i="28"/>
  <c r="AC30" i="28"/>
  <c r="K42" i="22"/>
  <c r="K42" i="28"/>
  <c r="L42" i="22"/>
  <c r="L42" i="28"/>
  <c r="T42" i="22"/>
  <c r="T42" i="28"/>
  <c r="E42" i="22"/>
  <c r="E42" i="28"/>
  <c r="M42" i="22"/>
  <c r="M42" i="28"/>
  <c r="U42" i="22"/>
  <c r="U42" i="28"/>
  <c r="V42" i="22"/>
  <c r="V42" i="28"/>
  <c r="G42" i="22"/>
  <c r="G42" i="28"/>
  <c r="O42" i="22"/>
  <c r="O42" i="28"/>
  <c r="W42" i="22"/>
  <c r="W42" i="28"/>
  <c r="H42" i="22"/>
  <c r="H42" i="28"/>
  <c r="P42" i="22"/>
  <c r="P42" i="28"/>
  <c r="X42" i="22"/>
  <c r="X42" i="28"/>
  <c r="S42" i="22"/>
  <c r="S42" i="28"/>
  <c r="I42" i="22"/>
  <c r="I42" i="28"/>
  <c r="Q42" i="22"/>
  <c r="Q42" i="28"/>
  <c r="Y42" i="22"/>
  <c r="Y42" i="28"/>
  <c r="C42" i="22"/>
  <c r="C42" i="28"/>
  <c r="D42" i="22"/>
  <c r="D42" i="28"/>
  <c r="F42" i="22"/>
  <c r="F42" i="28"/>
  <c r="N42" i="22"/>
  <c r="N42" i="28"/>
  <c r="J42" i="22"/>
  <c r="J42" i="28"/>
  <c r="R42" i="22"/>
  <c r="R42" i="28"/>
  <c r="Z42" i="22"/>
  <c r="Z42" i="28"/>
  <c r="AC12" i="28"/>
  <c r="AC24" i="28"/>
  <c r="AA42" i="28"/>
  <c r="AC21" i="28"/>
  <c r="AC15" i="28"/>
  <c r="AC36" i="28"/>
  <c r="AC12" i="21"/>
  <c r="AC27" i="21"/>
  <c r="AC39" i="21"/>
  <c r="AC24" i="21"/>
  <c r="AC33" i="22"/>
  <c r="AC36" i="21"/>
  <c r="AC30" i="22"/>
  <c r="AC18" i="21"/>
  <c r="AC21" i="21"/>
  <c r="AA42" i="21"/>
  <c r="AC15" i="21"/>
  <c r="AC6" i="21"/>
  <c r="AC30" i="21"/>
  <c r="AC9" i="21"/>
  <c r="AC33" i="21"/>
  <c r="AC39" i="22"/>
  <c r="AC24" i="22"/>
  <c r="AC9" i="22"/>
  <c r="AC18" i="22"/>
  <c r="AC27" i="22"/>
  <c r="AC36" i="22"/>
  <c r="AC21" i="22"/>
  <c r="AC15" i="22"/>
  <c r="AC12" i="22"/>
  <c r="AA6" i="22"/>
  <c r="E20" i="24" l="1"/>
  <c r="E18" i="24"/>
  <c r="E15" i="24"/>
  <c r="E17" i="24"/>
  <c r="E21" i="24"/>
  <c r="E11" i="24"/>
  <c r="E12" i="24"/>
  <c r="E10" i="24"/>
  <c r="E13" i="24"/>
  <c r="E19" i="24"/>
  <c r="E16" i="24"/>
  <c r="E14" i="24"/>
  <c r="AC42" i="28"/>
  <c r="C19" i="20"/>
  <c r="C14" i="20"/>
  <c r="C16" i="20"/>
  <c r="C20" i="20"/>
  <c r="C13" i="20"/>
  <c r="C21" i="20"/>
  <c r="C11" i="20"/>
  <c r="C22" i="24"/>
  <c r="C18" i="20"/>
  <c r="C17" i="20"/>
  <c r="C15" i="20"/>
  <c r="C12" i="20"/>
  <c r="E21" i="20"/>
  <c r="E11" i="20"/>
  <c r="E16" i="20"/>
  <c r="E13" i="20"/>
  <c r="E20" i="20"/>
  <c r="E18" i="20"/>
  <c r="E17" i="20"/>
  <c r="E12" i="20"/>
  <c r="E15" i="20"/>
  <c r="E19" i="20"/>
  <c r="E14" i="20"/>
  <c r="AC42" i="21"/>
  <c r="C10" i="20"/>
  <c r="AC6" i="22"/>
  <c r="AA42" i="22"/>
  <c r="E22" i="32" l="1"/>
  <c r="E22" i="24"/>
  <c r="AC42" i="22"/>
  <c r="E10" i="20"/>
  <c r="V42" i="19"/>
  <c r="Q42" i="19"/>
  <c r="O42" i="19"/>
  <c r="N42" i="19"/>
  <c r="H42" i="19"/>
  <c r="F42" i="19"/>
  <c r="D42" i="19"/>
  <c r="AB42" i="19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B42" i="18"/>
  <c r="T42" i="19" l="1"/>
  <c r="W42" i="19"/>
  <c r="K42" i="19"/>
  <c r="P42" i="19"/>
  <c r="I42" i="19"/>
  <c r="G42" i="19"/>
  <c r="U42" i="19"/>
  <c r="J42" i="19"/>
  <c r="L42" i="19"/>
  <c r="Z42" i="19"/>
  <c r="X42" i="19"/>
  <c r="Y42" i="19"/>
  <c r="E42" i="19"/>
  <c r="AA38" i="19"/>
  <c r="AA10" i="19"/>
  <c r="AA11" i="19"/>
  <c r="AA12" i="19"/>
  <c r="AA14" i="19"/>
  <c r="AA17" i="19"/>
  <c r="AA19" i="19"/>
  <c r="AA22" i="19"/>
  <c r="AA23" i="19"/>
  <c r="AA26" i="19"/>
  <c r="AA32" i="19"/>
  <c r="AA34" i="19"/>
  <c r="AA16" i="19"/>
  <c r="AA27" i="19"/>
  <c r="AA29" i="19"/>
  <c r="R42" i="19"/>
  <c r="AA9" i="19"/>
  <c r="AA13" i="19"/>
  <c r="AA15" i="19"/>
  <c r="AA18" i="19"/>
  <c r="AA20" i="19"/>
  <c r="AA21" i="19"/>
  <c r="AA24" i="19"/>
  <c r="AA30" i="19"/>
  <c r="AA31" i="19"/>
  <c r="AA36" i="19"/>
  <c r="AA37" i="19"/>
  <c r="AA39" i="19"/>
  <c r="AA40" i="19"/>
  <c r="AA41" i="19"/>
  <c r="AA8" i="19"/>
  <c r="AA25" i="19"/>
  <c r="AA35" i="19"/>
  <c r="M42" i="19"/>
  <c r="AA28" i="19"/>
  <c r="AA33" i="19"/>
  <c r="S42" i="19"/>
  <c r="C42" i="19"/>
  <c r="AA7" i="19"/>
  <c r="AA6" i="19"/>
  <c r="O42" i="18"/>
  <c r="W42" i="18"/>
  <c r="S42" i="18"/>
  <c r="G42" i="18"/>
  <c r="K42" i="18"/>
  <c r="E42" i="18"/>
  <c r="U42" i="18"/>
  <c r="C42" i="18"/>
  <c r="AA7" i="18"/>
  <c r="AA8" i="18"/>
  <c r="AA9" i="18"/>
  <c r="AA10" i="18"/>
  <c r="AA11" i="18"/>
  <c r="AA13" i="18"/>
  <c r="AA12" i="18"/>
  <c r="M42" i="18"/>
  <c r="AA6" i="18"/>
  <c r="AB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B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H32" i="11"/>
  <c r="H31" i="11"/>
  <c r="H30" i="11"/>
  <c r="AC27" i="12" l="1"/>
  <c r="C17" i="11" s="1"/>
  <c r="AC24" i="12"/>
  <c r="C16" i="11" s="1"/>
  <c r="AC21" i="14"/>
  <c r="AC6" i="18"/>
  <c r="C15" i="13"/>
  <c r="AC24" i="19"/>
  <c r="AC36" i="19"/>
  <c r="AC15" i="19"/>
  <c r="AC39" i="19"/>
  <c r="AC27" i="19"/>
  <c r="AC9" i="19"/>
  <c r="AC30" i="19"/>
  <c r="AC21" i="19"/>
  <c r="AC18" i="19"/>
  <c r="AC12" i="19"/>
  <c r="AC33" i="19"/>
  <c r="AA42" i="19"/>
  <c r="AC6" i="19"/>
  <c r="AA41" i="18"/>
  <c r="AA18" i="18"/>
  <c r="AC9" i="18"/>
  <c r="AA34" i="18"/>
  <c r="H42" i="18"/>
  <c r="AA38" i="18"/>
  <c r="AA30" i="18"/>
  <c r="AA22" i="18"/>
  <c r="X42" i="18"/>
  <c r="AA35" i="18"/>
  <c r="AA27" i="18"/>
  <c r="AA19" i="18"/>
  <c r="R42" i="18"/>
  <c r="AA32" i="18"/>
  <c r="AA29" i="18"/>
  <c r="N42" i="18"/>
  <c r="Z42" i="18"/>
  <c r="AA26" i="18"/>
  <c r="L42" i="18"/>
  <c r="AA24" i="18"/>
  <c r="AA16" i="18"/>
  <c r="I42" i="18"/>
  <c r="AA39" i="18"/>
  <c r="AA31" i="18"/>
  <c r="AA23" i="18"/>
  <c r="AA15" i="18"/>
  <c r="P42" i="18"/>
  <c r="AA40" i="18"/>
  <c r="J42" i="18"/>
  <c r="AA37" i="18"/>
  <c r="AA36" i="18"/>
  <c r="AA28" i="18"/>
  <c r="AA20" i="18"/>
  <c r="AA14" i="18"/>
  <c r="AC12" i="18" s="1"/>
  <c r="AA21" i="18"/>
  <c r="AA33" i="18"/>
  <c r="AA25" i="18"/>
  <c r="AA17" i="18"/>
  <c r="T42" i="18"/>
  <c r="F42" i="18"/>
  <c r="D42" i="18"/>
  <c r="Q42" i="18"/>
  <c r="V42" i="18"/>
  <c r="Y42" i="18"/>
  <c r="AC39" i="14"/>
  <c r="AC30" i="12"/>
  <c r="C18" i="11" s="1"/>
  <c r="AC6" i="12"/>
  <c r="C10" i="11" s="1"/>
  <c r="AC6" i="14"/>
  <c r="AC30" i="14"/>
  <c r="AC12" i="12"/>
  <c r="C12" i="11" s="1"/>
  <c r="AC21" i="12"/>
  <c r="C15" i="11" s="1"/>
  <c r="AC15" i="12"/>
  <c r="C13" i="11" s="1"/>
  <c r="AC9" i="12"/>
  <c r="C11" i="11" s="1"/>
  <c r="AC18" i="12"/>
  <c r="C14" i="11" s="1"/>
  <c r="AC27" i="14"/>
  <c r="AC12" i="14"/>
  <c r="AC36" i="14"/>
  <c r="AC15" i="14"/>
  <c r="AC24" i="14"/>
  <c r="AC9" i="14"/>
  <c r="AC33" i="14"/>
  <c r="AC18" i="14"/>
  <c r="AA42" i="14"/>
  <c r="AC33" i="12"/>
  <c r="C19" i="11" s="1"/>
  <c r="AC39" i="12"/>
  <c r="C21" i="11" s="1"/>
  <c r="AC36" i="12"/>
  <c r="C20" i="11" s="1"/>
  <c r="AA42" i="12"/>
  <c r="E11" i="11" l="1"/>
  <c r="E12" i="11"/>
  <c r="E10" i="11"/>
  <c r="E18" i="13"/>
  <c r="E10" i="13"/>
  <c r="E17" i="13"/>
  <c r="E13" i="13"/>
  <c r="E21" i="13"/>
  <c r="E19" i="13"/>
  <c r="E12" i="13"/>
  <c r="E20" i="13"/>
  <c r="E11" i="13"/>
  <c r="E14" i="13"/>
  <c r="E16" i="13"/>
  <c r="E15" i="13"/>
  <c r="C17" i="13"/>
  <c r="C14" i="13"/>
  <c r="C20" i="13"/>
  <c r="C19" i="13"/>
  <c r="C11" i="13"/>
  <c r="C16" i="13"/>
  <c r="C18" i="13"/>
  <c r="C13" i="13"/>
  <c r="C12" i="13"/>
  <c r="C10" i="13"/>
  <c r="C21" i="13"/>
  <c r="AC33" i="18"/>
  <c r="AC42" i="19"/>
  <c r="AC36" i="18"/>
  <c r="AC27" i="18"/>
  <c r="AC18" i="18"/>
  <c r="AC30" i="18"/>
  <c r="AC39" i="18"/>
  <c r="AC24" i="18"/>
  <c r="AC21" i="18"/>
  <c r="AA42" i="18"/>
  <c r="AC15" i="18"/>
  <c r="AC42" i="12"/>
  <c r="AC42" i="14"/>
  <c r="E17" i="11" l="1"/>
  <c r="E13" i="11"/>
  <c r="E20" i="11"/>
  <c r="E19" i="11"/>
  <c r="E18" i="11"/>
  <c r="E14" i="11"/>
  <c r="E15" i="11"/>
  <c r="E16" i="11"/>
  <c r="E21" i="11"/>
  <c r="C22" i="11"/>
  <c r="C22" i="13"/>
  <c r="E22" i="13"/>
  <c r="E22" i="20"/>
  <c r="C22" i="20"/>
  <c r="AC42" i="18"/>
  <c r="E22" i="11" l="1"/>
</calcChain>
</file>

<file path=xl/sharedStrings.xml><?xml version="1.0" encoding="utf-8"?>
<sst xmlns="http://schemas.openxmlformats.org/spreadsheetml/2006/main" count="680" uniqueCount="85">
  <si>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</si>
  <si>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</si>
  <si>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</si>
  <si>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</si>
  <si>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</si>
  <si>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</si>
  <si>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</si>
  <si>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</si>
  <si>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</si>
  <si>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</si>
  <si>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</si>
  <si>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</si>
  <si>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</si>
  <si>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</si>
  <si>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</si>
  <si>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</si>
  <si>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</si>
  <si>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</si>
  <si>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</si>
  <si>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</si>
  <si>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</si>
  <si>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</si>
  <si>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</si>
  <si>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</si>
  <si>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</si>
  <si>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</si>
  <si>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</si>
  <si>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</si>
  <si>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</si>
  <si>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</si>
  <si>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</si>
  <si>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</si>
  <si>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</si>
  <si>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</si>
  <si>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</si>
  <si>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</si>
  <si>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SOLICITADA kWh/MES</t>
  </si>
  <si>
    <t>ENERGIA OFERTADA kWh/MES</t>
  </si>
  <si>
    <t>PAGUE LO CONTRATADO AÑO 2027</t>
  </si>
  <si>
    <t>% OFERTADO ANUAL</t>
  </si>
  <si>
    <t>PAGUE LO CONTRATADO AÑO 2028</t>
  </si>
  <si>
    <t>PRECIO OFERTADO ANUAL $/kWh</t>
  </si>
  <si>
    <t>* Se debe ofertar un unico precio por producto.</t>
  </si>
  <si>
    <t>PAGUE LO CONTRATADO AÑO 2029</t>
  </si>
  <si>
    <t>* Se  debe ofertar un unico  %  para todos los meses del año.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</si>
  <si>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</si>
  <si>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</si>
  <si>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</si>
  <si>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</si>
  <si>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*Solo se debe ingresar valores en las celdas en color Naranja</t>
  </si>
  <si>
    <t>PAGUE LO CONTRATADO AÑO 2030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</si>
  <si>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Prod2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</si>
  <si>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Prod3</t>
    </r>
    <r>
      <rPr>
        <sz val="9"/>
        <color theme="1"/>
        <rFont val="Calibri"/>
        <family val="2"/>
        <scheme val="minor"/>
      </rPr>
      <t>"</t>
    </r>
  </si>
  <si>
    <t>kWh OFERTADO</t>
  </si>
  <si>
    <t>* A las ofertas planas al momento de la evaluación se le adicionarán 5 $/kWh al precio ofertado; con el fin de hacerlas comparables con las Ofertas que siguen la curva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</si>
  <si>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Prod4</t>
    </r>
    <r>
      <rPr>
        <sz val="9"/>
        <color theme="1"/>
        <rFont val="Calibri"/>
        <family val="2"/>
        <scheme val="minor"/>
      </rPr>
      <t>"</t>
    </r>
  </si>
  <si>
    <t>ANEXO No  3A - PRODUCTO No. 3 - OFERTA PLANA</t>
  </si>
  <si>
    <t>ANEXO No 4A - PRODUCTO No. 4 - OFERTA PLANA</t>
  </si>
  <si>
    <t>* Se debe oferta un valor de kWh el cual se aplica para todas las horas del año, con un tope horario de 20.000 kWh</t>
  </si>
  <si>
    <t xml:space="preserve">ANEXO No 1 - PRODUCTO No. 1 - CURVA </t>
  </si>
  <si>
    <t>ANEXO No  2A - PRODUCTO No. 1 - OFERTA PLANA BLOQUE 2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</si>
  <si>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5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</si>
  <si>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Prod1</t>
    </r>
    <r>
      <rPr>
        <sz val="9"/>
        <color theme="1"/>
        <rFont val="Calibri"/>
        <family val="2"/>
        <scheme val="minor"/>
      </rPr>
      <t>"</t>
    </r>
  </si>
  <si>
    <t>ANEXO No  2 - PRODUCTO No. 2 - CURVA</t>
  </si>
  <si>
    <t>CURVAS REQUERIDAS PRODUCTO 1 AÑO 2027 MODALIDAD PAGUE LO CONTRATADO - kWh</t>
  </si>
  <si>
    <t>ANEXO No  2A - PRODUCTO No. 2 - OFERTA PLANA</t>
  </si>
  <si>
    <t>* Se debe oferta un valor de kWh el cual se aplica para todas las horas del año, con un tope horario de 10.000 kWh</t>
  </si>
  <si>
    <t>* Para ofertas planas se debe diligenciar el anexo 2A, con un tope horario de 10.000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</si>
  <si>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6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</si>
  <si>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7</t>
    </r>
    <r>
      <rPr>
        <sz val="9"/>
        <color theme="1"/>
        <rFont val="Calibri"/>
        <family val="2"/>
        <scheme val="minor"/>
      </rPr>
      <t>".</t>
    </r>
  </si>
  <si>
    <t xml:space="preserve">ANEXO No 3 - PRODUCTO No. 3 - CURVA </t>
  </si>
  <si>
    <t>* Se debe oferta un valor de kWh el cual se aplica para todas las horas del año, con un tope horario de 15.000 kWh</t>
  </si>
  <si>
    <t>* Para ofertas planas se debe diligenciar el anexo 3A, con un tope horario de 15.000 kWh</t>
  </si>
  <si>
    <t>CURVAS REQUERIDAS PRODUCTO 3 AÑO 2029 MODALIDAD PAGUE LO CONTRATADO - kWh</t>
  </si>
  <si>
    <t>CANTIDADES OFERTADAS PRODUCTO 3 AÑO 2029 MODALIDAD PAGUE LO CONTRATADO - kWh</t>
  </si>
  <si>
    <t>CANTIDADES OFERTADAS PRODUCTO 1 AÑO 2027 MODALIDAD PAGUE LO CONTRATADO - kWh</t>
  </si>
  <si>
    <t>CANTIDADES OFERTADAS PRODUCTO 2 AÑO 2028 MODALIDAD PAGUE LO CONTRATADO - kWh</t>
  </si>
  <si>
    <t>ANEXO No 4 - PRODUCTO No. 4 CURVA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</si>
  <si>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8</t>
    </r>
    <r>
      <rPr>
        <sz val="9"/>
        <color theme="1"/>
        <rFont val="Calibri"/>
        <family val="2"/>
        <scheme val="minor"/>
      </rPr>
      <t>".</t>
    </r>
  </si>
  <si>
    <t>* Para ofertas planas se debe diligenciar el anexo 4A, con un tope horario de 20.000 kWh</t>
  </si>
  <si>
    <t>CURVAS REQUERIDAS PRODUCTO 4 AÑO 2030 MODALIDAD PAGUE LO CONTRATADO - kWh</t>
  </si>
  <si>
    <t>CANTIDADES OFERTADAS PRODUCTO 4 AÑO 2030 MODALIDAD PAGUE LO CONTRATADO - kWh</t>
  </si>
  <si>
    <t>* Para ofertas planas se debe diligenciar el anexo 1A, con un tope horario de 15.000 kWh</t>
  </si>
  <si>
    <t>PRECIO OFERTADO EN $ / kWh DE FEBRERO DE 2026</t>
  </si>
  <si>
    <t>CURVAS REQUERIDAS PRODUCTO 2 AÑO 2028 MODALIDAD PAGUE LO CONTRATADO -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</si>
</sst>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  <numFmt numFmtId="167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7" fontId="7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0" xfId="0" applyFont="1"/>
    <xf numFmtId="0" fontId="7" fillId="0" borderId="0" xfId="0" applyFont="1"/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" fontId="10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vertical="center"/>
    </xf>
    <xf numFmtId="17" fontId="10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7" fontId="10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8" fillId="0" borderId="0" xfId="2" applyNumberFormat="1" applyFont="1" applyBorder="1" applyAlignment="1">
      <alignment vertical="center"/>
    </xf>
    <xf numFmtId="166" fontId="10" fillId="0" borderId="4" xfId="2" applyNumberFormat="1" applyFont="1" applyBorder="1" applyAlignment="1">
      <alignment horizontal="center" vertical="center"/>
    </xf>
    <xf numFmtId="166" fontId="7" fillId="0" borderId="0" xfId="2" applyNumberFormat="1" applyFont="1" applyFill="1" applyBorder="1" applyAlignment="1">
      <alignment vertical="center"/>
    </xf>
    <xf numFmtId="166" fontId="11" fillId="0" borderId="16" xfId="2" applyNumberFormat="1" applyFont="1" applyBorder="1" applyAlignment="1">
      <alignment horizontal="center" vertical="center"/>
    </xf>
    <xf numFmtId="166" fontId="11" fillId="0" borderId="15" xfId="2" applyNumberFormat="1" applyFont="1" applyBorder="1" applyAlignment="1">
      <alignment horizontal="center" vertical="center"/>
    </xf>
    <xf numFmtId="166" fontId="11" fillId="0" borderId="14" xfId="2" applyNumberFormat="1" applyFont="1" applyBorder="1" applyAlignment="1">
      <alignment horizontal="center" vertical="center"/>
    </xf>
    <xf numFmtId="166" fontId="11" fillId="0" borderId="12" xfId="2" applyNumberFormat="1" applyFont="1" applyBorder="1" applyAlignment="1">
      <alignment horizontal="center" vertical="center"/>
    </xf>
    <xf numFmtId="166" fontId="11" fillId="0" borderId="11" xfId="2" applyNumberFormat="1" applyFont="1" applyBorder="1" applyAlignment="1">
      <alignment horizontal="center" vertical="center"/>
    </xf>
    <xf numFmtId="166" fontId="11" fillId="0" borderId="3" xfId="2" applyNumberFormat="1" applyFont="1" applyBorder="1" applyAlignment="1">
      <alignment horizontal="center" vertical="center"/>
    </xf>
    <xf numFmtId="166" fontId="11" fillId="0" borderId="8" xfId="2" applyNumberFormat="1" applyFont="1" applyBorder="1" applyAlignment="1">
      <alignment horizontal="center" vertical="center"/>
    </xf>
    <xf numFmtId="166" fontId="11" fillId="0" borderId="7" xfId="2" applyNumberFormat="1" applyFont="1" applyBorder="1" applyAlignment="1">
      <alignment horizontal="center" vertical="center"/>
    </xf>
    <xf numFmtId="166" fontId="11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7" fillId="0" borderId="3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0" fillId="0" borderId="6" xfId="2" applyNumberFormat="1" applyFont="1" applyBorder="1" applyAlignment="1">
      <alignment horizontal="center" vertical="center"/>
    </xf>
    <xf numFmtId="166" fontId="11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8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5" fillId="0" borderId="0" xfId="0" applyFont="1" applyAlignment="1">
      <alignment horizontal="left" wrapText="1"/>
    </xf>
    <xf numFmtId="43" fontId="8" fillId="0" borderId="1" xfId="2" applyFont="1" applyBorder="1" applyAlignment="1">
      <alignment vertical="center"/>
    </xf>
    <xf numFmtId="166" fontId="8" fillId="0" borderId="1" xfId="2" applyNumberFormat="1" applyFont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8" fillId="0" borderId="1" xfId="2" applyNumberFormat="1" applyFont="1" applyBorder="1" applyAlignment="1">
      <alignment vertical="center"/>
    </xf>
    <xf numFmtId="0" fontId="15" fillId="0" borderId="0" xfId="0" applyFont="1"/>
    <xf numFmtId="166" fontId="8" fillId="0" borderId="0" xfId="2" applyNumberFormat="1" applyFont="1" applyAlignment="1">
      <alignment horizontal="center" vertical="center"/>
    </xf>
    <xf numFmtId="167" fontId="0" fillId="0" borderId="0" xfId="2" applyNumberFormat="1" applyFont="1"/>
    <xf numFmtId="166" fontId="0" fillId="0" borderId="0" xfId="1" applyNumberFormat="1" applyFont="1"/>
    <xf numFmtId="166" fontId="16" fillId="0" borderId="0" xfId="0" applyNumberFormat="1" applyFont="1"/>
    <xf numFmtId="10" fontId="5" fillId="0" borderId="0" xfId="1" applyNumberFormat="1" applyFont="1" applyAlignment="1">
      <alignment wrapText="1"/>
    </xf>
    <xf numFmtId="0" fontId="5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5" xfId="1" applyNumberFormat="1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6" fontId="7" fillId="2" borderId="5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166" fontId="7" fillId="2" borderId="4" xfId="2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" fontId="12" fillId="0" borderId="1" xfId="0" applyNumberFormat="1" applyFont="1" applyBorder="1" applyAlignment="1">
      <alignment horizontal="center" vertical="center"/>
    </xf>
    <xf numFmtId="3" fontId="11" fillId="0" borderId="13" xfId="2" applyNumberFormat="1" applyFont="1" applyBorder="1" applyAlignment="1">
      <alignment horizontal="center" vertical="center"/>
    </xf>
    <xf numFmtId="3" fontId="11" fillId="0" borderId="10" xfId="2" applyNumberFormat="1" applyFont="1" applyBorder="1" applyAlignment="1">
      <alignment horizontal="center" vertical="center"/>
    </xf>
    <xf numFmtId="3" fontId="11" fillId="0" borderId="6" xfId="2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7" fillId="2" borderId="5" xfId="2" applyFont="1" applyFill="1" applyBorder="1" applyAlignment="1">
      <alignment horizontal="center" vertical="center"/>
    </xf>
    <xf numFmtId="43" fontId="7" fillId="2" borderId="2" xfId="2" applyFont="1" applyFill="1" applyBorder="1" applyAlignment="1">
      <alignment horizontal="center" vertical="center"/>
    </xf>
    <xf numFmtId="43" fontId="7" fillId="2" borderId="4" xfId="2" applyFont="1" applyFill="1" applyBorder="1" applyAlignment="1">
      <alignment horizontal="center"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2041-3788-4A3C-A99E-DCBB976FEC64}">
  <sheetPr codeName="Hoja2">
    <tabColor rgb="FFFFFF00"/>
  </sheetPr>
  <dimension ref="A1:H37"/>
  <sheetViews>
    <sheetView showGridLines="0" topLeftCell="A17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59</v>
      </c>
      <c r="C3" s="72"/>
      <c r="D3" s="72"/>
      <c r="E3" s="72"/>
      <c r="F3" s="72"/>
      <c r="G3" s="27"/>
    </row>
    <row r="4" spans="1:8" x14ac:dyDescent="0.25">
      <c r="B4" s="72" t="s">
        <v>38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36</v>
      </c>
      <c r="D8" s="73" t="s">
        <v>39</v>
      </c>
      <c r="E8" s="73" t="s">
        <v>37</v>
      </c>
      <c r="F8" s="73" t="s">
        <v>41</v>
      </c>
      <c r="G8" s="26"/>
    </row>
    <row r="9" spans="1:8" ht="23.25" customHeight="1" x14ac:dyDescent="0.25">
      <c r="B9" s="74"/>
      <c r="C9" s="74"/>
      <c r="D9" s="74"/>
      <c r="E9" s="74"/>
      <c r="F9" s="74"/>
      <c r="G9" s="26"/>
    </row>
    <row r="10" spans="1:8" ht="15.75" thickBot="1" x14ac:dyDescent="0.3">
      <c r="A10" s="63"/>
      <c r="B10" s="6">
        <v>46388</v>
      </c>
      <c r="C10" s="41">
        <f>+'Anexo 5'!AC6</f>
        <v>24221131</v>
      </c>
      <c r="D10" s="69"/>
      <c r="E10" s="53">
        <f>+'Cantidades Ofertadas Prod1'!AC6</f>
        <v>0</v>
      </c>
      <c r="F10" s="66"/>
      <c r="G10" s="30"/>
      <c r="H10" s="62"/>
    </row>
    <row r="11" spans="1:8" ht="15.75" thickBot="1" x14ac:dyDescent="0.3">
      <c r="A11" s="63"/>
      <c r="B11" s="6">
        <v>46419</v>
      </c>
      <c r="C11" s="41">
        <f>+'Anexo 5'!AC9</f>
        <v>22377856</v>
      </c>
      <c r="D11" s="70"/>
      <c r="E11" s="53">
        <f>+'Cantidades Ofertadas Prod1'!AC9</f>
        <v>0</v>
      </c>
      <c r="F11" s="67"/>
      <c r="G11" s="30"/>
      <c r="H11" s="62"/>
    </row>
    <row r="12" spans="1:8" ht="15.75" thickBot="1" x14ac:dyDescent="0.3">
      <c r="A12" s="63"/>
      <c r="B12" s="6">
        <v>46447</v>
      </c>
      <c r="C12" s="41">
        <f>+'Anexo 5'!AC12</f>
        <v>24046148</v>
      </c>
      <c r="D12" s="70"/>
      <c r="E12" s="53">
        <f>+'Cantidades Ofertadas Prod1'!AC12</f>
        <v>0</v>
      </c>
      <c r="F12" s="67"/>
      <c r="G12" s="30"/>
      <c r="H12" s="62"/>
    </row>
    <row r="13" spans="1:8" ht="15.75" thickBot="1" x14ac:dyDescent="0.3">
      <c r="A13" s="63"/>
      <c r="B13" s="6">
        <v>46478</v>
      </c>
      <c r="C13" s="41">
        <f>+'Anexo 5'!AC15</f>
        <v>22900488</v>
      </c>
      <c r="D13" s="70"/>
      <c r="E13" s="53">
        <f>+'Cantidades Ofertadas Prod1'!AC15</f>
        <v>0</v>
      </c>
      <c r="F13" s="67"/>
      <c r="G13" s="30"/>
      <c r="H13" s="62"/>
    </row>
    <row r="14" spans="1:8" ht="15.75" thickBot="1" x14ac:dyDescent="0.3">
      <c r="A14" s="63"/>
      <c r="B14" s="6">
        <v>46508</v>
      </c>
      <c r="C14" s="41">
        <f>+'Anexo 5'!AC18</f>
        <v>23626140</v>
      </c>
      <c r="D14" s="70"/>
      <c r="E14" s="53">
        <f>+'Cantidades Ofertadas Prod1'!AC18</f>
        <v>0</v>
      </c>
      <c r="F14" s="67"/>
      <c r="G14" s="30"/>
      <c r="H14" s="62"/>
    </row>
    <row r="15" spans="1:8" ht="15.75" thickBot="1" x14ac:dyDescent="0.3">
      <c r="A15" s="63"/>
      <c r="B15" s="6">
        <v>46539</v>
      </c>
      <c r="C15" s="41">
        <f>+'Anexo 5'!AC21</f>
        <v>22961808</v>
      </c>
      <c r="D15" s="70"/>
      <c r="E15" s="53">
        <f>+'Cantidades Ofertadas Prod1'!AC21</f>
        <v>0</v>
      </c>
      <c r="F15" s="67"/>
      <c r="G15" s="30"/>
      <c r="H15" s="62"/>
    </row>
    <row r="16" spans="1:8" ht="15.75" thickBot="1" x14ac:dyDescent="0.3">
      <c r="A16" s="63"/>
      <c r="B16" s="6">
        <v>46569</v>
      </c>
      <c r="C16" s="41">
        <f>+'Anexo 5'!AC24</f>
        <v>24259657</v>
      </c>
      <c r="D16" s="70"/>
      <c r="E16" s="53">
        <f>+'Cantidades Ofertadas Prod1'!AC24</f>
        <v>0</v>
      </c>
      <c r="F16" s="67"/>
      <c r="G16" s="30"/>
      <c r="H16" s="62"/>
    </row>
    <row r="17" spans="1:8" ht="15.75" thickBot="1" x14ac:dyDescent="0.3">
      <c r="A17" s="63"/>
      <c r="B17" s="6">
        <v>46600</v>
      </c>
      <c r="C17" s="41">
        <f>+'Anexo 5'!AC27</f>
        <v>24688809</v>
      </c>
      <c r="D17" s="70"/>
      <c r="E17" s="53">
        <f>+'Cantidades Ofertadas Prod1'!AC27</f>
        <v>0</v>
      </c>
      <c r="F17" s="67"/>
      <c r="G17" s="30"/>
      <c r="H17" s="62"/>
    </row>
    <row r="18" spans="1:8" ht="15.75" thickBot="1" x14ac:dyDescent="0.3">
      <c r="A18" s="63"/>
      <c r="B18" s="6">
        <v>46631</v>
      </c>
      <c r="C18" s="41">
        <f>+'Anexo 5'!AC30</f>
        <v>24321860</v>
      </c>
      <c r="D18" s="70"/>
      <c r="E18" s="53">
        <f>+'Cantidades Ofertadas Prod1'!AC30</f>
        <v>0</v>
      </c>
      <c r="F18" s="67"/>
      <c r="G18" s="30"/>
      <c r="H18" s="62"/>
    </row>
    <row r="19" spans="1:8" ht="15.75" thickBot="1" x14ac:dyDescent="0.3">
      <c r="A19" s="63"/>
      <c r="B19" s="6">
        <v>46661</v>
      </c>
      <c r="C19" s="41">
        <f>+'Anexo 5'!AC33</f>
        <v>24018034</v>
      </c>
      <c r="D19" s="70"/>
      <c r="E19" s="53">
        <f>+'Cantidades Ofertadas Prod1'!AC33</f>
        <v>0</v>
      </c>
      <c r="F19" s="67"/>
      <c r="G19" s="30"/>
      <c r="H19" s="62"/>
    </row>
    <row r="20" spans="1:8" ht="15.75" thickBot="1" x14ac:dyDescent="0.3">
      <c r="A20" s="63"/>
      <c r="B20" s="6">
        <v>46692</v>
      </c>
      <c r="C20" s="41">
        <f>+'Anexo 5'!AC36</f>
        <v>22864092</v>
      </c>
      <c r="D20" s="70"/>
      <c r="E20" s="53">
        <f>+'Cantidades Ofertadas Prod1'!AC36</f>
        <v>0</v>
      </c>
      <c r="F20" s="67"/>
      <c r="G20" s="30"/>
      <c r="H20" s="62"/>
    </row>
    <row r="21" spans="1:8" ht="15.75" thickBot="1" x14ac:dyDescent="0.3">
      <c r="A21" s="63"/>
      <c r="B21" s="6">
        <v>46722</v>
      </c>
      <c r="C21" s="42">
        <f>+'Anexo 5'!AC39</f>
        <v>24561468</v>
      </c>
      <c r="D21" s="71"/>
      <c r="E21" s="54">
        <f>+'Cantidades Ofertadas Prod1'!AC39</f>
        <v>0</v>
      </c>
      <c r="F21" s="68"/>
      <c r="G21" s="30"/>
      <c r="H21" s="62"/>
    </row>
    <row r="22" spans="1:8" ht="28.5" customHeight="1" x14ac:dyDescent="0.25">
      <c r="A22" s="63"/>
      <c r="B22" s="7" t="s">
        <v>0</v>
      </c>
      <c r="C22" s="8">
        <f>+SUM(C10:C21)</f>
        <v>284847491</v>
      </c>
      <c r="D22" s="58"/>
      <c r="E22" s="52">
        <f>SUM(E10:E21)</f>
        <v>0</v>
      </c>
      <c r="F22" s="51">
        <f>+F10</f>
        <v>0</v>
      </c>
      <c r="G22" s="43"/>
      <c r="H22" s="43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65" t="s">
        <v>44</v>
      </c>
      <c r="C24" s="65"/>
      <c r="D24" s="65"/>
      <c r="E24" s="65"/>
      <c r="F24" s="65"/>
      <c r="G24" s="65"/>
      <c r="H24" s="64"/>
    </row>
    <row r="25" spans="1:8" x14ac:dyDescent="0.25">
      <c r="B25" s="5" t="s">
        <v>61</v>
      </c>
      <c r="C25" s="50"/>
      <c r="D25" s="50"/>
      <c r="E25" s="50"/>
      <c r="F25" s="50"/>
      <c r="G25" s="50"/>
      <c r="H25" s="40"/>
    </row>
    <row r="26" spans="1:8" x14ac:dyDescent="0.25">
      <c r="B26" s="5" t="s">
        <v>62</v>
      </c>
      <c r="C26" s="50"/>
      <c r="D26" s="50"/>
      <c r="E26" s="50"/>
      <c r="F26" s="50"/>
      <c r="G26" s="50"/>
      <c r="H26" s="40"/>
    </row>
    <row r="27" spans="1:8" x14ac:dyDescent="0.25">
      <c r="B27" s="5" t="s">
        <v>42</v>
      </c>
    </row>
    <row r="28" spans="1:8" x14ac:dyDescent="0.25">
      <c r="B28" s="5" t="s">
        <v>82</v>
      </c>
    </row>
    <row r="29" spans="1:8" x14ac:dyDescent="0.25">
      <c r="B29" s="5"/>
      <c r="C29" s="43"/>
      <c r="E29" s="43"/>
    </row>
    <row r="30" spans="1:8" x14ac:dyDescent="0.25">
      <c r="B30" s="5"/>
      <c r="C30" s="43"/>
    </row>
    <row r="31" spans="1:8" x14ac:dyDescent="0.25">
      <c r="B31" s="5"/>
    </row>
    <row r="32" spans="1:8" x14ac:dyDescent="0.25">
      <c r="B32" s="56" t="s">
        <v>45</v>
      </c>
      <c r="C32" s="43"/>
      <c r="D32" s="56"/>
      <c r="E32" s="56"/>
    </row>
    <row r="33" spans="2:5" x14ac:dyDescent="0.25">
      <c r="B33" s="57" t="s">
        <v>46</v>
      </c>
      <c r="C33" s="57"/>
      <c r="D33" s="57"/>
      <c r="E33" s="57"/>
    </row>
    <row r="34" spans="2:5" x14ac:dyDescent="0.25">
      <c r="B34" s="57" t="s">
        <v>47</v>
      </c>
    </row>
    <row r="35" spans="2:5" x14ac:dyDescent="0.25"/>
    <row r="36" spans="2:5" x14ac:dyDescent="0.25"/>
    <row r="37" spans="2:5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AF594D90-A320-4C55-ADB7-FC06DEF3D4CA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EF76-D27D-4865-8E2C-F1BF53E15655}">
  <sheetPr codeName="Hoja10">
    <tabColor rgb="FFFFFF00"/>
  </sheetPr>
  <dimension ref="A1:H33"/>
  <sheetViews>
    <sheetView showGridLines="0" topLeftCell="A18" zoomScaleNormal="100" zoomScaleSheetLayoutView="140" workbookViewId="0">
      <selection activeCell="E10" sqref="E10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60</v>
      </c>
      <c r="C3" s="72"/>
      <c r="D3" s="72"/>
      <c r="E3" s="72"/>
      <c r="F3" s="72"/>
      <c r="G3" s="27"/>
    </row>
    <row r="4" spans="1:8" x14ac:dyDescent="0.25">
      <c r="B4" s="72" t="s">
        <v>38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48</v>
      </c>
      <c r="D8" s="73" t="s">
        <v>53</v>
      </c>
      <c r="E8" s="73" t="s">
        <v>37</v>
      </c>
      <c r="F8" s="73" t="s">
        <v>41</v>
      </c>
      <c r="G8" s="26"/>
    </row>
    <row r="9" spans="1:8" ht="23.25" customHeight="1" x14ac:dyDescent="0.25">
      <c r="A9" s="59">
        <v>15000</v>
      </c>
      <c r="B9" s="74"/>
      <c r="C9" s="74"/>
      <c r="D9" s="74"/>
      <c r="E9" s="74"/>
      <c r="F9" s="74"/>
      <c r="G9" s="26"/>
    </row>
    <row r="10" spans="1:8" ht="15.75" thickBot="1" x14ac:dyDescent="0.3">
      <c r="A10" s="55">
        <v>31</v>
      </c>
      <c r="B10" s="6">
        <v>46388</v>
      </c>
      <c r="C10" s="41">
        <f>+$A$9*A10*24</f>
        <v>11160000</v>
      </c>
      <c r="D10" s="75">
        <v>0</v>
      </c>
      <c r="E10" s="53">
        <f>+$D$10*A10*24</f>
        <v>0</v>
      </c>
      <c r="F10" s="66"/>
      <c r="G10" s="30"/>
      <c r="H10" s="49"/>
    </row>
    <row r="11" spans="1:8" ht="15.75" thickBot="1" x14ac:dyDescent="0.3">
      <c r="A11" s="55">
        <v>28</v>
      </c>
      <c r="B11" s="6">
        <v>46419</v>
      </c>
      <c r="C11" s="41">
        <f t="shared" ref="C11:C21" si="0">+$A$9*A11*24</f>
        <v>10080000</v>
      </c>
      <c r="D11" s="76"/>
      <c r="E11" s="53">
        <f t="shared" ref="E11:E21" si="1">+$D$10*A11*24</f>
        <v>0</v>
      </c>
      <c r="F11" s="67"/>
      <c r="G11" s="30"/>
      <c r="H11" s="49"/>
    </row>
    <row r="12" spans="1:8" ht="15.75" thickBot="1" x14ac:dyDescent="0.3">
      <c r="A12" s="55">
        <v>31</v>
      </c>
      <c r="B12" s="6">
        <v>46447</v>
      </c>
      <c r="C12" s="41">
        <f t="shared" si="0"/>
        <v>11160000</v>
      </c>
      <c r="D12" s="76"/>
      <c r="E12" s="53">
        <f t="shared" si="1"/>
        <v>0</v>
      </c>
      <c r="F12" s="67"/>
      <c r="G12" s="30"/>
      <c r="H12" s="49"/>
    </row>
    <row r="13" spans="1:8" ht="15.75" thickBot="1" x14ac:dyDescent="0.3">
      <c r="A13" s="55">
        <v>30</v>
      </c>
      <c r="B13" s="6">
        <v>46478</v>
      </c>
      <c r="C13" s="41">
        <f t="shared" si="0"/>
        <v>10800000</v>
      </c>
      <c r="D13" s="76"/>
      <c r="E13" s="53">
        <f t="shared" si="1"/>
        <v>0</v>
      </c>
      <c r="F13" s="67"/>
      <c r="G13" s="30"/>
      <c r="H13" s="49"/>
    </row>
    <row r="14" spans="1:8" ht="15.75" thickBot="1" x14ac:dyDescent="0.3">
      <c r="A14" s="55">
        <v>31</v>
      </c>
      <c r="B14" s="6">
        <v>46508</v>
      </c>
      <c r="C14" s="41">
        <f t="shared" si="0"/>
        <v>11160000</v>
      </c>
      <c r="D14" s="76"/>
      <c r="E14" s="53">
        <f t="shared" si="1"/>
        <v>0</v>
      </c>
      <c r="F14" s="67"/>
      <c r="G14" s="30"/>
      <c r="H14" s="49"/>
    </row>
    <row r="15" spans="1:8" ht="15.75" thickBot="1" x14ac:dyDescent="0.3">
      <c r="A15" s="55">
        <v>30</v>
      </c>
      <c r="B15" s="6">
        <v>46539</v>
      </c>
      <c r="C15" s="41">
        <f t="shared" si="0"/>
        <v>10800000</v>
      </c>
      <c r="D15" s="76"/>
      <c r="E15" s="53">
        <f t="shared" si="1"/>
        <v>0</v>
      </c>
      <c r="F15" s="67"/>
      <c r="G15" s="30"/>
      <c r="H15" s="49"/>
    </row>
    <row r="16" spans="1:8" ht="15.75" thickBot="1" x14ac:dyDescent="0.3">
      <c r="A16" s="55">
        <v>31</v>
      </c>
      <c r="B16" s="6">
        <v>46569</v>
      </c>
      <c r="C16" s="41">
        <f t="shared" si="0"/>
        <v>11160000</v>
      </c>
      <c r="D16" s="76"/>
      <c r="E16" s="53">
        <f t="shared" si="1"/>
        <v>0</v>
      </c>
      <c r="F16" s="67"/>
      <c r="G16" s="30"/>
      <c r="H16" s="49"/>
    </row>
    <row r="17" spans="1:8" ht="15.75" thickBot="1" x14ac:dyDescent="0.3">
      <c r="A17" s="55">
        <v>31</v>
      </c>
      <c r="B17" s="6">
        <v>46600</v>
      </c>
      <c r="C17" s="41">
        <f t="shared" si="0"/>
        <v>11160000</v>
      </c>
      <c r="D17" s="76"/>
      <c r="E17" s="53">
        <f t="shared" si="1"/>
        <v>0</v>
      </c>
      <c r="F17" s="67"/>
      <c r="G17" s="30"/>
      <c r="H17" s="49"/>
    </row>
    <row r="18" spans="1:8" ht="15.75" thickBot="1" x14ac:dyDescent="0.3">
      <c r="A18" s="55">
        <v>30</v>
      </c>
      <c r="B18" s="6">
        <v>46631</v>
      </c>
      <c r="C18" s="41">
        <f t="shared" si="0"/>
        <v>10800000</v>
      </c>
      <c r="D18" s="76"/>
      <c r="E18" s="53">
        <f t="shared" si="1"/>
        <v>0</v>
      </c>
      <c r="F18" s="67"/>
      <c r="G18" s="30"/>
      <c r="H18" s="49"/>
    </row>
    <row r="19" spans="1:8" ht="15.75" thickBot="1" x14ac:dyDescent="0.3">
      <c r="A19" s="55">
        <v>31</v>
      </c>
      <c r="B19" s="6">
        <v>46661</v>
      </c>
      <c r="C19" s="41">
        <f t="shared" si="0"/>
        <v>11160000</v>
      </c>
      <c r="D19" s="76"/>
      <c r="E19" s="53">
        <f t="shared" si="1"/>
        <v>0</v>
      </c>
      <c r="F19" s="67"/>
      <c r="G19" s="30"/>
      <c r="H19" s="49"/>
    </row>
    <row r="20" spans="1:8" ht="15.75" thickBot="1" x14ac:dyDescent="0.3">
      <c r="A20" s="55">
        <v>30</v>
      </c>
      <c r="B20" s="6">
        <v>46692</v>
      </c>
      <c r="C20" s="41">
        <f t="shared" si="0"/>
        <v>10800000</v>
      </c>
      <c r="D20" s="76"/>
      <c r="E20" s="53">
        <f t="shared" si="1"/>
        <v>0</v>
      </c>
      <c r="F20" s="67"/>
      <c r="G20" s="30"/>
      <c r="H20" s="49"/>
    </row>
    <row r="21" spans="1:8" ht="15.75" thickBot="1" x14ac:dyDescent="0.3">
      <c r="A21" s="55">
        <v>31</v>
      </c>
      <c r="B21" s="6">
        <v>46722</v>
      </c>
      <c r="C21" s="41">
        <f t="shared" si="0"/>
        <v>11160000</v>
      </c>
      <c r="D21" s="77"/>
      <c r="E21" s="53">
        <f t="shared" si="1"/>
        <v>0</v>
      </c>
      <c r="F21" s="68"/>
      <c r="G21" s="30"/>
      <c r="H21" s="49"/>
    </row>
    <row r="22" spans="1:8" ht="28.5" customHeight="1" x14ac:dyDescent="0.25">
      <c r="B22" s="7" t="s">
        <v>0</v>
      </c>
      <c r="C22" s="8">
        <f>+SUM(C10:C21)</f>
        <v>131400000</v>
      </c>
      <c r="D22" s="9"/>
      <c r="E22" s="52">
        <f>SUM(E10:E21)</f>
        <v>0</v>
      </c>
      <c r="F22" s="51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71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5" t="s">
        <v>54</v>
      </c>
      <c r="C26" s="65"/>
      <c r="D26" s="65"/>
      <c r="E26" s="65"/>
      <c r="F26" s="65"/>
      <c r="G26" s="65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6" t="s">
        <v>45</v>
      </c>
      <c r="C29" s="56"/>
      <c r="D29" s="56"/>
      <c r="E29" s="56"/>
    </row>
    <row r="30" spans="1:8" x14ac:dyDescent="0.25">
      <c r="B30" s="57" t="s">
        <v>46</v>
      </c>
      <c r="C30" s="57"/>
      <c r="D30" s="57"/>
      <c r="E30" s="57"/>
    </row>
    <row r="31" spans="1:8" x14ac:dyDescent="0.25">
      <c r="B31" s="57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15.000" prompt="Se debe ofertar un numero entero sin decimales maximo 15.000 kWh" sqref="D10:D21" xr:uid="{BC281EFD-F552-48B2-B873-45F45374C9EC}">
      <formula1>0</formula1>
      <formula2>15000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4653-9B93-43DC-B84B-031CB9C59D6A}">
  <sheetPr codeName="Hoja5">
    <tabColor rgb="FFFFFF00"/>
  </sheetPr>
  <dimension ref="A1:AD46"/>
  <sheetViews>
    <sheetView showGridLines="0" zoomScale="85" zoomScaleNormal="8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15" customHeight="1" zeroHeight="1" x14ac:dyDescent="0.25"/>
  <cols>
    <col min="1" max="1" width="7" bestFit="1" customWidth="1"/>
    <col min="2" max="2" width="9" bestFit="1" customWidth="1"/>
    <col min="3" max="3" width="10.85546875" bestFit="1" customWidth="1"/>
    <col min="4" max="4" width="10.7109375" bestFit="1" customWidth="1"/>
    <col min="5" max="5" width="10.85546875" bestFit="1" customWidth="1"/>
    <col min="6" max="6" width="10.42578125" bestFit="1" customWidth="1"/>
    <col min="7" max="7" width="9.7109375" bestFit="1" customWidth="1"/>
    <col min="8" max="10" width="10.7109375" bestFit="1" customWidth="1"/>
    <col min="11" max="12" width="10.42578125" bestFit="1" customWidth="1"/>
    <col min="13" max="14" width="10.5703125" bestFit="1" customWidth="1"/>
    <col min="15" max="15" width="10" bestFit="1" customWidth="1"/>
    <col min="16" max="16" width="10.42578125" bestFit="1" customWidth="1"/>
    <col min="17" max="17" width="10.28515625" bestFit="1" customWidth="1"/>
    <col min="18" max="18" width="10.42578125" bestFit="1" customWidth="1"/>
    <col min="19" max="19" width="10.5703125" bestFit="1" customWidth="1"/>
    <col min="20" max="20" width="10.42578125" bestFit="1" customWidth="1"/>
    <col min="21" max="21" width="10" bestFit="1" customWidth="1"/>
    <col min="22" max="22" width="10.42578125" bestFit="1" customWidth="1"/>
    <col min="23" max="23" width="10.85546875" bestFit="1" customWidth="1"/>
    <col min="24" max="26" width="10.7109375" bestFit="1" customWidth="1"/>
    <col min="27" max="27" width="11.7109375" bestFit="1" customWidth="1"/>
    <col min="28" max="28" width="5.7109375" bestFit="1" customWidth="1"/>
    <col min="29" max="29" width="11" bestFit="1" customWidth="1"/>
    <col min="30" max="30" width="8.42578125" bestFit="1" customWidth="1"/>
    <col min="31" max="16384" width="9.140625" hidden="1"/>
  </cols>
  <sheetData>
    <row r="1" spans="1:30" x14ac:dyDescent="0.25">
      <c r="A1" s="80" t="s">
        <v>64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46388</v>
      </c>
      <c r="B6" s="16" t="s">
        <v>5</v>
      </c>
      <c r="C6" s="31">
        <v>26386</v>
      </c>
      <c r="D6" s="31">
        <v>24861</v>
      </c>
      <c r="E6" s="31">
        <v>23943</v>
      </c>
      <c r="F6" s="31">
        <v>23469</v>
      </c>
      <c r="G6" s="31">
        <v>23797</v>
      </c>
      <c r="H6" s="31">
        <v>25214</v>
      </c>
      <c r="I6" s="31">
        <v>26562</v>
      </c>
      <c r="J6" s="31">
        <v>29085</v>
      </c>
      <c r="K6" s="31">
        <v>31923</v>
      </c>
      <c r="L6" s="31">
        <v>34072</v>
      </c>
      <c r="M6" s="31">
        <v>36262</v>
      </c>
      <c r="N6" s="31">
        <v>38327</v>
      </c>
      <c r="O6" s="31">
        <v>37976</v>
      </c>
      <c r="P6" s="31">
        <v>38021</v>
      </c>
      <c r="Q6" s="31">
        <v>38655</v>
      </c>
      <c r="R6" s="31">
        <v>38776</v>
      </c>
      <c r="S6" s="31">
        <v>38332</v>
      </c>
      <c r="T6" s="31">
        <v>37502</v>
      </c>
      <c r="U6" s="31">
        <v>40258</v>
      </c>
      <c r="V6" s="31">
        <v>42554</v>
      </c>
      <c r="W6" s="31">
        <v>41010</v>
      </c>
      <c r="X6" s="31">
        <v>38304</v>
      </c>
      <c r="Y6" s="31">
        <v>33954</v>
      </c>
      <c r="Z6" s="32">
        <v>29561</v>
      </c>
      <c r="AA6" s="33">
        <f>SUM(C6:Z6)</f>
        <v>798804</v>
      </c>
      <c r="AB6" s="17">
        <v>19</v>
      </c>
      <c r="AC6" s="90">
        <f>+AA6*AB6+AA7*AB7+AA8*AB8</f>
        <v>24221131</v>
      </c>
      <c r="AD6" s="47"/>
    </row>
    <row r="7" spans="1:30" ht="15.75" thickBot="1" x14ac:dyDescent="0.3">
      <c r="A7" s="89"/>
      <c r="B7" s="18" t="s">
        <v>4</v>
      </c>
      <c r="C7" s="34">
        <v>27023</v>
      </c>
      <c r="D7" s="34">
        <v>25300</v>
      </c>
      <c r="E7" s="34">
        <v>24249</v>
      </c>
      <c r="F7" s="34">
        <v>23587</v>
      </c>
      <c r="G7" s="34">
        <v>23608</v>
      </c>
      <c r="H7" s="34">
        <v>24401</v>
      </c>
      <c r="I7" s="34">
        <v>25325</v>
      </c>
      <c r="J7" s="34">
        <v>27890</v>
      </c>
      <c r="K7" s="34">
        <v>31062</v>
      </c>
      <c r="L7" s="34">
        <v>33456</v>
      </c>
      <c r="M7" s="34">
        <v>35250</v>
      </c>
      <c r="N7" s="34">
        <v>37024</v>
      </c>
      <c r="O7" s="34">
        <v>37216</v>
      </c>
      <c r="P7" s="34">
        <v>36851</v>
      </c>
      <c r="Q7" s="34">
        <v>36450</v>
      </c>
      <c r="R7" s="34">
        <v>36255</v>
      </c>
      <c r="S7" s="34">
        <v>35982</v>
      </c>
      <c r="T7" s="34">
        <v>35947</v>
      </c>
      <c r="U7" s="34">
        <v>39402</v>
      </c>
      <c r="V7" s="34">
        <v>41863</v>
      </c>
      <c r="W7" s="34">
        <v>40180</v>
      </c>
      <c r="X7" s="34">
        <v>37671</v>
      </c>
      <c r="Y7" s="34">
        <v>34111</v>
      </c>
      <c r="Z7" s="35">
        <v>30543</v>
      </c>
      <c r="AA7" s="36">
        <f t="shared" ref="AA7:AA41" si="0">SUM(C7:Z7)</f>
        <v>780646</v>
      </c>
      <c r="AB7" s="19">
        <v>5</v>
      </c>
      <c r="AC7" s="91"/>
      <c r="AD7" s="47"/>
    </row>
    <row r="8" spans="1:30" x14ac:dyDescent="0.25">
      <c r="A8" s="89"/>
      <c r="B8" s="20" t="s">
        <v>3</v>
      </c>
      <c r="C8" s="37">
        <v>28328</v>
      </c>
      <c r="D8" s="37">
        <v>26467</v>
      </c>
      <c r="E8" s="37">
        <v>25233</v>
      </c>
      <c r="F8" s="37">
        <v>24362</v>
      </c>
      <c r="G8" s="37">
        <v>23937</v>
      </c>
      <c r="H8" s="37">
        <v>24104</v>
      </c>
      <c r="I8" s="37">
        <v>23868</v>
      </c>
      <c r="J8" s="37">
        <v>25277</v>
      </c>
      <c r="K8" s="37">
        <v>27691</v>
      </c>
      <c r="L8" s="37">
        <v>29817</v>
      </c>
      <c r="M8" s="37">
        <v>31387</v>
      </c>
      <c r="N8" s="37">
        <v>33021</v>
      </c>
      <c r="O8" s="37">
        <v>33989</v>
      </c>
      <c r="P8" s="37">
        <v>33874</v>
      </c>
      <c r="Q8" s="37">
        <v>33259</v>
      </c>
      <c r="R8" s="37">
        <v>32904</v>
      </c>
      <c r="S8" s="37">
        <v>32726</v>
      </c>
      <c r="T8" s="37">
        <v>32903</v>
      </c>
      <c r="U8" s="37">
        <v>36672</v>
      </c>
      <c r="V8" s="37">
        <v>39364</v>
      </c>
      <c r="W8" s="37">
        <v>38266</v>
      </c>
      <c r="X8" s="37">
        <v>35920</v>
      </c>
      <c r="Y8" s="37">
        <v>32302</v>
      </c>
      <c r="Z8" s="38">
        <v>28704</v>
      </c>
      <c r="AA8" s="39">
        <f t="shared" si="0"/>
        <v>734375</v>
      </c>
      <c r="AB8" s="21">
        <v>7</v>
      </c>
      <c r="AC8" s="92"/>
      <c r="AD8" s="47"/>
    </row>
    <row r="9" spans="1:30" ht="15.75" thickBot="1" x14ac:dyDescent="0.3">
      <c r="A9" s="89">
        <v>46419</v>
      </c>
      <c r="B9" s="16" t="s">
        <v>5</v>
      </c>
      <c r="C9" s="31">
        <v>26540</v>
      </c>
      <c r="D9" s="31">
        <v>25073</v>
      </c>
      <c r="E9" s="31">
        <v>24229</v>
      </c>
      <c r="F9" s="31">
        <v>23814</v>
      </c>
      <c r="G9" s="31">
        <v>24294</v>
      </c>
      <c r="H9" s="31">
        <v>26494</v>
      </c>
      <c r="I9" s="31">
        <v>28247</v>
      </c>
      <c r="J9" s="31">
        <v>30150</v>
      </c>
      <c r="K9" s="31">
        <v>32675</v>
      </c>
      <c r="L9" s="31">
        <v>34567</v>
      </c>
      <c r="M9" s="31">
        <v>36634</v>
      </c>
      <c r="N9" s="31">
        <v>38549</v>
      </c>
      <c r="O9" s="31">
        <v>37780</v>
      </c>
      <c r="P9" s="31">
        <v>38072</v>
      </c>
      <c r="Q9" s="31">
        <v>38962</v>
      </c>
      <c r="R9" s="31">
        <v>39122</v>
      </c>
      <c r="S9" s="31">
        <v>38686</v>
      </c>
      <c r="T9" s="31">
        <v>37676</v>
      </c>
      <c r="U9" s="31">
        <v>39779</v>
      </c>
      <c r="V9" s="31">
        <v>42791</v>
      </c>
      <c r="W9" s="31">
        <v>41307</v>
      </c>
      <c r="X9" s="31">
        <v>38474</v>
      </c>
      <c r="Y9" s="31">
        <v>34003</v>
      </c>
      <c r="Z9" s="32">
        <v>29555</v>
      </c>
      <c r="AA9" s="33">
        <f t="shared" si="0"/>
        <v>807473</v>
      </c>
      <c r="AB9" s="17">
        <v>20</v>
      </c>
      <c r="AC9" s="90">
        <f>+AA9*AB9+AA10*AB10+AA11*AB11</f>
        <v>22377856</v>
      </c>
      <c r="AD9" s="47"/>
    </row>
    <row r="10" spans="1:30" ht="15.75" thickBot="1" x14ac:dyDescent="0.3">
      <c r="A10" s="89"/>
      <c r="B10" s="18" t="s">
        <v>4</v>
      </c>
      <c r="C10" s="34">
        <v>27523</v>
      </c>
      <c r="D10" s="34">
        <v>25895</v>
      </c>
      <c r="E10" s="34">
        <v>24849</v>
      </c>
      <c r="F10" s="34">
        <v>24248</v>
      </c>
      <c r="G10" s="34">
        <v>24319</v>
      </c>
      <c r="H10" s="34">
        <v>25172</v>
      </c>
      <c r="I10" s="34">
        <v>26537</v>
      </c>
      <c r="J10" s="34">
        <v>29101</v>
      </c>
      <c r="K10" s="34">
        <v>32395</v>
      </c>
      <c r="L10" s="34">
        <v>34690</v>
      </c>
      <c r="M10" s="34">
        <v>36514</v>
      </c>
      <c r="N10" s="34">
        <v>38285</v>
      </c>
      <c r="O10" s="34">
        <v>38334</v>
      </c>
      <c r="P10" s="34">
        <v>37843</v>
      </c>
      <c r="Q10" s="34">
        <v>37422</v>
      </c>
      <c r="R10" s="34">
        <v>37192</v>
      </c>
      <c r="S10" s="34">
        <v>36875</v>
      </c>
      <c r="T10" s="34">
        <v>36760</v>
      </c>
      <c r="U10" s="34">
        <v>39555</v>
      </c>
      <c r="V10" s="34">
        <v>42584</v>
      </c>
      <c r="W10" s="34">
        <v>40916</v>
      </c>
      <c r="X10" s="34">
        <v>38547</v>
      </c>
      <c r="Y10" s="34">
        <v>35159</v>
      </c>
      <c r="Z10" s="35">
        <v>31395</v>
      </c>
      <c r="AA10" s="36">
        <f t="shared" si="0"/>
        <v>802110</v>
      </c>
      <c r="AB10" s="19">
        <v>4</v>
      </c>
      <c r="AC10" s="91"/>
      <c r="AD10" s="47"/>
    </row>
    <row r="11" spans="1:30" x14ac:dyDescent="0.25">
      <c r="A11" s="89"/>
      <c r="B11" s="20" t="s">
        <v>3</v>
      </c>
      <c r="C11" s="37">
        <v>28586</v>
      </c>
      <c r="D11" s="37">
        <v>26739</v>
      </c>
      <c r="E11" s="37">
        <v>25613</v>
      </c>
      <c r="F11" s="37">
        <v>24768</v>
      </c>
      <c r="G11" s="37">
        <v>24498</v>
      </c>
      <c r="H11" s="37">
        <v>24752</v>
      </c>
      <c r="I11" s="37">
        <v>24954</v>
      </c>
      <c r="J11" s="37">
        <v>26607</v>
      </c>
      <c r="K11" s="37">
        <v>29254</v>
      </c>
      <c r="L11" s="37">
        <v>31421</v>
      </c>
      <c r="M11" s="37">
        <v>32857</v>
      </c>
      <c r="N11" s="37">
        <v>34409</v>
      </c>
      <c r="O11" s="37">
        <v>35279</v>
      </c>
      <c r="P11" s="37">
        <v>34995</v>
      </c>
      <c r="Q11" s="37">
        <v>34302</v>
      </c>
      <c r="R11" s="37">
        <v>33882</v>
      </c>
      <c r="S11" s="37">
        <v>33670</v>
      </c>
      <c r="T11" s="37">
        <v>33848</v>
      </c>
      <c r="U11" s="37">
        <v>36854</v>
      </c>
      <c r="V11" s="37">
        <v>40200</v>
      </c>
      <c r="W11" s="37">
        <v>39179</v>
      </c>
      <c r="X11" s="37">
        <v>36748</v>
      </c>
      <c r="Y11" s="37">
        <v>32755</v>
      </c>
      <c r="Z11" s="38">
        <v>28819</v>
      </c>
      <c r="AA11" s="39">
        <f t="shared" si="0"/>
        <v>754989</v>
      </c>
      <c r="AB11" s="21">
        <v>4</v>
      </c>
      <c r="AC11" s="92"/>
      <c r="AD11" s="47"/>
    </row>
    <row r="12" spans="1:30" ht="15.75" thickBot="1" x14ac:dyDescent="0.3">
      <c r="A12" s="89">
        <v>46447</v>
      </c>
      <c r="B12" s="16" t="s">
        <v>5</v>
      </c>
      <c r="C12" s="31">
        <v>25976</v>
      </c>
      <c r="D12" s="31">
        <v>24571</v>
      </c>
      <c r="E12" s="31">
        <v>23793</v>
      </c>
      <c r="F12" s="31">
        <v>23404</v>
      </c>
      <c r="G12" s="31">
        <v>23920</v>
      </c>
      <c r="H12" s="31">
        <v>26078</v>
      </c>
      <c r="I12" s="31">
        <v>27589</v>
      </c>
      <c r="J12" s="31">
        <v>29695</v>
      </c>
      <c r="K12" s="31">
        <v>32120</v>
      </c>
      <c r="L12" s="31">
        <v>33936</v>
      </c>
      <c r="M12" s="31">
        <v>35872</v>
      </c>
      <c r="N12" s="31">
        <v>37617</v>
      </c>
      <c r="O12" s="31">
        <v>36922</v>
      </c>
      <c r="P12" s="31">
        <v>37075</v>
      </c>
      <c r="Q12" s="31">
        <v>37840</v>
      </c>
      <c r="R12" s="31">
        <v>37965</v>
      </c>
      <c r="S12" s="31">
        <v>37633</v>
      </c>
      <c r="T12" s="31">
        <v>36922</v>
      </c>
      <c r="U12" s="31">
        <v>39547</v>
      </c>
      <c r="V12" s="31">
        <v>42116</v>
      </c>
      <c r="W12" s="31">
        <v>40586</v>
      </c>
      <c r="X12" s="31">
        <v>37705</v>
      </c>
      <c r="Y12" s="31">
        <v>33324</v>
      </c>
      <c r="Z12" s="32">
        <v>28998</v>
      </c>
      <c r="AA12" s="33">
        <f t="shared" si="0"/>
        <v>791204</v>
      </c>
      <c r="AB12" s="17">
        <v>20</v>
      </c>
      <c r="AC12" s="90">
        <f>+AA12*AB12+AA13*AB13+AA14*AB14</f>
        <v>24046148</v>
      </c>
      <c r="AD12" s="47"/>
    </row>
    <row r="13" spans="1:30" ht="15.75" thickBot="1" x14ac:dyDescent="0.3">
      <c r="A13" s="89"/>
      <c r="B13" s="18" t="s">
        <v>4</v>
      </c>
      <c r="C13" s="34">
        <v>26795</v>
      </c>
      <c r="D13" s="34">
        <v>25172</v>
      </c>
      <c r="E13" s="34">
        <v>24309</v>
      </c>
      <c r="F13" s="34">
        <v>23816</v>
      </c>
      <c r="G13" s="34">
        <v>23846</v>
      </c>
      <c r="H13" s="34">
        <v>24751</v>
      </c>
      <c r="I13" s="34">
        <v>25541</v>
      </c>
      <c r="J13" s="34">
        <v>28353</v>
      </c>
      <c r="K13" s="34">
        <v>31410</v>
      </c>
      <c r="L13" s="34">
        <v>33626</v>
      </c>
      <c r="M13" s="34">
        <v>35385</v>
      </c>
      <c r="N13" s="34">
        <v>36852</v>
      </c>
      <c r="O13" s="34">
        <v>36823</v>
      </c>
      <c r="P13" s="34">
        <v>36300</v>
      </c>
      <c r="Q13" s="34">
        <v>35909</v>
      </c>
      <c r="R13" s="34">
        <v>35614</v>
      </c>
      <c r="S13" s="34">
        <v>35232</v>
      </c>
      <c r="T13" s="34">
        <v>35258</v>
      </c>
      <c r="U13" s="34">
        <v>38448</v>
      </c>
      <c r="V13" s="34">
        <v>40871</v>
      </c>
      <c r="W13" s="34">
        <v>39287</v>
      </c>
      <c r="X13" s="34">
        <v>37022</v>
      </c>
      <c r="Y13" s="34">
        <v>33651</v>
      </c>
      <c r="Z13" s="35">
        <v>30246</v>
      </c>
      <c r="AA13" s="36">
        <f t="shared" si="0"/>
        <v>774517</v>
      </c>
      <c r="AB13" s="19">
        <v>4</v>
      </c>
      <c r="AC13" s="91"/>
      <c r="AD13" s="47"/>
    </row>
    <row r="14" spans="1:30" x14ac:dyDescent="0.25">
      <c r="A14" s="89"/>
      <c r="B14" s="20" t="s">
        <v>3</v>
      </c>
      <c r="C14" s="37">
        <v>27614</v>
      </c>
      <c r="D14" s="37">
        <v>25828</v>
      </c>
      <c r="E14" s="37">
        <v>24778</v>
      </c>
      <c r="F14" s="37">
        <v>24065</v>
      </c>
      <c r="G14" s="37">
        <v>23770</v>
      </c>
      <c r="H14" s="37">
        <v>24120</v>
      </c>
      <c r="I14" s="37">
        <v>24033</v>
      </c>
      <c r="J14" s="37">
        <v>25819</v>
      </c>
      <c r="K14" s="37">
        <v>28251</v>
      </c>
      <c r="L14" s="37">
        <v>30212</v>
      </c>
      <c r="M14" s="37">
        <v>31580</v>
      </c>
      <c r="N14" s="37">
        <v>33134</v>
      </c>
      <c r="O14" s="37">
        <v>34059</v>
      </c>
      <c r="P14" s="37">
        <v>33801</v>
      </c>
      <c r="Q14" s="37">
        <v>33091</v>
      </c>
      <c r="R14" s="37">
        <v>32773</v>
      </c>
      <c r="S14" s="37">
        <v>32568</v>
      </c>
      <c r="T14" s="37">
        <v>32822</v>
      </c>
      <c r="U14" s="37">
        <v>36266</v>
      </c>
      <c r="V14" s="37">
        <v>39121</v>
      </c>
      <c r="W14" s="37">
        <v>38020</v>
      </c>
      <c r="X14" s="37">
        <v>35741</v>
      </c>
      <c r="Y14" s="37">
        <v>32034</v>
      </c>
      <c r="Z14" s="38">
        <v>28500</v>
      </c>
      <c r="AA14" s="39">
        <f t="shared" si="0"/>
        <v>732000</v>
      </c>
      <c r="AB14" s="21">
        <v>7</v>
      </c>
      <c r="AC14" s="92"/>
      <c r="AD14" s="47"/>
    </row>
    <row r="15" spans="1:30" ht="15.75" thickBot="1" x14ac:dyDescent="0.3">
      <c r="A15" s="89">
        <v>46478</v>
      </c>
      <c r="B15" s="16" t="s">
        <v>5</v>
      </c>
      <c r="C15" s="31">
        <v>25378</v>
      </c>
      <c r="D15" s="31">
        <v>24032</v>
      </c>
      <c r="E15" s="31">
        <v>23223</v>
      </c>
      <c r="F15" s="31">
        <v>22847</v>
      </c>
      <c r="G15" s="31">
        <v>23323</v>
      </c>
      <c r="H15" s="31">
        <v>25062</v>
      </c>
      <c r="I15" s="31">
        <v>26343</v>
      </c>
      <c r="J15" s="31">
        <v>28664</v>
      </c>
      <c r="K15" s="31">
        <v>31088</v>
      </c>
      <c r="L15" s="31">
        <v>32987</v>
      </c>
      <c r="M15" s="31">
        <v>34991</v>
      </c>
      <c r="N15" s="31">
        <v>36807</v>
      </c>
      <c r="O15" s="31">
        <v>36159</v>
      </c>
      <c r="P15" s="31">
        <v>36325</v>
      </c>
      <c r="Q15" s="31">
        <v>37043</v>
      </c>
      <c r="R15" s="31">
        <v>37117</v>
      </c>
      <c r="S15" s="31">
        <v>36744</v>
      </c>
      <c r="T15" s="31">
        <v>36200</v>
      </c>
      <c r="U15" s="31">
        <v>39361</v>
      </c>
      <c r="V15" s="31">
        <v>41240</v>
      </c>
      <c r="W15" s="31">
        <v>39789</v>
      </c>
      <c r="X15" s="31">
        <v>36880</v>
      </c>
      <c r="Y15" s="31">
        <v>32477</v>
      </c>
      <c r="Z15" s="32">
        <v>28266</v>
      </c>
      <c r="AA15" s="33">
        <f t="shared" si="0"/>
        <v>772346</v>
      </c>
      <c r="AB15" s="17">
        <v>22</v>
      </c>
      <c r="AC15" s="90">
        <f>+AA15*AB15+AA16*AB16+AA17*AB17</f>
        <v>22900488</v>
      </c>
      <c r="AD15" s="47"/>
    </row>
    <row r="16" spans="1:30" ht="15.75" thickBot="1" x14ac:dyDescent="0.3">
      <c r="A16" s="89"/>
      <c r="B16" s="18" t="s">
        <v>4</v>
      </c>
      <c r="C16" s="34">
        <v>25918</v>
      </c>
      <c r="D16" s="34">
        <v>24383</v>
      </c>
      <c r="E16" s="34">
        <v>23396</v>
      </c>
      <c r="F16" s="34">
        <v>22813</v>
      </c>
      <c r="G16" s="34">
        <v>22920</v>
      </c>
      <c r="H16" s="34">
        <v>23578</v>
      </c>
      <c r="I16" s="34">
        <v>24407</v>
      </c>
      <c r="J16" s="34">
        <v>27342</v>
      </c>
      <c r="K16" s="34">
        <v>30352</v>
      </c>
      <c r="L16" s="34">
        <v>32636</v>
      </c>
      <c r="M16" s="34">
        <v>34287</v>
      </c>
      <c r="N16" s="34">
        <v>36160</v>
      </c>
      <c r="O16" s="34">
        <v>36275</v>
      </c>
      <c r="P16" s="34">
        <v>35838</v>
      </c>
      <c r="Q16" s="34">
        <v>35441</v>
      </c>
      <c r="R16" s="34">
        <v>35168</v>
      </c>
      <c r="S16" s="34">
        <v>35068</v>
      </c>
      <c r="T16" s="34">
        <v>35237</v>
      </c>
      <c r="U16" s="34">
        <v>38831</v>
      </c>
      <c r="V16" s="34">
        <v>40819</v>
      </c>
      <c r="W16" s="34">
        <v>39148</v>
      </c>
      <c r="X16" s="34">
        <v>36723</v>
      </c>
      <c r="Y16" s="34">
        <v>33309</v>
      </c>
      <c r="Z16" s="35">
        <v>29825</v>
      </c>
      <c r="AA16" s="36">
        <f t="shared" si="0"/>
        <v>759874</v>
      </c>
      <c r="AB16" s="19">
        <v>4</v>
      </c>
      <c r="AC16" s="91"/>
      <c r="AD16" s="47"/>
    </row>
    <row r="17" spans="1:30" x14ac:dyDescent="0.25">
      <c r="A17" s="89"/>
      <c r="B17" s="20" t="s">
        <v>3</v>
      </c>
      <c r="C17" s="37">
        <v>27010</v>
      </c>
      <c r="D17" s="37">
        <v>25287</v>
      </c>
      <c r="E17" s="37">
        <v>24172</v>
      </c>
      <c r="F17" s="37">
        <v>23415</v>
      </c>
      <c r="G17" s="37">
        <v>23121</v>
      </c>
      <c r="H17" s="37">
        <v>23082</v>
      </c>
      <c r="I17" s="37">
        <v>23261</v>
      </c>
      <c r="J17" s="37">
        <v>25277</v>
      </c>
      <c r="K17" s="37">
        <v>27635</v>
      </c>
      <c r="L17" s="37">
        <v>29704</v>
      </c>
      <c r="M17" s="37">
        <v>31177</v>
      </c>
      <c r="N17" s="37">
        <v>32678</v>
      </c>
      <c r="O17" s="37">
        <v>33551</v>
      </c>
      <c r="P17" s="37">
        <v>33310</v>
      </c>
      <c r="Q17" s="37">
        <v>32556</v>
      </c>
      <c r="R17" s="37">
        <v>32201</v>
      </c>
      <c r="S17" s="37">
        <v>31997</v>
      </c>
      <c r="T17" s="37">
        <v>32286</v>
      </c>
      <c r="U17" s="37">
        <v>36124</v>
      </c>
      <c r="V17" s="37">
        <v>38422</v>
      </c>
      <c r="W17" s="37">
        <v>37219</v>
      </c>
      <c r="X17" s="37">
        <v>34874</v>
      </c>
      <c r="Y17" s="37">
        <v>31283</v>
      </c>
      <c r="Z17" s="38">
        <v>27703</v>
      </c>
      <c r="AA17" s="39">
        <f t="shared" si="0"/>
        <v>717345</v>
      </c>
      <c r="AB17" s="21">
        <v>4</v>
      </c>
      <c r="AC17" s="92"/>
      <c r="AD17" s="47"/>
    </row>
    <row r="18" spans="1:30" ht="15.75" thickBot="1" x14ac:dyDescent="0.3">
      <c r="A18" s="89">
        <v>46508</v>
      </c>
      <c r="B18" s="16" t="s">
        <v>5</v>
      </c>
      <c r="C18" s="31">
        <v>25415</v>
      </c>
      <c r="D18" s="31">
        <v>24024</v>
      </c>
      <c r="E18" s="31">
        <v>23249</v>
      </c>
      <c r="F18" s="31">
        <v>22862</v>
      </c>
      <c r="G18" s="31">
        <v>23320</v>
      </c>
      <c r="H18" s="31">
        <v>24812</v>
      </c>
      <c r="I18" s="31">
        <v>26371</v>
      </c>
      <c r="J18" s="31">
        <v>28808</v>
      </c>
      <c r="K18" s="31">
        <v>31298</v>
      </c>
      <c r="L18" s="31">
        <v>33254</v>
      </c>
      <c r="M18" s="31">
        <v>35221</v>
      </c>
      <c r="N18" s="31">
        <v>37088</v>
      </c>
      <c r="O18" s="31">
        <v>36524</v>
      </c>
      <c r="P18" s="31">
        <v>36517</v>
      </c>
      <c r="Q18" s="31">
        <v>37080</v>
      </c>
      <c r="R18" s="31">
        <v>37146</v>
      </c>
      <c r="S18" s="31">
        <v>36767</v>
      </c>
      <c r="T18" s="31">
        <v>36323</v>
      </c>
      <c r="U18" s="31">
        <v>39622</v>
      </c>
      <c r="V18" s="31">
        <v>41492</v>
      </c>
      <c r="W18" s="31">
        <v>39870</v>
      </c>
      <c r="X18" s="31">
        <v>36952</v>
      </c>
      <c r="Y18" s="31">
        <v>32480</v>
      </c>
      <c r="Z18" s="32">
        <v>28337</v>
      </c>
      <c r="AA18" s="33">
        <f t="shared" si="0"/>
        <v>774832</v>
      </c>
      <c r="AB18" s="17">
        <v>19</v>
      </c>
      <c r="AC18" s="90">
        <f>+AA18*AB18+AA19*AB19+AA20*AB20</f>
        <v>23626140</v>
      </c>
      <c r="AD18" s="47"/>
    </row>
    <row r="19" spans="1:30" ht="15.75" thickBot="1" x14ac:dyDescent="0.3">
      <c r="A19" s="89"/>
      <c r="B19" s="18" t="s">
        <v>4</v>
      </c>
      <c r="C19" s="34">
        <v>26356</v>
      </c>
      <c r="D19" s="34">
        <v>24832</v>
      </c>
      <c r="E19" s="34">
        <v>23911</v>
      </c>
      <c r="F19" s="34">
        <v>23369</v>
      </c>
      <c r="G19" s="34">
        <v>23463</v>
      </c>
      <c r="H19" s="34">
        <v>23847</v>
      </c>
      <c r="I19" s="34">
        <v>25097</v>
      </c>
      <c r="J19" s="34">
        <v>28047</v>
      </c>
      <c r="K19" s="34">
        <v>31126</v>
      </c>
      <c r="L19" s="34">
        <v>33505</v>
      </c>
      <c r="M19" s="34">
        <v>35136</v>
      </c>
      <c r="N19" s="34">
        <v>36624</v>
      </c>
      <c r="O19" s="34">
        <v>36628</v>
      </c>
      <c r="P19" s="34">
        <v>36045</v>
      </c>
      <c r="Q19" s="34">
        <v>35452</v>
      </c>
      <c r="R19" s="34">
        <v>35094</v>
      </c>
      <c r="S19" s="34">
        <v>34834</v>
      </c>
      <c r="T19" s="34">
        <v>35155</v>
      </c>
      <c r="U19" s="34">
        <v>39062</v>
      </c>
      <c r="V19" s="34">
        <v>40646</v>
      </c>
      <c r="W19" s="34">
        <v>39034</v>
      </c>
      <c r="X19" s="34">
        <v>36565</v>
      </c>
      <c r="Y19" s="34">
        <v>33130</v>
      </c>
      <c r="Z19" s="35">
        <v>29705</v>
      </c>
      <c r="AA19" s="36">
        <f t="shared" si="0"/>
        <v>766663</v>
      </c>
      <c r="AB19" s="19">
        <v>4</v>
      </c>
      <c r="AC19" s="91"/>
      <c r="AD19" s="47"/>
    </row>
    <row r="20" spans="1:30" x14ac:dyDescent="0.25">
      <c r="A20" s="89"/>
      <c r="B20" s="20" t="s">
        <v>3</v>
      </c>
      <c r="C20" s="37">
        <v>26817</v>
      </c>
      <c r="D20" s="37">
        <v>25150</v>
      </c>
      <c r="E20" s="37">
        <v>24116</v>
      </c>
      <c r="F20" s="37">
        <v>23427</v>
      </c>
      <c r="G20" s="37">
        <v>23216</v>
      </c>
      <c r="H20" s="37">
        <v>22954</v>
      </c>
      <c r="I20" s="37">
        <v>23425</v>
      </c>
      <c r="J20" s="37">
        <v>25670</v>
      </c>
      <c r="K20" s="37">
        <v>28167</v>
      </c>
      <c r="L20" s="37">
        <v>30384</v>
      </c>
      <c r="M20" s="37">
        <v>31899</v>
      </c>
      <c r="N20" s="37">
        <v>33483</v>
      </c>
      <c r="O20" s="37">
        <v>34177</v>
      </c>
      <c r="P20" s="37">
        <v>34038</v>
      </c>
      <c r="Q20" s="37">
        <v>33213</v>
      </c>
      <c r="R20" s="37">
        <v>34140</v>
      </c>
      <c r="S20" s="37">
        <v>32632</v>
      </c>
      <c r="T20" s="37">
        <v>32992</v>
      </c>
      <c r="U20" s="37">
        <v>36959</v>
      </c>
      <c r="V20" s="37">
        <v>39264</v>
      </c>
      <c r="W20" s="37">
        <v>38025</v>
      </c>
      <c r="X20" s="37">
        <v>35533</v>
      </c>
      <c r="Y20" s="37">
        <v>31840</v>
      </c>
      <c r="Z20" s="38">
        <v>28189</v>
      </c>
      <c r="AA20" s="39">
        <f t="shared" si="0"/>
        <v>729710</v>
      </c>
      <c r="AB20" s="21">
        <v>8</v>
      </c>
      <c r="AC20" s="92"/>
      <c r="AD20" s="47"/>
    </row>
    <row r="21" spans="1:30" ht="15.75" thickBot="1" x14ac:dyDescent="0.3">
      <c r="A21" s="89">
        <v>46539</v>
      </c>
      <c r="B21" s="16" t="s">
        <v>5</v>
      </c>
      <c r="C21" s="31">
        <v>25115</v>
      </c>
      <c r="D21" s="31">
        <v>23695</v>
      </c>
      <c r="E21" s="31">
        <v>22985</v>
      </c>
      <c r="F21" s="31">
        <v>22604</v>
      </c>
      <c r="G21" s="31">
        <v>23025</v>
      </c>
      <c r="H21" s="31">
        <v>24305</v>
      </c>
      <c r="I21" s="31">
        <v>25994</v>
      </c>
      <c r="J21" s="31">
        <v>28566</v>
      </c>
      <c r="K21" s="31">
        <v>31164</v>
      </c>
      <c r="L21" s="31">
        <v>33101</v>
      </c>
      <c r="M21" s="31">
        <v>35125</v>
      </c>
      <c r="N21" s="31">
        <v>37015</v>
      </c>
      <c r="O21" s="31">
        <v>36406</v>
      </c>
      <c r="P21" s="31">
        <v>36365</v>
      </c>
      <c r="Q21" s="31">
        <v>37060</v>
      </c>
      <c r="R21" s="31">
        <v>37098</v>
      </c>
      <c r="S21" s="31">
        <v>36720</v>
      </c>
      <c r="T21" s="31">
        <v>36152</v>
      </c>
      <c r="U21" s="31">
        <v>38782</v>
      </c>
      <c r="V21" s="31">
        <v>41238</v>
      </c>
      <c r="W21" s="31">
        <v>39700</v>
      </c>
      <c r="X21" s="31">
        <v>36808</v>
      </c>
      <c r="Y21" s="31">
        <v>32270</v>
      </c>
      <c r="Z21" s="32">
        <v>28064</v>
      </c>
      <c r="AA21" s="33">
        <f t="shared" si="0"/>
        <v>769357</v>
      </c>
      <c r="AB21" s="17">
        <v>21</v>
      </c>
      <c r="AC21" s="90">
        <f>+AA21*AB21+AA22*AB22+AA23*AB23</f>
        <v>22961808</v>
      </c>
      <c r="AD21" s="47"/>
    </row>
    <row r="22" spans="1:30" ht="15.75" thickBot="1" x14ac:dyDescent="0.3">
      <c r="A22" s="89"/>
      <c r="B22" s="18" t="s">
        <v>4</v>
      </c>
      <c r="C22" s="34">
        <v>26329</v>
      </c>
      <c r="D22" s="34">
        <v>24690</v>
      </c>
      <c r="E22" s="34">
        <v>23751</v>
      </c>
      <c r="F22" s="34">
        <v>23220</v>
      </c>
      <c r="G22" s="34">
        <v>23267</v>
      </c>
      <c r="H22" s="34">
        <v>23644</v>
      </c>
      <c r="I22" s="34">
        <v>24879</v>
      </c>
      <c r="J22" s="34">
        <v>27797</v>
      </c>
      <c r="K22" s="34">
        <v>31090</v>
      </c>
      <c r="L22" s="34">
        <v>33351</v>
      </c>
      <c r="M22" s="34">
        <v>35116</v>
      </c>
      <c r="N22" s="34">
        <v>36646</v>
      </c>
      <c r="O22" s="34">
        <v>36746</v>
      </c>
      <c r="P22" s="34">
        <v>36370</v>
      </c>
      <c r="Q22" s="34">
        <v>35982</v>
      </c>
      <c r="R22" s="34">
        <v>35915</v>
      </c>
      <c r="S22" s="34">
        <v>35647</v>
      </c>
      <c r="T22" s="34">
        <v>35914</v>
      </c>
      <c r="U22" s="34">
        <v>39266</v>
      </c>
      <c r="V22" s="34">
        <v>41418</v>
      </c>
      <c r="W22" s="34">
        <v>39720</v>
      </c>
      <c r="X22" s="34">
        <v>37294</v>
      </c>
      <c r="Y22" s="34">
        <v>33703</v>
      </c>
      <c r="Z22" s="35">
        <v>30049</v>
      </c>
      <c r="AA22" s="36">
        <f t="shared" si="0"/>
        <v>771804</v>
      </c>
      <c r="AB22" s="19">
        <v>4</v>
      </c>
      <c r="AC22" s="91"/>
      <c r="AD22" s="47"/>
    </row>
    <row r="23" spans="1:30" x14ac:dyDescent="0.25">
      <c r="A23" s="89"/>
      <c r="B23" s="20" t="s">
        <v>3</v>
      </c>
      <c r="C23" s="37">
        <v>27401</v>
      </c>
      <c r="D23" s="37">
        <v>25655</v>
      </c>
      <c r="E23" s="37">
        <v>24641</v>
      </c>
      <c r="F23" s="37">
        <v>23949</v>
      </c>
      <c r="G23" s="37">
        <v>23786</v>
      </c>
      <c r="H23" s="37">
        <v>23758</v>
      </c>
      <c r="I23" s="37">
        <v>24075</v>
      </c>
      <c r="J23" s="37">
        <v>26414</v>
      </c>
      <c r="K23" s="37">
        <v>29014</v>
      </c>
      <c r="L23" s="37">
        <v>31022</v>
      </c>
      <c r="M23" s="37">
        <v>32673</v>
      </c>
      <c r="N23" s="37">
        <v>34270</v>
      </c>
      <c r="O23" s="37">
        <v>34840</v>
      </c>
      <c r="P23" s="37">
        <v>34598</v>
      </c>
      <c r="Q23" s="37">
        <v>33929</v>
      </c>
      <c r="R23" s="37">
        <v>33614</v>
      </c>
      <c r="S23" s="37">
        <v>33442</v>
      </c>
      <c r="T23" s="37">
        <v>33716</v>
      </c>
      <c r="U23" s="37">
        <v>37116</v>
      </c>
      <c r="V23" s="37">
        <v>39846</v>
      </c>
      <c r="W23" s="37">
        <v>38671</v>
      </c>
      <c r="X23" s="37">
        <v>36147</v>
      </c>
      <c r="Y23" s="37">
        <v>32356</v>
      </c>
      <c r="Z23" s="38">
        <v>28686</v>
      </c>
      <c r="AA23" s="39">
        <f t="shared" si="0"/>
        <v>743619</v>
      </c>
      <c r="AB23" s="21">
        <v>5</v>
      </c>
      <c r="AC23" s="92"/>
      <c r="AD23" s="47"/>
    </row>
    <row r="24" spans="1:30" ht="15.75" thickBot="1" x14ac:dyDescent="0.3">
      <c r="A24" s="89">
        <v>46569</v>
      </c>
      <c r="B24" s="16" t="s">
        <v>5</v>
      </c>
      <c r="C24" s="31">
        <v>26296</v>
      </c>
      <c r="D24" s="31">
        <v>24800</v>
      </c>
      <c r="E24" s="31">
        <v>23937</v>
      </c>
      <c r="F24" s="31">
        <v>23467</v>
      </c>
      <c r="G24" s="31">
        <v>23867</v>
      </c>
      <c r="H24" s="31">
        <v>25142</v>
      </c>
      <c r="I24" s="31">
        <v>26514</v>
      </c>
      <c r="J24" s="31">
        <v>29384</v>
      </c>
      <c r="K24" s="31">
        <v>32174</v>
      </c>
      <c r="L24" s="31">
        <v>34361</v>
      </c>
      <c r="M24" s="31">
        <v>36478</v>
      </c>
      <c r="N24" s="31">
        <v>38355</v>
      </c>
      <c r="O24" s="31">
        <v>37691</v>
      </c>
      <c r="P24" s="31">
        <v>37772</v>
      </c>
      <c r="Q24" s="31">
        <v>38464</v>
      </c>
      <c r="R24" s="31">
        <v>38542</v>
      </c>
      <c r="S24" s="31">
        <v>37996</v>
      </c>
      <c r="T24" s="31">
        <v>37046</v>
      </c>
      <c r="U24" s="31">
        <v>39221</v>
      </c>
      <c r="V24" s="31">
        <v>42139</v>
      </c>
      <c r="W24" s="31">
        <v>40775</v>
      </c>
      <c r="X24" s="31">
        <v>38027</v>
      </c>
      <c r="Y24" s="31">
        <v>33493</v>
      </c>
      <c r="Z24" s="32">
        <v>29321</v>
      </c>
      <c r="AA24" s="33">
        <f t="shared" si="0"/>
        <v>795262</v>
      </c>
      <c r="AB24" s="17">
        <v>20</v>
      </c>
      <c r="AC24" s="90">
        <f>+AA24*AB24+AA25*AB25+AA26*AB26</f>
        <v>24259657</v>
      </c>
      <c r="AD24" s="47"/>
    </row>
    <row r="25" spans="1:30" ht="15.75" thickBot="1" x14ac:dyDescent="0.3">
      <c r="A25" s="89"/>
      <c r="B25" s="18" t="s">
        <v>4</v>
      </c>
      <c r="C25" s="34">
        <v>26355</v>
      </c>
      <c r="D25" s="34">
        <v>24637</v>
      </c>
      <c r="E25" s="34">
        <v>23762</v>
      </c>
      <c r="F25" s="34">
        <v>23177</v>
      </c>
      <c r="G25" s="34">
        <v>23233</v>
      </c>
      <c r="H25" s="34">
        <v>23722</v>
      </c>
      <c r="I25" s="34">
        <v>24901</v>
      </c>
      <c r="J25" s="34">
        <v>28377</v>
      </c>
      <c r="K25" s="34">
        <v>31685</v>
      </c>
      <c r="L25" s="34">
        <v>33950</v>
      </c>
      <c r="M25" s="34">
        <v>35731</v>
      </c>
      <c r="N25" s="34">
        <v>37236</v>
      </c>
      <c r="O25" s="34">
        <v>37167</v>
      </c>
      <c r="P25" s="34">
        <v>36585</v>
      </c>
      <c r="Q25" s="34">
        <v>36055</v>
      </c>
      <c r="R25" s="34">
        <v>35780</v>
      </c>
      <c r="S25" s="34">
        <v>35463</v>
      </c>
      <c r="T25" s="34">
        <v>35569</v>
      </c>
      <c r="U25" s="34">
        <v>38226</v>
      </c>
      <c r="V25" s="34">
        <v>41035</v>
      </c>
      <c r="W25" s="34">
        <v>39468</v>
      </c>
      <c r="X25" s="34">
        <v>37225</v>
      </c>
      <c r="Y25" s="34">
        <v>33714</v>
      </c>
      <c r="Z25" s="35">
        <v>30240</v>
      </c>
      <c r="AA25" s="36">
        <f t="shared" si="0"/>
        <v>773293</v>
      </c>
      <c r="AB25" s="19">
        <v>5</v>
      </c>
      <c r="AC25" s="91"/>
      <c r="AD25" s="47"/>
    </row>
    <row r="26" spans="1:30" x14ac:dyDescent="0.25">
      <c r="A26" s="89"/>
      <c r="B26" s="20" t="s">
        <v>3</v>
      </c>
      <c r="C26" s="37">
        <v>27968</v>
      </c>
      <c r="D26" s="37">
        <v>26250</v>
      </c>
      <c r="E26" s="37">
        <v>25117</v>
      </c>
      <c r="F26" s="37">
        <v>24376</v>
      </c>
      <c r="G26" s="37">
        <v>24145</v>
      </c>
      <c r="H26" s="37">
        <v>24153</v>
      </c>
      <c r="I26" s="37">
        <v>24311</v>
      </c>
      <c r="J26" s="37">
        <v>26521</v>
      </c>
      <c r="K26" s="37">
        <v>29172</v>
      </c>
      <c r="L26" s="37">
        <v>31372</v>
      </c>
      <c r="M26" s="37">
        <v>32972</v>
      </c>
      <c r="N26" s="37">
        <v>34456</v>
      </c>
      <c r="O26" s="37">
        <v>35192</v>
      </c>
      <c r="P26" s="37">
        <v>34805</v>
      </c>
      <c r="Q26" s="37">
        <v>34036</v>
      </c>
      <c r="R26" s="37">
        <v>33628</v>
      </c>
      <c r="S26" s="37">
        <v>33312</v>
      </c>
      <c r="T26" s="37">
        <v>33457</v>
      </c>
      <c r="U26" s="37">
        <v>36274</v>
      </c>
      <c r="V26" s="37">
        <v>39737</v>
      </c>
      <c r="W26" s="37">
        <v>38725</v>
      </c>
      <c r="X26" s="37">
        <v>36394</v>
      </c>
      <c r="Y26" s="37">
        <v>32606</v>
      </c>
      <c r="Z26" s="38">
        <v>29013</v>
      </c>
      <c r="AA26" s="39">
        <f t="shared" si="0"/>
        <v>747992</v>
      </c>
      <c r="AB26" s="21">
        <v>6</v>
      </c>
      <c r="AC26" s="92"/>
      <c r="AD26" s="47"/>
    </row>
    <row r="27" spans="1:30" ht="15.75" thickBot="1" x14ac:dyDescent="0.3">
      <c r="A27" s="89">
        <v>46600</v>
      </c>
      <c r="B27" s="16" t="s">
        <v>5</v>
      </c>
      <c r="C27" s="31">
        <v>26605</v>
      </c>
      <c r="D27" s="31">
        <v>25187</v>
      </c>
      <c r="E27" s="31">
        <v>24405</v>
      </c>
      <c r="F27" s="31">
        <v>23941</v>
      </c>
      <c r="G27" s="31">
        <v>24361</v>
      </c>
      <c r="H27" s="31">
        <v>26050</v>
      </c>
      <c r="I27" s="31">
        <v>27554</v>
      </c>
      <c r="J27" s="31">
        <v>30110</v>
      </c>
      <c r="K27" s="31">
        <v>32784</v>
      </c>
      <c r="L27" s="31">
        <v>34831</v>
      </c>
      <c r="M27" s="31">
        <v>37001</v>
      </c>
      <c r="N27" s="31">
        <v>38901</v>
      </c>
      <c r="O27" s="31">
        <v>38232</v>
      </c>
      <c r="P27" s="31">
        <v>38535</v>
      </c>
      <c r="Q27" s="31">
        <v>39317</v>
      </c>
      <c r="R27" s="31">
        <v>39379</v>
      </c>
      <c r="S27" s="31">
        <v>38813</v>
      </c>
      <c r="T27" s="31">
        <v>37831</v>
      </c>
      <c r="U27" s="31">
        <v>40479</v>
      </c>
      <c r="V27" s="31">
        <v>42931</v>
      </c>
      <c r="W27" s="31">
        <v>41432</v>
      </c>
      <c r="X27" s="31">
        <v>38536</v>
      </c>
      <c r="Y27" s="31">
        <v>33945</v>
      </c>
      <c r="Z27" s="32">
        <v>29801</v>
      </c>
      <c r="AA27" s="33">
        <f t="shared" si="0"/>
        <v>810961</v>
      </c>
      <c r="AB27" s="17">
        <v>21</v>
      </c>
      <c r="AC27" s="90">
        <f>+AA27*AB27+AA28*AB28+AA29*AB29</f>
        <v>24688809</v>
      </c>
      <c r="AD27" s="47"/>
    </row>
    <row r="28" spans="1:30" ht="15.75" thickBot="1" x14ac:dyDescent="0.3">
      <c r="A28" s="89"/>
      <c r="B28" s="18" t="s">
        <v>4</v>
      </c>
      <c r="C28" s="34">
        <v>27693</v>
      </c>
      <c r="D28" s="34">
        <v>26155</v>
      </c>
      <c r="E28" s="34">
        <v>25193</v>
      </c>
      <c r="F28" s="34">
        <v>24473</v>
      </c>
      <c r="G28" s="34">
        <v>24419</v>
      </c>
      <c r="H28" s="34">
        <v>25097</v>
      </c>
      <c r="I28" s="34">
        <v>25901</v>
      </c>
      <c r="J28" s="34">
        <v>29180</v>
      </c>
      <c r="K28" s="34">
        <v>32495</v>
      </c>
      <c r="L28" s="34">
        <v>34767</v>
      </c>
      <c r="M28" s="34">
        <v>36758</v>
      </c>
      <c r="N28" s="34">
        <v>38265</v>
      </c>
      <c r="O28" s="34">
        <v>38276</v>
      </c>
      <c r="P28" s="34">
        <v>37865</v>
      </c>
      <c r="Q28" s="34">
        <v>37469</v>
      </c>
      <c r="R28" s="34">
        <v>37241</v>
      </c>
      <c r="S28" s="34">
        <v>36741</v>
      </c>
      <c r="T28" s="34">
        <v>36673</v>
      </c>
      <c r="U28" s="34">
        <v>39951</v>
      </c>
      <c r="V28" s="34">
        <v>42116</v>
      </c>
      <c r="W28" s="34">
        <v>40522</v>
      </c>
      <c r="X28" s="34">
        <v>38207</v>
      </c>
      <c r="Y28" s="34">
        <v>34837</v>
      </c>
      <c r="Z28" s="35">
        <v>31210</v>
      </c>
      <c r="AA28" s="36">
        <f t="shared" si="0"/>
        <v>801504</v>
      </c>
      <c r="AB28" s="19">
        <v>3</v>
      </c>
      <c r="AC28" s="91"/>
      <c r="AD28" s="47"/>
    </row>
    <row r="29" spans="1:30" x14ac:dyDescent="0.25">
      <c r="A29" s="89"/>
      <c r="B29" s="20" t="s">
        <v>3</v>
      </c>
      <c r="C29" s="37">
        <v>28210</v>
      </c>
      <c r="D29" s="37">
        <v>26460</v>
      </c>
      <c r="E29" s="37">
        <v>25307</v>
      </c>
      <c r="F29" s="37">
        <v>24573</v>
      </c>
      <c r="G29" s="37">
        <v>24334</v>
      </c>
      <c r="H29" s="37">
        <v>24415</v>
      </c>
      <c r="I29" s="37">
        <v>24411</v>
      </c>
      <c r="J29" s="37">
        <v>26711</v>
      </c>
      <c r="K29" s="37">
        <v>29308</v>
      </c>
      <c r="L29" s="37">
        <v>31449</v>
      </c>
      <c r="M29" s="37">
        <v>32965</v>
      </c>
      <c r="N29" s="37">
        <v>34536</v>
      </c>
      <c r="O29" s="37">
        <v>35347</v>
      </c>
      <c r="P29" s="37">
        <v>35030</v>
      </c>
      <c r="Q29" s="37">
        <v>34171</v>
      </c>
      <c r="R29" s="37">
        <v>33595</v>
      </c>
      <c r="S29" s="37">
        <v>33377</v>
      </c>
      <c r="T29" s="37">
        <v>33470</v>
      </c>
      <c r="U29" s="37">
        <v>36871</v>
      </c>
      <c r="V29" s="37">
        <v>39824</v>
      </c>
      <c r="W29" s="37">
        <v>38643</v>
      </c>
      <c r="X29" s="37">
        <v>36217</v>
      </c>
      <c r="Y29" s="37">
        <v>32521</v>
      </c>
      <c r="Z29" s="38">
        <v>28843</v>
      </c>
      <c r="AA29" s="39">
        <f t="shared" si="0"/>
        <v>750588</v>
      </c>
      <c r="AB29" s="21">
        <v>7</v>
      </c>
      <c r="AC29" s="92"/>
      <c r="AD29" s="47"/>
    </row>
    <row r="30" spans="1:30" ht="15.75" thickBot="1" x14ac:dyDescent="0.3">
      <c r="A30" s="89">
        <v>46631</v>
      </c>
      <c r="B30" s="16" t="s">
        <v>5</v>
      </c>
      <c r="C30" s="31">
        <v>27081</v>
      </c>
      <c r="D30" s="31">
        <v>25589</v>
      </c>
      <c r="E30" s="31">
        <v>24657</v>
      </c>
      <c r="F30" s="31">
        <v>24250</v>
      </c>
      <c r="G30" s="31">
        <v>24644</v>
      </c>
      <c r="H30" s="31">
        <v>26258</v>
      </c>
      <c r="I30" s="31">
        <v>27814</v>
      </c>
      <c r="J30" s="31">
        <v>30452</v>
      </c>
      <c r="K30" s="31">
        <v>33102</v>
      </c>
      <c r="L30" s="31">
        <v>35305</v>
      </c>
      <c r="M30" s="31">
        <v>37492</v>
      </c>
      <c r="N30" s="31">
        <v>39497</v>
      </c>
      <c r="O30" s="31">
        <v>38808</v>
      </c>
      <c r="P30" s="31">
        <v>39090</v>
      </c>
      <c r="Q30" s="31">
        <v>40004</v>
      </c>
      <c r="R30" s="31">
        <v>40232</v>
      </c>
      <c r="S30" s="31">
        <v>39654</v>
      </c>
      <c r="T30" s="31">
        <v>38840</v>
      </c>
      <c r="U30" s="31">
        <v>42475</v>
      </c>
      <c r="V30" s="31">
        <v>43457</v>
      </c>
      <c r="W30" s="31">
        <v>41824</v>
      </c>
      <c r="X30" s="31">
        <v>38876</v>
      </c>
      <c r="Y30" s="31">
        <v>34190</v>
      </c>
      <c r="Z30" s="32">
        <v>30057</v>
      </c>
      <c r="AA30" s="33">
        <f t="shared" si="0"/>
        <v>823648</v>
      </c>
      <c r="AB30" s="17">
        <v>22</v>
      </c>
      <c r="AC30" s="90">
        <f>+AA30*AB30+AA31*AB31+AA32*AB32</f>
        <v>24321860</v>
      </c>
      <c r="AD30" s="47"/>
    </row>
    <row r="31" spans="1:30" ht="15.75" thickBot="1" x14ac:dyDescent="0.3">
      <c r="A31" s="89"/>
      <c r="B31" s="18" t="s">
        <v>4</v>
      </c>
      <c r="C31" s="34">
        <v>27804</v>
      </c>
      <c r="D31" s="34">
        <v>26029</v>
      </c>
      <c r="E31" s="34">
        <v>25068</v>
      </c>
      <c r="F31" s="34">
        <v>24542</v>
      </c>
      <c r="G31" s="34">
        <v>24564</v>
      </c>
      <c r="H31" s="34">
        <v>24791</v>
      </c>
      <c r="I31" s="34">
        <v>26033</v>
      </c>
      <c r="J31" s="34">
        <v>29566</v>
      </c>
      <c r="K31" s="34">
        <v>32934</v>
      </c>
      <c r="L31" s="34">
        <v>35338</v>
      </c>
      <c r="M31" s="34">
        <v>37240</v>
      </c>
      <c r="N31" s="34">
        <v>38763</v>
      </c>
      <c r="O31" s="34">
        <v>38668</v>
      </c>
      <c r="P31" s="34">
        <v>38174</v>
      </c>
      <c r="Q31" s="34">
        <v>37715</v>
      </c>
      <c r="R31" s="34">
        <v>37384</v>
      </c>
      <c r="S31" s="34">
        <v>37062</v>
      </c>
      <c r="T31" s="34">
        <v>37338</v>
      </c>
      <c r="U31" s="34">
        <v>41325</v>
      </c>
      <c r="V31" s="34">
        <v>42216</v>
      </c>
      <c r="W31" s="34">
        <v>40364</v>
      </c>
      <c r="X31" s="34">
        <v>37996</v>
      </c>
      <c r="Y31" s="34">
        <v>34537</v>
      </c>
      <c r="Z31" s="35">
        <v>31004</v>
      </c>
      <c r="AA31" s="36">
        <f t="shared" si="0"/>
        <v>806455</v>
      </c>
      <c r="AB31" s="19">
        <v>4</v>
      </c>
      <c r="AC31" s="91"/>
      <c r="AD31" s="47"/>
    </row>
    <row r="32" spans="1:30" x14ac:dyDescent="0.25">
      <c r="A32" s="89"/>
      <c r="B32" s="20" t="s">
        <v>3</v>
      </c>
      <c r="C32" s="37">
        <v>28309</v>
      </c>
      <c r="D32" s="37">
        <v>26610</v>
      </c>
      <c r="E32" s="37">
        <v>25494</v>
      </c>
      <c r="F32" s="37">
        <v>24630</v>
      </c>
      <c r="G32" s="37">
        <v>24239</v>
      </c>
      <c r="H32" s="37">
        <v>23943</v>
      </c>
      <c r="I32" s="37">
        <v>24125</v>
      </c>
      <c r="J32" s="37">
        <v>26383</v>
      </c>
      <c r="K32" s="37">
        <v>28929</v>
      </c>
      <c r="L32" s="37">
        <v>31017</v>
      </c>
      <c r="M32" s="37">
        <v>32472</v>
      </c>
      <c r="N32" s="37">
        <v>33862</v>
      </c>
      <c r="O32" s="37">
        <v>34666</v>
      </c>
      <c r="P32" s="37">
        <v>34420</v>
      </c>
      <c r="Q32" s="37">
        <v>33694</v>
      </c>
      <c r="R32" s="37">
        <v>33341</v>
      </c>
      <c r="S32" s="37">
        <v>33112</v>
      </c>
      <c r="T32" s="37">
        <v>33377</v>
      </c>
      <c r="U32" s="37">
        <v>37727</v>
      </c>
      <c r="V32" s="37">
        <v>39209</v>
      </c>
      <c r="W32" s="37">
        <v>38124</v>
      </c>
      <c r="X32" s="37">
        <v>35748</v>
      </c>
      <c r="Y32" s="37">
        <v>32037</v>
      </c>
      <c r="Z32" s="38">
        <v>28478</v>
      </c>
      <c r="AA32" s="39">
        <f t="shared" si="0"/>
        <v>743946</v>
      </c>
      <c r="AB32" s="21">
        <v>4</v>
      </c>
      <c r="AC32" s="92"/>
      <c r="AD32" s="47"/>
    </row>
    <row r="33" spans="1:30" ht="15.75" thickBot="1" x14ac:dyDescent="0.3">
      <c r="A33" s="89">
        <v>46661</v>
      </c>
      <c r="B33" s="16" t="s">
        <v>5</v>
      </c>
      <c r="C33" s="31">
        <v>25662</v>
      </c>
      <c r="D33" s="31">
        <v>24287</v>
      </c>
      <c r="E33" s="31">
        <v>23523</v>
      </c>
      <c r="F33" s="31">
        <v>23113</v>
      </c>
      <c r="G33" s="31">
        <v>23566</v>
      </c>
      <c r="H33" s="31">
        <v>24867</v>
      </c>
      <c r="I33" s="31">
        <v>26524</v>
      </c>
      <c r="J33" s="31">
        <v>29008</v>
      </c>
      <c r="K33" s="31">
        <v>31502</v>
      </c>
      <c r="L33" s="31">
        <v>33469</v>
      </c>
      <c r="M33" s="31">
        <v>35507</v>
      </c>
      <c r="N33" s="31">
        <v>37396</v>
      </c>
      <c r="O33" s="31">
        <v>36740</v>
      </c>
      <c r="P33" s="31">
        <v>36942</v>
      </c>
      <c r="Q33" s="31">
        <v>37789</v>
      </c>
      <c r="R33" s="31">
        <v>37970</v>
      </c>
      <c r="S33" s="31">
        <v>37550</v>
      </c>
      <c r="T33" s="31">
        <v>37660</v>
      </c>
      <c r="U33" s="31">
        <v>41824</v>
      </c>
      <c r="V33" s="31">
        <v>41611</v>
      </c>
      <c r="W33" s="31">
        <v>39783</v>
      </c>
      <c r="X33" s="31">
        <v>36802</v>
      </c>
      <c r="Y33" s="31">
        <v>32423</v>
      </c>
      <c r="Z33" s="32">
        <v>28529</v>
      </c>
      <c r="AA33" s="33">
        <f t="shared" si="0"/>
        <v>784047</v>
      </c>
      <c r="AB33" s="17">
        <v>20</v>
      </c>
      <c r="AC33" s="90">
        <f>+AA33*AB33+AA34*AB34+AA35*AB35</f>
        <v>24018034</v>
      </c>
      <c r="AD33" s="47"/>
    </row>
    <row r="34" spans="1:30" ht="15.75" thickBot="1" x14ac:dyDescent="0.3">
      <c r="A34" s="89"/>
      <c r="B34" s="18" t="s">
        <v>4</v>
      </c>
      <c r="C34" s="34">
        <v>27016</v>
      </c>
      <c r="D34" s="34">
        <v>25476</v>
      </c>
      <c r="E34" s="34">
        <v>24541</v>
      </c>
      <c r="F34" s="34">
        <v>23920</v>
      </c>
      <c r="G34" s="34">
        <v>24045</v>
      </c>
      <c r="H34" s="34">
        <v>24418</v>
      </c>
      <c r="I34" s="34">
        <v>25798</v>
      </c>
      <c r="J34" s="34">
        <v>28975</v>
      </c>
      <c r="K34" s="34">
        <v>32140</v>
      </c>
      <c r="L34" s="34">
        <v>34339</v>
      </c>
      <c r="M34" s="34">
        <v>36210</v>
      </c>
      <c r="N34" s="34">
        <v>37779</v>
      </c>
      <c r="O34" s="34">
        <v>37841</v>
      </c>
      <c r="P34" s="34">
        <v>37413</v>
      </c>
      <c r="Q34" s="34">
        <v>36958</v>
      </c>
      <c r="R34" s="34">
        <v>36676</v>
      </c>
      <c r="S34" s="34">
        <v>36346</v>
      </c>
      <c r="T34" s="34">
        <v>37491</v>
      </c>
      <c r="U34" s="34">
        <v>42250</v>
      </c>
      <c r="V34" s="34">
        <v>42175</v>
      </c>
      <c r="W34" s="34">
        <v>40389</v>
      </c>
      <c r="X34" s="34">
        <v>37684</v>
      </c>
      <c r="Y34" s="34">
        <v>34350</v>
      </c>
      <c r="Z34" s="35">
        <v>30724</v>
      </c>
      <c r="AA34" s="36">
        <f t="shared" si="0"/>
        <v>794954</v>
      </c>
      <c r="AB34" s="19">
        <v>5</v>
      </c>
      <c r="AC34" s="91"/>
      <c r="AD34" s="47"/>
    </row>
    <row r="35" spans="1:30" x14ac:dyDescent="0.25">
      <c r="A35" s="89"/>
      <c r="B35" s="20" t="s">
        <v>3</v>
      </c>
      <c r="C35" s="37">
        <v>27107</v>
      </c>
      <c r="D35" s="37">
        <v>25466</v>
      </c>
      <c r="E35" s="37">
        <v>24334</v>
      </c>
      <c r="F35" s="37">
        <v>23543</v>
      </c>
      <c r="G35" s="37">
        <v>23291</v>
      </c>
      <c r="H35" s="37">
        <v>22963</v>
      </c>
      <c r="I35" s="37">
        <v>23402</v>
      </c>
      <c r="J35" s="37">
        <v>25551</v>
      </c>
      <c r="K35" s="37">
        <v>27988</v>
      </c>
      <c r="L35" s="37">
        <v>30128</v>
      </c>
      <c r="M35" s="37">
        <v>31646</v>
      </c>
      <c r="N35" s="37">
        <v>33139</v>
      </c>
      <c r="O35" s="37">
        <v>33976</v>
      </c>
      <c r="P35" s="37">
        <v>33697</v>
      </c>
      <c r="Q35" s="37">
        <v>33057</v>
      </c>
      <c r="R35" s="37">
        <v>32732</v>
      </c>
      <c r="S35" s="37">
        <v>32545</v>
      </c>
      <c r="T35" s="37">
        <v>33549</v>
      </c>
      <c r="U35" s="37">
        <v>38343</v>
      </c>
      <c r="V35" s="37">
        <v>38736</v>
      </c>
      <c r="W35" s="37">
        <v>37493</v>
      </c>
      <c r="X35" s="37">
        <v>35045</v>
      </c>
      <c r="Y35" s="37">
        <v>31410</v>
      </c>
      <c r="Z35" s="38">
        <v>27913</v>
      </c>
      <c r="AA35" s="39">
        <f t="shared" si="0"/>
        <v>727054</v>
      </c>
      <c r="AB35" s="21">
        <v>6</v>
      </c>
      <c r="AC35" s="92"/>
      <c r="AD35" s="47"/>
    </row>
    <row r="36" spans="1:30" ht="15.75" thickBot="1" x14ac:dyDescent="0.3">
      <c r="A36" s="89">
        <v>46692</v>
      </c>
      <c r="B36" s="16" t="s">
        <v>5</v>
      </c>
      <c r="C36" s="31">
        <v>25189</v>
      </c>
      <c r="D36" s="31">
        <v>23816</v>
      </c>
      <c r="E36" s="31">
        <v>23055</v>
      </c>
      <c r="F36" s="31">
        <v>22698</v>
      </c>
      <c r="G36" s="31">
        <v>23226</v>
      </c>
      <c r="H36" s="31">
        <v>24710</v>
      </c>
      <c r="I36" s="31">
        <v>26473</v>
      </c>
      <c r="J36" s="31">
        <v>28996</v>
      </c>
      <c r="K36" s="31">
        <v>31444</v>
      </c>
      <c r="L36" s="31">
        <v>33338</v>
      </c>
      <c r="M36" s="31">
        <v>35366</v>
      </c>
      <c r="N36" s="31">
        <v>37309</v>
      </c>
      <c r="O36" s="31">
        <v>36547</v>
      </c>
      <c r="P36" s="31">
        <v>36568</v>
      </c>
      <c r="Q36" s="31">
        <v>37395</v>
      </c>
      <c r="R36" s="31">
        <v>37359</v>
      </c>
      <c r="S36" s="31">
        <v>37052</v>
      </c>
      <c r="T36" s="31">
        <v>37557</v>
      </c>
      <c r="U36" s="31">
        <v>41906</v>
      </c>
      <c r="V36" s="31">
        <v>41674</v>
      </c>
      <c r="W36" s="31">
        <v>39821</v>
      </c>
      <c r="X36" s="31">
        <v>36681</v>
      </c>
      <c r="Y36" s="31">
        <v>32172</v>
      </c>
      <c r="Z36" s="32">
        <v>28138</v>
      </c>
      <c r="AA36" s="33">
        <f t="shared" si="0"/>
        <v>778490</v>
      </c>
      <c r="AB36" s="17">
        <v>20</v>
      </c>
      <c r="AC36" s="90">
        <f>+AA36*AB36+AA37*AB37+AA38*AB38</f>
        <v>22864092</v>
      </c>
      <c r="AD36" s="47"/>
    </row>
    <row r="37" spans="1:30" ht="15.75" thickBot="1" x14ac:dyDescent="0.3">
      <c r="A37" s="89"/>
      <c r="B37" s="18" t="s">
        <v>4</v>
      </c>
      <c r="C37" s="34">
        <v>25865</v>
      </c>
      <c r="D37" s="34">
        <v>24406</v>
      </c>
      <c r="E37" s="34">
        <v>23515</v>
      </c>
      <c r="F37" s="34">
        <v>22946</v>
      </c>
      <c r="G37" s="34">
        <v>23046</v>
      </c>
      <c r="H37" s="34">
        <v>23334</v>
      </c>
      <c r="I37" s="34">
        <v>24605</v>
      </c>
      <c r="J37" s="34">
        <v>27531</v>
      </c>
      <c r="K37" s="34">
        <v>30626</v>
      </c>
      <c r="L37" s="34">
        <v>32783</v>
      </c>
      <c r="M37" s="34">
        <v>34508</v>
      </c>
      <c r="N37" s="34">
        <v>36094</v>
      </c>
      <c r="O37" s="34">
        <v>35947</v>
      </c>
      <c r="P37" s="34">
        <v>35277</v>
      </c>
      <c r="Q37" s="34">
        <v>35081</v>
      </c>
      <c r="R37" s="34">
        <v>34969</v>
      </c>
      <c r="S37" s="34">
        <v>34764</v>
      </c>
      <c r="T37" s="34">
        <v>36009</v>
      </c>
      <c r="U37" s="34">
        <v>40851</v>
      </c>
      <c r="V37" s="34">
        <v>40729</v>
      </c>
      <c r="W37" s="34">
        <v>38863</v>
      </c>
      <c r="X37" s="34">
        <v>36477</v>
      </c>
      <c r="Y37" s="34">
        <v>32947</v>
      </c>
      <c r="Z37" s="35">
        <v>29398</v>
      </c>
      <c r="AA37" s="36">
        <f t="shared" si="0"/>
        <v>760571</v>
      </c>
      <c r="AB37" s="19">
        <v>4</v>
      </c>
      <c r="AC37" s="91"/>
      <c r="AD37" s="47"/>
    </row>
    <row r="38" spans="1:30" x14ac:dyDescent="0.25">
      <c r="A38" s="89"/>
      <c r="B38" s="20" t="s">
        <v>3</v>
      </c>
      <c r="C38" s="37">
        <v>25970</v>
      </c>
      <c r="D38" s="37">
        <v>24407</v>
      </c>
      <c r="E38" s="37">
        <v>23348</v>
      </c>
      <c r="F38" s="37">
        <v>22572</v>
      </c>
      <c r="G38" s="37">
        <v>22468</v>
      </c>
      <c r="H38" s="37">
        <v>22191</v>
      </c>
      <c r="I38" s="37">
        <v>22719</v>
      </c>
      <c r="J38" s="37">
        <v>24957</v>
      </c>
      <c r="K38" s="37">
        <v>27399</v>
      </c>
      <c r="L38" s="37">
        <v>29496</v>
      </c>
      <c r="M38" s="37">
        <v>31022</v>
      </c>
      <c r="N38" s="37">
        <v>32572</v>
      </c>
      <c r="O38" s="37">
        <v>33339</v>
      </c>
      <c r="P38" s="37">
        <v>33035</v>
      </c>
      <c r="Q38" s="37">
        <v>32302</v>
      </c>
      <c r="R38" s="37">
        <v>31783</v>
      </c>
      <c r="S38" s="37">
        <v>31634</v>
      </c>
      <c r="T38" s="37">
        <v>32763</v>
      </c>
      <c r="U38" s="37">
        <v>37643</v>
      </c>
      <c r="V38" s="37">
        <v>38097</v>
      </c>
      <c r="W38" s="37">
        <v>36842</v>
      </c>
      <c r="X38" s="37">
        <v>34356</v>
      </c>
      <c r="Y38" s="37">
        <v>30637</v>
      </c>
      <c r="Z38" s="38">
        <v>27116</v>
      </c>
      <c r="AA38" s="39">
        <f t="shared" si="0"/>
        <v>708668</v>
      </c>
      <c r="AB38" s="21">
        <v>6</v>
      </c>
      <c r="AC38" s="92"/>
      <c r="AD38" s="47"/>
    </row>
    <row r="39" spans="1:30" ht="15.75" thickBot="1" x14ac:dyDescent="0.3">
      <c r="A39" s="89">
        <v>46722</v>
      </c>
      <c r="B39" s="16" t="s">
        <v>5</v>
      </c>
      <c r="C39" s="31">
        <v>26986</v>
      </c>
      <c r="D39" s="31">
        <v>25353</v>
      </c>
      <c r="E39" s="31">
        <v>24410</v>
      </c>
      <c r="F39" s="31">
        <v>23925</v>
      </c>
      <c r="G39" s="31">
        <v>24259</v>
      </c>
      <c r="H39" s="31">
        <v>25322</v>
      </c>
      <c r="I39" s="31">
        <v>26507</v>
      </c>
      <c r="J39" s="31">
        <v>29626</v>
      </c>
      <c r="K39" s="31">
        <v>32539</v>
      </c>
      <c r="L39" s="31">
        <v>34692</v>
      </c>
      <c r="M39" s="31">
        <v>36656</v>
      </c>
      <c r="N39" s="31">
        <v>38648</v>
      </c>
      <c r="O39" s="31">
        <v>38268</v>
      </c>
      <c r="P39" s="31">
        <v>38237</v>
      </c>
      <c r="Q39" s="31">
        <v>38802</v>
      </c>
      <c r="R39" s="31">
        <v>38753</v>
      </c>
      <c r="S39" s="31">
        <v>38195</v>
      </c>
      <c r="T39" s="31">
        <v>37940</v>
      </c>
      <c r="U39" s="31">
        <v>42172</v>
      </c>
      <c r="V39" s="31">
        <v>42825</v>
      </c>
      <c r="W39" s="31">
        <v>41164</v>
      </c>
      <c r="X39" s="31">
        <v>38508</v>
      </c>
      <c r="Y39" s="31">
        <v>34433</v>
      </c>
      <c r="Z39" s="32">
        <v>30532</v>
      </c>
      <c r="AA39" s="33">
        <f t="shared" si="0"/>
        <v>808752</v>
      </c>
      <c r="AB39" s="17">
        <v>22</v>
      </c>
      <c r="AC39" s="90">
        <f>+AA39*AB39+AA40*AB40+AA41*AB41</f>
        <v>24561468</v>
      </c>
      <c r="AD39" s="47"/>
    </row>
    <row r="40" spans="1:30" ht="15.75" thickBot="1" x14ac:dyDescent="0.3">
      <c r="A40" s="89"/>
      <c r="B40" s="18" t="s">
        <v>4</v>
      </c>
      <c r="C40" s="34">
        <v>27244</v>
      </c>
      <c r="D40" s="34">
        <v>25598</v>
      </c>
      <c r="E40" s="34">
        <v>24658</v>
      </c>
      <c r="F40" s="34">
        <v>24036</v>
      </c>
      <c r="G40" s="34">
        <v>24069</v>
      </c>
      <c r="H40" s="34">
        <v>24669</v>
      </c>
      <c r="I40" s="34">
        <v>25394</v>
      </c>
      <c r="J40" s="34">
        <v>28311</v>
      </c>
      <c r="K40" s="34">
        <v>31285</v>
      </c>
      <c r="L40" s="34">
        <v>33359</v>
      </c>
      <c r="M40" s="34">
        <v>35025</v>
      </c>
      <c r="N40" s="34">
        <v>36415</v>
      </c>
      <c r="O40" s="34">
        <v>36413</v>
      </c>
      <c r="P40" s="34">
        <v>35893</v>
      </c>
      <c r="Q40" s="34">
        <v>35558</v>
      </c>
      <c r="R40" s="34">
        <v>35187</v>
      </c>
      <c r="S40" s="34">
        <v>34924</v>
      </c>
      <c r="T40" s="34">
        <v>35549</v>
      </c>
      <c r="U40" s="34">
        <v>40275</v>
      </c>
      <c r="V40" s="34">
        <v>40829</v>
      </c>
      <c r="W40" s="34">
        <v>39195</v>
      </c>
      <c r="X40" s="34">
        <v>36860</v>
      </c>
      <c r="Y40" s="34">
        <v>33526</v>
      </c>
      <c r="Z40" s="35">
        <v>30306</v>
      </c>
      <c r="AA40" s="36">
        <f t="shared" si="0"/>
        <v>774578</v>
      </c>
      <c r="AB40" s="19">
        <v>3</v>
      </c>
      <c r="AC40" s="91"/>
      <c r="AD40" s="47"/>
    </row>
    <row r="41" spans="1:30" x14ac:dyDescent="0.25">
      <c r="A41" s="89"/>
      <c r="B41" s="20" t="s">
        <v>3</v>
      </c>
      <c r="C41" s="37">
        <v>28146</v>
      </c>
      <c r="D41" s="37">
        <v>26431</v>
      </c>
      <c r="E41" s="37">
        <v>25233</v>
      </c>
      <c r="F41" s="37">
        <v>24383</v>
      </c>
      <c r="G41" s="37">
        <v>24050</v>
      </c>
      <c r="H41" s="37">
        <v>23929</v>
      </c>
      <c r="I41" s="37">
        <v>23890</v>
      </c>
      <c r="J41" s="37">
        <v>25824</v>
      </c>
      <c r="K41" s="37">
        <v>28228</v>
      </c>
      <c r="L41" s="37">
        <v>30340</v>
      </c>
      <c r="M41" s="37">
        <v>31922</v>
      </c>
      <c r="N41" s="37">
        <v>33407</v>
      </c>
      <c r="O41" s="37">
        <v>34207</v>
      </c>
      <c r="P41" s="37">
        <v>34165</v>
      </c>
      <c r="Q41" s="37">
        <v>33624</v>
      </c>
      <c r="R41" s="37">
        <v>33282</v>
      </c>
      <c r="S41" s="37">
        <v>33085</v>
      </c>
      <c r="T41" s="37">
        <v>33712</v>
      </c>
      <c r="U41" s="37">
        <v>38433</v>
      </c>
      <c r="V41" s="37">
        <v>39392</v>
      </c>
      <c r="W41" s="37">
        <v>38045</v>
      </c>
      <c r="X41" s="37">
        <v>35745</v>
      </c>
      <c r="Y41" s="37">
        <v>32381</v>
      </c>
      <c r="Z41" s="38">
        <v>29011</v>
      </c>
      <c r="AA41" s="39">
        <f t="shared" si="0"/>
        <v>740865</v>
      </c>
      <c r="AB41" s="21">
        <v>6</v>
      </c>
      <c r="AC41" s="92"/>
      <c r="AD41" s="47"/>
    </row>
    <row r="42" spans="1:30" x14ac:dyDescent="0.25">
      <c r="A42" s="93" t="s">
        <v>2</v>
      </c>
      <c r="B42" s="94"/>
      <c r="C42" s="29">
        <f t="shared" ref="C42:AC42" si="1">+SUM(C6:C41)</f>
        <v>966016</v>
      </c>
      <c r="D42" s="29">
        <f t="shared" si="1"/>
        <v>908611</v>
      </c>
      <c r="E42" s="29">
        <f t="shared" si="1"/>
        <v>873997</v>
      </c>
      <c r="F42" s="29">
        <f t="shared" si="1"/>
        <v>852604</v>
      </c>
      <c r="G42" s="29">
        <f t="shared" si="1"/>
        <v>855256</v>
      </c>
      <c r="H42" s="29">
        <f t="shared" si="1"/>
        <v>880102</v>
      </c>
      <c r="I42" s="29">
        <f t="shared" si="1"/>
        <v>913384</v>
      </c>
      <c r="J42" s="29">
        <f t="shared" si="1"/>
        <v>1004025</v>
      </c>
      <c r="K42" s="29">
        <f t="shared" si="1"/>
        <v>1103449</v>
      </c>
      <c r="L42" s="29">
        <f t="shared" si="1"/>
        <v>1180075</v>
      </c>
      <c r="M42" s="29">
        <f t="shared" si="1"/>
        <v>1244337</v>
      </c>
      <c r="N42" s="29">
        <f t="shared" si="1"/>
        <v>1304619</v>
      </c>
      <c r="O42" s="29">
        <f t="shared" si="1"/>
        <v>1307009</v>
      </c>
      <c r="P42" s="29">
        <f t="shared" si="1"/>
        <v>1299741</v>
      </c>
      <c r="Q42" s="29">
        <f t="shared" si="1"/>
        <v>1295137</v>
      </c>
      <c r="R42" s="29">
        <f t="shared" si="1"/>
        <v>1289809</v>
      </c>
      <c r="S42" s="29">
        <f t="shared" si="1"/>
        <v>1277180</v>
      </c>
      <c r="T42" s="29">
        <f t="shared" si="1"/>
        <v>1279444</v>
      </c>
      <c r="U42" s="29">
        <f t="shared" si="1"/>
        <v>1408150</v>
      </c>
      <c r="V42" s="29">
        <f t="shared" si="1"/>
        <v>1474581</v>
      </c>
      <c r="W42" s="29">
        <f t="shared" si="1"/>
        <v>1421399</v>
      </c>
      <c r="X42" s="29">
        <f t="shared" si="1"/>
        <v>1329292</v>
      </c>
      <c r="Y42" s="29">
        <f t="shared" si="1"/>
        <v>1190300</v>
      </c>
      <c r="Z42" s="29">
        <f t="shared" si="1"/>
        <v>1054779</v>
      </c>
      <c r="AA42" s="29">
        <f t="shared" si="1"/>
        <v>27713296</v>
      </c>
      <c r="AB42" s="29">
        <f t="shared" si="1"/>
        <v>365</v>
      </c>
      <c r="AC42" s="44">
        <f t="shared" si="1"/>
        <v>284847491</v>
      </c>
      <c r="AD42" s="47"/>
    </row>
    <row r="43" spans="1:30" x14ac:dyDescent="0.25">
      <c r="AB43" s="4"/>
      <c r="AC43" s="4"/>
    </row>
    <row r="44" spans="1:30" x14ac:dyDescent="0.25">
      <c r="AA44" s="46"/>
    </row>
    <row r="45" spans="1:30" x14ac:dyDescent="0.25"/>
    <row r="46" spans="1:30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06C-0485-4FC0-B06D-9F64D564DA9C}">
  <sheetPr codeName="Hoja8">
    <tabColor rgb="FFFFFF00"/>
  </sheetPr>
  <dimension ref="A1:AD46"/>
  <sheetViews>
    <sheetView showGridLines="0" zoomScale="115" zoomScaleNormal="115" zoomScaleSheetLayoutView="110" workbookViewId="0">
      <selection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0" t="s">
        <v>75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ht="15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ht="15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46388</v>
      </c>
      <c r="B6" s="16" t="s">
        <v>5</v>
      </c>
      <c r="C6" s="31">
        <f>ROUND('Anexo 5'!C6*Anexo1!$D$10,0)</f>
        <v>0</v>
      </c>
      <c r="D6" s="31">
        <f>ROUND('Anexo 5'!D6*Anexo1!$D$10,0)</f>
        <v>0</v>
      </c>
      <c r="E6" s="31">
        <f>ROUND('Anexo 5'!E6*Anexo1!$D$10,0)</f>
        <v>0</v>
      </c>
      <c r="F6" s="31">
        <f>ROUND('Anexo 5'!F6*Anexo1!$D$10,0)</f>
        <v>0</v>
      </c>
      <c r="G6" s="31">
        <f>ROUND('Anexo 5'!G6*Anexo1!$D$10,0)</f>
        <v>0</v>
      </c>
      <c r="H6" s="31">
        <f>ROUND('Anexo 5'!H6*Anexo1!$D$10,0)</f>
        <v>0</v>
      </c>
      <c r="I6" s="31">
        <f>ROUND('Anexo 5'!I6*Anexo1!$D$10,0)</f>
        <v>0</v>
      </c>
      <c r="J6" s="31">
        <f>ROUND('Anexo 5'!J6*Anexo1!$D$10,0)</f>
        <v>0</v>
      </c>
      <c r="K6" s="31">
        <f>ROUND('Anexo 5'!K6*Anexo1!$D$10,0)</f>
        <v>0</v>
      </c>
      <c r="L6" s="31">
        <f>ROUND('Anexo 5'!L6*Anexo1!$D$10,0)</f>
        <v>0</v>
      </c>
      <c r="M6" s="31">
        <f>ROUND('Anexo 5'!M6*Anexo1!$D$10,0)</f>
        <v>0</v>
      </c>
      <c r="N6" s="31">
        <f>ROUND('Anexo 5'!N6*Anexo1!$D$10,0)</f>
        <v>0</v>
      </c>
      <c r="O6" s="31">
        <f>ROUND('Anexo 5'!O6*Anexo1!$D$10,0)</f>
        <v>0</v>
      </c>
      <c r="P6" s="31">
        <f>ROUND('Anexo 5'!P6*Anexo1!$D$10,0)</f>
        <v>0</v>
      </c>
      <c r="Q6" s="31">
        <f>ROUND('Anexo 5'!Q6*Anexo1!$D$10,0)</f>
        <v>0</v>
      </c>
      <c r="R6" s="31">
        <f>ROUND('Anexo 5'!R6*Anexo1!$D$10,0)</f>
        <v>0</v>
      </c>
      <c r="S6" s="31">
        <f>ROUND('Anexo 5'!S6*Anexo1!$D$10,0)</f>
        <v>0</v>
      </c>
      <c r="T6" s="31">
        <f>ROUND('Anexo 5'!T6*Anexo1!$D$10,0)</f>
        <v>0</v>
      </c>
      <c r="U6" s="31">
        <f>ROUND('Anexo 5'!U6*Anexo1!$D$10,0)</f>
        <v>0</v>
      </c>
      <c r="V6" s="31">
        <f>ROUND('Anexo 5'!V6*Anexo1!$D$10,0)</f>
        <v>0</v>
      </c>
      <c r="W6" s="31">
        <f>ROUND('Anexo 5'!W6*Anexo1!$D$10,0)</f>
        <v>0</v>
      </c>
      <c r="X6" s="31">
        <f>ROUND('Anexo 5'!X6*Anexo1!$D$10,0)</f>
        <v>0</v>
      </c>
      <c r="Y6" s="31">
        <f>ROUND('Anexo 5'!Y6*Anexo1!$D$10,0)</f>
        <v>0</v>
      </c>
      <c r="Z6" s="31">
        <f>ROUND('Anexo 5'!Z6*Anexo1!$D$10,0)</f>
        <v>0</v>
      </c>
      <c r="AA6" s="33">
        <f>SUM(C6:Z6)</f>
        <v>0</v>
      </c>
      <c r="AB6" s="17">
        <v>19</v>
      </c>
      <c r="AC6" s="90">
        <f>+AA6*AB6+AA7*AB7+AA8*AB8</f>
        <v>0</v>
      </c>
    </row>
    <row r="7" spans="1:30" ht="15.75" thickBot="1" x14ac:dyDescent="0.3">
      <c r="A7" s="89"/>
      <c r="B7" s="18" t="s">
        <v>4</v>
      </c>
      <c r="C7" s="31">
        <f>ROUND('Anexo 5'!C7*Anexo1!$D$10,0)</f>
        <v>0</v>
      </c>
      <c r="D7" s="31">
        <f>ROUND('Anexo 5'!D7*Anexo1!$D$10,0)</f>
        <v>0</v>
      </c>
      <c r="E7" s="31">
        <f>ROUND('Anexo 5'!E7*Anexo1!$D$10,0)</f>
        <v>0</v>
      </c>
      <c r="F7" s="31">
        <f>ROUND('Anexo 5'!F7*Anexo1!$D$10,0)</f>
        <v>0</v>
      </c>
      <c r="G7" s="31">
        <f>ROUND('Anexo 5'!G7*Anexo1!$D$10,0)</f>
        <v>0</v>
      </c>
      <c r="H7" s="31">
        <f>ROUND('Anexo 5'!H7*Anexo1!$D$10,0)</f>
        <v>0</v>
      </c>
      <c r="I7" s="31">
        <f>ROUND('Anexo 5'!I7*Anexo1!$D$10,0)</f>
        <v>0</v>
      </c>
      <c r="J7" s="31">
        <f>ROUND('Anexo 5'!J7*Anexo1!$D$10,0)</f>
        <v>0</v>
      </c>
      <c r="K7" s="31">
        <f>ROUND('Anexo 5'!K7*Anexo1!$D$10,0)</f>
        <v>0</v>
      </c>
      <c r="L7" s="31">
        <f>ROUND('Anexo 5'!L7*Anexo1!$D$10,0)</f>
        <v>0</v>
      </c>
      <c r="M7" s="31">
        <f>ROUND('Anexo 5'!M7*Anexo1!$D$10,0)</f>
        <v>0</v>
      </c>
      <c r="N7" s="31">
        <f>ROUND('Anexo 5'!N7*Anexo1!$D$10,0)</f>
        <v>0</v>
      </c>
      <c r="O7" s="31">
        <f>ROUND('Anexo 5'!O7*Anexo1!$D$10,0)</f>
        <v>0</v>
      </c>
      <c r="P7" s="31">
        <f>ROUND('Anexo 5'!P7*Anexo1!$D$10,0)</f>
        <v>0</v>
      </c>
      <c r="Q7" s="31">
        <f>ROUND('Anexo 5'!Q7*Anexo1!$D$10,0)</f>
        <v>0</v>
      </c>
      <c r="R7" s="31">
        <f>ROUND('Anexo 5'!R7*Anexo1!$D$10,0)</f>
        <v>0</v>
      </c>
      <c r="S7" s="31">
        <f>ROUND('Anexo 5'!S7*Anexo1!$D$10,0)</f>
        <v>0</v>
      </c>
      <c r="T7" s="31">
        <f>ROUND('Anexo 5'!T7*Anexo1!$D$10,0)</f>
        <v>0</v>
      </c>
      <c r="U7" s="31">
        <f>ROUND('Anexo 5'!U7*Anexo1!$D$10,0)</f>
        <v>0</v>
      </c>
      <c r="V7" s="31">
        <f>ROUND('Anexo 5'!V7*Anexo1!$D$10,0)</f>
        <v>0</v>
      </c>
      <c r="W7" s="31">
        <f>ROUND('Anexo 5'!W7*Anexo1!$D$10,0)</f>
        <v>0</v>
      </c>
      <c r="X7" s="31">
        <f>ROUND('Anexo 5'!X7*Anexo1!$D$10,0)</f>
        <v>0</v>
      </c>
      <c r="Y7" s="31">
        <f>ROUND('Anexo 5'!Y7*Anexo1!$D$10,0)</f>
        <v>0</v>
      </c>
      <c r="Z7" s="31">
        <f>ROUND('Anexo 5'!Z7*Anexo1!$D$10,0)</f>
        <v>0</v>
      </c>
      <c r="AA7" s="36">
        <f t="shared" ref="AA7:AA41" si="0">SUM(C7:Z7)</f>
        <v>0</v>
      </c>
      <c r="AB7" s="19">
        <v>5</v>
      </c>
      <c r="AC7" s="91"/>
      <c r="AD7" s="45"/>
    </row>
    <row r="8" spans="1:30" ht="15.75" thickBot="1" x14ac:dyDescent="0.3">
      <c r="A8" s="89"/>
      <c r="B8" s="20" t="s">
        <v>3</v>
      </c>
      <c r="C8" s="31">
        <f>ROUND('Anexo 5'!C8*Anexo1!$D$10,0)</f>
        <v>0</v>
      </c>
      <c r="D8" s="31">
        <f>ROUND('Anexo 5'!D8*Anexo1!$D$10,0)</f>
        <v>0</v>
      </c>
      <c r="E8" s="31">
        <f>ROUND('Anexo 5'!E8*Anexo1!$D$10,0)</f>
        <v>0</v>
      </c>
      <c r="F8" s="31">
        <f>ROUND('Anexo 5'!F8*Anexo1!$D$10,0)</f>
        <v>0</v>
      </c>
      <c r="G8" s="31">
        <f>ROUND('Anexo 5'!G8*Anexo1!$D$10,0)</f>
        <v>0</v>
      </c>
      <c r="H8" s="31">
        <f>ROUND('Anexo 5'!H8*Anexo1!$D$10,0)</f>
        <v>0</v>
      </c>
      <c r="I8" s="31">
        <f>ROUND('Anexo 5'!I8*Anexo1!$D$10,0)</f>
        <v>0</v>
      </c>
      <c r="J8" s="31">
        <f>ROUND('Anexo 5'!J8*Anexo1!$D$10,0)</f>
        <v>0</v>
      </c>
      <c r="K8" s="31">
        <f>ROUND('Anexo 5'!K8*Anexo1!$D$10,0)</f>
        <v>0</v>
      </c>
      <c r="L8" s="31">
        <f>ROUND('Anexo 5'!L8*Anexo1!$D$10,0)</f>
        <v>0</v>
      </c>
      <c r="M8" s="31">
        <f>ROUND('Anexo 5'!M8*Anexo1!$D$10,0)</f>
        <v>0</v>
      </c>
      <c r="N8" s="31">
        <f>ROUND('Anexo 5'!N8*Anexo1!$D$10,0)</f>
        <v>0</v>
      </c>
      <c r="O8" s="31">
        <f>ROUND('Anexo 5'!O8*Anexo1!$D$10,0)</f>
        <v>0</v>
      </c>
      <c r="P8" s="31">
        <f>ROUND('Anexo 5'!P8*Anexo1!$D$10,0)</f>
        <v>0</v>
      </c>
      <c r="Q8" s="31">
        <f>ROUND('Anexo 5'!Q8*Anexo1!$D$10,0)</f>
        <v>0</v>
      </c>
      <c r="R8" s="31">
        <f>ROUND('Anexo 5'!R8*Anexo1!$D$10,0)</f>
        <v>0</v>
      </c>
      <c r="S8" s="31">
        <f>ROUND('Anexo 5'!S8*Anexo1!$D$10,0)</f>
        <v>0</v>
      </c>
      <c r="T8" s="31">
        <f>ROUND('Anexo 5'!T8*Anexo1!$D$10,0)</f>
        <v>0</v>
      </c>
      <c r="U8" s="31">
        <f>ROUND('Anexo 5'!U8*Anexo1!$D$10,0)</f>
        <v>0</v>
      </c>
      <c r="V8" s="31">
        <f>ROUND('Anexo 5'!V8*Anexo1!$D$10,0)</f>
        <v>0</v>
      </c>
      <c r="W8" s="31">
        <f>ROUND('Anexo 5'!W8*Anexo1!$D$10,0)</f>
        <v>0</v>
      </c>
      <c r="X8" s="31">
        <f>ROUND('Anexo 5'!X8*Anexo1!$D$10,0)</f>
        <v>0</v>
      </c>
      <c r="Y8" s="31">
        <f>ROUND('Anexo 5'!Y8*Anexo1!$D$10,0)</f>
        <v>0</v>
      </c>
      <c r="Z8" s="31">
        <f>ROUND('Anexo 5'!Z8*Anexo1!$D$10,0)</f>
        <v>0</v>
      </c>
      <c r="AA8" s="39">
        <f t="shared" si="0"/>
        <v>0</v>
      </c>
      <c r="AB8" s="21">
        <v>7</v>
      </c>
      <c r="AC8" s="92"/>
      <c r="AD8" s="46"/>
    </row>
    <row r="9" spans="1:30" ht="15.75" thickBot="1" x14ac:dyDescent="0.3">
      <c r="A9" s="89">
        <v>46419</v>
      </c>
      <c r="B9" s="16" t="s">
        <v>5</v>
      </c>
      <c r="C9" s="31">
        <f>ROUND('Anexo 5'!C9*Anexo1!$D$10,0)</f>
        <v>0</v>
      </c>
      <c r="D9" s="31">
        <f>ROUND('Anexo 5'!D9*Anexo1!$D$10,0)</f>
        <v>0</v>
      </c>
      <c r="E9" s="31">
        <f>ROUND('Anexo 5'!E9*Anexo1!$D$10,0)</f>
        <v>0</v>
      </c>
      <c r="F9" s="31">
        <f>ROUND('Anexo 5'!F9*Anexo1!$D$10,0)</f>
        <v>0</v>
      </c>
      <c r="G9" s="31">
        <f>ROUND('Anexo 5'!G9*Anexo1!$D$10,0)</f>
        <v>0</v>
      </c>
      <c r="H9" s="31">
        <f>ROUND('Anexo 5'!H9*Anexo1!$D$10,0)</f>
        <v>0</v>
      </c>
      <c r="I9" s="31">
        <f>ROUND('Anexo 5'!I9*Anexo1!$D$10,0)</f>
        <v>0</v>
      </c>
      <c r="J9" s="31">
        <f>ROUND('Anexo 5'!J9*Anexo1!$D$10,0)</f>
        <v>0</v>
      </c>
      <c r="K9" s="31">
        <f>ROUND('Anexo 5'!K9*Anexo1!$D$10,0)</f>
        <v>0</v>
      </c>
      <c r="L9" s="31">
        <f>ROUND('Anexo 5'!L9*Anexo1!$D$10,0)</f>
        <v>0</v>
      </c>
      <c r="M9" s="31">
        <f>ROUND('Anexo 5'!M9*Anexo1!$D$10,0)</f>
        <v>0</v>
      </c>
      <c r="N9" s="31">
        <f>ROUND('Anexo 5'!N9*Anexo1!$D$10,0)</f>
        <v>0</v>
      </c>
      <c r="O9" s="31">
        <f>ROUND('Anexo 5'!O9*Anexo1!$D$10,0)</f>
        <v>0</v>
      </c>
      <c r="P9" s="31">
        <f>ROUND('Anexo 5'!P9*Anexo1!$D$10,0)</f>
        <v>0</v>
      </c>
      <c r="Q9" s="31">
        <f>ROUND('Anexo 5'!Q9*Anexo1!$D$10,0)</f>
        <v>0</v>
      </c>
      <c r="R9" s="31">
        <f>ROUND('Anexo 5'!R9*Anexo1!$D$10,0)</f>
        <v>0</v>
      </c>
      <c r="S9" s="31">
        <f>ROUND('Anexo 5'!S9*Anexo1!$D$10,0)</f>
        <v>0</v>
      </c>
      <c r="T9" s="31">
        <f>ROUND('Anexo 5'!T9*Anexo1!$D$10,0)</f>
        <v>0</v>
      </c>
      <c r="U9" s="31">
        <f>ROUND('Anexo 5'!U9*Anexo1!$D$10,0)</f>
        <v>0</v>
      </c>
      <c r="V9" s="31">
        <f>ROUND('Anexo 5'!V9*Anexo1!$D$10,0)</f>
        <v>0</v>
      </c>
      <c r="W9" s="31">
        <f>ROUND('Anexo 5'!W9*Anexo1!$D$10,0)</f>
        <v>0</v>
      </c>
      <c r="X9" s="31">
        <f>ROUND('Anexo 5'!X9*Anexo1!$D$10,0)</f>
        <v>0</v>
      </c>
      <c r="Y9" s="31">
        <f>ROUND('Anexo 5'!Y9*Anexo1!$D$10,0)</f>
        <v>0</v>
      </c>
      <c r="Z9" s="31">
        <f>ROUND('Anexo 5'!Z9*Anexo1!$D$10,0)</f>
        <v>0</v>
      </c>
      <c r="AA9" s="33">
        <f t="shared" si="0"/>
        <v>0</v>
      </c>
      <c r="AB9" s="17">
        <v>20</v>
      </c>
      <c r="AC9" s="90">
        <f>+AA9*AB9+AA10*AB10+AA11*AB11</f>
        <v>0</v>
      </c>
    </row>
    <row r="10" spans="1:30" ht="15.75" thickBot="1" x14ac:dyDescent="0.3">
      <c r="A10" s="89"/>
      <c r="B10" s="18" t="s">
        <v>4</v>
      </c>
      <c r="C10" s="31">
        <f>ROUND('Anexo 5'!C10*Anexo1!$D$10,0)</f>
        <v>0</v>
      </c>
      <c r="D10" s="31">
        <f>ROUND('Anexo 5'!D10*Anexo1!$D$10,0)</f>
        <v>0</v>
      </c>
      <c r="E10" s="31">
        <f>ROUND('Anexo 5'!E10*Anexo1!$D$10,0)</f>
        <v>0</v>
      </c>
      <c r="F10" s="31">
        <f>ROUND('Anexo 5'!F10*Anexo1!$D$10,0)</f>
        <v>0</v>
      </c>
      <c r="G10" s="31">
        <f>ROUND('Anexo 5'!G10*Anexo1!$D$10,0)</f>
        <v>0</v>
      </c>
      <c r="H10" s="31">
        <f>ROUND('Anexo 5'!H10*Anexo1!$D$10,0)</f>
        <v>0</v>
      </c>
      <c r="I10" s="31">
        <f>ROUND('Anexo 5'!I10*Anexo1!$D$10,0)</f>
        <v>0</v>
      </c>
      <c r="J10" s="31">
        <f>ROUND('Anexo 5'!J10*Anexo1!$D$10,0)</f>
        <v>0</v>
      </c>
      <c r="K10" s="31">
        <f>ROUND('Anexo 5'!K10*Anexo1!$D$10,0)</f>
        <v>0</v>
      </c>
      <c r="L10" s="31">
        <f>ROUND('Anexo 5'!L10*Anexo1!$D$10,0)</f>
        <v>0</v>
      </c>
      <c r="M10" s="31">
        <f>ROUND('Anexo 5'!M10*Anexo1!$D$10,0)</f>
        <v>0</v>
      </c>
      <c r="N10" s="31">
        <f>ROUND('Anexo 5'!N10*Anexo1!$D$10,0)</f>
        <v>0</v>
      </c>
      <c r="O10" s="31">
        <f>ROUND('Anexo 5'!O10*Anexo1!$D$10,0)</f>
        <v>0</v>
      </c>
      <c r="P10" s="31">
        <f>ROUND('Anexo 5'!P10*Anexo1!$D$10,0)</f>
        <v>0</v>
      </c>
      <c r="Q10" s="31">
        <f>ROUND('Anexo 5'!Q10*Anexo1!$D$10,0)</f>
        <v>0</v>
      </c>
      <c r="R10" s="31">
        <f>ROUND('Anexo 5'!R10*Anexo1!$D$10,0)</f>
        <v>0</v>
      </c>
      <c r="S10" s="31">
        <f>ROUND('Anexo 5'!S10*Anexo1!$D$10,0)</f>
        <v>0</v>
      </c>
      <c r="T10" s="31">
        <f>ROUND('Anexo 5'!T10*Anexo1!$D$10,0)</f>
        <v>0</v>
      </c>
      <c r="U10" s="31">
        <f>ROUND('Anexo 5'!U10*Anexo1!$D$10,0)</f>
        <v>0</v>
      </c>
      <c r="V10" s="31">
        <f>ROUND('Anexo 5'!V10*Anexo1!$D$10,0)</f>
        <v>0</v>
      </c>
      <c r="W10" s="31">
        <f>ROUND('Anexo 5'!W10*Anexo1!$D$10,0)</f>
        <v>0</v>
      </c>
      <c r="X10" s="31">
        <f>ROUND('Anexo 5'!X10*Anexo1!$D$10,0)</f>
        <v>0</v>
      </c>
      <c r="Y10" s="31">
        <f>ROUND('Anexo 5'!Y10*Anexo1!$D$10,0)</f>
        <v>0</v>
      </c>
      <c r="Z10" s="31">
        <f>ROUND('Anexo 5'!Z10*Anexo1!$D$10,0)</f>
        <v>0</v>
      </c>
      <c r="AA10" s="36">
        <f t="shared" si="0"/>
        <v>0</v>
      </c>
      <c r="AB10" s="19">
        <v>4</v>
      </c>
      <c r="AC10" s="91"/>
      <c r="AD10" s="45"/>
    </row>
    <row r="11" spans="1:30" ht="15.75" thickBot="1" x14ac:dyDescent="0.3">
      <c r="A11" s="89"/>
      <c r="B11" s="20" t="s">
        <v>3</v>
      </c>
      <c r="C11" s="31">
        <f>ROUND('Anexo 5'!C11*Anexo1!$D$10,0)</f>
        <v>0</v>
      </c>
      <c r="D11" s="31">
        <f>ROUND('Anexo 5'!D11*Anexo1!$D$10,0)</f>
        <v>0</v>
      </c>
      <c r="E11" s="31">
        <f>ROUND('Anexo 5'!E11*Anexo1!$D$10,0)</f>
        <v>0</v>
      </c>
      <c r="F11" s="31">
        <f>ROUND('Anexo 5'!F11*Anexo1!$D$10,0)</f>
        <v>0</v>
      </c>
      <c r="G11" s="31">
        <f>ROUND('Anexo 5'!G11*Anexo1!$D$10,0)</f>
        <v>0</v>
      </c>
      <c r="H11" s="31">
        <f>ROUND('Anexo 5'!H11*Anexo1!$D$10,0)</f>
        <v>0</v>
      </c>
      <c r="I11" s="31">
        <f>ROUND('Anexo 5'!I11*Anexo1!$D$10,0)</f>
        <v>0</v>
      </c>
      <c r="J11" s="31">
        <f>ROUND('Anexo 5'!J11*Anexo1!$D$10,0)</f>
        <v>0</v>
      </c>
      <c r="K11" s="31">
        <f>ROUND('Anexo 5'!K11*Anexo1!$D$10,0)</f>
        <v>0</v>
      </c>
      <c r="L11" s="31">
        <f>ROUND('Anexo 5'!L11*Anexo1!$D$10,0)</f>
        <v>0</v>
      </c>
      <c r="M11" s="31">
        <f>ROUND('Anexo 5'!M11*Anexo1!$D$10,0)</f>
        <v>0</v>
      </c>
      <c r="N11" s="31">
        <f>ROUND('Anexo 5'!N11*Anexo1!$D$10,0)</f>
        <v>0</v>
      </c>
      <c r="O11" s="31">
        <f>ROUND('Anexo 5'!O11*Anexo1!$D$10,0)</f>
        <v>0</v>
      </c>
      <c r="P11" s="31">
        <f>ROUND('Anexo 5'!P11*Anexo1!$D$10,0)</f>
        <v>0</v>
      </c>
      <c r="Q11" s="31">
        <f>ROUND('Anexo 5'!Q11*Anexo1!$D$10,0)</f>
        <v>0</v>
      </c>
      <c r="R11" s="31">
        <f>ROUND('Anexo 5'!R11*Anexo1!$D$10,0)</f>
        <v>0</v>
      </c>
      <c r="S11" s="31">
        <f>ROUND('Anexo 5'!S11*Anexo1!$D$10,0)</f>
        <v>0</v>
      </c>
      <c r="T11" s="31">
        <f>ROUND('Anexo 5'!T11*Anexo1!$D$10,0)</f>
        <v>0</v>
      </c>
      <c r="U11" s="31">
        <f>ROUND('Anexo 5'!U11*Anexo1!$D$10,0)</f>
        <v>0</v>
      </c>
      <c r="V11" s="31">
        <f>ROUND('Anexo 5'!V11*Anexo1!$D$10,0)</f>
        <v>0</v>
      </c>
      <c r="W11" s="31">
        <f>ROUND('Anexo 5'!W11*Anexo1!$D$10,0)</f>
        <v>0</v>
      </c>
      <c r="X11" s="31">
        <f>ROUND('Anexo 5'!X11*Anexo1!$D$10,0)</f>
        <v>0</v>
      </c>
      <c r="Y11" s="31">
        <f>ROUND('Anexo 5'!Y11*Anexo1!$D$10,0)</f>
        <v>0</v>
      </c>
      <c r="Z11" s="31">
        <f>ROUND('Anexo 5'!Z11*Anexo1!$D$10,0)</f>
        <v>0</v>
      </c>
      <c r="AA11" s="39">
        <f t="shared" si="0"/>
        <v>0</v>
      </c>
      <c r="AB11" s="21">
        <v>4</v>
      </c>
      <c r="AC11" s="92"/>
      <c r="AD11" s="46"/>
    </row>
    <row r="12" spans="1:30" ht="15.75" thickBot="1" x14ac:dyDescent="0.3">
      <c r="A12" s="89">
        <v>46447</v>
      </c>
      <c r="B12" s="16" t="s">
        <v>5</v>
      </c>
      <c r="C12" s="31">
        <f>ROUND('Anexo 5'!C12*Anexo1!$D$10,0)</f>
        <v>0</v>
      </c>
      <c r="D12" s="31">
        <f>ROUND('Anexo 5'!D12*Anexo1!$D$10,0)</f>
        <v>0</v>
      </c>
      <c r="E12" s="31">
        <f>ROUND('Anexo 5'!E12*Anexo1!$D$10,0)</f>
        <v>0</v>
      </c>
      <c r="F12" s="31">
        <f>ROUND('Anexo 5'!F12*Anexo1!$D$10,0)</f>
        <v>0</v>
      </c>
      <c r="G12" s="31">
        <f>ROUND('Anexo 5'!G12*Anexo1!$D$10,0)</f>
        <v>0</v>
      </c>
      <c r="H12" s="31">
        <f>ROUND('Anexo 5'!H12*Anexo1!$D$10,0)</f>
        <v>0</v>
      </c>
      <c r="I12" s="31">
        <f>ROUND('Anexo 5'!I12*Anexo1!$D$10,0)</f>
        <v>0</v>
      </c>
      <c r="J12" s="31">
        <f>ROUND('Anexo 5'!J12*Anexo1!$D$10,0)</f>
        <v>0</v>
      </c>
      <c r="K12" s="31">
        <f>ROUND('Anexo 5'!K12*Anexo1!$D$10,0)</f>
        <v>0</v>
      </c>
      <c r="L12" s="31">
        <f>ROUND('Anexo 5'!L12*Anexo1!$D$10,0)</f>
        <v>0</v>
      </c>
      <c r="M12" s="31">
        <f>ROUND('Anexo 5'!M12*Anexo1!$D$10,0)</f>
        <v>0</v>
      </c>
      <c r="N12" s="31">
        <f>ROUND('Anexo 5'!N12*Anexo1!$D$10,0)</f>
        <v>0</v>
      </c>
      <c r="O12" s="31">
        <f>ROUND('Anexo 5'!O12*Anexo1!$D$10,0)</f>
        <v>0</v>
      </c>
      <c r="P12" s="31">
        <f>ROUND('Anexo 5'!P12*Anexo1!$D$10,0)</f>
        <v>0</v>
      </c>
      <c r="Q12" s="31">
        <f>ROUND('Anexo 5'!Q12*Anexo1!$D$10,0)</f>
        <v>0</v>
      </c>
      <c r="R12" s="31">
        <f>ROUND('Anexo 5'!R12*Anexo1!$D$10,0)</f>
        <v>0</v>
      </c>
      <c r="S12" s="31">
        <f>ROUND('Anexo 5'!S12*Anexo1!$D$10,0)</f>
        <v>0</v>
      </c>
      <c r="T12" s="31">
        <f>ROUND('Anexo 5'!T12*Anexo1!$D$10,0)</f>
        <v>0</v>
      </c>
      <c r="U12" s="31">
        <f>ROUND('Anexo 5'!U12*Anexo1!$D$10,0)</f>
        <v>0</v>
      </c>
      <c r="V12" s="31">
        <f>ROUND('Anexo 5'!V12*Anexo1!$D$10,0)</f>
        <v>0</v>
      </c>
      <c r="W12" s="31">
        <f>ROUND('Anexo 5'!W12*Anexo1!$D$10,0)</f>
        <v>0</v>
      </c>
      <c r="X12" s="31">
        <f>ROUND('Anexo 5'!X12*Anexo1!$D$10,0)</f>
        <v>0</v>
      </c>
      <c r="Y12" s="31">
        <f>ROUND('Anexo 5'!Y12*Anexo1!$D$10,0)</f>
        <v>0</v>
      </c>
      <c r="Z12" s="31">
        <f>ROUND('Anexo 5'!Z12*Anexo1!$D$10,0)</f>
        <v>0</v>
      </c>
      <c r="AA12" s="33">
        <f t="shared" si="0"/>
        <v>0</v>
      </c>
      <c r="AB12" s="17">
        <v>20</v>
      </c>
      <c r="AC12" s="90">
        <f>+AA12*AB12+AA13*AB13+AA14*AB14</f>
        <v>0</v>
      </c>
    </row>
    <row r="13" spans="1:30" ht="15.75" thickBot="1" x14ac:dyDescent="0.3">
      <c r="A13" s="89"/>
      <c r="B13" s="18" t="s">
        <v>4</v>
      </c>
      <c r="C13" s="31">
        <f>ROUND('Anexo 5'!C13*Anexo1!$D$10,0)</f>
        <v>0</v>
      </c>
      <c r="D13" s="31">
        <f>ROUND('Anexo 5'!D13*Anexo1!$D$10,0)</f>
        <v>0</v>
      </c>
      <c r="E13" s="31">
        <f>ROUND('Anexo 5'!E13*Anexo1!$D$10,0)</f>
        <v>0</v>
      </c>
      <c r="F13" s="31">
        <f>ROUND('Anexo 5'!F13*Anexo1!$D$10,0)</f>
        <v>0</v>
      </c>
      <c r="G13" s="31">
        <f>ROUND('Anexo 5'!G13*Anexo1!$D$10,0)</f>
        <v>0</v>
      </c>
      <c r="H13" s="31">
        <f>ROUND('Anexo 5'!H13*Anexo1!$D$10,0)</f>
        <v>0</v>
      </c>
      <c r="I13" s="31">
        <f>ROUND('Anexo 5'!I13*Anexo1!$D$10,0)</f>
        <v>0</v>
      </c>
      <c r="J13" s="31">
        <f>ROUND('Anexo 5'!J13*Anexo1!$D$10,0)</f>
        <v>0</v>
      </c>
      <c r="K13" s="31">
        <f>ROUND('Anexo 5'!K13*Anexo1!$D$10,0)</f>
        <v>0</v>
      </c>
      <c r="L13" s="31">
        <f>ROUND('Anexo 5'!L13*Anexo1!$D$10,0)</f>
        <v>0</v>
      </c>
      <c r="M13" s="31">
        <f>ROUND('Anexo 5'!M13*Anexo1!$D$10,0)</f>
        <v>0</v>
      </c>
      <c r="N13" s="31">
        <f>ROUND('Anexo 5'!N13*Anexo1!$D$10,0)</f>
        <v>0</v>
      </c>
      <c r="O13" s="31">
        <f>ROUND('Anexo 5'!O13*Anexo1!$D$10,0)</f>
        <v>0</v>
      </c>
      <c r="P13" s="31">
        <f>ROUND('Anexo 5'!P13*Anexo1!$D$10,0)</f>
        <v>0</v>
      </c>
      <c r="Q13" s="31">
        <f>ROUND('Anexo 5'!Q13*Anexo1!$D$10,0)</f>
        <v>0</v>
      </c>
      <c r="R13" s="31">
        <f>ROUND('Anexo 5'!R13*Anexo1!$D$10,0)</f>
        <v>0</v>
      </c>
      <c r="S13" s="31">
        <f>ROUND('Anexo 5'!S13*Anexo1!$D$10,0)</f>
        <v>0</v>
      </c>
      <c r="T13" s="31">
        <f>ROUND('Anexo 5'!T13*Anexo1!$D$10,0)</f>
        <v>0</v>
      </c>
      <c r="U13" s="31">
        <f>ROUND('Anexo 5'!U13*Anexo1!$D$10,0)</f>
        <v>0</v>
      </c>
      <c r="V13" s="31">
        <f>ROUND('Anexo 5'!V13*Anexo1!$D$10,0)</f>
        <v>0</v>
      </c>
      <c r="W13" s="31">
        <f>ROUND('Anexo 5'!W13*Anexo1!$D$10,0)</f>
        <v>0</v>
      </c>
      <c r="X13" s="31">
        <f>ROUND('Anexo 5'!X13*Anexo1!$D$10,0)</f>
        <v>0</v>
      </c>
      <c r="Y13" s="31">
        <f>ROUND('Anexo 5'!Y13*Anexo1!$D$10,0)</f>
        <v>0</v>
      </c>
      <c r="Z13" s="31">
        <f>ROUND('Anexo 5'!Z13*Anexo1!$D$10,0)</f>
        <v>0</v>
      </c>
      <c r="AA13" s="36">
        <f t="shared" si="0"/>
        <v>0</v>
      </c>
      <c r="AB13" s="19">
        <v>4</v>
      </c>
      <c r="AC13" s="91"/>
      <c r="AD13" s="45"/>
    </row>
    <row r="14" spans="1:30" ht="15.75" thickBot="1" x14ac:dyDescent="0.3">
      <c r="A14" s="89"/>
      <c r="B14" s="20" t="s">
        <v>3</v>
      </c>
      <c r="C14" s="31">
        <f>ROUND('Anexo 5'!C14*Anexo1!$D$10,0)</f>
        <v>0</v>
      </c>
      <c r="D14" s="31">
        <f>ROUND('Anexo 5'!D14*Anexo1!$D$10,0)</f>
        <v>0</v>
      </c>
      <c r="E14" s="31">
        <f>ROUND('Anexo 5'!E14*Anexo1!$D$10,0)</f>
        <v>0</v>
      </c>
      <c r="F14" s="31">
        <f>ROUND('Anexo 5'!F14*Anexo1!$D$10,0)</f>
        <v>0</v>
      </c>
      <c r="G14" s="31">
        <f>ROUND('Anexo 5'!G14*Anexo1!$D$10,0)</f>
        <v>0</v>
      </c>
      <c r="H14" s="31">
        <f>ROUND('Anexo 5'!H14*Anexo1!$D$10,0)</f>
        <v>0</v>
      </c>
      <c r="I14" s="31">
        <f>ROUND('Anexo 5'!I14*Anexo1!$D$10,0)</f>
        <v>0</v>
      </c>
      <c r="J14" s="31">
        <f>ROUND('Anexo 5'!J14*Anexo1!$D$10,0)</f>
        <v>0</v>
      </c>
      <c r="K14" s="31">
        <f>ROUND('Anexo 5'!K14*Anexo1!$D$10,0)</f>
        <v>0</v>
      </c>
      <c r="L14" s="31">
        <f>ROUND('Anexo 5'!L14*Anexo1!$D$10,0)</f>
        <v>0</v>
      </c>
      <c r="M14" s="31">
        <f>ROUND('Anexo 5'!M14*Anexo1!$D$10,0)</f>
        <v>0</v>
      </c>
      <c r="N14" s="31">
        <f>ROUND('Anexo 5'!N14*Anexo1!$D$10,0)</f>
        <v>0</v>
      </c>
      <c r="O14" s="31">
        <f>ROUND('Anexo 5'!O14*Anexo1!$D$10,0)</f>
        <v>0</v>
      </c>
      <c r="P14" s="31">
        <f>ROUND('Anexo 5'!P14*Anexo1!$D$10,0)</f>
        <v>0</v>
      </c>
      <c r="Q14" s="31">
        <f>ROUND('Anexo 5'!Q14*Anexo1!$D$10,0)</f>
        <v>0</v>
      </c>
      <c r="R14" s="31">
        <f>ROUND('Anexo 5'!R14*Anexo1!$D$10,0)</f>
        <v>0</v>
      </c>
      <c r="S14" s="31">
        <f>ROUND('Anexo 5'!S14*Anexo1!$D$10,0)</f>
        <v>0</v>
      </c>
      <c r="T14" s="31">
        <f>ROUND('Anexo 5'!T14*Anexo1!$D$10,0)</f>
        <v>0</v>
      </c>
      <c r="U14" s="31">
        <f>ROUND('Anexo 5'!U14*Anexo1!$D$10,0)</f>
        <v>0</v>
      </c>
      <c r="V14" s="31">
        <f>ROUND('Anexo 5'!V14*Anexo1!$D$10,0)</f>
        <v>0</v>
      </c>
      <c r="W14" s="31">
        <f>ROUND('Anexo 5'!W14*Anexo1!$D$10,0)</f>
        <v>0</v>
      </c>
      <c r="X14" s="31">
        <f>ROUND('Anexo 5'!X14*Anexo1!$D$10,0)</f>
        <v>0</v>
      </c>
      <c r="Y14" s="31">
        <f>ROUND('Anexo 5'!Y14*Anexo1!$D$10,0)</f>
        <v>0</v>
      </c>
      <c r="Z14" s="31">
        <f>ROUND('Anexo 5'!Z14*Anexo1!$D$10,0)</f>
        <v>0</v>
      </c>
      <c r="AA14" s="39">
        <f t="shared" si="0"/>
        <v>0</v>
      </c>
      <c r="AB14" s="21">
        <v>7</v>
      </c>
      <c r="AC14" s="92"/>
      <c r="AD14" s="43"/>
    </row>
    <row r="15" spans="1:30" ht="15.75" thickBot="1" x14ac:dyDescent="0.3">
      <c r="A15" s="89">
        <v>46478</v>
      </c>
      <c r="B15" s="16" t="s">
        <v>5</v>
      </c>
      <c r="C15" s="31">
        <f>ROUND('Anexo 5'!C15*Anexo1!$D$10,0)</f>
        <v>0</v>
      </c>
      <c r="D15" s="31">
        <f>ROUND('Anexo 5'!D15*Anexo1!$D$10,0)</f>
        <v>0</v>
      </c>
      <c r="E15" s="31">
        <f>ROUND('Anexo 5'!E15*Anexo1!$D$10,0)</f>
        <v>0</v>
      </c>
      <c r="F15" s="31">
        <f>ROUND('Anexo 5'!F15*Anexo1!$D$10,0)</f>
        <v>0</v>
      </c>
      <c r="G15" s="31">
        <f>ROUND('Anexo 5'!G15*Anexo1!$D$10,0)</f>
        <v>0</v>
      </c>
      <c r="H15" s="31">
        <f>ROUND('Anexo 5'!H15*Anexo1!$D$10,0)</f>
        <v>0</v>
      </c>
      <c r="I15" s="31">
        <f>ROUND('Anexo 5'!I15*Anexo1!$D$10,0)</f>
        <v>0</v>
      </c>
      <c r="J15" s="31">
        <f>ROUND('Anexo 5'!J15*Anexo1!$D$10,0)</f>
        <v>0</v>
      </c>
      <c r="K15" s="31">
        <f>ROUND('Anexo 5'!K15*Anexo1!$D$10,0)</f>
        <v>0</v>
      </c>
      <c r="L15" s="31">
        <f>ROUND('Anexo 5'!L15*Anexo1!$D$10,0)</f>
        <v>0</v>
      </c>
      <c r="M15" s="31">
        <f>ROUND('Anexo 5'!M15*Anexo1!$D$10,0)</f>
        <v>0</v>
      </c>
      <c r="N15" s="31">
        <f>ROUND('Anexo 5'!N15*Anexo1!$D$10,0)</f>
        <v>0</v>
      </c>
      <c r="O15" s="31">
        <f>ROUND('Anexo 5'!O15*Anexo1!$D$10,0)</f>
        <v>0</v>
      </c>
      <c r="P15" s="31">
        <f>ROUND('Anexo 5'!P15*Anexo1!$D$10,0)</f>
        <v>0</v>
      </c>
      <c r="Q15" s="31">
        <f>ROUND('Anexo 5'!Q15*Anexo1!$D$10,0)</f>
        <v>0</v>
      </c>
      <c r="R15" s="31">
        <f>ROUND('Anexo 5'!R15*Anexo1!$D$10,0)</f>
        <v>0</v>
      </c>
      <c r="S15" s="31">
        <f>ROUND('Anexo 5'!S15*Anexo1!$D$10,0)</f>
        <v>0</v>
      </c>
      <c r="T15" s="31">
        <f>ROUND('Anexo 5'!T15*Anexo1!$D$10,0)</f>
        <v>0</v>
      </c>
      <c r="U15" s="31">
        <f>ROUND('Anexo 5'!U15*Anexo1!$D$10,0)</f>
        <v>0</v>
      </c>
      <c r="V15" s="31">
        <f>ROUND('Anexo 5'!V15*Anexo1!$D$10,0)</f>
        <v>0</v>
      </c>
      <c r="W15" s="31">
        <f>ROUND('Anexo 5'!W15*Anexo1!$D$10,0)</f>
        <v>0</v>
      </c>
      <c r="X15" s="31">
        <f>ROUND('Anexo 5'!X15*Anexo1!$D$10,0)</f>
        <v>0</v>
      </c>
      <c r="Y15" s="31">
        <f>ROUND('Anexo 5'!Y15*Anexo1!$D$10,0)</f>
        <v>0</v>
      </c>
      <c r="Z15" s="31">
        <f>ROUND('Anexo 5'!Z15*Anexo1!$D$10,0)</f>
        <v>0</v>
      </c>
      <c r="AA15" s="33">
        <f t="shared" si="0"/>
        <v>0</v>
      </c>
      <c r="AB15" s="17">
        <v>22</v>
      </c>
      <c r="AC15" s="90">
        <f>+AA15*AB15+AA16*AB16+AA17*AB17</f>
        <v>0</v>
      </c>
    </row>
    <row r="16" spans="1:30" ht="15.75" thickBot="1" x14ac:dyDescent="0.3">
      <c r="A16" s="89"/>
      <c r="B16" s="18" t="s">
        <v>4</v>
      </c>
      <c r="C16" s="31">
        <f>ROUND('Anexo 5'!C16*Anexo1!$D$10,0)</f>
        <v>0</v>
      </c>
      <c r="D16" s="31">
        <f>ROUND('Anexo 5'!D16*Anexo1!$D$10,0)</f>
        <v>0</v>
      </c>
      <c r="E16" s="31">
        <f>ROUND('Anexo 5'!E16*Anexo1!$D$10,0)</f>
        <v>0</v>
      </c>
      <c r="F16" s="31">
        <f>ROUND('Anexo 5'!F16*Anexo1!$D$10,0)</f>
        <v>0</v>
      </c>
      <c r="G16" s="31">
        <f>ROUND('Anexo 5'!G16*Anexo1!$D$10,0)</f>
        <v>0</v>
      </c>
      <c r="H16" s="31">
        <f>ROUND('Anexo 5'!H16*Anexo1!$D$10,0)</f>
        <v>0</v>
      </c>
      <c r="I16" s="31">
        <f>ROUND('Anexo 5'!I16*Anexo1!$D$10,0)</f>
        <v>0</v>
      </c>
      <c r="J16" s="31">
        <f>ROUND('Anexo 5'!J16*Anexo1!$D$10,0)</f>
        <v>0</v>
      </c>
      <c r="K16" s="31">
        <f>ROUND('Anexo 5'!K16*Anexo1!$D$10,0)</f>
        <v>0</v>
      </c>
      <c r="L16" s="31">
        <f>ROUND('Anexo 5'!L16*Anexo1!$D$10,0)</f>
        <v>0</v>
      </c>
      <c r="M16" s="31">
        <f>ROUND('Anexo 5'!M16*Anexo1!$D$10,0)</f>
        <v>0</v>
      </c>
      <c r="N16" s="31">
        <f>ROUND('Anexo 5'!N16*Anexo1!$D$10,0)</f>
        <v>0</v>
      </c>
      <c r="O16" s="31">
        <f>ROUND('Anexo 5'!O16*Anexo1!$D$10,0)</f>
        <v>0</v>
      </c>
      <c r="P16" s="31">
        <f>ROUND('Anexo 5'!P16*Anexo1!$D$10,0)</f>
        <v>0</v>
      </c>
      <c r="Q16" s="31">
        <f>ROUND('Anexo 5'!Q16*Anexo1!$D$10,0)</f>
        <v>0</v>
      </c>
      <c r="R16" s="31">
        <f>ROUND('Anexo 5'!R16*Anexo1!$D$10,0)</f>
        <v>0</v>
      </c>
      <c r="S16" s="31">
        <f>ROUND('Anexo 5'!S16*Anexo1!$D$10,0)</f>
        <v>0</v>
      </c>
      <c r="T16" s="31">
        <f>ROUND('Anexo 5'!T16*Anexo1!$D$10,0)</f>
        <v>0</v>
      </c>
      <c r="U16" s="31">
        <f>ROUND('Anexo 5'!U16*Anexo1!$D$10,0)</f>
        <v>0</v>
      </c>
      <c r="V16" s="31">
        <f>ROUND('Anexo 5'!V16*Anexo1!$D$10,0)</f>
        <v>0</v>
      </c>
      <c r="W16" s="31">
        <f>ROUND('Anexo 5'!W16*Anexo1!$D$10,0)</f>
        <v>0</v>
      </c>
      <c r="X16" s="31">
        <f>ROUND('Anexo 5'!X16*Anexo1!$D$10,0)</f>
        <v>0</v>
      </c>
      <c r="Y16" s="31">
        <f>ROUND('Anexo 5'!Y16*Anexo1!$D$10,0)</f>
        <v>0</v>
      </c>
      <c r="Z16" s="31">
        <f>ROUND('Anexo 5'!Z16*Anexo1!$D$10,0)</f>
        <v>0</v>
      </c>
      <c r="AA16" s="36">
        <f t="shared" si="0"/>
        <v>0</v>
      </c>
      <c r="AB16" s="19">
        <v>4</v>
      </c>
      <c r="AC16" s="91"/>
      <c r="AD16" s="45"/>
    </row>
    <row r="17" spans="1:30" ht="15.75" thickBot="1" x14ac:dyDescent="0.3">
      <c r="A17" s="89"/>
      <c r="B17" s="20" t="s">
        <v>3</v>
      </c>
      <c r="C17" s="31">
        <f>ROUND('Anexo 5'!C17*Anexo1!$D$10,0)</f>
        <v>0</v>
      </c>
      <c r="D17" s="31">
        <f>ROUND('Anexo 5'!D17*Anexo1!$D$10,0)</f>
        <v>0</v>
      </c>
      <c r="E17" s="31">
        <f>ROUND('Anexo 5'!E17*Anexo1!$D$10,0)</f>
        <v>0</v>
      </c>
      <c r="F17" s="31">
        <f>ROUND('Anexo 5'!F17*Anexo1!$D$10,0)</f>
        <v>0</v>
      </c>
      <c r="G17" s="31">
        <f>ROUND('Anexo 5'!G17*Anexo1!$D$10,0)</f>
        <v>0</v>
      </c>
      <c r="H17" s="31">
        <f>ROUND('Anexo 5'!H17*Anexo1!$D$10,0)</f>
        <v>0</v>
      </c>
      <c r="I17" s="31">
        <f>ROUND('Anexo 5'!I17*Anexo1!$D$10,0)</f>
        <v>0</v>
      </c>
      <c r="J17" s="31">
        <f>ROUND('Anexo 5'!J17*Anexo1!$D$10,0)</f>
        <v>0</v>
      </c>
      <c r="K17" s="31">
        <f>ROUND('Anexo 5'!K17*Anexo1!$D$10,0)</f>
        <v>0</v>
      </c>
      <c r="L17" s="31">
        <f>ROUND('Anexo 5'!L17*Anexo1!$D$10,0)</f>
        <v>0</v>
      </c>
      <c r="M17" s="31">
        <f>ROUND('Anexo 5'!M17*Anexo1!$D$10,0)</f>
        <v>0</v>
      </c>
      <c r="N17" s="31">
        <f>ROUND('Anexo 5'!N17*Anexo1!$D$10,0)</f>
        <v>0</v>
      </c>
      <c r="O17" s="31">
        <f>ROUND('Anexo 5'!O17*Anexo1!$D$10,0)</f>
        <v>0</v>
      </c>
      <c r="P17" s="31">
        <f>ROUND('Anexo 5'!P17*Anexo1!$D$10,0)</f>
        <v>0</v>
      </c>
      <c r="Q17" s="31">
        <f>ROUND('Anexo 5'!Q17*Anexo1!$D$10,0)</f>
        <v>0</v>
      </c>
      <c r="R17" s="31">
        <f>ROUND('Anexo 5'!R17*Anexo1!$D$10,0)</f>
        <v>0</v>
      </c>
      <c r="S17" s="31">
        <f>ROUND('Anexo 5'!S17*Anexo1!$D$10,0)</f>
        <v>0</v>
      </c>
      <c r="T17" s="31">
        <f>ROUND('Anexo 5'!T17*Anexo1!$D$10,0)</f>
        <v>0</v>
      </c>
      <c r="U17" s="31">
        <f>ROUND('Anexo 5'!U17*Anexo1!$D$10,0)</f>
        <v>0</v>
      </c>
      <c r="V17" s="31">
        <f>ROUND('Anexo 5'!V17*Anexo1!$D$10,0)</f>
        <v>0</v>
      </c>
      <c r="W17" s="31">
        <f>ROUND('Anexo 5'!W17*Anexo1!$D$10,0)</f>
        <v>0</v>
      </c>
      <c r="X17" s="31">
        <f>ROUND('Anexo 5'!X17*Anexo1!$D$10,0)</f>
        <v>0</v>
      </c>
      <c r="Y17" s="31">
        <f>ROUND('Anexo 5'!Y17*Anexo1!$D$10,0)</f>
        <v>0</v>
      </c>
      <c r="Z17" s="31">
        <f>ROUND('Anexo 5'!Z17*Anexo1!$D$10,0)</f>
        <v>0</v>
      </c>
      <c r="AA17" s="39">
        <f t="shared" si="0"/>
        <v>0</v>
      </c>
      <c r="AB17" s="21">
        <v>4</v>
      </c>
      <c r="AC17" s="92"/>
      <c r="AD17" s="46"/>
    </row>
    <row r="18" spans="1:30" ht="15.75" thickBot="1" x14ac:dyDescent="0.3">
      <c r="A18" s="89">
        <v>46508</v>
      </c>
      <c r="B18" s="16" t="s">
        <v>5</v>
      </c>
      <c r="C18" s="31">
        <f>ROUND('Anexo 5'!C18*Anexo1!$D$10,0)</f>
        <v>0</v>
      </c>
      <c r="D18" s="31">
        <f>ROUND('Anexo 5'!D18*Anexo1!$D$10,0)</f>
        <v>0</v>
      </c>
      <c r="E18" s="31">
        <f>ROUND('Anexo 5'!E18*Anexo1!$D$10,0)</f>
        <v>0</v>
      </c>
      <c r="F18" s="31">
        <f>ROUND('Anexo 5'!F18*Anexo1!$D$10,0)</f>
        <v>0</v>
      </c>
      <c r="G18" s="31">
        <f>ROUND('Anexo 5'!G18*Anexo1!$D$10,0)</f>
        <v>0</v>
      </c>
      <c r="H18" s="31">
        <f>ROUND('Anexo 5'!H18*Anexo1!$D$10,0)</f>
        <v>0</v>
      </c>
      <c r="I18" s="31">
        <f>ROUND('Anexo 5'!I18*Anexo1!$D$10,0)</f>
        <v>0</v>
      </c>
      <c r="J18" s="31">
        <f>ROUND('Anexo 5'!J18*Anexo1!$D$10,0)</f>
        <v>0</v>
      </c>
      <c r="K18" s="31">
        <f>ROUND('Anexo 5'!K18*Anexo1!$D$10,0)</f>
        <v>0</v>
      </c>
      <c r="L18" s="31">
        <f>ROUND('Anexo 5'!L18*Anexo1!$D$10,0)</f>
        <v>0</v>
      </c>
      <c r="M18" s="31">
        <f>ROUND('Anexo 5'!M18*Anexo1!$D$10,0)</f>
        <v>0</v>
      </c>
      <c r="N18" s="31">
        <f>ROUND('Anexo 5'!N18*Anexo1!$D$10,0)</f>
        <v>0</v>
      </c>
      <c r="O18" s="31">
        <f>ROUND('Anexo 5'!O18*Anexo1!$D$10,0)</f>
        <v>0</v>
      </c>
      <c r="P18" s="31">
        <f>ROUND('Anexo 5'!P18*Anexo1!$D$10,0)</f>
        <v>0</v>
      </c>
      <c r="Q18" s="31">
        <f>ROUND('Anexo 5'!Q18*Anexo1!$D$10,0)</f>
        <v>0</v>
      </c>
      <c r="R18" s="31">
        <f>ROUND('Anexo 5'!R18*Anexo1!$D$10,0)</f>
        <v>0</v>
      </c>
      <c r="S18" s="31">
        <f>ROUND('Anexo 5'!S18*Anexo1!$D$10,0)</f>
        <v>0</v>
      </c>
      <c r="T18" s="31">
        <f>ROUND('Anexo 5'!T18*Anexo1!$D$10,0)</f>
        <v>0</v>
      </c>
      <c r="U18" s="31">
        <f>ROUND('Anexo 5'!U18*Anexo1!$D$10,0)</f>
        <v>0</v>
      </c>
      <c r="V18" s="31">
        <f>ROUND('Anexo 5'!V18*Anexo1!$D$10,0)</f>
        <v>0</v>
      </c>
      <c r="W18" s="31">
        <f>ROUND('Anexo 5'!W18*Anexo1!$D$10,0)</f>
        <v>0</v>
      </c>
      <c r="X18" s="31">
        <f>ROUND('Anexo 5'!X18*Anexo1!$D$10,0)</f>
        <v>0</v>
      </c>
      <c r="Y18" s="31">
        <f>ROUND('Anexo 5'!Y18*Anexo1!$D$10,0)</f>
        <v>0</v>
      </c>
      <c r="Z18" s="31">
        <f>ROUND('Anexo 5'!Z18*Anexo1!$D$10,0)</f>
        <v>0</v>
      </c>
      <c r="AA18" s="33">
        <f t="shared" si="0"/>
        <v>0</v>
      </c>
      <c r="AB18" s="17">
        <v>19</v>
      </c>
      <c r="AC18" s="90">
        <f>+AA18*AB18+AA19*AB19+AA20*AB20</f>
        <v>0</v>
      </c>
    </row>
    <row r="19" spans="1:30" ht="15.75" thickBot="1" x14ac:dyDescent="0.3">
      <c r="A19" s="89"/>
      <c r="B19" s="18" t="s">
        <v>4</v>
      </c>
      <c r="C19" s="31">
        <f>ROUND('Anexo 5'!C19*Anexo1!$D$10,0)</f>
        <v>0</v>
      </c>
      <c r="D19" s="31">
        <f>ROUND('Anexo 5'!D19*Anexo1!$D$10,0)</f>
        <v>0</v>
      </c>
      <c r="E19" s="31">
        <f>ROUND('Anexo 5'!E19*Anexo1!$D$10,0)</f>
        <v>0</v>
      </c>
      <c r="F19" s="31">
        <f>ROUND('Anexo 5'!F19*Anexo1!$D$10,0)</f>
        <v>0</v>
      </c>
      <c r="G19" s="31">
        <f>ROUND('Anexo 5'!G19*Anexo1!$D$10,0)</f>
        <v>0</v>
      </c>
      <c r="H19" s="31">
        <f>ROUND('Anexo 5'!H19*Anexo1!$D$10,0)</f>
        <v>0</v>
      </c>
      <c r="I19" s="31">
        <f>ROUND('Anexo 5'!I19*Anexo1!$D$10,0)</f>
        <v>0</v>
      </c>
      <c r="J19" s="31">
        <f>ROUND('Anexo 5'!J19*Anexo1!$D$10,0)</f>
        <v>0</v>
      </c>
      <c r="K19" s="31">
        <f>ROUND('Anexo 5'!K19*Anexo1!$D$10,0)</f>
        <v>0</v>
      </c>
      <c r="L19" s="31">
        <f>ROUND('Anexo 5'!L19*Anexo1!$D$10,0)</f>
        <v>0</v>
      </c>
      <c r="M19" s="31">
        <f>ROUND('Anexo 5'!M19*Anexo1!$D$10,0)</f>
        <v>0</v>
      </c>
      <c r="N19" s="31">
        <f>ROUND('Anexo 5'!N19*Anexo1!$D$10,0)</f>
        <v>0</v>
      </c>
      <c r="O19" s="31">
        <f>ROUND('Anexo 5'!O19*Anexo1!$D$10,0)</f>
        <v>0</v>
      </c>
      <c r="P19" s="31">
        <f>ROUND('Anexo 5'!P19*Anexo1!$D$10,0)</f>
        <v>0</v>
      </c>
      <c r="Q19" s="31">
        <f>ROUND('Anexo 5'!Q19*Anexo1!$D$10,0)</f>
        <v>0</v>
      </c>
      <c r="R19" s="31">
        <f>ROUND('Anexo 5'!R19*Anexo1!$D$10,0)</f>
        <v>0</v>
      </c>
      <c r="S19" s="31">
        <f>ROUND('Anexo 5'!S19*Anexo1!$D$10,0)</f>
        <v>0</v>
      </c>
      <c r="T19" s="31">
        <f>ROUND('Anexo 5'!T19*Anexo1!$D$10,0)</f>
        <v>0</v>
      </c>
      <c r="U19" s="31">
        <f>ROUND('Anexo 5'!U19*Anexo1!$D$10,0)</f>
        <v>0</v>
      </c>
      <c r="V19" s="31">
        <f>ROUND('Anexo 5'!V19*Anexo1!$D$10,0)</f>
        <v>0</v>
      </c>
      <c r="W19" s="31">
        <f>ROUND('Anexo 5'!W19*Anexo1!$D$10,0)</f>
        <v>0</v>
      </c>
      <c r="X19" s="31">
        <f>ROUND('Anexo 5'!X19*Anexo1!$D$10,0)</f>
        <v>0</v>
      </c>
      <c r="Y19" s="31">
        <f>ROUND('Anexo 5'!Y19*Anexo1!$D$10,0)</f>
        <v>0</v>
      </c>
      <c r="Z19" s="31">
        <f>ROUND('Anexo 5'!Z19*Anexo1!$D$10,0)</f>
        <v>0</v>
      </c>
      <c r="AA19" s="36">
        <f t="shared" si="0"/>
        <v>0</v>
      </c>
      <c r="AB19" s="19">
        <v>4</v>
      </c>
      <c r="AC19" s="91"/>
      <c r="AD19" s="45"/>
    </row>
    <row r="20" spans="1:30" ht="15.75" thickBot="1" x14ac:dyDescent="0.3">
      <c r="A20" s="89"/>
      <c r="B20" s="20" t="s">
        <v>3</v>
      </c>
      <c r="C20" s="31">
        <f>ROUND('Anexo 5'!C20*Anexo1!$D$10,0)</f>
        <v>0</v>
      </c>
      <c r="D20" s="31">
        <f>ROUND('Anexo 5'!D20*Anexo1!$D$10,0)</f>
        <v>0</v>
      </c>
      <c r="E20" s="31">
        <f>ROUND('Anexo 5'!E20*Anexo1!$D$10,0)</f>
        <v>0</v>
      </c>
      <c r="F20" s="31">
        <f>ROUND('Anexo 5'!F20*Anexo1!$D$10,0)</f>
        <v>0</v>
      </c>
      <c r="G20" s="31">
        <f>ROUND('Anexo 5'!G20*Anexo1!$D$10,0)</f>
        <v>0</v>
      </c>
      <c r="H20" s="31">
        <f>ROUND('Anexo 5'!H20*Anexo1!$D$10,0)</f>
        <v>0</v>
      </c>
      <c r="I20" s="31">
        <f>ROUND('Anexo 5'!I20*Anexo1!$D$10,0)</f>
        <v>0</v>
      </c>
      <c r="J20" s="31">
        <f>ROUND('Anexo 5'!J20*Anexo1!$D$10,0)</f>
        <v>0</v>
      </c>
      <c r="K20" s="31">
        <f>ROUND('Anexo 5'!K20*Anexo1!$D$10,0)</f>
        <v>0</v>
      </c>
      <c r="L20" s="31">
        <f>ROUND('Anexo 5'!L20*Anexo1!$D$10,0)</f>
        <v>0</v>
      </c>
      <c r="M20" s="31">
        <f>ROUND('Anexo 5'!M20*Anexo1!$D$10,0)</f>
        <v>0</v>
      </c>
      <c r="N20" s="31">
        <f>ROUND('Anexo 5'!N20*Anexo1!$D$10,0)</f>
        <v>0</v>
      </c>
      <c r="O20" s="31">
        <f>ROUND('Anexo 5'!O20*Anexo1!$D$10,0)</f>
        <v>0</v>
      </c>
      <c r="P20" s="31">
        <f>ROUND('Anexo 5'!P20*Anexo1!$D$10,0)</f>
        <v>0</v>
      </c>
      <c r="Q20" s="31">
        <f>ROUND('Anexo 5'!Q20*Anexo1!$D$10,0)</f>
        <v>0</v>
      </c>
      <c r="R20" s="31">
        <f>ROUND('Anexo 5'!R20*Anexo1!$D$10,0)</f>
        <v>0</v>
      </c>
      <c r="S20" s="31">
        <f>ROUND('Anexo 5'!S20*Anexo1!$D$10,0)</f>
        <v>0</v>
      </c>
      <c r="T20" s="31">
        <f>ROUND('Anexo 5'!T20*Anexo1!$D$10,0)</f>
        <v>0</v>
      </c>
      <c r="U20" s="31">
        <f>ROUND('Anexo 5'!U20*Anexo1!$D$10,0)</f>
        <v>0</v>
      </c>
      <c r="V20" s="31">
        <f>ROUND('Anexo 5'!V20*Anexo1!$D$10,0)</f>
        <v>0</v>
      </c>
      <c r="W20" s="31">
        <f>ROUND('Anexo 5'!W20*Anexo1!$D$10,0)</f>
        <v>0</v>
      </c>
      <c r="X20" s="31">
        <f>ROUND('Anexo 5'!X20*Anexo1!$D$10,0)</f>
        <v>0</v>
      </c>
      <c r="Y20" s="31">
        <f>ROUND('Anexo 5'!Y20*Anexo1!$D$10,0)</f>
        <v>0</v>
      </c>
      <c r="Z20" s="31">
        <f>ROUND('Anexo 5'!Z20*Anexo1!$D$10,0)</f>
        <v>0</v>
      </c>
      <c r="AA20" s="39">
        <f t="shared" si="0"/>
        <v>0</v>
      </c>
      <c r="AB20" s="21">
        <v>8</v>
      </c>
      <c r="AC20" s="92"/>
      <c r="AD20" s="46"/>
    </row>
    <row r="21" spans="1:30" ht="15.75" thickBot="1" x14ac:dyDescent="0.3">
      <c r="A21" s="89">
        <v>46539</v>
      </c>
      <c r="B21" s="16" t="s">
        <v>5</v>
      </c>
      <c r="C21" s="31">
        <f>ROUND('Anexo 5'!C21*Anexo1!$D$10,0)</f>
        <v>0</v>
      </c>
      <c r="D21" s="31">
        <f>ROUND('Anexo 5'!D21*Anexo1!$D$10,0)</f>
        <v>0</v>
      </c>
      <c r="E21" s="31">
        <f>ROUND('Anexo 5'!E21*Anexo1!$D$10,0)</f>
        <v>0</v>
      </c>
      <c r="F21" s="31">
        <f>ROUND('Anexo 5'!F21*Anexo1!$D$10,0)</f>
        <v>0</v>
      </c>
      <c r="G21" s="31">
        <f>ROUND('Anexo 5'!G21*Anexo1!$D$10,0)</f>
        <v>0</v>
      </c>
      <c r="H21" s="31">
        <f>ROUND('Anexo 5'!H21*Anexo1!$D$10,0)</f>
        <v>0</v>
      </c>
      <c r="I21" s="31">
        <f>ROUND('Anexo 5'!I21*Anexo1!$D$10,0)</f>
        <v>0</v>
      </c>
      <c r="J21" s="31">
        <f>ROUND('Anexo 5'!J21*Anexo1!$D$10,0)</f>
        <v>0</v>
      </c>
      <c r="K21" s="31">
        <f>ROUND('Anexo 5'!K21*Anexo1!$D$10,0)</f>
        <v>0</v>
      </c>
      <c r="L21" s="31">
        <f>ROUND('Anexo 5'!L21*Anexo1!$D$10,0)</f>
        <v>0</v>
      </c>
      <c r="M21" s="31">
        <f>ROUND('Anexo 5'!M21*Anexo1!$D$10,0)</f>
        <v>0</v>
      </c>
      <c r="N21" s="31">
        <f>ROUND('Anexo 5'!N21*Anexo1!$D$10,0)</f>
        <v>0</v>
      </c>
      <c r="O21" s="31">
        <f>ROUND('Anexo 5'!O21*Anexo1!$D$10,0)</f>
        <v>0</v>
      </c>
      <c r="P21" s="31">
        <f>ROUND('Anexo 5'!P21*Anexo1!$D$10,0)</f>
        <v>0</v>
      </c>
      <c r="Q21" s="31">
        <f>ROUND('Anexo 5'!Q21*Anexo1!$D$10,0)</f>
        <v>0</v>
      </c>
      <c r="R21" s="31">
        <f>ROUND('Anexo 5'!R21*Anexo1!$D$10,0)</f>
        <v>0</v>
      </c>
      <c r="S21" s="31">
        <f>ROUND('Anexo 5'!S21*Anexo1!$D$10,0)</f>
        <v>0</v>
      </c>
      <c r="T21" s="31">
        <f>ROUND('Anexo 5'!T21*Anexo1!$D$10,0)</f>
        <v>0</v>
      </c>
      <c r="U21" s="31">
        <f>ROUND('Anexo 5'!U21*Anexo1!$D$10,0)</f>
        <v>0</v>
      </c>
      <c r="V21" s="31">
        <f>ROUND('Anexo 5'!V21*Anexo1!$D$10,0)</f>
        <v>0</v>
      </c>
      <c r="W21" s="31">
        <f>ROUND('Anexo 5'!W21*Anexo1!$D$10,0)</f>
        <v>0</v>
      </c>
      <c r="X21" s="31">
        <f>ROUND('Anexo 5'!X21*Anexo1!$D$10,0)</f>
        <v>0</v>
      </c>
      <c r="Y21" s="31">
        <f>ROUND('Anexo 5'!Y21*Anexo1!$D$10,0)</f>
        <v>0</v>
      </c>
      <c r="Z21" s="31">
        <f>ROUND('Anexo 5'!Z21*Anexo1!$D$10,0)</f>
        <v>0</v>
      </c>
      <c r="AA21" s="33">
        <f t="shared" si="0"/>
        <v>0</v>
      </c>
      <c r="AB21" s="17">
        <v>21</v>
      </c>
      <c r="AC21" s="90">
        <f>+AA21*AB21+AA22*AB22+AA23*AB23</f>
        <v>0</v>
      </c>
    </row>
    <row r="22" spans="1:30" ht="15.75" thickBot="1" x14ac:dyDescent="0.3">
      <c r="A22" s="89"/>
      <c r="B22" s="18" t="s">
        <v>4</v>
      </c>
      <c r="C22" s="31">
        <f>ROUND('Anexo 5'!C22*Anexo1!$D$10,0)</f>
        <v>0</v>
      </c>
      <c r="D22" s="31">
        <f>ROUND('Anexo 5'!D22*Anexo1!$D$10,0)</f>
        <v>0</v>
      </c>
      <c r="E22" s="31">
        <f>ROUND('Anexo 5'!E22*Anexo1!$D$10,0)</f>
        <v>0</v>
      </c>
      <c r="F22" s="31">
        <f>ROUND('Anexo 5'!F22*Anexo1!$D$10,0)</f>
        <v>0</v>
      </c>
      <c r="G22" s="31">
        <f>ROUND('Anexo 5'!G22*Anexo1!$D$10,0)</f>
        <v>0</v>
      </c>
      <c r="H22" s="31">
        <f>ROUND('Anexo 5'!H22*Anexo1!$D$10,0)</f>
        <v>0</v>
      </c>
      <c r="I22" s="31">
        <f>ROUND('Anexo 5'!I22*Anexo1!$D$10,0)</f>
        <v>0</v>
      </c>
      <c r="J22" s="31">
        <f>ROUND('Anexo 5'!J22*Anexo1!$D$10,0)</f>
        <v>0</v>
      </c>
      <c r="K22" s="31">
        <f>ROUND('Anexo 5'!K22*Anexo1!$D$10,0)</f>
        <v>0</v>
      </c>
      <c r="L22" s="31">
        <f>ROUND('Anexo 5'!L22*Anexo1!$D$10,0)</f>
        <v>0</v>
      </c>
      <c r="M22" s="31">
        <f>ROUND('Anexo 5'!M22*Anexo1!$D$10,0)</f>
        <v>0</v>
      </c>
      <c r="N22" s="31">
        <f>ROUND('Anexo 5'!N22*Anexo1!$D$10,0)</f>
        <v>0</v>
      </c>
      <c r="O22" s="31">
        <f>ROUND('Anexo 5'!O22*Anexo1!$D$10,0)</f>
        <v>0</v>
      </c>
      <c r="P22" s="31">
        <f>ROUND('Anexo 5'!P22*Anexo1!$D$10,0)</f>
        <v>0</v>
      </c>
      <c r="Q22" s="31">
        <f>ROUND('Anexo 5'!Q22*Anexo1!$D$10,0)</f>
        <v>0</v>
      </c>
      <c r="R22" s="31">
        <f>ROUND('Anexo 5'!R22*Anexo1!$D$10,0)</f>
        <v>0</v>
      </c>
      <c r="S22" s="31">
        <f>ROUND('Anexo 5'!S22*Anexo1!$D$10,0)</f>
        <v>0</v>
      </c>
      <c r="T22" s="31">
        <f>ROUND('Anexo 5'!T22*Anexo1!$D$10,0)</f>
        <v>0</v>
      </c>
      <c r="U22" s="31">
        <f>ROUND('Anexo 5'!U22*Anexo1!$D$10,0)</f>
        <v>0</v>
      </c>
      <c r="V22" s="31">
        <f>ROUND('Anexo 5'!V22*Anexo1!$D$10,0)</f>
        <v>0</v>
      </c>
      <c r="W22" s="31">
        <f>ROUND('Anexo 5'!W22*Anexo1!$D$10,0)</f>
        <v>0</v>
      </c>
      <c r="X22" s="31">
        <f>ROUND('Anexo 5'!X22*Anexo1!$D$10,0)</f>
        <v>0</v>
      </c>
      <c r="Y22" s="31">
        <f>ROUND('Anexo 5'!Y22*Anexo1!$D$10,0)</f>
        <v>0</v>
      </c>
      <c r="Z22" s="31">
        <f>ROUND('Anexo 5'!Z22*Anexo1!$D$10,0)</f>
        <v>0</v>
      </c>
      <c r="AA22" s="36">
        <f t="shared" si="0"/>
        <v>0</v>
      </c>
      <c r="AB22" s="19">
        <v>4</v>
      </c>
      <c r="AC22" s="91"/>
      <c r="AD22" s="45"/>
    </row>
    <row r="23" spans="1:30" ht="15.75" thickBot="1" x14ac:dyDescent="0.3">
      <c r="A23" s="89"/>
      <c r="B23" s="20" t="s">
        <v>3</v>
      </c>
      <c r="C23" s="31">
        <f>ROUND('Anexo 5'!C23*Anexo1!$D$10,0)</f>
        <v>0</v>
      </c>
      <c r="D23" s="31">
        <f>ROUND('Anexo 5'!D23*Anexo1!$D$10,0)</f>
        <v>0</v>
      </c>
      <c r="E23" s="31">
        <f>ROUND('Anexo 5'!E23*Anexo1!$D$10,0)</f>
        <v>0</v>
      </c>
      <c r="F23" s="31">
        <f>ROUND('Anexo 5'!F23*Anexo1!$D$10,0)</f>
        <v>0</v>
      </c>
      <c r="G23" s="31">
        <f>ROUND('Anexo 5'!G23*Anexo1!$D$10,0)</f>
        <v>0</v>
      </c>
      <c r="H23" s="31">
        <f>ROUND('Anexo 5'!H23*Anexo1!$D$10,0)</f>
        <v>0</v>
      </c>
      <c r="I23" s="31">
        <f>ROUND('Anexo 5'!I23*Anexo1!$D$10,0)</f>
        <v>0</v>
      </c>
      <c r="J23" s="31">
        <f>ROUND('Anexo 5'!J23*Anexo1!$D$10,0)</f>
        <v>0</v>
      </c>
      <c r="K23" s="31">
        <f>ROUND('Anexo 5'!K23*Anexo1!$D$10,0)</f>
        <v>0</v>
      </c>
      <c r="L23" s="31">
        <f>ROUND('Anexo 5'!L23*Anexo1!$D$10,0)</f>
        <v>0</v>
      </c>
      <c r="M23" s="31">
        <f>ROUND('Anexo 5'!M23*Anexo1!$D$10,0)</f>
        <v>0</v>
      </c>
      <c r="N23" s="31">
        <f>ROUND('Anexo 5'!N23*Anexo1!$D$10,0)</f>
        <v>0</v>
      </c>
      <c r="O23" s="31">
        <f>ROUND('Anexo 5'!O23*Anexo1!$D$10,0)</f>
        <v>0</v>
      </c>
      <c r="P23" s="31">
        <f>ROUND('Anexo 5'!P23*Anexo1!$D$10,0)</f>
        <v>0</v>
      </c>
      <c r="Q23" s="31">
        <f>ROUND('Anexo 5'!Q23*Anexo1!$D$10,0)</f>
        <v>0</v>
      </c>
      <c r="R23" s="31">
        <f>ROUND('Anexo 5'!R23*Anexo1!$D$10,0)</f>
        <v>0</v>
      </c>
      <c r="S23" s="31">
        <f>ROUND('Anexo 5'!S23*Anexo1!$D$10,0)</f>
        <v>0</v>
      </c>
      <c r="T23" s="31">
        <f>ROUND('Anexo 5'!T23*Anexo1!$D$10,0)</f>
        <v>0</v>
      </c>
      <c r="U23" s="31">
        <f>ROUND('Anexo 5'!U23*Anexo1!$D$10,0)</f>
        <v>0</v>
      </c>
      <c r="V23" s="31">
        <f>ROUND('Anexo 5'!V23*Anexo1!$D$10,0)</f>
        <v>0</v>
      </c>
      <c r="W23" s="31">
        <f>ROUND('Anexo 5'!W23*Anexo1!$D$10,0)</f>
        <v>0</v>
      </c>
      <c r="X23" s="31">
        <f>ROUND('Anexo 5'!X23*Anexo1!$D$10,0)</f>
        <v>0</v>
      </c>
      <c r="Y23" s="31">
        <f>ROUND('Anexo 5'!Y23*Anexo1!$D$10,0)</f>
        <v>0</v>
      </c>
      <c r="Z23" s="31">
        <f>ROUND('Anexo 5'!Z23*Anexo1!$D$10,0)</f>
        <v>0</v>
      </c>
      <c r="AA23" s="39">
        <f t="shared" si="0"/>
        <v>0</v>
      </c>
      <c r="AB23" s="21">
        <v>5</v>
      </c>
      <c r="AC23" s="92"/>
      <c r="AD23" s="46"/>
    </row>
    <row r="24" spans="1:30" ht="15.75" thickBot="1" x14ac:dyDescent="0.3">
      <c r="A24" s="89">
        <v>46569</v>
      </c>
      <c r="B24" s="16" t="s">
        <v>5</v>
      </c>
      <c r="C24" s="31">
        <f>ROUND('Anexo 5'!C24*Anexo1!$D$10,0)</f>
        <v>0</v>
      </c>
      <c r="D24" s="31">
        <f>ROUND('Anexo 5'!D24*Anexo1!$D$10,0)</f>
        <v>0</v>
      </c>
      <c r="E24" s="31">
        <f>ROUND('Anexo 5'!E24*Anexo1!$D$10,0)</f>
        <v>0</v>
      </c>
      <c r="F24" s="31">
        <f>ROUND('Anexo 5'!F24*Anexo1!$D$10,0)</f>
        <v>0</v>
      </c>
      <c r="G24" s="31">
        <f>ROUND('Anexo 5'!G24*Anexo1!$D$10,0)</f>
        <v>0</v>
      </c>
      <c r="H24" s="31">
        <f>ROUND('Anexo 5'!H24*Anexo1!$D$10,0)</f>
        <v>0</v>
      </c>
      <c r="I24" s="31">
        <f>ROUND('Anexo 5'!I24*Anexo1!$D$10,0)</f>
        <v>0</v>
      </c>
      <c r="J24" s="31">
        <f>ROUND('Anexo 5'!J24*Anexo1!$D$10,0)</f>
        <v>0</v>
      </c>
      <c r="K24" s="31">
        <f>ROUND('Anexo 5'!K24*Anexo1!$D$10,0)</f>
        <v>0</v>
      </c>
      <c r="L24" s="31">
        <f>ROUND('Anexo 5'!L24*Anexo1!$D$10,0)</f>
        <v>0</v>
      </c>
      <c r="M24" s="31">
        <f>ROUND('Anexo 5'!M24*Anexo1!$D$10,0)</f>
        <v>0</v>
      </c>
      <c r="N24" s="31">
        <f>ROUND('Anexo 5'!N24*Anexo1!$D$10,0)</f>
        <v>0</v>
      </c>
      <c r="O24" s="31">
        <f>ROUND('Anexo 5'!O24*Anexo1!$D$10,0)</f>
        <v>0</v>
      </c>
      <c r="P24" s="31">
        <f>ROUND('Anexo 5'!P24*Anexo1!$D$10,0)</f>
        <v>0</v>
      </c>
      <c r="Q24" s="31">
        <f>ROUND('Anexo 5'!Q24*Anexo1!$D$10,0)</f>
        <v>0</v>
      </c>
      <c r="R24" s="31">
        <f>ROUND('Anexo 5'!R24*Anexo1!$D$10,0)</f>
        <v>0</v>
      </c>
      <c r="S24" s="31">
        <f>ROUND('Anexo 5'!S24*Anexo1!$D$10,0)</f>
        <v>0</v>
      </c>
      <c r="T24" s="31">
        <f>ROUND('Anexo 5'!T24*Anexo1!$D$10,0)</f>
        <v>0</v>
      </c>
      <c r="U24" s="31">
        <f>ROUND('Anexo 5'!U24*Anexo1!$D$10,0)</f>
        <v>0</v>
      </c>
      <c r="V24" s="31">
        <f>ROUND('Anexo 5'!V24*Anexo1!$D$10,0)</f>
        <v>0</v>
      </c>
      <c r="W24" s="31">
        <f>ROUND('Anexo 5'!W24*Anexo1!$D$10,0)</f>
        <v>0</v>
      </c>
      <c r="X24" s="31">
        <f>ROUND('Anexo 5'!X24*Anexo1!$D$10,0)</f>
        <v>0</v>
      </c>
      <c r="Y24" s="31">
        <f>ROUND('Anexo 5'!Y24*Anexo1!$D$10,0)</f>
        <v>0</v>
      </c>
      <c r="Z24" s="31">
        <f>ROUND('Anexo 5'!Z24*Anexo1!$D$10,0)</f>
        <v>0</v>
      </c>
      <c r="AA24" s="33">
        <f t="shared" si="0"/>
        <v>0</v>
      </c>
      <c r="AB24" s="17">
        <v>20</v>
      </c>
      <c r="AC24" s="90">
        <f>+AA24*AB24+AA25*AB25+AA26*AB26</f>
        <v>0</v>
      </c>
    </row>
    <row r="25" spans="1:30" ht="15.75" thickBot="1" x14ac:dyDescent="0.3">
      <c r="A25" s="89"/>
      <c r="B25" s="18" t="s">
        <v>4</v>
      </c>
      <c r="C25" s="31">
        <f>ROUND('Anexo 5'!C25*Anexo1!$D$10,0)</f>
        <v>0</v>
      </c>
      <c r="D25" s="31">
        <f>ROUND('Anexo 5'!D25*Anexo1!$D$10,0)</f>
        <v>0</v>
      </c>
      <c r="E25" s="31">
        <f>ROUND('Anexo 5'!E25*Anexo1!$D$10,0)</f>
        <v>0</v>
      </c>
      <c r="F25" s="31">
        <f>ROUND('Anexo 5'!F25*Anexo1!$D$10,0)</f>
        <v>0</v>
      </c>
      <c r="G25" s="31">
        <f>ROUND('Anexo 5'!G25*Anexo1!$D$10,0)</f>
        <v>0</v>
      </c>
      <c r="H25" s="31">
        <f>ROUND('Anexo 5'!H25*Anexo1!$D$10,0)</f>
        <v>0</v>
      </c>
      <c r="I25" s="31">
        <f>ROUND('Anexo 5'!I25*Anexo1!$D$10,0)</f>
        <v>0</v>
      </c>
      <c r="J25" s="31">
        <f>ROUND('Anexo 5'!J25*Anexo1!$D$10,0)</f>
        <v>0</v>
      </c>
      <c r="K25" s="31">
        <f>ROUND('Anexo 5'!K25*Anexo1!$D$10,0)</f>
        <v>0</v>
      </c>
      <c r="L25" s="31">
        <f>ROUND('Anexo 5'!L25*Anexo1!$D$10,0)</f>
        <v>0</v>
      </c>
      <c r="M25" s="31">
        <f>ROUND('Anexo 5'!M25*Anexo1!$D$10,0)</f>
        <v>0</v>
      </c>
      <c r="N25" s="31">
        <f>ROUND('Anexo 5'!N25*Anexo1!$D$10,0)</f>
        <v>0</v>
      </c>
      <c r="O25" s="31">
        <f>ROUND('Anexo 5'!O25*Anexo1!$D$10,0)</f>
        <v>0</v>
      </c>
      <c r="P25" s="31">
        <f>ROUND('Anexo 5'!P25*Anexo1!$D$10,0)</f>
        <v>0</v>
      </c>
      <c r="Q25" s="31">
        <f>ROUND('Anexo 5'!Q25*Anexo1!$D$10,0)</f>
        <v>0</v>
      </c>
      <c r="R25" s="31">
        <f>ROUND('Anexo 5'!R25*Anexo1!$D$10,0)</f>
        <v>0</v>
      </c>
      <c r="S25" s="31">
        <f>ROUND('Anexo 5'!S25*Anexo1!$D$10,0)</f>
        <v>0</v>
      </c>
      <c r="T25" s="31">
        <f>ROUND('Anexo 5'!T25*Anexo1!$D$10,0)</f>
        <v>0</v>
      </c>
      <c r="U25" s="31">
        <f>ROUND('Anexo 5'!U25*Anexo1!$D$10,0)</f>
        <v>0</v>
      </c>
      <c r="V25" s="31">
        <f>ROUND('Anexo 5'!V25*Anexo1!$D$10,0)</f>
        <v>0</v>
      </c>
      <c r="W25" s="31">
        <f>ROUND('Anexo 5'!W25*Anexo1!$D$10,0)</f>
        <v>0</v>
      </c>
      <c r="X25" s="31">
        <f>ROUND('Anexo 5'!X25*Anexo1!$D$10,0)</f>
        <v>0</v>
      </c>
      <c r="Y25" s="31">
        <f>ROUND('Anexo 5'!Y25*Anexo1!$D$10,0)</f>
        <v>0</v>
      </c>
      <c r="Z25" s="31">
        <f>ROUND('Anexo 5'!Z25*Anexo1!$D$10,0)</f>
        <v>0</v>
      </c>
      <c r="AA25" s="36">
        <f t="shared" si="0"/>
        <v>0</v>
      </c>
      <c r="AB25" s="19">
        <v>5</v>
      </c>
      <c r="AC25" s="91"/>
      <c r="AD25" s="45"/>
    </row>
    <row r="26" spans="1:30" ht="15.75" thickBot="1" x14ac:dyDescent="0.3">
      <c r="A26" s="89"/>
      <c r="B26" s="20" t="s">
        <v>3</v>
      </c>
      <c r="C26" s="31">
        <f>ROUND('Anexo 5'!C26*Anexo1!$D$10,0)</f>
        <v>0</v>
      </c>
      <c r="D26" s="31">
        <f>ROUND('Anexo 5'!D26*Anexo1!$D$10,0)</f>
        <v>0</v>
      </c>
      <c r="E26" s="31">
        <f>ROUND('Anexo 5'!E26*Anexo1!$D$10,0)</f>
        <v>0</v>
      </c>
      <c r="F26" s="31">
        <f>ROUND('Anexo 5'!F26*Anexo1!$D$10,0)</f>
        <v>0</v>
      </c>
      <c r="G26" s="31">
        <f>ROUND('Anexo 5'!G26*Anexo1!$D$10,0)</f>
        <v>0</v>
      </c>
      <c r="H26" s="31">
        <f>ROUND('Anexo 5'!H26*Anexo1!$D$10,0)</f>
        <v>0</v>
      </c>
      <c r="I26" s="31">
        <f>ROUND('Anexo 5'!I26*Anexo1!$D$10,0)</f>
        <v>0</v>
      </c>
      <c r="J26" s="31">
        <f>ROUND('Anexo 5'!J26*Anexo1!$D$10,0)</f>
        <v>0</v>
      </c>
      <c r="K26" s="31">
        <f>ROUND('Anexo 5'!K26*Anexo1!$D$10,0)</f>
        <v>0</v>
      </c>
      <c r="L26" s="31">
        <f>ROUND('Anexo 5'!L26*Anexo1!$D$10,0)</f>
        <v>0</v>
      </c>
      <c r="M26" s="31">
        <f>ROUND('Anexo 5'!M26*Anexo1!$D$10,0)</f>
        <v>0</v>
      </c>
      <c r="N26" s="31">
        <f>ROUND('Anexo 5'!N26*Anexo1!$D$10,0)</f>
        <v>0</v>
      </c>
      <c r="O26" s="31">
        <f>ROUND('Anexo 5'!O26*Anexo1!$D$10,0)</f>
        <v>0</v>
      </c>
      <c r="P26" s="31">
        <f>ROUND('Anexo 5'!P26*Anexo1!$D$10,0)</f>
        <v>0</v>
      </c>
      <c r="Q26" s="31">
        <f>ROUND('Anexo 5'!Q26*Anexo1!$D$10,0)</f>
        <v>0</v>
      </c>
      <c r="R26" s="31">
        <f>ROUND('Anexo 5'!R26*Anexo1!$D$10,0)</f>
        <v>0</v>
      </c>
      <c r="S26" s="31">
        <f>ROUND('Anexo 5'!S26*Anexo1!$D$10,0)</f>
        <v>0</v>
      </c>
      <c r="T26" s="31">
        <f>ROUND('Anexo 5'!T26*Anexo1!$D$10,0)</f>
        <v>0</v>
      </c>
      <c r="U26" s="31">
        <f>ROUND('Anexo 5'!U26*Anexo1!$D$10,0)</f>
        <v>0</v>
      </c>
      <c r="V26" s="31">
        <f>ROUND('Anexo 5'!V26*Anexo1!$D$10,0)</f>
        <v>0</v>
      </c>
      <c r="W26" s="31">
        <f>ROUND('Anexo 5'!W26*Anexo1!$D$10,0)</f>
        <v>0</v>
      </c>
      <c r="X26" s="31">
        <f>ROUND('Anexo 5'!X26*Anexo1!$D$10,0)</f>
        <v>0</v>
      </c>
      <c r="Y26" s="31">
        <f>ROUND('Anexo 5'!Y26*Anexo1!$D$10,0)</f>
        <v>0</v>
      </c>
      <c r="Z26" s="31">
        <f>ROUND('Anexo 5'!Z26*Anexo1!$D$10,0)</f>
        <v>0</v>
      </c>
      <c r="AA26" s="39">
        <f t="shared" si="0"/>
        <v>0</v>
      </c>
      <c r="AB26" s="21">
        <v>6</v>
      </c>
      <c r="AC26" s="92"/>
      <c r="AD26" s="46"/>
    </row>
    <row r="27" spans="1:30" ht="15.75" thickBot="1" x14ac:dyDescent="0.3">
      <c r="A27" s="89">
        <v>46600</v>
      </c>
      <c r="B27" s="16" t="s">
        <v>5</v>
      </c>
      <c r="C27" s="31">
        <f>ROUND('Anexo 5'!C27*Anexo1!$D$10,0)</f>
        <v>0</v>
      </c>
      <c r="D27" s="31">
        <f>ROUND('Anexo 5'!D27*Anexo1!$D$10,0)</f>
        <v>0</v>
      </c>
      <c r="E27" s="31">
        <f>ROUND('Anexo 5'!E27*Anexo1!$D$10,0)</f>
        <v>0</v>
      </c>
      <c r="F27" s="31">
        <f>ROUND('Anexo 5'!F27*Anexo1!$D$10,0)</f>
        <v>0</v>
      </c>
      <c r="G27" s="31">
        <f>ROUND('Anexo 5'!G27*Anexo1!$D$10,0)</f>
        <v>0</v>
      </c>
      <c r="H27" s="31">
        <f>ROUND('Anexo 5'!H27*Anexo1!$D$10,0)</f>
        <v>0</v>
      </c>
      <c r="I27" s="31">
        <f>ROUND('Anexo 5'!I27*Anexo1!$D$10,0)</f>
        <v>0</v>
      </c>
      <c r="J27" s="31">
        <f>ROUND('Anexo 5'!J27*Anexo1!$D$10,0)</f>
        <v>0</v>
      </c>
      <c r="K27" s="31">
        <f>ROUND('Anexo 5'!K27*Anexo1!$D$10,0)</f>
        <v>0</v>
      </c>
      <c r="L27" s="31">
        <f>ROUND('Anexo 5'!L27*Anexo1!$D$10,0)</f>
        <v>0</v>
      </c>
      <c r="M27" s="31">
        <f>ROUND('Anexo 5'!M27*Anexo1!$D$10,0)</f>
        <v>0</v>
      </c>
      <c r="N27" s="31">
        <f>ROUND('Anexo 5'!N27*Anexo1!$D$10,0)</f>
        <v>0</v>
      </c>
      <c r="O27" s="31">
        <f>ROUND('Anexo 5'!O27*Anexo1!$D$10,0)</f>
        <v>0</v>
      </c>
      <c r="P27" s="31">
        <f>ROUND('Anexo 5'!P27*Anexo1!$D$10,0)</f>
        <v>0</v>
      </c>
      <c r="Q27" s="31">
        <f>ROUND('Anexo 5'!Q27*Anexo1!$D$10,0)</f>
        <v>0</v>
      </c>
      <c r="R27" s="31">
        <f>ROUND('Anexo 5'!R27*Anexo1!$D$10,0)</f>
        <v>0</v>
      </c>
      <c r="S27" s="31">
        <f>ROUND('Anexo 5'!S27*Anexo1!$D$10,0)</f>
        <v>0</v>
      </c>
      <c r="T27" s="31">
        <f>ROUND('Anexo 5'!T27*Anexo1!$D$10,0)</f>
        <v>0</v>
      </c>
      <c r="U27" s="31">
        <f>ROUND('Anexo 5'!U27*Anexo1!$D$10,0)</f>
        <v>0</v>
      </c>
      <c r="V27" s="31">
        <f>ROUND('Anexo 5'!V27*Anexo1!$D$10,0)</f>
        <v>0</v>
      </c>
      <c r="W27" s="31">
        <f>ROUND('Anexo 5'!W27*Anexo1!$D$10,0)</f>
        <v>0</v>
      </c>
      <c r="X27" s="31">
        <f>ROUND('Anexo 5'!X27*Anexo1!$D$10,0)</f>
        <v>0</v>
      </c>
      <c r="Y27" s="31">
        <f>ROUND('Anexo 5'!Y27*Anexo1!$D$10,0)</f>
        <v>0</v>
      </c>
      <c r="Z27" s="31">
        <f>ROUND('Anexo 5'!Z27*Anexo1!$D$10,0)</f>
        <v>0</v>
      </c>
      <c r="AA27" s="33">
        <f t="shared" si="0"/>
        <v>0</v>
      </c>
      <c r="AB27" s="17">
        <v>21</v>
      </c>
      <c r="AC27" s="90">
        <f>+AA27*AB27+AA28*AB28+AA29*AB29</f>
        <v>0</v>
      </c>
    </row>
    <row r="28" spans="1:30" ht="15.75" thickBot="1" x14ac:dyDescent="0.3">
      <c r="A28" s="89"/>
      <c r="B28" s="18" t="s">
        <v>4</v>
      </c>
      <c r="C28" s="31">
        <f>ROUND('Anexo 5'!C28*Anexo1!$D$10,0)</f>
        <v>0</v>
      </c>
      <c r="D28" s="31">
        <f>ROUND('Anexo 5'!D28*Anexo1!$D$10,0)</f>
        <v>0</v>
      </c>
      <c r="E28" s="31">
        <f>ROUND('Anexo 5'!E28*Anexo1!$D$10,0)</f>
        <v>0</v>
      </c>
      <c r="F28" s="31">
        <f>ROUND('Anexo 5'!F28*Anexo1!$D$10,0)</f>
        <v>0</v>
      </c>
      <c r="G28" s="31">
        <f>ROUND('Anexo 5'!G28*Anexo1!$D$10,0)</f>
        <v>0</v>
      </c>
      <c r="H28" s="31">
        <f>ROUND('Anexo 5'!H28*Anexo1!$D$10,0)</f>
        <v>0</v>
      </c>
      <c r="I28" s="31">
        <f>ROUND('Anexo 5'!I28*Anexo1!$D$10,0)</f>
        <v>0</v>
      </c>
      <c r="J28" s="31">
        <f>ROUND('Anexo 5'!J28*Anexo1!$D$10,0)</f>
        <v>0</v>
      </c>
      <c r="K28" s="31">
        <f>ROUND('Anexo 5'!K28*Anexo1!$D$10,0)</f>
        <v>0</v>
      </c>
      <c r="L28" s="31">
        <f>ROUND('Anexo 5'!L28*Anexo1!$D$10,0)</f>
        <v>0</v>
      </c>
      <c r="M28" s="31">
        <f>ROUND('Anexo 5'!M28*Anexo1!$D$10,0)</f>
        <v>0</v>
      </c>
      <c r="N28" s="31">
        <f>ROUND('Anexo 5'!N28*Anexo1!$D$10,0)</f>
        <v>0</v>
      </c>
      <c r="O28" s="31">
        <f>ROUND('Anexo 5'!O28*Anexo1!$D$10,0)</f>
        <v>0</v>
      </c>
      <c r="P28" s="31">
        <f>ROUND('Anexo 5'!P28*Anexo1!$D$10,0)</f>
        <v>0</v>
      </c>
      <c r="Q28" s="31">
        <f>ROUND('Anexo 5'!Q28*Anexo1!$D$10,0)</f>
        <v>0</v>
      </c>
      <c r="R28" s="31">
        <f>ROUND('Anexo 5'!R28*Anexo1!$D$10,0)</f>
        <v>0</v>
      </c>
      <c r="S28" s="31">
        <f>ROUND('Anexo 5'!S28*Anexo1!$D$10,0)</f>
        <v>0</v>
      </c>
      <c r="T28" s="31">
        <f>ROUND('Anexo 5'!T28*Anexo1!$D$10,0)</f>
        <v>0</v>
      </c>
      <c r="U28" s="31">
        <f>ROUND('Anexo 5'!U28*Anexo1!$D$10,0)</f>
        <v>0</v>
      </c>
      <c r="V28" s="31">
        <f>ROUND('Anexo 5'!V28*Anexo1!$D$10,0)</f>
        <v>0</v>
      </c>
      <c r="W28" s="31">
        <f>ROUND('Anexo 5'!W28*Anexo1!$D$10,0)</f>
        <v>0</v>
      </c>
      <c r="X28" s="31">
        <f>ROUND('Anexo 5'!X28*Anexo1!$D$10,0)</f>
        <v>0</v>
      </c>
      <c r="Y28" s="31">
        <f>ROUND('Anexo 5'!Y28*Anexo1!$D$10,0)</f>
        <v>0</v>
      </c>
      <c r="Z28" s="31">
        <f>ROUND('Anexo 5'!Z28*Anexo1!$D$10,0)</f>
        <v>0</v>
      </c>
      <c r="AA28" s="36">
        <f t="shared" si="0"/>
        <v>0</v>
      </c>
      <c r="AB28" s="19">
        <v>3</v>
      </c>
      <c r="AC28" s="91"/>
      <c r="AD28" s="45"/>
    </row>
    <row r="29" spans="1:30" ht="15.75" thickBot="1" x14ac:dyDescent="0.3">
      <c r="A29" s="89"/>
      <c r="B29" s="20" t="s">
        <v>3</v>
      </c>
      <c r="C29" s="31">
        <f>ROUND('Anexo 5'!C29*Anexo1!$D$10,0)</f>
        <v>0</v>
      </c>
      <c r="D29" s="31">
        <f>ROUND('Anexo 5'!D29*Anexo1!$D$10,0)</f>
        <v>0</v>
      </c>
      <c r="E29" s="31">
        <f>ROUND('Anexo 5'!E29*Anexo1!$D$10,0)</f>
        <v>0</v>
      </c>
      <c r="F29" s="31">
        <f>ROUND('Anexo 5'!F29*Anexo1!$D$10,0)</f>
        <v>0</v>
      </c>
      <c r="G29" s="31">
        <f>ROUND('Anexo 5'!G29*Anexo1!$D$10,0)</f>
        <v>0</v>
      </c>
      <c r="H29" s="31">
        <f>ROUND('Anexo 5'!H29*Anexo1!$D$10,0)</f>
        <v>0</v>
      </c>
      <c r="I29" s="31">
        <f>ROUND('Anexo 5'!I29*Anexo1!$D$10,0)</f>
        <v>0</v>
      </c>
      <c r="J29" s="31">
        <f>ROUND('Anexo 5'!J29*Anexo1!$D$10,0)</f>
        <v>0</v>
      </c>
      <c r="K29" s="31">
        <f>ROUND('Anexo 5'!K29*Anexo1!$D$10,0)</f>
        <v>0</v>
      </c>
      <c r="L29" s="31">
        <f>ROUND('Anexo 5'!L29*Anexo1!$D$10,0)</f>
        <v>0</v>
      </c>
      <c r="M29" s="31">
        <f>ROUND('Anexo 5'!M29*Anexo1!$D$10,0)</f>
        <v>0</v>
      </c>
      <c r="N29" s="31">
        <f>ROUND('Anexo 5'!N29*Anexo1!$D$10,0)</f>
        <v>0</v>
      </c>
      <c r="O29" s="31">
        <f>ROUND('Anexo 5'!O29*Anexo1!$D$10,0)</f>
        <v>0</v>
      </c>
      <c r="P29" s="31">
        <f>ROUND('Anexo 5'!P29*Anexo1!$D$10,0)</f>
        <v>0</v>
      </c>
      <c r="Q29" s="31">
        <f>ROUND('Anexo 5'!Q29*Anexo1!$D$10,0)</f>
        <v>0</v>
      </c>
      <c r="R29" s="31">
        <f>ROUND('Anexo 5'!R29*Anexo1!$D$10,0)</f>
        <v>0</v>
      </c>
      <c r="S29" s="31">
        <f>ROUND('Anexo 5'!S29*Anexo1!$D$10,0)</f>
        <v>0</v>
      </c>
      <c r="T29" s="31">
        <f>ROUND('Anexo 5'!T29*Anexo1!$D$10,0)</f>
        <v>0</v>
      </c>
      <c r="U29" s="31">
        <f>ROUND('Anexo 5'!U29*Anexo1!$D$10,0)</f>
        <v>0</v>
      </c>
      <c r="V29" s="31">
        <f>ROUND('Anexo 5'!V29*Anexo1!$D$10,0)</f>
        <v>0</v>
      </c>
      <c r="W29" s="31">
        <f>ROUND('Anexo 5'!W29*Anexo1!$D$10,0)</f>
        <v>0</v>
      </c>
      <c r="X29" s="31">
        <f>ROUND('Anexo 5'!X29*Anexo1!$D$10,0)</f>
        <v>0</v>
      </c>
      <c r="Y29" s="31">
        <f>ROUND('Anexo 5'!Y29*Anexo1!$D$10,0)</f>
        <v>0</v>
      </c>
      <c r="Z29" s="31">
        <f>ROUND('Anexo 5'!Z29*Anexo1!$D$10,0)</f>
        <v>0</v>
      </c>
      <c r="AA29" s="39">
        <f t="shared" si="0"/>
        <v>0</v>
      </c>
      <c r="AB29" s="21">
        <v>7</v>
      </c>
      <c r="AC29" s="92"/>
      <c r="AD29" s="47"/>
    </row>
    <row r="30" spans="1:30" ht="15.75" thickBot="1" x14ac:dyDescent="0.3">
      <c r="A30" s="89">
        <v>46631</v>
      </c>
      <c r="B30" s="16" t="s">
        <v>5</v>
      </c>
      <c r="C30" s="31">
        <f>ROUND('Anexo 5'!C30*Anexo1!$D$10,0)</f>
        <v>0</v>
      </c>
      <c r="D30" s="31">
        <f>ROUND('Anexo 5'!D30*Anexo1!$D$10,0)</f>
        <v>0</v>
      </c>
      <c r="E30" s="31">
        <f>ROUND('Anexo 5'!E30*Anexo1!$D$10,0)</f>
        <v>0</v>
      </c>
      <c r="F30" s="31">
        <f>ROUND('Anexo 5'!F30*Anexo1!$D$10,0)</f>
        <v>0</v>
      </c>
      <c r="G30" s="31">
        <f>ROUND('Anexo 5'!G30*Anexo1!$D$10,0)</f>
        <v>0</v>
      </c>
      <c r="H30" s="31">
        <f>ROUND('Anexo 5'!H30*Anexo1!$D$10,0)</f>
        <v>0</v>
      </c>
      <c r="I30" s="31">
        <f>ROUND('Anexo 5'!I30*Anexo1!$D$10,0)</f>
        <v>0</v>
      </c>
      <c r="J30" s="31">
        <f>ROUND('Anexo 5'!J30*Anexo1!$D$10,0)</f>
        <v>0</v>
      </c>
      <c r="K30" s="31">
        <f>ROUND('Anexo 5'!K30*Anexo1!$D$10,0)</f>
        <v>0</v>
      </c>
      <c r="L30" s="31">
        <f>ROUND('Anexo 5'!L30*Anexo1!$D$10,0)</f>
        <v>0</v>
      </c>
      <c r="M30" s="31">
        <f>ROUND('Anexo 5'!M30*Anexo1!$D$10,0)</f>
        <v>0</v>
      </c>
      <c r="N30" s="31">
        <f>ROUND('Anexo 5'!N30*Anexo1!$D$10,0)</f>
        <v>0</v>
      </c>
      <c r="O30" s="31">
        <f>ROUND('Anexo 5'!O30*Anexo1!$D$10,0)</f>
        <v>0</v>
      </c>
      <c r="P30" s="31">
        <f>ROUND('Anexo 5'!P30*Anexo1!$D$10,0)</f>
        <v>0</v>
      </c>
      <c r="Q30" s="31">
        <f>ROUND('Anexo 5'!Q30*Anexo1!$D$10,0)</f>
        <v>0</v>
      </c>
      <c r="R30" s="31">
        <f>ROUND('Anexo 5'!R30*Anexo1!$D$10,0)</f>
        <v>0</v>
      </c>
      <c r="S30" s="31">
        <f>ROUND('Anexo 5'!S30*Anexo1!$D$10,0)</f>
        <v>0</v>
      </c>
      <c r="T30" s="31">
        <f>ROUND('Anexo 5'!T30*Anexo1!$D$10,0)</f>
        <v>0</v>
      </c>
      <c r="U30" s="31">
        <f>ROUND('Anexo 5'!U30*Anexo1!$D$10,0)</f>
        <v>0</v>
      </c>
      <c r="V30" s="31">
        <f>ROUND('Anexo 5'!V30*Anexo1!$D$10,0)</f>
        <v>0</v>
      </c>
      <c r="W30" s="31">
        <f>ROUND('Anexo 5'!W30*Anexo1!$D$10,0)</f>
        <v>0</v>
      </c>
      <c r="X30" s="31">
        <f>ROUND('Anexo 5'!X30*Anexo1!$D$10,0)</f>
        <v>0</v>
      </c>
      <c r="Y30" s="31">
        <f>ROUND('Anexo 5'!Y30*Anexo1!$D$10,0)</f>
        <v>0</v>
      </c>
      <c r="Z30" s="31">
        <f>ROUND('Anexo 5'!Z30*Anexo1!$D$10,0)</f>
        <v>0</v>
      </c>
      <c r="AA30" s="33">
        <f t="shared" si="0"/>
        <v>0</v>
      </c>
      <c r="AB30" s="17">
        <v>22</v>
      </c>
      <c r="AC30" s="90">
        <f>+AA30*AB30+AA31*AB31+AA32*AB32</f>
        <v>0</v>
      </c>
    </row>
    <row r="31" spans="1:30" ht="15.75" thickBot="1" x14ac:dyDescent="0.3">
      <c r="A31" s="89"/>
      <c r="B31" s="18" t="s">
        <v>4</v>
      </c>
      <c r="C31" s="31">
        <f>ROUND('Anexo 5'!C31*Anexo1!$D$10,0)</f>
        <v>0</v>
      </c>
      <c r="D31" s="31">
        <f>ROUND('Anexo 5'!D31*Anexo1!$D$10,0)</f>
        <v>0</v>
      </c>
      <c r="E31" s="31">
        <f>ROUND('Anexo 5'!E31*Anexo1!$D$10,0)</f>
        <v>0</v>
      </c>
      <c r="F31" s="31">
        <f>ROUND('Anexo 5'!F31*Anexo1!$D$10,0)</f>
        <v>0</v>
      </c>
      <c r="G31" s="31">
        <f>ROUND('Anexo 5'!G31*Anexo1!$D$10,0)</f>
        <v>0</v>
      </c>
      <c r="H31" s="31">
        <f>ROUND('Anexo 5'!H31*Anexo1!$D$10,0)</f>
        <v>0</v>
      </c>
      <c r="I31" s="31">
        <f>ROUND('Anexo 5'!I31*Anexo1!$D$10,0)</f>
        <v>0</v>
      </c>
      <c r="J31" s="31">
        <f>ROUND('Anexo 5'!J31*Anexo1!$D$10,0)</f>
        <v>0</v>
      </c>
      <c r="K31" s="31">
        <f>ROUND('Anexo 5'!K31*Anexo1!$D$10,0)</f>
        <v>0</v>
      </c>
      <c r="L31" s="31">
        <f>ROUND('Anexo 5'!L31*Anexo1!$D$10,0)</f>
        <v>0</v>
      </c>
      <c r="M31" s="31">
        <f>ROUND('Anexo 5'!M31*Anexo1!$D$10,0)</f>
        <v>0</v>
      </c>
      <c r="N31" s="31">
        <f>ROUND('Anexo 5'!N31*Anexo1!$D$10,0)</f>
        <v>0</v>
      </c>
      <c r="O31" s="31">
        <f>ROUND('Anexo 5'!O31*Anexo1!$D$10,0)</f>
        <v>0</v>
      </c>
      <c r="P31" s="31">
        <f>ROUND('Anexo 5'!P31*Anexo1!$D$10,0)</f>
        <v>0</v>
      </c>
      <c r="Q31" s="31">
        <f>ROUND('Anexo 5'!Q31*Anexo1!$D$10,0)</f>
        <v>0</v>
      </c>
      <c r="R31" s="31">
        <f>ROUND('Anexo 5'!R31*Anexo1!$D$10,0)</f>
        <v>0</v>
      </c>
      <c r="S31" s="31">
        <f>ROUND('Anexo 5'!S31*Anexo1!$D$10,0)</f>
        <v>0</v>
      </c>
      <c r="T31" s="31">
        <f>ROUND('Anexo 5'!T31*Anexo1!$D$10,0)</f>
        <v>0</v>
      </c>
      <c r="U31" s="31">
        <f>ROUND('Anexo 5'!U31*Anexo1!$D$10,0)</f>
        <v>0</v>
      </c>
      <c r="V31" s="31">
        <f>ROUND('Anexo 5'!V31*Anexo1!$D$10,0)</f>
        <v>0</v>
      </c>
      <c r="W31" s="31">
        <f>ROUND('Anexo 5'!W31*Anexo1!$D$10,0)</f>
        <v>0</v>
      </c>
      <c r="X31" s="31">
        <f>ROUND('Anexo 5'!X31*Anexo1!$D$10,0)</f>
        <v>0</v>
      </c>
      <c r="Y31" s="31">
        <f>ROUND('Anexo 5'!Y31*Anexo1!$D$10,0)</f>
        <v>0</v>
      </c>
      <c r="Z31" s="31">
        <f>ROUND('Anexo 5'!Z31*Anexo1!$D$10,0)</f>
        <v>0</v>
      </c>
      <c r="AA31" s="36">
        <f t="shared" si="0"/>
        <v>0</v>
      </c>
      <c r="AB31" s="19">
        <v>4</v>
      </c>
      <c r="AC31" s="91"/>
      <c r="AD31" s="45"/>
    </row>
    <row r="32" spans="1:30" ht="15.75" thickBot="1" x14ac:dyDescent="0.3">
      <c r="A32" s="89"/>
      <c r="B32" s="20" t="s">
        <v>3</v>
      </c>
      <c r="C32" s="31">
        <f>ROUND('Anexo 5'!C32*Anexo1!$D$10,0)</f>
        <v>0</v>
      </c>
      <c r="D32" s="31">
        <f>ROUND('Anexo 5'!D32*Anexo1!$D$10,0)</f>
        <v>0</v>
      </c>
      <c r="E32" s="31">
        <f>ROUND('Anexo 5'!E32*Anexo1!$D$10,0)</f>
        <v>0</v>
      </c>
      <c r="F32" s="31">
        <f>ROUND('Anexo 5'!F32*Anexo1!$D$10,0)</f>
        <v>0</v>
      </c>
      <c r="G32" s="31">
        <f>ROUND('Anexo 5'!G32*Anexo1!$D$10,0)</f>
        <v>0</v>
      </c>
      <c r="H32" s="31">
        <f>ROUND('Anexo 5'!H32*Anexo1!$D$10,0)</f>
        <v>0</v>
      </c>
      <c r="I32" s="31">
        <f>ROUND('Anexo 5'!I32*Anexo1!$D$10,0)</f>
        <v>0</v>
      </c>
      <c r="J32" s="31">
        <f>ROUND('Anexo 5'!J32*Anexo1!$D$10,0)</f>
        <v>0</v>
      </c>
      <c r="K32" s="31">
        <f>ROUND('Anexo 5'!K32*Anexo1!$D$10,0)</f>
        <v>0</v>
      </c>
      <c r="L32" s="31">
        <f>ROUND('Anexo 5'!L32*Anexo1!$D$10,0)</f>
        <v>0</v>
      </c>
      <c r="M32" s="31">
        <f>ROUND('Anexo 5'!M32*Anexo1!$D$10,0)</f>
        <v>0</v>
      </c>
      <c r="N32" s="31">
        <f>ROUND('Anexo 5'!N32*Anexo1!$D$10,0)</f>
        <v>0</v>
      </c>
      <c r="O32" s="31">
        <f>ROUND('Anexo 5'!O32*Anexo1!$D$10,0)</f>
        <v>0</v>
      </c>
      <c r="P32" s="31">
        <f>ROUND('Anexo 5'!P32*Anexo1!$D$10,0)</f>
        <v>0</v>
      </c>
      <c r="Q32" s="31">
        <f>ROUND('Anexo 5'!Q32*Anexo1!$D$10,0)</f>
        <v>0</v>
      </c>
      <c r="R32" s="31">
        <f>ROUND('Anexo 5'!R32*Anexo1!$D$10,0)</f>
        <v>0</v>
      </c>
      <c r="S32" s="31">
        <f>ROUND('Anexo 5'!S32*Anexo1!$D$10,0)</f>
        <v>0</v>
      </c>
      <c r="T32" s="31">
        <f>ROUND('Anexo 5'!T32*Anexo1!$D$10,0)</f>
        <v>0</v>
      </c>
      <c r="U32" s="31">
        <f>ROUND('Anexo 5'!U32*Anexo1!$D$10,0)</f>
        <v>0</v>
      </c>
      <c r="V32" s="31">
        <f>ROUND('Anexo 5'!V32*Anexo1!$D$10,0)</f>
        <v>0</v>
      </c>
      <c r="W32" s="31">
        <f>ROUND('Anexo 5'!W32*Anexo1!$D$10,0)</f>
        <v>0</v>
      </c>
      <c r="X32" s="31">
        <f>ROUND('Anexo 5'!X32*Anexo1!$D$10,0)</f>
        <v>0</v>
      </c>
      <c r="Y32" s="31">
        <f>ROUND('Anexo 5'!Y32*Anexo1!$D$10,0)</f>
        <v>0</v>
      </c>
      <c r="Z32" s="31">
        <f>ROUND('Anexo 5'!Z32*Anexo1!$D$10,0)</f>
        <v>0</v>
      </c>
      <c r="AA32" s="39">
        <f t="shared" si="0"/>
        <v>0</v>
      </c>
      <c r="AB32" s="21">
        <v>4</v>
      </c>
      <c r="AC32" s="92"/>
      <c r="AD32" s="46"/>
    </row>
    <row r="33" spans="1:30" ht="15.75" thickBot="1" x14ac:dyDescent="0.3">
      <c r="A33" s="89">
        <v>46661</v>
      </c>
      <c r="B33" s="16" t="s">
        <v>5</v>
      </c>
      <c r="C33" s="31">
        <f>ROUND('Anexo 5'!C33*Anexo1!$D$10,0)</f>
        <v>0</v>
      </c>
      <c r="D33" s="31">
        <f>ROUND('Anexo 5'!D33*Anexo1!$D$10,0)</f>
        <v>0</v>
      </c>
      <c r="E33" s="31">
        <f>ROUND('Anexo 5'!E33*Anexo1!$D$10,0)</f>
        <v>0</v>
      </c>
      <c r="F33" s="31">
        <f>ROUND('Anexo 5'!F33*Anexo1!$D$10,0)</f>
        <v>0</v>
      </c>
      <c r="G33" s="31">
        <f>ROUND('Anexo 5'!G33*Anexo1!$D$10,0)</f>
        <v>0</v>
      </c>
      <c r="H33" s="31">
        <f>ROUND('Anexo 5'!H33*Anexo1!$D$10,0)</f>
        <v>0</v>
      </c>
      <c r="I33" s="31">
        <f>ROUND('Anexo 5'!I33*Anexo1!$D$10,0)</f>
        <v>0</v>
      </c>
      <c r="J33" s="31">
        <f>ROUND('Anexo 5'!J33*Anexo1!$D$10,0)</f>
        <v>0</v>
      </c>
      <c r="K33" s="31">
        <f>ROUND('Anexo 5'!K33*Anexo1!$D$10,0)</f>
        <v>0</v>
      </c>
      <c r="L33" s="31">
        <f>ROUND('Anexo 5'!L33*Anexo1!$D$10,0)</f>
        <v>0</v>
      </c>
      <c r="M33" s="31">
        <f>ROUND('Anexo 5'!M33*Anexo1!$D$10,0)</f>
        <v>0</v>
      </c>
      <c r="N33" s="31">
        <f>ROUND('Anexo 5'!N33*Anexo1!$D$10,0)</f>
        <v>0</v>
      </c>
      <c r="O33" s="31">
        <f>ROUND('Anexo 5'!O33*Anexo1!$D$10,0)</f>
        <v>0</v>
      </c>
      <c r="P33" s="31">
        <f>ROUND('Anexo 5'!P33*Anexo1!$D$10,0)</f>
        <v>0</v>
      </c>
      <c r="Q33" s="31">
        <f>ROUND('Anexo 5'!Q33*Anexo1!$D$10,0)</f>
        <v>0</v>
      </c>
      <c r="R33" s="31">
        <f>ROUND('Anexo 5'!R33*Anexo1!$D$10,0)</f>
        <v>0</v>
      </c>
      <c r="S33" s="31">
        <f>ROUND('Anexo 5'!S33*Anexo1!$D$10,0)</f>
        <v>0</v>
      </c>
      <c r="T33" s="31">
        <f>ROUND('Anexo 5'!T33*Anexo1!$D$10,0)</f>
        <v>0</v>
      </c>
      <c r="U33" s="31">
        <f>ROUND('Anexo 5'!U33*Anexo1!$D$10,0)</f>
        <v>0</v>
      </c>
      <c r="V33" s="31">
        <f>ROUND('Anexo 5'!V33*Anexo1!$D$10,0)</f>
        <v>0</v>
      </c>
      <c r="W33" s="31">
        <f>ROUND('Anexo 5'!W33*Anexo1!$D$10,0)</f>
        <v>0</v>
      </c>
      <c r="X33" s="31">
        <f>ROUND('Anexo 5'!X33*Anexo1!$D$10,0)</f>
        <v>0</v>
      </c>
      <c r="Y33" s="31">
        <f>ROUND('Anexo 5'!Y33*Anexo1!$D$10,0)</f>
        <v>0</v>
      </c>
      <c r="Z33" s="31">
        <f>ROUND('Anexo 5'!Z33*Anexo1!$D$10,0)</f>
        <v>0</v>
      </c>
      <c r="AA33" s="33">
        <f t="shared" si="0"/>
        <v>0</v>
      </c>
      <c r="AB33" s="17">
        <v>20</v>
      </c>
      <c r="AC33" s="90">
        <f>+AA33*AB33+AA34*AB34+AA35*AB35</f>
        <v>0</v>
      </c>
    </row>
    <row r="34" spans="1:30" ht="15.75" thickBot="1" x14ac:dyDescent="0.3">
      <c r="A34" s="89"/>
      <c r="B34" s="18" t="s">
        <v>4</v>
      </c>
      <c r="C34" s="31">
        <f>ROUND('Anexo 5'!C34*Anexo1!$D$10,0)</f>
        <v>0</v>
      </c>
      <c r="D34" s="31">
        <f>ROUND('Anexo 5'!D34*Anexo1!$D$10,0)</f>
        <v>0</v>
      </c>
      <c r="E34" s="31">
        <f>ROUND('Anexo 5'!E34*Anexo1!$D$10,0)</f>
        <v>0</v>
      </c>
      <c r="F34" s="31">
        <f>ROUND('Anexo 5'!F34*Anexo1!$D$10,0)</f>
        <v>0</v>
      </c>
      <c r="G34" s="31">
        <f>ROUND('Anexo 5'!G34*Anexo1!$D$10,0)</f>
        <v>0</v>
      </c>
      <c r="H34" s="31">
        <f>ROUND('Anexo 5'!H34*Anexo1!$D$10,0)</f>
        <v>0</v>
      </c>
      <c r="I34" s="31">
        <f>ROUND('Anexo 5'!I34*Anexo1!$D$10,0)</f>
        <v>0</v>
      </c>
      <c r="J34" s="31">
        <f>ROUND('Anexo 5'!J34*Anexo1!$D$10,0)</f>
        <v>0</v>
      </c>
      <c r="K34" s="31">
        <f>ROUND('Anexo 5'!K34*Anexo1!$D$10,0)</f>
        <v>0</v>
      </c>
      <c r="L34" s="31">
        <f>ROUND('Anexo 5'!L34*Anexo1!$D$10,0)</f>
        <v>0</v>
      </c>
      <c r="M34" s="31">
        <f>ROUND('Anexo 5'!M34*Anexo1!$D$10,0)</f>
        <v>0</v>
      </c>
      <c r="N34" s="31">
        <f>ROUND('Anexo 5'!N34*Anexo1!$D$10,0)</f>
        <v>0</v>
      </c>
      <c r="O34" s="31">
        <f>ROUND('Anexo 5'!O34*Anexo1!$D$10,0)</f>
        <v>0</v>
      </c>
      <c r="P34" s="31">
        <f>ROUND('Anexo 5'!P34*Anexo1!$D$10,0)</f>
        <v>0</v>
      </c>
      <c r="Q34" s="31">
        <f>ROUND('Anexo 5'!Q34*Anexo1!$D$10,0)</f>
        <v>0</v>
      </c>
      <c r="R34" s="31">
        <f>ROUND('Anexo 5'!R34*Anexo1!$D$10,0)</f>
        <v>0</v>
      </c>
      <c r="S34" s="31">
        <f>ROUND('Anexo 5'!S34*Anexo1!$D$10,0)</f>
        <v>0</v>
      </c>
      <c r="T34" s="31">
        <f>ROUND('Anexo 5'!T34*Anexo1!$D$10,0)</f>
        <v>0</v>
      </c>
      <c r="U34" s="31">
        <f>ROUND('Anexo 5'!U34*Anexo1!$D$10,0)</f>
        <v>0</v>
      </c>
      <c r="V34" s="31">
        <f>ROUND('Anexo 5'!V34*Anexo1!$D$10,0)</f>
        <v>0</v>
      </c>
      <c r="W34" s="31">
        <f>ROUND('Anexo 5'!W34*Anexo1!$D$10,0)</f>
        <v>0</v>
      </c>
      <c r="X34" s="31">
        <f>ROUND('Anexo 5'!X34*Anexo1!$D$10,0)</f>
        <v>0</v>
      </c>
      <c r="Y34" s="31">
        <f>ROUND('Anexo 5'!Y34*Anexo1!$D$10,0)</f>
        <v>0</v>
      </c>
      <c r="Z34" s="31">
        <f>ROUND('Anexo 5'!Z34*Anexo1!$D$10,0)</f>
        <v>0</v>
      </c>
      <c r="AA34" s="36">
        <f t="shared" si="0"/>
        <v>0</v>
      </c>
      <c r="AB34" s="19">
        <v>5</v>
      </c>
      <c r="AC34" s="91"/>
      <c r="AD34" s="45"/>
    </row>
    <row r="35" spans="1:30" ht="15.75" thickBot="1" x14ac:dyDescent="0.3">
      <c r="A35" s="89"/>
      <c r="B35" s="20" t="s">
        <v>3</v>
      </c>
      <c r="C35" s="31">
        <f>ROUND('Anexo 5'!C35*Anexo1!$D$10,0)</f>
        <v>0</v>
      </c>
      <c r="D35" s="31">
        <f>ROUND('Anexo 5'!D35*Anexo1!$D$10,0)</f>
        <v>0</v>
      </c>
      <c r="E35" s="31">
        <f>ROUND('Anexo 5'!E35*Anexo1!$D$10,0)</f>
        <v>0</v>
      </c>
      <c r="F35" s="31">
        <f>ROUND('Anexo 5'!F35*Anexo1!$D$10,0)</f>
        <v>0</v>
      </c>
      <c r="G35" s="31">
        <f>ROUND('Anexo 5'!G35*Anexo1!$D$10,0)</f>
        <v>0</v>
      </c>
      <c r="H35" s="31">
        <f>ROUND('Anexo 5'!H35*Anexo1!$D$10,0)</f>
        <v>0</v>
      </c>
      <c r="I35" s="31">
        <f>ROUND('Anexo 5'!I35*Anexo1!$D$10,0)</f>
        <v>0</v>
      </c>
      <c r="J35" s="31">
        <f>ROUND('Anexo 5'!J35*Anexo1!$D$10,0)</f>
        <v>0</v>
      </c>
      <c r="K35" s="31">
        <f>ROUND('Anexo 5'!K35*Anexo1!$D$10,0)</f>
        <v>0</v>
      </c>
      <c r="L35" s="31">
        <f>ROUND('Anexo 5'!L35*Anexo1!$D$10,0)</f>
        <v>0</v>
      </c>
      <c r="M35" s="31">
        <f>ROUND('Anexo 5'!M35*Anexo1!$D$10,0)</f>
        <v>0</v>
      </c>
      <c r="N35" s="31">
        <f>ROUND('Anexo 5'!N35*Anexo1!$D$10,0)</f>
        <v>0</v>
      </c>
      <c r="O35" s="31">
        <f>ROUND('Anexo 5'!O35*Anexo1!$D$10,0)</f>
        <v>0</v>
      </c>
      <c r="P35" s="31">
        <f>ROUND('Anexo 5'!P35*Anexo1!$D$10,0)</f>
        <v>0</v>
      </c>
      <c r="Q35" s="31">
        <f>ROUND('Anexo 5'!Q35*Anexo1!$D$10,0)</f>
        <v>0</v>
      </c>
      <c r="R35" s="31">
        <f>ROUND('Anexo 5'!R35*Anexo1!$D$10,0)</f>
        <v>0</v>
      </c>
      <c r="S35" s="31">
        <f>ROUND('Anexo 5'!S35*Anexo1!$D$10,0)</f>
        <v>0</v>
      </c>
      <c r="T35" s="31">
        <f>ROUND('Anexo 5'!T35*Anexo1!$D$10,0)</f>
        <v>0</v>
      </c>
      <c r="U35" s="31">
        <f>ROUND('Anexo 5'!U35*Anexo1!$D$10,0)</f>
        <v>0</v>
      </c>
      <c r="V35" s="31">
        <f>ROUND('Anexo 5'!V35*Anexo1!$D$10,0)</f>
        <v>0</v>
      </c>
      <c r="W35" s="31">
        <f>ROUND('Anexo 5'!W35*Anexo1!$D$10,0)</f>
        <v>0</v>
      </c>
      <c r="X35" s="31">
        <f>ROUND('Anexo 5'!X35*Anexo1!$D$10,0)</f>
        <v>0</v>
      </c>
      <c r="Y35" s="31">
        <f>ROUND('Anexo 5'!Y35*Anexo1!$D$10,0)</f>
        <v>0</v>
      </c>
      <c r="Z35" s="31">
        <f>ROUND('Anexo 5'!Z35*Anexo1!$D$10,0)</f>
        <v>0</v>
      </c>
      <c r="AA35" s="39">
        <f t="shared" si="0"/>
        <v>0</v>
      </c>
      <c r="AB35" s="21">
        <v>6</v>
      </c>
      <c r="AC35" s="92"/>
      <c r="AD35" s="46"/>
    </row>
    <row r="36" spans="1:30" ht="15.75" thickBot="1" x14ac:dyDescent="0.3">
      <c r="A36" s="89">
        <v>46692</v>
      </c>
      <c r="B36" s="16" t="s">
        <v>5</v>
      </c>
      <c r="C36" s="31">
        <f>ROUND('Anexo 5'!C36*Anexo1!$D$10,0)</f>
        <v>0</v>
      </c>
      <c r="D36" s="31">
        <f>ROUND('Anexo 5'!D36*Anexo1!$D$10,0)</f>
        <v>0</v>
      </c>
      <c r="E36" s="31">
        <f>ROUND('Anexo 5'!E36*Anexo1!$D$10,0)</f>
        <v>0</v>
      </c>
      <c r="F36" s="31">
        <f>ROUND('Anexo 5'!F36*Anexo1!$D$10,0)</f>
        <v>0</v>
      </c>
      <c r="G36" s="31">
        <f>ROUND('Anexo 5'!G36*Anexo1!$D$10,0)</f>
        <v>0</v>
      </c>
      <c r="H36" s="31">
        <f>ROUND('Anexo 5'!H36*Anexo1!$D$10,0)</f>
        <v>0</v>
      </c>
      <c r="I36" s="31">
        <f>ROUND('Anexo 5'!I36*Anexo1!$D$10,0)</f>
        <v>0</v>
      </c>
      <c r="J36" s="31">
        <f>ROUND('Anexo 5'!J36*Anexo1!$D$10,0)</f>
        <v>0</v>
      </c>
      <c r="K36" s="31">
        <f>ROUND('Anexo 5'!K36*Anexo1!$D$10,0)</f>
        <v>0</v>
      </c>
      <c r="L36" s="31">
        <f>ROUND('Anexo 5'!L36*Anexo1!$D$10,0)</f>
        <v>0</v>
      </c>
      <c r="M36" s="31">
        <f>ROUND('Anexo 5'!M36*Anexo1!$D$10,0)</f>
        <v>0</v>
      </c>
      <c r="N36" s="31">
        <f>ROUND('Anexo 5'!N36*Anexo1!$D$10,0)</f>
        <v>0</v>
      </c>
      <c r="O36" s="31">
        <f>ROUND('Anexo 5'!O36*Anexo1!$D$10,0)</f>
        <v>0</v>
      </c>
      <c r="P36" s="31">
        <f>ROUND('Anexo 5'!P36*Anexo1!$D$10,0)</f>
        <v>0</v>
      </c>
      <c r="Q36" s="31">
        <f>ROUND('Anexo 5'!Q36*Anexo1!$D$10,0)</f>
        <v>0</v>
      </c>
      <c r="R36" s="31">
        <f>ROUND('Anexo 5'!R36*Anexo1!$D$10,0)</f>
        <v>0</v>
      </c>
      <c r="S36" s="31">
        <f>ROUND('Anexo 5'!S36*Anexo1!$D$10,0)</f>
        <v>0</v>
      </c>
      <c r="T36" s="31">
        <f>ROUND('Anexo 5'!T36*Anexo1!$D$10,0)</f>
        <v>0</v>
      </c>
      <c r="U36" s="31">
        <f>ROUND('Anexo 5'!U36*Anexo1!$D$10,0)</f>
        <v>0</v>
      </c>
      <c r="V36" s="31">
        <f>ROUND('Anexo 5'!V36*Anexo1!$D$10,0)</f>
        <v>0</v>
      </c>
      <c r="W36" s="31">
        <f>ROUND('Anexo 5'!W36*Anexo1!$D$10,0)</f>
        <v>0</v>
      </c>
      <c r="X36" s="31">
        <f>ROUND('Anexo 5'!X36*Anexo1!$D$10,0)</f>
        <v>0</v>
      </c>
      <c r="Y36" s="31">
        <f>ROUND('Anexo 5'!Y36*Anexo1!$D$10,0)</f>
        <v>0</v>
      </c>
      <c r="Z36" s="31">
        <f>ROUND('Anexo 5'!Z36*Anexo1!$D$10,0)</f>
        <v>0</v>
      </c>
      <c r="AA36" s="33">
        <f t="shared" si="0"/>
        <v>0</v>
      </c>
      <c r="AB36" s="17">
        <v>20</v>
      </c>
      <c r="AC36" s="90">
        <f>+AA36*AB36+AA37*AB37+AA38*AB38</f>
        <v>0</v>
      </c>
    </row>
    <row r="37" spans="1:30" ht="15.75" thickBot="1" x14ac:dyDescent="0.3">
      <c r="A37" s="89"/>
      <c r="B37" s="18" t="s">
        <v>4</v>
      </c>
      <c r="C37" s="31">
        <f>ROUND('Anexo 5'!C37*Anexo1!$D$10,0)</f>
        <v>0</v>
      </c>
      <c r="D37" s="31">
        <f>ROUND('Anexo 5'!D37*Anexo1!$D$10,0)</f>
        <v>0</v>
      </c>
      <c r="E37" s="31">
        <f>ROUND('Anexo 5'!E37*Anexo1!$D$10,0)</f>
        <v>0</v>
      </c>
      <c r="F37" s="31">
        <f>ROUND('Anexo 5'!F37*Anexo1!$D$10,0)</f>
        <v>0</v>
      </c>
      <c r="G37" s="31">
        <f>ROUND('Anexo 5'!G37*Anexo1!$D$10,0)</f>
        <v>0</v>
      </c>
      <c r="H37" s="31">
        <f>ROUND('Anexo 5'!H37*Anexo1!$D$10,0)</f>
        <v>0</v>
      </c>
      <c r="I37" s="31">
        <f>ROUND('Anexo 5'!I37*Anexo1!$D$10,0)</f>
        <v>0</v>
      </c>
      <c r="J37" s="31">
        <f>ROUND('Anexo 5'!J37*Anexo1!$D$10,0)</f>
        <v>0</v>
      </c>
      <c r="K37" s="31">
        <f>ROUND('Anexo 5'!K37*Anexo1!$D$10,0)</f>
        <v>0</v>
      </c>
      <c r="L37" s="31">
        <f>ROUND('Anexo 5'!L37*Anexo1!$D$10,0)</f>
        <v>0</v>
      </c>
      <c r="M37" s="31">
        <f>ROUND('Anexo 5'!M37*Anexo1!$D$10,0)</f>
        <v>0</v>
      </c>
      <c r="N37" s="31">
        <f>ROUND('Anexo 5'!N37*Anexo1!$D$10,0)</f>
        <v>0</v>
      </c>
      <c r="O37" s="31">
        <f>ROUND('Anexo 5'!O37*Anexo1!$D$10,0)</f>
        <v>0</v>
      </c>
      <c r="P37" s="31">
        <f>ROUND('Anexo 5'!P37*Anexo1!$D$10,0)</f>
        <v>0</v>
      </c>
      <c r="Q37" s="31">
        <f>ROUND('Anexo 5'!Q37*Anexo1!$D$10,0)</f>
        <v>0</v>
      </c>
      <c r="R37" s="31">
        <f>ROUND('Anexo 5'!R37*Anexo1!$D$10,0)</f>
        <v>0</v>
      </c>
      <c r="S37" s="31">
        <f>ROUND('Anexo 5'!S37*Anexo1!$D$10,0)</f>
        <v>0</v>
      </c>
      <c r="T37" s="31">
        <f>ROUND('Anexo 5'!T37*Anexo1!$D$10,0)</f>
        <v>0</v>
      </c>
      <c r="U37" s="31">
        <f>ROUND('Anexo 5'!U37*Anexo1!$D$10,0)</f>
        <v>0</v>
      </c>
      <c r="V37" s="31">
        <f>ROUND('Anexo 5'!V37*Anexo1!$D$10,0)</f>
        <v>0</v>
      </c>
      <c r="W37" s="31">
        <f>ROUND('Anexo 5'!W37*Anexo1!$D$10,0)</f>
        <v>0</v>
      </c>
      <c r="X37" s="31">
        <f>ROUND('Anexo 5'!X37*Anexo1!$D$10,0)</f>
        <v>0</v>
      </c>
      <c r="Y37" s="31">
        <f>ROUND('Anexo 5'!Y37*Anexo1!$D$10,0)</f>
        <v>0</v>
      </c>
      <c r="Z37" s="31">
        <f>ROUND('Anexo 5'!Z37*Anexo1!$D$10,0)</f>
        <v>0</v>
      </c>
      <c r="AA37" s="36">
        <f t="shared" si="0"/>
        <v>0</v>
      </c>
      <c r="AB37" s="19">
        <v>4</v>
      </c>
      <c r="AC37" s="91"/>
      <c r="AD37" s="45"/>
    </row>
    <row r="38" spans="1:30" ht="15.75" thickBot="1" x14ac:dyDescent="0.3">
      <c r="A38" s="89"/>
      <c r="B38" s="20" t="s">
        <v>3</v>
      </c>
      <c r="C38" s="31">
        <f>ROUND('Anexo 5'!C38*Anexo1!$D$10,0)</f>
        <v>0</v>
      </c>
      <c r="D38" s="31">
        <f>ROUND('Anexo 5'!D38*Anexo1!$D$10,0)</f>
        <v>0</v>
      </c>
      <c r="E38" s="31">
        <f>ROUND('Anexo 5'!E38*Anexo1!$D$10,0)</f>
        <v>0</v>
      </c>
      <c r="F38" s="31">
        <f>ROUND('Anexo 5'!F38*Anexo1!$D$10,0)</f>
        <v>0</v>
      </c>
      <c r="G38" s="31">
        <f>ROUND('Anexo 5'!G38*Anexo1!$D$10,0)</f>
        <v>0</v>
      </c>
      <c r="H38" s="31">
        <f>ROUND('Anexo 5'!H38*Anexo1!$D$10,0)</f>
        <v>0</v>
      </c>
      <c r="I38" s="31">
        <f>ROUND('Anexo 5'!I38*Anexo1!$D$10,0)</f>
        <v>0</v>
      </c>
      <c r="J38" s="31">
        <f>ROUND('Anexo 5'!J38*Anexo1!$D$10,0)</f>
        <v>0</v>
      </c>
      <c r="K38" s="31">
        <f>ROUND('Anexo 5'!K38*Anexo1!$D$10,0)</f>
        <v>0</v>
      </c>
      <c r="L38" s="31">
        <f>ROUND('Anexo 5'!L38*Anexo1!$D$10,0)</f>
        <v>0</v>
      </c>
      <c r="M38" s="31">
        <f>ROUND('Anexo 5'!M38*Anexo1!$D$10,0)</f>
        <v>0</v>
      </c>
      <c r="N38" s="31">
        <f>ROUND('Anexo 5'!N38*Anexo1!$D$10,0)</f>
        <v>0</v>
      </c>
      <c r="O38" s="31">
        <f>ROUND('Anexo 5'!O38*Anexo1!$D$10,0)</f>
        <v>0</v>
      </c>
      <c r="P38" s="31">
        <f>ROUND('Anexo 5'!P38*Anexo1!$D$10,0)</f>
        <v>0</v>
      </c>
      <c r="Q38" s="31">
        <f>ROUND('Anexo 5'!Q38*Anexo1!$D$10,0)</f>
        <v>0</v>
      </c>
      <c r="R38" s="31">
        <f>ROUND('Anexo 5'!R38*Anexo1!$D$10,0)</f>
        <v>0</v>
      </c>
      <c r="S38" s="31">
        <f>ROUND('Anexo 5'!S38*Anexo1!$D$10,0)</f>
        <v>0</v>
      </c>
      <c r="T38" s="31">
        <f>ROUND('Anexo 5'!T38*Anexo1!$D$10,0)</f>
        <v>0</v>
      </c>
      <c r="U38" s="31">
        <f>ROUND('Anexo 5'!U38*Anexo1!$D$10,0)</f>
        <v>0</v>
      </c>
      <c r="V38" s="31">
        <f>ROUND('Anexo 5'!V38*Anexo1!$D$10,0)</f>
        <v>0</v>
      </c>
      <c r="W38" s="31">
        <f>ROUND('Anexo 5'!W38*Anexo1!$D$10,0)</f>
        <v>0</v>
      </c>
      <c r="X38" s="31">
        <f>ROUND('Anexo 5'!X38*Anexo1!$D$10,0)</f>
        <v>0</v>
      </c>
      <c r="Y38" s="31">
        <f>ROUND('Anexo 5'!Y38*Anexo1!$D$10,0)</f>
        <v>0</v>
      </c>
      <c r="Z38" s="31">
        <f>ROUND('Anexo 5'!Z38*Anexo1!$D$10,0)</f>
        <v>0</v>
      </c>
      <c r="AA38" s="39">
        <f t="shared" si="0"/>
        <v>0</v>
      </c>
      <c r="AB38" s="21">
        <v>6</v>
      </c>
      <c r="AC38" s="92"/>
      <c r="AD38" s="47"/>
    </row>
    <row r="39" spans="1:30" ht="15.75" thickBot="1" x14ac:dyDescent="0.3">
      <c r="A39" s="89">
        <v>46722</v>
      </c>
      <c r="B39" s="16" t="s">
        <v>5</v>
      </c>
      <c r="C39" s="31">
        <f>ROUND('Anexo 5'!C39*Anexo1!$D$10,0)</f>
        <v>0</v>
      </c>
      <c r="D39" s="31">
        <f>ROUND('Anexo 5'!D39*Anexo1!$D$10,0)</f>
        <v>0</v>
      </c>
      <c r="E39" s="31">
        <f>ROUND('Anexo 5'!E39*Anexo1!$D$10,0)</f>
        <v>0</v>
      </c>
      <c r="F39" s="31">
        <f>ROUND('Anexo 5'!F39*Anexo1!$D$10,0)</f>
        <v>0</v>
      </c>
      <c r="G39" s="31">
        <f>ROUND('Anexo 5'!G39*Anexo1!$D$10,0)</f>
        <v>0</v>
      </c>
      <c r="H39" s="31">
        <f>ROUND('Anexo 5'!H39*Anexo1!$D$10,0)</f>
        <v>0</v>
      </c>
      <c r="I39" s="31">
        <f>ROUND('Anexo 5'!I39*Anexo1!$D$10,0)</f>
        <v>0</v>
      </c>
      <c r="J39" s="31">
        <f>ROUND('Anexo 5'!J39*Anexo1!$D$10,0)</f>
        <v>0</v>
      </c>
      <c r="K39" s="31">
        <f>ROUND('Anexo 5'!K39*Anexo1!$D$10,0)</f>
        <v>0</v>
      </c>
      <c r="L39" s="31">
        <f>ROUND('Anexo 5'!L39*Anexo1!$D$10,0)</f>
        <v>0</v>
      </c>
      <c r="M39" s="31">
        <f>ROUND('Anexo 5'!M39*Anexo1!$D$10,0)</f>
        <v>0</v>
      </c>
      <c r="N39" s="31">
        <f>ROUND('Anexo 5'!N39*Anexo1!$D$10,0)</f>
        <v>0</v>
      </c>
      <c r="O39" s="31">
        <f>ROUND('Anexo 5'!O39*Anexo1!$D$10,0)</f>
        <v>0</v>
      </c>
      <c r="P39" s="31">
        <f>ROUND('Anexo 5'!P39*Anexo1!$D$10,0)</f>
        <v>0</v>
      </c>
      <c r="Q39" s="31">
        <f>ROUND('Anexo 5'!Q39*Anexo1!$D$10,0)</f>
        <v>0</v>
      </c>
      <c r="R39" s="31">
        <f>ROUND('Anexo 5'!R39*Anexo1!$D$10,0)</f>
        <v>0</v>
      </c>
      <c r="S39" s="31">
        <f>ROUND('Anexo 5'!S39*Anexo1!$D$10,0)</f>
        <v>0</v>
      </c>
      <c r="T39" s="31">
        <f>ROUND('Anexo 5'!T39*Anexo1!$D$10,0)</f>
        <v>0</v>
      </c>
      <c r="U39" s="31">
        <f>ROUND('Anexo 5'!U39*Anexo1!$D$10,0)</f>
        <v>0</v>
      </c>
      <c r="V39" s="31">
        <f>ROUND('Anexo 5'!V39*Anexo1!$D$10,0)</f>
        <v>0</v>
      </c>
      <c r="W39" s="31">
        <f>ROUND('Anexo 5'!W39*Anexo1!$D$10,0)</f>
        <v>0</v>
      </c>
      <c r="X39" s="31">
        <f>ROUND('Anexo 5'!X39*Anexo1!$D$10,0)</f>
        <v>0</v>
      </c>
      <c r="Y39" s="31">
        <f>ROUND('Anexo 5'!Y39*Anexo1!$D$10,0)</f>
        <v>0</v>
      </c>
      <c r="Z39" s="31">
        <f>ROUND('Anexo 5'!Z39*Anexo1!$D$10,0)</f>
        <v>0</v>
      </c>
      <c r="AA39" s="33">
        <f t="shared" si="0"/>
        <v>0</v>
      </c>
      <c r="AB39" s="17">
        <v>22</v>
      </c>
      <c r="AC39" s="90">
        <f>+AA39*AB39+AA40*AB40+AA41*AB41</f>
        <v>0</v>
      </c>
    </row>
    <row r="40" spans="1:30" ht="15.75" thickBot="1" x14ac:dyDescent="0.3">
      <c r="A40" s="89"/>
      <c r="B40" s="18" t="s">
        <v>4</v>
      </c>
      <c r="C40" s="31">
        <f>ROUND('Anexo 5'!C40*Anexo1!$D$10,0)</f>
        <v>0</v>
      </c>
      <c r="D40" s="31">
        <f>ROUND('Anexo 5'!D40*Anexo1!$D$10,0)</f>
        <v>0</v>
      </c>
      <c r="E40" s="31">
        <f>ROUND('Anexo 5'!E40*Anexo1!$D$10,0)</f>
        <v>0</v>
      </c>
      <c r="F40" s="31">
        <f>ROUND('Anexo 5'!F40*Anexo1!$D$10,0)</f>
        <v>0</v>
      </c>
      <c r="G40" s="31">
        <f>ROUND('Anexo 5'!G40*Anexo1!$D$10,0)</f>
        <v>0</v>
      </c>
      <c r="H40" s="31">
        <f>ROUND('Anexo 5'!H40*Anexo1!$D$10,0)</f>
        <v>0</v>
      </c>
      <c r="I40" s="31">
        <f>ROUND('Anexo 5'!I40*Anexo1!$D$10,0)</f>
        <v>0</v>
      </c>
      <c r="J40" s="31">
        <f>ROUND('Anexo 5'!J40*Anexo1!$D$10,0)</f>
        <v>0</v>
      </c>
      <c r="K40" s="31">
        <f>ROUND('Anexo 5'!K40*Anexo1!$D$10,0)</f>
        <v>0</v>
      </c>
      <c r="L40" s="31">
        <f>ROUND('Anexo 5'!L40*Anexo1!$D$10,0)</f>
        <v>0</v>
      </c>
      <c r="M40" s="31">
        <f>ROUND('Anexo 5'!M40*Anexo1!$D$10,0)</f>
        <v>0</v>
      </c>
      <c r="N40" s="31">
        <f>ROUND('Anexo 5'!N40*Anexo1!$D$10,0)</f>
        <v>0</v>
      </c>
      <c r="O40" s="31">
        <f>ROUND('Anexo 5'!O40*Anexo1!$D$10,0)</f>
        <v>0</v>
      </c>
      <c r="P40" s="31">
        <f>ROUND('Anexo 5'!P40*Anexo1!$D$10,0)</f>
        <v>0</v>
      </c>
      <c r="Q40" s="31">
        <f>ROUND('Anexo 5'!Q40*Anexo1!$D$10,0)</f>
        <v>0</v>
      </c>
      <c r="R40" s="31">
        <f>ROUND('Anexo 5'!R40*Anexo1!$D$10,0)</f>
        <v>0</v>
      </c>
      <c r="S40" s="31">
        <f>ROUND('Anexo 5'!S40*Anexo1!$D$10,0)</f>
        <v>0</v>
      </c>
      <c r="T40" s="31">
        <f>ROUND('Anexo 5'!T40*Anexo1!$D$10,0)</f>
        <v>0</v>
      </c>
      <c r="U40" s="31">
        <f>ROUND('Anexo 5'!U40*Anexo1!$D$10,0)</f>
        <v>0</v>
      </c>
      <c r="V40" s="31">
        <f>ROUND('Anexo 5'!V40*Anexo1!$D$10,0)</f>
        <v>0</v>
      </c>
      <c r="W40" s="31">
        <f>ROUND('Anexo 5'!W40*Anexo1!$D$10,0)</f>
        <v>0</v>
      </c>
      <c r="X40" s="31">
        <f>ROUND('Anexo 5'!X40*Anexo1!$D$10,0)</f>
        <v>0</v>
      </c>
      <c r="Y40" s="31">
        <f>ROUND('Anexo 5'!Y40*Anexo1!$D$10,0)</f>
        <v>0</v>
      </c>
      <c r="Z40" s="31">
        <f>ROUND('Anexo 5'!Z40*Anexo1!$D$10,0)</f>
        <v>0</v>
      </c>
      <c r="AA40" s="36">
        <f t="shared" si="0"/>
        <v>0</v>
      </c>
      <c r="AB40" s="19">
        <v>3</v>
      </c>
      <c r="AC40" s="91"/>
      <c r="AD40" s="45"/>
    </row>
    <row r="41" spans="1:30" ht="15.75" thickBot="1" x14ac:dyDescent="0.3">
      <c r="A41" s="89"/>
      <c r="B41" s="20" t="s">
        <v>3</v>
      </c>
      <c r="C41" s="31">
        <f>ROUND('Anexo 5'!C41*Anexo1!$D$10,0)</f>
        <v>0</v>
      </c>
      <c r="D41" s="31">
        <f>ROUND('Anexo 5'!D41*Anexo1!$D$10,0)</f>
        <v>0</v>
      </c>
      <c r="E41" s="31">
        <f>ROUND('Anexo 5'!E41*Anexo1!$D$10,0)</f>
        <v>0</v>
      </c>
      <c r="F41" s="31">
        <f>ROUND('Anexo 5'!F41*Anexo1!$D$10,0)</f>
        <v>0</v>
      </c>
      <c r="G41" s="31">
        <f>ROUND('Anexo 5'!G41*Anexo1!$D$10,0)</f>
        <v>0</v>
      </c>
      <c r="H41" s="31">
        <f>ROUND('Anexo 5'!H41*Anexo1!$D$10,0)</f>
        <v>0</v>
      </c>
      <c r="I41" s="31">
        <f>ROUND('Anexo 5'!I41*Anexo1!$D$10,0)</f>
        <v>0</v>
      </c>
      <c r="J41" s="31">
        <f>ROUND('Anexo 5'!J41*Anexo1!$D$10,0)</f>
        <v>0</v>
      </c>
      <c r="K41" s="31">
        <f>ROUND('Anexo 5'!K41*Anexo1!$D$10,0)</f>
        <v>0</v>
      </c>
      <c r="L41" s="31">
        <f>ROUND('Anexo 5'!L41*Anexo1!$D$10,0)</f>
        <v>0</v>
      </c>
      <c r="M41" s="31">
        <f>ROUND('Anexo 5'!M41*Anexo1!$D$10,0)</f>
        <v>0</v>
      </c>
      <c r="N41" s="31">
        <f>ROUND('Anexo 5'!N41*Anexo1!$D$10,0)</f>
        <v>0</v>
      </c>
      <c r="O41" s="31">
        <f>ROUND('Anexo 5'!O41*Anexo1!$D$10,0)</f>
        <v>0</v>
      </c>
      <c r="P41" s="31">
        <f>ROUND('Anexo 5'!P41*Anexo1!$D$10,0)</f>
        <v>0</v>
      </c>
      <c r="Q41" s="31">
        <f>ROUND('Anexo 5'!Q41*Anexo1!$D$10,0)</f>
        <v>0</v>
      </c>
      <c r="R41" s="31">
        <f>ROUND('Anexo 5'!R41*Anexo1!$D$10,0)</f>
        <v>0</v>
      </c>
      <c r="S41" s="31">
        <f>ROUND('Anexo 5'!S41*Anexo1!$D$10,0)</f>
        <v>0</v>
      </c>
      <c r="T41" s="31">
        <f>ROUND('Anexo 5'!T41*Anexo1!$D$10,0)</f>
        <v>0</v>
      </c>
      <c r="U41" s="31">
        <f>ROUND('Anexo 5'!U41*Anexo1!$D$10,0)</f>
        <v>0</v>
      </c>
      <c r="V41" s="31">
        <f>ROUND('Anexo 5'!V41*Anexo1!$D$10,0)</f>
        <v>0</v>
      </c>
      <c r="W41" s="31">
        <f>ROUND('Anexo 5'!W41*Anexo1!$D$10,0)</f>
        <v>0</v>
      </c>
      <c r="X41" s="31">
        <f>ROUND('Anexo 5'!X41*Anexo1!$D$10,0)</f>
        <v>0</v>
      </c>
      <c r="Y41" s="31">
        <f>ROUND('Anexo 5'!Y41*Anexo1!$D$10,0)</f>
        <v>0</v>
      </c>
      <c r="Z41" s="31">
        <f>ROUND('Anexo 5'!Z41*Anexo1!$D$10,0)</f>
        <v>0</v>
      </c>
      <c r="AA41" s="39">
        <f t="shared" si="0"/>
        <v>0</v>
      </c>
      <c r="AB41" s="21">
        <v>6</v>
      </c>
      <c r="AC41" s="92"/>
      <c r="AD41" s="40"/>
    </row>
    <row r="42" spans="1:30" ht="15" x14ac:dyDescent="0.25">
      <c r="A42" s="93" t="s">
        <v>2</v>
      </c>
      <c r="B42" s="94"/>
      <c r="C42" s="29">
        <f t="shared" ref="C42:AC42" si="1">+SUM(C6:C41)</f>
        <v>0</v>
      </c>
      <c r="D42" s="29">
        <f t="shared" si="1"/>
        <v>0</v>
      </c>
      <c r="E42" s="29">
        <f t="shared" si="1"/>
        <v>0</v>
      </c>
      <c r="F42" s="29">
        <f t="shared" si="1"/>
        <v>0</v>
      </c>
      <c r="G42" s="29">
        <f t="shared" si="1"/>
        <v>0</v>
      </c>
      <c r="H42" s="29">
        <f t="shared" si="1"/>
        <v>0</v>
      </c>
      <c r="I42" s="29">
        <f t="shared" si="1"/>
        <v>0</v>
      </c>
      <c r="J42" s="29">
        <f t="shared" si="1"/>
        <v>0</v>
      </c>
      <c r="K42" s="29">
        <f t="shared" si="1"/>
        <v>0</v>
      </c>
      <c r="L42" s="29">
        <f t="shared" si="1"/>
        <v>0</v>
      </c>
      <c r="M42" s="29">
        <f t="shared" si="1"/>
        <v>0</v>
      </c>
      <c r="N42" s="29">
        <f t="shared" si="1"/>
        <v>0</v>
      </c>
      <c r="O42" s="29">
        <f t="shared" si="1"/>
        <v>0</v>
      </c>
      <c r="P42" s="29">
        <f t="shared" si="1"/>
        <v>0</v>
      </c>
      <c r="Q42" s="29">
        <f t="shared" si="1"/>
        <v>0</v>
      </c>
      <c r="R42" s="29">
        <f t="shared" si="1"/>
        <v>0</v>
      </c>
      <c r="S42" s="29">
        <f t="shared" si="1"/>
        <v>0</v>
      </c>
      <c r="T42" s="29">
        <f t="shared" si="1"/>
        <v>0</v>
      </c>
      <c r="U42" s="29">
        <f t="shared" si="1"/>
        <v>0</v>
      </c>
      <c r="V42" s="29">
        <f t="shared" si="1"/>
        <v>0</v>
      </c>
      <c r="W42" s="29">
        <f t="shared" si="1"/>
        <v>0</v>
      </c>
      <c r="X42" s="29">
        <f t="shared" si="1"/>
        <v>0</v>
      </c>
      <c r="Y42" s="29">
        <f t="shared" si="1"/>
        <v>0</v>
      </c>
      <c r="Z42" s="29">
        <f t="shared" si="1"/>
        <v>0</v>
      </c>
      <c r="AA42" s="29">
        <f t="shared" si="1"/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221-E7EF-4226-B08A-510586E9FFC9}">
  <sheetPr codeName="Hoja3">
    <tabColor theme="4" tint="-0.249977111117893"/>
  </sheetPr>
  <dimension ref="A1:H35"/>
  <sheetViews>
    <sheetView showGridLines="0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63</v>
      </c>
      <c r="C3" s="72"/>
      <c r="D3" s="72"/>
      <c r="E3" s="72"/>
      <c r="F3" s="72"/>
      <c r="G3" s="27"/>
    </row>
    <row r="4" spans="1:8" x14ac:dyDescent="0.25">
      <c r="B4" s="72" t="s">
        <v>40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36</v>
      </c>
      <c r="D8" s="73" t="s">
        <v>39</v>
      </c>
      <c r="E8" s="73" t="s">
        <v>37</v>
      </c>
      <c r="F8" s="73" t="s">
        <v>41</v>
      </c>
      <c r="G8" s="26"/>
    </row>
    <row r="9" spans="1:8" ht="23.25" customHeight="1" x14ac:dyDescent="0.25">
      <c r="B9" s="74"/>
      <c r="C9" s="74"/>
      <c r="D9" s="74"/>
      <c r="E9" s="74"/>
      <c r="F9" s="74"/>
      <c r="G9" s="26"/>
    </row>
    <row r="10" spans="1:8" ht="15.75" thickBot="1" x14ac:dyDescent="0.3">
      <c r="A10" s="63"/>
      <c r="B10" s="6">
        <v>46753</v>
      </c>
      <c r="C10" s="41">
        <f>+'Anexo 6'!AC6</f>
        <v>13414677</v>
      </c>
      <c r="D10" s="69"/>
      <c r="E10" s="53">
        <f>+'Cantidades Ofertadas Prod 2'!AC6</f>
        <v>0</v>
      </c>
      <c r="F10" s="66"/>
      <c r="G10" s="30"/>
      <c r="H10" s="62"/>
    </row>
    <row r="11" spans="1:8" ht="15.75" thickBot="1" x14ac:dyDescent="0.3">
      <c r="A11" s="63"/>
      <c r="B11" s="6">
        <v>46784</v>
      </c>
      <c r="C11" s="41">
        <f>+'Anexo 6'!AC9</f>
        <v>12831352</v>
      </c>
      <c r="D11" s="70"/>
      <c r="E11" s="53">
        <f>+'Cantidades Ofertadas Prod 2'!AC9</f>
        <v>0</v>
      </c>
      <c r="F11" s="67"/>
      <c r="G11" s="30"/>
      <c r="H11" s="62"/>
    </row>
    <row r="12" spans="1:8" ht="15.75" thickBot="1" x14ac:dyDescent="0.3">
      <c r="A12" s="63"/>
      <c r="B12" s="6">
        <v>46813</v>
      </c>
      <c r="C12" s="41">
        <f>+'Anexo 6'!AC12</f>
        <v>13373254</v>
      </c>
      <c r="D12" s="70"/>
      <c r="E12" s="53">
        <f>+'Cantidades Ofertadas Prod 2'!AC12</f>
        <v>0</v>
      </c>
      <c r="F12" s="67"/>
      <c r="G12" s="30"/>
      <c r="H12" s="62"/>
    </row>
    <row r="13" spans="1:8" ht="15.75" thickBot="1" x14ac:dyDescent="0.3">
      <c r="A13" s="63"/>
      <c r="B13" s="6">
        <v>46844</v>
      </c>
      <c r="C13" s="41">
        <f>+'Anexo 6'!AC15</f>
        <v>12575484</v>
      </c>
      <c r="D13" s="70"/>
      <c r="E13" s="53">
        <f>+'Cantidades Ofertadas Prod 2'!AC15</f>
        <v>0</v>
      </c>
      <c r="F13" s="67"/>
      <c r="G13" s="30"/>
      <c r="H13" s="62"/>
    </row>
    <row r="14" spans="1:8" ht="15.75" thickBot="1" x14ac:dyDescent="0.3">
      <c r="A14" s="63"/>
      <c r="B14" s="6">
        <v>46874</v>
      </c>
      <c r="C14" s="41">
        <f>+'Anexo 6'!AC18</f>
        <v>13125208</v>
      </c>
      <c r="D14" s="70"/>
      <c r="E14" s="53">
        <f>+'Cantidades Ofertadas Prod 2'!AC18</f>
        <v>0</v>
      </c>
      <c r="F14" s="67"/>
      <c r="G14" s="30"/>
      <c r="H14" s="62"/>
    </row>
    <row r="15" spans="1:8" ht="15.75" thickBot="1" x14ac:dyDescent="0.3">
      <c r="A15" s="63"/>
      <c r="B15" s="6">
        <v>46905</v>
      </c>
      <c r="C15" s="41">
        <f>+'Anexo 6'!AC21</f>
        <v>12693374</v>
      </c>
      <c r="D15" s="70"/>
      <c r="E15" s="53">
        <f>+'Cantidades Ofertadas Prod 2'!AC21</f>
        <v>0</v>
      </c>
      <c r="F15" s="67"/>
      <c r="G15" s="30"/>
      <c r="H15" s="62"/>
    </row>
    <row r="16" spans="1:8" ht="15.75" thickBot="1" x14ac:dyDescent="0.3">
      <c r="A16" s="63"/>
      <c r="B16" s="6">
        <v>46935</v>
      </c>
      <c r="C16" s="41">
        <f>+'Anexo 6'!AC24</f>
        <v>13399715</v>
      </c>
      <c r="D16" s="70"/>
      <c r="E16" s="53">
        <f>+'Cantidades Ofertadas Prod 2'!AC24</f>
        <v>0</v>
      </c>
      <c r="F16" s="67"/>
      <c r="G16" s="30"/>
      <c r="H16" s="62"/>
    </row>
    <row r="17" spans="1:8" ht="15.75" thickBot="1" x14ac:dyDescent="0.3">
      <c r="A17" s="63"/>
      <c r="B17" s="6">
        <v>46966</v>
      </c>
      <c r="C17" s="41">
        <f>+'Anexo 6'!AC27</f>
        <v>13691680</v>
      </c>
      <c r="D17" s="70"/>
      <c r="E17" s="53">
        <f>+'Cantidades Ofertadas Prod 2'!AC27</f>
        <v>0</v>
      </c>
      <c r="F17" s="67"/>
      <c r="G17" s="30"/>
      <c r="H17" s="62"/>
    </row>
    <row r="18" spans="1:8" ht="15.75" thickBot="1" x14ac:dyDescent="0.3">
      <c r="A18" s="63"/>
      <c r="B18" s="6">
        <v>46997</v>
      </c>
      <c r="C18" s="41">
        <f>+'Anexo 6'!AC30</f>
        <v>13450812</v>
      </c>
      <c r="D18" s="70"/>
      <c r="E18" s="53">
        <f>+'Cantidades Ofertadas Prod 2'!AC30</f>
        <v>0</v>
      </c>
      <c r="F18" s="67"/>
      <c r="G18" s="30"/>
      <c r="H18" s="62"/>
    </row>
    <row r="19" spans="1:8" ht="15.75" thickBot="1" x14ac:dyDescent="0.3">
      <c r="A19" s="63"/>
      <c r="B19" s="6">
        <v>47027</v>
      </c>
      <c r="C19" s="41">
        <f>+'Anexo 6'!AC33</f>
        <v>13286149</v>
      </c>
      <c r="D19" s="70"/>
      <c r="E19" s="53">
        <f>+'Cantidades Ofertadas Prod 2'!AC33</f>
        <v>0</v>
      </c>
      <c r="F19" s="67"/>
      <c r="G19" s="30"/>
      <c r="H19" s="62"/>
    </row>
    <row r="20" spans="1:8" ht="15.75" thickBot="1" x14ac:dyDescent="0.3">
      <c r="A20" s="63"/>
      <c r="B20" s="6">
        <v>47058</v>
      </c>
      <c r="C20" s="41">
        <f>+'Anexo 6'!AC36</f>
        <v>12653604</v>
      </c>
      <c r="D20" s="70"/>
      <c r="E20" s="53">
        <f>+'Cantidades Ofertadas Prod 2'!AC36</f>
        <v>0</v>
      </c>
      <c r="F20" s="67"/>
      <c r="G20" s="30"/>
      <c r="H20" s="62"/>
    </row>
    <row r="21" spans="1:8" ht="15.75" thickBot="1" x14ac:dyDescent="0.3">
      <c r="A21" s="63"/>
      <c r="B21" s="6">
        <v>47088</v>
      </c>
      <c r="C21" s="42">
        <f>+'Anexo 6'!AC39</f>
        <v>13517547</v>
      </c>
      <c r="D21" s="71"/>
      <c r="E21" s="54">
        <f>+'Cantidades Ofertadas Prod 2'!AC39</f>
        <v>0</v>
      </c>
      <c r="F21" s="68"/>
      <c r="G21" s="30"/>
      <c r="H21" s="62"/>
    </row>
    <row r="22" spans="1:8" ht="28.5" customHeight="1" x14ac:dyDescent="0.25">
      <c r="A22" s="63"/>
      <c r="B22" s="7" t="s">
        <v>0</v>
      </c>
      <c r="C22" s="8">
        <f>+SUM(C10:C21)</f>
        <v>158012856</v>
      </c>
      <c r="D22" s="58"/>
      <c r="E22" s="52">
        <f>SUM(E10:E21)</f>
        <v>0</v>
      </c>
      <c r="F22" s="51">
        <f>+F10</f>
        <v>0</v>
      </c>
      <c r="G22" s="43"/>
      <c r="H22" s="43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ht="15" customHeight="1" x14ac:dyDescent="0.25">
      <c r="B24" s="65" t="s">
        <v>44</v>
      </c>
      <c r="C24" s="65"/>
      <c r="D24" s="65"/>
      <c r="E24" s="65"/>
      <c r="F24" s="65"/>
      <c r="G24" s="65"/>
      <c r="H24" s="49"/>
    </row>
    <row r="25" spans="1:8" x14ac:dyDescent="0.25">
      <c r="B25" s="5" t="s">
        <v>68</v>
      </c>
      <c r="C25" s="50"/>
      <c r="D25" s="50"/>
      <c r="E25" s="50"/>
      <c r="F25" s="50"/>
      <c r="G25" s="50"/>
      <c r="H25" s="40"/>
    </row>
    <row r="26" spans="1:8" x14ac:dyDescent="0.25">
      <c r="B26" s="5" t="s">
        <v>51</v>
      </c>
      <c r="C26" s="50"/>
      <c r="D26" s="50"/>
      <c r="E26" s="50"/>
      <c r="F26" s="50"/>
      <c r="G26" s="50"/>
      <c r="H26" s="40"/>
    </row>
    <row r="27" spans="1:8" x14ac:dyDescent="0.25">
      <c r="B27" s="5" t="s">
        <v>42</v>
      </c>
      <c r="H27" s="40"/>
    </row>
    <row r="28" spans="1:8" x14ac:dyDescent="0.25">
      <c r="B28" s="5" t="s">
        <v>67</v>
      </c>
    </row>
    <row r="29" spans="1:8" x14ac:dyDescent="0.25">
      <c r="C29" s="43"/>
    </row>
    <row r="30" spans="1:8" x14ac:dyDescent="0.25">
      <c r="C30" s="43"/>
      <c r="E30" s="43"/>
    </row>
    <row r="31" spans="1:8" x14ac:dyDescent="0.25">
      <c r="C31" s="43"/>
    </row>
    <row r="32" spans="1:8" x14ac:dyDescent="0.25">
      <c r="B32" s="56" t="s">
        <v>45</v>
      </c>
      <c r="C32" s="57"/>
      <c r="D32" s="57"/>
      <c r="E32" s="57"/>
    </row>
    <row r="33" spans="2:2" x14ac:dyDescent="0.25">
      <c r="B33" s="57" t="s">
        <v>46</v>
      </c>
    </row>
    <row r="34" spans="2:2" x14ac:dyDescent="0.25">
      <c r="B34" s="57" t="s">
        <v>47</v>
      </c>
    </row>
    <row r="35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61A73EBC-7E67-4E7E-9186-D24A1959D44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EF5B-5739-4CD0-8A57-1546109D0DC4}">
  <sheetPr codeName="Hoja11">
    <tabColor theme="4" tint="-0.249977111117893"/>
  </sheetPr>
  <dimension ref="A1:H33"/>
  <sheetViews>
    <sheetView showGridLines="0" topLeftCell="A20" zoomScaleNormal="100" zoomScaleSheetLayoutView="140" workbookViewId="0">
      <selection activeCell="E10" sqref="E10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65</v>
      </c>
      <c r="C3" s="72"/>
      <c r="D3" s="72"/>
      <c r="E3" s="72"/>
      <c r="F3" s="72"/>
      <c r="G3" s="27"/>
    </row>
    <row r="4" spans="1:8" x14ac:dyDescent="0.25">
      <c r="B4" s="72" t="s">
        <v>40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48</v>
      </c>
      <c r="D8" s="73" t="s">
        <v>53</v>
      </c>
      <c r="E8" s="73" t="s">
        <v>37</v>
      </c>
      <c r="F8" s="73" t="s">
        <v>41</v>
      </c>
      <c r="G8" s="26"/>
    </row>
    <row r="9" spans="1:8" ht="23.25" customHeight="1" x14ac:dyDescent="0.25">
      <c r="A9" s="59">
        <v>10000</v>
      </c>
      <c r="B9" s="74"/>
      <c r="C9" s="74"/>
      <c r="D9" s="74"/>
      <c r="E9" s="74"/>
      <c r="F9" s="74"/>
      <c r="G9" s="26"/>
    </row>
    <row r="10" spans="1:8" ht="15.75" thickBot="1" x14ac:dyDescent="0.3">
      <c r="A10" s="55">
        <v>31</v>
      </c>
      <c r="B10" s="6">
        <v>46753</v>
      </c>
      <c r="C10" s="41">
        <f>+$A$9*A10*24</f>
        <v>7440000</v>
      </c>
      <c r="D10" s="75"/>
      <c r="E10" s="53">
        <f>+$D$10*A10*24</f>
        <v>0</v>
      </c>
      <c r="F10" s="66"/>
      <c r="G10" s="30"/>
      <c r="H10" s="49"/>
    </row>
    <row r="11" spans="1:8" ht="15.75" thickBot="1" x14ac:dyDescent="0.3">
      <c r="A11" s="55">
        <v>29</v>
      </c>
      <c r="B11" s="6">
        <v>46784</v>
      </c>
      <c r="C11" s="41">
        <f t="shared" ref="C11:C21" si="0">+$A$9*A11*24</f>
        <v>6960000</v>
      </c>
      <c r="D11" s="76"/>
      <c r="E11" s="53">
        <f t="shared" ref="E11:E21" si="1">+$D$10*A11*24</f>
        <v>0</v>
      </c>
      <c r="F11" s="67"/>
      <c r="G11" s="30"/>
      <c r="H11" s="49"/>
    </row>
    <row r="12" spans="1:8" ht="15.75" thickBot="1" x14ac:dyDescent="0.3">
      <c r="A12" s="55">
        <v>31</v>
      </c>
      <c r="B12" s="6">
        <v>46813</v>
      </c>
      <c r="C12" s="41">
        <f t="shared" si="0"/>
        <v>7440000</v>
      </c>
      <c r="D12" s="76"/>
      <c r="E12" s="53">
        <f t="shared" si="1"/>
        <v>0</v>
      </c>
      <c r="F12" s="67"/>
      <c r="G12" s="30"/>
      <c r="H12" s="49"/>
    </row>
    <row r="13" spans="1:8" ht="15.75" thickBot="1" x14ac:dyDescent="0.3">
      <c r="A13" s="55">
        <v>30</v>
      </c>
      <c r="B13" s="6">
        <v>46844</v>
      </c>
      <c r="C13" s="41">
        <f t="shared" si="0"/>
        <v>7200000</v>
      </c>
      <c r="D13" s="76"/>
      <c r="E13" s="53">
        <f t="shared" si="1"/>
        <v>0</v>
      </c>
      <c r="F13" s="67"/>
      <c r="G13" s="30"/>
      <c r="H13" s="49"/>
    </row>
    <row r="14" spans="1:8" ht="15.75" thickBot="1" x14ac:dyDescent="0.3">
      <c r="A14" s="55">
        <v>31</v>
      </c>
      <c r="B14" s="6">
        <v>46874</v>
      </c>
      <c r="C14" s="41">
        <f t="shared" si="0"/>
        <v>7440000</v>
      </c>
      <c r="D14" s="76"/>
      <c r="E14" s="53">
        <f t="shared" si="1"/>
        <v>0</v>
      </c>
      <c r="F14" s="67"/>
      <c r="G14" s="30"/>
      <c r="H14" s="49"/>
    </row>
    <row r="15" spans="1:8" ht="15.75" thickBot="1" x14ac:dyDescent="0.3">
      <c r="A15" s="55">
        <v>30</v>
      </c>
      <c r="B15" s="6">
        <v>46905</v>
      </c>
      <c r="C15" s="41">
        <f t="shared" si="0"/>
        <v>7200000</v>
      </c>
      <c r="D15" s="76"/>
      <c r="E15" s="53">
        <f t="shared" si="1"/>
        <v>0</v>
      </c>
      <c r="F15" s="67"/>
      <c r="G15" s="30"/>
      <c r="H15" s="49"/>
    </row>
    <row r="16" spans="1:8" ht="15.75" thickBot="1" x14ac:dyDescent="0.3">
      <c r="A16" s="55">
        <v>31</v>
      </c>
      <c r="B16" s="6">
        <v>46935</v>
      </c>
      <c r="C16" s="41">
        <f t="shared" si="0"/>
        <v>7440000</v>
      </c>
      <c r="D16" s="76"/>
      <c r="E16" s="53">
        <f t="shared" si="1"/>
        <v>0</v>
      </c>
      <c r="F16" s="67"/>
      <c r="G16" s="30"/>
      <c r="H16" s="49"/>
    </row>
    <row r="17" spans="1:8" ht="15.75" thickBot="1" x14ac:dyDescent="0.3">
      <c r="A17" s="55">
        <v>31</v>
      </c>
      <c r="B17" s="6">
        <v>46966</v>
      </c>
      <c r="C17" s="41">
        <f t="shared" si="0"/>
        <v>7440000</v>
      </c>
      <c r="D17" s="76"/>
      <c r="E17" s="53">
        <f t="shared" si="1"/>
        <v>0</v>
      </c>
      <c r="F17" s="67"/>
      <c r="G17" s="30"/>
      <c r="H17" s="49"/>
    </row>
    <row r="18" spans="1:8" ht="15.75" thickBot="1" x14ac:dyDescent="0.3">
      <c r="A18" s="55">
        <v>30</v>
      </c>
      <c r="B18" s="6">
        <v>46997</v>
      </c>
      <c r="C18" s="41">
        <f t="shared" si="0"/>
        <v>7200000</v>
      </c>
      <c r="D18" s="76"/>
      <c r="E18" s="53">
        <f t="shared" si="1"/>
        <v>0</v>
      </c>
      <c r="F18" s="67"/>
      <c r="G18" s="30"/>
      <c r="H18" s="49"/>
    </row>
    <row r="19" spans="1:8" ht="15.75" thickBot="1" x14ac:dyDescent="0.3">
      <c r="A19" s="55">
        <v>31</v>
      </c>
      <c r="B19" s="6">
        <v>47027</v>
      </c>
      <c r="C19" s="41">
        <f t="shared" si="0"/>
        <v>7440000</v>
      </c>
      <c r="D19" s="76"/>
      <c r="E19" s="53">
        <f t="shared" si="1"/>
        <v>0</v>
      </c>
      <c r="F19" s="67"/>
      <c r="G19" s="30"/>
      <c r="H19" s="49"/>
    </row>
    <row r="20" spans="1:8" ht="15.75" thickBot="1" x14ac:dyDescent="0.3">
      <c r="A20" s="55">
        <v>30</v>
      </c>
      <c r="B20" s="6">
        <v>47058</v>
      </c>
      <c r="C20" s="41">
        <f t="shared" si="0"/>
        <v>7200000</v>
      </c>
      <c r="D20" s="76"/>
      <c r="E20" s="53">
        <f t="shared" si="1"/>
        <v>0</v>
      </c>
      <c r="F20" s="67"/>
      <c r="G20" s="30"/>
      <c r="H20" s="43"/>
    </row>
    <row r="21" spans="1:8" ht="15.75" thickBot="1" x14ac:dyDescent="0.3">
      <c r="A21" s="55">
        <v>31</v>
      </c>
      <c r="B21" s="6">
        <v>47088</v>
      </c>
      <c r="C21" s="41">
        <f t="shared" si="0"/>
        <v>7440000</v>
      </c>
      <c r="D21" s="77"/>
      <c r="E21" s="53">
        <f t="shared" si="1"/>
        <v>0</v>
      </c>
      <c r="F21" s="68"/>
      <c r="G21" s="30"/>
      <c r="H21" s="61"/>
    </row>
    <row r="22" spans="1:8" ht="28.5" customHeight="1" x14ac:dyDescent="0.25">
      <c r="B22" s="7" t="s">
        <v>0</v>
      </c>
      <c r="C22" s="8">
        <f>+SUM(C10:C21)</f>
        <v>87840000</v>
      </c>
      <c r="D22" s="9"/>
      <c r="E22" s="52">
        <f>SUM(E10:E21)</f>
        <v>0</v>
      </c>
      <c r="F22" s="51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66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5" t="s">
        <v>54</v>
      </c>
      <c r="C26" s="65"/>
      <c r="D26" s="65"/>
      <c r="E26" s="65"/>
      <c r="F26" s="65"/>
      <c r="G26" s="65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6" t="s">
        <v>45</v>
      </c>
      <c r="C29" s="56"/>
      <c r="D29" s="56"/>
      <c r="E29" s="56"/>
    </row>
    <row r="30" spans="1:8" x14ac:dyDescent="0.25">
      <c r="B30" s="57" t="s">
        <v>46</v>
      </c>
      <c r="C30" s="57"/>
      <c r="D30" s="57"/>
      <c r="E30" s="57"/>
    </row>
    <row r="31" spans="1:8" x14ac:dyDescent="0.25">
      <c r="B31" s="57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10.000" prompt="Se debe ofertar maximo 10.000 kWh" sqref="D10:D21" xr:uid="{50F519AD-045B-420C-8305-B51F2D35ACDF}">
      <formula1>0</formula1>
      <formula2>10000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EA43-20F0-4D82-8C03-DE937EA6488F}">
  <sheetPr codeName="Hoja6">
    <tabColor rgb="FF0070C0"/>
  </sheetPr>
  <dimension ref="A1:AD46"/>
  <sheetViews>
    <sheetView showGridLines="0" tabSelected="1" zoomScale="115" zoomScaleNormal="115" zoomScaleSheetLayoutView="110" workbookViewId="0">
      <pane xSplit="2" ySplit="5" topLeftCell="N22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6.42578125" bestFit="1" customWidth="1"/>
    <col min="2" max="2" width="8.7109375" bestFit="1" customWidth="1"/>
    <col min="3" max="3" width="9.28515625" bestFit="1" customWidth="1"/>
    <col min="4" max="5" width="9" bestFit="1" customWidth="1"/>
    <col min="6" max="7" width="8.7109375" bestFit="1" customWidth="1"/>
    <col min="8" max="8" width="9.28515625" bestFit="1" customWidth="1"/>
    <col min="9" max="9" width="9" bestFit="1" customWidth="1"/>
    <col min="10" max="10" width="9.28515625" bestFit="1" customWidth="1"/>
    <col min="11" max="13" width="9" bestFit="1" customWidth="1"/>
    <col min="14" max="18" width="9.28515625" bestFit="1" customWidth="1"/>
    <col min="19" max="21" width="9" bestFit="1" customWidth="1"/>
    <col min="22" max="23" width="9.28515625" bestFit="1" customWidth="1"/>
    <col min="24" max="25" width="8.710937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8.42578125" bestFit="1" customWidth="1"/>
    <col min="31" max="16384" width="9.140625" hidden="1"/>
  </cols>
  <sheetData>
    <row r="1" spans="1:30" x14ac:dyDescent="0.25">
      <c r="A1" s="80" t="s">
        <v>84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46753</v>
      </c>
      <c r="B6" s="16" t="s">
        <v>5</v>
      </c>
      <c r="C6" s="31">
        <v>14603</v>
      </c>
      <c r="D6" s="31">
        <v>13759</v>
      </c>
      <c r="E6" s="31">
        <v>13251</v>
      </c>
      <c r="F6" s="31">
        <v>12988</v>
      </c>
      <c r="G6" s="31">
        <v>13170</v>
      </c>
      <c r="H6" s="31">
        <v>13954</v>
      </c>
      <c r="I6" s="31">
        <v>14700</v>
      </c>
      <c r="J6" s="31">
        <v>16096</v>
      </c>
      <c r="K6" s="31">
        <v>17667</v>
      </c>
      <c r="L6" s="31">
        <v>18857</v>
      </c>
      <c r="M6" s="31">
        <v>20068</v>
      </c>
      <c r="N6" s="31">
        <v>21211</v>
      </c>
      <c r="O6" s="31">
        <v>21017</v>
      </c>
      <c r="P6" s="31">
        <v>21042</v>
      </c>
      <c r="Q6" s="31">
        <v>21393</v>
      </c>
      <c r="R6" s="31">
        <v>21460</v>
      </c>
      <c r="S6" s="31">
        <v>21214</v>
      </c>
      <c r="T6" s="31">
        <v>20755</v>
      </c>
      <c r="U6" s="31">
        <v>22280</v>
      </c>
      <c r="V6" s="31">
        <v>23550</v>
      </c>
      <c r="W6" s="31">
        <v>22696</v>
      </c>
      <c r="X6" s="31">
        <v>21198</v>
      </c>
      <c r="Y6" s="31">
        <v>18791</v>
      </c>
      <c r="Z6" s="32">
        <v>16360</v>
      </c>
      <c r="AA6" s="33">
        <f>SUM(C6:Z6)</f>
        <v>442080</v>
      </c>
      <c r="AB6" s="17">
        <v>20</v>
      </c>
      <c r="AC6" s="90">
        <f>+AA6*AB6+AA7*AB7+AA8*AB8</f>
        <v>13414677</v>
      </c>
      <c r="AD6" s="47"/>
    </row>
    <row r="7" spans="1:30" ht="15.75" thickBot="1" x14ac:dyDescent="0.3">
      <c r="A7" s="89"/>
      <c r="B7" s="18" t="s">
        <v>4</v>
      </c>
      <c r="C7" s="34">
        <v>14955</v>
      </c>
      <c r="D7" s="34">
        <v>14002</v>
      </c>
      <c r="E7" s="34">
        <v>13420</v>
      </c>
      <c r="F7" s="34">
        <v>13053</v>
      </c>
      <c r="G7" s="34">
        <v>13065</v>
      </c>
      <c r="H7" s="34">
        <v>13504</v>
      </c>
      <c r="I7" s="34">
        <v>14016</v>
      </c>
      <c r="J7" s="34">
        <v>15435</v>
      </c>
      <c r="K7" s="34">
        <v>17191</v>
      </c>
      <c r="L7" s="34">
        <v>18516</v>
      </c>
      <c r="M7" s="34">
        <v>19508</v>
      </c>
      <c r="N7" s="34">
        <v>20490</v>
      </c>
      <c r="O7" s="34">
        <v>20596</v>
      </c>
      <c r="P7" s="34">
        <v>20394</v>
      </c>
      <c r="Q7" s="34">
        <v>20172</v>
      </c>
      <c r="R7" s="34">
        <v>20064</v>
      </c>
      <c r="S7" s="34">
        <v>19913</v>
      </c>
      <c r="T7" s="34">
        <v>19894</v>
      </c>
      <c r="U7" s="34">
        <v>21806</v>
      </c>
      <c r="V7" s="34">
        <v>23168</v>
      </c>
      <c r="W7" s="34">
        <v>22237</v>
      </c>
      <c r="X7" s="34">
        <v>20848</v>
      </c>
      <c r="Y7" s="34">
        <v>18878</v>
      </c>
      <c r="Z7" s="35">
        <v>16904</v>
      </c>
      <c r="AA7" s="33">
        <f t="shared" ref="AA7:AA41" si="0">SUM(C7:Z7)</f>
        <v>432029</v>
      </c>
      <c r="AB7" s="19">
        <v>4</v>
      </c>
      <c r="AC7" s="91"/>
      <c r="AD7" s="47"/>
    </row>
    <row r="8" spans="1:30" ht="15.75" thickBot="1" x14ac:dyDescent="0.3">
      <c r="A8" s="89"/>
      <c r="B8" s="20" t="s">
        <v>3</v>
      </c>
      <c r="C8" s="37">
        <v>15677</v>
      </c>
      <c r="D8" s="37">
        <v>14648</v>
      </c>
      <c r="E8" s="37">
        <v>13965</v>
      </c>
      <c r="F8" s="37">
        <v>13483</v>
      </c>
      <c r="G8" s="37">
        <v>13247</v>
      </c>
      <c r="H8" s="37">
        <v>13340</v>
      </c>
      <c r="I8" s="37">
        <v>13209</v>
      </c>
      <c r="J8" s="37">
        <v>13989</v>
      </c>
      <c r="K8" s="37">
        <v>15325</v>
      </c>
      <c r="L8" s="37">
        <v>16502</v>
      </c>
      <c r="M8" s="37">
        <v>17370</v>
      </c>
      <c r="N8" s="37">
        <v>18275</v>
      </c>
      <c r="O8" s="37">
        <v>18810</v>
      </c>
      <c r="P8" s="37">
        <v>18747</v>
      </c>
      <c r="Q8" s="37">
        <v>18406</v>
      </c>
      <c r="R8" s="37">
        <v>18210</v>
      </c>
      <c r="S8" s="37">
        <v>18111</v>
      </c>
      <c r="T8" s="37">
        <v>18210</v>
      </c>
      <c r="U8" s="37">
        <v>20295</v>
      </c>
      <c r="V8" s="37">
        <v>21785</v>
      </c>
      <c r="W8" s="37">
        <v>21177</v>
      </c>
      <c r="X8" s="37">
        <v>19879</v>
      </c>
      <c r="Y8" s="37">
        <v>17877</v>
      </c>
      <c r="Z8" s="38">
        <v>15886</v>
      </c>
      <c r="AA8" s="33">
        <f t="shared" si="0"/>
        <v>406423</v>
      </c>
      <c r="AB8" s="21">
        <v>7</v>
      </c>
      <c r="AC8" s="92"/>
      <c r="AD8" s="47"/>
    </row>
    <row r="9" spans="1:30" ht="15.75" thickBot="1" x14ac:dyDescent="0.3">
      <c r="A9" s="89">
        <v>46784</v>
      </c>
      <c r="B9" s="16" t="s">
        <v>5</v>
      </c>
      <c r="C9" s="31">
        <v>14688</v>
      </c>
      <c r="D9" s="31">
        <v>13876</v>
      </c>
      <c r="E9" s="31">
        <v>13409</v>
      </c>
      <c r="F9" s="31">
        <v>13179</v>
      </c>
      <c r="G9" s="31">
        <v>13445</v>
      </c>
      <c r="H9" s="31">
        <v>14663</v>
      </c>
      <c r="I9" s="31">
        <v>15632</v>
      </c>
      <c r="J9" s="31">
        <v>16686</v>
      </c>
      <c r="K9" s="31">
        <v>18083</v>
      </c>
      <c r="L9" s="31">
        <v>19130</v>
      </c>
      <c r="M9" s="31">
        <v>20274</v>
      </c>
      <c r="N9" s="31">
        <v>21334</v>
      </c>
      <c r="O9" s="31">
        <v>20908</v>
      </c>
      <c r="P9" s="31">
        <v>21070</v>
      </c>
      <c r="Q9" s="31">
        <v>21563</v>
      </c>
      <c r="R9" s="31">
        <v>21651</v>
      </c>
      <c r="S9" s="31">
        <v>21410</v>
      </c>
      <c r="T9" s="31">
        <v>20851</v>
      </c>
      <c r="U9" s="31">
        <v>22015</v>
      </c>
      <c r="V9" s="31">
        <v>23682</v>
      </c>
      <c r="W9" s="31">
        <v>22861</v>
      </c>
      <c r="X9" s="31">
        <v>21292</v>
      </c>
      <c r="Y9" s="31">
        <v>18818</v>
      </c>
      <c r="Z9" s="32">
        <v>16356</v>
      </c>
      <c r="AA9" s="33">
        <f t="shared" si="0"/>
        <v>446876</v>
      </c>
      <c r="AB9" s="17">
        <v>21</v>
      </c>
      <c r="AC9" s="90">
        <f>+AA9*AB9+AA10*AB10+AA11*AB11</f>
        <v>12831352</v>
      </c>
      <c r="AD9" s="47"/>
    </row>
    <row r="10" spans="1:30" ht="15.75" thickBot="1" x14ac:dyDescent="0.3">
      <c r="A10" s="89"/>
      <c r="B10" s="18" t="s">
        <v>4</v>
      </c>
      <c r="C10" s="34">
        <v>15232</v>
      </c>
      <c r="D10" s="34">
        <v>14331</v>
      </c>
      <c r="E10" s="34">
        <v>13752</v>
      </c>
      <c r="F10" s="34">
        <v>13420</v>
      </c>
      <c r="G10" s="34">
        <v>13459</v>
      </c>
      <c r="H10" s="34">
        <v>13931</v>
      </c>
      <c r="I10" s="34">
        <v>14686</v>
      </c>
      <c r="J10" s="34">
        <v>16105</v>
      </c>
      <c r="K10" s="34">
        <v>17928</v>
      </c>
      <c r="L10" s="34">
        <v>19198</v>
      </c>
      <c r="M10" s="34">
        <v>20208</v>
      </c>
      <c r="N10" s="34">
        <v>21188</v>
      </c>
      <c r="O10" s="34">
        <v>21215</v>
      </c>
      <c r="P10" s="34">
        <v>20943</v>
      </c>
      <c r="Q10" s="34">
        <v>20710</v>
      </c>
      <c r="R10" s="34">
        <v>20583</v>
      </c>
      <c r="S10" s="34">
        <v>20408</v>
      </c>
      <c r="T10" s="34">
        <v>20344</v>
      </c>
      <c r="U10" s="34">
        <v>21891</v>
      </c>
      <c r="V10" s="34">
        <v>23567</v>
      </c>
      <c r="W10" s="34">
        <v>22644</v>
      </c>
      <c r="X10" s="34">
        <v>21333</v>
      </c>
      <c r="Y10" s="34">
        <v>19458</v>
      </c>
      <c r="Z10" s="35">
        <v>17375</v>
      </c>
      <c r="AA10" s="33">
        <f t="shared" si="0"/>
        <v>443909</v>
      </c>
      <c r="AB10" s="19">
        <v>4</v>
      </c>
      <c r="AC10" s="91"/>
      <c r="AD10" s="47"/>
    </row>
    <row r="11" spans="1:30" ht="15.75" thickBot="1" x14ac:dyDescent="0.3">
      <c r="A11" s="89"/>
      <c r="B11" s="20" t="s">
        <v>3</v>
      </c>
      <c r="C11" s="37">
        <v>15820</v>
      </c>
      <c r="D11" s="37">
        <v>14798</v>
      </c>
      <c r="E11" s="37">
        <v>14175</v>
      </c>
      <c r="F11" s="37">
        <v>13707</v>
      </c>
      <c r="G11" s="37">
        <v>13558</v>
      </c>
      <c r="H11" s="37">
        <v>13698</v>
      </c>
      <c r="I11" s="37">
        <v>13810</v>
      </c>
      <c r="J11" s="37">
        <v>14725</v>
      </c>
      <c r="K11" s="37">
        <v>16190</v>
      </c>
      <c r="L11" s="37">
        <v>17389</v>
      </c>
      <c r="M11" s="37">
        <v>18184</v>
      </c>
      <c r="N11" s="37">
        <v>19043</v>
      </c>
      <c r="O11" s="37">
        <v>19524</v>
      </c>
      <c r="P11" s="37">
        <v>19367</v>
      </c>
      <c r="Q11" s="37">
        <v>18984</v>
      </c>
      <c r="R11" s="37">
        <v>18751</v>
      </c>
      <c r="S11" s="37">
        <v>18634</v>
      </c>
      <c r="T11" s="37">
        <v>18733</v>
      </c>
      <c r="U11" s="37">
        <v>20396</v>
      </c>
      <c r="V11" s="37">
        <v>22248</v>
      </c>
      <c r="W11" s="37">
        <v>21682</v>
      </c>
      <c r="X11" s="37">
        <v>20337</v>
      </c>
      <c r="Y11" s="37">
        <v>18128</v>
      </c>
      <c r="Z11" s="38">
        <v>15949</v>
      </c>
      <c r="AA11" s="33">
        <f t="shared" si="0"/>
        <v>417830</v>
      </c>
      <c r="AB11" s="21">
        <v>4</v>
      </c>
      <c r="AC11" s="92"/>
      <c r="AD11" s="47"/>
    </row>
    <row r="12" spans="1:30" ht="15.75" thickBot="1" x14ac:dyDescent="0.3">
      <c r="A12" s="89">
        <v>46813</v>
      </c>
      <c r="B12" s="16" t="s">
        <v>5</v>
      </c>
      <c r="C12" s="31">
        <v>14376</v>
      </c>
      <c r="D12" s="31">
        <v>13598</v>
      </c>
      <c r="E12" s="31">
        <v>13168</v>
      </c>
      <c r="F12" s="31">
        <v>12952</v>
      </c>
      <c r="G12" s="31">
        <v>13238</v>
      </c>
      <c r="H12" s="31">
        <v>14432</v>
      </c>
      <c r="I12" s="31">
        <v>15269</v>
      </c>
      <c r="J12" s="31">
        <v>16434</v>
      </c>
      <c r="K12" s="31">
        <v>17776</v>
      </c>
      <c r="L12" s="31">
        <v>18781</v>
      </c>
      <c r="M12" s="31">
        <v>19852</v>
      </c>
      <c r="N12" s="31">
        <v>20818</v>
      </c>
      <c r="O12" s="31">
        <v>20433</v>
      </c>
      <c r="P12" s="31">
        <v>20519</v>
      </c>
      <c r="Q12" s="31">
        <v>20942</v>
      </c>
      <c r="R12" s="31">
        <v>21011</v>
      </c>
      <c r="S12" s="31">
        <v>20827</v>
      </c>
      <c r="T12" s="31">
        <v>20433</v>
      </c>
      <c r="U12" s="31">
        <v>21886</v>
      </c>
      <c r="V12" s="31">
        <v>23308</v>
      </c>
      <c r="W12" s="31">
        <v>22461</v>
      </c>
      <c r="X12" s="31">
        <v>20867</v>
      </c>
      <c r="Y12" s="31">
        <v>18442</v>
      </c>
      <c r="Z12" s="32">
        <v>16048</v>
      </c>
      <c r="AA12" s="33">
        <f t="shared" si="0"/>
        <v>437871</v>
      </c>
      <c r="AB12" s="17">
        <v>22</v>
      </c>
      <c r="AC12" s="90">
        <f>+AA12*AB12+AA13*AB13+AA14*AB14</f>
        <v>13373254</v>
      </c>
      <c r="AD12" s="47"/>
    </row>
    <row r="13" spans="1:30" ht="15.75" thickBot="1" x14ac:dyDescent="0.3">
      <c r="A13" s="89"/>
      <c r="B13" s="18" t="s">
        <v>4</v>
      </c>
      <c r="C13" s="34">
        <v>14829</v>
      </c>
      <c r="D13" s="34">
        <v>13931</v>
      </c>
      <c r="E13" s="34">
        <v>13453</v>
      </c>
      <c r="F13" s="34">
        <v>13181</v>
      </c>
      <c r="G13" s="34">
        <v>13197</v>
      </c>
      <c r="H13" s="34">
        <v>13698</v>
      </c>
      <c r="I13" s="34">
        <v>14135</v>
      </c>
      <c r="J13" s="34">
        <v>15691</v>
      </c>
      <c r="K13" s="34">
        <v>17383</v>
      </c>
      <c r="L13" s="34">
        <v>18609</v>
      </c>
      <c r="M13" s="34">
        <v>19583</v>
      </c>
      <c r="N13" s="34">
        <v>20395</v>
      </c>
      <c r="O13" s="34">
        <v>20379</v>
      </c>
      <c r="P13" s="34">
        <v>20089</v>
      </c>
      <c r="Q13" s="34">
        <v>19873</v>
      </c>
      <c r="R13" s="34">
        <v>19710</v>
      </c>
      <c r="S13" s="34">
        <v>19498</v>
      </c>
      <c r="T13" s="34">
        <v>19513</v>
      </c>
      <c r="U13" s="34">
        <v>21278</v>
      </c>
      <c r="V13" s="34">
        <v>22619</v>
      </c>
      <c r="W13" s="34">
        <v>21743</v>
      </c>
      <c r="X13" s="34">
        <v>20489</v>
      </c>
      <c r="Y13" s="34">
        <v>18623</v>
      </c>
      <c r="Z13" s="35">
        <v>16739</v>
      </c>
      <c r="AA13" s="33">
        <f t="shared" si="0"/>
        <v>428638</v>
      </c>
      <c r="AB13" s="19">
        <v>4</v>
      </c>
      <c r="AC13" s="91"/>
      <c r="AD13" s="47"/>
    </row>
    <row r="14" spans="1:30" ht="15.75" thickBot="1" x14ac:dyDescent="0.3">
      <c r="A14" s="89"/>
      <c r="B14" s="20" t="s">
        <v>3</v>
      </c>
      <c r="C14" s="37">
        <v>15282</v>
      </c>
      <c r="D14" s="37">
        <v>14294</v>
      </c>
      <c r="E14" s="37">
        <v>13713</v>
      </c>
      <c r="F14" s="37">
        <v>13318</v>
      </c>
      <c r="G14" s="37">
        <v>13155</v>
      </c>
      <c r="H14" s="37">
        <v>13349</v>
      </c>
      <c r="I14" s="37">
        <v>13300</v>
      </c>
      <c r="J14" s="37">
        <v>14289</v>
      </c>
      <c r="K14" s="37">
        <v>15635</v>
      </c>
      <c r="L14" s="37">
        <v>16720</v>
      </c>
      <c r="M14" s="37">
        <v>17477</v>
      </c>
      <c r="N14" s="37">
        <v>18337</v>
      </c>
      <c r="O14" s="37">
        <v>18849</v>
      </c>
      <c r="P14" s="37">
        <v>18706</v>
      </c>
      <c r="Q14" s="37">
        <v>18313</v>
      </c>
      <c r="R14" s="37">
        <v>18138</v>
      </c>
      <c r="S14" s="37">
        <v>18024</v>
      </c>
      <c r="T14" s="37">
        <v>18165</v>
      </c>
      <c r="U14" s="37">
        <v>20071</v>
      </c>
      <c r="V14" s="37">
        <v>21651</v>
      </c>
      <c r="W14" s="37">
        <v>21041</v>
      </c>
      <c r="X14" s="37">
        <v>19780</v>
      </c>
      <c r="Y14" s="37">
        <v>17728</v>
      </c>
      <c r="Z14" s="38">
        <v>15773</v>
      </c>
      <c r="AA14" s="33">
        <f t="shared" si="0"/>
        <v>405108</v>
      </c>
      <c r="AB14" s="21">
        <v>5</v>
      </c>
      <c r="AC14" s="92"/>
      <c r="AD14" s="47"/>
    </row>
    <row r="15" spans="1:30" ht="15.75" thickBot="1" x14ac:dyDescent="0.3">
      <c r="A15" s="89">
        <v>46844</v>
      </c>
      <c r="B15" s="16" t="s">
        <v>5</v>
      </c>
      <c r="C15" s="31">
        <v>14045</v>
      </c>
      <c r="D15" s="31">
        <v>13300</v>
      </c>
      <c r="E15" s="31">
        <v>12852</v>
      </c>
      <c r="F15" s="31">
        <v>12644</v>
      </c>
      <c r="G15" s="31">
        <v>12907</v>
      </c>
      <c r="H15" s="31">
        <v>13870</v>
      </c>
      <c r="I15" s="31">
        <v>14579</v>
      </c>
      <c r="J15" s="31">
        <v>15863</v>
      </c>
      <c r="K15" s="31">
        <v>17205</v>
      </c>
      <c r="L15" s="31">
        <v>18256</v>
      </c>
      <c r="M15" s="31">
        <v>19365</v>
      </c>
      <c r="N15" s="31">
        <v>20370</v>
      </c>
      <c r="O15" s="31">
        <v>20011</v>
      </c>
      <c r="P15" s="31">
        <v>20103</v>
      </c>
      <c r="Q15" s="31">
        <v>20501</v>
      </c>
      <c r="R15" s="31">
        <v>20542</v>
      </c>
      <c r="S15" s="31">
        <v>20335</v>
      </c>
      <c r="T15" s="31">
        <v>20034</v>
      </c>
      <c r="U15" s="31">
        <v>21783</v>
      </c>
      <c r="V15" s="31">
        <v>22823</v>
      </c>
      <c r="W15" s="31">
        <v>22020</v>
      </c>
      <c r="X15" s="31">
        <v>20410</v>
      </c>
      <c r="Y15" s="31">
        <v>17974</v>
      </c>
      <c r="Z15" s="32">
        <v>15643</v>
      </c>
      <c r="AA15" s="33">
        <f t="shared" si="0"/>
        <v>427435</v>
      </c>
      <c r="AB15" s="17">
        <v>18</v>
      </c>
      <c r="AC15" s="90">
        <f>+AA15*AB15+AA16*AB16+AA17*AB17</f>
        <v>12575484</v>
      </c>
      <c r="AD15" s="47"/>
    </row>
    <row r="16" spans="1:30" ht="15.75" thickBot="1" x14ac:dyDescent="0.3">
      <c r="A16" s="89"/>
      <c r="B16" s="18" t="s">
        <v>4</v>
      </c>
      <c r="C16" s="34">
        <v>14344</v>
      </c>
      <c r="D16" s="34">
        <v>13494</v>
      </c>
      <c r="E16" s="34">
        <v>12948</v>
      </c>
      <c r="F16" s="34">
        <v>12625</v>
      </c>
      <c r="G16" s="34">
        <v>12685</v>
      </c>
      <c r="H16" s="34">
        <v>13049</v>
      </c>
      <c r="I16" s="34">
        <v>13507</v>
      </c>
      <c r="J16" s="34">
        <v>15132</v>
      </c>
      <c r="K16" s="34">
        <v>16798</v>
      </c>
      <c r="L16" s="34">
        <v>18062</v>
      </c>
      <c r="M16" s="34">
        <v>18975</v>
      </c>
      <c r="N16" s="34">
        <v>20012</v>
      </c>
      <c r="O16" s="34">
        <v>20075</v>
      </c>
      <c r="P16" s="34">
        <v>19834</v>
      </c>
      <c r="Q16" s="34">
        <v>19614</v>
      </c>
      <c r="R16" s="34">
        <v>19463</v>
      </c>
      <c r="S16" s="34">
        <v>19408</v>
      </c>
      <c r="T16" s="34">
        <v>19501</v>
      </c>
      <c r="U16" s="34">
        <v>21490</v>
      </c>
      <c r="V16" s="34">
        <v>22590</v>
      </c>
      <c r="W16" s="34">
        <v>21665</v>
      </c>
      <c r="X16" s="34">
        <v>20324</v>
      </c>
      <c r="Y16" s="34">
        <v>18434</v>
      </c>
      <c r="Z16" s="35">
        <v>16506</v>
      </c>
      <c r="AA16" s="33">
        <f t="shared" si="0"/>
        <v>420535</v>
      </c>
      <c r="AB16" s="19">
        <v>5</v>
      </c>
      <c r="AC16" s="91"/>
      <c r="AD16" s="47"/>
    </row>
    <row r="17" spans="1:30" ht="15.75" thickBot="1" x14ac:dyDescent="0.3">
      <c r="A17" s="89"/>
      <c r="B17" s="20" t="s">
        <v>3</v>
      </c>
      <c r="C17" s="37">
        <v>14948</v>
      </c>
      <c r="D17" s="37">
        <v>13994</v>
      </c>
      <c r="E17" s="37">
        <v>13378</v>
      </c>
      <c r="F17" s="37">
        <v>12958</v>
      </c>
      <c r="G17" s="37">
        <v>12796</v>
      </c>
      <c r="H17" s="37">
        <v>12774</v>
      </c>
      <c r="I17" s="37">
        <v>12873</v>
      </c>
      <c r="J17" s="37">
        <v>13989</v>
      </c>
      <c r="K17" s="37">
        <v>15294</v>
      </c>
      <c r="L17" s="37">
        <v>16439</v>
      </c>
      <c r="M17" s="37">
        <v>17254</v>
      </c>
      <c r="N17" s="37">
        <v>18085</v>
      </c>
      <c r="O17" s="37">
        <v>18568</v>
      </c>
      <c r="P17" s="37">
        <v>18434</v>
      </c>
      <c r="Q17" s="37">
        <v>18017</v>
      </c>
      <c r="R17" s="37">
        <v>17821</v>
      </c>
      <c r="S17" s="37">
        <v>17708</v>
      </c>
      <c r="T17" s="37">
        <v>17868</v>
      </c>
      <c r="U17" s="37">
        <v>19992</v>
      </c>
      <c r="V17" s="37">
        <v>21264</v>
      </c>
      <c r="W17" s="37">
        <v>20598</v>
      </c>
      <c r="X17" s="37">
        <v>19300</v>
      </c>
      <c r="Y17" s="37">
        <v>17313</v>
      </c>
      <c r="Z17" s="38">
        <v>15332</v>
      </c>
      <c r="AA17" s="33">
        <f t="shared" si="0"/>
        <v>396997</v>
      </c>
      <c r="AB17" s="21">
        <v>7</v>
      </c>
      <c r="AC17" s="92"/>
      <c r="AD17" s="47"/>
    </row>
    <row r="18" spans="1:30" ht="15.75" thickBot="1" x14ac:dyDescent="0.3">
      <c r="A18" s="89">
        <v>46874</v>
      </c>
      <c r="B18" s="16" t="s">
        <v>5</v>
      </c>
      <c r="C18" s="31">
        <v>14065</v>
      </c>
      <c r="D18" s="31">
        <v>13295</v>
      </c>
      <c r="E18" s="31">
        <v>12867</v>
      </c>
      <c r="F18" s="31">
        <v>12652</v>
      </c>
      <c r="G18" s="31">
        <v>12906</v>
      </c>
      <c r="H18" s="31">
        <v>13731</v>
      </c>
      <c r="I18" s="31">
        <v>14594</v>
      </c>
      <c r="J18" s="31">
        <v>15943</v>
      </c>
      <c r="K18" s="31">
        <v>17321</v>
      </c>
      <c r="L18" s="31">
        <v>18404</v>
      </c>
      <c r="M18" s="31">
        <v>19492</v>
      </c>
      <c r="N18" s="31">
        <v>20526</v>
      </c>
      <c r="O18" s="31">
        <v>20213</v>
      </c>
      <c r="P18" s="31">
        <v>20209</v>
      </c>
      <c r="Q18" s="31">
        <v>20521</v>
      </c>
      <c r="R18" s="31">
        <v>20558</v>
      </c>
      <c r="S18" s="31">
        <v>20348</v>
      </c>
      <c r="T18" s="31">
        <v>20102</v>
      </c>
      <c r="U18" s="31">
        <v>21928</v>
      </c>
      <c r="V18" s="31">
        <v>22963</v>
      </c>
      <c r="W18" s="31">
        <v>22065</v>
      </c>
      <c r="X18" s="31">
        <v>20450</v>
      </c>
      <c r="Y18" s="31">
        <v>17975</v>
      </c>
      <c r="Z18" s="32">
        <v>15682</v>
      </c>
      <c r="AA18" s="33">
        <f t="shared" si="0"/>
        <v>428810</v>
      </c>
      <c r="AB18" s="17">
        <v>21</v>
      </c>
      <c r="AC18" s="90">
        <f>+AA18*AB18+AA19*AB19+AA20*AB20</f>
        <v>13125208</v>
      </c>
      <c r="AD18" s="47"/>
    </row>
    <row r="19" spans="1:30" ht="15.75" thickBot="1" x14ac:dyDescent="0.3">
      <c r="A19" s="89"/>
      <c r="B19" s="18" t="s">
        <v>4</v>
      </c>
      <c r="C19" s="34">
        <v>14586</v>
      </c>
      <c r="D19" s="34">
        <v>13743</v>
      </c>
      <c r="E19" s="34">
        <v>13233</v>
      </c>
      <c r="F19" s="34">
        <v>12933</v>
      </c>
      <c r="G19" s="34">
        <v>12985</v>
      </c>
      <c r="H19" s="34">
        <v>13197</v>
      </c>
      <c r="I19" s="34">
        <v>13889</v>
      </c>
      <c r="J19" s="34">
        <v>15522</v>
      </c>
      <c r="K19" s="34">
        <v>17226</v>
      </c>
      <c r="L19" s="34">
        <v>18543</v>
      </c>
      <c r="M19" s="34">
        <v>19445</v>
      </c>
      <c r="N19" s="34">
        <v>20268</v>
      </c>
      <c r="O19" s="34">
        <v>20271</v>
      </c>
      <c r="P19" s="34">
        <v>19948</v>
      </c>
      <c r="Q19" s="34">
        <v>19620</v>
      </c>
      <c r="R19" s="34">
        <v>19422</v>
      </c>
      <c r="S19" s="34">
        <v>19278</v>
      </c>
      <c r="T19" s="34">
        <v>19456</v>
      </c>
      <c r="U19" s="34">
        <v>21618</v>
      </c>
      <c r="V19" s="34">
        <v>22494</v>
      </c>
      <c r="W19" s="34">
        <v>21603</v>
      </c>
      <c r="X19" s="34">
        <v>20236</v>
      </c>
      <c r="Y19" s="34">
        <v>18335</v>
      </c>
      <c r="Z19" s="35">
        <v>16440</v>
      </c>
      <c r="AA19" s="33">
        <f t="shared" si="0"/>
        <v>424291</v>
      </c>
      <c r="AB19" s="19">
        <v>4</v>
      </c>
      <c r="AC19" s="91"/>
      <c r="AD19" s="47"/>
    </row>
    <row r="20" spans="1:30" ht="15.75" thickBot="1" x14ac:dyDescent="0.3">
      <c r="A20" s="89"/>
      <c r="B20" s="20" t="s">
        <v>3</v>
      </c>
      <c r="C20" s="37">
        <v>14841</v>
      </c>
      <c r="D20" s="37">
        <v>13919</v>
      </c>
      <c r="E20" s="37">
        <v>13346</v>
      </c>
      <c r="F20" s="37">
        <v>12965</v>
      </c>
      <c r="G20" s="37">
        <v>12848</v>
      </c>
      <c r="H20" s="37">
        <v>12703</v>
      </c>
      <c r="I20" s="37">
        <v>12964</v>
      </c>
      <c r="J20" s="37">
        <v>14206</v>
      </c>
      <c r="K20" s="37">
        <v>15588</v>
      </c>
      <c r="L20" s="37">
        <v>16815</v>
      </c>
      <c r="M20" s="37">
        <v>17654</v>
      </c>
      <c r="N20" s="37">
        <v>18530</v>
      </c>
      <c r="O20" s="37">
        <v>18915</v>
      </c>
      <c r="P20" s="37">
        <v>18838</v>
      </c>
      <c r="Q20" s="37">
        <v>18381</v>
      </c>
      <c r="R20" s="37">
        <v>18894</v>
      </c>
      <c r="S20" s="37">
        <v>18059</v>
      </c>
      <c r="T20" s="37">
        <v>18258</v>
      </c>
      <c r="U20" s="37">
        <v>20454</v>
      </c>
      <c r="V20" s="37">
        <v>21730</v>
      </c>
      <c r="W20" s="37">
        <v>21044</v>
      </c>
      <c r="X20" s="37">
        <v>19665</v>
      </c>
      <c r="Y20" s="37">
        <v>17621</v>
      </c>
      <c r="Z20" s="38">
        <v>15601</v>
      </c>
      <c r="AA20" s="33">
        <f t="shared" si="0"/>
        <v>403839</v>
      </c>
      <c r="AB20" s="21">
        <v>6</v>
      </c>
      <c r="AC20" s="92"/>
      <c r="AD20" s="47"/>
    </row>
    <row r="21" spans="1:30" ht="15.75" thickBot="1" x14ac:dyDescent="0.3">
      <c r="A21" s="89">
        <v>46905</v>
      </c>
      <c r="B21" s="16" t="s">
        <v>5</v>
      </c>
      <c r="C21" s="31">
        <v>13900</v>
      </c>
      <c r="D21" s="31">
        <v>13113</v>
      </c>
      <c r="E21" s="31">
        <v>12720</v>
      </c>
      <c r="F21" s="31">
        <v>12509</v>
      </c>
      <c r="G21" s="31">
        <v>12742</v>
      </c>
      <c r="H21" s="31">
        <v>13451</v>
      </c>
      <c r="I21" s="31">
        <v>14386</v>
      </c>
      <c r="J21" s="31">
        <v>15809</v>
      </c>
      <c r="K21" s="31">
        <v>17247</v>
      </c>
      <c r="L21" s="31">
        <v>18319</v>
      </c>
      <c r="M21" s="31">
        <v>19439</v>
      </c>
      <c r="N21" s="31">
        <v>20485</v>
      </c>
      <c r="O21" s="31">
        <v>20148</v>
      </c>
      <c r="P21" s="31">
        <v>20125</v>
      </c>
      <c r="Q21" s="31">
        <v>20510</v>
      </c>
      <c r="R21" s="31">
        <v>20531</v>
      </c>
      <c r="S21" s="31">
        <v>20322</v>
      </c>
      <c r="T21" s="31">
        <v>20007</v>
      </c>
      <c r="U21" s="31">
        <v>21463</v>
      </c>
      <c r="V21" s="31">
        <v>22822</v>
      </c>
      <c r="W21" s="31">
        <v>21971</v>
      </c>
      <c r="X21" s="31">
        <v>20371</v>
      </c>
      <c r="Y21" s="31">
        <v>17859</v>
      </c>
      <c r="Z21" s="32">
        <v>15531</v>
      </c>
      <c r="AA21" s="33">
        <f t="shared" si="0"/>
        <v>425780</v>
      </c>
      <c r="AB21" s="17">
        <v>20</v>
      </c>
      <c r="AC21" s="90">
        <f>+AA21*AB21+AA22*AB22+AA23*AB23</f>
        <v>12693374</v>
      </c>
      <c r="AD21" s="47"/>
    </row>
    <row r="22" spans="1:30" ht="15.75" thickBot="1" x14ac:dyDescent="0.3">
      <c r="A22" s="89"/>
      <c r="B22" s="18" t="s">
        <v>4</v>
      </c>
      <c r="C22" s="34">
        <v>14571</v>
      </c>
      <c r="D22" s="34">
        <v>13664</v>
      </c>
      <c r="E22" s="34">
        <v>13144</v>
      </c>
      <c r="F22" s="34">
        <v>12850</v>
      </c>
      <c r="G22" s="34">
        <v>12876</v>
      </c>
      <c r="H22" s="34">
        <v>13085</v>
      </c>
      <c r="I22" s="34">
        <v>13769</v>
      </c>
      <c r="J22" s="34">
        <v>15384</v>
      </c>
      <c r="K22" s="34">
        <v>17206</v>
      </c>
      <c r="L22" s="34">
        <v>18457</v>
      </c>
      <c r="M22" s="34">
        <v>19434</v>
      </c>
      <c r="N22" s="34">
        <v>20281</v>
      </c>
      <c r="O22" s="34">
        <v>20336</v>
      </c>
      <c r="P22" s="34">
        <v>20128</v>
      </c>
      <c r="Q22" s="34">
        <v>19913</v>
      </c>
      <c r="R22" s="34">
        <v>19876</v>
      </c>
      <c r="S22" s="34">
        <v>19728</v>
      </c>
      <c r="T22" s="34">
        <v>19876</v>
      </c>
      <c r="U22" s="34">
        <v>21731</v>
      </c>
      <c r="V22" s="34">
        <v>22922</v>
      </c>
      <c r="W22" s="34">
        <v>21982</v>
      </c>
      <c r="X22" s="34">
        <v>20640</v>
      </c>
      <c r="Y22" s="34">
        <v>18652</v>
      </c>
      <c r="Z22" s="35">
        <v>16630</v>
      </c>
      <c r="AA22" s="33">
        <f t="shared" si="0"/>
        <v>427135</v>
      </c>
      <c r="AB22" s="19">
        <v>4</v>
      </c>
      <c r="AC22" s="91"/>
      <c r="AD22" s="47"/>
    </row>
    <row r="23" spans="1:30" ht="15.75" thickBot="1" x14ac:dyDescent="0.3">
      <c r="A23" s="89"/>
      <c r="B23" s="20" t="s">
        <v>3</v>
      </c>
      <c r="C23" s="37">
        <v>15165</v>
      </c>
      <c r="D23" s="37">
        <v>14198</v>
      </c>
      <c r="E23" s="37">
        <v>13637</v>
      </c>
      <c r="F23" s="37">
        <v>13254</v>
      </c>
      <c r="G23" s="37">
        <v>13164</v>
      </c>
      <c r="H23" s="37">
        <v>13149</v>
      </c>
      <c r="I23" s="37">
        <v>13324</v>
      </c>
      <c r="J23" s="37">
        <v>14618</v>
      </c>
      <c r="K23" s="37">
        <v>16057</v>
      </c>
      <c r="L23" s="37">
        <v>17168</v>
      </c>
      <c r="M23" s="37">
        <v>18082</v>
      </c>
      <c r="N23" s="37">
        <v>18966</v>
      </c>
      <c r="O23" s="37">
        <v>19281</v>
      </c>
      <c r="P23" s="37">
        <v>19148</v>
      </c>
      <c r="Q23" s="37">
        <v>18777</v>
      </c>
      <c r="R23" s="37">
        <v>18603</v>
      </c>
      <c r="S23" s="37">
        <v>18508</v>
      </c>
      <c r="T23" s="37">
        <v>18659</v>
      </c>
      <c r="U23" s="37">
        <v>20541</v>
      </c>
      <c r="V23" s="37">
        <v>22052</v>
      </c>
      <c r="W23" s="37">
        <v>21402</v>
      </c>
      <c r="X23" s="37">
        <v>20005</v>
      </c>
      <c r="Y23" s="37">
        <v>17906</v>
      </c>
      <c r="Z23" s="38">
        <v>15875</v>
      </c>
      <c r="AA23" s="33">
        <f t="shared" si="0"/>
        <v>411539</v>
      </c>
      <c r="AB23" s="21">
        <v>6</v>
      </c>
      <c r="AC23" s="92"/>
      <c r="AD23" s="47"/>
    </row>
    <row r="24" spans="1:30" ht="15.75" thickBot="1" x14ac:dyDescent="0.3">
      <c r="A24" s="89">
        <v>46935</v>
      </c>
      <c r="B24" s="16" t="s">
        <v>5</v>
      </c>
      <c r="C24" s="31">
        <v>14553</v>
      </c>
      <c r="D24" s="31">
        <v>13725</v>
      </c>
      <c r="E24" s="31">
        <v>13247</v>
      </c>
      <c r="F24" s="31">
        <v>12987</v>
      </c>
      <c r="G24" s="31">
        <v>13209</v>
      </c>
      <c r="H24" s="31">
        <v>13914</v>
      </c>
      <c r="I24" s="31">
        <v>14673</v>
      </c>
      <c r="J24" s="31">
        <v>16262</v>
      </c>
      <c r="K24" s="31">
        <v>17806</v>
      </c>
      <c r="L24" s="31">
        <v>19016</v>
      </c>
      <c r="M24" s="31">
        <v>20188</v>
      </c>
      <c r="N24" s="31">
        <v>21227</v>
      </c>
      <c r="O24" s="31">
        <v>20859</v>
      </c>
      <c r="P24" s="31">
        <v>20904</v>
      </c>
      <c r="Q24" s="31">
        <v>21287</v>
      </c>
      <c r="R24" s="31">
        <v>21330</v>
      </c>
      <c r="S24" s="31">
        <v>21028</v>
      </c>
      <c r="T24" s="31">
        <v>20502</v>
      </c>
      <c r="U24" s="31">
        <v>21706</v>
      </c>
      <c r="V24" s="31">
        <v>23321</v>
      </c>
      <c r="W24" s="31">
        <v>22566</v>
      </c>
      <c r="X24" s="31">
        <v>21045</v>
      </c>
      <c r="Y24" s="31">
        <v>18536</v>
      </c>
      <c r="Z24" s="32">
        <v>16227</v>
      </c>
      <c r="AA24" s="33">
        <f t="shared" si="0"/>
        <v>440118</v>
      </c>
      <c r="AB24" s="17">
        <v>19</v>
      </c>
      <c r="AC24" s="90">
        <f>+AA24*AB24+AA25*AB25+AA26*AB26</f>
        <v>13399715</v>
      </c>
      <c r="AD24" s="47"/>
    </row>
    <row r="25" spans="1:30" ht="15.75" thickBot="1" x14ac:dyDescent="0.3">
      <c r="A25" s="89"/>
      <c r="B25" s="18" t="s">
        <v>4</v>
      </c>
      <c r="C25" s="34">
        <v>14585</v>
      </c>
      <c r="D25" s="34">
        <v>13635</v>
      </c>
      <c r="E25" s="34">
        <v>13151</v>
      </c>
      <c r="F25" s="34">
        <v>12827</v>
      </c>
      <c r="G25" s="34">
        <v>12858</v>
      </c>
      <c r="H25" s="34">
        <v>13128</v>
      </c>
      <c r="I25" s="34">
        <v>13781</v>
      </c>
      <c r="J25" s="34">
        <v>15704</v>
      </c>
      <c r="K25" s="34">
        <v>17535</v>
      </c>
      <c r="L25" s="34">
        <v>18789</v>
      </c>
      <c r="M25" s="34">
        <v>19774</v>
      </c>
      <c r="N25" s="34">
        <v>20607</v>
      </c>
      <c r="O25" s="34">
        <v>20569</v>
      </c>
      <c r="P25" s="34">
        <v>20247</v>
      </c>
      <c r="Q25" s="34">
        <v>19954</v>
      </c>
      <c r="R25" s="34">
        <v>19802</v>
      </c>
      <c r="S25" s="34">
        <v>19626</v>
      </c>
      <c r="T25" s="34">
        <v>19685</v>
      </c>
      <c r="U25" s="34">
        <v>21155</v>
      </c>
      <c r="V25" s="34">
        <v>22710</v>
      </c>
      <c r="W25" s="34">
        <v>21842</v>
      </c>
      <c r="X25" s="34">
        <v>20602</v>
      </c>
      <c r="Y25" s="34">
        <v>18658</v>
      </c>
      <c r="Z25" s="35">
        <v>16735</v>
      </c>
      <c r="AA25" s="33">
        <f t="shared" si="0"/>
        <v>427959</v>
      </c>
      <c r="AB25" s="19">
        <v>5</v>
      </c>
      <c r="AC25" s="91"/>
      <c r="AD25" s="47"/>
    </row>
    <row r="26" spans="1:30" ht="15.75" thickBot="1" x14ac:dyDescent="0.3">
      <c r="A26" s="89"/>
      <c r="B26" s="20" t="s">
        <v>3</v>
      </c>
      <c r="C26" s="37">
        <v>15478</v>
      </c>
      <c r="D26" s="37">
        <v>14528</v>
      </c>
      <c r="E26" s="37">
        <v>13900</v>
      </c>
      <c r="F26" s="37">
        <v>13490</v>
      </c>
      <c r="G26" s="37">
        <v>13362</v>
      </c>
      <c r="H26" s="37">
        <v>13367</v>
      </c>
      <c r="I26" s="37">
        <v>13454</v>
      </c>
      <c r="J26" s="37">
        <v>14677</v>
      </c>
      <c r="K26" s="37">
        <v>16145</v>
      </c>
      <c r="L26" s="37">
        <v>17362</v>
      </c>
      <c r="M26" s="37">
        <v>18247</v>
      </c>
      <c r="N26" s="37">
        <v>19069</v>
      </c>
      <c r="O26" s="37">
        <v>19476</v>
      </c>
      <c r="P26" s="37">
        <v>19262</v>
      </c>
      <c r="Q26" s="37">
        <v>18836</v>
      </c>
      <c r="R26" s="37">
        <v>18610</v>
      </c>
      <c r="S26" s="37">
        <v>18435</v>
      </c>
      <c r="T26" s="37">
        <v>18516</v>
      </c>
      <c r="U26" s="37">
        <v>20075</v>
      </c>
      <c r="V26" s="37">
        <v>21992</v>
      </c>
      <c r="W26" s="37">
        <v>21431</v>
      </c>
      <c r="X26" s="37">
        <v>20141</v>
      </c>
      <c r="Y26" s="37">
        <v>18045</v>
      </c>
      <c r="Z26" s="38">
        <v>16056</v>
      </c>
      <c r="AA26" s="33">
        <f t="shared" si="0"/>
        <v>413954</v>
      </c>
      <c r="AB26" s="21">
        <v>7</v>
      </c>
      <c r="AC26" s="92"/>
      <c r="AD26" s="47"/>
    </row>
    <row r="27" spans="1:30" ht="15.75" thickBot="1" x14ac:dyDescent="0.3">
      <c r="A27" s="89">
        <v>46966</v>
      </c>
      <c r="B27" s="16" t="s">
        <v>5</v>
      </c>
      <c r="C27" s="31">
        <v>14724</v>
      </c>
      <c r="D27" s="31">
        <v>13939</v>
      </c>
      <c r="E27" s="31">
        <v>13506</v>
      </c>
      <c r="F27" s="31">
        <v>13250</v>
      </c>
      <c r="G27" s="31">
        <v>13482</v>
      </c>
      <c r="H27" s="31">
        <v>14417</v>
      </c>
      <c r="I27" s="31">
        <v>15249</v>
      </c>
      <c r="J27" s="31">
        <v>16664</v>
      </c>
      <c r="K27" s="31">
        <v>18144</v>
      </c>
      <c r="L27" s="31">
        <v>19277</v>
      </c>
      <c r="M27" s="31">
        <v>20477</v>
      </c>
      <c r="N27" s="31">
        <v>21529</v>
      </c>
      <c r="O27" s="31">
        <v>21159</v>
      </c>
      <c r="P27" s="31">
        <v>21326</v>
      </c>
      <c r="Q27" s="31">
        <v>21759</v>
      </c>
      <c r="R27" s="31">
        <v>21794</v>
      </c>
      <c r="S27" s="31">
        <v>21480</v>
      </c>
      <c r="T27" s="31">
        <v>20937</v>
      </c>
      <c r="U27" s="31">
        <v>22402</v>
      </c>
      <c r="V27" s="31">
        <v>23759</v>
      </c>
      <c r="W27" s="31">
        <v>22930</v>
      </c>
      <c r="X27" s="31">
        <v>21327</v>
      </c>
      <c r="Y27" s="31">
        <v>18786</v>
      </c>
      <c r="Z27" s="32">
        <v>16493</v>
      </c>
      <c r="AA27" s="33">
        <f t="shared" si="0"/>
        <v>448810</v>
      </c>
      <c r="AB27" s="17">
        <v>21</v>
      </c>
      <c r="AC27" s="90">
        <f>+AA27*AB27+AA28*AB28+AA29*AB29</f>
        <v>13691680</v>
      </c>
      <c r="AD27" s="47"/>
    </row>
    <row r="28" spans="1:30" ht="15.75" thickBot="1" x14ac:dyDescent="0.3">
      <c r="A28" s="89"/>
      <c r="B28" s="18" t="s">
        <v>4</v>
      </c>
      <c r="C28" s="34">
        <v>15326</v>
      </c>
      <c r="D28" s="34">
        <v>14475</v>
      </c>
      <c r="E28" s="34">
        <v>13943</v>
      </c>
      <c r="F28" s="34">
        <v>13544</v>
      </c>
      <c r="G28" s="34">
        <v>13514</v>
      </c>
      <c r="H28" s="34">
        <v>13889</v>
      </c>
      <c r="I28" s="34">
        <v>14334</v>
      </c>
      <c r="J28" s="34">
        <v>16149</v>
      </c>
      <c r="K28" s="34">
        <v>17983</v>
      </c>
      <c r="L28" s="34">
        <v>19241</v>
      </c>
      <c r="M28" s="34">
        <v>20343</v>
      </c>
      <c r="N28" s="34">
        <v>21177</v>
      </c>
      <c r="O28" s="34">
        <v>21183</v>
      </c>
      <c r="P28" s="34">
        <v>20955</v>
      </c>
      <c r="Q28" s="34">
        <v>20736</v>
      </c>
      <c r="R28" s="34">
        <v>20610</v>
      </c>
      <c r="S28" s="34">
        <v>20334</v>
      </c>
      <c r="T28" s="34">
        <v>20296</v>
      </c>
      <c r="U28" s="34">
        <v>22110</v>
      </c>
      <c r="V28" s="34">
        <v>23308</v>
      </c>
      <c r="W28" s="34">
        <v>22426</v>
      </c>
      <c r="X28" s="34">
        <v>21145</v>
      </c>
      <c r="Y28" s="34">
        <v>19279</v>
      </c>
      <c r="Z28" s="35">
        <v>17272</v>
      </c>
      <c r="AA28" s="33">
        <f t="shared" si="0"/>
        <v>443572</v>
      </c>
      <c r="AB28" s="19">
        <v>4</v>
      </c>
      <c r="AC28" s="91"/>
      <c r="AD28" s="47"/>
    </row>
    <row r="29" spans="1:30" ht="15.75" thickBot="1" x14ac:dyDescent="0.3">
      <c r="A29" s="89"/>
      <c r="B29" s="20" t="s">
        <v>3</v>
      </c>
      <c r="C29" s="37">
        <v>15612</v>
      </c>
      <c r="D29" s="37">
        <v>14644</v>
      </c>
      <c r="E29" s="37">
        <v>14006</v>
      </c>
      <c r="F29" s="37">
        <v>13599</v>
      </c>
      <c r="G29" s="37">
        <v>13467</v>
      </c>
      <c r="H29" s="37">
        <v>13512</v>
      </c>
      <c r="I29" s="37">
        <v>13510</v>
      </c>
      <c r="J29" s="37">
        <v>14783</v>
      </c>
      <c r="K29" s="37">
        <v>16220</v>
      </c>
      <c r="L29" s="37">
        <v>17405</v>
      </c>
      <c r="M29" s="37">
        <v>18244</v>
      </c>
      <c r="N29" s="37">
        <v>19113</v>
      </c>
      <c r="O29" s="37">
        <v>19562</v>
      </c>
      <c r="P29" s="37">
        <v>19387</v>
      </c>
      <c r="Q29" s="37">
        <v>18911</v>
      </c>
      <c r="R29" s="37">
        <v>18592</v>
      </c>
      <c r="S29" s="37">
        <v>18472</v>
      </c>
      <c r="T29" s="37">
        <v>18523</v>
      </c>
      <c r="U29" s="37">
        <v>20405</v>
      </c>
      <c r="V29" s="37">
        <v>22040</v>
      </c>
      <c r="W29" s="37">
        <v>21386</v>
      </c>
      <c r="X29" s="37">
        <v>20044</v>
      </c>
      <c r="Y29" s="37">
        <v>17998</v>
      </c>
      <c r="Z29" s="38">
        <v>15962</v>
      </c>
      <c r="AA29" s="33">
        <f t="shared" si="0"/>
        <v>415397</v>
      </c>
      <c r="AB29" s="21">
        <v>6</v>
      </c>
      <c r="AC29" s="92"/>
      <c r="AD29" s="47"/>
    </row>
    <row r="30" spans="1:30" ht="15.75" thickBot="1" x14ac:dyDescent="0.3">
      <c r="A30" s="89">
        <v>46997</v>
      </c>
      <c r="B30" s="16" t="s">
        <v>5</v>
      </c>
      <c r="C30" s="31">
        <v>14987</v>
      </c>
      <c r="D30" s="31">
        <v>14162</v>
      </c>
      <c r="E30" s="31">
        <v>13646</v>
      </c>
      <c r="F30" s="31">
        <v>13420</v>
      </c>
      <c r="G30" s="31">
        <v>13638</v>
      </c>
      <c r="H30" s="31">
        <v>14532</v>
      </c>
      <c r="I30" s="31">
        <v>15393</v>
      </c>
      <c r="J30" s="31">
        <v>16853</v>
      </c>
      <c r="K30" s="31">
        <v>18320</v>
      </c>
      <c r="L30" s="31">
        <v>19539</v>
      </c>
      <c r="M30" s="31">
        <v>20749</v>
      </c>
      <c r="N30" s="31">
        <v>21859</v>
      </c>
      <c r="O30" s="31">
        <v>21478</v>
      </c>
      <c r="P30" s="31">
        <v>21633</v>
      </c>
      <c r="Q30" s="31">
        <v>22139</v>
      </c>
      <c r="R30" s="31">
        <v>22265</v>
      </c>
      <c r="S30" s="31">
        <v>21945</v>
      </c>
      <c r="T30" s="31">
        <v>21495</v>
      </c>
      <c r="U30" s="31">
        <v>23507</v>
      </c>
      <c r="V30" s="31">
        <v>24050</v>
      </c>
      <c r="W30" s="31">
        <v>23146</v>
      </c>
      <c r="X30" s="31">
        <v>21515</v>
      </c>
      <c r="Y30" s="31">
        <v>18922</v>
      </c>
      <c r="Z30" s="32">
        <v>16634</v>
      </c>
      <c r="AA30" s="33">
        <f t="shared" si="0"/>
        <v>455827</v>
      </c>
      <c r="AB30" s="17">
        <v>21</v>
      </c>
      <c r="AC30" s="90">
        <f>+AA30*AB30+AA31*AB31+AA32*AB32</f>
        <v>13450812</v>
      </c>
      <c r="AD30" s="47"/>
    </row>
    <row r="31" spans="1:30" ht="15.75" thickBot="1" x14ac:dyDescent="0.3">
      <c r="A31" s="89"/>
      <c r="B31" s="18" t="s">
        <v>4</v>
      </c>
      <c r="C31" s="34">
        <v>15387</v>
      </c>
      <c r="D31" s="34">
        <v>14405</v>
      </c>
      <c r="E31" s="34">
        <v>13874</v>
      </c>
      <c r="F31" s="34">
        <v>13582</v>
      </c>
      <c r="G31" s="34">
        <v>13594</v>
      </c>
      <c r="H31" s="34">
        <v>13720</v>
      </c>
      <c r="I31" s="34">
        <v>14407</v>
      </c>
      <c r="J31" s="34">
        <v>16363</v>
      </c>
      <c r="K31" s="34">
        <v>18227</v>
      </c>
      <c r="L31" s="34">
        <v>19557</v>
      </c>
      <c r="M31" s="34">
        <v>20609</v>
      </c>
      <c r="N31" s="34">
        <v>21452</v>
      </c>
      <c r="O31" s="34">
        <v>21400</v>
      </c>
      <c r="P31" s="34">
        <v>21126</v>
      </c>
      <c r="Q31" s="34">
        <v>20873</v>
      </c>
      <c r="R31" s="34">
        <v>20689</v>
      </c>
      <c r="S31" s="34">
        <v>20511</v>
      </c>
      <c r="T31" s="34">
        <v>20664</v>
      </c>
      <c r="U31" s="34">
        <v>22870</v>
      </c>
      <c r="V31" s="34">
        <v>23364</v>
      </c>
      <c r="W31" s="34">
        <v>22338</v>
      </c>
      <c r="X31" s="34">
        <v>21028</v>
      </c>
      <c r="Y31" s="34">
        <v>19114</v>
      </c>
      <c r="Z31" s="35">
        <v>17159</v>
      </c>
      <c r="AA31" s="33">
        <f t="shared" si="0"/>
        <v>446313</v>
      </c>
      <c r="AB31" s="19">
        <v>5</v>
      </c>
      <c r="AC31" s="91"/>
      <c r="AD31" s="47"/>
    </row>
    <row r="32" spans="1:30" ht="15.75" thickBot="1" x14ac:dyDescent="0.3">
      <c r="A32" s="89"/>
      <c r="B32" s="20" t="s">
        <v>3</v>
      </c>
      <c r="C32" s="37">
        <v>15667</v>
      </c>
      <c r="D32" s="37">
        <v>14727</v>
      </c>
      <c r="E32" s="37">
        <v>14109</v>
      </c>
      <c r="F32" s="37">
        <v>13631</v>
      </c>
      <c r="G32" s="37">
        <v>13415</v>
      </c>
      <c r="H32" s="37">
        <v>13251</v>
      </c>
      <c r="I32" s="37">
        <v>13352</v>
      </c>
      <c r="J32" s="37">
        <v>14601</v>
      </c>
      <c r="K32" s="37">
        <v>16010</v>
      </c>
      <c r="L32" s="37">
        <v>17165</v>
      </c>
      <c r="M32" s="37">
        <v>17971</v>
      </c>
      <c r="N32" s="37">
        <v>18740</v>
      </c>
      <c r="O32" s="37">
        <v>19185</v>
      </c>
      <c r="P32" s="37">
        <v>19049</v>
      </c>
      <c r="Q32" s="37">
        <v>18647</v>
      </c>
      <c r="R32" s="37">
        <v>18452</v>
      </c>
      <c r="S32" s="37">
        <v>18325</v>
      </c>
      <c r="T32" s="37">
        <v>18472</v>
      </c>
      <c r="U32" s="37">
        <v>20879</v>
      </c>
      <c r="V32" s="37">
        <v>21699</v>
      </c>
      <c r="W32" s="37">
        <v>21099</v>
      </c>
      <c r="X32" s="37">
        <v>19784</v>
      </c>
      <c r="Y32" s="37">
        <v>17730</v>
      </c>
      <c r="Z32" s="38">
        <v>15760</v>
      </c>
      <c r="AA32" s="33">
        <f t="shared" si="0"/>
        <v>411720</v>
      </c>
      <c r="AB32" s="21">
        <v>4</v>
      </c>
      <c r="AC32" s="92"/>
      <c r="AD32" s="47"/>
    </row>
    <row r="33" spans="1:30" ht="15.75" thickBot="1" x14ac:dyDescent="0.3">
      <c r="A33" s="89">
        <v>47027</v>
      </c>
      <c r="B33" s="16" t="s">
        <v>5</v>
      </c>
      <c r="C33" s="31">
        <v>14202</v>
      </c>
      <c r="D33" s="31">
        <v>13441</v>
      </c>
      <c r="E33" s="31">
        <v>13018</v>
      </c>
      <c r="F33" s="31">
        <v>12791</v>
      </c>
      <c r="G33" s="31">
        <v>13042</v>
      </c>
      <c r="H33" s="31">
        <v>13762</v>
      </c>
      <c r="I33" s="31">
        <v>14679</v>
      </c>
      <c r="J33" s="31">
        <v>16054</v>
      </c>
      <c r="K33" s="31">
        <v>17434</v>
      </c>
      <c r="L33" s="31">
        <v>18523</v>
      </c>
      <c r="M33" s="31">
        <v>19651</v>
      </c>
      <c r="N33" s="31">
        <v>20696</v>
      </c>
      <c r="O33" s="31">
        <v>20333</v>
      </c>
      <c r="P33" s="31">
        <v>20445</v>
      </c>
      <c r="Q33" s="31">
        <v>20913</v>
      </c>
      <c r="R33" s="31">
        <v>21013</v>
      </c>
      <c r="S33" s="31">
        <v>20781</v>
      </c>
      <c r="T33" s="31">
        <v>20842</v>
      </c>
      <c r="U33" s="31">
        <v>23147</v>
      </c>
      <c r="V33" s="31">
        <v>23028</v>
      </c>
      <c r="W33" s="31">
        <v>22017</v>
      </c>
      <c r="X33" s="31">
        <v>20367</v>
      </c>
      <c r="Y33" s="31">
        <v>17944</v>
      </c>
      <c r="Z33" s="32">
        <v>15788</v>
      </c>
      <c r="AA33" s="33">
        <f t="shared" si="0"/>
        <v>433911</v>
      </c>
      <c r="AB33" s="17">
        <v>21</v>
      </c>
      <c r="AC33" s="90">
        <f>+AA33*AB33+AA34*AB34+AA35*AB35</f>
        <v>13286149</v>
      </c>
      <c r="AD33" s="47"/>
    </row>
    <row r="34" spans="1:30" ht="15.75" thickBot="1" x14ac:dyDescent="0.3">
      <c r="A34" s="89"/>
      <c r="B34" s="18" t="s">
        <v>4</v>
      </c>
      <c r="C34" s="34">
        <v>14951</v>
      </c>
      <c r="D34" s="34">
        <v>14099</v>
      </c>
      <c r="E34" s="34">
        <v>13581</v>
      </c>
      <c r="F34" s="34">
        <v>13238</v>
      </c>
      <c r="G34" s="34">
        <v>13307</v>
      </c>
      <c r="H34" s="34">
        <v>13514</v>
      </c>
      <c r="I34" s="34">
        <v>14277</v>
      </c>
      <c r="J34" s="34">
        <v>16035</v>
      </c>
      <c r="K34" s="34">
        <v>17787</v>
      </c>
      <c r="L34" s="34">
        <v>19004</v>
      </c>
      <c r="M34" s="34">
        <v>20040</v>
      </c>
      <c r="N34" s="34">
        <v>20908</v>
      </c>
      <c r="O34" s="34">
        <v>20942</v>
      </c>
      <c r="P34" s="34">
        <v>20705</v>
      </c>
      <c r="Q34" s="34">
        <v>20454</v>
      </c>
      <c r="R34" s="34">
        <v>20297</v>
      </c>
      <c r="S34" s="34">
        <v>20115</v>
      </c>
      <c r="T34" s="34">
        <v>20748</v>
      </c>
      <c r="U34" s="34">
        <v>23382</v>
      </c>
      <c r="V34" s="34">
        <v>23341</v>
      </c>
      <c r="W34" s="34">
        <v>22352</v>
      </c>
      <c r="X34" s="34">
        <v>20855</v>
      </c>
      <c r="Y34" s="34">
        <v>19010</v>
      </c>
      <c r="Z34" s="35">
        <v>17003</v>
      </c>
      <c r="AA34" s="33">
        <f t="shared" si="0"/>
        <v>439945</v>
      </c>
      <c r="AB34" s="19">
        <v>4</v>
      </c>
      <c r="AC34" s="91"/>
      <c r="AD34" s="47"/>
    </row>
    <row r="35" spans="1:30" ht="15.75" thickBot="1" x14ac:dyDescent="0.3">
      <c r="A35" s="89"/>
      <c r="B35" s="20" t="s">
        <v>3</v>
      </c>
      <c r="C35" s="37">
        <v>15002</v>
      </c>
      <c r="D35" s="37">
        <v>14094</v>
      </c>
      <c r="E35" s="37">
        <v>13467</v>
      </c>
      <c r="F35" s="37">
        <v>13029</v>
      </c>
      <c r="G35" s="37">
        <v>12890</v>
      </c>
      <c r="H35" s="37">
        <v>12709</v>
      </c>
      <c r="I35" s="37">
        <v>12952</v>
      </c>
      <c r="J35" s="37">
        <v>14141</v>
      </c>
      <c r="K35" s="37">
        <v>15489</v>
      </c>
      <c r="L35" s="37">
        <v>16674</v>
      </c>
      <c r="M35" s="37">
        <v>17513</v>
      </c>
      <c r="N35" s="37">
        <v>18340</v>
      </c>
      <c r="O35" s="37">
        <v>18803</v>
      </c>
      <c r="P35" s="37">
        <v>18649</v>
      </c>
      <c r="Q35" s="37">
        <v>18295</v>
      </c>
      <c r="R35" s="37">
        <v>18115</v>
      </c>
      <c r="S35" s="37">
        <v>18011</v>
      </c>
      <c r="T35" s="37">
        <v>18567</v>
      </c>
      <c r="U35" s="37">
        <v>21220</v>
      </c>
      <c r="V35" s="37">
        <v>21437</v>
      </c>
      <c r="W35" s="37">
        <v>20750</v>
      </c>
      <c r="X35" s="37">
        <v>19395</v>
      </c>
      <c r="Y35" s="37">
        <v>17383</v>
      </c>
      <c r="Z35" s="38">
        <v>15448</v>
      </c>
      <c r="AA35" s="33">
        <f t="shared" si="0"/>
        <v>402373</v>
      </c>
      <c r="AB35" s="21">
        <v>6</v>
      </c>
      <c r="AC35" s="92"/>
      <c r="AD35" s="47"/>
    </row>
    <row r="36" spans="1:30" ht="15.75" thickBot="1" x14ac:dyDescent="0.3">
      <c r="A36" s="89">
        <v>47058</v>
      </c>
      <c r="B36" s="16" t="s">
        <v>5</v>
      </c>
      <c r="C36" s="31">
        <v>13940</v>
      </c>
      <c r="D36" s="31">
        <v>13180</v>
      </c>
      <c r="E36" s="31">
        <v>12759</v>
      </c>
      <c r="F36" s="31">
        <v>12562</v>
      </c>
      <c r="G36" s="31">
        <v>12854</v>
      </c>
      <c r="H36" s="31">
        <v>13675</v>
      </c>
      <c r="I36" s="31">
        <v>14651</v>
      </c>
      <c r="J36" s="31">
        <v>16047</v>
      </c>
      <c r="K36" s="31">
        <v>17402</v>
      </c>
      <c r="L36" s="31">
        <v>18450</v>
      </c>
      <c r="M36" s="31">
        <v>19572</v>
      </c>
      <c r="N36" s="31">
        <v>20648</v>
      </c>
      <c r="O36" s="31">
        <v>20226</v>
      </c>
      <c r="P36" s="31">
        <v>20238</v>
      </c>
      <c r="Q36" s="31">
        <v>20696</v>
      </c>
      <c r="R36" s="31">
        <v>20675</v>
      </c>
      <c r="S36" s="31">
        <v>20505</v>
      </c>
      <c r="T36" s="31">
        <v>20785</v>
      </c>
      <c r="U36" s="31">
        <v>23192</v>
      </c>
      <c r="V36" s="31">
        <v>23064</v>
      </c>
      <c r="W36" s="31">
        <v>22038</v>
      </c>
      <c r="X36" s="31">
        <v>20300</v>
      </c>
      <c r="Y36" s="31">
        <v>17805</v>
      </c>
      <c r="Z36" s="32">
        <v>15573</v>
      </c>
      <c r="AA36" s="33">
        <f t="shared" si="0"/>
        <v>430837</v>
      </c>
      <c r="AB36" s="17">
        <v>20</v>
      </c>
      <c r="AC36" s="90">
        <f>+AA36*AB36+AA37*AB37+AA38*AB38</f>
        <v>12653604</v>
      </c>
      <c r="AD36" s="47"/>
    </row>
    <row r="37" spans="1:30" ht="15.75" thickBot="1" x14ac:dyDescent="0.3">
      <c r="A37" s="89"/>
      <c r="B37" s="18" t="s">
        <v>4</v>
      </c>
      <c r="C37" s="34">
        <v>14315</v>
      </c>
      <c r="D37" s="34">
        <v>13507</v>
      </c>
      <c r="E37" s="34">
        <v>13014</v>
      </c>
      <c r="F37" s="34">
        <v>12699</v>
      </c>
      <c r="G37" s="34">
        <v>12754</v>
      </c>
      <c r="H37" s="34">
        <v>12914</v>
      </c>
      <c r="I37" s="34">
        <v>13617</v>
      </c>
      <c r="J37" s="34">
        <v>15237</v>
      </c>
      <c r="K37" s="34">
        <v>16949</v>
      </c>
      <c r="L37" s="34">
        <v>18143</v>
      </c>
      <c r="M37" s="34">
        <v>19098</v>
      </c>
      <c r="N37" s="34">
        <v>19976</v>
      </c>
      <c r="O37" s="34">
        <v>19894</v>
      </c>
      <c r="P37" s="34">
        <v>19523</v>
      </c>
      <c r="Q37" s="34">
        <v>19415</v>
      </c>
      <c r="R37" s="34">
        <v>19353</v>
      </c>
      <c r="S37" s="34">
        <v>19239</v>
      </c>
      <c r="T37" s="34">
        <v>19928</v>
      </c>
      <c r="U37" s="34">
        <v>22608</v>
      </c>
      <c r="V37" s="34">
        <v>22540</v>
      </c>
      <c r="W37" s="34">
        <v>21508</v>
      </c>
      <c r="X37" s="34">
        <v>20187</v>
      </c>
      <c r="Y37" s="34">
        <v>18234</v>
      </c>
      <c r="Z37" s="35">
        <v>16270</v>
      </c>
      <c r="AA37" s="33">
        <f t="shared" si="0"/>
        <v>420922</v>
      </c>
      <c r="AB37" s="19">
        <v>4</v>
      </c>
      <c r="AC37" s="91"/>
      <c r="AD37" s="47"/>
    </row>
    <row r="38" spans="1:30" ht="15.75" thickBot="1" x14ac:dyDescent="0.3">
      <c r="A38" s="89"/>
      <c r="B38" s="20" t="s">
        <v>3</v>
      </c>
      <c r="C38" s="37">
        <v>14373</v>
      </c>
      <c r="D38" s="37">
        <v>13507</v>
      </c>
      <c r="E38" s="37">
        <v>12921</v>
      </c>
      <c r="F38" s="37">
        <v>12492</v>
      </c>
      <c r="G38" s="37">
        <v>12435</v>
      </c>
      <c r="H38" s="37">
        <v>12281</v>
      </c>
      <c r="I38" s="37">
        <v>12573</v>
      </c>
      <c r="J38" s="37">
        <v>13812</v>
      </c>
      <c r="K38" s="37">
        <v>15163</v>
      </c>
      <c r="L38" s="37">
        <v>16324</v>
      </c>
      <c r="M38" s="37">
        <v>17168</v>
      </c>
      <c r="N38" s="37">
        <v>18026</v>
      </c>
      <c r="O38" s="37">
        <v>18451</v>
      </c>
      <c r="P38" s="37">
        <v>18283</v>
      </c>
      <c r="Q38" s="37">
        <v>17877</v>
      </c>
      <c r="R38" s="37">
        <v>17589</v>
      </c>
      <c r="S38" s="37">
        <v>17507</v>
      </c>
      <c r="T38" s="37">
        <v>18132</v>
      </c>
      <c r="U38" s="37">
        <v>20833</v>
      </c>
      <c r="V38" s="37">
        <v>21084</v>
      </c>
      <c r="W38" s="37">
        <v>20389</v>
      </c>
      <c r="X38" s="37">
        <v>19014</v>
      </c>
      <c r="Y38" s="37">
        <v>16955</v>
      </c>
      <c r="Z38" s="38">
        <v>15007</v>
      </c>
      <c r="AA38" s="33">
        <f t="shared" si="0"/>
        <v>392196</v>
      </c>
      <c r="AB38" s="21">
        <v>6</v>
      </c>
      <c r="AC38" s="92"/>
      <c r="AD38" s="47"/>
    </row>
    <row r="39" spans="1:30" ht="15.75" thickBot="1" x14ac:dyDescent="0.3">
      <c r="A39" s="89">
        <v>47088</v>
      </c>
      <c r="B39" s="16" t="s">
        <v>5</v>
      </c>
      <c r="C39" s="31">
        <v>14935</v>
      </c>
      <c r="D39" s="31">
        <v>14031</v>
      </c>
      <c r="E39" s="31">
        <v>13509</v>
      </c>
      <c r="F39" s="31">
        <v>13241</v>
      </c>
      <c r="G39" s="31">
        <v>13426</v>
      </c>
      <c r="H39" s="31">
        <v>14014</v>
      </c>
      <c r="I39" s="31">
        <v>14670</v>
      </c>
      <c r="J39" s="31">
        <v>16396</v>
      </c>
      <c r="K39" s="31">
        <v>18008</v>
      </c>
      <c r="L39" s="31">
        <v>19199</v>
      </c>
      <c r="M39" s="31">
        <v>20286</v>
      </c>
      <c r="N39" s="31">
        <v>21389</v>
      </c>
      <c r="O39" s="31">
        <v>21178</v>
      </c>
      <c r="P39" s="31">
        <v>21161</v>
      </c>
      <c r="Q39" s="31">
        <v>21474</v>
      </c>
      <c r="R39" s="31">
        <v>21447</v>
      </c>
      <c r="S39" s="31">
        <v>21138</v>
      </c>
      <c r="T39" s="31">
        <v>20997</v>
      </c>
      <c r="U39" s="31">
        <v>23339</v>
      </c>
      <c r="V39" s="31">
        <v>23701</v>
      </c>
      <c r="W39" s="31">
        <v>22781</v>
      </c>
      <c r="X39" s="31">
        <v>21311</v>
      </c>
      <c r="Y39" s="31">
        <v>19056</v>
      </c>
      <c r="Z39" s="32">
        <v>16897</v>
      </c>
      <c r="AA39" s="33">
        <f t="shared" si="0"/>
        <v>447584</v>
      </c>
      <c r="AB39" s="17">
        <v>19</v>
      </c>
      <c r="AC39" s="90">
        <f>+AA39*AB39+AA40*AB40+AA41*AB41</f>
        <v>13517547</v>
      </c>
      <c r="AD39" s="47"/>
    </row>
    <row r="40" spans="1:30" ht="15.75" thickBot="1" x14ac:dyDescent="0.3">
      <c r="A40" s="89"/>
      <c r="B40" s="18" t="s">
        <v>4</v>
      </c>
      <c r="C40" s="34">
        <v>15078</v>
      </c>
      <c r="D40" s="34">
        <v>14167</v>
      </c>
      <c r="E40" s="34">
        <v>13646</v>
      </c>
      <c r="F40" s="34">
        <v>13302</v>
      </c>
      <c r="G40" s="34">
        <v>13321</v>
      </c>
      <c r="H40" s="34">
        <v>13652</v>
      </c>
      <c r="I40" s="34">
        <v>14054</v>
      </c>
      <c r="J40" s="34">
        <v>15668</v>
      </c>
      <c r="K40" s="34">
        <v>17314</v>
      </c>
      <c r="L40" s="34">
        <v>18461</v>
      </c>
      <c r="M40" s="34">
        <v>19384</v>
      </c>
      <c r="N40" s="34">
        <v>20153</v>
      </c>
      <c r="O40" s="34">
        <v>20152</v>
      </c>
      <c r="P40" s="34">
        <v>19864</v>
      </c>
      <c r="Q40" s="34">
        <v>19679</v>
      </c>
      <c r="R40" s="34">
        <v>19474</v>
      </c>
      <c r="S40" s="34">
        <v>19328</v>
      </c>
      <c r="T40" s="34">
        <v>19674</v>
      </c>
      <c r="U40" s="34">
        <v>22289</v>
      </c>
      <c r="V40" s="34">
        <v>22596</v>
      </c>
      <c r="W40" s="34">
        <v>21691</v>
      </c>
      <c r="X40" s="34">
        <v>20399</v>
      </c>
      <c r="Y40" s="34">
        <v>18554</v>
      </c>
      <c r="Z40" s="35">
        <v>16772</v>
      </c>
      <c r="AA40" s="33">
        <f t="shared" si="0"/>
        <v>428672</v>
      </c>
      <c r="AB40" s="19">
        <v>5</v>
      </c>
      <c r="AC40" s="91"/>
      <c r="AD40" s="47"/>
    </row>
    <row r="41" spans="1:30" ht="15.75" thickBot="1" x14ac:dyDescent="0.3">
      <c r="A41" s="89"/>
      <c r="B41" s="20" t="s">
        <v>3</v>
      </c>
      <c r="C41" s="37">
        <v>15577</v>
      </c>
      <c r="D41" s="37">
        <v>14627</v>
      </c>
      <c r="E41" s="37">
        <v>13965</v>
      </c>
      <c r="F41" s="37">
        <v>13494</v>
      </c>
      <c r="G41" s="37">
        <v>13310</v>
      </c>
      <c r="H41" s="37">
        <v>13243</v>
      </c>
      <c r="I41" s="37">
        <v>13221</v>
      </c>
      <c r="J41" s="37">
        <v>14292</v>
      </c>
      <c r="K41" s="37">
        <v>15622</v>
      </c>
      <c r="L41" s="37">
        <v>16791</v>
      </c>
      <c r="M41" s="37">
        <v>17666</v>
      </c>
      <c r="N41" s="37">
        <v>18488</v>
      </c>
      <c r="O41" s="37">
        <v>18931</v>
      </c>
      <c r="P41" s="37">
        <v>18908</v>
      </c>
      <c r="Q41" s="37">
        <v>18608</v>
      </c>
      <c r="R41" s="37">
        <v>18419</v>
      </c>
      <c r="S41" s="37">
        <v>18310</v>
      </c>
      <c r="T41" s="37">
        <v>18657</v>
      </c>
      <c r="U41" s="37">
        <v>21270</v>
      </c>
      <c r="V41" s="37">
        <v>21800</v>
      </c>
      <c r="W41" s="37">
        <v>21055</v>
      </c>
      <c r="X41" s="37">
        <v>19782</v>
      </c>
      <c r="Y41" s="37">
        <v>17921</v>
      </c>
      <c r="Z41" s="38">
        <v>16056</v>
      </c>
      <c r="AA41" s="33">
        <f t="shared" si="0"/>
        <v>410013</v>
      </c>
      <c r="AB41" s="21">
        <v>7</v>
      </c>
      <c r="AC41" s="92"/>
      <c r="AD41" s="47"/>
    </row>
    <row r="42" spans="1:30" x14ac:dyDescent="0.25">
      <c r="A42" s="93" t="s">
        <v>2</v>
      </c>
      <c r="B42" s="94"/>
      <c r="C42" s="29">
        <f t="shared" ref="C42:AC42" si="1">+SUM(C6:C41)</f>
        <v>534619</v>
      </c>
      <c r="D42" s="29">
        <f t="shared" si="1"/>
        <v>502850</v>
      </c>
      <c r="E42" s="29">
        <f t="shared" si="1"/>
        <v>483693</v>
      </c>
      <c r="F42" s="29">
        <f t="shared" si="1"/>
        <v>471849</v>
      </c>
      <c r="G42" s="29">
        <f t="shared" si="1"/>
        <v>473321</v>
      </c>
      <c r="H42" s="29">
        <f t="shared" si="1"/>
        <v>487072</v>
      </c>
      <c r="I42" s="29">
        <f t="shared" si="1"/>
        <v>505489</v>
      </c>
      <c r="J42" s="29">
        <f t="shared" si="1"/>
        <v>555654</v>
      </c>
      <c r="K42" s="29">
        <f t="shared" si="1"/>
        <v>610678</v>
      </c>
      <c r="L42" s="29">
        <f t="shared" si="1"/>
        <v>653085</v>
      </c>
      <c r="M42" s="29">
        <f t="shared" si="1"/>
        <v>688644</v>
      </c>
      <c r="N42" s="29">
        <f t="shared" si="1"/>
        <v>722011</v>
      </c>
      <c r="O42" s="29">
        <f t="shared" si="1"/>
        <v>723330</v>
      </c>
      <c r="P42" s="29">
        <f t="shared" si="1"/>
        <v>719309</v>
      </c>
      <c r="Q42" s="29">
        <f t="shared" si="1"/>
        <v>716763</v>
      </c>
      <c r="R42" s="29">
        <f t="shared" si="1"/>
        <v>713814</v>
      </c>
      <c r="S42" s="29">
        <f t="shared" si="1"/>
        <v>706823</v>
      </c>
      <c r="T42" s="29">
        <f t="shared" si="1"/>
        <v>708079</v>
      </c>
      <c r="U42" s="29">
        <f t="shared" si="1"/>
        <v>779307</v>
      </c>
      <c r="V42" s="29">
        <f t="shared" si="1"/>
        <v>816072</v>
      </c>
      <c r="W42" s="29">
        <f t="shared" si="1"/>
        <v>786637</v>
      </c>
      <c r="X42" s="29">
        <f t="shared" si="1"/>
        <v>735665</v>
      </c>
      <c r="Y42" s="29">
        <f t="shared" si="1"/>
        <v>658742</v>
      </c>
      <c r="Z42" s="29">
        <f t="shared" si="1"/>
        <v>583742</v>
      </c>
      <c r="AA42" s="29">
        <f t="shared" si="1"/>
        <v>15337248</v>
      </c>
      <c r="AB42" s="29">
        <f t="shared" si="1"/>
        <v>366</v>
      </c>
      <c r="AC42" s="44">
        <f t="shared" si="1"/>
        <v>158012856</v>
      </c>
      <c r="AD42" s="47"/>
    </row>
    <row r="43" spans="1:30" x14ac:dyDescent="0.25">
      <c r="AB43" s="4"/>
      <c r="AC43" s="4"/>
    </row>
    <row r="44" spans="1:30" x14ac:dyDescent="0.25">
      <c r="AA44" s="43"/>
      <c r="AC44" s="43"/>
    </row>
    <row r="45" spans="1:30" x14ac:dyDescent="0.25"/>
    <row r="46" spans="1:30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9E6-CC4E-448E-9416-BCFB75F5E663}">
  <sheetPr codeName="Hoja9">
    <tabColor rgb="FF0070C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0" t="s">
        <v>76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ht="15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ht="15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46753</v>
      </c>
      <c r="B6" s="16" t="s">
        <v>5</v>
      </c>
      <c r="C6" s="31">
        <f>ROUND('Anexo 6'!C6*'Anexo 2'!$D$10,0)</f>
        <v>0</v>
      </c>
      <c r="D6" s="31">
        <f>ROUND('Anexo 6'!D6*'Anexo 2'!$D$10,0)</f>
        <v>0</v>
      </c>
      <c r="E6" s="31">
        <f>ROUND('Anexo 6'!E6*'Anexo 2'!$D$10,0)</f>
        <v>0</v>
      </c>
      <c r="F6" s="31">
        <f>ROUND('Anexo 6'!F6*'Anexo 2'!$D$10,0)</f>
        <v>0</v>
      </c>
      <c r="G6" s="31">
        <f>ROUND('Anexo 6'!G6*'Anexo 2'!$D$10,0)</f>
        <v>0</v>
      </c>
      <c r="H6" s="31">
        <f>ROUND('Anexo 6'!H6*'Anexo 2'!$D$10,0)</f>
        <v>0</v>
      </c>
      <c r="I6" s="31">
        <f>ROUND('Anexo 6'!I6*'Anexo 2'!$D$10,0)</f>
        <v>0</v>
      </c>
      <c r="J6" s="31">
        <f>ROUND('Anexo 6'!J6*'Anexo 2'!$D$10,0)</f>
        <v>0</v>
      </c>
      <c r="K6" s="31">
        <f>ROUND('Anexo 6'!K6*'Anexo 2'!$D$10,0)</f>
        <v>0</v>
      </c>
      <c r="L6" s="31">
        <f>ROUND('Anexo 6'!L6*'Anexo 2'!$D$10,0)</f>
        <v>0</v>
      </c>
      <c r="M6" s="31">
        <f>ROUND('Anexo 6'!M6*'Anexo 2'!$D$10,0)</f>
        <v>0</v>
      </c>
      <c r="N6" s="31">
        <f>ROUND('Anexo 6'!N6*'Anexo 2'!$D$10,0)</f>
        <v>0</v>
      </c>
      <c r="O6" s="31">
        <f>ROUND('Anexo 6'!O6*'Anexo 2'!$D$10,0)</f>
        <v>0</v>
      </c>
      <c r="P6" s="31">
        <f>ROUND('Anexo 6'!P6*'Anexo 2'!$D$10,0)</f>
        <v>0</v>
      </c>
      <c r="Q6" s="31">
        <f>ROUND('Anexo 6'!Q6*'Anexo 2'!$D$10,0)</f>
        <v>0</v>
      </c>
      <c r="R6" s="31">
        <f>ROUND('Anexo 6'!R6*'Anexo 2'!$D$10,0)</f>
        <v>0</v>
      </c>
      <c r="S6" s="31">
        <f>ROUND('Anexo 6'!S6*'Anexo 2'!$D$10,0)</f>
        <v>0</v>
      </c>
      <c r="T6" s="31">
        <f>ROUND('Anexo 6'!T6*'Anexo 2'!$D$10,0)</f>
        <v>0</v>
      </c>
      <c r="U6" s="31">
        <f>ROUND('Anexo 6'!U6*'Anexo 2'!$D$10,0)</f>
        <v>0</v>
      </c>
      <c r="V6" s="31">
        <f>ROUND('Anexo 6'!V6*'Anexo 2'!$D$10,0)</f>
        <v>0</v>
      </c>
      <c r="W6" s="31">
        <f>ROUND('Anexo 6'!W6*'Anexo 2'!$D$10,0)</f>
        <v>0</v>
      </c>
      <c r="X6" s="31">
        <f>ROUND('Anexo 6'!X6*'Anexo 2'!$D$10,0)</f>
        <v>0</v>
      </c>
      <c r="Y6" s="31">
        <f>ROUND('Anexo 6'!Y6*'Anexo 2'!$D$10,0)</f>
        <v>0</v>
      </c>
      <c r="Z6" s="31">
        <f>ROUND('Anexo 6'!Z6*'Anexo 2'!$D$10,0)</f>
        <v>0</v>
      </c>
      <c r="AA6" s="33">
        <f>SUM(C6:Z6)</f>
        <v>0</v>
      </c>
      <c r="AB6" s="17">
        <v>20</v>
      </c>
      <c r="AC6" s="90">
        <f>+AA6*AB6+AA7*AB7+AA8*AB8</f>
        <v>0</v>
      </c>
    </row>
    <row r="7" spans="1:30" ht="15.75" thickBot="1" x14ac:dyDescent="0.3">
      <c r="A7" s="89"/>
      <c r="B7" s="18" t="s">
        <v>4</v>
      </c>
      <c r="C7" s="31">
        <f>ROUND('Anexo 6'!C7*'Anexo 2'!$D$10,0)</f>
        <v>0</v>
      </c>
      <c r="D7" s="31">
        <f>ROUND('Anexo 6'!D7*'Anexo 2'!$D$10,0)</f>
        <v>0</v>
      </c>
      <c r="E7" s="31">
        <f>ROUND('Anexo 6'!E7*'Anexo 2'!$D$10,0)</f>
        <v>0</v>
      </c>
      <c r="F7" s="31">
        <f>ROUND('Anexo 6'!F7*'Anexo 2'!$D$10,0)</f>
        <v>0</v>
      </c>
      <c r="G7" s="31">
        <f>ROUND('Anexo 6'!G7*'Anexo 2'!$D$10,0)</f>
        <v>0</v>
      </c>
      <c r="H7" s="31">
        <f>ROUND('Anexo 6'!H7*'Anexo 2'!$D$10,0)</f>
        <v>0</v>
      </c>
      <c r="I7" s="31">
        <f>ROUND('Anexo 6'!I7*'Anexo 2'!$D$10,0)</f>
        <v>0</v>
      </c>
      <c r="J7" s="31">
        <f>ROUND('Anexo 6'!J7*'Anexo 2'!$D$10,0)</f>
        <v>0</v>
      </c>
      <c r="K7" s="31">
        <f>ROUND('Anexo 6'!K7*'Anexo 2'!$D$10,0)</f>
        <v>0</v>
      </c>
      <c r="L7" s="31">
        <f>ROUND('Anexo 6'!L7*'Anexo 2'!$D$10,0)</f>
        <v>0</v>
      </c>
      <c r="M7" s="31">
        <f>ROUND('Anexo 6'!M7*'Anexo 2'!$D$10,0)</f>
        <v>0</v>
      </c>
      <c r="N7" s="31">
        <f>ROUND('Anexo 6'!N7*'Anexo 2'!$D$10,0)</f>
        <v>0</v>
      </c>
      <c r="O7" s="31">
        <f>ROUND('Anexo 6'!O7*'Anexo 2'!$D$10,0)</f>
        <v>0</v>
      </c>
      <c r="P7" s="31">
        <f>ROUND('Anexo 6'!P7*'Anexo 2'!$D$10,0)</f>
        <v>0</v>
      </c>
      <c r="Q7" s="31">
        <f>ROUND('Anexo 6'!Q7*'Anexo 2'!$D$10,0)</f>
        <v>0</v>
      </c>
      <c r="R7" s="31">
        <f>ROUND('Anexo 6'!R7*'Anexo 2'!$D$10,0)</f>
        <v>0</v>
      </c>
      <c r="S7" s="31">
        <f>ROUND('Anexo 6'!S7*'Anexo 2'!$D$10,0)</f>
        <v>0</v>
      </c>
      <c r="T7" s="31">
        <f>ROUND('Anexo 6'!T7*'Anexo 2'!$D$10,0)</f>
        <v>0</v>
      </c>
      <c r="U7" s="31">
        <f>ROUND('Anexo 6'!U7*'Anexo 2'!$D$10,0)</f>
        <v>0</v>
      </c>
      <c r="V7" s="31">
        <f>ROUND('Anexo 6'!V7*'Anexo 2'!$D$10,0)</f>
        <v>0</v>
      </c>
      <c r="W7" s="31">
        <f>ROUND('Anexo 6'!W7*'Anexo 2'!$D$10,0)</f>
        <v>0</v>
      </c>
      <c r="X7" s="31">
        <f>ROUND('Anexo 6'!X7*'Anexo 2'!$D$10,0)</f>
        <v>0</v>
      </c>
      <c r="Y7" s="31">
        <f>ROUND('Anexo 6'!Y7*'Anexo 2'!$D$10,0)</f>
        <v>0</v>
      </c>
      <c r="Z7" s="31">
        <f>ROUND('Anexo 6'!Z7*'Anexo 2'!$D$10,0)</f>
        <v>0</v>
      </c>
      <c r="AA7" s="36">
        <f t="shared" ref="AA7:AA41" si="0">SUM(C7:Z7)</f>
        <v>0</v>
      </c>
      <c r="AB7" s="19">
        <v>4</v>
      </c>
      <c r="AC7" s="91"/>
      <c r="AD7" s="45"/>
    </row>
    <row r="8" spans="1:30" ht="15.75" thickBot="1" x14ac:dyDescent="0.3">
      <c r="A8" s="89"/>
      <c r="B8" s="20" t="s">
        <v>3</v>
      </c>
      <c r="C8" s="31">
        <f>ROUND('Anexo 6'!C8*'Anexo 2'!$D$10,0)</f>
        <v>0</v>
      </c>
      <c r="D8" s="31">
        <f>ROUND('Anexo 6'!D8*'Anexo 2'!$D$10,0)</f>
        <v>0</v>
      </c>
      <c r="E8" s="31">
        <f>ROUND('Anexo 6'!E8*'Anexo 2'!$D$10,0)</f>
        <v>0</v>
      </c>
      <c r="F8" s="31">
        <f>ROUND('Anexo 6'!F8*'Anexo 2'!$D$10,0)</f>
        <v>0</v>
      </c>
      <c r="G8" s="31">
        <f>ROUND('Anexo 6'!G8*'Anexo 2'!$D$10,0)</f>
        <v>0</v>
      </c>
      <c r="H8" s="31">
        <f>ROUND('Anexo 6'!H8*'Anexo 2'!$D$10,0)</f>
        <v>0</v>
      </c>
      <c r="I8" s="31">
        <f>ROUND('Anexo 6'!I8*'Anexo 2'!$D$10,0)</f>
        <v>0</v>
      </c>
      <c r="J8" s="31">
        <f>ROUND('Anexo 6'!J8*'Anexo 2'!$D$10,0)</f>
        <v>0</v>
      </c>
      <c r="K8" s="31">
        <f>ROUND('Anexo 6'!K8*'Anexo 2'!$D$10,0)</f>
        <v>0</v>
      </c>
      <c r="L8" s="31">
        <f>ROUND('Anexo 6'!L8*'Anexo 2'!$D$10,0)</f>
        <v>0</v>
      </c>
      <c r="M8" s="31">
        <f>ROUND('Anexo 6'!M8*'Anexo 2'!$D$10,0)</f>
        <v>0</v>
      </c>
      <c r="N8" s="31">
        <f>ROUND('Anexo 6'!N8*'Anexo 2'!$D$10,0)</f>
        <v>0</v>
      </c>
      <c r="O8" s="31">
        <f>ROUND('Anexo 6'!O8*'Anexo 2'!$D$10,0)</f>
        <v>0</v>
      </c>
      <c r="P8" s="31">
        <f>ROUND('Anexo 6'!P8*'Anexo 2'!$D$10,0)</f>
        <v>0</v>
      </c>
      <c r="Q8" s="31">
        <f>ROUND('Anexo 6'!Q8*'Anexo 2'!$D$10,0)</f>
        <v>0</v>
      </c>
      <c r="R8" s="31">
        <f>ROUND('Anexo 6'!R8*'Anexo 2'!$D$10,0)</f>
        <v>0</v>
      </c>
      <c r="S8" s="31">
        <f>ROUND('Anexo 6'!S8*'Anexo 2'!$D$10,0)</f>
        <v>0</v>
      </c>
      <c r="T8" s="31">
        <f>ROUND('Anexo 6'!T8*'Anexo 2'!$D$10,0)</f>
        <v>0</v>
      </c>
      <c r="U8" s="31">
        <f>ROUND('Anexo 6'!U8*'Anexo 2'!$D$10,0)</f>
        <v>0</v>
      </c>
      <c r="V8" s="31">
        <f>ROUND('Anexo 6'!V8*'Anexo 2'!$D$10,0)</f>
        <v>0</v>
      </c>
      <c r="W8" s="31">
        <f>ROUND('Anexo 6'!W8*'Anexo 2'!$D$10,0)</f>
        <v>0</v>
      </c>
      <c r="X8" s="31">
        <f>ROUND('Anexo 6'!X8*'Anexo 2'!$D$10,0)</f>
        <v>0</v>
      </c>
      <c r="Y8" s="31">
        <f>ROUND('Anexo 6'!Y8*'Anexo 2'!$D$10,0)</f>
        <v>0</v>
      </c>
      <c r="Z8" s="31">
        <f>ROUND('Anexo 6'!Z8*'Anexo 2'!$D$10,0)</f>
        <v>0</v>
      </c>
      <c r="AA8" s="39">
        <f t="shared" si="0"/>
        <v>0</v>
      </c>
      <c r="AB8" s="21">
        <v>7</v>
      </c>
      <c r="AC8" s="92"/>
      <c r="AD8" s="46"/>
    </row>
    <row r="9" spans="1:30" ht="15.75" thickBot="1" x14ac:dyDescent="0.3">
      <c r="A9" s="89">
        <v>46784</v>
      </c>
      <c r="B9" s="16" t="s">
        <v>5</v>
      </c>
      <c r="C9" s="31">
        <f>ROUND('Anexo 6'!C9*'Anexo 2'!$D$10,0)</f>
        <v>0</v>
      </c>
      <c r="D9" s="31">
        <f>ROUND('Anexo 6'!D9*'Anexo 2'!$D$10,0)</f>
        <v>0</v>
      </c>
      <c r="E9" s="31">
        <f>ROUND('Anexo 6'!E9*'Anexo 2'!$D$10,0)</f>
        <v>0</v>
      </c>
      <c r="F9" s="31">
        <f>ROUND('Anexo 6'!F9*'Anexo 2'!$D$10,0)</f>
        <v>0</v>
      </c>
      <c r="G9" s="31">
        <f>ROUND('Anexo 6'!G9*'Anexo 2'!$D$10,0)</f>
        <v>0</v>
      </c>
      <c r="H9" s="31">
        <f>ROUND('Anexo 6'!H9*'Anexo 2'!$D$10,0)</f>
        <v>0</v>
      </c>
      <c r="I9" s="31">
        <f>ROUND('Anexo 6'!I9*'Anexo 2'!$D$10,0)</f>
        <v>0</v>
      </c>
      <c r="J9" s="31">
        <f>ROUND('Anexo 6'!J9*'Anexo 2'!$D$10,0)</f>
        <v>0</v>
      </c>
      <c r="K9" s="31">
        <f>ROUND('Anexo 6'!K9*'Anexo 2'!$D$10,0)</f>
        <v>0</v>
      </c>
      <c r="L9" s="31">
        <f>ROUND('Anexo 6'!L9*'Anexo 2'!$D$10,0)</f>
        <v>0</v>
      </c>
      <c r="M9" s="31">
        <f>ROUND('Anexo 6'!M9*'Anexo 2'!$D$10,0)</f>
        <v>0</v>
      </c>
      <c r="N9" s="31">
        <f>ROUND('Anexo 6'!N9*'Anexo 2'!$D$10,0)</f>
        <v>0</v>
      </c>
      <c r="O9" s="31">
        <f>ROUND('Anexo 6'!O9*'Anexo 2'!$D$10,0)</f>
        <v>0</v>
      </c>
      <c r="P9" s="31">
        <f>ROUND('Anexo 6'!P9*'Anexo 2'!$D$10,0)</f>
        <v>0</v>
      </c>
      <c r="Q9" s="31">
        <f>ROUND('Anexo 6'!Q9*'Anexo 2'!$D$10,0)</f>
        <v>0</v>
      </c>
      <c r="R9" s="31">
        <f>ROUND('Anexo 6'!R9*'Anexo 2'!$D$10,0)</f>
        <v>0</v>
      </c>
      <c r="S9" s="31">
        <f>ROUND('Anexo 6'!S9*'Anexo 2'!$D$10,0)</f>
        <v>0</v>
      </c>
      <c r="T9" s="31">
        <f>ROUND('Anexo 6'!T9*'Anexo 2'!$D$10,0)</f>
        <v>0</v>
      </c>
      <c r="U9" s="31">
        <f>ROUND('Anexo 6'!U9*'Anexo 2'!$D$10,0)</f>
        <v>0</v>
      </c>
      <c r="V9" s="31">
        <f>ROUND('Anexo 6'!V9*'Anexo 2'!$D$10,0)</f>
        <v>0</v>
      </c>
      <c r="W9" s="31">
        <f>ROUND('Anexo 6'!W9*'Anexo 2'!$D$10,0)</f>
        <v>0</v>
      </c>
      <c r="X9" s="31">
        <f>ROUND('Anexo 6'!X9*'Anexo 2'!$D$10,0)</f>
        <v>0</v>
      </c>
      <c r="Y9" s="31">
        <f>ROUND('Anexo 6'!Y9*'Anexo 2'!$D$10,0)</f>
        <v>0</v>
      </c>
      <c r="Z9" s="31">
        <f>ROUND('Anexo 6'!Z9*'Anexo 2'!$D$10,0)</f>
        <v>0</v>
      </c>
      <c r="AA9" s="33">
        <f t="shared" si="0"/>
        <v>0</v>
      </c>
      <c r="AB9" s="17">
        <v>21</v>
      </c>
      <c r="AC9" s="90">
        <f>+AA9*AB9+AA10*AB10+AA11*AB11</f>
        <v>0</v>
      </c>
    </row>
    <row r="10" spans="1:30" ht="15.75" thickBot="1" x14ac:dyDescent="0.3">
      <c r="A10" s="89"/>
      <c r="B10" s="18" t="s">
        <v>4</v>
      </c>
      <c r="C10" s="31">
        <f>ROUND('Anexo 6'!C10*'Anexo 2'!$D$10,0)</f>
        <v>0</v>
      </c>
      <c r="D10" s="31">
        <f>ROUND('Anexo 6'!D10*'Anexo 2'!$D$10,0)</f>
        <v>0</v>
      </c>
      <c r="E10" s="31">
        <f>ROUND('Anexo 6'!E10*'Anexo 2'!$D$10,0)</f>
        <v>0</v>
      </c>
      <c r="F10" s="31">
        <f>ROUND('Anexo 6'!F10*'Anexo 2'!$D$10,0)</f>
        <v>0</v>
      </c>
      <c r="G10" s="31">
        <f>ROUND('Anexo 6'!G10*'Anexo 2'!$D$10,0)</f>
        <v>0</v>
      </c>
      <c r="H10" s="31">
        <f>ROUND('Anexo 6'!H10*'Anexo 2'!$D$10,0)</f>
        <v>0</v>
      </c>
      <c r="I10" s="31">
        <f>ROUND('Anexo 6'!I10*'Anexo 2'!$D$10,0)</f>
        <v>0</v>
      </c>
      <c r="J10" s="31">
        <f>ROUND('Anexo 6'!J10*'Anexo 2'!$D$10,0)</f>
        <v>0</v>
      </c>
      <c r="K10" s="31">
        <f>ROUND('Anexo 6'!K10*'Anexo 2'!$D$10,0)</f>
        <v>0</v>
      </c>
      <c r="L10" s="31">
        <f>ROUND('Anexo 6'!L10*'Anexo 2'!$D$10,0)</f>
        <v>0</v>
      </c>
      <c r="M10" s="31">
        <f>ROUND('Anexo 6'!M10*'Anexo 2'!$D$10,0)</f>
        <v>0</v>
      </c>
      <c r="N10" s="31">
        <f>ROUND('Anexo 6'!N10*'Anexo 2'!$D$10,0)</f>
        <v>0</v>
      </c>
      <c r="O10" s="31">
        <f>ROUND('Anexo 6'!O10*'Anexo 2'!$D$10,0)</f>
        <v>0</v>
      </c>
      <c r="P10" s="31">
        <f>ROUND('Anexo 6'!P10*'Anexo 2'!$D$10,0)</f>
        <v>0</v>
      </c>
      <c r="Q10" s="31">
        <f>ROUND('Anexo 6'!Q10*'Anexo 2'!$D$10,0)</f>
        <v>0</v>
      </c>
      <c r="R10" s="31">
        <f>ROUND('Anexo 6'!R10*'Anexo 2'!$D$10,0)</f>
        <v>0</v>
      </c>
      <c r="S10" s="31">
        <f>ROUND('Anexo 6'!S10*'Anexo 2'!$D$10,0)</f>
        <v>0</v>
      </c>
      <c r="T10" s="31">
        <f>ROUND('Anexo 6'!T10*'Anexo 2'!$D$10,0)</f>
        <v>0</v>
      </c>
      <c r="U10" s="31">
        <f>ROUND('Anexo 6'!U10*'Anexo 2'!$D$10,0)</f>
        <v>0</v>
      </c>
      <c r="V10" s="31">
        <f>ROUND('Anexo 6'!V10*'Anexo 2'!$D$10,0)</f>
        <v>0</v>
      </c>
      <c r="W10" s="31">
        <f>ROUND('Anexo 6'!W10*'Anexo 2'!$D$10,0)</f>
        <v>0</v>
      </c>
      <c r="X10" s="31">
        <f>ROUND('Anexo 6'!X10*'Anexo 2'!$D$10,0)</f>
        <v>0</v>
      </c>
      <c r="Y10" s="31">
        <f>ROUND('Anexo 6'!Y10*'Anexo 2'!$D$10,0)</f>
        <v>0</v>
      </c>
      <c r="Z10" s="31">
        <f>ROUND('Anexo 6'!Z10*'Anexo 2'!$D$10,0)</f>
        <v>0</v>
      </c>
      <c r="AA10" s="36">
        <f t="shared" si="0"/>
        <v>0</v>
      </c>
      <c r="AB10" s="19">
        <v>4</v>
      </c>
      <c r="AC10" s="91"/>
      <c r="AD10" s="45"/>
    </row>
    <row r="11" spans="1:30" ht="15.75" thickBot="1" x14ac:dyDescent="0.3">
      <c r="A11" s="89"/>
      <c r="B11" s="20" t="s">
        <v>3</v>
      </c>
      <c r="C11" s="31">
        <f>ROUND('Anexo 6'!C11*'Anexo 2'!$D$10,0)</f>
        <v>0</v>
      </c>
      <c r="D11" s="31">
        <f>ROUND('Anexo 6'!D11*'Anexo 2'!$D$10,0)</f>
        <v>0</v>
      </c>
      <c r="E11" s="31">
        <f>ROUND('Anexo 6'!E11*'Anexo 2'!$D$10,0)</f>
        <v>0</v>
      </c>
      <c r="F11" s="31">
        <f>ROUND('Anexo 6'!F11*'Anexo 2'!$D$10,0)</f>
        <v>0</v>
      </c>
      <c r="G11" s="31">
        <f>ROUND('Anexo 6'!G11*'Anexo 2'!$D$10,0)</f>
        <v>0</v>
      </c>
      <c r="H11" s="31">
        <f>ROUND('Anexo 6'!H11*'Anexo 2'!$D$10,0)</f>
        <v>0</v>
      </c>
      <c r="I11" s="31">
        <f>ROUND('Anexo 6'!I11*'Anexo 2'!$D$10,0)</f>
        <v>0</v>
      </c>
      <c r="J11" s="31">
        <f>ROUND('Anexo 6'!J11*'Anexo 2'!$D$10,0)</f>
        <v>0</v>
      </c>
      <c r="K11" s="31">
        <f>ROUND('Anexo 6'!K11*'Anexo 2'!$D$10,0)</f>
        <v>0</v>
      </c>
      <c r="L11" s="31">
        <f>ROUND('Anexo 6'!L11*'Anexo 2'!$D$10,0)</f>
        <v>0</v>
      </c>
      <c r="M11" s="31">
        <f>ROUND('Anexo 6'!M11*'Anexo 2'!$D$10,0)</f>
        <v>0</v>
      </c>
      <c r="N11" s="31">
        <f>ROUND('Anexo 6'!N11*'Anexo 2'!$D$10,0)</f>
        <v>0</v>
      </c>
      <c r="O11" s="31">
        <f>ROUND('Anexo 6'!O11*'Anexo 2'!$D$10,0)</f>
        <v>0</v>
      </c>
      <c r="P11" s="31">
        <f>ROUND('Anexo 6'!P11*'Anexo 2'!$D$10,0)</f>
        <v>0</v>
      </c>
      <c r="Q11" s="31">
        <f>ROUND('Anexo 6'!Q11*'Anexo 2'!$D$10,0)</f>
        <v>0</v>
      </c>
      <c r="R11" s="31">
        <f>ROUND('Anexo 6'!R11*'Anexo 2'!$D$10,0)</f>
        <v>0</v>
      </c>
      <c r="S11" s="31">
        <f>ROUND('Anexo 6'!S11*'Anexo 2'!$D$10,0)</f>
        <v>0</v>
      </c>
      <c r="T11" s="31">
        <f>ROUND('Anexo 6'!T11*'Anexo 2'!$D$10,0)</f>
        <v>0</v>
      </c>
      <c r="U11" s="31">
        <f>ROUND('Anexo 6'!U11*'Anexo 2'!$D$10,0)</f>
        <v>0</v>
      </c>
      <c r="V11" s="31">
        <f>ROUND('Anexo 6'!V11*'Anexo 2'!$D$10,0)</f>
        <v>0</v>
      </c>
      <c r="W11" s="31">
        <f>ROUND('Anexo 6'!W11*'Anexo 2'!$D$10,0)</f>
        <v>0</v>
      </c>
      <c r="X11" s="31">
        <f>ROUND('Anexo 6'!X11*'Anexo 2'!$D$10,0)</f>
        <v>0</v>
      </c>
      <c r="Y11" s="31">
        <f>ROUND('Anexo 6'!Y11*'Anexo 2'!$D$10,0)</f>
        <v>0</v>
      </c>
      <c r="Z11" s="31">
        <f>ROUND('Anexo 6'!Z11*'Anexo 2'!$D$10,0)</f>
        <v>0</v>
      </c>
      <c r="AA11" s="39">
        <f t="shared" si="0"/>
        <v>0</v>
      </c>
      <c r="AB11" s="21">
        <v>4</v>
      </c>
      <c r="AC11" s="92"/>
      <c r="AD11" s="46"/>
    </row>
    <row r="12" spans="1:30" ht="15.75" thickBot="1" x14ac:dyDescent="0.3">
      <c r="A12" s="89">
        <v>46813</v>
      </c>
      <c r="B12" s="16" t="s">
        <v>5</v>
      </c>
      <c r="C12" s="31">
        <f>ROUND('Anexo 6'!C12*'Anexo 2'!$D$10,0)</f>
        <v>0</v>
      </c>
      <c r="D12" s="31">
        <f>ROUND('Anexo 6'!D12*'Anexo 2'!$D$10,0)</f>
        <v>0</v>
      </c>
      <c r="E12" s="31">
        <f>ROUND('Anexo 6'!E12*'Anexo 2'!$D$10,0)</f>
        <v>0</v>
      </c>
      <c r="F12" s="31">
        <f>ROUND('Anexo 6'!F12*'Anexo 2'!$D$10,0)</f>
        <v>0</v>
      </c>
      <c r="G12" s="31">
        <f>ROUND('Anexo 6'!G12*'Anexo 2'!$D$10,0)</f>
        <v>0</v>
      </c>
      <c r="H12" s="31">
        <f>ROUND('Anexo 6'!H12*'Anexo 2'!$D$10,0)</f>
        <v>0</v>
      </c>
      <c r="I12" s="31">
        <f>ROUND('Anexo 6'!I12*'Anexo 2'!$D$10,0)</f>
        <v>0</v>
      </c>
      <c r="J12" s="31">
        <f>ROUND('Anexo 6'!J12*'Anexo 2'!$D$10,0)</f>
        <v>0</v>
      </c>
      <c r="K12" s="31">
        <f>ROUND('Anexo 6'!K12*'Anexo 2'!$D$10,0)</f>
        <v>0</v>
      </c>
      <c r="L12" s="31">
        <f>ROUND('Anexo 6'!L12*'Anexo 2'!$D$10,0)</f>
        <v>0</v>
      </c>
      <c r="M12" s="31">
        <f>ROUND('Anexo 6'!M12*'Anexo 2'!$D$10,0)</f>
        <v>0</v>
      </c>
      <c r="N12" s="31">
        <f>ROUND('Anexo 6'!N12*'Anexo 2'!$D$10,0)</f>
        <v>0</v>
      </c>
      <c r="O12" s="31">
        <f>ROUND('Anexo 6'!O12*'Anexo 2'!$D$10,0)</f>
        <v>0</v>
      </c>
      <c r="P12" s="31">
        <f>ROUND('Anexo 6'!P12*'Anexo 2'!$D$10,0)</f>
        <v>0</v>
      </c>
      <c r="Q12" s="31">
        <f>ROUND('Anexo 6'!Q12*'Anexo 2'!$D$10,0)</f>
        <v>0</v>
      </c>
      <c r="R12" s="31">
        <f>ROUND('Anexo 6'!R12*'Anexo 2'!$D$10,0)</f>
        <v>0</v>
      </c>
      <c r="S12" s="31">
        <f>ROUND('Anexo 6'!S12*'Anexo 2'!$D$10,0)</f>
        <v>0</v>
      </c>
      <c r="T12" s="31">
        <f>ROUND('Anexo 6'!T12*'Anexo 2'!$D$10,0)</f>
        <v>0</v>
      </c>
      <c r="U12" s="31">
        <f>ROUND('Anexo 6'!U12*'Anexo 2'!$D$10,0)</f>
        <v>0</v>
      </c>
      <c r="V12" s="31">
        <f>ROUND('Anexo 6'!V12*'Anexo 2'!$D$10,0)</f>
        <v>0</v>
      </c>
      <c r="W12" s="31">
        <f>ROUND('Anexo 6'!W12*'Anexo 2'!$D$10,0)</f>
        <v>0</v>
      </c>
      <c r="X12" s="31">
        <f>ROUND('Anexo 6'!X12*'Anexo 2'!$D$10,0)</f>
        <v>0</v>
      </c>
      <c r="Y12" s="31">
        <f>ROUND('Anexo 6'!Y12*'Anexo 2'!$D$10,0)</f>
        <v>0</v>
      </c>
      <c r="Z12" s="31">
        <f>ROUND('Anexo 6'!Z12*'Anexo 2'!$D$10,0)</f>
        <v>0</v>
      </c>
      <c r="AA12" s="33">
        <f t="shared" si="0"/>
        <v>0</v>
      </c>
      <c r="AB12" s="17">
        <v>22</v>
      </c>
      <c r="AC12" s="90">
        <f>+AA12*AB12+AA13*AB13+AA14*AB14</f>
        <v>0</v>
      </c>
    </row>
    <row r="13" spans="1:30" ht="15.75" thickBot="1" x14ac:dyDescent="0.3">
      <c r="A13" s="89"/>
      <c r="B13" s="18" t="s">
        <v>4</v>
      </c>
      <c r="C13" s="31">
        <f>ROUND('Anexo 6'!C13*'Anexo 2'!$D$10,0)</f>
        <v>0</v>
      </c>
      <c r="D13" s="31">
        <f>ROUND('Anexo 6'!D13*'Anexo 2'!$D$10,0)</f>
        <v>0</v>
      </c>
      <c r="E13" s="31">
        <f>ROUND('Anexo 6'!E13*'Anexo 2'!$D$10,0)</f>
        <v>0</v>
      </c>
      <c r="F13" s="31">
        <f>ROUND('Anexo 6'!F13*'Anexo 2'!$D$10,0)</f>
        <v>0</v>
      </c>
      <c r="G13" s="31">
        <f>ROUND('Anexo 6'!G13*'Anexo 2'!$D$10,0)</f>
        <v>0</v>
      </c>
      <c r="H13" s="31">
        <f>ROUND('Anexo 6'!H13*'Anexo 2'!$D$10,0)</f>
        <v>0</v>
      </c>
      <c r="I13" s="31">
        <f>ROUND('Anexo 6'!I13*'Anexo 2'!$D$10,0)</f>
        <v>0</v>
      </c>
      <c r="J13" s="31">
        <f>ROUND('Anexo 6'!J13*'Anexo 2'!$D$10,0)</f>
        <v>0</v>
      </c>
      <c r="K13" s="31">
        <f>ROUND('Anexo 6'!K13*'Anexo 2'!$D$10,0)</f>
        <v>0</v>
      </c>
      <c r="L13" s="31">
        <f>ROUND('Anexo 6'!L13*'Anexo 2'!$D$10,0)</f>
        <v>0</v>
      </c>
      <c r="M13" s="31">
        <f>ROUND('Anexo 6'!M13*'Anexo 2'!$D$10,0)</f>
        <v>0</v>
      </c>
      <c r="N13" s="31">
        <f>ROUND('Anexo 6'!N13*'Anexo 2'!$D$10,0)</f>
        <v>0</v>
      </c>
      <c r="O13" s="31">
        <f>ROUND('Anexo 6'!O13*'Anexo 2'!$D$10,0)</f>
        <v>0</v>
      </c>
      <c r="P13" s="31">
        <f>ROUND('Anexo 6'!P13*'Anexo 2'!$D$10,0)</f>
        <v>0</v>
      </c>
      <c r="Q13" s="31">
        <f>ROUND('Anexo 6'!Q13*'Anexo 2'!$D$10,0)</f>
        <v>0</v>
      </c>
      <c r="R13" s="31">
        <f>ROUND('Anexo 6'!R13*'Anexo 2'!$D$10,0)</f>
        <v>0</v>
      </c>
      <c r="S13" s="31">
        <f>ROUND('Anexo 6'!S13*'Anexo 2'!$D$10,0)</f>
        <v>0</v>
      </c>
      <c r="T13" s="31">
        <f>ROUND('Anexo 6'!T13*'Anexo 2'!$D$10,0)</f>
        <v>0</v>
      </c>
      <c r="U13" s="31">
        <f>ROUND('Anexo 6'!U13*'Anexo 2'!$D$10,0)</f>
        <v>0</v>
      </c>
      <c r="V13" s="31">
        <f>ROUND('Anexo 6'!V13*'Anexo 2'!$D$10,0)</f>
        <v>0</v>
      </c>
      <c r="W13" s="31">
        <f>ROUND('Anexo 6'!W13*'Anexo 2'!$D$10,0)</f>
        <v>0</v>
      </c>
      <c r="X13" s="31">
        <f>ROUND('Anexo 6'!X13*'Anexo 2'!$D$10,0)</f>
        <v>0</v>
      </c>
      <c r="Y13" s="31">
        <f>ROUND('Anexo 6'!Y13*'Anexo 2'!$D$10,0)</f>
        <v>0</v>
      </c>
      <c r="Z13" s="31">
        <f>ROUND('Anexo 6'!Z13*'Anexo 2'!$D$10,0)</f>
        <v>0</v>
      </c>
      <c r="AA13" s="36">
        <f t="shared" si="0"/>
        <v>0</v>
      </c>
      <c r="AB13" s="19">
        <v>4</v>
      </c>
      <c r="AC13" s="91"/>
      <c r="AD13" s="45"/>
    </row>
    <row r="14" spans="1:30" ht="15.75" thickBot="1" x14ac:dyDescent="0.3">
      <c r="A14" s="89"/>
      <c r="B14" s="20" t="s">
        <v>3</v>
      </c>
      <c r="C14" s="31">
        <f>ROUND('Anexo 6'!C14*'Anexo 2'!$D$10,0)</f>
        <v>0</v>
      </c>
      <c r="D14" s="31">
        <f>ROUND('Anexo 6'!D14*'Anexo 2'!$D$10,0)</f>
        <v>0</v>
      </c>
      <c r="E14" s="31">
        <f>ROUND('Anexo 6'!E14*'Anexo 2'!$D$10,0)</f>
        <v>0</v>
      </c>
      <c r="F14" s="31">
        <f>ROUND('Anexo 6'!F14*'Anexo 2'!$D$10,0)</f>
        <v>0</v>
      </c>
      <c r="G14" s="31">
        <f>ROUND('Anexo 6'!G14*'Anexo 2'!$D$10,0)</f>
        <v>0</v>
      </c>
      <c r="H14" s="31">
        <f>ROUND('Anexo 6'!H14*'Anexo 2'!$D$10,0)</f>
        <v>0</v>
      </c>
      <c r="I14" s="31">
        <f>ROUND('Anexo 6'!I14*'Anexo 2'!$D$10,0)</f>
        <v>0</v>
      </c>
      <c r="J14" s="31">
        <f>ROUND('Anexo 6'!J14*'Anexo 2'!$D$10,0)</f>
        <v>0</v>
      </c>
      <c r="K14" s="31">
        <f>ROUND('Anexo 6'!K14*'Anexo 2'!$D$10,0)</f>
        <v>0</v>
      </c>
      <c r="L14" s="31">
        <f>ROUND('Anexo 6'!L14*'Anexo 2'!$D$10,0)</f>
        <v>0</v>
      </c>
      <c r="M14" s="31">
        <f>ROUND('Anexo 6'!M14*'Anexo 2'!$D$10,0)</f>
        <v>0</v>
      </c>
      <c r="N14" s="31">
        <f>ROUND('Anexo 6'!N14*'Anexo 2'!$D$10,0)</f>
        <v>0</v>
      </c>
      <c r="O14" s="31">
        <f>ROUND('Anexo 6'!O14*'Anexo 2'!$D$10,0)</f>
        <v>0</v>
      </c>
      <c r="P14" s="31">
        <f>ROUND('Anexo 6'!P14*'Anexo 2'!$D$10,0)</f>
        <v>0</v>
      </c>
      <c r="Q14" s="31">
        <f>ROUND('Anexo 6'!Q14*'Anexo 2'!$D$10,0)</f>
        <v>0</v>
      </c>
      <c r="R14" s="31">
        <f>ROUND('Anexo 6'!R14*'Anexo 2'!$D$10,0)</f>
        <v>0</v>
      </c>
      <c r="S14" s="31">
        <f>ROUND('Anexo 6'!S14*'Anexo 2'!$D$10,0)</f>
        <v>0</v>
      </c>
      <c r="T14" s="31">
        <f>ROUND('Anexo 6'!T14*'Anexo 2'!$D$10,0)</f>
        <v>0</v>
      </c>
      <c r="U14" s="31">
        <f>ROUND('Anexo 6'!U14*'Anexo 2'!$D$10,0)</f>
        <v>0</v>
      </c>
      <c r="V14" s="31">
        <f>ROUND('Anexo 6'!V14*'Anexo 2'!$D$10,0)</f>
        <v>0</v>
      </c>
      <c r="W14" s="31">
        <f>ROUND('Anexo 6'!W14*'Anexo 2'!$D$10,0)</f>
        <v>0</v>
      </c>
      <c r="X14" s="31">
        <f>ROUND('Anexo 6'!X14*'Anexo 2'!$D$10,0)</f>
        <v>0</v>
      </c>
      <c r="Y14" s="31">
        <f>ROUND('Anexo 6'!Y14*'Anexo 2'!$D$10,0)</f>
        <v>0</v>
      </c>
      <c r="Z14" s="31">
        <f>ROUND('Anexo 6'!Z14*'Anexo 2'!$D$10,0)</f>
        <v>0</v>
      </c>
      <c r="AA14" s="39">
        <f t="shared" si="0"/>
        <v>0</v>
      </c>
      <c r="AB14" s="21">
        <v>5</v>
      </c>
      <c r="AC14" s="92"/>
      <c r="AD14" s="43"/>
    </row>
    <row r="15" spans="1:30" ht="15.75" thickBot="1" x14ac:dyDescent="0.3">
      <c r="A15" s="89">
        <v>46844</v>
      </c>
      <c r="B15" s="16" t="s">
        <v>5</v>
      </c>
      <c r="C15" s="31">
        <f>ROUND('Anexo 6'!C15*'Anexo 2'!$D$10,0)</f>
        <v>0</v>
      </c>
      <c r="D15" s="31">
        <f>ROUND('Anexo 6'!D15*'Anexo 2'!$D$10,0)</f>
        <v>0</v>
      </c>
      <c r="E15" s="31">
        <f>ROUND('Anexo 6'!E15*'Anexo 2'!$D$10,0)</f>
        <v>0</v>
      </c>
      <c r="F15" s="31">
        <f>ROUND('Anexo 6'!F15*'Anexo 2'!$D$10,0)</f>
        <v>0</v>
      </c>
      <c r="G15" s="31">
        <f>ROUND('Anexo 6'!G15*'Anexo 2'!$D$10,0)</f>
        <v>0</v>
      </c>
      <c r="H15" s="31">
        <f>ROUND('Anexo 6'!H15*'Anexo 2'!$D$10,0)</f>
        <v>0</v>
      </c>
      <c r="I15" s="31">
        <f>ROUND('Anexo 6'!I15*'Anexo 2'!$D$10,0)</f>
        <v>0</v>
      </c>
      <c r="J15" s="31">
        <f>ROUND('Anexo 6'!J15*'Anexo 2'!$D$10,0)</f>
        <v>0</v>
      </c>
      <c r="K15" s="31">
        <f>ROUND('Anexo 6'!K15*'Anexo 2'!$D$10,0)</f>
        <v>0</v>
      </c>
      <c r="L15" s="31">
        <f>ROUND('Anexo 6'!L15*'Anexo 2'!$D$10,0)</f>
        <v>0</v>
      </c>
      <c r="M15" s="31">
        <f>ROUND('Anexo 6'!M15*'Anexo 2'!$D$10,0)</f>
        <v>0</v>
      </c>
      <c r="N15" s="31">
        <f>ROUND('Anexo 6'!N15*'Anexo 2'!$D$10,0)</f>
        <v>0</v>
      </c>
      <c r="O15" s="31">
        <f>ROUND('Anexo 6'!O15*'Anexo 2'!$D$10,0)</f>
        <v>0</v>
      </c>
      <c r="P15" s="31">
        <f>ROUND('Anexo 6'!P15*'Anexo 2'!$D$10,0)</f>
        <v>0</v>
      </c>
      <c r="Q15" s="31">
        <f>ROUND('Anexo 6'!Q15*'Anexo 2'!$D$10,0)</f>
        <v>0</v>
      </c>
      <c r="R15" s="31">
        <f>ROUND('Anexo 6'!R15*'Anexo 2'!$D$10,0)</f>
        <v>0</v>
      </c>
      <c r="S15" s="31">
        <f>ROUND('Anexo 6'!S15*'Anexo 2'!$D$10,0)</f>
        <v>0</v>
      </c>
      <c r="T15" s="31">
        <f>ROUND('Anexo 6'!T15*'Anexo 2'!$D$10,0)</f>
        <v>0</v>
      </c>
      <c r="U15" s="31">
        <f>ROUND('Anexo 6'!U15*'Anexo 2'!$D$10,0)</f>
        <v>0</v>
      </c>
      <c r="V15" s="31">
        <f>ROUND('Anexo 6'!V15*'Anexo 2'!$D$10,0)</f>
        <v>0</v>
      </c>
      <c r="W15" s="31">
        <f>ROUND('Anexo 6'!W15*'Anexo 2'!$D$10,0)</f>
        <v>0</v>
      </c>
      <c r="X15" s="31">
        <f>ROUND('Anexo 6'!X15*'Anexo 2'!$D$10,0)</f>
        <v>0</v>
      </c>
      <c r="Y15" s="31">
        <f>ROUND('Anexo 6'!Y15*'Anexo 2'!$D$10,0)</f>
        <v>0</v>
      </c>
      <c r="Z15" s="31">
        <f>ROUND('Anexo 6'!Z15*'Anexo 2'!$D$10,0)</f>
        <v>0</v>
      </c>
      <c r="AA15" s="33">
        <f t="shared" si="0"/>
        <v>0</v>
      </c>
      <c r="AB15" s="17">
        <v>18</v>
      </c>
      <c r="AC15" s="90">
        <f>+AA15*AB15+AA16*AB16+AA17*AB17</f>
        <v>0</v>
      </c>
    </row>
    <row r="16" spans="1:30" ht="15.75" thickBot="1" x14ac:dyDescent="0.3">
      <c r="A16" s="89"/>
      <c r="B16" s="18" t="s">
        <v>4</v>
      </c>
      <c r="C16" s="31">
        <f>ROUND('Anexo 6'!C16*'Anexo 2'!$D$10,0)</f>
        <v>0</v>
      </c>
      <c r="D16" s="31">
        <f>ROUND('Anexo 6'!D16*'Anexo 2'!$D$10,0)</f>
        <v>0</v>
      </c>
      <c r="E16" s="31">
        <f>ROUND('Anexo 6'!E16*'Anexo 2'!$D$10,0)</f>
        <v>0</v>
      </c>
      <c r="F16" s="31">
        <f>ROUND('Anexo 6'!F16*'Anexo 2'!$D$10,0)</f>
        <v>0</v>
      </c>
      <c r="G16" s="31">
        <f>ROUND('Anexo 6'!G16*'Anexo 2'!$D$10,0)</f>
        <v>0</v>
      </c>
      <c r="H16" s="31">
        <f>ROUND('Anexo 6'!H16*'Anexo 2'!$D$10,0)</f>
        <v>0</v>
      </c>
      <c r="I16" s="31">
        <f>ROUND('Anexo 6'!I16*'Anexo 2'!$D$10,0)</f>
        <v>0</v>
      </c>
      <c r="J16" s="31">
        <f>ROUND('Anexo 6'!J16*'Anexo 2'!$D$10,0)</f>
        <v>0</v>
      </c>
      <c r="K16" s="31">
        <f>ROUND('Anexo 6'!K16*'Anexo 2'!$D$10,0)</f>
        <v>0</v>
      </c>
      <c r="L16" s="31">
        <f>ROUND('Anexo 6'!L16*'Anexo 2'!$D$10,0)</f>
        <v>0</v>
      </c>
      <c r="M16" s="31">
        <f>ROUND('Anexo 6'!M16*'Anexo 2'!$D$10,0)</f>
        <v>0</v>
      </c>
      <c r="N16" s="31">
        <f>ROUND('Anexo 6'!N16*'Anexo 2'!$D$10,0)</f>
        <v>0</v>
      </c>
      <c r="O16" s="31">
        <f>ROUND('Anexo 6'!O16*'Anexo 2'!$D$10,0)</f>
        <v>0</v>
      </c>
      <c r="P16" s="31">
        <f>ROUND('Anexo 6'!P16*'Anexo 2'!$D$10,0)</f>
        <v>0</v>
      </c>
      <c r="Q16" s="31">
        <f>ROUND('Anexo 6'!Q16*'Anexo 2'!$D$10,0)</f>
        <v>0</v>
      </c>
      <c r="R16" s="31">
        <f>ROUND('Anexo 6'!R16*'Anexo 2'!$D$10,0)</f>
        <v>0</v>
      </c>
      <c r="S16" s="31">
        <f>ROUND('Anexo 6'!S16*'Anexo 2'!$D$10,0)</f>
        <v>0</v>
      </c>
      <c r="T16" s="31">
        <f>ROUND('Anexo 6'!T16*'Anexo 2'!$D$10,0)</f>
        <v>0</v>
      </c>
      <c r="U16" s="31">
        <f>ROUND('Anexo 6'!U16*'Anexo 2'!$D$10,0)</f>
        <v>0</v>
      </c>
      <c r="V16" s="31">
        <f>ROUND('Anexo 6'!V16*'Anexo 2'!$D$10,0)</f>
        <v>0</v>
      </c>
      <c r="W16" s="31">
        <f>ROUND('Anexo 6'!W16*'Anexo 2'!$D$10,0)</f>
        <v>0</v>
      </c>
      <c r="X16" s="31">
        <f>ROUND('Anexo 6'!X16*'Anexo 2'!$D$10,0)</f>
        <v>0</v>
      </c>
      <c r="Y16" s="31">
        <f>ROUND('Anexo 6'!Y16*'Anexo 2'!$D$10,0)</f>
        <v>0</v>
      </c>
      <c r="Z16" s="31">
        <f>ROUND('Anexo 6'!Z16*'Anexo 2'!$D$10,0)</f>
        <v>0</v>
      </c>
      <c r="AA16" s="36">
        <f t="shared" si="0"/>
        <v>0</v>
      </c>
      <c r="AB16" s="19">
        <v>5</v>
      </c>
      <c r="AC16" s="91"/>
      <c r="AD16" s="45"/>
    </row>
    <row r="17" spans="1:30" ht="15.75" thickBot="1" x14ac:dyDescent="0.3">
      <c r="A17" s="89"/>
      <c r="B17" s="20" t="s">
        <v>3</v>
      </c>
      <c r="C17" s="31">
        <f>ROUND('Anexo 6'!C17*'Anexo 2'!$D$10,0)</f>
        <v>0</v>
      </c>
      <c r="D17" s="31">
        <f>ROUND('Anexo 6'!D17*'Anexo 2'!$D$10,0)</f>
        <v>0</v>
      </c>
      <c r="E17" s="31">
        <f>ROUND('Anexo 6'!E17*'Anexo 2'!$D$10,0)</f>
        <v>0</v>
      </c>
      <c r="F17" s="31">
        <f>ROUND('Anexo 6'!F17*'Anexo 2'!$D$10,0)</f>
        <v>0</v>
      </c>
      <c r="G17" s="31">
        <f>ROUND('Anexo 6'!G17*'Anexo 2'!$D$10,0)</f>
        <v>0</v>
      </c>
      <c r="H17" s="31">
        <f>ROUND('Anexo 6'!H17*'Anexo 2'!$D$10,0)</f>
        <v>0</v>
      </c>
      <c r="I17" s="31">
        <f>ROUND('Anexo 6'!I17*'Anexo 2'!$D$10,0)</f>
        <v>0</v>
      </c>
      <c r="J17" s="31">
        <f>ROUND('Anexo 6'!J17*'Anexo 2'!$D$10,0)</f>
        <v>0</v>
      </c>
      <c r="K17" s="31">
        <f>ROUND('Anexo 6'!K17*'Anexo 2'!$D$10,0)</f>
        <v>0</v>
      </c>
      <c r="L17" s="31">
        <f>ROUND('Anexo 6'!L17*'Anexo 2'!$D$10,0)</f>
        <v>0</v>
      </c>
      <c r="M17" s="31">
        <f>ROUND('Anexo 6'!M17*'Anexo 2'!$D$10,0)</f>
        <v>0</v>
      </c>
      <c r="N17" s="31">
        <f>ROUND('Anexo 6'!N17*'Anexo 2'!$D$10,0)</f>
        <v>0</v>
      </c>
      <c r="O17" s="31">
        <f>ROUND('Anexo 6'!O17*'Anexo 2'!$D$10,0)</f>
        <v>0</v>
      </c>
      <c r="P17" s="31">
        <f>ROUND('Anexo 6'!P17*'Anexo 2'!$D$10,0)</f>
        <v>0</v>
      </c>
      <c r="Q17" s="31">
        <f>ROUND('Anexo 6'!Q17*'Anexo 2'!$D$10,0)</f>
        <v>0</v>
      </c>
      <c r="R17" s="31">
        <f>ROUND('Anexo 6'!R17*'Anexo 2'!$D$10,0)</f>
        <v>0</v>
      </c>
      <c r="S17" s="31">
        <f>ROUND('Anexo 6'!S17*'Anexo 2'!$D$10,0)</f>
        <v>0</v>
      </c>
      <c r="T17" s="31">
        <f>ROUND('Anexo 6'!T17*'Anexo 2'!$D$10,0)</f>
        <v>0</v>
      </c>
      <c r="U17" s="31">
        <f>ROUND('Anexo 6'!U17*'Anexo 2'!$D$10,0)</f>
        <v>0</v>
      </c>
      <c r="V17" s="31">
        <f>ROUND('Anexo 6'!V17*'Anexo 2'!$D$10,0)</f>
        <v>0</v>
      </c>
      <c r="W17" s="31">
        <f>ROUND('Anexo 6'!W17*'Anexo 2'!$D$10,0)</f>
        <v>0</v>
      </c>
      <c r="X17" s="31">
        <f>ROUND('Anexo 6'!X17*'Anexo 2'!$D$10,0)</f>
        <v>0</v>
      </c>
      <c r="Y17" s="31">
        <f>ROUND('Anexo 6'!Y17*'Anexo 2'!$D$10,0)</f>
        <v>0</v>
      </c>
      <c r="Z17" s="31">
        <f>ROUND('Anexo 6'!Z17*'Anexo 2'!$D$10,0)</f>
        <v>0</v>
      </c>
      <c r="AA17" s="39">
        <f t="shared" si="0"/>
        <v>0</v>
      </c>
      <c r="AB17" s="21">
        <v>7</v>
      </c>
      <c r="AC17" s="92"/>
      <c r="AD17" s="46"/>
    </row>
    <row r="18" spans="1:30" ht="15.75" thickBot="1" x14ac:dyDescent="0.3">
      <c r="A18" s="89">
        <v>46874</v>
      </c>
      <c r="B18" s="16" t="s">
        <v>5</v>
      </c>
      <c r="C18" s="31">
        <f>ROUND('Anexo 6'!C18*'Anexo 2'!$D$10,0)</f>
        <v>0</v>
      </c>
      <c r="D18" s="31">
        <f>ROUND('Anexo 6'!D18*'Anexo 2'!$D$10,0)</f>
        <v>0</v>
      </c>
      <c r="E18" s="31">
        <f>ROUND('Anexo 6'!E18*'Anexo 2'!$D$10,0)</f>
        <v>0</v>
      </c>
      <c r="F18" s="31">
        <f>ROUND('Anexo 6'!F18*'Anexo 2'!$D$10,0)</f>
        <v>0</v>
      </c>
      <c r="G18" s="31">
        <f>ROUND('Anexo 6'!G18*'Anexo 2'!$D$10,0)</f>
        <v>0</v>
      </c>
      <c r="H18" s="31">
        <f>ROUND('Anexo 6'!H18*'Anexo 2'!$D$10,0)</f>
        <v>0</v>
      </c>
      <c r="I18" s="31">
        <f>ROUND('Anexo 6'!I18*'Anexo 2'!$D$10,0)</f>
        <v>0</v>
      </c>
      <c r="J18" s="31">
        <f>ROUND('Anexo 6'!J18*'Anexo 2'!$D$10,0)</f>
        <v>0</v>
      </c>
      <c r="K18" s="31">
        <f>ROUND('Anexo 6'!K18*'Anexo 2'!$D$10,0)</f>
        <v>0</v>
      </c>
      <c r="L18" s="31">
        <f>ROUND('Anexo 6'!L18*'Anexo 2'!$D$10,0)</f>
        <v>0</v>
      </c>
      <c r="M18" s="31">
        <f>ROUND('Anexo 6'!M18*'Anexo 2'!$D$10,0)</f>
        <v>0</v>
      </c>
      <c r="N18" s="31">
        <f>ROUND('Anexo 6'!N18*'Anexo 2'!$D$10,0)</f>
        <v>0</v>
      </c>
      <c r="O18" s="31">
        <f>ROUND('Anexo 6'!O18*'Anexo 2'!$D$10,0)</f>
        <v>0</v>
      </c>
      <c r="P18" s="31">
        <f>ROUND('Anexo 6'!P18*'Anexo 2'!$D$10,0)</f>
        <v>0</v>
      </c>
      <c r="Q18" s="31">
        <f>ROUND('Anexo 6'!Q18*'Anexo 2'!$D$10,0)</f>
        <v>0</v>
      </c>
      <c r="R18" s="31">
        <f>ROUND('Anexo 6'!R18*'Anexo 2'!$D$10,0)</f>
        <v>0</v>
      </c>
      <c r="S18" s="31">
        <f>ROUND('Anexo 6'!S18*'Anexo 2'!$D$10,0)</f>
        <v>0</v>
      </c>
      <c r="T18" s="31">
        <f>ROUND('Anexo 6'!T18*'Anexo 2'!$D$10,0)</f>
        <v>0</v>
      </c>
      <c r="U18" s="31">
        <f>ROUND('Anexo 6'!U18*'Anexo 2'!$D$10,0)</f>
        <v>0</v>
      </c>
      <c r="V18" s="31">
        <f>ROUND('Anexo 6'!V18*'Anexo 2'!$D$10,0)</f>
        <v>0</v>
      </c>
      <c r="W18" s="31">
        <f>ROUND('Anexo 6'!W18*'Anexo 2'!$D$10,0)</f>
        <v>0</v>
      </c>
      <c r="X18" s="31">
        <f>ROUND('Anexo 6'!X18*'Anexo 2'!$D$10,0)</f>
        <v>0</v>
      </c>
      <c r="Y18" s="31">
        <f>ROUND('Anexo 6'!Y18*'Anexo 2'!$D$10,0)</f>
        <v>0</v>
      </c>
      <c r="Z18" s="31">
        <f>ROUND('Anexo 6'!Z18*'Anexo 2'!$D$10,0)</f>
        <v>0</v>
      </c>
      <c r="AA18" s="33">
        <f t="shared" si="0"/>
        <v>0</v>
      </c>
      <c r="AB18" s="17">
        <v>21</v>
      </c>
      <c r="AC18" s="90">
        <f>+AA18*AB18+AA19*AB19+AA20*AB20</f>
        <v>0</v>
      </c>
    </row>
    <row r="19" spans="1:30" ht="15.75" thickBot="1" x14ac:dyDescent="0.3">
      <c r="A19" s="89"/>
      <c r="B19" s="18" t="s">
        <v>4</v>
      </c>
      <c r="C19" s="31">
        <f>ROUND('Anexo 6'!C19*'Anexo 2'!$D$10,0)</f>
        <v>0</v>
      </c>
      <c r="D19" s="31">
        <f>ROUND('Anexo 6'!D19*'Anexo 2'!$D$10,0)</f>
        <v>0</v>
      </c>
      <c r="E19" s="31">
        <f>ROUND('Anexo 6'!E19*'Anexo 2'!$D$10,0)</f>
        <v>0</v>
      </c>
      <c r="F19" s="31">
        <f>ROUND('Anexo 6'!F19*'Anexo 2'!$D$10,0)</f>
        <v>0</v>
      </c>
      <c r="G19" s="31">
        <f>ROUND('Anexo 6'!G19*'Anexo 2'!$D$10,0)</f>
        <v>0</v>
      </c>
      <c r="H19" s="31">
        <f>ROUND('Anexo 6'!H19*'Anexo 2'!$D$10,0)</f>
        <v>0</v>
      </c>
      <c r="I19" s="31">
        <f>ROUND('Anexo 6'!I19*'Anexo 2'!$D$10,0)</f>
        <v>0</v>
      </c>
      <c r="J19" s="31">
        <f>ROUND('Anexo 6'!J19*'Anexo 2'!$D$10,0)</f>
        <v>0</v>
      </c>
      <c r="K19" s="31">
        <f>ROUND('Anexo 6'!K19*'Anexo 2'!$D$10,0)</f>
        <v>0</v>
      </c>
      <c r="L19" s="31">
        <f>ROUND('Anexo 6'!L19*'Anexo 2'!$D$10,0)</f>
        <v>0</v>
      </c>
      <c r="M19" s="31">
        <f>ROUND('Anexo 6'!M19*'Anexo 2'!$D$10,0)</f>
        <v>0</v>
      </c>
      <c r="N19" s="31">
        <f>ROUND('Anexo 6'!N19*'Anexo 2'!$D$10,0)</f>
        <v>0</v>
      </c>
      <c r="O19" s="31">
        <f>ROUND('Anexo 6'!O19*'Anexo 2'!$D$10,0)</f>
        <v>0</v>
      </c>
      <c r="P19" s="31">
        <f>ROUND('Anexo 6'!P19*'Anexo 2'!$D$10,0)</f>
        <v>0</v>
      </c>
      <c r="Q19" s="31">
        <f>ROUND('Anexo 6'!Q19*'Anexo 2'!$D$10,0)</f>
        <v>0</v>
      </c>
      <c r="R19" s="31">
        <f>ROUND('Anexo 6'!R19*'Anexo 2'!$D$10,0)</f>
        <v>0</v>
      </c>
      <c r="S19" s="31">
        <f>ROUND('Anexo 6'!S19*'Anexo 2'!$D$10,0)</f>
        <v>0</v>
      </c>
      <c r="T19" s="31">
        <f>ROUND('Anexo 6'!T19*'Anexo 2'!$D$10,0)</f>
        <v>0</v>
      </c>
      <c r="U19" s="31">
        <f>ROUND('Anexo 6'!U19*'Anexo 2'!$D$10,0)</f>
        <v>0</v>
      </c>
      <c r="V19" s="31">
        <f>ROUND('Anexo 6'!V19*'Anexo 2'!$D$10,0)</f>
        <v>0</v>
      </c>
      <c r="W19" s="31">
        <f>ROUND('Anexo 6'!W19*'Anexo 2'!$D$10,0)</f>
        <v>0</v>
      </c>
      <c r="X19" s="31">
        <f>ROUND('Anexo 6'!X19*'Anexo 2'!$D$10,0)</f>
        <v>0</v>
      </c>
      <c r="Y19" s="31">
        <f>ROUND('Anexo 6'!Y19*'Anexo 2'!$D$10,0)</f>
        <v>0</v>
      </c>
      <c r="Z19" s="31">
        <f>ROUND('Anexo 6'!Z19*'Anexo 2'!$D$10,0)</f>
        <v>0</v>
      </c>
      <c r="AA19" s="36">
        <f t="shared" si="0"/>
        <v>0</v>
      </c>
      <c r="AB19" s="19">
        <v>4</v>
      </c>
      <c r="AC19" s="91"/>
      <c r="AD19" s="45"/>
    </row>
    <row r="20" spans="1:30" ht="15.75" thickBot="1" x14ac:dyDescent="0.3">
      <c r="A20" s="89"/>
      <c r="B20" s="20" t="s">
        <v>3</v>
      </c>
      <c r="C20" s="31">
        <f>ROUND('Anexo 6'!C20*'Anexo 2'!$D$10,0)</f>
        <v>0</v>
      </c>
      <c r="D20" s="31">
        <f>ROUND('Anexo 6'!D20*'Anexo 2'!$D$10,0)</f>
        <v>0</v>
      </c>
      <c r="E20" s="31">
        <f>ROUND('Anexo 6'!E20*'Anexo 2'!$D$10,0)</f>
        <v>0</v>
      </c>
      <c r="F20" s="31">
        <f>ROUND('Anexo 6'!F20*'Anexo 2'!$D$10,0)</f>
        <v>0</v>
      </c>
      <c r="G20" s="31">
        <f>ROUND('Anexo 6'!G20*'Anexo 2'!$D$10,0)</f>
        <v>0</v>
      </c>
      <c r="H20" s="31">
        <f>ROUND('Anexo 6'!H20*'Anexo 2'!$D$10,0)</f>
        <v>0</v>
      </c>
      <c r="I20" s="31">
        <f>ROUND('Anexo 6'!I20*'Anexo 2'!$D$10,0)</f>
        <v>0</v>
      </c>
      <c r="J20" s="31">
        <f>ROUND('Anexo 6'!J20*'Anexo 2'!$D$10,0)</f>
        <v>0</v>
      </c>
      <c r="K20" s="31">
        <f>ROUND('Anexo 6'!K20*'Anexo 2'!$D$10,0)</f>
        <v>0</v>
      </c>
      <c r="L20" s="31">
        <f>ROUND('Anexo 6'!L20*'Anexo 2'!$D$10,0)</f>
        <v>0</v>
      </c>
      <c r="M20" s="31">
        <f>ROUND('Anexo 6'!M20*'Anexo 2'!$D$10,0)</f>
        <v>0</v>
      </c>
      <c r="N20" s="31">
        <f>ROUND('Anexo 6'!N20*'Anexo 2'!$D$10,0)</f>
        <v>0</v>
      </c>
      <c r="O20" s="31">
        <f>ROUND('Anexo 6'!O20*'Anexo 2'!$D$10,0)</f>
        <v>0</v>
      </c>
      <c r="P20" s="31">
        <f>ROUND('Anexo 6'!P20*'Anexo 2'!$D$10,0)</f>
        <v>0</v>
      </c>
      <c r="Q20" s="31">
        <f>ROUND('Anexo 6'!Q20*'Anexo 2'!$D$10,0)</f>
        <v>0</v>
      </c>
      <c r="R20" s="31">
        <f>ROUND('Anexo 6'!R20*'Anexo 2'!$D$10,0)</f>
        <v>0</v>
      </c>
      <c r="S20" s="31">
        <f>ROUND('Anexo 6'!S20*'Anexo 2'!$D$10,0)</f>
        <v>0</v>
      </c>
      <c r="T20" s="31">
        <f>ROUND('Anexo 6'!T20*'Anexo 2'!$D$10,0)</f>
        <v>0</v>
      </c>
      <c r="U20" s="31">
        <f>ROUND('Anexo 6'!U20*'Anexo 2'!$D$10,0)</f>
        <v>0</v>
      </c>
      <c r="V20" s="31">
        <f>ROUND('Anexo 6'!V20*'Anexo 2'!$D$10,0)</f>
        <v>0</v>
      </c>
      <c r="W20" s="31">
        <f>ROUND('Anexo 6'!W20*'Anexo 2'!$D$10,0)</f>
        <v>0</v>
      </c>
      <c r="X20" s="31">
        <f>ROUND('Anexo 6'!X20*'Anexo 2'!$D$10,0)</f>
        <v>0</v>
      </c>
      <c r="Y20" s="31">
        <f>ROUND('Anexo 6'!Y20*'Anexo 2'!$D$10,0)</f>
        <v>0</v>
      </c>
      <c r="Z20" s="31">
        <f>ROUND('Anexo 6'!Z20*'Anexo 2'!$D$10,0)</f>
        <v>0</v>
      </c>
      <c r="AA20" s="39">
        <f t="shared" si="0"/>
        <v>0</v>
      </c>
      <c r="AB20" s="21">
        <v>6</v>
      </c>
      <c r="AC20" s="92"/>
      <c r="AD20" s="46"/>
    </row>
    <row r="21" spans="1:30" ht="15.75" thickBot="1" x14ac:dyDescent="0.3">
      <c r="A21" s="89">
        <v>46905</v>
      </c>
      <c r="B21" s="16" t="s">
        <v>5</v>
      </c>
      <c r="C21" s="31">
        <f>ROUND('Anexo 6'!C21*'Anexo 2'!$D$10,0)</f>
        <v>0</v>
      </c>
      <c r="D21" s="31">
        <f>ROUND('Anexo 6'!D21*'Anexo 2'!$D$10,0)</f>
        <v>0</v>
      </c>
      <c r="E21" s="31">
        <f>ROUND('Anexo 6'!E21*'Anexo 2'!$D$10,0)</f>
        <v>0</v>
      </c>
      <c r="F21" s="31">
        <f>ROUND('Anexo 6'!F21*'Anexo 2'!$D$10,0)</f>
        <v>0</v>
      </c>
      <c r="G21" s="31">
        <f>ROUND('Anexo 6'!G21*'Anexo 2'!$D$10,0)</f>
        <v>0</v>
      </c>
      <c r="H21" s="31">
        <f>ROUND('Anexo 6'!H21*'Anexo 2'!$D$10,0)</f>
        <v>0</v>
      </c>
      <c r="I21" s="31">
        <f>ROUND('Anexo 6'!I21*'Anexo 2'!$D$10,0)</f>
        <v>0</v>
      </c>
      <c r="J21" s="31">
        <f>ROUND('Anexo 6'!J21*'Anexo 2'!$D$10,0)</f>
        <v>0</v>
      </c>
      <c r="K21" s="31">
        <f>ROUND('Anexo 6'!K21*'Anexo 2'!$D$10,0)</f>
        <v>0</v>
      </c>
      <c r="L21" s="31">
        <f>ROUND('Anexo 6'!L21*'Anexo 2'!$D$10,0)</f>
        <v>0</v>
      </c>
      <c r="M21" s="31">
        <f>ROUND('Anexo 6'!M21*'Anexo 2'!$D$10,0)</f>
        <v>0</v>
      </c>
      <c r="N21" s="31">
        <f>ROUND('Anexo 6'!N21*'Anexo 2'!$D$10,0)</f>
        <v>0</v>
      </c>
      <c r="O21" s="31">
        <f>ROUND('Anexo 6'!O21*'Anexo 2'!$D$10,0)</f>
        <v>0</v>
      </c>
      <c r="P21" s="31">
        <f>ROUND('Anexo 6'!P21*'Anexo 2'!$D$10,0)</f>
        <v>0</v>
      </c>
      <c r="Q21" s="31">
        <f>ROUND('Anexo 6'!Q21*'Anexo 2'!$D$10,0)</f>
        <v>0</v>
      </c>
      <c r="R21" s="31">
        <f>ROUND('Anexo 6'!R21*'Anexo 2'!$D$10,0)</f>
        <v>0</v>
      </c>
      <c r="S21" s="31">
        <f>ROUND('Anexo 6'!S21*'Anexo 2'!$D$10,0)</f>
        <v>0</v>
      </c>
      <c r="T21" s="31">
        <f>ROUND('Anexo 6'!T21*'Anexo 2'!$D$10,0)</f>
        <v>0</v>
      </c>
      <c r="U21" s="31">
        <f>ROUND('Anexo 6'!U21*'Anexo 2'!$D$10,0)</f>
        <v>0</v>
      </c>
      <c r="V21" s="31">
        <f>ROUND('Anexo 6'!V21*'Anexo 2'!$D$10,0)</f>
        <v>0</v>
      </c>
      <c r="W21" s="31">
        <f>ROUND('Anexo 6'!W21*'Anexo 2'!$D$10,0)</f>
        <v>0</v>
      </c>
      <c r="X21" s="31">
        <f>ROUND('Anexo 6'!X21*'Anexo 2'!$D$10,0)</f>
        <v>0</v>
      </c>
      <c r="Y21" s="31">
        <f>ROUND('Anexo 6'!Y21*'Anexo 2'!$D$10,0)</f>
        <v>0</v>
      </c>
      <c r="Z21" s="31">
        <f>ROUND('Anexo 6'!Z21*'Anexo 2'!$D$10,0)</f>
        <v>0</v>
      </c>
      <c r="AA21" s="33">
        <f t="shared" si="0"/>
        <v>0</v>
      </c>
      <c r="AB21" s="17">
        <v>20</v>
      </c>
      <c r="AC21" s="90">
        <f>+AA21*AB21+AA22*AB22+AA23*AB23</f>
        <v>0</v>
      </c>
    </row>
    <row r="22" spans="1:30" ht="15.75" thickBot="1" x14ac:dyDescent="0.3">
      <c r="A22" s="89"/>
      <c r="B22" s="18" t="s">
        <v>4</v>
      </c>
      <c r="C22" s="31">
        <f>ROUND('Anexo 6'!C22*'Anexo 2'!$D$10,0)</f>
        <v>0</v>
      </c>
      <c r="D22" s="31">
        <f>ROUND('Anexo 6'!D22*'Anexo 2'!$D$10,0)</f>
        <v>0</v>
      </c>
      <c r="E22" s="31">
        <f>ROUND('Anexo 6'!E22*'Anexo 2'!$D$10,0)</f>
        <v>0</v>
      </c>
      <c r="F22" s="31">
        <f>ROUND('Anexo 6'!F22*'Anexo 2'!$D$10,0)</f>
        <v>0</v>
      </c>
      <c r="G22" s="31">
        <f>ROUND('Anexo 6'!G22*'Anexo 2'!$D$10,0)</f>
        <v>0</v>
      </c>
      <c r="H22" s="31">
        <f>ROUND('Anexo 6'!H22*'Anexo 2'!$D$10,0)</f>
        <v>0</v>
      </c>
      <c r="I22" s="31">
        <f>ROUND('Anexo 6'!I22*'Anexo 2'!$D$10,0)</f>
        <v>0</v>
      </c>
      <c r="J22" s="31">
        <f>ROUND('Anexo 6'!J22*'Anexo 2'!$D$10,0)</f>
        <v>0</v>
      </c>
      <c r="K22" s="31">
        <f>ROUND('Anexo 6'!K22*'Anexo 2'!$D$10,0)</f>
        <v>0</v>
      </c>
      <c r="L22" s="31">
        <f>ROUND('Anexo 6'!L22*'Anexo 2'!$D$10,0)</f>
        <v>0</v>
      </c>
      <c r="M22" s="31">
        <f>ROUND('Anexo 6'!M22*'Anexo 2'!$D$10,0)</f>
        <v>0</v>
      </c>
      <c r="N22" s="31">
        <f>ROUND('Anexo 6'!N22*'Anexo 2'!$D$10,0)</f>
        <v>0</v>
      </c>
      <c r="O22" s="31">
        <f>ROUND('Anexo 6'!O22*'Anexo 2'!$D$10,0)</f>
        <v>0</v>
      </c>
      <c r="P22" s="31">
        <f>ROUND('Anexo 6'!P22*'Anexo 2'!$D$10,0)</f>
        <v>0</v>
      </c>
      <c r="Q22" s="31">
        <f>ROUND('Anexo 6'!Q22*'Anexo 2'!$D$10,0)</f>
        <v>0</v>
      </c>
      <c r="R22" s="31">
        <f>ROUND('Anexo 6'!R22*'Anexo 2'!$D$10,0)</f>
        <v>0</v>
      </c>
      <c r="S22" s="31">
        <f>ROUND('Anexo 6'!S22*'Anexo 2'!$D$10,0)</f>
        <v>0</v>
      </c>
      <c r="T22" s="31">
        <f>ROUND('Anexo 6'!T22*'Anexo 2'!$D$10,0)</f>
        <v>0</v>
      </c>
      <c r="U22" s="31">
        <f>ROUND('Anexo 6'!U22*'Anexo 2'!$D$10,0)</f>
        <v>0</v>
      </c>
      <c r="V22" s="31">
        <f>ROUND('Anexo 6'!V22*'Anexo 2'!$D$10,0)</f>
        <v>0</v>
      </c>
      <c r="W22" s="31">
        <f>ROUND('Anexo 6'!W22*'Anexo 2'!$D$10,0)</f>
        <v>0</v>
      </c>
      <c r="X22" s="31">
        <f>ROUND('Anexo 6'!X22*'Anexo 2'!$D$10,0)</f>
        <v>0</v>
      </c>
      <c r="Y22" s="31">
        <f>ROUND('Anexo 6'!Y22*'Anexo 2'!$D$10,0)</f>
        <v>0</v>
      </c>
      <c r="Z22" s="31">
        <f>ROUND('Anexo 6'!Z22*'Anexo 2'!$D$10,0)</f>
        <v>0</v>
      </c>
      <c r="AA22" s="36">
        <f t="shared" si="0"/>
        <v>0</v>
      </c>
      <c r="AB22" s="19">
        <v>4</v>
      </c>
      <c r="AC22" s="91"/>
      <c r="AD22" s="45"/>
    </row>
    <row r="23" spans="1:30" ht="15.75" thickBot="1" x14ac:dyDescent="0.3">
      <c r="A23" s="89"/>
      <c r="B23" s="20" t="s">
        <v>3</v>
      </c>
      <c r="C23" s="31">
        <f>ROUND('Anexo 6'!C23*'Anexo 2'!$D$10,0)</f>
        <v>0</v>
      </c>
      <c r="D23" s="31">
        <f>ROUND('Anexo 6'!D23*'Anexo 2'!$D$10,0)</f>
        <v>0</v>
      </c>
      <c r="E23" s="31">
        <f>ROUND('Anexo 6'!E23*'Anexo 2'!$D$10,0)</f>
        <v>0</v>
      </c>
      <c r="F23" s="31">
        <f>ROUND('Anexo 6'!F23*'Anexo 2'!$D$10,0)</f>
        <v>0</v>
      </c>
      <c r="G23" s="31">
        <f>ROUND('Anexo 6'!G23*'Anexo 2'!$D$10,0)</f>
        <v>0</v>
      </c>
      <c r="H23" s="31">
        <f>ROUND('Anexo 6'!H23*'Anexo 2'!$D$10,0)</f>
        <v>0</v>
      </c>
      <c r="I23" s="31">
        <f>ROUND('Anexo 6'!I23*'Anexo 2'!$D$10,0)</f>
        <v>0</v>
      </c>
      <c r="J23" s="31">
        <f>ROUND('Anexo 6'!J23*'Anexo 2'!$D$10,0)</f>
        <v>0</v>
      </c>
      <c r="K23" s="31">
        <f>ROUND('Anexo 6'!K23*'Anexo 2'!$D$10,0)</f>
        <v>0</v>
      </c>
      <c r="L23" s="31">
        <f>ROUND('Anexo 6'!L23*'Anexo 2'!$D$10,0)</f>
        <v>0</v>
      </c>
      <c r="M23" s="31">
        <f>ROUND('Anexo 6'!M23*'Anexo 2'!$D$10,0)</f>
        <v>0</v>
      </c>
      <c r="N23" s="31">
        <f>ROUND('Anexo 6'!N23*'Anexo 2'!$D$10,0)</f>
        <v>0</v>
      </c>
      <c r="O23" s="31">
        <f>ROUND('Anexo 6'!O23*'Anexo 2'!$D$10,0)</f>
        <v>0</v>
      </c>
      <c r="P23" s="31">
        <f>ROUND('Anexo 6'!P23*'Anexo 2'!$D$10,0)</f>
        <v>0</v>
      </c>
      <c r="Q23" s="31">
        <f>ROUND('Anexo 6'!Q23*'Anexo 2'!$D$10,0)</f>
        <v>0</v>
      </c>
      <c r="R23" s="31">
        <f>ROUND('Anexo 6'!R23*'Anexo 2'!$D$10,0)</f>
        <v>0</v>
      </c>
      <c r="S23" s="31">
        <f>ROUND('Anexo 6'!S23*'Anexo 2'!$D$10,0)</f>
        <v>0</v>
      </c>
      <c r="T23" s="31">
        <f>ROUND('Anexo 6'!T23*'Anexo 2'!$D$10,0)</f>
        <v>0</v>
      </c>
      <c r="U23" s="31">
        <f>ROUND('Anexo 6'!U23*'Anexo 2'!$D$10,0)</f>
        <v>0</v>
      </c>
      <c r="V23" s="31">
        <f>ROUND('Anexo 6'!V23*'Anexo 2'!$D$10,0)</f>
        <v>0</v>
      </c>
      <c r="W23" s="31">
        <f>ROUND('Anexo 6'!W23*'Anexo 2'!$D$10,0)</f>
        <v>0</v>
      </c>
      <c r="X23" s="31">
        <f>ROUND('Anexo 6'!X23*'Anexo 2'!$D$10,0)</f>
        <v>0</v>
      </c>
      <c r="Y23" s="31">
        <f>ROUND('Anexo 6'!Y23*'Anexo 2'!$D$10,0)</f>
        <v>0</v>
      </c>
      <c r="Z23" s="31">
        <f>ROUND('Anexo 6'!Z23*'Anexo 2'!$D$10,0)</f>
        <v>0</v>
      </c>
      <c r="AA23" s="39">
        <f t="shared" si="0"/>
        <v>0</v>
      </c>
      <c r="AB23" s="21">
        <v>6</v>
      </c>
      <c r="AC23" s="92"/>
      <c r="AD23" s="46"/>
    </row>
    <row r="24" spans="1:30" ht="15.75" thickBot="1" x14ac:dyDescent="0.3">
      <c r="A24" s="89">
        <v>46935</v>
      </c>
      <c r="B24" s="16" t="s">
        <v>5</v>
      </c>
      <c r="C24" s="31">
        <f>ROUND('Anexo 6'!C24*'Anexo 2'!$D$10,0)</f>
        <v>0</v>
      </c>
      <c r="D24" s="31">
        <f>ROUND('Anexo 6'!D24*'Anexo 2'!$D$10,0)</f>
        <v>0</v>
      </c>
      <c r="E24" s="31">
        <f>ROUND('Anexo 6'!E24*'Anexo 2'!$D$10,0)</f>
        <v>0</v>
      </c>
      <c r="F24" s="31">
        <f>ROUND('Anexo 6'!F24*'Anexo 2'!$D$10,0)</f>
        <v>0</v>
      </c>
      <c r="G24" s="31">
        <f>ROUND('Anexo 6'!G24*'Anexo 2'!$D$10,0)</f>
        <v>0</v>
      </c>
      <c r="H24" s="31">
        <f>ROUND('Anexo 6'!H24*'Anexo 2'!$D$10,0)</f>
        <v>0</v>
      </c>
      <c r="I24" s="31">
        <f>ROUND('Anexo 6'!I24*'Anexo 2'!$D$10,0)</f>
        <v>0</v>
      </c>
      <c r="J24" s="31">
        <f>ROUND('Anexo 6'!J24*'Anexo 2'!$D$10,0)</f>
        <v>0</v>
      </c>
      <c r="K24" s="31">
        <f>ROUND('Anexo 6'!K24*'Anexo 2'!$D$10,0)</f>
        <v>0</v>
      </c>
      <c r="L24" s="31">
        <f>ROUND('Anexo 6'!L24*'Anexo 2'!$D$10,0)</f>
        <v>0</v>
      </c>
      <c r="M24" s="31">
        <f>ROUND('Anexo 6'!M24*'Anexo 2'!$D$10,0)</f>
        <v>0</v>
      </c>
      <c r="N24" s="31">
        <f>ROUND('Anexo 6'!N24*'Anexo 2'!$D$10,0)</f>
        <v>0</v>
      </c>
      <c r="O24" s="31">
        <f>ROUND('Anexo 6'!O24*'Anexo 2'!$D$10,0)</f>
        <v>0</v>
      </c>
      <c r="P24" s="31">
        <f>ROUND('Anexo 6'!P24*'Anexo 2'!$D$10,0)</f>
        <v>0</v>
      </c>
      <c r="Q24" s="31">
        <f>ROUND('Anexo 6'!Q24*'Anexo 2'!$D$10,0)</f>
        <v>0</v>
      </c>
      <c r="R24" s="31">
        <f>ROUND('Anexo 6'!R24*'Anexo 2'!$D$10,0)</f>
        <v>0</v>
      </c>
      <c r="S24" s="31">
        <f>ROUND('Anexo 6'!S24*'Anexo 2'!$D$10,0)</f>
        <v>0</v>
      </c>
      <c r="T24" s="31">
        <f>ROUND('Anexo 6'!T24*'Anexo 2'!$D$10,0)</f>
        <v>0</v>
      </c>
      <c r="U24" s="31">
        <f>ROUND('Anexo 6'!U24*'Anexo 2'!$D$10,0)</f>
        <v>0</v>
      </c>
      <c r="V24" s="31">
        <f>ROUND('Anexo 6'!V24*'Anexo 2'!$D$10,0)</f>
        <v>0</v>
      </c>
      <c r="W24" s="31">
        <f>ROUND('Anexo 6'!W24*'Anexo 2'!$D$10,0)</f>
        <v>0</v>
      </c>
      <c r="X24" s="31">
        <f>ROUND('Anexo 6'!X24*'Anexo 2'!$D$10,0)</f>
        <v>0</v>
      </c>
      <c r="Y24" s="31">
        <f>ROUND('Anexo 6'!Y24*'Anexo 2'!$D$10,0)</f>
        <v>0</v>
      </c>
      <c r="Z24" s="31">
        <f>ROUND('Anexo 6'!Z24*'Anexo 2'!$D$10,0)</f>
        <v>0</v>
      </c>
      <c r="AA24" s="33">
        <f t="shared" si="0"/>
        <v>0</v>
      </c>
      <c r="AB24" s="17">
        <v>19</v>
      </c>
      <c r="AC24" s="90">
        <f>+AA24*AB24+AA25*AB25+AA26*AB26</f>
        <v>0</v>
      </c>
    </row>
    <row r="25" spans="1:30" ht="15.75" thickBot="1" x14ac:dyDescent="0.3">
      <c r="A25" s="89"/>
      <c r="B25" s="18" t="s">
        <v>4</v>
      </c>
      <c r="C25" s="31">
        <f>ROUND('Anexo 6'!C25*'Anexo 2'!$D$10,0)</f>
        <v>0</v>
      </c>
      <c r="D25" s="31">
        <f>ROUND('Anexo 6'!D25*'Anexo 2'!$D$10,0)</f>
        <v>0</v>
      </c>
      <c r="E25" s="31">
        <f>ROUND('Anexo 6'!E25*'Anexo 2'!$D$10,0)</f>
        <v>0</v>
      </c>
      <c r="F25" s="31">
        <f>ROUND('Anexo 6'!F25*'Anexo 2'!$D$10,0)</f>
        <v>0</v>
      </c>
      <c r="G25" s="31">
        <f>ROUND('Anexo 6'!G25*'Anexo 2'!$D$10,0)</f>
        <v>0</v>
      </c>
      <c r="H25" s="31">
        <f>ROUND('Anexo 6'!H25*'Anexo 2'!$D$10,0)</f>
        <v>0</v>
      </c>
      <c r="I25" s="31">
        <f>ROUND('Anexo 6'!I25*'Anexo 2'!$D$10,0)</f>
        <v>0</v>
      </c>
      <c r="J25" s="31">
        <f>ROUND('Anexo 6'!J25*'Anexo 2'!$D$10,0)</f>
        <v>0</v>
      </c>
      <c r="K25" s="31">
        <f>ROUND('Anexo 6'!K25*'Anexo 2'!$D$10,0)</f>
        <v>0</v>
      </c>
      <c r="L25" s="31">
        <f>ROUND('Anexo 6'!L25*'Anexo 2'!$D$10,0)</f>
        <v>0</v>
      </c>
      <c r="M25" s="31">
        <f>ROUND('Anexo 6'!M25*'Anexo 2'!$D$10,0)</f>
        <v>0</v>
      </c>
      <c r="N25" s="31">
        <f>ROUND('Anexo 6'!N25*'Anexo 2'!$D$10,0)</f>
        <v>0</v>
      </c>
      <c r="O25" s="31">
        <f>ROUND('Anexo 6'!O25*'Anexo 2'!$D$10,0)</f>
        <v>0</v>
      </c>
      <c r="P25" s="31">
        <f>ROUND('Anexo 6'!P25*'Anexo 2'!$D$10,0)</f>
        <v>0</v>
      </c>
      <c r="Q25" s="31">
        <f>ROUND('Anexo 6'!Q25*'Anexo 2'!$D$10,0)</f>
        <v>0</v>
      </c>
      <c r="R25" s="31">
        <f>ROUND('Anexo 6'!R25*'Anexo 2'!$D$10,0)</f>
        <v>0</v>
      </c>
      <c r="S25" s="31">
        <f>ROUND('Anexo 6'!S25*'Anexo 2'!$D$10,0)</f>
        <v>0</v>
      </c>
      <c r="T25" s="31">
        <f>ROUND('Anexo 6'!T25*'Anexo 2'!$D$10,0)</f>
        <v>0</v>
      </c>
      <c r="U25" s="31">
        <f>ROUND('Anexo 6'!U25*'Anexo 2'!$D$10,0)</f>
        <v>0</v>
      </c>
      <c r="V25" s="31">
        <f>ROUND('Anexo 6'!V25*'Anexo 2'!$D$10,0)</f>
        <v>0</v>
      </c>
      <c r="W25" s="31">
        <f>ROUND('Anexo 6'!W25*'Anexo 2'!$D$10,0)</f>
        <v>0</v>
      </c>
      <c r="X25" s="31">
        <f>ROUND('Anexo 6'!X25*'Anexo 2'!$D$10,0)</f>
        <v>0</v>
      </c>
      <c r="Y25" s="31">
        <f>ROUND('Anexo 6'!Y25*'Anexo 2'!$D$10,0)</f>
        <v>0</v>
      </c>
      <c r="Z25" s="31">
        <f>ROUND('Anexo 6'!Z25*'Anexo 2'!$D$10,0)</f>
        <v>0</v>
      </c>
      <c r="AA25" s="36">
        <f t="shared" si="0"/>
        <v>0</v>
      </c>
      <c r="AB25" s="19">
        <v>5</v>
      </c>
      <c r="AC25" s="91"/>
      <c r="AD25" s="45"/>
    </row>
    <row r="26" spans="1:30" ht="15.75" thickBot="1" x14ac:dyDescent="0.3">
      <c r="A26" s="89"/>
      <c r="B26" s="20" t="s">
        <v>3</v>
      </c>
      <c r="C26" s="31">
        <f>ROUND('Anexo 6'!C26*'Anexo 2'!$D$10,0)</f>
        <v>0</v>
      </c>
      <c r="D26" s="31">
        <f>ROUND('Anexo 6'!D26*'Anexo 2'!$D$10,0)</f>
        <v>0</v>
      </c>
      <c r="E26" s="31">
        <f>ROUND('Anexo 6'!E26*'Anexo 2'!$D$10,0)</f>
        <v>0</v>
      </c>
      <c r="F26" s="31">
        <f>ROUND('Anexo 6'!F26*'Anexo 2'!$D$10,0)</f>
        <v>0</v>
      </c>
      <c r="G26" s="31">
        <f>ROUND('Anexo 6'!G26*'Anexo 2'!$D$10,0)</f>
        <v>0</v>
      </c>
      <c r="H26" s="31">
        <f>ROUND('Anexo 6'!H26*'Anexo 2'!$D$10,0)</f>
        <v>0</v>
      </c>
      <c r="I26" s="31">
        <f>ROUND('Anexo 6'!I26*'Anexo 2'!$D$10,0)</f>
        <v>0</v>
      </c>
      <c r="J26" s="31">
        <f>ROUND('Anexo 6'!J26*'Anexo 2'!$D$10,0)</f>
        <v>0</v>
      </c>
      <c r="K26" s="31">
        <f>ROUND('Anexo 6'!K26*'Anexo 2'!$D$10,0)</f>
        <v>0</v>
      </c>
      <c r="L26" s="31">
        <f>ROUND('Anexo 6'!L26*'Anexo 2'!$D$10,0)</f>
        <v>0</v>
      </c>
      <c r="M26" s="31">
        <f>ROUND('Anexo 6'!M26*'Anexo 2'!$D$10,0)</f>
        <v>0</v>
      </c>
      <c r="N26" s="31">
        <f>ROUND('Anexo 6'!N26*'Anexo 2'!$D$10,0)</f>
        <v>0</v>
      </c>
      <c r="O26" s="31">
        <f>ROUND('Anexo 6'!O26*'Anexo 2'!$D$10,0)</f>
        <v>0</v>
      </c>
      <c r="P26" s="31">
        <f>ROUND('Anexo 6'!P26*'Anexo 2'!$D$10,0)</f>
        <v>0</v>
      </c>
      <c r="Q26" s="31">
        <f>ROUND('Anexo 6'!Q26*'Anexo 2'!$D$10,0)</f>
        <v>0</v>
      </c>
      <c r="R26" s="31">
        <f>ROUND('Anexo 6'!R26*'Anexo 2'!$D$10,0)</f>
        <v>0</v>
      </c>
      <c r="S26" s="31">
        <f>ROUND('Anexo 6'!S26*'Anexo 2'!$D$10,0)</f>
        <v>0</v>
      </c>
      <c r="T26" s="31">
        <f>ROUND('Anexo 6'!T26*'Anexo 2'!$D$10,0)</f>
        <v>0</v>
      </c>
      <c r="U26" s="31">
        <f>ROUND('Anexo 6'!U26*'Anexo 2'!$D$10,0)</f>
        <v>0</v>
      </c>
      <c r="V26" s="31">
        <f>ROUND('Anexo 6'!V26*'Anexo 2'!$D$10,0)</f>
        <v>0</v>
      </c>
      <c r="W26" s="31">
        <f>ROUND('Anexo 6'!W26*'Anexo 2'!$D$10,0)</f>
        <v>0</v>
      </c>
      <c r="X26" s="31">
        <f>ROUND('Anexo 6'!X26*'Anexo 2'!$D$10,0)</f>
        <v>0</v>
      </c>
      <c r="Y26" s="31">
        <f>ROUND('Anexo 6'!Y26*'Anexo 2'!$D$10,0)</f>
        <v>0</v>
      </c>
      <c r="Z26" s="31">
        <f>ROUND('Anexo 6'!Z26*'Anexo 2'!$D$10,0)</f>
        <v>0</v>
      </c>
      <c r="AA26" s="39">
        <f t="shared" si="0"/>
        <v>0</v>
      </c>
      <c r="AB26" s="21">
        <v>7</v>
      </c>
      <c r="AC26" s="92"/>
      <c r="AD26" s="46"/>
    </row>
    <row r="27" spans="1:30" ht="15.75" thickBot="1" x14ac:dyDescent="0.3">
      <c r="A27" s="89">
        <v>46966</v>
      </c>
      <c r="B27" s="16" t="s">
        <v>5</v>
      </c>
      <c r="C27" s="31">
        <f>ROUND('Anexo 6'!C27*'Anexo 2'!$D$10,0)</f>
        <v>0</v>
      </c>
      <c r="D27" s="31">
        <f>ROUND('Anexo 6'!D27*'Anexo 2'!$D$10,0)</f>
        <v>0</v>
      </c>
      <c r="E27" s="31">
        <f>ROUND('Anexo 6'!E27*'Anexo 2'!$D$10,0)</f>
        <v>0</v>
      </c>
      <c r="F27" s="31">
        <f>ROUND('Anexo 6'!F27*'Anexo 2'!$D$10,0)</f>
        <v>0</v>
      </c>
      <c r="G27" s="31">
        <f>ROUND('Anexo 6'!G27*'Anexo 2'!$D$10,0)</f>
        <v>0</v>
      </c>
      <c r="H27" s="31">
        <f>ROUND('Anexo 6'!H27*'Anexo 2'!$D$10,0)</f>
        <v>0</v>
      </c>
      <c r="I27" s="31">
        <f>ROUND('Anexo 6'!I27*'Anexo 2'!$D$10,0)</f>
        <v>0</v>
      </c>
      <c r="J27" s="31">
        <f>ROUND('Anexo 6'!J27*'Anexo 2'!$D$10,0)</f>
        <v>0</v>
      </c>
      <c r="K27" s="31">
        <f>ROUND('Anexo 6'!K27*'Anexo 2'!$D$10,0)</f>
        <v>0</v>
      </c>
      <c r="L27" s="31">
        <f>ROUND('Anexo 6'!L27*'Anexo 2'!$D$10,0)</f>
        <v>0</v>
      </c>
      <c r="M27" s="31">
        <f>ROUND('Anexo 6'!M27*'Anexo 2'!$D$10,0)</f>
        <v>0</v>
      </c>
      <c r="N27" s="31">
        <f>ROUND('Anexo 6'!N27*'Anexo 2'!$D$10,0)</f>
        <v>0</v>
      </c>
      <c r="O27" s="31">
        <f>ROUND('Anexo 6'!O27*'Anexo 2'!$D$10,0)</f>
        <v>0</v>
      </c>
      <c r="P27" s="31">
        <f>ROUND('Anexo 6'!P27*'Anexo 2'!$D$10,0)</f>
        <v>0</v>
      </c>
      <c r="Q27" s="31">
        <f>ROUND('Anexo 6'!Q27*'Anexo 2'!$D$10,0)</f>
        <v>0</v>
      </c>
      <c r="R27" s="31">
        <f>ROUND('Anexo 6'!R27*'Anexo 2'!$D$10,0)</f>
        <v>0</v>
      </c>
      <c r="S27" s="31">
        <f>ROUND('Anexo 6'!S27*'Anexo 2'!$D$10,0)</f>
        <v>0</v>
      </c>
      <c r="T27" s="31">
        <f>ROUND('Anexo 6'!T27*'Anexo 2'!$D$10,0)</f>
        <v>0</v>
      </c>
      <c r="U27" s="31">
        <f>ROUND('Anexo 6'!U27*'Anexo 2'!$D$10,0)</f>
        <v>0</v>
      </c>
      <c r="V27" s="31">
        <f>ROUND('Anexo 6'!V27*'Anexo 2'!$D$10,0)</f>
        <v>0</v>
      </c>
      <c r="W27" s="31">
        <f>ROUND('Anexo 6'!W27*'Anexo 2'!$D$10,0)</f>
        <v>0</v>
      </c>
      <c r="X27" s="31">
        <f>ROUND('Anexo 6'!X27*'Anexo 2'!$D$10,0)</f>
        <v>0</v>
      </c>
      <c r="Y27" s="31">
        <f>ROUND('Anexo 6'!Y27*'Anexo 2'!$D$10,0)</f>
        <v>0</v>
      </c>
      <c r="Z27" s="31">
        <f>ROUND('Anexo 6'!Z27*'Anexo 2'!$D$10,0)</f>
        <v>0</v>
      </c>
      <c r="AA27" s="33">
        <f t="shared" si="0"/>
        <v>0</v>
      </c>
      <c r="AB27" s="17">
        <v>21</v>
      </c>
      <c r="AC27" s="90">
        <f>+AA27*AB27+AA28*AB28+AA29*AB29</f>
        <v>0</v>
      </c>
    </row>
    <row r="28" spans="1:30" ht="15.75" thickBot="1" x14ac:dyDescent="0.3">
      <c r="A28" s="89"/>
      <c r="B28" s="18" t="s">
        <v>4</v>
      </c>
      <c r="C28" s="31">
        <f>ROUND('Anexo 6'!C28*'Anexo 2'!$D$10,0)</f>
        <v>0</v>
      </c>
      <c r="D28" s="31">
        <f>ROUND('Anexo 6'!D28*'Anexo 2'!$D$10,0)</f>
        <v>0</v>
      </c>
      <c r="E28" s="31">
        <f>ROUND('Anexo 6'!E28*'Anexo 2'!$D$10,0)</f>
        <v>0</v>
      </c>
      <c r="F28" s="31">
        <f>ROUND('Anexo 6'!F28*'Anexo 2'!$D$10,0)</f>
        <v>0</v>
      </c>
      <c r="G28" s="31">
        <f>ROUND('Anexo 6'!G28*'Anexo 2'!$D$10,0)</f>
        <v>0</v>
      </c>
      <c r="H28" s="31">
        <f>ROUND('Anexo 6'!H28*'Anexo 2'!$D$10,0)</f>
        <v>0</v>
      </c>
      <c r="I28" s="31">
        <f>ROUND('Anexo 6'!I28*'Anexo 2'!$D$10,0)</f>
        <v>0</v>
      </c>
      <c r="J28" s="31">
        <f>ROUND('Anexo 6'!J28*'Anexo 2'!$D$10,0)</f>
        <v>0</v>
      </c>
      <c r="K28" s="31">
        <f>ROUND('Anexo 6'!K28*'Anexo 2'!$D$10,0)</f>
        <v>0</v>
      </c>
      <c r="L28" s="31">
        <f>ROUND('Anexo 6'!L28*'Anexo 2'!$D$10,0)</f>
        <v>0</v>
      </c>
      <c r="M28" s="31">
        <f>ROUND('Anexo 6'!M28*'Anexo 2'!$D$10,0)</f>
        <v>0</v>
      </c>
      <c r="N28" s="31">
        <f>ROUND('Anexo 6'!N28*'Anexo 2'!$D$10,0)</f>
        <v>0</v>
      </c>
      <c r="O28" s="31">
        <f>ROUND('Anexo 6'!O28*'Anexo 2'!$D$10,0)</f>
        <v>0</v>
      </c>
      <c r="P28" s="31">
        <f>ROUND('Anexo 6'!P28*'Anexo 2'!$D$10,0)</f>
        <v>0</v>
      </c>
      <c r="Q28" s="31">
        <f>ROUND('Anexo 6'!Q28*'Anexo 2'!$D$10,0)</f>
        <v>0</v>
      </c>
      <c r="R28" s="31">
        <f>ROUND('Anexo 6'!R28*'Anexo 2'!$D$10,0)</f>
        <v>0</v>
      </c>
      <c r="S28" s="31">
        <f>ROUND('Anexo 6'!S28*'Anexo 2'!$D$10,0)</f>
        <v>0</v>
      </c>
      <c r="T28" s="31">
        <f>ROUND('Anexo 6'!T28*'Anexo 2'!$D$10,0)</f>
        <v>0</v>
      </c>
      <c r="U28" s="31">
        <f>ROUND('Anexo 6'!U28*'Anexo 2'!$D$10,0)</f>
        <v>0</v>
      </c>
      <c r="V28" s="31">
        <f>ROUND('Anexo 6'!V28*'Anexo 2'!$D$10,0)</f>
        <v>0</v>
      </c>
      <c r="W28" s="31">
        <f>ROUND('Anexo 6'!W28*'Anexo 2'!$D$10,0)</f>
        <v>0</v>
      </c>
      <c r="X28" s="31">
        <f>ROUND('Anexo 6'!X28*'Anexo 2'!$D$10,0)</f>
        <v>0</v>
      </c>
      <c r="Y28" s="31">
        <f>ROUND('Anexo 6'!Y28*'Anexo 2'!$D$10,0)</f>
        <v>0</v>
      </c>
      <c r="Z28" s="31">
        <f>ROUND('Anexo 6'!Z28*'Anexo 2'!$D$10,0)</f>
        <v>0</v>
      </c>
      <c r="AA28" s="36">
        <f t="shared" si="0"/>
        <v>0</v>
      </c>
      <c r="AB28" s="19">
        <v>4</v>
      </c>
      <c r="AC28" s="91"/>
      <c r="AD28" s="45"/>
    </row>
    <row r="29" spans="1:30" ht="15.75" thickBot="1" x14ac:dyDescent="0.3">
      <c r="A29" s="89"/>
      <c r="B29" s="20" t="s">
        <v>3</v>
      </c>
      <c r="C29" s="31">
        <f>ROUND('Anexo 6'!C29*'Anexo 2'!$D$10,0)</f>
        <v>0</v>
      </c>
      <c r="D29" s="31">
        <f>ROUND('Anexo 6'!D29*'Anexo 2'!$D$10,0)</f>
        <v>0</v>
      </c>
      <c r="E29" s="31">
        <f>ROUND('Anexo 6'!E29*'Anexo 2'!$D$10,0)</f>
        <v>0</v>
      </c>
      <c r="F29" s="31">
        <f>ROUND('Anexo 6'!F29*'Anexo 2'!$D$10,0)</f>
        <v>0</v>
      </c>
      <c r="G29" s="31">
        <f>ROUND('Anexo 6'!G29*'Anexo 2'!$D$10,0)</f>
        <v>0</v>
      </c>
      <c r="H29" s="31">
        <f>ROUND('Anexo 6'!H29*'Anexo 2'!$D$10,0)</f>
        <v>0</v>
      </c>
      <c r="I29" s="31">
        <f>ROUND('Anexo 6'!I29*'Anexo 2'!$D$10,0)</f>
        <v>0</v>
      </c>
      <c r="J29" s="31">
        <f>ROUND('Anexo 6'!J29*'Anexo 2'!$D$10,0)</f>
        <v>0</v>
      </c>
      <c r="K29" s="31">
        <f>ROUND('Anexo 6'!K29*'Anexo 2'!$D$10,0)</f>
        <v>0</v>
      </c>
      <c r="L29" s="31">
        <f>ROUND('Anexo 6'!L29*'Anexo 2'!$D$10,0)</f>
        <v>0</v>
      </c>
      <c r="M29" s="31">
        <f>ROUND('Anexo 6'!M29*'Anexo 2'!$D$10,0)</f>
        <v>0</v>
      </c>
      <c r="N29" s="31">
        <f>ROUND('Anexo 6'!N29*'Anexo 2'!$D$10,0)</f>
        <v>0</v>
      </c>
      <c r="O29" s="31">
        <f>ROUND('Anexo 6'!O29*'Anexo 2'!$D$10,0)</f>
        <v>0</v>
      </c>
      <c r="P29" s="31">
        <f>ROUND('Anexo 6'!P29*'Anexo 2'!$D$10,0)</f>
        <v>0</v>
      </c>
      <c r="Q29" s="31">
        <f>ROUND('Anexo 6'!Q29*'Anexo 2'!$D$10,0)</f>
        <v>0</v>
      </c>
      <c r="R29" s="31">
        <f>ROUND('Anexo 6'!R29*'Anexo 2'!$D$10,0)</f>
        <v>0</v>
      </c>
      <c r="S29" s="31">
        <f>ROUND('Anexo 6'!S29*'Anexo 2'!$D$10,0)</f>
        <v>0</v>
      </c>
      <c r="T29" s="31">
        <f>ROUND('Anexo 6'!T29*'Anexo 2'!$D$10,0)</f>
        <v>0</v>
      </c>
      <c r="U29" s="31">
        <f>ROUND('Anexo 6'!U29*'Anexo 2'!$D$10,0)</f>
        <v>0</v>
      </c>
      <c r="V29" s="31">
        <f>ROUND('Anexo 6'!V29*'Anexo 2'!$D$10,0)</f>
        <v>0</v>
      </c>
      <c r="W29" s="31">
        <f>ROUND('Anexo 6'!W29*'Anexo 2'!$D$10,0)</f>
        <v>0</v>
      </c>
      <c r="X29" s="31">
        <f>ROUND('Anexo 6'!X29*'Anexo 2'!$D$10,0)</f>
        <v>0</v>
      </c>
      <c r="Y29" s="31">
        <f>ROUND('Anexo 6'!Y29*'Anexo 2'!$D$10,0)</f>
        <v>0</v>
      </c>
      <c r="Z29" s="31">
        <f>ROUND('Anexo 6'!Z29*'Anexo 2'!$D$10,0)</f>
        <v>0</v>
      </c>
      <c r="AA29" s="39">
        <f t="shared" si="0"/>
        <v>0</v>
      </c>
      <c r="AB29" s="21">
        <v>6</v>
      </c>
      <c r="AC29" s="92"/>
      <c r="AD29" s="47"/>
    </row>
    <row r="30" spans="1:30" ht="15.75" thickBot="1" x14ac:dyDescent="0.3">
      <c r="A30" s="89">
        <v>46997</v>
      </c>
      <c r="B30" s="16" t="s">
        <v>5</v>
      </c>
      <c r="C30" s="31">
        <f>ROUND('Anexo 6'!C30*'Anexo 2'!$D$10,0)</f>
        <v>0</v>
      </c>
      <c r="D30" s="31">
        <f>ROUND('Anexo 6'!D30*'Anexo 2'!$D$10,0)</f>
        <v>0</v>
      </c>
      <c r="E30" s="31">
        <f>ROUND('Anexo 6'!E30*'Anexo 2'!$D$10,0)</f>
        <v>0</v>
      </c>
      <c r="F30" s="31">
        <f>ROUND('Anexo 6'!F30*'Anexo 2'!$D$10,0)</f>
        <v>0</v>
      </c>
      <c r="G30" s="31">
        <f>ROUND('Anexo 6'!G30*'Anexo 2'!$D$10,0)</f>
        <v>0</v>
      </c>
      <c r="H30" s="31">
        <f>ROUND('Anexo 6'!H30*'Anexo 2'!$D$10,0)</f>
        <v>0</v>
      </c>
      <c r="I30" s="31">
        <f>ROUND('Anexo 6'!I30*'Anexo 2'!$D$10,0)</f>
        <v>0</v>
      </c>
      <c r="J30" s="31">
        <f>ROUND('Anexo 6'!J30*'Anexo 2'!$D$10,0)</f>
        <v>0</v>
      </c>
      <c r="K30" s="31">
        <f>ROUND('Anexo 6'!K30*'Anexo 2'!$D$10,0)</f>
        <v>0</v>
      </c>
      <c r="L30" s="31">
        <f>ROUND('Anexo 6'!L30*'Anexo 2'!$D$10,0)</f>
        <v>0</v>
      </c>
      <c r="M30" s="31">
        <f>ROUND('Anexo 6'!M30*'Anexo 2'!$D$10,0)</f>
        <v>0</v>
      </c>
      <c r="N30" s="31">
        <f>ROUND('Anexo 6'!N30*'Anexo 2'!$D$10,0)</f>
        <v>0</v>
      </c>
      <c r="O30" s="31">
        <f>ROUND('Anexo 6'!O30*'Anexo 2'!$D$10,0)</f>
        <v>0</v>
      </c>
      <c r="P30" s="31">
        <f>ROUND('Anexo 6'!P30*'Anexo 2'!$D$10,0)</f>
        <v>0</v>
      </c>
      <c r="Q30" s="31">
        <f>ROUND('Anexo 6'!Q30*'Anexo 2'!$D$10,0)</f>
        <v>0</v>
      </c>
      <c r="R30" s="31">
        <f>ROUND('Anexo 6'!R30*'Anexo 2'!$D$10,0)</f>
        <v>0</v>
      </c>
      <c r="S30" s="31">
        <f>ROUND('Anexo 6'!S30*'Anexo 2'!$D$10,0)</f>
        <v>0</v>
      </c>
      <c r="T30" s="31">
        <f>ROUND('Anexo 6'!T30*'Anexo 2'!$D$10,0)</f>
        <v>0</v>
      </c>
      <c r="U30" s="31">
        <f>ROUND('Anexo 6'!U30*'Anexo 2'!$D$10,0)</f>
        <v>0</v>
      </c>
      <c r="V30" s="31">
        <f>ROUND('Anexo 6'!V30*'Anexo 2'!$D$10,0)</f>
        <v>0</v>
      </c>
      <c r="W30" s="31">
        <f>ROUND('Anexo 6'!W30*'Anexo 2'!$D$10,0)</f>
        <v>0</v>
      </c>
      <c r="X30" s="31">
        <f>ROUND('Anexo 6'!X30*'Anexo 2'!$D$10,0)</f>
        <v>0</v>
      </c>
      <c r="Y30" s="31">
        <f>ROUND('Anexo 6'!Y30*'Anexo 2'!$D$10,0)</f>
        <v>0</v>
      </c>
      <c r="Z30" s="31">
        <f>ROUND('Anexo 6'!Z30*'Anexo 2'!$D$10,0)</f>
        <v>0</v>
      </c>
      <c r="AA30" s="33">
        <f t="shared" si="0"/>
        <v>0</v>
      </c>
      <c r="AB30" s="17">
        <v>21</v>
      </c>
      <c r="AC30" s="90">
        <f>+AA30*AB30+AA31*AB31+AA32*AB32</f>
        <v>0</v>
      </c>
    </row>
    <row r="31" spans="1:30" ht="15.75" thickBot="1" x14ac:dyDescent="0.3">
      <c r="A31" s="89"/>
      <c r="B31" s="18" t="s">
        <v>4</v>
      </c>
      <c r="C31" s="31">
        <f>ROUND('Anexo 6'!C31*'Anexo 2'!$D$10,0)</f>
        <v>0</v>
      </c>
      <c r="D31" s="31">
        <f>ROUND('Anexo 6'!D31*'Anexo 2'!$D$10,0)</f>
        <v>0</v>
      </c>
      <c r="E31" s="31">
        <f>ROUND('Anexo 6'!E31*'Anexo 2'!$D$10,0)</f>
        <v>0</v>
      </c>
      <c r="F31" s="31">
        <f>ROUND('Anexo 6'!F31*'Anexo 2'!$D$10,0)</f>
        <v>0</v>
      </c>
      <c r="G31" s="31">
        <f>ROUND('Anexo 6'!G31*'Anexo 2'!$D$10,0)</f>
        <v>0</v>
      </c>
      <c r="H31" s="31">
        <f>ROUND('Anexo 6'!H31*'Anexo 2'!$D$10,0)</f>
        <v>0</v>
      </c>
      <c r="I31" s="31">
        <f>ROUND('Anexo 6'!I31*'Anexo 2'!$D$10,0)</f>
        <v>0</v>
      </c>
      <c r="J31" s="31">
        <f>ROUND('Anexo 6'!J31*'Anexo 2'!$D$10,0)</f>
        <v>0</v>
      </c>
      <c r="K31" s="31">
        <f>ROUND('Anexo 6'!K31*'Anexo 2'!$D$10,0)</f>
        <v>0</v>
      </c>
      <c r="L31" s="31">
        <f>ROUND('Anexo 6'!L31*'Anexo 2'!$D$10,0)</f>
        <v>0</v>
      </c>
      <c r="M31" s="31">
        <f>ROUND('Anexo 6'!M31*'Anexo 2'!$D$10,0)</f>
        <v>0</v>
      </c>
      <c r="N31" s="31">
        <f>ROUND('Anexo 6'!N31*'Anexo 2'!$D$10,0)</f>
        <v>0</v>
      </c>
      <c r="O31" s="31">
        <f>ROUND('Anexo 6'!O31*'Anexo 2'!$D$10,0)</f>
        <v>0</v>
      </c>
      <c r="P31" s="31">
        <f>ROUND('Anexo 6'!P31*'Anexo 2'!$D$10,0)</f>
        <v>0</v>
      </c>
      <c r="Q31" s="31">
        <f>ROUND('Anexo 6'!Q31*'Anexo 2'!$D$10,0)</f>
        <v>0</v>
      </c>
      <c r="R31" s="31">
        <f>ROUND('Anexo 6'!R31*'Anexo 2'!$D$10,0)</f>
        <v>0</v>
      </c>
      <c r="S31" s="31">
        <f>ROUND('Anexo 6'!S31*'Anexo 2'!$D$10,0)</f>
        <v>0</v>
      </c>
      <c r="T31" s="31">
        <f>ROUND('Anexo 6'!T31*'Anexo 2'!$D$10,0)</f>
        <v>0</v>
      </c>
      <c r="U31" s="31">
        <f>ROUND('Anexo 6'!U31*'Anexo 2'!$D$10,0)</f>
        <v>0</v>
      </c>
      <c r="V31" s="31">
        <f>ROUND('Anexo 6'!V31*'Anexo 2'!$D$10,0)</f>
        <v>0</v>
      </c>
      <c r="W31" s="31">
        <f>ROUND('Anexo 6'!W31*'Anexo 2'!$D$10,0)</f>
        <v>0</v>
      </c>
      <c r="X31" s="31">
        <f>ROUND('Anexo 6'!X31*'Anexo 2'!$D$10,0)</f>
        <v>0</v>
      </c>
      <c r="Y31" s="31">
        <f>ROUND('Anexo 6'!Y31*'Anexo 2'!$D$10,0)</f>
        <v>0</v>
      </c>
      <c r="Z31" s="31">
        <f>ROUND('Anexo 6'!Z31*'Anexo 2'!$D$10,0)</f>
        <v>0</v>
      </c>
      <c r="AA31" s="36">
        <f t="shared" si="0"/>
        <v>0</v>
      </c>
      <c r="AB31" s="19">
        <v>5</v>
      </c>
      <c r="AC31" s="91"/>
      <c r="AD31" s="45"/>
    </row>
    <row r="32" spans="1:30" ht="15.75" thickBot="1" x14ac:dyDescent="0.3">
      <c r="A32" s="89"/>
      <c r="B32" s="20" t="s">
        <v>3</v>
      </c>
      <c r="C32" s="31">
        <f>ROUND('Anexo 6'!C32*'Anexo 2'!$D$10,0)</f>
        <v>0</v>
      </c>
      <c r="D32" s="31">
        <f>ROUND('Anexo 6'!D32*'Anexo 2'!$D$10,0)</f>
        <v>0</v>
      </c>
      <c r="E32" s="31">
        <f>ROUND('Anexo 6'!E32*'Anexo 2'!$D$10,0)</f>
        <v>0</v>
      </c>
      <c r="F32" s="31">
        <f>ROUND('Anexo 6'!F32*'Anexo 2'!$D$10,0)</f>
        <v>0</v>
      </c>
      <c r="G32" s="31">
        <f>ROUND('Anexo 6'!G32*'Anexo 2'!$D$10,0)</f>
        <v>0</v>
      </c>
      <c r="H32" s="31">
        <f>ROUND('Anexo 6'!H32*'Anexo 2'!$D$10,0)</f>
        <v>0</v>
      </c>
      <c r="I32" s="31">
        <f>ROUND('Anexo 6'!I32*'Anexo 2'!$D$10,0)</f>
        <v>0</v>
      </c>
      <c r="J32" s="31">
        <f>ROUND('Anexo 6'!J32*'Anexo 2'!$D$10,0)</f>
        <v>0</v>
      </c>
      <c r="K32" s="31">
        <f>ROUND('Anexo 6'!K32*'Anexo 2'!$D$10,0)</f>
        <v>0</v>
      </c>
      <c r="L32" s="31">
        <f>ROUND('Anexo 6'!L32*'Anexo 2'!$D$10,0)</f>
        <v>0</v>
      </c>
      <c r="M32" s="31">
        <f>ROUND('Anexo 6'!M32*'Anexo 2'!$D$10,0)</f>
        <v>0</v>
      </c>
      <c r="N32" s="31">
        <f>ROUND('Anexo 6'!N32*'Anexo 2'!$D$10,0)</f>
        <v>0</v>
      </c>
      <c r="O32" s="31">
        <f>ROUND('Anexo 6'!O32*'Anexo 2'!$D$10,0)</f>
        <v>0</v>
      </c>
      <c r="P32" s="31">
        <f>ROUND('Anexo 6'!P32*'Anexo 2'!$D$10,0)</f>
        <v>0</v>
      </c>
      <c r="Q32" s="31">
        <f>ROUND('Anexo 6'!Q32*'Anexo 2'!$D$10,0)</f>
        <v>0</v>
      </c>
      <c r="R32" s="31">
        <f>ROUND('Anexo 6'!R32*'Anexo 2'!$D$10,0)</f>
        <v>0</v>
      </c>
      <c r="S32" s="31">
        <f>ROUND('Anexo 6'!S32*'Anexo 2'!$D$10,0)</f>
        <v>0</v>
      </c>
      <c r="T32" s="31">
        <f>ROUND('Anexo 6'!T32*'Anexo 2'!$D$10,0)</f>
        <v>0</v>
      </c>
      <c r="U32" s="31">
        <f>ROUND('Anexo 6'!U32*'Anexo 2'!$D$10,0)</f>
        <v>0</v>
      </c>
      <c r="V32" s="31">
        <f>ROUND('Anexo 6'!V32*'Anexo 2'!$D$10,0)</f>
        <v>0</v>
      </c>
      <c r="W32" s="31">
        <f>ROUND('Anexo 6'!W32*'Anexo 2'!$D$10,0)</f>
        <v>0</v>
      </c>
      <c r="X32" s="31">
        <f>ROUND('Anexo 6'!X32*'Anexo 2'!$D$10,0)</f>
        <v>0</v>
      </c>
      <c r="Y32" s="31">
        <f>ROUND('Anexo 6'!Y32*'Anexo 2'!$D$10,0)</f>
        <v>0</v>
      </c>
      <c r="Z32" s="31">
        <f>ROUND('Anexo 6'!Z32*'Anexo 2'!$D$10,0)</f>
        <v>0</v>
      </c>
      <c r="AA32" s="39">
        <f t="shared" si="0"/>
        <v>0</v>
      </c>
      <c r="AB32" s="21">
        <v>4</v>
      </c>
      <c r="AC32" s="92"/>
      <c r="AD32" s="46"/>
    </row>
    <row r="33" spans="1:30" ht="15.75" thickBot="1" x14ac:dyDescent="0.3">
      <c r="A33" s="89">
        <v>47027</v>
      </c>
      <c r="B33" s="16" t="s">
        <v>5</v>
      </c>
      <c r="C33" s="31">
        <f>ROUND('Anexo 6'!C33*'Anexo 2'!$D$10,0)</f>
        <v>0</v>
      </c>
      <c r="D33" s="31">
        <f>ROUND('Anexo 6'!D33*'Anexo 2'!$D$10,0)</f>
        <v>0</v>
      </c>
      <c r="E33" s="31">
        <f>ROUND('Anexo 6'!E33*'Anexo 2'!$D$10,0)</f>
        <v>0</v>
      </c>
      <c r="F33" s="31">
        <f>ROUND('Anexo 6'!F33*'Anexo 2'!$D$10,0)</f>
        <v>0</v>
      </c>
      <c r="G33" s="31">
        <f>ROUND('Anexo 6'!G33*'Anexo 2'!$D$10,0)</f>
        <v>0</v>
      </c>
      <c r="H33" s="31">
        <f>ROUND('Anexo 6'!H33*'Anexo 2'!$D$10,0)</f>
        <v>0</v>
      </c>
      <c r="I33" s="31">
        <f>ROUND('Anexo 6'!I33*'Anexo 2'!$D$10,0)</f>
        <v>0</v>
      </c>
      <c r="J33" s="31">
        <f>ROUND('Anexo 6'!J33*'Anexo 2'!$D$10,0)</f>
        <v>0</v>
      </c>
      <c r="K33" s="31">
        <f>ROUND('Anexo 6'!K33*'Anexo 2'!$D$10,0)</f>
        <v>0</v>
      </c>
      <c r="L33" s="31">
        <f>ROUND('Anexo 6'!L33*'Anexo 2'!$D$10,0)</f>
        <v>0</v>
      </c>
      <c r="M33" s="31">
        <f>ROUND('Anexo 6'!M33*'Anexo 2'!$D$10,0)</f>
        <v>0</v>
      </c>
      <c r="N33" s="31">
        <f>ROUND('Anexo 6'!N33*'Anexo 2'!$D$10,0)</f>
        <v>0</v>
      </c>
      <c r="O33" s="31">
        <f>ROUND('Anexo 6'!O33*'Anexo 2'!$D$10,0)</f>
        <v>0</v>
      </c>
      <c r="P33" s="31">
        <f>ROUND('Anexo 6'!P33*'Anexo 2'!$D$10,0)</f>
        <v>0</v>
      </c>
      <c r="Q33" s="31">
        <f>ROUND('Anexo 6'!Q33*'Anexo 2'!$D$10,0)</f>
        <v>0</v>
      </c>
      <c r="R33" s="31">
        <f>ROUND('Anexo 6'!R33*'Anexo 2'!$D$10,0)</f>
        <v>0</v>
      </c>
      <c r="S33" s="31">
        <f>ROUND('Anexo 6'!S33*'Anexo 2'!$D$10,0)</f>
        <v>0</v>
      </c>
      <c r="T33" s="31">
        <f>ROUND('Anexo 6'!T33*'Anexo 2'!$D$10,0)</f>
        <v>0</v>
      </c>
      <c r="U33" s="31">
        <f>ROUND('Anexo 6'!U33*'Anexo 2'!$D$10,0)</f>
        <v>0</v>
      </c>
      <c r="V33" s="31">
        <f>ROUND('Anexo 6'!V33*'Anexo 2'!$D$10,0)</f>
        <v>0</v>
      </c>
      <c r="W33" s="31">
        <f>ROUND('Anexo 6'!W33*'Anexo 2'!$D$10,0)</f>
        <v>0</v>
      </c>
      <c r="X33" s="31">
        <f>ROUND('Anexo 6'!X33*'Anexo 2'!$D$10,0)</f>
        <v>0</v>
      </c>
      <c r="Y33" s="31">
        <f>ROUND('Anexo 6'!Y33*'Anexo 2'!$D$10,0)</f>
        <v>0</v>
      </c>
      <c r="Z33" s="31">
        <f>ROUND('Anexo 6'!Z33*'Anexo 2'!$D$10,0)</f>
        <v>0</v>
      </c>
      <c r="AA33" s="33">
        <f t="shared" si="0"/>
        <v>0</v>
      </c>
      <c r="AB33" s="17">
        <v>21</v>
      </c>
      <c r="AC33" s="90">
        <f>+AA33*AB33+AA34*AB34+AA35*AB35</f>
        <v>0</v>
      </c>
    </row>
    <row r="34" spans="1:30" ht="15.75" thickBot="1" x14ac:dyDescent="0.3">
      <c r="A34" s="89"/>
      <c r="B34" s="18" t="s">
        <v>4</v>
      </c>
      <c r="C34" s="31">
        <f>ROUND('Anexo 6'!C34*'Anexo 2'!$D$10,0)</f>
        <v>0</v>
      </c>
      <c r="D34" s="31">
        <f>ROUND('Anexo 6'!D34*'Anexo 2'!$D$10,0)</f>
        <v>0</v>
      </c>
      <c r="E34" s="31">
        <f>ROUND('Anexo 6'!E34*'Anexo 2'!$D$10,0)</f>
        <v>0</v>
      </c>
      <c r="F34" s="31">
        <f>ROUND('Anexo 6'!F34*'Anexo 2'!$D$10,0)</f>
        <v>0</v>
      </c>
      <c r="G34" s="31">
        <f>ROUND('Anexo 6'!G34*'Anexo 2'!$D$10,0)</f>
        <v>0</v>
      </c>
      <c r="H34" s="31">
        <f>ROUND('Anexo 6'!H34*'Anexo 2'!$D$10,0)</f>
        <v>0</v>
      </c>
      <c r="I34" s="31">
        <f>ROUND('Anexo 6'!I34*'Anexo 2'!$D$10,0)</f>
        <v>0</v>
      </c>
      <c r="J34" s="31">
        <f>ROUND('Anexo 6'!J34*'Anexo 2'!$D$10,0)</f>
        <v>0</v>
      </c>
      <c r="K34" s="31">
        <f>ROUND('Anexo 6'!K34*'Anexo 2'!$D$10,0)</f>
        <v>0</v>
      </c>
      <c r="L34" s="31">
        <f>ROUND('Anexo 6'!L34*'Anexo 2'!$D$10,0)</f>
        <v>0</v>
      </c>
      <c r="M34" s="31">
        <f>ROUND('Anexo 6'!M34*'Anexo 2'!$D$10,0)</f>
        <v>0</v>
      </c>
      <c r="N34" s="31">
        <f>ROUND('Anexo 6'!N34*'Anexo 2'!$D$10,0)</f>
        <v>0</v>
      </c>
      <c r="O34" s="31">
        <f>ROUND('Anexo 6'!O34*'Anexo 2'!$D$10,0)</f>
        <v>0</v>
      </c>
      <c r="P34" s="31">
        <f>ROUND('Anexo 6'!P34*'Anexo 2'!$D$10,0)</f>
        <v>0</v>
      </c>
      <c r="Q34" s="31">
        <f>ROUND('Anexo 6'!Q34*'Anexo 2'!$D$10,0)</f>
        <v>0</v>
      </c>
      <c r="R34" s="31">
        <f>ROUND('Anexo 6'!R34*'Anexo 2'!$D$10,0)</f>
        <v>0</v>
      </c>
      <c r="S34" s="31">
        <f>ROUND('Anexo 6'!S34*'Anexo 2'!$D$10,0)</f>
        <v>0</v>
      </c>
      <c r="T34" s="31">
        <f>ROUND('Anexo 6'!T34*'Anexo 2'!$D$10,0)</f>
        <v>0</v>
      </c>
      <c r="U34" s="31">
        <f>ROUND('Anexo 6'!U34*'Anexo 2'!$D$10,0)</f>
        <v>0</v>
      </c>
      <c r="V34" s="31">
        <f>ROUND('Anexo 6'!V34*'Anexo 2'!$D$10,0)</f>
        <v>0</v>
      </c>
      <c r="W34" s="31">
        <f>ROUND('Anexo 6'!W34*'Anexo 2'!$D$10,0)</f>
        <v>0</v>
      </c>
      <c r="X34" s="31">
        <f>ROUND('Anexo 6'!X34*'Anexo 2'!$D$10,0)</f>
        <v>0</v>
      </c>
      <c r="Y34" s="31">
        <f>ROUND('Anexo 6'!Y34*'Anexo 2'!$D$10,0)</f>
        <v>0</v>
      </c>
      <c r="Z34" s="31">
        <f>ROUND('Anexo 6'!Z34*'Anexo 2'!$D$10,0)</f>
        <v>0</v>
      </c>
      <c r="AA34" s="36">
        <f t="shared" si="0"/>
        <v>0</v>
      </c>
      <c r="AB34" s="19">
        <v>4</v>
      </c>
      <c r="AC34" s="91"/>
      <c r="AD34" s="45"/>
    </row>
    <row r="35" spans="1:30" ht="15.75" thickBot="1" x14ac:dyDescent="0.3">
      <c r="A35" s="89"/>
      <c r="B35" s="20" t="s">
        <v>3</v>
      </c>
      <c r="C35" s="31">
        <f>ROUND('Anexo 6'!C35*'Anexo 2'!$D$10,0)</f>
        <v>0</v>
      </c>
      <c r="D35" s="31">
        <f>ROUND('Anexo 6'!D35*'Anexo 2'!$D$10,0)</f>
        <v>0</v>
      </c>
      <c r="E35" s="31">
        <f>ROUND('Anexo 6'!E35*'Anexo 2'!$D$10,0)</f>
        <v>0</v>
      </c>
      <c r="F35" s="31">
        <f>ROUND('Anexo 6'!F35*'Anexo 2'!$D$10,0)</f>
        <v>0</v>
      </c>
      <c r="G35" s="31">
        <f>ROUND('Anexo 6'!G35*'Anexo 2'!$D$10,0)</f>
        <v>0</v>
      </c>
      <c r="H35" s="31">
        <f>ROUND('Anexo 6'!H35*'Anexo 2'!$D$10,0)</f>
        <v>0</v>
      </c>
      <c r="I35" s="31">
        <f>ROUND('Anexo 6'!I35*'Anexo 2'!$D$10,0)</f>
        <v>0</v>
      </c>
      <c r="J35" s="31">
        <f>ROUND('Anexo 6'!J35*'Anexo 2'!$D$10,0)</f>
        <v>0</v>
      </c>
      <c r="K35" s="31">
        <f>ROUND('Anexo 6'!K35*'Anexo 2'!$D$10,0)</f>
        <v>0</v>
      </c>
      <c r="L35" s="31">
        <f>ROUND('Anexo 6'!L35*'Anexo 2'!$D$10,0)</f>
        <v>0</v>
      </c>
      <c r="M35" s="31">
        <f>ROUND('Anexo 6'!M35*'Anexo 2'!$D$10,0)</f>
        <v>0</v>
      </c>
      <c r="N35" s="31">
        <f>ROUND('Anexo 6'!N35*'Anexo 2'!$D$10,0)</f>
        <v>0</v>
      </c>
      <c r="O35" s="31">
        <f>ROUND('Anexo 6'!O35*'Anexo 2'!$D$10,0)</f>
        <v>0</v>
      </c>
      <c r="P35" s="31">
        <f>ROUND('Anexo 6'!P35*'Anexo 2'!$D$10,0)</f>
        <v>0</v>
      </c>
      <c r="Q35" s="31">
        <f>ROUND('Anexo 6'!Q35*'Anexo 2'!$D$10,0)</f>
        <v>0</v>
      </c>
      <c r="R35" s="31">
        <f>ROUND('Anexo 6'!R35*'Anexo 2'!$D$10,0)</f>
        <v>0</v>
      </c>
      <c r="S35" s="31">
        <f>ROUND('Anexo 6'!S35*'Anexo 2'!$D$10,0)</f>
        <v>0</v>
      </c>
      <c r="T35" s="31">
        <f>ROUND('Anexo 6'!T35*'Anexo 2'!$D$10,0)</f>
        <v>0</v>
      </c>
      <c r="U35" s="31">
        <f>ROUND('Anexo 6'!U35*'Anexo 2'!$D$10,0)</f>
        <v>0</v>
      </c>
      <c r="V35" s="31">
        <f>ROUND('Anexo 6'!V35*'Anexo 2'!$D$10,0)</f>
        <v>0</v>
      </c>
      <c r="W35" s="31">
        <f>ROUND('Anexo 6'!W35*'Anexo 2'!$D$10,0)</f>
        <v>0</v>
      </c>
      <c r="X35" s="31">
        <f>ROUND('Anexo 6'!X35*'Anexo 2'!$D$10,0)</f>
        <v>0</v>
      </c>
      <c r="Y35" s="31">
        <f>ROUND('Anexo 6'!Y35*'Anexo 2'!$D$10,0)</f>
        <v>0</v>
      </c>
      <c r="Z35" s="31">
        <f>ROUND('Anexo 6'!Z35*'Anexo 2'!$D$10,0)</f>
        <v>0</v>
      </c>
      <c r="AA35" s="39">
        <f t="shared" si="0"/>
        <v>0</v>
      </c>
      <c r="AB35" s="21">
        <v>6</v>
      </c>
      <c r="AC35" s="92"/>
      <c r="AD35" s="46"/>
    </row>
    <row r="36" spans="1:30" ht="15.75" thickBot="1" x14ac:dyDescent="0.3">
      <c r="A36" s="89">
        <v>47058</v>
      </c>
      <c r="B36" s="16" t="s">
        <v>5</v>
      </c>
      <c r="C36" s="31">
        <f>ROUND('Anexo 6'!C36*'Anexo 2'!$D$10,0)</f>
        <v>0</v>
      </c>
      <c r="D36" s="31">
        <f>ROUND('Anexo 6'!D36*'Anexo 2'!$D$10,0)</f>
        <v>0</v>
      </c>
      <c r="E36" s="31">
        <f>ROUND('Anexo 6'!E36*'Anexo 2'!$D$10,0)</f>
        <v>0</v>
      </c>
      <c r="F36" s="31">
        <f>ROUND('Anexo 6'!F36*'Anexo 2'!$D$10,0)</f>
        <v>0</v>
      </c>
      <c r="G36" s="31">
        <f>ROUND('Anexo 6'!G36*'Anexo 2'!$D$10,0)</f>
        <v>0</v>
      </c>
      <c r="H36" s="31">
        <f>ROUND('Anexo 6'!H36*'Anexo 2'!$D$10,0)</f>
        <v>0</v>
      </c>
      <c r="I36" s="31">
        <f>ROUND('Anexo 6'!I36*'Anexo 2'!$D$10,0)</f>
        <v>0</v>
      </c>
      <c r="J36" s="31">
        <f>ROUND('Anexo 6'!J36*'Anexo 2'!$D$10,0)</f>
        <v>0</v>
      </c>
      <c r="K36" s="31">
        <f>ROUND('Anexo 6'!K36*'Anexo 2'!$D$10,0)</f>
        <v>0</v>
      </c>
      <c r="L36" s="31">
        <f>ROUND('Anexo 6'!L36*'Anexo 2'!$D$10,0)</f>
        <v>0</v>
      </c>
      <c r="M36" s="31">
        <f>ROUND('Anexo 6'!M36*'Anexo 2'!$D$10,0)</f>
        <v>0</v>
      </c>
      <c r="N36" s="31">
        <f>ROUND('Anexo 6'!N36*'Anexo 2'!$D$10,0)</f>
        <v>0</v>
      </c>
      <c r="O36" s="31">
        <f>ROUND('Anexo 6'!O36*'Anexo 2'!$D$10,0)</f>
        <v>0</v>
      </c>
      <c r="P36" s="31">
        <f>ROUND('Anexo 6'!P36*'Anexo 2'!$D$10,0)</f>
        <v>0</v>
      </c>
      <c r="Q36" s="31">
        <f>ROUND('Anexo 6'!Q36*'Anexo 2'!$D$10,0)</f>
        <v>0</v>
      </c>
      <c r="R36" s="31">
        <f>ROUND('Anexo 6'!R36*'Anexo 2'!$D$10,0)</f>
        <v>0</v>
      </c>
      <c r="S36" s="31">
        <f>ROUND('Anexo 6'!S36*'Anexo 2'!$D$10,0)</f>
        <v>0</v>
      </c>
      <c r="T36" s="31">
        <f>ROUND('Anexo 6'!T36*'Anexo 2'!$D$10,0)</f>
        <v>0</v>
      </c>
      <c r="U36" s="31">
        <f>ROUND('Anexo 6'!U36*'Anexo 2'!$D$10,0)</f>
        <v>0</v>
      </c>
      <c r="V36" s="31">
        <f>ROUND('Anexo 6'!V36*'Anexo 2'!$D$10,0)</f>
        <v>0</v>
      </c>
      <c r="W36" s="31">
        <f>ROUND('Anexo 6'!W36*'Anexo 2'!$D$10,0)</f>
        <v>0</v>
      </c>
      <c r="X36" s="31">
        <f>ROUND('Anexo 6'!X36*'Anexo 2'!$D$10,0)</f>
        <v>0</v>
      </c>
      <c r="Y36" s="31">
        <f>ROUND('Anexo 6'!Y36*'Anexo 2'!$D$10,0)</f>
        <v>0</v>
      </c>
      <c r="Z36" s="31">
        <f>ROUND('Anexo 6'!Z36*'Anexo 2'!$D$10,0)</f>
        <v>0</v>
      </c>
      <c r="AA36" s="33">
        <f t="shared" si="0"/>
        <v>0</v>
      </c>
      <c r="AB36" s="17">
        <v>20</v>
      </c>
      <c r="AC36" s="90">
        <f>+AA36*AB36+AA37*AB37+AA38*AB38</f>
        <v>0</v>
      </c>
    </row>
    <row r="37" spans="1:30" ht="15.75" thickBot="1" x14ac:dyDescent="0.3">
      <c r="A37" s="89"/>
      <c r="B37" s="18" t="s">
        <v>4</v>
      </c>
      <c r="C37" s="31">
        <f>ROUND('Anexo 6'!C37*'Anexo 2'!$D$10,0)</f>
        <v>0</v>
      </c>
      <c r="D37" s="31">
        <f>ROUND('Anexo 6'!D37*'Anexo 2'!$D$10,0)</f>
        <v>0</v>
      </c>
      <c r="E37" s="31">
        <f>ROUND('Anexo 6'!E37*'Anexo 2'!$D$10,0)</f>
        <v>0</v>
      </c>
      <c r="F37" s="31">
        <f>ROUND('Anexo 6'!F37*'Anexo 2'!$D$10,0)</f>
        <v>0</v>
      </c>
      <c r="G37" s="31">
        <f>ROUND('Anexo 6'!G37*'Anexo 2'!$D$10,0)</f>
        <v>0</v>
      </c>
      <c r="H37" s="31">
        <f>ROUND('Anexo 6'!H37*'Anexo 2'!$D$10,0)</f>
        <v>0</v>
      </c>
      <c r="I37" s="31">
        <f>ROUND('Anexo 6'!I37*'Anexo 2'!$D$10,0)</f>
        <v>0</v>
      </c>
      <c r="J37" s="31">
        <f>ROUND('Anexo 6'!J37*'Anexo 2'!$D$10,0)</f>
        <v>0</v>
      </c>
      <c r="K37" s="31">
        <f>ROUND('Anexo 6'!K37*'Anexo 2'!$D$10,0)</f>
        <v>0</v>
      </c>
      <c r="L37" s="31">
        <f>ROUND('Anexo 6'!L37*'Anexo 2'!$D$10,0)</f>
        <v>0</v>
      </c>
      <c r="M37" s="31">
        <f>ROUND('Anexo 6'!M37*'Anexo 2'!$D$10,0)</f>
        <v>0</v>
      </c>
      <c r="N37" s="31">
        <f>ROUND('Anexo 6'!N37*'Anexo 2'!$D$10,0)</f>
        <v>0</v>
      </c>
      <c r="O37" s="31">
        <f>ROUND('Anexo 6'!O37*'Anexo 2'!$D$10,0)</f>
        <v>0</v>
      </c>
      <c r="P37" s="31">
        <f>ROUND('Anexo 6'!P37*'Anexo 2'!$D$10,0)</f>
        <v>0</v>
      </c>
      <c r="Q37" s="31">
        <f>ROUND('Anexo 6'!Q37*'Anexo 2'!$D$10,0)</f>
        <v>0</v>
      </c>
      <c r="R37" s="31">
        <f>ROUND('Anexo 6'!R37*'Anexo 2'!$D$10,0)</f>
        <v>0</v>
      </c>
      <c r="S37" s="31">
        <f>ROUND('Anexo 6'!S37*'Anexo 2'!$D$10,0)</f>
        <v>0</v>
      </c>
      <c r="T37" s="31">
        <f>ROUND('Anexo 6'!T37*'Anexo 2'!$D$10,0)</f>
        <v>0</v>
      </c>
      <c r="U37" s="31">
        <f>ROUND('Anexo 6'!U37*'Anexo 2'!$D$10,0)</f>
        <v>0</v>
      </c>
      <c r="V37" s="31">
        <f>ROUND('Anexo 6'!V37*'Anexo 2'!$D$10,0)</f>
        <v>0</v>
      </c>
      <c r="W37" s="31">
        <f>ROUND('Anexo 6'!W37*'Anexo 2'!$D$10,0)</f>
        <v>0</v>
      </c>
      <c r="X37" s="31">
        <f>ROUND('Anexo 6'!X37*'Anexo 2'!$D$10,0)</f>
        <v>0</v>
      </c>
      <c r="Y37" s="31">
        <f>ROUND('Anexo 6'!Y37*'Anexo 2'!$D$10,0)</f>
        <v>0</v>
      </c>
      <c r="Z37" s="31">
        <f>ROUND('Anexo 6'!Z37*'Anexo 2'!$D$10,0)</f>
        <v>0</v>
      </c>
      <c r="AA37" s="36">
        <f t="shared" si="0"/>
        <v>0</v>
      </c>
      <c r="AB37" s="19">
        <v>4</v>
      </c>
      <c r="AC37" s="91"/>
      <c r="AD37" s="45"/>
    </row>
    <row r="38" spans="1:30" ht="15.75" thickBot="1" x14ac:dyDescent="0.3">
      <c r="A38" s="89"/>
      <c r="B38" s="20" t="s">
        <v>3</v>
      </c>
      <c r="C38" s="31">
        <f>ROUND('Anexo 6'!C38*'Anexo 2'!$D$10,0)</f>
        <v>0</v>
      </c>
      <c r="D38" s="31">
        <f>ROUND('Anexo 6'!D38*'Anexo 2'!$D$10,0)</f>
        <v>0</v>
      </c>
      <c r="E38" s="31">
        <f>ROUND('Anexo 6'!E38*'Anexo 2'!$D$10,0)</f>
        <v>0</v>
      </c>
      <c r="F38" s="31">
        <f>ROUND('Anexo 6'!F38*'Anexo 2'!$D$10,0)</f>
        <v>0</v>
      </c>
      <c r="G38" s="31">
        <f>ROUND('Anexo 6'!G38*'Anexo 2'!$D$10,0)</f>
        <v>0</v>
      </c>
      <c r="H38" s="31">
        <f>ROUND('Anexo 6'!H38*'Anexo 2'!$D$10,0)</f>
        <v>0</v>
      </c>
      <c r="I38" s="31">
        <f>ROUND('Anexo 6'!I38*'Anexo 2'!$D$10,0)</f>
        <v>0</v>
      </c>
      <c r="J38" s="31">
        <f>ROUND('Anexo 6'!J38*'Anexo 2'!$D$10,0)</f>
        <v>0</v>
      </c>
      <c r="K38" s="31">
        <f>ROUND('Anexo 6'!K38*'Anexo 2'!$D$10,0)</f>
        <v>0</v>
      </c>
      <c r="L38" s="31">
        <f>ROUND('Anexo 6'!L38*'Anexo 2'!$D$10,0)</f>
        <v>0</v>
      </c>
      <c r="M38" s="31">
        <f>ROUND('Anexo 6'!M38*'Anexo 2'!$D$10,0)</f>
        <v>0</v>
      </c>
      <c r="N38" s="31">
        <f>ROUND('Anexo 6'!N38*'Anexo 2'!$D$10,0)</f>
        <v>0</v>
      </c>
      <c r="O38" s="31">
        <f>ROUND('Anexo 6'!O38*'Anexo 2'!$D$10,0)</f>
        <v>0</v>
      </c>
      <c r="P38" s="31">
        <f>ROUND('Anexo 6'!P38*'Anexo 2'!$D$10,0)</f>
        <v>0</v>
      </c>
      <c r="Q38" s="31">
        <f>ROUND('Anexo 6'!Q38*'Anexo 2'!$D$10,0)</f>
        <v>0</v>
      </c>
      <c r="R38" s="31">
        <f>ROUND('Anexo 6'!R38*'Anexo 2'!$D$10,0)</f>
        <v>0</v>
      </c>
      <c r="S38" s="31">
        <f>ROUND('Anexo 6'!S38*'Anexo 2'!$D$10,0)</f>
        <v>0</v>
      </c>
      <c r="T38" s="31">
        <f>ROUND('Anexo 6'!T38*'Anexo 2'!$D$10,0)</f>
        <v>0</v>
      </c>
      <c r="U38" s="31">
        <f>ROUND('Anexo 6'!U38*'Anexo 2'!$D$10,0)</f>
        <v>0</v>
      </c>
      <c r="V38" s="31">
        <f>ROUND('Anexo 6'!V38*'Anexo 2'!$D$10,0)</f>
        <v>0</v>
      </c>
      <c r="W38" s="31">
        <f>ROUND('Anexo 6'!W38*'Anexo 2'!$D$10,0)</f>
        <v>0</v>
      </c>
      <c r="X38" s="31">
        <f>ROUND('Anexo 6'!X38*'Anexo 2'!$D$10,0)</f>
        <v>0</v>
      </c>
      <c r="Y38" s="31">
        <f>ROUND('Anexo 6'!Y38*'Anexo 2'!$D$10,0)</f>
        <v>0</v>
      </c>
      <c r="Z38" s="31">
        <f>ROUND('Anexo 6'!Z38*'Anexo 2'!$D$10,0)</f>
        <v>0</v>
      </c>
      <c r="AA38" s="39">
        <f t="shared" si="0"/>
        <v>0</v>
      </c>
      <c r="AB38" s="21">
        <v>6</v>
      </c>
      <c r="AC38" s="92"/>
      <c r="AD38" s="47"/>
    </row>
    <row r="39" spans="1:30" ht="15.75" thickBot="1" x14ac:dyDescent="0.3">
      <c r="A39" s="89">
        <v>47088</v>
      </c>
      <c r="B39" s="16" t="s">
        <v>5</v>
      </c>
      <c r="C39" s="31">
        <f>ROUND('Anexo 6'!C39*'Anexo 2'!$D$10,0)</f>
        <v>0</v>
      </c>
      <c r="D39" s="31">
        <f>ROUND('Anexo 6'!D39*'Anexo 2'!$D$10,0)</f>
        <v>0</v>
      </c>
      <c r="E39" s="31">
        <f>ROUND('Anexo 6'!E39*'Anexo 2'!$D$10,0)</f>
        <v>0</v>
      </c>
      <c r="F39" s="31">
        <f>ROUND('Anexo 6'!F39*'Anexo 2'!$D$10,0)</f>
        <v>0</v>
      </c>
      <c r="G39" s="31">
        <f>ROUND('Anexo 6'!G39*'Anexo 2'!$D$10,0)</f>
        <v>0</v>
      </c>
      <c r="H39" s="31">
        <f>ROUND('Anexo 6'!H39*'Anexo 2'!$D$10,0)</f>
        <v>0</v>
      </c>
      <c r="I39" s="31">
        <f>ROUND('Anexo 6'!I39*'Anexo 2'!$D$10,0)</f>
        <v>0</v>
      </c>
      <c r="J39" s="31">
        <f>ROUND('Anexo 6'!J39*'Anexo 2'!$D$10,0)</f>
        <v>0</v>
      </c>
      <c r="K39" s="31">
        <f>ROUND('Anexo 6'!K39*'Anexo 2'!$D$10,0)</f>
        <v>0</v>
      </c>
      <c r="L39" s="31">
        <f>ROUND('Anexo 6'!L39*'Anexo 2'!$D$10,0)</f>
        <v>0</v>
      </c>
      <c r="M39" s="31">
        <f>ROUND('Anexo 6'!M39*'Anexo 2'!$D$10,0)</f>
        <v>0</v>
      </c>
      <c r="N39" s="31">
        <f>ROUND('Anexo 6'!N39*'Anexo 2'!$D$10,0)</f>
        <v>0</v>
      </c>
      <c r="O39" s="31">
        <f>ROUND('Anexo 6'!O39*'Anexo 2'!$D$10,0)</f>
        <v>0</v>
      </c>
      <c r="P39" s="31">
        <f>ROUND('Anexo 6'!P39*'Anexo 2'!$D$10,0)</f>
        <v>0</v>
      </c>
      <c r="Q39" s="31">
        <f>ROUND('Anexo 6'!Q39*'Anexo 2'!$D$10,0)</f>
        <v>0</v>
      </c>
      <c r="R39" s="31">
        <f>ROUND('Anexo 6'!R39*'Anexo 2'!$D$10,0)</f>
        <v>0</v>
      </c>
      <c r="S39" s="31">
        <f>ROUND('Anexo 6'!S39*'Anexo 2'!$D$10,0)</f>
        <v>0</v>
      </c>
      <c r="T39" s="31">
        <f>ROUND('Anexo 6'!T39*'Anexo 2'!$D$10,0)</f>
        <v>0</v>
      </c>
      <c r="U39" s="31">
        <f>ROUND('Anexo 6'!U39*'Anexo 2'!$D$10,0)</f>
        <v>0</v>
      </c>
      <c r="V39" s="31">
        <f>ROUND('Anexo 6'!V39*'Anexo 2'!$D$10,0)</f>
        <v>0</v>
      </c>
      <c r="W39" s="31">
        <f>ROUND('Anexo 6'!W39*'Anexo 2'!$D$10,0)</f>
        <v>0</v>
      </c>
      <c r="X39" s="31">
        <f>ROUND('Anexo 6'!X39*'Anexo 2'!$D$10,0)</f>
        <v>0</v>
      </c>
      <c r="Y39" s="31">
        <f>ROUND('Anexo 6'!Y39*'Anexo 2'!$D$10,0)</f>
        <v>0</v>
      </c>
      <c r="Z39" s="31">
        <f>ROUND('Anexo 6'!Z39*'Anexo 2'!$D$10,0)</f>
        <v>0</v>
      </c>
      <c r="AA39" s="33">
        <f t="shared" si="0"/>
        <v>0</v>
      </c>
      <c r="AB39" s="17">
        <v>19</v>
      </c>
      <c r="AC39" s="90">
        <f>+AA39*AB39+AA40*AB40+AA41*AB41</f>
        <v>0</v>
      </c>
    </row>
    <row r="40" spans="1:30" ht="15.75" thickBot="1" x14ac:dyDescent="0.3">
      <c r="A40" s="89"/>
      <c r="B40" s="18" t="s">
        <v>4</v>
      </c>
      <c r="C40" s="31">
        <f>ROUND('Anexo 6'!C40*'Anexo 2'!$D$10,0)</f>
        <v>0</v>
      </c>
      <c r="D40" s="31">
        <f>ROUND('Anexo 6'!D40*'Anexo 2'!$D$10,0)</f>
        <v>0</v>
      </c>
      <c r="E40" s="31">
        <f>ROUND('Anexo 6'!E40*'Anexo 2'!$D$10,0)</f>
        <v>0</v>
      </c>
      <c r="F40" s="31">
        <f>ROUND('Anexo 6'!F40*'Anexo 2'!$D$10,0)</f>
        <v>0</v>
      </c>
      <c r="G40" s="31">
        <f>ROUND('Anexo 6'!G40*'Anexo 2'!$D$10,0)</f>
        <v>0</v>
      </c>
      <c r="H40" s="31">
        <f>ROUND('Anexo 6'!H40*'Anexo 2'!$D$10,0)</f>
        <v>0</v>
      </c>
      <c r="I40" s="31">
        <f>ROUND('Anexo 6'!I40*'Anexo 2'!$D$10,0)</f>
        <v>0</v>
      </c>
      <c r="J40" s="31">
        <f>ROUND('Anexo 6'!J40*'Anexo 2'!$D$10,0)</f>
        <v>0</v>
      </c>
      <c r="K40" s="31">
        <f>ROUND('Anexo 6'!K40*'Anexo 2'!$D$10,0)</f>
        <v>0</v>
      </c>
      <c r="L40" s="31">
        <f>ROUND('Anexo 6'!L40*'Anexo 2'!$D$10,0)</f>
        <v>0</v>
      </c>
      <c r="M40" s="31">
        <f>ROUND('Anexo 6'!M40*'Anexo 2'!$D$10,0)</f>
        <v>0</v>
      </c>
      <c r="N40" s="31">
        <f>ROUND('Anexo 6'!N40*'Anexo 2'!$D$10,0)</f>
        <v>0</v>
      </c>
      <c r="O40" s="31">
        <f>ROUND('Anexo 6'!O40*'Anexo 2'!$D$10,0)</f>
        <v>0</v>
      </c>
      <c r="P40" s="31">
        <f>ROUND('Anexo 6'!P40*'Anexo 2'!$D$10,0)</f>
        <v>0</v>
      </c>
      <c r="Q40" s="31">
        <f>ROUND('Anexo 6'!Q40*'Anexo 2'!$D$10,0)</f>
        <v>0</v>
      </c>
      <c r="R40" s="31">
        <f>ROUND('Anexo 6'!R40*'Anexo 2'!$D$10,0)</f>
        <v>0</v>
      </c>
      <c r="S40" s="31">
        <f>ROUND('Anexo 6'!S40*'Anexo 2'!$D$10,0)</f>
        <v>0</v>
      </c>
      <c r="T40" s="31">
        <f>ROUND('Anexo 6'!T40*'Anexo 2'!$D$10,0)</f>
        <v>0</v>
      </c>
      <c r="U40" s="31">
        <f>ROUND('Anexo 6'!U40*'Anexo 2'!$D$10,0)</f>
        <v>0</v>
      </c>
      <c r="V40" s="31">
        <f>ROUND('Anexo 6'!V40*'Anexo 2'!$D$10,0)</f>
        <v>0</v>
      </c>
      <c r="W40" s="31">
        <f>ROUND('Anexo 6'!W40*'Anexo 2'!$D$10,0)</f>
        <v>0</v>
      </c>
      <c r="X40" s="31">
        <f>ROUND('Anexo 6'!X40*'Anexo 2'!$D$10,0)</f>
        <v>0</v>
      </c>
      <c r="Y40" s="31">
        <f>ROUND('Anexo 6'!Y40*'Anexo 2'!$D$10,0)</f>
        <v>0</v>
      </c>
      <c r="Z40" s="31">
        <f>ROUND('Anexo 6'!Z40*'Anexo 2'!$D$10,0)</f>
        <v>0</v>
      </c>
      <c r="AA40" s="36">
        <f t="shared" si="0"/>
        <v>0</v>
      </c>
      <c r="AB40" s="19">
        <v>5</v>
      </c>
      <c r="AC40" s="91"/>
      <c r="AD40" s="45"/>
    </row>
    <row r="41" spans="1:30" ht="15.75" thickBot="1" x14ac:dyDescent="0.3">
      <c r="A41" s="89"/>
      <c r="B41" s="20" t="s">
        <v>3</v>
      </c>
      <c r="C41" s="31">
        <f>ROUND('Anexo 6'!C41*'Anexo 2'!$D$10,0)</f>
        <v>0</v>
      </c>
      <c r="D41" s="31">
        <f>ROUND('Anexo 6'!D41*'Anexo 2'!$D$10,0)</f>
        <v>0</v>
      </c>
      <c r="E41" s="31">
        <f>ROUND('Anexo 6'!E41*'Anexo 2'!$D$10,0)</f>
        <v>0</v>
      </c>
      <c r="F41" s="31">
        <f>ROUND('Anexo 6'!F41*'Anexo 2'!$D$10,0)</f>
        <v>0</v>
      </c>
      <c r="G41" s="31">
        <f>ROUND('Anexo 6'!G41*'Anexo 2'!$D$10,0)</f>
        <v>0</v>
      </c>
      <c r="H41" s="31">
        <f>ROUND('Anexo 6'!H41*'Anexo 2'!$D$10,0)</f>
        <v>0</v>
      </c>
      <c r="I41" s="31">
        <f>ROUND('Anexo 6'!I41*'Anexo 2'!$D$10,0)</f>
        <v>0</v>
      </c>
      <c r="J41" s="31">
        <f>ROUND('Anexo 6'!J41*'Anexo 2'!$D$10,0)</f>
        <v>0</v>
      </c>
      <c r="K41" s="31">
        <f>ROUND('Anexo 6'!K41*'Anexo 2'!$D$10,0)</f>
        <v>0</v>
      </c>
      <c r="L41" s="31">
        <f>ROUND('Anexo 6'!L41*'Anexo 2'!$D$10,0)</f>
        <v>0</v>
      </c>
      <c r="M41" s="31">
        <f>ROUND('Anexo 6'!M41*'Anexo 2'!$D$10,0)</f>
        <v>0</v>
      </c>
      <c r="N41" s="31">
        <f>ROUND('Anexo 6'!N41*'Anexo 2'!$D$10,0)</f>
        <v>0</v>
      </c>
      <c r="O41" s="31">
        <f>ROUND('Anexo 6'!O41*'Anexo 2'!$D$10,0)</f>
        <v>0</v>
      </c>
      <c r="P41" s="31">
        <f>ROUND('Anexo 6'!P41*'Anexo 2'!$D$10,0)</f>
        <v>0</v>
      </c>
      <c r="Q41" s="31">
        <f>ROUND('Anexo 6'!Q41*'Anexo 2'!$D$10,0)</f>
        <v>0</v>
      </c>
      <c r="R41" s="31">
        <f>ROUND('Anexo 6'!R41*'Anexo 2'!$D$10,0)</f>
        <v>0</v>
      </c>
      <c r="S41" s="31">
        <f>ROUND('Anexo 6'!S41*'Anexo 2'!$D$10,0)</f>
        <v>0</v>
      </c>
      <c r="T41" s="31">
        <f>ROUND('Anexo 6'!T41*'Anexo 2'!$D$10,0)</f>
        <v>0</v>
      </c>
      <c r="U41" s="31">
        <f>ROUND('Anexo 6'!U41*'Anexo 2'!$D$10,0)</f>
        <v>0</v>
      </c>
      <c r="V41" s="31">
        <f>ROUND('Anexo 6'!V41*'Anexo 2'!$D$10,0)</f>
        <v>0</v>
      </c>
      <c r="W41" s="31">
        <f>ROUND('Anexo 6'!W41*'Anexo 2'!$D$10,0)</f>
        <v>0</v>
      </c>
      <c r="X41" s="31">
        <f>ROUND('Anexo 6'!X41*'Anexo 2'!$D$10,0)</f>
        <v>0</v>
      </c>
      <c r="Y41" s="31">
        <f>ROUND('Anexo 6'!Y41*'Anexo 2'!$D$10,0)</f>
        <v>0</v>
      </c>
      <c r="Z41" s="31">
        <f>ROUND('Anexo 6'!Z41*'Anexo 2'!$D$10,0)</f>
        <v>0</v>
      </c>
      <c r="AA41" s="39">
        <f t="shared" si="0"/>
        <v>0</v>
      </c>
      <c r="AB41" s="21">
        <v>7</v>
      </c>
      <c r="AC41" s="92"/>
      <c r="AD41" s="40"/>
    </row>
    <row r="42" spans="1:30" ht="15.75" thickBot="1" x14ac:dyDescent="0.3">
      <c r="A42" s="93" t="s">
        <v>2</v>
      </c>
      <c r="B42" s="94"/>
      <c r="C42" s="31">
        <f>ROUND('Anexo 6'!C42*'Anexo 2'!$D$10,0)</f>
        <v>0</v>
      </c>
      <c r="D42" s="31">
        <f>ROUND('Anexo 6'!D42*'Anexo 2'!$D$10,0)</f>
        <v>0</v>
      </c>
      <c r="E42" s="31">
        <f>ROUND('Anexo 6'!E42*'Anexo 2'!$D$10,0)</f>
        <v>0</v>
      </c>
      <c r="F42" s="31">
        <f>ROUND('Anexo 6'!F42*'Anexo 2'!$D$10,0)</f>
        <v>0</v>
      </c>
      <c r="G42" s="31">
        <f>ROUND('Anexo 6'!G42*'Anexo 2'!$D$10,0)</f>
        <v>0</v>
      </c>
      <c r="H42" s="31">
        <f>ROUND('Anexo 6'!H42*'Anexo 2'!$D$10,0)</f>
        <v>0</v>
      </c>
      <c r="I42" s="31">
        <f>ROUND('Anexo 6'!I42*'Anexo 2'!$D$10,0)</f>
        <v>0</v>
      </c>
      <c r="J42" s="31">
        <f>ROUND('Anexo 6'!J42*'Anexo 2'!$D$10,0)</f>
        <v>0</v>
      </c>
      <c r="K42" s="31">
        <f>ROUND('Anexo 6'!K42*'Anexo 2'!$D$10,0)</f>
        <v>0</v>
      </c>
      <c r="L42" s="31">
        <f>ROUND('Anexo 6'!L42*'Anexo 2'!$D$10,0)</f>
        <v>0</v>
      </c>
      <c r="M42" s="31">
        <f>ROUND('Anexo 6'!M42*'Anexo 2'!$D$10,0)</f>
        <v>0</v>
      </c>
      <c r="N42" s="31">
        <f>ROUND('Anexo 6'!N42*'Anexo 2'!$D$10,0)</f>
        <v>0</v>
      </c>
      <c r="O42" s="31">
        <f>ROUND('Anexo 6'!O42*'Anexo 2'!$D$10,0)</f>
        <v>0</v>
      </c>
      <c r="P42" s="31">
        <f>ROUND('Anexo 6'!P42*'Anexo 2'!$D$10,0)</f>
        <v>0</v>
      </c>
      <c r="Q42" s="31">
        <f>ROUND('Anexo 6'!Q42*'Anexo 2'!$D$10,0)</f>
        <v>0</v>
      </c>
      <c r="R42" s="31">
        <f>ROUND('Anexo 6'!R42*'Anexo 2'!$D$10,0)</f>
        <v>0</v>
      </c>
      <c r="S42" s="31">
        <f>ROUND('Anexo 6'!S42*'Anexo 2'!$D$10,0)</f>
        <v>0</v>
      </c>
      <c r="T42" s="31">
        <f>ROUND('Anexo 6'!T42*'Anexo 2'!$D$10,0)</f>
        <v>0</v>
      </c>
      <c r="U42" s="31">
        <f>ROUND('Anexo 6'!U42*'Anexo 2'!$D$10,0)</f>
        <v>0</v>
      </c>
      <c r="V42" s="31">
        <f>ROUND('Anexo 6'!V42*'Anexo 2'!$D$10,0)</f>
        <v>0</v>
      </c>
      <c r="W42" s="31">
        <f>ROUND('Anexo 6'!W42*'Anexo 2'!$D$10,0)</f>
        <v>0</v>
      </c>
      <c r="X42" s="31">
        <f>ROUND('Anexo 6'!X42*'Anexo 2'!$D$10,0)</f>
        <v>0</v>
      </c>
      <c r="Y42" s="31">
        <f>ROUND('Anexo 6'!Y42*'Anexo 2'!$D$10,0)</f>
        <v>0</v>
      </c>
      <c r="Z42" s="31">
        <f>ROUND('Anexo 6'!Z42*'Anexo 2'!$D$10,0)</f>
        <v>0</v>
      </c>
      <c r="AA42" s="29">
        <f t="shared" ref="AA42:AC42" si="1">+SUM(AA6:AA41)</f>
        <v>0</v>
      </c>
      <c r="AB42" s="29">
        <f t="shared" si="1"/>
        <v>366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862A-7CD6-49EB-BF2D-69CACAA52D36}">
  <sheetPr codeName="Hoja12">
    <tabColor rgb="FF00B050"/>
  </sheetPr>
  <dimension ref="A1:H37"/>
  <sheetViews>
    <sheetView showGridLines="0" topLeftCell="A15" zoomScaleNormal="100" zoomScaleSheetLayoutView="140" workbookViewId="0">
      <selection activeCell="B8" sqref="B8:F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70</v>
      </c>
      <c r="C3" s="72"/>
      <c r="D3" s="72"/>
      <c r="E3" s="72"/>
      <c r="F3" s="72"/>
      <c r="G3" s="27"/>
    </row>
    <row r="4" spans="1:8" x14ac:dyDescent="0.25">
      <c r="B4" s="72" t="s">
        <v>43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36</v>
      </c>
      <c r="D8" s="73" t="s">
        <v>39</v>
      </c>
      <c r="E8" s="73" t="s">
        <v>37</v>
      </c>
      <c r="F8" s="73" t="s">
        <v>41</v>
      </c>
      <c r="G8" s="26"/>
    </row>
    <row r="9" spans="1:8" ht="23.25" customHeight="1" x14ac:dyDescent="0.25">
      <c r="B9" s="74"/>
      <c r="C9" s="74"/>
      <c r="D9" s="74"/>
      <c r="E9" s="74"/>
      <c r="F9" s="74"/>
      <c r="G9" s="26"/>
    </row>
    <row r="10" spans="1:8" ht="15.75" thickBot="1" x14ac:dyDescent="0.3">
      <c r="A10" s="63"/>
      <c r="B10" s="6">
        <v>47119</v>
      </c>
      <c r="C10" s="41">
        <f>+'Anexo 7'!AC6</f>
        <v>12622999</v>
      </c>
      <c r="D10" s="69"/>
      <c r="E10" s="53">
        <f>+'Cantidades Ofertadas Prod 3'!AC6</f>
        <v>0</v>
      </c>
      <c r="F10" s="95"/>
      <c r="G10" s="30"/>
      <c r="H10" s="62"/>
    </row>
    <row r="11" spans="1:8" ht="15.75" thickBot="1" x14ac:dyDescent="0.3">
      <c r="A11" s="63"/>
      <c r="B11" s="6">
        <v>47150</v>
      </c>
      <c r="C11" s="41">
        <f>+'Anexo 7'!AC9</f>
        <v>11622692</v>
      </c>
      <c r="D11" s="70"/>
      <c r="E11" s="53">
        <f>+'Cantidades Ofertadas Prod 3'!AC9</f>
        <v>0</v>
      </c>
      <c r="F11" s="96"/>
      <c r="G11" s="30"/>
      <c r="H11" s="62"/>
    </row>
    <row r="12" spans="1:8" ht="15.75" thickBot="1" x14ac:dyDescent="0.3">
      <c r="A12" s="63"/>
      <c r="B12" s="6">
        <v>47178</v>
      </c>
      <c r="C12" s="41">
        <f>+'Anexo 7'!AC12</f>
        <v>12480498</v>
      </c>
      <c r="D12" s="70"/>
      <c r="E12" s="53">
        <f>+'Cantidades Ofertadas Prod 3'!AC12</f>
        <v>0</v>
      </c>
      <c r="F12" s="96"/>
      <c r="G12" s="30"/>
      <c r="H12" s="62"/>
    </row>
    <row r="13" spans="1:8" ht="15.75" thickBot="1" x14ac:dyDescent="0.3">
      <c r="A13" s="63"/>
      <c r="B13" s="6">
        <v>47209</v>
      </c>
      <c r="C13" s="41">
        <f>+'Anexo 7'!AC15</f>
        <v>11865612</v>
      </c>
      <c r="D13" s="70"/>
      <c r="E13" s="53">
        <f>+'Cantidades Ofertadas Prod 3'!AC15</f>
        <v>0</v>
      </c>
      <c r="F13" s="96"/>
      <c r="G13" s="30"/>
      <c r="H13" s="62"/>
    </row>
    <row r="14" spans="1:8" ht="15.75" thickBot="1" x14ac:dyDescent="0.3">
      <c r="A14" s="63"/>
      <c r="B14" s="6">
        <v>47239</v>
      </c>
      <c r="C14" s="41">
        <f>+'Anexo 7'!AC18</f>
        <v>12317910</v>
      </c>
      <c r="D14" s="70"/>
      <c r="E14" s="53">
        <f>+'Cantidades Ofertadas Prod 3'!AC18</f>
        <v>0</v>
      </c>
      <c r="F14" s="96"/>
      <c r="G14" s="30"/>
      <c r="H14" s="62"/>
    </row>
    <row r="15" spans="1:8" ht="15.75" thickBot="1" x14ac:dyDescent="0.3">
      <c r="A15" s="63"/>
      <c r="B15" s="6">
        <v>47270</v>
      </c>
      <c r="C15" s="41">
        <f>+'Anexo 7'!AC21</f>
        <v>11913904</v>
      </c>
      <c r="D15" s="70"/>
      <c r="E15" s="53">
        <f>+'Cantidades Ofertadas Prod 3'!AC21</f>
        <v>0</v>
      </c>
      <c r="F15" s="96"/>
      <c r="G15" s="30"/>
      <c r="H15" s="62"/>
    </row>
    <row r="16" spans="1:8" ht="15.75" thickBot="1" x14ac:dyDescent="0.3">
      <c r="A16" s="63"/>
      <c r="B16" s="6">
        <v>47300</v>
      </c>
      <c r="C16" s="41">
        <f>+'Anexo 7'!AC24</f>
        <v>12586949</v>
      </c>
      <c r="D16" s="70"/>
      <c r="E16" s="53">
        <f>+'Cantidades Ofertadas Prod 3'!AC24</f>
        <v>0</v>
      </c>
      <c r="F16" s="96"/>
      <c r="G16" s="30"/>
      <c r="H16" s="62"/>
    </row>
    <row r="17" spans="1:8" ht="15.75" thickBot="1" x14ac:dyDescent="0.3">
      <c r="A17" s="63"/>
      <c r="B17" s="6">
        <v>47331</v>
      </c>
      <c r="C17" s="41">
        <f>+'Anexo 7'!AC27</f>
        <v>12849499</v>
      </c>
      <c r="D17" s="70"/>
      <c r="E17" s="53">
        <f>+'Cantidades Ofertadas Prod 3'!AC27</f>
        <v>0</v>
      </c>
      <c r="F17" s="96"/>
      <c r="G17" s="30"/>
      <c r="H17" s="62"/>
    </row>
    <row r="18" spans="1:8" ht="15.75" thickBot="1" x14ac:dyDescent="0.3">
      <c r="A18" s="63"/>
      <c r="B18" s="6">
        <v>47362</v>
      </c>
      <c r="C18" s="41">
        <f>+'Anexo 7'!AC30</f>
        <v>12582070</v>
      </c>
      <c r="D18" s="70"/>
      <c r="E18" s="53">
        <f>+'Cantidades Ofertadas Prod 3'!AC30</f>
        <v>0</v>
      </c>
      <c r="F18" s="96"/>
      <c r="G18" s="30"/>
      <c r="H18" s="62"/>
    </row>
    <row r="19" spans="1:8" ht="15.75" thickBot="1" x14ac:dyDescent="0.3">
      <c r="A19" s="63"/>
      <c r="B19" s="6">
        <v>47392</v>
      </c>
      <c r="C19" s="41">
        <f>+'Anexo 7'!AC33</f>
        <v>12498517</v>
      </c>
      <c r="D19" s="70"/>
      <c r="E19" s="53">
        <f>+'Cantidades Ofertadas Prod 3'!AC33</f>
        <v>0</v>
      </c>
      <c r="F19" s="96"/>
      <c r="G19" s="30"/>
      <c r="H19" s="62"/>
    </row>
    <row r="20" spans="1:8" ht="15.75" thickBot="1" x14ac:dyDescent="0.3">
      <c r="A20" s="63"/>
      <c r="B20" s="6">
        <v>47423</v>
      </c>
      <c r="C20" s="41">
        <f>+'Anexo 7'!AC36</f>
        <v>11875292</v>
      </c>
      <c r="D20" s="70"/>
      <c r="E20" s="53">
        <f>+'Cantidades Ofertadas Prod 3'!AC36</f>
        <v>0</v>
      </c>
      <c r="F20" s="96"/>
      <c r="G20" s="30"/>
      <c r="H20" s="62"/>
    </row>
    <row r="21" spans="1:8" ht="15.75" thickBot="1" x14ac:dyDescent="0.3">
      <c r="A21" s="63"/>
      <c r="B21" s="6">
        <v>47453</v>
      </c>
      <c r="C21" s="42">
        <f>+'Anexo 7'!AC39</f>
        <v>12703810</v>
      </c>
      <c r="D21" s="71"/>
      <c r="E21" s="54">
        <f>+'Cantidades Ofertadas Prod 3'!AC39</f>
        <v>0</v>
      </c>
      <c r="F21" s="97"/>
      <c r="G21" s="30"/>
      <c r="H21" s="62"/>
    </row>
    <row r="22" spans="1:8" ht="28.5" customHeight="1" x14ac:dyDescent="0.25">
      <c r="A22" s="63"/>
      <c r="B22" s="7" t="s">
        <v>0</v>
      </c>
      <c r="C22" s="8">
        <f>+SUM(C10:C21)</f>
        <v>147919752</v>
      </c>
      <c r="D22" s="58"/>
      <c r="E22" s="52">
        <f>SUM(E10:E21)</f>
        <v>0</v>
      </c>
      <c r="F22" s="51">
        <f>+F10</f>
        <v>0</v>
      </c>
      <c r="G22" s="43"/>
      <c r="H22" s="43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ht="15" customHeight="1" x14ac:dyDescent="0.25">
      <c r="B24" s="65" t="s">
        <v>44</v>
      </c>
      <c r="C24" s="65"/>
      <c r="D24" s="65"/>
      <c r="E24" s="65"/>
      <c r="F24" s="65"/>
      <c r="G24" s="65"/>
      <c r="H24" s="49"/>
    </row>
    <row r="25" spans="1:8" x14ac:dyDescent="0.25">
      <c r="B25" s="5" t="s">
        <v>69</v>
      </c>
      <c r="C25" s="50"/>
      <c r="D25" s="50"/>
      <c r="E25" s="50"/>
      <c r="F25" s="50"/>
      <c r="G25" s="50"/>
      <c r="H25" s="40"/>
    </row>
    <row r="26" spans="1:8" x14ac:dyDescent="0.25">
      <c r="B26" s="5" t="s">
        <v>52</v>
      </c>
      <c r="C26" s="50"/>
      <c r="D26" s="50"/>
      <c r="E26" s="50"/>
      <c r="F26" s="50"/>
      <c r="G26" s="50"/>
      <c r="H26" s="40"/>
    </row>
    <row r="27" spans="1:8" x14ac:dyDescent="0.25">
      <c r="B27" s="5" t="s">
        <v>42</v>
      </c>
      <c r="H27" s="40"/>
    </row>
    <row r="28" spans="1:8" x14ac:dyDescent="0.25">
      <c r="B28" s="5" t="s">
        <v>72</v>
      </c>
      <c r="H28" s="40"/>
    </row>
    <row r="29" spans="1:8" x14ac:dyDescent="0.25">
      <c r="B29" s="5"/>
      <c r="C29" s="43"/>
      <c r="D29" s="24"/>
      <c r="E29" s="60"/>
      <c r="F29" s="24"/>
      <c r="G29" s="24"/>
      <c r="H29" s="40"/>
    </row>
    <row r="30" spans="1:8" x14ac:dyDescent="0.25">
      <c r="B30" s="5"/>
      <c r="C30" s="23"/>
      <c r="D30" s="24"/>
      <c r="E30" s="25"/>
      <c r="F30" s="24"/>
      <c r="G30" s="24"/>
      <c r="H30" s="40"/>
    </row>
    <row r="31" spans="1:8" x14ac:dyDescent="0.25">
      <c r="B31" s="5"/>
      <c r="C31" s="43"/>
      <c r="D31" s="24"/>
      <c r="E31" s="25"/>
      <c r="F31" s="24"/>
      <c r="G31" s="24"/>
      <c r="H31" s="40"/>
    </row>
    <row r="32" spans="1:8" x14ac:dyDescent="0.25">
      <c r="B32" s="5"/>
      <c r="C32" s="23"/>
      <c r="D32" s="24"/>
      <c r="E32" s="25"/>
      <c r="F32" s="24"/>
      <c r="G32" s="24"/>
      <c r="H32" s="40"/>
    </row>
    <row r="33" spans="1:8" x14ac:dyDescent="0.25">
      <c r="B33" s="56" t="s">
        <v>45</v>
      </c>
      <c r="C33" s="56"/>
      <c r="D33" s="56"/>
      <c r="E33" s="56"/>
      <c r="F33" s="24"/>
      <c r="G33" s="24"/>
      <c r="H33" s="40"/>
    </row>
    <row r="34" spans="1:8" x14ac:dyDescent="0.25">
      <c r="B34" s="57" t="s">
        <v>46</v>
      </c>
      <c r="C34" s="57"/>
      <c r="D34" s="57"/>
      <c r="E34" s="57"/>
      <c r="F34" s="24"/>
      <c r="G34" s="24"/>
      <c r="H34" s="40"/>
    </row>
    <row r="35" spans="1:8" x14ac:dyDescent="0.25">
      <c r="B35" s="57" t="s">
        <v>47</v>
      </c>
      <c r="F35" s="24"/>
      <c r="G35" s="24"/>
      <c r="H35" s="40"/>
    </row>
    <row r="36" spans="1:8" ht="15" customHeight="1" x14ac:dyDescent="0.25">
      <c r="A36" s="2"/>
      <c r="H36" s="40">
        <f t="shared" ref="H36:H37" si="0">+C36-G36</f>
        <v>0</v>
      </c>
    </row>
    <row r="37" spans="1:8" ht="15" hidden="1" customHeight="1" x14ac:dyDescent="0.25">
      <c r="A37" s="1"/>
      <c r="H37" s="40">
        <f t="shared" si="0"/>
        <v>0</v>
      </c>
    </row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D8C692E0-0018-460E-88FE-104E424B83B1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2D1E-A33F-47A2-9546-7F0D189442FC}">
  <sheetPr codeName="Hoja13">
    <tabColor rgb="FF00B050"/>
  </sheetPr>
  <dimension ref="A1:H33"/>
  <sheetViews>
    <sheetView showGridLines="0" topLeftCell="A22" zoomScaleNormal="100" zoomScaleSheetLayoutView="140" workbookViewId="0">
      <selection activeCell="A9" sqref="A9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56</v>
      </c>
      <c r="C3" s="72"/>
      <c r="D3" s="72"/>
      <c r="E3" s="72"/>
      <c r="F3" s="72"/>
      <c r="G3" s="27"/>
    </row>
    <row r="4" spans="1:8" x14ac:dyDescent="0.25">
      <c r="B4" s="72" t="s">
        <v>43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48</v>
      </c>
      <c r="D8" s="73" t="s">
        <v>53</v>
      </c>
      <c r="E8" s="73" t="s">
        <v>37</v>
      </c>
      <c r="F8" s="73" t="s">
        <v>41</v>
      </c>
      <c r="G8" s="26"/>
    </row>
    <row r="9" spans="1:8" ht="23.25" customHeight="1" x14ac:dyDescent="0.25">
      <c r="A9" s="59">
        <v>15000</v>
      </c>
      <c r="B9" s="74"/>
      <c r="C9" s="74"/>
      <c r="D9" s="74"/>
      <c r="E9" s="74"/>
      <c r="F9" s="74"/>
      <c r="G9" s="26"/>
    </row>
    <row r="10" spans="1:8" ht="15.75" thickBot="1" x14ac:dyDescent="0.3">
      <c r="A10" s="55">
        <v>31</v>
      </c>
      <c r="B10" s="6">
        <v>47119</v>
      </c>
      <c r="C10" s="41">
        <f>+$A$9*A10*24</f>
        <v>11160000</v>
      </c>
      <c r="D10" s="75"/>
      <c r="E10" s="53">
        <f>+$D$10*A10*24</f>
        <v>0</v>
      </c>
      <c r="F10" s="66"/>
      <c r="G10" s="30"/>
      <c r="H10" s="49"/>
    </row>
    <row r="11" spans="1:8" ht="15.75" thickBot="1" x14ac:dyDescent="0.3">
      <c r="A11" s="55">
        <v>28</v>
      </c>
      <c r="B11" s="6">
        <v>47150</v>
      </c>
      <c r="C11" s="41">
        <f t="shared" ref="C11:C21" si="0">+$A$9*A11*24</f>
        <v>10080000</v>
      </c>
      <c r="D11" s="76"/>
      <c r="E11" s="53">
        <f t="shared" ref="E11:E21" si="1">+$D$10*A11*24</f>
        <v>0</v>
      </c>
      <c r="F11" s="67"/>
      <c r="G11" s="30"/>
      <c r="H11" s="49"/>
    </row>
    <row r="12" spans="1:8" ht="15.75" thickBot="1" x14ac:dyDescent="0.3">
      <c r="A12" s="55">
        <v>31</v>
      </c>
      <c r="B12" s="6">
        <v>47178</v>
      </c>
      <c r="C12" s="41">
        <f t="shared" si="0"/>
        <v>11160000</v>
      </c>
      <c r="D12" s="76"/>
      <c r="E12" s="53">
        <f t="shared" si="1"/>
        <v>0</v>
      </c>
      <c r="F12" s="67"/>
      <c r="G12" s="30"/>
      <c r="H12" s="49"/>
    </row>
    <row r="13" spans="1:8" ht="15.75" thickBot="1" x14ac:dyDescent="0.3">
      <c r="A13" s="55">
        <v>30</v>
      </c>
      <c r="B13" s="6">
        <v>47209</v>
      </c>
      <c r="C13" s="41">
        <f t="shared" si="0"/>
        <v>10800000</v>
      </c>
      <c r="D13" s="76"/>
      <c r="E13" s="53">
        <f t="shared" si="1"/>
        <v>0</v>
      </c>
      <c r="F13" s="67"/>
      <c r="G13" s="30"/>
      <c r="H13" s="49"/>
    </row>
    <row r="14" spans="1:8" ht="15.75" thickBot="1" x14ac:dyDescent="0.3">
      <c r="A14" s="55">
        <v>31</v>
      </c>
      <c r="B14" s="6">
        <v>47239</v>
      </c>
      <c r="C14" s="41">
        <f t="shared" si="0"/>
        <v>11160000</v>
      </c>
      <c r="D14" s="76"/>
      <c r="E14" s="53">
        <f t="shared" si="1"/>
        <v>0</v>
      </c>
      <c r="F14" s="67"/>
      <c r="G14" s="30"/>
      <c r="H14" s="49"/>
    </row>
    <row r="15" spans="1:8" ht="15.75" thickBot="1" x14ac:dyDescent="0.3">
      <c r="A15" s="55">
        <v>30</v>
      </c>
      <c r="B15" s="6">
        <v>47270</v>
      </c>
      <c r="C15" s="41">
        <f t="shared" si="0"/>
        <v>10800000</v>
      </c>
      <c r="D15" s="76"/>
      <c r="E15" s="53">
        <f t="shared" si="1"/>
        <v>0</v>
      </c>
      <c r="F15" s="67"/>
      <c r="G15" s="30"/>
      <c r="H15" s="49"/>
    </row>
    <row r="16" spans="1:8" ht="15.75" thickBot="1" x14ac:dyDescent="0.3">
      <c r="A16" s="55">
        <v>31</v>
      </c>
      <c r="B16" s="6">
        <v>47300</v>
      </c>
      <c r="C16" s="41">
        <f t="shared" si="0"/>
        <v>11160000</v>
      </c>
      <c r="D16" s="76"/>
      <c r="E16" s="53">
        <f t="shared" si="1"/>
        <v>0</v>
      </c>
      <c r="F16" s="67"/>
      <c r="G16" s="30"/>
      <c r="H16" s="49"/>
    </row>
    <row r="17" spans="1:8" ht="15.75" thickBot="1" x14ac:dyDescent="0.3">
      <c r="A17" s="55">
        <v>31</v>
      </c>
      <c r="B17" s="6">
        <v>47331</v>
      </c>
      <c r="C17" s="41">
        <f t="shared" si="0"/>
        <v>11160000</v>
      </c>
      <c r="D17" s="76"/>
      <c r="E17" s="53">
        <f t="shared" si="1"/>
        <v>0</v>
      </c>
      <c r="F17" s="67"/>
      <c r="G17" s="30"/>
      <c r="H17" s="49"/>
    </row>
    <row r="18" spans="1:8" ht="15.75" thickBot="1" x14ac:dyDescent="0.3">
      <c r="A18" s="55">
        <v>30</v>
      </c>
      <c r="B18" s="6">
        <v>47362</v>
      </c>
      <c r="C18" s="41">
        <f t="shared" si="0"/>
        <v>10800000</v>
      </c>
      <c r="D18" s="76"/>
      <c r="E18" s="53">
        <f t="shared" si="1"/>
        <v>0</v>
      </c>
      <c r="F18" s="67"/>
      <c r="G18" s="30"/>
      <c r="H18" s="49"/>
    </row>
    <row r="19" spans="1:8" ht="15.75" thickBot="1" x14ac:dyDescent="0.3">
      <c r="A19" s="55">
        <v>31</v>
      </c>
      <c r="B19" s="6">
        <v>47392</v>
      </c>
      <c r="C19" s="41">
        <f t="shared" si="0"/>
        <v>11160000</v>
      </c>
      <c r="D19" s="76"/>
      <c r="E19" s="53">
        <f t="shared" si="1"/>
        <v>0</v>
      </c>
      <c r="F19" s="67"/>
      <c r="G19" s="30"/>
      <c r="H19" s="49"/>
    </row>
    <row r="20" spans="1:8" ht="15.75" thickBot="1" x14ac:dyDescent="0.3">
      <c r="A20" s="55">
        <v>30</v>
      </c>
      <c r="B20" s="6">
        <v>47423</v>
      </c>
      <c r="C20" s="41">
        <f t="shared" si="0"/>
        <v>10800000</v>
      </c>
      <c r="D20" s="76"/>
      <c r="E20" s="53">
        <f t="shared" si="1"/>
        <v>0</v>
      </c>
      <c r="F20" s="67"/>
      <c r="G20" s="30"/>
      <c r="H20" s="49"/>
    </row>
    <row r="21" spans="1:8" ht="15.75" thickBot="1" x14ac:dyDescent="0.3">
      <c r="A21" s="55">
        <v>31</v>
      </c>
      <c r="B21" s="6">
        <v>47453</v>
      </c>
      <c r="C21" s="41">
        <f t="shared" si="0"/>
        <v>11160000</v>
      </c>
      <c r="D21" s="77"/>
      <c r="E21" s="53">
        <f t="shared" si="1"/>
        <v>0</v>
      </c>
      <c r="F21" s="68"/>
      <c r="G21" s="30"/>
      <c r="H21" s="49"/>
    </row>
    <row r="22" spans="1:8" ht="28.5" customHeight="1" x14ac:dyDescent="0.25">
      <c r="B22" s="7" t="s">
        <v>0</v>
      </c>
      <c r="C22" s="8">
        <f>+SUM(C10:C21)</f>
        <v>131400000</v>
      </c>
      <c r="D22" s="9"/>
      <c r="E22" s="52">
        <f>SUM(E10:E21)</f>
        <v>0</v>
      </c>
      <c r="F22" s="51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71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5" t="s">
        <v>54</v>
      </c>
      <c r="C26" s="65"/>
      <c r="D26" s="65"/>
      <c r="E26" s="65"/>
      <c r="F26" s="65"/>
      <c r="G26" s="65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6" t="s">
        <v>45</v>
      </c>
      <c r="C29" s="56"/>
      <c r="D29" s="56"/>
      <c r="E29" s="56"/>
    </row>
    <row r="30" spans="1:8" x14ac:dyDescent="0.25">
      <c r="B30" s="57" t="s">
        <v>46</v>
      </c>
      <c r="C30" s="57"/>
      <c r="D30" s="57"/>
      <c r="E30" s="57"/>
    </row>
    <row r="31" spans="1:8" x14ac:dyDescent="0.25">
      <c r="B31" s="57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15.000" prompt="Se debe ofertar maximo 15.000 kWh" sqref="D10:D21" xr:uid="{87ABA0C6-6BC4-438A-9A2E-4CD940211528}">
      <formula1>0</formula1>
      <formula2>15000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055-D181-49D7-B7D8-A176D06E368D}">
  <sheetPr codeName="Hoja14">
    <tabColor rgb="FF00B050"/>
  </sheetPr>
  <dimension ref="A1:AD46"/>
  <sheetViews>
    <sheetView showGridLines="0" zoomScale="115" zoomScaleNormal="115" zoomScaleSheetLayoutView="110" workbookViewId="0">
      <pane xSplit="2" ySplit="5" topLeftCell="C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8.42578125" bestFit="1" customWidth="1"/>
    <col min="4" max="4" width="8" bestFit="1" customWidth="1"/>
    <col min="5" max="5" width="7.7109375" bestFit="1" customWidth="1"/>
    <col min="6" max="6" width="8" bestFit="1" customWidth="1"/>
    <col min="7" max="8" width="7.7109375" bestFit="1" customWidth="1"/>
    <col min="9" max="9" width="7.42578125" bestFit="1" customWidth="1"/>
    <col min="10" max="10" width="8" bestFit="1" customWidth="1"/>
    <col min="11" max="11" width="8.7109375" bestFit="1" customWidth="1"/>
    <col min="12" max="12" width="9" bestFit="1" customWidth="1"/>
    <col min="13" max="13" width="8.42578125" bestFit="1" customWidth="1"/>
    <col min="14" max="14" width="8.7109375" bestFit="1" customWidth="1"/>
    <col min="15" max="15" width="9" bestFit="1" customWidth="1"/>
    <col min="16" max="17" width="8.7109375" bestFit="1" customWidth="1"/>
    <col min="18" max="20" width="9" bestFit="1" customWidth="1"/>
    <col min="21" max="24" width="9.28515625" bestFit="1" customWidth="1"/>
    <col min="25" max="26" width="8.7109375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0" t="s">
        <v>73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ht="15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ht="15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47119</v>
      </c>
      <c r="B6" s="16" t="s">
        <v>5</v>
      </c>
      <c r="C6" s="31">
        <v>13704</v>
      </c>
      <c r="D6" s="31">
        <v>12912</v>
      </c>
      <c r="E6" s="31">
        <v>12436</v>
      </c>
      <c r="F6" s="31">
        <v>12190</v>
      </c>
      <c r="G6" s="31">
        <v>12360</v>
      </c>
      <c r="H6" s="31">
        <v>13096</v>
      </c>
      <c r="I6" s="31">
        <v>13796</v>
      </c>
      <c r="J6" s="31">
        <v>15106</v>
      </c>
      <c r="K6" s="31">
        <v>16580</v>
      </c>
      <c r="L6" s="31">
        <v>17697</v>
      </c>
      <c r="M6" s="31">
        <v>18834</v>
      </c>
      <c r="N6" s="31">
        <v>19906</v>
      </c>
      <c r="O6" s="31">
        <v>19724</v>
      </c>
      <c r="P6" s="31">
        <v>19748</v>
      </c>
      <c r="Q6" s="31">
        <v>20077</v>
      </c>
      <c r="R6" s="31">
        <v>20140</v>
      </c>
      <c r="S6" s="31">
        <v>19909</v>
      </c>
      <c r="T6" s="31">
        <v>19478</v>
      </c>
      <c r="U6" s="31">
        <v>20909</v>
      </c>
      <c r="V6" s="31">
        <v>22102</v>
      </c>
      <c r="W6" s="31">
        <v>21300</v>
      </c>
      <c r="X6" s="31">
        <v>19894</v>
      </c>
      <c r="Y6" s="31">
        <v>17635</v>
      </c>
      <c r="Z6" s="32">
        <v>15354</v>
      </c>
      <c r="AA6" s="33">
        <f>SUM(C6:Z6)</f>
        <v>414887</v>
      </c>
      <c r="AB6" s="17">
        <v>21</v>
      </c>
      <c r="AC6" s="90">
        <f>+AA6*AB6+AA7*AB7+AA8*AB8</f>
        <v>12622999</v>
      </c>
    </row>
    <row r="7" spans="1:30" ht="15.75" thickBot="1" x14ac:dyDescent="0.3">
      <c r="A7" s="89"/>
      <c r="B7" s="18" t="s">
        <v>4</v>
      </c>
      <c r="C7" s="34">
        <v>14035</v>
      </c>
      <c r="D7" s="34">
        <v>13141</v>
      </c>
      <c r="E7" s="34">
        <v>12595</v>
      </c>
      <c r="F7" s="34">
        <v>12251</v>
      </c>
      <c r="G7" s="34">
        <v>12261</v>
      </c>
      <c r="H7" s="34">
        <v>12673</v>
      </c>
      <c r="I7" s="34">
        <v>13153</v>
      </c>
      <c r="J7" s="34">
        <v>14486</v>
      </c>
      <c r="K7" s="34">
        <v>16133</v>
      </c>
      <c r="L7" s="34">
        <v>17377</v>
      </c>
      <c r="M7" s="34">
        <v>18308</v>
      </c>
      <c r="N7" s="34">
        <v>19230</v>
      </c>
      <c r="O7" s="34">
        <v>19330</v>
      </c>
      <c r="P7" s="34">
        <v>19140</v>
      </c>
      <c r="Q7" s="34">
        <v>18932</v>
      </c>
      <c r="R7" s="34">
        <v>18830</v>
      </c>
      <c r="S7" s="34">
        <v>18688</v>
      </c>
      <c r="T7" s="34">
        <v>18670</v>
      </c>
      <c r="U7" s="34">
        <v>20465</v>
      </c>
      <c r="V7" s="34">
        <v>21743</v>
      </c>
      <c r="W7" s="34">
        <v>20869</v>
      </c>
      <c r="X7" s="34">
        <v>19566</v>
      </c>
      <c r="Y7" s="34">
        <v>17717</v>
      </c>
      <c r="Z7" s="35">
        <v>15864</v>
      </c>
      <c r="AA7" s="36">
        <f t="shared" ref="AA7:AA41" si="0">SUM(C7:Z7)</f>
        <v>405457</v>
      </c>
      <c r="AB7" s="19">
        <v>4</v>
      </c>
      <c r="AC7" s="91"/>
      <c r="AD7" s="45"/>
    </row>
    <row r="8" spans="1:30" ht="15" x14ac:dyDescent="0.25">
      <c r="A8" s="89"/>
      <c r="B8" s="20" t="s">
        <v>3</v>
      </c>
      <c r="C8" s="37">
        <v>14713</v>
      </c>
      <c r="D8" s="37">
        <v>13747</v>
      </c>
      <c r="E8" s="37">
        <v>13106</v>
      </c>
      <c r="F8" s="37">
        <v>12653</v>
      </c>
      <c r="G8" s="37">
        <v>12433</v>
      </c>
      <c r="H8" s="37">
        <v>12519</v>
      </c>
      <c r="I8" s="37">
        <v>12397</v>
      </c>
      <c r="J8" s="37">
        <v>13129</v>
      </c>
      <c r="K8" s="37">
        <v>14382</v>
      </c>
      <c r="L8" s="37">
        <v>15487</v>
      </c>
      <c r="M8" s="37">
        <v>16302</v>
      </c>
      <c r="N8" s="37">
        <v>17151</v>
      </c>
      <c r="O8" s="37">
        <v>17653</v>
      </c>
      <c r="P8" s="37">
        <v>17593</v>
      </c>
      <c r="Q8" s="37">
        <v>17274</v>
      </c>
      <c r="R8" s="37">
        <v>17090</v>
      </c>
      <c r="S8" s="37">
        <v>16997</v>
      </c>
      <c r="T8" s="37">
        <v>17090</v>
      </c>
      <c r="U8" s="37">
        <v>19047</v>
      </c>
      <c r="V8" s="37">
        <v>20445</v>
      </c>
      <c r="W8" s="37">
        <v>19875</v>
      </c>
      <c r="X8" s="37">
        <v>18656</v>
      </c>
      <c r="Y8" s="37">
        <v>16777</v>
      </c>
      <c r="Z8" s="38">
        <v>14908</v>
      </c>
      <c r="AA8" s="39">
        <f t="shared" si="0"/>
        <v>381424</v>
      </c>
      <c r="AB8" s="21">
        <v>6</v>
      </c>
      <c r="AC8" s="92"/>
      <c r="AD8" s="46"/>
    </row>
    <row r="9" spans="1:30" ht="15.75" thickBot="1" x14ac:dyDescent="0.3">
      <c r="A9" s="89">
        <v>47150</v>
      </c>
      <c r="B9" s="16" t="s">
        <v>5</v>
      </c>
      <c r="C9" s="31">
        <v>13785</v>
      </c>
      <c r="D9" s="31">
        <v>13022</v>
      </c>
      <c r="E9" s="31">
        <v>12584</v>
      </c>
      <c r="F9" s="31">
        <v>12369</v>
      </c>
      <c r="G9" s="31">
        <v>12618</v>
      </c>
      <c r="H9" s="31">
        <v>13761</v>
      </c>
      <c r="I9" s="31">
        <v>14671</v>
      </c>
      <c r="J9" s="31">
        <v>15659</v>
      </c>
      <c r="K9" s="31">
        <v>16971</v>
      </c>
      <c r="L9" s="31">
        <v>17953</v>
      </c>
      <c r="M9" s="31">
        <v>19027</v>
      </c>
      <c r="N9" s="31">
        <v>20022</v>
      </c>
      <c r="O9" s="31">
        <v>19622</v>
      </c>
      <c r="P9" s="31">
        <v>19774</v>
      </c>
      <c r="Q9" s="31">
        <v>20236</v>
      </c>
      <c r="R9" s="31">
        <v>20319</v>
      </c>
      <c r="S9" s="31">
        <v>20093</v>
      </c>
      <c r="T9" s="31">
        <v>19568</v>
      </c>
      <c r="U9" s="31">
        <v>20661</v>
      </c>
      <c r="V9" s="31">
        <v>22225</v>
      </c>
      <c r="W9" s="31">
        <v>21454</v>
      </c>
      <c r="X9" s="31">
        <v>19983</v>
      </c>
      <c r="Y9" s="31">
        <v>17661</v>
      </c>
      <c r="Z9" s="32">
        <v>15350</v>
      </c>
      <c r="AA9" s="33">
        <f t="shared" si="0"/>
        <v>419388</v>
      </c>
      <c r="AB9" s="17">
        <v>20</v>
      </c>
      <c r="AC9" s="90">
        <f>+AA9*AB9+AA10*AB10+AA11*AB11</f>
        <v>11622692</v>
      </c>
    </row>
    <row r="10" spans="1:30" ht="15.75" thickBot="1" x14ac:dyDescent="0.3">
      <c r="A10" s="89"/>
      <c r="B10" s="18" t="s">
        <v>4</v>
      </c>
      <c r="C10" s="34">
        <v>14295</v>
      </c>
      <c r="D10" s="34">
        <v>13450</v>
      </c>
      <c r="E10" s="34">
        <v>12906</v>
      </c>
      <c r="F10" s="34">
        <v>12594</v>
      </c>
      <c r="G10" s="34">
        <v>12631</v>
      </c>
      <c r="H10" s="34">
        <v>13074</v>
      </c>
      <c r="I10" s="34">
        <v>13783</v>
      </c>
      <c r="J10" s="34">
        <v>15114</v>
      </c>
      <c r="K10" s="34">
        <v>16826</v>
      </c>
      <c r="L10" s="34">
        <v>18017</v>
      </c>
      <c r="M10" s="34">
        <v>18965</v>
      </c>
      <c r="N10" s="34">
        <v>19885</v>
      </c>
      <c r="O10" s="34">
        <v>19910</v>
      </c>
      <c r="P10" s="34">
        <v>19655</v>
      </c>
      <c r="Q10" s="34">
        <v>19436</v>
      </c>
      <c r="R10" s="34">
        <v>19317</v>
      </c>
      <c r="S10" s="34">
        <v>19153</v>
      </c>
      <c r="T10" s="34">
        <v>19093</v>
      </c>
      <c r="U10" s="34">
        <v>20544</v>
      </c>
      <c r="V10" s="34">
        <v>22117</v>
      </c>
      <c r="W10" s="34">
        <v>21251</v>
      </c>
      <c r="X10" s="34">
        <v>20020</v>
      </c>
      <c r="Y10" s="34">
        <v>18261</v>
      </c>
      <c r="Z10" s="35">
        <v>16306</v>
      </c>
      <c r="AA10" s="36">
        <f t="shared" si="0"/>
        <v>416603</v>
      </c>
      <c r="AB10" s="19">
        <v>4</v>
      </c>
      <c r="AC10" s="91"/>
      <c r="AD10" s="45"/>
    </row>
    <row r="11" spans="1:30" ht="15" x14ac:dyDescent="0.25">
      <c r="A11" s="89"/>
      <c r="B11" s="20" t="s">
        <v>3</v>
      </c>
      <c r="C11" s="37">
        <v>14847</v>
      </c>
      <c r="D11" s="37">
        <v>13888</v>
      </c>
      <c r="E11" s="37">
        <v>13303</v>
      </c>
      <c r="F11" s="37">
        <v>12864</v>
      </c>
      <c r="G11" s="37">
        <v>12724</v>
      </c>
      <c r="H11" s="37">
        <v>12856</v>
      </c>
      <c r="I11" s="37">
        <v>12961</v>
      </c>
      <c r="J11" s="37">
        <v>13819</v>
      </c>
      <c r="K11" s="37">
        <v>15194</v>
      </c>
      <c r="L11" s="37">
        <v>16320</v>
      </c>
      <c r="M11" s="37">
        <v>17065</v>
      </c>
      <c r="N11" s="37">
        <v>17872</v>
      </c>
      <c r="O11" s="37">
        <v>18323</v>
      </c>
      <c r="P11" s="37">
        <v>18176</v>
      </c>
      <c r="Q11" s="37">
        <v>17816</v>
      </c>
      <c r="R11" s="37">
        <v>17598</v>
      </c>
      <c r="S11" s="37">
        <v>17488</v>
      </c>
      <c r="T11" s="37">
        <v>17580</v>
      </c>
      <c r="U11" s="37">
        <v>19141</v>
      </c>
      <c r="V11" s="37">
        <v>20879</v>
      </c>
      <c r="W11" s="37">
        <v>20349</v>
      </c>
      <c r="X11" s="37">
        <v>19086</v>
      </c>
      <c r="Y11" s="37">
        <v>17013</v>
      </c>
      <c r="Z11" s="38">
        <v>14968</v>
      </c>
      <c r="AA11" s="39">
        <f t="shared" si="0"/>
        <v>392130</v>
      </c>
      <c r="AB11" s="21">
        <v>4</v>
      </c>
      <c r="AC11" s="92"/>
      <c r="AD11" s="46"/>
    </row>
    <row r="12" spans="1:30" ht="15.75" thickBot="1" x14ac:dyDescent="0.3">
      <c r="A12" s="89">
        <v>47178</v>
      </c>
      <c r="B12" s="16" t="s">
        <v>5</v>
      </c>
      <c r="C12" s="31">
        <v>13492</v>
      </c>
      <c r="D12" s="31">
        <v>12762</v>
      </c>
      <c r="E12" s="31">
        <v>12358</v>
      </c>
      <c r="F12" s="31">
        <v>12155</v>
      </c>
      <c r="G12" s="31">
        <v>12424</v>
      </c>
      <c r="H12" s="31">
        <v>13544</v>
      </c>
      <c r="I12" s="31">
        <v>14329</v>
      </c>
      <c r="J12" s="31">
        <v>15423</v>
      </c>
      <c r="K12" s="31">
        <v>16682</v>
      </c>
      <c r="L12" s="31">
        <v>17626</v>
      </c>
      <c r="M12" s="31">
        <v>18631</v>
      </c>
      <c r="N12" s="31">
        <v>19538</v>
      </c>
      <c r="O12" s="31">
        <v>19176</v>
      </c>
      <c r="P12" s="31">
        <v>19256</v>
      </c>
      <c r="Q12" s="31">
        <v>19654</v>
      </c>
      <c r="R12" s="31">
        <v>19718</v>
      </c>
      <c r="S12" s="31">
        <v>19546</v>
      </c>
      <c r="T12" s="31">
        <v>19176</v>
      </c>
      <c r="U12" s="31">
        <v>20540</v>
      </c>
      <c r="V12" s="31">
        <v>21875</v>
      </c>
      <c r="W12" s="31">
        <v>21080</v>
      </c>
      <c r="X12" s="31">
        <v>19583</v>
      </c>
      <c r="Y12" s="31">
        <v>17308</v>
      </c>
      <c r="Z12" s="32">
        <v>15061</v>
      </c>
      <c r="AA12" s="33">
        <f t="shared" si="0"/>
        <v>410937</v>
      </c>
      <c r="AB12" s="17">
        <v>19</v>
      </c>
      <c r="AC12" s="90">
        <f>+AA12*AB12+AA13*AB13+AA14*AB14</f>
        <v>12480498</v>
      </c>
    </row>
    <row r="13" spans="1:30" ht="15.75" thickBot="1" x14ac:dyDescent="0.3">
      <c r="A13" s="89"/>
      <c r="B13" s="18" t="s">
        <v>4</v>
      </c>
      <c r="C13" s="34">
        <v>13917</v>
      </c>
      <c r="D13" s="34">
        <v>13074</v>
      </c>
      <c r="E13" s="34">
        <v>12626</v>
      </c>
      <c r="F13" s="34">
        <v>12370</v>
      </c>
      <c r="G13" s="34">
        <v>12385</v>
      </c>
      <c r="H13" s="34">
        <v>12855</v>
      </c>
      <c r="I13" s="34">
        <v>13266</v>
      </c>
      <c r="J13" s="34">
        <v>14726</v>
      </c>
      <c r="K13" s="34">
        <v>16314</v>
      </c>
      <c r="L13" s="34">
        <v>17465</v>
      </c>
      <c r="M13" s="34">
        <v>18379</v>
      </c>
      <c r="N13" s="34">
        <v>19140</v>
      </c>
      <c r="O13" s="34">
        <v>19125</v>
      </c>
      <c r="P13" s="34">
        <v>18854</v>
      </c>
      <c r="Q13" s="34">
        <v>18651</v>
      </c>
      <c r="R13" s="34">
        <v>18497</v>
      </c>
      <c r="S13" s="34">
        <v>18299</v>
      </c>
      <c r="T13" s="34">
        <v>18313</v>
      </c>
      <c r="U13" s="34">
        <v>19969</v>
      </c>
      <c r="V13" s="34">
        <v>21228</v>
      </c>
      <c r="W13" s="34">
        <v>20405</v>
      </c>
      <c r="X13" s="34">
        <v>19228</v>
      </c>
      <c r="Y13" s="34">
        <v>17478</v>
      </c>
      <c r="Z13" s="35">
        <v>15709</v>
      </c>
      <c r="AA13" s="36">
        <f t="shared" si="0"/>
        <v>402273</v>
      </c>
      <c r="AB13" s="19">
        <v>5</v>
      </c>
      <c r="AC13" s="91"/>
      <c r="AD13" s="45"/>
    </row>
    <row r="14" spans="1:30" ht="15" x14ac:dyDescent="0.25">
      <c r="A14" s="89"/>
      <c r="B14" s="20" t="s">
        <v>3</v>
      </c>
      <c r="C14" s="37">
        <v>14342</v>
      </c>
      <c r="D14" s="37">
        <v>13415</v>
      </c>
      <c r="E14" s="37">
        <v>12869</v>
      </c>
      <c r="F14" s="37">
        <v>12499</v>
      </c>
      <c r="G14" s="37">
        <v>12346</v>
      </c>
      <c r="H14" s="37">
        <v>12528</v>
      </c>
      <c r="I14" s="37">
        <v>12482</v>
      </c>
      <c r="J14" s="37">
        <v>13410</v>
      </c>
      <c r="K14" s="37">
        <v>14673</v>
      </c>
      <c r="L14" s="37">
        <v>15692</v>
      </c>
      <c r="M14" s="37">
        <v>16402</v>
      </c>
      <c r="N14" s="37">
        <v>17209</v>
      </c>
      <c r="O14" s="37">
        <v>17690</v>
      </c>
      <c r="P14" s="37">
        <v>17556</v>
      </c>
      <c r="Q14" s="37">
        <v>17187</v>
      </c>
      <c r="R14" s="37">
        <v>17022</v>
      </c>
      <c r="S14" s="37">
        <v>16915</v>
      </c>
      <c r="T14" s="37">
        <v>17047</v>
      </c>
      <c r="U14" s="37">
        <v>18836</v>
      </c>
      <c r="V14" s="37">
        <v>20319</v>
      </c>
      <c r="W14" s="37">
        <v>19747</v>
      </c>
      <c r="X14" s="37">
        <v>18564</v>
      </c>
      <c r="Y14" s="37">
        <v>16638</v>
      </c>
      <c r="Z14" s="38">
        <v>14802</v>
      </c>
      <c r="AA14" s="39">
        <f t="shared" si="0"/>
        <v>380190</v>
      </c>
      <c r="AB14" s="21">
        <v>7</v>
      </c>
      <c r="AC14" s="92"/>
      <c r="AD14" s="43"/>
    </row>
    <row r="15" spans="1:30" ht="15.75" thickBot="1" x14ac:dyDescent="0.3">
      <c r="A15" s="89">
        <v>47209</v>
      </c>
      <c r="B15" s="16" t="s">
        <v>5</v>
      </c>
      <c r="C15" s="31">
        <v>13181</v>
      </c>
      <c r="D15" s="31">
        <v>12482</v>
      </c>
      <c r="E15" s="31">
        <v>12062</v>
      </c>
      <c r="F15" s="31">
        <v>11867</v>
      </c>
      <c r="G15" s="31">
        <v>12113</v>
      </c>
      <c r="H15" s="31">
        <v>13017</v>
      </c>
      <c r="I15" s="31">
        <v>13682</v>
      </c>
      <c r="J15" s="31">
        <v>14887</v>
      </c>
      <c r="K15" s="31">
        <v>16147</v>
      </c>
      <c r="L15" s="31">
        <v>17133</v>
      </c>
      <c r="M15" s="31">
        <v>18174</v>
      </c>
      <c r="N15" s="31">
        <v>19117</v>
      </c>
      <c r="O15" s="31">
        <v>18780</v>
      </c>
      <c r="P15" s="31">
        <v>18867</v>
      </c>
      <c r="Q15" s="31">
        <v>19240</v>
      </c>
      <c r="R15" s="31">
        <v>19278</v>
      </c>
      <c r="S15" s="31">
        <v>19084</v>
      </c>
      <c r="T15" s="31">
        <v>18802</v>
      </c>
      <c r="U15" s="31">
        <v>20443</v>
      </c>
      <c r="V15" s="31">
        <v>21419</v>
      </c>
      <c r="W15" s="31">
        <v>20666</v>
      </c>
      <c r="X15" s="31">
        <v>19155</v>
      </c>
      <c r="Y15" s="31">
        <v>16868</v>
      </c>
      <c r="Z15" s="32">
        <v>14681</v>
      </c>
      <c r="AA15" s="33">
        <f t="shared" si="0"/>
        <v>401145</v>
      </c>
      <c r="AB15" s="17">
        <v>21</v>
      </c>
      <c r="AC15" s="90">
        <f>+AA15*AB15+AA16*AB16+AA17*AB17</f>
        <v>11865612</v>
      </c>
    </row>
    <row r="16" spans="1:30" ht="15.75" thickBot="1" x14ac:dyDescent="0.3">
      <c r="A16" s="89"/>
      <c r="B16" s="18" t="s">
        <v>4</v>
      </c>
      <c r="C16" s="34">
        <v>13462</v>
      </c>
      <c r="D16" s="34">
        <v>12664</v>
      </c>
      <c r="E16" s="34">
        <v>12151</v>
      </c>
      <c r="F16" s="34">
        <v>11849</v>
      </c>
      <c r="G16" s="34">
        <v>11905</v>
      </c>
      <c r="H16" s="34">
        <v>12246</v>
      </c>
      <c r="I16" s="34">
        <v>12676</v>
      </c>
      <c r="J16" s="34">
        <v>14201</v>
      </c>
      <c r="K16" s="34">
        <v>15764</v>
      </c>
      <c r="L16" s="34">
        <v>16951</v>
      </c>
      <c r="M16" s="34">
        <v>17808</v>
      </c>
      <c r="N16" s="34">
        <v>18781</v>
      </c>
      <c r="O16" s="34">
        <v>18840</v>
      </c>
      <c r="P16" s="34">
        <v>18614</v>
      </c>
      <c r="Q16" s="34">
        <v>18408</v>
      </c>
      <c r="R16" s="34">
        <v>18266</v>
      </c>
      <c r="S16" s="34">
        <v>18214</v>
      </c>
      <c r="T16" s="34">
        <v>18301</v>
      </c>
      <c r="U16" s="34">
        <v>20168</v>
      </c>
      <c r="V16" s="34">
        <v>21201</v>
      </c>
      <c r="W16" s="34">
        <v>20333</v>
      </c>
      <c r="X16" s="34">
        <v>19074</v>
      </c>
      <c r="Y16" s="34">
        <v>17300</v>
      </c>
      <c r="Z16" s="35">
        <v>15491</v>
      </c>
      <c r="AA16" s="36">
        <f t="shared" si="0"/>
        <v>394668</v>
      </c>
      <c r="AB16" s="19">
        <v>4</v>
      </c>
      <c r="AC16" s="91"/>
      <c r="AD16" s="45"/>
    </row>
    <row r="17" spans="1:30" ht="15" x14ac:dyDescent="0.25">
      <c r="A17" s="89"/>
      <c r="B17" s="20" t="s">
        <v>3</v>
      </c>
      <c r="C17" s="37">
        <v>14029</v>
      </c>
      <c r="D17" s="37">
        <v>13134</v>
      </c>
      <c r="E17" s="37">
        <v>12555</v>
      </c>
      <c r="F17" s="37">
        <v>12161</v>
      </c>
      <c r="G17" s="37">
        <v>12009</v>
      </c>
      <c r="H17" s="37">
        <v>11988</v>
      </c>
      <c r="I17" s="37">
        <v>12082</v>
      </c>
      <c r="J17" s="37">
        <v>13128</v>
      </c>
      <c r="K17" s="37">
        <v>14353</v>
      </c>
      <c r="L17" s="37">
        <v>15428</v>
      </c>
      <c r="M17" s="37">
        <v>16193</v>
      </c>
      <c r="N17" s="37">
        <v>16972</v>
      </c>
      <c r="O17" s="37">
        <v>17426</v>
      </c>
      <c r="P17" s="37">
        <v>17301</v>
      </c>
      <c r="Q17" s="37">
        <v>16909</v>
      </c>
      <c r="R17" s="37">
        <v>16724</v>
      </c>
      <c r="S17" s="37">
        <v>16619</v>
      </c>
      <c r="T17" s="37">
        <v>16769</v>
      </c>
      <c r="U17" s="37">
        <v>18762</v>
      </c>
      <c r="V17" s="37">
        <v>19956</v>
      </c>
      <c r="W17" s="37">
        <v>19331</v>
      </c>
      <c r="X17" s="37">
        <v>18113</v>
      </c>
      <c r="Y17" s="37">
        <v>16248</v>
      </c>
      <c r="Z17" s="38">
        <v>14389</v>
      </c>
      <c r="AA17" s="39">
        <f t="shared" si="0"/>
        <v>372579</v>
      </c>
      <c r="AB17" s="21">
        <v>5</v>
      </c>
      <c r="AC17" s="92"/>
      <c r="AD17" s="46"/>
    </row>
    <row r="18" spans="1:30" ht="15.75" thickBot="1" x14ac:dyDescent="0.3">
      <c r="A18" s="89">
        <v>47239</v>
      </c>
      <c r="B18" s="16" t="s">
        <v>5</v>
      </c>
      <c r="C18" s="31">
        <v>13200</v>
      </c>
      <c r="D18" s="31">
        <v>12478</v>
      </c>
      <c r="E18" s="31">
        <v>12075</v>
      </c>
      <c r="F18" s="31">
        <v>11874</v>
      </c>
      <c r="G18" s="31">
        <v>12112</v>
      </c>
      <c r="H18" s="31">
        <v>12887</v>
      </c>
      <c r="I18" s="31">
        <v>13697</v>
      </c>
      <c r="J18" s="31">
        <v>14962</v>
      </c>
      <c r="K18" s="31">
        <v>16256</v>
      </c>
      <c r="L18" s="31">
        <v>17272</v>
      </c>
      <c r="M18" s="31">
        <v>18293</v>
      </c>
      <c r="N18" s="31">
        <v>19263</v>
      </c>
      <c r="O18" s="31">
        <v>18970</v>
      </c>
      <c r="P18" s="31">
        <v>18966</v>
      </c>
      <c r="Q18" s="31">
        <v>19259</v>
      </c>
      <c r="R18" s="31">
        <v>19293</v>
      </c>
      <c r="S18" s="31">
        <v>19096</v>
      </c>
      <c r="T18" s="31">
        <v>18865</v>
      </c>
      <c r="U18" s="31">
        <v>20579</v>
      </c>
      <c r="V18" s="31">
        <v>21550</v>
      </c>
      <c r="W18" s="31">
        <v>20708</v>
      </c>
      <c r="X18" s="31">
        <v>19193</v>
      </c>
      <c r="Y18" s="31">
        <v>16870</v>
      </c>
      <c r="Z18" s="32">
        <v>14718</v>
      </c>
      <c r="AA18" s="33">
        <f t="shared" si="0"/>
        <v>402436</v>
      </c>
      <c r="AB18" s="17">
        <v>21</v>
      </c>
      <c r="AC18" s="90">
        <f>+AA18*AB18+AA19*AB19+AA20*AB20</f>
        <v>12317910</v>
      </c>
    </row>
    <row r="19" spans="1:30" ht="15.75" thickBot="1" x14ac:dyDescent="0.3">
      <c r="A19" s="89"/>
      <c r="B19" s="18" t="s">
        <v>4</v>
      </c>
      <c r="C19" s="34">
        <v>13689</v>
      </c>
      <c r="D19" s="34">
        <v>12897</v>
      </c>
      <c r="E19" s="34">
        <v>12419</v>
      </c>
      <c r="F19" s="34">
        <v>12137</v>
      </c>
      <c r="G19" s="34">
        <v>12186</v>
      </c>
      <c r="H19" s="34">
        <v>12386</v>
      </c>
      <c r="I19" s="34">
        <v>13035</v>
      </c>
      <c r="J19" s="34">
        <v>14567</v>
      </c>
      <c r="K19" s="34">
        <v>16166</v>
      </c>
      <c r="L19" s="34">
        <v>17402</v>
      </c>
      <c r="M19" s="34">
        <v>18249</v>
      </c>
      <c r="N19" s="34">
        <v>19022</v>
      </c>
      <c r="O19" s="34">
        <v>19024</v>
      </c>
      <c r="P19" s="34">
        <v>18721</v>
      </c>
      <c r="Q19" s="34">
        <v>18413</v>
      </c>
      <c r="R19" s="34">
        <v>18227</v>
      </c>
      <c r="S19" s="34">
        <v>18092</v>
      </c>
      <c r="T19" s="34">
        <v>18259</v>
      </c>
      <c r="U19" s="34">
        <v>20288</v>
      </c>
      <c r="V19" s="34">
        <v>21111</v>
      </c>
      <c r="W19" s="34">
        <v>20274</v>
      </c>
      <c r="X19" s="34">
        <v>18991</v>
      </c>
      <c r="Y19" s="34">
        <v>17207</v>
      </c>
      <c r="Z19" s="35">
        <v>15428</v>
      </c>
      <c r="AA19" s="36">
        <f t="shared" si="0"/>
        <v>398190</v>
      </c>
      <c r="AB19" s="19">
        <v>4</v>
      </c>
      <c r="AC19" s="91"/>
      <c r="AD19" s="45"/>
    </row>
    <row r="20" spans="1:30" ht="15" x14ac:dyDescent="0.25">
      <c r="A20" s="89"/>
      <c r="B20" s="20" t="s">
        <v>3</v>
      </c>
      <c r="C20" s="37">
        <v>13928</v>
      </c>
      <c r="D20" s="37">
        <v>13063</v>
      </c>
      <c r="E20" s="37">
        <v>12525</v>
      </c>
      <c r="F20" s="37">
        <v>12168</v>
      </c>
      <c r="G20" s="37">
        <v>12058</v>
      </c>
      <c r="H20" s="37">
        <v>11922</v>
      </c>
      <c r="I20" s="37">
        <v>12167</v>
      </c>
      <c r="J20" s="37">
        <v>13332</v>
      </c>
      <c r="K20" s="37">
        <v>14629</v>
      </c>
      <c r="L20" s="37">
        <v>15781</v>
      </c>
      <c r="M20" s="37">
        <v>16568</v>
      </c>
      <c r="N20" s="37">
        <v>17390</v>
      </c>
      <c r="O20" s="37">
        <v>17751</v>
      </c>
      <c r="P20" s="37">
        <v>17679</v>
      </c>
      <c r="Q20" s="37">
        <v>17250</v>
      </c>
      <c r="R20" s="37">
        <v>17732</v>
      </c>
      <c r="S20" s="37">
        <v>16949</v>
      </c>
      <c r="T20" s="37">
        <v>17135</v>
      </c>
      <c r="U20" s="37">
        <v>19196</v>
      </c>
      <c r="V20" s="37">
        <v>20393</v>
      </c>
      <c r="W20" s="37">
        <v>19750</v>
      </c>
      <c r="X20" s="37">
        <v>18455</v>
      </c>
      <c r="Y20" s="37">
        <v>16537</v>
      </c>
      <c r="Z20" s="38">
        <v>14641</v>
      </c>
      <c r="AA20" s="39">
        <f t="shared" si="0"/>
        <v>378999</v>
      </c>
      <c r="AB20" s="21">
        <v>6</v>
      </c>
      <c r="AC20" s="92"/>
      <c r="AD20" s="46"/>
    </row>
    <row r="21" spans="1:30" ht="15.75" thickBot="1" x14ac:dyDescent="0.3">
      <c r="A21" s="89">
        <v>47270</v>
      </c>
      <c r="B21" s="16" t="s">
        <v>5</v>
      </c>
      <c r="C21" s="31">
        <v>13045</v>
      </c>
      <c r="D21" s="31">
        <v>12307</v>
      </c>
      <c r="E21" s="31">
        <v>11938</v>
      </c>
      <c r="F21" s="31">
        <v>11740</v>
      </c>
      <c r="G21" s="31">
        <v>11959</v>
      </c>
      <c r="H21" s="31">
        <v>12624</v>
      </c>
      <c r="I21" s="31">
        <v>13501</v>
      </c>
      <c r="J21" s="31">
        <v>14837</v>
      </c>
      <c r="K21" s="31">
        <v>16186</v>
      </c>
      <c r="L21" s="31">
        <v>17192</v>
      </c>
      <c r="M21" s="31">
        <v>18244</v>
      </c>
      <c r="N21" s="31">
        <v>19225</v>
      </c>
      <c r="O21" s="31">
        <v>18908</v>
      </c>
      <c r="P21" s="31">
        <v>18887</v>
      </c>
      <c r="Q21" s="31">
        <v>19248</v>
      </c>
      <c r="R21" s="31">
        <v>19268</v>
      </c>
      <c r="S21" s="31">
        <v>19072</v>
      </c>
      <c r="T21" s="31">
        <v>18777</v>
      </c>
      <c r="U21" s="31">
        <v>20143</v>
      </c>
      <c r="V21" s="31">
        <v>21418</v>
      </c>
      <c r="W21" s="31">
        <v>20619</v>
      </c>
      <c r="X21" s="31">
        <v>19118</v>
      </c>
      <c r="Y21" s="31">
        <v>16761</v>
      </c>
      <c r="Z21" s="32">
        <v>14576</v>
      </c>
      <c r="AA21" s="33">
        <f t="shared" si="0"/>
        <v>399593</v>
      </c>
      <c r="AB21" s="17">
        <v>19</v>
      </c>
      <c r="AC21" s="90">
        <f>+AA21*AB21+AA22*AB22+AA23*AB23</f>
        <v>11913904</v>
      </c>
    </row>
    <row r="22" spans="1:30" ht="15.75" thickBot="1" x14ac:dyDescent="0.3">
      <c r="A22" s="89"/>
      <c r="B22" s="18" t="s">
        <v>4</v>
      </c>
      <c r="C22" s="34">
        <v>13675</v>
      </c>
      <c r="D22" s="34">
        <v>12824</v>
      </c>
      <c r="E22" s="34">
        <v>12336</v>
      </c>
      <c r="F22" s="34">
        <v>12060</v>
      </c>
      <c r="G22" s="34">
        <v>12084</v>
      </c>
      <c r="H22" s="34">
        <v>12280</v>
      </c>
      <c r="I22" s="34">
        <v>12922</v>
      </c>
      <c r="J22" s="34">
        <v>14437</v>
      </c>
      <c r="K22" s="34">
        <v>16148</v>
      </c>
      <c r="L22" s="34">
        <v>17322</v>
      </c>
      <c r="M22" s="34">
        <v>18239</v>
      </c>
      <c r="N22" s="34">
        <v>19033</v>
      </c>
      <c r="O22" s="34">
        <v>19085</v>
      </c>
      <c r="P22" s="34">
        <v>18890</v>
      </c>
      <c r="Q22" s="34">
        <v>18688</v>
      </c>
      <c r="R22" s="34">
        <v>18653</v>
      </c>
      <c r="S22" s="34">
        <v>18514</v>
      </c>
      <c r="T22" s="34">
        <v>18653</v>
      </c>
      <c r="U22" s="34">
        <v>20394</v>
      </c>
      <c r="V22" s="34">
        <v>21512</v>
      </c>
      <c r="W22" s="34">
        <v>20630</v>
      </c>
      <c r="X22" s="34">
        <v>19370</v>
      </c>
      <c r="Y22" s="34">
        <v>17505</v>
      </c>
      <c r="Z22" s="35">
        <v>15607</v>
      </c>
      <c r="AA22" s="36">
        <f t="shared" si="0"/>
        <v>400861</v>
      </c>
      <c r="AB22" s="19">
        <v>5</v>
      </c>
      <c r="AC22" s="91"/>
      <c r="AD22" s="45"/>
    </row>
    <row r="23" spans="1:30" ht="15" x14ac:dyDescent="0.25">
      <c r="A23" s="89"/>
      <c r="B23" s="20" t="s">
        <v>3</v>
      </c>
      <c r="C23" s="37">
        <v>14232</v>
      </c>
      <c r="D23" s="37">
        <v>13325</v>
      </c>
      <c r="E23" s="37">
        <v>12798</v>
      </c>
      <c r="F23" s="37">
        <v>12439</v>
      </c>
      <c r="G23" s="37">
        <v>12354</v>
      </c>
      <c r="H23" s="37">
        <v>12340</v>
      </c>
      <c r="I23" s="37">
        <v>12504</v>
      </c>
      <c r="J23" s="37">
        <v>13719</v>
      </c>
      <c r="K23" s="37">
        <v>15069</v>
      </c>
      <c r="L23" s="37">
        <v>16112</v>
      </c>
      <c r="M23" s="37">
        <v>16970</v>
      </c>
      <c r="N23" s="37">
        <v>17799</v>
      </c>
      <c r="O23" s="37">
        <v>18095</v>
      </c>
      <c r="P23" s="37">
        <v>17970</v>
      </c>
      <c r="Q23" s="37">
        <v>17622</v>
      </c>
      <c r="R23" s="37">
        <v>17458</v>
      </c>
      <c r="S23" s="37">
        <v>17369</v>
      </c>
      <c r="T23" s="37">
        <v>17511</v>
      </c>
      <c r="U23" s="37">
        <v>19278</v>
      </c>
      <c r="V23" s="37">
        <v>20695</v>
      </c>
      <c r="W23" s="37">
        <v>20085</v>
      </c>
      <c r="X23" s="37">
        <v>18774</v>
      </c>
      <c r="Y23" s="37">
        <v>16805</v>
      </c>
      <c r="Z23" s="38">
        <v>14899</v>
      </c>
      <c r="AA23" s="39">
        <f t="shared" si="0"/>
        <v>386222</v>
      </c>
      <c r="AB23" s="21">
        <v>6</v>
      </c>
      <c r="AC23" s="92"/>
      <c r="AD23" s="46"/>
    </row>
    <row r="24" spans="1:30" ht="15.75" thickBot="1" x14ac:dyDescent="0.3">
      <c r="A24" s="89">
        <v>47300</v>
      </c>
      <c r="B24" s="16" t="s">
        <v>5</v>
      </c>
      <c r="C24" s="31">
        <v>13658</v>
      </c>
      <c r="D24" s="31">
        <v>12880</v>
      </c>
      <c r="E24" s="31">
        <v>12432</v>
      </c>
      <c r="F24" s="31">
        <v>12188</v>
      </c>
      <c r="G24" s="31">
        <v>12396</v>
      </c>
      <c r="H24" s="31">
        <v>13058</v>
      </c>
      <c r="I24" s="31">
        <v>13771</v>
      </c>
      <c r="J24" s="31">
        <v>15262</v>
      </c>
      <c r="K24" s="31">
        <v>16711</v>
      </c>
      <c r="L24" s="31">
        <v>17847</v>
      </c>
      <c r="M24" s="31">
        <v>18946</v>
      </c>
      <c r="N24" s="31">
        <v>19921</v>
      </c>
      <c r="O24" s="31">
        <v>19576</v>
      </c>
      <c r="P24" s="31">
        <v>19618</v>
      </c>
      <c r="Q24" s="31">
        <v>19978</v>
      </c>
      <c r="R24" s="31">
        <v>20018</v>
      </c>
      <c r="S24" s="31">
        <v>19735</v>
      </c>
      <c r="T24" s="31">
        <v>19241</v>
      </c>
      <c r="U24" s="31">
        <v>20371</v>
      </c>
      <c r="V24" s="31">
        <v>21886</v>
      </c>
      <c r="W24" s="31">
        <v>21178</v>
      </c>
      <c r="X24" s="31">
        <v>19751</v>
      </c>
      <c r="Y24" s="31">
        <v>17396</v>
      </c>
      <c r="Z24" s="32">
        <v>15229</v>
      </c>
      <c r="AA24" s="33">
        <f t="shared" si="0"/>
        <v>413047</v>
      </c>
      <c r="AB24" s="17">
        <v>20</v>
      </c>
      <c r="AC24" s="90">
        <f>+AA24*AB24+AA25*AB25+AA26*AB26</f>
        <v>12586949</v>
      </c>
    </row>
    <row r="25" spans="1:30" ht="15.75" thickBot="1" x14ac:dyDescent="0.3">
      <c r="A25" s="89"/>
      <c r="B25" s="18" t="s">
        <v>4</v>
      </c>
      <c r="C25" s="34">
        <v>13688</v>
      </c>
      <c r="D25" s="34">
        <v>12796</v>
      </c>
      <c r="E25" s="34">
        <v>12342</v>
      </c>
      <c r="F25" s="34">
        <v>12038</v>
      </c>
      <c r="G25" s="34">
        <v>12067</v>
      </c>
      <c r="H25" s="34">
        <v>12321</v>
      </c>
      <c r="I25" s="34">
        <v>12933</v>
      </c>
      <c r="J25" s="34">
        <v>14738</v>
      </c>
      <c r="K25" s="34">
        <v>16457</v>
      </c>
      <c r="L25" s="34">
        <v>17633</v>
      </c>
      <c r="M25" s="34">
        <v>18558</v>
      </c>
      <c r="N25" s="34">
        <v>19340</v>
      </c>
      <c r="O25" s="34">
        <v>19304</v>
      </c>
      <c r="P25" s="34">
        <v>19001</v>
      </c>
      <c r="Q25" s="34">
        <v>18726</v>
      </c>
      <c r="R25" s="34">
        <v>18584</v>
      </c>
      <c r="S25" s="34">
        <v>18419</v>
      </c>
      <c r="T25" s="34">
        <v>18474</v>
      </c>
      <c r="U25" s="34">
        <v>19854</v>
      </c>
      <c r="V25" s="34">
        <v>21313</v>
      </c>
      <c r="W25" s="34">
        <v>20499</v>
      </c>
      <c r="X25" s="34">
        <v>19334</v>
      </c>
      <c r="Y25" s="34">
        <v>17511</v>
      </c>
      <c r="Z25" s="35">
        <v>15706</v>
      </c>
      <c r="AA25" s="36">
        <f t="shared" si="0"/>
        <v>401636</v>
      </c>
      <c r="AB25" s="19">
        <v>4</v>
      </c>
      <c r="AC25" s="91"/>
      <c r="AD25" s="45"/>
    </row>
    <row r="26" spans="1:30" ht="15" x14ac:dyDescent="0.25">
      <c r="A26" s="89"/>
      <c r="B26" s="20" t="s">
        <v>3</v>
      </c>
      <c r="C26" s="37">
        <v>14526</v>
      </c>
      <c r="D26" s="37">
        <v>13634</v>
      </c>
      <c r="E26" s="37">
        <v>13045</v>
      </c>
      <c r="F26" s="37">
        <v>12660</v>
      </c>
      <c r="G26" s="37">
        <v>12540</v>
      </c>
      <c r="H26" s="37">
        <v>12544</v>
      </c>
      <c r="I26" s="37">
        <v>12627</v>
      </c>
      <c r="J26" s="37">
        <v>13775</v>
      </c>
      <c r="K26" s="37">
        <v>15152</v>
      </c>
      <c r="L26" s="37">
        <v>16294</v>
      </c>
      <c r="M26" s="37">
        <v>17125</v>
      </c>
      <c r="N26" s="37">
        <v>17896</v>
      </c>
      <c r="O26" s="37">
        <v>18278</v>
      </c>
      <c r="P26" s="37">
        <v>18077</v>
      </c>
      <c r="Q26" s="37">
        <v>17678</v>
      </c>
      <c r="R26" s="37">
        <v>17466</v>
      </c>
      <c r="S26" s="37">
        <v>17302</v>
      </c>
      <c r="T26" s="37">
        <v>17377</v>
      </c>
      <c r="U26" s="37">
        <v>18840</v>
      </c>
      <c r="V26" s="37">
        <v>20639</v>
      </c>
      <c r="W26" s="37">
        <v>20113</v>
      </c>
      <c r="X26" s="37">
        <v>18903</v>
      </c>
      <c r="Y26" s="37">
        <v>16935</v>
      </c>
      <c r="Z26" s="38">
        <v>15069</v>
      </c>
      <c r="AA26" s="39">
        <f t="shared" si="0"/>
        <v>388495</v>
      </c>
      <c r="AB26" s="21">
        <v>7</v>
      </c>
      <c r="AC26" s="92"/>
      <c r="AD26" s="46"/>
    </row>
    <row r="27" spans="1:30" ht="15.75" thickBot="1" x14ac:dyDescent="0.3">
      <c r="A27" s="89">
        <v>47331</v>
      </c>
      <c r="B27" s="16" t="s">
        <v>5</v>
      </c>
      <c r="C27" s="31">
        <v>13818</v>
      </c>
      <c r="D27" s="31">
        <v>13082</v>
      </c>
      <c r="E27" s="31">
        <v>12675</v>
      </c>
      <c r="F27" s="31">
        <v>12435</v>
      </c>
      <c r="G27" s="31">
        <v>12653</v>
      </c>
      <c r="H27" s="31">
        <v>13530</v>
      </c>
      <c r="I27" s="31">
        <v>14311</v>
      </c>
      <c r="J27" s="31">
        <v>15639</v>
      </c>
      <c r="K27" s="31">
        <v>17028</v>
      </c>
      <c r="L27" s="31">
        <v>18091</v>
      </c>
      <c r="M27" s="31">
        <v>19218</v>
      </c>
      <c r="N27" s="31">
        <v>20205</v>
      </c>
      <c r="O27" s="31">
        <v>19857</v>
      </c>
      <c r="P27" s="31">
        <v>20015</v>
      </c>
      <c r="Q27" s="31">
        <v>20421</v>
      </c>
      <c r="R27" s="31">
        <v>20453</v>
      </c>
      <c r="S27" s="31">
        <v>20159</v>
      </c>
      <c r="T27" s="31">
        <v>19649</v>
      </c>
      <c r="U27" s="31">
        <v>21024</v>
      </c>
      <c r="V27" s="31">
        <v>22298</v>
      </c>
      <c r="W27" s="31">
        <v>21519</v>
      </c>
      <c r="X27" s="31">
        <v>20015</v>
      </c>
      <c r="Y27" s="31">
        <v>17630</v>
      </c>
      <c r="Z27" s="32">
        <v>15478</v>
      </c>
      <c r="AA27" s="33">
        <f t="shared" si="0"/>
        <v>421203</v>
      </c>
      <c r="AB27" s="17">
        <v>21</v>
      </c>
      <c r="AC27" s="90">
        <f>+AA27*AB27+AA28*AB28+AA29*AB29</f>
        <v>12849499</v>
      </c>
    </row>
    <row r="28" spans="1:30" ht="15.75" thickBot="1" x14ac:dyDescent="0.3">
      <c r="A28" s="89"/>
      <c r="B28" s="18" t="s">
        <v>4</v>
      </c>
      <c r="C28" s="34">
        <v>14383</v>
      </c>
      <c r="D28" s="34">
        <v>13585</v>
      </c>
      <c r="E28" s="34">
        <v>13085</v>
      </c>
      <c r="F28" s="34">
        <v>12711</v>
      </c>
      <c r="G28" s="34">
        <v>12683</v>
      </c>
      <c r="H28" s="34">
        <v>13035</v>
      </c>
      <c r="I28" s="34">
        <v>13453</v>
      </c>
      <c r="J28" s="34">
        <v>15155</v>
      </c>
      <c r="K28" s="34">
        <v>16877</v>
      </c>
      <c r="L28" s="34">
        <v>18057</v>
      </c>
      <c r="M28" s="34">
        <v>19092</v>
      </c>
      <c r="N28" s="34">
        <v>19874</v>
      </c>
      <c r="O28" s="34">
        <v>19880</v>
      </c>
      <c r="P28" s="34">
        <v>19666</v>
      </c>
      <c r="Q28" s="34">
        <v>19461</v>
      </c>
      <c r="R28" s="34">
        <v>19342</v>
      </c>
      <c r="S28" s="34">
        <v>19083</v>
      </c>
      <c r="T28" s="34">
        <v>19047</v>
      </c>
      <c r="U28" s="34">
        <v>20750</v>
      </c>
      <c r="V28" s="34">
        <v>21874</v>
      </c>
      <c r="W28" s="34">
        <v>21046</v>
      </c>
      <c r="X28" s="34">
        <v>19844</v>
      </c>
      <c r="Y28" s="34">
        <v>18094</v>
      </c>
      <c r="Z28" s="35">
        <v>16210</v>
      </c>
      <c r="AA28" s="36">
        <f t="shared" si="0"/>
        <v>416287</v>
      </c>
      <c r="AB28" s="19">
        <v>4</v>
      </c>
      <c r="AC28" s="91"/>
      <c r="AD28" s="45"/>
    </row>
    <row r="29" spans="1:30" ht="15" x14ac:dyDescent="0.25">
      <c r="A29" s="89"/>
      <c r="B29" s="20" t="s">
        <v>3</v>
      </c>
      <c r="C29" s="37">
        <v>14652</v>
      </c>
      <c r="D29" s="37">
        <v>13743</v>
      </c>
      <c r="E29" s="37">
        <v>13144</v>
      </c>
      <c r="F29" s="37">
        <v>12763</v>
      </c>
      <c r="G29" s="37">
        <v>12639</v>
      </c>
      <c r="H29" s="37">
        <v>12681</v>
      </c>
      <c r="I29" s="37">
        <v>12679</v>
      </c>
      <c r="J29" s="37">
        <v>13873</v>
      </c>
      <c r="K29" s="37">
        <v>15222</v>
      </c>
      <c r="L29" s="37">
        <v>16334</v>
      </c>
      <c r="M29" s="37">
        <v>17122</v>
      </c>
      <c r="N29" s="37">
        <v>17938</v>
      </c>
      <c r="O29" s="37">
        <v>18359</v>
      </c>
      <c r="P29" s="37">
        <v>18194</v>
      </c>
      <c r="Q29" s="37">
        <v>17748</v>
      </c>
      <c r="R29" s="37">
        <v>17449</v>
      </c>
      <c r="S29" s="37">
        <v>17336</v>
      </c>
      <c r="T29" s="37">
        <v>17384</v>
      </c>
      <c r="U29" s="37">
        <v>19150</v>
      </c>
      <c r="V29" s="37">
        <v>20684</v>
      </c>
      <c r="W29" s="37">
        <v>20071</v>
      </c>
      <c r="X29" s="37">
        <v>18811</v>
      </c>
      <c r="Y29" s="37">
        <v>16891</v>
      </c>
      <c r="Z29" s="38">
        <v>14981</v>
      </c>
      <c r="AA29" s="39">
        <f t="shared" si="0"/>
        <v>389848</v>
      </c>
      <c r="AB29" s="21">
        <v>6</v>
      </c>
      <c r="AC29" s="92"/>
      <c r="AD29" s="47"/>
    </row>
    <row r="30" spans="1:30" ht="15.75" thickBot="1" x14ac:dyDescent="0.3">
      <c r="A30" s="89">
        <v>47362</v>
      </c>
      <c r="B30" s="16" t="s">
        <v>5</v>
      </c>
      <c r="C30" s="31">
        <v>14065</v>
      </c>
      <c r="D30" s="31">
        <v>13291</v>
      </c>
      <c r="E30" s="31">
        <v>12807</v>
      </c>
      <c r="F30" s="31">
        <v>12595</v>
      </c>
      <c r="G30" s="31">
        <v>12799</v>
      </c>
      <c r="H30" s="31">
        <v>13638</v>
      </c>
      <c r="I30" s="31">
        <v>14446</v>
      </c>
      <c r="J30" s="31">
        <v>15816</v>
      </c>
      <c r="K30" s="31">
        <v>17193</v>
      </c>
      <c r="L30" s="31">
        <v>18337</v>
      </c>
      <c r="M30" s="31">
        <v>19473</v>
      </c>
      <c r="N30" s="31">
        <v>20514</v>
      </c>
      <c r="O30" s="31">
        <v>20157</v>
      </c>
      <c r="P30" s="31">
        <v>20302</v>
      </c>
      <c r="Q30" s="31">
        <v>20777</v>
      </c>
      <c r="R30" s="31">
        <v>20896</v>
      </c>
      <c r="S30" s="31">
        <v>20596</v>
      </c>
      <c r="T30" s="31">
        <v>20173</v>
      </c>
      <c r="U30" s="31">
        <v>22061</v>
      </c>
      <c r="V30" s="31">
        <v>22571</v>
      </c>
      <c r="W30" s="31">
        <v>21723</v>
      </c>
      <c r="X30" s="31">
        <v>20191</v>
      </c>
      <c r="Y30" s="31">
        <v>17758</v>
      </c>
      <c r="Z30" s="32">
        <v>15611</v>
      </c>
      <c r="AA30" s="33">
        <f t="shared" si="0"/>
        <v>427790</v>
      </c>
      <c r="AB30" s="17">
        <v>20</v>
      </c>
      <c r="AC30" s="90">
        <f>+AA30*AB30+AA31*AB31+AA32*AB32</f>
        <v>12582070</v>
      </c>
    </row>
    <row r="31" spans="1:30" ht="15.75" thickBot="1" x14ac:dyDescent="0.3">
      <c r="A31" s="89"/>
      <c r="B31" s="18" t="s">
        <v>4</v>
      </c>
      <c r="C31" s="34">
        <v>14441</v>
      </c>
      <c r="D31" s="34">
        <v>13519</v>
      </c>
      <c r="E31" s="34">
        <v>13020</v>
      </c>
      <c r="F31" s="34">
        <v>12747</v>
      </c>
      <c r="G31" s="34">
        <v>12758</v>
      </c>
      <c r="H31" s="34">
        <v>12876</v>
      </c>
      <c r="I31" s="34">
        <v>13521</v>
      </c>
      <c r="J31" s="34">
        <v>15356</v>
      </c>
      <c r="K31" s="34">
        <v>17106</v>
      </c>
      <c r="L31" s="34">
        <v>18354</v>
      </c>
      <c r="M31" s="34">
        <v>19342</v>
      </c>
      <c r="N31" s="34">
        <v>20133</v>
      </c>
      <c r="O31" s="34">
        <v>20083</v>
      </c>
      <c r="P31" s="34">
        <v>19827</v>
      </c>
      <c r="Q31" s="34">
        <v>19589</v>
      </c>
      <c r="R31" s="34">
        <v>19417</v>
      </c>
      <c r="S31" s="34">
        <v>19250</v>
      </c>
      <c r="T31" s="34">
        <v>19393</v>
      </c>
      <c r="U31" s="34">
        <v>21464</v>
      </c>
      <c r="V31" s="34">
        <v>21926</v>
      </c>
      <c r="W31" s="34">
        <v>20964</v>
      </c>
      <c r="X31" s="34">
        <v>19734</v>
      </c>
      <c r="Y31" s="34">
        <v>17938</v>
      </c>
      <c r="Z31" s="35">
        <v>16103</v>
      </c>
      <c r="AA31" s="36">
        <f t="shared" si="0"/>
        <v>418861</v>
      </c>
      <c r="AB31" s="19">
        <v>5</v>
      </c>
      <c r="AC31" s="91"/>
      <c r="AD31" s="45"/>
    </row>
    <row r="32" spans="1:30" ht="15" x14ac:dyDescent="0.25">
      <c r="A32" s="89"/>
      <c r="B32" s="20" t="s">
        <v>3</v>
      </c>
      <c r="C32" s="37">
        <v>14703</v>
      </c>
      <c r="D32" s="37">
        <v>13821</v>
      </c>
      <c r="E32" s="37">
        <v>13241</v>
      </c>
      <c r="F32" s="37">
        <v>12792</v>
      </c>
      <c r="G32" s="37">
        <v>12589</v>
      </c>
      <c r="H32" s="37">
        <v>12436</v>
      </c>
      <c r="I32" s="37">
        <v>12530</v>
      </c>
      <c r="J32" s="37">
        <v>13703</v>
      </c>
      <c r="K32" s="37">
        <v>15025</v>
      </c>
      <c r="L32" s="37">
        <v>16110</v>
      </c>
      <c r="M32" s="37">
        <v>16866</v>
      </c>
      <c r="N32" s="37">
        <v>17587</v>
      </c>
      <c r="O32" s="37">
        <v>18005</v>
      </c>
      <c r="P32" s="37">
        <v>17877</v>
      </c>
      <c r="Q32" s="37">
        <v>17500</v>
      </c>
      <c r="R32" s="37">
        <v>17317</v>
      </c>
      <c r="S32" s="37">
        <v>17198</v>
      </c>
      <c r="T32" s="37">
        <v>17335</v>
      </c>
      <c r="U32" s="37">
        <v>19595</v>
      </c>
      <c r="V32" s="37">
        <v>20365</v>
      </c>
      <c r="W32" s="37">
        <v>19801</v>
      </c>
      <c r="X32" s="37">
        <v>18567</v>
      </c>
      <c r="Y32" s="37">
        <v>16639</v>
      </c>
      <c r="Z32" s="38">
        <v>14791</v>
      </c>
      <c r="AA32" s="39">
        <f t="shared" si="0"/>
        <v>386393</v>
      </c>
      <c r="AB32" s="21">
        <v>5</v>
      </c>
      <c r="AC32" s="92"/>
      <c r="AD32" s="46"/>
    </row>
    <row r="33" spans="1:30" ht="15.75" thickBot="1" x14ac:dyDescent="0.3">
      <c r="A33" s="89">
        <v>47392</v>
      </c>
      <c r="B33" s="16" t="s">
        <v>5</v>
      </c>
      <c r="C33" s="31">
        <v>13329</v>
      </c>
      <c r="D33" s="31">
        <v>12614</v>
      </c>
      <c r="E33" s="31">
        <v>12217</v>
      </c>
      <c r="F33" s="31">
        <v>12004</v>
      </c>
      <c r="G33" s="31">
        <v>12240</v>
      </c>
      <c r="H33" s="31">
        <v>12916</v>
      </c>
      <c r="I33" s="31">
        <v>13776</v>
      </c>
      <c r="J33" s="31">
        <v>15066</v>
      </c>
      <c r="K33" s="31">
        <v>16362</v>
      </c>
      <c r="L33" s="31">
        <v>17383</v>
      </c>
      <c r="M33" s="31">
        <v>18442</v>
      </c>
      <c r="N33" s="31">
        <v>19423</v>
      </c>
      <c r="O33" s="31">
        <v>19082</v>
      </c>
      <c r="P33" s="31">
        <v>19187</v>
      </c>
      <c r="Q33" s="31">
        <v>19627</v>
      </c>
      <c r="R33" s="31">
        <v>19721</v>
      </c>
      <c r="S33" s="31">
        <v>19503</v>
      </c>
      <c r="T33" s="31">
        <v>19560</v>
      </c>
      <c r="U33" s="31">
        <v>21723</v>
      </c>
      <c r="V33" s="31">
        <v>21612</v>
      </c>
      <c r="W33" s="31">
        <v>20663</v>
      </c>
      <c r="X33" s="31">
        <v>19114</v>
      </c>
      <c r="Y33" s="31">
        <v>16840</v>
      </c>
      <c r="Z33" s="32">
        <v>14817</v>
      </c>
      <c r="AA33" s="33">
        <f t="shared" si="0"/>
        <v>407221</v>
      </c>
      <c r="AB33" s="17">
        <v>22</v>
      </c>
      <c r="AC33" s="90">
        <f>+AA33*AB33+AA34*AB34+AA35*AB35</f>
        <v>12498517</v>
      </c>
    </row>
    <row r="34" spans="1:30" ht="15.75" thickBot="1" x14ac:dyDescent="0.3">
      <c r="A34" s="89"/>
      <c r="B34" s="18" t="s">
        <v>4</v>
      </c>
      <c r="C34" s="34">
        <v>14032</v>
      </c>
      <c r="D34" s="34">
        <v>13232</v>
      </c>
      <c r="E34" s="34">
        <v>12746</v>
      </c>
      <c r="F34" s="34">
        <v>12424</v>
      </c>
      <c r="G34" s="34">
        <v>12489</v>
      </c>
      <c r="H34" s="34">
        <v>12682</v>
      </c>
      <c r="I34" s="34">
        <v>13399</v>
      </c>
      <c r="J34" s="34">
        <v>15049</v>
      </c>
      <c r="K34" s="34">
        <v>16693</v>
      </c>
      <c r="L34" s="34">
        <v>17835</v>
      </c>
      <c r="M34" s="34">
        <v>18807</v>
      </c>
      <c r="N34" s="34">
        <v>19622</v>
      </c>
      <c r="O34" s="34">
        <v>19654</v>
      </c>
      <c r="P34" s="34">
        <v>19432</v>
      </c>
      <c r="Q34" s="34">
        <v>19195</v>
      </c>
      <c r="R34" s="34">
        <v>19049</v>
      </c>
      <c r="S34" s="34">
        <v>18877</v>
      </c>
      <c r="T34" s="34">
        <v>19472</v>
      </c>
      <c r="U34" s="34">
        <v>21944</v>
      </c>
      <c r="V34" s="34">
        <v>21905</v>
      </c>
      <c r="W34" s="34">
        <v>20977</v>
      </c>
      <c r="X34" s="34">
        <v>19572</v>
      </c>
      <c r="Y34" s="34">
        <v>17841</v>
      </c>
      <c r="Z34" s="35">
        <v>15957</v>
      </c>
      <c r="AA34" s="36">
        <f t="shared" si="0"/>
        <v>412885</v>
      </c>
      <c r="AB34" s="19">
        <v>4</v>
      </c>
      <c r="AC34" s="91"/>
      <c r="AD34" s="45"/>
    </row>
    <row r="35" spans="1:30" ht="15" x14ac:dyDescent="0.25">
      <c r="A35" s="89"/>
      <c r="B35" s="20" t="s">
        <v>3</v>
      </c>
      <c r="C35" s="37">
        <v>14079</v>
      </c>
      <c r="D35" s="37">
        <v>13227</v>
      </c>
      <c r="E35" s="37">
        <v>12639</v>
      </c>
      <c r="F35" s="37">
        <v>12228</v>
      </c>
      <c r="G35" s="37">
        <v>12097</v>
      </c>
      <c r="H35" s="37">
        <v>11927</v>
      </c>
      <c r="I35" s="37">
        <v>12155</v>
      </c>
      <c r="J35" s="37">
        <v>13271</v>
      </c>
      <c r="K35" s="37">
        <v>14536</v>
      </c>
      <c r="L35" s="37">
        <v>15648</v>
      </c>
      <c r="M35" s="37">
        <v>16436</v>
      </c>
      <c r="N35" s="37">
        <v>17212</v>
      </c>
      <c r="O35" s="37">
        <v>17647</v>
      </c>
      <c r="P35" s="37">
        <v>17502</v>
      </c>
      <c r="Q35" s="37">
        <v>17169</v>
      </c>
      <c r="R35" s="37">
        <v>17001</v>
      </c>
      <c r="S35" s="37">
        <v>16904</v>
      </c>
      <c r="T35" s="37">
        <v>17425</v>
      </c>
      <c r="U35" s="37">
        <v>19915</v>
      </c>
      <c r="V35" s="37">
        <v>20119</v>
      </c>
      <c r="W35" s="37">
        <v>19473</v>
      </c>
      <c r="X35" s="37">
        <v>18202</v>
      </c>
      <c r="Y35" s="37">
        <v>16314</v>
      </c>
      <c r="Z35" s="38">
        <v>14497</v>
      </c>
      <c r="AA35" s="39">
        <f t="shared" si="0"/>
        <v>377623</v>
      </c>
      <c r="AB35" s="21">
        <v>5</v>
      </c>
      <c r="AC35" s="92"/>
      <c r="AD35" s="46"/>
    </row>
    <row r="36" spans="1:30" ht="15.75" thickBot="1" x14ac:dyDescent="0.3">
      <c r="A36" s="89">
        <v>47423</v>
      </c>
      <c r="B36" s="16" t="s">
        <v>5</v>
      </c>
      <c r="C36" s="31">
        <v>13083</v>
      </c>
      <c r="D36" s="31">
        <v>12370</v>
      </c>
      <c r="E36" s="31">
        <v>11974</v>
      </c>
      <c r="F36" s="31">
        <v>11789</v>
      </c>
      <c r="G36" s="31">
        <v>12063</v>
      </c>
      <c r="H36" s="31">
        <v>12834</v>
      </c>
      <c r="I36" s="31">
        <v>13750</v>
      </c>
      <c r="J36" s="31">
        <v>15060</v>
      </c>
      <c r="K36" s="31">
        <v>16332</v>
      </c>
      <c r="L36" s="31">
        <v>17315</v>
      </c>
      <c r="M36" s="31">
        <v>18368</v>
      </c>
      <c r="N36" s="31">
        <v>19378</v>
      </c>
      <c r="O36" s="31">
        <v>18982</v>
      </c>
      <c r="P36" s="31">
        <v>18993</v>
      </c>
      <c r="Q36" s="31">
        <v>19423</v>
      </c>
      <c r="R36" s="31">
        <v>19403</v>
      </c>
      <c r="S36" s="31">
        <v>19244</v>
      </c>
      <c r="T36" s="31">
        <v>19506</v>
      </c>
      <c r="U36" s="31">
        <v>21765</v>
      </c>
      <c r="V36" s="31">
        <v>21645</v>
      </c>
      <c r="W36" s="31">
        <v>20683</v>
      </c>
      <c r="X36" s="31">
        <v>19052</v>
      </c>
      <c r="Y36" s="31">
        <v>16710</v>
      </c>
      <c r="Z36" s="32">
        <v>14615</v>
      </c>
      <c r="AA36" s="33">
        <f t="shared" si="0"/>
        <v>404337</v>
      </c>
      <c r="AB36" s="17">
        <v>20</v>
      </c>
      <c r="AC36" s="90">
        <f>+AA36*AB36+AA37*AB37+AA38*AB38</f>
        <v>11875292</v>
      </c>
    </row>
    <row r="37" spans="1:30" ht="15.75" thickBot="1" x14ac:dyDescent="0.3">
      <c r="A37" s="89"/>
      <c r="B37" s="18" t="s">
        <v>4</v>
      </c>
      <c r="C37" s="34">
        <v>13434</v>
      </c>
      <c r="D37" s="34">
        <v>12676</v>
      </c>
      <c r="E37" s="34">
        <v>12214</v>
      </c>
      <c r="F37" s="34">
        <v>11918</v>
      </c>
      <c r="G37" s="34">
        <v>11970</v>
      </c>
      <c r="H37" s="34">
        <v>12119</v>
      </c>
      <c r="I37" s="34">
        <v>12780</v>
      </c>
      <c r="J37" s="34">
        <v>14299</v>
      </c>
      <c r="K37" s="34">
        <v>15907</v>
      </c>
      <c r="L37" s="34">
        <v>17027</v>
      </c>
      <c r="M37" s="34">
        <v>17923</v>
      </c>
      <c r="N37" s="34">
        <v>18747</v>
      </c>
      <c r="O37" s="34">
        <v>18670</v>
      </c>
      <c r="P37" s="34">
        <v>18322</v>
      </c>
      <c r="Q37" s="34">
        <v>18220</v>
      </c>
      <c r="R37" s="34">
        <v>18162</v>
      </c>
      <c r="S37" s="34">
        <v>18056</v>
      </c>
      <c r="T37" s="34">
        <v>18703</v>
      </c>
      <c r="U37" s="34">
        <v>21217</v>
      </c>
      <c r="V37" s="34">
        <v>21154</v>
      </c>
      <c r="W37" s="34">
        <v>20185</v>
      </c>
      <c r="X37" s="34">
        <v>18946</v>
      </c>
      <c r="Y37" s="34">
        <v>17112</v>
      </c>
      <c r="Z37" s="35">
        <v>15269</v>
      </c>
      <c r="AA37" s="36">
        <f t="shared" si="0"/>
        <v>395030</v>
      </c>
      <c r="AB37" s="19">
        <v>4</v>
      </c>
      <c r="AC37" s="91"/>
      <c r="AD37" s="45"/>
    </row>
    <row r="38" spans="1:30" ht="15" x14ac:dyDescent="0.25">
      <c r="A38" s="89"/>
      <c r="B38" s="20" t="s">
        <v>3</v>
      </c>
      <c r="C38" s="37">
        <v>13489</v>
      </c>
      <c r="D38" s="37">
        <v>12677</v>
      </c>
      <c r="E38" s="37">
        <v>12127</v>
      </c>
      <c r="F38" s="37">
        <v>11724</v>
      </c>
      <c r="G38" s="37">
        <v>11670</v>
      </c>
      <c r="H38" s="37">
        <v>11526</v>
      </c>
      <c r="I38" s="37">
        <v>11800</v>
      </c>
      <c r="J38" s="37">
        <v>12962</v>
      </c>
      <c r="K38" s="37">
        <v>14231</v>
      </c>
      <c r="L38" s="37">
        <v>15320</v>
      </c>
      <c r="M38" s="37">
        <v>16112</v>
      </c>
      <c r="N38" s="37">
        <v>16917</v>
      </c>
      <c r="O38" s="37">
        <v>17316</v>
      </c>
      <c r="P38" s="37">
        <v>17158</v>
      </c>
      <c r="Q38" s="37">
        <v>16777</v>
      </c>
      <c r="R38" s="37">
        <v>16507</v>
      </c>
      <c r="S38" s="37">
        <v>16430</v>
      </c>
      <c r="T38" s="37">
        <v>17016</v>
      </c>
      <c r="U38" s="37">
        <v>19551</v>
      </c>
      <c r="V38" s="37">
        <v>19787</v>
      </c>
      <c r="W38" s="37">
        <v>19135</v>
      </c>
      <c r="X38" s="37">
        <v>17844</v>
      </c>
      <c r="Y38" s="37">
        <v>15912</v>
      </c>
      <c r="Z38" s="38">
        <v>14084</v>
      </c>
      <c r="AA38" s="39">
        <f t="shared" si="0"/>
        <v>368072</v>
      </c>
      <c r="AB38" s="21">
        <v>6</v>
      </c>
      <c r="AC38" s="92"/>
      <c r="AD38" s="47"/>
    </row>
    <row r="39" spans="1:30" ht="15.75" thickBot="1" x14ac:dyDescent="0.3">
      <c r="A39" s="89">
        <v>47453</v>
      </c>
      <c r="B39" s="16" t="s">
        <v>5</v>
      </c>
      <c r="C39" s="31">
        <v>14016</v>
      </c>
      <c r="D39" s="31">
        <v>13168</v>
      </c>
      <c r="E39" s="31">
        <v>12678</v>
      </c>
      <c r="F39" s="31">
        <v>12426</v>
      </c>
      <c r="G39" s="31">
        <v>12600</v>
      </c>
      <c r="H39" s="31">
        <v>13152</v>
      </c>
      <c r="I39" s="31">
        <v>13767</v>
      </c>
      <c r="J39" s="31">
        <v>15387</v>
      </c>
      <c r="K39" s="31">
        <v>16900</v>
      </c>
      <c r="L39" s="31">
        <v>18018</v>
      </c>
      <c r="M39" s="31">
        <v>19039</v>
      </c>
      <c r="N39" s="31">
        <v>20073</v>
      </c>
      <c r="O39" s="31">
        <v>19876</v>
      </c>
      <c r="P39" s="31">
        <v>19860</v>
      </c>
      <c r="Q39" s="31">
        <v>20153</v>
      </c>
      <c r="R39" s="31">
        <v>20128</v>
      </c>
      <c r="S39" s="31">
        <v>19838</v>
      </c>
      <c r="T39" s="31">
        <v>19705</v>
      </c>
      <c r="U39" s="31">
        <v>21903</v>
      </c>
      <c r="V39" s="31">
        <v>22243</v>
      </c>
      <c r="W39" s="31">
        <v>21380</v>
      </c>
      <c r="X39" s="31">
        <v>20000</v>
      </c>
      <c r="Y39" s="31">
        <v>17884</v>
      </c>
      <c r="Z39" s="32">
        <v>15858</v>
      </c>
      <c r="AA39" s="33">
        <f t="shared" si="0"/>
        <v>420052</v>
      </c>
      <c r="AB39" s="17">
        <v>20</v>
      </c>
      <c r="AC39" s="90">
        <f>+AA39*AB39+AA40*AB40+AA41*AB41</f>
        <v>12703810</v>
      </c>
    </row>
    <row r="40" spans="1:30" ht="15.75" thickBot="1" x14ac:dyDescent="0.3">
      <c r="A40" s="89"/>
      <c r="B40" s="18" t="s">
        <v>4</v>
      </c>
      <c r="C40" s="34">
        <v>14150</v>
      </c>
      <c r="D40" s="34">
        <v>13295</v>
      </c>
      <c r="E40" s="34">
        <v>12807</v>
      </c>
      <c r="F40" s="34">
        <v>12484</v>
      </c>
      <c r="G40" s="34">
        <v>12501</v>
      </c>
      <c r="H40" s="34">
        <v>12813</v>
      </c>
      <c r="I40" s="34">
        <v>13189</v>
      </c>
      <c r="J40" s="34">
        <v>14704</v>
      </c>
      <c r="K40" s="34">
        <v>16249</v>
      </c>
      <c r="L40" s="34">
        <v>17326</v>
      </c>
      <c r="M40" s="34">
        <v>18192</v>
      </c>
      <c r="N40" s="34">
        <v>18913</v>
      </c>
      <c r="O40" s="34">
        <v>18912</v>
      </c>
      <c r="P40" s="34">
        <v>18642</v>
      </c>
      <c r="Q40" s="34">
        <v>18468</v>
      </c>
      <c r="R40" s="34">
        <v>18276</v>
      </c>
      <c r="S40" s="34">
        <v>18139</v>
      </c>
      <c r="T40" s="34">
        <v>18464</v>
      </c>
      <c r="U40" s="34">
        <v>20918</v>
      </c>
      <c r="V40" s="34">
        <v>21206</v>
      </c>
      <c r="W40" s="34">
        <v>20357</v>
      </c>
      <c r="X40" s="34">
        <v>19144</v>
      </c>
      <c r="Y40" s="34">
        <v>17413</v>
      </c>
      <c r="Z40" s="35">
        <v>15741</v>
      </c>
      <c r="AA40" s="36">
        <f t="shared" si="0"/>
        <v>402303</v>
      </c>
      <c r="AB40" s="19">
        <v>4</v>
      </c>
      <c r="AC40" s="91"/>
      <c r="AD40" s="45"/>
    </row>
    <row r="41" spans="1:30" ht="15" x14ac:dyDescent="0.25">
      <c r="A41" s="89"/>
      <c r="B41" s="20" t="s">
        <v>3</v>
      </c>
      <c r="C41" s="37">
        <v>14619</v>
      </c>
      <c r="D41" s="37">
        <v>13728</v>
      </c>
      <c r="E41" s="37">
        <v>13106</v>
      </c>
      <c r="F41" s="37">
        <v>12664</v>
      </c>
      <c r="G41" s="37">
        <v>12491</v>
      </c>
      <c r="H41" s="37">
        <v>12428</v>
      </c>
      <c r="I41" s="37">
        <v>12408</v>
      </c>
      <c r="J41" s="37">
        <v>13413</v>
      </c>
      <c r="K41" s="37">
        <v>14661</v>
      </c>
      <c r="L41" s="37">
        <v>15758</v>
      </c>
      <c r="M41" s="37">
        <v>16580</v>
      </c>
      <c r="N41" s="37">
        <v>17351</v>
      </c>
      <c r="O41" s="37">
        <v>17767</v>
      </c>
      <c r="P41" s="37">
        <v>17745</v>
      </c>
      <c r="Q41" s="37">
        <v>17464</v>
      </c>
      <c r="R41" s="37">
        <v>17286</v>
      </c>
      <c r="S41" s="37">
        <v>17184</v>
      </c>
      <c r="T41" s="37">
        <v>17509</v>
      </c>
      <c r="U41" s="37">
        <v>19962</v>
      </c>
      <c r="V41" s="37">
        <v>20459</v>
      </c>
      <c r="W41" s="37">
        <v>19760</v>
      </c>
      <c r="X41" s="37">
        <v>18565</v>
      </c>
      <c r="Y41" s="37">
        <v>16818</v>
      </c>
      <c r="Z41" s="38">
        <v>15068</v>
      </c>
      <c r="AA41" s="39">
        <f t="shared" si="0"/>
        <v>384794</v>
      </c>
      <c r="AB41" s="21">
        <v>7</v>
      </c>
      <c r="AC41" s="92"/>
      <c r="AD41" s="40"/>
    </row>
    <row r="42" spans="1:30" ht="15" x14ac:dyDescent="0.25">
      <c r="A42" s="93" t="s">
        <v>2</v>
      </c>
      <c r="B42" s="94"/>
      <c r="C42" s="29">
        <f t="shared" ref="C42:AC42" si="1">+SUM(C6:C41)</f>
        <v>501736</v>
      </c>
      <c r="D42" s="29">
        <f t="shared" si="1"/>
        <v>471923</v>
      </c>
      <c r="E42" s="29">
        <f t="shared" si="1"/>
        <v>453941</v>
      </c>
      <c r="F42" s="29">
        <f t="shared" si="1"/>
        <v>442830</v>
      </c>
      <c r="G42" s="29">
        <f t="shared" si="1"/>
        <v>444207</v>
      </c>
      <c r="H42" s="29">
        <f t="shared" si="1"/>
        <v>457112</v>
      </c>
      <c r="I42" s="29">
        <f t="shared" si="1"/>
        <v>474399</v>
      </c>
      <c r="J42" s="29">
        <f t="shared" si="1"/>
        <v>521470</v>
      </c>
      <c r="K42" s="29">
        <f t="shared" si="1"/>
        <v>573115</v>
      </c>
      <c r="L42" s="29">
        <f t="shared" si="1"/>
        <v>612914</v>
      </c>
      <c r="M42" s="29">
        <f t="shared" si="1"/>
        <v>646292</v>
      </c>
      <c r="N42" s="29">
        <f t="shared" si="1"/>
        <v>677599</v>
      </c>
      <c r="O42" s="29">
        <f t="shared" si="1"/>
        <v>678837</v>
      </c>
      <c r="P42" s="29">
        <f t="shared" si="1"/>
        <v>675065</v>
      </c>
      <c r="Q42" s="29">
        <f t="shared" si="1"/>
        <v>672674</v>
      </c>
      <c r="R42" s="29">
        <f t="shared" si="1"/>
        <v>669905</v>
      </c>
      <c r="S42" s="29">
        <f t="shared" si="1"/>
        <v>663350</v>
      </c>
      <c r="T42" s="29">
        <f t="shared" si="1"/>
        <v>664520</v>
      </c>
      <c r="U42" s="29">
        <f t="shared" si="1"/>
        <v>731370</v>
      </c>
      <c r="V42" s="29">
        <f t="shared" si="1"/>
        <v>765874</v>
      </c>
      <c r="W42" s="29">
        <f t="shared" si="1"/>
        <v>738253</v>
      </c>
      <c r="X42" s="29">
        <f t="shared" si="1"/>
        <v>690412</v>
      </c>
      <c r="Y42" s="29">
        <f t="shared" si="1"/>
        <v>618225</v>
      </c>
      <c r="Z42" s="29">
        <f t="shared" si="1"/>
        <v>547836</v>
      </c>
      <c r="AA42" s="29">
        <f t="shared" si="1"/>
        <v>14393859</v>
      </c>
      <c r="AB42" s="29">
        <f t="shared" si="1"/>
        <v>365</v>
      </c>
      <c r="AC42" s="44">
        <f t="shared" si="1"/>
        <v>147919752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>
      <c r="AA46" s="43"/>
      <c r="AC46" s="43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6AD-1EE8-45A9-999F-8E6EF3323DE6}">
  <sheetPr codeName="Hoja15">
    <tabColor rgb="FF00B05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0" t="s">
        <v>74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ht="15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ht="15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47119</v>
      </c>
      <c r="B6" s="16" t="s">
        <v>5</v>
      </c>
      <c r="C6" s="31">
        <f>ROUND('Anexo 7'!C6*'Anexo 3'!$D$10,0)</f>
        <v>0</v>
      </c>
      <c r="D6" s="31">
        <f>ROUND('Anexo 7'!D6*'Anexo 3'!$D$10,0)</f>
        <v>0</v>
      </c>
      <c r="E6" s="31">
        <f>ROUND('Anexo 7'!E6*'Anexo 3'!$D$10,0)</f>
        <v>0</v>
      </c>
      <c r="F6" s="31">
        <f>ROUND('Anexo 7'!F6*'Anexo 3'!$D$10,0)</f>
        <v>0</v>
      </c>
      <c r="G6" s="31">
        <f>ROUND('Anexo 7'!G6*'Anexo 3'!$D$10,0)</f>
        <v>0</v>
      </c>
      <c r="H6" s="31">
        <f>ROUND('Anexo 7'!H6*'Anexo 3'!$D$10,0)</f>
        <v>0</v>
      </c>
      <c r="I6" s="31">
        <f>ROUND('Anexo 7'!I6*'Anexo 3'!$D$10,0)</f>
        <v>0</v>
      </c>
      <c r="J6" s="31">
        <f>ROUND('Anexo 7'!J6*'Anexo 3'!$D$10,0)</f>
        <v>0</v>
      </c>
      <c r="K6" s="31">
        <f>ROUND('Anexo 7'!K6*'Anexo 3'!$D$10,0)</f>
        <v>0</v>
      </c>
      <c r="L6" s="31">
        <f>ROUND('Anexo 7'!L6*'Anexo 3'!$D$10,0)</f>
        <v>0</v>
      </c>
      <c r="M6" s="31">
        <f>ROUND('Anexo 7'!M6*'Anexo 3'!$D$10,0)</f>
        <v>0</v>
      </c>
      <c r="N6" s="31">
        <f>ROUND('Anexo 7'!N6*'Anexo 3'!$D$10,0)</f>
        <v>0</v>
      </c>
      <c r="O6" s="31">
        <f>ROUND('Anexo 7'!O6*'Anexo 3'!$D$10,0)</f>
        <v>0</v>
      </c>
      <c r="P6" s="31">
        <f>ROUND('Anexo 7'!P6*'Anexo 3'!$D$10,0)</f>
        <v>0</v>
      </c>
      <c r="Q6" s="31">
        <f>ROUND('Anexo 7'!Q6*'Anexo 3'!$D$10,0)</f>
        <v>0</v>
      </c>
      <c r="R6" s="31">
        <f>ROUND('Anexo 7'!R6*'Anexo 3'!$D$10,0)</f>
        <v>0</v>
      </c>
      <c r="S6" s="31">
        <f>ROUND('Anexo 7'!S6*'Anexo 3'!$D$10,0)</f>
        <v>0</v>
      </c>
      <c r="T6" s="31">
        <f>ROUND('Anexo 7'!T6*'Anexo 3'!$D$10,0)</f>
        <v>0</v>
      </c>
      <c r="U6" s="31">
        <f>ROUND('Anexo 7'!U6*'Anexo 3'!$D$10,0)</f>
        <v>0</v>
      </c>
      <c r="V6" s="31">
        <f>ROUND('Anexo 7'!V6*'Anexo 3'!$D$10,0)</f>
        <v>0</v>
      </c>
      <c r="W6" s="31">
        <f>ROUND('Anexo 7'!W6*'Anexo 3'!$D$10,0)</f>
        <v>0</v>
      </c>
      <c r="X6" s="31">
        <f>ROUND('Anexo 7'!X6*'Anexo 3'!$D$10,0)</f>
        <v>0</v>
      </c>
      <c r="Y6" s="31">
        <f>ROUND('Anexo 7'!Y6*'Anexo 3'!$D$10,0)</f>
        <v>0</v>
      </c>
      <c r="Z6" s="31">
        <f>ROUND('Anexo 7'!Z6*'Anexo 3'!$D$10,0)</f>
        <v>0</v>
      </c>
      <c r="AA6" s="33">
        <f>SUM(C6:Z6)</f>
        <v>0</v>
      </c>
      <c r="AB6" s="17">
        <v>21</v>
      </c>
      <c r="AC6" s="90">
        <f>+AA6*AB6+AA7*AB7+AA8*AB8</f>
        <v>0</v>
      </c>
    </row>
    <row r="7" spans="1:30" ht="15.75" thickBot="1" x14ac:dyDescent="0.3">
      <c r="A7" s="89"/>
      <c r="B7" s="18" t="s">
        <v>4</v>
      </c>
      <c r="C7" s="31">
        <f>ROUND('Anexo 7'!C7*'Anexo 3'!$D$10,0)</f>
        <v>0</v>
      </c>
      <c r="D7" s="31">
        <f>ROUND('Anexo 7'!D7*'Anexo 3'!$D$10,0)</f>
        <v>0</v>
      </c>
      <c r="E7" s="31">
        <f>ROUND('Anexo 7'!E7*'Anexo 3'!$D$10,0)</f>
        <v>0</v>
      </c>
      <c r="F7" s="31">
        <f>ROUND('Anexo 7'!F7*'Anexo 3'!$D$10,0)</f>
        <v>0</v>
      </c>
      <c r="G7" s="31">
        <f>ROUND('Anexo 7'!G7*'Anexo 3'!$D$10,0)</f>
        <v>0</v>
      </c>
      <c r="H7" s="31">
        <f>ROUND('Anexo 7'!H7*'Anexo 3'!$D$10,0)</f>
        <v>0</v>
      </c>
      <c r="I7" s="31">
        <f>ROUND('Anexo 7'!I7*'Anexo 3'!$D$10,0)</f>
        <v>0</v>
      </c>
      <c r="J7" s="31">
        <f>ROUND('Anexo 7'!J7*'Anexo 3'!$D$10,0)</f>
        <v>0</v>
      </c>
      <c r="K7" s="31">
        <f>ROUND('Anexo 7'!K7*'Anexo 3'!$D$10,0)</f>
        <v>0</v>
      </c>
      <c r="L7" s="31">
        <f>ROUND('Anexo 7'!L7*'Anexo 3'!$D$10,0)</f>
        <v>0</v>
      </c>
      <c r="M7" s="31">
        <f>ROUND('Anexo 7'!M7*'Anexo 3'!$D$10,0)</f>
        <v>0</v>
      </c>
      <c r="N7" s="31">
        <f>ROUND('Anexo 7'!N7*'Anexo 3'!$D$10,0)</f>
        <v>0</v>
      </c>
      <c r="O7" s="31">
        <f>ROUND('Anexo 7'!O7*'Anexo 3'!$D$10,0)</f>
        <v>0</v>
      </c>
      <c r="P7" s="31">
        <f>ROUND('Anexo 7'!P7*'Anexo 3'!$D$10,0)</f>
        <v>0</v>
      </c>
      <c r="Q7" s="31">
        <f>ROUND('Anexo 7'!Q7*'Anexo 3'!$D$10,0)</f>
        <v>0</v>
      </c>
      <c r="R7" s="31">
        <f>ROUND('Anexo 7'!R7*'Anexo 3'!$D$10,0)</f>
        <v>0</v>
      </c>
      <c r="S7" s="31">
        <f>ROUND('Anexo 7'!S7*'Anexo 3'!$D$10,0)</f>
        <v>0</v>
      </c>
      <c r="T7" s="31">
        <f>ROUND('Anexo 7'!T7*'Anexo 3'!$D$10,0)</f>
        <v>0</v>
      </c>
      <c r="U7" s="31">
        <f>ROUND('Anexo 7'!U7*'Anexo 3'!$D$10,0)</f>
        <v>0</v>
      </c>
      <c r="V7" s="31">
        <f>ROUND('Anexo 7'!V7*'Anexo 3'!$D$10,0)</f>
        <v>0</v>
      </c>
      <c r="W7" s="31">
        <f>ROUND('Anexo 7'!W7*'Anexo 3'!$D$10,0)</f>
        <v>0</v>
      </c>
      <c r="X7" s="31">
        <f>ROUND('Anexo 7'!X7*'Anexo 3'!$D$10,0)</f>
        <v>0</v>
      </c>
      <c r="Y7" s="31">
        <f>ROUND('Anexo 7'!Y7*'Anexo 3'!$D$10,0)</f>
        <v>0</v>
      </c>
      <c r="Z7" s="31">
        <f>ROUND('Anexo 7'!Z7*'Anexo 3'!$D$10,0)</f>
        <v>0</v>
      </c>
      <c r="AA7" s="36">
        <f t="shared" ref="AA7:AA41" si="0">SUM(C7:Z7)</f>
        <v>0</v>
      </c>
      <c r="AB7" s="19">
        <v>4</v>
      </c>
      <c r="AC7" s="91"/>
      <c r="AD7" s="45"/>
    </row>
    <row r="8" spans="1:30" ht="15.75" thickBot="1" x14ac:dyDescent="0.3">
      <c r="A8" s="89"/>
      <c r="B8" s="20" t="s">
        <v>3</v>
      </c>
      <c r="C8" s="31">
        <f>ROUND('Anexo 7'!C8*'Anexo 3'!$D$10,0)</f>
        <v>0</v>
      </c>
      <c r="D8" s="31">
        <f>ROUND('Anexo 7'!D8*'Anexo 3'!$D$10,0)</f>
        <v>0</v>
      </c>
      <c r="E8" s="31">
        <f>ROUND('Anexo 7'!E8*'Anexo 3'!$D$10,0)</f>
        <v>0</v>
      </c>
      <c r="F8" s="31">
        <f>ROUND('Anexo 7'!F8*'Anexo 3'!$D$10,0)</f>
        <v>0</v>
      </c>
      <c r="G8" s="31">
        <f>ROUND('Anexo 7'!G8*'Anexo 3'!$D$10,0)</f>
        <v>0</v>
      </c>
      <c r="H8" s="31">
        <f>ROUND('Anexo 7'!H8*'Anexo 3'!$D$10,0)</f>
        <v>0</v>
      </c>
      <c r="I8" s="31">
        <f>ROUND('Anexo 7'!I8*'Anexo 3'!$D$10,0)</f>
        <v>0</v>
      </c>
      <c r="J8" s="31">
        <f>ROUND('Anexo 7'!J8*'Anexo 3'!$D$10,0)</f>
        <v>0</v>
      </c>
      <c r="K8" s="31">
        <f>ROUND('Anexo 7'!K8*'Anexo 3'!$D$10,0)</f>
        <v>0</v>
      </c>
      <c r="L8" s="31">
        <f>ROUND('Anexo 7'!L8*'Anexo 3'!$D$10,0)</f>
        <v>0</v>
      </c>
      <c r="M8" s="31">
        <f>ROUND('Anexo 7'!M8*'Anexo 3'!$D$10,0)</f>
        <v>0</v>
      </c>
      <c r="N8" s="31">
        <f>ROUND('Anexo 7'!N8*'Anexo 3'!$D$10,0)</f>
        <v>0</v>
      </c>
      <c r="O8" s="31">
        <f>ROUND('Anexo 7'!O8*'Anexo 3'!$D$10,0)</f>
        <v>0</v>
      </c>
      <c r="P8" s="31">
        <f>ROUND('Anexo 7'!P8*'Anexo 3'!$D$10,0)</f>
        <v>0</v>
      </c>
      <c r="Q8" s="31">
        <f>ROUND('Anexo 7'!Q8*'Anexo 3'!$D$10,0)</f>
        <v>0</v>
      </c>
      <c r="R8" s="31">
        <f>ROUND('Anexo 7'!R8*'Anexo 3'!$D$10,0)</f>
        <v>0</v>
      </c>
      <c r="S8" s="31">
        <f>ROUND('Anexo 7'!S8*'Anexo 3'!$D$10,0)</f>
        <v>0</v>
      </c>
      <c r="T8" s="31">
        <f>ROUND('Anexo 7'!T8*'Anexo 3'!$D$10,0)</f>
        <v>0</v>
      </c>
      <c r="U8" s="31">
        <f>ROUND('Anexo 7'!U8*'Anexo 3'!$D$10,0)</f>
        <v>0</v>
      </c>
      <c r="V8" s="31">
        <f>ROUND('Anexo 7'!V8*'Anexo 3'!$D$10,0)</f>
        <v>0</v>
      </c>
      <c r="W8" s="31">
        <f>ROUND('Anexo 7'!W8*'Anexo 3'!$D$10,0)</f>
        <v>0</v>
      </c>
      <c r="X8" s="31">
        <f>ROUND('Anexo 7'!X8*'Anexo 3'!$D$10,0)</f>
        <v>0</v>
      </c>
      <c r="Y8" s="31">
        <f>ROUND('Anexo 7'!Y8*'Anexo 3'!$D$10,0)</f>
        <v>0</v>
      </c>
      <c r="Z8" s="31">
        <f>ROUND('Anexo 7'!Z8*'Anexo 3'!$D$10,0)</f>
        <v>0</v>
      </c>
      <c r="AA8" s="39">
        <f t="shared" si="0"/>
        <v>0</v>
      </c>
      <c r="AB8" s="21">
        <v>6</v>
      </c>
      <c r="AC8" s="92"/>
      <c r="AD8" s="46"/>
    </row>
    <row r="9" spans="1:30" ht="15.75" thickBot="1" x14ac:dyDescent="0.3">
      <c r="A9" s="89">
        <v>47150</v>
      </c>
      <c r="B9" s="16" t="s">
        <v>5</v>
      </c>
      <c r="C9" s="31">
        <f>ROUND('Anexo 7'!C9*'Anexo 3'!$D$10,0)</f>
        <v>0</v>
      </c>
      <c r="D9" s="31">
        <f>ROUND('Anexo 7'!D9*'Anexo 3'!$D$10,0)</f>
        <v>0</v>
      </c>
      <c r="E9" s="31">
        <f>ROUND('Anexo 7'!E9*'Anexo 3'!$D$10,0)</f>
        <v>0</v>
      </c>
      <c r="F9" s="31">
        <f>ROUND('Anexo 7'!F9*'Anexo 3'!$D$10,0)</f>
        <v>0</v>
      </c>
      <c r="G9" s="31">
        <f>ROUND('Anexo 7'!G9*'Anexo 3'!$D$10,0)</f>
        <v>0</v>
      </c>
      <c r="H9" s="31">
        <f>ROUND('Anexo 7'!H9*'Anexo 3'!$D$10,0)</f>
        <v>0</v>
      </c>
      <c r="I9" s="31">
        <f>ROUND('Anexo 7'!I9*'Anexo 3'!$D$10,0)</f>
        <v>0</v>
      </c>
      <c r="J9" s="31">
        <f>ROUND('Anexo 7'!J9*'Anexo 3'!$D$10,0)</f>
        <v>0</v>
      </c>
      <c r="K9" s="31">
        <f>ROUND('Anexo 7'!K9*'Anexo 3'!$D$10,0)</f>
        <v>0</v>
      </c>
      <c r="L9" s="31">
        <f>ROUND('Anexo 7'!L9*'Anexo 3'!$D$10,0)</f>
        <v>0</v>
      </c>
      <c r="M9" s="31">
        <f>ROUND('Anexo 7'!M9*'Anexo 3'!$D$10,0)</f>
        <v>0</v>
      </c>
      <c r="N9" s="31">
        <f>ROUND('Anexo 7'!N9*'Anexo 3'!$D$10,0)</f>
        <v>0</v>
      </c>
      <c r="O9" s="31">
        <f>ROUND('Anexo 7'!O9*'Anexo 3'!$D$10,0)</f>
        <v>0</v>
      </c>
      <c r="P9" s="31">
        <f>ROUND('Anexo 7'!P9*'Anexo 3'!$D$10,0)</f>
        <v>0</v>
      </c>
      <c r="Q9" s="31">
        <f>ROUND('Anexo 7'!Q9*'Anexo 3'!$D$10,0)</f>
        <v>0</v>
      </c>
      <c r="R9" s="31">
        <f>ROUND('Anexo 7'!R9*'Anexo 3'!$D$10,0)</f>
        <v>0</v>
      </c>
      <c r="S9" s="31">
        <f>ROUND('Anexo 7'!S9*'Anexo 3'!$D$10,0)</f>
        <v>0</v>
      </c>
      <c r="T9" s="31">
        <f>ROUND('Anexo 7'!T9*'Anexo 3'!$D$10,0)</f>
        <v>0</v>
      </c>
      <c r="U9" s="31">
        <f>ROUND('Anexo 7'!U9*'Anexo 3'!$D$10,0)</f>
        <v>0</v>
      </c>
      <c r="V9" s="31">
        <f>ROUND('Anexo 7'!V9*'Anexo 3'!$D$10,0)</f>
        <v>0</v>
      </c>
      <c r="W9" s="31">
        <f>ROUND('Anexo 7'!W9*'Anexo 3'!$D$10,0)</f>
        <v>0</v>
      </c>
      <c r="X9" s="31">
        <f>ROUND('Anexo 7'!X9*'Anexo 3'!$D$10,0)</f>
        <v>0</v>
      </c>
      <c r="Y9" s="31">
        <f>ROUND('Anexo 7'!Y9*'Anexo 3'!$D$10,0)</f>
        <v>0</v>
      </c>
      <c r="Z9" s="31">
        <f>ROUND('Anexo 7'!Z9*'Anexo 3'!$D$10,0)</f>
        <v>0</v>
      </c>
      <c r="AA9" s="33">
        <f t="shared" si="0"/>
        <v>0</v>
      </c>
      <c r="AB9" s="17">
        <v>20</v>
      </c>
      <c r="AC9" s="90">
        <f>+AA9*AB9+AA10*AB10+AA11*AB11</f>
        <v>0</v>
      </c>
    </row>
    <row r="10" spans="1:30" ht="15.75" thickBot="1" x14ac:dyDescent="0.3">
      <c r="A10" s="89"/>
      <c r="B10" s="18" t="s">
        <v>4</v>
      </c>
      <c r="C10" s="31">
        <f>ROUND('Anexo 7'!C10*'Anexo 3'!$D$10,0)</f>
        <v>0</v>
      </c>
      <c r="D10" s="31">
        <f>ROUND('Anexo 7'!D10*'Anexo 3'!$D$10,0)</f>
        <v>0</v>
      </c>
      <c r="E10" s="31">
        <f>ROUND('Anexo 7'!E10*'Anexo 3'!$D$10,0)</f>
        <v>0</v>
      </c>
      <c r="F10" s="31">
        <f>ROUND('Anexo 7'!F10*'Anexo 3'!$D$10,0)</f>
        <v>0</v>
      </c>
      <c r="G10" s="31">
        <f>ROUND('Anexo 7'!G10*'Anexo 3'!$D$10,0)</f>
        <v>0</v>
      </c>
      <c r="H10" s="31">
        <f>ROUND('Anexo 7'!H10*'Anexo 3'!$D$10,0)</f>
        <v>0</v>
      </c>
      <c r="I10" s="31">
        <f>ROUND('Anexo 7'!I10*'Anexo 3'!$D$10,0)</f>
        <v>0</v>
      </c>
      <c r="J10" s="31">
        <f>ROUND('Anexo 7'!J10*'Anexo 3'!$D$10,0)</f>
        <v>0</v>
      </c>
      <c r="K10" s="31">
        <f>ROUND('Anexo 7'!K10*'Anexo 3'!$D$10,0)</f>
        <v>0</v>
      </c>
      <c r="L10" s="31">
        <f>ROUND('Anexo 7'!L10*'Anexo 3'!$D$10,0)</f>
        <v>0</v>
      </c>
      <c r="M10" s="31">
        <f>ROUND('Anexo 7'!M10*'Anexo 3'!$D$10,0)</f>
        <v>0</v>
      </c>
      <c r="N10" s="31">
        <f>ROUND('Anexo 7'!N10*'Anexo 3'!$D$10,0)</f>
        <v>0</v>
      </c>
      <c r="O10" s="31">
        <f>ROUND('Anexo 7'!O10*'Anexo 3'!$D$10,0)</f>
        <v>0</v>
      </c>
      <c r="P10" s="31">
        <f>ROUND('Anexo 7'!P10*'Anexo 3'!$D$10,0)</f>
        <v>0</v>
      </c>
      <c r="Q10" s="31">
        <f>ROUND('Anexo 7'!Q10*'Anexo 3'!$D$10,0)</f>
        <v>0</v>
      </c>
      <c r="R10" s="31">
        <f>ROUND('Anexo 7'!R10*'Anexo 3'!$D$10,0)</f>
        <v>0</v>
      </c>
      <c r="S10" s="31">
        <f>ROUND('Anexo 7'!S10*'Anexo 3'!$D$10,0)</f>
        <v>0</v>
      </c>
      <c r="T10" s="31">
        <f>ROUND('Anexo 7'!T10*'Anexo 3'!$D$10,0)</f>
        <v>0</v>
      </c>
      <c r="U10" s="31">
        <f>ROUND('Anexo 7'!U10*'Anexo 3'!$D$10,0)</f>
        <v>0</v>
      </c>
      <c r="V10" s="31">
        <f>ROUND('Anexo 7'!V10*'Anexo 3'!$D$10,0)</f>
        <v>0</v>
      </c>
      <c r="W10" s="31">
        <f>ROUND('Anexo 7'!W10*'Anexo 3'!$D$10,0)</f>
        <v>0</v>
      </c>
      <c r="X10" s="31">
        <f>ROUND('Anexo 7'!X10*'Anexo 3'!$D$10,0)</f>
        <v>0</v>
      </c>
      <c r="Y10" s="31">
        <f>ROUND('Anexo 7'!Y10*'Anexo 3'!$D$10,0)</f>
        <v>0</v>
      </c>
      <c r="Z10" s="31">
        <f>ROUND('Anexo 7'!Z10*'Anexo 3'!$D$10,0)</f>
        <v>0</v>
      </c>
      <c r="AA10" s="36">
        <f t="shared" si="0"/>
        <v>0</v>
      </c>
      <c r="AB10" s="19">
        <v>4</v>
      </c>
      <c r="AC10" s="91"/>
      <c r="AD10" s="45"/>
    </row>
    <row r="11" spans="1:30" ht="15.75" thickBot="1" x14ac:dyDescent="0.3">
      <c r="A11" s="89"/>
      <c r="B11" s="20" t="s">
        <v>3</v>
      </c>
      <c r="C11" s="31">
        <f>ROUND('Anexo 7'!C11*'Anexo 3'!$D$10,0)</f>
        <v>0</v>
      </c>
      <c r="D11" s="31">
        <f>ROUND('Anexo 7'!D11*'Anexo 3'!$D$10,0)</f>
        <v>0</v>
      </c>
      <c r="E11" s="31">
        <f>ROUND('Anexo 7'!E11*'Anexo 3'!$D$10,0)</f>
        <v>0</v>
      </c>
      <c r="F11" s="31">
        <f>ROUND('Anexo 7'!F11*'Anexo 3'!$D$10,0)</f>
        <v>0</v>
      </c>
      <c r="G11" s="31">
        <f>ROUND('Anexo 7'!G11*'Anexo 3'!$D$10,0)</f>
        <v>0</v>
      </c>
      <c r="H11" s="31">
        <f>ROUND('Anexo 7'!H11*'Anexo 3'!$D$10,0)</f>
        <v>0</v>
      </c>
      <c r="I11" s="31">
        <f>ROUND('Anexo 7'!I11*'Anexo 3'!$D$10,0)</f>
        <v>0</v>
      </c>
      <c r="J11" s="31">
        <f>ROUND('Anexo 7'!J11*'Anexo 3'!$D$10,0)</f>
        <v>0</v>
      </c>
      <c r="K11" s="31">
        <f>ROUND('Anexo 7'!K11*'Anexo 3'!$D$10,0)</f>
        <v>0</v>
      </c>
      <c r="L11" s="31">
        <f>ROUND('Anexo 7'!L11*'Anexo 3'!$D$10,0)</f>
        <v>0</v>
      </c>
      <c r="M11" s="31">
        <f>ROUND('Anexo 7'!M11*'Anexo 3'!$D$10,0)</f>
        <v>0</v>
      </c>
      <c r="N11" s="31">
        <f>ROUND('Anexo 7'!N11*'Anexo 3'!$D$10,0)</f>
        <v>0</v>
      </c>
      <c r="O11" s="31">
        <f>ROUND('Anexo 7'!O11*'Anexo 3'!$D$10,0)</f>
        <v>0</v>
      </c>
      <c r="P11" s="31">
        <f>ROUND('Anexo 7'!P11*'Anexo 3'!$D$10,0)</f>
        <v>0</v>
      </c>
      <c r="Q11" s="31">
        <f>ROUND('Anexo 7'!Q11*'Anexo 3'!$D$10,0)</f>
        <v>0</v>
      </c>
      <c r="R11" s="31">
        <f>ROUND('Anexo 7'!R11*'Anexo 3'!$D$10,0)</f>
        <v>0</v>
      </c>
      <c r="S11" s="31">
        <f>ROUND('Anexo 7'!S11*'Anexo 3'!$D$10,0)</f>
        <v>0</v>
      </c>
      <c r="T11" s="31">
        <f>ROUND('Anexo 7'!T11*'Anexo 3'!$D$10,0)</f>
        <v>0</v>
      </c>
      <c r="U11" s="31">
        <f>ROUND('Anexo 7'!U11*'Anexo 3'!$D$10,0)</f>
        <v>0</v>
      </c>
      <c r="V11" s="31">
        <f>ROUND('Anexo 7'!V11*'Anexo 3'!$D$10,0)</f>
        <v>0</v>
      </c>
      <c r="W11" s="31">
        <f>ROUND('Anexo 7'!W11*'Anexo 3'!$D$10,0)</f>
        <v>0</v>
      </c>
      <c r="X11" s="31">
        <f>ROUND('Anexo 7'!X11*'Anexo 3'!$D$10,0)</f>
        <v>0</v>
      </c>
      <c r="Y11" s="31">
        <f>ROUND('Anexo 7'!Y11*'Anexo 3'!$D$10,0)</f>
        <v>0</v>
      </c>
      <c r="Z11" s="31">
        <f>ROUND('Anexo 7'!Z11*'Anexo 3'!$D$10,0)</f>
        <v>0</v>
      </c>
      <c r="AA11" s="39">
        <f t="shared" si="0"/>
        <v>0</v>
      </c>
      <c r="AB11" s="21">
        <v>4</v>
      </c>
      <c r="AC11" s="92"/>
      <c r="AD11" s="46"/>
    </row>
    <row r="12" spans="1:30" ht="15.75" thickBot="1" x14ac:dyDescent="0.3">
      <c r="A12" s="89">
        <v>47178</v>
      </c>
      <c r="B12" s="16" t="s">
        <v>5</v>
      </c>
      <c r="C12" s="31">
        <f>ROUND('Anexo 7'!C12*'Anexo 3'!$D$10,0)</f>
        <v>0</v>
      </c>
      <c r="D12" s="31">
        <f>ROUND('Anexo 7'!D12*'Anexo 3'!$D$10,0)</f>
        <v>0</v>
      </c>
      <c r="E12" s="31">
        <f>ROUND('Anexo 7'!E12*'Anexo 3'!$D$10,0)</f>
        <v>0</v>
      </c>
      <c r="F12" s="31">
        <f>ROUND('Anexo 7'!F12*'Anexo 3'!$D$10,0)</f>
        <v>0</v>
      </c>
      <c r="G12" s="31">
        <f>ROUND('Anexo 7'!G12*'Anexo 3'!$D$10,0)</f>
        <v>0</v>
      </c>
      <c r="H12" s="31">
        <f>ROUND('Anexo 7'!H12*'Anexo 3'!$D$10,0)</f>
        <v>0</v>
      </c>
      <c r="I12" s="31">
        <f>ROUND('Anexo 7'!I12*'Anexo 3'!$D$10,0)</f>
        <v>0</v>
      </c>
      <c r="J12" s="31">
        <f>ROUND('Anexo 7'!J12*'Anexo 3'!$D$10,0)</f>
        <v>0</v>
      </c>
      <c r="K12" s="31">
        <f>ROUND('Anexo 7'!K12*'Anexo 3'!$D$10,0)</f>
        <v>0</v>
      </c>
      <c r="L12" s="31">
        <f>ROUND('Anexo 7'!L12*'Anexo 3'!$D$10,0)</f>
        <v>0</v>
      </c>
      <c r="M12" s="31">
        <f>ROUND('Anexo 7'!M12*'Anexo 3'!$D$10,0)</f>
        <v>0</v>
      </c>
      <c r="N12" s="31">
        <f>ROUND('Anexo 7'!N12*'Anexo 3'!$D$10,0)</f>
        <v>0</v>
      </c>
      <c r="O12" s="31">
        <f>ROUND('Anexo 7'!O12*'Anexo 3'!$D$10,0)</f>
        <v>0</v>
      </c>
      <c r="P12" s="31">
        <f>ROUND('Anexo 7'!P12*'Anexo 3'!$D$10,0)</f>
        <v>0</v>
      </c>
      <c r="Q12" s="31">
        <f>ROUND('Anexo 7'!Q12*'Anexo 3'!$D$10,0)</f>
        <v>0</v>
      </c>
      <c r="R12" s="31">
        <f>ROUND('Anexo 7'!R12*'Anexo 3'!$D$10,0)</f>
        <v>0</v>
      </c>
      <c r="S12" s="31">
        <f>ROUND('Anexo 7'!S12*'Anexo 3'!$D$10,0)</f>
        <v>0</v>
      </c>
      <c r="T12" s="31">
        <f>ROUND('Anexo 7'!T12*'Anexo 3'!$D$10,0)</f>
        <v>0</v>
      </c>
      <c r="U12" s="31">
        <f>ROUND('Anexo 7'!U12*'Anexo 3'!$D$10,0)</f>
        <v>0</v>
      </c>
      <c r="V12" s="31">
        <f>ROUND('Anexo 7'!V12*'Anexo 3'!$D$10,0)</f>
        <v>0</v>
      </c>
      <c r="W12" s="31">
        <f>ROUND('Anexo 7'!W12*'Anexo 3'!$D$10,0)</f>
        <v>0</v>
      </c>
      <c r="X12" s="31">
        <f>ROUND('Anexo 7'!X12*'Anexo 3'!$D$10,0)</f>
        <v>0</v>
      </c>
      <c r="Y12" s="31">
        <f>ROUND('Anexo 7'!Y12*'Anexo 3'!$D$10,0)</f>
        <v>0</v>
      </c>
      <c r="Z12" s="31">
        <f>ROUND('Anexo 7'!Z12*'Anexo 3'!$D$10,0)</f>
        <v>0</v>
      </c>
      <c r="AA12" s="33">
        <f t="shared" si="0"/>
        <v>0</v>
      </c>
      <c r="AB12" s="17">
        <v>19</v>
      </c>
      <c r="AC12" s="90">
        <f>+AA12*AB12+AA13*AB13+AA14*AB14</f>
        <v>0</v>
      </c>
    </row>
    <row r="13" spans="1:30" ht="15.75" thickBot="1" x14ac:dyDescent="0.3">
      <c r="A13" s="89"/>
      <c r="B13" s="18" t="s">
        <v>4</v>
      </c>
      <c r="C13" s="31">
        <f>ROUND('Anexo 7'!C13*'Anexo 3'!$D$10,0)</f>
        <v>0</v>
      </c>
      <c r="D13" s="31">
        <f>ROUND('Anexo 7'!D13*'Anexo 3'!$D$10,0)</f>
        <v>0</v>
      </c>
      <c r="E13" s="31">
        <f>ROUND('Anexo 7'!E13*'Anexo 3'!$D$10,0)</f>
        <v>0</v>
      </c>
      <c r="F13" s="31">
        <f>ROUND('Anexo 7'!F13*'Anexo 3'!$D$10,0)</f>
        <v>0</v>
      </c>
      <c r="G13" s="31">
        <f>ROUND('Anexo 7'!G13*'Anexo 3'!$D$10,0)</f>
        <v>0</v>
      </c>
      <c r="H13" s="31">
        <f>ROUND('Anexo 7'!H13*'Anexo 3'!$D$10,0)</f>
        <v>0</v>
      </c>
      <c r="I13" s="31">
        <f>ROUND('Anexo 7'!I13*'Anexo 3'!$D$10,0)</f>
        <v>0</v>
      </c>
      <c r="J13" s="31">
        <f>ROUND('Anexo 7'!J13*'Anexo 3'!$D$10,0)</f>
        <v>0</v>
      </c>
      <c r="K13" s="31">
        <f>ROUND('Anexo 7'!K13*'Anexo 3'!$D$10,0)</f>
        <v>0</v>
      </c>
      <c r="L13" s="31">
        <f>ROUND('Anexo 7'!L13*'Anexo 3'!$D$10,0)</f>
        <v>0</v>
      </c>
      <c r="M13" s="31">
        <f>ROUND('Anexo 7'!M13*'Anexo 3'!$D$10,0)</f>
        <v>0</v>
      </c>
      <c r="N13" s="31">
        <f>ROUND('Anexo 7'!N13*'Anexo 3'!$D$10,0)</f>
        <v>0</v>
      </c>
      <c r="O13" s="31">
        <f>ROUND('Anexo 7'!O13*'Anexo 3'!$D$10,0)</f>
        <v>0</v>
      </c>
      <c r="P13" s="31">
        <f>ROUND('Anexo 7'!P13*'Anexo 3'!$D$10,0)</f>
        <v>0</v>
      </c>
      <c r="Q13" s="31">
        <f>ROUND('Anexo 7'!Q13*'Anexo 3'!$D$10,0)</f>
        <v>0</v>
      </c>
      <c r="R13" s="31">
        <f>ROUND('Anexo 7'!R13*'Anexo 3'!$D$10,0)</f>
        <v>0</v>
      </c>
      <c r="S13" s="31">
        <f>ROUND('Anexo 7'!S13*'Anexo 3'!$D$10,0)</f>
        <v>0</v>
      </c>
      <c r="T13" s="31">
        <f>ROUND('Anexo 7'!T13*'Anexo 3'!$D$10,0)</f>
        <v>0</v>
      </c>
      <c r="U13" s="31">
        <f>ROUND('Anexo 7'!U13*'Anexo 3'!$D$10,0)</f>
        <v>0</v>
      </c>
      <c r="V13" s="31">
        <f>ROUND('Anexo 7'!V13*'Anexo 3'!$D$10,0)</f>
        <v>0</v>
      </c>
      <c r="W13" s="31">
        <f>ROUND('Anexo 7'!W13*'Anexo 3'!$D$10,0)</f>
        <v>0</v>
      </c>
      <c r="X13" s="31">
        <f>ROUND('Anexo 7'!X13*'Anexo 3'!$D$10,0)</f>
        <v>0</v>
      </c>
      <c r="Y13" s="31">
        <f>ROUND('Anexo 7'!Y13*'Anexo 3'!$D$10,0)</f>
        <v>0</v>
      </c>
      <c r="Z13" s="31">
        <f>ROUND('Anexo 7'!Z13*'Anexo 3'!$D$10,0)</f>
        <v>0</v>
      </c>
      <c r="AA13" s="36">
        <f t="shared" si="0"/>
        <v>0</v>
      </c>
      <c r="AB13" s="19">
        <v>5</v>
      </c>
      <c r="AC13" s="91"/>
      <c r="AD13" s="45"/>
    </row>
    <row r="14" spans="1:30" ht="15.75" thickBot="1" x14ac:dyDescent="0.3">
      <c r="A14" s="89"/>
      <c r="B14" s="20" t="s">
        <v>3</v>
      </c>
      <c r="C14" s="31">
        <f>ROUND('Anexo 7'!C14*'Anexo 3'!$D$10,0)</f>
        <v>0</v>
      </c>
      <c r="D14" s="31">
        <f>ROUND('Anexo 7'!D14*'Anexo 3'!$D$10,0)</f>
        <v>0</v>
      </c>
      <c r="E14" s="31">
        <f>ROUND('Anexo 7'!E14*'Anexo 3'!$D$10,0)</f>
        <v>0</v>
      </c>
      <c r="F14" s="31">
        <f>ROUND('Anexo 7'!F14*'Anexo 3'!$D$10,0)</f>
        <v>0</v>
      </c>
      <c r="G14" s="31">
        <f>ROUND('Anexo 7'!G14*'Anexo 3'!$D$10,0)</f>
        <v>0</v>
      </c>
      <c r="H14" s="31">
        <f>ROUND('Anexo 7'!H14*'Anexo 3'!$D$10,0)</f>
        <v>0</v>
      </c>
      <c r="I14" s="31">
        <f>ROUND('Anexo 7'!I14*'Anexo 3'!$D$10,0)</f>
        <v>0</v>
      </c>
      <c r="J14" s="31">
        <f>ROUND('Anexo 7'!J14*'Anexo 3'!$D$10,0)</f>
        <v>0</v>
      </c>
      <c r="K14" s="31">
        <f>ROUND('Anexo 7'!K14*'Anexo 3'!$D$10,0)</f>
        <v>0</v>
      </c>
      <c r="L14" s="31">
        <f>ROUND('Anexo 7'!L14*'Anexo 3'!$D$10,0)</f>
        <v>0</v>
      </c>
      <c r="M14" s="31">
        <f>ROUND('Anexo 7'!M14*'Anexo 3'!$D$10,0)</f>
        <v>0</v>
      </c>
      <c r="N14" s="31">
        <f>ROUND('Anexo 7'!N14*'Anexo 3'!$D$10,0)</f>
        <v>0</v>
      </c>
      <c r="O14" s="31">
        <f>ROUND('Anexo 7'!O14*'Anexo 3'!$D$10,0)</f>
        <v>0</v>
      </c>
      <c r="P14" s="31">
        <f>ROUND('Anexo 7'!P14*'Anexo 3'!$D$10,0)</f>
        <v>0</v>
      </c>
      <c r="Q14" s="31">
        <f>ROUND('Anexo 7'!Q14*'Anexo 3'!$D$10,0)</f>
        <v>0</v>
      </c>
      <c r="R14" s="31">
        <f>ROUND('Anexo 7'!R14*'Anexo 3'!$D$10,0)</f>
        <v>0</v>
      </c>
      <c r="S14" s="31">
        <f>ROUND('Anexo 7'!S14*'Anexo 3'!$D$10,0)</f>
        <v>0</v>
      </c>
      <c r="T14" s="31">
        <f>ROUND('Anexo 7'!T14*'Anexo 3'!$D$10,0)</f>
        <v>0</v>
      </c>
      <c r="U14" s="31">
        <f>ROUND('Anexo 7'!U14*'Anexo 3'!$D$10,0)</f>
        <v>0</v>
      </c>
      <c r="V14" s="31">
        <f>ROUND('Anexo 7'!V14*'Anexo 3'!$D$10,0)</f>
        <v>0</v>
      </c>
      <c r="W14" s="31">
        <f>ROUND('Anexo 7'!W14*'Anexo 3'!$D$10,0)</f>
        <v>0</v>
      </c>
      <c r="X14" s="31">
        <f>ROUND('Anexo 7'!X14*'Anexo 3'!$D$10,0)</f>
        <v>0</v>
      </c>
      <c r="Y14" s="31">
        <f>ROUND('Anexo 7'!Y14*'Anexo 3'!$D$10,0)</f>
        <v>0</v>
      </c>
      <c r="Z14" s="31">
        <f>ROUND('Anexo 7'!Z14*'Anexo 3'!$D$10,0)</f>
        <v>0</v>
      </c>
      <c r="AA14" s="39">
        <f t="shared" si="0"/>
        <v>0</v>
      </c>
      <c r="AB14" s="21">
        <v>7</v>
      </c>
      <c r="AC14" s="92"/>
      <c r="AD14" s="43"/>
    </row>
    <row r="15" spans="1:30" ht="15.75" thickBot="1" x14ac:dyDescent="0.3">
      <c r="A15" s="89">
        <v>47209</v>
      </c>
      <c r="B15" s="16" t="s">
        <v>5</v>
      </c>
      <c r="C15" s="31">
        <f>ROUND('Anexo 7'!C15*'Anexo 3'!$D$10,0)</f>
        <v>0</v>
      </c>
      <c r="D15" s="31">
        <f>ROUND('Anexo 7'!D15*'Anexo 3'!$D$10,0)</f>
        <v>0</v>
      </c>
      <c r="E15" s="31">
        <f>ROUND('Anexo 7'!E15*'Anexo 3'!$D$10,0)</f>
        <v>0</v>
      </c>
      <c r="F15" s="31">
        <f>ROUND('Anexo 7'!F15*'Anexo 3'!$D$10,0)</f>
        <v>0</v>
      </c>
      <c r="G15" s="31">
        <f>ROUND('Anexo 7'!G15*'Anexo 3'!$D$10,0)</f>
        <v>0</v>
      </c>
      <c r="H15" s="31">
        <f>ROUND('Anexo 7'!H15*'Anexo 3'!$D$10,0)</f>
        <v>0</v>
      </c>
      <c r="I15" s="31">
        <f>ROUND('Anexo 7'!I15*'Anexo 3'!$D$10,0)</f>
        <v>0</v>
      </c>
      <c r="J15" s="31">
        <f>ROUND('Anexo 7'!J15*'Anexo 3'!$D$10,0)</f>
        <v>0</v>
      </c>
      <c r="K15" s="31">
        <f>ROUND('Anexo 7'!K15*'Anexo 3'!$D$10,0)</f>
        <v>0</v>
      </c>
      <c r="L15" s="31">
        <f>ROUND('Anexo 7'!L15*'Anexo 3'!$D$10,0)</f>
        <v>0</v>
      </c>
      <c r="M15" s="31">
        <f>ROUND('Anexo 7'!M15*'Anexo 3'!$D$10,0)</f>
        <v>0</v>
      </c>
      <c r="N15" s="31">
        <f>ROUND('Anexo 7'!N15*'Anexo 3'!$D$10,0)</f>
        <v>0</v>
      </c>
      <c r="O15" s="31">
        <f>ROUND('Anexo 7'!O15*'Anexo 3'!$D$10,0)</f>
        <v>0</v>
      </c>
      <c r="P15" s="31">
        <f>ROUND('Anexo 7'!P15*'Anexo 3'!$D$10,0)</f>
        <v>0</v>
      </c>
      <c r="Q15" s="31">
        <f>ROUND('Anexo 7'!Q15*'Anexo 3'!$D$10,0)</f>
        <v>0</v>
      </c>
      <c r="R15" s="31">
        <f>ROUND('Anexo 7'!R15*'Anexo 3'!$D$10,0)</f>
        <v>0</v>
      </c>
      <c r="S15" s="31">
        <f>ROUND('Anexo 7'!S15*'Anexo 3'!$D$10,0)</f>
        <v>0</v>
      </c>
      <c r="T15" s="31">
        <f>ROUND('Anexo 7'!T15*'Anexo 3'!$D$10,0)</f>
        <v>0</v>
      </c>
      <c r="U15" s="31">
        <f>ROUND('Anexo 7'!U15*'Anexo 3'!$D$10,0)</f>
        <v>0</v>
      </c>
      <c r="V15" s="31">
        <f>ROUND('Anexo 7'!V15*'Anexo 3'!$D$10,0)</f>
        <v>0</v>
      </c>
      <c r="W15" s="31">
        <f>ROUND('Anexo 7'!W15*'Anexo 3'!$D$10,0)</f>
        <v>0</v>
      </c>
      <c r="X15" s="31">
        <f>ROUND('Anexo 7'!X15*'Anexo 3'!$D$10,0)</f>
        <v>0</v>
      </c>
      <c r="Y15" s="31">
        <f>ROUND('Anexo 7'!Y15*'Anexo 3'!$D$10,0)</f>
        <v>0</v>
      </c>
      <c r="Z15" s="31">
        <f>ROUND('Anexo 7'!Z15*'Anexo 3'!$D$10,0)</f>
        <v>0</v>
      </c>
      <c r="AA15" s="33">
        <f t="shared" si="0"/>
        <v>0</v>
      </c>
      <c r="AB15" s="17">
        <v>21</v>
      </c>
      <c r="AC15" s="90">
        <f>+AA15*AB15+AA16*AB16+AA17*AB17</f>
        <v>0</v>
      </c>
    </row>
    <row r="16" spans="1:30" ht="15.75" thickBot="1" x14ac:dyDescent="0.3">
      <c r="A16" s="89"/>
      <c r="B16" s="18" t="s">
        <v>4</v>
      </c>
      <c r="C16" s="31">
        <f>ROUND('Anexo 7'!C16*'Anexo 3'!$D$10,0)</f>
        <v>0</v>
      </c>
      <c r="D16" s="31">
        <f>ROUND('Anexo 7'!D16*'Anexo 3'!$D$10,0)</f>
        <v>0</v>
      </c>
      <c r="E16" s="31">
        <f>ROUND('Anexo 7'!E16*'Anexo 3'!$D$10,0)</f>
        <v>0</v>
      </c>
      <c r="F16" s="31">
        <f>ROUND('Anexo 7'!F16*'Anexo 3'!$D$10,0)</f>
        <v>0</v>
      </c>
      <c r="G16" s="31">
        <f>ROUND('Anexo 7'!G16*'Anexo 3'!$D$10,0)</f>
        <v>0</v>
      </c>
      <c r="H16" s="31">
        <f>ROUND('Anexo 7'!H16*'Anexo 3'!$D$10,0)</f>
        <v>0</v>
      </c>
      <c r="I16" s="31">
        <f>ROUND('Anexo 7'!I16*'Anexo 3'!$D$10,0)</f>
        <v>0</v>
      </c>
      <c r="J16" s="31">
        <f>ROUND('Anexo 7'!J16*'Anexo 3'!$D$10,0)</f>
        <v>0</v>
      </c>
      <c r="K16" s="31">
        <f>ROUND('Anexo 7'!K16*'Anexo 3'!$D$10,0)</f>
        <v>0</v>
      </c>
      <c r="L16" s="31">
        <f>ROUND('Anexo 7'!L16*'Anexo 3'!$D$10,0)</f>
        <v>0</v>
      </c>
      <c r="M16" s="31">
        <f>ROUND('Anexo 7'!M16*'Anexo 3'!$D$10,0)</f>
        <v>0</v>
      </c>
      <c r="N16" s="31">
        <f>ROUND('Anexo 7'!N16*'Anexo 3'!$D$10,0)</f>
        <v>0</v>
      </c>
      <c r="O16" s="31">
        <f>ROUND('Anexo 7'!O16*'Anexo 3'!$D$10,0)</f>
        <v>0</v>
      </c>
      <c r="P16" s="31">
        <f>ROUND('Anexo 7'!P16*'Anexo 3'!$D$10,0)</f>
        <v>0</v>
      </c>
      <c r="Q16" s="31">
        <f>ROUND('Anexo 7'!Q16*'Anexo 3'!$D$10,0)</f>
        <v>0</v>
      </c>
      <c r="R16" s="31">
        <f>ROUND('Anexo 7'!R16*'Anexo 3'!$D$10,0)</f>
        <v>0</v>
      </c>
      <c r="S16" s="31">
        <f>ROUND('Anexo 7'!S16*'Anexo 3'!$D$10,0)</f>
        <v>0</v>
      </c>
      <c r="T16" s="31">
        <f>ROUND('Anexo 7'!T16*'Anexo 3'!$D$10,0)</f>
        <v>0</v>
      </c>
      <c r="U16" s="31">
        <f>ROUND('Anexo 7'!U16*'Anexo 3'!$D$10,0)</f>
        <v>0</v>
      </c>
      <c r="V16" s="31">
        <f>ROUND('Anexo 7'!V16*'Anexo 3'!$D$10,0)</f>
        <v>0</v>
      </c>
      <c r="W16" s="31">
        <f>ROUND('Anexo 7'!W16*'Anexo 3'!$D$10,0)</f>
        <v>0</v>
      </c>
      <c r="X16" s="31">
        <f>ROUND('Anexo 7'!X16*'Anexo 3'!$D$10,0)</f>
        <v>0</v>
      </c>
      <c r="Y16" s="31">
        <f>ROUND('Anexo 7'!Y16*'Anexo 3'!$D$10,0)</f>
        <v>0</v>
      </c>
      <c r="Z16" s="31">
        <f>ROUND('Anexo 7'!Z16*'Anexo 3'!$D$10,0)</f>
        <v>0</v>
      </c>
      <c r="AA16" s="36">
        <f t="shared" si="0"/>
        <v>0</v>
      </c>
      <c r="AB16" s="19">
        <v>4</v>
      </c>
      <c r="AC16" s="91"/>
      <c r="AD16" s="45"/>
    </row>
    <row r="17" spans="1:30" ht="15.75" thickBot="1" x14ac:dyDescent="0.3">
      <c r="A17" s="89"/>
      <c r="B17" s="20" t="s">
        <v>3</v>
      </c>
      <c r="C17" s="31">
        <f>ROUND('Anexo 7'!C17*'Anexo 3'!$D$10,0)</f>
        <v>0</v>
      </c>
      <c r="D17" s="31">
        <f>ROUND('Anexo 7'!D17*'Anexo 3'!$D$10,0)</f>
        <v>0</v>
      </c>
      <c r="E17" s="31">
        <f>ROUND('Anexo 7'!E17*'Anexo 3'!$D$10,0)</f>
        <v>0</v>
      </c>
      <c r="F17" s="31">
        <f>ROUND('Anexo 7'!F17*'Anexo 3'!$D$10,0)</f>
        <v>0</v>
      </c>
      <c r="G17" s="31">
        <f>ROUND('Anexo 7'!G17*'Anexo 3'!$D$10,0)</f>
        <v>0</v>
      </c>
      <c r="H17" s="31">
        <f>ROUND('Anexo 7'!H17*'Anexo 3'!$D$10,0)</f>
        <v>0</v>
      </c>
      <c r="I17" s="31">
        <f>ROUND('Anexo 7'!I17*'Anexo 3'!$D$10,0)</f>
        <v>0</v>
      </c>
      <c r="J17" s="31">
        <f>ROUND('Anexo 7'!J17*'Anexo 3'!$D$10,0)</f>
        <v>0</v>
      </c>
      <c r="K17" s="31">
        <f>ROUND('Anexo 7'!K17*'Anexo 3'!$D$10,0)</f>
        <v>0</v>
      </c>
      <c r="L17" s="31">
        <f>ROUND('Anexo 7'!L17*'Anexo 3'!$D$10,0)</f>
        <v>0</v>
      </c>
      <c r="M17" s="31">
        <f>ROUND('Anexo 7'!M17*'Anexo 3'!$D$10,0)</f>
        <v>0</v>
      </c>
      <c r="N17" s="31">
        <f>ROUND('Anexo 7'!N17*'Anexo 3'!$D$10,0)</f>
        <v>0</v>
      </c>
      <c r="O17" s="31">
        <f>ROUND('Anexo 7'!O17*'Anexo 3'!$D$10,0)</f>
        <v>0</v>
      </c>
      <c r="P17" s="31">
        <f>ROUND('Anexo 7'!P17*'Anexo 3'!$D$10,0)</f>
        <v>0</v>
      </c>
      <c r="Q17" s="31">
        <f>ROUND('Anexo 7'!Q17*'Anexo 3'!$D$10,0)</f>
        <v>0</v>
      </c>
      <c r="R17" s="31">
        <f>ROUND('Anexo 7'!R17*'Anexo 3'!$D$10,0)</f>
        <v>0</v>
      </c>
      <c r="S17" s="31">
        <f>ROUND('Anexo 7'!S17*'Anexo 3'!$D$10,0)</f>
        <v>0</v>
      </c>
      <c r="T17" s="31">
        <f>ROUND('Anexo 7'!T17*'Anexo 3'!$D$10,0)</f>
        <v>0</v>
      </c>
      <c r="U17" s="31">
        <f>ROUND('Anexo 7'!U17*'Anexo 3'!$D$10,0)</f>
        <v>0</v>
      </c>
      <c r="V17" s="31">
        <f>ROUND('Anexo 7'!V17*'Anexo 3'!$D$10,0)</f>
        <v>0</v>
      </c>
      <c r="W17" s="31">
        <f>ROUND('Anexo 7'!W17*'Anexo 3'!$D$10,0)</f>
        <v>0</v>
      </c>
      <c r="X17" s="31">
        <f>ROUND('Anexo 7'!X17*'Anexo 3'!$D$10,0)</f>
        <v>0</v>
      </c>
      <c r="Y17" s="31">
        <f>ROUND('Anexo 7'!Y17*'Anexo 3'!$D$10,0)</f>
        <v>0</v>
      </c>
      <c r="Z17" s="31">
        <f>ROUND('Anexo 7'!Z17*'Anexo 3'!$D$10,0)</f>
        <v>0</v>
      </c>
      <c r="AA17" s="39">
        <f t="shared" si="0"/>
        <v>0</v>
      </c>
      <c r="AB17" s="21">
        <v>5</v>
      </c>
      <c r="AC17" s="92"/>
      <c r="AD17" s="46"/>
    </row>
    <row r="18" spans="1:30" ht="15.75" thickBot="1" x14ac:dyDescent="0.3">
      <c r="A18" s="89">
        <v>47239</v>
      </c>
      <c r="B18" s="16" t="s">
        <v>5</v>
      </c>
      <c r="C18" s="31">
        <f>ROUND('Anexo 7'!C18*'Anexo 3'!$D$10,0)</f>
        <v>0</v>
      </c>
      <c r="D18" s="31">
        <f>ROUND('Anexo 7'!D18*'Anexo 3'!$D$10,0)</f>
        <v>0</v>
      </c>
      <c r="E18" s="31">
        <f>ROUND('Anexo 7'!E18*'Anexo 3'!$D$10,0)</f>
        <v>0</v>
      </c>
      <c r="F18" s="31">
        <f>ROUND('Anexo 7'!F18*'Anexo 3'!$D$10,0)</f>
        <v>0</v>
      </c>
      <c r="G18" s="31">
        <f>ROUND('Anexo 7'!G18*'Anexo 3'!$D$10,0)</f>
        <v>0</v>
      </c>
      <c r="H18" s="31">
        <f>ROUND('Anexo 7'!H18*'Anexo 3'!$D$10,0)</f>
        <v>0</v>
      </c>
      <c r="I18" s="31">
        <f>ROUND('Anexo 7'!I18*'Anexo 3'!$D$10,0)</f>
        <v>0</v>
      </c>
      <c r="J18" s="31">
        <f>ROUND('Anexo 7'!J18*'Anexo 3'!$D$10,0)</f>
        <v>0</v>
      </c>
      <c r="K18" s="31">
        <f>ROUND('Anexo 7'!K18*'Anexo 3'!$D$10,0)</f>
        <v>0</v>
      </c>
      <c r="L18" s="31">
        <f>ROUND('Anexo 7'!L18*'Anexo 3'!$D$10,0)</f>
        <v>0</v>
      </c>
      <c r="M18" s="31">
        <f>ROUND('Anexo 7'!M18*'Anexo 3'!$D$10,0)</f>
        <v>0</v>
      </c>
      <c r="N18" s="31">
        <f>ROUND('Anexo 7'!N18*'Anexo 3'!$D$10,0)</f>
        <v>0</v>
      </c>
      <c r="O18" s="31">
        <f>ROUND('Anexo 7'!O18*'Anexo 3'!$D$10,0)</f>
        <v>0</v>
      </c>
      <c r="P18" s="31">
        <f>ROUND('Anexo 7'!P18*'Anexo 3'!$D$10,0)</f>
        <v>0</v>
      </c>
      <c r="Q18" s="31">
        <f>ROUND('Anexo 7'!Q18*'Anexo 3'!$D$10,0)</f>
        <v>0</v>
      </c>
      <c r="R18" s="31">
        <f>ROUND('Anexo 7'!R18*'Anexo 3'!$D$10,0)</f>
        <v>0</v>
      </c>
      <c r="S18" s="31">
        <f>ROUND('Anexo 7'!S18*'Anexo 3'!$D$10,0)</f>
        <v>0</v>
      </c>
      <c r="T18" s="31">
        <f>ROUND('Anexo 7'!T18*'Anexo 3'!$D$10,0)</f>
        <v>0</v>
      </c>
      <c r="U18" s="31">
        <f>ROUND('Anexo 7'!U18*'Anexo 3'!$D$10,0)</f>
        <v>0</v>
      </c>
      <c r="V18" s="31">
        <f>ROUND('Anexo 7'!V18*'Anexo 3'!$D$10,0)</f>
        <v>0</v>
      </c>
      <c r="W18" s="31">
        <f>ROUND('Anexo 7'!W18*'Anexo 3'!$D$10,0)</f>
        <v>0</v>
      </c>
      <c r="X18" s="31">
        <f>ROUND('Anexo 7'!X18*'Anexo 3'!$D$10,0)</f>
        <v>0</v>
      </c>
      <c r="Y18" s="31">
        <f>ROUND('Anexo 7'!Y18*'Anexo 3'!$D$10,0)</f>
        <v>0</v>
      </c>
      <c r="Z18" s="31">
        <f>ROUND('Anexo 7'!Z18*'Anexo 3'!$D$10,0)</f>
        <v>0</v>
      </c>
      <c r="AA18" s="33">
        <f t="shared" si="0"/>
        <v>0</v>
      </c>
      <c r="AB18" s="17">
        <v>21</v>
      </c>
      <c r="AC18" s="90">
        <f>+AA18*AB18+AA19*AB19+AA20*AB20</f>
        <v>0</v>
      </c>
    </row>
    <row r="19" spans="1:30" ht="15.75" thickBot="1" x14ac:dyDescent="0.3">
      <c r="A19" s="89"/>
      <c r="B19" s="18" t="s">
        <v>4</v>
      </c>
      <c r="C19" s="31">
        <f>ROUND('Anexo 7'!C19*'Anexo 3'!$D$10,0)</f>
        <v>0</v>
      </c>
      <c r="D19" s="31">
        <f>ROUND('Anexo 7'!D19*'Anexo 3'!$D$10,0)</f>
        <v>0</v>
      </c>
      <c r="E19" s="31">
        <f>ROUND('Anexo 7'!E19*'Anexo 3'!$D$10,0)</f>
        <v>0</v>
      </c>
      <c r="F19" s="31">
        <f>ROUND('Anexo 7'!F19*'Anexo 3'!$D$10,0)</f>
        <v>0</v>
      </c>
      <c r="G19" s="31">
        <f>ROUND('Anexo 7'!G19*'Anexo 3'!$D$10,0)</f>
        <v>0</v>
      </c>
      <c r="H19" s="31">
        <f>ROUND('Anexo 7'!H19*'Anexo 3'!$D$10,0)</f>
        <v>0</v>
      </c>
      <c r="I19" s="31">
        <f>ROUND('Anexo 7'!I19*'Anexo 3'!$D$10,0)</f>
        <v>0</v>
      </c>
      <c r="J19" s="31">
        <f>ROUND('Anexo 7'!J19*'Anexo 3'!$D$10,0)</f>
        <v>0</v>
      </c>
      <c r="K19" s="31">
        <f>ROUND('Anexo 7'!K19*'Anexo 3'!$D$10,0)</f>
        <v>0</v>
      </c>
      <c r="L19" s="31">
        <f>ROUND('Anexo 7'!L19*'Anexo 3'!$D$10,0)</f>
        <v>0</v>
      </c>
      <c r="M19" s="31">
        <f>ROUND('Anexo 7'!M19*'Anexo 3'!$D$10,0)</f>
        <v>0</v>
      </c>
      <c r="N19" s="31">
        <f>ROUND('Anexo 7'!N19*'Anexo 3'!$D$10,0)</f>
        <v>0</v>
      </c>
      <c r="O19" s="31">
        <f>ROUND('Anexo 7'!O19*'Anexo 3'!$D$10,0)</f>
        <v>0</v>
      </c>
      <c r="P19" s="31">
        <f>ROUND('Anexo 7'!P19*'Anexo 3'!$D$10,0)</f>
        <v>0</v>
      </c>
      <c r="Q19" s="31">
        <f>ROUND('Anexo 7'!Q19*'Anexo 3'!$D$10,0)</f>
        <v>0</v>
      </c>
      <c r="R19" s="31">
        <f>ROUND('Anexo 7'!R19*'Anexo 3'!$D$10,0)</f>
        <v>0</v>
      </c>
      <c r="S19" s="31">
        <f>ROUND('Anexo 7'!S19*'Anexo 3'!$D$10,0)</f>
        <v>0</v>
      </c>
      <c r="T19" s="31">
        <f>ROUND('Anexo 7'!T19*'Anexo 3'!$D$10,0)</f>
        <v>0</v>
      </c>
      <c r="U19" s="31">
        <f>ROUND('Anexo 7'!U19*'Anexo 3'!$D$10,0)</f>
        <v>0</v>
      </c>
      <c r="V19" s="31">
        <f>ROUND('Anexo 7'!V19*'Anexo 3'!$D$10,0)</f>
        <v>0</v>
      </c>
      <c r="W19" s="31">
        <f>ROUND('Anexo 7'!W19*'Anexo 3'!$D$10,0)</f>
        <v>0</v>
      </c>
      <c r="X19" s="31">
        <f>ROUND('Anexo 7'!X19*'Anexo 3'!$D$10,0)</f>
        <v>0</v>
      </c>
      <c r="Y19" s="31">
        <f>ROUND('Anexo 7'!Y19*'Anexo 3'!$D$10,0)</f>
        <v>0</v>
      </c>
      <c r="Z19" s="31">
        <f>ROUND('Anexo 7'!Z19*'Anexo 3'!$D$10,0)</f>
        <v>0</v>
      </c>
      <c r="AA19" s="36">
        <f t="shared" si="0"/>
        <v>0</v>
      </c>
      <c r="AB19" s="19">
        <v>4</v>
      </c>
      <c r="AC19" s="91"/>
      <c r="AD19" s="45"/>
    </row>
    <row r="20" spans="1:30" ht="15.75" thickBot="1" x14ac:dyDescent="0.3">
      <c r="A20" s="89"/>
      <c r="B20" s="20" t="s">
        <v>3</v>
      </c>
      <c r="C20" s="31">
        <f>ROUND('Anexo 7'!C20*'Anexo 3'!$D$10,0)</f>
        <v>0</v>
      </c>
      <c r="D20" s="31">
        <f>ROUND('Anexo 7'!D20*'Anexo 3'!$D$10,0)</f>
        <v>0</v>
      </c>
      <c r="E20" s="31">
        <f>ROUND('Anexo 7'!E20*'Anexo 3'!$D$10,0)</f>
        <v>0</v>
      </c>
      <c r="F20" s="31">
        <f>ROUND('Anexo 7'!F20*'Anexo 3'!$D$10,0)</f>
        <v>0</v>
      </c>
      <c r="G20" s="31">
        <f>ROUND('Anexo 7'!G20*'Anexo 3'!$D$10,0)</f>
        <v>0</v>
      </c>
      <c r="H20" s="31">
        <f>ROUND('Anexo 7'!H20*'Anexo 3'!$D$10,0)</f>
        <v>0</v>
      </c>
      <c r="I20" s="31">
        <f>ROUND('Anexo 7'!I20*'Anexo 3'!$D$10,0)</f>
        <v>0</v>
      </c>
      <c r="J20" s="31">
        <f>ROUND('Anexo 7'!J20*'Anexo 3'!$D$10,0)</f>
        <v>0</v>
      </c>
      <c r="K20" s="31">
        <f>ROUND('Anexo 7'!K20*'Anexo 3'!$D$10,0)</f>
        <v>0</v>
      </c>
      <c r="L20" s="31">
        <f>ROUND('Anexo 7'!L20*'Anexo 3'!$D$10,0)</f>
        <v>0</v>
      </c>
      <c r="M20" s="31">
        <f>ROUND('Anexo 7'!M20*'Anexo 3'!$D$10,0)</f>
        <v>0</v>
      </c>
      <c r="N20" s="31">
        <f>ROUND('Anexo 7'!N20*'Anexo 3'!$D$10,0)</f>
        <v>0</v>
      </c>
      <c r="O20" s="31">
        <f>ROUND('Anexo 7'!O20*'Anexo 3'!$D$10,0)</f>
        <v>0</v>
      </c>
      <c r="P20" s="31">
        <f>ROUND('Anexo 7'!P20*'Anexo 3'!$D$10,0)</f>
        <v>0</v>
      </c>
      <c r="Q20" s="31">
        <f>ROUND('Anexo 7'!Q20*'Anexo 3'!$D$10,0)</f>
        <v>0</v>
      </c>
      <c r="R20" s="31">
        <f>ROUND('Anexo 7'!R20*'Anexo 3'!$D$10,0)</f>
        <v>0</v>
      </c>
      <c r="S20" s="31">
        <f>ROUND('Anexo 7'!S20*'Anexo 3'!$D$10,0)</f>
        <v>0</v>
      </c>
      <c r="T20" s="31">
        <f>ROUND('Anexo 7'!T20*'Anexo 3'!$D$10,0)</f>
        <v>0</v>
      </c>
      <c r="U20" s="31">
        <f>ROUND('Anexo 7'!U20*'Anexo 3'!$D$10,0)</f>
        <v>0</v>
      </c>
      <c r="V20" s="31">
        <f>ROUND('Anexo 7'!V20*'Anexo 3'!$D$10,0)</f>
        <v>0</v>
      </c>
      <c r="W20" s="31">
        <f>ROUND('Anexo 7'!W20*'Anexo 3'!$D$10,0)</f>
        <v>0</v>
      </c>
      <c r="X20" s="31">
        <f>ROUND('Anexo 7'!X20*'Anexo 3'!$D$10,0)</f>
        <v>0</v>
      </c>
      <c r="Y20" s="31">
        <f>ROUND('Anexo 7'!Y20*'Anexo 3'!$D$10,0)</f>
        <v>0</v>
      </c>
      <c r="Z20" s="31">
        <f>ROUND('Anexo 7'!Z20*'Anexo 3'!$D$10,0)</f>
        <v>0</v>
      </c>
      <c r="AA20" s="39">
        <f t="shared" si="0"/>
        <v>0</v>
      </c>
      <c r="AB20" s="21">
        <v>6</v>
      </c>
      <c r="AC20" s="92"/>
      <c r="AD20" s="46"/>
    </row>
    <row r="21" spans="1:30" ht="15.75" thickBot="1" x14ac:dyDescent="0.3">
      <c r="A21" s="89">
        <v>47270</v>
      </c>
      <c r="B21" s="16" t="s">
        <v>5</v>
      </c>
      <c r="C21" s="31">
        <f>ROUND('Anexo 7'!C21*'Anexo 3'!$D$10,0)</f>
        <v>0</v>
      </c>
      <c r="D21" s="31">
        <f>ROUND('Anexo 7'!D21*'Anexo 3'!$D$10,0)</f>
        <v>0</v>
      </c>
      <c r="E21" s="31">
        <f>ROUND('Anexo 7'!E21*'Anexo 3'!$D$10,0)</f>
        <v>0</v>
      </c>
      <c r="F21" s="31">
        <f>ROUND('Anexo 7'!F21*'Anexo 3'!$D$10,0)</f>
        <v>0</v>
      </c>
      <c r="G21" s="31">
        <f>ROUND('Anexo 7'!G21*'Anexo 3'!$D$10,0)</f>
        <v>0</v>
      </c>
      <c r="H21" s="31">
        <f>ROUND('Anexo 7'!H21*'Anexo 3'!$D$10,0)</f>
        <v>0</v>
      </c>
      <c r="I21" s="31">
        <f>ROUND('Anexo 7'!I21*'Anexo 3'!$D$10,0)</f>
        <v>0</v>
      </c>
      <c r="J21" s="31">
        <f>ROUND('Anexo 7'!J21*'Anexo 3'!$D$10,0)</f>
        <v>0</v>
      </c>
      <c r="K21" s="31">
        <f>ROUND('Anexo 7'!K21*'Anexo 3'!$D$10,0)</f>
        <v>0</v>
      </c>
      <c r="L21" s="31">
        <f>ROUND('Anexo 7'!L21*'Anexo 3'!$D$10,0)</f>
        <v>0</v>
      </c>
      <c r="M21" s="31">
        <f>ROUND('Anexo 7'!M21*'Anexo 3'!$D$10,0)</f>
        <v>0</v>
      </c>
      <c r="N21" s="31">
        <f>ROUND('Anexo 7'!N21*'Anexo 3'!$D$10,0)</f>
        <v>0</v>
      </c>
      <c r="O21" s="31">
        <f>ROUND('Anexo 7'!O21*'Anexo 3'!$D$10,0)</f>
        <v>0</v>
      </c>
      <c r="P21" s="31">
        <f>ROUND('Anexo 7'!P21*'Anexo 3'!$D$10,0)</f>
        <v>0</v>
      </c>
      <c r="Q21" s="31">
        <f>ROUND('Anexo 7'!Q21*'Anexo 3'!$D$10,0)</f>
        <v>0</v>
      </c>
      <c r="R21" s="31">
        <f>ROUND('Anexo 7'!R21*'Anexo 3'!$D$10,0)</f>
        <v>0</v>
      </c>
      <c r="S21" s="31">
        <f>ROUND('Anexo 7'!S21*'Anexo 3'!$D$10,0)</f>
        <v>0</v>
      </c>
      <c r="T21" s="31">
        <f>ROUND('Anexo 7'!T21*'Anexo 3'!$D$10,0)</f>
        <v>0</v>
      </c>
      <c r="U21" s="31">
        <f>ROUND('Anexo 7'!U21*'Anexo 3'!$D$10,0)</f>
        <v>0</v>
      </c>
      <c r="V21" s="31">
        <f>ROUND('Anexo 7'!V21*'Anexo 3'!$D$10,0)</f>
        <v>0</v>
      </c>
      <c r="W21" s="31">
        <f>ROUND('Anexo 7'!W21*'Anexo 3'!$D$10,0)</f>
        <v>0</v>
      </c>
      <c r="X21" s="31">
        <f>ROUND('Anexo 7'!X21*'Anexo 3'!$D$10,0)</f>
        <v>0</v>
      </c>
      <c r="Y21" s="31">
        <f>ROUND('Anexo 7'!Y21*'Anexo 3'!$D$10,0)</f>
        <v>0</v>
      </c>
      <c r="Z21" s="31">
        <f>ROUND('Anexo 7'!Z21*'Anexo 3'!$D$10,0)</f>
        <v>0</v>
      </c>
      <c r="AA21" s="33">
        <f t="shared" si="0"/>
        <v>0</v>
      </c>
      <c r="AB21" s="17">
        <v>19</v>
      </c>
      <c r="AC21" s="90">
        <f>+AA21*AB21+AA22*AB22+AA23*AB23</f>
        <v>0</v>
      </c>
    </row>
    <row r="22" spans="1:30" ht="15.75" thickBot="1" x14ac:dyDescent="0.3">
      <c r="A22" s="89"/>
      <c r="B22" s="18" t="s">
        <v>4</v>
      </c>
      <c r="C22" s="31">
        <f>ROUND('Anexo 7'!C22*'Anexo 3'!$D$10,0)</f>
        <v>0</v>
      </c>
      <c r="D22" s="31">
        <f>ROUND('Anexo 7'!D22*'Anexo 3'!$D$10,0)</f>
        <v>0</v>
      </c>
      <c r="E22" s="31">
        <f>ROUND('Anexo 7'!E22*'Anexo 3'!$D$10,0)</f>
        <v>0</v>
      </c>
      <c r="F22" s="31">
        <f>ROUND('Anexo 7'!F22*'Anexo 3'!$D$10,0)</f>
        <v>0</v>
      </c>
      <c r="G22" s="31">
        <f>ROUND('Anexo 7'!G22*'Anexo 3'!$D$10,0)</f>
        <v>0</v>
      </c>
      <c r="H22" s="31">
        <f>ROUND('Anexo 7'!H22*'Anexo 3'!$D$10,0)</f>
        <v>0</v>
      </c>
      <c r="I22" s="31">
        <f>ROUND('Anexo 7'!I22*'Anexo 3'!$D$10,0)</f>
        <v>0</v>
      </c>
      <c r="J22" s="31">
        <f>ROUND('Anexo 7'!J22*'Anexo 3'!$D$10,0)</f>
        <v>0</v>
      </c>
      <c r="K22" s="31">
        <f>ROUND('Anexo 7'!K22*'Anexo 3'!$D$10,0)</f>
        <v>0</v>
      </c>
      <c r="L22" s="31">
        <f>ROUND('Anexo 7'!L22*'Anexo 3'!$D$10,0)</f>
        <v>0</v>
      </c>
      <c r="M22" s="31">
        <f>ROUND('Anexo 7'!M22*'Anexo 3'!$D$10,0)</f>
        <v>0</v>
      </c>
      <c r="N22" s="31">
        <f>ROUND('Anexo 7'!N22*'Anexo 3'!$D$10,0)</f>
        <v>0</v>
      </c>
      <c r="O22" s="31">
        <f>ROUND('Anexo 7'!O22*'Anexo 3'!$D$10,0)</f>
        <v>0</v>
      </c>
      <c r="P22" s="31">
        <f>ROUND('Anexo 7'!P22*'Anexo 3'!$D$10,0)</f>
        <v>0</v>
      </c>
      <c r="Q22" s="31">
        <f>ROUND('Anexo 7'!Q22*'Anexo 3'!$D$10,0)</f>
        <v>0</v>
      </c>
      <c r="R22" s="31">
        <f>ROUND('Anexo 7'!R22*'Anexo 3'!$D$10,0)</f>
        <v>0</v>
      </c>
      <c r="S22" s="31">
        <f>ROUND('Anexo 7'!S22*'Anexo 3'!$D$10,0)</f>
        <v>0</v>
      </c>
      <c r="T22" s="31">
        <f>ROUND('Anexo 7'!T22*'Anexo 3'!$D$10,0)</f>
        <v>0</v>
      </c>
      <c r="U22" s="31">
        <f>ROUND('Anexo 7'!U22*'Anexo 3'!$D$10,0)</f>
        <v>0</v>
      </c>
      <c r="V22" s="31">
        <f>ROUND('Anexo 7'!V22*'Anexo 3'!$D$10,0)</f>
        <v>0</v>
      </c>
      <c r="W22" s="31">
        <f>ROUND('Anexo 7'!W22*'Anexo 3'!$D$10,0)</f>
        <v>0</v>
      </c>
      <c r="X22" s="31">
        <f>ROUND('Anexo 7'!X22*'Anexo 3'!$D$10,0)</f>
        <v>0</v>
      </c>
      <c r="Y22" s="31">
        <f>ROUND('Anexo 7'!Y22*'Anexo 3'!$D$10,0)</f>
        <v>0</v>
      </c>
      <c r="Z22" s="31">
        <f>ROUND('Anexo 7'!Z22*'Anexo 3'!$D$10,0)</f>
        <v>0</v>
      </c>
      <c r="AA22" s="36">
        <f t="shared" si="0"/>
        <v>0</v>
      </c>
      <c r="AB22" s="19">
        <v>5</v>
      </c>
      <c r="AC22" s="91"/>
      <c r="AD22" s="45"/>
    </row>
    <row r="23" spans="1:30" ht="15.75" thickBot="1" x14ac:dyDescent="0.3">
      <c r="A23" s="89"/>
      <c r="B23" s="20" t="s">
        <v>3</v>
      </c>
      <c r="C23" s="31">
        <f>ROUND('Anexo 7'!C23*'Anexo 3'!$D$10,0)</f>
        <v>0</v>
      </c>
      <c r="D23" s="31">
        <f>ROUND('Anexo 7'!D23*'Anexo 3'!$D$10,0)</f>
        <v>0</v>
      </c>
      <c r="E23" s="31">
        <f>ROUND('Anexo 7'!E23*'Anexo 3'!$D$10,0)</f>
        <v>0</v>
      </c>
      <c r="F23" s="31">
        <f>ROUND('Anexo 7'!F23*'Anexo 3'!$D$10,0)</f>
        <v>0</v>
      </c>
      <c r="G23" s="31">
        <f>ROUND('Anexo 7'!G23*'Anexo 3'!$D$10,0)</f>
        <v>0</v>
      </c>
      <c r="H23" s="31">
        <f>ROUND('Anexo 7'!H23*'Anexo 3'!$D$10,0)</f>
        <v>0</v>
      </c>
      <c r="I23" s="31">
        <f>ROUND('Anexo 7'!I23*'Anexo 3'!$D$10,0)</f>
        <v>0</v>
      </c>
      <c r="J23" s="31">
        <f>ROUND('Anexo 7'!J23*'Anexo 3'!$D$10,0)</f>
        <v>0</v>
      </c>
      <c r="K23" s="31">
        <f>ROUND('Anexo 7'!K23*'Anexo 3'!$D$10,0)</f>
        <v>0</v>
      </c>
      <c r="L23" s="31">
        <f>ROUND('Anexo 7'!L23*'Anexo 3'!$D$10,0)</f>
        <v>0</v>
      </c>
      <c r="M23" s="31">
        <f>ROUND('Anexo 7'!M23*'Anexo 3'!$D$10,0)</f>
        <v>0</v>
      </c>
      <c r="N23" s="31">
        <f>ROUND('Anexo 7'!N23*'Anexo 3'!$D$10,0)</f>
        <v>0</v>
      </c>
      <c r="O23" s="31">
        <f>ROUND('Anexo 7'!O23*'Anexo 3'!$D$10,0)</f>
        <v>0</v>
      </c>
      <c r="P23" s="31">
        <f>ROUND('Anexo 7'!P23*'Anexo 3'!$D$10,0)</f>
        <v>0</v>
      </c>
      <c r="Q23" s="31">
        <f>ROUND('Anexo 7'!Q23*'Anexo 3'!$D$10,0)</f>
        <v>0</v>
      </c>
      <c r="R23" s="31">
        <f>ROUND('Anexo 7'!R23*'Anexo 3'!$D$10,0)</f>
        <v>0</v>
      </c>
      <c r="S23" s="31">
        <f>ROUND('Anexo 7'!S23*'Anexo 3'!$D$10,0)</f>
        <v>0</v>
      </c>
      <c r="T23" s="31">
        <f>ROUND('Anexo 7'!T23*'Anexo 3'!$D$10,0)</f>
        <v>0</v>
      </c>
      <c r="U23" s="31">
        <f>ROUND('Anexo 7'!U23*'Anexo 3'!$D$10,0)</f>
        <v>0</v>
      </c>
      <c r="V23" s="31">
        <f>ROUND('Anexo 7'!V23*'Anexo 3'!$D$10,0)</f>
        <v>0</v>
      </c>
      <c r="W23" s="31">
        <f>ROUND('Anexo 7'!W23*'Anexo 3'!$D$10,0)</f>
        <v>0</v>
      </c>
      <c r="X23" s="31">
        <f>ROUND('Anexo 7'!X23*'Anexo 3'!$D$10,0)</f>
        <v>0</v>
      </c>
      <c r="Y23" s="31">
        <f>ROUND('Anexo 7'!Y23*'Anexo 3'!$D$10,0)</f>
        <v>0</v>
      </c>
      <c r="Z23" s="31">
        <f>ROUND('Anexo 7'!Z23*'Anexo 3'!$D$10,0)</f>
        <v>0</v>
      </c>
      <c r="AA23" s="39">
        <f t="shared" si="0"/>
        <v>0</v>
      </c>
      <c r="AB23" s="21">
        <v>6</v>
      </c>
      <c r="AC23" s="92"/>
      <c r="AD23" s="46"/>
    </row>
    <row r="24" spans="1:30" ht="15.75" thickBot="1" x14ac:dyDescent="0.3">
      <c r="A24" s="89">
        <v>47300</v>
      </c>
      <c r="B24" s="16" t="s">
        <v>5</v>
      </c>
      <c r="C24" s="31">
        <f>ROUND('Anexo 7'!C24*'Anexo 3'!$D$10,0)</f>
        <v>0</v>
      </c>
      <c r="D24" s="31">
        <f>ROUND('Anexo 7'!D24*'Anexo 3'!$D$10,0)</f>
        <v>0</v>
      </c>
      <c r="E24" s="31">
        <f>ROUND('Anexo 7'!E24*'Anexo 3'!$D$10,0)</f>
        <v>0</v>
      </c>
      <c r="F24" s="31">
        <f>ROUND('Anexo 7'!F24*'Anexo 3'!$D$10,0)</f>
        <v>0</v>
      </c>
      <c r="G24" s="31">
        <f>ROUND('Anexo 7'!G24*'Anexo 3'!$D$10,0)</f>
        <v>0</v>
      </c>
      <c r="H24" s="31">
        <f>ROUND('Anexo 7'!H24*'Anexo 3'!$D$10,0)</f>
        <v>0</v>
      </c>
      <c r="I24" s="31">
        <f>ROUND('Anexo 7'!I24*'Anexo 3'!$D$10,0)</f>
        <v>0</v>
      </c>
      <c r="J24" s="31">
        <f>ROUND('Anexo 7'!J24*'Anexo 3'!$D$10,0)</f>
        <v>0</v>
      </c>
      <c r="K24" s="31">
        <f>ROUND('Anexo 7'!K24*'Anexo 3'!$D$10,0)</f>
        <v>0</v>
      </c>
      <c r="L24" s="31">
        <f>ROUND('Anexo 7'!L24*'Anexo 3'!$D$10,0)</f>
        <v>0</v>
      </c>
      <c r="M24" s="31">
        <f>ROUND('Anexo 7'!M24*'Anexo 3'!$D$10,0)</f>
        <v>0</v>
      </c>
      <c r="N24" s="31">
        <f>ROUND('Anexo 7'!N24*'Anexo 3'!$D$10,0)</f>
        <v>0</v>
      </c>
      <c r="O24" s="31">
        <f>ROUND('Anexo 7'!O24*'Anexo 3'!$D$10,0)</f>
        <v>0</v>
      </c>
      <c r="P24" s="31">
        <f>ROUND('Anexo 7'!P24*'Anexo 3'!$D$10,0)</f>
        <v>0</v>
      </c>
      <c r="Q24" s="31">
        <f>ROUND('Anexo 7'!Q24*'Anexo 3'!$D$10,0)</f>
        <v>0</v>
      </c>
      <c r="R24" s="31">
        <f>ROUND('Anexo 7'!R24*'Anexo 3'!$D$10,0)</f>
        <v>0</v>
      </c>
      <c r="S24" s="31">
        <f>ROUND('Anexo 7'!S24*'Anexo 3'!$D$10,0)</f>
        <v>0</v>
      </c>
      <c r="T24" s="31">
        <f>ROUND('Anexo 7'!T24*'Anexo 3'!$D$10,0)</f>
        <v>0</v>
      </c>
      <c r="U24" s="31">
        <f>ROUND('Anexo 7'!U24*'Anexo 3'!$D$10,0)</f>
        <v>0</v>
      </c>
      <c r="V24" s="31">
        <f>ROUND('Anexo 7'!V24*'Anexo 3'!$D$10,0)</f>
        <v>0</v>
      </c>
      <c r="W24" s="31">
        <f>ROUND('Anexo 7'!W24*'Anexo 3'!$D$10,0)</f>
        <v>0</v>
      </c>
      <c r="X24" s="31">
        <f>ROUND('Anexo 7'!X24*'Anexo 3'!$D$10,0)</f>
        <v>0</v>
      </c>
      <c r="Y24" s="31">
        <f>ROUND('Anexo 7'!Y24*'Anexo 3'!$D$10,0)</f>
        <v>0</v>
      </c>
      <c r="Z24" s="31">
        <f>ROUND('Anexo 7'!Z24*'Anexo 3'!$D$10,0)</f>
        <v>0</v>
      </c>
      <c r="AA24" s="33">
        <f t="shared" si="0"/>
        <v>0</v>
      </c>
      <c r="AB24" s="17">
        <v>20</v>
      </c>
      <c r="AC24" s="90">
        <f>+AA24*AB24+AA25*AB25+AA26*AB26</f>
        <v>0</v>
      </c>
    </row>
    <row r="25" spans="1:30" ht="15.75" thickBot="1" x14ac:dyDescent="0.3">
      <c r="A25" s="89"/>
      <c r="B25" s="18" t="s">
        <v>4</v>
      </c>
      <c r="C25" s="31">
        <f>ROUND('Anexo 7'!C25*'Anexo 3'!$D$10,0)</f>
        <v>0</v>
      </c>
      <c r="D25" s="31">
        <f>ROUND('Anexo 7'!D25*'Anexo 3'!$D$10,0)</f>
        <v>0</v>
      </c>
      <c r="E25" s="31">
        <f>ROUND('Anexo 7'!E25*'Anexo 3'!$D$10,0)</f>
        <v>0</v>
      </c>
      <c r="F25" s="31">
        <f>ROUND('Anexo 7'!F25*'Anexo 3'!$D$10,0)</f>
        <v>0</v>
      </c>
      <c r="G25" s="31">
        <f>ROUND('Anexo 7'!G25*'Anexo 3'!$D$10,0)</f>
        <v>0</v>
      </c>
      <c r="H25" s="31">
        <f>ROUND('Anexo 7'!H25*'Anexo 3'!$D$10,0)</f>
        <v>0</v>
      </c>
      <c r="I25" s="31">
        <f>ROUND('Anexo 7'!I25*'Anexo 3'!$D$10,0)</f>
        <v>0</v>
      </c>
      <c r="J25" s="31">
        <f>ROUND('Anexo 7'!J25*'Anexo 3'!$D$10,0)</f>
        <v>0</v>
      </c>
      <c r="K25" s="31">
        <f>ROUND('Anexo 7'!K25*'Anexo 3'!$D$10,0)</f>
        <v>0</v>
      </c>
      <c r="L25" s="31">
        <f>ROUND('Anexo 7'!L25*'Anexo 3'!$D$10,0)</f>
        <v>0</v>
      </c>
      <c r="M25" s="31">
        <f>ROUND('Anexo 7'!M25*'Anexo 3'!$D$10,0)</f>
        <v>0</v>
      </c>
      <c r="N25" s="31">
        <f>ROUND('Anexo 7'!N25*'Anexo 3'!$D$10,0)</f>
        <v>0</v>
      </c>
      <c r="O25" s="31">
        <f>ROUND('Anexo 7'!O25*'Anexo 3'!$D$10,0)</f>
        <v>0</v>
      </c>
      <c r="P25" s="31">
        <f>ROUND('Anexo 7'!P25*'Anexo 3'!$D$10,0)</f>
        <v>0</v>
      </c>
      <c r="Q25" s="31">
        <f>ROUND('Anexo 7'!Q25*'Anexo 3'!$D$10,0)</f>
        <v>0</v>
      </c>
      <c r="R25" s="31">
        <f>ROUND('Anexo 7'!R25*'Anexo 3'!$D$10,0)</f>
        <v>0</v>
      </c>
      <c r="S25" s="31">
        <f>ROUND('Anexo 7'!S25*'Anexo 3'!$D$10,0)</f>
        <v>0</v>
      </c>
      <c r="T25" s="31">
        <f>ROUND('Anexo 7'!T25*'Anexo 3'!$D$10,0)</f>
        <v>0</v>
      </c>
      <c r="U25" s="31">
        <f>ROUND('Anexo 7'!U25*'Anexo 3'!$D$10,0)</f>
        <v>0</v>
      </c>
      <c r="V25" s="31">
        <f>ROUND('Anexo 7'!V25*'Anexo 3'!$D$10,0)</f>
        <v>0</v>
      </c>
      <c r="W25" s="31">
        <f>ROUND('Anexo 7'!W25*'Anexo 3'!$D$10,0)</f>
        <v>0</v>
      </c>
      <c r="X25" s="31">
        <f>ROUND('Anexo 7'!X25*'Anexo 3'!$D$10,0)</f>
        <v>0</v>
      </c>
      <c r="Y25" s="31">
        <f>ROUND('Anexo 7'!Y25*'Anexo 3'!$D$10,0)</f>
        <v>0</v>
      </c>
      <c r="Z25" s="31">
        <f>ROUND('Anexo 7'!Z25*'Anexo 3'!$D$10,0)</f>
        <v>0</v>
      </c>
      <c r="AA25" s="36">
        <f t="shared" si="0"/>
        <v>0</v>
      </c>
      <c r="AB25" s="19">
        <v>4</v>
      </c>
      <c r="AC25" s="91"/>
      <c r="AD25" s="45"/>
    </row>
    <row r="26" spans="1:30" ht="15.75" thickBot="1" x14ac:dyDescent="0.3">
      <c r="A26" s="89"/>
      <c r="B26" s="20" t="s">
        <v>3</v>
      </c>
      <c r="C26" s="31">
        <f>ROUND('Anexo 7'!C26*'Anexo 3'!$D$10,0)</f>
        <v>0</v>
      </c>
      <c r="D26" s="31">
        <f>ROUND('Anexo 7'!D26*'Anexo 3'!$D$10,0)</f>
        <v>0</v>
      </c>
      <c r="E26" s="31">
        <f>ROUND('Anexo 7'!E26*'Anexo 3'!$D$10,0)</f>
        <v>0</v>
      </c>
      <c r="F26" s="31">
        <f>ROUND('Anexo 7'!F26*'Anexo 3'!$D$10,0)</f>
        <v>0</v>
      </c>
      <c r="G26" s="31">
        <f>ROUND('Anexo 7'!G26*'Anexo 3'!$D$10,0)</f>
        <v>0</v>
      </c>
      <c r="H26" s="31">
        <f>ROUND('Anexo 7'!H26*'Anexo 3'!$D$10,0)</f>
        <v>0</v>
      </c>
      <c r="I26" s="31">
        <f>ROUND('Anexo 7'!I26*'Anexo 3'!$D$10,0)</f>
        <v>0</v>
      </c>
      <c r="J26" s="31">
        <f>ROUND('Anexo 7'!J26*'Anexo 3'!$D$10,0)</f>
        <v>0</v>
      </c>
      <c r="K26" s="31">
        <f>ROUND('Anexo 7'!K26*'Anexo 3'!$D$10,0)</f>
        <v>0</v>
      </c>
      <c r="L26" s="31">
        <f>ROUND('Anexo 7'!L26*'Anexo 3'!$D$10,0)</f>
        <v>0</v>
      </c>
      <c r="M26" s="31">
        <f>ROUND('Anexo 7'!M26*'Anexo 3'!$D$10,0)</f>
        <v>0</v>
      </c>
      <c r="N26" s="31">
        <f>ROUND('Anexo 7'!N26*'Anexo 3'!$D$10,0)</f>
        <v>0</v>
      </c>
      <c r="O26" s="31">
        <f>ROUND('Anexo 7'!O26*'Anexo 3'!$D$10,0)</f>
        <v>0</v>
      </c>
      <c r="P26" s="31">
        <f>ROUND('Anexo 7'!P26*'Anexo 3'!$D$10,0)</f>
        <v>0</v>
      </c>
      <c r="Q26" s="31">
        <f>ROUND('Anexo 7'!Q26*'Anexo 3'!$D$10,0)</f>
        <v>0</v>
      </c>
      <c r="R26" s="31">
        <f>ROUND('Anexo 7'!R26*'Anexo 3'!$D$10,0)</f>
        <v>0</v>
      </c>
      <c r="S26" s="31">
        <f>ROUND('Anexo 7'!S26*'Anexo 3'!$D$10,0)</f>
        <v>0</v>
      </c>
      <c r="T26" s="31">
        <f>ROUND('Anexo 7'!T26*'Anexo 3'!$D$10,0)</f>
        <v>0</v>
      </c>
      <c r="U26" s="31">
        <f>ROUND('Anexo 7'!U26*'Anexo 3'!$D$10,0)</f>
        <v>0</v>
      </c>
      <c r="V26" s="31">
        <f>ROUND('Anexo 7'!V26*'Anexo 3'!$D$10,0)</f>
        <v>0</v>
      </c>
      <c r="W26" s="31">
        <f>ROUND('Anexo 7'!W26*'Anexo 3'!$D$10,0)</f>
        <v>0</v>
      </c>
      <c r="X26" s="31">
        <f>ROUND('Anexo 7'!X26*'Anexo 3'!$D$10,0)</f>
        <v>0</v>
      </c>
      <c r="Y26" s="31">
        <f>ROUND('Anexo 7'!Y26*'Anexo 3'!$D$10,0)</f>
        <v>0</v>
      </c>
      <c r="Z26" s="31">
        <f>ROUND('Anexo 7'!Z26*'Anexo 3'!$D$10,0)</f>
        <v>0</v>
      </c>
      <c r="AA26" s="39">
        <f t="shared" si="0"/>
        <v>0</v>
      </c>
      <c r="AB26" s="21">
        <v>7</v>
      </c>
      <c r="AC26" s="92"/>
      <c r="AD26" s="46"/>
    </row>
    <row r="27" spans="1:30" ht="15.75" thickBot="1" x14ac:dyDescent="0.3">
      <c r="A27" s="89">
        <v>47331</v>
      </c>
      <c r="B27" s="16" t="s">
        <v>5</v>
      </c>
      <c r="C27" s="31">
        <f>ROUND('Anexo 7'!C27*'Anexo 3'!$D$10,0)</f>
        <v>0</v>
      </c>
      <c r="D27" s="31">
        <f>ROUND('Anexo 7'!D27*'Anexo 3'!$D$10,0)</f>
        <v>0</v>
      </c>
      <c r="E27" s="31">
        <f>ROUND('Anexo 7'!E27*'Anexo 3'!$D$10,0)</f>
        <v>0</v>
      </c>
      <c r="F27" s="31">
        <f>ROUND('Anexo 7'!F27*'Anexo 3'!$D$10,0)</f>
        <v>0</v>
      </c>
      <c r="G27" s="31">
        <f>ROUND('Anexo 7'!G27*'Anexo 3'!$D$10,0)</f>
        <v>0</v>
      </c>
      <c r="H27" s="31">
        <f>ROUND('Anexo 7'!H27*'Anexo 3'!$D$10,0)</f>
        <v>0</v>
      </c>
      <c r="I27" s="31">
        <f>ROUND('Anexo 7'!I27*'Anexo 3'!$D$10,0)</f>
        <v>0</v>
      </c>
      <c r="J27" s="31">
        <f>ROUND('Anexo 7'!J27*'Anexo 3'!$D$10,0)</f>
        <v>0</v>
      </c>
      <c r="K27" s="31">
        <f>ROUND('Anexo 7'!K27*'Anexo 3'!$D$10,0)</f>
        <v>0</v>
      </c>
      <c r="L27" s="31">
        <f>ROUND('Anexo 7'!L27*'Anexo 3'!$D$10,0)</f>
        <v>0</v>
      </c>
      <c r="M27" s="31">
        <f>ROUND('Anexo 7'!M27*'Anexo 3'!$D$10,0)</f>
        <v>0</v>
      </c>
      <c r="N27" s="31">
        <f>ROUND('Anexo 7'!N27*'Anexo 3'!$D$10,0)</f>
        <v>0</v>
      </c>
      <c r="O27" s="31">
        <f>ROUND('Anexo 7'!O27*'Anexo 3'!$D$10,0)</f>
        <v>0</v>
      </c>
      <c r="P27" s="31">
        <f>ROUND('Anexo 7'!P27*'Anexo 3'!$D$10,0)</f>
        <v>0</v>
      </c>
      <c r="Q27" s="31">
        <f>ROUND('Anexo 7'!Q27*'Anexo 3'!$D$10,0)</f>
        <v>0</v>
      </c>
      <c r="R27" s="31">
        <f>ROUND('Anexo 7'!R27*'Anexo 3'!$D$10,0)</f>
        <v>0</v>
      </c>
      <c r="S27" s="31">
        <f>ROUND('Anexo 7'!S27*'Anexo 3'!$D$10,0)</f>
        <v>0</v>
      </c>
      <c r="T27" s="31">
        <f>ROUND('Anexo 7'!T27*'Anexo 3'!$D$10,0)</f>
        <v>0</v>
      </c>
      <c r="U27" s="31">
        <f>ROUND('Anexo 7'!U27*'Anexo 3'!$D$10,0)</f>
        <v>0</v>
      </c>
      <c r="V27" s="31">
        <f>ROUND('Anexo 7'!V27*'Anexo 3'!$D$10,0)</f>
        <v>0</v>
      </c>
      <c r="W27" s="31">
        <f>ROUND('Anexo 7'!W27*'Anexo 3'!$D$10,0)</f>
        <v>0</v>
      </c>
      <c r="X27" s="31">
        <f>ROUND('Anexo 7'!X27*'Anexo 3'!$D$10,0)</f>
        <v>0</v>
      </c>
      <c r="Y27" s="31">
        <f>ROUND('Anexo 7'!Y27*'Anexo 3'!$D$10,0)</f>
        <v>0</v>
      </c>
      <c r="Z27" s="31">
        <f>ROUND('Anexo 7'!Z27*'Anexo 3'!$D$10,0)</f>
        <v>0</v>
      </c>
      <c r="AA27" s="33">
        <f t="shared" si="0"/>
        <v>0</v>
      </c>
      <c r="AB27" s="17">
        <v>21</v>
      </c>
      <c r="AC27" s="90">
        <f>+AA27*AB27+AA28*AB28+AA29*AB29</f>
        <v>0</v>
      </c>
    </row>
    <row r="28" spans="1:30" ht="15.75" thickBot="1" x14ac:dyDescent="0.3">
      <c r="A28" s="89"/>
      <c r="B28" s="18" t="s">
        <v>4</v>
      </c>
      <c r="C28" s="31">
        <f>ROUND('Anexo 7'!C28*'Anexo 3'!$D$10,0)</f>
        <v>0</v>
      </c>
      <c r="D28" s="31">
        <f>ROUND('Anexo 7'!D28*'Anexo 3'!$D$10,0)</f>
        <v>0</v>
      </c>
      <c r="E28" s="31">
        <f>ROUND('Anexo 7'!E28*'Anexo 3'!$D$10,0)</f>
        <v>0</v>
      </c>
      <c r="F28" s="31">
        <f>ROUND('Anexo 7'!F28*'Anexo 3'!$D$10,0)</f>
        <v>0</v>
      </c>
      <c r="G28" s="31">
        <f>ROUND('Anexo 7'!G28*'Anexo 3'!$D$10,0)</f>
        <v>0</v>
      </c>
      <c r="H28" s="31">
        <f>ROUND('Anexo 7'!H28*'Anexo 3'!$D$10,0)</f>
        <v>0</v>
      </c>
      <c r="I28" s="31">
        <f>ROUND('Anexo 7'!I28*'Anexo 3'!$D$10,0)</f>
        <v>0</v>
      </c>
      <c r="J28" s="31">
        <f>ROUND('Anexo 7'!J28*'Anexo 3'!$D$10,0)</f>
        <v>0</v>
      </c>
      <c r="K28" s="31">
        <f>ROUND('Anexo 7'!K28*'Anexo 3'!$D$10,0)</f>
        <v>0</v>
      </c>
      <c r="L28" s="31">
        <f>ROUND('Anexo 7'!L28*'Anexo 3'!$D$10,0)</f>
        <v>0</v>
      </c>
      <c r="M28" s="31">
        <f>ROUND('Anexo 7'!M28*'Anexo 3'!$D$10,0)</f>
        <v>0</v>
      </c>
      <c r="N28" s="31">
        <f>ROUND('Anexo 7'!N28*'Anexo 3'!$D$10,0)</f>
        <v>0</v>
      </c>
      <c r="O28" s="31">
        <f>ROUND('Anexo 7'!O28*'Anexo 3'!$D$10,0)</f>
        <v>0</v>
      </c>
      <c r="P28" s="31">
        <f>ROUND('Anexo 7'!P28*'Anexo 3'!$D$10,0)</f>
        <v>0</v>
      </c>
      <c r="Q28" s="31">
        <f>ROUND('Anexo 7'!Q28*'Anexo 3'!$D$10,0)</f>
        <v>0</v>
      </c>
      <c r="R28" s="31">
        <f>ROUND('Anexo 7'!R28*'Anexo 3'!$D$10,0)</f>
        <v>0</v>
      </c>
      <c r="S28" s="31">
        <f>ROUND('Anexo 7'!S28*'Anexo 3'!$D$10,0)</f>
        <v>0</v>
      </c>
      <c r="T28" s="31">
        <f>ROUND('Anexo 7'!T28*'Anexo 3'!$D$10,0)</f>
        <v>0</v>
      </c>
      <c r="U28" s="31">
        <f>ROUND('Anexo 7'!U28*'Anexo 3'!$D$10,0)</f>
        <v>0</v>
      </c>
      <c r="V28" s="31">
        <f>ROUND('Anexo 7'!V28*'Anexo 3'!$D$10,0)</f>
        <v>0</v>
      </c>
      <c r="W28" s="31">
        <f>ROUND('Anexo 7'!W28*'Anexo 3'!$D$10,0)</f>
        <v>0</v>
      </c>
      <c r="X28" s="31">
        <f>ROUND('Anexo 7'!X28*'Anexo 3'!$D$10,0)</f>
        <v>0</v>
      </c>
      <c r="Y28" s="31">
        <f>ROUND('Anexo 7'!Y28*'Anexo 3'!$D$10,0)</f>
        <v>0</v>
      </c>
      <c r="Z28" s="31">
        <f>ROUND('Anexo 7'!Z28*'Anexo 3'!$D$10,0)</f>
        <v>0</v>
      </c>
      <c r="AA28" s="36">
        <f t="shared" si="0"/>
        <v>0</v>
      </c>
      <c r="AB28" s="19">
        <v>4</v>
      </c>
      <c r="AC28" s="91"/>
      <c r="AD28" s="45"/>
    </row>
    <row r="29" spans="1:30" ht="15.75" thickBot="1" x14ac:dyDescent="0.3">
      <c r="A29" s="89"/>
      <c r="B29" s="20" t="s">
        <v>3</v>
      </c>
      <c r="C29" s="31">
        <f>ROUND('Anexo 7'!C29*'Anexo 3'!$D$10,0)</f>
        <v>0</v>
      </c>
      <c r="D29" s="31">
        <f>ROUND('Anexo 7'!D29*'Anexo 3'!$D$10,0)</f>
        <v>0</v>
      </c>
      <c r="E29" s="31">
        <f>ROUND('Anexo 7'!E29*'Anexo 3'!$D$10,0)</f>
        <v>0</v>
      </c>
      <c r="F29" s="31">
        <f>ROUND('Anexo 7'!F29*'Anexo 3'!$D$10,0)</f>
        <v>0</v>
      </c>
      <c r="G29" s="31">
        <f>ROUND('Anexo 7'!G29*'Anexo 3'!$D$10,0)</f>
        <v>0</v>
      </c>
      <c r="H29" s="31">
        <f>ROUND('Anexo 7'!H29*'Anexo 3'!$D$10,0)</f>
        <v>0</v>
      </c>
      <c r="I29" s="31">
        <f>ROUND('Anexo 7'!I29*'Anexo 3'!$D$10,0)</f>
        <v>0</v>
      </c>
      <c r="J29" s="31">
        <f>ROUND('Anexo 7'!J29*'Anexo 3'!$D$10,0)</f>
        <v>0</v>
      </c>
      <c r="K29" s="31">
        <f>ROUND('Anexo 7'!K29*'Anexo 3'!$D$10,0)</f>
        <v>0</v>
      </c>
      <c r="L29" s="31">
        <f>ROUND('Anexo 7'!L29*'Anexo 3'!$D$10,0)</f>
        <v>0</v>
      </c>
      <c r="M29" s="31">
        <f>ROUND('Anexo 7'!M29*'Anexo 3'!$D$10,0)</f>
        <v>0</v>
      </c>
      <c r="N29" s="31">
        <f>ROUND('Anexo 7'!N29*'Anexo 3'!$D$10,0)</f>
        <v>0</v>
      </c>
      <c r="O29" s="31">
        <f>ROUND('Anexo 7'!O29*'Anexo 3'!$D$10,0)</f>
        <v>0</v>
      </c>
      <c r="P29" s="31">
        <f>ROUND('Anexo 7'!P29*'Anexo 3'!$D$10,0)</f>
        <v>0</v>
      </c>
      <c r="Q29" s="31">
        <f>ROUND('Anexo 7'!Q29*'Anexo 3'!$D$10,0)</f>
        <v>0</v>
      </c>
      <c r="R29" s="31">
        <f>ROUND('Anexo 7'!R29*'Anexo 3'!$D$10,0)</f>
        <v>0</v>
      </c>
      <c r="S29" s="31">
        <f>ROUND('Anexo 7'!S29*'Anexo 3'!$D$10,0)</f>
        <v>0</v>
      </c>
      <c r="T29" s="31">
        <f>ROUND('Anexo 7'!T29*'Anexo 3'!$D$10,0)</f>
        <v>0</v>
      </c>
      <c r="U29" s="31">
        <f>ROUND('Anexo 7'!U29*'Anexo 3'!$D$10,0)</f>
        <v>0</v>
      </c>
      <c r="V29" s="31">
        <f>ROUND('Anexo 7'!V29*'Anexo 3'!$D$10,0)</f>
        <v>0</v>
      </c>
      <c r="W29" s="31">
        <f>ROUND('Anexo 7'!W29*'Anexo 3'!$D$10,0)</f>
        <v>0</v>
      </c>
      <c r="X29" s="31">
        <f>ROUND('Anexo 7'!X29*'Anexo 3'!$D$10,0)</f>
        <v>0</v>
      </c>
      <c r="Y29" s="31">
        <f>ROUND('Anexo 7'!Y29*'Anexo 3'!$D$10,0)</f>
        <v>0</v>
      </c>
      <c r="Z29" s="31">
        <f>ROUND('Anexo 7'!Z29*'Anexo 3'!$D$10,0)</f>
        <v>0</v>
      </c>
      <c r="AA29" s="39">
        <f t="shared" si="0"/>
        <v>0</v>
      </c>
      <c r="AB29" s="21">
        <v>6</v>
      </c>
      <c r="AC29" s="92"/>
      <c r="AD29" s="47"/>
    </row>
    <row r="30" spans="1:30" ht="15.75" thickBot="1" x14ac:dyDescent="0.3">
      <c r="A30" s="89">
        <v>47362</v>
      </c>
      <c r="B30" s="16" t="s">
        <v>5</v>
      </c>
      <c r="C30" s="31">
        <f>ROUND('Anexo 7'!C30*'Anexo 3'!$D$10,0)</f>
        <v>0</v>
      </c>
      <c r="D30" s="31">
        <f>ROUND('Anexo 7'!D30*'Anexo 3'!$D$10,0)</f>
        <v>0</v>
      </c>
      <c r="E30" s="31">
        <f>ROUND('Anexo 7'!E30*'Anexo 3'!$D$10,0)</f>
        <v>0</v>
      </c>
      <c r="F30" s="31">
        <f>ROUND('Anexo 7'!F30*'Anexo 3'!$D$10,0)</f>
        <v>0</v>
      </c>
      <c r="G30" s="31">
        <f>ROUND('Anexo 7'!G30*'Anexo 3'!$D$10,0)</f>
        <v>0</v>
      </c>
      <c r="H30" s="31">
        <f>ROUND('Anexo 7'!H30*'Anexo 3'!$D$10,0)</f>
        <v>0</v>
      </c>
      <c r="I30" s="31">
        <f>ROUND('Anexo 7'!I30*'Anexo 3'!$D$10,0)</f>
        <v>0</v>
      </c>
      <c r="J30" s="31">
        <f>ROUND('Anexo 7'!J30*'Anexo 3'!$D$10,0)</f>
        <v>0</v>
      </c>
      <c r="K30" s="31">
        <f>ROUND('Anexo 7'!K30*'Anexo 3'!$D$10,0)</f>
        <v>0</v>
      </c>
      <c r="L30" s="31">
        <f>ROUND('Anexo 7'!L30*'Anexo 3'!$D$10,0)</f>
        <v>0</v>
      </c>
      <c r="M30" s="31">
        <f>ROUND('Anexo 7'!M30*'Anexo 3'!$D$10,0)</f>
        <v>0</v>
      </c>
      <c r="N30" s="31">
        <f>ROUND('Anexo 7'!N30*'Anexo 3'!$D$10,0)</f>
        <v>0</v>
      </c>
      <c r="O30" s="31">
        <f>ROUND('Anexo 7'!O30*'Anexo 3'!$D$10,0)</f>
        <v>0</v>
      </c>
      <c r="P30" s="31">
        <f>ROUND('Anexo 7'!P30*'Anexo 3'!$D$10,0)</f>
        <v>0</v>
      </c>
      <c r="Q30" s="31">
        <f>ROUND('Anexo 7'!Q30*'Anexo 3'!$D$10,0)</f>
        <v>0</v>
      </c>
      <c r="R30" s="31">
        <f>ROUND('Anexo 7'!R30*'Anexo 3'!$D$10,0)</f>
        <v>0</v>
      </c>
      <c r="S30" s="31">
        <f>ROUND('Anexo 7'!S30*'Anexo 3'!$D$10,0)</f>
        <v>0</v>
      </c>
      <c r="T30" s="31">
        <f>ROUND('Anexo 7'!T30*'Anexo 3'!$D$10,0)</f>
        <v>0</v>
      </c>
      <c r="U30" s="31">
        <f>ROUND('Anexo 7'!U30*'Anexo 3'!$D$10,0)</f>
        <v>0</v>
      </c>
      <c r="V30" s="31">
        <f>ROUND('Anexo 7'!V30*'Anexo 3'!$D$10,0)</f>
        <v>0</v>
      </c>
      <c r="W30" s="31">
        <f>ROUND('Anexo 7'!W30*'Anexo 3'!$D$10,0)</f>
        <v>0</v>
      </c>
      <c r="X30" s="31">
        <f>ROUND('Anexo 7'!X30*'Anexo 3'!$D$10,0)</f>
        <v>0</v>
      </c>
      <c r="Y30" s="31">
        <f>ROUND('Anexo 7'!Y30*'Anexo 3'!$D$10,0)</f>
        <v>0</v>
      </c>
      <c r="Z30" s="31">
        <f>ROUND('Anexo 7'!Z30*'Anexo 3'!$D$10,0)</f>
        <v>0</v>
      </c>
      <c r="AA30" s="33">
        <f t="shared" si="0"/>
        <v>0</v>
      </c>
      <c r="AB30" s="17">
        <v>20</v>
      </c>
      <c r="AC30" s="90">
        <f>+AA30*AB30+AA31*AB31+AA32*AB32</f>
        <v>0</v>
      </c>
    </row>
    <row r="31" spans="1:30" ht="15.75" thickBot="1" x14ac:dyDescent="0.3">
      <c r="A31" s="89"/>
      <c r="B31" s="18" t="s">
        <v>4</v>
      </c>
      <c r="C31" s="31">
        <f>ROUND('Anexo 7'!C31*'Anexo 3'!$D$10,0)</f>
        <v>0</v>
      </c>
      <c r="D31" s="31">
        <f>ROUND('Anexo 7'!D31*'Anexo 3'!$D$10,0)</f>
        <v>0</v>
      </c>
      <c r="E31" s="31">
        <f>ROUND('Anexo 7'!E31*'Anexo 3'!$D$10,0)</f>
        <v>0</v>
      </c>
      <c r="F31" s="31">
        <f>ROUND('Anexo 7'!F31*'Anexo 3'!$D$10,0)</f>
        <v>0</v>
      </c>
      <c r="G31" s="31">
        <f>ROUND('Anexo 7'!G31*'Anexo 3'!$D$10,0)</f>
        <v>0</v>
      </c>
      <c r="H31" s="31">
        <f>ROUND('Anexo 7'!H31*'Anexo 3'!$D$10,0)</f>
        <v>0</v>
      </c>
      <c r="I31" s="31">
        <f>ROUND('Anexo 7'!I31*'Anexo 3'!$D$10,0)</f>
        <v>0</v>
      </c>
      <c r="J31" s="31">
        <f>ROUND('Anexo 7'!J31*'Anexo 3'!$D$10,0)</f>
        <v>0</v>
      </c>
      <c r="K31" s="31">
        <f>ROUND('Anexo 7'!K31*'Anexo 3'!$D$10,0)</f>
        <v>0</v>
      </c>
      <c r="L31" s="31">
        <f>ROUND('Anexo 7'!L31*'Anexo 3'!$D$10,0)</f>
        <v>0</v>
      </c>
      <c r="M31" s="31">
        <f>ROUND('Anexo 7'!M31*'Anexo 3'!$D$10,0)</f>
        <v>0</v>
      </c>
      <c r="N31" s="31">
        <f>ROUND('Anexo 7'!N31*'Anexo 3'!$D$10,0)</f>
        <v>0</v>
      </c>
      <c r="O31" s="31">
        <f>ROUND('Anexo 7'!O31*'Anexo 3'!$D$10,0)</f>
        <v>0</v>
      </c>
      <c r="P31" s="31">
        <f>ROUND('Anexo 7'!P31*'Anexo 3'!$D$10,0)</f>
        <v>0</v>
      </c>
      <c r="Q31" s="31">
        <f>ROUND('Anexo 7'!Q31*'Anexo 3'!$D$10,0)</f>
        <v>0</v>
      </c>
      <c r="R31" s="31">
        <f>ROUND('Anexo 7'!R31*'Anexo 3'!$D$10,0)</f>
        <v>0</v>
      </c>
      <c r="S31" s="31">
        <f>ROUND('Anexo 7'!S31*'Anexo 3'!$D$10,0)</f>
        <v>0</v>
      </c>
      <c r="T31" s="31">
        <f>ROUND('Anexo 7'!T31*'Anexo 3'!$D$10,0)</f>
        <v>0</v>
      </c>
      <c r="U31" s="31">
        <f>ROUND('Anexo 7'!U31*'Anexo 3'!$D$10,0)</f>
        <v>0</v>
      </c>
      <c r="V31" s="31">
        <f>ROUND('Anexo 7'!V31*'Anexo 3'!$D$10,0)</f>
        <v>0</v>
      </c>
      <c r="W31" s="31">
        <f>ROUND('Anexo 7'!W31*'Anexo 3'!$D$10,0)</f>
        <v>0</v>
      </c>
      <c r="X31" s="31">
        <f>ROUND('Anexo 7'!X31*'Anexo 3'!$D$10,0)</f>
        <v>0</v>
      </c>
      <c r="Y31" s="31">
        <f>ROUND('Anexo 7'!Y31*'Anexo 3'!$D$10,0)</f>
        <v>0</v>
      </c>
      <c r="Z31" s="31">
        <f>ROUND('Anexo 7'!Z31*'Anexo 3'!$D$10,0)</f>
        <v>0</v>
      </c>
      <c r="AA31" s="36">
        <f t="shared" si="0"/>
        <v>0</v>
      </c>
      <c r="AB31" s="19">
        <v>5</v>
      </c>
      <c r="AC31" s="91"/>
      <c r="AD31" s="45"/>
    </row>
    <row r="32" spans="1:30" ht="15.75" thickBot="1" x14ac:dyDescent="0.3">
      <c r="A32" s="89"/>
      <c r="B32" s="20" t="s">
        <v>3</v>
      </c>
      <c r="C32" s="31">
        <f>ROUND('Anexo 7'!C32*'Anexo 3'!$D$10,0)</f>
        <v>0</v>
      </c>
      <c r="D32" s="31">
        <f>ROUND('Anexo 7'!D32*'Anexo 3'!$D$10,0)</f>
        <v>0</v>
      </c>
      <c r="E32" s="31">
        <f>ROUND('Anexo 7'!E32*'Anexo 3'!$D$10,0)</f>
        <v>0</v>
      </c>
      <c r="F32" s="31">
        <f>ROUND('Anexo 7'!F32*'Anexo 3'!$D$10,0)</f>
        <v>0</v>
      </c>
      <c r="G32" s="31">
        <f>ROUND('Anexo 7'!G32*'Anexo 3'!$D$10,0)</f>
        <v>0</v>
      </c>
      <c r="H32" s="31">
        <f>ROUND('Anexo 7'!H32*'Anexo 3'!$D$10,0)</f>
        <v>0</v>
      </c>
      <c r="I32" s="31">
        <f>ROUND('Anexo 7'!I32*'Anexo 3'!$D$10,0)</f>
        <v>0</v>
      </c>
      <c r="J32" s="31">
        <f>ROUND('Anexo 7'!J32*'Anexo 3'!$D$10,0)</f>
        <v>0</v>
      </c>
      <c r="K32" s="31">
        <f>ROUND('Anexo 7'!K32*'Anexo 3'!$D$10,0)</f>
        <v>0</v>
      </c>
      <c r="L32" s="31">
        <f>ROUND('Anexo 7'!L32*'Anexo 3'!$D$10,0)</f>
        <v>0</v>
      </c>
      <c r="M32" s="31">
        <f>ROUND('Anexo 7'!M32*'Anexo 3'!$D$10,0)</f>
        <v>0</v>
      </c>
      <c r="N32" s="31">
        <f>ROUND('Anexo 7'!N32*'Anexo 3'!$D$10,0)</f>
        <v>0</v>
      </c>
      <c r="O32" s="31">
        <f>ROUND('Anexo 7'!O32*'Anexo 3'!$D$10,0)</f>
        <v>0</v>
      </c>
      <c r="P32" s="31">
        <f>ROUND('Anexo 7'!P32*'Anexo 3'!$D$10,0)</f>
        <v>0</v>
      </c>
      <c r="Q32" s="31">
        <f>ROUND('Anexo 7'!Q32*'Anexo 3'!$D$10,0)</f>
        <v>0</v>
      </c>
      <c r="R32" s="31">
        <f>ROUND('Anexo 7'!R32*'Anexo 3'!$D$10,0)</f>
        <v>0</v>
      </c>
      <c r="S32" s="31">
        <f>ROUND('Anexo 7'!S32*'Anexo 3'!$D$10,0)</f>
        <v>0</v>
      </c>
      <c r="T32" s="31">
        <f>ROUND('Anexo 7'!T32*'Anexo 3'!$D$10,0)</f>
        <v>0</v>
      </c>
      <c r="U32" s="31">
        <f>ROUND('Anexo 7'!U32*'Anexo 3'!$D$10,0)</f>
        <v>0</v>
      </c>
      <c r="V32" s="31">
        <f>ROUND('Anexo 7'!V32*'Anexo 3'!$D$10,0)</f>
        <v>0</v>
      </c>
      <c r="W32" s="31">
        <f>ROUND('Anexo 7'!W32*'Anexo 3'!$D$10,0)</f>
        <v>0</v>
      </c>
      <c r="X32" s="31">
        <f>ROUND('Anexo 7'!X32*'Anexo 3'!$D$10,0)</f>
        <v>0</v>
      </c>
      <c r="Y32" s="31">
        <f>ROUND('Anexo 7'!Y32*'Anexo 3'!$D$10,0)</f>
        <v>0</v>
      </c>
      <c r="Z32" s="31">
        <f>ROUND('Anexo 7'!Z32*'Anexo 3'!$D$10,0)</f>
        <v>0</v>
      </c>
      <c r="AA32" s="39">
        <f t="shared" si="0"/>
        <v>0</v>
      </c>
      <c r="AB32" s="21">
        <v>5</v>
      </c>
      <c r="AC32" s="92"/>
      <c r="AD32" s="46"/>
    </row>
    <row r="33" spans="1:30" ht="15.75" thickBot="1" x14ac:dyDescent="0.3">
      <c r="A33" s="89">
        <v>47392</v>
      </c>
      <c r="B33" s="16" t="s">
        <v>5</v>
      </c>
      <c r="C33" s="31">
        <f>ROUND('Anexo 7'!C33*'Anexo 3'!$D$10,0)</f>
        <v>0</v>
      </c>
      <c r="D33" s="31">
        <f>ROUND('Anexo 7'!D33*'Anexo 3'!$D$10,0)</f>
        <v>0</v>
      </c>
      <c r="E33" s="31">
        <f>ROUND('Anexo 7'!E33*'Anexo 3'!$D$10,0)</f>
        <v>0</v>
      </c>
      <c r="F33" s="31">
        <f>ROUND('Anexo 7'!F33*'Anexo 3'!$D$10,0)</f>
        <v>0</v>
      </c>
      <c r="G33" s="31">
        <f>ROUND('Anexo 7'!G33*'Anexo 3'!$D$10,0)</f>
        <v>0</v>
      </c>
      <c r="H33" s="31">
        <f>ROUND('Anexo 7'!H33*'Anexo 3'!$D$10,0)</f>
        <v>0</v>
      </c>
      <c r="I33" s="31">
        <f>ROUND('Anexo 7'!I33*'Anexo 3'!$D$10,0)</f>
        <v>0</v>
      </c>
      <c r="J33" s="31">
        <f>ROUND('Anexo 7'!J33*'Anexo 3'!$D$10,0)</f>
        <v>0</v>
      </c>
      <c r="K33" s="31">
        <f>ROUND('Anexo 7'!K33*'Anexo 3'!$D$10,0)</f>
        <v>0</v>
      </c>
      <c r="L33" s="31">
        <f>ROUND('Anexo 7'!L33*'Anexo 3'!$D$10,0)</f>
        <v>0</v>
      </c>
      <c r="M33" s="31">
        <f>ROUND('Anexo 7'!M33*'Anexo 3'!$D$10,0)</f>
        <v>0</v>
      </c>
      <c r="N33" s="31">
        <f>ROUND('Anexo 7'!N33*'Anexo 3'!$D$10,0)</f>
        <v>0</v>
      </c>
      <c r="O33" s="31">
        <f>ROUND('Anexo 7'!O33*'Anexo 3'!$D$10,0)</f>
        <v>0</v>
      </c>
      <c r="P33" s="31">
        <f>ROUND('Anexo 7'!P33*'Anexo 3'!$D$10,0)</f>
        <v>0</v>
      </c>
      <c r="Q33" s="31">
        <f>ROUND('Anexo 7'!Q33*'Anexo 3'!$D$10,0)</f>
        <v>0</v>
      </c>
      <c r="R33" s="31">
        <f>ROUND('Anexo 7'!R33*'Anexo 3'!$D$10,0)</f>
        <v>0</v>
      </c>
      <c r="S33" s="31">
        <f>ROUND('Anexo 7'!S33*'Anexo 3'!$D$10,0)</f>
        <v>0</v>
      </c>
      <c r="T33" s="31">
        <f>ROUND('Anexo 7'!T33*'Anexo 3'!$D$10,0)</f>
        <v>0</v>
      </c>
      <c r="U33" s="31">
        <f>ROUND('Anexo 7'!U33*'Anexo 3'!$D$10,0)</f>
        <v>0</v>
      </c>
      <c r="V33" s="31">
        <f>ROUND('Anexo 7'!V33*'Anexo 3'!$D$10,0)</f>
        <v>0</v>
      </c>
      <c r="W33" s="31">
        <f>ROUND('Anexo 7'!W33*'Anexo 3'!$D$10,0)</f>
        <v>0</v>
      </c>
      <c r="X33" s="31">
        <f>ROUND('Anexo 7'!X33*'Anexo 3'!$D$10,0)</f>
        <v>0</v>
      </c>
      <c r="Y33" s="31">
        <f>ROUND('Anexo 7'!Y33*'Anexo 3'!$D$10,0)</f>
        <v>0</v>
      </c>
      <c r="Z33" s="31">
        <f>ROUND('Anexo 7'!Z33*'Anexo 3'!$D$10,0)</f>
        <v>0</v>
      </c>
      <c r="AA33" s="33">
        <f t="shared" si="0"/>
        <v>0</v>
      </c>
      <c r="AB33" s="17">
        <v>22</v>
      </c>
      <c r="AC33" s="90">
        <f>+AA33*AB33+AA34*AB34+AA35*AB35</f>
        <v>0</v>
      </c>
    </row>
    <row r="34" spans="1:30" ht="15.75" thickBot="1" x14ac:dyDescent="0.3">
      <c r="A34" s="89"/>
      <c r="B34" s="18" t="s">
        <v>4</v>
      </c>
      <c r="C34" s="31">
        <f>ROUND('Anexo 7'!C34*'Anexo 3'!$D$10,0)</f>
        <v>0</v>
      </c>
      <c r="D34" s="31">
        <f>ROUND('Anexo 7'!D34*'Anexo 3'!$D$10,0)</f>
        <v>0</v>
      </c>
      <c r="E34" s="31">
        <f>ROUND('Anexo 7'!E34*'Anexo 3'!$D$10,0)</f>
        <v>0</v>
      </c>
      <c r="F34" s="31">
        <f>ROUND('Anexo 7'!F34*'Anexo 3'!$D$10,0)</f>
        <v>0</v>
      </c>
      <c r="G34" s="31">
        <f>ROUND('Anexo 7'!G34*'Anexo 3'!$D$10,0)</f>
        <v>0</v>
      </c>
      <c r="H34" s="31">
        <f>ROUND('Anexo 7'!H34*'Anexo 3'!$D$10,0)</f>
        <v>0</v>
      </c>
      <c r="I34" s="31">
        <f>ROUND('Anexo 7'!I34*'Anexo 3'!$D$10,0)</f>
        <v>0</v>
      </c>
      <c r="J34" s="31">
        <f>ROUND('Anexo 7'!J34*'Anexo 3'!$D$10,0)</f>
        <v>0</v>
      </c>
      <c r="K34" s="31">
        <f>ROUND('Anexo 7'!K34*'Anexo 3'!$D$10,0)</f>
        <v>0</v>
      </c>
      <c r="L34" s="31">
        <f>ROUND('Anexo 7'!L34*'Anexo 3'!$D$10,0)</f>
        <v>0</v>
      </c>
      <c r="M34" s="31">
        <f>ROUND('Anexo 7'!M34*'Anexo 3'!$D$10,0)</f>
        <v>0</v>
      </c>
      <c r="N34" s="31">
        <f>ROUND('Anexo 7'!N34*'Anexo 3'!$D$10,0)</f>
        <v>0</v>
      </c>
      <c r="O34" s="31">
        <f>ROUND('Anexo 7'!O34*'Anexo 3'!$D$10,0)</f>
        <v>0</v>
      </c>
      <c r="P34" s="31">
        <f>ROUND('Anexo 7'!P34*'Anexo 3'!$D$10,0)</f>
        <v>0</v>
      </c>
      <c r="Q34" s="31">
        <f>ROUND('Anexo 7'!Q34*'Anexo 3'!$D$10,0)</f>
        <v>0</v>
      </c>
      <c r="R34" s="31">
        <f>ROUND('Anexo 7'!R34*'Anexo 3'!$D$10,0)</f>
        <v>0</v>
      </c>
      <c r="S34" s="31">
        <f>ROUND('Anexo 7'!S34*'Anexo 3'!$D$10,0)</f>
        <v>0</v>
      </c>
      <c r="T34" s="31">
        <f>ROUND('Anexo 7'!T34*'Anexo 3'!$D$10,0)</f>
        <v>0</v>
      </c>
      <c r="U34" s="31">
        <f>ROUND('Anexo 7'!U34*'Anexo 3'!$D$10,0)</f>
        <v>0</v>
      </c>
      <c r="V34" s="31">
        <f>ROUND('Anexo 7'!V34*'Anexo 3'!$D$10,0)</f>
        <v>0</v>
      </c>
      <c r="W34" s="31">
        <f>ROUND('Anexo 7'!W34*'Anexo 3'!$D$10,0)</f>
        <v>0</v>
      </c>
      <c r="X34" s="31">
        <f>ROUND('Anexo 7'!X34*'Anexo 3'!$D$10,0)</f>
        <v>0</v>
      </c>
      <c r="Y34" s="31">
        <f>ROUND('Anexo 7'!Y34*'Anexo 3'!$D$10,0)</f>
        <v>0</v>
      </c>
      <c r="Z34" s="31">
        <f>ROUND('Anexo 7'!Z34*'Anexo 3'!$D$10,0)</f>
        <v>0</v>
      </c>
      <c r="AA34" s="36">
        <f t="shared" si="0"/>
        <v>0</v>
      </c>
      <c r="AB34" s="19">
        <v>4</v>
      </c>
      <c r="AC34" s="91"/>
      <c r="AD34" s="45"/>
    </row>
    <row r="35" spans="1:30" ht="15.75" thickBot="1" x14ac:dyDescent="0.3">
      <c r="A35" s="89"/>
      <c r="B35" s="20" t="s">
        <v>3</v>
      </c>
      <c r="C35" s="31">
        <f>ROUND('Anexo 7'!C35*'Anexo 3'!$D$10,0)</f>
        <v>0</v>
      </c>
      <c r="D35" s="31">
        <f>ROUND('Anexo 7'!D35*'Anexo 3'!$D$10,0)</f>
        <v>0</v>
      </c>
      <c r="E35" s="31">
        <f>ROUND('Anexo 7'!E35*'Anexo 3'!$D$10,0)</f>
        <v>0</v>
      </c>
      <c r="F35" s="31">
        <f>ROUND('Anexo 7'!F35*'Anexo 3'!$D$10,0)</f>
        <v>0</v>
      </c>
      <c r="G35" s="31">
        <f>ROUND('Anexo 7'!G35*'Anexo 3'!$D$10,0)</f>
        <v>0</v>
      </c>
      <c r="H35" s="31">
        <f>ROUND('Anexo 7'!H35*'Anexo 3'!$D$10,0)</f>
        <v>0</v>
      </c>
      <c r="I35" s="31">
        <f>ROUND('Anexo 7'!I35*'Anexo 3'!$D$10,0)</f>
        <v>0</v>
      </c>
      <c r="J35" s="31">
        <f>ROUND('Anexo 7'!J35*'Anexo 3'!$D$10,0)</f>
        <v>0</v>
      </c>
      <c r="K35" s="31">
        <f>ROUND('Anexo 7'!K35*'Anexo 3'!$D$10,0)</f>
        <v>0</v>
      </c>
      <c r="L35" s="31">
        <f>ROUND('Anexo 7'!L35*'Anexo 3'!$D$10,0)</f>
        <v>0</v>
      </c>
      <c r="M35" s="31">
        <f>ROUND('Anexo 7'!M35*'Anexo 3'!$D$10,0)</f>
        <v>0</v>
      </c>
      <c r="N35" s="31">
        <f>ROUND('Anexo 7'!N35*'Anexo 3'!$D$10,0)</f>
        <v>0</v>
      </c>
      <c r="O35" s="31">
        <f>ROUND('Anexo 7'!O35*'Anexo 3'!$D$10,0)</f>
        <v>0</v>
      </c>
      <c r="P35" s="31">
        <f>ROUND('Anexo 7'!P35*'Anexo 3'!$D$10,0)</f>
        <v>0</v>
      </c>
      <c r="Q35" s="31">
        <f>ROUND('Anexo 7'!Q35*'Anexo 3'!$D$10,0)</f>
        <v>0</v>
      </c>
      <c r="R35" s="31">
        <f>ROUND('Anexo 7'!R35*'Anexo 3'!$D$10,0)</f>
        <v>0</v>
      </c>
      <c r="S35" s="31">
        <f>ROUND('Anexo 7'!S35*'Anexo 3'!$D$10,0)</f>
        <v>0</v>
      </c>
      <c r="T35" s="31">
        <f>ROUND('Anexo 7'!T35*'Anexo 3'!$D$10,0)</f>
        <v>0</v>
      </c>
      <c r="U35" s="31">
        <f>ROUND('Anexo 7'!U35*'Anexo 3'!$D$10,0)</f>
        <v>0</v>
      </c>
      <c r="V35" s="31">
        <f>ROUND('Anexo 7'!V35*'Anexo 3'!$D$10,0)</f>
        <v>0</v>
      </c>
      <c r="W35" s="31">
        <f>ROUND('Anexo 7'!W35*'Anexo 3'!$D$10,0)</f>
        <v>0</v>
      </c>
      <c r="X35" s="31">
        <f>ROUND('Anexo 7'!X35*'Anexo 3'!$D$10,0)</f>
        <v>0</v>
      </c>
      <c r="Y35" s="31">
        <f>ROUND('Anexo 7'!Y35*'Anexo 3'!$D$10,0)</f>
        <v>0</v>
      </c>
      <c r="Z35" s="31">
        <f>ROUND('Anexo 7'!Z35*'Anexo 3'!$D$10,0)</f>
        <v>0</v>
      </c>
      <c r="AA35" s="39">
        <f t="shared" si="0"/>
        <v>0</v>
      </c>
      <c r="AB35" s="21">
        <v>5</v>
      </c>
      <c r="AC35" s="92"/>
      <c r="AD35" s="46"/>
    </row>
    <row r="36" spans="1:30" ht="15.75" thickBot="1" x14ac:dyDescent="0.3">
      <c r="A36" s="89">
        <v>47423</v>
      </c>
      <c r="B36" s="16" t="s">
        <v>5</v>
      </c>
      <c r="C36" s="31">
        <f>ROUND('Anexo 7'!C36*'Anexo 3'!$D$10,0)</f>
        <v>0</v>
      </c>
      <c r="D36" s="31">
        <f>ROUND('Anexo 7'!D36*'Anexo 3'!$D$10,0)</f>
        <v>0</v>
      </c>
      <c r="E36" s="31">
        <f>ROUND('Anexo 7'!E36*'Anexo 3'!$D$10,0)</f>
        <v>0</v>
      </c>
      <c r="F36" s="31">
        <f>ROUND('Anexo 7'!F36*'Anexo 3'!$D$10,0)</f>
        <v>0</v>
      </c>
      <c r="G36" s="31">
        <f>ROUND('Anexo 7'!G36*'Anexo 3'!$D$10,0)</f>
        <v>0</v>
      </c>
      <c r="H36" s="31">
        <f>ROUND('Anexo 7'!H36*'Anexo 3'!$D$10,0)</f>
        <v>0</v>
      </c>
      <c r="I36" s="31">
        <f>ROUND('Anexo 7'!I36*'Anexo 3'!$D$10,0)</f>
        <v>0</v>
      </c>
      <c r="J36" s="31">
        <f>ROUND('Anexo 7'!J36*'Anexo 3'!$D$10,0)</f>
        <v>0</v>
      </c>
      <c r="K36" s="31">
        <f>ROUND('Anexo 7'!K36*'Anexo 3'!$D$10,0)</f>
        <v>0</v>
      </c>
      <c r="L36" s="31">
        <f>ROUND('Anexo 7'!L36*'Anexo 3'!$D$10,0)</f>
        <v>0</v>
      </c>
      <c r="M36" s="31">
        <f>ROUND('Anexo 7'!M36*'Anexo 3'!$D$10,0)</f>
        <v>0</v>
      </c>
      <c r="N36" s="31">
        <f>ROUND('Anexo 7'!N36*'Anexo 3'!$D$10,0)</f>
        <v>0</v>
      </c>
      <c r="O36" s="31">
        <f>ROUND('Anexo 7'!O36*'Anexo 3'!$D$10,0)</f>
        <v>0</v>
      </c>
      <c r="P36" s="31">
        <f>ROUND('Anexo 7'!P36*'Anexo 3'!$D$10,0)</f>
        <v>0</v>
      </c>
      <c r="Q36" s="31">
        <f>ROUND('Anexo 7'!Q36*'Anexo 3'!$D$10,0)</f>
        <v>0</v>
      </c>
      <c r="R36" s="31">
        <f>ROUND('Anexo 7'!R36*'Anexo 3'!$D$10,0)</f>
        <v>0</v>
      </c>
      <c r="S36" s="31">
        <f>ROUND('Anexo 7'!S36*'Anexo 3'!$D$10,0)</f>
        <v>0</v>
      </c>
      <c r="T36" s="31">
        <f>ROUND('Anexo 7'!T36*'Anexo 3'!$D$10,0)</f>
        <v>0</v>
      </c>
      <c r="U36" s="31">
        <f>ROUND('Anexo 7'!U36*'Anexo 3'!$D$10,0)</f>
        <v>0</v>
      </c>
      <c r="V36" s="31">
        <f>ROUND('Anexo 7'!V36*'Anexo 3'!$D$10,0)</f>
        <v>0</v>
      </c>
      <c r="W36" s="31">
        <f>ROUND('Anexo 7'!W36*'Anexo 3'!$D$10,0)</f>
        <v>0</v>
      </c>
      <c r="X36" s="31">
        <f>ROUND('Anexo 7'!X36*'Anexo 3'!$D$10,0)</f>
        <v>0</v>
      </c>
      <c r="Y36" s="31">
        <f>ROUND('Anexo 7'!Y36*'Anexo 3'!$D$10,0)</f>
        <v>0</v>
      </c>
      <c r="Z36" s="31">
        <f>ROUND('Anexo 7'!Z36*'Anexo 3'!$D$10,0)</f>
        <v>0</v>
      </c>
      <c r="AA36" s="33">
        <f t="shared" si="0"/>
        <v>0</v>
      </c>
      <c r="AB36" s="17">
        <v>20</v>
      </c>
      <c r="AC36" s="90">
        <f>+AA36*AB36+AA37*AB37+AA38*AB38</f>
        <v>0</v>
      </c>
    </row>
    <row r="37" spans="1:30" ht="15.75" thickBot="1" x14ac:dyDescent="0.3">
      <c r="A37" s="89"/>
      <c r="B37" s="18" t="s">
        <v>4</v>
      </c>
      <c r="C37" s="31">
        <f>ROUND('Anexo 7'!C37*'Anexo 3'!$D$10,0)</f>
        <v>0</v>
      </c>
      <c r="D37" s="31">
        <f>ROUND('Anexo 7'!D37*'Anexo 3'!$D$10,0)</f>
        <v>0</v>
      </c>
      <c r="E37" s="31">
        <f>ROUND('Anexo 7'!E37*'Anexo 3'!$D$10,0)</f>
        <v>0</v>
      </c>
      <c r="F37" s="31">
        <f>ROUND('Anexo 7'!F37*'Anexo 3'!$D$10,0)</f>
        <v>0</v>
      </c>
      <c r="G37" s="31">
        <f>ROUND('Anexo 7'!G37*'Anexo 3'!$D$10,0)</f>
        <v>0</v>
      </c>
      <c r="H37" s="31">
        <f>ROUND('Anexo 7'!H37*'Anexo 3'!$D$10,0)</f>
        <v>0</v>
      </c>
      <c r="I37" s="31">
        <f>ROUND('Anexo 7'!I37*'Anexo 3'!$D$10,0)</f>
        <v>0</v>
      </c>
      <c r="J37" s="31">
        <f>ROUND('Anexo 7'!J37*'Anexo 3'!$D$10,0)</f>
        <v>0</v>
      </c>
      <c r="K37" s="31">
        <f>ROUND('Anexo 7'!K37*'Anexo 3'!$D$10,0)</f>
        <v>0</v>
      </c>
      <c r="L37" s="31">
        <f>ROUND('Anexo 7'!L37*'Anexo 3'!$D$10,0)</f>
        <v>0</v>
      </c>
      <c r="M37" s="31">
        <f>ROUND('Anexo 7'!M37*'Anexo 3'!$D$10,0)</f>
        <v>0</v>
      </c>
      <c r="N37" s="31">
        <f>ROUND('Anexo 7'!N37*'Anexo 3'!$D$10,0)</f>
        <v>0</v>
      </c>
      <c r="O37" s="31">
        <f>ROUND('Anexo 7'!O37*'Anexo 3'!$D$10,0)</f>
        <v>0</v>
      </c>
      <c r="P37" s="31">
        <f>ROUND('Anexo 7'!P37*'Anexo 3'!$D$10,0)</f>
        <v>0</v>
      </c>
      <c r="Q37" s="31">
        <f>ROUND('Anexo 7'!Q37*'Anexo 3'!$D$10,0)</f>
        <v>0</v>
      </c>
      <c r="R37" s="31">
        <f>ROUND('Anexo 7'!R37*'Anexo 3'!$D$10,0)</f>
        <v>0</v>
      </c>
      <c r="S37" s="31">
        <f>ROUND('Anexo 7'!S37*'Anexo 3'!$D$10,0)</f>
        <v>0</v>
      </c>
      <c r="T37" s="31">
        <f>ROUND('Anexo 7'!T37*'Anexo 3'!$D$10,0)</f>
        <v>0</v>
      </c>
      <c r="U37" s="31">
        <f>ROUND('Anexo 7'!U37*'Anexo 3'!$D$10,0)</f>
        <v>0</v>
      </c>
      <c r="V37" s="31">
        <f>ROUND('Anexo 7'!V37*'Anexo 3'!$D$10,0)</f>
        <v>0</v>
      </c>
      <c r="W37" s="31">
        <f>ROUND('Anexo 7'!W37*'Anexo 3'!$D$10,0)</f>
        <v>0</v>
      </c>
      <c r="X37" s="31">
        <f>ROUND('Anexo 7'!X37*'Anexo 3'!$D$10,0)</f>
        <v>0</v>
      </c>
      <c r="Y37" s="31">
        <f>ROUND('Anexo 7'!Y37*'Anexo 3'!$D$10,0)</f>
        <v>0</v>
      </c>
      <c r="Z37" s="31">
        <f>ROUND('Anexo 7'!Z37*'Anexo 3'!$D$10,0)</f>
        <v>0</v>
      </c>
      <c r="AA37" s="36">
        <f t="shared" si="0"/>
        <v>0</v>
      </c>
      <c r="AB37" s="19">
        <v>4</v>
      </c>
      <c r="AC37" s="91"/>
      <c r="AD37" s="45"/>
    </row>
    <row r="38" spans="1:30" ht="15.75" thickBot="1" x14ac:dyDescent="0.3">
      <c r="A38" s="89"/>
      <c r="B38" s="20" t="s">
        <v>3</v>
      </c>
      <c r="C38" s="31">
        <f>ROUND('Anexo 7'!C38*'Anexo 3'!$D$10,0)</f>
        <v>0</v>
      </c>
      <c r="D38" s="31">
        <f>ROUND('Anexo 7'!D38*'Anexo 3'!$D$10,0)</f>
        <v>0</v>
      </c>
      <c r="E38" s="31">
        <f>ROUND('Anexo 7'!E38*'Anexo 3'!$D$10,0)</f>
        <v>0</v>
      </c>
      <c r="F38" s="31">
        <f>ROUND('Anexo 7'!F38*'Anexo 3'!$D$10,0)</f>
        <v>0</v>
      </c>
      <c r="G38" s="31">
        <f>ROUND('Anexo 7'!G38*'Anexo 3'!$D$10,0)</f>
        <v>0</v>
      </c>
      <c r="H38" s="31">
        <f>ROUND('Anexo 7'!H38*'Anexo 3'!$D$10,0)</f>
        <v>0</v>
      </c>
      <c r="I38" s="31">
        <f>ROUND('Anexo 7'!I38*'Anexo 3'!$D$10,0)</f>
        <v>0</v>
      </c>
      <c r="J38" s="31">
        <f>ROUND('Anexo 7'!J38*'Anexo 3'!$D$10,0)</f>
        <v>0</v>
      </c>
      <c r="K38" s="31">
        <f>ROUND('Anexo 7'!K38*'Anexo 3'!$D$10,0)</f>
        <v>0</v>
      </c>
      <c r="L38" s="31">
        <f>ROUND('Anexo 7'!L38*'Anexo 3'!$D$10,0)</f>
        <v>0</v>
      </c>
      <c r="M38" s="31">
        <f>ROUND('Anexo 7'!M38*'Anexo 3'!$D$10,0)</f>
        <v>0</v>
      </c>
      <c r="N38" s="31">
        <f>ROUND('Anexo 7'!N38*'Anexo 3'!$D$10,0)</f>
        <v>0</v>
      </c>
      <c r="O38" s="31">
        <f>ROUND('Anexo 7'!O38*'Anexo 3'!$D$10,0)</f>
        <v>0</v>
      </c>
      <c r="P38" s="31">
        <f>ROUND('Anexo 7'!P38*'Anexo 3'!$D$10,0)</f>
        <v>0</v>
      </c>
      <c r="Q38" s="31">
        <f>ROUND('Anexo 7'!Q38*'Anexo 3'!$D$10,0)</f>
        <v>0</v>
      </c>
      <c r="R38" s="31">
        <f>ROUND('Anexo 7'!R38*'Anexo 3'!$D$10,0)</f>
        <v>0</v>
      </c>
      <c r="S38" s="31">
        <f>ROUND('Anexo 7'!S38*'Anexo 3'!$D$10,0)</f>
        <v>0</v>
      </c>
      <c r="T38" s="31">
        <f>ROUND('Anexo 7'!T38*'Anexo 3'!$D$10,0)</f>
        <v>0</v>
      </c>
      <c r="U38" s="31">
        <f>ROUND('Anexo 7'!U38*'Anexo 3'!$D$10,0)</f>
        <v>0</v>
      </c>
      <c r="V38" s="31">
        <f>ROUND('Anexo 7'!V38*'Anexo 3'!$D$10,0)</f>
        <v>0</v>
      </c>
      <c r="W38" s="31">
        <f>ROUND('Anexo 7'!W38*'Anexo 3'!$D$10,0)</f>
        <v>0</v>
      </c>
      <c r="X38" s="31">
        <f>ROUND('Anexo 7'!X38*'Anexo 3'!$D$10,0)</f>
        <v>0</v>
      </c>
      <c r="Y38" s="31">
        <f>ROUND('Anexo 7'!Y38*'Anexo 3'!$D$10,0)</f>
        <v>0</v>
      </c>
      <c r="Z38" s="31">
        <f>ROUND('Anexo 7'!Z38*'Anexo 3'!$D$10,0)</f>
        <v>0</v>
      </c>
      <c r="AA38" s="39">
        <f t="shared" si="0"/>
        <v>0</v>
      </c>
      <c r="AB38" s="21">
        <v>6</v>
      </c>
      <c r="AC38" s="92"/>
      <c r="AD38" s="47"/>
    </row>
    <row r="39" spans="1:30" ht="15.75" thickBot="1" x14ac:dyDescent="0.3">
      <c r="A39" s="89">
        <v>47453</v>
      </c>
      <c r="B39" s="16" t="s">
        <v>5</v>
      </c>
      <c r="C39" s="31">
        <f>ROUND('Anexo 7'!C39*'Anexo 3'!$D$10,0)</f>
        <v>0</v>
      </c>
      <c r="D39" s="31">
        <f>ROUND('Anexo 7'!D39*'Anexo 3'!$D$10,0)</f>
        <v>0</v>
      </c>
      <c r="E39" s="31">
        <f>ROUND('Anexo 7'!E39*'Anexo 3'!$D$10,0)</f>
        <v>0</v>
      </c>
      <c r="F39" s="31">
        <f>ROUND('Anexo 7'!F39*'Anexo 3'!$D$10,0)</f>
        <v>0</v>
      </c>
      <c r="G39" s="31">
        <f>ROUND('Anexo 7'!G39*'Anexo 3'!$D$10,0)</f>
        <v>0</v>
      </c>
      <c r="H39" s="31">
        <f>ROUND('Anexo 7'!H39*'Anexo 3'!$D$10,0)</f>
        <v>0</v>
      </c>
      <c r="I39" s="31">
        <f>ROUND('Anexo 7'!I39*'Anexo 3'!$D$10,0)</f>
        <v>0</v>
      </c>
      <c r="J39" s="31">
        <f>ROUND('Anexo 7'!J39*'Anexo 3'!$D$10,0)</f>
        <v>0</v>
      </c>
      <c r="K39" s="31">
        <f>ROUND('Anexo 7'!K39*'Anexo 3'!$D$10,0)</f>
        <v>0</v>
      </c>
      <c r="L39" s="31">
        <f>ROUND('Anexo 7'!L39*'Anexo 3'!$D$10,0)</f>
        <v>0</v>
      </c>
      <c r="M39" s="31">
        <f>ROUND('Anexo 7'!M39*'Anexo 3'!$D$10,0)</f>
        <v>0</v>
      </c>
      <c r="N39" s="31">
        <f>ROUND('Anexo 7'!N39*'Anexo 3'!$D$10,0)</f>
        <v>0</v>
      </c>
      <c r="O39" s="31">
        <f>ROUND('Anexo 7'!O39*'Anexo 3'!$D$10,0)</f>
        <v>0</v>
      </c>
      <c r="P39" s="31">
        <f>ROUND('Anexo 7'!P39*'Anexo 3'!$D$10,0)</f>
        <v>0</v>
      </c>
      <c r="Q39" s="31">
        <f>ROUND('Anexo 7'!Q39*'Anexo 3'!$D$10,0)</f>
        <v>0</v>
      </c>
      <c r="R39" s="31">
        <f>ROUND('Anexo 7'!R39*'Anexo 3'!$D$10,0)</f>
        <v>0</v>
      </c>
      <c r="S39" s="31">
        <f>ROUND('Anexo 7'!S39*'Anexo 3'!$D$10,0)</f>
        <v>0</v>
      </c>
      <c r="T39" s="31">
        <f>ROUND('Anexo 7'!T39*'Anexo 3'!$D$10,0)</f>
        <v>0</v>
      </c>
      <c r="U39" s="31">
        <f>ROUND('Anexo 7'!U39*'Anexo 3'!$D$10,0)</f>
        <v>0</v>
      </c>
      <c r="V39" s="31">
        <f>ROUND('Anexo 7'!V39*'Anexo 3'!$D$10,0)</f>
        <v>0</v>
      </c>
      <c r="W39" s="31">
        <f>ROUND('Anexo 7'!W39*'Anexo 3'!$D$10,0)</f>
        <v>0</v>
      </c>
      <c r="X39" s="31">
        <f>ROUND('Anexo 7'!X39*'Anexo 3'!$D$10,0)</f>
        <v>0</v>
      </c>
      <c r="Y39" s="31">
        <f>ROUND('Anexo 7'!Y39*'Anexo 3'!$D$10,0)</f>
        <v>0</v>
      </c>
      <c r="Z39" s="31">
        <f>ROUND('Anexo 7'!Z39*'Anexo 3'!$D$10,0)</f>
        <v>0</v>
      </c>
      <c r="AA39" s="33">
        <f t="shared" si="0"/>
        <v>0</v>
      </c>
      <c r="AB39" s="17">
        <v>20</v>
      </c>
      <c r="AC39" s="90">
        <f>+AA39*AB39+AA40*AB40+AA41*AB41</f>
        <v>0</v>
      </c>
    </row>
    <row r="40" spans="1:30" ht="15.75" thickBot="1" x14ac:dyDescent="0.3">
      <c r="A40" s="89"/>
      <c r="B40" s="18" t="s">
        <v>4</v>
      </c>
      <c r="C40" s="31">
        <f>ROUND('Anexo 7'!C40*'Anexo 3'!$D$10,0)</f>
        <v>0</v>
      </c>
      <c r="D40" s="31">
        <f>ROUND('Anexo 7'!D40*'Anexo 3'!$D$10,0)</f>
        <v>0</v>
      </c>
      <c r="E40" s="31">
        <f>ROUND('Anexo 7'!E40*'Anexo 3'!$D$10,0)</f>
        <v>0</v>
      </c>
      <c r="F40" s="31">
        <f>ROUND('Anexo 7'!F40*'Anexo 3'!$D$10,0)</f>
        <v>0</v>
      </c>
      <c r="G40" s="31">
        <f>ROUND('Anexo 7'!G40*'Anexo 3'!$D$10,0)</f>
        <v>0</v>
      </c>
      <c r="H40" s="31">
        <f>ROUND('Anexo 7'!H40*'Anexo 3'!$D$10,0)</f>
        <v>0</v>
      </c>
      <c r="I40" s="31">
        <f>ROUND('Anexo 7'!I40*'Anexo 3'!$D$10,0)</f>
        <v>0</v>
      </c>
      <c r="J40" s="31">
        <f>ROUND('Anexo 7'!J40*'Anexo 3'!$D$10,0)</f>
        <v>0</v>
      </c>
      <c r="K40" s="31">
        <f>ROUND('Anexo 7'!K40*'Anexo 3'!$D$10,0)</f>
        <v>0</v>
      </c>
      <c r="L40" s="31">
        <f>ROUND('Anexo 7'!L40*'Anexo 3'!$D$10,0)</f>
        <v>0</v>
      </c>
      <c r="M40" s="31">
        <f>ROUND('Anexo 7'!M40*'Anexo 3'!$D$10,0)</f>
        <v>0</v>
      </c>
      <c r="N40" s="31">
        <f>ROUND('Anexo 7'!N40*'Anexo 3'!$D$10,0)</f>
        <v>0</v>
      </c>
      <c r="O40" s="31">
        <f>ROUND('Anexo 7'!O40*'Anexo 3'!$D$10,0)</f>
        <v>0</v>
      </c>
      <c r="P40" s="31">
        <f>ROUND('Anexo 7'!P40*'Anexo 3'!$D$10,0)</f>
        <v>0</v>
      </c>
      <c r="Q40" s="31">
        <f>ROUND('Anexo 7'!Q40*'Anexo 3'!$D$10,0)</f>
        <v>0</v>
      </c>
      <c r="R40" s="31">
        <f>ROUND('Anexo 7'!R40*'Anexo 3'!$D$10,0)</f>
        <v>0</v>
      </c>
      <c r="S40" s="31">
        <f>ROUND('Anexo 7'!S40*'Anexo 3'!$D$10,0)</f>
        <v>0</v>
      </c>
      <c r="T40" s="31">
        <f>ROUND('Anexo 7'!T40*'Anexo 3'!$D$10,0)</f>
        <v>0</v>
      </c>
      <c r="U40" s="31">
        <f>ROUND('Anexo 7'!U40*'Anexo 3'!$D$10,0)</f>
        <v>0</v>
      </c>
      <c r="V40" s="31">
        <f>ROUND('Anexo 7'!V40*'Anexo 3'!$D$10,0)</f>
        <v>0</v>
      </c>
      <c r="W40" s="31">
        <f>ROUND('Anexo 7'!W40*'Anexo 3'!$D$10,0)</f>
        <v>0</v>
      </c>
      <c r="X40" s="31">
        <f>ROUND('Anexo 7'!X40*'Anexo 3'!$D$10,0)</f>
        <v>0</v>
      </c>
      <c r="Y40" s="31">
        <f>ROUND('Anexo 7'!Y40*'Anexo 3'!$D$10,0)</f>
        <v>0</v>
      </c>
      <c r="Z40" s="31">
        <f>ROUND('Anexo 7'!Z40*'Anexo 3'!$D$10,0)</f>
        <v>0</v>
      </c>
      <c r="AA40" s="36">
        <f t="shared" si="0"/>
        <v>0</v>
      </c>
      <c r="AB40" s="19">
        <v>4</v>
      </c>
      <c r="AC40" s="91"/>
      <c r="AD40" s="45"/>
    </row>
    <row r="41" spans="1:30" ht="15.75" thickBot="1" x14ac:dyDescent="0.3">
      <c r="A41" s="89"/>
      <c r="B41" s="20" t="s">
        <v>3</v>
      </c>
      <c r="C41" s="31">
        <f>ROUND('Anexo 7'!C41*'Anexo 3'!$D$10,0)</f>
        <v>0</v>
      </c>
      <c r="D41" s="31">
        <f>ROUND('Anexo 7'!D41*'Anexo 3'!$D$10,0)</f>
        <v>0</v>
      </c>
      <c r="E41" s="31">
        <f>ROUND('Anexo 7'!E41*'Anexo 3'!$D$10,0)</f>
        <v>0</v>
      </c>
      <c r="F41" s="31">
        <f>ROUND('Anexo 7'!F41*'Anexo 3'!$D$10,0)</f>
        <v>0</v>
      </c>
      <c r="G41" s="31">
        <f>ROUND('Anexo 7'!G41*'Anexo 3'!$D$10,0)</f>
        <v>0</v>
      </c>
      <c r="H41" s="31">
        <f>ROUND('Anexo 7'!H41*'Anexo 3'!$D$10,0)</f>
        <v>0</v>
      </c>
      <c r="I41" s="31">
        <f>ROUND('Anexo 7'!I41*'Anexo 3'!$D$10,0)</f>
        <v>0</v>
      </c>
      <c r="J41" s="31">
        <f>ROUND('Anexo 7'!J41*'Anexo 3'!$D$10,0)</f>
        <v>0</v>
      </c>
      <c r="K41" s="31">
        <f>ROUND('Anexo 7'!K41*'Anexo 3'!$D$10,0)</f>
        <v>0</v>
      </c>
      <c r="L41" s="31">
        <f>ROUND('Anexo 7'!L41*'Anexo 3'!$D$10,0)</f>
        <v>0</v>
      </c>
      <c r="M41" s="31">
        <f>ROUND('Anexo 7'!M41*'Anexo 3'!$D$10,0)</f>
        <v>0</v>
      </c>
      <c r="N41" s="31">
        <f>ROUND('Anexo 7'!N41*'Anexo 3'!$D$10,0)</f>
        <v>0</v>
      </c>
      <c r="O41" s="31">
        <f>ROUND('Anexo 7'!O41*'Anexo 3'!$D$10,0)</f>
        <v>0</v>
      </c>
      <c r="P41" s="31">
        <f>ROUND('Anexo 7'!P41*'Anexo 3'!$D$10,0)</f>
        <v>0</v>
      </c>
      <c r="Q41" s="31">
        <f>ROUND('Anexo 7'!Q41*'Anexo 3'!$D$10,0)</f>
        <v>0</v>
      </c>
      <c r="R41" s="31">
        <f>ROUND('Anexo 7'!R41*'Anexo 3'!$D$10,0)</f>
        <v>0</v>
      </c>
      <c r="S41" s="31">
        <f>ROUND('Anexo 7'!S41*'Anexo 3'!$D$10,0)</f>
        <v>0</v>
      </c>
      <c r="T41" s="31">
        <f>ROUND('Anexo 7'!T41*'Anexo 3'!$D$10,0)</f>
        <v>0</v>
      </c>
      <c r="U41" s="31">
        <f>ROUND('Anexo 7'!U41*'Anexo 3'!$D$10,0)</f>
        <v>0</v>
      </c>
      <c r="V41" s="31">
        <f>ROUND('Anexo 7'!V41*'Anexo 3'!$D$10,0)</f>
        <v>0</v>
      </c>
      <c r="W41" s="31">
        <f>ROUND('Anexo 7'!W41*'Anexo 3'!$D$10,0)</f>
        <v>0</v>
      </c>
      <c r="X41" s="31">
        <f>ROUND('Anexo 7'!X41*'Anexo 3'!$D$10,0)</f>
        <v>0</v>
      </c>
      <c r="Y41" s="31">
        <f>ROUND('Anexo 7'!Y41*'Anexo 3'!$D$10,0)</f>
        <v>0</v>
      </c>
      <c r="Z41" s="31">
        <f>ROUND('Anexo 7'!Z41*'Anexo 3'!$D$10,0)</f>
        <v>0</v>
      </c>
      <c r="AA41" s="39">
        <f t="shared" si="0"/>
        <v>0</v>
      </c>
      <c r="AB41" s="21">
        <v>7</v>
      </c>
      <c r="AC41" s="92"/>
      <c r="AD41" s="40"/>
    </row>
    <row r="42" spans="1:30" ht="15.75" thickBot="1" x14ac:dyDescent="0.3">
      <c r="A42" s="93" t="s">
        <v>2</v>
      </c>
      <c r="B42" s="94"/>
      <c r="C42" s="31">
        <f>ROUND('Anexo 6'!C42*'Anexo 2'!$D$10,0)</f>
        <v>0</v>
      </c>
      <c r="D42" s="31">
        <f>ROUND('Anexo 6'!D42*'Anexo 2'!$D$10,0)</f>
        <v>0</v>
      </c>
      <c r="E42" s="31">
        <f>ROUND('Anexo 6'!E42*'Anexo 2'!$D$10,0)</f>
        <v>0</v>
      </c>
      <c r="F42" s="31">
        <f>ROUND('Anexo 6'!F42*'Anexo 2'!$D$10,0)</f>
        <v>0</v>
      </c>
      <c r="G42" s="31">
        <f>ROUND('Anexo 6'!G42*'Anexo 2'!$D$10,0)</f>
        <v>0</v>
      </c>
      <c r="H42" s="31">
        <f>ROUND('Anexo 6'!H42*'Anexo 2'!$D$10,0)</f>
        <v>0</v>
      </c>
      <c r="I42" s="31">
        <f>ROUND('Anexo 6'!I42*'Anexo 2'!$D$10,0)</f>
        <v>0</v>
      </c>
      <c r="J42" s="31">
        <f>ROUND('Anexo 6'!J42*'Anexo 2'!$D$10,0)</f>
        <v>0</v>
      </c>
      <c r="K42" s="31">
        <f>ROUND('Anexo 6'!K42*'Anexo 2'!$D$10,0)</f>
        <v>0</v>
      </c>
      <c r="L42" s="31">
        <f>ROUND('Anexo 6'!L42*'Anexo 2'!$D$10,0)</f>
        <v>0</v>
      </c>
      <c r="M42" s="31">
        <f>ROUND('Anexo 6'!M42*'Anexo 2'!$D$10,0)</f>
        <v>0</v>
      </c>
      <c r="N42" s="31">
        <f>ROUND('Anexo 6'!N42*'Anexo 2'!$D$10,0)</f>
        <v>0</v>
      </c>
      <c r="O42" s="31">
        <f>ROUND('Anexo 6'!O42*'Anexo 2'!$D$10,0)</f>
        <v>0</v>
      </c>
      <c r="P42" s="31">
        <f>ROUND('Anexo 6'!P42*'Anexo 2'!$D$10,0)</f>
        <v>0</v>
      </c>
      <c r="Q42" s="31">
        <f>ROUND('Anexo 6'!Q42*'Anexo 2'!$D$10,0)</f>
        <v>0</v>
      </c>
      <c r="R42" s="31">
        <f>ROUND('Anexo 6'!R42*'Anexo 2'!$D$10,0)</f>
        <v>0</v>
      </c>
      <c r="S42" s="31">
        <f>ROUND('Anexo 6'!S42*'Anexo 2'!$D$10,0)</f>
        <v>0</v>
      </c>
      <c r="T42" s="31">
        <f>ROUND('Anexo 6'!T42*'Anexo 2'!$D$10,0)</f>
        <v>0</v>
      </c>
      <c r="U42" s="31">
        <f>ROUND('Anexo 6'!U42*'Anexo 2'!$D$10,0)</f>
        <v>0</v>
      </c>
      <c r="V42" s="31">
        <f>ROUND('Anexo 6'!V42*'Anexo 2'!$D$10,0)</f>
        <v>0</v>
      </c>
      <c r="W42" s="31">
        <f>ROUND('Anexo 6'!W42*'Anexo 2'!$D$10,0)</f>
        <v>0</v>
      </c>
      <c r="X42" s="31">
        <f>ROUND('Anexo 6'!X42*'Anexo 2'!$D$10,0)</f>
        <v>0</v>
      </c>
      <c r="Y42" s="31">
        <f>ROUND('Anexo 6'!Y42*'Anexo 2'!$D$10,0)</f>
        <v>0</v>
      </c>
      <c r="Z42" s="31">
        <f>ROUND('Anexo 6'!Z42*'Anexo 2'!$D$10,0)</f>
        <v>0</v>
      </c>
      <c r="AA42" s="29">
        <f t="shared" ref="AA42:AC42" si="1">+SUM(AA6:AA41)</f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701E-77FB-4B66-8D04-18F03EABCD13}">
  <sheetPr codeName="Hoja1">
    <tabColor theme="5" tint="0.79998168889431442"/>
  </sheetPr>
  <dimension ref="A1:XFC36"/>
  <sheetViews>
    <sheetView showGridLines="0" topLeftCell="A20" zoomScaleNormal="100" zoomScaleSheetLayoutView="140" workbookViewId="0">
      <selection activeCell="C23" sqref="C23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8" width="12.5703125" bestFit="1" customWidth="1"/>
    <col min="9" max="9" width="3.5703125" customWidth="1"/>
    <col min="10" max="16383" width="3.5703125" hidden="1" customWidth="1"/>
    <col min="16384" max="16384" width="23.42578125" hidden="1" customWidth="1"/>
  </cols>
  <sheetData>
    <row r="1" spans="1:8" x14ac:dyDescent="0.25"/>
    <row r="2" spans="1:8" x14ac:dyDescent="0.25"/>
    <row r="3" spans="1:8" x14ac:dyDescent="0.25">
      <c r="B3" s="72" t="s">
        <v>77</v>
      </c>
      <c r="C3" s="72"/>
      <c r="D3" s="72"/>
      <c r="E3" s="72"/>
      <c r="F3" s="72"/>
      <c r="G3" s="27"/>
    </row>
    <row r="4" spans="1:8" x14ac:dyDescent="0.25">
      <c r="B4" s="72" t="s">
        <v>50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36</v>
      </c>
      <c r="D8" s="73" t="s">
        <v>39</v>
      </c>
      <c r="E8" s="73" t="s">
        <v>37</v>
      </c>
      <c r="F8" s="73" t="s">
        <v>41</v>
      </c>
      <c r="G8" s="26"/>
    </row>
    <row r="9" spans="1:8" ht="23.25" customHeight="1" x14ac:dyDescent="0.25">
      <c r="B9" s="74"/>
      <c r="C9" s="74"/>
      <c r="D9" s="74"/>
      <c r="E9" s="74"/>
      <c r="F9" s="74"/>
      <c r="G9" s="26"/>
    </row>
    <row r="10" spans="1:8" ht="15.75" thickBot="1" x14ac:dyDescent="0.3">
      <c r="A10" s="63"/>
      <c r="B10" s="6">
        <v>47484</v>
      </c>
      <c r="C10" s="41">
        <f>+'Anexo 8'!AC6</f>
        <v>25730642</v>
      </c>
      <c r="D10" s="69"/>
      <c r="E10" s="53">
        <f>+'Cantidades Ofertadas Prod 4'!AC6</f>
        <v>0</v>
      </c>
      <c r="F10" s="95"/>
      <c r="G10" s="30"/>
      <c r="H10" s="62"/>
    </row>
    <row r="11" spans="1:8" ht="15.75" thickBot="1" x14ac:dyDescent="0.3">
      <c r="A11" s="63"/>
      <c r="B11" s="6">
        <v>47515</v>
      </c>
      <c r="C11" s="41">
        <f>+'Anexo 8'!AC9</f>
        <v>23691744</v>
      </c>
      <c r="D11" s="70"/>
      <c r="E11" s="53">
        <f>+'Cantidades Ofertadas Prod 4'!AC9</f>
        <v>0</v>
      </c>
      <c r="F11" s="96"/>
      <c r="G11" s="30"/>
      <c r="H11" s="62"/>
    </row>
    <row r="12" spans="1:8" ht="15.75" thickBot="1" x14ac:dyDescent="0.3">
      <c r="A12" s="63"/>
      <c r="B12" s="6">
        <v>47543</v>
      </c>
      <c r="C12" s="41">
        <f>+'Anexo 8'!AC12</f>
        <v>25502995</v>
      </c>
      <c r="D12" s="70"/>
      <c r="E12" s="53">
        <f>+'Cantidades Ofertadas Prod 4'!AC12</f>
        <v>0</v>
      </c>
      <c r="F12" s="96"/>
      <c r="G12" s="30"/>
      <c r="H12" s="62"/>
    </row>
    <row r="13" spans="1:8" ht="15.75" thickBot="1" x14ac:dyDescent="0.3">
      <c r="A13" s="63"/>
      <c r="B13" s="6">
        <v>47574</v>
      </c>
      <c r="C13" s="41">
        <f>+'Anexo 8'!AC15</f>
        <v>24128584</v>
      </c>
      <c r="D13" s="70"/>
      <c r="E13" s="53">
        <f>+'Cantidades Ofertadas Prod 4'!AC15</f>
        <v>0</v>
      </c>
      <c r="F13" s="96"/>
      <c r="G13" s="30"/>
      <c r="H13" s="62"/>
    </row>
    <row r="14" spans="1:8" ht="15.75" thickBot="1" x14ac:dyDescent="0.3">
      <c r="A14" s="63"/>
      <c r="B14" s="6">
        <v>47604</v>
      </c>
      <c r="C14" s="41">
        <f>+'Anexo 8'!AC18</f>
        <v>25156646</v>
      </c>
      <c r="D14" s="70"/>
      <c r="E14" s="53">
        <f>+'Cantidades Ofertadas Prod 4'!AC18</f>
        <v>0</v>
      </c>
      <c r="F14" s="96"/>
      <c r="G14" s="30"/>
      <c r="H14" s="62"/>
    </row>
    <row r="15" spans="1:8" ht="15.75" thickBot="1" x14ac:dyDescent="0.3">
      <c r="A15" s="63"/>
      <c r="B15" s="6">
        <v>47635</v>
      </c>
      <c r="C15" s="41">
        <f>+'Anexo 8'!AC21</f>
        <v>24257992</v>
      </c>
      <c r="D15" s="70"/>
      <c r="E15" s="53">
        <f>+'Cantidades Ofertadas Prod 4'!AC21</f>
        <v>0</v>
      </c>
      <c r="F15" s="96"/>
      <c r="G15" s="30"/>
      <c r="H15" s="62"/>
    </row>
    <row r="16" spans="1:8" ht="15.75" thickBot="1" x14ac:dyDescent="0.3">
      <c r="A16" s="63"/>
      <c r="B16" s="6">
        <v>47665</v>
      </c>
      <c r="C16" s="41">
        <f>+'Anexo 8'!AC24</f>
        <v>25730466</v>
      </c>
      <c r="D16" s="70"/>
      <c r="E16" s="53">
        <f>+'Cantidades Ofertadas Prod 4'!AC24</f>
        <v>0</v>
      </c>
      <c r="F16" s="96"/>
      <c r="G16" s="30"/>
      <c r="H16" s="62"/>
    </row>
    <row r="17" spans="1:8" ht="15.75" thickBot="1" x14ac:dyDescent="0.3">
      <c r="A17" s="63"/>
      <c r="B17" s="6">
        <v>47696</v>
      </c>
      <c r="C17" s="41">
        <f>+'Anexo 8'!AC27</f>
        <v>26182303</v>
      </c>
      <c r="D17" s="70"/>
      <c r="E17" s="53">
        <f>+'Cantidades Ofertadas Prod 4'!AC27</f>
        <v>0</v>
      </c>
      <c r="F17" s="96"/>
      <c r="G17" s="30"/>
      <c r="H17" s="62"/>
    </row>
    <row r="18" spans="1:8" ht="15.75" thickBot="1" x14ac:dyDescent="0.3">
      <c r="A18" s="63"/>
      <c r="B18" s="6">
        <v>47727</v>
      </c>
      <c r="C18" s="41">
        <f>+'Anexo 8'!AC30</f>
        <v>25665500</v>
      </c>
      <c r="D18" s="70"/>
      <c r="E18" s="53">
        <f>+'Cantidades Ofertadas Prod 4'!AC30</f>
        <v>0</v>
      </c>
      <c r="F18" s="96"/>
      <c r="G18" s="30"/>
      <c r="H18" s="62"/>
    </row>
    <row r="19" spans="1:8" ht="15.75" thickBot="1" x14ac:dyDescent="0.3">
      <c r="A19" s="63"/>
      <c r="B19" s="6">
        <v>47757</v>
      </c>
      <c r="C19" s="41">
        <f>+'Anexo 8'!AC33</f>
        <v>25476976</v>
      </c>
      <c r="D19" s="70"/>
      <c r="E19" s="53">
        <f>+'Cantidades Ofertadas Prod 4'!AC33</f>
        <v>0</v>
      </c>
      <c r="F19" s="96"/>
      <c r="G19" s="30"/>
      <c r="H19" s="62"/>
    </row>
    <row r="20" spans="1:8" ht="15.75" thickBot="1" x14ac:dyDescent="0.3">
      <c r="A20" s="63"/>
      <c r="B20" s="6">
        <v>47788</v>
      </c>
      <c r="C20" s="41">
        <f>+'Anexo 8'!AC36</f>
        <v>24187502</v>
      </c>
      <c r="D20" s="70"/>
      <c r="E20" s="53">
        <f>+'Cantidades Ofertadas Prod 4'!AC36</f>
        <v>0</v>
      </c>
      <c r="F20" s="96"/>
      <c r="G20" s="30"/>
      <c r="H20" s="62"/>
    </row>
    <row r="21" spans="1:8" ht="15.75" thickBot="1" x14ac:dyDescent="0.3">
      <c r="A21" s="63"/>
      <c r="B21" s="6">
        <v>47818</v>
      </c>
      <c r="C21" s="41">
        <f>+'Anexo 8'!AC39</f>
        <v>25967340</v>
      </c>
      <c r="D21" s="71"/>
      <c r="E21" s="53">
        <f>+'Cantidades Ofertadas Prod 4'!AC39</f>
        <v>0</v>
      </c>
      <c r="F21" s="97"/>
      <c r="G21" s="30"/>
      <c r="H21" s="62"/>
    </row>
    <row r="22" spans="1:8" ht="28.5" customHeight="1" x14ac:dyDescent="0.25">
      <c r="A22" s="63"/>
      <c r="B22" s="7" t="s">
        <v>0</v>
      </c>
      <c r="C22" s="8">
        <f>+SUM(C10:C21)</f>
        <v>301678690</v>
      </c>
      <c r="D22" s="58"/>
      <c r="E22" s="52">
        <f>SUM(E10:E21)</f>
        <v>0</v>
      </c>
      <c r="F22" s="51">
        <f>+F10</f>
        <v>0</v>
      </c>
      <c r="G22" s="43"/>
      <c r="H22" s="43"/>
    </row>
    <row r="23" spans="1:8" ht="19.5" customHeight="1" x14ac:dyDescent="0.25">
      <c r="B23" s="22"/>
      <c r="C23" s="23"/>
      <c r="D23" s="28"/>
      <c r="E23" s="23"/>
      <c r="F23" s="24"/>
      <c r="G23" s="24"/>
      <c r="H23" s="40"/>
    </row>
    <row r="24" spans="1:8" ht="15" customHeight="1" x14ac:dyDescent="0.25">
      <c r="B24" s="5" t="s">
        <v>49</v>
      </c>
      <c r="C24" s="23"/>
      <c r="D24" s="28"/>
      <c r="E24" s="23"/>
      <c r="F24" s="24"/>
      <c r="G24" s="49"/>
      <c r="H24" s="49"/>
    </row>
    <row r="25" spans="1:8" x14ac:dyDescent="0.25">
      <c r="B25" s="65" t="s">
        <v>44</v>
      </c>
      <c r="C25" s="65"/>
      <c r="D25" s="65"/>
      <c r="E25" s="65"/>
      <c r="F25" s="65"/>
      <c r="G25" s="65"/>
      <c r="H25" s="40"/>
    </row>
    <row r="26" spans="1:8" x14ac:dyDescent="0.25">
      <c r="B26" s="5" t="s">
        <v>78</v>
      </c>
      <c r="C26" s="50"/>
      <c r="D26" s="50"/>
      <c r="E26" s="50"/>
      <c r="F26" s="50"/>
      <c r="G26" s="50"/>
      <c r="H26" s="40"/>
    </row>
    <row r="27" spans="1:8" x14ac:dyDescent="0.25">
      <c r="B27" s="5" t="s">
        <v>55</v>
      </c>
      <c r="C27" s="50"/>
      <c r="D27" s="50"/>
      <c r="E27" s="50"/>
      <c r="F27" s="50"/>
      <c r="G27" s="50"/>
      <c r="H27" s="40"/>
    </row>
    <row r="28" spans="1:8" x14ac:dyDescent="0.25">
      <c r="B28" s="5" t="s">
        <v>42</v>
      </c>
      <c r="H28" s="40"/>
    </row>
    <row r="29" spans="1:8" x14ac:dyDescent="0.25">
      <c r="B29" s="5" t="s">
        <v>79</v>
      </c>
      <c r="C29" s="43"/>
      <c r="H29" s="40"/>
    </row>
    <row r="30" spans="1:8" ht="15" customHeight="1" x14ac:dyDescent="0.25">
      <c r="A30" s="2"/>
      <c r="B30" s="2"/>
      <c r="C30" s="43"/>
      <c r="H30" s="40">
        <f t="shared" ref="H30:H32" si="0">+C30-G30</f>
        <v>0</v>
      </c>
    </row>
    <row r="31" spans="1:8" ht="15" customHeight="1" x14ac:dyDescent="0.25">
      <c r="A31" s="1"/>
      <c r="B31" s="1"/>
      <c r="C31" s="43"/>
      <c r="H31" s="40">
        <f t="shared" si="0"/>
        <v>0</v>
      </c>
    </row>
    <row r="32" spans="1:8" ht="15" customHeight="1" x14ac:dyDescent="0.25">
      <c r="A32" s="1"/>
      <c r="H32" s="40">
        <f t="shared" si="0"/>
        <v>0</v>
      </c>
    </row>
    <row r="33" spans="1:8" ht="15" customHeight="1" x14ac:dyDescent="0.25">
      <c r="A33" s="1"/>
      <c r="B33" s="56" t="s">
        <v>45</v>
      </c>
      <c r="H33" s="40"/>
    </row>
    <row r="34" spans="1:8" ht="15" customHeight="1" x14ac:dyDescent="0.25">
      <c r="A34" s="1"/>
      <c r="B34" s="57" t="s">
        <v>46</v>
      </c>
      <c r="H34" s="40"/>
    </row>
    <row r="35" spans="1:8" x14ac:dyDescent="0.25">
      <c r="B35" s="57" t="s">
        <v>47</v>
      </c>
    </row>
    <row r="36" spans="1:8" x14ac:dyDescent="0.25"/>
  </sheetData>
  <mergeCells count="11">
    <mergeCell ref="F10:F21"/>
    <mergeCell ref="D10:D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C57C6E5-60C0-4D4B-B5F0-CDB71C317BB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EEAF-81D4-4E1A-89F3-D8102F2DBFEA}">
  <sheetPr codeName="Hoja16">
    <tabColor rgb="FF00B050"/>
  </sheetPr>
  <dimension ref="A1:H34"/>
  <sheetViews>
    <sheetView showGridLines="0" zoomScaleNormal="100" zoomScaleSheetLayoutView="140" workbookViewId="0">
      <selection activeCell="C10" sqref="C10"/>
    </sheetView>
  </sheetViews>
  <sheetFormatPr baseColWidth="10" defaultColWidth="0" defaultRowHeight="15" customHeight="1" zeroHeight="1" x14ac:dyDescent="0.25"/>
  <cols>
    <col min="1" max="2" width="11.42578125" customWidth="1"/>
    <col min="3" max="3" width="18.2851562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2" t="s">
        <v>57</v>
      </c>
      <c r="C3" s="72"/>
      <c r="D3" s="72"/>
      <c r="E3" s="72"/>
      <c r="F3" s="72"/>
      <c r="G3" s="27"/>
    </row>
    <row r="4" spans="1:8" x14ac:dyDescent="0.25">
      <c r="B4" s="72" t="s">
        <v>50</v>
      </c>
      <c r="C4" s="72"/>
      <c r="D4" s="72"/>
      <c r="E4" s="72"/>
      <c r="F4" s="72"/>
      <c r="G4" s="27"/>
    </row>
    <row r="5" spans="1:8" x14ac:dyDescent="0.25">
      <c r="B5" s="72" t="s">
        <v>83</v>
      </c>
      <c r="C5" s="72"/>
      <c r="D5" s="72"/>
      <c r="E5" s="72"/>
      <c r="F5" s="72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3" t="s">
        <v>1</v>
      </c>
      <c r="C8" s="73" t="s">
        <v>48</v>
      </c>
      <c r="D8" s="73" t="s">
        <v>53</v>
      </c>
      <c r="E8" s="73" t="s">
        <v>37</v>
      </c>
      <c r="F8" s="73" t="s">
        <v>41</v>
      </c>
      <c r="G8" s="26"/>
    </row>
    <row r="9" spans="1:8" ht="23.25" customHeight="1" x14ac:dyDescent="0.25">
      <c r="A9" s="59">
        <v>20000</v>
      </c>
      <c r="B9" s="74"/>
      <c r="C9" s="74"/>
      <c r="D9" s="74"/>
      <c r="E9" s="74"/>
      <c r="F9" s="74"/>
      <c r="G9" s="26"/>
    </row>
    <row r="10" spans="1:8" ht="15.75" thickBot="1" x14ac:dyDescent="0.3">
      <c r="A10" s="55">
        <v>31</v>
      </c>
      <c r="B10" s="6">
        <v>47484</v>
      </c>
      <c r="C10" s="41">
        <f>+$A$9*A10*24</f>
        <v>14880000</v>
      </c>
      <c r="D10" s="75"/>
      <c r="E10" s="53">
        <f>+$D$10*A10*24</f>
        <v>0</v>
      </c>
      <c r="F10" s="95"/>
      <c r="G10" s="30"/>
      <c r="H10" s="49"/>
    </row>
    <row r="11" spans="1:8" ht="15.75" thickBot="1" x14ac:dyDescent="0.3">
      <c r="A11" s="55">
        <v>28</v>
      </c>
      <c r="B11" s="6">
        <v>47515</v>
      </c>
      <c r="C11" s="41">
        <f t="shared" ref="C11:C21" si="0">+$A$9*A11*24</f>
        <v>13440000</v>
      </c>
      <c r="D11" s="76"/>
      <c r="E11" s="53">
        <f t="shared" ref="E11:E21" si="1">+$D$10*A11*24</f>
        <v>0</v>
      </c>
      <c r="F11" s="96"/>
      <c r="G11" s="30"/>
      <c r="H11" s="49"/>
    </row>
    <row r="12" spans="1:8" ht="15.75" thickBot="1" x14ac:dyDescent="0.3">
      <c r="A12" s="55">
        <v>31</v>
      </c>
      <c r="B12" s="6">
        <v>47543</v>
      </c>
      <c r="C12" s="41">
        <f t="shared" si="0"/>
        <v>14880000</v>
      </c>
      <c r="D12" s="76"/>
      <c r="E12" s="53">
        <f t="shared" si="1"/>
        <v>0</v>
      </c>
      <c r="F12" s="96"/>
      <c r="G12" s="30"/>
      <c r="H12" s="49"/>
    </row>
    <row r="13" spans="1:8" ht="15.75" thickBot="1" x14ac:dyDescent="0.3">
      <c r="A13" s="55">
        <v>30</v>
      </c>
      <c r="B13" s="6">
        <v>47574</v>
      </c>
      <c r="C13" s="41">
        <f t="shared" si="0"/>
        <v>14400000</v>
      </c>
      <c r="D13" s="76"/>
      <c r="E13" s="53">
        <f t="shared" si="1"/>
        <v>0</v>
      </c>
      <c r="F13" s="96"/>
      <c r="G13" s="30"/>
      <c r="H13" s="49"/>
    </row>
    <row r="14" spans="1:8" ht="15.75" thickBot="1" x14ac:dyDescent="0.3">
      <c r="A14" s="55">
        <v>31</v>
      </c>
      <c r="B14" s="6">
        <v>47604</v>
      </c>
      <c r="C14" s="41">
        <f t="shared" si="0"/>
        <v>14880000</v>
      </c>
      <c r="D14" s="76"/>
      <c r="E14" s="53">
        <f t="shared" si="1"/>
        <v>0</v>
      </c>
      <c r="F14" s="96"/>
      <c r="G14" s="30"/>
      <c r="H14" s="49"/>
    </row>
    <row r="15" spans="1:8" ht="15.75" thickBot="1" x14ac:dyDescent="0.3">
      <c r="A15" s="55">
        <v>30</v>
      </c>
      <c r="B15" s="6">
        <v>47635</v>
      </c>
      <c r="C15" s="41">
        <f t="shared" si="0"/>
        <v>14400000</v>
      </c>
      <c r="D15" s="76"/>
      <c r="E15" s="53">
        <f t="shared" si="1"/>
        <v>0</v>
      </c>
      <c r="F15" s="96"/>
      <c r="G15" s="30"/>
      <c r="H15" s="49"/>
    </row>
    <row r="16" spans="1:8" ht="15.75" thickBot="1" x14ac:dyDescent="0.3">
      <c r="A16" s="55">
        <v>31</v>
      </c>
      <c r="B16" s="6">
        <v>47665</v>
      </c>
      <c r="C16" s="41">
        <f t="shared" si="0"/>
        <v>14880000</v>
      </c>
      <c r="D16" s="76"/>
      <c r="E16" s="53">
        <f t="shared" si="1"/>
        <v>0</v>
      </c>
      <c r="F16" s="96"/>
      <c r="G16" s="30"/>
      <c r="H16" s="49"/>
    </row>
    <row r="17" spans="1:8" ht="15.75" thickBot="1" x14ac:dyDescent="0.3">
      <c r="A17" s="55">
        <v>31</v>
      </c>
      <c r="B17" s="6">
        <v>47696</v>
      </c>
      <c r="C17" s="41">
        <f t="shared" si="0"/>
        <v>14880000</v>
      </c>
      <c r="D17" s="76"/>
      <c r="E17" s="53">
        <f t="shared" si="1"/>
        <v>0</v>
      </c>
      <c r="F17" s="96"/>
      <c r="G17" s="30"/>
      <c r="H17" s="49"/>
    </row>
    <row r="18" spans="1:8" ht="15.75" thickBot="1" x14ac:dyDescent="0.3">
      <c r="A18" s="55">
        <v>30</v>
      </c>
      <c r="B18" s="6">
        <v>47727</v>
      </c>
      <c r="C18" s="41">
        <f t="shared" si="0"/>
        <v>14400000</v>
      </c>
      <c r="D18" s="76"/>
      <c r="E18" s="53">
        <f t="shared" si="1"/>
        <v>0</v>
      </c>
      <c r="F18" s="96"/>
      <c r="G18" s="30"/>
      <c r="H18" s="49"/>
    </row>
    <row r="19" spans="1:8" ht="15.75" thickBot="1" x14ac:dyDescent="0.3">
      <c r="A19" s="55">
        <v>31</v>
      </c>
      <c r="B19" s="6">
        <v>47757</v>
      </c>
      <c r="C19" s="41">
        <f t="shared" si="0"/>
        <v>14880000</v>
      </c>
      <c r="D19" s="76"/>
      <c r="E19" s="53">
        <f t="shared" si="1"/>
        <v>0</v>
      </c>
      <c r="F19" s="96"/>
      <c r="G19" s="30"/>
      <c r="H19" s="49"/>
    </row>
    <row r="20" spans="1:8" ht="15.75" thickBot="1" x14ac:dyDescent="0.3">
      <c r="A20" s="55">
        <v>30</v>
      </c>
      <c r="B20" s="6">
        <v>47788</v>
      </c>
      <c r="C20" s="41">
        <f t="shared" si="0"/>
        <v>14400000</v>
      </c>
      <c r="D20" s="76"/>
      <c r="E20" s="53">
        <f t="shared" si="1"/>
        <v>0</v>
      </c>
      <c r="F20" s="96"/>
      <c r="G20" s="30"/>
      <c r="H20" s="49"/>
    </row>
    <row r="21" spans="1:8" ht="15.75" thickBot="1" x14ac:dyDescent="0.3">
      <c r="A21" s="55">
        <v>31</v>
      </c>
      <c r="B21" s="6">
        <v>47818</v>
      </c>
      <c r="C21" s="41">
        <f t="shared" si="0"/>
        <v>14880000</v>
      </c>
      <c r="D21" s="77"/>
      <c r="E21" s="53">
        <f t="shared" si="1"/>
        <v>0</v>
      </c>
      <c r="F21" s="97"/>
      <c r="G21" s="30"/>
      <c r="H21" s="49"/>
    </row>
    <row r="22" spans="1:8" ht="28.5" customHeight="1" x14ac:dyDescent="0.25">
      <c r="B22" s="7" t="s">
        <v>0</v>
      </c>
      <c r="C22" s="8">
        <f>+SUM(C10:C21)</f>
        <v>175200000</v>
      </c>
      <c r="D22" s="51"/>
      <c r="E22" s="52">
        <f>SUM(E10:E21)</f>
        <v>0</v>
      </c>
      <c r="F22" s="51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3"/>
      <c r="E23" s="23"/>
      <c r="F23" s="24"/>
      <c r="G23" s="24"/>
      <c r="H23" s="40"/>
    </row>
    <row r="24" spans="1:8" ht="15" customHeight="1" x14ac:dyDescent="0.25">
      <c r="B24" s="5" t="s">
        <v>58</v>
      </c>
      <c r="C24" s="5"/>
      <c r="D24" s="5"/>
      <c r="E24" s="5"/>
      <c r="F24" s="5"/>
      <c r="G24" s="5"/>
      <c r="H24" s="40"/>
    </row>
    <row r="25" spans="1:8" x14ac:dyDescent="0.25">
      <c r="B25" s="5" t="s">
        <v>42</v>
      </c>
      <c r="C25" s="5"/>
      <c r="D25" s="5"/>
      <c r="E25" s="5"/>
      <c r="F25" s="5"/>
      <c r="G25" s="5"/>
      <c r="H25" s="40"/>
    </row>
    <row r="26" spans="1:8" ht="27" customHeight="1" x14ac:dyDescent="0.25">
      <c r="B26" s="65" t="s">
        <v>54</v>
      </c>
      <c r="C26" s="65"/>
      <c r="D26" s="65"/>
      <c r="E26" s="65"/>
      <c r="F26" s="65"/>
      <c r="G26" s="65"/>
      <c r="H26" s="40"/>
    </row>
    <row r="27" spans="1:8" ht="27" customHeight="1" x14ac:dyDescent="0.25">
      <c r="B27" s="50"/>
      <c r="C27" s="50"/>
      <c r="D27" s="50"/>
      <c r="E27" s="50"/>
      <c r="F27" s="50"/>
      <c r="G27" s="50"/>
      <c r="H27" s="40"/>
    </row>
    <row r="28" spans="1:8" ht="27" customHeight="1" x14ac:dyDescent="0.25">
      <c r="B28" s="50"/>
      <c r="C28" s="50"/>
      <c r="D28" s="50"/>
      <c r="E28" s="50"/>
      <c r="F28" s="50"/>
      <c r="G28" s="50"/>
      <c r="H28" s="40"/>
    </row>
    <row r="29" spans="1:8" ht="27" customHeight="1" x14ac:dyDescent="0.25">
      <c r="B29" s="50"/>
      <c r="C29" s="50"/>
      <c r="D29" s="50"/>
      <c r="E29" s="50"/>
      <c r="F29" s="50"/>
      <c r="G29" s="50"/>
      <c r="H29" s="40"/>
    </row>
    <row r="30" spans="1:8" ht="27" customHeight="1" x14ac:dyDescent="0.25">
      <c r="B30" s="56" t="s">
        <v>45</v>
      </c>
      <c r="C30" s="50"/>
      <c r="D30" s="50"/>
      <c r="E30" s="50"/>
      <c r="F30" s="50"/>
      <c r="G30" s="50"/>
      <c r="H30" s="40"/>
    </row>
    <row r="31" spans="1:8" x14ac:dyDescent="0.25">
      <c r="B31" s="57" t="s">
        <v>46</v>
      </c>
      <c r="C31" s="5"/>
      <c r="D31" s="5"/>
      <c r="E31" s="5"/>
      <c r="F31" s="5"/>
      <c r="G31" s="5"/>
      <c r="H31" s="40"/>
    </row>
    <row r="32" spans="1:8" x14ac:dyDescent="0.25">
      <c r="B32" s="57" t="s">
        <v>47</v>
      </c>
      <c r="C32" s="23"/>
      <c r="D32" s="24"/>
      <c r="E32" s="25"/>
      <c r="F32" s="24"/>
      <c r="G32" s="24"/>
      <c r="H32" s="40"/>
    </row>
    <row r="33" spans="1:8" ht="15" customHeight="1" x14ac:dyDescent="0.25">
      <c r="A33" s="2"/>
      <c r="H33" s="40">
        <f t="shared" ref="H33:H34" si="2">+C33-G33</f>
        <v>0</v>
      </c>
    </row>
    <row r="34" spans="1:8" ht="15" hidden="1" customHeight="1" x14ac:dyDescent="0.25">
      <c r="A34" s="1"/>
      <c r="H34" s="40">
        <f t="shared" si="2"/>
        <v>0</v>
      </c>
    </row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prompt="Se debe ofertar maximo 20.000 kWh" sqref="D10:D21" xr:uid="{6A0FB580-24F9-4B4B-BE21-E61BFB9740A4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CB67-858D-4069-925E-3F8524FB6B85}">
  <sheetPr codeName="Hoja4">
    <tabColor theme="5" tint="0.79998168889431442"/>
  </sheetPr>
  <dimension ref="A1:AD44"/>
  <sheetViews>
    <sheetView showGridLines="0" zoomScale="115" zoomScaleNormal="115" zoomScaleSheetLayoutView="110" workbookViewId="0">
      <pane xSplit="2" ySplit="5" topLeftCell="C35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15" x14ac:dyDescent="0.25"/>
  <cols>
    <col min="1" max="1" width="6.42578125" bestFit="1" customWidth="1"/>
    <col min="2" max="3" width="8.7109375" bestFit="1" customWidth="1"/>
    <col min="4" max="8" width="9" bestFit="1" customWidth="1"/>
    <col min="9" max="10" width="8.7109375" bestFit="1" customWidth="1"/>
    <col min="11" max="11" width="9" bestFit="1" customWidth="1"/>
    <col min="12" max="12" width="8.7109375" bestFit="1" customWidth="1"/>
    <col min="13" max="14" width="9" bestFit="1" customWidth="1"/>
    <col min="15" max="15" width="9.28515625" bestFit="1" customWidth="1"/>
    <col min="16" max="16" width="8.7109375" bestFit="1" customWidth="1"/>
    <col min="17" max="17" width="9.28515625" bestFit="1" customWidth="1"/>
    <col min="18" max="18" width="9" bestFit="1" customWidth="1"/>
    <col min="19" max="20" width="9.28515625" bestFit="1" customWidth="1"/>
    <col min="21" max="21" width="8.7109375" bestFit="1" customWidth="1"/>
    <col min="22" max="22" width="9.28515625" bestFit="1" customWidth="1"/>
    <col min="23" max="24" width="8.7109375" bestFit="1" customWidth="1"/>
    <col min="25" max="25" width="9.2851562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0" t="s">
        <v>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47484</v>
      </c>
      <c r="B6" s="16" t="s">
        <v>5</v>
      </c>
      <c r="C6" s="31">
        <v>27935</v>
      </c>
      <c r="D6" s="31">
        <v>26320</v>
      </c>
      <c r="E6" s="31">
        <v>25349</v>
      </c>
      <c r="F6" s="31">
        <v>24847</v>
      </c>
      <c r="G6" s="31">
        <v>25194</v>
      </c>
      <c r="H6" s="31">
        <v>26695</v>
      </c>
      <c r="I6" s="31">
        <v>28122</v>
      </c>
      <c r="J6" s="31">
        <v>30792</v>
      </c>
      <c r="K6" s="31">
        <v>33797</v>
      </c>
      <c r="L6" s="31">
        <v>36073</v>
      </c>
      <c r="M6" s="31">
        <v>38391</v>
      </c>
      <c r="N6" s="31">
        <v>40577</v>
      </c>
      <c r="O6" s="31">
        <v>40206</v>
      </c>
      <c r="P6" s="31">
        <v>40253</v>
      </c>
      <c r="Q6" s="31">
        <v>40924</v>
      </c>
      <c r="R6" s="31">
        <v>41052</v>
      </c>
      <c r="S6" s="31">
        <v>40583</v>
      </c>
      <c r="T6" s="31">
        <v>39704</v>
      </c>
      <c r="U6" s="31">
        <v>42622</v>
      </c>
      <c r="V6" s="31">
        <v>45052</v>
      </c>
      <c r="W6" s="31">
        <v>43418</v>
      </c>
      <c r="X6" s="31">
        <v>40553</v>
      </c>
      <c r="Y6" s="31">
        <v>35948</v>
      </c>
      <c r="Z6" s="32">
        <v>31297</v>
      </c>
      <c r="AA6" s="33">
        <f>SUM(C6:Z6)</f>
        <v>845704</v>
      </c>
      <c r="AB6" s="17">
        <v>21</v>
      </c>
      <c r="AC6" s="90">
        <f>+AA6*AB6+AA7*AB7+AA8*AB8</f>
        <v>25730642</v>
      </c>
    </row>
    <row r="7" spans="1:30" ht="15.75" thickBot="1" x14ac:dyDescent="0.3">
      <c r="A7" s="89"/>
      <c r="B7" s="18" t="s">
        <v>4</v>
      </c>
      <c r="C7" s="34">
        <v>28609</v>
      </c>
      <c r="D7" s="34">
        <v>26786</v>
      </c>
      <c r="E7" s="34">
        <v>25673</v>
      </c>
      <c r="F7" s="34">
        <v>24971</v>
      </c>
      <c r="G7" s="34">
        <v>24994</v>
      </c>
      <c r="H7" s="34">
        <v>25833</v>
      </c>
      <c r="I7" s="34">
        <v>26812</v>
      </c>
      <c r="J7" s="34">
        <v>29528</v>
      </c>
      <c r="K7" s="34">
        <v>32886</v>
      </c>
      <c r="L7" s="34">
        <v>35421</v>
      </c>
      <c r="M7" s="34">
        <v>37320</v>
      </c>
      <c r="N7" s="34">
        <v>39198</v>
      </c>
      <c r="O7" s="34">
        <v>39401</v>
      </c>
      <c r="P7" s="34">
        <v>39015</v>
      </c>
      <c r="Q7" s="34">
        <v>38590</v>
      </c>
      <c r="R7" s="34">
        <v>38383</v>
      </c>
      <c r="S7" s="34">
        <v>38094</v>
      </c>
      <c r="T7" s="34">
        <v>38057</v>
      </c>
      <c r="U7" s="34">
        <v>41716</v>
      </c>
      <c r="V7" s="34">
        <v>44321</v>
      </c>
      <c r="W7" s="34">
        <v>42539</v>
      </c>
      <c r="X7" s="34">
        <v>39883</v>
      </c>
      <c r="Y7" s="34">
        <v>36114</v>
      </c>
      <c r="Z7" s="35">
        <v>32337</v>
      </c>
      <c r="AA7" s="36">
        <f t="shared" ref="AA7:AA41" si="0">SUM(C7:Z7)</f>
        <v>826481</v>
      </c>
      <c r="AB7" s="19">
        <v>4</v>
      </c>
      <c r="AC7" s="91"/>
      <c r="AD7" s="45"/>
    </row>
    <row r="8" spans="1:30" x14ac:dyDescent="0.25">
      <c r="A8" s="89"/>
      <c r="B8" s="20" t="s">
        <v>3</v>
      </c>
      <c r="C8" s="37">
        <v>29991</v>
      </c>
      <c r="D8" s="37">
        <v>28021</v>
      </c>
      <c r="E8" s="37">
        <v>26715</v>
      </c>
      <c r="F8" s="37">
        <v>25792</v>
      </c>
      <c r="G8" s="37">
        <v>25343</v>
      </c>
      <c r="H8" s="37">
        <v>25519</v>
      </c>
      <c r="I8" s="37">
        <v>25269</v>
      </c>
      <c r="J8" s="37">
        <v>26761</v>
      </c>
      <c r="K8" s="37">
        <v>29316</v>
      </c>
      <c r="L8" s="37">
        <v>31568</v>
      </c>
      <c r="M8" s="37">
        <v>33230</v>
      </c>
      <c r="N8" s="37">
        <v>34960</v>
      </c>
      <c r="O8" s="37">
        <v>35984</v>
      </c>
      <c r="P8" s="37">
        <v>35863</v>
      </c>
      <c r="Q8" s="37">
        <v>35211</v>
      </c>
      <c r="R8" s="37">
        <v>34836</v>
      </c>
      <c r="S8" s="37">
        <v>34647</v>
      </c>
      <c r="T8" s="37">
        <v>34835</v>
      </c>
      <c r="U8" s="37">
        <v>38825</v>
      </c>
      <c r="V8" s="37">
        <v>41675</v>
      </c>
      <c r="W8" s="37">
        <v>40513</v>
      </c>
      <c r="X8" s="37">
        <v>38028</v>
      </c>
      <c r="Y8" s="37">
        <v>34198</v>
      </c>
      <c r="Z8" s="38">
        <v>30389</v>
      </c>
      <c r="AA8" s="39">
        <f t="shared" si="0"/>
        <v>777489</v>
      </c>
      <c r="AB8" s="21">
        <v>6</v>
      </c>
      <c r="AC8" s="92"/>
      <c r="AD8" s="46"/>
    </row>
    <row r="9" spans="1:30" ht="15.75" thickBot="1" x14ac:dyDescent="0.3">
      <c r="A9" s="89">
        <v>47515</v>
      </c>
      <c r="B9" s="16" t="s">
        <v>5</v>
      </c>
      <c r="C9" s="31">
        <v>28099</v>
      </c>
      <c r="D9" s="31">
        <v>26545</v>
      </c>
      <c r="E9" s="31">
        <v>25651</v>
      </c>
      <c r="F9" s="31">
        <v>25213</v>
      </c>
      <c r="G9" s="31">
        <v>25721</v>
      </c>
      <c r="H9" s="31">
        <v>28050</v>
      </c>
      <c r="I9" s="31">
        <v>29905</v>
      </c>
      <c r="J9" s="31">
        <v>31920</v>
      </c>
      <c r="K9" s="31">
        <v>34593</v>
      </c>
      <c r="L9" s="31">
        <v>36596</v>
      </c>
      <c r="M9" s="31">
        <v>38785</v>
      </c>
      <c r="N9" s="31">
        <v>40812</v>
      </c>
      <c r="O9" s="31">
        <v>39998</v>
      </c>
      <c r="P9" s="31">
        <v>40308</v>
      </c>
      <c r="Q9" s="31">
        <v>41249</v>
      </c>
      <c r="R9" s="31">
        <v>41419</v>
      </c>
      <c r="S9" s="31">
        <v>40957</v>
      </c>
      <c r="T9" s="31">
        <v>39888</v>
      </c>
      <c r="U9" s="31">
        <v>42115</v>
      </c>
      <c r="V9" s="31">
        <v>45303</v>
      </c>
      <c r="W9" s="31">
        <v>43733</v>
      </c>
      <c r="X9" s="31">
        <v>40733</v>
      </c>
      <c r="Y9" s="31">
        <v>36000</v>
      </c>
      <c r="Z9" s="32">
        <v>31290</v>
      </c>
      <c r="AA9" s="33">
        <f t="shared" si="0"/>
        <v>854883</v>
      </c>
      <c r="AB9" s="17">
        <v>20</v>
      </c>
      <c r="AC9" s="90">
        <f>+AA9*AB9+AA10*AB10+AA11*AB11</f>
        <v>23691744</v>
      </c>
    </row>
    <row r="10" spans="1:30" ht="15.75" thickBot="1" x14ac:dyDescent="0.3">
      <c r="A10" s="89"/>
      <c r="B10" s="18" t="s">
        <v>4</v>
      </c>
      <c r="C10" s="34">
        <v>29139</v>
      </c>
      <c r="D10" s="34">
        <v>27416</v>
      </c>
      <c r="E10" s="34">
        <v>26308</v>
      </c>
      <c r="F10" s="34">
        <v>25672</v>
      </c>
      <c r="G10" s="34">
        <v>25747</v>
      </c>
      <c r="H10" s="34">
        <v>26650</v>
      </c>
      <c r="I10" s="34">
        <v>28095</v>
      </c>
      <c r="J10" s="34">
        <v>30809</v>
      </c>
      <c r="K10" s="34">
        <v>34298</v>
      </c>
      <c r="L10" s="34">
        <v>36727</v>
      </c>
      <c r="M10" s="34">
        <v>38658</v>
      </c>
      <c r="N10" s="34">
        <v>40533</v>
      </c>
      <c r="O10" s="34">
        <v>40585</v>
      </c>
      <c r="P10" s="34">
        <v>40065</v>
      </c>
      <c r="Q10" s="34">
        <v>39619</v>
      </c>
      <c r="R10" s="34">
        <v>39375</v>
      </c>
      <c r="S10" s="34">
        <v>39041</v>
      </c>
      <c r="T10" s="34">
        <v>38918</v>
      </c>
      <c r="U10" s="34">
        <v>41877</v>
      </c>
      <c r="V10" s="34">
        <v>45084</v>
      </c>
      <c r="W10" s="34">
        <v>43319</v>
      </c>
      <c r="X10" s="34">
        <v>40810</v>
      </c>
      <c r="Y10" s="34">
        <v>37223</v>
      </c>
      <c r="Z10" s="35">
        <v>33238</v>
      </c>
      <c r="AA10" s="36">
        <f t="shared" si="0"/>
        <v>849206</v>
      </c>
      <c r="AB10" s="19">
        <v>4</v>
      </c>
      <c r="AC10" s="91"/>
      <c r="AD10" s="45"/>
    </row>
    <row r="11" spans="1:30" x14ac:dyDescent="0.25">
      <c r="A11" s="89"/>
      <c r="B11" s="20" t="s">
        <v>3</v>
      </c>
      <c r="C11" s="37">
        <v>30264</v>
      </c>
      <c r="D11" s="37">
        <v>28309</v>
      </c>
      <c r="E11" s="37">
        <v>27117</v>
      </c>
      <c r="F11" s="37">
        <v>26222</v>
      </c>
      <c r="G11" s="37">
        <v>25936</v>
      </c>
      <c r="H11" s="37">
        <v>26205</v>
      </c>
      <c r="I11" s="37">
        <v>26419</v>
      </c>
      <c r="J11" s="37">
        <v>28169</v>
      </c>
      <c r="K11" s="37">
        <v>30972</v>
      </c>
      <c r="L11" s="37">
        <v>33266</v>
      </c>
      <c r="M11" s="37">
        <v>34786</v>
      </c>
      <c r="N11" s="37">
        <v>36429</v>
      </c>
      <c r="O11" s="37">
        <v>37350</v>
      </c>
      <c r="P11" s="37">
        <v>37050</v>
      </c>
      <c r="Q11" s="37">
        <v>36316</v>
      </c>
      <c r="R11" s="37">
        <v>35871</v>
      </c>
      <c r="S11" s="37">
        <v>35647</v>
      </c>
      <c r="T11" s="37">
        <v>35836</v>
      </c>
      <c r="U11" s="37">
        <v>39018</v>
      </c>
      <c r="V11" s="37">
        <v>42560</v>
      </c>
      <c r="W11" s="37">
        <v>41479</v>
      </c>
      <c r="X11" s="37">
        <v>38905</v>
      </c>
      <c r="Y11" s="37">
        <v>34678</v>
      </c>
      <c r="Z11" s="38">
        <v>30511</v>
      </c>
      <c r="AA11" s="39">
        <f t="shared" si="0"/>
        <v>799315</v>
      </c>
      <c r="AB11" s="21">
        <v>4</v>
      </c>
      <c r="AC11" s="92"/>
      <c r="AD11" s="46"/>
    </row>
    <row r="12" spans="1:30" ht="15.75" thickBot="1" x14ac:dyDescent="0.3">
      <c r="A12" s="89">
        <v>47543</v>
      </c>
      <c r="B12" s="16" t="s">
        <v>5</v>
      </c>
      <c r="C12" s="31">
        <v>27502</v>
      </c>
      <c r="D12" s="31">
        <v>26014</v>
      </c>
      <c r="E12" s="31">
        <v>25190</v>
      </c>
      <c r="F12" s="31">
        <v>24778</v>
      </c>
      <c r="G12" s="31">
        <v>25325</v>
      </c>
      <c r="H12" s="31">
        <v>27609</v>
      </c>
      <c r="I12" s="31">
        <v>29209</v>
      </c>
      <c r="J12" s="31">
        <v>31438</v>
      </c>
      <c r="K12" s="31">
        <v>34005</v>
      </c>
      <c r="L12" s="31">
        <v>35929</v>
      </c>
      <c r="M12" s="31">
        <v>37978</v>
      </c>
      <c r="N12" s="31">
        <v>39826</v>
      </c>
      <c r="O12" s="31">
        <v>39089</v>
      </c>
      <c r="P12" s="31">
        <v>39252</v>
      </c>
      <c r="Q12" s="31">
        <v>40062</v>
      </c>
      <c r="R12" s="31">
        <v>40194</v>
      </c>
      <c r="S12" s="31">
        <v>39842</v>
      </c>
      <c r="T12" s="31">
        <v>39089</v>
      </c>
      <c r="U12" s="31">
        <v>41869</v>
      </c>
      <c r="V12" s="31">
        <v>44589</v>
      </c>
      <c r="W12" s="31">
        <v>42969</v>
      </c>
      <c r="X12" s="31">
        <v>39919</v>
      </c>
      <c r="Y12" s="31">
        <v>35280</v>
      </c>
      <c r="Z12" s="32">
        <v>30701</v>
      </c>
      <c r="AA12" s="33">
        <f t="shared" si="0"/>
        <v>837658</v>
      </c>
      <c r="AB12" s="17">
        <v>20</v>
      </c>
      <c r="AC12" s="90">
        <f>+AA12*AB12+AA13*AB13+AA14*AB14</f>
        <v>25502995</v>
      </c>
    </row>
    <row r="13" spans="1:30" ht="15.75" thickBot="1" x14ac:dyDescent="0.3">
      <c r="A13" s="89"/>
      <c r="B13" s="18" t="s">
        <v>4</v>
      </c>
      <c r="C13" s="34">
        <v>28368</v>
      </c>
      <c r="D13" s="34">
        <v>26650</v>
      </c>
      <c r="E13" s="34">
        <v>25737</v>
      </c>
      <c r="F13" s="34">
        <v>25215</v>
      </c>
      <c r="G13" s="34">
        <v>25246</v>
      </c>
      <c r="H13" s="34">
        <v>26204</v>
      </c>
      <c r="I13" s="34">
        <v>27040</v>
      </c>
      <c r="J13" s="34">
        <v>30017</v>
      </c>
      <c r="K13" s="34">
        <v>33254</v>
      </c>
      <c r="L13" s="34">
        <v>35600</v>
      </c>
      <c r="M13" s="34">
        <v>37463</v>
      </c>
      <c r="N13" s="34">
        <v>39016</v>
      </c>
      <c r="O13" s="34">
        <v>38985</v>
      </c>
      <c r="P13" s="34">
        <v>38431</v>
      </c>
      <c r="Q13" s="34">
        <v>38017</v>
      </c>
      <c r="R13" s="34">
        <v>37705</v>
      </c>
      <c r="S13" s="34">
        <v>37301</v>
      </c>
      <c r="T13" s="34">
        <v>37328</v>
      </c>
      <c r="U13" s="34">
        <v>40706</v>
      </c>
      <c r="V13" s="34">
        <v>43271</v>
      </c>
      <c r="W13" s="34">
        <v>41594</v>
      </c>
      <c r="X13" s="34">
        <v>39195</v>
      </c>
      <c r="Y13" s="34">
        <v>35627</v>
      </c>
      <c r="Z13" s="35">
        <v>32021</v>
      </c>
      <c r="AA13" s="36">
        <f t="shared" si="0"/>
        <v>819991</v>
      </c>
      <c r="AB13" s="19">
        <v>5</v>
      </c>
      <c r="AC13" s="91"/>
      <c r="AD13" s="45"/>
    </row>
    <row r="14" spans="1:30" x14ac:dyDescent="0.25">
      <c r="A14" s="89"/>
      <c r="B14" s="20" t="s">
        <v>3</v>
      </c>
      <c r="C14" s="37">
        <v>29235</v>
      </c>
      <c r="D14" s="37">
        <v>27345</v>
      </c>
      <c r="E14" s="37">
        <v>26233</v>
      </c>
      <c r="F14" s="37">
        <v>25478</v>
      </c>
      <c r="G14" s="37">
        <v>25166</v>
      </c>
      <c r="H14" s="37">
        <v>25537</v>
      </c>
      <c r="I14" s="37">
        <v>25444</v>
      </c>
      <c r="J14" s="37">
        <v>27334</v>
      </c>
      <c r="K14" s="37">
        <v>29910</v>
      </c>
      <c r="L14" s="37">
        <v>31986</v>
      </c>
      <c r="M14" s="37">
        <v>33434</v>
      </c>
      <c r="N14" s="37">
        <v>35079</v>
      </c>
      <c r="O14" s="37">
        <v>36059</v>
      </c>
      <c r="P14" s="37">
        <v>35785</v>
      </c>
      <c r="Q14" s="37">
        <v>35034</v>
      </c>
      <c r="R14" s="37">
        <v>34698</v>
      </c>
      <c r="S14" s="37">
        <v>34480</v>
      </c>
      <c r="T14" s="37">
        <v>34749</v>
      </c>
      <c r="U14" s="37">
        <v>38395</v>
      </c>
      <c r="V14" s="37">
        <v>41418</v>
      </c>
      <c r="W14" s="37">
        <v>40253</v>
      </c>
      <c r="X14" s="37">
        <v>37840</v>
      </c>
      <c r="Y14" s="37">
        <v>33915</v>
      </c>
      <c r="Z14" s="38">
        <v>30173</v>
      </c>
      <c r="AA14" s="39">
        <f t="shared" si="0"/>
        <v>774980</v>
      </c>
      <c r="AB14" s="21">
        <v>6</v>
      </c>
      <c r="AC14" s="92"/>
      <c r="AD14" s="43"/>
    </row>
    <row r="15" spans="1:30" ht="15.75" thickBot="1" x14ac:dyDescent="0.3">
      <c r="A15" s="89">
        <v>47574</v>
      </c>
      <c r="B15" s="16" t="s">
        <v>5</v>
      </c>
      <c r="C15" s="31">
        <v>26868</v>
      </c>
      <c r="D15" s="31">
        <v>25443</v>
      </c>
      <c r="E15" s="31">
        <v>24586</v>
      </c>
      <c r="F15" s="31">
        <v>24189</v>
      </c>
      <c r="G15" s="31">
        <v>24692</v>
      </c>
      <c r="H15" s="31">
        <v>26534</v>
      </c>
      <c r="I15" s="31">
        <v>27890</v>
      </c>
      <c r="J15" s="31">
        <v>30347</v>
      </c>
      <c r="K15" s="31">
        <v>32913</v>
      </c>
      <c r="L15" s="31">
        <v>34924</v>
      </c>
      <c r="M15" s="31">
        <v>37045</v>
      </c>
      <c r="N15" s="31">
        <v>38969</v>
      </c>
      <c r="O15" s="31">
        <v>38281</v>
      </c>
      <c r="P15" s="31">
        <v>38458</v>
      </c>
      <c r="Q15" s="31">
        <v>39218</v>
      </c>
      <c r="R15" s="31">
        <v>39297</v>
      </c>
      <c r="S15" s="31">
        <v>38901</v>
      </c>
      <c r="T15" s="31">
        <v>38326</v>
      </c>
      <c r="U15" s="31">
        <v>41672</v>
      </c>
      <c r="V15" s="31">
        <v>43661</v>
      </c>
      <c r="W15" s="31">
        <v>42125</v>
      </c>
      <c r="X15" s="31">
        <v>39045</v>
      </c>
      <c r="Y15" s="31">
        <v>34384</v>
      </c>
      <c r="Z15" s="32">
        <v>29926</v>
      </c>
      <c r="AA15" s="33">
        <f t="shared" si="0"/>
        <v>817694</v>
      </c>
      <c r="AB15" s="17">
        <v>20</v>
      </c>
      <c r="AC15" s="90">
        <f>+AA15*AB15+AA16*AB16+AA17*AB17</f>
        <v>24128584</v>
      </c>
    </row>
    <row r="16" spans="1:30" ht="15.75" thickBot="1" x14ac:dyDescent="0.3">
      <c r="A16" s="89"/>
      <c r="B16" s="18" t="s">
        <v>4</v>
      </c>
      <c r="C16" s="34">
        <v>27440</v>
      </c>
      <c r="D16" s="34">
        <v>25815</v>
      </c>
      <c r="E16" s="34">
        <v>24770</v>
      </c>
      <c r="F16" s="34">
        <v>24153</v>
      </c>
      <c r="G16" s="34">
        <v>24266</v>
      </c>
      <c r="H16" s="34">
        <v>24963</v>
      </c>
      <c r="I16" s="34">
        <v>25840</v>
      </c>
      <c r="J16" s="34">
        <v>28947</v>
      </c>
      <c r="K16" s="34">
        <v>32134</v>
      </c>
      <c r="L16" s="34">
        <v>34552</v>
      </c>
      <c r="M16" s="34">
        <v>36300</v>
      </c>
      <c r="N16" s="34">
        <v>38283</v>
      </c>
      <c r="O16" s="34">
        <v>38404</v>
      </c>
      <c r="P16" s="34">
        <v>37942</v>
      </c>
      <c r="Q16" s="34">
        <v>37522</v>
      </c>
      <c r="R16" s="34">
        <v>37233</v>
      </c>
      <c r="S16" s="34">
        <v>37127</v>
      </c>
      <c r="T16" s="34">
        <v>37305</v>
      </c>
      <c r="U16" s="34">
        <v>41111</v>
      </c>
      <c r="V16" s="34">
        <v>43215</v>
      </c>
      <c r="W16" s="34">
        <v>41446</v>
      </c>
      <c r="X16" s="34">
        <v>38880</v>
      </c>
      <c r="Y16" s="34">
        <v>35265</v>
      </c>
      <c r="Z16" s="35">
        <v>31576</v>
      </c>
      <c r="AA16" s="36">
        <f t="shared" si="0"/>
        <v>804489</v>
      </c>
      <c r="AB16" s="19">
        <v>4</v>
      </c>
      <c r="AC16" s="91"/>
      <c r="AD16" s="45"/>
    </row>
    <row r="17" spans="1:30" x14ac:dyDescent="0.25">
      <c r="A17" s="89"/>
      <c r="B17" s="20" t="s">
        <v>3</v>
      </c>
      <c r="C17" s="37">
        <v>28596</v>
      </c>
      <c r="D17" s="37">
        <v>26772</v>
      </c>
      <c r="E17" s="37">
        <v>25592</v>
      </c>
      <c r="F17" s="37">
        <v>24789</v>
      </c>
      <c r="G17" s="37">
        <v>24478</v>
      </c>
      <c r="H17" s="37">
        <v>24437</v>
      </c>
      <c r="I17" s="37">
        <v>24627</v>
      </c>
      <c r="J17" s="37">
        <v>26761</v>
      </c>
      <c r="K17" s="37">
        <v>29257</v>
      </c>
      <c r="L17" s="37">
        <v>31448</v>
      </c>
      <c r="M17" s="37">
        <v>33007</v>
      </c>
      <c r="N17" s="37">
        <v>34596</v>
      </c>
      <c r="O17" s="37">
        <v>35520</v>
      </c>
      <c r="P17" s="37">
        <v>35265</v>
      </c>
      <c r="Q17" s="37">
        <v>34468</v>
      </c>
      <c r="R17" s="37">
        <v>34091</v>
      </c>
      <c r="S17" s="37">
        <v>33875</v>
      </c>
      <c r="T17" s="37">
        <v>34182</v>
      </c>
      <c r="U17" s="37">
        <v>38245</v>
      </c>
      <c r="V17" s="37">
        <v>40678</v>
      </c>
      <c r="W17" s="37">
        <v>39404</v>
      </c>
      <c r="X17" s="37">
        <v>36921</v>
      </c>
      <c r="Y17" s="37">
        <v>33119</v>
      </c>
      <c r="Z17" s="38">
        <v>29330</v>
      </c>
      <c r="AA17" s="39">
        <f t="shared" si="0"/>
        <v>759458</v>
      </c>
      <c r="AB17" s="21">
        <v>6</v>
      </c>
      <c r="AC17" s="92"/>
      <c r="AD17" s="46"/>
    </row>
    <row r="18" spans="1:30" ht="15.75" thickBot="1" x14ac:dyDescent="0.3">
      <c r="A18" s="89">
        <v>47604</v>
      </c>
      <c r="B18" s="16" t="s">
        <v>5</v>
      </c>
      <c r="C18" s="31">
        <v>26907</v>
      </c>
      <c r="D18" s="31">
        <v>25434</v>
      </c>
      <c r="E18" s="31">
        <v>24615</v>
      </c>
      <c r="F18" s="31">
        <v>24204</v>
      </c>
      <c r="G18" s="31">
        <v>24689</v>
      </c>
      <c r="H18" s="31">
        <v>26268</v>
      </c>
      <c r="I18" s="31">
        <v>27919</v>
      </c>
      <c r="J18" s="31">
        <v>30499</v>
      </c>
      <c r="K18" s="31">
        <v>33136</v>
      </c>
      <c r="L18" s="31">
        <v>35207</v>
      </c>
      <c r="M18" s="31">
        <v>37289</v>
      </c>
      <c r="N18" s="31">
        <v>39266</v>
      </c>
      <c r="O18" s="31">
        <v>38669</v>
      </c>
      <c r="P18" s="31">
        <v>38661</v>
      </c>
      <c r="Q18" s="31">
        <v>39257</v>
      </c>
      <c r="R18" s="31">
        <v>39327</v>
      </c>
      <c r="S18" s="31">
        <v>38925</v>
      </c>
      <c r="T18" s="31">
        <v>38455</v>
      </c>
      <c r="U18" s="31">
        <v>41949</v>
      </c>
      <c r="V18" s="31">
        <v>43929</v>
      </c>
      <c r="W18" s="31">
        <v>42211</v>
      </c>
      <c r="X18" s="31">
        <v>39122</v>
      </c>
      <c r="Y18" s="31">
        <v>34387</v>
      </c>
      <c r="Z18" s="32">
        <v>30001</v>
      </c>
      <c r="AA18" s="33">
        <f t="shared" si="0"/>
        <v>820326</v>
      </c>
      <c r="AB18" s="17">
        <v>22</v>
      </c>
      <c r="AC18" s="90">
        <f>+AA18*AB18+AA19*AB19+AA20*AB20</f>
        <v>25156646</v>
      </c>
    </row>
    <row r="19" spans="1:30" ht="15.75" thickBot="1" x14ac:dyDescent="0.3">
      <c r="A19" s="89"/>
      <c r="B19" s="18" t="s">
        <v>4</v>
      </c>
      <c r="C19" s="34">
        <v>27904</v>
      </c>
      <c r="D19" s="34">
        <v>26290</v>
      </c>
      <c r="E19" s="34">
        <v>25315</v>
      </c>
      <c r="F19" s="34">
        <v>24741</v>
      </c>
      <c r="G19" s="34">
        <v>24840</v>
      </c>
      <c r="H19" s="34">
        <v>25247</v>
      </c>
      <c r="I19" s="34">
        <v>26570</v>
      </c>
      <c r="J19" s="34">
        <v>29694</v>
      </c>
      <c r="K19" s="34">
        <v>32953</v>
      </c>
      <c r="L19" s="34">
        <v>35473</v>
      </c>
      <c r="M19" s="34">
        <v>37199</v>
      </c>
      <c r="N19" s="34">
        <v>38774</v>
      </c>
      <c r="O19" s="34">
        <v>38779</v>
      </c>
      <c r="P19" s="34">
        <v>38162</v>
      </c>
      <c r="Q19" s="34">
        <v>37534</v>
      </c>
      <c r="R19" s="34">
        <v>37154</v>
      </c>
      <c r="S19" s="34">
        <v>36879</v>
      </c>
      <c r="T19" s="34">
        <v>37219</v>
      </c>
      <c r="U19" s="34">
        <v>41355</v>
      </c>
      <c r="V19" s="34">
        <v>43032</v>
      </c>
      <c r="W19" s="34">
        <v>41326</v>
      </c>
      <c r="X19" s="34">
        <v>38712</v>
      </c>
      <c r="Y19" s="34">
        <v>35075</v>
      </c>
      <c r="Z19" s="35">
        <v>31449</v>
      </c>
      <c r="AA19" s="36">
        <f t="shared" si="0"/>
        <v>811676</v>
      </c>
      <c r="AB19" s="19">
        <v>4</v>
      </c>
      <c r="AC19" s="91"/>
      <c r="AD19" s="45"/>
    </row>
    <row r="20" spans="1:30" x14ac:dyDescent="0.25">
      <c r="A20" s="89"/>
      <c r="B20" s="20" t="s">
        <v>3</v>
      </c>
      <c r="C20" s="37">
        <v>28391</v>
      </c>
      <c r="D20" s="37">
        <v>26627</v>
      </c>
      <c r="E20" s="37">
        <v>25532</v>
      </c>
      <c r="F20" s="37">
        <v>24803</v>
      </c>
      <c r="G20" s="37">
        <v>24579</v>
      </c>
      <c r="H20" s="37">
        <v>24301</v>
      </c>
      <c r="I20" s="37">
        <v>24801</v>
      </c>
      <c r="J20" s="37">
        <v>27177</v>
      </c>
      <c r="K20" s="37">
        <v>29820</v>
      </c>
      <c r="L20" s="37">
        <v>32168</v>
      </c>
      <c r="M20" s="37">
        <v>33772</v>
      </c>
      <c r="N20" s="37">
        <v>35449</v>
      </c>
      <c r="O20" s="37">
        <v>36184</v>
      </c>
      <c r="P20" s="37">
        <v>36037</v>
      </c>
      <c r="Q20" s="37">
        <v>35163</v>
      </c>
      <c r="R20" s="37">
        <v>36144</v>
      </c>
      <c r="S20" s="37">
        <v>34548</v>
      </c>
      <c r="T20" s="37">
        <v>34929</v>
      </c>
      <c r="U20" s="37">
        <v>39129</v>
      </c>
      <c r="V20" s="37">
        <v>41569</v>
      </c>
      <c r="W20" s="37">
        <v>40258</v>
      </c>
      <c r="X20" s="37">
        <v>37619</v>
      </c>
      <c r="Y20" s="37">
        <v>33710</v>
      </c>
      <c r="Z20" s="38">
        <v>29844</v>
      </c>
      <c r="AA20" s="39">
        <f t="shared" si="0"/>
        <v>772554</v>
      </c>
      <c r="AB20" s="21">
        <v>5</v>
      </c>
      <c r="AC20" s="92"/>
      <c r="AD20" s="46"/>
    </row>
    <row r="21" spans="1:30" ht="15.75" thickBot="1" x14ac:dyDescent="0.3">
      <c r="A21" s="89">
        <v>47635</v>
      </c>
      <c r="B21" s="16" t="s">
        <v>5</v>
      </c>
      <c r="C21" s="31">
        <v>26590</v>
      </c>
      <c r="D21" s="31">
        <v>25086</v>
      </c>
      <c r="E21" s="31">
        <v>24334</v>
      </c>
      <c r="F21" s="31">
        <v>23931</v>
      </c>
      <c r="G21" s="31">
        <v>24376</v>
      </c>
      <c r="H21" s="31">
        <v>25732</v>
      </c>
      <c r="I21" s="31">
        <v>27521</v>
      </c>
      <c r="J21" s="31">
        <v>30243</v>
      </c>
      <c r="K21" s="31">
        <v>32993</v>
      </c>
      <c r="L21" s="31">
        <v>35044</v>
      </c>
      <c r="M21" s="31">
        <v>37188</v>
      </c>
      <c r="N21" s="31">
        <v>39189</v>
      </c>
      <c r="O21" s="31">
        <v>38543</v>
      </c>
      <c r="P21" s="31">
        <v>38500</v>
      </c>
      <c r="Q21" s="31">
        <v>39235</v>
      </c>
      <c r="R21" s="31">
        <v>39277</v>
      </c>
      <c r="S21" s="31">
        <v>38876</v>
      </c>
      <c r="T21" s="31">
        <v>38274</v>
      </c>
      <c r="U21" s="31">
        <v>41059</v>
      </c>
      <c r="V21" s="31">
        <v>43659</v>
      </c>
      <c r="W21" s="31">
        <v>42030</v>
      </c>
      <c r="X21" s="31">
        <v>38969</v>
      </c>
      <c r="Y21" s="31">
        <v>34165</v>
      </c>
      <c r="Z21" s="32">
        <v>29712</v>
      </c>
      <c r="AA21" s="33">
        <f t="shared" si="0"/>
        <v>814526</v>
      </c>
      <c r="AB21" s="17">
        <v>18</v>
      </c>
      <c r="AC21" s="90">
        <f>+AA21*AB21+AA22*AB22+AA23*AB23</f>
        <v>24257992</v>
      </c>
    </row>
    <row r="22" spans="1:30" ht="15.75" thickBot="1" x14ac:dyDescent="0.3">
      <c r="A22" s="89"/>
      <c r="B22" s="18" t="s">
        <v>4</v>
      </c>
      <c r="C22" s="34">
        <v>27875</v>
      </c>
      <c r="D22" s="34">
        <v>26140</v>
      </c>
      <c r="E22" s="34">
        <v>25145</v>
      </c>
      <c r="F22" s="34">
        <v>24583</v>
      </c>
      <c r="G22" s="34">
        <v>24633</v>
      </c>
      <c r="H22" s="34">
        <v>25032</v>
      </c>
      <c r="I22" s="34">
        <v>26340</v>
      </c>
      <c r="J22" s="34">
        <v>29429</v>
      </c>
      <c r="K22" s="34">
        <v>32916</v>
      </c>
      <c r="L22" s="34">
        <v>35309</v>
      </c>
      <c r="M22" s="34">
        <v>37177</v>
      </c>
      <c r="N22" s="34">
        <v>38797</v>
      </c>
      <c r="O22" s="34">
        <v>38904</v>
      </c>
      <c r="P22" s="34">
        <v>38505</v>
      </c>
      <c r="Q22" s="34">
        <v>38095</v>
      </c>
      <c r="R22" s="34">
        <v>38023</v>
      </c>
      <c r="S22" s="34">
        <v>37739</v>
      </c>
      <c r="T22" s="34">
        <v>38022</v>
      </c>
      <c r="U22" s="34">
        <v>41572</v>
      </c>
      <c r="V22" s="34">
        <v>43850</v>
      </c>
      <c r="W22" s="34">
        <v>42052</v>
      </c>
      <c r="X22" s="34">
        <v>39484</v>
      </c>
      <c r="Y22" s="34">
        <v>35682</v>
      </c>
      <c r="Z22" s="35">
        <v>31813</v>
      </c>
      <c r="AA22" s="36">
        <f t="shared" si="0"/>
        <v>817117</v>
      </c>
      <c r="AB22" s="19">
        <v>5</v>
      </c>
      <c r="AC22" s="91"/>
      <c r="AD22" s="45"/>
    </row>
    <row r="23" spans="1:30" x14ac:dyDescent="0.25">
      <c r="A23" s="89"/>
      <c r="B23" s="20" t="s">
        <v>3</v>
      </c>
      <c r="C23" s="37">
        <v>29010</v>
      </c>
      <c r="D23" s="37">
        <v>27161</v>
      </c>
      <c r="E23" s="37">
        <v>26087</v>
      </c>
      <c r="F23" s="37">
        <v>25355</v>
      </c>
      <c r="G23" s="37">
        <v>25182</v>
      </c>
      <c r="H23" s="37">
        <v>25153</v>
      </c>
      <c r="I23" s="37">
        <v>25488</v>
      </c>
      <c r="J23" s="37">
        <v>27965</v>
      </c>
      <c r="K23" s="37">
        <v>30718</v>
      </c>
      <c r="L23" s="37">
        <v>32843</v>
      </c>
      <c r="M23" s="37">
        <v>34591</v>
      </c>
      <c r="N23" s="37">
        <v>36282</v>
      </c>
      <c r="O23" s="37">
        <v>36885</v>
      </c>
      <c r="P23" s="37">
        <v>36630</v>
      </c>
      <c r="Q23" s="37">
        <v>35922</v>
      </c>
      <c r="R23" s="37">
        <v>35587</v>
      </c>
      <c r="S23" s="37">
        <v>35406</v>
      </c>
      <c r="T23" s="37">
        <v>35695</v>
      </c>
      <c r="U23" s="37">
        <v>39295</v>
      </c>
      <c r="V23" s="37">
        <v>42185</v>
      </c>
      <c r="W23" s="37">
        <v>40942</v>
      </c>
      <c r="X23" s="37">
        <v>38270</v>
      </c>
      <c r="Y23" s="37">
        <v>34255</v>
      </c>
      <c r="Z23" s="38">
        <v>30370</v>
      </c>
      <c r="AA23" s="39">
        <f t="shared" si="0"/>
        <v>787277</v>
      </c>
      <c r="AB23" s="21">
        <v>7</v>
      </c>
      <c r="AC23" s="92"/>
      <c r="AD23" s="46"/>
    </row>
    <row r="24" spans="1:30" ht="15.75" thickBot="1" x14ac:dyDescent="0.3">
      <c r="A24" s="89">
        <v>47665</v>
      </c>
      <c r="B24" s="16" t="s">
        <v>5</v>
      </c>
      <c r="C24" s="31">
        <v>27840</v>
      </c>
      <c r="D24" s="31">
        <v>26256</v>
      </c>
      <c r="E24" s="31">
        <v>25342</v>
      </c>
      <c r="F24" s="31">
        <v>24845</v>
      </c>
      <c r="G24" s="31">
        <v>25269</v>
      </c>
      <c r="H24" s="31">
        <v>26618</v>
      </c>
      <c r="I24" s="31">
        <v>28070</v>
      </c>
      <c r="J24" s="31">
        <v>31110</v>
      </c>
      <c r="K24" s="31">
        <v>34063</v>
      </c>
      <c r="L24" s="31">
        <v>36378</v>
      </c>
      <c r="M24" s="31">
        <v>38619</v>
      </c>
      <c r="N24" s="31">
        <v>40607</v>
      </c>
      <c r="O24" s="31">
        <v>39904</v>
      </c>
      <c r="P24" s="31">
        <v>39989</v>
      </c>
      <c r="Q24" s="31">
        <v>40723</v>
      </c>
      <c r="R24" s="31">
        <v>40804</v>
      </c>
      <c r="S24" s="31">
        <v>40227</v>
      </c>
      <c r="T24" s="31">
        <v>39222</v>
      </c>
      <c r="U24" s="31">
        <v>41523</v>
      </c>
      <c r="V24" s="31">
        <v>44613</v>
      </c>
      <c r="W24" s="31">
        <v>43169</v>
      </c>
      <c r="X24" s="31">
        <v>40260</v>
      </c>
      <c r="Y24" s="31">
        <v>35460</v>
      </c>
      <c r="Z24" s="32">
        <v>31042</v>
      </c>
      <c r="AA24" s="33">
        <f t="shared" si="0"/>
        <v>841953</v>
      </c>
      <c r="AB24" s="17">
        <v>22</v>
      </c>
      <c r="AC24" s="90">
        <f>+AA24*AB24+AA25*AB25+AA26*AB26</f>
        <v>25730466</v>
      </c>
    </row>
    <row r="25" spans="1:30" ht="15.75" thickBot="1" x14ac:dyDescent="0.3">
      <c r="A25" s="89"/>
      <c r="B25" s="18" t="s">
        <v>4</v>
      </c>
      <c r="C25" s="34">
        <v>27902</v>
      </c>
      <c r="D25" s="34">
        <v>26083</v>
      </c>
      <c r="E25" s="34">
        <v>25157</v>
      </c>
      <c r="F25" s="34">
        <v>24538</v>
      </c>
      <c r="G25" s="34">
        <v>24597</v>
      </c>
      <c r="H25" s="34">
        <v>25114</v>
      </c>
      <c r="I25" s="34">
        <v>26363</v>
      </c>
      <c r="J25" s="34">
        <v>30043</v>
      </c>
      <c r="K25" s="34">
        <v>33546</v>
      </c>
      <c r="L25" s="34">
        <v>35944</v>
      </c>
      <c r="M25" s="34">
        <v>37828</v>
      </c>
      <c r="N25" s="34">
        <v>39422</v>
      </c>
      <c r="O25" s="34">
        <v>39349</v>
      </c>
      <c r="P25" s="34">
        <v>38733</v>
      </c>
      <c r="Q25" s="34">
        <v>38172</v>
      </c>
      <c r="R25" s="34">
        <v>37881</v>
      </c>
      <c r="S25" s="34">
        <v>37545</v>
      </c>
      <c r="T25" s="34">
        <v>37657</v>
      </c>
      <c r="U25" s="34">
        <v>40470</v>
      </c>
      <c r="V25" s="34">
        <v>43445</v>
      </c>
      <c r="W25" s="34">
        <v>41785</v>
      </c>
      <c r="X25" s="34">
        <v>39411</v>
      </c>
      <c r="Y25" s="34">
        <v>35694</v>
      </c>
      <c r="Z25" s="35">
        <v>32015</v>
      </c>
      <c r="AA25" s="36">
        <f t="shared" si="0"/>
        <v>818694</v>
      </c>
      <c r="AB25" s="19">
        <v>3</v>
      </c>
      <c r="AC25" s="91"/>
      <c r="AD25" s="45"/>
    </row>
    <row r="26" spans="1:30" x14ac:dyDescent="0.25">
      <c r="A26" s="89"/>
      <c r="B26" s="20" t="s">
        <v>3</v>
      </c>
      <c r="C26" s="37">
        <v>29610</v>
      </c>
      <c r="D26" s="37">
        <v>27791</v>
      </c>
      <c r="E26" s="37">
        <v>26591</v>
      </c>
      <c r="F26" s="37">
        <v>25807</v>
      </c>
      <c r="G26" s="37">
        <v>25562</v>
      </c>
      <c r="H26" s="37">
        <v>25571</v>
      </c>
      <c r="I26" s="37">
        <v>25738</v>
      </c>
      <c r="J26" s="37">
        <v>28078</v>
      </c>
      <c r="K26" s="37">
        <v>30885</v>
      </c>
      <c r="L26" s="37">
        <v>33213</v>
      </c>
      <c r="M26" s="37">
        <v>34908</v>
      </c>
      <c r="N26" s="37">
        <v>36479</v>
      </c>
      <c r="O26" s="37">
        <v>37258</v>
      </c>
      <c r="P26" s="37">
        <v>36849</v>
      </c>
      <c r="Q26" s="37">
        <v>36034</v>
      </c>
      <c r="R26" s="37">
        <v>35602</v>
      </c>
      <c r="S26" s="37">
        <v>35267</v>
      </c>
      <c r="T26" s="37">
        <v>35422</v>
      </c>
      <c r="U26" s="37">
        <v>38403</v>
      </c>
      <c r="V26" s="37">
        <v>42070</v>
      </c>
      <c r="W26" s="37">
        <v>40998</v>
      </c>
      <c r="X26" s="37">
        <v>38531</v>
      </c>
      <c r="Y26" s="37">
        <v>34520</v>
      </c>
      <c r="Z26" s="38">
        <v>30716</v>
      </c>
      <c r="AA26" s="39">
        <f t="shared" si="0"/>
        <v>791903</v>
      </c>
      <c r="AB26" s="21">
        <v>6</v>
      </c>
      <c r="AC26" s="92"/>
      <c r="AD26" s="46"/>
    </row>
    <row r="27" spans="1:30" ht="15.75" thickBot="1" x14ac:dyDescent="0.3">
      <c r="A27" s="89">
        <v>47696</v>
      </c>
      <c r="B27" s="16" t="s">
        <v>5</v>
      </c>
      <c r="C27" s="31">
        <v>28167</v>
      </c>
      <c r="D27" s="31">
        <v>26666</v>
      </c>
      <c r="E27" s="31">
        <v>25838</v>
      </c>
      <c r="F27" s="31">
        <v>25347</v>
      </c>
      <c r="G27" s="31">
        <v>25791</v>
      </c>
      <c r="H27" s="31">
        <v>27579</v>
      </c>
      <c r="I27" s="31">
        <v>29172</v>
      </c>
      <c r="J27" s="31">
        <v>31878</v>
      </c>
      <c r="K27" s="31">
        <v>34709</v>
      </c>
      <c r="L27" s="31">
        <v>36876</v>
      </c>
      <c r="M27" s="31">
        <v>39173</v>
      </c>
      <c r="N27" s="31">
        <v>41185</v>
      </c>
      <c r="O27" s="31">
        <v>40477</v>
      </c>
      <c r="P27" s="31">
        <v>40798</v>
      </c>
      <c r="Q27" s="31">
        <v>41626</v>
      </c>
      <c r="R27" s="31">
        <v>41692</v>
      </c>
      <c r="S27" s="31">
        <v>41092</v>
      </c>
      <c r="T27" s="31">
        <v>40052</v>
      </c>
      <c r="U27" s="31">
        <v>42855</v>
      </c>
      <c r="V27" s="31">
        <v>45451</v>
      </c>
      <c r="W27" s="31">
        <v>43865</v>
      </c>
      <c r="X27" s="31">
        <v>40798</v>
      </c>
      <c r="Y27" s="31">
        <v>35938</v>
      </c>
      <c r="Z27" s="32">
        <v>31551</v>
      </c>
      <c r="AA27" s="33">
        <f t="shared" si="0"/>
        <v>858576</v>
      </c>
      <c r="AB27" s="17">
        <v>20</v>
      </c>
      <c r="AC27" s="90">
        <f>+AA27*AB27+AA28*AB28+AA29*AB29</f>
        <v>26182303</v>
      </c>
    </row>
    <row r="28" spans="1:30" ht="15.75" thickBot="1" x14ac:dyDescent="0.3">
      <c r="A28" s="89"/>
      <c r="B28" s="18" t="s">
        <v>4</v>
      </c>
      <c r="C28" s="34">
        <v>29319</v>
      </c>
      <c r="D28" s="34">
        <v>27691</v>
      </c>
      <c r="E28" s="34">
        <v>26672</v>
      </c>
      <c r="F28" s="34">
        <v>25909</v>
      </c>
      <c r="G28" s="34">
        <v>25853</v>
      </c>
      <c r="H28" s="34">
        <v>26571</v>
      </c>
      <c r="I28" s="34">
        <v>27422</v>
      </c>
      <c r="J28" s="34">
        <v>30893</v>
      </c>
      <c r="K28" s="34">
        <v>34403</v>
      </c>
      <c r="L28" s="34">
        <v>36808</v>
      </c>
      <c r="M28" s="34">
        <v>38916</v>
      </c>
      <c r="N28" s="34">
        <v>40512</v>
      </c>
      <c r="O28" s="34">
        <v>40523</v>
      </c>
      <c r="P28" s="34">
        <v>40088</v>
      </c>
      <c r="Q28" s="34">
        <v>39669</v>
      </c>
      <c r="R28" s="34">
        <v>39427</v>
      </c>
      <c r="S28" s="34">
        <v>38899</v>
      </c>
      <c r="T28" s="34">
        <v>38826</v>
      </c>
      <c r="U28" s="34">
        <v>42297</v>
      </c>
      <c r="V28" s="34">
        <v>44588</v>
      </c>
      <c r="W28" s="34">
        <v>42901</v>
      </c>
      <c r="X28" s="34">
        <v>40450</v>
      </c>
      <c r="Y28" s="34">
        <v>36882</v>
      </c>
      <c r="Z28" s="35">
        <v>33042</v>
      </c>
      <c r="AA28" s="36">
        <f t="shared" si="0"/>
        <v>848561</v>
      </c>
      <c r="AB28" s="19">
        <v>5</v>
      </c>
      <c r="AC28" s="91"/>
      <c r="AD28" s="45"/>
    </row>
    <row r="29" spans="1:30" x14ac:dyDescent="0.25">
      <c r="A29" s="89"/>
      <c r="B29" s="20" t="s">
        <v>3</v>
      </c>
      <c r="C29" s="37">
        <v>29866</v>
      </c>
      <c r="D29" s="37">
        <v>28014</v>
      </c>
      <c r="E29" s="37">
        <v>26793</v>
      </c>
      <c r="F29" s="37">
        <v>26016</v>
      </c>
      <c r="G29" s="37">
        <v>25763</v>
      </c>
      <c r="H29" s="37">
        <v>25848</v>
      </c>
      <c r="I29" s="37">
        <v>25845</v>
      </c>
      <c r="J29" s="37">
        <v>28280</v>
      </c>
      <c r="K29" s="37">
        <v>31029</v>
      </c>
      <c r="L29" s="37">
        <v>33296</v>
      </c>
      <c r="M29" s="37">
        <v>34901</v>
      </c>
      <c r="N29" s="37">
        <v>36564</v>
      </c>
      <c r="O29" s="37">
        <v>37423</v>
      </c>
      <c r="P29" s="37">
        <v>37087</v>
      </c>
      <c r="Q29" s="37">
        <v>36177</v>
      </c>
      <c r="R29" s="37">
        <v>35568</v>
      </c>
      <c r="S29" s="37">
        <v>35337</v>
      </c>
      <c r="T29" s="37">
        <v>35435</v>
      </c>
      <c r="U29" s="37">
        <v>39035</v>
      </c>
      <c r="V29" s="37">
        <v>42163</v>
      </c>
      <c r="W29" s="37">
        <v>40912</v>
      </c>
      <c r="X29" s="37">
        <v>38344</v>
      </c>
      <c r="Y29" s="37">
        <v>34430</v>
      </c>
      <c r="Z29" s="38">
        <v>30537</v>
      </c>
      <c r="AA29" s="39">
        <f t="shared" si="0"/>
        <v>794663</v>
      </c>
      <c r="AB29" s="21">
        <v>6</v>
      </c>
      <c r="AC29" s="92"/>
      <c r="AD29" s="47"/>
    </row>
    <row r="30" spans="1:30" ht="15.75" thickBot="1" x14ac:dyDescent="0.3">
      <c r="A30" s="89">
        <v>47727</v>
      </c>
      <c r="B30" s="16" t="s">
        <v>5</v>
      </c>
      <c r="C30" s="31">
        <v>28671</v>
      </c>
      <c r="D30" s="31">
        <v>27092</v>
      </c>
      <c r="E30" s="31">
        <v>26105</v>
      </c>
      <c r="F30" s="31">
        <v>25673</v>
      </c>
      <c r="G30" s="31">
        <v>26090</v>
      </c>
      <c r="H30" s="31">
        <v>27800</v>
      </c>
      <c r="I30" s="31">
        <v>29447</v>
      </c>
      <c r="J30" s="31">
        <v>32240</v>
      </c>
      <c r="K30" s="31">
        <v>35046</v>
      </c>
      <c r="L30" s="31">
        <v>37378</v>
      </c>
      <c r="M30" s="31">
        <v>39694</v>
      </c>
      <c r="N30" s="31">
        <v>41816</v>
      </c>
      <c r="O30" s="31">
        <v>41087</v>
      </c>
      <c r="P30" s="31">
        <v>41385</v>
      </c>
      <c r="Q30" s="31">
        <v>42352</v>
      </c>
      <c r="R30" s="31">
        <v>42594</v>
      </c>
      <c r="S30" s="31">
        <v>41982</v>
      </c>
      <c r="T30" s="31">
        <v>41121</v>
      </c>
      <c r="U30" s="31">
        <v>44969</v>
      </c>
      <c r="V30" s="31">
        <v>46008</v>
      </c>
      <c r="W30" s="31">
        <v>44279</v>
      </c>
      <c r="X30" s="31">
        <v>41158</v>
      </c>
      <c r="Y30" s="31">
        <v>36198</v>
      </c>
      <c r="Z30" s="32">
        <v>31822</v>
      </c>
      <c r="AA30" s="33">
        <f t="shared" si="0"/>
        <v>872007</v>
      </c>
      <c r="AB30" s="17">
        <v>21</v>
      </c>
      <c r="AC30" s="90">
        <f>+AA30*AB30+AA31*AB31+AA32*AB32</f>
        <v>25665500</v>
      </c>
    </row>
    <row r="31" spans="1:30" ht="15.75" thickBot="1" x14ac:dyDescent="0.3">
      <c r="A31" s="89"/>
      <c r="B31" s="18" t="s">
        <v>4</v>
      </c>
      <c r="C31" s="34">
        <v>29436</v>
      </c>
      <c r="D31" s="34">
        <v>27557</v>
      </c>
      <c r="E31" s="34">
        <v>26540</v>
      </c>
      <c r="F31" s="34">
        <v>25983</v>
      </c>
      <c r="G31" s="34">
        <v>26006</v>
      </c>
      <c r="H31" s="34">
        <v>26246</v>
      </c>
      <c r="I31" s="34">
        <v>27562</v>
      </c>
      <c r="J31" s="34">
        <v>31302</v>
      </c>
      <c r="K31" s="34">
        <v>34868</v>
      </c>
      <c r="L31" s="34">
        <v>37413</v>
      </c>
      <c r="M31" s="34">
        <v>39426</v>
      </c>
      <c r="N31" s="34">
        <v>41039</v>
      </c>
      <c r="O31" s="34">
        <v>40938</v>
      </c>
      <c r="P31" s="34">
        <v>40415</v>
      </c>
      <c r="Q31" s="34">
        <v>39930</v>
      </c>
      <c r="R31" s="34">
        <v>39579</v>
      </c>
      <c r="S31" s="34">
        <v>39239</v>
      </c>
      <c r="T31" s="34">
        <v>39531</v>
      </c>
      <c r="U31" s="34">
        <v>43751</v>
      </c>
      <c r="V31" s="34">
        <v>44695</v>
      </c>
      <c r="W31" s="34">
        <v>42734</v>
      </c>
      <c r="X31" s="34">
        <v>40227</v>
      </c>
      <c r="Y31" s="34">
        <v>36565</v>
      </c>
      <c r="Z31" s="35">
        <v>32825</v>
      </c>
      <c r="AA31" s="36">
        <f t="shared" si="0"/>
        <v>853807</v>
      </c>
      <c r="AB31" s="19">
        <v>4</v>
      </c>
      <c r="AC31" s="91"/>
      <c r="AD31" s="45"/>
    </row>
    <row r="32" spans="1:30" x14ac:dyDescent="0.25">
      <c r="A32" s="89"/>
      <c r="B32" s="20" t="s">
        <v>3</v>
      </c>
      <c r="C32" s="37">
        <v>29971</v>
      </c>
      <c r="D32" s="37">
        <v>28172</v>
      </c>
      <c r="E32" s="37">
        <v>26991</v>
      </c>
      <c r="F32" s="37">
        <v>26076</v>
      </c>
      <c r="G32" s="37">
        <v>25662</v>
      </c>
      <c r="H32" s="37">
        <v>25349</v>
      </c>
      <c r="I32" s="37">
        <v>25542</v>
      </c>
      <c r="J32" s="37">
        <v>27932</v>
      </c>
      <c r="K32" s="37">
        <v>30627</v>
      </c>
      <c r="L32" s="37">
        <v>32838</v>
      </c>
      <c r="M32" s="37">
        <v>34379</v>
      </c>
      <c r="N32" s="37">
        <v>35850</v>
      </c>
      <c r="O32" s="37">
        <v>36701</v>
      </c>
      <c r="P32" s="37">
        <v>36441</v>
      </c>
      <c r="Q32" s="37">
        <v>35672</v>
      </c>
      <c r="R32" s="37">
        <v>35298</v>
      </c>
      <c r="S32" s="37">
        <v>35056</v>
      </c>
      <c r="T32" s="37">
        <v>35337</v>
      </c>
      <c r="U32" s="37">
        <v>39942</v>
      </c>
      <c r="V32" s="37">
        <v>41511</v>
      </c>
      <c r="W32" s="37">
        <v>40363</v>
      </c>
      <c r="X32" s="37">
        <v>37847</v>
      </c>
      <c r="Y32" s="37">
        <v>33918</v>
      </c>
      <c r="Z32" s="38">
        <v>30150</v>
      </c>
      <c r="AA32" s="39">
        <f t="shared" si="0"/>
        <v>787625</v>
      </c>
      <c r="AB32" s="21">
        <v>5</v>
      </c>
      <c r="AC32" s="92"/>
      <c r="AD32" s="46"/>
    </row>
    <row r="33" spans="1:30" ht="15.75" thickBot="1" x14ac:dyDescent="0.3">
      <c r="A33" s="89">
        <v>47757</v>
      </c>
      <c r="B33" s="16" t="s">
        <v>5</v>
      </c>
      <c r="C33" s="31">
        <v>27169</v>
      </c>
      <c r="D33" s="31">
        <v>25713</v>
      </c>
      <c r="E33" s="31">
        <v>24904</v>
      </c>
      <c r="F33" s="31">
        <v>24470</v>
      </c>
      <c r="G33" s="31">
        <v>24950</v>
      </c>
      <c r="H33" s="31">
        <v>26327</v>
      </c>
      <c r="I33" s="31">
        <v>28082</v>
      </c>
      <c r="J33" s="31">
        <v>30711</v>
      </c>
      <c r="K33" s="31">
        <v>33351</v>
      </c>
      <c r="L33" s="31">
        <v>35434</v>
      </c>
      <c r="M33" s="31">
        <v>37592</v>
      </c>
      <c r="N33" s="31">
        <v>39592</v>
      </c>
      <c r="O33" s="31">
        <v>38897</v>
      </c>
      <c r="P33" s="31">
        <v>39111</v>
      </c>
      <c r="Q33" s="31">
        <v>40007</v>
      </c>
      <c r="R33" s="31">
        <v>40199</v>
      </c>
      <c r="S33" s="31">
        <v>39754</v>
      </c>
      <c r="T33" s="31">
        <v>39871</v>
      </c>
      <c r="U33" s="31">
        <v>44280</v>
      </c>
      <c r="V33" s="31">
        <v>44054</v>
      </c>
      <c r="W33" s="31">
        <v>42119</v>
      </c>
      <c r="X33" s="31">
        <v>38963</v>
      </c>
      <c r="Y33" s="31">
        <v>34326</v>
      </c>
      <c r="Z33" s="32">
        <v>30204</v>
      </c>
      <c r="AA33" s="33">
        <f t="shared" si="0"/>
        <v>830080</v>
      </c>
      <c r="AB33" s="17">
        <v>22</v>
      </c>
      <c r="AC33" s="90">
        <f>+AA33*AB33+AA34*AB34+AA35*AB35</f>
        <v>25476976</v>
      </c>
    </row>
    <row r="34" spans="1:30" ht="15.75" thickBot="1" x14ac:dyDescent="0.3">
      <c r="A34" s="89"/>
      <c r="B34" s="18" t="s">
        <v>4</v>
      </c>
      <c r="C34" s="34">
        <v>28602</v>
      </c>
      <c r="D34" s="34">
        <v>26971</v>
      </c>
      <c r="E34" s="34">
        <v>25981</v>
      </c>
      <c r="F34" s="34">
        <v>25325</v>
      </c>
      <c r="G34" s="34">
        <v>25457</v>
      </c>
      <c r="H34" s="34">
        <v>25852</v>
      </c>
      <c r="I34" s="34">
        <v>27313</v>
      </c>
      <c r="J34" s="34">
        <v>30676</v>
      </c>
      <c r="K34" s="34">
        <v>34027</v>
      </c>
      <c r="L34" s="34">
        <v>36355</v>
      </c>
      <c r="M34" s="34">
        <v>38336</v>
      </c>
      <c r="N34" s="34">
        <v>39997</v>
      </c>
      <c r="O34" s="34">
        <v>40062</v>
      </c>
      <c r="P34" s="34">
        <v>39609</v>
      </c>
      <c r="Q34" s="34">
        <v>39128</v>
      </c>
      <c r="R34" s="34">
        <v>38829</v>
      </c>
      <c r="S34" s="34">
        <v>38480</v>
      </c>
      <c r="T34" s="34">
        <v>39692</v>
      </c>
      <c r="U34" s="34">
        <v>44731</v>
      </c>
      <c r="V34" s="34">
        <v>44651</v>
      </c>
      <c r="W34" s="34">
        <v>42760</v>
      </c>
      <c r="X34" s="34">
        <v>39896</v>
      </c>
      <c r="Y34" s="34">
        <v>36366</v>
      </c>
      <c r="Z34" s="35">
        <v>32528</v>
      </c>
      <c r="AA34" s="36">
        <f t="shared" si="0"/>
        <v>841624</v>
      </c>
      <c r="AB34" s="19">
        <v>4</v>
      </c>
      <c r="AC34" s="91"/>
      <c r="AD34" s="45"/>
    </row>
    <row r="35" spans="1:30" x14ac:dyDescent="0.25">
      <c r="A35" s="89"/>
      <c r="B35" s="20" t="s">
        <v>3</v>
      </c>
      <c r="C35" s="37">
        <v>28699</v>
      </c>
      <c r="D35" s="37">
        <v>26962</v>
      </c>
      <c r="E35" s="37">
        <v>25763</v>
      </c>
      <c r="F35" s="37">
        <v>24925</v>
      </c>
      <c r="G35" s="37">
        <v>24659</v>
      </c>
      <c r="H35" s="37">
        <v>24312</v>
      </c>
      <c r="I35" s="37">
        <v>24776</v>
      </c>
      <c r="J35" s="37">
        <v>27052</v>
      </c>
      <c r="K35" s="37">
        <v>29631</v>
      </c>
      <c r="L35" s="37">
        <v>31897</v>
      </c>
      <c r="M35" s="37">
        <v>33504</v>
      </c>
      <c r="N35" s="37">
        <v>35084</v>
      </c>
      <c r="O35" s="37">
        <v>35971</v>
      </c>
      <c r="P35" s="37">
        <v>35675</v>
      </c>
      <c r="Q35" s="37">
        <v>34998</v>
      </c>
      <c r="R35" s="37">
        <v>34654</v>
      </c>
      <c r="S35" s="37">
        <v>34456</v>
      </c>
      <c r="T35" s="37">
        <v>35519</v>
      </c>
      <c r="U35" s="37">
        <v>40594</v>
      </c>
      <c r="V35" s="37">
        <v>41010</v>
      </c>
      <c r="W35" s="37">
        <v>39695</v>
      </c>
      <c r="X35" s="37">
        <v>37102</v>
      </c>
      <c r="Y35" s="37">
        <v>33254</v>
      </c>
      <c r="Z35" s="38">
        <v>29552</v>
      </c>
      <c r="AA35" s="39">
        <f t="shared" si="0"/>
        <v>769744</v>
      </c>
      <c r="AB35" s="21">
        <v>5</v>
      </c>
      <c r="AC35" s="92"/>
      <c r="AD35" s="46"/>
    </row>
    <row r="36" spans="1:30" ht="15.75" thickBot="1" x14ac:dyDescent="0.3">
      <c r="A36" s="89">
        <v>47788</v>
      </c>
      <c r="B36" s="16" t="s">
        <v>5</v>
      </c>
      <c r="C36" s="31">
        <v>26668</v>
      </c>
      <c r="D36" s="31">
        <v>25214</v>
      </c>
      <c r="E36" s="31">
        <v>24408</v>
      </c>
      <c r="F36" s="31">
        <v>24031</v>
      </c>
      <c r="G36" s="31">
        <v>24590</v>
      </c>
      <c r="H36" s="31">
        <v>26161</v>
      </c>
      <c r="I36" s="31">
        <v>28027</v>
      </c>
      <c r="J36" s="31">
        <v>30698</v>
      </c>
      <c r="K36" s="31">
        <v>33290</v>
      </c>
      <c r="L36" s="31">
        <v>35295</v>
      </c>
      <c r="M36" s="31">
        <v>37442</v>
      </c>
      <c r="N36" s="31">
        <v>39499</v>
      </c>
      <c r="O36" s="31">
        <v>38693</v>
      </c>
      <c r="P36" s="31">
        <v>38715</v>
      </c>
      <c r="Q36" s="31">
        <v>39591</v>
      </c>
      <c r="R36" s="31">
        <v>39552</v>
      </c>
      <c r="S36" s="31">
        <v>39227</v>
      </c>
      <c r="T36" s="31">
        <v>39762</v>
      </c>
      <c r="U36" s="31">
        <v>44366</v>
      </c>
      <c r="V36" s="31">
        <v>44121</v>
      </c>
      <c r="W36" s="31">
        <v>42159</v>
      </c>
      <c r="X36" s="31">
        <v>38835</v>
      </c>
      <c r="Y36" s="31">
        <v>34061</v>
      </c>
      <c r="Z36" s="32">
        <v>29790</v>
      </c>
      <c r="AA36" s="33">
        <f t="shared" si="0"/>
        <v>824195</v>
      </c>
      <c r="AB36" s="17">
        <v>19</v>
      </c>
      <c r="AC36" s="90">
        <f>+AA36*AB36+AA37*AB37+AA38*AB38</f>
        <v>24187502</v>
      </c>
    </row>
    <row r="37" spans="1:30" ht="15.75" thickBot="1" x14ac:dyDescent="0.3">
      <c r="A37" s="89"/>
      <c r="B37" s="18" t="s">
        <v>4</v>
      </c>
      <c r="C37" s="34">
        <v>27384</v>
      </c>
      <c r="D37" s="34">
        <v>25839</v>
      </c>
      <c r="E37" s="34">
        <v>24896</v>
      </c>
      <c r="F37" s="34">
        <v>24293</v>
      </c>
      <c r="G37" s="34">
        <v>24399</v>
      </c>
      <c r="H37" s="34">
        <v>24704</v>
      </c>
      <c r="I37" s="34">
        <v>26050</v>
      </c>
      <c r="J37" s="34">
        <v>29148</v>
      </c>
      <c r="K37" s="34">
        <v>32424</v>
      </c>
      <c r="L37" s="34">
        <v>34708</v>
      </c>
      <c r="M37" s="34">
        <v>36534</v>
      </c>
      <c r="N37" s="34">
        <v>38214</v>
      </c>
      <c r="O37" s="34">
        <v>38057</v>
      </c>
      <c r="P37" s="34">
        <v>37348</v>
      </c>
      <c r="Q37" s="34">
        <v>37141</v>
      </c>
      <c r="R37" s="34">
        <v>37022</v>
      </c>
      <c r="S37" s="34">
        <v>36805</v>
      </c>
      <c r="T37" s="34">
        <v>38123</v>
      </c>
      <c r="U37" s="34">
        <v>43249</v>
      </c>
      <c r="V37" s="34">
        <v>43120</v>
      </c>
      <c r="W37" s="34">
        <v>41144</v>
      </c>
      <c r="X37" s="34">
        <v>38619</v>
      </c>
      <c r="Y37" s="34">
        <v>34881</v>
      </c>
      <c r="Z37" s="35">
        <v>31125</v>
      </c>
      <c r="AA37" s="36">
        <f t="shared" si="0"/>
        <v>805227</v>
      </c>
      <c r="AB37" s="19">
        <v>5</v>
      </c>
      <c r="AC37" s="91"/>
      <c r="AD37" s="45"/>
    </row>
    <row r="38" spans="1:30" x14ac:dyDescent="0.25">
      <c r="A38" s="89"/>
      <c r="B38" s="20" t="s">
        <v>3</v>
      </c>
      <c r="C38" s="37">
        <v>27495</v>
      </c>
      <c r="D38" s="37">
        <v>25840</v>
      </c>
      <c r="E38" s="37">
        <v>24719</v>
      </c>
      <c r="F38" s="37">
        <v>23898</v>
      </c>
      <c r="G38" s="37">
        <v>23787</v>
      </c>
      <c r="H38" s="37">
        <v>23494</v>
      </c>
      <c r="I38" s="37">
        <v>24053</v>
      </c>
      <c r="J38" s="37">
        <v>26423</v>
      </c>
      <c r="K38" s="37">
        <v>29008</v>
      </c>
      <c r="L38" s="37">
        <v>31228</v>
      </c>
      <c r="M38" s="37">
        <v>32843</v>
      </c>
      <c r="N38" s="37">
        <v>34484</v>
      </c>
      <c r="O38" s="37">
        <v>35296</v>
      </c>
      <c r="P38" s="37">
        <v>34975</v>
      </c>
      <c r="Q38" s="37">
        <v>34199</v>
      </c>
      <c r="R38" s="37">
        <v>33649</v>
      </c>
      <c r="S38" s="37">
        <v>33491</v>
      </c>
      <c r="T38" s="37">
        <v>34686</v>
      </c>
      <c r="U38" s="37">
        <v>39853</v>
      </c>
      <c r="V38" s="37">
        <v>40334</v>
      </c>
      <c r="W38" s="37">
        <v>39005</v>
      </c>
      <c r="X38" s="37">
        <v>36373</v>
      </c>
      <c r="Y38" s="37">
        <v>32436</v>
      </c>
      <c r="Z38" s="38">
        <v>28708</v>
      </c>
      <c r="AA38" s="39">
        <f t="shared" si="0"/>
        <v>750277</v>
      </c>
      <c r="AB38" s="21">
        <v>6</v>
      </c>
      <c r="AC38" s="92"/>
      <c r="AD38" s="47"/>
    </row>
    <row r="39" spans="1:30" ht="15.75" thickBot="1" x14ac:dyDescent="0.3">
      <c r="A39" s="89">
        <v>47818</v>
      </c>
      <c r="B39" s="16" t="s">
        <v>5</v>
      </c>
      <c r="C39" s="31">
        <v>28570</v>
      </c>
      <c r="D39" s="31">
        <v>26842</v>
      </c>
      <c r="E39" s="31">
        <v>25843</v>
      </c>
      <c r="F39" s="31">
        <v>25330</v>
      </c>
      <c r="G39" s="31">
        <v>25683</v>
      </c>
      <c r="H39" s="31">
        <v>26809</v>
      </c>
      <c r="I39" s="31">
        <v>28063</v>
      </c>
      <c r="J39" s="31">
        <v>31365</v>
      </c>
      <c r="K39" s="31">
        <v>34449</v>
      </c>
      <c r="L39" s="31">
        <v>36729</v>
      </c>
      <c r="M39" s="31">
        <v>38808</v>
      </c>
      <c r="N39" s="31">
        <v>40917</v>
      </c>
      <c r="O39" s="31">
        <v>40514</v>
      </c>
      <c r="P39" s="31">
        <v>40482</v>
      </c>
      <c r="Q39" s="31">
        <v>41080</v>
      </c>
      <c r="R39" s="31">
        <v>41028</v>
      </c>
      <c r="S39" s="31">
        <v>40437</v>
      </c>
      <c r="T39" s="31">
        <v>40168</v>
      </c>
      <c r="U39" s="31">
        <v>44648</v>
      </c>
      <c r="V39" s="31">
        <v>45340</v>
      </c>
      <c r="W39" s="31">
        <v>43581</v>
      </c>
      <c r="X39" s="31">
        <v>40769</v>
      </c>
      <c r="Y39" s="31">
        <v>36455</v>
      </c>
      <c r="Z39" s="32">
        <v>32324</v>
      </c>
      <c r="AA39" s="33">
        <f t="shared" si="0"/>
        <v>856234</v>
      </c>
      <c r="AB39" s="17">
        <v>21</v>
      </c>
      <c r="AC39" s="90">
        <f>+AA39*AB39+AA40*AB40+AA41*AB41</f>
        <v>25967340</v>
      </c>
    </row>
    <row r="40" spans="1:30" ht="15.75" thickBot="1" x14ac:dyDescent="0.3">
      <c r="A40" s="89"/>
      <c r="B40" s="18" t="s">
        <v>4</v>
      </c>
      <c r="C40" s="34">
        <v>28844</v>
      </c>
      <c r="D40" s="34">
        <v>27101</v>
      </c>
      <c r="E40" s="34">
        <v>26105</v>
      </c>
      <c r="F40" s="34">
        <v>25447</v>
      </c>
      <c r="G40" s="34">
        <v>25483</v>
      </c>
      <c r="H40" s="34">
        <v>26117</v>
      </c>
      <c r="I40" s="34">
        <v>26885</v>
      </c>
      <c r="J40" s="34">
        <v>29973</v>
      </c>
      <c r="K40" s="34">
        <v>33122</v>
      </c>
      <c r="L40" s="34">
        <v>35317</v>
      </c>
      <c r="M40" s="34">
        <v>37082</v>
      </c>
      <c r="N40" s="34">
        <v>38553</v>
      </c>
      <c r="O40" s="34">
        <v>38551</v>
      </c>
      <c r="P40" s="34">
        <v>38000</v>
      </c>
      <c r="Q40" s="34">
        <v>37646</v>
      </c>
      <c r="R40" s="34">
        <v>37253</v>
      </c>
      <c r="S40" s="34">
        <v>36974</v>
      </c>
      <c r="T40" s="34">
        <v>37637</v>
      </c>
      <c r="U40" s="34">
        <v>42639</v>
      </c>
      <c r="V40" s="34">
        <v>43226</v>
      </c>
      <c r="W40" s="34">
        <v>41496</v>
      </c>
      <c r="X40" s="34">
        <v>39024</v>
      </c>
      <c r="Y40" s="34">
        <v>35495</v>
      </c>
      <c r="Z40" s="35">
        <v>32086</v>
      </c>
      <c r="AA40" s="36">
        <f t="shared" si="0"/>
        <v>820056</v>
      </c>
      <c r="AB40" s="19">
        <v>4</v>
      </c>
      <c r="AC40" s="91"/>
      <c r="AD40" s="45"/>
    </row>
    <row r="41" spans="1:30" x14ac:dyDescent="0.25">
      <c r="A41" s="89"/>
      <c r="B41" s="20" t="s">
        <v>3</v>
      </c>
      <c r="C41" s="37">
        <v>29799</v>
      </c>
      <c r="D41" s="37">
        <v>27982</v>
      </c>
      <c r="E41" s="37">
        <v>26715</v>
      </c>
      <c r="F41" s="37">
        <v>25815</v>
      </c>
      <c r="G41" s="37">
        <v>25462</v>
      </c>
      <c r="H41" s="37">
        <v>25334</v>
      </c>
      <c r="I41" s="37">
        <v>25293</v>
      </c>
      <c r="J41" s="37">
        <v>27340</v>
      </c>
      <c r="K41" s="37">
        <v>29885</v>
      </c>
      <c r="L41" s="37">
        <v>32122</v>
      </c>
      <c r="M41" s="37">
        <v>33796</v>
      </c>
      <c r="N41" s="37">
        <v>35369</v>
      </c>
      <c r="O41" s="37">
        <v>36216</v>
      </c>
      <c r="P41" s="37">
        <v>36171</v>
      </c>
      <c r="Q41" s="37">
        <v>35598</v>
      </c>
      <c r="R41" s="37">
        <v>35237</v>
      </c>
      <c r="S41" s="37">
        <v>35028</v>
      </c>
      <c r="T41" s="37">
        <v>35691</v>
      </c>
      <c r="U41" s="37">
        <v>40690</v>
      </c>
      <c r="V41" s="37">
        <v>41704</v>
      </c>
      <c r="W41" s="37">
        <v>40279</v>
      </c>
      <c r="X41" s="37">
        <v>37843</v>
      </c>
      <c r="Y41" s="37">
        <v>34283</v>
      </c>
      <c r="Z41" s="38">
        <v>30715</v>
      </c>
      <c r="AA41" s="39">
        <f t="shared" si="0"/>
        <v>784367</v>
      </c>
      <c r="AB41" s="21">
        <v>6</v>
      </c>
      <c r="AC41" s="92"/>
      <c r="AD41" s="40"/>
    </row>
    <row r="42" spans="1:30" x14ac:dyDescent="0.25">
      <c r="A42" s="93" t="s">
        <v>2</v>
      </c>
      <c r="B42" s="94"/>
      <c r="C42" s="29">
        <f t="shared" ref="C42:AC42" si="1">+SUM(C6:C41)</f>
        <v>1022735</v>
      </c>
      <c r="D42" s="29">
        <f t="shared" si="1"/>
        <v>961960</v>
      </c>
      <c r="E42" s="29">
        <f t="shared" si="1"/>
        <v>925312</v>
      </c>
      <c r="F42" s="29">
        <f t="shared" si="1"/>
        <v>902664</v>
      </c>
      <c r="G42" s="29">
        <f t="shared" si="1"/>
        <v>905470</v>
      </c>
      <c r="H42" s="29">
        <f t="shared" si="1"/>
        <v>931775</v>
      </c>
      <c r="I42" s="29">
        <f t="shared" si="1"/>
        <v>967014</v>
      </c>
      <c r="J42" s="29">
        <f t="shared" si="1"/>
        <v>1062972</v>
      </c>
      <c r="K42" s="29">
        <f t="shared" si="1"/>
        <v>1168234</v>
      </c>
      <c r="L42" s="29">
        <f t="shared" si="1"/>
        <v>1249363</v>
      </c>
      <c r="M42" s="29">
        <f t="shared" si="1"/>
        <v>1317394</v>
      </c>
      <c r="N42" s="29">
        <f t="shared" si="1"/>
        <v>1381218</v>
      </c>
      <c r="O42" s="29">
        <f t="shared" si="1"/>
        <v>1383743</v>
      </c>
      <c r="P42" s="29">
        <f t="shared" si="1"/>
        <v>1376053</v>
      </c>
      <c r="Q42" s="29">
        <f t="shared" si="1"/>
        <v>1371179</v>
      </c>
      <c r="R42" s="29">
        <f t="shared" si="1"/>
        <v>1365534</v>
      </c>
      <c r="S42" s="29">
        <f t="shared" si="1"/>
        <v>1352164</v>
      </c>
      <c r="T42" s="29">
        <f t="shared" si="1"/>
        <v>1354563</v>
      </c>
      <c r="U42" s="29">
        <f t="shared" si="1"/>
        <v>1490825</v>
      </c>
      <c r="V42" s="29">
        <f t="shared" si="1"/>
        <v>1561155</v>
      </c>
      <c r="W42" s="29">
        <f t="shared" si="1"/>
        <v>1504855</v>
      </c>
      <c r="X42" s="29">
        <f t="shared" si="1"/>
        <v>1407338</v>
      </c>
      <c r="Y42" s="29">
        <f t="shared" si="1"/>
        <v>1260187</v>
      </c>
      <c r="Z42" s="29">
        <f t="shared" si="1"/>
        <v>1116710</v>
      </c>
      <c r="AA42" s="29">
        <f t="shared" si="1"/>
        <v>29340417</v>
      </c>
      <c r="AB42" s="29">
        <f t="shared" si="1"/>
        <v>365</v>
      </c>
      <c r="AC42" s="44">
        <f t="shared" si="1"/>
        <v>301678690</v>
      </c>
    </row>
    <row r="43" spans="1:30" x14ac:dyDescent="0.25">
      <c r="AB43" s="4"/>
      <c r="AC43" s="4"/>
    </row>
    <row r="44" spans="1:30" x14ac:dyDescent="0.25">
      <c r="C44" s="47"/>
      <c r="AA44" s="46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F99A-5221-45C2-B43E-7FD7B0826FBD}">
  <sheetPr codeName="Hoja7">
    <tabColor theme="5" tint="0.79998168889431442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0" t="s">
        <v>81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</row>
    <row r="2" spans="1:30" ht="15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8" x14ac:dyDescent="0.25">
      <c r="A4" s="86" t="s">
        <v>35</v>
      </c>
      <c r="B4" s="86" t="s">
        <v>34</v>
      </c>
      <c r="C4" s="78" t="s">
        <v>33</v>
      </c>
      <c r="D4" s="78" t="s">
        <v>32</v>
      </c>
      <c r="E4" s="78" t="s">
        <v>31</v>
      </c>
      <c r="F4" s="78" t="s">
        <v>30</v>
      </c>
      <c r="G4" s="78" t="s">
        <v>29</v>
      </c>
      <c r="H4" s="78" t="s">
        <v>28</v>
      </c>
      <c r="I4" s="78" t="s">
        <v>27</v>
      </c>
      <c r="J4" s="78" t="s">
        <v>26</v>
      </c>
      <c r="K4" s="78" t="s">
        <v>25</v>
      </c>
      <c r="L4" s="78" t="s">
        <v>24</v>
      </c>
      <c r="M4" s="78" t="s">
        <v>23</v>
      </c>
      <c r="N4" s="78" t="s">
        <v>22</v>
      </c>
      <c r="O4" s="78" t="s">
        <v>21</v>
      </c>
      <c r="P4" s="78" t="s">
        <v>20</v>
      </c>
      <c r="Q4" s="78" t="s">
        <v>19</v>
      </c>
      <c r="R4" s="78" t="s">
        <v>18</v>
      </c>
      <c r="S4" s="78" t="s">
        <v>17</v>
      </c>
      <c r="T4" s="78" t="s">
        <v>16</v>
      </c>
      <c r="U4" s="78" t="s">
        <v>15</v>
      </c>
      <c r="V4" s="78" t="s">
        <v>14</v>
      </c>
      <c r="W4" s="78" t="s">
        <v>13</v>
      </c>
      <c r="X4" s="78" t="s">
        <v>12</v>
      </c>
      <c r="Y4" s="78" t="s">
        <v>11</v>
      </c>
      <c r="Z4" s="78" t="s">
        <v>10</v>
      </c>
      <c r="AA4" s="12" t="s">
        <v>9</v>
      </c>
      <c r="AB4" s="13" t="s">
        <v>8</v>
      </c>
      <c r="AC4" s="87" t="s">
        <v>7</v>
      </c>
    </row>
    <row r="5" spans="1:30" ht="15" x14ac:dyDescent="0.25">
      <c r="A5" s="86"/>
      <c r="B5" s="86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14"/>
      <c r="AB5" s="15" t="s">
        <v>6</v>
      </c>
      <c r="AC5" s="88"/>
    </row>
    <row r="6" spans="1:30" ht="15.75" thickBot="1" x14ac:dyDescent="0.3">
      <c r="A6" s="89">
        <v>47484</v>
      </c>
      <c r="B6" s="16" t="s">
        <v>5</v>
      </c>
      <c r="C6" s="31">
        <f>ROUND('Anexo 8'!C6*'Anexo 4'!$D$10,0)</f>
        <v>0</v>
      </c>
      <c r="D6" s="31">
        <f>ROUND('Anexo 8'!D6*'Anexo 4'!$D$10,0)</f>
        <v>0</v>
      </c>
      <c r="E6" s="31">
        <f>ROUND('Anexo 8'!E6*'Anexo 4'!$D$10,0)</f>
        <v>0</v>
      </c>
      <c r="F6" s="31">
        <f>ROUND('Anexo 8'!F6*'Anexo 4'!$D$10,0)</f>
        <v>0</v>
      </c>
      <c r="G6" s="31">
        <f>ROUND('Anexo 8'!G6*'Anexo 4'!$D$10,0)</f>
        <v>0</v>
      </c>
      <c r="H6" s="31">
        <f>ROUND('Anexo 8'!H6*'Anexo 4'!$D$10,0)</f>
        <v>0</v>
      </c>
      <c r="I6" s="31">
        <f>ROUND('Anexo 8'!I6*'Anexo 4'!$D$10,0)</f>
        <v>0</v>
      </c>
      <c r="J6" s="31">
        <f>ROUND('Anexo 8'!J6*'Anexo 4'!$D$10,0)</f>
        <v>0</v>
      </c>
      <c r="K6" s="31">
        <f>ROUND('Anexo 8'!K6*'Anexo 4'!$D$10,0)</f>
        <v>0</v>
      </c>
      <c r="L6" s="31">
        <f>ROUND('Anexo 8'!L6*'Anexo 4'!$D$10,0)</f>
        <v>0</v>
      </c>
      <c r="M6" s="31">
        <f>ROUND('Anexo 8'!M6*'Anexo 4'!$D$10,0)</f>
        <v>0</v>
      </c>
      <c r="N6" s="31">
        <f>ROUND('Anexo 8'!N6*'Anexo 4'!$D$10,0)</f>
        <v>0</v>
      </c>
      <c r="O6" s="31">
        <f>ROUND('Anexo 8'!O6*'Anexo 4'!$D$10,0)</f>
        <v>0</v>
      </c>
      <c r="P6" s="31">
        <f>ROUND('Anexo 8'!P6*'Anexo 4'!$D$10,0)</f>
        <v>0</v>
      </c>
      <c r="Q6" s="31">
        <f>ROUND('Anexo 8'!Q6*'Anexo 4'!$D$10,0)</f>
        <v>0</v>
      </c>
      <c r="R6" s="31">
        <f>ROUND('Anexo 8'!R6*'Anexo 4'!$D$10,0)</f>
        <v>0</v>
      </c>
      <c r="S6" s="31">
        <f>ROUND('Anexo 8'!S6*'Anexo 4'!$D$10,0)</f>
        <v>0</v>
      </c>
      <c r="T6" s="31">
        <f>ROUND('Anexo 8'!T6*'Anexo 4'!$D$10,0)</f>
        <v>0</v>
      </c>
      <c r="U6" s="31">
        <f>ROUND('Anexo 8'!U6*'Anexo 4'!$D$10,0)</f>
        <v>0</v>
      </c>
      <c r="V6" s="31">
        <f>ROUND('Anexo 8'!V6*'Anexo 4'!$D$10,0)</f>
        <v>0</v>
      </c>
      <c r="W6" s="31">
        <f>ROUND('Anexo 8'!W6*'Anexo 4'!$D$10,0)</f>
        <v>0</v>
      </c>
      <c r="X6" s="31">
        <f>ROUND('Anexo 8'!X6*'Anexo 4'!$D$10,0)</f>
        <v>0</v>
      </c>
      <c r="Y6" s="31">
        <f>ROUND('Anexo 8'!Y6*'Anexo 4'!$D$10,0)</f>
        <v>0</v>
      </c>
      <c r="Z6" s="32">
        <f>ROUND('Anexo 8'!Z6*'Anexo 4'!$D$10,0)</f>
        <v>0</v>
      </c>
      <c r="AA6" s="33">
        <f>SUM(C6:Z6)</f>
        <v>0</v>
      </c>
      <c r="AB6" s="17">
        <v>21</v>
      </c>
      <c r="AC6" s="90">
        <f>+AA6*AB6+AA7*AB7+AA8*AB8</f>
        <v>0</v>
      </c>
    </row>
    <row r="7" spans="1:30" ht="15.75" thickBot="1" x14ac:dyDescent="0.3">
      <c r="A7" s="89"/>
      <c r="B7" s="18" t="s">
        <v>4</v>
      </c>
      <c r="C7" s="34">
        <f>ROUND('Anexo 8'!C7*'Anexo 4'!$D$10,0)</f>
        <v>0</v>
      </c>
      <c r="D7" s="34">
        <f>ROUND('Anexo 8'!D7*'Anexo 4'!$D$10,0)</f>
        <v>0</v>
      </c>
      <c r="E7" s="34">
        <f>ROUND('Anexo 8'!E7*'Anexo 4'!$D$10,0)</f>
        <v>0</v>
      </c>
      <c r="F7" s="34">
        <f>ROUND('Anexo 8'!F7*'Anexo 4'!$D$10,0)</f>
        <v>0</v>
      </c>
      <c r="G7" s="34">
        <f>ROUND('Anexo 8'!G7*'Anexo 4'!$D$10,0)</f>
        <v>0</v>
      </c>
      <c r="H7" s="34">
        <f>ROUND('Anexo 8'!H7*'Anexo 4'!$D$10,0)</f>
        <v>0</v>
      </c>
      <c r="I7" s="34">
        <f>ROUND('Anexo 8'!I7*'Anexo 4'!$D$10,0)</f>
        <v>0</v>
      </c>
      <c r="J7" s="34">
        <f>ROUND('Anexo 8'!J7*'Anexo 4'!$D$10,0)</f>
        <v>0</v>
      </c>
      <c r="K7" s="34">
        <f>ROUND('Anexo 8'!K7*'Anexo 4'!$D$10,0)</f>
        <v>0</v>
      </c>
      <c r="L7" s="34">
        <f>ROUND('Anexo 8'!L7*'Anexo 4'!$D$10,0)</f>
        <v>0</v>
      </c>
      <c r="M7" s="34">
        <f>ROUND('Anexo 8'!M7*'Anexo 4'!$D$10,0)</f>
        <v>0</v>
      </c>
      <c r="N7" s="34">
        <f>ROUND('Anexo 8'!N7*'Anexo 4'!$D$10,0)</f>
        <v>0</v>
      </c>
      <c r="O7" s="34">
        <f>ROUND('Anexo 8'!O7*'Anexo 4'!$D$10,0)</f>
        <v>0</v>
      </c>
      <c r="P7" s="34">
        <f>ROUND('Anexo 8'!P7*'Anexo 4'!$D$10,0)</f>
        <v>0</v>
      </c>
      <c r="Q7" s="34">
        <f>ROUND('Anexo 8'!Q7*'Anexo 4'!$D$10,0)</f>
        <v>0</v>
      </c>
      <c r="R7" s="34">
        <f>ROUND('Anexo 8'!R7*'Anexo 4'!$D$10,0)</f>
        <v>0</v>
      </c>
      <c r="S7" s="34">
        <f>ROUND('Anexo 8'!S7*'Anexo 4'!$D$10,0)</f>
        <v>0</v>
      </c>
      <c r="T7" s="34">
        <f>ROUND('Anexo 8'!T7*'Anexo 4'!$D$10,0)</f>
        <v>0</v>
      </c>
      <c r="U7" s="34">
        <f>ROUND('Anexo 8'!U7*'Anexo 4'!$D$10,0)</f>
        <v>0</v>
      </c>
      <c r="V7" s="34">
        <f>ROUND('Anexo 8'!V7*'Anexo 4'!$D$10,0)</f>
        <v>0</v>
      </c>
      <c r="W7" s="34">
        <f>ROUND('Anexo 8'!W7*'Anexo 4'!$D$10,0)</f>
        <v>0</v>
      </c>
      <c r="X7" s="34">
        <f>ROUND('Anexo 8'!X7*'Anexo 4'!$D$10,0)</f>
        <v>0</v>
      </c>
      <c r="Y7" s="34">
        <f>ROUND('Anexo 8'!Y7*'Anexo 4'!$D$10,0)</f>
        <v>0</v>
      </c>
      <c r="Z7" s="35">
        <f>ROUND('Anexo 8'!Z7*'Anexo 4'!$D$10,0)</f>
        <v>0</v>
      </c>
      <c r="AA7" s="36">
        <f t="shared" ref="AA7:AA41" si="0">SUM(C7:Z7)</f>
        <v>0</v>
      </c>
      <c r="AB7" s="19">
        <v>4</v>
      </c>
      <c r="AC7" s="91"/>
      <c r="AD7" s="45"/>
    </row>
    <row r="8" spans="1:30" ht="15" x14ac:dyDescent="0.25">
      <c r="A8" s="89"/>
      <c r="B8" s="20" t="s">
        <v>3</v>
      </c>
      <c r="C8" s="37">
        <f>ROUND('Anexo 8'!C8*'Anexo 4'!$D$10,0)</f>
        <v>0</v>
      </c>
      <c r="D8" s="37">
        <f>ROUND('Anexo 8'!D8*'Anexo 4'!$D$10,0)</f>
        <v>0</v>
      </c>
      <c r="E8" s="37">
        <f>ROUND('Anexo 8'!E8*'Anexo 4'!$D$10,0)</f>
        <v>0</v>
      </c>
      <c r="F8" s="37">
        <f>ROUND('Anexo 8'!F8*'Anexo 4'!$D$10,0)</f>
        <v>0</v>
      </c>
      <c r="G8" s="37">
        <f>ROUND('Anexo 8'!G8*'Anexo 4'!$D$10,0)</f>
        <v>0</v>
      </c>
      <c r="H8" s="37">
        <f>ROUND('Anexo 8'!H8*'Anexo 4'!$D$10,0)</f>
        <v>0</v>
      </c>
      <c r="I8" s="37">
        <f>ROUND('Anexo 8'!I8*'Anexo 4'!$D$10,0)</f>
        <v>0</v>
      </c>
      <c r="J8" s="37">
        <f>ROUND('Anexo 8'!J8*'Anexo 4'!$D$10,0)</f>
        <v>0</v>
      </c>
      <c r="K8" s="37">
        <f>ROUND('Anexo 8'!K8*'Anexo 4'!$D$10,0)</f>
        <v>0</v>
      </c>
      <c r="L8" s="37">
        <f>ROUND('Anexo 8'!L8*'Anexo 4'!$D$10,0)</f>
        <v>0</v>
      </c>
      <c r="M8" s="37">
        <f>ROUND('Anexo 8'!M8*'Anexo 4'!$D$10,0)</f>
        <v>0</v>
      </c>
      <c r="N8" s="37">
        <f>ROUND('Anexo 8'!N8*'Anexo 4'!$D$10,0)</f>
        <v>0</v>
      </c>
      <c r="O8" s="37">
        <f>ROUND('Anexo 8'!O8*'Anexo 4'!$D$10,0)</f>
        <v>0</v>
      </c>
      <c r="P8" s="37">
        <f>ROUND('Anexo 8'!P8*'Anexo 4'!$D$10,0)</f>
        <v>0</v>
      </c>
      <c r="Q8" s="37">
        <f>ROUND('Anexo 8'!Q8*'Anexo 4'!$D$10,0)</f>
        <v>0</v>
      </c>
      <c r="R8" s="37">
        <f>ROUND('Anexo 8'!R8*'Anexo 4'!$D$10,0)</f>
        <v>0</v>
      </c>
      <c r="S8" s="37">
        <f>ROUND('Anexo 8'!S8*'Anexo 4'!$D$10,0)</f>
        <v>0</v>
      </c>
      <c r="T8" s="37">
        <f>ROUND('Anexo 8'!T8*'Anexo 4'!$D$10,0)</f>
        <v>0</v>
      </c>
      <c r="U8" s="37">
        <f>ROUND('Anexo 8'!U8*'Anexo 4'!$D$10,0)</f>
        <v>0</v>
      </c>
      <c r="V8" s="37">
        <f>ROUND('Anexo 8'!V8*'Anexo 4'!$D$10,0)</f>
        <v>0</v>
      </c>
      <c r="W8" s="37">
        <f>ROUND('Anexo 8'!W8*'Anexo 4'!$D$10,0)</f>
        <v>0</v>
      </c>
      <c r="X8" s="37">
        <f>ROUND('Anexo 8'!X8*'Anexo 4'!$D$10,0)</f>
        <v>0</v>
      </c>
      <c r="Y8" s="37">
        <f>ROUND('Anexo 8'!Y8*'Anexo 4'!$D$10,0)</f>
        <v>0</v>
      </c>
      <c r="Z8" s="38">
        <f>ROUND('Anexo 8'!Z8*'Anexo 4'!$D$10,0)</f>
        <v>0</v>
      </c>
      <c r="AA8" s="39">
        <f t="shared" si="0"/>
        <v>0</v>
      </c>
      <c r="AB8" s="21">
        <v>6</v>
      </c>
      <c r="AC8" s="92"/>
      <c r="AD8" s="46"/>
    </row>
    <row r="9" spans="1:30" ht="15.75" thickBot="1" x14ac:dyDescent="0.3">
      <c r="A9" s="89">
        <v>47515</v>
      </c>
      <c r="B9" s="16" t="s">
        <v>5</v>
      </c>
      <c r="C9" s="31">
        <f>ROUND('Anexo 8'!C9*'Anexo 4'!$D$10,0)</f>
        <v>0</v>
      </c>
      <c r="D9" s="31">
        <f>ROUND('Anexo 8'!D9*'Anexo 4'!$D$10,0)</f>
        <v>0</v>
      </c>
      <c r="E9" s="31">
        <f>ROUND('Anexo 8'!E9*'Anexo 4'!$D$10,0)</f>
        <v>0</v>
      </c>
      <c r="F9" s="31">
        <f>ROUND('Anexo 8'!F9*'Anexo 4'!$D$10,0)</f>
        <v>0</v>
      </c>
      <c r="G9" s="31">
        <f>ROUND('Anexo 8'!G9*'Anexo 4'!$D$10,0)</f>
        <v>0</v>
      </c>
      <c r="H9" s="31">
        <f>ROUND('Anexo 8'!H9*'Anexo 4'!$D$10,0)</f>
        <v>0</v>
      </c>
      <c r="I9" s="31">
        <f>ROUND('Anexo 8'!I9*'Anexo 4'!$D$10,0)</f>
        <v>0</v>
      </c>
      <c r="J9" s="31">
        <f>ROUND('Anexo 8'!J9*'Anexo 4'!$D$10,0)</f>
        <v>0</v>
      </c>
      <c r="K9" s="31">
        <f>ROUND('Anexo 8'!K9*'Anexo 4'!$D$10,0)</f>
        <v>0</v>
      </c>
      <c r="L9" s="31">
        <f>ROUND('Anexo 8'!L9*'Anexo 4'!$D$10,0)</f>
        <v>0</v>
      </c>
      <c r="M9" s="31">
        <f>ROUND('Anexo 8'!M9*'Anexo 4'!$D$10,0)</f>
        <v>0</v>
      </c>
      <c r="N9" s="31">
        <f>ROUND('Anexo 8'!N9*'Anexo 4'!$D$10,0)</f>
        <v>0</v>
      </c>
      <c r="O9" s="31">
        <f>ROUND('Anexo 8'!O9*'Anexo 4'!$D$10,0)</f>
        <v>0</v>
      </c>
      <c r="P9" s="31">
        <f>ROUND('Anexo 8'!P9*'Anexo 4'!$D$10,0)</f>
        <v>0</v>
      </c>
      <c r="Q9" s="31">
        <f>ROUND('Anexo 8'!Q9*'Anexo 4'!$D$10,0)</f>
        <v>0</v>
      </c>
      <c r="R9" s="31">
        <f>ROUND('Anexo 8'!R9*'Anexo 4'!$D$10,0)</f>
        <v>0</v>
      </c>
      <c r="S9" s="31">
        <f>ROUND('Anexo 8'!S9*'Anexo 4'!$D$10,0)</f>
        <v>0</v>
      </c>
      <c r="T9" s="31">
        <f>ROUND('Anexo 8'!T9*'Anexo 4'!$D$10,0)</f>
        <v>0</v>
      </c>
      <c r="U9" s="31">
        <f>ROUND('Anexo 8'!U9*'Anexo 4'!$D$10,0)</f>
        <v>0</v>
      </c>
      <c r="V9" s="31">
        <f>ROUND('Anexo 8'!V9*'Anexo 4'!$D$10,0)</f>
        <v>0</v>
      </c>
      <c r="W9" s="31">
        <f>ROUND('Anexo 8'!W9*'Anexo 4'!$D$10,0)</f>
        <v>0</v>
      </c>
      <c r="X9" s="31">
        <f>ROUND('Anexo 8'!X9*'Anexo 4'!$D$10,0)</f>
        <v>0</v>
      </c>
      <c r="Y9" s="31">
        <f>ROUND('Anexo 8'!Y9*'Anexo 4'!$D$10,0)</f>
        <v>0</v>
      </c>
      <c r="Z9" s="31">
        <f>ROUND('Anexo 8'!Z9*'Anexo 4'!$D$10,0)</f>
        <v>0</v>
      </c>
      <c r="AA9" s="33">
        <f t="shared" si="0"/>
        <v>0</v>
      </c>
      <c r="AB9" s="17">
        <v>20</v>
      </c>
      <c r="AC9" s="90">
        <f>+AA9*AB9+AA10*AB10+AA11*AB11</f>
        <v>0</v>
      </c>
    </row>
    <row r="10" spans="1:30" ht="15.75" thickBot="1" x14ac:dyDescent="0.3">
      <c r="A10" s="89"/>
      <c r="B10" s="18" t="s">
        <v>4</v>
      </c>
      <c r="C10" s="31">
        <f>ROUND('Anexo 8'!C10*'Anexo 4'!$D$10,0)</f>
        <v>0</v>
      </c>
      <c r="D10" s="31">
        <f>ROUND('Anexo 8'!D10*'Anexo 4'!$D$10,0)</f>
        <v>0</v>
      </c>
      <c r="E10" s="31">
        <f>ROUND('Anexo 8'!E10*'Anexo 4'!$D$10,0)</f>
        <v>0</v>
      </c>
      <c r="F10" s="31">
        <f>ROUND('Anexo 8'!F10*'Anexo 4'!$D$10,0)</f>
        <v>0</v>
      </c>
      <c r="G10" s="31">
        <f>ROUND('Anexo 8'!G10*'Anexo 4'!$D$10,0)</f>
        <v>0</v>
      </c>
      <c r="H10" s="31">
        <f>ROUND('Anexo 8'!H10*'Anexo 4'!$D$10,0)</f>
        <v>0</v>
      </c>
      <c r="I10" s="31">
        <f>ROUND('Anexo 8'!I10*'Anexo 4'!$D$10,0)</f>
        <v>0</v>
      </c>
      <c r="J10" s="31">
        <f>ROUND('Anexo 8'!J10*'Anexo 4'!$D$10,0)</f>
        <v>0</v>
      </c>
      <c r="K10" s="31">
        <f>ROUND('Anexo 8'!K10*'Anexo 4'!$D$10,0)</f>
        <v>0</v>
      </c>
      <c r="L10" s="31">
        <f>ROUND('Anexo 8'!L10*'Anexo 4'!$D$10,0)</f>
        <v>0</v>
      </c>
      <c r="M10" s="31">
        <f>ROUND('Anexo 8'!M10*'Anexo 4'!$D$10,0)</f>
        <v>0</v>
      </c>
      <c r="N10" s="31">
        <f>ROUND('Anexo 8'!N10*'Anexo 4'!$D$10,0)</f>
        <v>0</v>
      </c>
      <c r="O10" s="31">
        <f>ROUND('Anexo 8'!O10*'Anexo 4'!$D$10,0)</f>
        <v>0</v>
      </c>
      <c r="P10" s="31">
        <f>ROUND('Anexo 8'!P10*'Anexo 4'!$D$10,0)</f>
        <v>0</v>
      </c>
      <c r="Q10" s="31">
        <f>ROUND('Anexo 8'!Q10*'Anexo 4'!$D$10,0)</f>
        <v>0</v>
      </c>
      <c r="R10" s="31">
        <f>ROUND('Anexo 8'!R10*'Anexo 4'!$D$10,0)</f>
        <v>0</v>
      </c>
      <c r="S10" s="31">
        <f>ROUND('Anexo 8'!S10*'Anexo 4'!$D$10,0)</f>
        <v>0</v>
      </c>
      <c r="T10" s="31">
        <f>ROUND('Anexo 8'!T10*'Anexo 4'!$D$10,0)</f>
        <v>0</v>
      </c>
      <c r="U10" s="31">
        <f>ROUND('Anexo 8'!U10*'Anexo 4'!$D$10,0)</f>
        <v>0</v>
      </c>
      <c r="V10" s="31">
        <f>ROUND('Anexo 8'!V10*'Anexo 4'!$D$10,0)</f>
        <v>0</v>
      </c>
      <c r="W10" s="31">
        <f>ROUND('Anexo 8'!W10*'Anexo 4'!$D$10,0)</f>
        <v>0</v>
      </c>
      <c r="X10" s="31">
        <f>ROUND('Anexo 8'!X10*'Anexo 4'!$D$10,0)</f>
        <v>0</v>
      </c>
      <c r="Y10" s="31">
        <f>ROUND('Anexo 8'!Y10*'Anexo 4'!$D$10,0)</f>
        <v>0</v>
      </c>
      <c r="Z10" s="31">
        <f>ROUND('Anexo 8'!Z10*'Anexo 4'!$D$10,0)</f>
        <v>0</v>
      </c>
      <c r="AA10" s="36">
        <f t="shared" si="0"/>
        <v>0</v>
      </c>
      <c r="AB10" s="19">
        <v>4</v>
      </c>
      <c r="AC10" s="91"/>
      <c r="AD10" s="45"/>
    </row>
    <row r="11" spans="1:30" ht="15.75" thickBot="1" x14ac:dyDescent="0.3">
      <c r="A11" s="89"/>
      <c r="B11" s="20" t="s">
        <v>3</v>
      </c>
      <c r="C11" s="31">
        <f>ROUND('Anexo 8'!C11*'Anexo 4'!$D$10,0)</f>
        <v>0</v>
      </c>
      <c r="D11" s="31">
        <f>ROUND('Anexo 8'!D11*'Anexo 4'!$D$10,0)</f>
        <v>0</v>
      </c>
      <c r="E11" s="31">
        <f>ROUND('Anexo 8'!E11*'Anexo 4'!$D$10,0)</f>
        <v>0</v>
      </c>
      <c r="F11" s="31">
        <f>ROUND('Anexo 8'!F11*'Anexo 4'!$D$10,0)</f>
        <v>0</v>
      </c>
      <c r="G11" s="31">
        <f>ROUND('Anexo 8'!G11*'Anexo 4'!$D$10,0)</f>
        <v>0</v>
      </c>
      <c r="H11" s="31">
        <f>ROUND('Anexo 8'!H11*'Anexo 4'!$D$10,0)</f>
        <v>0</v>
      </c>
      <c r="I11" s="31">
        <f>ROUND('Anexo 8'!I11*'Anexo 4'!$D$10,0)</f>
        <v>0</v>
      </c>
      <c r="J11" s="31">
        <f>ROUND('Anexo 8'!J11*'Anexo 4'!$D$10,0)</f>
        <v>0</v>
      </c>
      <c r="K11" s="31">
        <f>ROUND('Anexo 8'!K11*'Anexo 4'!$D$10,0)</f>
        <v>0</v>
      </c>
      <c r="L11" s="31">
        <f>ROUND('Anexo 8'!L11*'Anexo 4'!$D$10,0)</f>
        <v>0</v>
      </c>
      <c r="M11" s="31">
        <f>ROUND('Anexo 8'!M11*'Anexo 4'!$D$10,0)</f>
        <v>0</v>
      </c>
      <c r="N11" s="31">
        <f>ROUND('Anexo 8'!N11*'Anexo 4'!$D$10,0)</f>
        <v>0</v>
      </c>
      <c r="O11" s="31">
        <f>ROUND('Anexo 8'!O11*'Anexo 4'!$D$10,0)</f>
        <v>0</v>
      </c>
      <c r="P11" s="31">
        <f>ROUND('Anexo 8'!P11*'Anexo 4'!$D$10,0)</f>
        <v>0</v>
      </c>
      <c r="Q11" s="31">
        <f>ROUND('Anexo 8'!Q11*'Anexo 4'!$D$10,0)</f>
        <v>0</v>
      </c>
      <c r="R11" s="31">
        <f>ROUND('Anexo 8'!R11*'Anexo 4'!$D$10,0)</f>
        <v>0</v>
      </c>
      <c r="S11" s="31">
        <f>ROUND('Anexo 8'!S11*'Anexo 4'!$D$10,0)</f>
        <v>0</v>
      </c>
      <c r="T11" s="31">
        <f>ROUND('Anexo 8'!T11*'Anexo 4'!$D$10,0)</f>
        <v>0</v>
      </c>
      <c r="U11" s="31">
        <f>ROUND('Anexo 8'!U11*'Anexo 4'!$D$10,0)</f>
        <v>0</v>
      </c>
      <c r="V11" s="31">
        <f>ROUND('Anexo 8'!V11*'Anexo 4'!$D$10,0)</f>
        <v>0</v>
      </c>
      <c r="W11" s="31">
        <f>ROUND('Anexo 8'!W11*'Anexo 4'!$D$10,0)</f>
        <v>0</v>
      </c>
      <c r="X11" s="31">
        <f>ROUND('Anexo 8'!X11*'Anexo 4'!$D$10,0)</f>
        <v>0</v>
      </c>
      <c r="Y11" s="31">
        <f>ROUND('Anexo 8'!Y11*'Anexo 4'!$D$10,0)</f>
        <v>0</v>
      </c>
      <c r="Z11" s="31">
        <f>ROUND('Anexo 8'!Z11*'Anexo 4'!$D$10,0)</f>
        <v>0</v>
      </c>
      <c r="AA11" s="39">
        <f t="shared" si="0"/>
        <v>0</v>
      </c>
      <c r="AB11" s="21">
        <v>4</v>
      </c>
      <c r="AC11" s="92"/>
      <c r="AD11" s="46"/>
    </row>
    <row r="12" spans="1:30" ht="15.75" thickBot="1" x14ac:dyDescent="0.3">
      <c r="A12" s="89">
        <v>47543</v>
      </c>
      <c r="B12" s="16" t="s">
        <v>5</v>
      </c>
      <c r="C12" s="31">
        <f>ROUND('Anexo 8'!C12*'Anexo 4'!$D$10,0)</f>
        <v>0</v>
      </c>
      <c r="D12" s="31">
        <f>ROUND('Anexo 8'!D12*'Anexo 4'!$D$10,0)</f>
        <v>0</v>
      </c>
      <c r="E12" s="31">
        <f>ROUND('Anexo 8'!E12*'Anexo 4'!$D$10,0)</f>
        <v>0</v>
      </c>
      <c r="F12" s="31">
        <f>ROUND('Anexo 8'!F12*'Anexo 4'!$D$10,0)</f>
        <v>0</v>
      </c>
      <c r="G12" s="31">
        <f>ROUND('Anexo 8'!G12*'Anexo 4'!$D$10,0)</f>
        <v>0</v>
      </c>
      <c r="H12" s="31">
        <f>ROUND('Anexo 8'!H12*'Anexo 4'!$D$10,0)</f>
        <v>0</v>
      </c>
      <c r="I12" s="31">
        <f>ROUND('Anexo 8'!I12*'Anexo 4'!$D$10,0)</f>
        <v>0</v>
      </c>
      <c r="J12" s="31">
        <f>ROUND('Anexo 8'!J12*'Anexo 4'!$D$10,0)</f>
        <v>0</v>
      </c>
      <c r="K12" s="31">
        <f>ROUND('Anexo 8'!K12*'Anexo 4'!$D$10,0)</f>
        <v>0</v>
      </c>
      <c r="L12" s="31">
        <f>ROUND('Anexo 8'!L12*'Anexo 4'!$D$10,0)</f>
        <v>0</v>
      </c>
      <c r="M12" s="31">
        <f>ROUND('Anexo 8'!M12*'Anexo 4'!$D$10,0)</f>
        <v>0</v>
      </c>
      <c r="N12" s="31">
        <f>ROUND('Anexo 8'!N12*'Anexo 4'!$D$10,0)</f>
        <v>0</v>
      </c>
      <c r="O12" s="31">
        <f>ROUND('Anexo 8'!O12*'Anexo 4'!$D$10,0)</f>
        <v>0</v>
      </c>
      <c r="P12" s="31">
        <f>ROUND('Anexo 8'!P12*'Anexo 4'!$D$10,0)</f>
        <v>0</v>
      </c>
      <c r="Q12" s="31">
        <f>ROUND('Anexo 8'!Q12*'Anexo 4'!$D$10,0)</f>
        <v>0</v>
      </c>
      <c r="R12" s="31">
        <f>ROUND('Anexo 8'!R12*'Anexo 4'!$D$10,0)</f>
        <v>0</v>
      </c>
      <c r="S12" s="31">
        <f>ROUND('Anexo 8'!S12*'Anexo 4'!$D$10,0)</f>
        <v>0</v>
      </c>
      <c r="T12" s="31">
        <f>ROUND('Anexo 8'!T12*'Anexo 4'!$D$10,0)</f>
        <v>0</v>
      </c>
      <c r="U12" s="31">
        <f>ROUND('Anexo 8'!U12*'Anexo 4'!$D$10,0)</f>
        <v>0</v>
      </c>
      <c r="V12" s="31">
        <f>ROUND('Anexo 8'!V12*'Anexo 4'!$D$10,0)</f>
        <v>0</v>
      </c>
      <c r="W12" s="31">
        <f>ROUND('Anexo 8'!W12*'Anexo 4'!$D$10,0)</f>
        <v>0</v>
      </c>
      <c r="X12" s="31">
        <f>ROUND('Anexo 8'!X12*'Anexo 4'!$D$10,0)</f>
        <v>0</v>
      </c>
      <c r="Y12" s="31">
        <f>ROUND('Anexo 8'!Y12*'Anexo 4'!$D$10,0)</f>
        <v>0</v>
      </c>
      <c r="Z12" s="31">
        <f>ROUND('Anexo 8'!Z12*'Anexo 4'!$D$10,0)</f>
        <v>0</v>
      </c>
      <c r="AA12" s="33">
        <f t="shared" si="0"/>
        <v>0</v>
      </c>
      <c r="AB12" s="17">
        <v>20</v>
      </c>
      <c r="AC12" s="90">
        <f>+AA12*AB12+AA13*AB13+AA14*AB14</f>
        <v>0</v>
      </c>
    </row>
    <row r="13" spans="1:30" ht="15.75" thickBot="1" x14ac:dyDescent="0.3">
      <c r="A13" s="89"/>
      <c r="B13" s="18" t="s">
        <v>4</v>
      </c>
      <c r="C13" s="31">
        <f>ROUND('Anexo 8'!C13*'Anexo 4'!$D$10,0)</f>
        <v>0</v>
      </c>
      <c r="D13" s="31">
        <f>ROUND('Anexo 8'!D13*'Anexo 4'!$D$10,0)</f>
        <v>0</v>
      </c>
      <c r="E13" s="31">
        <f>ROUND('Anexo 8'!E13*'Anexo 4'!$D$10,0)</f>
        <v>0</v>
      </c>
      <c r="F13" s="31">
        <f>ROUND('Anexo 8'!F13*'Anexo 4'!$D$10,0)</f>
        <v>0</v>
      </c>
      <c r="G13" s="31">
        <f>ROUND('Anexo 8'!G13*'Anexo 4'!$D$10,0)</f>
        <v>0</v>
      </c>
      <c r="H13" s="31">
        <f>ROUND('Anexo 8'!H13*'Anexo 4'!$D$10,0)</f>
        <v>0</v>
      </c>
      <c r="I13" s="31">
        <f>ROUND('Anexo 8'!I13*'Anexo 4'!$D$10,0)</f>
        <v>0</v>
      </c>
      <c r="J13" s="31">
        <f>ROUND('Anexo 8'!J13*'Anexo 4'!$D$10,0)</f>
        <v>0</v>
      </c>
      <c r="K13" s="31">
        <f>ROUND('Anexo 8'!K13*'Anexo 4'!$D$10,0)</f>
        <v>0</v>
      </c>
      <c r="L13" s="31">
        <f>ROUND('Anexo 8'!L13*'Anexo 4'!$D$10,0)</f>
        <v>0</v>
      </c>
      <c r="M13" s="31">
        <f>ROUND('Anexo 8'!M13*'Anexo 4'!$D$10,0)</f>
        <v>0</v>
      </c>
      <c r="N13" s="31">
        <f>ROUND('Anexo 8'!N13*'Anexo 4'!$D$10,0)</f>
        <v>0</v>
      </c>
      <c r="O13" s="31">
        <f>ROUND('Anexo 8'!O13*'Anexo 4'!$D$10,0)</f>
        <v>0</v>
      </c>
      <c r="P13" s="31">
        <f>ROUND('Anexo 8'!P13*'Anexo 4'!$D$10,0)</f>
        <v>0</v>
      </c>
      <c r="Q13" s="31">
        <f>ROUND('Anexo 8'!Q13*'Anexo 4'!$D$10,0)</f>
        <v>0</v>
      </c>
      <c r="R13" s="31">
        <f>ROUND('Anexo 8'!R13*'Anexo 4'!$D$10,0)</f>
        <v>0</v>
      </c>
      <c r="S13" s="31">
        <f>ROUND('Anexo 8'!S13*'Anexo 4'!$D$10,0)</f>
        <v>0</v>
      </c>
      <c r="T13" s="31">
        <f>ROUND('Anexo 8'!T13*'Anexo 4'!$D$10,0)</f>
        <v>0</v>
      </c>
      <c r="U13" s="31">
        <f>ROUND('Anexo 8'!U13*'Anexo 4'!$D$10,0)</f>
        <v>0</v>
      </c>
      <c r="V13" s="31">
        <f>ROUND('Anexo 8'!V13*'Anexo 4'!$D$10,0)</f>
        <v>0</v>
      </c>
      <c r="W13" s="31">
        <f>ROUND('Anexo 8'!W13*'Anexo 4'!$D$10,0)</f>
        <v>0</v>
      </c>
      <c r="X13" s="31">
        <f>ROUND('Anexo 8'!X13*'Anexo 4'!$D$10,0)</f>
        <v>0</v>
      </c>
      <c r="Y13" s="31">
        <f>ROUND('Anexo 8'!Y13*'Anexo 4'!$D$10,0)</f>
        <v>0</v>
      </c>
      <c r="Z13" s="31">
        <f>ROUND('Anexo 8'!Z13*'Anexo 4'!$D$10,0)</f>
        <v>0</v>
      </c>
      <c r="AA13" s="36">
        <f t="shared" si="0"/>
        <v>0</v>
      </c>
      <c r="AB13" s="19">
        <v>5</v>
      </c>
      <c r="AC13" s="91"/>
      <c r="AD13" s="45"/>
    </row>
    <row r="14" spans="1:30" ht="15.75" thickBot="1" x14ac:dyDescent="0.3">
      <c r="A14" s="89"/>
      <c r="B14" s="20" t="s">
        <v>3</v>
      </c>
      <c r="C14" s="31">
        <f>ROUND('Anexo 8'!C14*'Anexo 4'!$D$10,0)</f>
        <v>0</v>
      </c>
      <c r="D14" s="31">
        <f>ROUND('Anexo 8'!D14*'Anexo 4'!$D$10,0)</f>
        <v>0</v>
      </c>
      <c r="E14" s="31">
        <f>ROUND('Anexo 8'!E14*'Anexo 4'!$D$10,0)</f>
        <v>0</v>
      </c>
      <c r="F14" s="31">
        <f>ROUND('Anexo 8'!F14*'Anexo 4'!$D$10,0)</f>
        <v>0</v>
      </c>
      <c r="G14" s="31">
        <f>ROUND('Anexo 8'!G14*'Anexo 4'!$D$10,0)</f>
        <v>0</v>
      </c>
      <c r="H14" s="31">
        <f>ROUND('Anexo 8'!H14*'Anexo 4'!$D$10,0)</f>
        <v>0</v>
      </c>
      <c r="I14" s="31">
        <f>ROUND('Anexo 8'!I14*'Anexo 4'!$D$10,0)</f>
        <v>0</v>
      </c>
      <c r="J14" s="31">
        <f>ROUND('Anexo 8'!J14*'Anexo 4'!$D$10,0)</f>
        <v>0</v>
      </c>
      <c r="K14" s="31">
        <f>ROUND('Anexo 8'!K14*'Anexo 4'!$D$10,0)</f>
        <v>0</v>
      </c>
      <c r="L14" s="31">
        <f>ROUND('Anexo 8'!L14*'Anexo 4'!$D$10,0)</f>
        <v>0</v>
      </c>
      <c r="M14" s="31">
        <f>ROUND('Anexo 8'!M14*'Anexo 4'!$D$10,0)</f>
        <v>0</v>
      </c>
      <c r="N14" s="31">
        <f>ROUND('Anexo 8'!N14*'Anexo 4'!$D$10,0)</f>
        <v>0</v>
      </c>
      <c r="O14" s="31">
        <f>ROUND('Anexo 8'!O14*'Anexo 4'!$D$10,0)</f>
        <v>0</v>
      </c>
      <c r="P14" s="31">
        <f>ROUND('Anexo 8'!P14*'Anexo 4'!$D$10,0)</f>
        <v>0</v>
      </c>
      <c r="Q14" s="31">
        <f>ROUND('Anexo 8'!Q14*'Anexo 4'!$D$10,0)</f>
        <v>0</v>
      </c>
      <c r="R14" s="31">
        <f>ROUND('Anexo 8'!R14*'Anexo 4'!$D$10,0)</f>
        <v>0</v>
      </c>
      <c r="S14" s="31">
        <f>ROUND('Anexo 8'!S14*'Anexo 4'!$D$10,0)</f>
        <v>0</v>
      </c>
      <c r="T14" s="31">
        <f>ROUND('Anexo 8'!T14*'Anexo 4'!$D$10,0)</f>
        <v>0</v>
      </c>
      <c r="U14" s="31">
        <f>ROUND('Anexo 8'!U14*'Anexo 4'!$D$10,0)</f>
        <v>0</v>
      </c>
      <c r="V14" s="31">
        <f>ROUND('Anexo 8'!V14*'Anexo 4'!$D$10,0)</f>
        <v>0</v>
      </c>
      <c r="W14" s="31">
        <f>ROUND('Anexo 8'!W14*'Anexo 4'!$D$10,0)</f>
        <v>0</v>
      </c>
      <c r="X14" s="31">
        <f>ROUND('Anexo 8'!X14*'Anexo 4'!$D$10,0)</f>
        <v>0</v>
      </c>
      <c r="Y14" s="31">
        <f>ROUND('Anexo 8'!Y14*'Anexo 4'!$D$10,0)</f>
        <v>0</v>
      </c>
      <c r="Z14" s="31">
        <f>ROUND('Anexo 8'!Z14*'Anexo 4'!$D$10,0)</f>
        <v>0</v>
      </c>
      <c r="AA14" s="39">
        <f t="shared" si="0"/>
        <v>0</v>
      </c>
      <c r="AB14" s="21">
        <v>6</v>
      </c>
      <c r="AC14" s="92"/>
      <c r="AD14" s="43"/>
    </row>
    <row r="15" spans="1:30" ht="15.75" thickBot="1" x14ac:dyDescent="0.3">
      <c r="A15" s="89">
        <v>47574</v>
      </c>
      <c r="B15" s="16" t="s">
        <v>5</v>
      </c>
      <c r="C15" s="31">
        <f>ROUND('Anexo 8'!C15*'Anexo 4'!$D$10,0)</f>
        <v>0</v>
      </c>
      <c r="D15" s="31">
        <f>ROUND('Anexo 8'!D15*'Anexo 4'!$D$10,0)</f>
        <v>0</v>
      </c>
      <c r="E15" s="31">
        <f>ROUND('Anexo 8'!E15*'Anexo 4'!$D$10,0)</f>
        <v>0</v>
      </c>
      <c r="F15" s="31">
        <f>ROUND('Anexo 8'!F15*'Anexo 4'!$D$10,0)</f>
        <v>0</v>
      </c>
      <c r="G15" s="31">
        <f>ROUND('Anexo 8'!G15*'Anexo 4'!$D$10,0)</f>
        <v>0</v>
      </c>
      <c r="H15" s="31">
        <f>ROUND('Anexo 8'!H15*'Anexo 4'!$D$10,0)</f>
        <v>0</v>
      </c>
      <c r="I15" s="31">
        <f>ROUND('Anexo 8'!I15*'Anexo 4'!$D$10,0)</f>
        <v>0</v>
      </c>
      <c r="J15" s="31">
        <f>ROUND('Anexo 8'!J15*'Anexo 4'!$D$10,0)</f>
        <v>0</v>
      </c>
      <c r="K15" s="31">
        <f>ROUND('Anexo 8'!K15*'Anexo 4'!$D$10,0)</f>
        <v>0</v>
      </c>
      <c r="L15" s="31">
        <f>ROUND('Anexo 8'!L15*'Anexo 4'!$D$10,0)</f>
        <v>0</v>
      </c>
      <c r="M15" s="31">
        <f>ROUND('Anexo 8'!M15*'Anexo 4'!$D$10,0)</f>
        <v>0</v>
      </c>
      <c r="N15" s="31">
        <f>ROUND('Anexo 8'!N15*'Anexo 4'!$D$10,0)</f>
        <v>0</v>
      </c>
      <c r="O15" s="31">
        <f>ROUND('Anexo 8'!O15*'Anexo 4'!$D$10,0)</f>
        <v>0</v>
      </c>
      <c r="P15" s="31">
        <f>ROUND('Anexo 8'!P15*'Anexo 4'!$D$10,0)</f>
        <v>0</v>
      </c>
      <c r="Q15" s="31">
        <f>ROUND('Anexo 8'!Q15*'Anexo 4'!$D$10,0)</f>
        <v>0</v>
      </c>
      <c r="R15" s="31">
        <f>ROUND('Anexo 8'!R15*'Anexo 4'!$D$10,0)</f>
        <v>0</v>
      </c>
      <c r="S15" s="31">
        <f>ROUND('Anexo 8'!S15*'Anexo 4'!$D$10,0)</f>
        <v>0</v>
      </c>
      <c r="T15" s="31">
        <f>ROUND('Anexo 8'!T15*'Anexo 4'!$D$10,0)</f>
        <v>0</v>
      </c>
      <c r="U15" s="31">
        <f>ROUND('Anexo 8'!U15*'Anexo 4'!$D$10,0)</f>
        <v>0</v>
      </c>
      <c r="V15" s="31">
        <f>ROUND('Anexo 8'!V15*'Anexo 4'!$D$10,0)</f>
        <v>0</v>
      </c>
      <c r="W15" s="31">
        <f>ROUND('Anexo 8'!W15*'Anexo 4'!$D$10,0)</f>
        <v>0</v>
      </c>
      <c r="X15" s="31">
        <f>ROUND('Anexo 8'!X15*'Anexo 4'!$D$10,0)</f>
        <v>0</v>
      </c>
      <c r="Y15" s="31">
        <f>ROUND('Anexo 8'!Y15*'Anexo 4'!$D$10,0)</f>
        <v>0</v>
      </c>
      <c r="Z15" s="31">
        <f>ROUND('Anexo 8'!Z15*'Anexo 4'!$D$10,0)</f>
        <v>0</v>
      </c>
      <c r="AA15" s="33">
        <f t="shared" si="0"/>
        <v>0</v>
      </c>
      <c r="AB15" s="17">
        <v>20</v>
      </c>
      <c r="AC15" s="90">
        <f>+AA15*AB15+AA16*AB16+AA17*AB17</f>
        <v>0</v>
      </c>
    </row>
    <row r="16" spans="1:30" ht="15.75" thickBot="1" x14ac:dyDescent="0.3">
      <c r="A16" s="89"/>
      <c r="B16" s="18" t="s">
        <v>4</v>
      </c>
      <c r="C16" s="31">
        <f>ROUND('Anexo 8'!C16*'Anexo 4'!$D$10,0)</f>
        <v>0</v>
      </c>
      <c r="D16" s="31">
        <f>ROUND('Anexo 8'!D16*'Anexo 4'!$D$10,0)</f>
        <v>0</v>
      </c>
      <c r="E16" s="31">
        <f>ROUND('Anexo 8'!E16*'Anexo 4'!$D$10,0)</f>
        <v>0</v>
      </c>
      <c r="F16" s="31">
        <f>ROUND('Anexo 8'!F16*'Anexo 4'!$D$10,0)</f>
        <v>0</v>
      </c>
      <c r="G16" s="31">
        <f>ROUND('Anexo 8'!G16*'Anexo 4'!$D$10,0)</f>
        <v>0</v>
      </c>
      <c r="H16" s="31">
        <f>ROUND('Anexo 8'!H16*'Anexo 4'!$D$10,0)</f>
        <v>0</v>
      </c>
      <c r="I16" s="31">
        <f>ROUND('Anexo 8'!I16*'Anexo 4'!$D$10,0)</f>
        <v>0</v>
      </c>
      <c r="J16" s="31">
        <f>ROUND('Anexo 8'!J16*'Anexo 4'!$D$10,0)</f>
        <v>0</v>
      </c>
      <c r="K16" s="31">
        <f>ROUND('Anexo 8'!K16*'Anexo 4'!$D$10,0)</f>
        <v>0</v>
      </c>
      <c r="L16" s="31">
        <f>ROUND('Anexo 8'!L16*'Anexo 4'!$D$10,0)</f>
        <v>0</v>
      </c>
      <c r="M16" s="31">
        <f>ROUND('Anexo 8'!M16*'Anexo 4'!$D$10,0)</f>
        <v>0</v>
      </c>
      <c r="N16" s="31">
        <f>ROUND('Anexo 8'!N16*'Anexo 4'!$D$10,0)</f>
        <v>0</v>
      </c>
      <c r="O16" s="31">
        <f>ROUND('Anexo 8'!O16*'Anexo 4'!$D$10,0)</f>
        <v>0</v>
      </c>
      <c r="P16" s="31">
        <f>ROUND('Anexo 8'!P16*'Anexo 4'!$D$10,0)</f>
        <v>0</v>
      </c>
      <c r="Q16" s="31">
        <f>ROUND('Anexo 8'!Q16*'Anexo 4'!$D$10,0)</f>
        <v>0</v>
      </c>
      <c r="R16" s="31">
        <f>ROUND('Anexo 8'!R16*'Anexo 4'!$D$10,0)</f>
        <v>0</v>
      </c>
      <c r="S16" s="31">
        <f>ROUND('Anexo 8'!S16*'Anexo 4'!$D$10,0)</f>
        <v>0</v>
      </c>
      <c r="T16" s="31">
        <f>ROUND('Anexo 8'!T16*'Anexo 4'!$D$10,0)</f>
        <v>0</v>
      </c>
      <c r="U16" s="31">
        <f>ROUND('Anexo 8'!U16*'Anexo 4'!$D$10,0)</f>
        <v>0</v>
      </c>
      <c r="V16" s="31">
        <f>ROUND('Anexo 8'!V16*'Anexo 4'!$D$10,0)</f>
        <v>0</v>
      </c>
      <c r="W16" s="31">
        <f>ROUND('Anexo 8'!W16*'Anexo 4'!$D$10,0)</f>
        <v>0</v>
      </c>
      <c r="X16" s="31">
        <f>ROUND('Anexo 8'!X16*'Anexo 4'!$D$10,0)</f>
        <v>0</v>
      </c>
      <c r="Y16" s="31">
        <f>ROUND('Anexo 8'!Y16*'Anexo 4'!$D$10,0)</f>
        <v>0</v>
      </c>
      <c r="Z16" s="31">
        <f>ROUND('Anexo 8'!Z16*'Anexo 4'!$D$10,0)</f>
        <v>0</v>
      </c>
      <c r="AA16" s="36">
        <f t="shared" si="0"/>
        <v>0</v>
      </c>
      <c r="AB16" s="19">
        <v>4</v>
      </c>
      <c r="AC16" s="91"/>
      <c r="AD16" s="45"/>
    </row>
    <row r="17" spans="1:30" ht="15.75" thickBot="1" x14ac:dyDescent="0.3">
      <c r="A17" s="89"/>
      <c r="B17" s="20" t="s">
        <v>3</v>
      </c>
      <c r="C17" s="31">
        <f>ROUND('Anexo 8'!C17*'Anexo 4'!$D$10,0)</f>
        <v>0</v>
      </c>
      <c r="D17" s="31">
        <f>ROUND('Anexo 8'!D17*'Anexo 4'!$D$10,0)</f>
        <v>0</v>
      </c>
      <c r="E17" s="31">
        <f>ROUND('Anexo 8'!E17*'Anexo 4'!$D$10,0)</f>
        <v>0</v>
      </c>
      <c r="F17" s="31">
        <f>ROUND('Anexo 8'!F17*'Anexo 4'!$D$10,0)</f>
        <v>0</v>
      </c>
      <c r="G17" s="31">
        <f>ROUND('Anexo 8'!G17*'Anexo 4'!$D$10,0)</f>
        <v>0</v>
      </c>
      <c r="H17" s="31">
        <f>ROUND('Anexo 8'!H17*'Anexo 4'!$D$10,0)</f>
        <v>0</v>
      </c>
      <c r="I17" s="31">
        <f>ROUND('Anexo 8'!I17*'Anexo 4'!$D$10,0)</f>
        <v>0</v>
      </c>
      <c r="J17" s="31">
        <f>ROUND('Anexo 8'!J17*'Anexo 4'!$D$10,0)</f>
        <v>0</v>
      </c>
      <c r="K17" s="31">
        <f>ROUND('Anexo 8'!K17*'Anexo 4'!$D$10,0)</f>
        <v>0</v>
      </c>
      <c r="L17" s="31">
        <f>ROUND('Anexo 8'!L17*'Anexo 4'!$D$10,0)</f>
        <v>0</v>
      </c>
      <c r="M17" s="31">
        <f>ROUND('Anexo 8'!M17*'Anexo 4'!$D$10,0)</f>
        <v>0</v>
      </c>
      <c r="N17" s="31">
        <f>ROUND('Anexo 8'!N17*'Anexo 4'!$D$10,0)</f>
        <v>0</v>
      </c>
      <c r="O17" s="31">
        <f>ROUND('Anexo 8'!O17*'Anexo 4'!$D$10,0)</f>
        <v>0</v>
      </c>
      <c r="P17" s="31">
        <f>ROUND('Anexo 8'!P17*'Anexo 4'!$D$10,0)</f>
        <v>0</v>
      </c>
      <c r="Q17" s="31">
        <f>ROUND('Anexo 8'!Q17*'Anexo 4'!$D$10,0)</f>
        <v>0</v>
      </c>
      <c r="R17" s="31">
        <f>ROUND('Anexo 8'!R17*'Anexo 4'!$D$10,0)</f>
        <v>0</v>
      </c>
      <c r="S17" s="31">
        <f>ROUND('Anexo 8'!S17*'Anexo 4'!$D$10,0)</f>
        <v>0</v>
      </c>
      <c r="T17" s="31">
        <f>ROUND('Anexo 8'!T17*'Anexo 4'!$D$10,0)</f>
        <v>0</v>
      </c>
      <c r="U17" s="31">
        <f>ROUND('Anexo 8'!U17*'Anexo 4'!$D$10,0)</f>
        <v>0</v>
      </c>
      <c r="V17" s="31">
        <f>ROUND('Anexo 8'!V17*'Anexo 4'!$D$10,0)</f>
        <v>0</v>
      </c>
      <c r="W17" s="31">
        <f>ROUND('Anexo 8'!W17*'Anexo 4'!$D$10,0)</f>
        <v>0</v>
      </c>
      <c r="X17" s="31">
        <f>ROUND('Anexo 8'!X17*'Anexo 4'!$D$10,0)</f>
        <v>0</v>
      </c>
      <c r="Y17" s="31">
        <f>ROUND('Anexo 8'!Y17*'Anexo 4'!$D$10,0)</f>
        <v>0</v>
      </c>
      <c r="Z17" s="31">
        <f>ROUND('Anexo 8'!Z17*'Anexo 4'!$D$10,0)</f>
        <v>0</v>
      </c>
      <c r="AA17" s="39">
        <f t="shared" si="0"/>
        <v>0</v>
      </c>
      <c r="AB17" s="21">
        <v>6</v>
      </c>
      <c r="AC17" s="92"/>
      <c r="AD17" s="46"/>
    </row>
    <row r="18" spans="1:30" ht="15.75" thickBot="1" x14ac:dyDescent="0.3">
      <c r="A18" s="89">
        <v>47604</v>
      </c>
      <c r="B18" s="16" t="s">
        <v>5</v>
      </c>
      <c r="C18" s="31">
        <f>ROUND('Anexo 8'!C18*'Anexo 4'!$D$10,0)</f>
        <v>0</v>
      </c>
      <c r="D18" s="31">
        <f>ROUND('Anexo 8'!D18*'Anexo 4'!$D$10,0)</f>
        <v>0</v>
      </c>
      <c r="E18" s="31">
        <f>ROUND('Anexo 8'!E18*'Anexo 4'!$D$10,0)</f>
        <v>0</v>
      </c>
      <c r="F18" s="31">
        <f>ROUND('Anexo 8'!F18*'Anexo 4'!$D$10,0)</f>
        <v>0</v>
      </c>
      <c r="G18" s="31">
        <f>ROUND('Anexo 8'!G18*'Anexo 4'!$D$10,0)</f>
        <v>0</v>
      </c>
      <c r="H18" s="31">
        <f>ROUND('Anexo 8'!H18*'Anexo 4'!$D$10,0)</f>
        <v>0</v>
      </c>
      <c r="I18" s="31">
        <f>ROUND('Anexo 8'!I18*'Anexo 4'!$D$10,0)</f>
        <v>0</v>
      </c>
      <c r="J18" s="31">
        <f>ROUND('Anexo 8'!J18*'Anexo 4'!$D$10,0)</f>
        <v>0</v>
      </c>
      <c r="K18" s="31">
        <f>ROUND('Anexo 8'!K18*'Anexo 4'!$D$10,0)</f>
        <v>0</v>
      </c>
      <c r="L18" s="31">
        <f>ROUND('Anexo 8'!L18*'Anexo 4'!$D$10,0)</f>
        <v>0</v>
      </c>
      <c r="M18" s="31">
        <f>ROUND('Anexo 8'!M18*'Anexo 4'!$D$10,0)</f>
        <v>0</v>
      </c>
      <c r="N18" s="31">
        <f>ROUND('Anexo 8'!N18*'Anexo 4'!$D$10,0)</f>
        <v>0</v>
      </c>
      <c r="O18" s="31">
        <f>ROUND('Anexo 8'!O18*'Anexo 4'!$D$10,0)</f>
        <v>0</v>
      </c>
      <c r="P18" s="31">
        <f>ROUND('Anexo 8'!P18*'Anexo 4'!$D$10,0)</f>
        <v>0</v>
      </c>
      <c r="Q18" s="31">
        <f>ROUND('Anexo 8'!Q18*'Anexo 4'!$D$10,0)</f>
        <v>0</v>
      </c>
      <c r="R18" s="31">
        <f>ROUND('Anexo 8'!R18*'Anexo 4'!$D$10,0)</f>
        <v>0</v>
      </c>
      <c r="S18" s="31">
        <f>ROUND('Anexo 8'!S18*'Anexo 4'!$D$10,0)</f>
        <v>0</v>
      </c>
      <c r="T18" s="31">
        <f>ROUND('Anexo 8'!T18*'Anexo 4'!$D$10,0)</f>
        <v>0</v>
      </c>
      <c r="U18" s="31">
        <f>ROUND('Anexo 8'!U18*'Anexo 4'!$D$10,0)</f>
        <v>0</v>
      </c>
      <c r="V18" s="31">
        <f>ROUND('Anexo 8'!V18*'Anexo 4'!$D$10,0)</f>
        <v>0</v>
      </c>
      <c r="W18" s="31">
        <f>ROUND('Anexo 8'!W18*'Anexo 4'!$D$10,0)</f>
        <v>0</v>
      </c>
      <c r="X18" s="31">
        <f>ROUND('Anexo 8'!X18*'Anexo 4'!$D$10,0)</f>
        <v>0</v>
      </c>
      <c r="Y18" s="31">
        <f>ROUND('Anexo 8'!Y18*'Anexo 4'!$D$10,0)</f>
        <v>0</v>
      </c>
      <c r="Z18" s="31">
        <f>ROUND('Anexo 8'!Z18*'Anexo 4'!$D$10,0)</f>
        <v>0</v>
      </c>
      <c r="AA18" s="33">
        <f t="shared" si="0"/>
        <v>0</v>
      </c>
      <c r="AB18" s="17">
        <v>22</v>
      </c>
      <c r="AC18" s="90">
        <f>+AA18*AB18+AA19*AB19+AA20*AB20</f>
        <v>0</v>
      </c>
    </row>
    <row r="19" spans="1:30" ht="15.75" thickBot="1" x14ac:dyDescent="0.3">
      <c r="A19" s="89"/>
      <c r="B19" s="18" t="s">
        <v>4</v>
      </c>
      <c r="C19" s="31">
        <f>ROUND('Anexo 8'!C19*'Anexo 4'!$D$10,0)</f>
        <v>0</v>
      </c>
      <c r="D19" s="31">
        <f>ROUND('Anexo 8'!D19*'Anexo 4'!$D$10,0)</f>
        <v>0</v>
      </c>
      <c r="E19" s="31">
        <f>ROUND('Anexo 8'!E19*'Anexo 4'!$D$10,0)</f>
        <v>0</v>
      </c>
      <c r="F19" s="31">
        <f>ROUND('Anexo 8'!F19*'Anexo 4'!$D$10,0)</f>
        <v>0</v>
      </c>
      <c r="G19" s="31">
        <f>ROUND('Anexo 8'!G19*'Anexo 4'!$D$10,0)</f>
        <v>0</v>
      </c>
      <c r="H19" s="31">
        <f>ROUND('Anexo 8'!H19*'Anexo 4'!$D$10,0)</f>
        <v>0</v>
      </c>
      <c r="I19" s="31">
        <f>ROUND('Anexo 8'!I19*'Anexo 4'!$D$10,0)</f>
        <v>0</v>
      </c>
      <c r="J19" s="31">
        <f>ROUND('Anexo 8'!J19*'Anexo 4'!$D$10,0)</f>
        <v>0</v>
      </c>
      <c r="K19" s="31">
        <f>ROUND('Anexo 8'!K19*'Anexo 4'!$D$10,0)</f>
        <v>0</v>
      </c>
      <c r="L19" s="31">
        <f>ROUND('Anexo 8'!L19*'Anexo 4'!$D$10,0)</f>
        <v>0</v>
      </c>
      <c r="M19" s="31">
        <f>ROUND('Anexo 8'!M19*'Anexo 4'!$D$10,0)</f>
        <v>0</v>
      </c>
      <c r="N19" s="31">
        <f>ROUND('Anexo 8'!N19*'Anexo 4'!$D$10,0)</f>
        <v>0</v>
      </c>
      <c r="O19" s="31">
        <f>ROUND('Anexo 8'!O19*'Anexo 4'!$D$10,0)</f>
        <v>0</v>
      </c>
      <c r="P19" s="31">
        <f>ROUND('Anexo 8'!P19*'Anexo 4'!$D$10,0)</f>
        <v>0</v>
      </c>
      <c r="Q19" s="31">
        <f>ROUND('Anexo 8'!Q19*'Anexo 4'!$D$10,0)</f>
        <v>0</v>
      </c>
      <c r="R19" s="31">
        <f>ROUND('Anexo 8'!R19*'Anexo 4'!$D$10,0)</f>
        <v>0</v>
      </c>
      <c r="S19" s="31">
        <f>ROUND('Anexo 8'!S19*'Anexo 4'!$D$10,0)</f>
        <v>0</v>
      </c>
      <c r="T19" s="31">
        <f>ROUND('Anexo 8'!T19*'Anexo 4'!$D$10,0)</f>
        <v>0</v>
      </c>
      <c r="U19" s="31">
        <f>ROUND('Anexo 8'!U19*'Anexo 4'!$D$10,0)</f>
        <v>0</v>
      </c>
      <c r="V19" s="31">
        <f>ROUND('Anexo 8'!V19*'Anexo 4'!$D$10,0)</f>
        <v>0</v>
      </c>
      <c r="W19" s="31">
        <f>ROUND('Anexo 8'!W19*'Anexo 4'!$D$10,0)</f>
        <v>0</v>
      </c>
      <c r="X19" s="31">
        <f>ROUND('Anexo 8'!X19*'Anexo 4'!$D$10,0)</f>
        <v>0</v>
      </c>
      <c r="Y19" s="31">
        <f>ROUND('Anexo 8'!Y19*'Anexo 4'!$D$10,0)</f>
        <v>0</v>
      </c>
      <c r="Z19" s="31">
        <f>ROUND('Anexo 8'!Z19*'Anexo 4'!$D$10,0)</f>
        <v>0</v>
      </c>
      <c r="AA19" s="36">
        <f t="shared" si="0"/>
        <v>0</v>
      </c>
      <c r="AB19" s="19">
        <v>4</v>
      </c>
      <c r="AC19" s="91"/>
      <c r="AD19" s="45"/>
    </row>
    <row r="20" spans="1:30" ht="15.75" thickBot="1" x14ac:dyDescent="0.3">
      <c r="A20" s="89"/>
      <c r="B20" s="20" t="s">
        <v>3</v>
      </c>
      <c r="C20" s="31">
        <f>ROUND('Anexo 8'!C20*'Anexo 4'!$D$10,0)</f>
        <v>0</v>
      </c>
      <c r="D20" s="31">
        <f>ROUND('Anexo 8'!D20*'Anexo 4'!$D$10,0)</f>
        <v>0</v>
      </c>
      <c r="E20" s="31">
        <f>ROUND('Anexo 8'!E20*'Anexo 4'!$D$10,0)</f>
        <v>0</v>
      </c>
      <c r="F20" s="31">
        <f>ROUND('Anexo 8'!F20*'Anexo 4'!$D$10,0)</f>
        <v>0</v>
      </c>
      <c r="G20" s="31">
        <f>ROUND('Anexo 8'!G20*'Anexo 4'!$D$10,0)</f>
        <v>0</v>
      </c>
      <c r="H20" s="31">
        <f>ROUND('Anexo 8'!H20*'Anexo 4'!$D$10,0)</f>
        <v>0</v>
      </c>
      <c r="I20" s="31">
        <f>ROUND('Anexo 8'!I20*'Anexo 4'!$D$10,0)</f>
        <v>0</v>
      </c>
      <c r="J20" s="31">
        <f>ROUND('Anexo 8'!J20*'Anexo 4'!$D$10,0)</f>
        <v>0</v>
      </c>
      <c r="K20" s="31">
        <f>ROUND('Anexo 8'!K20*'Anexo 4'!$D$10,0)</f>
        <v>0</v>
      </c>
      <c r="L20" s="31">
        <f>ROUND('Anexo 8'!L20*'Anexo 4'!$D$10,0)</f>
        <v>0</v>
      </c>
      <c r="M20" s="31">
        <f>ROUND('Anexo 8'!M20*'Anexo 4'!$D$10,0)</f>
        <v>0</v>
      </c>
      <c r="N20" s="31">
        <f>ROUND('Anexo 8'!N20*'Anexo 4'!$D$10,0)</f>
        <v>0</v>
      </c>
      <c r="O20" s="31">
        <f>ROUND('Anexo 8'!O20*'Anexo 4'!$D$10,0)</f>
        <v>0</v>
      </c>
      <c r="P20" s="31">
        <f>ROUND('Anexo 8'!P20*'Anexo 4'!$D$10,0)</f>
        <v>0</v>
      </c>
      <c r="Q20" s="31">
        <f>ROUND('Anexo 8'!Q20*'Anexo 4'!$D$10,0)</f>
        <v>0</v>
      </c>
      <c r="R20" s="31">
        <f>ROUND('Anexo 8'!R20*'Anexo 4'!$D$10,0)</f>
        <v>0</v>
      </c>
      <c r="S20" s="31">
        <f>ROUND('Anexo 8'!S20*'Anexo 4'!$D$10,0)</f>
        <v>0</v>
      </c>
      <c r="T20" s="31">
        <f>ROUND('Anexo 8'!T20*'Anexo 4'!$D$10,0)</f>
        <v>0</v>
      </c>
      <c r="U20" s="31">
        <f>ROUND('Anexo 8'!U20*'Anexo 4'!$D$10,0)</f>
        <v>0</v>
      </c>
      <c r="V20" s="31">
        <f>ROUND('Anexo 8'!V20*'Anexo 4'!$D$10,0)</f>
        <v>0</v>
      </c>
      <c r="W20" s="31">
        <f>ROUND('Anexo 8'!W20*'Anexo 4'!$D$10,0)</f>
        <v>0</v>
      </c>
      <c r="X20" s="31">
        <f>ROUND('Anexo 8'!X20*'Anexo 4'!$D$10,0)</f>
        <v>0</v>
      </c>
      <c r="Y20" s="31">
        <f>ROUND('Anexo 8'!Y20*'Anexo 4'!$D$10,0)</f>
        <v>0</v>
      </c>
      <c r="Z20" s="31">
        <f>ROUND('Anexo 8'!Z20*'Anexo 4'!$D$10,0)</f>
        <v>0</v>
      </c>
      <c r="AA20" s="39">
        <f t="shared" si="0"/>
        <v>0</v>
      </c>
      <c r="AB20" s="21">
        <v>5</v>
      </c>
      <c r="AC20" s="92"/>
      <c r="AD20" s="46"/>
    </row>
    <row r="21" spans="1:30" ht="15.75" thickBot="1" x14ac:dyDescent="0.3">
      <c r="A21" s="89">
        <v>47635</v>
      </c>
      <c r="B21" s="16" t="s">
        <v>5</v>
      </c>
      <c r="C21" s="31">
        <f>ROUND('Anexo 8'!C21*'Anexo 4'!$D$10,0)</f>
        <v>0</v>
      </c>
      <c r="D21" s="31">
        <f>ROUND('Anexo 8'!D21*'Anexo 4'!$D$10,0)</f>
        <v>0</v>
      </c>
      <c r="E21" s="31">
        <f>ROUND('Anexo 8'!E21*'Anexo 4'!$D$10,0)</f>
        <v>0</v>
      </c>
      <c r="F21" s="31">
        <f>ROUND('Anexo 8'!F21*'Anexo 4'!$D$10,0)</f>
        <v>0</v>
      </c>
      <c r="G21" s="31">
        <f>ROUND('Anexo 8'!G21*'Anexo 4'!$D$10,0)</f>
        <v>0</v>
      </c>
      <c r="H21" s="31">
        <f>ROUND('Anexo 8'!H21*'Anexo 4'!$D$10,0)</f>
        <v>0</v>
      </c>
      <c r="I21" s="31">
        <f>ROUND('Anexo 8'!I21*'Anexo 4'!$D$10,0)</f>
        <v>0</v>
      </c>
      <c r="J21" s="31">
        <f>ROUND('Anexo 8'!J21*'Anexo 4'!$D$10,0)</f>
        <v>0</v>
      </c>
      <c r="K21" s="31">
        <f>ROUND('Anexo 8'!K21*'Anexo 4'!$D$10,0)</f>
        <v>0</v>
      </c>
      <c r="L21" s="31">
        <f>ROUND('Anexo 8'!L21*'Anexo 4'!$D$10,0)</f>
        <v>0</v>
      </c>
      <c r="M21" s="31">
        <f>ROUND('Anexo 8'!M21*'Anexo 4'!$D$10,0)</f>
        <v>0</v>
      </c>
      <c r="N21" s="31">
        <f>ROUND('Anexo 8'!N21*'Anexo 4'!$D$10,0)</f>
        <v>0</v>
      </c>
      <c r="O21" s="31">
        <f>ROUND('Anexo 8'!O21*'Anexo 4'!$D$10,0)</f>
        <v>0</v>
      </c>
      <c r="P21" s="31">
        <f>ROUND('Anexo 8'!P21*'Anexo 4'!$D$10,0)</f>
        <v>0</v>
      </c>
      <c r="Q21" s="31">
        <f>ROUND('Anexo 8'!Q21*'Anexo 4'!$D$10,0)</f>
        <v>0</v>
      </c>
      <c r="R21" s="31">
        <f>ROUND('Anexo 8'!R21*'Anexo 4'!$D$10,0)</f>
        <v>0</v>
      </c>
      <c r="S21" s="31">
        <f>ROUND('Anexo 8'!S21*'Anexo 4'!$D$10,0)</f>
        <v>0</v>
      </c>
      <c r="T21" s="31">
        <f>ROUND('Anexo 8'!T21*'Anexo 4'!$D$10,0)</f>
        <v>0</v>
      </c>
      <c r="U21" s="31">
        <f>ROUND('Anexo 8'!U21*'Anexo 4'!$D$10,0)</f>
        <v>0</v>
      </c>
      <c r="V21" s="31">
        <f>ROUND('Anexo 8'!V21*'Anexo 4'!$D$10,0)</f>
        <v>0</v>
      </c>
      <c r="W21" s="31">
        <f>ROUND('Anexo 8'!W21*'Anexo 4'!$D$10,0)</f>
        <v>0</v>
      </c>
      <c r="X21" s="31">
        <f>ROUND('Anexo 8'!X21*'Anexo 4'!$D$10,0)</f>
        <v>0</v>
      </c>
      <c r="Y21" s="31">
        <f>ROUND('Anexo 8'!Y21*'Anexo 4'!$D$10,0)</f>
        <v>0</v>
      </c>
      <c r="Z21" s="31">
        <f>ROUND('Anexo 8'!Z21*'Anexo 4'!$D$10,0)</f>
        <v>0</v>
      </c>
      <c r="AA21" s="33">
        <f t="shared" si="0"/>
        <v>0</v>
      </c>
      <c r="AB21" s="17">
        <v>18</v>
      </c>
      <c r="AC21" s="90">
        <f>+AA21*AB21+AA22*AB22+AA23*AB23</f>
        <v>0</v>
      </c>
    </row>
    <row r="22" spans="1:30" ht="15.75" thickBot="1" x14ac:dyDescent="0.3">
      <c r="A22" s="89"/>
      <c r="B22" s="18" t="s">
        <v>4</v>
      </c>
      <c r="C22" s="31">
        <f>ROUND('Anexo 8'!C22*'Anexo 4'!$D$10,0)</f>
        <v>0</v>
      </c>
      <c r="D22" s="31">
        <f>ROUND('Anexo 8'!D22*'Anexo 4'!$D$10,0)</f>
        <v>0</v>
      </c>
      <c r="E22" s="31">
        <f>ROUND('Anexo 8'!E22*'Anexo 4'!$D$10,0)</f>
        <v>0</v>
      </c>
      <c r="F22" s="31">
        <f>ROUND('Anexo 8'!F22*'Anexo 4'!$D$10,0)</f>
        <v>0</v>
      </c>
      <c r="G22" s="31">
        <f>ROUND('Anexo 8'!G22*'Anexo 4'!$D$10,0)</f>
        <v>0</v>
      </c>
      <c r="H22" s="31">
        <f>ROUND('Anexo 8'!H22*'Anexo 4'!$D$10,0)</f>
        <v>0</v>
      </c>
      <c r="I22" s="31">
        <f>ROUND('Anexo 8'!I22*'Anexo 4'!$D$10,0)</f>
        <v>0</v>
      </c>
      <c r="J22" s="31">
        <f>ROUND('Anexo 8'!J22*'Anexo 4'!$D$10,0)</f>
        <v>0</v>
      </c>
      <c r="K22" s="31">
        <f>ROUND('Anexo 8'!K22*'Anexo 4'!$D$10,0)</f>
        <v>0</v>
      </c>
      <c r="L22" s="31">
        <f>ROUND('Anexo 8'!L22*'Anexo 4'!$D$10,0)</f>
        <v>0</v>
      </c>
      <c r="M22" s="31">
        <f>ROUND('Anexo 8'!M22*'Anexo 4'!$D$10,0)</f>
        <v>0</v>
      </c>
      <c r="N22" s="31">
        <f>ROUND('Anexo 8'!N22*'Anexo 4'!$D$10,0)</f>
        <v>0</v>
      </c>
      <c r="O22" s="31">
        <f>ROUND('Anexo 8'!O22*'Anexo 4'!$D$10,0)</f>
        <v>0</v>
      </c>
      <c r="P22" s="31">
        <f>ROUND('Anexo 8'!P22*'Anexo 4'!$D$10,0)</f>
        <v>0</v>
      </c>
      <c r="Q22" s="31">
        <f>ROUND('Anexo 8'!Q22*'Anexo 4'!$D$10,0)</f>
        <v>0</v>
      </c>
      <c r="R22" s="31">
        <f>ROUND('Anexo 8'!R22*'Anexo 4'!$D$10,0)</f>
        <v>0</v>
      </c>
      <c r="S22" s="31">
        <f>ROUND('Anexo 8'!S22*'Anexo 4'!$D$10,0)</f>
        <v>0</v>
      </c>
      <c r="T22" s="31">
        <f>ROUND('Anexo 8'!T22*'Anexo 4'!$D$10,0)</f>
        <v>0</v>
      </c>
      <c r="U22" s="31">
        <f>ROUND('Anexo 8'!U22*'Anexo 4'!$D$10,0)</f>
        <v>0</v>
      </c>
      <c r="V22" s="31">
        <f>ROUND('Anexo 8'!V22*'Anexo 4'!$D$10,0)</f>
        <v>0</v>
      </c>
      <c r="W22" s="31">
        <f>ROUND('Anexo 8'!W22*'Anexo 4'!$D$10,0)</f>
        <v>0</v>
      </c>
      <c r="X22" s="31">
        <f>ROUND('Anexo 8'!X22*'Anexo 4'!$D$10,0)</f>
        <v>0</v>
      </c>
      <c r="Y22" s="31">
        <f>ROUND('Anexo 8'!Y22*'Anexo 4'!$D$10,0)</f>
        <v>0</v>
      </c>
      <c r="Z22" s="31">
        <f>ROUND('Anexo 8'!Z22*'Anexo 4'!$D$10,0)</f>
        <v>0</v>
      </c>
      <c r="AA22" s="36">
        <f t="shared" si="0"/>
        <v>0</v>
      </c>
      <c r="AB22" s="19">
        <v>5</v>
      </c>
      <c r="AC22" s="91"/>
      <c r="AD22" s="45"/>
    </row>
    <row r="23" spans="1:30" ht="15.75" thickBot="1" x14ac:dyDescent="0.3">
      <c r="A23" s="89"/>
      <c r="B23" s="20" t="s">
        <v>3</v>
      </c>
      <c r="C23" s="31">
        <f>ROUND('Anexo 8'!C23*'Anexo 4'!$D$10,0)</f>
        <v>0</v>
      </c>
      <c r="D23" s="31">
        <f>ROUND('Anexo 8'!D23*'Anexo 4'!$D$10,0)</f>
        <v>0</v>
      </c>
      <c r="E23" s="31">
        <f>ROUND('Anexo 8'!E23*'Anexo 4'!$D$10,0)</f>
        <v>0</v>
      </c>
      <c r="F23" s="31">
        <f>ROUND('Anexo 8'!F23*'Anexo 4'!$D$10,0)</f>
        <v>0</v>
      </c>
      <c r="G23" s="31">
        <f>ROUND('Anexo 8'!G23*'Anexo 4'!$D$10,0)</f>
        <v>0</v>
      </c>
      <c r="H23" s="31">
        <f>ROUND('Anexo 8'!H23*'Anexo 4'!$D$10,0)</f>
        <v>0</v>
      </c>
      <c r="I23" s="31">
        <f>ROUND('Anexo 8'!I23*'Anexo 4'!$D$10,0)</f>
        <v>0</v>
      </c>
      <c r="J23" s="31">
        <f>ROUND('Anexo 8'!J23*'Anexo 4'!$D$10,0)</f>
        <v>0</v>
      </c>
      <c r="K23" s="31">
        <f>ROUND('Anexo 8'!K23*'Anexo 4'!$D$10,0)</f>
        <v>0</v>
      </c>
      <c r="L23" s="31">
        <f>ROUND('Anexo 8'!L23*'Anexo 4'!$D$10,0)</f>
        <v>0</v>
      </c>
      <c r="M23" s="31">
        <f>ROUND('Anexo 8'!M23*'Anexo 4'!$D$10,0)</f>
        <v>0</v>
      </c>
      <c r="N23" s="31">
        <f>ROUND('Anexo 8'!N23*'Anexo 4'!$D$10,0)</f>
        <v>0</v>
      </c>
      <c r="O23" s="31">
        <f>ROUND('Anexo 8'!O23*'Anexo 4'!$D$10,0)</f>
        <v>0</v>
      </c>
      <c r="P23" s="31">
        <f>ROUND('Anexo 8'!P23*'Anexo 4'!$D$10,0)</f>
        <v>0</v>
      </c>
      <c r="Q23" s="31">
        <f>ROUND('Anexo 8'!Q23*'Anexo 4'!$D$10,0)</f>
        <v>0</v>
      </c>
      <c r="R23" s="31">
        <f>ROUND('Anexo 8'!R23*'Anexo 4'!$D$10,0)</f>
        <v>0</v>
      </c>
      <c r="S23" s="31">
        <f>ROUND('Anexo 8'!S23*'Anexo 4'!$D$10,0)</f>
        <v>0</v>
      </c>
      <c r="T23" s="31">
        <f>ROUND('Anexo 8'!T23*'Anexo 4'!$D$10,0)</f>
        <v>0</v>
      </c>
      <c r="U23" s="31">
        <f>ROUND('Anexo 8'!U23*'Anexo 4'!$D$10,0)</f>
        <v>0</v>
      </c>
      <c r="V23" s="31">
        <f>ROUND('Anexo 8'!V23*'Anexo 4'!$D$10,0)</f>
        <v>0</v>
      </c>
      <c r="W23" s="31">
        <f>ROUND('Anexo 8'!W23*'Anexo 4'!$D$10,0)</f>
        <v>0</v>
      </c>
      <c r="X23" s="31">
        <f>ROUND('Anexo 8'!X23*'Anexo 4'!$D$10,0)</f>
        <v>0</v>
      </c>
      <c r="Y23" s="31">
        <f>ROUND('Anexo 8'!Y23*'Anexo 4'!$D$10,0)</f>
        <v>0</v>
      </c>
      <c r="Z23" s="31">
        <f>ROUND('Anexo 8'!Z23*'Anexo 4'!$D$10,0)</f>
        <v>0</v>
      </c>
      <c r="AA23" s="39">
        <f t="shared" si="0"/>
        <v>0</v>
      </c>
      <c r="AB23" s="21">
        <v>7</v>
      </c>
      <c r="AC23" s="92"/>
      <c r="AD23" s="46"/>
    </row>
    <row r="24" spans="1:30" ht="15.75" thickBot="1" x14ac:dyDescent="0.3">
      <c r="A24" s="89">
        <v>47665</v>
      </c>
      <c r="B24" s="16" t="s">
        <v>5</v>
      </c>
      <c r="C24" s="31">
        <f>ROUND('Anexo 8'!C24*'Anexo 4'!$D$10,0)</f>
        <v>0</v>
      </c>
      <c r="D24" s="31">
        <f>ROUND('Anexo 8'!D24*'Anexo 4'!$D$10,0)</f>
        <v>0</v>
      </c>
      <c r="E24" s="31">
        <f>ROUND('Anexo 8'!E24*'Anexo 4'!$D$10,0)</f>
        <v>0</v>
      </c>
      <c r="F24" s="31">
        <f>ROUND('Anexo 8'!F24*'Anexo 4'!$D$10,0)</f>
        <v>0</v>
      </c>
      <c r="G24" s="31">
        <f>ROUND('Anexo 8'!G24*'Anexo 4'!$D$10,0)</f>
        <v>0</v>
      </c>
      <c r="H24" s="31">
        <f>ROUND('Anexo 8'!H24*'Anexo 4'!$D$10,0)</f>
        <v>0</v>
      </c>
      <c r="I24" s="31">
        <f>ROUND('Anexo 8'!I24*'Anexo 4'!$D$10,0)</f>
        <v>0</v>
      </c>
      <c r="J24" s="31">
        <f>ROUND('Anexo 8'!J24*'Anexo 4'!$D$10,0)</f>
        <v>0</v>
      </c>
      <c r="K24" s="31">
        <f>ROUND('Anexo 8'!K24*'Anexo 4'!$D$10,0)</f>
        <v>0</v>
      </c>
      <c r="L24" s="31">
        <f>ROUND('Anexo 8'!L24*'Anexo 4'!$D$10,0)</f>
        <v>0</v>
      </c>
      <c r="M24" s="31">
        <f>ROUND('Anexo 8'!M24*'Anexo 4'!$D$10,0)</f>
        <v>0</v>
      </c>
      <c r="N24" s="31">
        <f>ROUND('Anexo 8'!N24*'Anexo 4'!$D$10,0)</f>
        <v>0</v>
      </c>
      <c r="O24" s="31">
        <f>ROUND('Anexo 8'!O24*'Anexo 4'!$D$10,0)</f>
        <v>0</v>
      </c>
      <c r="P24" s="31">
        <f>ROUND('Anexo 8'!P24*'Anexo 4'!$D$10,0)</f>
        <v>0</v>
      </c>
      <c r="Q24" s="31">
        <f>ROUND('Anexo 8'!Q24*'Anexo 4'!$D$10,0)</f>
        <v>0</v>
      </c>
      <c r="R24" s="31">
        <f>ROUND('Anexo 8'!R24*'Anexo 4'!$D$10,0)</f>
        <v>0</v>
      </c>
      <c r="S24" s="31">
        <f>ROUND('Anexo 8'!S24*'Anexo 4'!$D$10,0)</f>
        <v>0</v>
      </c>
      <c r="T24" s="31">
        <f>ROUND('Anexo 8'!T24*'Anexo 4'!$D$10,0)</f>
        <v>0</v>
      </c>
      <c r="U24" s="31">
        <f>ROUND('Anexo 8'!U24*'Anexo 4'!$D$10,0)</f>
        <v>0</v>
      </c>
      <c r="V24" s="31">
        <f>ROUND('Anexo 8'!V24*'Anexo 4'!$D$10,0)</f>
        <v>0</v>
      </c>
      <c r="W24" s="31">
        <f>ROUND('Anexo 8'!W24*'Anexo 4'!$D$10,0)</f>
        <v>0</v>
      </c>
      <c r="X24" s="31">
        <f>ROUND('Anexo 8'!X24*'Anexo 4'!$D$10,0)</f>
        <v>0</v>
      </c>
      <c r="Y24" s="31">
        <f>ROUND('Anexo 8'!Y24*'Anexo 4'!$D$10,0)</f>
        <v>0</v>
      </c>
      <c r="Z24" s="31">
        <f>ROUND('Anexo 8'!Z24*'Anexo 4'!$D$10,0)</f>
        <v>0</v>
      </c>
      <c r="AA24" s="33">
        <f t="shared" si="0"/>
        <v>0</v>
      </c>
      <c r="AB24" s="17">
        <v>22</v>
      </c>
      <c r="AC24" s="90">
        <f>+AA24*AB24+AA25*AB25+AA26*AB26</f>
        <v>0</v>
      </c>
    </row>
    <row r="25" spans="1:30" ht="15.75" thickBot="1" x14ac:dyDescent="0.3">
      <c r="A25" s="89"/>
      <c r="B25" s="18" t="s">
        <v>4</v>
      </c>
      <c r="C25" s="31">
        <f>ROUND('Anexo 8'!C25*'Anexo 4'!$D$10,0)</f>
        <v>0</v>
      </c>
      <c r="D25" s="31">
        <f>ROUND('Anexo 8'!D25*'Anexo 4'!$D$10,0)</f>
        <v>0</v>
      </c>
      <c r="E25" s="31">
        <f>ROUND('Anexo 8'!E25*'Anexo 4'!$D$10,0)</f>
        <v>0</v>
      </c>
      <c r="F25" s="31">
        <f>ROUND('Anexo 8'!F25*'Anexo 4'!$D$10,0)</f>
        <v>0</v>
      </c>
      <c r="G25" s="31">
        <f>ROUND('Anexo 8'!G25*'Anexo 4'!$D$10,0)</f>
        <v>0</v>
      </c>
      <c r="H25" s="31">
        <f>ROUND('Anexo 8'!H25*'Anexo 4'!$D$10,0)</f>
        <v>0</v>
      </c>
      <c r="I25" s="31">
        <f>ROUND('Anexo 8'!I25*'Anexo 4'!$D$10,0)</f>
        <v>0</v>
      </c>
      <c r="J25" s="31">
        <f>ROUND('Anexo 8'!J25*'Anexo 4'!$D$10,0)</f>
        <v>0</v>
      </c>
      <c r="K25" s="31">
        <f>ROUND('Anexo 8'!K25*'Anexo 4'!$D$10,0)</f>
        <v>0</v>
      </c>
      <c r="L25" s="31">
        <f>ROUND('Anexo 8'!L25*'Anexo 4'!$D$10,0)</f>
        <v>0</v>
      </c>
      <c r="M25" s="31">
        <f>ROUND('Anexo 8'!M25*'Anexo 4'!$D$10,0)</f>
        <v>0</v>
      </c>
      <c r="N25" s="31">
        <f>ROUND('Anexo 8'!N25*'Anexo 4'!$D$10,0)</f>
        <v>0</v>
      </c>
      <c r="O25" s="31">
        <f>ROUND('Anexo 8'!O25*'Anexo 4'!$D$10,0)</f>
        <v>0</v>
      </c>
      <c r="P25" s="31">
        <f>ROUND('Anexo 8'!P25*'Anexo 4'!$D$10,0)</f>
        <v>0</v>
      </c>
      <c r="Q25" s="31">
        <f>ROUND('Anexo 8'!Q25*'Anexo 4'!$D$10,0)</f>
        <v>0</v>
      </c>
      <c r="R25" s="31">
        <f>ROUND('Anexo 8'!R25*'Anexo 4'!$D$10,0)</f>
        <v>0</v>
      </c>
      <c r="S25" s="31">
        <f>ROUND('Anexo 8'!S25*'Anexo 4'!$D$10,0)</f>
        <v>0</v>
      </c>
      <c r="T25" s="31">
        <f>ROUND('Anexo 8'!T25*'Anexo 4'!$D$10,0)</f>
        <v>0</v>
      </c>
      <c r="U25" s="31">
        <f>ROUND('Anexo 8'!U25*'Anexo 4'!$D$10,0)</f>
        <v>0</v>
      </c>
      <c r="V25" s="31">
        <f>ROUND('Anexo 8'!V25*'Anexo 4'!$D$10,0)</f>
        <v>0</v>
      </c>
      <c r="W25" s="31">
        <f>ROUND('Anexo 8'!W25*'Anexo 4'!$D$10,0)</f>
        <v>0</v>
      </c>
      <c r="X25" s="31">
        <f>ROUND('Anexo 8'!X25*'Anexo 4'!$D$10,0)</f>
        <v>0</v>
      </c>
      <c r="Y25" s="31">
        <f>ROUND('Anexo 8'!Y25*'Anexo 4'!$D$10,0)</f>
        <v>0</v>
      </c>
      <c r="Z25" s="31">
        <f>ROUND('Anexo 8'!Z25*'Anexo 4'!$D$10,0)</f>
        <v>0</v>
      </c>
      <c r="AA25" s="36">
        <f t="shared" si="0"/>
        <v>0</v>
      </c>
      <c r="AB25" s="19">
        <v>3</v>
      </c>
      <c r="AC25" s="91"/>
      <c r="AD25" s="45"/>
    </row>
    <row r="26" spans="1:30" ht="15.75" thickBot="1" x14ac:dyDescent="0.3">
      <c r="A26" s="89"/>
      <c r="B26" s="20" t="s">
        <v>3</v>
      </c>
      <c r="C26" s="31">
        <f>ROUND('Anexo 8'!C26*'Anexo 4'!$D$10,0)</f>
        <v>0</v>
      </c>
      <c r="D26" s="31">
        <f>ROUND('Anexo 8'!D26*'Anexo 4'!$D$10,0)</f>
        <v>0</v>
      </c>
      <c r="E26" s="31">
        <f>ROUND('Anexo 8'!E26*'Anexo 4'!$D$10,0)</f>
        <v>0</v>
      </c>
      <c r="F26" s="31">
        <f>ROUND('Anexo 8'!F26*'Anexo 4'!$D$10,0)</f>
        <v>0</v>
      </c>
      <c r="G26" s="31">
        <f>ROUND('Anexo 8'!G26*'Anexo 4'!$D$10,0)</f>
        <v>0</v>
      </c>
      <c r="H26" s="31">
        <f>ROUND('Anexo 8'!H26*'Anexo 4'!$D$10,0)</f>
        <v>0</v>
      </c>
      <c r="I26" s="31">
        <f>ROUND('Anexo 8'!I26*'Anexo 4'!$D$10,0)</f>
        <v>0</v>
      </c>
      <c r="J26" s="31">
        <f>ROUND('Anexo 8'!J26*'Anexo 4'!$D$10,0)</f>
        <v>0</v>
      </c>
      <c r="K26" s="31">
        <f>ROUND('Anexo 8'!K26*'Anexo 4'!$D$10,0)</f>
        <v>0</v>
      </c>
      <c r="L26" s="31">
        <f>ROUND('Anexo 8'!L26*'Anexo 4'!$D$10,0)</f>
        <v>0</v>
      </c>
      <c r="M26" s="31">
        <f>ROUND('Anexo 8'!M26*'Anexo 4'!$D$10,0)</f>
        <v>0</v>
      </c>
      <c r="N26" s="31">
        <f>ROUND('Anexo 8'!N26*'Anexo 4'!$D$10,0)</f>
        <v>0</v>
      </c>
      <c r="O26" s="31">
        <f>ROUND('Anexo 8'!O26*'Anexo 4'!$D$10,0)</f>
        <v>0</v>
      </c>
      <c r="P26" s="31">
        <f>ROUND('Anexo 8'!P26*'Anexo 4'!$D$10,0)</f>
        <v>0</v>
      </c>
      <c r="Q26" s="31">
        <f>ROUND('Anexo 8'!Q26*'Anexo 4'!$D$10,0)</f>
        <v>0</v>
      </c>
      <c r="R26" s="31">
        <f>ROUND('Anexo 8'!R26*'Anexo 4'!$D$10,0)</f>
        <v>0</v>
      </c>
      <c r="S26" s="31">
        <f>ROUND('Anexo 8'!S26*'Anexo 4'!$D$10,0)</f>
        <v>0</v>
      </c>
      <c r="T26" s="31">
        <f>ROUND('Anexo 8'!T26*'Anexo 4'!$D$10,0)</f>
        <v>0</v>
      </c>
      <c r="U26" s="31">
        <f>ROUND('Anexo 8'!U26*'Anexo 4'!$D$10,0)</f>
        <v>0</v>
      </c>
      <c r="V26" s="31">
        <f>ROUND('Anexo 8'!V26*'Anexo 4'!$D$10,0)</f>
        <v>0</v>
      </c>
      <c r="W26" s="31">
        <f>ROUND('Anexo 8'!W26*'Anexo 4'!$D$10,0)</f>
        <v>0</v>
      </c>
      <c r="X26" s="31">
        <f>ROUND('Anexo 8'!X26*'Anexo 4'!$D$10,0)</f>
        <v>0</v>
      </c>
      <c r="Y26" s="31">
        <f>ROUND('Anexo 8'!Y26*'Anexo 4'!$D$10,0)</f>
        <v>0</v>
      </c>
      <c r="Z26" s="31">
        <f>ROUND('Anexo 8'!Z26*'Anexo 4'!$D$10,0)</f>
        <v>0</v>
      </c>
      <c r="AA26" s="39">
        <f t="shared" si="0"/>
        <v>0</v>
      </c>
      <c r="AB26" s="21">
        <v>6</v>
      </c>
      <c r="AC26" s="92"/>
      <c r="AD26" s="46"/>
    </row>
    <row r="27" spans="1:30" ht="15.75" thickBot="1" x14ac:dyDescent="0.3">
      <c r="A27" s="89">
        <v>47696</v>
      </c>
      <c r="B27" s="16" t="s">
        <v>5</v>
      </c>
      <c r="C27" s="31">
        <f>ROUND('Anexo 8'!C27*'Anexo 4'!$D$10,0)</f>
        <v>0</v>
      </c>
      <c r="D27" s="31">
        <f>ROUND('Anexo 8'!D27*'Anexo 4'!$D$10,0)</f>
        <v>0</v>
      </c>
      <c r="E27" s="31">
        <f>ROUND('Anexo 8'!E27*'Anexo 4'!$D$10,0)</f>
        <v>0</v>
      </c>
      <c r="F27" s="31">
        <f>ROUND('Anexo 8'!F27*'Anexo 4'!$D$10,0)</f>
        <v>0</v>
      </c>
      <c r="G27" s="31">
        <f>ROUND('Anexo 8'!G27*'Anexo 4'!$D$10,0)</f>
        <v>0</v>
      </c>
      <c r="H27" s="31">
        <f>ROUND('Anexo 8'!H27*'Anexo 4'!$D$10,0)</f>
        <v>0</v>
      </c>
      <c r="I27" s="31">
        <f>ROUND('Anexo 8'!I27*'Anexo 4'!$D$10,0)</f>
        <v>0</v>
      </c>
      <c r="J27" s="31">
        <f>ROUND('Anexo 8'!J27*'Anexo 4'!$D$10,0)</f>
        <v>0</v>
      </c>
      <c r="K27" s="31">
        <f>ROUND('Anexo 8'!K27*'Anexo 4'!$D$10,0)</f>
        <v>0</v>
      </c>
      <c r="L27" s="31">
        <f>ROUND('Anexo 8'!L27*'Anexo 4'!$D$10,0)</f>
        <v>0</v>
      </c>
      <c r="M27" s="31">
        <f>ROUND('Anexo 8'!M27*'Anexo 4'!$D$10,0)</f>
        <v>0</v>
      </c>
      <c r="N27" s="31">
        <f>ROUND('Anexo 8'!N27*'Anexo 4'!$D$10,0)</f>
        <v>0</v>
      </c>
      <c r="O27" s="31">
        <f>ROUND('Anexo 8'!O27*'Anexo 4'!$D$10,0)</f>
        <v>0</v>
      </c>
      <c r="P27" s="31">
        <f>ROUND('Anexo 8'!P27*'Anexo 4'!$D$10,0)</f>
        <v>0</v>
      </c>
      <c r="Q27" s="31">
        <f>ROUND('Anexo 8'!Q27*'Anexo 4'!$D$10,0)</f>
        <v>0</v>
      </c>
      <c r="R27" s="31">
        <f>ROUND('Anexo 8'!R27*'Anexo 4'!$D$10,0)</f>
        <v>0</v>
      </c>
      <c r="S27" s="31">
        <f>ROUND('Anexo 8'!S27*'Anexo 4'!$D$10,0)</f>
        <v>0</v>
      </c>
      <c r="T27" s="31">
        <f>ROUND('Anexo 8'!T27*'Anexo 4'!$D$10,0)</f>
        <v>0</v>
      </c>
      <c r="U27" s="31">
        <f>ROUND('Anexo 8'!U27*'Anexo 4'!$D$10,0)</f>
        <v>0</v>
      </c>
      <c r="V27" s="31">
        <f>ROUND('Anexo 8'!V27*'Anexo 4'!$D$10,0)</f>
        <v>0</v>
      </c>
      <c r="W27" s="31">
        <f>ROUND('Anexo 8'!W27*'Anexo 4'!$D$10,0)</f>
        <v>0</v>
      </c>
      <c r="X27" s="31">
        <f>ROUND('Anexo 8'!X27*'Anexo 4'!$D$10,0)</f>
        <v>0</v>
      </c>
      <c r="Y27" s="31">
        <f>ROUND('Anexo 8'!Y27*'Anexo 4'!$D$10,0)</f>
        <v>0</v>
      </c>
      <c r="Z27" s="31">
        <f>ROUND('Anexo 8'!Z27*'Anexo 4'!$D$10,0)</f>
        <v>0</v>
      </c>
      <c r="AA27" s="33">
        <f t="shared" si="0"/>
        <v>0</v>
      </c>
      <c r="AB27" s="17">
        <v>20</v>
      </c>
      <c r="AC27" s="90">
        <f>+AA27*AB27+AA28*AB28+AA29*AB29</f>
        <v>0</v>
      </c>
    </row>
    <row r="28" spans="1:30" ht="15.75" thickBot="1" x14ac:dyDescent="0.3">
      <c r="A28" s="89"/>
      <c r="B28" s="18" t="s">
        <v>4</v>
      </c>
      <c r="C28" s="31">
        <f>ROUND('Anexo 8'!C28*'Anexo 4'!$D$10,0)</f>
        <v>0</v>
      </c>
      <c r="D28" s="31">
        <f>ROUND('Anexo 8'!D28*'Anexo 4'!$D$10,0)</f>
        <v>0</v>
      </c>
      <c r="E28" s="31">
        <f>ROUND('Anexo 8'!E28*'Anexo 4'!$D$10,0)</f>
        <v>0</v>
      </c>
      <c r="F28" s="31">
        <f>ROUND('Anexo 8'!F28*'Anexo 4'!$D$10,0)</f>
        <v>0</v>
      </c>
      <c r="G28" s="31">
        <f>ROUND('Anexo 8'!G28*'Anexo 4'!$D$10,0)</f>
        <v>0</v>
      </c>
      <c r="H28" s="31">
        <f>ROUND('Anexo 8'!H28*'Anexo 4'!$D$10,0)</f>
        <v>0</v>
      </c>
      <c r="I28" s="31">
        <f>ROUND('Anexo 8'!I28*'Anexo 4'!$D$10,0)</f>
        <v>0</v>
      </c>
      <c r="J28" s="31">
        <f>ROUND('Anexo 8'!J28*'Anexo 4'!$D$10,0)</f>
        <v>0</v>
      </c>
      <c r="K28" s="31">
        <f>ROUND('Anexo 8'!K28*'Anexo 4'!$D$10,0)</f>
        <v>0</v>
      </c>
      <c r="L28" s="31">
        <f>ROUND('Anexo 8'!L28*'Anexo 4'!$D$10,0)</f>
        <v>0</v>
      </c>
      <c r="M28" s="31">
        <f>ROUND('Anexo 8'!M28*'Anexo 4'!$D$10,0)</f>
        <v>0</v>
      </c>
      <c r="N28" s="31">
        <f>ROUND('Anexo 8'!N28*'Anexo 4'!$D$10,0)</f>
        <v>0</v>
      </c>
      <c r="O28" s="31">
        <f>ROUND('Anexo 8'!O28*'Anexo 4'!$D$10,0)</f>
        <v>0</v>
      </c>
      <c r="P28" s="31">
        <f>ROUND('Anexo 8'!P28*'Anexo 4'!$D$10,0)</f>
        <v>0</v>
      </c>
      <c r="Q28" s="31">
        <f>ROUND('Anexo 8'!Q28*'Anexo 4'!$D$10,0)</f>
        <v>0</v>
      </c>
      <c r="R28" s="31">
        <f>ROUND('Anexo 8'!R28*'Anexo 4'!$D$10,0)</f>
        <v>0</v>
      </c>
      <c r="S28" s="31">
        <f>ROUND('Anexo 8'!S28*'Anexo 4'!$D$10,0)</f>
        <v>0</v>
      </c>
      <c r="T28" s="31">
        <f>ROUND('Anexo 8'!T28*'Anexo 4'!$D$10,0)</f>
        <v>0</v>
      </c>
      <c r="U28" s="31">
        <f>ROUND('Anexo 8'!U28*'Anexo 4'!$D$10,0)</f>
        <v>0</v>
      </c>
      <c r="V28" s="31">
        <f>ROUND('Anexo 8'!V28*'Anexo 4'!$D$10,0)</f>
        <v>0</v>
      </c>
      <c r="W28" s="31">
        <f>ROUND('Anexo 8'!W28*'Anexo 4'!$D$10,0)</f>
        <v>0</v>
      </c>
      <c r="X28" s="31">
        <f>ROUND('Anexo 8'!X28*'Anexo 4'!$D$10,0)</f>
        <v>0</v>
      </c>
      <c r="Y28" s="31">
        <f>ROUND('Anexo 8'!Y28*'Anexo 4'!$D$10,0)</f>
        <v>0</v>
      </c>
      <c r="Z28" s="31">
        <f>ROUND('Anexo 8'!Z28*'Anexo 4'!$D$10,0)</f>
        <v>0</v>
      </c>
      <c r="AA28" s="36">
        <f t="shared" si="0"/>
        <v>0</v>
      </c>
      <c r="AB28" s="19">
        <v>5</v>
      </c>
      <c r="AC28" s="91"/>
      <c r="AD28" s="45"/>
    </row>
    <row r="29" spans="1:30" ht="15.75" thickBot="1" x14ac:dyDescent="0.3">
      <c r="A29" s="89"/>
      <c r="B29" s="20" t="s">
        <v>3</v>
      </c>
      <c r="C29" s="31">
        <f>ROUND('Anexo 8'!C29*'Anexo 4'!$D$10,0)</f>
        <v>0</v>
      </c>
      <c r="D29" s="31">
        <f>ROUND('Anexo 8'!D29*'Anexo 4'!$D$10,0)</f>
        <v>0</v>
      </c>
      <c r="E29" s="31">
        <f>ROUND('Anexo 8'!E29*'Anexo 4'!$D$10,0)</f>
        <v>0</v>
      </c>
      <c r="F29" s="31">
        <f>ROUND('Anexo 8'!F29*'Anexo 4'!$D$10,0)</f>
        <v>0</v>
      </c>
      <c r="G29" s="31">
        <f>ROUND('Anexo 8'!G29*'Anexo 4'!$D$10,0)</f>
        <v>0</v>
      </c>
      <c r="H29" s="31">
        <f>ROUND('Anexo 8'!H29*'Anexo 4'!$D$10,0)</f>
        <v>0</v>
      </c>
      <c r="I29" s="31">
        <f>ROUND('Anexo 8'!I29*'Anexo 4'!$D$10,0)</f>
        <v>0</v>
      </c>
      <c r="J29" s="31">
        <f>ROUND('Anexo 8'!J29*'Anexo 4'!$D$10,0)</f>
        <v>0</v>
      </c>
      <c r="K29" s="31">
        <f>ROUND('Anexo 8'!K29*'Anexo 4'!$D$10,0)</f>
        <v>0</v>
      </c>
      <c r="L29" s="31">
        <f>ROUND('Anexo 8'!L29*'Anexo 4'!$D$10,0)</f>
        <v>0</v>
      </c>
      <c r="M29" s="31">
        <f>ROUND('Anexo 8'!M29*'Anexo 4'!$D$10,0)</f>
        <v>0</v>
      </c>
      <c r="N29" s="31">
        <f>ROUND('Anexo 8'!N29*'Anexo 4'!$D$10,0)</f>
        <v>0</v>
      </c>
      <c r="O29" s="31">
        <f>ROUND('Anexo 8'!O29*'Anexo 4'!$D$10,0)</f>
        <v>0</v>
      </c>
      <c r="P29" s="31">
        <f>ROUND('Anexo 8'!P29*'Anexo 4'!$D$10,0)</f>
        <v>0</v>
      </c>
      <c r="Q29" s="31">
        <f>ROUND('Anexo 8'!Q29*'Anexo 4'!$D$10,0)</f>
        <v>0</v>
      </c>
      <c r="R29" s="31">
        <f>ROUND('Anexo 8'!R29*'Anexo 4'!$D$10,0)</f>
        <v>0</v>
      </c>
      <c r="S29" s="31">
        <f>ROUND('Anexo 8'!S29*'Anexo 4'!$D$10,0)</f>
        <v>0</v>
      </c>
      <c r="T29" s="31">
        <f>ROUND('Anexo 8'!T29*'Anexo 4'!$D$10,0)</f>
        <v>0</v>
      </c>
      <c r="U29" s="31">
        <f>ROUND('Anexo 8'!U29*'Anexo 4'!$D$10,0)</f>
        <v>0</v>
      </c>
      <c r="V29" s="31">
        <f>ROUND('Anexo 8'!V29*'Anexo 4'!$D$10,0)</f>
        <v>0</v>
      </c>
      <c r="W29" s="31">
        <f>ROUND('Anexo 8'!W29*'Anexo 4'!$D$10,0)</f>
        <v>0</v>
      </c>
      <c r="X29" s="31">
        <f>ROUND('Anexo 8'!X29*'Anexo 4'!$D$10,0)</f>
        <v>0</v>
      </c>
      <c r="Y29" s="31">
        <f>ROUND('Anexo 8'!Y29*'Anexo 4'!$D$10,0)</f>
        <v>0</v>
      </c>
      <c r="Z29" s="31">
        <f>ROUND('Anexo 8'!Z29*'Anexo 4'!$D$10,0)</f>
        <v>0</v>
      </c>
      <c r="AA29" s="39">
        <f t="shared" si="0"/>
        <v>0</v>
      </c>
      <c r="AB29" s="21">
        <v>6</v>
      </c>
      <c r="AC29" s="92"/>
      <c r="AD29" s="47"/>
    </row>
    <row r="30" spans="1:30" ht="15.75" thickBot="1" x14ac:dyDescent="0.3">
      <c r="A30" s="89">
        <v>47727</v>
      </c>
      <c r="B30" s="16" t="s">
        <v>5</v>
      </c>
      <c r="C30" s="31">
        <f>ROUND('Anexo 8'!C30*'Anexo 4'!$D$10,0)</f>
        <v>0</v>
      </c>
      <c r="D30" s="31">
        <f>ROUND('Anexo 8'!D30*'Anexo 4'!$D$10,0)</f>
        <v>0</v>
      </c>
      <c r="E30" s="31">
        <f>ROUND('Anexo 8'!E30*'Anexo 4'!$D$10,0)</f>
        <v>0</v>
      </c>
      <c r="F30" s="31">
        <f>ROUND('Anexo 8'!F30*'Anexo 4'!$D$10,0)</f>
        <v>0</v>
      </c>
      <c r="G30" s="31">
        <f>ROUND('Anexo 8'!G30*'Anexo 4'!$D$10,0)</f>
        <v>0</v>
      </c>
      <c r="H30" s="31">
        <f>ROUND('Anexo 8'!H30*'Anexo 4'!$D$10,0)</f>
        <v>0</v>
      </c>
      <c r="I30" s="31">
        <f>ROUND('Anexo 8'!I30*'Anexo 4'!$D$10,0)</f>
        <v>0</v>
      </c>
      <c r="J30" s="31">
        <f>ROUND('Anexo 8'!J30*'Anexo 4'!$D$10,0)</f>
        <v>0</v>
      </c>
      <c r="K30" s="31">
        <f>ROUND('Anexo 8'!K30*'Anexo 4'!$D$10,0)</f>
        <v>0</v>
      </c>
      <c r="L30" s="31">
        <f>ROUND('Anexo 8'!L30*'Anexo 4'!$D$10,0)</f>
        <v>0</v>
      </c>
      <c r="M30" s="31">
        <f>ROUND('Anexo 8'!M30*'Anexo 4'!$D$10,0)</f>
        <v>0</v>
      </c>
      <c r="N30" s="31">
        <f>ROUND('Anexo 8'!N30*'Anexo 4'!$D$10,0)</f>
        <v>0</v>
      </c>
      <c r="O30" s="31">
        <f>ROUND('Anexo 8'!O30*'Anexo 4'!$D$10,0)</f>
        <v>0</v>
      </c>
      <c r="P30" s="31">
        <f>ROUND('Anexo 8'!P30*'Anexo 4'!$D$10,0)</f>
        <v>0</v>
      </c>
      <c r="Q30" s="31">
        <f>ROUND('Anexo 8'!Q30*'Anexo 4'!$D$10,0)</f>
        <v>0</v>
      </c>
      <c r="R30" s="31">
        <f>ROUND('Anexo 8'!R30*'Anexo 4'!$D$10,0)</f>
        <v>0</v>
      </c>
      <c r="S30" s="31">
        <f>ROUND('Anexo 8'!S30*'Anexo 4'!$D$10,0)</f>
        <v>0</v>
      </c>
      <c r="T30" s="31">
        <f>ROUND('Anexo 8'!T30*'Anexo 4'!$D$10,0)</f>
        <v>0</v>
      </c>
      <c r="U30" s="31">
        <f>ROUND('Anexo 8'!U30*'Anexo 4'!$D$10,0)</f>
        <v>0</v>
      </c>
      <c r="V30" s="31">
        <f>ROUND('Anexo 8'!V30*'Anexo 4'!$D$10,0)</f>
        <v>0</v>
      </c>
      <c r="W30" s="31">
        <f>ROUND('Anexo 8'!W30*'Anexo 4'!$D$10,0)</f>
        <v>0</v>
      </c>
      <c r="X30" s="31">
        <f>ROUND('Anexo 8'!X30*'Anexo 4'!$D$10,0)</f>
        <v>0</v>
      </c>
      <c r="Y30" s="31">
        <f>ROUND('Anexo 8'!Y30*'Anexo 4'!$D$10,0)</f>
        <v>0</v>
      </c>
      <c r="Z30" s="31">
        <f>ROUND('Anexo 8'!Z30*'Anexo 4'!$D$10,0)</f>
        <v>0</v>
      </c>
      <c r="AA30" s="33">
        <f t="shared" si="0"/>
        <v>0</v>
      </c>
      <c r="AB30" s="17">
        <v>21</v>
      </c>
      <c r="AC30" s="90">
        <f>+AA30*AB30+AA31*AB31+AA32*AB32</f>
        <v>0</v>
      </c>
    </row>
    <row r="31" spans="1:30" ht="15.75" thickBot="1" x14ac:dyDescent="0.3">
      <c r="A31" s="89"/>
      <c r="B31" s="18" t="s">
        <v>4</v>
      </c>
      <c r="C31" s="31">
        <f>ROUND('Anexo 8'!C31*'Anexo 4'!$D$10,0)</f>
        <v>0</v>
      </c>
      <c r="D31" s="31">
        <f>ROUND('Anexo 8'!D31*'Anexo 4'!$D$10,0)</f>
        <v>0</v>
      </c>
      <c r="E31" s="31">
        <f>ROUND('Anexo 8'!E31*'Anexo 4'!$D$10,0)</f>
        <v>0</v>
      </c>
      <c r="F31" s="31">
        <f>ROUND('Anexo 8'!F31*'Anexo 4'!$D$10,0)</f>
        <v>0</v>
      </c>
      <c r="G31" s="31">
        <f>ROUND('Anexo 8'!G31*'Anexo 4'!$D$10,0)</f>
        <v>0</v>
      </c>
      <c r="H31" s="31">
        <f>ROUND('Anexo 8'!H31*'Anexo 4'!$D$10,0)</f>
        <v>0</v>
      </c>
      <c r="I31" s="31">
        <f>ROUND('Anexo 8'!I31*'Anexo 4'!$D$10,0)</f>
        <v>0</v>
      </c>
      <c r="J31" s="31">
        <f>ROUND('Anexo 8'!J31*'Anexo 4'!$D$10,0)</f>
        <v>0</v>
      </c>
      <c r="K31" s="31">
        <f>ROUND('Anexo 8'!K31*'Anexo 4'!$D$10,0)</f>
        <v>0</v>
      </c>
      <c r="L31" s="31">
        <f>ROUND('Anexo 8'!L31*'Anexo 4'!$D$10,0)</f>
        <v>0</v>
      </c>
      <c r="M31" s="31">
        <f>ROUND('Anexo 8'!M31*'Anexo 4'!$D$10,0)</f>
        <v>0</v>
      </c>
      <c r="N31" s="31">
        <f>ROUND('Anexo 8'!N31*'Anexo 4'!$D$10,0)</f>
        <v>0</v>
      </c>
      <c r="O31" s="31">
        <f>ROUND('Anexo 8'!O31*'Anexo 4'!$D$10,0)</f>
        <v>0</v>
      </c>
      <c r="P31" s="31">
        <f>ROUND('Anexo 8'!P31*'Anexo 4'!$D$10,0)</f>
        <v>0</v>
      </c>
      <c r="Q31" s="31">
        <f>ROUND('Anexo 8'!Q31*'Anexo 4'!$D$10,0)</f>
        <v>0</v>
      </c>
      <c r="R31" s="31">
        <f>ROUND('Anexo 8'!R31*'Anexo 4'!$D$10,0)</f>
        <v>0</v>
      </c>
      <c r="S31" s="31">
        <f>ROUND('Anexo 8'!S31*'Anexo 4'!$D$10,0)</f>
        <v>0</v>
      </c>
      <c r="T31" s="31">
        <f>ROUND('Anexo 8'!T31*'Anexo 4'!$D$10,0)</f>
        <v>0</v>
      </c>
      <c r="U31" s="31">
        <f>ROUND('Anexo 8'!U31*'Anexo 4'!$D$10,0)</f>
        <v>0</v>
      </c>
      <c r="V31" s="31">
        <f>ROUND('Anexo 8'!V31*'Anexo 4'!$D$10,0)</f>
        <v>0</v>
      </c>
      <c r="W31" s="31">
        <f>ROUND('Anexo 8'!W31*'Anexo 4'!$D$10,0)</f>
        <v>0</v>
      </c>
      <c r="X31" s="31">
        <f>ROUND('Anexo 8'!X31*'Anexo 4'!$D$10,0)</f>
        <v>0</v>
      </c>
      <c r="Y31" s="31">
        <f>ROUND('Anexo 8'!Y31*'Anexo 4'!$D$10,0)</f>
        <v>0</v>
      </c>
      <c r="Z31" s="31">
        <f>ROUND('Anexo 8'!Z31*'Anexo 4'!$D$10,0)</f>
        <v>0</v>
      </c>
      <c r="AA31" s="36">
        <f t="shared" si="0"/>
        <v>0</v>
      </c>
      <c r="AB31" s="19">
        <v>4</v>
      </c>
      <c r="AC31" s="91"/>
      <c r="AD31" s="45"/>
    </row>
    <row r="32" spans="1:30" ht="15.75" thickBot="1" x14ac:dyDescent="0.3">
      <c r="A32" s="89"/>
      <c r="B32" s="20" t="s">
        <v>3</v>
      </c>
      <c r="C32" s="31">
        <f>ROUND('Anexo 8'!C32*'Anexo 4'!$D$10,0)</f>
        <v>0</v>
      </c>
      <c r="D32" s="31">
        <f>ROUND('Anexo 8'!D32*'Anexo 4'!$D$10,0)</f>
        <v>0</v>
      </c>
      <c r="E32" s="31">
        <f>ROUND('Anexo 8'!E32*'Anexo 4'!$D$10,0)</f>
        <v>0</v>
      </c>
      <c r="F32" s="31">
        <f>ROUND('Anexo 8'!F32*'Anexo 4'!$D$10,0)</f>
        <v>0</v>
      </c>
      <c r="G32" s="31">
        <f>ROUND('Anexo 8'!G32*'Anexo 4'!$D$10,0)</f>
        <v>0</v>
      </c>
      <c r="H32" s="31">
        <f>ROUND('Anexo 8'!H32*'Anexo 4'!$D$10,0)</f>
        <v>0</v>
      </c>
      <c r="I32" s="31">
        <f>ROUND('Anexo 8'!I32*'Anexo 4'!$D$10,0)</f>
        <v>0</v>
      </c>
      <c r="J32" s="31">
        <f>ROUND('Anexo 8'!J32*'Anexo 4'!$D$10,0)</f>
        <v>0</v>
      </c>
      <c r="K32" s="31">
        <f>ROUND('Anexo 8'!K32*'Anexo 4'!$D$10,0)</f>
        <v>0</v>
      </c>
      <c r="L32" s="31">
        <f>ROUND('Anexo 8'!L32*'Anexo 4'!$D$10,0)</f>
        <v>0</v>
      </c>
      <c r="M32" s="31">
        <f>ROUND('Anexo 8'!M32*'Anexo 4'!$D$10,0)</f>
        <v>0</v>
      </c>
      <c r="N32" s="31">
        <f>ROUND('Anexo 8'!N32*'Anexo 4'!$D$10,0)</f>
        <v>0</v>
      </c>
      <c r="O32" s="31">
        <f>ROUND('Anexo 8'!O32*'Anexo 4'!$D$10,0)</f>
        <v>0</v>
      </c>
      <c r="P32" s="31">
        <f>ROUND('Anexo 8'!P32*'Anexo 4'!$D$10,0)</f>
        <v>0</v>
      </c>
      <c r="Q32" s="31">
        <f>ROUND('Anexo 8'!Q32*'Anexo 4'!$D$10,0)</f>
        <v>0</v>
      </c>
      <c r="R32" s="31">
        <f>ROUND('Anexo 8'!R32*'Anexo 4'!$D$10,0)</f>
        <v>0</v>
      </c>
      <c r="S32" s="31">
        <f>ROUND('Anexo 8'!S32*'Anexo 4'!$D$10,0)</f>
        <v>0</v>
      </c>
      <c r="T32" s="31">
        <f>ROUND('Anexo 8'!T32*'Anexo 4'!$D$10,0)</f>
        <v>0</v>
      </c>
      <c r="U32" s="31">
        <f>ROUND('Anexo 8'!U32*'Anexo 4'!$D$10,0)</f>
        <v>0</v>
      </c>
      <c r="V32" s="31">
        <f>ROUND('Anexo 8'!V32*'Anexo 4'!$D$10,0)</f>
        <v>0</v>
      </c>
      <c r="W32" s="31">
        <f>ROUND('Anexo 8'!W32*'Anexo 4'!$D$10,0)</f>
        <v>0</v>
      </c>
      <c r="X32" s="31">
        <f>ROUND('Anexo 8'!X32*'Anexo 4'!$D$10,0)</f>
        <v>0</v>
      </c>
      <c r="Y32" s="31">
        <f>ROUND('Anexo 8'!Y32*'Anexo 4'!$D$10,0)</f>
        <v>0</v>
      </c>
      <c r="Z32" s="31">
        <f>ROUND('Anexo 8'!Z32*'Anexo 4'!$D$10,0)</f>
        <v>0</v>
      </c>
      <c r="AA32" s="39">
        <f t="shared" si="0"/>
        <v>0</v>
      </c>
      <c r="AB32" s="21">
        <v>5</v>
      </c>
      <c r="AC32" s="92"/>
      <c r="AD32" s="46"/>
    </row>
    <row r="33" spans="1:30" ht="15.75" thickBot="1" x14ac:dyDescent="0.3">
      <c r="A33" s="89">
        <v>47757</v>
      </c>
      <c r="B33" s="16" t="s">
        <v>5</v>
      </c>
      <c r="C33" s="31">
        <f>ROUND('Anexo 8'!C33*'Anexo 4'!$D$10,0)</f>
        <v>0</v>
      </c>
      <c r="D33" s="31">
        <f>ROUND('Anexo 8'!D33*'Anexo 4'!$D$10,0)</f>
        <v>0</v>
      </c>
      <c r="E33" s="31">
        <f>ROUND('Anexo 8'!E33*'Anexo 4'!$D$10,0)</f>
        <v>0</v>
      </c>
      <c r="F33" s="31">
        <f>ROUND('Anexo 8'!F33*'Anexo 4'!$D$10,0)</f>
        <v>0</v>
      </c>
      <c r="G33" s="31">
        <f>ROUND('Anexo 8'!G33*'Anexo 4'!$D$10,0)</f>
        <v>0</v>
      </c>
      <c r="H33" s="31">
        <f>ROUND('Anexo 8'!H33*'Anexo 4'!$D$10,0)</f>
        <v>0</v>
      </c>
      <c r="I33" s="31">
        <f>ROUND('Anexo 8'!I33*'Anexo 4'!$D$10,0)</f>
        <v>0</v>
      </c>
      <c r="J33" s="31">
        <f>ROUND('Anexo 8'!J33*'Anexo 4'!$D$10,0)</f>
        <v>0</v>
      </c>
      <c r="K33" s="31">
        <f>ROUND('Anexo 8'!K33*'Anexo 4'!$D$10,0)</f>
        <v>0</v>
      </c>
      <c r="L33" s="31">
        <f>ROUND('Anexo 8'!L33*'Anexo 4'!$D$10,0)</f>
        <v>0</v>
      </c>
      <c r="M33" s="31">
        <f>ROUND('Anexo 8'!M33*'Anexo 4'!$D$10,0)</f>
        <v>0</v>
      </c>
      <c r="N33" s="31">
        <f>ROUND('Anexo 8'!N33*'Anexo 4'!$D$10,0)</f>
        <v>0</v>
      </c>
      <c r="O33" s="31">
        <f>ROUND('Anexo 8'!O33*'Anexo 4'!$D$10,0)</f>
        <v>0</v>
      </c>
      <c r="P33" s="31">
        <f>ROUND('Anexo 8'!P33*'Anexo 4'!$D$10,0)</f>
        <v>0</v>
      </c>
      <c r="Q33" s="31">
        <f>ROUND('Anexo 8'!Q33*'Anexo 4'!$D$10,0)</f>
        <v>0</v>
      </c>
      <c r="R33" s="31">
        <f>ROUND('Anexo 8'!R33*'Anexo 4'!$D$10,0)</f>
        <v>0</v>
      </c>
      <c r="S33" s="31">
        <f>ROUND('Anexo 8'!S33*'Anexo 4'!$D$10,0)</f>
        <v>0</v>
      </c>
      <c r="T33" s="31">
        <f>ROUND('Anexo 8'!T33*'Anexo 4'!$D$10,0)</f>
        <v>0</v>
      </c>
      <c r="U33" s="31">
        <f>ROUND('Anexo 8'!U33*'Anexo 4'!$D$10,0)</f>
        <v>0</v>
      </c>
      <c r="V33" s="31">
        <f>ROUND('Anexo 8'!V33*'Anexo 4'!$D$10,0)</f>
        <v>0</v>
      </c>
      <c r="W33" s="31">
        <f>ROUND('Anexo 8'!W33*'Anexo 4'!$D$10,0)</f>
        <v>0</v>
      </c>
      <c r="X33" s="31">
        <f>ROUND('Anexo 8'!X33*'Anexo 4'!$D$10,0)</f>
        <v>0</v>
      </c>
      <c r="Y33" s="31">
        <f>ROUND('Anexo 8'!Y33*'Anexo 4'!$D$10,0)</f>
        <v>0</v>
      </c>
      <c r="Z33" s="31">
        <f>ROUND('Anexo 8'!Z33*'Anexo 4'!$D$10,0)</f>
        <v>0</v>
      </c>
      <c r="AA33" s="33">
        <f t="shared" si="0"/>
        <v>0</v>
      </c>
      <c r="AB33" s="17">
        <v>22</v>
      </c>
      <c r="AC33" s="90">
        <f>+AA33*AB33+AA34*AB34+AA35*AB35</f>
        <v>0</v>
      </c>
    </row>
    <row r="34" spans="1:30" ht="15.75" thickBot="1" x14ac:dyDescent="0.3">
      <c r="A34" s="89"/>
      <c r="B34" s="18" t="s">
        <v>4</v>
      </c>
      <c r="C34" s="31">
        <f>ROUND('Anexo 8'!C34*'Anexo 4'!$D$10,0)</f>
        <v>0</v>
      </c>
      <c r="D34" s="31">
        <f>ROUND('Anexo 8'!D34*'Anexo 4'!$D$10,0)</f>
        <v>0</v>
      </c>
      <c r="E34" s="31">
        <f>ROUND('Anexo 8'!E34*'Anexo 4'!$D$10,0)</f>
        <v>0</v>
      </c>
      <c r="F34" s="31">
        <f>ROUND('Anexo 8'!F34*'Anexo 4'!$D$10,0)</f>
        <v>0</v>
      </c>
      <c r="G34" s="31">
        <f>ROUND('Anexo 8'!G34*'Anexo 4'!$D$10,0)</f>
        <v>0</v>
      </c>
      <c r="H34" s="31">
        <f>ROUND('Anexo 8'!H34*'Anexo 4'!$D$10,0)</f>
        <v>0</v>
      </c>
      <c r="I34" s="31">
        <f>ROUND('Anexo 8'!I34*'Anexo 4'!$D$10,0)</f>
        <v>0</v>
      </c>
      <c r="J34" s="31">
        <f>ROUND('Anexo 8'!J34*'Anexo 4'!$D$10,0)</f>
        <v>0</v>
      </c>
      <c r="K34" s="31">
        <f>ROUND('Anexo 8'!K34*'Anexo 4'!$D$10,0)</f>
        <v>0</v>
      </c>
      <c r="L34" s="31">
        <f>ROUND('Anexo 8'!L34*'Anexo 4'!$D$10,0)</f>
        <v>0</v>
      </c>
      <c r="M34" s="31">
        <f>ROUND('Anexo 8'!M34*'Anexo 4'!$D$10,0)</f>
        <v>0</v>
      </c>
      <c r="N34" s="31">
        <f>ROUND('Anexo 8'!N34*'Anexo 4'!$D$10,0)</f>
        <v>0</v>
      </c>
      <c r="O34" s="31">
        <f>ROUND('Anexo 8'!O34*'Anexo 4'!$D$10,0)</f>
        <v>0</v>
      </c>
      <c r="P34" s="31">
        <f>ROUND('Anexo 8'!P34*'Anexo 4'!$D$10,0)</f>
        <v>0</v>
      </c>
      <c r="Q34" s="31">
        <f>ROUND('Anexo 8'!Q34*'Anexo 4'!$D$10,0)</f>
        <v>0</v>
      </c>
      <c r="R34" s="31">
        <f>ROUND('Anexo 8'!R34*'Anexo 4'!$D$10,0)</f>
        <v>0</v>
      </c>
      <c r="S34" s="31">
        <f>ROUND('Anexo 8'!S34*'Anexo 4'!$D$10,0)</f>
        <v>0</v>
      </c>
      <c r="T34" s="31">
        <f>ROUND('Anexo 8'!T34*'Anexo 4'!$D$10,0)</f>
        <v>0</v>
      </c>
      <c r="U34" s="31">
        <f>ROUND('Anexo 8'!U34*'Anexo 4'!$D$10,0)</f>
        <v>0</v>
      </c>
      <c r="V34" s="31">
        <f>ROUND('Anexo 8'!V34*'Anexo 4'!$D$10,0)</f>
        <v>0</v>
      </c>
      <c r="W34" s="31">
        <f>ROUND('Anexo 8'!W34*'Anexo 4'!$D$10,0)</f>
        <v>0</v>
      </c>
      <c r="X34" s="31">
        <f>ROUND('Anexo 8'!X34*'Anexo 4'!$D$10,0)</f>
        <v>0</v>
      </c>
      <c r="Y34" s="31">
        <f>ROUND('Anexo 8'!Y34*'Anexo 4'!$D$10,0)</f>
        <v>0</v>
      </c>
      <c r="Z34" s="31">
        <f>ROUND('Anexo 8'!Z34*'Anexo 4'!$D$10,0)</f>
        <v>0</v>
      </c>
      <c r="AA34" s="36">
        <f t="shared" si="0"/>
        <v>0</v>
      </c>
      <c r="AB34" s="19">
        <v>4</v>
      </c>
      <c r="AC34" s="91"/>
      <c r="AD34" s="45"/>
    </row>
    <row r="35" spans="1:30" ht="15.75" thickBot="1" x14ac:dyDescent="0.3">
      <c r="A35" s="89"/>
      <c r="B35" s="20" t="s">
        <v>3</v>
      </c>
      <c r="C35" s="31">
        <f>ROUND('Anexo 8'!C35*'Anexo 4'!$D$10,0)</f>
        <v>0</v>
      </c>
      <c r="D35" s="31">
        <f>ROUND('Anexo 8'!D35*'Anexo 4'!$D$10,0)</f>
        <v>0</v>
      </c>
      <c r="E35" s="31">
        <f>ROUND('Anexo 8'!E35*'Anexo 4'!$D$10,0)</f>
        <v>0</v>
      </c>
      <c r="F35" s="31">
        <f>ROUND('Anexo 8'!F35*'Anexo 4'!$D$10,0)</f>
        <v>0</v>
      </c>
      <c r="G35" s="31">
        <f>ROUND('Anexo 8'!G35*'Anexo 4'!$D$10,0)</f>
        <v>0</v>
      </c>
      <c r="H35" s="31">
        <f>ROUND('Anexo 8'!H35*'Anexo 4'!$D$10,0)</f>
        <v>0</v>
      </c>
      <c r="I35" s="31">
        <f>ROUND('Anexo 8'!I35*'Anexo 4'!$D$10,0)</f>
        <v>0</v>
      </c>
      <c r="J35" s="31">
        <f>ROUND('Anexo 8'!J35*'Anexo 4'!$D$10,0)</f>
        <v>0</v>
      </c>
      <c r="K35" s="31">
        <f>ROUND('Anexo 8'!K35*'Anexo 4'!$D$10,0)</f>
        <v>0</v>
      </c>
      <c r="L35" s="31">
        <f>ROUND('Anexo 8'!L35*'Anexo 4'!$D$10,0)</f>
        <v>0</v>
      </c>
      <c r="M35" s="31">
        <f>ROUND('Anexo 8'!M35*'Anexo 4'!$D$10,0)</f>
        <v>0</v>
      </c>
      <c r="N35" s="31">
        <f>ROUND('Anexo 8'!N35*'Anexo 4'!$D$10,0)</f>
        <v>0</v>
      </c>
      <c r="O35" s="31">
        <f>ROUND('Anexo 8'!O35*'Anexo 4'!$D$10,0)</f>
        <v>0</v>
      </c>
      <c r="P35" s="31">
        <f>ROUND('Anexo 8'!P35*'Anexo 4'!$D$10,0)</f>
        <v>0</v>
      </c>
      <c r="Q35" s="31">
        <f>ROUND('Anexo 8'!Q35*'Anexo 4'!$D$10,0)</f>
        <v>0</v>
      </c>
      <c r="R35" s="31">
        <f>ROUND('Anexo 8'!R35*'Anexo 4'!$D$10,0)</f>
        <v>0</v>
      </c>
      <c r="S35" s="31">
        <f>ROUND('Anexo 8'!S35*'Anexo 4'!$D$10,0)</f>
        <v>0</v>
      </c>
      <c r="T35" s="31">
        <f>ROUND('Anexo 8'!T35*'Anexo 4'!$D$10,0)</f>
        <v>0</v>
      </c>
      <c r="U35" s="31">
        <f>ROUND('Anexo 8'!U35*'Anexo 4'!$D$10,0)</f>
        <v>0</v>
      </c>
      <c r="V35" s="31">
        <f>ROUND('Anexo 8'!V35*'Anexo 4'!$D$10,0)</f>
        <v>0</v>
      </c>
      <c r="W35" s="31">
        <f>ROUND('Anexo 8'!W35*'Anexo 4'!$D$10,0)</f>
        <v>0</v>
      </c>
      <c r="X35" s="31">
        <f>ROUND('Anexo 8'!X35*'Anexo 4'!$D$10,0)</f>
        <v>0</v>
      </c>
      <c r="Y35" s="31">
        <f>ROUND('Anexo 8'!Y35*'Anexo 4'!$D$10,0)</f>
        <v>0</v>
      </c>
      <c r="Z35" s="31">
        <f>ROUND('Anexo 8'!Z35*'Anexo 4'!$D$10,0)</f>
        <v>0</v>
      </c>
      <c r="AA35" s="39">
        <f t="shared" si="0"/>
        <v>0</v>
      </c>
      <c r="AB35" s="21">
        <v>5</v>
      </c>
      <c r="AC35" s="92"/>
      <c r="AD35" s="46"/>
    </row>
    <row r="36" spans="1:30" ht="15.75" thickBot="1" x14ac:dyDescent="0.3">
      <c r="A36" s="89">
        <v>47788</v>
      </c>
      <c r="B36" s="16" t="s">
        <v>5</v>
      </c>
      <c r="C36" s="31">
        <f>ROUND('Anexo 8'!C36*'Anexo 4'!$D$10,0)</f>
        <v>0</v>
      </c>
      <c r="D36" s="31">
        <f>ROUND('Anexo 8'!D36*'Anexo 4'!$D$10,0)</f>
        <v>0</v>
      </c>
      <c r="E36" s="31">
        <f>ROUND('Anexo 8'!E36*'Anexo 4'!$D$10,0)</f>
        <v>0</v>
      </c>
      <c r="F36" s="31">
        <f>ROUND('Anexo 8'!F36*'Anexo 4'!$D$10,0)</f>
        <v>0</v>
      </c>
      <c r="G36" s="31">
        <f>ROUND('Anexo 8'!G36*'Anexo 4'!$D$10,0)</f>
        <v>0</v>
      </c>
      <c r="H36" s="31">
        <f>ROUND('Anexo 8'!H36*'Anexo 4'!$D$10,0)</f>
        <v>0</v>
      </c>
      <c r="I36" s="31">
        <f>ROUND('Anexo 8'!I36*'Anexo 4'!$D$10,0)</f>
        <v>0</v>
      </c>
      <c r="J36" s="31">
        <f>ROUND('Anexo 8'!J36*'Anexo 4'!$D$10,0)</f>
        <v>0</v>
      </c>
      <c r="K36" s="31">
        <f>ROUND('Anexo 8'!K36*'Anexo 4'!$D$10,0)</f>
        <v>0</v>
      </c>
      <c r="L36" s="31">
        <f>ROUND('Anexo 8'!L36*'Anexo 4'!$D$10,0)</f>
        <v>0</v>
      </c>
      <c r="M36" s="31">
        <f>ROUND('Anexo 8'!M36*'Anexo 4'!$D$10,0)</f>
        <v>0</v>
      </c>
      <c r="N36" s="31">
        <f>ROUND('Anexo 8'!N36*'Anexo 4'!$D$10,0)</f>
        <v>0</v>
      </c>
      <c r="O36" s="31">
        <f>ROUND('Anexo 8'!O36*'Anexo 4'!$D$10,0)</f>
        <v>0</v>
      </c>
      <c r="P36" s="31">
        <f>ROUND('Anexo 8'!P36*'Anexo 4'!$D$10,0)</f>
        <v>0</v>
      </c>
      <c r="Q36" s="31">
        <f>ROUND('Anexo 8'!Q36*'Anexo 4'!$D$10,0)</f>
        <v>0</v>
      </c>
      <c r="R36" s="31">
        <f>ROUND('Anexo 8'!R36*'Anexo 4'!$D$10,0)</f>
        <v>0</v>
      </c>
      <c r="S36" s="31">
        <f>ROUND('Anexo 8'!S36*'Anexo 4'!$D$10,0)</f>
        <v>0</v>
      </c>
      <c r="T36" s="31">
        <f>ROUND('Anexo 8'!T36*'Anexo 4'!$D$10,0)</f>
        <v>0</v>
      </c>
      <c r="U36" s="31">
        <f>ROUND('Anexo 8'!U36*'Anexo 4'!$D$10,0)</f>
        <v>0</v>
      </c>
      <c r="V36" s="31">
        <f>ROUND('Anexo 8'!V36*'Anexo 4'!$D$10,0)</f>
        <v>0</v>
      </c>
      <c r="W36" s="31">
        <f>ROUND('Anexo 8'!W36*'Anexo 4'!$D$10,0)</f>
        <v>0</v>
      </c>
      <c r="X36" s="31">
        <f>ROUND('Anexo 8'!X36*'Anexo 4'!$D$10,0)</f>
        <v>0</v>
      </c>
      <c r="Y36" s="31">
        <f>ROUND('Anexo 8'!Y36*'Anexo 4'!$D$10,0)</f>
        <v>0</v>
      </c>
      <c r="Z36" s="31">
        <f>ROUND('Anexo 8'!Z36*'Anexo 4'!$D$10,0)</f>
        <v>0</v>
      </c>
      <c r="AA36" s="33">
        <f t="shared" si="0"/>
        <v>0</v>
      </c>
      <c r="AB36" s="17">
        <v>19</v>
      </c>
      <c r="AC36" s="90">
        <f>+AA36*AB36+AA37*AB37+AA38*AB38</f>
        <v>0</v>
      </c>
    </row>
    <row r="37" spans="1:30" ht="15.75" thickBot="1" x14ac:dyDescent="0.3">
      <c r="A37" s="89"/>
      <c r="B37" s="18" t="s">
        <v>4</v>
      </c>
      <c r="C37" s="31">
        <f>ROUND('Anexo 8'!C37*'Anexo 4'!$D$10,0)</f>
        <v>0</v>
      </c>
      <c r="D37" s="31">
        <f>ROUND('Anexo 8'!D37*'Anexo 4'!$D$10,0)</f>
        <v>0</v>
      </c>
      <c r="E37" s="31">
        <f>ROUND('Anexo 8'!E37*'Anexo 4'!$D$10,0)</f>
        <v>0</v>
      </c>
      <c r="F37" s="31">
        <f>ROUND('Anexo 8'!F37*'Anexo 4'!$D$10,0)</f>
        <v>0</v>
      </c>
      <c r="G37" s="31">
        <f>ROUND('Anexo 8'!G37*'Anexo 4'!$D$10,0)</f>
        <v>0</v>
      </c>
      <c r="H37" s="31">
        <f>ROUND('Anexo 8'!H37*'Anexo 4'!$D$10,0)</f>
        <v>0</v>
      </c>
      <c r="I37" s="31">
        <f>ROUND('Anexo 8'!I37*'Anexo 4'!$D$10,0)</f>
        <v>0</v>
      </c>
      <c r="J37" s="31">
        <f>ROUND('Anexo 8'!J37*'Anexo 4'!$D$10,0)</f>
        <v>0</v>
      </c>
      <c r="K37" s="31">
        <f>ROUND('Anexo 8'!K37*'Anexo 4'!$D$10,0)</f>
        <v>0</v>
      </c>
      <c r="L37" s="31">
        <f>ROUND('Anexo 8'!L37*'Anexo 4'!$D$10,0)</f>
        <v>0</v>
      </c>
      <c r="M37" s="31">
        <f>ROUND('Anexo 8'!M37*'Anexo 4'!$D$10,0)</f>
        <v>0</v>
      </c>
      <c r="N37" s="31">
        <f>ROUND('Anexo 8'!N37*'Anexo 4'!$D$10,0)</f>
        <v>0</v>
      </c>
      <c r="O37" s="31">
        <f>ROUND('Anexo 8'!O37*'Anexo 4'!$D$10,0)</f>
        <v>0</v>
      </c>
      <c r="P37" s="31">
        <f>ROUND('Anexo 8'!P37*'Anexo 4'!$D$10,0)</f>
        <v>0</v>
      </c>
      <c r="Q37" s="31">
        <f>ROUND('Anexo 8'!Q37*'Anexo 4'!$D$10,0)</f>
        <v>0</v>
      </c>
      <c r="R37" s="31">
        <f>ROUND('Anexo 8'!R37*'Anexo 4'!$D$10,0)</f>
        <v>0</v>
      </c>
      <c r="S37" s="31">
        <f>ROUND('Anexo 8'!S37*'Anexo 4'!$D$10,0)</f>
        <v>0</v>
      </c>
      <c r="T37" s="31">
        <f>ROUND('Anexo 8'!T37*'Anexo 4'!$D$10,0)</f>
        <v>0</v>
      </c>
      <c r="U37" s="31">
        <f>ROUND('Anexo 8'!U37*'Anexo 4'!$D$10,0)</f>
        <v>0</v>
      </c>
      <c r="V37" s="31">
        <f>ROUND('Anexo 8'!V37*'Anexo 4'!$D$10,0)</f>
        <v>0</v>
      </c>
      <c r="W37" s="31">
        <f>ROUND('Anexo 8'!W37*'Anexo 4'!$D$10,0)</f>
        <v>0</v>
      </c>
      <c r="X37" s="31">
        <f>ROUND('Anexo 8'!X37*'Anexo 4'!$D$10,0)</f>
        <v>0</v>
      </c>
      <c r="Y37" s="31">
        <f>ROUND('Anexo 8'!Y37*'Anexo 4'!$D$10,0)</f>
        <v>0</v>
      </c>
      <c r="Z37" s="31">
        <f>ROUND('Anexo 8'!Z37*'Anexo 4'!$D$10,0)</f>
        <v>0</v>
      </c>
      <c r="AA37" s="36">
        <f t="shared" si="0"/>
        <v>0</v>
      </c>
      <c r="AB37" s="19">
        <v>5</v>
      </c>
      <c r="AC37" s="91"/>
      <c r="AD37" s="45"/>
    </row>
    <row r="38" spans="1:30" ht="15.75" thickBot="1" x14ac:dyDescent="0.3">
      <c r="A38" s="89"/>
      <c r="B38" s="20" t="s">
        <v>3</v>
      </c>
      <c r="C38" s="31">
        <f>ROUND('Anexo 8'!C38*'Anexo 4'!$D$10,0)</f>
        <v>0</v>
      </c>
      <c r="D38" s="31">
        <f>ROUND('Anexo 8'!D38*'Anexo 4'!$D$10,0)</f>
        <v>0</v>
      </c>
      <c r="E38" s="31">
        <f>ROUND('Anexo 8'!E38*'Anexo 4'!$D$10,0)</f>
        <v>0</v>
      </c>
      <c r="F38" s="31">
        <f>ROUND('Anexo 8'!F38*'Anexo 4'!$D$10,0)</f>
        <v>0</v>
      </c>
      <c r="G38" s="31">
        <f>ROUND('Anexo 8'!G38*'Anexo 4'!$D$10,0)</f>
        <v>0</v>
      </c>
      <c r="H38" s="31">
        <f>ROUND('Anexo 8'!H38*'Anexo 4'!$D$10,0)</f>
        <v>0</v>
      </c>
      <c r="I38" s="31">
        <f>ROUND('Anexo 8'!I38*'Anexo 4'!$D$10,0)</f>
        <v>0</v>
      </c>
      <c r="J38" s="31">
        <f>ROUND('Anexo 8'!J38*'Anexo 4'!$D$10,0)</f>
        <v>0</v>
      </c>
      <c r="K38" s="31">
        <f>ROUND('Anexo 8'!K38*'Anexo 4'!$D$10,0)</f>
        <v>0</v>
      </c>
      <c r="L38" s="31">
        <f>ROUND('Anexo 8'!L38*'Anexo 4'!$D$10,0)</f>
        <v>0</v>
      </c>
      <c r="M38" s="31">
        <f>ROUND('Anexo 8'!M38*'Anexo 4'!$D$10,0)</f>
        <v>0</v>
      </c>
      <c r="N38" s="31">
        <f>ROUND('Anexo 8'!N38*'Anexo 4'!$D$10,0)</f>
        <v>0</v>
      </c>
      <c r="O38" s="31">
        <f>ROUND('Anexo 8'!O38*'Anexo 4'!$D$10,0)</f>
        <v>0</v>
      </c>
      <c r="P38" s="31">
        <f>ROUND('Anexo 8'!P38*'Anexo 4'!$D$10,0)</f>
        <v>0</v>
      </c>
      <c r="Q38" s="31">
        <f>ROUND('Anexo 8'!Q38*'Anexo 4'!$D$10,0)</f>
        <v>0</v>
      </c>
      <c r="R38" s="31">
        <f>ROUND('Anexo 8'!R38*'Anexo 4'!$D$10,0)</f>
        <v>0</v>
      </c>
      <c r="S38" s="31">
        <f>ROUND('Anexo 8'!S38*'Anexo 4'!$D$10,0)</f>
        <v>0</v>
      </c>
      <c r="T38" s="31">
        <f>ROUND('Anexo 8'!T38*'Anexo 4'!$D$10,0)</f>
        <v>0</v>
      </c>
      <c r="U38" s="31">
        <f>ROUND('Anexo 8'!U38*'Anexo 4'!$D$10,0)</f>
        <v>0</v>
      </c>
      <c r="V38" s="31">
        <f>ROUND('Anexo 8'!V38*'Anexo 4'!$D$10,0)</f>
        <v>0</v>
      </c>
      <c r="W38" s="31">
        <f>ROUND('Anexo 8'!W38*'Anexo 4'!$D$10,0)</f>
        <v>0</v>
      </c>
      <c r="X38" s="31">
        <f>ROUND('Anexo 8'!X38*'Anexo 4'!$D$10,0)</f>
        <v>0</v>
      </c>
      <c r="Y38" s="31">
        <f>ROUND('Anexo 8'!Y38*'Anexo 4'!$D$10,0)</f>
        <v>0</v>
      </c>
      <c r="Z38" s="31">
        <f>ROUND('Anexo 8'!Z38*'Anexo 4'!$D$10,0)</f>
        <v>0</v>
      </c>
      <c r="AA38" s="39">
        <f t="shared" si="0"/>
        <v>0</v>
      </c>
      <c r="AB38" s="21">
        <v>6</v>
      </c>
      <c r="AC38" s="92"/>
      <c r="AD38" s="47"/>
    </row>
    <row r="39" spans="1:30" ht="15.75" thickBot="1" x14ac:dyDescent="0.3">
      <c r="A39" s="89">
        <v>47818</v>
      </c>
      <c r="B39" s="16" t="s">
        <v>5</v>
      </c>
      <c r="C39" s="31">
        <f>ROUND('Anexo 8'!C39*'Anexo 4'!$D$10,0)</f>
        <v>0</v>
      </c>
      <c r="D39" s="31">
        <f>ROUND('Anexo 8'!D39*'Anexo 4'!$D$10,0)</f>
        <v>0</v>
      </c>
      <c r="E39" s="31">
        <f>ROUND('Anexo 8'!E39*'Anexo 4'!$D$10,0)</f>
        <v>0</v>
      </c>
      <c r="F39" s="31">
        <f>ROUND('Anexo 8'!F39*'Anexo 4'!$D$10,0)</f>
        <v>0</v>
      </c>
      <c r="G39" s="31">
        <f>ROUND('Anexo 8'!G39*'Anexo 4'!$D$10,0)</f>
        <v>0</v>
      </c>
      <c r="H39" s="31">
        <f>ROUND('Anexo 8'!H39*'Anexo 4'!$D$10,0)</f>
        <v>0</v>
      </c>
      <c r="I39" s="31">
        <f>ROUND('Anexo 8'!I39*'Anexo 4'!$D$10,0)</f>
        <v>0</v>
      </c>
      <c r="J39" s="31">
        <f>ROUND('Anexo 8'!J39*'Anexo 4'!$D$10,0)</f>
        <v>0</v>
      </c>
      <c r="K39" s="31">
        <f>ROUND('Anexo 8'!K39*'Anexo 4'!$D$10,0)</f>
        <v>0</v>
      </c>
      <c r="L39" s="31">
        <f>ROUND('Anexo 8'!L39*'Anexo 4'!$D$10,0)</f>
        <v>0</v>
      </c>
      <c r="M39" s="31">
        <f>ROUND('Anexo 8'!M39*'Anexo 4'!$D$10,0)</f>
        <v>0</v>
      </c>
      <c r="N39" s="31">
        <f>ROUND('Anexo 8'!N39*'Anexo 4'!$D$10,0)</f>
        <v>0</v>
      </c>
      <c r="O39" s="31">
        <f>ROUND('Anexo 8'!O39*'Anexo 4'!$D$10,0)</f>
        <v>0</v>
      </c>
      <c r="P39" s="31">
        <f>ROUND('Anexo 8'!P39*'Anexo 4'!$D$10,0)</f>
        <v>0</v>
      </c>
      <c r="Q39" s="31">
        <f>ROUND('Anexo 8'!Q39*'Anexo 4'!$D$10,0)</f>
        <v>0</v>
      </c>
      <c r="R39" s="31">
        <f>ROUND('Anexo 8'!R39*'Anexo 4'!$D$10,0)</f>
        <v>0</v>
      </c>
      <c r="S39" s="31">
        <f>ROUND('Anexo 8'!S39*'Anexo 4'!$D$10,0)</f>
        <v>0</v>
      </c>
      <c r="T39" s="31">
        <f>ROUND('Anexo 8'!T39*'Anexo 4'!$D$10,0)</f>
        <v>0</v>
      </c>
      <c r="U39" s="31">
        <f>ROUND('Anexo 8'!U39*'Anexo 4'!$D$10,0)</f>
        <v>0</v>
      </c>
      <c r="V39" s="31">
        <f>ROUND('Anexo 8'!V39*'Anexo 4'!$D$10,0)</f>
        <v>0</v>
      </c>
      <c r="W39" s="31">
        <f>ROUND('Anexo 8'!W39*'Anexo 4'!$D$10,0)</f>
        <v>0</v>
      </c>
      <c r="X39" s="31">
        <f>ROUND('Anexo 8'!X39*'Anexo 4'!$D$10,0)</f>
        <v>0</v>
      </c>
      <c r="Y39" s="31">
        <f>ROUND('Anexo 8'!Y39*'Anexo 4'!$D$10,0)</f>
        <v>0</v>
      </c>
      <c r="Z39" s="31">
        <f>ROUND('Anexo 8'!Z39*'Anexo 4'!$D$10,0)</f>
        <v>0</v>
      </c>
      <c r="AA39" s="33">
        <f t="shared" si="0"/>
        <v>0</v>
      </c>
      <c r="AB39" s="17">
        <v>21</v>
      </c>
      <c r="AC39" s="90">
        <f>+AA39*AB39+AA40*AB40+AA41*AB41</f>
        <v>0</v>
      </c>
    </row>
    <row r="40" spans="1:30" ht="15.75" thickBot="1" x14ac:dyDescent="0.3">
      <c r="A40" s="89"/>
      <c r="B40" s="18" t="s">
        <v>4</v>
      </c>
      <c r="C40" s="31">
        <f>ROUND('Anexo 8'!C40*'Anexo 4'!$D$10,0)</f>
        <v>0</v>
      </c>
      <c r="D40" s="31">
        <f>ROUND('Anexo 8'!D40*'Anexo 4'!$D$10,0)</f>
        <v>0</v>
      </c>
      <c r="E40" s="31">
        <f>ROUND('Anexo 8'!E40*'Anexo 4'!$D$10,0)</f>
        <v>0</v>
      </c>
      <c r="F40" s="31">
        <f>ROUND('Anexo 8'!F40*'Anexo 4'!$D$10,0)</f>
        <v>0</v>
      </c>
      <c r="G40" s="31">
        <f>ROUND('Anexo 8'!G40*'Anexo 4'!$D$10,0)</f>
        <v>0</v>
      </c>
      <c r="H40" s="31">
        <f>ROUND('Anexo 8'!H40*'Anexo 4'!$D$10,0)</f>
        <v>0</v>
      </c>
      <c r="I40" s="31">
        <f>ROUND('Anexo 8'!I40*'Anexo 4'!$D$10,0)</f>
        <v>0</v>
      </c>
      <c r="J40" s="31">
        <f>ROUND('Anexo 8'!J40*'Anexo 4'!$D$10,0)</f>
        <v>0</v>
      </c>
      <c r="K40" s="31">
        <f>ROUND('Anexo 8'!K40*'Anexo 4'!$D$10,0)</f>
        <v>0</v>
      </c>
      <c r="L40" s="31">
        <f>ROUND('Anexo 8'!L40*'Anexo 4'!$D$10,0)</f>
        <v>0</v>
      </c>
      <c r="M40" s="31">
        <f>ROUND('Anexo 8'!M40*'Anexo 4'!$D$10,0)</f>
        <v>0</v>
      </c>
      <c r="N40" s="31">
        <f>ROUND('Anexo 8'!N40*'Anexo 4'!$D$10,0)</f>
        <v>0</v>
      </c>
      <c r="O40" s="31">
        <f>ROUND('Anexo 8'!O40*'Anexo 4'!$D$10,0)</f>
        <v>0</v>
      </c>
      <c r="P40" s="31">
        <f>ROUND('Anexo 8'!P40*'Anexo 4'!$D$10,0)</f>
        <v>0</v>
      </c>
      <c r="Q40" s="31">
        <f>ROUND('Anexo 8'!Q40*'Anexo 4'!$D$10,0)</f>
        <v>0</v>
      </c>
      <c r="R40" s="31">
        <f>ROUND('Anexo 8'!R40*'Anexo 4'!$D$10,0)</f>
        <v>0</v>
      </c>
      <c r="S40" s="31">
        <f>ROUND('Anexo 8'!S40*'Anexo 4'!$D$10,0)</f>
        <v>0</v>
      </c>
      <c r="T40" s="31">
        <f>ROUND('Anexo 8'!T40*'Anexo 4'!$D$10,0)</f>
        <v>0</v>
      </c>
      <c r="U40" s="31">
        <f>ROUND('Anexo 8'!U40*'Anexo 4'!$D$10,0)</f>
        <v>0</v>
      </c>
      <c r="V40" s="31">
        <f>ROUND('Anexo 8'!V40*'Anexo 4'!$D$10,0)</f>
        <v>0</v>
      </c>
      <c r="W40" s="31">
        <f>ROUND('Anexo 8'!W40*'Anexo 4'!$D$10,0)</f>
        <v>0</v>
      </c>
      <c r="X40" s="31">
        <f>ROUND('Anexo 8'!X40*'Anexo 4'!$D$10,0)</f>
        <v>0</v>
      </c>
      <c r="Y40" s="31">
        <f>ROUND('Anexo 8'!Y40*'Anexo 4'!$D$10,0)</f>
        <v>0</v>
      </c>
      <c r="Z40" s="31">
        <f>ROUND('Anexo 8'!Z40*'Anexo 4'!$D$10,0)</f>
        <v>0</v>
      </c>
      <c r="AA40" s="36">
        <f t="shared" si="0"/>
        <v>0</v>
      </c>
      <c r="AB40" s="19">
        <v>4</v>
      </c>
      <c r="AC40" s="91"/>
      <c r="AD40" s="45"/>
    </row>
    <row r="41" spans="1:30" ht="15.75" thickBot="1" x14ac:dyDescent="0.3">
      <c r="A41" s="89"/>
      <c r="B41" s="20" t="s">
        <v>3</v>
      </c>
      <c r="C41" s="31">
        <f>ROUND('Anexo 8'!C41*'Anexo 4'!$D$10,0)</f>
        <v>0</v>
      </c>
      <c r="D41" s="31">
        <f>ROUND('Anexo 8'!D41*'Anexo 4'!$D$10,0)</f>
        <v>0</v>
      </c>
      <c r="E41" s="31">
        <f>ROUND('Anexo 8'!E41*'Anexo 4'!$D$10,0)</f>
        <v>0</v>
      </c>
      <c r="F41" s="31">
        <f>ROUND('Anexo 8'!F41*'Anexo 4'!$D$10,0)</f>
        <v>0</v>
      </c>
      <c r="G41" s="31">
        <f>ROUND('Anexo 8'!G41*'Anexo 4'!$D$10,0)</f>
        <v>0</v>
      </c>
      <c r="H41" s="31">
        <f>ROUND('Anexo 8'!H41*'Anexo 4'!$D$10,0)</f>
        <v>0</v>
      </c>
      <c r="I41" s="31">
        <f>ROUND('Anexo 8'!I41*'Anexo 4'!$D$10,0)</f>
        <v>0</v>
      </c>
      <c r="J41" s="31">
        <f>ROUND('Anexo 8'!J41*'Anexo 4'!$D$10,0)</f>
        <v>0</v>
      </c>
      <c r="K41" s="31">
        <f>ROUND('Anexo 8'!K41*'Anexo 4'!$D$10,0)</f>
        <v>0</v>
      </c>
      <c r="L41" s="31">
        <f>ROUND('Anexo 8'!L41*'Anexo 4'!$D$10,0)</f>
        <v>0</v>
      </c>
      <c r="M41" s="31">
        <f>ROUND('Anexo 8'!M41*'Anexo 4'!$D$10,0)</f>
        <v>0</v>
      </c>
      <c r="N41" s="31">
        <f>ROUND('Anexo 8'!N41*'Anexo 4'!$D$10,0)</f>
        <v>0</v>
      </c>
      <c r="O41" s="31">
        <f>ROUND('Anexo 8'!O41*'Anexo 4'!$D$10,0)</f>
        <v>0</v>
      </c>
      <c r="P41" s="31">
        <f>ROUND('Anexo 8'!P41*'Anexo 4'!$D$10,0)</f>
        <v>0</v>
      </c>
      <c r="Q41" s="31">
        <f>ROUND('Anexo 8'!Q41*'Anexo 4'!$D$10,0)</f>
        <v>0</v>
      </c>
      <c r="R41" s="31">
        <f>ROUND('Anexo 8'!R41*'Anexo 4'!$D$10,0)</f>
        <v>0</v>
      </c>
      <c r="S41" s="31">
        <f>ROUND('Anexo 8'!S41*'Anexo 4'!$D$10,0)</f>
        <v>0</v>
      </c>
      <c r="T41" s="31">
        <f>ROUND('Anexo 8'!T41*'Anexo 4'!$D$10,0)</f>
        <v>0</v>
      </c>
      <c r="U41" s="31">
        <f>ROUND('Anexo 8'!U41*'Anexo 4'!$D$10,0)</f>
        <v>0</v>
      </c>
      <c r="V41" s="31">
        <f>ROUND('Anexo 8'!V41*'Anexo 4'!$D$10,0)</f>
        <v>0</v>
      </c>
      <c r="W41" s="31">
        <f>ROUND('Anexo 8'!W41*'Anexo 4'!$D$10,0)</f>
        <v>0</v>
      </c>
      <c r="X41" s="31">
        <f>ROUND('Anexo 8'!X41*'Anexo 4'!$D$10,0)</f>
        <v>0</v>
      </c>
      <c r="Y41" s="31">
        <f>ROUND('Anexo 8'!Y41*'Anexo 4'!$D$10,0)</f>
        <v>0</v>
      </c>
      <c r="Z41" s="31">
        <f>ROUND('Anexo 8'!Z41*'Anexo 4'!$D$10,0)</f>
        <v>0</v>
      </c>
      <c r="AA41" s="39">
        <f t="shared" si="0"/>
        <v>0</v>
      </c>
      <c r="AB41" s="21">
        <v>6</v>
      </c>
      <c r="AC41" s="92"/>
      <c r="AD41" s="40"/>
    </row>
    <row r="42" spans="1:30" ht="15" x14ac:dyDescent="0.25">
      <c r="A42" s="93" t="s">
        <v>2</v>
      </c>
      <c r="B42" s="94"/>
      <c r="C42" s="29">
        <f t="shared" ref="C42:AC42" si="1">+SUM(C6:C41)</f>
        <v>0</v>
      </c>
      <c r="D42" s="29">
        <f t="shared" si="1"/>
        <v>0</v>
      </c>
      <c r="E42" s="29">
        <f t="shared" si="1"/>
        <v>0</v>
      </c>
      <c r="F42" s="29">
        <f t="shared" si="1"/>
        <v>0</v>
      </c>
      <c r="G42" s="29">
        <f t="shared" si="1"/>
        <v>0</v>
      </c>
      <c r="H42" s="29">
        <f t="shared" si="1"/>
        <v>0</v>
      </c>
      <c r="I42" s="29">
        <f t="shared" si="1"/>
        <v>0</v>
      </c>
      <c r="J42" s="29">
        <f t="shared" si="1"/>
        <v>0</v>
      </c>
      <c r="K42" s="29">
        <f t="shared" si="1"/>
        <v>0</v>
      </c>
      <c r="L42" s="29">
        <f t="shared" si="1"/>
        <v>0</v>
      </c>
      <c r="M42" s="29">
        <f t="shared" si="1"/>
        <v>0</v>
      </c>
      <c r="N42" s="29">
        <f t="shared" si="1"/>
        <v>0</v>
      </c>
      <c r="O42" s="29">
        <f t="shared" si="1"/>
        <v>0</v>
      </c>
      <c r="P42" s="29">
        <f t="shared" si="1"/>
        <v>0</v>
      </c>
      <c r="Q42" s="29">
        <f t="shared" si="1"/>
        <v>0</v>
      </c>
      <c r="R42" s="29">
        <f t="shared" si="1"/>
        <v>0</v>
      </c>
      <c r="S42" s="29">
        <f t="shared" si="1"/>
        <v>0</v>
      </c>
      <c r="T42" s="29">
        <f t="shared" si="1"/>
        <v>0</v>
      </c>
      <c r="U42" s="29">
        <f t="shared" si="1"/>
        <v>0</v>
      </c>
      <c r="V42" s="29">
        <f t="shared" si="1"/>
        <v>0</v>
      </c>
      <c r="W42" s="29">
        <f t="shared" si="1"/>
        <v>0</v>
      </c>
      <c r="X42" s="29">
        <f t="shared" si="1"/>
        <v>0</v>
      </c>
      <c r="Y42" s="29">
        <f t="shared" si="1"/>
        <v>0</v>
      </c>
      <c r="Z42" s="29">
        <f t="shared" si="1"/>
        <v>0</v>
      </c>
      <c r="AA42" s="29">
        <f t="shared" si="1"/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5" ma:contentTypeDescription="Crear nuevo documento." ma:contentTypeScope="" ma:versionID="f203f34a231dd4131e695dcc7b3b5a64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358ebf02fc1635950b4c35e720ec2fc3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F01478-136A-49E8-9EC5-6FA80854E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9708-8d05-44bf-aa29-bb25ddc26887"/>
    <ds:schemaRef ds:uri="19e65c24-12eb-4ae4-9f0f-cdc0d0399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Anexo1</vt:lpstr>
      <vt:lpstr>Anexo 1A</vt:lpstr>
      <vt:lpstr>Anexo 5</vt:lpstr>
      <vt:lpstr>Cantidades Ofertadas Prod1</vt:lpstr>
      <vt:lpstr>Anexo 2</vt:lpstr>
      <vt:lpstr>Anexo 2A</vt:lpstr>
      <vt:lpstr>Anexo 6</vt:lpstr>
      <vt:lpstr>Cantidades Ofertadas Prod 2</vt:lpstr>
      <vt:lpstr>Anexo 3</vt:lpstr>
      <vt:lpstr>Anexo 3A</vt:lpstr>
      <vt:lpstr>Anexo 7</vt:lpstr>
      <vt:lpstr>Cantidades Ofertadas Prod 3</vt:lpstr>
      <vt:lpstr>Anexo 4</vt:lpstr>
      <vt:lpstr>Anexo 4A</vt:lpstr>
      <vt:lpstr>Anexo 8</vt:lpstr>
      <vt:lpstr>Cantidades Ofertadas Prod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2026-03-10T18:38:50Z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