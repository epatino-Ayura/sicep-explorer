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</sheets>
  <definedNames/>
  <calcPr/>
  <extLst>
    <ext uri="GoogleSheetsCustomDataVersion2">
      <go:sheetsCustomData xmlns:go="http://customooxmlschemas.google.com/" r:id="rId6" roundtripDataChecksum="dSVRi7mXF8hyU1+zrJaZIb+N3v+mFgKIOgzenkon2Qk="/>
    </ext>
  </extLst>
</workbook>
</file>

<file path=xl/sharedStrings.xml><?xml version="1.0" encoding="utf-8"?>
<sst xmlns="http://schemas.openxmlformats.org/spreadsheetml/2006/main" count="88" uniqueCount="51">
  <si>
    <t>ANEXO 3 - CANTIDADES DE  ENERGÍA SOLICITADA EN kWh</t>
  </si>
  <si>
    <t>PRODUCTO 1 - PAGUE LO CONTRATADO</t>
  </si>
  <si>
    <t>Periodo: 1 de enero 2027 a 31 diciembre de 2027</t>
  </si>
  <si>
    <t>CONVOCATORIA PÚBLICA N° CP-BIAC2026-004 - BIA ENERGY S.A.S. E.S.P.</t>
  </si>
  <si>
    <t>Mes</t>
  </si>
  <si>
    <t>Tipo de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</si>
  <si>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</si>
  <si>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</si>
  <si>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</si>
  <si>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</si>
  <si>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</si>
  <si>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</si>
  <si>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</si>
  <si>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</si>
  <si>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</si>
  <si>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</si>
  <si>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</si>
  <si>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</si>
  <si>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</si>
  <si>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</si>
  <si>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</si>
  <si>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</si>
  <si>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</si>
  <si>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</si>
  <si>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</si>
  <si>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</si>
  <si>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</si>
  <si>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</si>
  <si>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</si>
  <si>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</si>
  <si>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</si>
  <si>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</si>
  <si>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</t>
  </si>
  <si>
    <t>TOTAL MES</t>
  </si>
  <si>
    <t>Ordinario</t>
  </si>
  <si>
    <t>Sábado</t>
  </si>
  <si>
    <t>Festivo</t>
  </si>
  <si>
    <t>ANEXO 4. FORMATO DE OFERTA - PRODUCTO 1</t>
  </si>
  <si>
    <t xml:space="preserve">NOMBRE DEL OFERENTE                                        
</t>
  </si>
  <si>
    <t>Precios y cantidades de la energía ofertada</t>
  </si>
  <si>
    <t>En pesos de mayo de 2026</t>
  </si>
  <si>
    <t>OPCIÓN 24 HORAS</t>
  </si>
  <si>
    <t>E. Solicitada
[kWh-mes]</t>
  </si>
  <si>
    <t>% E. Ofertada</t>
  </si>
  <si>
    <t>E. Ofertada
[kWh-mes]</t>
  </si>
  <si>
    <t>$/kWh</t>
  </si>
  <si>
    <t>El oferente debe indicar si acepta adjudicaciones parciales o no</t>
  </si>
  <si>
    <t>• Para el periodo de 2027, se puede presentar oferta con diferente porcentaje cada 
mes, incluyendo el 0%</t>
  </si>
  <si>
    <t>• El precio ofertado podrá ser diferente para cada mes del producto, expresado en 
$/kWh, con hasta dos (2) decimales</t>
  </si>
  <si>
    <t>XXXXX</t>
  </si>
  <si>
    <t>XXXXXXXX S.A.S. E.S.P.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</si>
</sst>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</numFmts>
  <fonts count="12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>
      <sz val="11.0"/>
      <color theme="1"/>
      <name val="Din-regular"/>
    </font>
  </fonts>
  <fills count="2">
    <fill>
      <patternFill patternType="none"/>
    </fill>
    <fill>
      <patternFill patternType="lightGray"/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4" xfId="0" applyBorder="1" applyFont="1" applyNumberFormat="1"/>
    <xf borderId="1" fillId="0" fontId="4" numFmtId="4" xfId="0" applyAlignment="1" applyBorder="1" applyFont="1" applyNumberFormat="1">
      <alignment horizontal="right" readingOrder="0" shrinkToFit="0" vertical="bottom" wrapText="0"/>
    </xf>
    <xf borderId="1" fillId="0" fontId="3" numFmtId="164" xfId="0" applyBorder="1" applyFont="1" applyNumberFormat="1"/>
    <xf borderId="2" fillId="0" fontId="3" numFmtId="164" xfId="0" applyAlignment="1" applyBorder="1" applyFont="1" applyNumberFormat="1">
      <alignment vertical="center"/>
    </xf>
    <xf borderId="3" fillId="0" fontId="5" numFmtId="0" xfId="0" applyBorder="1" applyFont="1"/>
    <xf borderId="4" fillId="0" fontId="5" numFmtId="0" xfId="0" applyBorder="1" applyFont="1"/>
    <xf borderId="1" fillId="0" fontId="4" numFmtId="4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7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5" fillId="0" fontId="9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7" numFmtId="17" xfId="0" applyAlignment="1" applyBorder="1" applyFont="1" applyNumberFormat="1">
      <alignment horizontal="center" vertical="center"/>
    </xf>
    <xf borderId="13" fillId="0" fontId="11" numFmtId="165" xfId="0" applyAlignment="1" applyBorder="1" applyFont="1" applyNumberFormat="1">
      <alignment horizontal="center"/>
    </xf>
    <xf borderId="14" fillId="0" fontId="8" numFmtId="10" xfId="0" applyAlignment="1" applyBorder="1" applyFont="1" applyNumberFormat="1">
      <alignment horizontal="center" vertical="center"/>
    </xf>
    <xf borderId="15" fillId="0" fontId="2" numFmtId="165" xfId="0" applyAlignment="1" applyBorder="1" applyFont="1" applyNumberFormat="1">
      <alignment horizontal="center"/>
    </xf>
    <xf borderId="16" fillId="0" fontId="8" numFmtId="0" xfId="0" applyAlignment="1" applyBorder="1" applyFont="1">
      <alignment horizontal="center" vertical="center"/>
    </xf>
    <xf borderId="17" fillId="0" fontId="8" numFmtId="10" xfId="0" applyAlignment="1" applyBorder="1" applyFont="1" applyNumberFormat="1">
      <alignment horizontal="center" vertical="center"/>
    </xf>
    <xf borderId="18" fillId="0" fontId="2" numFmtId="165" xfId="0" applyAlignment="1" applyBorder="1" applyFont="1" applyNumberFormat="1">
      <alignment horizontal="center"/>
    </xf>
    <xf borderId="19" fillId="0" fontId="8" numFmtId="0" xfId="0" applyAlignment="1" applyBorder="1" applyFont="1">
      <alignment horizontal="center" vertical="center"/>
    </xf>
    <xf borderId="13" fillId="0" fontId="2" numFmtId="165" xfId="0" applyAlignment="1" applyBorder="1" applyFont="1" applyNumberFormat="1">
      <alignment horizontal="center"/>
    </xf>
    <xf borderId="20" fillId="0" fontId="8" numFmtId="10" xfId="0" applyAlignment="1" applyBorder="1" applyFont="1" applyNumberFormat="1">
      <alignment horizontal="center" vertical="center"/>
    </xf>
    <xf borderId="21" fillId="0" fontId="2" numFmtId="165" xfId="0" applyAlignment="1" applyBorder="1" applyFont="1" applyNumberFormat="1">
      <alignment horizontal="center"/>
    </xf>
    <xf borderId="22" fillId="0" fontId="8" numFmtId="0" xfId="0" applyAlignment="1" applyBorder="1" applyFont="1">
      <alignment horizontal="center" vertical="center"/>
    </xf>
    <xf borderId="23" fillId="0" fontId="9" numFmtId="17" xfId="0" applyAlignment="1" applyBorder="1" applyFont="1" applyNumberFormat="1">
      <alignment horizontal="left" vertical="center"/>
    </xf>
    <xf borderId="23" fillId="0" fontId="9" numFmtId="166" xfId="0" applyAlignment="1" applyBorder="1" applyFont="1" applyNumberFormat="1">
      <alignment horizontal="center" vertical="center"/>
    </xf>
    <xf borderId="24" fillId="0" fontId="8" numFmtId="0" xfId="0" applyBorder="1" applyFont="1"/>
    <xf borderId="24" fillId="0" fontId="9" numFmtId="166" xfId="0" applyAlignment="1" applyBorder="1" applyFont="1" applyNumberFormat="1">
      <alignment horizontal="center" vertical="center"/>
    </xf>
    <xf borderId="0" fillId="0" fontId="9" numFmtId="4" xfId="0" applyAlignment="1" applyFont="1" applyNumberFormat="1">
      <alignment horizontal="center"/>
    </xf>
    <xf borderId="0" fillId="0" fontId="3" numFmtId="4" xfId="0" applyFont="1" applyNumberFormat="1"/>
    <xf borderId="0" fillId="0" fontId="3" numFmtId="0" xfId="0" applyAlignment="1" applyFont="1">
      <alignment horizontal="left" shrinkToFit="0" wrapText="1"/>
    </xf>
    <xf borderId="25" fillId="0" fontId="3" numFmtId="0" xfId="0" applyBorder="1" applyFont="1"/>
    <xf borderId="0" fillId="0" fontId="3" numFmtId="0" xfId="0" applyAlignment="1" applyFont="1">
      <alignment shrinkToFit="0" wrapText="1"/>
    </xf>
    <xf borderId="2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1</v>
      </c>
      <c r="AD2" s="1"/>
    </row>
    <row r="3" ht="14.25" customHeight="1">
      <c r="A3" s="1" t="s">
        <v>2</v>
      </c>
      <c r="AD3" s="1"/>
    </row>
    <row r="4" ht="14.25" customHeight="1">
      <c r="A4" s="2" t="s">
        <v>3</v>
      </c>
      <c r="AD4" s="1"/>
    </row>
    <row r="5" ht="14.25" customHeight="1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5"/>
      <c r="X5" s="5"/>
      <c r="Y5" s="5"/>
      <c r="Z5" s="5"/>
      <c r="AA5" s="5"/>
      <c r="AB5" s="5"/>
    </row>
    <row r="6" ht="14.25" customHeight="1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5"/>
      <c r="X6" s="5"/>
      <c r="Y6" s="5"/>
      <c r="Z6" s="5"/>
      <c r="AA6" s="5"/>
      <c r="AB6" s="5"/>
    </row>
    <row r="7" ht="14.25" customHeight="1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  <c r="L9" s="7" t="s">
        <v>15</v>
      </c>
      <c r="M9" s="7" t="s">
        <v>16</v>
      </c>
      <c r="N9" s="7" t="s">
        <v>17</v>
      </c>
      <c r="O9" s="7" t="s">
        <v>18</v>
      </c>
      <c r="P9" s="7" t="s">
        <v>19</v>
      </c>
      <c r="Q9" s="7" t="s">
        <v>20</v>
      </c>
      <c r="R9" s="7" t="s">
        <v>21</v>
      </c>
      <c r="S9" s="7" t="s">
        <v>22</v>
      </c>
      <c r="T9" s="7" t="s">
        <v>23</v>
      </c>
      <c r="U9" s="7" t="s">
        <v>24</v>
      </c>
      <c r="V9" s="7" t="s">
        <v>25</v>
      </c>
      <c r="W9" s="7" t="s">
        <v>26</v>
      </c>
      <c r="X9" s="7" t="s">
        <v>27</v>
      </c>
      <c r="Y9" s="7" t="s">
        <v>28</v>
      </c>
      <c r="Z9" s="7" t="s">
        <v>29</v>
      </c>
      <c r="AA9" s="7" t="s">
        <v>30</v>
      </c>
      <c r="AB9" s="7" t="s">
        <v>31</v>
      </c>
      <c r="AC9" s="7" t="s">
        <v>32</v>
      </c>
      <c r="AD9" s="7" t="s">
        <v>33</v>
      </c>
    </row>
    <row r="10" ht="14.25" customHeight="1">
      <c r="A10" s="8">
        <v>46388.0</v>
      </c>
      <c r="B10" s="9" t="s">
        <v>34</v>
      </c>
      <c r="C10" s="10">
        <v>8693.55</v>
      </c>
      <c r="D10" s="10">
        <v>8693.55</v>
      </c>
      <c r="E10" s="10">
        <v>8693.55</v>
      </c>
      <c r="F10" s="10">
        <v>8693.55</v>
      </c>
      <c r="G10" s="10">
        <v>8693.55</v>
      </c>
      <c r="H10" s="10">
        <v>8693.55</v>
      </c>
      <c r="I10" s="10">
        <v>8693.55</v>
      </c>
      <c r="J10" s="10">
        <v>8693.55</v>
      </c>
      <c r="K10" s="10">
        <v>13661.29</v>
      </c>
      <c r="L10" s="10">
        <v>13661.29</v>
      </c>
      <c r="M10" s="10">
        <v>13661.29</v>
      </c>
      <c r="N10" s="10">
        <v>13661.29</v>
      </c>
      <c r="O10" s="10">
        <v>13661.29</v>
      </c>
      <c r="P10" s="10">
        <v>13661.29</v>
      </c>
      <c r="Q10" s="10">
        <v>13661.29</v>
      </c>
      <c r="R10" s="10">
        <v>13661.29</v>
      </c>
      <c r="S10" s="10">
        <v>8693.55</v>
      </c>
      <c r="T10" s="10">
        <v>8693.55</v>
      </c>
      <c r="U10" s="10">
        <v>8693.55</v>
      </c>
      <c r="V10" s="10">
        <v>8693.55</v>
      </c>
      <c r="W10" s="10">
        <v>8693.55</v>
      </c>
      <c r="X10" s="10">
        <v>8693.55</v>
      </c>
      <c r="Y10" s="10">
        <v>8693.55</v>
      </c>
      <c r="Z10" s="10">
        <v>8693.55</v>
      </c>
      <c r="AA10" s="11">
        <f t="shared" ref="AA10:AA45" si="1">SUM(C10:Z10)</f>
        <v>248387.12</v>
      </c>
      <c r="AB10" s="11">
        <v>19.0</v>
      </c>
      <c r="AC10" s="11">
        <f t="shared" ref="AC10:AC45" si="2">AA10*AB10</f>
        <v>4719355.28</v>
      </c>
      <c r="AD10" s="12">
        <f>SUM(AC10:AC12)</f>
        <v>7700000.72</v>
      </c>
    </row>
    <row r="11" ht="14.25" customHeight="1">
      <c r="A11" s="8">
        <v>46388.0</v>
      </c>
      <c r="B11" s="9" t="s">
        <v>35</v>
      </c>
      <c r="C11" s="10">
        <v>8693.55</v>
      </c>
      <c r="D11" s="10">
        <v>8693.55</v>
      </c>
      <c r="E11" s="10">
        <v>8693.55</v>
      </c>
      <c r="F11" s="10">
        <v>8693.55</v>
      </c>
      <c r="G11" s="10">
        <v>8693.55</v>
      </c>
      <c r="H11" s="10">
        <v>8693.55</v>
      </c>
      <c r="I11" s="10">
        <v>8693.55</v>
      </c>
      <c r="J11" s="10">
        <v>8693.55</v>
      </c>
      <c r="K11" s="10">
        <v>13661.29</v>
      </c>
      <c r="L11" s="10">
        <v>13661.29</v>
      </c>
      <c r="M11" s="10">
        <v>13661.29</v>
      </c>
      <c r="N11" s="10">
        <v>13661.29</v>
      </c>
      <c r="O11" s="10">
        <v>13661.29</v>
      </c>
      <c r="P11" s="10">
        <v>13661.29</v>
      </c>
      <c r="Q11" s="10">
        <v>13661.29</v>
      </c>
      <c r="R11" s="10">
        <v>13661.29</v>
      </c>
      <c r="S11" s="10">
        <v>8693.55</v>
      </c>
      <c r="T11" s="10">
        <v>8693.55</v>
      </c>
      <c r="U11" s="10">
        <v>8693.55</v>
      </c>
      <c r="V11" s="10">
        <v>8693.55</v>
      </c>
      <c r="W11" s="10">
        <v>8693.55</v>
      </c>
      <c r="X11" s="10">
        <v>8693.55</v>
      </c>
      <c r="Y11" s="10">
        <v>8693.55</v>
      </c>
      <c r="Z11" s="10">
        <v>8693.55</v>
      </c>
      <c r="AA11" s="11">
        <f t="shared" si="1"/>
        <v>248387.12</v>
      </c>
      <c r="AB11" s="11">
        <v>5.0</v>
      </c>
      <c r="AC11" s="11">
        <f t="shared" si="2"/>
        <v>1241935.6</v>
      </c>
      <c r="AD11" s="13"/>
    </row>
    <row r="12" ht="14.25" customHeight="1">
      <c r="A12" s="8">
        <v>46388.0</v>
      </c>
      <c r="B12" s="9" t="s">
        <v>36</v>
      </c>
      <c r="C12" s="10">
        <v>8693.55</v>
      </c>
      <c r="D12" s="10">
        <v>8693.55</v>
      </c>
      <c r="E12" s="10">
        <v>8693.55</v>
      </c>
      <c r="F12" s="10">
        <v>8693.55</v>
      </c>
      <c r="G12" s="10">
        <v>8693.55</v>
      </c>
      <c r="H12" s="10">
        <v>8693.55</v>
      </c>
      <c r="I12" s="10">
        <v>8693.55</v>
      </c>
      <c r="J12" s="10">
        <v>8693.55</v>
      </c>
      <c r="K12" s="10">
        <v>13661.29</v>
      </c>
      <c r="L12" s="10">
        <v>13661.29</v>
      </c>
      <c r="M12" s="10">
        <v>13661.29</v>
      </c>
      <c r="N12" s="10">
        <v>13661.29</v>
      </c>
      <c r="O12" s="10">
        <v>13661.29</v>
      </c>
      <c r="P12" s="10">
        <v>13661.29</v>
      </c>
      <c r="Q12" s="10">
        <v>13661.29</v>
      </c>
      <c r="R12" s="10">
        <v>13661.29</v>
      </c>
      <c r="S12" s="10">
        <v>8693.55</v>
      </c>
      <c r="T12" s="10">
        <v>8693.55</v>
      </c>
      <c r="U12" s="10">
        <v>8693.55</v>
      </c>
      <c r="V12" s="10">
        <v>8693.55</v>
      </c>
      <c r="W12" s="10">
        <v>8693.55</v>
      </c>
      <c r="X12" s="10">
        <v>8693.55</v>
      </c>
      <c r="Y12" s="10">
        <v>8693.55</v>
      </c>
      <c r="Z12" s="10">
        <v>8693.55</v>
      </c>
      <c r="AA12" s="11">
        <f t="shared" si="1"/>
        <v>248387.12</v>
      </c>
      <c r="AB12" s="11">
        <v>7.0</v>
      </c>
      <c r="AC12" s="11">
        <f t="shared" si="2"/>
        <v>1738709.84</v>
      </c>
      <c r="AD12" s="14"/>
    </row>
    <row r="13" ht="14.25" customHeight="1">
      <c r="A13" s="8">
        <v>46419.0</v>
      </c>
      <c r="B13" s="9" t="s">
        <v>34</v>
      </c>
      <c r="C13" s="10">
        <v>9875.0</v>
      </c>
      <c r="D13" s="10">
        <v>9875.0</v>
      </c>
      <c r="E13" s="10">
        <v>9875.0</v>
      </c>
      <c r="F13" s="10">
        <v>9875.0</v>
      </c>
      <c r="G13" s="10">
        <v>9875.0</v>
      </c>
      <c r="H13" s="10">
        <v>9875.0</v>
      </c>
      <c r="I13" s="10">
        <v>9875.0</v>
      </c>
      <c r="J13" s="10">
        <v>9875.0</v>
      </c>
      <c r="K13" s="10">
        <v>15517.86</v>
      </c>
      <c r="L13" s="10">
        <v>15517.86</v>
      </c>
      <c r="M13" s="10">
        <v>15517.86</v>
      </c>
      <c r="N13" s="10">
        <v>15517.86</v>
      </c>
      <c r="O13" s="10">
        <v>15517.86</v>
      </c>
      <c r="P13" s="10">
        <v>15517.86</v>
      </c>
      <c r="Q13" s="10">
        <v>15517.86</v>
      </c>
      <c r="R13" s="10">
        <v>15517.86</v>
      </c>
      <c r="S13" s="10">
        <v>9875.0</v>
      </c>
      <c r="T13" s="10">
        <v>9875.0</v>
      </c>
      <c r="U13" s="10">
        <v>9875.0</v>
      </c>
      <c r="V13" s="10">
        <v>9875.0</v>
      </c>
      <c r="W13" s="10">
        <v>9875.0</v>
      </c>
      <c r="X13" s="10">
        <v>9875.0</v>
      </c>
      <c r="Y13" s="10">
        <v>9875.0</v>
      </c>
      <c r="Z13" s="10">
        <v>9875.0</v>
      </c>
      <c r="AA13" s="11">
        <f t="shared" si="1"/>
        <v>282142.88</v>
      </c>
      <c r="AB13" s="11">
        <v>20.0</v>
      </c>
      <c r="AC13" s="11">
        <f t="shared" si="2"/>
        <v>5642857.6</v>
      </c>
      <c r="AD13" s="12">
        <f>SUM(AC13:AC15)</f>
        <v>7900000.64</v>
      </c>
    </row>
    <row r="14" ht="14.25" customHeight="1">
      <c r="A14" s="8">
        <v>46419.0</v>
      </c>
      <c r="B14" s="9" t="s">
        <v>35</v>
      </c>
      <c r="C14" s="10">
        <v>9875.0</v>
      </c>
      <c r="D14" s="10">
        <v>9875.0</v>
      </c>
      <c r="E14" s="10">
        <v>9875.0</v>
      </c>
      <c r="F14" s="10">
        <v>9875.0</v>
      </c>
      <c r="G14" s="10">
        <v>9875.0</v>
      </c>
      <c r="H14" s="10">
        <v>9875.0</v>
      </c>
      <c r="I14" s="10">
        <v>9875.0</v>
      </c>
      <c r="J14" s="10">
        <v>9875.0</v>
      </c>
      <c r="K14" s="10">
        <v>15517.86</v>
      </c>
      <c r="L14" s="10">
        <v>15517.86</v>
      </c>
      <c r="M14" s="10">
        <v>15517.86</v>
      </c>
      <c r="N14" s="10">
        <v>15517.86</v>
      </c>
      <c r="O14" s="10">
        <v>15517.86</v>
      </c>
      <c r="P14" s="10">
        <v>15517.86</v>
      </c>
      <c r="Q14" s="10">
        <v>15517.86</v>
      </c>
      <c r="R14" s="10">
        <v>15517.86</v>
      </c>
      <c r="S14" s="10">
        <v>9875.0</v>
      </c>
      <c r="T14" s="10">
        <v>9875.0</v>
      </c>
      <c r="U14" s="10">
        <v>9875.0</v>
      </c>
      <c r="V14" s="10">
        <v>9875.0</v>
      </c>
      <c r="W14" s="10">
        <v>9875.0</v>
      </c>
      <c r="X14" s="10">
        <v>9875.0</v>
      </c>
      <c r="Y14" s="10">
        <v>9875.0</v>
      </c>
      <c r="Z14" s="10">
        <v>9875.0</v>
      </c>
      <c r="AA14" s="11">
        <f t="shared" si="1"/>
        <v>282142.88</v>
      </c>
      <c r="AB14" s="11">
        <v>4.0</v>
      </c>
      <c r="AC14" s="11">
        <f t="shared" si="2"/>
        <v>1128571.52</v>
      </c>
      <c r="AD14" s="13"/>
    </row>
    <row r="15" ht="14.25" customHeight="1">
      <c r="A15" s="8">
        <v>46419.0</v>
      </c>
      <c r="B15" s="9" t="s">
        <v>36</v>
      </c>
      <c r="C15" s="10">
        <v>9875.0</v>
      </c>
      <c r="D15" s="10">
        <v>9875.0</v>
      </c>
      <c r="E15" s="10">
        <v>9875.0</v>
      </c>
      <c r="F15" s="10">
        <v>9875.0</v>
      </c>
      <c r="G15" s="10">
        <v>9875.0</v>
      </c>
      <c r="H15" s="10">
        <v>9875.0</v>
      </c>
      <c r="I15" s="10">
        <v>9875.0</v>
      </c>
      <c r="J15" s="10">
        <v>9875.0</v>
      </c>
      <c r="K15" s="10">
        <v>15517.86</v>
      </c>
      <c r="L15" s="10">
        <v>15517.86</v>
      </c>
      <c r="M15" s="10">
        <v>15517.86</v>
      </c>
      <c r="N15" s="10">
        <v>15517.86</v>
      </c>
      <c r="O15" s="10">
        <v>15517.86</v>
      </c>
      <c r="P15" s="10">
        <v>15517.86</v>
      </c>
      <c r="Q15" s="10">
        <v>15517.86</v>
      </c>
      <c r="R15" s="10">
        <v>15517.86</v>
      </c>
      <c r="S15" s="10">
        <v>9875.0</v>
      </c>
      <c r="T15" s="10">
        <v>9875.0</v>
      </c>
      <c r="U15" s="10">
        <v>9875.0</v>
      </c>
      <c r="V15" s="10">
        <v>9875.0</v>
      </c>
      <c r="W15" s="10">
        <v>9875.0</v>
      </c>
      <c r="X15" s="10">
        <v>9875.0</v>
      </c>
      <c r="Y15" s="10">
        <v>9875.0</v>
      </c>
      <c r="Z15" s="10">
        <v>9875.0</v>
      </c>
      <c r="AA15" s="11">
        <f t="shared" si="1"/>
        <v>282142.88</v>
      </c>
      <c r="AB15" s="11">
        <v>4.0</v>
      </c>
      <c r="AC15" s="11">
        <f t="shared" si="2"/>
        <v>1128571.52</v>
      </c>
      <c r="AD15" s="14"/>
    </row>
    <row r="16" ht="14.25" customHeight="1">
      <c r="A16" s="8">
        <v>46447.0</v>
      </c>
      <c r="B16" s="9" t="s">
        <v>34</v>
      </c>
      <c r="C16" s="10">
        <v>8354.84</v>
      </c>
      <c r="D16" s="10">
        <v>8354.84</v>
      </c>
      <c r="E16" s="10">
        <v>8354.84</v>
      </c>
      <c r="F16" s="10">
        <v>8354.84</v>
      </c>
      <c r="G16" s="10">
        <v>8354.84</v>
      </c>
      <c r="H16" s="10">
        <v>8354.84</v>
      </c>
      <c r="I16" s="10">
        <v>8354.84</v>
      </c>
      <c r="J16" s="10">
        <v>8354.84</v>
      </c>
      <c r="K16" s="10">
        <v>13129.03</v>
      </c>
      <c r="L16" s="10">
        <v>13129.03</v>
      </c>
      <c r="M16" s="10">
        <v>13129.03</v>
      </c>
      <c r="N16" s="10">
        <v>13129.03</v>
      </c>
      <c r="O16" s="10">
        <v>13129.03</v>
      </c>
      <c r="P16" s="10">
        <v>13129.03</v>
      </c>
      <c r="Q16" s="10">
        <v>13129.03</v>
      </c>
      <c r="R16" s="10">
        <v>13129.03</v>
      </c>
      <c r="S16" s="10">
        <v>8354.84</v>
      </c>
      <c r="T16" s="10">
        <v>8354.84</v>
      </c>
      <c r="U16" s="10">
        <v>8354.84</v>
      </c>
      <c r="V16" s="10">
        <v>8354.84</v>
      </c>
      <c r="W16" s="10">
        <v>8354.84</v>
      </c>
      <c r="X16" s="10">
        <v>8354.84</v>
      </c>
      <c r="Y16" s="10">
        <v>8354.84</v>
      </c>
      <c r="Z16" s="10">
        <v>8354.84</v>
      </c>
      <c r="AA16" s="11">
        <f t="shared" si="1"/>
        <v>238709.68</v>
      </c>
      <c r="AB16" s="11">
        <v>20.0</v>
      </c>
      <c r="AC16" s="11">
        <f t="shared" si="2"/>
        <v>4774193.6</v>
      </c>
      <c r="AD16" s="12">
        <f>SUM(AC16:AC18)</f>
        <v>7400000.08</v>
      </c>
    </row>
    <row r="17" ht="14.25" customHeight="1">
      <c r="A17" s="8">
        <v>46447.0</v>
      </c>
      <c r="B17" s="9" t="s">
        <v>35</v>
      </c>
      <c r="C17" s="10">
        <v>8354.84</v>
      </c>
      <c r="D17" s="10">
        <v>8354.84</v>
      </c>
      <c r="E17" s="10">
        <v>8354.84</v>
      </c>
      <c r="F17" s="10">
        <v>8354.84</v>
      </c>
      <c r="G17" s="10">
        <v>8354.84</v>
      </c>
      <c r="H17" s="10">
        <v>8354.84</v>
      </c>
      <c r="I17" s="10">
        <v>8354.84</v>
      </c>
      <c r="J17" s="10">
        <v>8354.84</v>
      </c>
      <c r="K17" s="10">
        <v>13129.03</v>
      </c>
      <c r="L17" s="10">
        <v>13129.03</v>
      </c>
      <c r="M17" s="10">
        <v>13129.03</v>
      </c>
      <c r="N17" s="10">
        <v>13129.03</v>
      </c>
      <c r="O17" s="10">
        <v>13129.03</v>
      </c>
      <c r="P17" s="10">
        <v>13129.03</v>
      </c>
      <c r="Q17" s="10">
        <v>13129.03</v>
      </c>
      <c r="R17" s="10">
        <v>13129.03</v>
      </c>
      <c r="S17" s="10">
        <v>8354.84</v>
      </c>
      <c r="T17" s="10">
        <v>8354.84</v>
      </c>
      <c r="U17" s="10">
        <v>8354.84</v>
      </c>
      <c r="V17" s="10">
        <v>8354.84</v>
      </c>
      <c r="W17" s="10">
        <v>8354.84</v>
      </c>
      <c r="X17" s="10">
        <v>8354.84</v>
      </c>
      <c r="Y17" s="10">
        <v>8354.84</v>
      </c>
      <c r="Z17" s="10">
        <v>8354.84</v>
      </c>
      <c r="AA17" s="11">
        <f t="shared" si="1"/>
        <v>238709.68</v>
      </c>
      <c r="AB17" s="11">
        <v>4.0</v>
      </c>
      <c r="AC17" s="11">
        <f t="shared" si="2"/>
        <v>954838.72</v>
      </c>
      <c r="AD17" s="13"/>
    </row>
    <row r="18" ht="14.25" customHeight="1">
      <c r="A18" s="8">
        <v>46447.0</v>
      </c>
      <c r="B18" s="9" t="s">
        <v>36</v>
      </c>
      <c r="C18" s="10">
        <v>8354.84</v>
      </c>
      <c r="D18" s="10">
        <v>8354.84</v>
      </c>
      <c r="E18" s="10">
        <v>8354.84</v>
      </c>
      <c r="F18" s="10">
        <v>8354.84</v>
      </c>
      <c r="G18" s="10">
        <v>8354.84</v>
      </c>
      <c r="H18" s="10">
        <v>8354.84</v>
      </c>
      <c r="I18" s="10">
        <v>8354.84</v>
      </c>
      <c r="J18" s="10">
        <v>8354.84</v>
      </c>
      <c r="K18" s="10">
        <v>13129.03</v>
      </c>
      <c r="L18" s="10">
        <v>13129.03</v>
      </c>
      <c r="M18" s="10">
        <v>13129.03</v>
      </c>
      <c r="N18" s="10">
        <v>13129.03</v>
      </c>
      <c r="O18" s="10">
        <v>13129.03</v>
      </c>
      <c r="P18" s="10">
        <v>13129.03</v>
      </c>
      <c r="Q18" s="10">
        <v>13129.03</v>
      </c>
      <c r="R18" s="10">
        <v>13129.03</v>
      </c>
      <c r="S18" s="10">
        <v>8354.84</v>
      </c>
      <c r="T18" s="10">
        <v>8354.84</v>
      </c>
      <c r="U18" s="10">
        <v>8354.84</v>
      </c>
      <c r="V18" s="10">
        <v>8354.84</v>
      </c>
      <c r="W18" s="10">
        <v>8354.84</v>
      </c>
      <c r="X18" s="10">
        <v>8354.84</v>
      </c>
      <c r="Y18" s="10">
        <v>8354.84</v>
      </c>
      <c r="Z18" s="10">
        <v>8354.84</v>
      </c>
      <c r="AA18" s="11">
        <f t="shared" si="1"/>
        <v>238709.68</v>
      </c>
      <c r="AB18" s="11">
        <v>7.0</v>
      </c>
      <c r="AC18" s="11">
        <f t="shared" si="2"/>
        <v>1670967.76</v>
      </c>
      <c r="AD18" s="14"/>
    </row>
    <row r="19" ht="14.25" customHeight="1">
      <c r="A19" s="8">
        <v>46478.0</v>
      </c>
      <c r="B19" s="9" t="s">
        <v>34</v>
      </c>
      <c r="C19" s="10">
        <v>8983.33</v>
      </c>
      <c r="D19" s="10">
        <v>8983.33</v>
      </c>
      <c r="E19" s="10">
        <v>8983.33</v>
      </c>
      <c r="F19" s="10">
        <v>8983.33</v>
      </c>
      <c r="G19" s="10">
        <v>8983.33</v>
      </c>
      <c r="H19" s="10">
        <v>8983.33</v>
      </c>
      <c r="I19" s="10">
        <v>8983.33</v>
      </c>
      <c r="J19" s="10">
        <v>8983.33</v>
      </c>
      <c r="K19" s="10">
        <v>14116.67</v>
      </c>
      <c r="L19" s="10">
        <v>14116.67</v>
      </c>
      <c r="M19" s="10">
        <v>14116.67</v>
      </c>
      <c r="N19" s="10">
        <v>14116.67</v>
      </c>
      <c r="O19" s="10">
        <v>14116.67</v>
      </c>
      <c r="P19" s="10">
        <v>14116.67</v>
      </c>
      <c r="Q19" s="10">
        <v>14116.67</v>
      </c>
      <c r="R19" s="10">
        <v>14116.67</v>
      </c>
      <c r="S19" s="10">
        <v>8983.33</v>
      </c>
      <c r="T19" s="10">
        <v>8983.33</v>
      </c>
      <c r="U19" s="10">
        <v>8983.33</v>
      </c>
      <c r="V19" s="10">
        <v>8983.33</v>
      </c>
      <c r="W19" s="10">
        <v>8983.33</v>
      </c>
      <c r="X19" s="10">
        <v>8983.33</v>
      </c>
      <c r="Y19" s="10">
        <v>8983.33</v>
      </c>
      <c r="Z19" s="10">
        <v>8983.33</v>
      </c>
      <c r="AA19" s="11">
        <f t="shared" si="1"/>
        <v>256666.64</v>
      </c>
      <c r="AB19" s="11">
        <v>22.0</v>
      </c>
      <c r="AC19" s="11">
        <f t="shared" si="2"/>
        <v>5646666.08</v>
      </c>
      <c r="AD19" s="12">
        <f>SUM(AC19:AC21)</f>
        <v>7699999.2</v>
      </c>
    </row>
    <row r="20" ht="14.25" customHeight="1">
      <c r="A20" s="8">
        <v>46478.0</v>
      </c>
      <c r="B20" s="9" t="s">
        <v>35</v>
      </c>
      <c r="C20" s="10">
        <v>8983.33</v>
      </c>
      <c r="D20" s="10">
        <v>8983.33</v>
      </c>
      <c r="E20" s="10">
        <v>8983.33</v>
      </c>
      <c r="F20" s="10">
        <v>8983.33</v>
      </c>
      <c r="G20" s="10">
        <v>8983.33</v>
      </c>
      <c r="H20" s="10">
        <v>8983.33</v>
      </c>
      <c r="I20" s="10">
        <v>8983.33</v>
      </c>
      <c r="J20" s="10">
        <v>8983.33</v>
      </c>
      <c r="K20" s="10">
        <v>14116.67</v>
      </c>
      <c r="L20" s="10">
        <v>14116.67</v>
      </c>
      <c r="M20" s="10">
        <v>14116.67</v>
      </c>
      <c r="N20" s="10">
        <v>14116.67</v>
      </c>
      <c r="O20" s="10">
        <v>14116.67</v>
      </c>
      <c r="P20" s="10">
        <v>14116.67</v>
      </c>
      <c r="Q20" s="10">
        <v>14116.67</v>
      </c>
      <c r="R20" s="10">
        <v>14116.67</v>
      </c>
      <c r="S20" s="10">
        <v>8983.33</v>
      </c>
      <c r="T20" s="10">
        <v>8983.33</v>
      </c>
      <c r="U20" s="10">
        <v>8983.33</v>
      </c>
      <c r="V20" s="10">
        <v>8983.33</v>
      </c>
      <c r="W20" s="10">
        <v>8983.33</v>
      </c>
      <c r="X20" s="10">
        <v>8983.33</v>
      </c>
      <c r="Y20" s="10">
        <v>8983.33</v>
      </c>
      <c r="Z20" s="10">
        <v>8983.33</v>
      </c>
      <c r="AA20" s="11">
        <f t="shared" si="1"/>
        <v>256666.64</v>
      </c>
      <c r="AB20" s="11">
        <v>4.0</v>
      </c>
      <c r="AC20" s="11">
        <f t="shared" si="2"/>
        <v>1026666.56</v>
      </c>
      <c r="AD20" s="13"/>
    </row>
    <row r="21" ht="14.25" customHeight="1">
      <c r="A21" s="8">
        <v>46478.0</v>
      </c>
      <c r="B21" s="9" t="s">
        <v>36</v>
      </c>
      <c r="C21" s="10">
        <v>8983.33</v>
      </c>
      <c r="D21" s="10">
        <v>8983.33</v>
      </c>
      <c r="E21" s="10">
        <v>8983.33</v>
      </c>
      <c r="F21" s="10">
        <v>8983.33</v>
      </c>
      <c r="G21" s="10">
        <v>8983.33</v>
      </c>
      <c r="H21" s="10">
        <v>8983.33</v>
      </c>
      <c r="I21" s="10">
        <v>8983.33</v>
      </c>
      <c r="J21" s="10">
        <v>8983.33</v>
      </c>
      <c r="K21" s="10">
        <v>14116.67</v>
      </c>
      <c r="L21" s="10">
        <v>14116.67</v>
      </c>
      <c r="M21" s="10">
        <v>14116.67</v>
      </c>
      <c r="N21" s="10">
        <v>14116.67</v>
      </c>
      <c r="O21" s="10">
        <v>14116.67</v>
      </c>
      <c r="P21" s="10">
        <v>14116.67</v>
      </c>
      <c r="Q21" s="10">
        <v>14116.67</v>
      </c>
      <c r="R21" s="10">
        <v>14116.67</v>
      </c>
      <c r="S21" s="10">
        <v>8983.33</v>
      </c>
      <c r="T21" s="10">
        <v>8983.33</v>
      </c>
      <c r="U21" s="10">
        <v>8983.33</v>
      </c>
      <c r="V21" s="10">
        <v>8983.33</v>
      </c>
      <c r="W21" s="10">
        <v>8983.33</v>
      </c>
      <c r="X21" s="10">
        <v>8983.33</v>
      </c>
      <c r="Y21" s="10">
        <v>8983.33</v>
      </c>
      <c r="Z21" s="10">
        <v>8983.33</v>
      </c>
      <c r="AA21" s="11">
        <f t="shared" si="1"/>
        <v>256666.64</v>
      </c>
      <c r="AB21" s="11">
        <v>4.0</v>
      </c>
      <c r="AC21" s="11">
        <f t="shared" si="2"/>
        <v>1026666.56</v>
      </c>
      <c r="AD21" s="14"/>
    </row>
    <row r="22" ht="14.25" customHeight="1">
      <c r="A22" s="8">
        <v>46508.0</v>
      </c>
      <c r="B22" s="9" t="s">
        <v>34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1">
        <f t="shared" si="1"/>
        <v>0</v>
      </c>
      <c r="AB22" s="11">
        <v>19.0</v>
      </c>
      <c r="AC22" s="11">
        <f t="shared" si="2"/>
        <v>0</v>
      </c>
      <c r="AD22" s="12">
        <f>SUM(AC22:AC24)</f>
        <v>0</v>
      </c>
    </row>
    <row r="23" ht="14.25" customHeight="1">
      <c r="A23" s="8">
        <v>46508.0</v>
      </c>
      <c r="B23" s="9" t="s">
        <v>35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1">
        <f t="shared" si="1"/>
        <v>0</v>
      </c>
      <c r="AB23" s="11">
        <v>4.0</v>
      </c>
      <c r="AC23" s="11">
        <f t="shared" si="2"/>
        <v>0</v>
      </c>
      <c r="AD23" s="13"/>
    </row>
    <row r="24" ht="14.25" customHeight="1">
      <c r="A24" s="8">
        <v>46508.0</v>
      </c>
      <c r="B24" s="9" t="s">
        <v>36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1">
        <f t="shared" si="1"/>
        <v>0</v>
      </c>
      <c r="AB24" s="11">
        <v>8.0</v>
      </c>
      <c r="AC24" s="11">
        <f t="shared" si="2"/>
        <v>0</v>
      </c>
      <c r="AD24" s="14"/>
    </row>
    <row r="25" ht="14.25" customHeight="1">
      <c r="A25" s="8">
        <v>46539.0</v>
      </c>
      <c r="B25" s="9" t="s">
        <v>34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1">
        <f t="shared" si="1"/>
        <v>0</v>
      </c>
      <c r="AB25" s="11">
        <v>21.0</v>
      </c>
      <c r="AC25" s="11">
        <f t="shared" si="2"/>
        <v>0</v>
      </c>
      <c r="AD25" s="12">
        <f>SUM(AC25:AC27)</f>
        <v>0</v>
      </c>
    </row>
    <row r="26" ht="14.25" customHeight="1">
      <c r="A26" s="8">
        <v>46539.0</v>
      </c>
      <c r="B26" s="9" t="s">
        <v>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1">
        <f t="shared" si="1"/>
        <v>0</v>
      </c>
      <c r="AB26" s="11">
        <v>4.0</v>
      </c>
      <c r="AC26" s="11">
        <f t="shared" si="2"/>
        <v>0</v>
      </c>
      <c r="AD26" s="13"/>
    </row>
    <row r="27" ht="14.25" customHeight="1">
      <c r="A27" s="8">
        <v>46539.0</v>
      </c>
      <c r="B27" s="9" t="s">
        <v>36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1">
        <f t="shared" si="1"/>
        <v>0</v>
      </c>
      <c r="AB27" s="11">
        <v>5.0</v>
      </c>
      <c r="AC27" s="11">
        <f t="shared" si="2"/>
        <v>0</v>
      </c>
      <c r="AD27" s="14"/>
    </row>
    <row r="28" ht="14.25" customHeight="1">
      <c r="A28" s="8">
        <v>46569.0</v>
      </c>
      <c r="B28" s="9" t="s">
        <v>34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1">
        <f t="shared" si="1"/>
        <v>0</v>
      </c>
      <c r="AB28" s="11">
        <v>20.0</v>
      </c>
      <c r="AC28" s="11">
        <f t="shared" si="2"/>
        <v>0</v>
      </c>
      <c r="AD28" s="12">
        <f>SUM(AC28:AC30)</f>
        <v>0</v>
      </c>
    </row>
    <row r="29" ht="14.25" customHeight="1">
      <c r="A29" s="8">
        <v>46569.0</v>
      </c>
      <c r="B29" s="9" t="s">
        <v>35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1">
        <f t="shared" si="1"/>
        <v>0</v>
      </c>
      <c r="AB29" s="11">
        <v>5.0</v>
      </c>
      <c r="AC29" s="11">
        <f t="shared" si="2"/>
        <v>0</v>
      </c>
      <c r="AD29" s="13"/>
    </row>
    <row r="30" ht="14.25" customHeight="1">
      <c r="A30" s="8">
        <v>46569.0</v>
      </c>
      <c r="B30" s="9" t="s">
        <v>36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1">
        <f t="shared" si="1"/>
        <v>0</v>
      </c>
      <c r="AB30" s="11">
        <v>6.0</v>
      </c>
      <c r="AC30" s="11">
        <f t="shared" si="2"/>
        <v>0</v>
      </c>
      <c r="AD30" s="14"/>
    </row>
    <row r="31" ht="14.25" customHeight="1">
      <c r="A31" s="8">
        <v>46600.0</v>
      </c>
      <c r="B31" s="9" t="s">
        <v>34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1">
        <f t="shared" si="1"/>
        <v>0</v>
      </c>
      <c r="AB31" s="11">
        <v>21.0</v>
      </c>
      <c r="AC31" s="11">
        <f t="shared" si="2"/>
        <v>0</v>
      </c>
      <c r="AD31" s="12">
        <f>SUM(AC31:AC33)</f>
        <v>0</v>
      </c>
    </row>
    <row r="32" ht="14.25" customHeight="1">
      <c r="A32" s="8">
        <v>46600.0</v>
      </c>
      <c r="B32" s="9" t="s">
        <v>35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1">
        <f t="shared" si="1"/>
        <v>0</v>
      </c>
      <c r="AB32" s="11">
        <v>3.0</v>
      </c>
      <c r="AC32" s="11">
        <f t="shared" si="2"/>
        <v>0</v>
      </c>
      <c r="AD32" s="13"/>
    </row>
    <row r="33" ht="14.25" customHeight="1">
      <c r="A33" s="8">
        <v>46600.0</v>
      </c>
      <c r="B33" s="9" t="s">
        <v>36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1">
        <f t="shared" si="1"/>
        <v>0</v>
      </c>
      <c r="AB33" s="11">
        <v>7.0</v>
      </c>
      <c r="AC33" s="11">
        <f t="shared" si="2"/>
        <v>0</v>
      </c>
      <c r="AD33" s="14"/>
    </row>
    <row r="34" ht="14.25" customHeight="1">
      <c r="A34" s="8">
        <v>46631.0</v>
      </c>
      <c r="B34" s="9" t="s">
        <v>34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1">
        <f t="shared" si="1"/>
        <v>0</v>
      </c>
      <c r="AB34" s="11">
        <v>22.0</v>
      </c>
      <c r="AC34" s="11">
        <f t="shared" si="2"/>
        <v>0</v>
      </c>
      <c r="AD34" s="12">
        <f>SUM(AC34:AC36)</f>
        <v>0</v>
      </c>
    </row>
    <row r="35" ht="14.25" customHeight="1">
      <c r="A35" s="8">
        <v>46631.0</v>
      </c>
      <c r="B35" s="9" t="s">
        <v>35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1">
        <f t="shared" si="1"/>
        <v>0</v>
      </c>
      <c r="AB35" s="11">
        <v>4.0</v>
      </c>
      <c r="AC35" s="11">
        <f t="shared" si="2"/>
        <v>0</v>
      </c>
      <c r="AD35" s="13"/>
    </row>
    <row r="36" ht="14.25" customHeight="1">
      <c r="A36" s="8">
        <v>46631.0</v>
      </c>
      <c r="B36" s="9" t="s">
        <v>36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1">
        <f t="shared" si="1"/>
        <v>0</v>
      </c>
      <c r="AB36" s="11">
        <v>4.0</v>
      </c>
      <c r="AC36" s="11">
        <f t="shared" si="2"/>
        <v>0</v>
      </c>
      <c r="AD36" s="14"/>
    </row>
    <row r="37" ht="14.25" customHeight="1">
      <c r="A37" s="8">
        <v>46661.0</v>
      </c>
      <c r="B37" s="9" t="s">
        <v>34</v>
      </c>
      <c r="C37" s="10">
        <v>11516.13</v>
      </c>
      <c r="D37" s="10">
        <v>11516.13</v>
      </c>
      <c r="E37" s="10">
        <v>11516.13</v>
      </c>
      <c r="F37" s="10">
        <v>11516.13</v>
      </c>
      <c r="G37" s="10">
        <v>11516.13</v>
      </c>
      <c r="H37" s="10">
        <v>11516.13</v>
      </c>
      <c r="I37" s="10">
        <v>11516.13</v>
      </c>
      <c r="J37" s="10">
        <v>11516.13</v>
      </c>
      <c r="K37" s="10">
        <v>18096.77</v>
      </c>
      <c r="L37" s="10">
        <v>18096.77</v>
      </c>
      <c r="M37" s="10">
        <v>18096.77</v>
      </c>
      <c r="N37" s="10">
        <v>18096.77</v>
      </c>
      <c r="O37" s="10">
        <v>18096.77</v>
      </c>
      <c r="P37" s="10">
        <v>18096.77</v>
      </c>
      <c r="Q37" s="10">
        <v>18096.77</v>
      </c>
      <c r="R37" s="10">
        <v>18096.77</v>
      </c>
      <c r="S37" s="10">
        <v>11516.13</v>
      </c>
      <c r="T37" s="10">
        <v>11516.13</v>
      </c>
      <c r="U37" s="10">
        <v>11516.13</v>
      </c>
      <c r="V37" s="10">
        <v>11516.13</v>
      </c>
      <c r="W37" s="10">
        <v>11516.13</v>
      </c>
      <c r="X37" s="10">
        <v>11516.13</v>
      </c>
      <c r="Y37" s="10">
        <v>11516.13</v>
      </c>
      <c r="Z37" s="10">
        <v>11516.13</v>
      </c>
      <c r="AA37" s="11">
        <f t="shared" si="1"/>
        <v>329032.24</v>
      </c>
      <c r="AB37" s="11">
        <v>20.0</v>
      </c>
      <c r="AC37" s="11">
        <f t="shared" si="2"/>
        <v>6580644.8</v>
      </c>
      <c r="AD37" s="12">
        <f>SUM(AC37:AC39)</f>
        <v>10199999.44</v>
      </c>
    </row>
    <row r="38" ht="14.25" customHeight="1">
      <c r="A38" s="8">
        <v>46661.0</v>
      </c>
      <c r="B38" s="9" t="s">
        <v>35</v>
      </c>
      <c r="C38" s="10">
        <v>11516.13</v>
      </c>
      <c r="D38" s="10">
        <v>11516.13</v>
      </c>
      <c r="E38" s="10">
        <v>11516.13</v>
      </c>
      <c r="F38" s="10">
        <v>11516.13</v>
      </c>
      <c r="G38" s="10">
        <v>11516.13</v>
      </c>
      <c r="H38" s="10">
        <v>11516.13</v>
      </c>
      <c r="I38" s="10">
        <v>11516.13</v>
      </c>
      <c r="J38" s="10">
        <v>11516.13</v>
      </c>
      <c r="K38" s="10">
        <v>18096.77</v>
      </c>
      <c r="L38" s="10">
        <v>18096.77</v>
      </c>
      <c r="M38" s="10">
        <v>18096.77</v>
      </c>
      <c r="N38" s="10">
        <v>18096.77</v>
      </c>
      <c r="O38" s="10">
        <v>18096.77</v>
      </c>
      <c r="P38" s="10">
        <v>18096.77</v>
      </c>
      <c r="Q38" s="10">
        <v>18096.77</v>
      </c>
      <c r="R38" s="10">
        <v>18096.77</v>
      </c>
      <c r="S38" s="10">
        <v>11516.13</v>
      </c>
      <c r="T38" s="10">
        <v>11516.13</v>
      </c>
      <c r="U38" s="10">
        <v>11516.13</v>
      </c>
      <c r="V38" s="10">
        <v>11516.13</v>
      </c>
      <c r="W38" s="10">
        <v>11516.13</v>
      </c>
      <c r="X38" s="10">
        <v>11516.13</v>
      </c>
      <c r="Y38" s="10">
        <v>11516.13</v>
      </c>
      <c r="Z38" s="10">
        <v>11516.13</v>
      </c>
      <c r="AA38" s="11">
        <f t="shared" si="1"/>
        <v>329032.24</v>
      </c>
      <c r="AB38" s="11">
        <v>5.0</v>
      </c>
      <c r="AC38" s="11">
        <f t="shared" si="2"/>
        <v>1645161.2</v>
      </c>
      <c r="AD38" s="13"/>
    </row>
    <row r="39" ht="14.25" customHeight="1">
      <c r="A39" s="8">
        <v>46661.0</v>
      </c>
      <c r="B39" s="9" t="s">
        <v>36</v>
      </c>
      <c r="C39" s="10">
        <v>11516.13</v>
      </c>
      <c r="D39" s="10">
        <v>11516.13</v>
      </c>
      <c r="E39" s="10">
        <v>11516.13</v>
      </c>
      <c r="F39" s="10">
        <v>11516.13</v>
      </c>
      <c r="G39" s="10">
        <v>11516.13</v>
      </c>
      <c r="H39" s="10">
        <v>11516.13</v>
      </c>
      <c r="I39" s="10">
        <v>11516.13</v>
      </c>
      <c r="J39" s="10">
        <v>11516.13</v>
      </c>
      <c r="K39" s="10">
        <v>18096.77</v>
      </c>
      <c r="L39" s="10">
        <v>18096.77</v>
      </c>
      <c r="M39" s="10">
        <v>18096.77</v>
      </c>
      <c r="N39" s="10">
        <v>18096.77</v>
      </c>
      <c r="O39" s="10">
        <v>18096.77</v>
      </c>
      <c r="P39" s="10">
        <v>18096.77</v>
      </c>
      <c r="Q39" s="10">
        <v>18096.77</v>
      </c>
      <c r="R39" s="10">
        <v>18096.77</v>
      </c>
      <c r="S39" s="10">
        <v>11516.13</v>
      </c>
      <c r="T39" s="10">
        <v>11516.13</v>
      </c>
      <c r="U39" s="10">
        <v>11516.13</v>
      </c>
      <c r="V39" s="10">
        <v>11516.13</v>
      </c>
      <c r="W39" s="10">
        <v>11516.13</v>
      </c>
      <c r="X39" s="10">
        <v>11516.13</v>
      </c>
      <c r="Y39" s="10">
        <v>11516.13</v>
      </c>
      <c r="Z39" s="10">
        <v>11516.13</v>
      </c>
      <c r="AA39" s="11">
        <f t="shared" si="1"/>
        <v>329032.24</v>
      </c>
      <c r="AB39" s="11">
        <v>6.0</v>
      </c>
      <c r="AC39" s="11">
        <f t="shared" si="2"/>
        <v>1974193.44</v>
      </c>
      <c r="AD39" s="14"/>
    </row>
    <row r="40" ht="14.25" customHeight="1">
      <c r="A40" s="8">
        <v>46692.0</v>
      </c>
      <c r="B40" s="9" t="s">
        <v>34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1">
        <f t="shared" si="1"/>
        <v>0</v>
      </c>
      <c r="AB40" s="11">
        <v>20.0</v>
      </c>
      <c r="AC40" s="11">
        <f t="shared" si="2"/>
        <v>0</v>
      </c>
      <c r="AD40" s="12">
        <f>SUM(AC40:AC42)</f>
        <v>0</v>
      </c>
    </row>
    <row r="41" ht="14.25" customHeight="1">
      <c r="A41" s="8">
        <v>46692.0</v>
      </c>
      <c r="B41" s="9" t="s">
        <v>35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1">
        <f t="shared" si="1"/>
        <v>0</v>
      </c>
      <c r="AB41" s="11">
        <v>4.0</v>
      </c>
      <c r="AC41" s="11">
        <f t="shared" si="2"/>
        <v>0</v>
      </c>
      <c r="AD41" s="13"/>
    </row>
    <row r="42" ht="14.25" customHeight="1">
      <c r="A42" s="8">
        <v>46692.0</v>
      </c>
      <c r="B42" s="9" t="s">
        <v>36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1">
        <f t="shared" si="1"/>
        <v>0</v>
      </c>
      <c r="AB42" s="11">
        <v>6.0</v>
      </c>
      <c r="AC42" s="11">
        <f t="shared" si="2"/>
        <v>0</v>
      </c>
      <c r="AD42" s="14"/>
    </row>
    <row r="43" ht="14.25" customHeight="1">
      <c r="A43" s="8">
        <v>46722.0</v>
      </c>
      <c r="B43" s="9" t="s">
        <v>34</v>
      </c>
      <c r="C43" s="10">
        <v>10048.39</v>
      </c>
      <c r="D43" s="10">
        <v>10048.39</v>
      </c>
      <c r="E43" s="10">
        <v>10048.39</v>
      </c>
      <c r="F43" s="10">
        <v>10048.39</v>
      </c>
      <c r="G43" s="10">
        <v>10048.39</v>
      </c>
      <c r="H43" s="10">
        <v>10048.39</v>
      </c>
      <c r="I43" s="10">
        <v>10048.39</v>
      </c>
      <c r="J43" s="10">
        <v>10048.39</v>
      </c>
      <c r="K43" s="10">
        <v>15790.32</v>
      </c>
      <c r="L43" s="10">
        <v>15790.32</v>
      </c>
      <c r="M43" s="10">
        <v>15790.32</v>
      </c>
      <c r="N43" s="10">
        <v>15790.32</v>
      </c>
      <c r="O43" s="10">
        <v>15790.32</v>
      </c>
      <c r="P43" s="10">
        <v>15790.32</v>
      </c>
      <c r="Q43" s="10">
        <v>15790.32</v>
      </c>
      <c r="R43" s="10">
        <v>15790.32</v>
      </c>
      <c r="S43" s="10">
        <v>10048.39</v>
      </c>
      <c r="T43" s="10">
        <v>10048.39</v>
      </c>
      <c r="U43" s="10">
        <v>10048.39</v>
      </c>
      <c r="V43" s="10">
        <v>10048.39</v>
      </c>
      <c r="W43" s="10">
        <v>10048.39</v>
      </c>
      <c r="X43" s="10">
        <v>10048.39</v>
      </c>
      <c r="Y43" s="10">
        <v>10048.39</v>
      </c>
      <c r="Z43" s="10">
        <v>10048.39</v>
      </c>
      <c r="AA43" s="11">
        <f t="shared" si="1"/>
        <v>287096.8</v>
      </c>
      <c r="AB43" s="11">
        <v>22.0</v>
      </c>
      <c r="AC43" s="11">
        <f t="shared" si="2"/>
        <v>6316129.6</v>
      </c>
      <c r="AD43" s="12">
        <f>SUM(AC43:AC45)</f>
        <v>8900000.8</v>
      </c>
    </row>
    <row r="44" ht="14.25" customHeight="1">
      <c r="A44" s="8">
        <v>46722.0</v>
      </c>
      <c r="B44" s="9" t="s">
        <v>35</v>
      </c>
      <c r="C44" s="10">
        <v>10048.39</v>
      </c>
      <c r="D44" s="10">
        <v>10048.39</v>
      </c>
      <c r="E44" s="10">
        <v>10048.39</v>
      </c>
      <c r="F44" s="10">
        <v>10048.39</v>
      </c>
      <c r="G44" s="10">
        <v>10048.39</v>
      </c>
      <c r="H44" s="10">
        <v>10048.39</v>
      </c>
      <c r="I44" s="10">
        <v>10048.39</v>
      </c>
      <c r="J44" s="10">
        <v>10048.39</v>
      </c>
      <c r="K44" s="10">
        <v>15790.32</v>
      </c>
      <c r="L44" s="10">
        <v>15790.32</v>
      </c>
      <c r="M44" s="10">
        <v>15790.32</v>
      </c>
      <c r="N44" s="10">
        <v>15790.32</v>
      </c>
      <c r="O44" s="10">
        <v>15790.32</v>
      </c>
      <c r="P44" s="10">
        <v>15790.32</v>
      </c>
      <c r="Q44" s="10">
        <v>15790.32</v>
      </c>
      <c r="R44" s="10">
        <v>15790.32</v>
      </c>
      <c r="S44" s="10">
        <v>10048.39</v>
      </c>
      <c r="T44" s="10">
        <v>10048.39</v>
      </c>
      <c r="U44" s="10">
        <v>10048.39</v>
      </c>
      <c r="V44" s="10">
        <v>10048.39</v>
      </c>
      <c r="W44" s="10">
        <v>10048.39</v>
      </c>
      <c r="X44" s="10">
        <v>10048.39</v>
      </c>
      <c r="Y44" s="10">
        <v>10048.39</v>
      </c>
      <c r="Z44" s="10">
        <v>10048.39</v>
      </c>
      <c r="AA44" s="11">
        <f t="shared" si="1"/>
        <v>287096.8</v>
      </c>
      <c r="AB44" s="11">
        <v>3.0</v>
      </c>
      <c r="AC44" s="11">
        <f t="shared" si="2"/>
        <v>861290.4</v>
      </c>
      <c r="AD44" s="13"/>
    </row>
    <row r="45" ht="14.25" customHeight="1">
      <c r="A45" s="8">
        <v>46722.0</v>
      </c>
      <c r="B45" s="9" t="s">
        <v>36</v>
      </c>
      <c r="C45" s="10">
        <v>10048.39</v>
      </c>
      <c r="D45" s="10">
        <v>10048.39</v>
      </c>
      <c r="E45" s="10">
        <v>10048.39</v>
      </c>
      <c r="F45" s="10">
        <v>10048.39</v>
      </c>
      <c r="G45" s="10">
        <v>10048.39</v>
      </c>
      <c r="H45" s="10">
        <v>10048.39</v>
      </c>
      <c r="I45" s="10">
        <v>10048.39</v>
      </c>
      <c r="J45" s="10">
        <v>10048.39</v>
      </c>
      <c r="K45" s="10">
        <v>15790.32</v>
      </c>
      <c r="L45" s="10">
        <v>15790.32</v>
      </c>
      <c r="M45" s="10">
        <v>15790.32</v>
      </c>
      <c r="N45" s="10">
        <v>15790.32</v>
      </c>
      <c r="O45" s="10">
        <v>15790.32</v>
      </c>
      <c r="P45" s="10">
        <v>15790.32</v>
      </c>
      <c r="Q45" s="10">
        <v>15790.32</v>
      </c>
      <c r="R45" s="10">
        <v>15790.32</v>
      </c>
      <c r="S45" s="10">
        <v>10048.39</v>
      </c>
      <c r="T45" s="10">
        <v>10048.39</v>
      </c>
      <c r="U45" s="10">
        <v>10048.39</v>
      </c>
      <c r="V45" s="10">
        <v>10048.39</v>
      </c>
      <c r="W45" s="10">
        <v>10048.39</v>
      </c>
      <c r="X45" s="10">
        <v>10048.39</v>
      </c>
      <c r="Y45" s="10">
        <v>10048.39</v>
      </c>
      <c r="Z45" s="10">
        <v>10048.39</v>
      </c>
      <c r="AA45" s="11">
        <f t="shared" si="1"/>
        <v>287096.8</v>
      </c>
      <c r="AB45" s="11">
        <v>6.0</v>
      </c>
      <c r="AC45" s="11">
        <f t="shared" si="2"/>
        <v>1722580.8</v>
      </c>
      <c r="AD45" s="14"/>
    </row>
    <row r="46" ht="14.25" customHeight="1">
      <c r="AB46" s="16" t="s">
        <v>32</v>
      </c>
      <c r="AC46" s="11">
        <f t="shared" ref="AC46:AD46" si="3">SUM(AC10:AC45)</f>
        <v>49800000.88</v>
      </c>
      <c r="AD46" s="11">
        <f t="shared" si="3"/>
        <v>49800000.88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</sheetData>
  <mergeCells count="16">
    <mergeCell ref="A1:AC1"/>
    <mergeCell ref="A2:AC2"/>
    <mergeCell ref="A3:AC3"/>
    <mergeCell ref="A4:AC4"/>
    <mergeCell ref="AD10:AD12"/>
    <mergeCell ref="AD13:AD15"/>
    <mergeCell ref="AD16:AD18"/>
    <mergeCell ref="AD40:AD42"/>
    <mergeCell ref="AD43:AD45"/>
    <mergeCell ref="AD19:AD21"/>
    <mergeCell ref="AD22:AD24"/>
    <mergeCell ref="AD25:AD27"/>
    <mergeCell ref="AD28:AD30"/>
    <mergeCell ref="AD31:AD33"/>
    <mergeCell ref="AD34:AD36"/>
    <mergeCell ref="AD37:AD3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7" t="s">
        <v>3</v>
      </c>
    </row>
    <row r="5" ht="14.25" customHeight="1">
      <c r="A5" s="18"/>
      <c r="B5" s="19" t="s">
        <v>37</v>
      </c>
    </row>
    <row r="6" ht="14.25" customHeight="1">
      <c r="A6" s="18"/>
      <c r="B6" s="19" t="s">
        <v>38</v>
      </c>
    </row>
    <row r="7" ht="14.25" customHeight="1">
      <c r="A7" s="18"/>
      <c r="B7" s="20" t="s">
        <v>39</v>
      </c>
    </row>
    <row r="8" ht="14.25" customHeight="1">
      <c r="A8" s="18"/>
      <c r="B8" s="21" t="s">
        <v>40</v>
      </c>
    </row>
    <row r="9" ht="14.25" customHeight="1">
      <c r="A9" s="18"/>
      <c r="B9" s="20"/>
      <c r="C9" s="20"/>
      <c r="D9" s="20"/>
      <c r="E9" s="20"/>
    </row>
    <row r="10" ht="14.25" customHeight="1">
      <c r="A10" s="18"/>
      <c r="B10" s="22" t="s">
        <v>41</v>
      </c>
      <c r="C10" s="23"/>
      <c r="D10" s="23"/>
      <c r="E10" s="23"/>
      <c r="F10" s="24"/>
    </row>
    <row r="11">
      <c r="A11" s="18"/>
      <c r="B11" s="25" t="s">
        <v>4</v>
      </c>
      <c r="C11" s="26" t="s">
        <v>42</v>
      </c>
      <c r="D11" s="27" t="s">
        <v>43</v>
      </c>
      <c r="E11" s="27" t="s">
        <v>44</v>
      </c>
      <c r="F11" s="28" t="s">
        <v>45</v>
      </c>
    </row>
    <row r="12" ht="14.25" customHeight="1">
      <c r="A12" s="18"/>
      <c r="B12" s="29">
        <v>46418.0</v>
      </c>
      <c r="C12" s="30">
        <f>'Cant. Requeridas Producto 1'!AD10</f>
        <v>7700000.72</v>
      </c>
      <c r="D12" s="31"/>
      <c r="E12" s="32">
        <f>C12*$D$12</f>
        <v>0</v>
      </c>
      <c r="F12" s="33"/>
    </row>
    <row r="13" ht="14.25" customHeight="1">
      <c r="A13" s="18"/>
      <c r="B13" s="29">
        <v>46419.0</v>
      </c>
      <c r="C13" s="30">
        <f>'Cant. Requeridas Producto 1'!AD13</f>
        <v>7900000.64</v>
      </c>
      <c r="D13" s="34"/>
      <c r="E13" s="35">
        <f t="shared" ref="E13:E23" si="1">C13*$D$13</f>
        <v>0</v>
      </c>
      <c r="F13" s="36"/>
    </row>
    <row r="14" ht="14.25" customHeight="1">
      <c r="A14" s="18"/>
      <c r="B14" s="29">
        <v>46447.0</v>
      </c>
      <c r="C14" s="30">
        <f>'Cant. Requeridas Producto 1'!AD16</f>
        <v>7400000.08</v>
      </c>
      <c r="D14" s="34"/>
      <c r="E14" s="35">
        <f t="shared" si="1"/>
        <v>0</v>
      </c>
      <c r="F14" s="36"/>
    </row>
    <row r="15" ht="14.25" customHeight="1">
      <c r="A15" s="18"/>
      <c r="B15" s="29">
        <v>46478.0</v>
      </c>
      <c r="C15" s="30">
        <f>'Cant. Requeridas Producto 1'!AD19</f>
        <v>7699999.2</v>
      </c>
      <c r="D15" s="34"/>
      <c r="E15" s="35">
        <f t="shared" si="1"/>
        <v>0</v>
      </c>
      <c r="F15" s="36"/>
    </row>
    <row r="16" ht="14.25" customHeight="1">
      <c r="A16" s="18"/>
      <c r="B16" s="29">
        <v>46508.0</v>
      </c>
      <c r="C16" s="37">
        <f>'Cant. Requeridas Producto 1'!AD22</f>
        <v>0</v>
      </c>
      <c r="D16" s="34"/>
      <c r="E16" s="35">
        <f t="shared" si="1"/>
        <v>0</v>
      </c>
      <c r="F16" s="36"/>
    </row>
    <row r="17" ht="14.25" customHeight="1">
      <c r="A17" s="18"/>
      <c r="B17" s="29">
        <v>46539.0</v>
      </c>
      <c r="C17" s="37">
        <f>'Cant. Requeridas Producto 1'!AD25</f>
        <v>0</v>
      </c>
      <c r="D17" s="34"/>
      <c r="E17" s="35">
        <f t="shared" si="1"/>
        <v>0</v>
      </c>
      <c r="F17" s="36"/>
    </row>
    <row r="18" ht="14.25" customHeight="1">
      <c r="A18" s="18"/>
      <c r="B18" s="29">
        <v>46569.0</v>
      </c>
      <c r="C18" s="37">
        <f>'Cant. Requeridas Producto 1'!AD28</f>
        <v>0</v>
      </c>
      <c r="D18" s="34"/>
      <c r="E18" s="35">
        <f t="shared" si="1"/>
        <v>0</v>
      </c>
      <c r="F18" s="36"/>
    </row>
    <row r="19" ht="14.25" customHeight="1">
      <c r="A19" s="18"/>
      <c r="B19" s="29">
        <v>46600.0</v>
      </c>
      <c r="C19" s="37">
        <f>'Cant. Requeridas Producto 1'!AD31</f>
        <v>0</v>
      </c>
      <c r="D19" s="34"/>
      <c r="E19" s="35">
        <f t="shared" si="1"/>
        <v>0</v>
      </c>
      <c r="F19" s="36"/>
    </row>
    <row r="20" ht="14.25" customHeight="1">
      <c r="A20" s="18"/>
      <c r="B20" s="29">
        <v>46631.0</v>
      </c>
      <c r="C20" s="37">
        <f>'Cant. Requeridas Producto 1'!AD34</f>
        <v>0</v>
      </c>
      <c r="D20" s="34"/>
      <c r="E20" s="35">
        <f t="shared" si="1"/>
        <v>0</v>
      </c>
      <c r="F20" s="36"/>
    </row>
    <row r="21" ht="14.25" customHeight="1">
      <c r="A21" s="18"/>
      <c r="B21" s="29">
        <v>46661.0</v>
      </c>
      <c r="C21" s="37">
        <f>'Cant. Requeridas Producto 1'!AD37</f>
        <v>10199999.44</v>
      </c>
      <c r="D21" s="34"/>
      <c r="E21" s="35">
        <f t="shared" si="1"/>
        <v>0</v>
      </c>
      <c r="F21" s="36"/>
    </row>
    <row r="22" ht="14.25" customHeight="1">
      <c r="A22" s="18"/>
      <c r="B22" s="29">
        <v>46692.0</v>
      </c>
      <c r="C22" s="30">
        <f>'Cant. Requeridas Producto 1'!AD40</f>
        <v>0</v>
      </c>
      <c r="D22" s="34"/>
      <c r="E22" s="35">
        <f t="shared" si="1"/>
        <v>0</v>
      </c>
      <c r="F22" s="36"/>
    </row>
    <row r="23" ht="14.25" customHeight="1">
      <c r="A23" s="18"/>
      <c r="B23" s="29">
        <v>46722.0</v>
      </c>
      <c r="C23" s="30">
        <f>'Cant. Requeridas Producto 1'!AD43</f>
        <v>8900000.8</v>
      </c>
      <c r="D23" s="38"/>
      <c r="E23" s="39">
        <f t="shared" si="1"/>
        <v>0</v>
      </c>
      <c r="F23" s="40"/>
    </row>
    <row r="24" ht="14.25" customHeight="1">
      <c r="A24" s="18"/>
      <c r="B24" s="41" t="s">
        <v>32</v>
      </c>
      <c r="C24" s="42">
        <f>SUM(C12:C23)</f>
        <v>49800000.88</v>
      </c>
      <c r="D24" s="43"/>
      <c r="E24" s="44">
        <f>SUM(E12:E23)</f>
        <v>0</v>
      </c>
      <c r="F24" s="43"/>
    </row>
    <row r="25" ht="14.25" customHeight="1">
      <c r="A25" s="18"/>
      <c r="B25" s="20"/>
      <c r="C25" s="45"/>
      <c r="D25" s="20"/>
      <c r="E25" s="20"/>
    </row>
    <row r="26" ht="14.25" customHeight="1">
      <c r="C26" s="46"/>
    </row>
    <row r="27" ht="30.0" customHeight="1">
      <c r="B27" s="47" t="s">
        <v>46</v>
      </c>
      <c r="E27" s="48"/>
    </row>
    <row r="28" ht="45.0" customHeight="1">
      <c r="B28" s="47" t="s">
        <v>47</v>
      </c>
      <c r="I28" s="47"/>
    </row>
    <row r="29" ht="44.25" customHeight="1">
      <c r="B29" s="47" t="s">
        <v>48</v>
      </c>
      <c r="I29" s="47"/>
    </row>
    <row r="30" ht="14.25" customHeight="1">
      <c r="B30" s="49"/>
    </row>
    <row r="31" ht="14.25" customHeight="1"/>
    <row r="32" ht="14.25" customHeight="1"/>
    <row r="33" ht="14.25" customHeight="1">
      <c r="B33" s="50"/>
      <c r="C33" s="50"/>
    </row>
    <row r="34" ht="14.25" customHeight="1">
      <c r="B34" s="5" t="s">
        <v>49</v>
      </c>
    </row>
    <row r="35" ht="14.25" customHeight="1">
      <c r="B35" s="5" t="s">
        <v>50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2">
    <mergeCell ref="B28:E28"/>
    <mergeCell ref="I28:N28"/>
    <mergeCell ref="I29:N29"/>
    <mergeCell ref="B29:E29"/>
    <mergeCell ref="B30:E30"/>
    <mergeCell ref="A4:F4"/>
    <mergeCell ref="B5:E5"/>
    <mergeCell ref="B6:E6"/>
    <mergeCell ref="B7:E7"/>
    <mergeCell ref="B8:E8"/>
    <mergeCell ref="B10:F10"/>
    <mergeCell ref="B27:D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