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Unidades compartidas\9. COMERCIALIZADORA\2. DOCUMENTOS OPERATIVOS\6. PLANEACIÓN\5. MEM\1. COMPRA ENERGÍA\0. SICEP\CP-SCEC2025-007\Pliegos de consulta\"/>
    </mc:Choice>
  </mc:AlternateContent>
  <xr:revisionPtr revIDLastSave="0" documentId="13_ncr:1_{07A88E64-F763-44DF-8CC6-9D9B3E20DFE1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R-Producto 1" sheetId="45" r:id="rId1"/>
    <sheet name="Producto 1" sheetId="44" r:id="rId2"/>
  </sheets>
  <definedNames>
    <definedName name="_xlnm.Print_Area" localSheetId="1">'Producto 1'!$B$1:$AB$5</definedName>
    <definedName name="_xlnm.Print_Area" localSheetId="0">'R-Producto 1'!$A$2:$I$24</definedName>
    <definedName name="Cuadr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5" l="1"/>
  <c r="AC18" i="44"/>
  <c r="AC19" i="44"/>
  <c r="AC20" i="44"/>
  <c r="D14" i="45"/>
  <c r="F14" i="45" s="1"/>
  <c r="AC21" i="44"/>
  <c r="AC22" i="44"/>
  <c r="AC23" i="44"/>
  <c r="D15" i="45"/>
  <c r="F15" i="45" s="1"/>
  <c r="AC6" i="44"/>
  <c r="AC7" i="44"/>
  <c r="AC8" i="44"/>
  <c r="D10" i="45"/>
  <c r="AC9" i="44"/>
  <c r="D11" i="45" s="1"/>
  <c r="F11" i="45" s="1"/>
  <c r="AC10" i="44"/>
  <c r="AC11" i="44"/>
  <c r="AC12" i="44"/>
  <c r="AC13" i="44"/>
  <c r="AC14" i="44"/>
  <c r="AC15" i="44"/>
  <c r="AC16" i="44"/>
  <c r="AC17" i="44"/>
  <c r="D13" i="45" l="1"/>
  <c r="F13" i="45" s="1"/>
  <c r="D12" i="45"/>
  <c r="F12" i="45" s="1"/>
  <c r="D16" i="45" l="1"/>
  <c r="F16" i="45" s="1"/>
</calcChain>
</file>

<file path=xl/sharedStrings.xml><?xml version="1.0" encoding="utf-8"?>
<sst xmlns="http://schemas.openxmlformats.org/spreadsheetml/2006/main" count="89" uniqueCount="56">
  <si>
    <t>Mes</t>
  </si>
  <si>
    <t>Dias\Horas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</si>
  <si>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</si>
  <si>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</si>
  <si>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</si>
  <si>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</si>
  <si>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</si>
  <si>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</si>
  <si>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</si>
  <si>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</si>
  <si>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</si>
  <si>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</si>
  <si>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</si>
  <si>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</si>
  <si>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</si>
  <si>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</si>
  <si>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</si>
  <si>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</si>
  <si>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</si>
  <si>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</si>
  <si>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</si>
  <si>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</si>
  <si>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</si>
  <si>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</si>
  <si>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</si>
  <si>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May</t>
  </si>
  <si>
    <t>Jun</t>
  </si>
  <si>
    <t>Jul</t>
  </si>
  <si>
    <t>MES</t>
  </si>
  <si>
    <t>NOMBRE DEL OFERENTE</t>
  </si>
  <si>
    <t>% E. Ofertado</t>
  </si>
  <si>
    <t>$/kWh</t>
  </si>
  <si>
    <t>AÑO</t>
  </si>
  <si>
    <t>PRODUCTO  1</t>
  </si>
  <si>
    <t>E. Solicitada
[kWh]</t>
  </si>
  <si>
    <t>E. Ofertada
[kWh]</t>
  </si>
  <si>
    <t xml:space="preserve"> - La tarifa ofertada debe tener dos decimales</t>
  </si>
  <si>
    <t xml:space="preserve"> PRECIOS Y CANTIDADES DE ENERGÍA OFERTADA</t>
  </si>
  <si>
    <t>Año</t>
  </si>
  <si>
    <t xml:space="preserve"> - El Tope Ofertado debe tener máximo dos decimales y corresponde al tope horario para cada hora del mes ofertado.</t>
  </si>
  <si>
    <t>Habil</t>
  </si>
  <si>
    <t>Sabado</t>
  </si>
  <si>
    <t>Total</t>
  </si>
  <si>
    <t>N. Días</t>
  </si>
  <si>
    <t>TOTAL PRODUCTO</t>
  </si>
  <si>
    <t>SOL &amp; CIELO ENERGÍA SAS ESP</t>
  </si>
  <si>
    <t>HO1</t>
  </si>
  <si>
    <t>Domingo y Festivo</t>
  </si>
  <si>
    <t>ANEXO 4 - CANTIDADES DE  ENERGÍA ESTIMADAS EN kWh</t>
  </si>
  <si>
    <t>Abr</t>
  </si>
  <si>
    <t>Feb</t>
  </si>
  <si>
    <t>Mar</t>
  </si>
  <si>
    <t>ANEXO 4 - OFERTAS PRODUCTO 1</t>
  </si>
  <si>
    <t xml:space="preserve"> - Por favor complete los campos naranja</t>
  </si>
  <si>
    <t>PERIODO:  DE 1 FEBRERO 2026 A 31 JULIO 2026</t>
  </si>
  <si>
    <t>PERIODO 2026-02-01 A 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</si>
</sst>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\ _€_-;\-* #,##0\ _€_-;_-* &quot;-&quot;\ _€_-;_-@_-"/>
    <numFmt numFmtId="166" formatCode="_-* #,##0.00\ _€_-;\-* #,##0.00\ _€_-;_-* &quot;-&quot;??\ _€_-;_-@_-"/>
    <numFmt numFmtId="167" formatCode="_(* #,##0.0_);_(* \(#,##0.0\);_(* &quot;-&quot;??_);_(@_)"/>
    <numFmt numFmtId="168" formatCode="_ * #,##0.00_ ;_ * \-#,##0.00_ ;_ * &quot;-&quot;??_ ;_ @_ 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8" fontId="4" fillId="0" borderId="0" applyFont="0" applyFill="0" applyBorder="0" applyAlignment="0" applyProtection="0"/>
    <xf numFmtId="0" fontId="10" fillId="3" borderId="0">
      <alignment horizontal="center" vertical="center"/>
    </xf>
    <xf numFmtId="0" fontId="10" fillId="3" borderId="0"/>
  </cellStyleXfs>
  <cellXfs count="43">
    <xf numFmtId="0" fontId="0" fillId="0" borderId="0" xfId="0"/>
    <xf numFmtId="167" fontId="6" fillId="0" borderId="0" xfId="1" applyNumberFormat="1" applyFont="1" applyFill="1" applyBorder="1" applyAlignment="1">
      <alignment horizontal="center"/>
    </xf>
    <xf numFmtId="0" fontId="6" fillId="0" borderId="0" xfId="3" applyFont="1"/>
    <xf numFmtId="0" fontId="6" fillId="0" borderId="0" xfId="0" applyFont="1"/>
    <xf numFmtId="166" fontId="6" fillId="0" borderId="0" xfId="1" applyFont="1" applyFill="1" applyBorder="1"/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" fontId="9" fillId="0" borderId="7" xfId="0" applyNumberFormat="1" applyFont="1" applyBorder="1" applyAlignment="1">
      <alignment horizontal="center" vertical="center"/>
    </xf>
    <xf numFmtId="165" fontId="6" fillId="0" borderId="8" xfId="2" applyFont="1" applyFill="1" applyBorder="1" applyAlignment="1">
      <alignment horizontal="center" vertical="center"/>
    </xf>
    <xf numFmtId="165" fontId="6" fillId="0" borderId="7" xfId="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/>
    <xf numFmtId="0" fontId="6" fillId="0" borderId="0" xfId="0" quotePrefix="1" applyFont="1"/>
    <xf numFmtId="165" fontId="6" fillId="0" borderId="0" xfId="0" applyNumberFormat="1" applyFont="1"/>
    <xf numFmtId="0" fontId="9" fillId="0" borderId="15" xfId="0" applyFont="1" applyBorder="1" applyAlignment="1">
      <alignment horizontal="center" vertical="center"/>
    </xf>
    <xf numFmtId="17" fontId="9" fillId="0" borderId="12" xfId="0" applyNumberFormat="1" applyFont="1" applyBorder="1" applyAlignment="1">
      <alignment horizontal="center" vertical="center"/>
    </xf>
    <xf numFmtId="165" fontId="6" fillId="0" borderId="13" xfId="0" applyNumberFormat="1" applyFont="1" applyBorder="1"/>
    <xf numFmtId="165" fontId="6" fillId="0" borderId="12" xfId="2" applyFont="1" applyFill="1" applyBorder="1" applyAlignment="1">
      <alignment horizontal="center" vertical="center"/>
    </xf>
    <xf numFmtId="9" fontId="6" fillId="0" borderId="11" xfId="4" applyFont="1" applyFill="1" applyBorder="1" applyAlignment="1" applyProtection="1">
      <alignment horizontal="center" vertical="center"/>
      <protection locked="0"/>
    </xf>
    <xf numFmtId="2" fontId="6" fillId="0" borderId="13" xfId="1" quotePrefix="1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9" fillId="2" borderId="0" xfId="0" applyFont="1" applyFill="1" applyAlignment="1" applyProtection="1">
      <alignment horizontal="center"/>
      <protection locked="0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9" fontId="6" fillId="2" borderId="1" xfId="4" applyFont="1" applyFill="1" applyBorder="1" applyAlignment="1" applyProtection="1">
      <alignment horizontal="center" vertical="center"/>
      <protection locked="0"/>
    </xf>
    <xf numFmtId="9" fontId="6" fillId="2" borderId="14" xfId="4" applyFont="1" applyFill="1" applyBorder="1" applyAlignment="1" applyProtection="1">
      <alignment horizontal="center" vertical="center"/>
      <protection locked="0"/>
    </xf>
    <xf numFmtId="9" fontId="6" fillId="2" borderId="16" xfId="4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6" fontId="6" fillId="2" borderId="6" xfId="1" applyFont="1" applyFill="1" applyBorder="1" applyAlignment="1" applyProtection="1">
      <alignment vertical="center"/>
      <protection locked="0"/>
    </xf>
  </cellXfs>
  <cellStyles count="16">
    <cellStyle name="EstiloLabel" xfId="14" xr:uid="{2C7BB463-02AA-496E-A847-06CD13D84712}"/>
    <cellStyle name="Millares" xfId="1" builtinId="3"/>
    <cellStyle name="Millares [0]" xfId="2" builtinId="6"/>
    <cellStyle name="Millares 2" xfId="7" xr:uid="{00000000-0005-0000-0000-000002000000}"/>
    <cellStyle name="Millares 3" xfId="9" xr:uid="{00000000-0005-0000-0000-000003000000}"/>
    <cellStyle name="Millares 4" xfId="13" xr:uid="{6DA14229-D450-4BCD-BD9A-9983C5C088F3}"/>
    <cellStyle name="Moneda 2" xfId="11" xr:uid="{D955DB16-FB66-42B4-A489-4764EC4A4088}"/>
    <cellStyle name="Normal" xfId="0" builtinId="0"/>
    <cellStyle name="Normal 2" xfId="3" xr:uid="{00000000-0005-0000-0000-000005000000}"/>
    <cellStyle name="Normal 2 2" xfId="12" xr:uid="{F7694215-9558-4456-A429-A7EDA9DC2E77}"/>
    <cellStyle name="Normal 3" xfId="5" xr:uid="{00000000-0005-0000-0000-000006000000}"/>
    <cellStyle name="Normal 4" xfId="8" xr:uid="{00000000-0005-0000-0000-000007000000}"/>
    <cellStyle name="Normal 5" xfId="10" xr:uid="{5DCFC1C1-8DB6-495A-8A3C-6EC3855601A8}"/>
    <cellStyle name="Porcentaje" xfId="4" builtinId="5"/>
    <cellStyle name="Porcentaje 2" xfId="6" xr:uid="{00000000-0005-0000-0000-000009000000}"/>
    <cellStyle name="SinEstilo" xfId="15" xr:uid="{7267CCE8-AE0D-4551-9D6A-1AD6FC2BA574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B8226-A19B-4A49-BA1D-E2B90CEAFCDE}" name="Tabla1" displayName="Tabla1" ref="A5:AC23" totalsRowShown="0" headerRowDxfId="30" dataDxfId="29" dataCellStyle="Millares">
  <autoFilter ref="A5:AC23" xr:uid="{623B8226-A19B-4A49-BA1D-E2B90CEAFCDE}"/>
  <tableColumns count="29">
    <tableColumn id="1" xr3:uid="{258FC7B1-AB2C-41E9-A4DA-A22C0F76CE93}" name="Año" dataDxfId="28" dataCellStyle="Normal 2"/>
    <tableColumn id="2" xr3:uid="{2CFE93B2-E9F0-40B3-9CCD-741BDAA0874C}" name="Mes" dataDxfId="27"/>
    <tableColumn id="3" xr3:uid="{1DF17EEE-269F-4ACD-9D0D-FC60933DE82B}" name="Dias\Horas" dataDxfId="26"/>
    <tableColumn id="4" xr3:uid="{707697F8-85C2-425A-BE80-FD1CB5DE8B72}" name="HO1" dataDxfId="25" dataCellStyle="Millares"/>
    <tableColumn id="5" xr3:uid="{7C3DBE8F-9144-4ABE-A782-F1DADD14A57D}" name="HO2" dataDxfId="24" dataCellStyle="Millares"/>
    <tableColumn id="6" xr3:uid="{DC7A1BE4-942D-4028-A791-AFFB3557B890}" name="HO3" dataDxfId="23" dataCellStyle="Millares"/>
    <tableColumn id="7" xr3:uid="{05840084-9C8D-40A2-BF0D-745725769AF7}" name="HO4" dataDxfId="22" dataCellStyle="Millares"/>
    <tableColumn id="8" xr3:uid="{476F1D24-2E1C-4362-8D75-95E46A3A2D33}" name="HO5" dataDxfId="21" dataCellStyle="Millares"/>
    <tableColumn id="9" xr3:uid="{3BB499EE-3583-40F8-9F65-998958A70E32}" name="HO6" dataDxfId="20" dataCellStyle="Millares"/>
    <tableColumn id="10" xr3:uid="{D60A03BA-156A-48A3-8980-D9BA1B3EF120}" name="HO7" dataDxfId="19" dataCellStyle="Millares"/>
    <tableColumn id="11" xr3:uid="{F8F076C4-25CA-452E-8047-3659C4FAD26F}" name="HO8" dataDxfId="18" dataCellStyle="Millares"/>
    <tableColumn id="12" xr3:uid="{0FB7A36B-4B9B-43A6-8AF2-4886F888D32F}" name="HO9" dataDxfId="17" dataCellStyle="Millares"/>
    <tableColumn id="13" xr3:uid="{7A540E58-AA37-4C1B-88BD-BDEAA76B27CA}" name="H10" dataDxfId="16" dataCellStyle="Millares"/>
    <tableColumn id="14" xr3:uid="{9C4E1837-4D81-4890-B611-89CA84F202BE}" name="H11" dataDxfId="15" dataCellStyle="Millares"/>
    <tableColumn id="15" xr3:uid="{E2A592E3-3D92-4920-BE15-B3346115244D}" name="H12" dataDxfId="14" dataCellStyle="Millares"/>
    <tableColumn id="16" xr3:uid="{4D6B59C0-4646-4E66-A96F-6FDC070B829B}" name="H13" dataDxfId="13" dataCellStyle="Millares"/>
    <tableColumn id="17" xr3:uid="{F071DE44-637F-4744-B382-4E1444E479DE}" name="H14" dataDxfId="12" dataCellStyle="Millares"/>
    <tableColumn id="18" xr3:uid="{50D7028A-6057-4636-9612-C53729934B5E}" name="H15" dataDxfId="11" dataCellStyle="Millares"/>
    <tableColumn id="19" xr3:uid="{A01D35F9-A947-4D26-A92D-F864B52732A9}" name="H16" dataDxfId="10" dataCellStyle="Millares"/>
    <tableColumn id="20" xr3:uid="{79F6CB1F-0146-432F-83EF-BAF9DB2FD289}" name="H17" dataDxfId="9" dataCellStyle="Millares"/>
    <tableColumn id="21" xr3:uid="{CC508A62-EF3E-4686-B86B-F031627D9142}" name="H18" dataDxfId="8" dataCellStyle="Millares"/>
    <tableColumn id="22" xr3:uid="{2F6E929D-CE44-44B3-95DF-92412FAF3013}" name="H19" dataDxfId="7" dataCellStyle="Millares"/>
    <tableColumn id="23" xr3:uid="{AC79BE4C-94C7-44D1-BA95-949C6A4637F1}" name="H20" dataDxfId="6" dataCellStyle="Millares"/>
    <tableColumn id="24" xr3:uid="{FF587CCF-6B2E-4491-B88D-95E97D43BFDE}" name="H21" dataDxfId="5" dataCellStyle="Millares"/>
    <tableColumn id="25" xr3:uid="{FDBBB00F-B638-4DD4-AD11-447BC4227883}" name="H22" dataDxfId="4" dataCellStyle="Millares"/>
    <tableColumn id="26" xr3:uid="{D596B851-B005-48EB-AA3E-E6774E8E1A3B}" name="H23" dataDxfId="3" dataCellStyle="Millares"/>
    <tableColumn id="27" xr3:uid="{09883F07-BBE2-4693-8766-1F8C0694B6F5}" name="H24" dataDxfId="2" dataCellStyle="Millares"/>
    <tableColumn id="28" xr3:uid="{68465093-3698-4221-B23C-85C48A645668}" name="N. Días" dataDxfId="1"/>
    <tableColumn id="29" xr3:uid="{164E94B5-8FC1-41A8-97C2-57A01D3D4044}" name="Total" dataDxfId="0">
      <calculatedColumnFormula>AB6*SUM(D6:AA6)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40"/>
  <sheetViews>
    <sheetView showGridLines="0" tabSelected="1" zoomScaleNormal="100" workbookViewId="0">
      <selection activeCell="I9" sqref="I9"/>
    </sheetView>
  </sheetViews>
  <sheetFormatPr baseColWidth="10" defaultColWidth="11.453125" defaultRowHeight="15" customHeight="1" x14ac:dyDescent="0.35"/>
  <cols>
    <col min="1" max="1" width="4.1796875" style="3" customWidth="1"/>
    <col min="2" max="2" width="10" style="3" customWidth="1"/>
    <col min="3" max="3" width="18.26953125" style="3" bestFit="1" customWidth="1"/>
    <col min="4" max="7" width="16.81640625" style="3" customWidth="1"/>
    <col min="8" max="8" width="8.1796875" style="3" bestFit="1" customWidth="1"/>
    <col min="9" max="9" width="9.453125" style="3" customWidth="1"/>
    <col min="10" max="16" width="14.54296875" style="3" customWidth="1"/>
    <col min="17" max="20" width="17" style="3" customWidth="1"/>
    <col min="21" max="16384" width="11.453125" style="3"/>
  </cols>
  <sheetData>
    <row r="2" spans="1:21" ht="15" customHeight="1" x14ac:dyDescent="0.35">
      <c r="B2" s="28" t="s">
        <v>52</v>
      </c>
      <c r="C2" s="28"/>
      <c r="D2" s="28"/>
      <c r="E2" s="28"/>
      <c r="F2" s="28"/>
      <c r="G2" s="28"/>
      <c r="H2" s="10"/>
    </row>
    <row r="3" spans="1:21" ht="15" customHeight="1" x14ac:dyDescent="0.35">
      <c r="B3" s="29" t="s">
        <v>29</v>
      </c>
      <c r="C3" s="29"/>
      <c r="D3" s="29"/>
      <c r="E3" s="29"/>
      <c r="F3" s="29"/>
      <c r="G3" s="29"/>
      <c r="H3" s="10"/>
    </row>
    <row r="4" spans="1:21" ht="15" customHeight="1" x14ac:dyDescent="0.35">
      <c r="B4" s="28" t="s">
        <v>37</v>
      </c>
      <c r="C4" s="28"/>
      <c r="D4" s="28"/>
      <c r="E4" s="28"/>
      <c r="F4" s="28"/>
      <c r="G4" s="28"/>
      <c r="H4" s="10"/>
    </row>
    <row r="5" spans="1:21" ht="15" customHeight="1" x14ac:dyDescent="0.35">
      <c r="B5" s="28"/>
      <c r="C5" s="28"/>
      <c r="D5" s="28"/>
      <c r="E5" s="28"/>
      <c r="F5" s="28"/>
      <c r="G5" s="28"/>
      <c r="H5" s="10"/>
    </row>
    <row r="6" spans="1:21" ht="15" customHeight="1" thickBot="1" x14ac:dyDescent="0.4">
      <c r="B6" s="9"/>
      <c r="C6" s="9"/>
      <c r="D6" s="9"/>
      <c r="E6" s="9"/>
      <c r="F6" s="9"/>
      <c r="G6" s="9"/>
      <c r="H6" s="9"/>
      <c r="U6" s="9"/>
    </row>
    <row r="7" spans="1:21" ht="15" customHeight="1" thickBot="1" x14ac:dyDescent="0.4">
      <c r="B7" s="30" t="s">
        <v>33</v>
      </c>
      <c r="C7" s="31"/>
      <c r="D7" s="31"/>
      <c r="E7" s="31"/>
      <c r="F7" s="31"/>
      <c r="G7" s="32"/>
      <c r="H7" s="9"/>
      <c r="U7" s="9"/>
    </row>
    <row r="8" spans="1:21" ht="15" customHeight="1" thickBot="1" x14ac:dyDescent="0.4">
      <c r="B8" s="36" t="s">
        <v>32</v>
      </c>
      <c r="C8" s="36" t="s">
        <v>28</v>
      </c>
      <c r="D8" s="38" t="s">
        <v>55</v>
      </c>
      <c r="E8" s="39"/>
      <c r="F8" s="39"/>
      <c r="G8" s="40"/>
      <c r="H8" s="9"/>
      <c r="U8" s="9"/>
    </row>
    <row r="9" spans="1:21" ht="29.5" thickBot="1" x14ac:dyDescent="0.4">
      <c r="B9" s="37"/>
      <c r="C9" s="37"/>
      <c r="D9" s="11" t="s">
        <v>34</v>
      </c>
      <c r="E9" s="12" t="s">
        <v>30</v>
      </c>
      <c r="F9" s="12" t="s">
        <v>35</v>
      </c>
      <c r="G9" s="13" t="s">
        <v>31</v>
      </c>
      <c r="H9" s="14"/>
      <c r="U9" s="9"/>
    </row>
    <row r="10" spans="1:21" ht="15" customHeight="1" x14ac:dyDescent="0.35">
      <c r="B10" s="18">
        <v>2026</v>
      </c>
      <c r="C10" s="15" t="s">
        <v>50</v>
      </c>
      <c r="D10" s="16">
        <f>SUMIFS('Producto 1'!$AC:$AC,'Producto 1'!$A:$A,'R-Producto 1'!$B10,'Producto 1'!$B:$B,'R-Producto 1'!$C10)</f>
        <v>839928.88642544392</v>
      </c>
      <c r="E10" s="33"/>
      <c r="F10" s="17">
        <f>D10*$E$10</f>
        <v>0</v>
      </c>
      <c r="G10" s="42"/>
      <c r="H10" s="14"/>
      <c r="U10" s="9"/>
    </row>
    <row r="11" spans="1:21" ht="15" customHeight="1" x14ac:dyDescent="0.35">
      <c r="B11" s="18">
        <v>2026</v>
      </c>
      <c r="C11" s="15" t="s">
        <v>51</v>
      </c>
      <c r="D11" s="16">
        <f>SUMIFS('Producto 1'!$AC:$AC,'Producto 1'!$A:$A,'R-Producto 1'!$B11,'Producto 1'!$B:$B,'R-Producto 1'!$C11)</f>
        <v>929359.8775202285</v>
      </c>
      <c r="E11" s="34"/>
      <c r="F11" s="17">
        <f t="shared" ref="F11:F15" si="0">D11*$E$10</f>
        <v>0</v>
      </c>
      <c r="G11" s="42"/>
      <c r="H11" s="14"/>
      <c r="U11" s="9"/>
    </row>
    <row r="12" spans="1:21" ht="15" customHeight="1" x14ac:dyDescent="0.35">
      <c r="B12" s="18">
        <v>2026</v>
      </c>
      <c r="C12" s="15" t="s">
        <v>49</v>
      </c>
      <c r="D12" s="16">
        <f>SUMIFS('Producto 1'!$AC:$AC,'Producto 1'!$A:$A,'R-Producto 1'!$B12,'Producto 1'!$B:$B,'R-Producto 1'!$C12)</f>
        <v>913829.23575870576</v>
      </c>
      <c r="E12" s="34"/>
      <c r="F12" s="17">
        <f t="shared" si="0"/>
        <v>0</v>
      </c>
      <c r="G12" s="42"/>
      <c r="H12" s="14"/>
      <c r="U12" s="9"/>
    </row>
    <row r="13" spans="1:21" ht="15" customHeight="1" x14ac:dyDescent="0.35">
      <c r="B13" s="18">
        <v>2026</v>
      </c>
      <c r="C13" s="15" t="s">
        <v>25</v>
      </c>
      <c r="D13" s="16">
        <f>SUMIFS('Producto 1'!$AC:$AC,'Producto 1'!$A:$A,'R-Producto 1'!$B13,'Producto 1'!$B:$B,'R-Producto 1'!$C13)</f>
        <v>943618.1839025534</v>
      </c>
      <c r="E13" s="34"/>
      <c r="F13" s="17">
        <f t="shared" si="0"/>
        <v>0</v>
      </c>
      <c r="G13" s="42"/>
      <c r="H13" s="14"/>
      <c r="U13" s="9"/>
    </row>
    <row r="14" spans="1:21" ht="15" customHeight="1" x14ac:dyDescent="0.35">
      <c r="B14" s="18">
        <v>2026</v>
      </c>
      <c r="C14" s="15" t="s">
        <v>26</v>
      </c>
      <c r="D14" s="16">
        <f>SUMIFS('Producto 1'!$AC:$AC,'Producto 1'!$A:$A,'R-Producto 1'!$B14,'Producto 1'!$B:$B,'R-Producto 1'!$C14)</f>
        <v>933594.53781744523</v>
      </c>
      <c r="E14" s="34"/>
      <c r="F14" s="17">
        <f t="shared" si="0"/>
        <v>0</v>
      </c>
      <c r="G14" s="42"/>
      <c r="H14" s="14"/>
      <c r="U14" s="9"/>
    </row>
    <row r="15" spans="1:21" ht="15" customHeight="1" thickBot="1" x14ac:dyDescent="0.4">
      <c r="B15" s="18">
        <v>2026</v>
      </c>
      <c r="C15" s="15" t="s">
        <v>27</v>
      </c>
      <c r="D15" s="16">
        <f>SUMIFS('Producto 1'!$AC:$AC,'Producto 1'!$A:$A,'R-Producto 1'!$B15,'Producto 1'!$B:$B,'R-Producto 1'!$C15)</f>
        <v>1021039.1530977704</v>
      </c>
      <c r="E15" s="35"/>
      <c r="F15" s="17">
        <f t="shared" si="0"/>
        <v>0</v>
      </c>
      <c r="G15" s="42"/>
      <c r="H15" s="14"/>
      <c r="U15" s="9"/>
    </row>
    <row r="16" spans="1:21" ht="15" customHeight="1" thickBot="1" x14ac:dyDescent="0.4">
      <c r="A16" s="19"/>
      <c r="B16" s="22"/>
      <c r="C16" s="23" t="s">
        <v>44</v>
      </c>
      <c r="D16" s="24">
        <f>SUM(D10:D15)</f>
        <v>5581369.8745221468</v>
      </c>
      <c r="E16" s="26"/>
      <c r="F16" s="25">
        <f>D16*$E$10</f>
        <v>0</v>
      </c>
      <c r="G16" s="27"/>
      <c r="H16" s="14"/>
    </row>
    <row r="17" spans="1:8" ht="15" customHeight="1" x14ac:dyDescent="0.35">
      <c r="A17" s="19"/>
      <c r="H17" s="14"/>
    </row>
    <row r="18" spans="1:8" ht="15" customHeight="1" x14ac:dyDescent="0.35">
      <c r="A18" s="19"/>
      <c r="B18" s="20" t="s">
        <v>53</v>
      </c>
      <c r="H18" s="14"/>
    </row>
    <row r="19" spans="1:8" ht="15" customHeight="1" x14ac:dyDescent="0.35">
      <c r="A19" s="19"/>
      <c r="B19" s="3" t="s">
        <v>39</v>
      </c>
      <c r="H19" s="14"/>
    </row>
    <row r="20" spans="1:8" ht="15" customHeight="1" x14ac:dyDescent="0.35">
      <c r="A20" s="19"/>
      <c r="B20" s="3" t="s">
        <v>36</v>
      </c>
      <c r="E20" s="21"/>
      <c r="H20" s="14"/>
    </row>
    <row r="21" spans="1:8" ht="15" customHeight="1" x14ac:dyDescent="0.35">
      <c r="A21" s="19"/>
      <c r="E21" s="21"/>
      <c r="H21" s="14"/>
    </row>
    <row r="22" spans="1:8" ht="15" customHeight="1" x14ac:dyDescent="0.35">
      <c r="A22" s="19"/>
      <c r="H22" s="14"/>
    </row>
    <row r="23" spans="1:8" ht="15" customHeight="1" x14ac:dyDescent="0.35">
      <c r="A23" s="19"/>
      <c r="H23" s="14"/>
    </row>
    <row r="24" spans="1:8" ht="15" customHeight="1" x14ac:dyDescent="0.35">
      <c r="A24" s="19"/>
      <c r="H24" s="14"/>
    </row>
    <row r="25" spans="1:8" ht="15" customHeight="1" x14ac:dyDescent="0.35">
      <c r="A25" s="19"/>
      <c r="H25" s="14"/>
    </row>
    <row r="26" spans="1:8" ht="15" customHeight="1" x14ac:dyDescent="0.35">
      <c r="A26" s="19"/>
      <c r="H26" s="14"/>
    </row>
    <row r="27" spans="1:8" ht="15" customHeight="1" x14ac:dyDescent="0.35">
      <c r="A27" s="19"/>
      <c r="H27" s="14"/>
    </row>
    <row r="28" spans="1:8" ht="15" customHeight="1" x14ac:dyDescent="0.35">
      <c r="A28" s="19"/>
      <c r="H28" s="14"/>
    </row>
    <row r="29" spans="1:8" ht="15" customHeight="1" x14ac:dyDescent="0.35">
      <c r="A29" s="19"/>
      <c r="H29" s="14"/>
    </row>
    <row r="30" spans="1:8" ht="15" customHeight="1" x14ac:dyDescent="0.35">
      <c r="A30" s="19"/>
      <c r="H30" s="14"/>
    </row>
    <row r="31" spans="1:8" ht="15" customHeight="1" x14ac:dyDescent="0.35">
      <c r="A31" s="19"/>
      <c r="H31" s="14"/>
    </row>
    <row r="32" spans="1:8" ht="15" customHeight="1" x14ac:dyDescent="0.35">
      <c r="A32" s="19"/>
      <c r="H32" s="14"/>
    </row>
    <row r="33" spans="1:8" ht="15" customHeight="1" x14ac:dyDescent="0.35">
      <c r="A33" s="19"/>
      <c r="H33" s="14"/>
    </row>
    <row r="34" spans="1:8" ht="15" customHeight="1" x14ac:dyDescent="0.35">
      <c r="A34" s="19"/>
      <c r="H34" s="14"/>
    </row>
    <row r="35" spans="1:8" ht="15" customHeight="1" x14ac:dyDescent="0.35">
      <c r="A35" s="19"/>
      <c r="H35" s="14"/>
    </row>
    <row r="36" spans="1:8" ht="15" customHeight="1" x14ac:dyDescent="0.35">
      <c r="A36" s="19"/>
      <c r="H36" s="14"/>
    </row>
    <row r="37" spans="1:8" ht="15" customHeight="1" x14ac:dyDescent="0.35">
      <c r="A37" s="19"/>
      <c r="H37" s="14"/>
    </row>
    <row r="38" spans="1:8" ht="15" customHeight="1" x14ac:dyDescent="0.35">
      <c r="A38" s="19"/>
      <c r="H38" s="14"/>
    </row>
    <row r="39" spans="1:8" ht="15" customHeight="1" x14ac:dyDescent="0.35">
      <c r="A39" s="19"/>
      <c r="H39" s="14"/>
    </row>
    <row r="40" spans="1:8" ht="15" customHeight="1" x14ac:dyDescent="0.35">
      <c r="A40" s="19"/>
      <c r="H40" s="14"/>
    </row>
    <row r="41" spans="1:8" ht="15" customHeight="1" x14ac:dyDescent="0.35">
      <c r="A41" s="19"/>
      <c r="H41" s="14"/>
    </row>
    <row r="42" spans="1:8" ht="15" customHeight="1" x14ac:dyDescent="0.35">
      <c r="A42" s="19"/>
      <c r="H42" s="14"/>
    </row>
    <row r="43" spans="1:8" ht="15" customHeight="1" x14ac:dyDescent="0.35">
      <c r="A43" s="19"/>
      <c r="H43" s="14"/>
    </row>
    <row r="44" spans="1:8" ht="15" customHeight="1" x14ac:dyDescent="0.35">
      <c r="A44" s="19"/>
      <c r="H44" s="14"/>
    </row>
    <row r="45" spans="1:8" ht="15" customHeight="1" x14ac:dyDescent="0.35">
      <c r="A45" s="19"/>
      <c r="H45" s="14"/>
    </row>
    <row r="46" spans="1:8" ht="15" customHeight="1" x14ac:dyDescent="0.35">
      <c r="A46" s="19"/>
      <c r="H46" s="14"/>
    </row>
    <row r="47" spans="1:8" ht="15" customHeight="1" x14ac:dyDescent="0.35">
      <c r="A47" s="19"/>
      <c r="H47" s="14"/>
    </row>
    <row r="48" spans="1:8" ht="15" customHeight="1" x14ac:dyDescent="0.35">
      <c r="A48" s="19"/>
      <c r="H48" s="14"/>
    </row>
    <row r="49" spans="1:8" ht="15" customHeight="1" x14ac:dyDescent="0.35">
      <c r="A49" s="19"/>
      <c r="H49" s="14"/>
    </row>
    <row r="50" spans="1:8" ht="15" customHeight="1" x14ac:dyDescent="0.35">
      <c r="A50" s="19"/>
      <c r="H50" s="14"/>
    </row>
    <row r="51" spans="1:8" ht="15" customHeight="1" x14ac:dyDescent="0.35">
      <c r="A51" s="19"/>
      <c r="H51" s="14"/>
    </row>
    <row r="52" spans="1:8" ht="15" customHeight="1" x14ac:dyDescent="0.35">
      <c r="A52" s="19"/>
      <c r="H52" s="14"/>
    </row>
    <row r="53" spans="1:8" ht="15" customHeight="1" x14ac:dyDescent="0.35">
      <c r="A53" s="19"/>
      <c r="H53" s="14"/>
    </row>
    <row r="54" spans="1:8" ht="15" customHeight="1" x14ac:dyDescent="0.35">
      <c r="A54" s="19"/>
      <c r="H54" s="14"/>
    </row>
    <row r="55" spans="1:8" ht="15" customHeight="1" x14ac:dyDescent="0.35">
      <c r="A55" s="19"/>
      <c r="H55" s="14"/>
    </row>
    <row r="56" spans="1:8" ht="15" customHeight="1" x14ac:dyDescent="0.35">
      <c r="A56" s="19"/>
      <c r="H56" s="14"/>
    </row>
    <row r="57" spans="1:8" ht="15" customHeight="1" x14ac:dyDescent="0.35">
      <c r="A57" s="19"/>
      <c r="H57" s="14"/>
    </row>
    <row r="58" spans="1:8" ht="15" customHeight="1" x14ac:dyDescent="0.35">
      <c r="A58" s="19"/>
      <c r="H58" s="14"/>
    </row>
    <row r="59" spans="1:8" ht="15" customHeight="1" x14ac:dyDescent="0.35">
      <c r="A59" s="19"/>
      <c r="H59" s="14"/>
    </row>
    <row r="60" spans="1:8" ht="15" customHeight="1" x14ac:dyDescent="0.35">
      <c r="A60" s="19"/>
      <c r="H60" s="14"/>
    </row>
    <row r="61" spans="1:8" ht="15" customHeight="1" x14ac:dyDescent="0.35">
      <c r="A61" s="19"/>
      <c r="H61" s="14"/>
    </row>
    <row r="62" spans="1:8" ht="15" customHeight="1" x14ac:dyDescent="0.35">
      <c r="A62" s="19"/>
      <c r="H62" s="14"/>
    </row>
    <row r="63" spans="1:8" ht="15" customHeight="1" x14ac:dyDescent="0.35">
      <c r="A63" s="19"/>
      <c r="H63" s="14"/>
    </row>
    <row r="64" spans="1:8" ht="15" customHeight="1" x14ac:dyDescent="0.35">
      <c r="A64" s="19"/>
      <c r="H64" s="14"/>
    </row>
    <row r="65" spans="1:8" ht="15" customHeight="1" x14ac:dyDescent="0.35">
      <c r="A65" s="19"/>
      <c r="H65" s="14"/>
    </row>
    <row r="66" spans="1:8" ht="15" customHeight="1" x14ac:dyDescent="0.35">
      <c r="A66" s="19"/>
      <c r="H66" s="14"/>
    </row>
    <row r="67" spans="1:8" ht="15" customHeight="1" x14ac:dyDescent="0.35">
      <c r="A67" s="19"/>
      <c r="H67" s="14"/>
    </row>
    <row r="68" spans="1:8" ht="15" customHeight="1" x14ac:dyDescent="0.35">
      <c r="A68" s="19"/>
      <c r="H68" s="14"/>
    </row>
    <row r="69" spans="1:8" ht="15" customHeight="1" x14ac:dyDescent="0.35">
      <c r="A69" s="19"/>
      <c r="H69" s="14"/>
    </row>
    <row r="70" spans="1:8" ht="15" customHeight="1" x14ac:dyDescent="0.35">
      <c r="A70" s="19"/>
      <c r="H70" s="14"/>
    </row>
    <row r="71" spans="1:8" ht="15" customHeight="1" x14ac:dyDescent="0.35">
      <c r="A71" s="19"/>
      <c r="H71" s="14"/>
    </row>
    <row r="72" spans="1:8" ht="15" customHeight="1" x14ac:dyDescent="0.35">
      <c r="A72" s="19"/>
      <c r="H72" s="14"/>
    </row>
    <row r="73" spans="1:8" ht="15" customHeight="1" x14ac:dyDescent="0.35">
      <c r="A73" s="19"/>
      <c r="H73" s="14"/>
    </row>
    <row r="74" spans="1:8" ht="15" customHeight="1" x14ac:dyDescent="0.35">
      <c r="A74" s="19"/>
      <c r="H74" s="14"/>
    </row>
    <row r="75" spans="1:8" ht="15" customHeight="1" x14ac:dyDescent="0.35">
      <c r="A75" s="19"/>
      <c r="H75" s="14"/>
    </row>
    <row r="76" spans="1:8" ht="15" customHeight="1" x14ac:dyDescent="0.35">
      <c r="A76" s="19"/>
      <c r="H76" s="14"/>
    </row>
    <row r="77" spans="1:8" ht="15" customHeight="1" x14ac:dyDescent="0.35">
      <c r="A77" s="19"/>
      <c r="H77" s="14"/>
    </row>
    <row r="78" spans="1:8" ht="15" customHeight="1" x14ac:dyDescent="0.35">
      <c r="A78" s="19"/>
      <c r="H78" s="14"/>
    </row>
    <row r="79" spans="1:8" ht="15" customHeight="1" x14ac:dyDescent="0.35">
      <c r="A79" s="19"/>
      <c r="H79" s="14"/>
    </row>
    <row r="80" spans="1:8" ht="15" customHeight="1" x14ac:dyDescent="0.35">
      <c r="A80" s="19"/>
      <c r="H80" s="14"/>
    </row>
    <row r="81" spans="1:8" ht="15" customHeight="1" x14ac:dyDescent="0.35">
      <c r="A81" s="19"/>
      <c r="H81" s="14"/>
    </row>
    <row r="82" spans="1:8" ht="15" customHeight="1" x14ac:dyDescent="0.35">
      <c r="A82" s="19"/>
      <c r="H82" s="14"/>
    </row>
    <row r="83" spans="1:8" ht="15" customHeight="1" x14ac:dyDescent="0.35">
      <c r="A83" s="19"/>
      <c r="H83" s="14"/>
    </row>
    <row r="84" spans="1:8" ht="15" customHeight="1" x14ac:dyDescent="0.35">
      <c r="A84" s="19"/>
      <c r="H84" s="14"/>
    </row>
    <row r="85" spans="1:8" ht="15" customHeight="1" x14ac:dyDescent="0.35">
      <c r="A85" s="19"/>
      <c r="H85" s="14"/>
    </row>
    <row r="86" spans="1:8" ht="15" customHeight="1" x14ac:dyDescent="0.35">
      <c r="A86" s="19"/>
      <c r="H86" s="14"/>
    </row>
    <row r="87" spans="1:8" ht="15" customHeight="1" x14ac:dyDescent="0.35">
      <c r="A87" s="19"/>
      <c r="H87" s="14"/>
    </row>
    <row r="88" spans="1:8" ht="15" customHeight="1" x14ac:dyDescent="0.35">
      <c r="A88" s="19"/>
      <c r="H88" s="14"/>
    </row>
    <row r="89" spans="1:8" ht="15" customHeight="1" x14ac:dyDescent="0.35">
      <c r="A89" s="19"/>
      <c r="H89" s="14"/>
    </row>
    <row r="90" spans="1:8" ht="15" customHeight="1" x14ac:dyDescent="0.35">
      <c r="A90" s="19"/>
      <c r="H90" s="14"/>
    </row>
    <row r="91" spans="1:8" ht="15" customHeight="1" x14ac:dyDescent="0.35">
      <c r="A91" s="19"/>
      <c r="H91" s="14"/>
    </row>
    <row r="92" spans="1:8" ht="15" customHeight="1" x14ac:dyDescent="0.35">
      <c r="A92" s="19"/>
      <c r="H92" s="14"/>
    </row>
    <row r="93" spans="1:8" ht="15" customHeight="1" x14ac:dyDescent="0.35">
      <c r="A93" s="19"/>
      <c r="H93" s="14"/>
    </row>
    <row r="94" spans="1:8" ht="15" customHeight="1" x14ac:dyDescent="0.35">
      <c r="A94" s="19"/>
      <c r="H94" s="14"/>
    </row>
    <row r="95" spans="1:8" ht="15" customHeight="1" x14ac:dyDescent="0.35">
      <c r="A95" s="19"/>
      <c r="H95" s="14"/>
    </row>
    <row r="96" spans="1:8" ht="15" customHeight="1" x14ac:dyDescent="0.35">
      <c r="A96" s="19"/>
      <c r="H96" s="14"/>
    </row>
    <row r="97" spans="1:8" ht="15" customHeight="1" x14ac:dyDescent="0.35">
      <c r="A97" s="19"/>
      <c r="H97" s="14"/>
    </row>
    <row r="98" spans="1:8" ht="15" customHeight="1" x14ac:dyDescent="0.35">
      <c r="A98" s="19"/>
      <c r="H98" s="14"/>
    </row>
    <row r="99" spans="1:8" ht="15" customHeight="1" x14ac:dyDescent="0.35">
      <c r="A99" s="19"/>
      <c r="H99" s="14"/>
    </row>
    <row r="100" spans="1:8" ht="15" customHeight="1" x14ac:dyDescent="0.35">
      <c r="A100" s="19"/>
      <c r="H100" s="14"/>
    </row>
    <row r="101" spans="1:8" ht="15" customHeight="1" x14ac:dyDescent="0.35">
      <c r="A101" s="19"/>
      <c r="H101" s="14"/>
    </row>
    <row r="102" spans="1:8" ht="15" customHeight="1" x14ac:dyDescent="0.35">
      <c r="A102" s="19"/>
      <c r="H102" s="14"/>
    </row>
    <row r="103" spans="1:8" ht="15" customHeight="1" x14ac:dyDescent="0.35">
      <c r="A103" s="19"/>
      <c r="H103" s="14"/>
    </row>
    <row r="104" spans="1:8" ht="15" customHeight="1" x14ac:dyDescent="0.35">
      <c r="A104" s="19"/>
      <c r="H104" s="14"/>
    </row>
    <row r="105" spans="1:8" ht="15" customHeight="1" x14ac:dyDescent="0.35">
      <c r="A105" s="19"/>
      <c r="H105" s="14"/>
    </row>
    <row r="106" spans="1:8" ht="15" customHeight="1" x14ac:dyDescent="0.35">
      <c r="A106" s="19"/>
      <c r="H106" s="14"/>
    </row>
    <row r="107" spans="1:8" ht="15" customHeight="1" x14ac:dyDescent="0.35">
      <c r="A107" s="19"/>
      <c r="H107" s="14"/>
    </row>
    <row r="108" spans="1:8" ht="15" customHeight="1" x14ac:dyDescent="0.35">
      <c r="A108" s="19"/>
      <c r="H108" s="14"/>
    </row>
    <row r="109" spans="1:8" ht="15" customHeight="1" x14ac:dyDescent="0.35">
      <c r="A109" s="19"/>
      <c r="H109" s="14"/>
    </row>
    <row r="110" spans="1:8" ht="15" customHeight="1" x14ac:dyDescent="0.35">
      <c r="A110" s="19"/>
      <c r="H110" s="14"/>
    </row>
    <row r="111" spans="1:8" ht="15" customHeight="1" x14ac:dyDescent="0.35">
      <c r="A111" s="19"/>
      <c r="H111" s="14"/>
    </row>
    <row r="112" spans="1:8" ht="15" customHeight="1" x14ac:dyDescent="0.35">
      <c r="A112" s="19"/>
      <c r="H112" s="14"/>
    </row>
    <row r="113" spans="1:8" ht="15" customHeight="1" x14ac:dyDescent="0.35">
      <c r="A113" s="19"/>
      <c r="H113" s="14"/>
    </row>
    <row r="114" spans="1:8" ht="15" customHeight="1" x14ac:dyDescent="0.35">
      <c r="A114" s="19"/>
      <c r="H114" s="14"/>
    </row>
    <row r="115" spans="1:8" ht="15" customHeight="1" x14ac:dyDescent="0.35">
      <c r="A115" s="19"/>
      <c r="H115" s="14"/>
    </row>
    <row r="116" spans="1:8" ht="15" customHeight="1" x14ac:dyDescent="0.35">
      <c r="A116" s="19"/>
      <c r="H116" s="14"/>
    </row>
    <row r="117" spans="1:8" ht="15" customHeight="1" x14ac:dyDescent="0.35">
      <c r="A117" s="19"/>
      <c r="H117" s="14"/>
    </row>
    <row r="118" spans="1:8" ht="15" customHeight="1" x14ac:dyDescent="0.35">
      <c r="A118" s="19"/>
      <c r="H118" s="14"/>
    </row>
    <row r="119" spans="1:8" ht="15" customHeight="1" x14ac:dyDescent="0.35">
      <c r="A119" s="19"/>
      <c r="H119" s="14"/>
    </row>
    <row r="120" spans="1:8" ht="15" customHeight="1" x14ac:dyDescent="0.35">
      <c r="A120" s="19"/>
      <c r="H120" s="14"/>
    </row>
    <row r="121" spans="1:8" ht="15" customHeight="1" x14ac:dyDescent="0.35">
      <c r="A121" s="19"/>
      <c r="H121" s="14"/>
    </row>
    <row r="122" spans="1:8" ht="15" customHeight="1" x14ac:dyDescent="0.35">
      <c r="A122" s="19"/>
      <c r="H122" s="14"/>
    </row>
    <row r="123" spans="1:8" ht="15" customHeight="1" x14ac:dyDescent="0.35">
      <c r="A123" s="19"/>
      <c r="H123" s="14"/>
    </row>
    <row r="124" spans="1:8" ht="15" customHeight="1" x14ac:dyDescent="0.35">
      <c r="A124" s="19"/>
      <c r="H124" s="14"/>
    </row>
    <row r="125" spans="1:8" ht="15" customHeight="1" x14ac:dyDescent="0.35">
      <c r="A125" s="19"/>
      <c r="H125" s="14"/>
    </row>
    <row r="126" spans="1:8" ht="15" customHeight="1" x14ac:dyDescent="0.35">
      <c r="A126" s="19"/>
      <c r="H126" s="14"/>
    </row>
    <row r="127" spans="1:8" ht="15" customHeight="1" x14ac:dyDescent="0.35">
      <c r="A127" s="19"/>
      <c r="H127" s="14"/>
    </row>
    <row r="128" spans="1:8" ht="15" customHeight="1" x14ac:dyDescent="0.35">
      <c r="A128" s="19"/>
      <c r="H128" s="14"/>
    </row>
    <row r="129" spans="1:8" ht="15" customHeight="1" x14ac:dyDescent="0.35">
      <c r="A129" s="19"/>
      <c r="H129" s="14"/>
    </row>
    <row r="130" spans="1:8" ht="15" customHeight="1" x14ac:dyDescent="0.35">
      <c r="A130" s="19"/>
      <c r="H130" s="14"/>
    </row>
    <row r="131" spans="1:8" ht="15" customHeight="1" x14ac:dyDescent="0.35">
      <c r="A131" s="19"/>
      <c r="H131" s="14"/>
    </row>
    <row r="132" spans="1:8" ht="15" customHeight="1" x14ac:dyDescent="0.35">
      <c r="A132" s="19"/>
      <c r="H132" s="14"/>
    </row>
    <row r="133" spans="1:8" ht="15" customHeight="1" x14ac:dyDescent="0.35">
      <c r="A133" s="19"/>
      <c r="H133" s="14"/>
    </row>
    <row r="134" spans="1:8" ht="15" customHeight="1" x14ac:dyDescent="0.35">
      <c r="A134" s="19"/>
      <c r="H134" s="14"/>
    </row>
    <row r="135" spans="1:8" ht="15" customHeight="1" x14ac:dyDescent="0.35">
      <c r="A135" s="19"/>
      <c r="H135" s="14"/>
    </row>
    <row r="136" spans="1:8" ht="15" customHeight="1" x14ac:dyDescent="0.35">
      <c r="A136" s="19"/>
      <c r="H136" s="14"/>
    </row>
    <row r="137" spans="1:8" ht="15" customHeight="1" x14ac:dyDescent="0.35">
      <c r="A137" s="19"/>
      <c r="H137" s="14"/>
    </row>
    <row r="138" spans="1:8" ht="15" customHeight="1" x14ac:dyDescent="0.35">
      <c r="A138" s="19"/>
      <c r="H138" s="14"/>
    </row>
    <row r="139" spans="1:8" ht="15" customHeight="1" x14ac:dyDescent="0.35">
      <c r="A139" s="19"/>
      <c r="H139" s="14"/>
    </row>
    <row r="140" spans="1:8" ht="15" customHeight="1" x14ac:dyDescent="0.35">
      <c r="A140" s="19"/>
      <c r="H140" s="14"/>
    </row>
  </sheetData>
  <mergeCells count="9">
    <mergeCell ref="E10:E15"/>
    <mergeCell ref="B8:B9"/>
    <mergeCell ref="C8:C9"/>
    <mergeCell ref="D8:G8"/>
    <mergeCell ref="B2:G2"/>
    <mergeCell ref="B3:G3"/>
    <mergeCell ref="B4:G4"/>
    <mergeCell ref="B5:G5"/>
    <mergeCell ref="B7:G7"/>
  </mergeCells>
  <phoneticPr fontId="5" type="noConversion"/>
  <printOptions horizontalCentered="1"/>
  <pageMargins left="0.35433070866141736" right="0.35433070866141736" top="1.5748031496062993" bottom="0.19685039370078741" header="0" footer="0"/>
  <pageSetup scale="8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5"/>
  <sheetViews>
    <sheetView showGridLines="0" zoomScale="80" zoomScaleNormal="80" workbookViewId="0">
      <pane xSplit="3" ySplit="5" topLeftCell="D6" activePane="bottomRight" state="frozen"/>
      <selection activeCell="A32" sqref="A32"/>
      <selection pane="topRight" activeCell="A32" sqref="A32"/>
      <selection pane="bottomLeft" activeCell="A32" sqref="A32"/>
      <selection pane="bottomRight" activeCell="M29" sqref="M29"/>
    </sheetView>
  </sheetViews>
  <sheetFormatPr baseColWidth="10" defaultColWidth="11.453125" defaultRowHeight="14.5" x14ac:dyDescent="0.35"/>
  <cols>
    <col min="1" max="1" width="10.81640625" style="2" customWidth="1"/>
    <col min="2" max="2" width="12.453125" style="2" bestFit="1" customWidth="1"/>
    <col min="3" max="3" width="19.1796875" style="2" bestFit="1" customWidth="1"/>
    <col min="4" max="27" width="11" style="4" customWidth="1"/>
    <col min="28" max="28" width="10.54296875" style="2" customWidth="1"/>
    <col min="29" max="30" width="12.54296875" style="2" customWidth="1"/>
    <col min="31" max="31" width="12.54296875" style="3" customWidth="1"/>
    <col min="32" max="34" width="11.453125" style="3" customWidth="1"/>
    <col min="35" max="36" width="11.453125" style="3"/>
    <col min="37" max="37" width="12.1796875" style="3" bestFit="1" customWidth="1"/>
    <col min="38" max="56" width="11.453125" style="3"/>
    <col min="57" max="16384" width="11.453125" style="2"/>
  </cols>
  <sheetData>
    <row r="1" spans="1:29" ht="18.5" x14ac:dyDescent="0.45">
      <c r="B1" s="41" t="s">
        <v>48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9" ht="18.5" x14ac:dyDescent="0.45">
      <c r="B2" s="41" t="s">
        <v>45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spans="1:29" ht="18.5" x14ac:dyDescent="0.45">
      <c r="B3" s="41" t="s">
        <v>54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5" spans="1:29" x14ac:dyDescent="0.35">
      <c r="A5" s="5" t="s">
        <v>38</v>
      </c>
      <c r="B5" s="5" t="s">
        <v>0</v>
      </c>
      <c r="C5" s="3" t="s">
        <v>1</v>
      </c>
      <c r="D5" s="6" t="s">
        <v>46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43</v>
      </c>
      <c r="AC5" s="6" t="s">
        <v>42</v>
      </c>
    </row>
    <row r="6" spans="1:29" x14ac:dyDescent="0.35">
      <c r="A6" s="3">
        <v>2026</v>
      </c>
      <c r="B6" s="5" t="s">
        <v>50</v>
      </c>
      <c r="C6" s="7" t="s">
        <v>40</v>
      </c>
      <c r="D6" s="1">
        <v>1500.3376785841842</v>
      </c>
      <c r="E6" s="1">
        <v>1445.4851527358442</v>
      </c>
      <c r="F6" s="1">
        <v>1392.1662344234387</v>
      </c>
      <c r="G6" s="1">
        <v>1368.5195265047919</v>
      </c>
      <c r="H6" s="1">
        <v>1386.963175029045</v>
      </c>
      <c r="I6" s="1">
        <v>1411.2462086089981</v>
      </c>
      <c r="J6" s="1">
        <v>1457.9389549642833</v>
      </c>
      <c r="K6" s="1">
        <v>1581.1827754880219</v>
      </c>
      <c r="L6" s="1">
        <v>1575.7681299747196</v>
      </c>
      <c r="M6" s="1">
        <v>1118.4838997041529</v>
      </c>
      <c r="N6" s="1">
        <v>830.9273929767246</v>
      </c>
      <c r="O6" s="1">
        <v>679.40547948714084</v>
      </c>
      <c r="P6" s="1">
        <v>446.71403704472789</v>
      </c>
      <c r="Q6" s="1">
        <v>530.33091210625412</v>
      </c>
      <c r="R6" s="1">
        <v>963.66006728117304</v>
      </c>
      <c r="S6" s="1">
        <v>1347.2903859077355</v>
      </c>
      <c r="T6" s="1">
        <v>1756.5445671862935</v>
      </c>
      <c r="U6" s="1">
        <v>2038.0649921326644</v>
      </c>
      <c r="V6" s="1">
        <v>1842.2114766443451</v>
      </c>
      <c r="W6" s="1">
        <v>1768.6551297107262</v>
      </c>
      <c r="X6" s="1">
        <v>1759.1698023653307</v>
      </c>
      <c r="Y6" s="1">
        <v>1743.6052923628054</v>
      </c>
      <c r="Z6" s="1">
        <v>1639.687904670539</v>
      </c>
      <c r="AA6" s="1">
        <v>1551.5517068396066</v>
      </c>
      <c r="AB6" s="8">
        <v>20</v>
      </c>
      <c r="AC6" s="8">
        <f t="shared" ref="AC6:AC23" si="0">AB6*SUM(D6:AA6)</f>
        <v>662718.21765467082</v>
      </c>
    </row>
    <row r="7" spans="1:29" x14ac:dyDescent="0.35">
      <c r="A7" s="3">
        <v>2026</v>
      </c>
      <c r="B7" s="5" t="s">
        <v>50</v>
      </c>
      <c r="C7" s="7" t="s">
        <v>41</v>
      </c>
      <c r="D7" s="1">
        <v>1504.7532293943668</v>
      </c>
      <c r="E7" s="1">
        <v>1454.361424862996</v>
      </c>
      <c r="F7" s="1">
        <v>1398.9607659393903</v>
      </c>
      <c r="G7" s="1">
        <v>1387.9321884582021</v>
      </c>
      <c r="H7" s="1">
        <v>1399.1250321026071</v>
      </c>
      <c r="I7" s="1">
        <v>1359.9614516200272</v>
      </c>
      <c r="J7" s="1">
        <v>1174.3229969830725</v>
      </c>
      <c r="K7" s="1">
        <v>1077.3276183612807</v>
      </c>
      <c r="L7" s="1">
        <v>1108.912210790221</v>
      </c>
      <c r="M7" s="1">
        <v>733.25824005952495</v>
      </c>
      <c r="N7" s="1">
        <v>410.21493064949436</v>
      </c>
      <c r="O7" s="1">
        <v>448.47378364851221</v>
      </c>
      <c r="P7" s="1">
        <v>0</v>
      </c>
      <c r="Q7" s="1">
        <v>0</v>
      </c>
      <c r="R7" s="1">
        <v>284.49319083873138</v>
      </c>
      <c r="S7" s="1">
        <v>449.12073961441132</v>
      </c>
      <c r="T7" s="1">
        <v>885.68965800930766</v>
      </c>
      <c r="U7" s="1">
        <v>1311.2603249839169</v>
      </c>
      <c r="V7" s="1">
        <v>1587.1819900964583</v>
      </c>
      <c r="W7" s="1">
        <v>1597.758203835866</v>
      </c>
      <c r="X7" s="1">
        <v>1599.0521157676644</v>
      </c>
      <c r="Y7" s="1">
        <v>1590.9196771025713</v>
      </c>
      <c r="Z7" s="1">
        <v>1546.1407210097254</v>
      </c>
      <c r="AA7" s="1">
        <v>1470.5075251213177</v>
      </c>
      <c r="AB7" s="8">
        <v>4</v>
      </c>
      <c r="AC7" s="8">
        <f t="shared" si="0"/>
        <v>103118.91207699863</v>
      </c>
    </row>
    <row r="8" spans="1:29" x14ac:dyDescent="0.35">
      <c r="A8" s="3">
        <v>2026</v>
      </c>
      <c r="B8" s="5" t="s">
        <v>50</v>
      </c>
      <c r="C8" s="7" t="s">
        <v>47</v>
      </c>
      <c r="D8" s="1">
        <v>1362.0468104613883</v>
      </c>
      <c r="E8" s="1">
        <v>1303.1879971613007</v>
      </c>
      <c r="F8" s="1">
        <v>1233.2421096853418</v>
      </c>
      <c r="G8" s="1">
        <v>1211.9032706771504</v>
      </c>
      <c r="H8" s="1">
        <v>1223.5047893376245</v>
      </c>
      <c r="I8" s="1">
        <v>1173.7468702187371</v>
      </c>
      <c r="J8" s="1">
        <v>890.98007265934973</v>
      </c>
      <c r="K8" s="1">
        <v>391.56850446604182</v>
      </c>
      <c r="L8" s="1">
        <v>138.02692682827342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334.77542443144273</v>
      </c>
      <c r="U8" s="1">
        <v>878.15343362832982</v>
      </c>
      <c r="V8" s="1">
        <v>1356.9050173910659</v>
      </c>
      <c r="W8" s="1">
        <v>1424.6711452467034</v>
      </c>
      <c r="X8" s="1">
        <v>1438.980126890569</v>
      </c>
      <c r="Y8" s="1">
        <v>1461.6103806616525</v>
      </c>
      <c r="Z8" s="1">
        <v>1388.8933875856483</v>
      </c>
      <c r="AA8" s="1">
        <v>1310.7429061130015</v>
      </c>
      <c r="AB8" s="8">
        <v>4</v>
      </c>
      <c r="AC8" s="8">
        <f t="shared" si="0"/>
        <v>74091.756693774485</v>
      </c>
    </row>
    <row r="9" spans="1:29" x14ac:dyDescent="0.35">
      <c r="A9" s="3">
        <v>2026</v>
      </c>
      <c r="B9" s="5" t="s">
        <v>51</v>
      </c>
      <c r="C9" s="7" t="s">
        <v>40</v>
      </c>
      <c r="D9" s="1">
        <v>1528.7411167578093</v>
      </c>
      <c r="E9" s="1">
        <v>1474.6977342164691</v>
      </c>
      <c r="F9" s="1">
        <v>1422.1653365833167</v>
      </c>
      <c r="G9" s="1">
        <v>1398.8674471584227</v>
      </c>
      <c r="H9" s="1">
        <v>1417.039028817399</v>
      </c>
      <c r="I9" s="1">
        <v>1440.963857304861</v>
      </c>
      <c r="J9" s="1">
        <v>1486.9678272981737</v>
      </c>
      <c r="K9" s="1">
        <v>1608.3936474479347</v>
      </c>
      <c r="L9" s="1">
        <v>1603.0588747227876</v>
      </c>
      <c r="M9" s="1">
        <v>1152.5201583296148</v>
      </c>
      <c r="N9" s="1">
        <v>869.20546944383216</v>
      </c>
      <c r="O9" s="1">
        <v>719.9186935393966</v>
      </c>
      <c r="P9" s="1">
        <v>490.65974067401851</v>
      </c>
      <c r="Q9" s="1">
        <v>573.04316233003783</v>
      </c>
      <c r="R9" s="1">
        <v>999.98017092255134</v>
      </c>
      <c r="S9" s="1">
        <v>1377.9514629158239</v>
      </c>
      <c r="T9" s="1">
        <v>1781.168633564117</v>
      </c>
      <c r="U9" s="1">
        <v>2058.5362804185734</v>
      </c>
      <c r="V9" s="1">
        <v>1865.5718490473273</v>
      </c>
      <c r="W9" s="1">
        <v>1793.100550156405</v>
      </c>
      <c r="X9" s="1">
        <v>1783.7551432434334</v>
      </c>
      <c r="Y9" s="1">
        <v>1768.4202292148489</v>
      </c>
      <c r="Z9" s="1">
        <v>1666.0357528595118</v>
      </c>
      <c r="AA9" s="1">
        <v>1579.1996740928594</v>
      </c>
      <c r="AB9" s="8">
        <v>21</v>
      </c>
      <c r="AC9" s="8">
        <f t="shared" si="0"/>
        <v>711059.19866225007</v>
      </c>
    </row>
    <row r="10" spans="1:29" x14ac:dyDescent="0.35">
      <c r="A10" s="3">
        <v>2026</v>
      </c>
      <c r="B10" s="5" t="s">
        <v>51</v>
      </c>
      <c r="C10" s="7" t="s">
        <v>41</v>
      </c>
      <c r="D10" s="1">
        <v>1532.2586567967223</v>
      </c>
      <c r="E10" s="1">
        <v>1481.7889723923488</v>
      </c>
      <c r="F10" s="1">
        <v>1426.3026924769697</v>
      </c>
      <c r="G10" s="1">
        <v>1415.2570704739267</v>
      </c>
      <c r="H10" s="1">
        <v>1426.4672125113873</v>
      </c>
      <c r="I10" s="1">
        <v>1387.2431052288114</v>
      </c>
      <c r="J10" s="1">
        <v>1201.3177487949081</v>
      </c>
      <c r="K10" s="1">
        <v>1104.172465087574</v>
      </c>
      <c r="L10" s="1">
        <v>1135.8058710898738</v>
      </c>
      <c r="M10" s="1">
        <v>759.57133207420543</v>
      </c>
      <c r="N10" s="1">
        <v>436.02876346627215</v>
      </c>
      <c r="O10" s="1">
        <v>474.34674502082589</v>
      </c>
      <c r="P10" s="1">
        <v>0</v>
      </c>
      <c r="Q10" s="1">
        <v>0</v>
      </c>
      <c r="R10" s="1">
        <v>310.1127223555024</v>
      </c>
      <c r="S10" s="1">
        <v>474.99470084868534</v>
      </c>
      <c r="T10" s="1">
        <v>912.23833078125483</v>
      </c>
      <c r="U10" s="1">
        <v>1338.466711640212</v>
      </c>
      <c r="V10" s="1">
        <v>1614.8148100674059</v>
      </c>
      <c r="W10" s="1">
        <v>1625.4073692064383</v>
      </c>
      <c r="X10" s="1">
        <v>1626.7032808621573</v>
      </c>
      <c r="Y10" s="1">
        <v>1618.5582736197662</v>
      </c>
      <c r="Z10" s="1">
        <v>1573.7101122375655</v>
      </c>
      <c r="AA10" s="1">
        <v>1497.9600262368599</v>
      </c>
      <c r="AB10" s="8">
        <v>4</v>
      </c>
      <c r="AC10" s="8">
        <f t="shared" si="0"/>
        <v>105494.10789307868</v>
      </c>
    </row>
    <row r="11" spans="1:29" x14ac:dyDescent="0.35">
      <c r="A11" s="3">
        <v>2026</v>
      </c>
      <c r="B11" s="5" t="s">
        <v>51</v>
      </c>
      <c r="C11" s="7" t="s">
        <v>47</v>
      </c>
      <c r="D11" s="1">
        <v>1380.7126953574443</v>
      </c>
      <c r="E11" s="1">
        <v>1321.3562090832529</v>
      </c>
      <c r="F11" s="1">
        <v>1250.8189033320218</v>
      </c>
      <c r="G11" s="1">
        <v>1229.2996365700633</v>
      </c>
      <c r="H11" s="1">
        <v>1240.9992503495546</v>
      </c>
      <c r="I11" s="1">
        <v>1190.8206096733556</v>
      </c>
      <c r="J11" s="1">
        <v>905.6629145537047</v>
      </c>
      <c r="K11" s="1">
        <v>402.02863736391311</v>
      </c>
      <c r="L11" s="1">
        <v>146.34327217883813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344.75535089183063</v>
      </c>
      <c r="U11" s="1">
        <v>892.72782155909943</v>
      </c>
      <c r="V11" s="1">
        <v>1375.5274265303733</v>
      </c>
      <c r="W11" s="1">
        <v>1443.8665419897784</v>
      </c>
      <c r="X11" s="1">
        <v>1458.2965113507221</v>
      </c>
      <c r="Y11" s="1">
        <v>1481.1181122636781</v>
      </c>
      <c r="Z11" s="1">
        <v>1407.7862701925451</v>
      </c>
      <c r="AA11" s="1">
        <v>1328.9749975764576</v>
      </c>
      <c r="AB11" s="8">
        <v>6</v>
      </c>
      <c r="AC11" s="8">
        <f t="shared" si="0"/>
        <v>112806.57096489977</v>
      </c>
    </row>
    <row r="12" spans="1:29" x14ac:dyDescent="0.35">
      <c r="A12" s="3">
        <v>2026</v>
      </c>
      <c r="B12" s="5" t="s">
        <v>49</v>
      </c>
      <c r="C12" s="7" t="s">
        <v>40</v>
      </c>
      <c r="D12" s="1">
        <v>1556.7255687218017</v>
      </c>
      <c r="E12" s="1">
        <v>1503.4793936124743</v>
      </c>
      <c r="F12" s="1">
        <v>1451.7219144956184</v>
      </c>
      <c r="G12" s="1">
        <v>1428.7676980557662</v>
      </c>
      <c r="H12" s="1">
        <v>1446.6712261757384</v>
      </c>
      <c r="I12" s="1">
        <v>1470.2431335434826</v>
      </c>
      <c r="J12" s="1">
        <v>1515.5684874869448</v>
      </c>
      <c r="K12" s="1">
        <v>1635.2031250402501</v>
      </c>
      <c r="L12" s="1">
        <v>1629.947046879814</v>
      </c>
      <c r="M12" s="1">
        <v>1186.0543396042863</v>
      </c>
      <c r="N12" s="1">
        <v>906.91889644586627</v>
      </c>
      <c r="O12" s="1">
        <v>759.83428705388394</v>
      </c>
      <c r="P12" s="1">
        <v>533.95719025460107</v>
      </c>
      <c r="Q12" s="1">
        <v>615.12535348432596</v>
      </c>
      <c r="R12" s="1">
        <v>1035.7645076449692</v>
      </c>
      <c r="S12" s="1">
        <v>1408.1602507200369</v>
      </c>
      <c r="T12" s="1">
        <v>1805.4294641894826</v>
      </c>
      <c r="U12" s="1">
        <v>2078.7055916187228</v>
      </c>
      <c r="V12" s="1">
        <v>1888.5876267632543</v>
      </c>
      <c r="W12" s="1">
        <v>1817.1853701003838</v>
      </c>
      <c r="X12" s="1">
        <v>1807.9778196185953</v>
      </c>
      <c r="Y12" s="1">
        <v>1792.8691147364038</v>
      </c>
      <c r="Z12" s="1">
        <v>1691.9949373600539</v>
      </c>
      <c r="AA12" s="1">
        <v>1606.4397992766881</v>
      </c>
      <c r="AB12" s="8">
        <v>20</v>
      </c>
      <c r="AC12" s="8">
        <f t="shared" si="0"/>
        <v>691466.64285766892</v>
      </c>
    </row>
    <row r="13" spans="1:29" x14ac:dyDescent="0.35">
      <c r="A13" s="3">
        <v>2026</v>
      </c>
      <c r="B13" s="5" t="s">
        <v>49</v>
      </c>
      <c r="C13" s="7" t="s">
        <v>41</v>
      </c>
      <c r="D13" s="1">
        <v>1559.8065934763879</v>
      </c>
      <c r="E13" s="1">
        <v>1509.2589088366894</v>
      </c>
      <c r="F13" s="1">
        <v>1453.6868756034169</v>
      </c>
      <c r="G13" s="1">
        <v>1442.6241827364342</v>
      </c>
      <c r="H13" s="1">
        <v>1453.8516499013899</v>
      </c>
      <c r="I13" s="1">
        <v>1414.5669222754425</v>
      </c>
      <c r="J13" s="1">
        <v>1228.3542206416262</v>
      </c>
      <c r="K13" s="1">
        <v>1131.0588001724061</v>
      </c>
      <c r="L13" s="1">
        <v>1162.7410951888028</v>
      </c>
      <c r="M13" s="1">
        <v>785.92509062749207</v>
      </c>
      <c r="N13" s="1">
        <v>461.88249122311362</v>
      </c>
      <c r="O13" s="1">
        <v>500.25969271561041</v>
      </c>
      <c r="P13" s="1">
        <v>0</v>
      </c>
      <c r="Q13" s="1">
        <v>0</v>
      </c>
      <c r="R13" s="1">
        <v>335.77184852222626</v>
      </c>
      <c r="S13" s="1">
        <v>500.9086499507037</v>
      </c>
      <c r="T13" s="1">
        <v>938.82803417877881</v>
      </c>
      <c r="U13" s="1">
        <v>1365.7151454102659</v>
      </c>
      <c r="V13" s="1">
        <v>1642.4903361992076</v>
      </c>
      <c r="W13" s="1">
        <v>1653.0992659994652</v>
      </c>
      <c r="X13" s="1">
        <v>1654.3971804696521</v>
      </c>
      <c r="Y13" s="1">
        <v>1646.2395852253915</v>
      </c>
      <c r="Z13" s="1">
        <v>1601.3221115979691</v>
      </c>
      <c r="AA13" s="1">
        <v>1525.45495483283</v>
      </c>
      <c r="AB13" s="8">
        <v>4</v>
      </c>
      <c r="AC13" s="8">
        <f t="shared" si="0"/>
        <v>107872.9745431412</v>
      </c>
    </row>
    <row r="14" spans="1:29" x14ac:dyDescent="0.35">
      <c r="A14" s="3">
        <v>2026</v>
      </c>
      <c r="B14" s="5" t="s">
        <v>49</v>
      </c>
      <c r="C14" s="7" t="s">
        <v>47</v>
      </c>
      <c r="D14" s="1">
        <v>1399.53640719444</v>
      </c>
      <c r="E14" s="1">
        <v>1339.6780399376025</v>
      </c>
      <c r="F14" s="1">
        <v>1268.5443152514617</v>
      </c>
      <c r="G14" s="1">
        <v>1246.8430951525347</v>
      </c>
      <c r="H14" s="1">
        <v>1258.641633481453</v>
      </c>
      <c r="I14" s="1">
        <v>1208.0387138920096</v>
      </c>
      <c r="J14" s="1">
        <v>920.46990529143852</v>
      </c>
      <c r="K14" s="1">
        <v>412.57721454322558</v>
      </c>
      <c r="L14" s="1">
        <v>154.72993529648369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354.81966131112637</v>
      </c>
      <c r="U14" s="1">
        <v>907.4254413149871</v>
      </c>
      <c r="V14" s="1">
        <v>1394.3072950070632</v>
      </c>
      <c r="W14" s="1">
        <v>1463.2242428917484</v>
      </c>
      <c r="X14" s="1">
        <v>1477.7762229655395</v>
      </c>
      <c r="Y14" s="1">
        <v>1500.7907889310231</v>
      </c>
      <c r="Z14" s="1">
        <v>1426.8388990897456</v>
      </c>
      <c r="AA14" s="1">
        <v>1347.3612480973939</v>
      </c>
      <c r="AB14" s="8">
        <v>6</v>
      </c>
      <c r="AC14" s="8">
        <f t="shared" si="0"/>
        <v>114489.61835789567</v>
      </c>
    </row>
    <row r="15" spans="1:29" x14ac:dyDescent="0.35">
      <c r="A15" s="3">
        <v>2026</v>
      </c>
      <c r="B15" s="5" t="s">
        <v>25</v>
      </c>
      <c r="C15" s="7" t="s">
        <v>40</v>
      </c>
      <c r="D15" s="1">
        <v>1584.297215046372</v>
      </c>
      <c r="E15" s="1">
        <v>1531.8364875631428</v>
      </c>
      <c r="F15" s="1">
        <v>1480.8424959460312</v>
      </c>
      <c r="G15" s="1">
        <v>1458.2268828851934</v>
      </c>
      <c r="H15" s="1">
        <v>1475.8663115908557</v>
      </c>
      <c r="I15" s="1">
        <v>1499.0905038664532</v>
      </c>
      <c r="J15" s="1">
        <v>1543.7472521948857</v>
      </c>
      <c r="K15" s="1">
        <v>1661.6171293335246</v>
      </c>
      <c r="L15" s="1">
        <v>1656.4385848946226</v>
      </c>
      <c r="M15" s="1">
        <v>1219.0938497965512</v>
      </c>
      <c r="N15" s="1">
        <v>944.07600326809495</v>
      </c>
      <c r="O15" s="1">
        <v>799.16107568039797</v>
      </c>
      <c r="P15" s="1">
        <v>576.61594834383527</v>
      </c>
      <c r="Q15" s="1">
        <v>656.58677972779606</v>
      </c>
      <c r="R15" s="1">
        <v>1071.020980680044</v>
      </c>
      <c r="S15" s="1">
        <v>1437.9234211513699</v>
      </c>
      <c r="T15" s="1">
        <v>1829.3324172436846</v>
      </c>
      <c r="U15" s="1">
        <v>2098.5773802725171</v>
      </c>
      <c r="V15" s="1">
        <v>1911.2638929944096</v>
      </c>
      <c r="W15" s="1">
        <v>1840.9149088507156</v>
      </c>
      <c r="X15" s="1">
        <v>1831.8431812454669</v>
      </c>
      <c r="Y15" s="1">
        <v>1816.9573486420591</v>
      </c>
      <c r="Z15" s="1">
        <v>1717.5711914472936</v>
      </c>
      <c r="AA15" s="1">
        <v>1633.2780985713084</v>
      </c>
      <c r="AB15" s="8">
        <v>19</v>
      </c>
      <c r="AC15" s="8">
        <f t="shared" si="0"/>
        <v>670247.40748349589</v>
      </c>
    </row>
    <row r="16" spans="1:29" x14ac:dyDescent="0.35">
      <c r="A16" s="3">
        <v>2026</v>
      </c>
      <c r="B16" s="5" t="s">
        <v>25</v>
      </c>
      <c r="C16" s="7" t="s">
        <v>41</v>
      </c>
      <c r="D16" s="1">
        <v>1587.397105130894</v>
      </c>
      <c r="E16" s="1">
        <v>1536.77129970753</v>
      </c>
      <c r="F16" s="1">
        <v>1481.113380625736</v>
      </c>
      <c r="G16" s="1">
        <v>1470.0335905120173</v>
      </c>
      <c r="H16" s="1">
        <v>1481.2784095802253</v>
      </c>
      <c r="I16" s="1">
        <v>1441.9329679229606</v>
      </c>
      <c r="J16" s="1">
        <v>1255.4324770009937</v>
      </c>
      <c r="K16" s="1">
        <v>1157.9866877354912</v>
      </c>
      <c r="L16" s="1">
        <v>1189.7179473233148</v>
      </c>
      <c r="M16" s="1">
        <v>812.31957856898691</v>
      </c>
      <c r="N16" s="1">
        <v>487.77617557712546</v>
      </c>
      <c r="O16" s="1">
        <v>526.21268853120273</v>
      </c>
      <c r="P16" s="1">
        <v>0</v>
      </c>
      <c r="Q16" s="1">
        <v>0</v>
      </c>
      <c r="R16" s="1">
        <v>361.47063053191522</v>
      </c>
      <c r="S16" s="1">
        <v>526.86264872119159</v>
      </c>
      <c r="T16" s="1">
        <v>965.45883161417339</v>
      </c>
      <c r="U16" s="1">
        <v>1393.0056912773418</v>
      </c>
      <c r="V16" s="1">
        <v>1670.2086344936747</v>
      </c>
      <c r="W16" s="1">
        <v>1680.8339602557999</v>
      </c>
      <c r="X16" s="1">
        <v>1682.133880635778</v>
      </c>
      <c r="Y16" s="1">
        <v>1673.9636779350562</v>
      </c>
      <c r="Z16" s="1">
        <v>1628.976784941246</v>
      </c>
      <c r="AA16" s="1">
        <v>1552.9923764803425</v>
      </c>
      <c r="AB16" s="8">
        <v>5</v>
      </c>
      <c r="AC16" s="8">
        <f t="shared" si="0"/>
        <v>137819.39712551501</v>
      </c>
    </row>
    <row r="17" spans="1:29" x14ac:dyDescent="0.35">
      <c r="A17" s="3">
        <v>2026</v>
      </c>
      <c r="B17" s="5" t="s">
        <v>25</v>
      </c>
      <c r="C17" s="7" t="s">
        <v>47</v>
      </c>
      <c r="D17" s="1">
        <v>1418.5192804573694</v>
      </c>
      <c r="E17" s="1">
        <v>1358.1547886290791</v>
      </c>
      <c r="F17" s="1">
        <v>1286.4196020659697</v>
      </c>
      <c r="G17" s="1">
        <v>1264.534890147504</v>
      </c>
      <c r="H17" s="1">
        <v>1276.4331894693987</v>
      </c>
      <c r="I17" s="1">
        <v>1225.4024035320217</v>
      </c>
      <c r="J17" s="1">
        <v>935.40209459680921</v>
      </c>
      <c r="K17" s="1">
        <v>423.2149838329978</v>
      </c>
      <c r="L17" s="1">
        <v>163.18751074386458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364.96906918682407</v>
      </c>
      <c r="U17" s="1">
        <v>922.24733486652303</v>
      </c>
      <c r="V17" s="1">
        <v>1413.2459541979051</v>
      </c>
      <c r="W17" s="1">
        <v>1482.7456202941362</v>
      </c>
      <c r="X17" s="1">
        <v>1497.4206427263503</v>
      </c>
      <c r="Y17" s="1">
        <v>1520.6298053350479</v>
      </c>
      <c r="Z17" s="1">
        <v>1446.0526249910504</v>
      </c>
      <c r="AA17" s="1">
        <v>1365.9029611474966</v>
      </c>
      <c r="AB17" s="8">
        <v>7</v>
      </c>
      <c r="AC17" s="8">
        <f t="shared" si="0"/>
        <v>135551.37929354244</v>
      </c>
    </row>
    <row r="18" spans="1:29" x14ac:dyDescent="0.35">
      <c r="A18" s="3">
        <v>2026</v>
      </c>
      <c r="B18" s="5" t="s">
        <v>26</v>
      </c>
      <c r="C18" s="7" t="s">
        <v>40</v>
      </c>
      <c r="D18" s="1">
        <v>1611.4621451305966</v>
      </c>
      <c r="E18" s="1">
        <v>1559.7752789393849</v>
      </c>
      <c r="F18" s="1">
        <v>1509.5335124272447</v>
      </c>
      <c r="G18" s="1">
        <v>1487.2515079224186</v>
      </c>
      <c r="H18" s="1">
        <v>1504.6307330101849</v>
      </c>
      <c r="I18" s="1">
        <v>1527.5123394257939</v>
      </c>
      <c r="J18" s="1">
        <v>1571.5103449075937</v>
      </c>
      <c r="K18" s="1">
        <v>1687.6414940531527</v>
      </c>
      <c r="L18" s="1">
        <v>1682.5393396164964</v>
      </c>
      <c r="M18" s="1">
        <v>1251.6459859230795</v>
      </c>
      <c r="N18" s="1">
        <v>980.68499632841917</v>
      </c>
      <c r="O18" s="1">
        <v>837.90774502688237</v>
      </c>
      <c r="P18" s="1">
        <v>618.6454364394092</v>
      </c>
      <c r="Q18" s="1">
        <v>697.43659811866996</v>
      </c>
      <c r="R18" s="1">
        <v>1105.7573766768501</v>
      </c>
      <c r="S18" s="1">
        <v>1467.2475476229738</v>
      </c>
      <c r="T18" s="1">
        <v>1852.8827718681478</v>
      </c>
      <c r="U18" s="1">
        <v>2118.1560352093375</v>
      </c>
      <c r="V18" s="1">
        <v>1933.6056559594908</v>
      </c>
      <c r="W18" s="1">
        <v>1864.2944072490109</v>
      </c>
      <c r="X18" s="1">
        <v>1855.3564989631318</v>
      </c>
      <c r="Y18" s="1">
        <v>1840.6902509938659</v>
      </c>
      <c r="Z18" s="1">
        <v>1742.7701638233857</v>
      </c>
      <c r="AA18" s="1">
        <v>1659.7204994107592</v>
      </c>
      <c r="AB18" s="8">
        <v>19</v>
      </c>
      <c r="AC18" s="8">
        <f t="shared" si="0"/>
        <v>683404.51463587931</v>
      </c>
    </row>
    <row r="19" spans="1:29" x14ac:dyDescent="0.35">
      <c r="A19" s="3">
        <v>2026</v>
      </c>
      <c r="B19" s="5" t="s">
        <v>26</v>
      </c>
      <c r="C19" s="7" t="s">
        <v>41</v>
      </c>
      <c r="D19" s="1">
        <v>1615.0302575593059</v>
      </c>
      <c r="E19" s="1">
        <v>1564.3262106176298</v>
      </c>
      <c r="F19" s="1">
        <v>1508.5822729518618</v>
      </c>
      <c r="G19" s="1">
        <v>1497.4853591678366</v>
      </c>
      <c r="H19" s="1">
        <v>1508.747556956436</v>
      </c>
      <c r="I19" s="1">
        <v>1469.3413074351149</v>
      </c>
      <c r="J19" s="1">
        <v>1282.5525824504266</v>
      </c>
      <c r="K19" s="1">
        <v>1184.9561919956393</v>
      </c>
      <c r="L19" s="1">
        <v>1216.7364918289927</v>
      </c>
      <c r="M19" s="1">
        <v>838.75485884542525</v>
      </c>
      <c r="N19" s="1">
        <v>513.70987828070452</v>
      </c>
      <c r="O19" s="1">
        <v>552.20579436144828</v>
      </c>
      <c r="P19" s="1">
        <v>0</v>
      </c>
      <c r="Q19" s="1">
        <v>0</v>
      </c>
      <c r="R19" s="1">
        <v>387.20912967215446</v>
      </c>
      <c r="S19" s="1">
        <v>552.8567590563863</v>
      </c>
      <c r="T19" s="1">
        <v>992.13078659773498</v>
      </c>
      <c r="U19" s="1">
        <v>1420.3384143251333</v>
      </c>
      <c r="V19" s="1">
        <v>1697.9697710546238</v>
      </c>
      <c r="W19" s="1">
        <v>1708.6115181183607</v>
      </c>
      <c r="X19" s="1">
        <v>1709.9134475082374</v>
      </c>
      <c r="Y19" s="1">
        <v>1701.7306178663957</v>
      </c>
      <c r="Z19" s="1">
        <v>1656.6741982194774</v>
      </c>
      <c r="AA19" s="1">
        <v>1580.5723568518513</v>
      </c>
      <c r="AB19" s="8">
        <v>4</v>
      </c>
      <c r="AC19" s="8">
        <f t="shared" si="0"/>
        <v>112641.74304688472</v>
      </c>
    </row>
    <row r="20" spans="1:29" x14ac:dyDescent="0.35">
      <c r="A20" s="3">
        <v>2026</v>
      </c>
      <c r="B20" s="5" t="s">
        <v>26</v>
      </c>
      <c r="C20" s="7" t="s">
        <v>47</v>
      </c>
      <c r="D20" s="1">
        <v>1437.6626609147884</v>
      </c>
      <c r="E20" s="1">
        <v>1376.787765045131</v>
      </c>
      <c r="F20" s="1">
        <v>1304.4460310230584</v>
      </c>
      <c r="G20" s="1">
        <v>1282.3762757940463</v>
      </c>
      <c r="H20" s="1">
        <v>1294.3751796249057</v>
      </c>
      <c r="I20" s="1">
        <v>1242.9129095718226</v>
      </c>
      <c r="J20" s="1">
        <v>950.46054106988049</v>
      </c>
      <c r="K20" s="1">
        <v>433.94269938541856</v>
      </c>
      <c r="L20" s="1">
        <v>171.71659811088179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375.20429404930229</v>
      </c>
      <c r="U20" s="1">
        <v>937.19455299448282</v>
      </c>
      <c r="V20" s="1">
        <v>1432.344746736951</v>
      </c>
      <c r="W20" s="1">
        <v>1502.432058142118</v>
      </c>
      <c r="X20" s="1">
        <v>1517.2311633012746</v>
      </c>
      <c r="Y20" s="1">
        <v>1540.6365679395735</v>
      </c>
      <c r="Z20" s="1">
        <v>1465.4288100310432</v>
      </c>
      <c r="AA20" s="1">
        <v>1384.6014512197862</v>
      </c>
      <c r="AB20" s="8">
        <v>7</v>
      </c>
      <c r="AC20" s="8">
        <f t="shared" si="0"/>
        <v>137548.28013468126</v>
      </c>
    </row>
    <row r="21" spans="1:29" x14ac:dyDescent="0.35">
      <c r="A21" s="3">
        <v>2026</v>
      </c>
      <c r="B21" s="5" t="s">
        <v>27</v>
      </c>
      <c r="C21" s="7" t="s">
        <v>40</v>
      </c>
      <c r="D21" s="1">
        <v>1638.2263585473056</v>
      </c>
      <c r="E21" s="1">
        <v>1587.3019382269376</v>
      </c>
      <c r="F21" s="1">
        <v>1537.8013005593934</v>
      </c>
      <c r="G21" s="1">
        <v>1515.8479834674586</v>
      </c>
      <c r="H21" s="1">
        <v>1532.9708432658763</v>
      </c>
      <c r="I21" s="1">
        <v>1555.5149173910709</v>
      </c>
      <c r="J21" s="1">
        <v>1598.8638973064749</v>
      </c>
      <c r="K21" s="1">
        <v>1713.2819668697889</v>
      </c>
      <c r="L21" s="1">
        <v>1708.2550755873785</v>
      </c>
      <c r="M21" s="1">
        <v>1283.7179373604258</v>
      </c>
      <c r="N21" s="1">
        <v>1016.7539609898203</v>
      </c>
      <c r="O21" s="1">
        <v>876.08285257770876</v>
      </c>
      <c r="P21" s="1">
        <v>660.05493706014556</v>
      </c>
      <c r="Q21" s="1">
        <v>737.68383063711701</v>
      </c>
      <c r="R21" s="1">
        <v>1139.9813674216571</v>
      </c>
      <c r="S21" s="1">
        <v>1496.1391065819398</v>
      </c>
      <c r="T21" s="1">
        <v>1876.0857293303625</v>
      </c>
      <c r="U21" s="1">
        <v>2137.4458805178465</v>
      </c>
      <c r="V21" s="1">
        <v>1955.6178499997104</v>
      </c>
      <c r="W21" s="1">
        <v>1887.3290288279177</v>
      </c>
      <c r="X21" s="1">
        <v>1878.5229658592098</v>
      </c>
      <c r="Y21" s="1">
        <v>1864.073063376311</v>
      </c>
      <c r="Z21" s="1">
        <v>1767.5974198650692</v>
      </c>
      <c r="AA21" s="1">
        <v>1685.7728417920193</v>
      </c>
      <c r="AB21" s="8">
        <v>22</v>
      </c>
      <c r="AC21" s="8">
        <f t="shared" si="0"/>
        <v>806320.30717521685</v>
      </c>
    </row>
    <row r="22" spans="1:29" x14ac:dyDescent="0.35">
      <c r="A22" s="3">
        <v>2026</v>
      </c>
      <c r="B22" s="5" t="s">
        <v>27</v>
      </c>
      <c r="C22" s="7" t="s">
        <v>41</v>
      </c>
      <c r="D22" s="1">
        <v>1642.7061166623805</v>
      </c>
      <c r="E22" s="1">
        <v>1591.9237072811518</v>
      </c>
      <c r="F22" s="1">
        <v>1536.0936180908166</v>
      </c>
      <c r="G22" s="1">
        <v>1524.9795541720769</v>
      </c>
      <c r="H22" s="1">
        <v>1536.2591575396521</v>
      </c>
      <c r="I22" s="1">
        <v>1496.7920061765183</v>
      </c>
      <c r="J22" s="1">
        <v>1309.714601667145</v>
      </c>
      <c r="K22" s="1">
        <v>1211.96737727091</v>
      </c>
      <c r="L22" s="1">
        <v>1243.7967931408496</v>
      </c>
      <c r="M22" s="1">
        <v>865.23099450082577</v>
      </c>
      <c r="N22" s="1">
        <v>539.68366118168524</v>
      </c>
      <c r="O22" s="1">
        <v>578.23907219584862</v>
      </c>
      <c r="P22" s="1">
        <v>0</v>
      </c>
      <c r="Q22" s="1">
        <v>0</v>
      </c>
      <c r="R22" s="1">
        <v>412.98740732524834</v>
      </c>
      <c r="S22" s="1">
        <v>578.89104294818515</v>
      </c>
      <c r="T22" s="1">
        <v>1018.8439627379146</v>
      </c>
      <c r="U22" s="1">
        <v>1447.7133797379197</v>
      </c>
      <c r="V22" s="1">
        <v>1725.773812088034</v>
      </c>
      <c r="W22" s="1">
        <v>1736.4320058322887</v>
      </c>
      <c r="X22" s="1">
        <v>1737.7359473369622</v>
      </c>
      <c r="Y22" s="1">
        <v>1729.540471239229</v>
      </c>
      <c r="Z22" s="1">
        <v>1684.4144174866722</v>
      </c>
      <c r="AA22" s="1">
        <v>1608.1949617213063</v>
      </c>
      <c r="AB22" s="8">
        <v>4</v>
      </c>
      <c r="AC22" s="8">
        <f t="shared" si="0"/>
        <v>115031.65627333449</v>
      </c>
    </row>
    <row r="23" spans="1:29" x14ac:dyDescent="0.35">
      <c r="A23" s="3">
        <v>2026</v>
      </c>
      <c r="B23" s="5" t="s">
        <v>27</v>
      </c>
      <c r="C23" s="7" t="s">
        <v>47</v>
      </c>
      <c r="D23" s="1">
        <v>1456.967905714223</v>
      </c>
      <c r="E23" s="1">
        <v>1395.5782901487869</v>
      </c>
      <c r="F23" s="1">
        <v>1322.6248800852859</v>
      </c>
      <c r="G23" s="1">
        <v>1300.3685169362911</v>
      </c>
      <c r="H23" s="1">
        <v>1312.4688759243427</v>
      </c>
      <c r="I23" s="1">
        <v>1260.5714733982195</v>
      </c>
      <c r="J23" s="1">
        <v>965.64631226157007</v>
      </c>
      <c r="K23" s="1">
        <v>444.76112172931158</v>
      </c>
      <c r="L23" s="1">
        <v>180.31780205719011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385.52606151283436</v>
      </c>
      <c r="U23" s="1">
        <v>952.26815536438096</v>
      </c>
      <c r="V23" s="1">
        <v>1451.6050266107186</v>
      </c>
      <c r="W23" s="1">
        <v>1522.2849520826371</v>
      </c>
      <c r="X23" s="1">
        <v>1537.2091891339555</v>
      </c>
      <c r="Y23" s="1">
        <v>1560.8124951005916</v>
      </c>
      <c r="Z23" s="1">
        <v>1484.9688278616577</v>
      </c>
      <c r="AA23" s="1">
        <v>1403.4580439218057</v>
      </c>
      <c r="AB23" s="8">
        <v>5</v>
      </c>
      <c r="AC23" s="8">
        <f t="shared" si="0"/>
        <v>99687.189649218999</v>
      </c>
    </row>
    <row r="24" spans="1:29" x14ac:dyDescent="0.35">
      <c r="B24" s="5"/>
      <c r="C24" s="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8"/>
      <c r="AC24" s="8"/>
    </row>
    <row r="25" spans="1:29" x14ac:dyDescent="0.35">
      <c r="B25" s="5"/>
      <c r="C25" s="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8"/>
      <c r="AC25" s="8"/>
    </row>
    <row r="26" spans="1:29" x14ac:dyDescent="0.35">
      <c r="B26" s="5"/>
      <c r="C26" s="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8"/>
      <c r="AC26" s="8"/>
    </row>
    <row r="27" spans="1:29" x14ac:dyDescent="0.35">
      <c r="B27" s="5"/>
      <c r="C27" s="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8"/>
      <c r="AC27" s="8"/>
    </row>
    <row r="28" spans="1:29" x14ac:dyDescent="0.35">
      <c r="B28" s="5"/>
      <c r="C28" s="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8"/>
      <c r="AC28" s="8"/>
    </row>
    <row r="29" spans="1:29" x14ac:dyDescent="0.35">
      <c r="B29" s="5"/>
      <c r="C29" s="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8"/>
      <c r="AC29" s="8"/>
    </row>
    <row r="30" spans="1:29" x14ac:dyDescent="0.35">
      <c r="B30" s="5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8"/>
      <c r="AC30" s="8"/>
    </row>
    <row r="31" spans="1:29" x14ac:dyDescent="0.35">
      <c r="B31" s="5"/>
      <c r="C31" s="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8"/>
      <c r="AC31" s="8"/>
    </row>
    <row r="32" spans="1:29" x14ac:dyDescent="0.35">
      <c r="B32" s="5"/>
      <c r="C32" s="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8"/>
      <c r="AC32" s="8"/>
    </row>
    <row r="33" spans="2:29" x14ac:dyDescent="0.35">
      <c r="B33" s="5"/>
      <c r="C33" s="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8"/>
      <c r="AC33" s="8"/>
    </row>
    <row r="34" spans="2:29" x14ac:dyDescent="0.35">
      <c r="B34" s="5"/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8"/>
      <c r="AC34" s="8"/>
    </row>
    <row r="35" spans="2:29" x14ac:dyDescent="0.35">
      <c r="B35" s="5"/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8"/>
      <c r="AC35" s="8"/>
    </row>
    <row r="36" spans="2:29" x14ac:dyDescent="0.35">
      <c r="B36" s="5"/>
      <c r="C36" s="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8"/>
      <c r="AC36" s="8"/>
    </row>
    <row r="37" spans="2:29" x14ac:dyDescent="0.35">
      <c r="B37" s="5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8"/>
      <c r="AC37" s="8"/>
    </row>
    <row r="38" spans="2:29" x14ac:dyDescent="0.35">
      <c r="B38" s="5"/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8"/>
      <c r="AC38" s="8"/>
    </row>
    <row r="39" spans="2:29" x14ac:dyDescent="0.35">
      <c r="B39" s="5"/>
      <c r="C39" s="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8"/>
      <c r="AC39" s="8"/>
    </row>
    <row r="40" spans="2:29" x14ac:dyDescent="0.35">
      <c r="B40" s="5"/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8"/>
      <c r="AC40" s="8"/>
    </row>
    <row r="41" spans="2:29" x14ac:dyDescent="0.35">
      <c r="B41" s="5"/>
      <c r="C41" s="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8"/>
      <c r="AC41" s="8"/>
    </row>
    <row r="42" spans="2:29" x14ac:dyDescent="0.35">
      <c r="B42" s="5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8"/>
      <c r="AC42" s="8"/>
    </row>
    <row r="43" spans="2:29" x14ac:dyDescent="0.35">
      <c r="B43" s="5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8"/>
      <c r="AC43" s="8"/>
    </row>
    <row r="44" spans="2:29" x14ac:dyDescent="0.35">
      <c r="B44" s="5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8"/>
      <c r="AC44" s="8"/>
    </row>
    <row r="45" spans="2:29" x14ac:dyDescent="0.35">
      <c r="B45" s="5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8"/>
      <c r="AC45" s="8"/>
    </row>
    <row r="46" spans="2:29" x14ac:dyDescent="0.35">
      <c r="B46" s="5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8"/>
      <c r="AC46" s="8"/>
    </row>
    <row r="47" spans="2:29" x14ac:dyDescent="0.35">
      <c r="B47" s="5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8"/>
      <c r="AC47" s="8"/>
    </row>
    <row r="48" spans="2:29" x14ac:dyDescent="0.35">
      <c r="B48" s="5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8"/>
      <c r="AC48" s="8"/>
    </row>
    <row r="49" spans="2:29" x14ac:dyDescent="0.35">
      <c r="B49" s="5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8"/>
      <c r="AC49" s="8"/>
    </row>
    <row r="50" spans="2:29" x14ac:dyDescent="0.35">
      <c r="B50" s="5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8"/>
      <c r="AC50" s="8"/>
    </row>
    <row r="51" spans="2:29" x14ac:dyDescent="0.35">
      <c r="B51" s="5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8"/>
      <c r="AC51" s="8"/>
    </row>
    <row r="52" spans="2:29" x14ac:dyDescent="0.35">
      <c r="B52" s="5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8"/>
      <c r="AC52" s="8"/>
    </row>
    <row r="53" spans="2:29" x14ac:dyDescent="0.35">
      <c r="B53" s="5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8"/>
      <c r="AC53" s="8"/>
    </row>
    <row r="54" spans="2:29" x14ac:dyDescent="0.35">
      <c r="B54" s="5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8"/>
      <c r="AC54" s="8"/>
    </row>
    <row r="55" spans="2:29" x14ac:dyDescent="0.35">
      <c r="B55" s="5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8"/>
      <c r="AC55" s="8"/>
    </row>
    <row r="56" spans="2:29" x14ac:dyDescent="0.35">
      <c r="B56" s="5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8"/>
      <c r="AC56" s="8"/>
    </row>
    <row r="57" spans="2:29" x14ac:dyDescent="0.35">
      <c r="B57" s="5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8"/>
      <c r="AC57" s="8"/>
    </row>
    <row r="58" spans="2:29" x14ac:dyDescent="0.35">
      <c r="B58" s="5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8"/>
      <c r="AC58" s="8"/>
    </row>
    <row r="59" spans="2:29" x14ac:dyDescent="0.35">
      <c r="B59" s="5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8"/>
      <c r="AC59" s="8"/>
    </row>
    <row r="60" spans="2:29" x14ac:dyDescent="0.35">
      <c r="B60" s="5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8"/>
      <c r="AC60" s="8"/>
    </row>
    <row r="61" spans="2:29" x14ac:dyDescent="0.35">
      <c r="B61" s="5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8"/>
      <c r="AC61" s="8"/>
    </row>
    <row r="62" spans="2:29" x14ac:dyDescent="0.35">
      <c r="B62" s="5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8"/>
      <c r="AC62" s="8"/>
    </row>
    <row r="63" spans="2:29" x14ac:dyDescent="0.35">
      <c r="B63" s="5"/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8"/>
      <c r="AC63" s="8"/>
    </row>
    <row r="64" spans="2:29" x14ac:dyDescent="0.35">
      <c r="B64" s="5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8"/>
      <c r="AC64" s="8"/>
    </row>
    <row r="65" spans="2:29" x14ac:dyDescent="0.35">
      <c r="B65" s="5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8"/>
      <c r="AC65" s="8"/>
    </row>
    <row r="66" spans="2:29" x14ac:dyDescent="0.35">
      <c r="B66" s="5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8"/>
      <c r="AC66" s="8"/>
    </row>
    <row r="67" spans="2:29" x14ac:dyDescent="0.35">
      <c r="B67" s="5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8"/>
      <c r="AC67" s="8"/>
    </row>
    <row r="68" spans="2:29" x14ac:dyDescent="0.35">
      <c r="B68" s="5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8"/>
      <c r="AC68" s="8"/>
    </row>
    <row r="69" spans="2:29" x14ac:dyDescent="0.35">
      <c r="B69" s="5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8"/>
      <c r="AC69" s="8"/>
    </row>
    <row r="70" spans="2:29" x14ac:dyDescent="0.35">
      <c r="B70" s="5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8"/>
      <c r="AC70" s="8"/>
    </row>
    <row r="71" spans="2:29" x14ac:dyDescent="0.35">
      <c r="B71" s="5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8"/>
      <c r="AC71" s="8"/>
    </row>
    <row r="72" spans="2:29" x14ac:dyDescent="0.35">
      <c r="B72" s="5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8"/>
      <c r="AC72" s="8"/>
    </row>
    <row r="73" spans="2:29" x14ac:dyDescent="0.35">
      <c r="B73" s="5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8"/>
      <c r="AC73" s="8"/>
    </row>
    <row r="74" spans="2:29" x14ac:dyDescent="0.35">
      <c r="B74" s="5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8"/>
      <c r="AC74" s="8"/>
    </row>
    <row r="75" spans="2:29" x14ac:dyDescent="0.35">
      <c r="B75" s="5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8"/>
      <c r="AC75" s="8"/>
    </row>
  </sheetData>
  <mergeCells count="3">
    <mergeCell ref="B1:AB1"/>
    <mergeCell ref="B2:AB2"/>
    <mergeCell ref="B3:AB3"/>
  </mergeCells>
  <phoneticPr fontId="5" type="noConversion"/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AC2BEAA0673E4F96E3E812374ED63B" ma:contentTypeVersion="13" ma:contentTypeDescription="Crear nuevo documento." ma:contentTypeScope="" ma:versionID="6319f4532de6641ac6714d5a67f368fe">
  <xsd:schema xmlns:xsd="http://www.w3.org/2001/XMLSchema" xmlns:xs="http://www.w3.org/2001/XMLSchema" xmlns:p="http://schemas.microsoft.com/office/2006/metadata/properties" xmlns:ns3="17d7484c-5d63-455e-a643-8ffc912959b2" xmlns:ns4="f2ea09fb-d89d-450e-9152-1201866d5bdf" targetNamespace="http://schemas.microsoft.com/office/2006/metadata/properties" ma:root="true" ma:fieldsID="cd67d8f73cf7af585497377d416b8844" ns3:_="" ns4:_="">
    <xsd:import namespace="17d7484c-5d63-455e-a643-8ffc912959b2"/>
    <xsd:import namespace="f2ea09fb-d89d-450e-9152-1201866d5bd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7484c-5d63-455e-a643-8ffc912959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a09fb-d89d-450e-9152-1201866d5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CAA727-A1DF-4EA8-8DD1-F543E8F9D6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BA4F86-A06D-48A5-B02F-2693D503C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7484c-5d63-455e-a643-8ffc912959b2"/>
    <ds:schemaRef ds:uri="f2ea09fb-d89d-450e-9152-1201866d5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6B836D-6621-493F-A2DB-AA779A11A46E}">
  <ds:schemaRefs>
    <ds:schemaRef ds:uri="http://www.w3.org/XML/1998/namespace"/>
    <ds:schemaRef ds:uri="http://purl.org/dc/dcmitype/"/>
    <ds:schemaRef ds:uri="http://purl.org/dc/terms/"/>
    <ds:schemaRef ds:uri="17d7484c-5d63-455e-a643-8ffc912959b2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2ea09fb-d89d-450e-9152-1201866d5bd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R-Producto 1</vt:lpstr>
      <vt:lpstr>Producto 1</vt:lpstr>
      <vt:lpstr>'Producto 1'!Área_de_impresión</vt:lpstr>
      <vt:lpstr>'R-Producto 1'!Área_de_impresión</vt:lpstr>
    </vt:vector>
  </TitlesOfParts>
  <Company>ECO-ECA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Vega</dc:creator>
  <cp:lastModifiedBy>MARIA TERESA</cp:lastModifiedBy>
  <cp:lastPrinted>2025-07-18T19:15:32Z</cp:lastPrinted>
  <dcterms:created xsi:type="dcterms:W3CDTF">2010-11-25T21:03:36Z</dcterms:created>
  <dcterms:modified xsi:type="dcterms:W3CDTF">2025-12-22T17:37:40Z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0x010100D6AC2BEAA0673E4F96E3E812374ED63B</vt:lpwstr>
  </property>
</Properties>
</file>