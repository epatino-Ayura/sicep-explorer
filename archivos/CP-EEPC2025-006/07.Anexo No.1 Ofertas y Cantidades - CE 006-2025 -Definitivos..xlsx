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172.25.2.9\XM_Comercial\09.Compra Energia\01. MERCADO REGULADO\13. INVITACIONES 2025\CE 006-2025\02.Publicación\Definitivos\"/>
    </mc:Choice>
  </mc:AlternateContent>
  <xr:revisionPtr revIDLastSave="0" documentId="13_ncr:1_{2767390D-C567-463F-996C-4B958E43D133}" xr6:coauthVersionLast="47" xr6:coauthVersionMax="47" xr10:uidLastSave="{00000000-0000-0000-0000-000000000000}"/>
  <bookViews>
    <workbookView xWindow="-120" yWindow="-120" windowWidth="29040" windowHeight="15720" xr2:uid="{CAAF35BE-0A49-42DC-B934-18CAA44138A4}"/>
  </bookViews>
  <sheets>
    <sheet name="Oferta Producto No. 1" sheetId="6" r:id="rId1"/>
    <sheet name="Cantidades Producto No. 1" sheetId="7" r:id="rId2"/>
    <sheet name="Oferta Producto No. 2 " sheetId="8" r:id="rId3"/>
    <sheet name="Cantidades Producto No. 2" sheetId="9" r:id="rId4"/>
    <sheet name="Oferta Producto Base Curva" sheetId="4" state="hidden" r:id="rId5"/>
    <sheet name="Oferta Producto No. 3" sheetId="10" r:id="rId6"/>
    <sheet name="Cantidades Producto No. 3" sheetId="11" r:id="rId7"/>
    <sheet name="Oferta Producto No. 4" sheetId="12" r:id="rId8"/>
    <sheet name="Cantidades Producto No. 4" sheetId="13" r:id="rId9"/>
    <sheet name="Oferta Producto No. 5" sheetId="14" r:id="rId10"/>
    <sheet name="Cantidades Producto No. 5" sheetId="18" r:id="rId11"/>
    <sheet name="Oferta Producto No. 6" sheetId="19" r:id="rId12"/>
    <sheet name="Cantidades Producto No. 6" sheetId="20" r:id="rId13"/>
    <sheet name="Oferta Producto No. 7" sheetId="21" r:id="rId14"/>
    <sheet name="Cantidades Producto No. 7" sheetId="22" r:id="rId15"/>
  </sheets>
  <definedNames>
    <definedName name="_xlnm.Print_Area" localSheetId="4">'Oferta Producto Base Curva'!$A$1:$M$38</definedName>
    <definedName name="_xlnm.Print_Area" localSheetId="0">'Oferta Producto No. 1'!$A$1:$M$38</definedName>
    <definedName name="_xlnm.Print_Area" localSheetId="2">'Oferta Producto No. 2 '!$A$1:$M$27</definedName>
    <definedName name="_xlnm.Print_Area" localSheetId="5">'Oferta Producto No. 3'!$A$1:$M$27</definedName>
    <definedName name="_xlnm.Print_Area" localSheetId="7">'Oferta Producto No. 4'!$A$1:$M$27</definedName>
    <definedName name="_xlnm.Print_Area" localSheetId="9">'Oferta Producto No. 5'!$A$1:$M$27</definedName>
    <definedName name="_xlnm.Print_Area" localSheetId="11">'Oferta Producto No. 6'!$A$1:$M$27</definedName>
    <definedName name="_xlnm.Print_Area" localSheetId="13">'Oferta Producto No. 7'!$A$1:$M$27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21" l="1"/>
  <c r="B21" i="19"/>
  <c r="B21" i="14"/>
  <c r="B21" i="12"/>
  <c r="B21" i="10"/>
  <c r="B21" i="8"/>
  <c r="B32" i="6"/>
  <c r="G15" i="21"/>
  <c r="G15" i="19"/>
  <c r="G15" i="14"/>
  <c r="G15" i="12"/>
  <c r="G15" i="10"/>
  <c r="G15" i="8"/>
  <c r="F15" i="21"/>
  <c r="F13" i="21"/>
  <c r="C9" i="21"/>
  <c r="F15" i="10"/>
  <c r="F15" i="12"/>
  <c r="F15" i="14"/>
  <c r="F15" i="19"/>
  <c r="F15" i="8"/>
  <c r="F13" i="19"/>
  <c r="C9" i="19"/>
  <c r="F13" i="14"/>
  <c r="C9" i="14"/>
  <c r="F13" i="12"/>
  <c r="C9" i="12"/>
  <c r="F13" i="10"/>
  <c r="C9" i="10"/>
  <c r="F13" i="8"/>
  <c r="C9" i="8"/>
  <c r="F23" i="6"/>
  <c r="F22" i="6"/>
  <c r="F19" i="6"/>
  <c r="F15" i="6"/>
  <c r="F26" i="6"/>
  <c r="F25" i="6"/>
  <c r="F24" i="6"/>
  <c r="F21" i="6"/>
  <c r="F20" i="6"/>
  <c r="F18" i="6"/>
  <c r="F17" i="6"/>
  <c r="F16" i="6"/>
  <c r="F13" i="6"/>
  <c r="C9" i="6"/>
  <c r="B32" i="4"/>
  <c r="F13" i="4"/>
  <c r="C9" i="4"/>
  <c r="G17" i="6"/>
  <c r="G20" i="6"/>
  <c r="G21" i="6"/>
  <c r="F22" i="4"/>
  <c r="G24" i="6"/>
  <c r="G22" i="6"/>
  <c r="G23" i="6"/>
  <c r="F23" i="4"/>
  <c r="F19" i="4"/>
  <c r="F16" i="4"/>
  <c r="G19" i="6"/>
  <c r="G26" i="6"/>
  <c r="G16" i="6"/>
  <c r="G18" i="6"/>
  <c r="G25" i="6"/>
  <c r="F17" i="4"/>
  <c r="F25" i="4"/>
  <c r="F21" i="4"/>
  <c r="F24" i="4"/>
  <c r="F26" i="4"/>
  <c r="F15" i="4"/>
  <c r="F20" i="4"/>
  <c r="G15" i="6"/>
  <c r="F18" i="4"/>
  <c r="G27" i="6"/>
  <c r="G21" i="4"/>
  <c r="G19" i="4"/>
  <c r="G17" i="4"/>
  <c r="G20" i="4"/>
  <c r="G18" i="4"/>
  <c r="G16" i="4"/>
  <c r="G25" i="4"/>
  <c r="G22" i="4"/>
  <c r="G26" i="4"/>
  <c r="G23" i="4"/>
  <c r="G24" i="4"/>
  <c r="G16" i="19"/>
  <c r="G16" i="10"/>
  <c r="G16" i="12"/>
  <c r="G16" i="21"/>
  <c r="G16" i="14"/>
  <c r="G15" i="4"/>
  <c r="G27" i="4"/>
  <c r="G16" i="8"/>
</calcChain>
</file>

<file path=xl/sharedStrings.xml><?xml version="1.0" encoding="utf-8"?>
<sst xmlns="http://schemas.openxmlformats.org/spreadsheetml/2006/main" count="595" uniqueCount="67">
  <si>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</si>
  <si>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</si>
  <si>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</si>
  <si>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</si>
  <si>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</si>
  <si>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</si>
  <si>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</si>
  <si>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</si>
  <si>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</si>
  <si>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</si>
  <si>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</si>
  <si>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</si>
  <si>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</si>
  <si>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</si>
  <si>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</si>
  <si>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</si>
  <si>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</si>
  <si>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</si>
  <si>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</si>
  <si>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</si>
  <si>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</si>
  <si>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</si>
  <si>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</si>
  <si>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</si>
  <si>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TOTAL</t>
  </si>
  <si>
    <t>HABIL</t>
  </si>
  <si>
    <t>SABADOS</t>
  </si>
  <si>
    <t>DOMINGOS Y FESTIVOS</t>
  </si>
  <si>
    <t>LUNES FESTIVOS</t>
  </si>
  <si>
    <t>ANEXO No. 1 OFERTAS Y CANTIDADES</t>
  </si>
  <si>
    <t>OFERTA MERCANTIL IRREVOCABLE A LA EMPRESA DE ENERGIA DE PEREIRA S.A. ESP.
INVITACIÓN PARA EL SUMINISTRO DE ENERGÍA ELÉCTRICA CON DESTINO AL MERCADO REGULADO CONVOCATORIA PÚBLICA No. 005-2025 - CP-EEPC2025-005</t>
  </si>
  <si>
    <t>PRODUCTO No. 1</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</si>
  <si>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</si>
  <si>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</si>
  <si>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</si>
  <si>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Las tarifas ofertadas están referidas en pesos constantes de abril de 2025 provisional</t>
  </si>
  <si>
    <t>Periodo</t>
  </si>
  <si>
    <t>Energía requerida (MWh-mes)</t>
  </si>
  <si>
    <t>Energía ofertada (%)</t>
  </si>
  <si>
    <t>Energía ofertada (MWh-mes)</t>
  </si>
  <si>
    <t>Tarifa monomia ($/kWh)</t>
  </si>
  <si>
    <t>Notas</t>
  </si>
  <si>
    <r>
      <t>(1) Oferta válida para la modalidad</t>
    </r>
    <r>
      <rPr>
        <b/>
        <sz val="16"/>
        <color theme="1"/>
        <rFont val="Verdana"/>
        <family val="2"/>
      </rPr>
      <t xml:space="preserve"> Pague lo Contratado.</t>
    </r>
  </si>
  <si>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</si>
  <si>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</si>
  <si>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</si>
  <si>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</si>
  <si>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EMPRESA DE ENERGÍA DE PEREIRA S.A. E.S.P.</t>
  </si>
  <si>
    <t>MES</t>
  </si>
  <si>
    <t>Días</t>
  </si>
  <si>
    <t>DEMANDA DIARIA ESTIMADA TOTAL [MWh]</t>
  </si>
  <si>
    <t>PRODUCTO No. 2</t>
  </si>
  <si>
    <t>…..</t>
  </si>
  <si>
    <t>DEMANDA DIARIA ESTIMADA TO [MWh]</t>
  </si>
  <si>
    <t>OFERTA MERCANTIL IRREVOCABLE A LA EMPRESA DE ENERGIA DE PEREIRA S.A. ESP.
INVITACIÓN PARA EL SUMINISTRO DE ENERGÍA ELÉCTRICA CON DESTINO AL MERCADO REGULADO CONVOCATORIA PÚBLICA No. 006-2025 - CP-EEPC2025-006</t>
  </si>
  <si>
    <t>PRODUCTO No. 3</t>
  </si>
  <si>
    <t>PRODUCTO No. 4</t>
  </si>
  <si>
    <t>PRODUCTO No. 5</t>
  </si>
  <si>
    <t>PRODUCTO No. 6</t>
  </si>
  <si>
    <t xml:space="preserve">TIPO DE DÍA </t>
  </si>
  <si>
    <t>PRODUCTO No. 7</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</si>
  <si>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</si>
  <si>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No.3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</si>
  <si>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4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</si>
  <si>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5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</si>
  <si>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No.6 Ofertas y Cantidades PRODUCTO No. 6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</si>
  <si>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7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</si>
</sst>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_-* #,##0_-;\-* #,##0_-;_-* &quot;-&quot;??_-;_-@_-"/>
    <numFmt numFmtId="165" formatCode="0.000%"/>
    <numFmt numFmtId="166" formatCode="_-* #,##0.00_-;\-* #,##0.00_-;_-* &quot;-&quot;_-;_-@_-"/>
    <numFmt numFmtId="167" formatCode="_ * #,##0_ ;_ * \-#,##0_ ;_ * &quot;-&quot;??_ ;_ @_ "/>
    <numFmt numFmtId="168" formatCode="_ * #,##0.00_ ;_ * \-#,##0.00_ ;_ * &quot;-&quot;?_ ;_ @_ "/>
    <numFmt numFmtId="169" formatCode="_ * #,##0_ ;_ * \-#,##0_ ;_ * &quot;-&quot;?_ ;_ @_ "/>
    <numFmt numFmtId="170" formatCode="_ * #,##0.0000_ ;_ * \-#,##0.0000_ ;_ * &quot;-&quot;?_ ;_ @_ "/>
  </numFmts>
  <fonts count="36" x14ac:knownFonts="1">
    <font>
      <sz val="11"/>
      <color theme="1"/>
      <name val="Aptos Narrow"/>
      <family val="2"/>
      <scheme val="minor"/>
    </font>
    <font>
      <sz val="11"/>
      <color theme="1"/>
      <name val="Aptos Narrow"/>
      <family val="2"/>
      <scheme val="minor"/>
    </font>
    <font>
      <sz val="10"/>
      <name val="Arial"/>
      <family val="2"/>
    </font>
    <font>
      <sz val="20"/>
      <name val="Verdana"/>
      <family val="2"/>
    </font>
    <font>
      <b/>
      <i/>
      <sz val="20"/>
      <name val="Verdana"/>
      <family val="2"/>
    </font>
    <font>
      <b/>
      <sz val="18"/>
      <color theme="1"/>
      <name val="Verdana"/>
      <family val="2"/>
    </font>
    <font>
      <b/>
      <sz val="18"/>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sz val="10"/>
      <color rgb="FFFF0000"/>
      <name val="Arial"/>
      <family val="2"/>
    </font>
    <font>
      <b/>
      <sz val="18"/>
      <name val="Arial"/>
      <family val="2"/>
    </font>
    <font>
      <b/>
      <sz val="16"/>
      <color theme="1"/>
      <name val="Arial"/>
      <family val="2"/>
    </font>
    <font>
      <b/>
      <sz val="10"/>
      <name val="Arial"/>
      <family val="2"/>
    </font>
    <font>
      <sz val="12"/>
      <color rgb="FFFF0000"/>
      <name val="Arial"/>
      <family val="2"/>
    </font>
    <font>
      <b/>
      <sz val="12"/>
      <color rgb="FFFF0000"/>
      <name val="Arial"/>
      <family val="2"/>
    </font>
    <font>
      <sz val="12"/>
      <color indexed="9"/>
      <name val="Arial"/>
      <family val="2"/>
    </font>
    <font>
      <sz val="10"/>
      <color indexed="9"/>
      <name val="Arial"/>
      <family val="2"/>
    </font>
    <font>
      <b/>
      <i/>
      <sz val="12"/>
      <color indexed="9"/>
      <name val="Arial"/>
      <family val="2"/>
    </font>
    <font>
      <b/>
      <sz val="12"/>
      <name val="Arial"/>
      <family val="2"/>
    </font>
    <font>
      <sz val="11"/>
      <name val="Arial"/>
      <family val="2"/>
    </font>
    <font>
      <b/>
      <sz val="11"/>
      <color indexed="10"/>
      <name val="Arial"/>
      <family val="2"/>
    </font>
    <font>
      <b/>
      <sz val="11"/>
      <name val="Arial"/>
      <family val="2"/>
    </font>
    <font>
      <sz val="10"/>
      <color theme="0"/>
      <name val="Arial"/>
      <family val="2"/>
    </font>
    <font>
      <b/>
      <sz val="10"/>
      <color indexed="9"/>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5">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9">
    <xf numFmtId="0" fontId="0" fillId="0" borderId="0"/>
    <xf numFmtId="9" fontId="1" fillId="0" borderId="0" applyFont="0" applyFill="0" applyBorder="0" applyAlignment="0" applyProtection="0"/>
    <xf numFmtId="0" fontId="2" fillId="0" borderId="0"/>
    <xf numFmtId="0" fontId="1" fillId="0" borderId="0"/>
    <xf numFmtId="0" fontId="1" fillId="0" borderId="0"/>
    <xf numFmtId="41" fontId="2"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2" fillId="0" borderId="0" applyFont="0" applyFill="0" applyBorder="0" applyAlignment="0" applyProtection="0"/>
  </cellStyleXfs>
  <cellXfs count="114">
    <xf numFmtId="0" fontId="0" fillId="0" borderId="0" xfId="0"/>
    <xf numFmtId="0" fontId="3" fillId="2" borderId="0" xfId="2" applyFont="1" applyFill="1"/>
    <xf numFmtId="0" fontId="4" fillId="2" borderId="0" xfId="2" applyFont="1" applyFill="1" applyAlignment="1">
      <alignment vertical="center"/>
    </xf>
    <xf numFmtId="0" fontId="7" fillId="2" borderId="0" xfId="2" applyFont="1" applyFill="1" applyAlignment="1">
      <alignment vertical="center"/>
    </xf>
    <xf numFmtId="0" fontId="8" fillId="2" borderId="0" xfId="2" applyFont="1" applyFill="1"/>
    <xf numFmtId="0" fontId="4" fillId="2" borderId="0" xfId="2" applyFont="1" applyFill="1" applyAlignment="1">
      <alignment horizontal="center" vertical="center"/>
    </xf>
    <xf numFmtId="0" fontId="9"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8" fillId="2" borderId="0" xfId="2" applyFont="1" applyFill="1" applyAlignment="1">
      <alignment horizontal="center" vertical="center"/>
    </xf>
    <xf numFmtId="0" fontId="10" fillId="2" borderId="0" xfId="2" applyFont="1" applyFill="1"/>
    <xf numFmtId="0" fontId="12" fillId="2" borderId="0" xfId="2" applyFont="1" applyFill="1" applyAlignment="1">
      <alignment horizontal="center" vertical="center"/>
    </xf>
    <xf numFmtId="0" fontId="3" fillId="2" borderId="0" xfId="2" applyFont="1" applyFill="1" applyAlignment="1">
      <alignment horizontal="center" vertical="center"/>
    </xf>
    <xf numFmtId="0" fontId="13" fillId="2" borderId="0" xfId="2" applyFont="1" applyFill="1"/>
    <xf numFmtId="0" fontId="7" fillId="2" borderId="0" xfId="2" applyFont="1" applyFill="1" applyAlignment="1">
      <alignment horizontal="center" vertical="center"/>
    </xf>
    <xf numFmtId="0" fontId="9" fillId="2" borderId="0" xfId="2" applyFont="1" applyFill="1"/>
    <xf numFmtId="0" fontId="12" fillId="2" borderId="0" xfId="2" applyFont="1" applyFill="1"/>
    <xf numFmtId="0" fontId="13" fillId="4" borderId="2" xfId="3" applyFont="1" applyFill="1" applyBorder="1" applyAlignment="1">
      <alignment vertical="center" wrapText="1"/>
    </xf>
    <xf numFmtId="0" fontId="10" fillId="4" borderId="2" xfId="3" applyFont="1" applyFill="1" applyBorder="1" applyAlignment="1">
      <alignment horizontal="center" vertical="center" wrapText="1"/>
    </xf>
    <xf numFmtId="0" fontId="14" fillId="4" borderId="2" xfId="3" applyFont="1" applyFill="1" applyBorder="1" applyAlignment="1">
      <alignment horizontal="center" vertical="center" wrapText="1"/>
    </xf>
    <xf numFmtId="164" fontId="15" fillId="2" borderId="0" xfId="2" applyNumberFormat="1" applyFont="1" applyFill="1"/>
    <xf numFmtId="17" fontId="10" fillId="0" borderId="2" xfId="3" applyNumberFormat="1" applyFont="1" applyBorder="1" applyAlignment="1">
      <alignment horizontal="center" vertical="center" wrapText="1"/>
    </xf>
    <xf numFmtId="3" fontId="16" fillId="0" borderId="2" xfId="3" applyNumberFormat="1" applyFont="1" applyBorder="1" applyAlignment="1">
      <alignment horizontal="center" vertical="center" wrapText="1"/>
    </xf>
    <xf numFmtId="41" fontId="16" fillId="0" borderId="2" xfId="5" applyFont="1" applyFill="1" applyBorder="1" applyAlignment="1">
      <alignment horizontal="center" vertical="center" wrapText="1"/>
    </xf>
    <xf numFmtId="165" fontId="16" fillId="0" borderId="2" xfId="6" applyNumberFormat="1" applyFont="1" applyFill="1" applyBorder="1" applyAlignment="1">
      <alignment horizontal="center" vertical="center" wrapText="1"/>
    </xf>
    <xf numFmtId="10" fontId="17" fillId="2" borderId="0" xfId="6" applyNumberFormat="1" applyFont="1" applyFill="1"/>
    <xf numFmtId="41" fontId="3" fillId="2" borderId="0" xfId="7" applyFont="1" applyFill="1"/>
    <xf numFmtId="166" fontId="3" fillId="2" borderId="0" xfId="7" applyNumberFormat="1" applyFont="1" applyFill="1"/>
    <xf numFmtId="3" fontId="3" fillId="2" borderId="0" xfId="2" applyNumberFormat="1" applyFont="1" applyFill="1"/>
    <xf numFmtId="0" fontId="13" fillId="4" borderId="2" xfId="3" applyFont="1" applyFill="1" applyBorder="1" applyAlignment="1">
      <alignment horizontal="center" vertical="center"/>
    </xf>
    <xf numFmtId="3" fontId="10" fillId="4" borderId="2" xfId="3" applyNumberFormat="1" applyFont="1" applyFill="1" applyBorder="1" applyAlignment="1">
      <alignment horizontal="center" vertical="center" wrapText="1"/>
    </xf>
    <xf numFmtId="165" fontId="10" fillId="4" borderId="2" xfId="6" applyNumberFormat="1" applyFont="1" applyFill="1" applyBorder="1" applyAlignment="1">
      <alignment horizontal="center" vertical="center" wrapText="1"/>
    </xf>
    <xf numFmtId="2" fontId="10" fillId="4" borderId="2" xfId="3" applyNumberFormat="1" applyFont="1" applyFill="1" applyBorder="1" applyAlignment="1">
      <alignment horizontal="center" vertical="center" wrapText="1"/>
    </xf>
    <xf numFmtId="17" fontId="12" fillId="2" borderId="0" xfId="2" applyNumberFormat="1" applyFont="1" applyFill="1" applyAlignment="1">
      <alignment horizontal="left" vertical="center" wrapText="1"/>
    </xf>
    <xf numFmtId="167" fontId="3" fillId="2" borderId="0" xfId="8" applyNumberFormat="1" applyFont="1" applyFill="1" applyBorder="1" applyAlignment="1">
      <alignment horizontal="center" vertical="center" wrapText="1"/>
    </xf>
    <xf numFmtId="0" fontId="18" fillId="2" borderId="0" xfId="2" applyFont="1" applyFill="1"/>
    <xf numFmtId="0" fontId="16" fillId="2" borderId="0" xfId="2" applyFont="1" applyFill="1"/>
    <xf numFmtId="0" fontId="16" fillId="3" borderId="0" xfId="2" applyFont="1" applyFill="1" applyAlignment="1">
      <alignment horizontal="justify" vertical="justify" wrapText="1"/>
    </xf>
    <xf numFmtId="0" fontId="2" fillId="0" borderId="0" xfId="2"/>
    <xf numFmtId="0" fontId="20" fillId="0" borderId="0" xfId="2" applyFont="1"/>
    <xf numFmtId="168" fontId="2" fillId="0" borderId="0" xfId="2" applyNumberFormat="1"/>
    <xf numFmtId="0" fontId="21" fillId="0" borderId="0" xfId="2" applyFont="1"/>
    <xf numFmtId="0" fontId="22" fillId="0" borderId="6" xfId="2" applyFont="1" applyBorder="1"/>
    <xf numFmtId="0" fontId="23" fillId="0" borderId="7" xfId="2" applyFont="1" applyBorder="1"/>
    <xf numFmtId="0" fontId="24" fillId="5" borderId="8" xfId="2" applyFont="1" applyFill="1" applyBorder="1"/>
    <xf numFmtId="0" fontId="25" fillId="0" borderId="0" xfId="0" applyFont="1"/>
    <xf numFmtId="0" fontId="26" fillId="0" borderId="0" xfId="0" applyFont="1"/>
    <xf numFmtId="0" fontId="27" fillId="0" borderId="0" xfId="0" applyFont="1"/>
    <xf numFmtId="168" fontId="0" fillId="0" borderId="0" xfId="0" applyNumberFormat="1"/>
    <xf numFmtId="167" fontId="0" fillId="0" borderId="0" xfId="0" applyNumberFormat="1"/>
    <xf numFmtId="0" fontId="20" fillId="0" borderId="0" xfId="0" applyFont="1"/>
    <xf numFmtId="0" fontId="28" fillId="6" borderId="9" xfId="0" applyFont="1" applyFill="1" applyBorder="1"/>
    <xf numFmtId="0" fontId="29" fillId="6" borderId="10" xfId="0" applyFont="1" applyFill="1" applyBorder="1" applyAlignment="1">
      <alignment horizontal="center"/>
    </xf>
    <xf numFmtId="0" fontId="29" fillId="6" borderId="10" xfId="3" applyFont="1" applyFill="1" applyBorder="1" applyAlignment="1">
      <alignment horizontal="center"/>
    </xf>
    <xf numFmtId="0" fontId="28" fillId="6" borderId="11" xfId="0" applyFont="1" applyFill="1" applyBorder="1"/>
    <xf numFmtId="17" fontId="30" fillId="0" borderId="12" xfId="0" applyNumberFormat="1" applyFont="1" applyBorder="1" applyAlignment="1">
      <alignment horizontal="left"/>
    </xf>
    <xf numFmtId="168" fontId="31" fillId="0" borderId="2" xfId="0" quotePrefix="1" applyNumberFormat="1" applyFont="1" applyBorder="1" applyAlignment="1">
      <alignment horizontal="left"/>
    </xf>
    <xf numFmtId="169" fontId="32" fillId="0" borderId="13" xfId="0" applyNumberFormat="1" applyFont="1" applyBorder="1" applyAlignment="1">
      <alignment horizontal="left"/>
    </xf>
    <xf numFmtId="169" fontId="33" fillId="0" borderId="14" xfId="0" quotePrefix="1" applyNumberFormat="1" applyFont="1" applyBorder="1" applyAlignment="1">
      <alignment horizontal="left"/>
    </xf>
    <xf numFmtId="167" fontId="20" fillId="0" borderId="15" xfId="0" applyNumberFormat="1" applyFont="1" applyBorder="1"/>
    <xf numFmtId="17" fontId="30" fillId="0" borderId="16" xfId="0" applyNumberFormat="1" applyFont="1" applyBorder="1" applyAlignment="1">
      <alignment horizontal="left"/>
    </xf>
    <xf numFmtId="169" fontId="32" fillId="0" borderId="17" xfId="0" applyNumberFormat="1" applyFont="1" applyBorder="1" applyAlignment="1">
      <alignment horizontal="left"/>
    </xf>
    <xf numFmtId="169" fontId="33" fillId="0" borderId="2" xfId="0" quotePrefix="1" applyNumberFormat="1" applyFont="1" applyBorder="1" applyAlignment="1">
      <alignment horizontal="left"/>
    </xf>
    <xf numFmtId="167" fontId="20" fillId="0" borderId="18" xfId="0" applyNumberFormat="1" applyFont="1" applyBorder="1"/>
    <xf numFmtId="17" fontId="30" fillId="0" borderId="19" xfId="0" applyNumberFormat="1" applyFont="1" applyBorder="1" applyAlignment="1">
      <alignment horizontal="left"/>
    </xf>
    <xf numFmtId="169" fontId="33" fillId="0" borderId="21" xfId="0" quotePrefix="1" applyNumberFormat="1" applyFont="1" applyBorder="1" applyAlignment="1">
      <alignment horizontal="left"/>
    </xf>
    <xf numFmtId="167" fontId="20" fillId="0" borderId="22" xfId="0" applyNumberFormat="1" applyFont="1" applyBorder="1"/>
    <xf numFmtId="170" fontId="20" fillId="0" borderId="0" xfId="0" applyNumberFormat="1" applyFont="1"/>
    <xf numFmtId="0" fontId="1" fillId="0" borderId="0" xfId="3"/>
    <xf numFmtId="0" fontId="30" fillId="0" borderId="0" xfId="0" applyFont="1"/>
    <xf numFmtId="169" fontId="31" fillId="0" borderId="14" xfId="0" quotePrefix="1" applyNumberFormat="1" applyFont="1" applyBorder="1" applyAlignment="1">
      <alignment horizontal="left"/>
    </xf>
    <xf numFmtId="0" fontId="20" fillId="0" borderId="0" xfId="2" applyFont="1" applyAlignment="1">
      <alignment horizontal="center"/>
    </xf>
    <xf numFmtId="168" fontId="2" fillId="0" borderId="0" xfId="2" applyNumberFormat="1" applyAlignment="1">
      <alignment horizontal="center"/>
    </xf>
    <xf numFmtId="0" fontId="34" fillId="0" borderId="0" xfId="2" applyFont="1"/>
    <xf numFmtId="0" fontId="25" fillId="0" borderId="0" xfId="0" applyFont="1" applyAlignment="1">
      <alignment horizontal="center"/>
    </xf>
    <xf numFmtId="0" fontId="26" fillId="0" borderId="0" xfId="0" applyFont="1" applyAlignment="1">
      <alignment horizontal="center"/>
    </xf>
    <xf numFmtId="0" fontId="27" fillId="0" borderId="0" xfId="0" applyFont="1" applyAlignment="1">
      <alignment horizontal="center"/>
    </xf>
    <xf numFmtId="168" fontId="0" fillId="0" borderId="0" xfId="0" applyNumberFormat="1" applyAlignment="1">
      <alignment horizontal="center"/>
    </xf>
    <xf numFmtId="0" fontId="20" fillId="0" borderId="0" xfId="0" applyFont="1" applyAlignment="1">
      <alignment horizontal="center"/>
    </xf>
    <xf numFmtId="168" fontId="31" fillId="0" borderId="14" xfId="0" quotePrefix="1" applyNumberFormat="1" applyFont="1" applyBorder="1" applyAlignment="1">
      <alignment horizontal="center"/>
    </xf>
    <xf numFmtId="169" fontId="32" fillId="0" borderId="13" xfId="0" applyNumberFormat="1" applyFont="1" applyBorder="1" applyAlignment="1">
      <alignment horizontal="center"/>
    </xf>
    <xf numFmtId="168" fontId="31" fillId="0" borderId="2" xfId="0" quotePrefix="1" applyNumberFormat="1" applyFont="1" applyBorder="1" applyAlignment="1">
      <alignment horizontal="center"/>
    </xf>
    <xf numFmtId="169" fontId="32" fillId="0" borderId="17" xfId="0" applyNumberFormat="1" applyFont="1" applyBorder="1" applyAlignment="1">
      <alignment horizontal="center"/>
    </xf>
    <xf numFmtId="168" fontId="31" fillId="0" borderId="21" xfId="0" quotePrefix="1" applyNumberFormat="1" applyFont="1" applyBorder="1" applyAlignment="1">
      <alignment horizontal="center"/>
    </xf>
    <xf numFmtId="169" fontId="32" fillId="0" borderId="20" xfId="0" applyNumberFormat="1" applyFont="1" applyBorder="1" applyAlignment="1">
      <alignment horizontal="center"/>
    </xf>
    <xf numFmtId="170" fontId="20" fillId="0" borderId="0" xfId="0" applyNumberFormat="1" applyFont="1" applyAlignment="1">
      <alignment horizontal="center"/>
    </xf>
    <xf numFmtId="0" fontId="30" fillId="0" borderId="0" xfId="0" applyFont="1" applyAlignment="1">
      <alignment horizontal="center"/>
    </xf>
    <xf numFmtId="0" fontId="28" fillId="6" borderId="23" xfId="0" applyFont="1" applyFill="1" applyBorder="1"/>
    <xf numFmtId="0" fontId="29" fillId="6" borderId="24" xfId="0" applyFont="1" applyFill="1" applyBorder="1" applyAlignment="1">
      <alignment horizontal="center"/>
    </xf>
    <xf numFmtId="10" fontId="34" fillId="0" borderId="0" xfId="1" applyNumberFormat="1" applyFont="1"/>
    <xf numFmtId="169" fontId="31" fillId="0" borderId="14" xfId="0" quotePrefix="1" applyNumberFormat="1" applyFont="1" applyBorder="1" applyAlignment="1">
      <alignment horizontal="center"/>
    </xf>
    <xf numFmtId="169" fontId="32" fillId="0" borderId="14" xfId="0" applyNumberFormat="1" applyFont="1" applyBorder="1" applyAlignment="1">
      <alignment horizontal="center"/>
    </xf>
    <xf numFmtId="169" fontId="31" fillId="0" borderId="2" xfId="0" quotePrefix="1" applyNumberFormat="1" applyFont="1" applyBorder="1" applyAlignment="1">
      <alignment horizontal="center"/>
    </xf>
    <xf numFmtId="169" fontId="32" fillId="0" borderId="2" xfId="0" applyNumberFormat="1" applyFont="1" applyBorder="1" applyAlignment="1">
      <alignment horizontal="center"/>
    </xf>
    <xf numFmtId="169" fontId="31" fillId="0" borderId="21" xfId="0" quotePrefix="1" applyNumberFormat="1" applyFont="1" applyBorder="1" applyAlignment="1">
      <alignment horizontal="center"/>
    </xf>
    <xf numFmtId="169" fontId="32" fillId="0" borderId="21" xfId="0" applyNumberFormat="1" applyFont="1" applyBorder="1" applyAlignment="1">
      <alignment horizontal="center"/>
    </xf>
    <xf numFmtId="169" fontId="2" fillId="0" borderId="0" xfId="2" applyNumberFormat="1"/>
    <xf numFmtId="166" fontId="16" fillId="0" borderId="3" xfId="5" applyNumberFormat="1" applyFont="1" applyFill="1" applyBorder="1" applyAlignment="1">
      <alignment horizontal="center" vertical="center" wrapText="1"/>
    </xf>
    <xf numFmtId="10" fontId="21" fillId="0" borderId="0" xfId="1" applyNumberFormat="1" applyFont="1"/>
    <xf numFmtId="3" fontId="34" fillId="0" borderId="0" xfId="2" applyNumberFormat="1" applyFont="1"/>
    <xf numFmtId="0" fontId="29" fillId="6" borderId="24" xfId="3" applyFont="1" applyFill="1" applyBorder="1" applyAlignment="1">
      <alignment horizontal="center"/>
    </xf>
    <xf numFmtId="0" fontId="35" fillId="6" borderId="11" xfId="0" applyFont="1" applyFill="1" applyBorder="1" applyAlignment="1">
      <alignment horizontal="center"/>
    </xf>
    <xf numFmtId="0" fontId="19" fillId="0" borderId="1" xfId="2" applyFont="1" applyBorder="1" applyAlignment="1">
      <alignment horizontal="justify" vertical="justify" wrapText="1"/>
    </xf>
    <xf numFmtId="0" fontId="5" fillId="3" borderId="0" xfId="3" applyFont="1" applyFill="1" applyAlignment="1">
      <alignment horizontal="center" vertical="center"/>
    </xf>
    <xf numFmtId="0" fontId="6" fillId="3" borderId="0" xfId="3" applyFont="1" applyFill="1" applyAlignment="1">
      <alignment horizontal="center" vertical="center" wrapText="1"/>
    </xf>
    <xf numFmtId="0" fontId="5" fillId="0" borderId="0" xfId="3" applyFont="1" applyAlignment="1">
      <alignment horizontal="center" vertical="center"/>
    </xf>
    <xf numFmtId="0" fontId="13" fillId="0" borderId="2" xfId="2" applyFont="1" applyBorder="1" applyAlignment="1">
      <alignment horizontal="center"/>
    </xf>
    <xf numFmtId="166" fontId="16" fillId="0" borderId="3" xfId="5" applyNumberFormat="1" applyFont="1" applyFill="1" applyBorder="1" applyAlignment="1">
      <alignment horizontal="center" vertical="center" wrapText="1"/>
    </xf>
    <xf numFmtId="166" fontId="16" fillId="0" borderId="4" xfId="5" applyNumberFormat="1" applyFont="1" applyFill="1" applyBorder="1" applyAlignment="1">
      <alignment horizontal="center" vertical="center" wrapText="1"/>
    </xf>
    <xf numFmtId="166" fontId="16" fillId="0" borderId="5" xfId="5" applyNumberFormat="1" applyFont="1" applyFill="1" applyBorder="1" applyAlignment="1">
      <alignment horizontal="center" vertical="center" wrapText="1"/>
    </xf>
    <xf numFmtId="41" fontId="16" fillId="0" borderId="3" xfId="5" applyFont="1" applyFill="1" applyBorder="1" applyAlignment="1">
      <alignment horizontal="center" vertical="center" wrapText="1"/>
    </xf>
    <xf numFmtId="41" fontId="16" fillId="0" borderId="4" xfId="5" applyFont="1" applyFill="1" applyBorder="1" applyAlignment="1">
      <alignment horizontal="center" vertical="center" wrapText="1"/>
    </xf>
    <xf numFmtId="41" fontId="16" fillId="0" borderId="5" xfId="5" applyFont="1" applyFill="1" applyBorder="1" applyAlignment="1">
      <alignment horizontal="center" vertical="center" wrapText="1"/>
    </xf>
    <xf numFmtId="0" fontId="19" fillId="2" borderId="1" xfId="2" applyFont="1" applyFill="1" applyBorder="1" applyAlignment="1">
      <alignment horizontal="justify" vertical="justify" wrapText="1"/>
    </xf>
  </cellXfs>
  <cellStyles count="9">
    <cellStyle name="Millares [0] 2" xfId="5" xr:uid="{B8AF7920-5610-4428-AB66-24FF0EE7034F}"/>
    <cellStyle name="Millares [0] 2 2" xfId="7" xr:uid="{5EA99850-2E3C-4C2D-A080-8CB243E9496F}"/>
    <cellStyle name="Millares 3" xfId="8" xr:uid="{43320753-1328-4FC9-AB62-B87B2ABD7D49}"/>
    <cellStyle name="Normal" xfId="0" builtinId="0"/>
    <cellStyle name="Normal 2" xfId="3" xr:uid="{A2B7B63A-2D3D-4B05-B65D-4022149C37F1}"/>
    <cellStyle name="Normal 2 2" xfId="4" xr:uid="{5E5A64E5-33C4-4B5C-A5D1-1C5E4B5E0BE0}"/>
    <cellStyle name="Normal 3" xfId="2" xr:uid="{160B599A-77F7-4DF4-9B2F-E6C4DE29127C}"/>
    <cellStyle name="Porcentaje" xfId="1" builtinId="5"/>
    <cellStyle name="Porcentaje 2" xfId="6" xr:uid="{339B11F2-CF9E-42A2-B875-847DF18F973F}"/>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575AF"/>
      <color rgb="FF3C6494"/>
      <color rgb="FFAFBE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61A4CD56-968D-4425-BCFB-D5219B84A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794E121-D52C-448D-A89A-E53F86078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12275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9E9BA653-09E8-4CDD-BBC7-69242EE47C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C8CD1979-7C45-4E06-9F5C-B6936583A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55149DE0-597C-431D-9814-07269BE5E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44D32B56-6791-44B1-B32B-A7CD68A94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C5B7D634-5C31-45B6-8468-CC11522A6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5B46880-CD94-4C0A-9E67-395E2B005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105DCE02-7F86-4E3D-9CF6-E08E8A60DB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5FDFA335-5397-483F-94AC-9094D0A9C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0AA36017-E3F6-4F57-8F8E-13D1BAC68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1C7267B1-0142-4409-AC80-B07418D68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25CEC850-B134-47E7-BF1D-CF30DEE2D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5D793C85-03EB-40DD-B50B-67280C081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7FD7AD26-B781-4B78-A132-6ACD48EEF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F1F2-F084-498E-B72F-EE0C423CB404}">
  <sheetPr>
    <tabColor theme="9" tint="0.39997558519241921"/>
  </sheetPr>
  <dimension ref="A1:M38"/>
  <sheetViews>
    <sheetView tabSelected="1" view="pageBreakPreview" zoomScale="60" zoomScaleNormal="100" zoomScalePageLayoutView="30" workbookViewId="0">
      <selection activeCell="G27" sqref="G27"/>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31</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1</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1</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1'!A25</f>
        <v>46023</v>
      </c>
      <c r="G15" s="22">
        <f>+SUMIFS('Cantidades Producto No. 1'!$Z$25:$Z$36,'Cantidades Producto No. 1'!$A$25:$A$36,'Oferta Producto No. 1'!$F15)</f>
        <v>4541.5983726674285</v>
      </c>
      <c r="H15" s="110"/>
      <c r="I15" s="24"/>
      <c r="J15" s="107"/>
      <c r="L15" s="25"/>
      <c r="M15" s="25"/>
    </row>
    <row r="16" spans="1:13" x14ac:dyDescent="0.45">
      <c r="A16" s="26"/>
      <c r="B16" s="20">
        <v>28</v>
      </c>
      <c r="F16" s="21">
        <f>+'Cantidades Producto No. 1'!A26</f>
        <v>46054</v>
      </c>
      <c r="G16" s="22">
        <f>+SUMIFS('Cantidades Producto No. 1'!$Z$25:$Z$36,'Cantidades Producto No. 1'!$A$25:$A$36,'Oferta Producto No. 1'!$F16)</f>
        <v>4102.0888527318721</v>
      </c>
      <c r="H16" s="111"/>
      <c r="I16" s="24"/>
      <c r="J16" s="108"/>
      <c r="L16" s="25"/>
      <c r="M16" s="25"/>
    </row>
    <row r="17" spans="1:13" x14ac:dyDescent="0.45">
      <c r="A17" s="26"/>
      <c r="B17" s="20">
        <v>31</v>
      </c>
      <c r="F17" s="21">
        <f>+'Cantidades Producto No. 1'!A27</f>
        <v>46082</v>
      </c>
      <c r="G17" s="22">
        <f>+SUMIFS('Cantidades Producto No. 1'!$Z$25:$Z$36,'Cantidades Producto No. 1'!$A$25:$A$36,'Oferta Producto No. 1'!$F17)</f>
        <v>4541.5983726674285</v>
      </c>
      <c r="H17" s="111"/>
      <c r="I17" s="24"/>
      <c r="J17" s="108"/>
      <c r="L17" s="25"/>
      <c r="M17" s="25"/>
    </row>
    <row r="18" spans="1:13" x14ac:dyDescent="0.45">
      <c r="A18" s="26"/>
      <c r="B18" s="20">
        <v>30</v>
      </c>
      <c r="F18" s="21">
        <f>+'Cantidades Producto No. 1'!A28</f>
        <v>46113</v>
      </c>
      <c r="G18" s="22">
        <f>+SUMIFS('Cantidades Producto No. 1'!$Z$25:$Z$36,'Cantidades Producto No. 1'!$A$25:$A$36,'Oferta Producto No. 1'!$F18)</f>
        <v>4395.0951993555746</v>
      </c>
      <c r="H18" s="111"/>
      <c r="I18" s="24"/>
      <c r="J18" s="108"/>
      <c r="L18" s="25"/>
      <c r="M18" s="25"/>
    </row>
    <row r="19" spans="1:13" x14ac:dyDescent="0.45">
      <c r="A19" s="26"/>
      <c r="B19" s="20">
        <v>31</v>
      </c>
      <c r="F19" s="21">
        <f>+'Cantidades Producto No. 1'!A29</f>
        <v>46143</v>
      </c>
      <c r="G19" s="22">
        <f>+SUMIFS('Cantidades Producto No. 1'!$Z$25:$Z$36,'Cantidades Producto No. 1'!$A$25:$A$36,'Oferta Producto No. 1'!$F19)</f>
        <v>3269.7299450063992</v>
      </c>
      <c r="H19" s="111"/>
      <c r="I19" s="24"/>
      <c r="J19" s="108"/>
      <c r="L19" s="25"/>
      <c r="M19" s="25"/>
    </row>
    <row r="20" spans="1:13" x14ac:dyDescent="0.45">
      <c r="A20" s="27"/>
      <c r="B20" s="20">
        <v>30</v>
      </c>
      <c r="F20" s="21">
        <f>+'Cantidades Producto No. 1'!A30</f>
        <v>46174</v>
      </c>
      <c r="G20" s="22">
        <f>+SUMIFS('Cantidades Producto No. 1'!$Z$25:$Z$36,'Cantidades Producto No. 1'!$A$25:$A$36,'Oferta Producto No. 1'!$F20)</f>
        <v>3164.2547854900649</v>
      </c>
      <c r="H20" s="111"/>
      <c r="I20" s="24"/>
      <c r="J20" s="108"/>
      <c r="L20" s="25"/>
      <c r="M20" s="25"/>
    </row>
    <row r="21" spans="1:13" x14ac:dyDescent="0.45">
      <c r="A21" s="26"/>
      <c r="B21" s="20">
        <v>31</v>
      </c>
      <c r="F21" s="21">
        <f>+'Cantidades Producto No. 1'!A31</f>
        <v>46204</v>
      </c>
      <c r="G21" s="22">
        <f>+SUMIFS('Cantidades Producto No. 1'!$Z$25:$Z$36,'Cantidades Producto No. 1'!$A$25:$A$36,'Oferta Producto No. 1'!$F21)</f>
        <v>3269.7299450063992</v>
      </c>
      <c r="H21" s="111"/>
      <c r="I21" s="24"/>
      <c r="J21" s="108"/>
      <c r="L21" s="25"/>
      <c r="M21" s="25"/>
    </row>
    <row r="22" spans="1:13" x14ac:dyDescent="0.45">
      <c r="A22" s="26"/>
      <c r="B22" s="20">
        <v>31</v>
      </c>
      <c r="F22" s="21">
        <f>+'Cantidades Producto No. 1'!A32</f>
        <v>46235</v>
      </c>
      <c r="G22" s="22">
        <f>+SUMIFS('Cantidades Producto No. 1'!$Z$25:$Z$36,'Cantidades Producto No. 1'!$A$25:$A$36,'Oferta Producto No. 1'!$F22)</f>
        <v>3269.7299450063992</v>
      </c>
      <c r="H22" s="111"/>
      <c r="I22" s="24"/>
      <c r="J22" s="108"/>
      <c r="K22" s="28"/>
      <c r="L22" s="25"/>
      <c r="M22" s="25"/>
    </row>
    <row r="23" spans="1:13" x14ac:dyDescent="0.45">
      <c r="A23" s="27"/>
      <c r="B23" s="20">
        <v>30</v>
      </c>
      <c r="F23" s="21">
        <f>+'Cantidades Producto No. 1'!A33</f>
        <v>46266</v>
      </c>
      <c r="G23" s="22">
        <f>+SUMIFS('Cantidades Producto No. 1'!$Z$25:$Z$36,'Cantidades Producto No. 1'!$A$25:$A$36,'Oferta Producto No. 1'!$F23)</f>
        <v>3164.2547854900649</v>
      </c>
      <c r="H23" s="111"/>
      <c r="I23" s="24"/>
      <c r="J23" s="108"/>
      <c r="K23" s="28"/>
      <c r="L23" s="25"/>
      <c r="M23" s="25"/>
    </row>
    <row r="24" spans="1:13" x14ac:dyDescent="0.45">
      <c r="A24" s="27"/>
      <c r="B24" s="20">
        <v>31</v>
      </c>
      <c r="F24" s="21">
        <f>+'Cantidades Producto No. 1'!A34</f>
        <v>46296</v>
      </c>
      <c r="G24" s="22">
        <f>+SUMIFS('Cantidades Producto No. 1'!$Z$25:$Z$36,'Cantidades Producto No. 1'!$A$25:$A$36,'Oferta Producto No. 1'!$F24)</f>
        <v>3269.7299450063992</v>
      </c>
      <c r="H24" s="111"/>
      <c r="I24" s="24"/>
      <c r="J24" s="108"/>
      <c r="L24" s="25"/>
      <c r="M24" s="25"/>
    </row>
    <row r="25" spans="1:13" x14ac:dyDescent="0.45">
      <c r="A25" s="26"/>
      <c r="B25" s="20">
        <v>30</v>
      </c>
      <c r="F25" s="21">
        <f>+'Cantidades Producto No. 1'!A35</f>
        <v>46327</v>
      </c>
      <c r="G25" s="22">
        <f>+SUMIFS('Cantidades Producto No. 1'!$Z$25:$Z$36,'Cantidades Producto No. 1'!$A$25:$A$36,'Oferta Producto No. 1'!$F25)</f>
        <v>4395.0951993555746</v>
      </c>
      <c r="H25" s="111"/>
      <c r="I25" s="24"/>
      <c r="J25" s="108"/>
      <c r="L25" s="25"/>
      <c r="M25" s="25"/>
    </row>
    <row r="26" spans="1:13" x14ac:dyDescent="0.45">
      <c r="A26" s="26"/>
      <c r="B26" s="20">
        <v>31</v>
      </c>
      <c r="D26" s="28"/>
      <c r="E26" s="28"/>
      <c r="F26" s="21">
        <f>+'Cantidades Producto No. 1'!A36</f>
        <v>46357</v>
      </c>
      <c r="G26" s="22">
        <f>+SUMIFS('Cantidades Producto No. 1'!$Z$25:$Z$36,'Cantidades Producto No. 1'!$A$25:$A$36,'Oferta Producto No. 1'!$F26)</f>
        <v>4541.5983726674285</v>
      </c>
      <c r="H26" s="112"/>
      <c r="I26" s="24"/>
      <c r="J26" s="109"/>
      <c r="L26" s="25"/>
      <c r="M26" s="25"/>
    </row>
    <row r="27" spans="1:13" x14ac:dyDescent="0.45">
      <c r="F27" s="29" t="s">
        <v>24</v>
      </c>
      <c r="G27" s="30">
        <f>SUM(G15:G26)</f>
        <v>45924.503720451037</v>
      </c>
      <c r="H27" s="31"/>
      <c r="I27" s="31"/>
      <c r="J27" s="32"/>
    </row>
    <row r="28" spans="1:13" x14ac:dyDescent="0.45">
      <c r="F28" s="33"/>
      <c r="G28" s="34"/>
    </row>
    <row r="29" spans="1:13" x14ac:dyDescent="0.45">
      <c r="B29" s="35" t="s">
        <v>41</v>
      </c>
      <c r="C29" s="36"/>
      <c r="D29" s="36"/>
      <c r="E29" s="36"/>
      <c r="F29" s="36"/>
      <c r="G29" s="36"/>
      <c r="L29" s="36"/>
    </row>
    <row r="30" spans="1:13" x14ac:dyDescent="0.45">
      <c r="B30" s="35"/>
      <c r="C30" s="36"/>
      <c r="D30" s="36"/>
      <c r="E30" s="36"/>
      <c r="F30" s="36"/>
      <c r="G30" s="36"/>
      <c r="H30" s="36"/>
      <c r="I30" s="36"/>
      <c r="J30" s="36"/>
      <c r="K30" s="36"/>
      <c r="L30" s="36"/>
    </row>
    <row r="31" spans="1:13" ht="24.75" customHeight="1" x14ac:dyDescent="0.45">
      <c r="B31" s="102" t="s">
        <v>42</v>
      </c>
      <c r="C31" s="102"/>
      <c r="D31" s="102"/>
      <c r="E31" s="102"/>
      <c r="F31" s="102"/>
      <c r="G31" s="102"/>
      <c r="H31" s="102"/>
      <c r="I31" s="102"/>
      <c r="J31" s="102"/>
      <c r="K31" s="102"/>
      <c r="L31" s="102"/>
    </row>
    <row r="32" spans="1:13" ht="39" customHeight="1" x14ac:dyDescent="0.45">
      <c r="B32" s="102"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2" s="102"/>
      <c r="D32" s="102"/>
      <c r="E32" s="102"/>
      <c r="F32" s="102"/>
      <c r="G32" s="102"/>
      <c r="H32" s="102"/>
      <c r="I32" s="102"/>
      <c r="J32" s="102"/>
      <c r="K32" s="102"/>
      <c r="L32" s="102"/>
    </row>
    <row r="33" spans="1:12" ht="83.25" customHeight="1" x14ac:dyDescent="0.45">
      <c r="B33" s="113" t="s">
        <v>43</v>
      </c>
      <c r="C33" s="113"/>
      <c r="D33" s="113"/>
      <c r="E33" s="113"/>
      <c r="F33" s="113"/>
      <c r="G33" s="113"/>
      <c r="H33" s="113"/>
      <c r="I33" s="113"/>
      <c r="J33" s="113"/>
      <c r="K33" s="113"/>
      <c r="L33" s="113"/>
    </row>
    <row r="34" spans="1:12" ht="43.5" customHeight="1" x14ac:dyDescent="0.45">
      <c r="B34" s="113" t="s">
        <v>44</v>
      </c>
      <c r="C34" s="113"/>
      <c r="D34" s="113"/>
      <c r="E34" s="113"/>
      <c r="F34" s="113"/>
      <c r="G34" s="113"/>
      <c r="H34" s="113"/>
      <c r="I34" s="113"/>
      <c r="J34" s="113"/>
      <c r="K34" s="113"/>
      <c r="L34" s="113"/>
    </row>
    <row r="35" spans="1:12" ht="60" customHeight="1" x14ac:dyDescent="0.45">
      <c r="B35" s="113" t="s">
        <v>45</v>
      </c>
      <c r="C35" s="113"/>
      <c r="D35" s="113"/>
      <c r="E35" s="113"/>
      <c r="F35" s="113"/>
      <c r="G35" s="113"/>
      <c r="H35" s="113"/>
      <c r="I35" s="113"/>
      <c r="J35" s="113"/>
      <c r="K35" s="113"/>
      <c r="L35" s="113"/>
    </row>
    <row r="36" spans="1:12" ht="80.25" customHeight="1" x14ac:dyDescent="0.45">
      <c r="A36" s="15"/>
      <c r="B36" s="113" t="s">
        <v>46</v>
      </c>
      <c r="C36" s="113"/>
      <c r="D36" s="113"/>
      <c r="E36" s="113"/>
      <c r="F36" s="113"/>
      <c r="G36" s="113"/>
      <c r="H36" s="113"/>
      <c r="I36" s="113"/>
      <c r="J36" s="113"/>
      <c r="K36" s="113"/>
      <c r="L36" s="113"/>
    </row>
    <row r="38" spans="1:12" ht="24.75" customHeight="1" x14ac:dyDescent="0.45">
      <c r="B38" s="37"/>
      <c r="C38" s="37"/>
      <c r="D38" s="37"/>
      <c r="E38" s="37"/>
      <c r="F38" s="37"/>
      <c r="G38" s="37"/>
      <c r="H38" s="37"/>
      <c r="I38" s="37"/>
      <c r="J38" s="37"/>
      <c r="K38" s="37"/>
      <c r="L38" s="37"/>
    </row>
  </sheetData>
  <mergeCells count="12">
    <mergeCell ref="B32:L32"/>
    <mergeCell ref="B33:L33"/>
    <mergeCell ref="B34:L34"/>
    <mergeCell ref="B35:L35"/>
    <mergeCell ref="B36:L36"/>
    <mergeCell ref="B31:L31"/>
    <mergeCell ref="D2:J2"/>
    <mergeCell ref="C3:K3"/>
    <mergeCell ref="D4:J4"/>
    <mergeCell ref="F13:J13"/>
    <mergeCell ref="J15:J26"/>
    <mergeCell ref="H15:H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72E8-9A74-4B82-9EC9-25BAB75AD689}">
  <sheetPr>
    <tabColor theme="9" tint="0.39997558519241921"/>
  </sheetPr>
  <dimension ref="A1:AJ36"/>
  <sheetViews>
    <sheetView showGridLines="0" zoomScale="70" zoomScaleNormal="70" workbookViewId="0">
      <selection activeCell="Z7" sqref="Z7"/>
    </sheetView>
  </sheetViews>
  <sheetFormatPr baseColWidth="10" defaultColWidth="14.453125" defaultRowHeight="15.5" x14ac:dyDescent="0.35"/>
  <cols>
    <col min="1" max="1" width="93.1796875" style="38" bestFit="1" customWidth="1"/>
    <col min="2" max="2" width="10.7265625" style="71" bestFit="1" customWidth="1"/>
    <col min="3" max="25" width="6.453125" style="71" bestFit="1" customWidth="1"/>
    <col min="26" max="26" width="10.26953125" style="72" bestFit="1" customWidth="1"/>
    <col min="27" max="27" width="6.7265625" style="38" customWidth="1"/>
    <col min="28" max="28" width="10.7265625" style="38" bestFit="1" customWidth="1"/>
    <col min="29" max="29" width="5.26953125" style="38" customWidth="1"/>
    <col min="30" max="30" width="14.453125" style="73"/>
    <col min="31" max="16384" width="14.453125" style="38"/>
  </cols>
  <sheetData>
    <row r="1" spans="1:36" ht="93" customHeight="1" thickBot="1" x14ac:dyDescent="0.4">
      <c r="AJ1" s="38" t="s">
        <v>52</v>
      </c>
    </row>
    <row r="2" spans="1:36" ht="23" x14ac:dyDescent="0.5">
      <c r="A2" s="42" t="s">
        <v>47</v>
      </c>
    </row>
    <row r="3" spans="1:36" ht="20.5" thickBot="1" x14ac:dyDescent="0.45">
      <c r="A3" s="43" t="s">
        <v>31</v>
      </c>
    </row>
    <row r="4" spans="1:36" ht="16" thickBot="1" x14ac:dyDescent="0.4"/>
    <row r="5" spans="1:36" ht="16" thickBot="1" x14ac:dyDescent="0.4">
      <c r="A5" s="44" t="s">
        <v>53</v>
      </c>
      <c r="B5" s="74"/>
      <c r="C5" s="74"/>
      <c r="D5" s="74"/>
      <c r="E5" s="75"/>
      <c r="F5" s="74"/>
      <c r="G5" s="74"/>
      <c r="H5" s="74"/>
      <c r="I5" s="74"/>
      <c r="J5" s="74"/>
      <c r="K5" s="76"/>
      <c r="L5" s="76"/>
      <c r="M5" s="76"/>
      <c r="N5" s="76"/>
      <c r="O5" s="76"/>
      <c r="P5" s="76"/>
      <c r="Q5" s="76"/>
      <c r="R5" s="76"/>
      <c r="S5" s="76"/>
      <c r="T5" s="76"/>
      <c r="U5" s="76"/>
      <c r="V5" s="76"/>
      <c r="W5" s="76"/>
      <c r="X5" s="76"/>
      <c r="Y5" s="76"/>
      <c r="Z5" s="77"/>
      <c r="AA5"/>
      <c r="AB5" s="49"/>
    </row>
    <row r="6" spans="1:36" ht="16" thickBot="1" x14ac:dyDescent="0.4">
      <c r="A6"/>
      <c r="B6" s="74"/>
      <c r="C6" s="74"/>
      <c r="D6" s="74"/>
      <c r="E6" s="74"/>
      <c r="F6" s="74"/>
      <c r="G6" s="74"/>
      <c r="H6" s="74"/>
      <c r="I6" s="74"/>
      <c r="J6" s="74"/>
      <c r="K6" s="78"/>
      <c r="L6" s="78"/>
      <c r="M6" s="78"/>
      <c r="N6" s="78"/>
      <c r="O6" s="78"/>
      <c r="P6" s="78"/>
      <c r="Q6" s="78"/>
      <c r="R6" s="78"/>
      <c r="S6" s="78"/>
      <c r="T6" s="78"/>
      <c r="U6" s="78"/>
      <c r="V6" s="78"/>
      <c r="W6" s="78"/>
      <c r="X6" s="78"/>
      <c r="Y6" s="78"/>
      <c r="Z6" s="77"/>
      <c r="AA6"/>
      <c r="AB6"/>
    </row>
    <row r="7" spans="1:36"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row>
    <row r="8" spans="1:36" x14ac:dyDescent="0.35">
      <c r="A8" s="55">
        <v>46023</v>
      </c>
      <c r="B8" s="79">
        <v>6.1042988879938536</v>
      </c>
      <c r="C8" s="79">
        <v>6.1042988879938536</v>
      </c>
      <c r="D8" s="79">
        <v>6.1042988879938536</v>
      </c>
      <c r="E8" s="79">
        <v>6.1042988879938536</v>
      </c>
      <c r="F8" s="79">
        <v>6.1042988879938536</v>
      </c>
      <c r="G8" s="79">
        <v>6.1042988879938536</v>
      </c>
      <c r="H8" s="79">
        <v>6.1042988879938536</v>
      </c>
      <c r="I8" s="79">
        <v>6.1042988879938536</v>
      </c>
      <c r="J8" s="79">
        <v>6.1042988879938536</v>
      </c>
      <c r="K8" s="79">
        <v>6.1042988879938536</v>
      </c>
      <c r="L8" s="79">
        <v>6.1042988879938536</v>
      </c>
      <c r="M8" s="79">
        <v>6.1042988879938536</v>
      </c>
      <c r="N8" s="79">
        <v>6.1042988879938536</v>
      </c>
      <c r="O8" s="79">
        <v>6.1042988879938536</v>
      </c>
      <c r="P8" s="79">
        <v>6.1042988879938536</v>
      </c>
      <c r="Q8" s="79">
        <v>6.1042988879938536</v>
      </c>
      <c r="R8" s="79">
        <v>6.1042988879938536</v>
      </c>
      <c r="S8" s="79">
        <v>6.1042988879938536</v>
      </c>
      <c r="T8" s="79">
        <v>6.1042988879938536</v>
      </c>
      <c r="U8" s="79">
        <v>6.1042988879938536</v>
      </c>
      <c r="V8" s="79">
        <v>6.1042988879938536</v>
      </c>
      <c r="W8" s="79">
        <v>6.1042988879938536</v>
      </c>
      <c r="X8" s="79">
        <v>6.1042988879938536</v>
      </c>
      <c r="Y8" s="79">
        <v>6.1042988879938536</v>
      </c>
      <c r="Z8" s="80">
        <v>146.50317331185244</v>
      </c>
      <c r="AA8" s="58">
        <v>31</v>
      </c>
      <c r="AB8" s="59">
        <v>4541.5983726674258</v>
      </c>
      <c r="AD8" s="73" t="s">
        <v>25</v>
      </c>
    </row>
    <row r="9" spans="1:36" x14ac:dyDescent="0.35">
      <c r="A9" s="60">
        <v>46054</v>
      </c>
      <c r="B9" s="81">
        <v>6.1042988879938536</v>
      </c>
      <c r="C9" s="81">
        <v>6.1042988879938536</v>
      </c>
      <c r="D9" s="81">
        <v>6.1042988879938536</v>
      </c>
      <c r="E9" s="81">
        <v>6.1042988879938536</v>
      </c>
      <c r="F9" s="81">
        <v>6.1042988879938536</v>
      </c>
      <c r="G9" s="81">
        <v>6.1042988879938536</v>
      </c>
      <c r="H9" s="81">
        <v>6.1042988879938536</v>
      </c>
      <c r="I9" s="81">
        <v>6.1042988879938536</v>
      </c>
      <c r="J9" s="81">
        <v>6.1042988879938536</v>
      </c>
      <c r="K9" s="81">
        <v>6.1042988879938536</v>
      </c>
      <c r="L9" s="81">
        <v>6.1042988879938536</v>
      </c>
      <c r="M9" s="81">
        <v>6.1042988879938536</v>
      </c>
      <c r="N9" s="81">
        <v>6.1042988879938536</v>
      </c>
      <c r="O9" s="81">
        <v>6.1042988879938536</v>
      </c>
      <c r="P9" s="81">
        <v>6.1042988879938536</v>
      </c>
      <c r="Q9" s="81">
        <v>6.1042988879938536</v>
      </c>
      <c r="R9" s="81">
        <v>6.1042988879938536</v>
      </c>
      <c r="S9" s="81">
        <v>6.1042988879938536</v>
      </c>
      <c r="T9" s="81">
        <v>6.1042988879938536</v>
      </c>
      <c r="U9" s="81">
        <v>6.1042988879938536</v>
      </c>
      <c r="V9" s="81">
        <v>6.1042988879938536</v>
      </c>
      <c r="W9" s="81">
        <v>6.1042988879938536</v>
      </c>
      <c r="X9" s="81">
        <v>6.1042988879938536</v>
      </c>
      <c r="Y9" s="81">
        <v>6.1042988879938536</v>
      </c>
      <c r="Z9" s="82">
        <v>146.50317331185244</v>
      </c>
      <c r="AA9" s="62">
        <v>28</v>
      </c>
      <c r="AB9" s="63">
        <v>4102.0888527318684</v>
      </c>
      <c r="AD9" s="73" t="s">
        <v>25</v>
      </c>
    </row>
    <row r="10" spans="1:36" x14ac:dyDescent="0.35">
      <c r="A10" s="60">
        <v>46082</v>
      </c>
      <c r="B10" s="81">
        <v>6.1042988879938536</v>
      </c>
      <c r="C10" s="81">
        <v>6.1042988879938536</v>
      </c>
      <c r="D10" s="81">
        <v>6.1042988879938536</v>
      </c>
      <c r="E10" s="81">
        <v>6.1042988879938536</v>
      </c>
      <c r="F10" s="81">
        <v>6.1042988879938536</v>
      </c>
      <c r="G10" s="81">
        <v>6.1042988879938536</v>
      </c>
      <c r="H10" s="81">
        <v>6.1042988879938536</v>
      </c>
      <c r="I10" s="81">
        <v>6.1042988879938536</v>
      </c>
      <c r="J10" s="81">
        <v>6.1042988879938536</v>
      </c>
      <c r="K10" s="81">
        <v>6.1042988879938536</v>
      </c>
      <c r="L10" s="81">
        <v>6.1042988879938536</v>
      </c>
      <c r="M10" s="81">
        <v>6.1042988879938536</v>
      </c>
      <c r="N10" s="81">
        <v>6.1042988879938536</v>
      </c>
      <c r="O10" s="81">
        <v>6.1042988879938536</v>
      </c>
      <c r="P10" s="81">
        <v>6.1042988879938536</v>
      </c>
      <c r="Q10" s="81">
        <v>6.1042988879938536</v>
      </c>
      <c r="R10" s="81">
        <v>6.1042988879938536</v>
      </c>
      <c r="S10" s="81">
        <v>6.1042988879938536</v>
      </c>
      <c r="T10" s="81">
        <v>6.1042988879938536</v>
      </c>
      <c r="U10" s="81">
        <v>6.1042988879938536</v>
      </c>
      <c r="V10" s="81">
        <v>6.1042988879938536</v>
      </c>
      <c r="W10" s="81">
        <v>6.1042988879938536</v>
      </c>
      <c r="X10" s="81">
        <v>6.1042988879938536</v>
      </c>
      <c r="Y10" s="81">
        <v>6.1042988879938536</v>
      </c>
      <c r="Z10" s="82">
        <v>146.50317331185244</v>
      </c>
      <c r="AA10" s="62">
        <v>31</v>
      </c>
      <c r="AB10" s="63">
        <v>4541.5983726674258</v>
      </c>
      <c r="AD10" s="73" t="s">
        <v>25</v>
      </c>
    </row>
    <row r="11" spans="1:36" x14ac:dyDescent="0.35">
      <c r="A11" s="60">
        <v>46113</v>
      </c>
      <c r="B11" s="81">
        <v>6.1042988879938536</v>
      </c>
      <c r="C11" s="81">
        <v>6.1042988879938536</v>
      </c>
      <c r="D11" s="81">
        <v>6.1042988879938536</v>
      </c>
      <c r="E11" s="81">
        <v>6.1042988879938536</v>
      </c>
      <c r="F11" s="81">
        <v>6.1042988879938536</v>
      </c>
      <c r="G11" s="81">
        <v>6.1042988879938536</v>
      </c>
      <c r="H11" s="81">
        <v>6.1042988879938536</v>
      </c>
      <c r="I11" s="81">
        <v>6.1042988879938536</v>
      </c>
      <c r="J11" s="81">
        <v>6.1042988879938536</v>
      </c>
      <c r="K11" s="81">
        <v>6.1042988879938536</v>
      </c>
      <c r="L11" s="81">
        <v>6.1042988879938536</v>
      </c>
      <c r="M11" s="81">
        <v>6.1042988879938536</v>
      </c>
      <c r="N11" s="81">
        <v>6.1042988879938536</v>
      </c>
      <c r="O11" s="81">
        <v>6.1042988879938536</v>
      </c>
      <c r="P11" s="81">
        <v>6.1042988879938536</v>
      </c>
      <c r="Q11" s="81">
        <v>6.1042988879938536</v>
      </c>
      <c r="R11" s="81">
        <v>6.1042988879938536</v>
      </c>
      <c r="S11" s="81">
        <v>6.1042988879938536</v>
      </c>
      <c r="T11" s="81">
        <v>6.1042988879938536</v>
      </c>
      <c r="U11" s="81">
        <v>6.1042988879938536</v>
      </c>
      <c r="V11" s="81">
        <v>6.1042988879938536</v>
      </c>
      <c r="W11" s="81">
        <v>6.1042988879938536</v>
      </c>
      <c r="X11" s="81">
        <v>6.1042988879938536</v>
      </c>
      <c r="Y11" s="81">
        <v>6.1042988879938536</v>
      </c>
      <c r="Z11" s="82">
        <v>146.50317331185244</v>
      </c>
      <c r="AA11" s="62">
        <v>30</v>
      </c>
      <c r="AB11" s="63">
        <v>4395.0951993555727</v>
      </c>
      <c r="AD11" s="73" t="s">
        <v>25</v>
      </c>
    </row>
    <row r="12" spans="1:36" x14ac:dyDescent="0.35">
      <c r="A12" s="60">
        <v>46143</v>
      </c>
      <c r="B12" s="81">
        <v>4.3947983131806465</v>
      </c>
      <c r="C12" s="81">
        <v>4.3947983131806465</v>
      </c>
      <c r="D12" s="81">
        <v>4.3947983131806465</v>
      </c>
      <c r="E12" s="81">
        <v>4.3947983131806465</v>
      </c>
      <c r="F12" s="81">
        <v>4.3947983131806465</v>
      </c>
      <c r="G12" s="81">
        <v>4.3947983131806465</v>
      </c>
      <c r="H12" s="81">
        <v>4.3947983131806465</v>
      </c>
      <c r="I12" s="81">
        <v>4.3947983131806465</v>
      </c>
      <c r="J12" s="81">
        <v>4.3947983131806465</v>
      </c>
      <c r="K12" s="81">
        <v>4.3947983131806465</v>
      </c>
      <c r="L12" s="81">
        <v>4.3947983131806465</v>
      </c>
      <c r="M12" s="81">
        <v>4.3947983131806465</v>
      </c>
      <c r="N12" s="81">
        <v>4.3947983131806465</v>
      </c>
      <c r="O12" s="81">
        <v>4.3947983131806465</v>
      </c>
      <c r="P12" s="81">
        <v>4.3947983131806465</v>
      </c>
      <c r="Q12" s="81">
        <v>4.3947983131806465</v>
      </c>
      <c r="R12" s="81">
        <v>4.3947983131806465</v>
      </c>
      <c r="S12" s="81">
        <v>4.3947983131806465</v>
      </c>
      <c r="T12" s="81">
        <v>4.3947983131806465</v>
      </c>
      <c r="U12" s="81">
        <v>4.3947983131806465</v>
      </c>
      <c r="V12" s="81">
        <v>4.3947983131806465</v>
      </c>
      <c r="W12" s="81">
        <v>4.3947983131806465</v>
      </c>
      <c r="X12" s="81">
        <v>4.3947983131806465</v>
      </c>
      <c r="Y12" s="81">
        <v>4.3947983131806465</v>
      </c>
      <c r="Z12" s="82">
        <v>105.47515951633548</v>
      </c>
      <c r="AA12" s="62">
        <v>31</v>
      </c>
      <c r="AB12" s="63">
        <v>3269.7299450063997</v>
      </c>
      <c r="AD12" s="73" t="s">
        <v>25</v>
      </c>
    </row>
    <row r="13" spans="1:36" x14ac:dyDescent="0.35">
      <c r="A13" s="60">
        <v>46174</v>
      </c>
      <c r="B13" s="81">
        <v>4.3947983131806465</v>
      </c>
      <c r="C13" s="81">
        <v>4.3947983131806465</v>
      </c>
      <c r="D13" s="81">
        <v>4.3947983131806465</v>
      </c>
      <c r="E13" s="81">
        <v>4.3947983131806465</v>
      </c>
      <c r="F13" s="81">
        <v>4.3947983131806465</v>
      </c>
      <c r="G13" s="81">
        <v>4.3947983131806465</v>
      </c>
      <c r="H13" s="81">
        <v>4.3947983131806465</v>
      </c>
      <c r="I13" s="81">
        <v>4.3947983131806465</v>
      </c>
      <c r="J13" s="81">
        <v>4.3947983131806465</v>
      </c>
      <c r="K13" s="81">
        <v>4.3947983131806465</v>
      </c>
      <c r="L13" s="81">
        <v>4.3947983131806465</v>
      </c>
      <c r="M13" s="81">
        <v>4.3947983131806465</v>
      </c>
      <c r="N13" s="81">
        <v>4.3947983131806465</v>
      </c>
      <c r="O13" s="81">
        <v>4.3947983131806465</v>
      </c>
      <c r="P13" s="81">
        <v>4.3947983131806465</v>
      </c>
      <c r="Q13" s="81">
        <v>4.3947983131806465</v>
      </c>
      <c r="R13" s="81">
        <v>4.3947983131806465</v>
      </c>
      <c r="S13" s="81">
        <v>4.3947983131806465</v>
      </c>
      <c r="T13" s="81">
        <v>4.3947983131806465</v>
      </c>
      <c r="U13" s="81">
        <v>4.3947983131806465</v>
      </c>
      <c r="V13" s="81">
        <v>4.3947983131806465</v>
      </c>
      <c r="W13" s="81">
        <v>4.3947983131806465</v>
      </c>
      <c r="X13" s="81">
        <v>4.3947983131806465</v>
      </c>
      <c r="Y13" s="81">
        <v>4.3947983131806465</v>
      </c>
      <c r="Z13" s="82">
        <v>105.47515951633548</v>
      </c>
      <c r="AA13" s="62">
        <v>30</v>
      </c>
      <c r="AB13" s="63">
        <v>3164.2547854900645</v>
      </c>
      <c r="AD13" s="73" t="s">
        <v>25</v>
      </c>
    </row>
    <row r="14" spans="1:36" x14ac:dyDescent="0.35">
      <c r="A14" s="60">
        <v>46204</v>
      </c>
      <c r="B14" s="81">
        <v>4.3947983131806465</v>
      </c>
      <c r="C14" s="81">
        <v>4.3947983131806465</v>
      </c>
      <c r="D14" s="81">
        <v>4.3947983131806465</v>
      </c>
      <c r="E14" s="81">
        <v>4.3947983131806465</v>
      </c>
      <c r="F14" s="81">
        <v>4.3947983131806465</v>
      </c>
      <c r="G14" s="81">
        <v>4.3947983131806465</v>
      </c>
      <c r="H14" s="81">
        <v>4.3947983131806465</v>
      </c>
      <c r="I14" s="81">
        <v>4.3947983131806465</v>
      </c>
      <c r="J14" s="81">
        <v>4.3947983131806465</v>
      </c>
      <c r="K14" s="81">
        <v>4.3947983131806465</v>
      </c>
      <c r="L14" s="81">
        <v>4.3947983131806465</v>
      </c>
      <c r="M14" s="81">
        <v>4.3947983131806465</v>
      </c>
      <c r="N14" s="81">
        <v>4.3947983131806465</v>
      </c>
      <c r="O14" s="81">
        <v>4.3947983131806465</v>
      </c>
      <c r="P14" s="81">
        <v>4.3947983131806465</v>
      </c>
      <c r="Q14" s="81">
        <v>4.3947983131806465</v>
      </c>
      <c r="R14" s="81">
        <v>4.3947983131806465</v>
      </c>
      <c r="S14" s="81">
        <v>4.3947983131806465</v>
      </c>
      <c r="T14" s="81">
        <v>4.3947983131806465</v>
      </c>
      <c r="U14" s="81">
        <v>4.3947983131806465</v>
      </c>
      <c r="V14" s="81">
        <v>4.3947983131806465</v>
      </c>
      <c r="W14" s="81">
        <v>4.3947983131806465</v>
      </c>
      <c r="X14" s="81">
        <v>4.3947983131806465</v>
      </c>
      <c r="Y14" s="81">
        <v>4.3947983131806465</v>
      </c>
      <c r="Z14" s="82">
        <v>105.47515951633548</v>
      </c>
      <c r="AA14" s="62">
        <v>31</v>
      </c>
      <c r="AB14" s="63">
        <v>3269.7299450063997</v>
      </c>
      <c r="AD14" s="73" t="s">
        <v>25</v>
      </c>
    </row>
    <row r="15" spans="1:36" x14ac:dyDescent="0.35">
      <c r="A15" s="60">
        <v>46235</v>
      </c>
      <c r="B15" s="81">
        <v>4.3947983131806465</v>
      </c>
      <c r="C15" s="81">
        <v>4.3947983131806465</v>
      </c>
      <c r="D15" s="81">
        <v>4.3947983131806465</v>
      </c>
      <c r="E15" s="81">
        <v>4.3947983131806465</v>
      </c>
      <c r="F15" s="81">
        <v>4.3947983131806465</v>
      </c>
      <c r="G15" s="81">
        <v>4.3947983131806465</v>
      </c>
      <c r="H15" s="81">
        <v>4.3947983131806465</v>
      </c>
      <c r="I15" s="81">
        <v>4.3947983131806465</v>
      </c>
      <c r="J15" s="81">
        <v>4.3947983131806465</v>
      </c>
      <c r="K15" s="81">
        <v>4.3947983131806465</v>
      </c>
      <c r="L15" s="81">
        <v>4.3947983131806465</v>
      </c>
      <c r="M15" s="81">
        <v>4.3947983131806465</v>
      </c>
      <c r="N15" s="81">
        <v>4.3947983131806465</v>
      </c>
      <c r="O15" s="81">
        <v>4.3947983131806465</v>
      </c>
      <c r="P15" s="81">
        <v>4.3947983131806465</v>
      </c>
      <c r="Q15" s="81">
        <v>4.3947983131806465</v>
      </c>
      <c r="R15" s="81">
        <v>4.3947983131806465</v>
      </c>
      <c r="S15" s="81">
        <v>4.3947983131806465</v>
      </c>
      <c r="T15" s="81">
        <v>4.3947983131806465</v>
      </c>
      <c r="U15" s="81">
        <v>4.3947983131806465</v>
      </c>
      <c r="V15" s="81">
        <v>4.3947983131806465</v>
      </c>
      <c r="W15" s="81">
        <v>4.3947983131806465</v>
      </c>
      <c r="X15" s="81">
        <v>4.3947983131806465</v>
      </c>
      <c r="Y15" s="81">
        <v>4.3947983131806465</v>
      </c>
      <c r="Z15" s="82">
        <v>105.47515951633548</v>
      </c>
      <c r="AA15" s="62">
        <v>31</v>
      </c>
      <c r="AB15" s="63">
        <v>3269.7299450063997</v>
      </c>
      <c r="AD15" s="73" t="s">
        <v>25</v>
      </c>
    </row>
    <row r="16" spans="1:36" x14ac:dyDescent="0.35">
      <c r="A16" s="60">
        <v>46266</v>
      </c>
      <c r="B16" s="81">
        <v>4.3947983131806465</v>
      </c>
      <c r="C16" s="81">
        <v>4.3947983131806465</v>
      </c>
      <c r="D16" s="81">
        <v>4.3947983131806465</v>
      </c>
      <c r="E16" s="81">
        <v>4.3947983131806465</v>
      </c>
      <c r="F16" s="81">
        <v>4.3947983131806465</v>
      </c>
      <c r="G16" s="81">
        <v>4.3947983131806465</v>
      </c>
      <c r="H16" s="81">
        <v>4.3947983131806465</v>
      </c>
      <c r="I16" s="81">
        <v>4.3947983131806465</v>
      </c>
      <c r="J16" s="81">
        <v>4.3947983131806465</v>
      </c>
      <c r="K16" s="81">
        <v>4.3947983131806465</v>
      </c>
      <c r="L16" s="81">
        <v>4.3947983131806465</v>
      </c>
      <c r="M16" s="81">
        <v>4.3947983131806465</v>
      </c>
      <c r="N16" s="81">
        <v>4.3947983131806465</v>
      </c>
      <c r="O16" s="81">
        <v>4.3947983131806465</v>
      </c>
      <c r="P16" s="81">
        <v>4.3947983131806465</v>
      </c>
      <c r="Q16" s="81">
        <v>4.3947983131806465</v>
      </c>
      <c r="R16" s="81">
        <v>4.3947983131806465</v>
      </c>
      <c r="S16" s="81">
        <v>4.3947983131806465</v>
      </c>
      <c r="T16" s="81">
        <v>4.3947983131806465</v>
      </c>
      <c r="U16" s="81">
        <v>4.3947983131806465</v>
      </c>
      <c r="V16" s="81">
        <v>4.3947983131806465</v>
      </c>
      <c r="W16" s="81">
        <v>4.3947983131806465</v>
      </c>
      <c r="X16" s="81">
        <v>4.3947983131806465</v>
      </c>
      <c r="Y16" s="81">
        <v>4.3947983131806465</v>
      </c>
      <c r="Z16" s="82">
        <v>105.47515951633548</v>
      </c>
      <c r="AA16" s="62">
        <v>30</v>
      </c>
      <c r="AB16" s="63">
        <v>3164.2547854900645</v>
      </c>
      <c r="AD16" s="73" t="s">
        <v>25</v>
      </c>
    </row>
    <row r="17" spans="1:30" x14ac:dyDescent="0.35">
      <c r="A17" s="60">
        <v>46296</v>
      </c>
      <c r="B17" s="81">
        <v>4.3947983131806465</v>
      </c>
      <c r="C17" s="81">
        <v>4.3947983131806465</v>
      </c>
      <c r="D17" s="81">
        <v>4.3947983131806465</v>
      </c>
      <c r="E17" s="81">
        <v>4.3947983131806465</v>
      </c>
      <c r="F17" s="81">
        <v>4.3947983131806465</v>
      </c>
      <c r="G17" s="81">
        <v>4.3947983131806465</v>
      </c>
      <c r="H17" s="81">
        <v>4.3947983131806465</v>
      </c>
      <c r="I17" s="81">
        <v>4.3947983131806465</v>
      </c>
      <c r="J17" s="81">
        <v>4.3947983131806465</v>
      </c>
      <c r="K17" s="81">
        <v>4.3947983131806465</v>
      </c>
      <c r="L17" s="81">
        <v>4.3947983131806465</v>
      </c>
      <c r="M17" s="81">
        <v>4.3947983131806465</v>
      </c>
      <c r="N17" s="81">
        <v>4.3947983131806465</v>
      </c>
      <c r="O17" s="81">
        <v>4.3947983131806465</v>
      </c>
      <c r="P17" s="81">
        <v>4.3947983131806465</v>
      </c>
      <c r="Q17" s="81">
        <v>4.3947983131806465</v>
      </c>
      <c r="R17" s="81">
        <v>4.3947983131806465</v>
      </c>
      <c r="S17" s="81">
        <v>4.3947983131806465</v>
      </c>
      <c r="T17" s="81">
        <v>4.3947983131806465</v>
      </c>
      <c r="U17" s="81">
        <v>4.3947983131806465</v>
      </c>
      <c r="V17" s="81">
        <v>4.3947983131806465</v>
      </c>
      <c r="W17" s="81">
        <v>4.3947983131806465</v>
      </c>
      <c r="X17" s="81">
        <v>4.3947983131806465</v>
      </c>
      <c r="Y17" s="81">
        <v>4.3947983131806465</v>
      </c>
      <c r="Z17" s="82">
        <v>105.47515951633548</v>
      </c>
      <c r="AA17" s="62">
        <v>31</v>
      </c>
      <c r="AB17" s="63">
        <v>3269.7299450063997</v>
      </c>
      <c r="AD17" s="73" t="s">
        <v>25</v>
      </c>
    </row>
    <row r="18" spans="1:30" x14ac:dyDescent="0.35">
      <c r="A18" s="60">
        <v>46327</v>
      </c>
      <c r="B18" s="81">
        <v>6.1042988879938536</v>
      </c>
      <c r="C18" s="81">
        <v>6.1042988879938536</v>
      </c>
      <c r="D18" s="81">
        <v>6.1042988879938536</v>
      </c>
      <c r="E18" s="81">
        <v>6.1042988879938536</v>
      </c>
      <c r="F18" s="81">
        <v>6.1042988879938536</v>
      </c>
      <c r="G18" s="81">
        <v>6.1042988879938536</v>
      </c>
      <c r="H18" s="81">
        <v>6.1042988879938536</v>
      </c>
      <c r="I18" s="81">
        <v>6.1042988879938536</v>
      </c>
      <c r="J18" s="81">
        <v>6.1042988879938536</v>
      </c>
      <c r="K18" s="81">
        <v>6.1042988879938536</v>
      </c>
      <c r="L18" s="81">
        <v>6.1042988879938536</v>
      </c>
      <c r="M18" s="81">
        <v>6.1042988879938536</v>
      </c>
      <c r="N18" s="81">
        <v>6.1042988879938536</v>
      </c>
      <c r="O18" s="81">
        <v>6.1042988879938536</v>
      </c>
      <c r="P18" s="81">
        <v>6.1042988879938536</v>
      </c>
      <c r="Q18" s="81">
        <v>6.1042988879938536</v>
      </c>
      <c r="R18" s="81">
        <v>6.1042988879938536</v>
      </c>
      <c r="S18" s="81">
        <v>6.1042988879938536</v>
      </c>
      <c r="T18" s="81">
        <v>6.1042988879938536</v>
      </c>
      <c r="U18" s="81">
        <v>6.1042988879938536</v>
      </c>
      <c r="V18" s="81">
        <v>6.1042988879938536</v>
      </c>
      <c r="W18" s="81">
        <v>6.1042988879938536</v>
      </c>
      <c r="X18" s="81">
        <v>6.1042988879938536</v>
      </c>
      <c r="Y18" s="81">
        <v>6.1042988879938536</v>
      </c>
      <c r="Z18" s="82">
        <v>146.50317331185244</v>
      </c>
      <c r="AA18" s="62">
        <v>30</v>
      </c>
      <c r="AB18" s="63">
        <v>4395.0951993555727</v>
      </c>
      <c r="AD18" s="73" t="s">
        <v>25</v>
      </c>
    </row>
    <row r="19" spans="1:30" ht="16" thickBot="1" x14ac:dyDescent="0.4">
      <c r="A19" s="64">
        <v>46357</v>
      </c>
      <c r="B19" s="81">
        <v>6.1042988879938536</v>
      </c>
      <c r="C19" s="83">
        <v>6.1042988879938536</v>
      </c>
      <c r="D19" s="83">
        <v>6.1042988879938536</v>
      </c>
      <c r="E19" s="83">
        <v>6.1042988879938536</v>
      </c>
      <c r="F19" s="83">
        <v>6.1042988879938536</v>
      </c>
      <c r="G19" s="83">
        <v>6.1042988879938536</v>
      </c>
      <c r="H19" s="83">
        <v>6.1042988879938536</v>
      </c>
      <c r="I19" s="83">
        <v>6.1042988879938536</v>
      </c>
      <c r="J19" s="83">
        <v>6.1042988879938536</v>
      </c>
      <c r="K19" s="83">
        <v>6.1042988879938536</v>
      </c>
      <c r="L19" s="83">
        <v>6.1042988879938536</v>
      </c>
      <c r="M19" s="83">
        <v>6.1042988879938536</v>
      </c>
      <c r="N19" s="83">
        <v>6.1042988879938536</v>
      </c>
      <c r="O19" s="83">
        <v>6.1042988879938536</v>
      </c>
      <c r="P19" s="83">
        <v>6.1042988879938536</v>
      </c>
      <c r="Q19" s="83">
        <v>6.1042988879938536</v>
      </c>
      <c r="R19" s="83">
        <v>6.1042988879938536</v>
      </c>
      <c r="S19" s="83">
        <v>6.1042988879938536</v>
      </c>
      <c r="T19" s="83">
        <v>6.1042988879938536</v>
      </c>
      <c r="U19" s="83">
        <v>6.1042988879938536</v>
      </c>
      <c r="V19" s="83">
        <v>6.1042988879938536</v>
      </c>
      <c r="W19" s="83">
        <v>6.1042988879938536</v>
      </c>
      <c r="X19" s="83">
        <v>6.1042988879938536</v>
      </c>
      <c r="Y19" s="83">
        <v>6.1042988879938536</v>
      </c>
      <c r="Z19" s="84">
        <v>146.50317331185244</v>
      </c>
      <c r="AA19" s="65">
        <v>31</v>
      </c>
      <c r="AB19" s="66">
        <v>4541.5983726674258</v>
      </c>
      <c r="AD19" s="73" t="s">
        <v>25</v>
      </c>
    </row>
    <row r="20" spans="1:30" x14ac:dyDescent="0.35">
      <c r="A20"/>
      <c r="B20" s="85"/>
      <c r="C20" s="78"/>
      <c r="D20" s="78"/>
      <c r="E20" s="78"/>
      <c r="F20" s="78"/>
      <c r="G20" s="78"/>
      <c r="H20" s="78"/>
      <c r="I20" s="78"/>
      <c r="J20" s="78"/>
      <c r="K20" s="78"/>
      <c r="L20" s="78"/>
      <c r="M20" s="78"/>
      <c r="N20" s="78"/>
      <c r="O20" s="78"/>
      <c r="P20" s="78"/>
      <c r="Q20" s="78"/>
      <c r="R20" s="78"/>
      <c r="S20" s="78"/>
      <c r="T20" s="78"/>
      <c r="U20" s="78"/>
      <c r="V20" s="78"/>
      <c r="W20" s="78"/>
      <c r="X20" s="78"/>
      <c r="Y20" s="78"/>
      <c r="Z20" s="77"/>
      <c r="AA20" s="68"/>
      <c r="AB20"/>
    </row>
    <row r="21" spans="1:30" ht="16" thickBot="1" x14ac:dyDescent="0.4">
      <c r="A21"/>
      <c r="B21" s="85"/>
      <c r="C21" s="78"/>
      <c r="D21" s="78"/>
      <c r="E21" s="78"/>
      <c r="F21" s="78"/>
      <c r="G21" s="78"/>
      <c r="H21" s="78"/>
      <c r="I21" s="78"/>
      <c r="J21" s="78"/>
      <c r="K21" s="78"/>
      <c r="L21" s="78"/>
      <c r="M21" s="78"/>
      <c r="N21" s="78"/>
      <c r="O21" s="78"/>
      <c r="P21" s="78"/>
      <c r="Q21" s="78"/>
      <c r="R21" s="78"/>
      <c r="S21" s="78"/>
      <c r="T21" s="78"/>
      <c r="U21" s="78"/>
      <c r="V21" s="78"/>
      <c r="W21" s="78"/>
      <c r="X21" s="78"/>
      <c r="Y21" s="78"/>
      <c r="Z21" s="77"/>
      <c r="AA21" s="68"/>
      <c r="AB21"/>
    </row>
    <row r="22" spans="1:30" ht="16" thickBot="1" x14ac:dyDescent="0.4">
      <c r="A22" s="44" t="s">
        <v>50</v>
      </c>
      <c r="B22" s="78"/>
      <c r="C22" s="78"/>
      <c r="D22" s="78"/>
      <c r="E22" s="86"/>
      <c r="F22" s="78"/>
      <c r="G22" s="78"/>
      <c r="H22" s="78"/>
      <c r="I22" s="78"/>
      <c r="J22" s="78"/>
      <c r="K22" s="78"/>
      <c r="L22" s="78"/>
      <c r="M22" s="78"/>
      <c r="N22" s="78"/>
      <c r="O22" s="78"/>
      <c r="P22" s="78"/>
      <c r="Q22" s="78"/>
      <c r="R22" s="78"/>
      <c r="S22" s="78"/>
      <c r="T22" s="78"/>
      <c r="U22" s="78"/>
      <c r="V22" s="78"/>
      <c r="W22" s="78"/>
      <c r="X22" s="78"/>
      <c r="Y22" s="78"/>
      <c r="Z22" s="77"/>
      <c r="AA22" s="68"/>
      <c r="AB22"/>
    </row>
    <row r="23" spans="1:30" ht="16" thickBot="1" x14ac:dyDescent="0.4">
      <c r="A23"/>
      <c r="B23" s="85"/>
      <c r="C23" s="78"/>
      <c r="D23" s="78"/>
      <c r="E23" s="78"/>
      <c r="F23" s="78"/>
      <c r="G23" s="78"/>
      <c r="H23" s="78"/>
      <c r="I23" s="78"/>
      <c r="J23" s="78"/>
      <c r="K23" s="78"/>
      <c r="L23" s="78"/>
      <c r="M23" s="78"/>
      <c r="N23" s="78"/>
      <c r="O23" s="78"/>
      <c r="P23" s="78"/>
      <c r="Q23" s="78"/>
      <c r="R23" s="78"/>
      <c r="S23" s="78"/>
      <c r="T23" s="78"/>
      <c r="U23" s="78"/>
      <c r="V23" s="78"/>
      <c r="W23" s="78"/>
      <c r="X23" s="78"/>
      <c r="Y23" s="78"/>
      <c r="Z23" s="77"/>
      <c r="AA23"/>
      <c r="AB23"/>
    </row>
    <row r="24" spans="1:30" ht="16" thickBot="1" x14ac:dyDescent="0.4">
      <c r="A24" s="87" t="s">
        <v>48</v>
      </c>
      <c r="B24" s="88" t="s">
        <v>0</v>
      </c>
      <c r="C24" s="88" t="s">
        <v>1</v>
      </c>
      <c r="D24" s="88" t="s">
        <v>2</v>
      </c>
      <c r="E24" s="88" t="s">
        <v>3</v>
      </c>
      <c r="F24" s="88" t="s">
        <v>4</v>
      </c>
      <c r="G24" s="88" t="s">
        <v>5</v>
      </c>
      <c r="H24" s="88" t="s">
        <v>6</v>
      </c>
      <c r="I24" s="88" t="s">
        <v>7</v>
      </c>
      <c r="J24" s="88" t="s">
        <v>8</v>
      </c>
      <c r="K24" s="88" t="s">
        <v>9</v>
      </c>
      <c r="L24" s="88" t="s">
        <v>10</v>
      </c>
      <c r="M24" s="88" t="s">
        <v>11</v>
      </c>
      <c r="N24" s="88" t="s">
        <v>12</v>
      </c>
      <c r="O24" s="88" t="s">
        <v>13</v>
      </c>
      <c r="P24" s="88" t="s">
        <v>14</v>
      </c>
      <c r="Q24" s="88" t="s">
        <v>15</v>
      </c>
      <c r="R24" s="88" t="s">
        <v>16</v>
      </c>
      <c r="S24" s="88" t="s">
        <v>17</v>
      </c>
      <c r="T24" s="88" t="s">
        <v>18</v>
      </c>
      <c r="U24" s="88" t="s">
        <v>19</v>
      </c>
      <c r="V24" s="88" t="s">
        <v>20</v>
      </c>
      <c r="W24" s="88" t="s">
        <v>21</v>
      </c>
      <c r="X24" s="88" t="s">
        <v>22</v>
      </c>
      <c r="Y24" s="88" t="s">
        <v>23</v>
      </c>
      <c r="Z24" s="88" t="s">
        <v>24</v>
      </c>
      <c r="AA24" s="88" t="s">
        <v>49</v>
      </c>
      <c r="AB24" s="54"/>
      <c r="AD24" s="89"/>
    </row>
    <row r="25" spans="1:30" x14ac:dyDescent="0.35">
      <c r="A25" s="55">
        <v>46023</v>
      </c>
      <c r="B25" s="90">
        <v>189.23326552780946</v>
      </c>
      <c r="C25" s="90">
        <v>189.23326552780946</v>
      </c>
      <c r="D25" s="90">
        <v>189.23326552780946</v>
      </c>
      <c r="E25" s="90">
        <v>189.23326552780946</v>
      </c>
      <c r="F25" s="90">
        <v>189.23326552780946</v>
      </c>
      <c r="G25" s="90">
        <v>189.23326552780946</v>
      </c>
      <c r="H25" s="90">
        <v>189.23326552780946</v>
      </c>
      <c r="I25" s="90">
        <v>189.23326552780946</v>
      </c>
      <c r="J25" s="90">
        <v>189.23326552780946</v>
      </c>
      <c r="K25" s="90">
        <v>189.23326552780946</v>
      </c>
      <c r="L25" s="90">
        <v>189.23326552780946</v>
      </c>
      <c r="M25" s="90">
        <v>189.23326552780946</v>
      </c>
      <c r="N25" s="90">
        <v>189.23326552780946</v>
      </c>
      <c r="O25" s="90">
        <v>189.23326552780946</v>
      </c>
      <c r="P25" s="90">
        <v>189.23326552780946</v>
      </c>
      <c r="Q25" s="90">
        <v>189.23326552780946</v>
      </c>
      <c r="R25" s="90">
        <v>189.23326552780946</v>
      </c>
      <c r="S25" s="90">
        <v>189.23326552780946</v>
      </c>
      <c r="T25" s="90">
        <v>189.23326552780946</v>
      </c>
      <c r="U25" s="90">
        <v>189.23326552780946</v>
      </c>
      <c r="V25" s="90">
        <v>189.23326552780946</v>
      </c>
      <c r="W25" s="90">
        <v>189.23326552780946</v>
      </c>
      <c r="X25" s="90">
        <v>189.23326552780946</v>
      </c>
      <c r="Y25" s="90">
        <v>189.23326552780946</v>
      </c>
      <c r="Z25" s="91">
        <v>4541.5983726674285</v>
      </c>
      <c r="AA25" s="58">
        <v>31</v>
      </c>
      <c r="AB25" s="59"/>
      <c r="AD25" s="89"/>
    </row>
    <row r="26" spans="1:30" x14ac:dyDescent="0.35">
      <c r="A26" s="60">
        <v>46054</v>
      </c>
      <c r="B26" s="92">
        <v>170.92036886382789</v>
      </c>
      <c r="C26" s="92">
        <v>170.92036886382789</v>
      </c>
      <c r="D26" s="92">
        <v>170.92036886382789</v>
      </c>
      <c r="E26" s="92">
        <v>170.92036886382789</v>
      </c>
      <c r="F26" s="92">
        <v>170.92036886382789</v>
      </c>
      <c r="G26" s="92">
        <v>170.92036886382789</v>
      </c>
      <c r="H26" s="92">
        <v>170.92036886382789</v>
      </c>
      <c r="I26" s="92">
        <v>170.92036886382789</v>
      </c>
      <c r="J26" s="92">
        <v>170.92036886382789</v>
      </c>
      <c r="K26" s="92">
        <v>170.92036886382789</v>
      </c>
      <c r="L26" s="92">
        <v>170.92036886382789</v>
      </c>
      <c r="M26" s="92">
        <v>170.92036886382789</v>
      </c>
      <c r="N26" s="92">
        <v>170.92036886382789</v>
      </c>
      <c r="O26" s="92">
        <v>170.92036886382789</v>
      </c>
      <c r="P26" s="92">
        <v>170.92036886382789</v>
      </c>
      <c r="Q26" s="92">
        <v>170.92036886382789</v>
      </c>
      <c r="R26" s="92">
        <v>170.92036886382789</v>
      </c>
      <c r="S26" s="92">
        <v>170.92036886382789</v>
      </c>
      <c r="T26" s="92">
        <v>170.92036886382789</v>
      </c>
      <c r="U26" s="92">
        <v>170.92036886382789</v>
      </c>
      <c r="V26" s="92">
        <v>170.92036886382789</v>
      </c>
      <c r="W26" s="92">
        <v>170.92036886382789</v>
      </c>
      <c r="X26" s="92">
        <v>170.92036886382789</v>
      </c>
      <c r="Y26" s="92">
        <v>170.92036886382789</v>
      </c>
      <c r="Z26" s="93">
        <v>4102.0888527318721</v>
      </c>
      <c r="AA26" s="62">
        <v>28</v>
      </c>
      <c r="AB26" s="63"/>
      <c r="AD26" s="89"/>
    </row>
    <row r="27" spans="1:30" x14ac:dyDescent="0.35">
      <c r="A27" s="60">
        <v>46082</v>
      </c>
      <c r="B27" s="92">
        <v>189.23326552780946</v>
      </c>
      <c r="C27" s="92">
        <v>189.23326552780946</v>
      </c>
      <c r="D27" s="92">
        <v>189.23326552780946</v>
      </c>
      <c r="E27" s="92">
        <v>189.23326552780946</v>
      </c>
      <c r="F27" s="92">
        <v>189.23326552780946</v>
      </c>
      <c r="G27" s="92">
        <v>189.23326552780946</v>
      </c>
      <c r="H27" s="92">
        <v>189.23326552780946</v>
      </c>
      <c r="I27" s="92">
        <v>189.23326552780946</v>
      </c>
      <c r="J27" s="92">
        <v>189.23326552780946</v>
      </c>
      <c r="K27" s="92">
        <v>189.23326552780946</v>
      </c>
      <c r="L27" s="92">
        <v>189.23326552780946</v>
      </c>
      <c r="M27" s="92">
        <v>189.23326552780946</v>
      </c>
      <c r="N27" s="92">
        <v>189.23326552780946</v>
      </c>
      <c r="O27" s="92">
        <v>189.23326552780946</v>
      </c>
      <c r="P27" s="92">
        <v>189.23326552780946</v>
      </c>
      <c r="Q27" s="92">
        <v>189.23326552780946</v>
      </c>
      <c r="R27" s="92">
        <v>189.23326552780946</v>
      </c>
      <c r="S27" s="92">
        <v>189.23326552780946</v>
      </c>
      <c r="T27" s="92">
        <v>189.23326552780946</v>
      </c>
      <c r="U27" s="92">
        <v>189.23326552780946</v>
      </c>
      <c r="V27" s="92">
        <v>189.23326552780946</v>
      </c>
      <c r="W27" s="92">
        <v>189.23326552780946</v>
      </c>
      <c r="X27" s="92">
        <v>189.23326552780946</v>
      </c>
      <c r="Y27" s="92">
        <v>189.23326552780946</v>
      </c>
      <c r="Z27" s="93">
        <v>4541.5983726674285</v>
      </c>
      <c r="AA27" s="62">
        <v>31</v>
      </c>
      <c r="AB27" s="63"/>
      <c r="AD27" s="89"/>
    </row>
    <row r="28" spans="1:30" x14ac:dyDescent="0.35">
      <c r="A28" s="60">
        <v>46113</v>
      </c>
      <c r="B28" s="92">
        <v>183.12896663981562</v>
      </c>
      <c r="C28" s="92">
        <v>183.12896663981562</v>
      </c>
      <c r="D28" s="92">
        <v>183.12896663981562</v>
      </c>
      <c r="E28" s="92">
        <v>183.12896663981562</v>
      </c>
      <c r="F28" s="92">
        <v>183.12896663981562</v>
      </c>
      <c r="G28" s="92">
        <v>183.12896663981562</v>
      </c>
      <c r="H28" s="92">
        <v>183.12896663981562</v>
      </c>
      <c r="I28" s="92">
        <v>183.12896663981562</v>
      </c>
      <c r="J28" s="92">
        <v>183.12896663981562</v>
      </c>
      <c r="K28" s="92">
        <v>183.12896663981562</v>
      </c>
      <c r="L28" s="92">
        <v>183.12896663981562</v>
      </c>
      <c r="M28" s="92">
        <v>183.12896663981562</v>
      </c>
      <c r="N28" s="92">
        <v>183.12896663981562</v>
      </c>
      <c r="O28" s="92">
        <v>183.12896663981562</v>
      </c>
      <c r="P28" s="92">
        <v>183.12896663981562</v>
      </c>
      <c r="Q28" s="92">
        <v>183.12896663981562</v>
      </c>
      <c r="R28" s="92">
        <v>183.12896663981562</v>
      </c>
      <c r="S28" s="92">
        <v>183.12896663981562</v>
      </c>
      <c r="T28" s="92">
        <v>183.12896663981562</v>
      </c>
      <c r="U28" s="92">
        <v>183.12896663981562</v>
      </c>
      <c r="V28" s="92">
        <v>183.12896663981562</v>
      </c>
      <c r="W28" s="92">
        <v>183.12896663981562</v>
      </c>
      <c r="X28" s="92">
        <v>183.12896663981562</v>
      </c>
      <c r="Y28" s="92">
        <v>183.12896663981562</v>
      </c>
      <c r="Z28" s="93">
        <v>4395.0951993555746</v>
      </c>
      <c r="AA28" s="62">
        <v>30</v>
      </c>
      <c r="AB28" s="63"/>
      <c r="AD28" s="89"/>
    </row>
    <row r="29" spans="1:30" x14ac:dyDescent="0.35">
      <c r="A29" s="60">
        <v>46143</v>
      </c>
      <c r="B29" s="92">
        <v>136.23874770860004</v>
      </c>
      <c r="C29" s="92">
        <v>136.23874770860004</v>
      </c>
      <c r="D29" s="92">
        <v>136.23874770860004</v>
      </c>
      <c r="E29" s="92">
        <v>136.23874770860004</v>
      </c>
      <c r="F29" s="92">
        <v>136.23874770860004</v>
      </c>
      <c r="G29" s="92">
        <v>136.23874770860004</v>
      </c>
      <c r="H29" s="92">
        <v>136.23874770860004</v>
      </c>
      <c r="I29" s="92">
        <v>136.23874770860004</v>
      </c>
      <c r="J29" s="92">
        <v>136.23874770860004</v>
      </c>
      <c r="K29" s="92">
        <v>136.23874770860004</v>
      </c>
      <c r="L29" s="92">
        <v>136.23874770860004</v>
      </c>
      <c r="M29" s="92">
        <v>136.23874770860004</v>
      </c>
      <c r="N29" s="92">
        <v>136.23874770860004</v>
      </c>
      <c r="O29" s="92">
        <v>136.23874770860004</v>
      </c>
      <c r="P29" s="92">
        <v>136.23874770860004</v>
      </c>
      <c r="Q29" s="92">
        <v>136.23874770860004</v>
      </c>
      <c r="R29" s="92">
        <v>136.23874770860004</v>
      </c>
      <c r="S29" s="92">
        <v>136.23874770860004</v>
      </c>
      <c r="T29" s="92">
        <v>136.23874770860004</v>
      </c>
      <c r="U29" s="92">
        <v>136.23874770860004</v>
      </c>
      <c r="V29" s="92">
        <v>136.23874770860004</v>
      </c>
      <c r="W29" s="92">
        <v>136.23874770860004</v>
      </c>
      <c r="X29" s="92">
        <v>136.23874770860004</v>
      </c>
      <c r="Y29" s="92">
        <v>136.23874770860004</v>
      </c>
      <c r="Z29" s="93">
        <v>3269.7299450063992</v>
      </c>
      <c r="AA29" s="62">
        <v>31</v>
      </c>
      <c r="AB29" s="63"/>
      <c r="AD29" s="89"/>
    </row>
    <row r="30" spans="1:30" x14ac:dyDescent="0.35">
      <c r="A30" s="60">
        <v>46174</v>
      </c>
      <c r="B30" s="92">
        <v>131.8439493954194</v>
      </c>
      <c r="C30" s="92">
        <v>131.8439493954194</v>
      </c>
      <c r="D30" s="92">
        <v>131.8439493954194</v>
      </c>
      <c r="E30" s="92">
        <v>131.8439493954194</v>
      </c>
      <c r="F30" s="92">
        <v>131.8439493954194</v>
      </c>
      <c r="G30" s="92">
        <v>131.8439493954194</v>
      </c>
      <c r="H30" s="92">
        <v>131.8439493954194</v>
      </c>
      <c r="I30" s="92">
        <v>131.8439493954194</v>
      </c>
      <c r="J30" s="92">
        <v>131.8439493954194</v>
      </c>
      <c r="K30" s="92">
        <v>131.8439493954194</v>
      </c>
      <c r="L30" s="92">
        <v>131.8439493954194</v>
      </c>
      <c r="M30" s="92">
        <v>131.8439493954194</v>
      </c>
      <c r="N30" s="92">
        <v>131.8439493954194</v>
      </c>
      <c r="O30" s="92">
        <v>131.8439493954194</v>
      </c>
      <c r="P30" s="92">
        <v>131.8439493954194</v>
      </c>
      <c r="Q30" s="92">
        <v>131.8439493954194</v>
      </c>
      <c r="R30" s="92">
        <v>131.8439493954194</v>
      </c>
      <c r="S30" s="92">
        <v>131.8439493954194</v>
      </c>
      <c r="T30" s="92">
        <v>131.8439493954194</v>
      </c>
      <c r="U30" s="92">
        <v>131.8439493954194</v>
      </c>
      <c r="V30" s="92">
        <v>131.8439493954194</v>
      </c>
      <c r="W30" s="92">
        <v>131.8439493954194</v>
      </c>
      <c r="X30" s="92">
        <v>131.8439493954194</v>
      </c>
      <c r="Y30" s="92">
        <v>131.8439493954194</v>
      </c>
      <c r="Z30" s="93">
        <v>3164.2547854900649</v>
      </c>
      <c r="AA30" s="62">
        <v>30</v>
      </c>
      <c r="AB30" s="63"/>
      <c r="AD30" s="89"/>
    </row>
    <row r="31" spans="1:30" x14ac:dyDescent="0.35">
      <c r="A31" s="60">
        <v>46204</v>
      </c>
      <c r="B31" s="92">
        <v>136.23874770860004</v>
      </c>
      <c r="C31" s="92">
        <v>136.23874770860004</v>
      </c>
      <c r="D31" s="92">
        <v>136.23874770860004</v>
      </c>
      <c r="E31" s="92">
        <v>136.23874770860004</v>
      </c>
      <c r="F31" s="92">
        <v>136.23874770860004</v>
      </c>
      <c r="G31" s="92">
        <v>136.23874770860004</v>
      </c>
      <c r="H31" s="92">
        <v>136.23874770860004</v>
      </c>
      <c r="I31" s="92">
        <v>136.23874770860004</v>
      </c>
      <c r="J31" s="92">
        <v>136.23874770860004</v>
      </c>
      <c r="K31" s="92">
        <v>136.23874770860004</v>
      </c>
      <c r="L31" s="92">
        <v>136.23874770860004</v>
      </c>
      <c r="M31" s="92">
        <v>136.23874770860004</v>
      </c>
      <c r="N31" s="92">
        <v>136.23874770860004</v>
      </c>
      <c r="O31" s="92">
        <v>136.23874770860004</v>
      </c>
      <c r="P31" s="92">
        <v>136.23874770860004</v>
      </c>
      <c r="Q31" s="92">
        <v>136.23874770860004</v>
      </c>
      <c r="R31" s="92">
        <v>136.23874770860004</v>
      </c>
      <c r="S31" s="92">
        <v>136.23874770860004</v>
      </c>
      <c r="T31" s="92">
        <v>136.23874770860004</v>
      </c>
      <c r="U31" s="92">
        <v>136.23874770860004</v>
      </c>
      <c r="V31" s="92">
        <v>136.23874770860004</v>
      </c>
      <c r="W31" s="92">
        <v>136.23874770860004</v>
      </c>
      <c r="X31" s="92">
        <v>136.23874770860004</v>
      </c>
      <c r="Y31" s="92">
        <v>136.23874770860004</v>
      </c>
      <c r="Z31" s="93">
        <v>3269.7299450063992</v>
      </c>
      <c r="AA31" s="62">
        <v>31</v>
      </c>
      <c r="AB31" s="63"/>
      <c r="AD31" s="89"/>
    </row>
    <row r="32" spans="1:30" x14ac:dyDescent="0.35">
      <c r="A32" s="60">
        <v>46235</v>
      </c>
      <c r="B32" s="92">
        <v>136.23874770860004</v>
      </c>
      <c r="C32" s="92">
        <v>136.23874770860004</v>
      </c>
      <c r="D32" s="92">
        <v>136.23874770860004</v>
      </c>
      <c r="E32" s="92">
        <v>136.23874770860004</v>
      </c>
      <c r="F32" s="92">
        <v>136.23874770860004</v>
      </c>
      <c r="G32" s="92">
        <v>136.23874770860004</v>
      </c>
      <c r="H32" s="92">
        <v>136.23874770860004</v>
      </c>
      <c r="I32" s="92">
        <v>136.23874770860004</v>
      </c>
      <c r="J32" s="92">
        <v>136.23874770860004</v>
      </c>
      <c r="K32" s="92">
        <v>136.23874770860004</v>
      </c>
      <c r="L32" s="92">
        <v>136.23874770860004</v>
      </c>
      <c r="M32" s="92">
        <v>136.23874770860004</v>
      </c>
      <c r="N32" s="92">
        <v>136.23874770860004</v>
      </c>
      <c r="O32" s="92">
        <v>136.23874770860004</v>
      </c>
      <c r="P32" s="92">
        <v>136.23874770860004</v>
      </c>
      <c r="Q32" s="92">
        <v>136.23874770860004</v>
      </c>
      <c r="R32" s="92">
        <v>136.23874770860004</v>
      </c>
      <c r="S32" s="92">
        <v>136.23874770860004</v>
      </c>
      <c r="T32" s="92">
        <v>136.23874770860004</v>
      </c>
      <c r="U32" s="92">
        <v>136.23874770860004</v>
      </c>
      <c r="V32" s="92">
        <v>136.23874770860004</v>
      </c>
      <c r="W32" s="92">
        <v>136.23874770860004</v>
      </c>
      <c r="X32" s="92">
        <v>136.23874770860004</v>
      </c>
      <c r="Y32" s="92">
        <v>136.23874770860004</v>
      </c>
      <c r="Z32" s="93">
        <v>3269.7299450063992</v>
      </c>
      <c r="AA32" s="62">
        <v>31</v>
      </c>
      <c r="AB32" s="63"/>
      <c r="AD32" s="89"/>
    </row>
    <row r="33" spans="1:30" x14ac:dyDescent="0.35">
      <c r="A33" s="60">
        <v>46266</v>
      </c>
      <c r="B33" s="92">
        <v>131.8439493954194</v>
      </c>
      <c r="C33" s="92">
        <v>131.8439493954194</v>
      </c>
      <c r="D33" s="92">
        <v>131.8439493954194</v>
      </c>
      <c r="E33" s="92">
        <v>131.8439493954194</v>
      </c>
      <c r="F33" s="92">
        <v>131.8439493954194</v>
      </c>
      <c r="G33" s="92">
        <v>131.8439493954194</v>
      </c>
      <c r="H33" s="92">
        <v>131.8439493954194</v>
      </c>
      <c r="I33" s="92">
        <v>131.8439493954194</v>
      </c>
      <c r="J33" s="92">
        <v>131.8439493954194</v>
      </c>
      <c r="K33" s="92">
        <v>131.8439493954194</v>
      </c>
      <c r="L33" s="92">
        <v>131.8439493954194</v>
      </c>
      <c r="M33" s="92">
        <v>131.8439493954194</v>
      </c>
      <c r="N33" s="92">
        <v>131.8439493954194</v>
      </c>
      <c r="O33" s="92">
        <v>131.8439493954194</v>
      </c>
      <c r="P33" s="92">
        <v>131.8439493954194</v>
      </c>
      <c r="Q33" s="92">
        <v>131.8439493954194</v>
      </c>
      <c r="R33" s="92">
        <v>131.8439493954194</v>
      </c>
      <c r="S33" s="92">
        <v>131.8439493954194</v>
      </c>
      <c r="T33" s="92">
        <v>131.8439493954194</v>
      </c>
      <c r="U33" s="92">
        <v>131.8439493954194</v>
      </c>
      <c r="V33" s="92">
        <v>131.8439493954194</v>
      </c>
      <c r="W33" s="92">
        <v>131.8439493954194</v>
      </c>
      <c r="X33" s="92">
        <v>131.8439493954194</v>
      </c>
      <c r="Y33" s="92">
        <v>131.8439493954194</v>
      </c>
      <c r="Z33" s="93">
        <v>3164.2547854900649</v>
      </c>
      <c r="AA33" s="62">
        <v>30</v>
      </c>
      <c r="AB33" s="63"/>
      <c r="AD33" s="89"/>
    </row>
    <row r="34" spans="1:30" x14ac:dyDescent="0.35">
      <c r="A34" s="60">
        <v>46296</v>
      </c>
      <c r="B34" s="92">
        <v>136.23874770860004</v>
      </c>
      <c r="C34" s="92">
        <v>136.23874770860004</v>
      </c>
      <c r="D34" s="92">
        <v>136.23874770860004</v>
      </c>
      <c r="E34" s="92">
        <v>136.23874770860004</v>
      </c>
      <c r="F34" s="92">
        <v>136.23874770860004</v>
      </c>
      <c r="G34" s="92">
        <v>136.23874770860004</v>
      </c>
      <c r="H34" s="92">
        <v>136.23874770860004</v>
      </c>
      <c r="I34" s="92">
        <v>136.23874770860004</v>
      </c>
      <c r="J34" s="92">
        <v>136.23874770860004</v>
      </c>
      <c r="K34" s="92">
        <v>136.23874770860004</v>
      </c>
      <c r="L34" s="92">
        <v>136.23874770860004</v>
      </c>
      <c r="M34" s="92">
        <v>136.23874770860004</v>
      </c>
      <c r="N34" s="92">
        <v>136.23874770860004</v>
      </c>
      <c r="O34" s="92">
        <v>136.23874770860004</v>
      </c>
      <c r="P34" s="92">
        <v>136.23874770860004</v>
      </c>
      <c r="Q34" s="92">
        <v>136.23874770860004</v>
      </c>
      <c r="R34" s="92">
        <v>136.23874770860004</v>
      </c>
      <c r="S34" s="92">
        <v>136.23874770860004</v>
      </c>
      <c r="T34" s="92">
        <v>136.23874770860004</v>
      </c>
      <c r="U34" s="92">
        <v>136.23874770860004</v>
      </c>
      <c r="V34" s="92">
        <v>136.23874770860004</v>
      </c>
      <c r="W34" s="92">
        <v>136.23874770860004</v>
      </c>
      <c r="X34" s="92">
        <v>136.23874770860004</v>
      </c>
      <c r="Y34" s="92">
        <v>136.23874770860004</v>
      </c>
      <c r="Z34" s="93">
        <v>3269.7299450063992</v>
      </c>
      <c r="AA34" s="62">
        <v>31</v>
      </c>
      <c r="AB34" s="63"/>
      <c r="AD34" s="89"/>
    </row>
    <row r="35" spans="1:30" x14ac:dyDescent="0.35">
      <c r="A35" s="60">
        <v>46327</v>
      </c>
      <c r="B35" s="92">
        <v>183.12896663981562</v>
      </c>
      <c r="C35" s="92">
        <v>183.12896663981562</v>
      </c>
      <c r="D35" s="92">
        <v>183.12896663981562</v>
      </c>
      <c r="E35" s="92">
        <v>183.12896663981562</v>
      </c>
      <c r="F35" s="92">
        <v>183.12896663981562</v>
      </c>
      <c r="G35" s="92">
        <v>183.12896663981562</v>
      </c>
      <c r="H35" s="92">
        <v>183.12896663981562</v>
      </c>
      <c r="I35" s="92">
        <v>183.12896663981562</v>
      </c>
      <c r="J35" s="92">
        <v>183.12896663981562</v>
      </c>
      <c r="K35" s="92">
        <v>183.12896663981562</v>
      </c>
      <c r="L35" s="92">
        <v>183.12896663981562</v>
      </c>
      <c r="M35" s="92">
        <v>183.12896663981562</v>
      </c>
      <c r="N35" s="92">
        <v>183.12896663981562</v>
      </c>
      <c r="O35" s="92">
        <v>183.12896663981562</v>
      </c>
      <c r="P35" s="92">
        <v>183.12896663981562</v>
      </c>
      <c r="Q35" s="92">
        <v>183.12896663981562</v>
      </c>
      <c r="R35" s="92">
        <v>183.12896663981562</v>
      </c>
      <c r="S35" s="92">
        <v>183.12896663981562</v>
      </c>
      <c r="T35" s="92">
        <v>183.12896663981562</v>
      </c>
      <c r="U35" s="92">
        <v>183.12896663981562</v>
      </c>
      <c r="V35" s="92">
        <v>183.12896663981562</v>
      </c>
      <c r="W35" s="92">
        <v>183.12896663981562</v>
      </c>
      <c r="X35" s="92">
        <v>183.12896663981562</v>
      </c>
      <c r="Y35" s="92">
        <v>183.12896663981562</v>
      </c>
      <c r="Z35" s="93">
        <v>4395.0951993555746</v>
      </c>
      <c r="AA35" s="62">
        <v>30</v>
      </c>
      <c r="AB35" s="63"/>
      <c r="AD35" s="89"/>
    </row>
    <row r="36" spans="1:30" ht="16" thickBot="1" x14ac:dyDescent="0.4">
      <c r="A36" s="64">
        <v>46357</v>
      </c>
      <c r="B36" s="94">
        <v>189.23326552780946</v>
      </c>
      <c r="C36" s="94">
        <v>189.23326552780946</v>
      </c>
      <c r="D36" s="94">
        <v>189.23326552780946</v>
      </c>
      <c r="E36" s="94">
        <v>189.23326552780946</v>
      </c>
      <c r="F36" s="94">
        <v>189.23326552780946</v>
      </c>
      <c r="G36" s="94">
        <v>189.23326552780946</v>
      </c>
      <c r="H36" s="94">
        <v>189.23326552780946</v>
      </c>
      <c r="I36" s="94">
        <v>189.23326552780946</v>
      </c>
      <c r="J36" s="94">
        <v>189.23326552780946</v>
      </c>
      <c r="K36" s="94">
        <v>189.23326552780946</v>
      </c>
      <c r="L36" s="94">
        <v>189.23326552780946</v>
      </c>
      <c r="M36" s="94">
        <v>189.23326552780946</v>
      </c>
      <c r="N36" s="94">
        <v>189.23326552780946</v>
      </c>
      <c r="O36" s="94">
        <v>189.23326552780946</v>
      </c>
      <c r="P36" s="94">
        <v>189.23326552780946</v>
      </c>
      <c r="Q36" s="94">
        <v>189.23326552780946</v>
      </c>
      <c r="R36" s="94">
        <v>189.23326552780946</v>
      </c>
      <c r="S36" s="94">
        <v>189.23326552780946</v>
      </c>
      <c r="T36" s="94">
        <v>189.23326552780946</v>
      </c>
      <c r="U36" s="94">
        <v>189.23326552780946</v>
      </c>
      <c r="V36" s="94">
        <v>189.23326552780946</v>
      </c>
      <c r="W36" s="94">
        <v>189.23326552780946</v>
      </c>
      <c r="X36" s="94">
        <v>189.23326552780946</v>
      </c>
      <c r="Y36" s="94">
        <v>189.23326552780946</v>
      </c>
      <c r="Z36" s="95">
        <v>4541.5983726674285</v>
      </c>
      <c r="AA36" s="65">
        <v>31</v>
      </c>
      <c r="AB36" s="66"/>
      <c r="AD36" s="89"/>
    </row>
  </sheetData>
  <conditionalFormatting sqref="B1:Y1048576">
    <cfRule type="cellIs" dxfId="20" priority="2" operator="lessThan">
      <formula>0</formula>
    </cfRule>
  </conditionalFormatting>
  <conditionalFormatting sqref="AA8:AA19">
    <cfRule type="cellIs" dxfId="19" priority="3" operator="lessThan">
      <formula>0</formula>
    </cfRule>
  </conditionalFormatting>
  <conditionalFormatting sqref="AA25:AA36">
    <cfRule type="cellIs" dxfId="18" priority="1"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EFA5-9950-4F58-A2CC-525605AEBFDA}">
  <sheetPr>
    <tabColor theme="9" tint="0.39997558519241921"/>
  </sheetPr>
  <dimension ref="A1:M27"/>
  <sheetViews>
    <sheetView view="pageBreakPreview" zoomScale="60" zoomScaleNormal="100" zoomScalePageLayoutView="30" workbookViewId="0">
      <selection activeCell="G16" sqref="G16"/>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51</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2</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2</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2'!A16</f>
        <v>46023</v>
      </c>
      <c r="G15" s="22">
        <f>+'Cantidades Producto No. 2'!AB16</f>
        <v>10689.265143874225</v>
      </c>
      <c r="H15" s="23"/>
      <c r="I15" s="24"/>
      <c r="J15" s="97"/>
      <c r="L15" s="25"/>
      <c r="M15" s="25"/>
    </row>
    <row r="16" spans="1:13" x14ac:dyDescent="0.45">
      <c r="F16" s="29" t="s">
        <v>24</v>
      </c>
      <c r="G16" s="30">
        <f>SUM(G15:G15)</f>
        <v>10689.265143874225</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21" s="102"/>
      <c r="D21" s="102"/>
      <c r="E21" s="102"/>
      <c r="F21" s="102"/>
      <c r="G21" s="102"/>
      <c r="H21" s="102"/>
      <c r="I21" s="102"/>
      <c r="J21" s="102"/>
      <c r="K21" s="102"/>
      <c r="L21" s="102"/>
    </row>
    <row r="22" spans="1:12" ht="83.25" customHeight="1" x14ac:dyDescent="0.45">
      <c r="B22" s="113" t="s">
        <v>61</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D2:J2"/>
    <mergeCell ref="C3:K3"/>
    <mergeCell ref="D4:J4"/>
    <mergeCell ref="F13:J13"/>
    <mergeCell ref="B20:L20"/>
    <mergeCell ref="B21:L21"/>
    <mergeCell ref="B22:L22"/>
    <mergeCell ref="B23:L23"/>
    <mergeCell ref="B24:L24"/>
    <mergeCell ref="B25:L25"/>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82F2-2440-49FA-BF86-9A43702F792D}">
  <sheetPr>
    <tabColor theme="9" tint="0.39997558519241921"/>
  </sheetPr>
  <dimension ref="A1:AE19"/>
  <sheetViews>
    <sheetView showGridLines="0" zoomScale="70" zoomScaleNormal="70" workbookViewId="0">
      <selection activeCell="AD8" sqref="AD8"/>
    </sheetView>
  </sheetViews>
  <sheetFormatPr baseColWidth="10" defaultColWidth="14.453125" defaultRowHeight="15.5" x14ac:dyDescent="0.35"/>
  <cols>
    <col min="1" max="1" width="93.1796875" style="38" bestFit="1" customWidth="1"/>
    <col min="2" max="20" width="7.26953125" style="39" bestFit="1" customWidth="1"/>
    <col min="21" max="21" width="7.7265625" style="39" bestFit="1" customWidth="1"/>
    <col min="22" max="25" width="7.26953125" style="39" bestFit="1" customWidth="1"/>
    <col min="26" max="26" width="13.81640625" style="40" bestFit="1" customWidth="1"/>
    <col min="27" max="27" width="8.54296875" style="38" bestFit="1" customWidth="1"/>
    <col min="28" max="28" width="9.7265625" style="38" customWidth="1"/>
    <col min="29" max="29" width="5.26953125" style="38" customWidth="1"/>
    <col min="30" max="30" width="28.7265625" style="38"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51</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s="49"/>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c r="AC7" s="41"/>
      <c r="AD7" s="101" t="s">
        <v>59</v>
      </c>
    </row>
    <row r="8" spans="1:31" ht="16" thickBot="1" x14ac:dyDescent="0.4">
      <c r="A8" s="55">
        <v>46023</v>
      </c>
      <c r="B8" s="56">
        <v>9.2077044673811717</v>
      </c>
      <c r="C8" s="56">
        <v>7.8565914746149526</v>
      </c>
      <c r="D8" s="56">
        <v>7.1306735342865091</v>
      </c>
      <c r="E8" s="56">
        <v>6.8658199589087916</v>
      </c>
      <c r="F8" s="56">
        <v>7.3258475699535222</v>
      </c>
      <c r="G8" s="56">
        <v>8.9327812493172498</v>
      </c>
      <c r="H8" s="56">
        <v>11.643154369615262</v>
      </c>
      <c r="I8" s="56">
        <v>10.543049364141302</v>
      </c>
      <c r="J8" s="56">
        <v>13.395019163966627</v>
      </c>
      <c r="K8" s="56">
        <v>15.558158477645604</v>
      </c>
      <c r="L8" s="56">
        <v>17.640666906914408</v>
      </c>
      <c r="M8" s="56">
        <v>19.562760579866573</v>
      </c>
      <c r="N8" s="56">
        <v>19.538426791530537</v>
      </c>
      <c r="O8" s="56">
        <v>19.149647333457086</v>
      </c>
      <c r="P8" s="56">
        <v>19.55060897965426</v>
      </c>
      <c r="Q8" s="56">
        <v>19.447498753831951</v>
      </c>
      <c r="R8" s="56">
        <v>18.821080576297053</v>
      </c>
      <c r="S8" s="56">
        <v>22.087619559888115</v>
      </c>
      <c r="T8" s="56">
        <v>22.74372374392328</v>
      </c>
      <c r="U8" s="56">
        <v>23.489344116476243</v>
      </c>
      <c r="V8" s="56">
        <v>22.088883458158978</v>
      </c>
      <c r="W8" s="56">
        <v>19.876029163104885</v>
      </c>
      <c r="X8" s="56">
        <v>16.421878257605446</v>
      </c>
      <c r="Y8" s="56">
        <v>12.562399227192149</v>
      </c>
      <c r="Z8" s="57">
        <v>371.4393670777319</v>
      </c>
      <c r="AA8" s="58">
        <v>20</v>
      </c>
      <c r="AB8" s="59">
        <v>7428.7873415546383</v>
      </c>
      <c r="AC8" s="41"/>
      <c r="AD8" s="59" t="s">
        <v>25</v>
      </c>
    </row>
    <row r="9" spans="1:31" ht="16" thickBot="1" x14ac:dyDescent="0.4">
      <c r="A9" s="60">
        <v>46023</v>
      </c>
      <c r="B9" s="56">
        <v>9.4715824122104131</v>
      </c>
      <c r="C9" s="56">
        <v>8.0314914455788777</v>
      </c>
      <c r="D9" s="56">
        <v>7.1833835482690223</v>
      </c>
      <c r="E9" s="56">
        <v>6.7236147352678772</v>
      </c>
      <c r="F9" s="56">
        <v>6.8874237564202589</v>
      </c>
      <c r="G9" s="56">
        <v>7.7417268018856298</v>
      </c>
      <c r="H9" s="56">
        <v>9.7811849592592583</v>
      </c>
      <c r="I9" s="56">
        <v>8.7715977537727845</v>
      </c>
      <c r="J9" s="56">
        <v>11.791433625751841</v>
      </c>
      <c r="K9" s="56">
        <v>14.403492592615276</v>
      </c>
      <c r="L9" s="56">
        <v>16.166784850177816</v>
      </c>
      <c r="M9" s="56">
        <v>17.655531019130514</v>
      </c>
      <c r="N9" s="56">
        <v>17.848803277993206</v>
      </c>
      <c r="O9" s="56">
        <v>16.945331897684834</v>
      </c>
      <c r="P9" s="56">
        <v>16.181759503946228</v>
      </c>
      <c r="Q9" s="56">
        <v>15.863685837265967</v>
      </c>
      <c r="R9" s="56">
        <v>15.325361546538751</v>
      </c>
      <c r="S9" s="56">
        <v>19.575974042693826</v>
      </c>
      <c r="T9" s="56">
        <v>20.853721942070891</v>
      </c>
      <c r="U9" s="56">
        <v>21.423017015637832</v>
      </c>
      <c r="V9" s="56">
        <v>19.967920018380838</v>
      </c>
      <c r="W9" s="56">
        <v>17.954879779966959</v>
      </c>
      <c r="X9" s="56">
        <v>15.289561366292805</v>
      </c>
      <c r="Y9" s="56">
        <v>12.546078521888948</v>
      </c>
      <c r="Z9" s="61">
        <v>334.3853422507006</v>
      </c>
      <c r="AA9" s="58">
        <v>5</v>
      </c>
      <c r="AB9" s="63">
        <v>1671.9267112535031</v>
      </c>
      <c r="AC9" s="41"/>
      <c r="AD9" s="63" t="s">
        <v>26</v>
      </c>
    </row>
    <row r="10" spans="1:31" ht="16" thickBot="1" x14ac:dyDescent="0.4">
      <c r="A10" s="60">
        <v>46023</v>
      </c>
      <c r="B10" s="56">
        <v>9.8249971033554431</v>
      </c>
      <c r="C10" s="56">
        <v>8.395909393927159</v>
      </c>
      <c r="D10" s="56">
        <v>7.2177360174684173</v>
      </c>
      <c r="E10" s="56">
        <v>6.7502375582594789</v>
      </c>
      <c r="F10" s="56">
        <v>6.471678032232953</v>
      </c>
      <c r="G10" s="56">
        <v>6.5708516481345098</v>
      </c>
      <c r="H10" s="56">
        <v>7.2930141881915507</v>
      </c>
      <c r="I10" s="56">
        <v>4.5835492784781406</v>
      </c>
      <c r="J10" s="56">
        <v>6.3125697651155015</v>
      </c>
      <c r="K10" s="56">
        <v>8.1762613564617954</v>
      </c>
      <c r="L10" s="56">
        <v>9.7637023069655289</v>
      </c>
      <c r="M10" s="56">
        <v>11.212708779984762</v>
      </c>
      <c r="N10" s="56">
        <v>12.206335544322855</v>
      </c>
      <c r="O10" s="56">
        <v>12.306179479334478</v>
      </c>
      <c r="P10" s="56">
        <v>11.859374338332778</v>
      </c>
      <c r="Q10" s="56">
        <v>11.622991867867281</v>
      </c>
      <c r="R10" s="56">
        <v>11.524028647381284</v>
      </c>
      <c r="S10" s="56">
        <v>15.780552477717615</v>
      </c>
      <c r="T10" s="56">
        <v>17.304648172347985</v>
      </c>
      <c r="U10" s="56">
        <v>18.995514191951933</v>
      </c>
      <c r="V10" s="56">
        <v>18.498533468467748</v>
      </c>
      <c r="W10" s="56">
        <v>16.768582130296647</v>
      </c>
      <c r="X10" s="56">
        <v>14.198077579776928</v>
      </c>
      <c r="Y10" s="56">
        <v>11.609228572352473</v>
      </c>
      <c r="Z10" s="61">
        <v>265.24726189872524</v>
      </c>
      <c r="AA10" s="58">
        <v>5</v>
      </c>
      <c r="AB10" s="63">
        <v>1326.2363094936263</v>
      </c>
      <c r="AC10" s="41"/>
      <c r="AD10" s="63" t="s">
        <v>27</v>
      </c>
    </row>
    <row r="11" spans="1:31" x14ac:dyDescent="0.35">
      <c r="A11" s="60">
        <v>46023</v>
      </c>
      <c r="B11" s="56">
        <v>8.5904892288279555</v>
      </c>
      <c r="C11" s="56">
        <v>7.1849228949849735</v>
      </c>
      <c r="D11" s="56">
        <v>6.300134531047191</v>
      </c>
      <c r="E11" s="56">
        <v>5.7894050115826419</v>
      </c>
      <c r="F11" s="56">
        <v>5.7773537941734201</v>
      </c>
      <c r="G11" s="56">
        <v>6.221620892305614</v>
      </c>
      <c r="H11" s="56">
        <v>7.5194826857399484</v>
      </c>
      <c r="I11" s="56">
        <v>5.0744190827229492</v>
      </c>
      <c r="J11" s="56">
        <v>6.9514102453183542</v>
      </c>
      <c r="K11" s="56">
        <v>9.1299730221825559</v>
      </c>
      <c r="L11" s="56">
        <v>11.161487397378343</v>
      </c>
      <c r="M11" s="56">
        <v>12.755266783219351</v>
      </c>
      <c r="N11" s="56">
        <v>13.567153088043034</v>
      </c>
      <c r="O11" s="56">
        <v>13.034940736487686</v>
      </c>
      <c r="P11" s="56">
        <v>11.745179150288259</v>
      </c>
      <c r="Q11" s="56">
        <v>11.189286713716104</v>
      </c>
      <c r="R11" s="56">
        <v>11.346100627640441</v>
      </c>
      <c r="S11" s="56">
        <v>16.350443724208638</v>
      </c>
      <c r="T11" s="56">
        <v>18.06375451238749</v>
      </c>
      <c r="U11" s="56">
        <v>18.918897267636549</v>
      </c>
      <c r="V11" s="56">
        <v>17.743233844804582</v>
      </c>
      <c r="W11" s="56">
        <v>15.571009830587904</v>
      </c>
      <c r="X11" s="56">
        <v>12.603110185475172</v>
      </c>
      <c r="Y11" s="56">
        <v>9.7257063216982527</v>
      </c>
      <c r="Z11" s="61">
        <v>262.31478157245743</v>
      </c>
      <c r="AA11" s="58">
        <v>1</v>
      </c>
      <c r="AB11" s="63">
        <v>262.31478157245743</v>
      </c>
      <c r="AC11" s="41"/>
      <c r="AD11" s="63" t="s">
        <v>28</v>
      </c>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D12"/>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D13"/>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D14" s="38"/>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D15" s="38"/>
    </row>
    <row r="16" spans="1:31" s="41" customFormat="1" x14ac:dyDescent="0.35">
      <c r="A16" s="55">
        <v>46023</v>
      </c>
      <c r="B16" s="70">
        <v>289.22747615428062</v>
      </c>
      <c r="C16" s="70">
        <v>246.45375658481422</v>
      </c>
      <c r="D16" s="70">
        <v>220.91920304546457</v>
      </c>
      <c r="E16" s="70">
        <v>210.47506565739525</v>
      </c>
      <c r="F16" s="70">
        <v>219.08981413650994</v>
      </c>
      <c r="G16" s="70">
        <v>256.4401381287513</v>
      </c>
      <c r="H16" s="70">
        <v>325.75356581529923</v>
      </c>
      <c r="I16" s="70">
        <v>282.7111415268036</v>
      </c>
      <c r="J16" s="70">
        <v>365.37181047898758</v>
      </c>
      <c r="K16" s="70">
        <v>433.19191232048001</v>
      </c>
      <c r="L16" s="70">
        <v>493.62726132138317</v>
      </c>
      <c r="M16" s="70">
        <v>548.35167737612721</v>
      </c>
      <c r="N16" s="70">
        <v>554.61138303023404</v>
      </c>
      <c r="O16" s="70">
        <v>542.28544429072588</v>
      </c>
      <c r="P16" s="70">
        <v>542.96302795476845</v>
      </c>
      <c r="Q16" s="70">
        <v>537.5726503160214</v>
      </c>
      <c r="R16" s="70">
        <v>522.01466312318166</v>
      </c>
      <c r="S16" s="70">
        <v>634.88546752402806</v>
      </c>
      <c r="T16" s="70">
        <v>663.73007996294757</v>
      </c>
      <c r="U16" s="70">
        <v>690.7984356351102</v>
      </c>
      <c r="V16" s="70">
        <v>651.85317044222711</v>
      </c>
      <c r="W16" s="70">
        <v>586.70890264400362</v>
      </c>
      <c r="X16" s="70">
        <v>488.47887006793269</v>
      </c>
      <c r="Y16" s="70">
        <v>381.75022633674826</v>
      </c>
      <c r="Z16" s="57">
        <v>10689.265143874227</v>
      </c>
      <c r="AA16" s="58">
        <v>31</v>
      </c>
      <c r="AB16" s="59">
        <v>10689.265143874225</v>
      </c>
      <c r="AD16" s="38"/>
    </row>
    <row r="17" spans="1:30"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c r="AD17" s="38"/>
    </row>
    <row r="19" spans="1:30"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c r="AD19" s="38"/>
    </row>
  </sheetData>
  <conditionalFormatting sqref="B1:Y1048576">
    <cfRule type="cellIs" dxfId="17" priority="1" operator="lessThan">
      <formula>0</formula>
    </cfRule>
  </conditionalFormatting>
  <conditionalFormatting sqref="AA8:AA11">
    <cfRule type="cellIs" dxfId="16" priority="6" operator="lessThan">
      <formula>0</formula>
    </cfRule>
  </conditionalFormatting>
  <conditionalFormatting sqref="AA16">
    <cfRule type="cellIs" dxfId="15" priority="2" operator="lessThan">
      <formula>0</formula>
    </cfRule>
  </conditionalFormatting>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5594-E3E0-45C7-A3FB-FF8219C6AC63}">
  <sheetPr>
    <tabColor theme="9" tint="0.39997558519241921"/>
  </sheetPr>
  <dimension ref="A1:M38"/>
  <sheetViews>
    <sheetView view="pageBreakPreview" topLeftCell="A9" zoomScale="60" zoomScaleNormal="100" zoomScalePageLayoutView="30" workbookViewId="0">
      <selection activeCell="G21" sqref="G21"/>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30</v>
      </c>
      <c r="D3" s="104"/>
      <c r="E3" s="104"/>
      <c r="F3" s="104"/>
      <c r="G3" s="104"/>
      <c r="H3" s="104"/>
      <c r="I3" s="104"/>
      <c r="J3" s="104"/>
      <c r="K3" s="104"/>
      <c r="L3" s="2"/>
      <c r="M3" s="2"/>
    </row>
    <row r="4" spans="1:13" x14ac:dyDescent="0.45">
      <c r="A4" s="2"/>
      <c r="B4" s="2"/>
      <c r="C4" s="3"/>
      <c r="D4" s="105" t="s">
        <v>31</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1</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1</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t="e">
        <f>+#REF!</f>
        <v>#REF!</v>
      </c>
      <c r="G15" s="22" t="e">
        <f>+SUMIFS(#REF!,#REF!,'Oferta Producto Base Curva'!$F15)</f>
        <v>#REF!</v>
      </c>
      <c r="H15" s="23"/>
      <c r="I15" s="24"/>
      <c r="J15" s="107"/>
      <c r="L15" s="25"/>
      <c r="M15" s="25"/>
    </row>
    <row r="16" spans="1:13" x14ac:dyDescent="0.45">
      <c r="A16" s="26"/>
      <c r="B16" s="20">
        <v>28</v>
      </c>
      <c r="F16" s="21" t="e">
        <f>+#REF!</f>
        <v>#REF!</v>
      </c>
      <c r="G16" s="22" t="e">
        <f>+SUMIFS(#REF!,#REF!,'Oferta Producto Base Curva'!$F16)</f>
        <v>#REF!</v>
      </c>
      <c r="H16" s="23"/>
      <c r="I16" s="24"/>
      <c r="J16" s="108"/>
      <c r="L16" s="25"/>
      <c r="M16" s="25"/>
    </row>
    <row r="17" spans="1:13" x14ac:dyDescent="0.45">
      <c r="A17" s="26"/>
      <c r="B17" s="20">
        <v>31</v>
      </c>
      <c r="F17" s="21" t="e">
        <f>+#REF!</f>
        <v>#REF!</v>
      </c>
      <c r="G17" s="22" t="e">
        <f>+SUMIFS(#REF!,#REF!,'Oferta Producto Base Curva'!$F17)</f>
        <v>#REF!</v>
      </c>
      <c r="H17" s="23"/>
      <c r="I17" s="24"/>
      <c r="J17" s="108"/>
      <c r="L17" s="25"/>
      <c r="M17" s="25"/>
    </row>
    <row r="18" spans="1:13" x14ac:dyDescent="0.45">
      <c r="A18" s="26"/>
      <c r="B18" s="20">
        <v>30</v>
      </c>
      <c r="F18" s="21" t="e">
        <f>+#REF!</f>
        <v>#REF!</v>
      </c>
      <c r="G18" s="22" t="e">
        <f>+SUMIFS(#REF!,#REF!,'Oferta Producto Base Curva'!$F18)</f>
        <v>#REF!</v>
      </c>
      <c r="H18" s="23"/>
      <c r="I18" s="24"/>
      <c r="J18" s="108"/>
      <c r="L18" s="25"/>
      <c r="M18" s="25"/>
    </row>
    <row r="19" spans="1:13" x14ac:dyDescent="0.45">
      <c r="A19" s="26"/>
      <c r="B19" s="20">
        <v>31</v>
      </c>
      <c r="F19" s="21" t="e">
        <f>+#REF!</f>
        <v>#REF!</v>
      </c>
      <c r="G19" s="22" t="e">
        <f>+SUMIFS(#REF!,#REF!,'Oferta Producto Base Curva'!$F19)</f>
        <v>#REF!</v>
      </c>
      <c r="H19" s="23"/>
      <c r="I19" s="24"/>
      <c r="J19" s="108"/>
      <c r="L19" s="25"/>
      <c r="M19" s="25"/>
    </row>
    <row r="20" spans="1:13" x14ac:dyDescent="0.45">
      <c r="A20" s="27"/>
      <c r="B20" s="20">
        <v>30</v>
      </c>
      <c r="F20" s="21" t="e">
        <f>+#REF!</f>
        <v>#REF!</v>
      </c>
      <c r="G20" s="22" t="e">
        <f>+SUMIFS(#REF!,#REF!,'Oferta Producto Base Curva'!$F20)</f>
        <v>#REF!</v>
      </c>
      <c r="H20" s="23"/>
      <c r="I20" s="24"/>
      <c r="J20" s="108"/>
      <c r="L20" s="25"/>
      <c r="M20" s="25"/>
    </row>
    <row r="21" spans="1:13" x14ac:dyDescent="0.45">
      <c r="A21" s="26"/>
      <c r="B21" s="20">
        <v>31</v>
      </c>
      <c r="F21" s="21" t="e">
        <f>+#REF!</f>
        <v>#REF!</v>
      </c>
      <c r="G21" s="22" t="e">
        <f>+SUMIFS(#REF!,#REF!,'Oferta Producto Base Curva'!$F21)</f>
        <v>#REF!</v>
      </c>
      <c r="H21" s="23"/>
      <c r="I21" s="24"/>
      <c r="J21" s="108"/>
      <c r="L21" s="25"/>
      <c r="M21" s="25"/>
    </row>
    <row r="22" spans="1:13" x14ac:dyDescent="0.45">
      <c r="A22" s="26"/>
      <c r="B22" s="20">
        <v>31</v>
      </c>
      <c r="F22" s="21" t="e">
        <f>+#REF!</f>
        <v>#REF!</v>
      </c>
      <c r="G22" s="22" t="e">
        <f>+SUMIFS(#REF!,#REF!,'Oferta Producto Base Curva'!$F22)</f>
        <v>#REF!</v>
      </c>
      <c r="H22" s="23"/>
      <c r="I22" s="24"/>
      <c r="J22" s="108"/>
      <c r="K22" s="28"/>
      <c r="L22" s="25"/>
      <c r="M22" s="25"/>
    </row>
    <row r="23" spans="1:13" x14ac:dyDescent="0.45">
      <c r="A23" s="27"/>
      <c r="B23" s="20">
        <v>30</v>
      </c>
      <c r="F23" s="21" t="e">
        <f>+#REF!</f>
        <v>#REF!</v>
      </c>
      <c r="G23" s="22" t="e">
        <f>+SUMIFS(#REF!,#REF!,'Oferta Producto Base Curva'!$F23)</f>
        <v>#REF!</v>
      </c>
      <c r="H23" s="23"/>
      <c r="I23" s="24"/>
      <c r="J23" s="108"/>
      <c r="K23" s="28"/>
      <c r="L23" s="25"/>
      <c r="M23" s="25"/>
    </row>
    <row r="24" spans="1:13" x14ac:dyDescent="0.45">
      <c r="A24" s="27"/>
      <c r="B24" s="20">
        <v>31</v>
      </c>
      <c r="F24" s="21" t="e">
        <f>+#REF!</f>
        <v>#REF!</v>
      </c>
      <c r="G24" s="22" t="e">
        <f>+SUMIFS(#REF!,#REF!,'Oferta Producto Base Curva'!$F24)</f>
        <v>#REF!</v>
      </c>
      <c r="H24" s="23"/>
      <c r="I24" s="24"/>
      <c r="J24" s="108"/>
      <c r="L24" s="25"/>
      <c r="M24" s="25"/>
    </row>
    <row r="25" spans="1:13" x14ac:dyDescent="0.45">
      <c r="A25" s="26"/>
      <c r="B25" s="20">
        <v>30</v>
      </c>
      <c r="F25" s="21" t="e">
        <f>+#REF!</f>
        <v>#REF!</v>
      </c>
      <c r="G25" s="22" t="e">
        <f>+SUMIFS(#REF!,#REF!,'Oferta Producto Base Curva'!$F25)</f>
        <v>#REF!</v>
      </c>
      <c r="H25" s="23"/>
      <c r="I25" s="24"/>
      <c r="J25" s="108"/>
      <c r="L25" s="25"/>
      <c r="M25" s="25"/>
    </row>
    <row r="26" spans="1:13" x14ac:dyDescent="0.45">
      <c r="A26" s="26"/>
      <c r="B26" s="20">
        <v>31</v>
      </c>
      <c r="D26" s="28"/>
      <c r="E26" s="28"/>
      <c r="F26" s="21" t="e">
        <f>+#REF!</f>
        <v>#REF!</v>
      </c>
      <c r="G26" s="22" t="e">
        <f>+SUMIFS(#REF!,#REF!,'Oferta Producto Base Curva'!$F26)</f>
        <v>#REF!</v>
      </c>
      <c r="H26" s="23"/>
      <c r="I26" s="24"/>
      <c r="J26" s="109"/>
      <c r="L26" s="25"/>
      <c r="M26" s="25"/>
    </row>
    <row r="27" spans="1:13" x14ac:dyDescent="0.45">
      <c r="F27" s="29" t="s">
        <v>24</v>
      </c>
      <c r="G27" s="30" t="e">
        <f>SUM(G15:G26)</f>
        <v>#REF!</v>
      </c>
      <c r="H27" s="31"/>
      <c r="I27" s="31"/>
      <c r="J27" s="32"/>
    </row>
    <row r="28" spans="1:13" x14ac:dyDescent="0.45">
      <c r="F28" s="33"/>
      <c r="G28" s="34"/>
    </row>
    <row r="29" spans="1:13" x14ac:dyDescent="0.45">
      <c r="B29" s="35" t="s">
        <v>41</v>
      </c>
      <c r="C29" s="36"/>
      <c r="D29" s="36"/>
      <c r="E29" s="36"/>
      <c r="F29" s="36"/>
      <c r="G29" s="36"/>
      <c r="L29" s="36"/>
    </row>
    <row r="30" spans="1:13" x14ac:dyDescent="0.45">
      <c r="B30" s="35"/>
      <c r="C30" s="36"/>
      <c r="D30" s="36"/>
      <c r="E30" s="36"/>
      <c r="F30" s="36"/>
      <c r="G30" s="36"/>
      <c r="H30" s="36"/>
      <c r="I30" s="36"/>
      <c r="J30" s="36"/>
      <c r="K30" s="36"/>
      <c r="L30" s="36"/>
    </row>
    <row r="31" spans="1:13" ht="24.75" customHeight="1" x14ac:dyDescent="0.45">
      <c r="B31" s="102" t="s">
        <v>42</v>
      </c>
      <c r="C31" s="102"/>
      <c r="D31" s="102"/>
      <c r="E31" s="102"/>
      <c r="F31" s="102"/>
      <c r="G31" s="102"/>
      <c r="H31" s="102"/>
      <c r="I31" s="102"/>
      <c r="J31" s="102"/>
      <c r="K31" s="102"/>
      <c r="L31" s="102"/>
    </row>
    <row r="32" spans="1:13" ht="39" customHeight="1" x14ac:dyDescent="0.45">
      <c r="B32" s="102"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2" s="102"/>
      <c r="D32" s="102"/>
      <c r="E32" s="102"/>
      <c r="F32" s="102"/>
      <c r="G32" s="102"/>
      <c r="H32" s="102"/>
      <c r="I32" s="102"/>
      <c r="J32" s="102"/>
      <c r="K32" s="102"/>
      <c r="L32" s="102"/>
    </row>
    <row r="33" spans="1:12" ht="83.25" customHeight="1" x14ac:dyDescent="0.45">
      <c r="B33" s="113" t="s">
        <v>43</v>
      </c>
      <c r="C33" s="113"/>
      <c r="D33" s="113"/>
      <c r="E33" s="113"/>
      <c r="F33" s="113"/>
      <c r="G33" s="113"/>
      <c r="H33" s="113"/>
      <c r="I33" s="113"/>
      <c r="J33" s="113"/>
      <c r="K33" s="113"/>
      <c r="L33" s="113"/>
    </row>
    <row r="34" spans="1:12" ht="43.5" customHeight="1" x14ac:dyDescent="0.45">
      <c r="B34" s="113" t="s">
        <v>44</v>
      </c>
      <c r="C34" s="113"/>
      <c r="D34" s="113"/>
      <c r="E34" s="113"/>
      <c r="F34" s="113"/>
      <c r="G34" s="113"/>
      <c r="H34" s="113"/>
      <c r="I34" s="113"/>
      <c r="J34" s="113"/>
      <c r="K34" s="113"/>
      <c r="L34" s="113"/>
    </row>
    <row r="35" spans="1:12" ht="60" customHeight="1" x14ac:dyDescent="0.45">
      <c r="B35" s="113" t="s">
        <v>45</v>
      </c>
      <c r="C35" s="113"/>
      <c r="D35" s="113"/>
      <c r="E35" s="113"/>
      <c r="F35" s="113"/>
      <c r="G35" s="113"/>
      <c r="H35" s="113"/>
      <c r="I35" s="113"/>
      <c r="J35" s="113"/>
      <c r="K35" s="113"/>
      <c r="L35" s="113"/>
    </row>
    <row r="36" spans="1:12" ht="80.25" customHeight="1" x14ac:dyDescent="0.45">
      <c r="A36" s="15"/>
      <c r="B36" s="113" t="s">
        <v>46</v>
      </c>
      <c r="C36" s="113"/>
      <c r="D36" s="113"/>
      <c r="E36" s="113"/>
      <c r="F36" s="113"/>
      <c r="G36" s="113"/>
      <c r="H36" s="113"/>
      <c r="I36" s="113"/>
      <c r="J36" s="113"/>
      <c r="K36" s="113"/>
      <c r="L36" s="113"/>
    </row>
    <row r="38" spans="1:12" ht="24.75" customHeight="1" x14ac:dyDescent="0.45">
      <c r="B38" s="37"/>
      <c r="C38" s="37"/>
      <c r="D38" s="37"/>
      <c r="E38" s="37"/>
      <c r="F38" s="37"/>
      <c r="G38" s="37"/>
      <c r="H38" s="37"/>
      <c r="I38" s="37"/>
      <c r="J38" s="37"/>
      <c r="K38" s="37"/>
      <c r="L38" s="37"/>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7E6D-BC22-41E9-A715-F57EDB9564F6}">
  <sheetPr>
    <tabColor theme="9" tint="0.39997558519241921"/>
  </sheetPr>
  <dimension ref="A1:M27"/>
  <sheetViews>
    <sheetView view="pageBreakPreview" zoomScale="60" zoomScaleNormal="100" zoomScalePageLayoutView="30" workbookViewId="0">
      <selection activeCell="B21" sqref="B21:L21"/>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55</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3</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3</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3'!A16</f>
        <v>46054</v>
      </c>
      <c r="G15" s="22">
        <f>+'Cantidades Producto No. 3'!AB16</f>
        <v>9801.7494768010365</v>
      </c>
      <c r="H15" s="23"/>
      <c r="I15" s="24"/>
      <c r="J15" s="97"/>
      <c r="L15" s="25"/>
      <c r="M15" s="25"/>
    </row>
    <row r="16" spans="1:13" x14ac:dyDescent="0.45">
      <c r="F16" s="29" t="s">
        <v>24</v>
      </c>
      <c r="G16" s="30">
        <f>SUM(G15:G15)</f>
        <v>9801.7494768010365</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21" s="102"/>
      <c r="D21" s="102"/>
      <c r="E21" s="102"/>
      <c r="F21" s="102"/>
      <c r="G21" s="102"/>
      <c r="H21" s="102"/>
      <c r="I21" s="102"/>
      <c r="J21" s="102"/>
      <c r="K21" s="102"/>
      <c r="L21" s="102"/>
    </row>
    <row r="22" spans="1:12" ht="83.25" customHeight="1" x14ac:dyDescent="0.45">
      <c r="B22" s="113" t="s">
        <v>62</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9FF5-3E54-43F9-AA1D-066694F28787}">
  <sheetPr>
    <tabColor theme="9" tint="0.39997558519241921"/>
  </sheetPr>
  <dimension ref="A1:AE19"/>
  <sheetViews>
    <sheetView showGridLines="0" zoomScale="70" zoomScaleNormal="70" workbookViewId="0">
      <selection activeCell="B7" sqref="B7"/>
    </sheetView>
  </sheetViews>
  <sheetFormatPr baseColWidth="10" defaultColWidth="14.453125" defaultRowHeight="15.5" x14ac:dyDescent="0.35"/>
  <cols>
    <col min="1" max="1" width="93.1796875" style="38" bestFit="1" customWidth="1"/>
    <col min="2" max="2" width="8" style="39" bestFit="1" customWidth="1"/>
    <col min="3" max="10" width="8.453125" style="39" bestFit="1" customWidth="1"/>
    <col min="11" max="11" width="9.453125" style="39" bestFit="1" customWidth="1"/>
    <col min="12" max="12" width="9" style="39" bestFit="1" customWidth="1"/>
    <col min="13" max="20" width="9.453125" style="39" bestFit="1" customWidth="1"/>
    <col min="21" max="21" width="10" style="39" bestFit="1" customWidth="1"/>
    <col min="22" max="22" width="9.453125" style="39" bestFit="1" customWidth="1"/>
    <col min="23" max="25" width="10" style="39" bestFit="1" customWidth="1"/>
    <col min="26" max="26" width="13.81640625" style="40" bestFit="1" customWidth="1"/>
    <col min="27" max="27" width="8.54296875" style="38" bestFit="1" customWidth="1"/>
    <col min="28" max="28" width="9.7265625" style="38" customWidth="1"/>
    <col min="29" max="29" width="5.26953125" style="38" customWidth="1"/>
    <col min="30" max="30" width="31" style="38"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55</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s="49"/>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100" t="s">
        <v>49</v>
      </c>
      <c r="AB7" s="54"/>
      <c r="AD7" s="101" t="s">
        <v>59</v>
      </c>
      <c r="AE7" s="73"/>
    </row>
    <row r="8" spans="1:31" x14ac:dyDescent="0.35">
      <c r="A8" s="55">
        <v>46054</v>
      </c>
      <c r="B8" s="56">
        <v>8.8775662163197087</v>
      </c>
      <c r="C8" s="56">
        <v>7.6612599220615474</v>
      </c>
      <c r="D8" s="56">
        <v>6.9991901511649441</v>
      </c>
      <c r="E8" s="56">
        <v>6.8099751833121074</v>
      </c>
      <c r="F8" s="56">
        <v>7.487400908140839</v>
      </c>
      <c r="G8" s="56">
        <v>10.117835219419266</v>
      </c>
      <c r="H8" s="56">
        <v>13.125506147911826</v>
      </c>
      <c r="I8" s="56">
        <v>11.59907045282768</v>
      </c>
      <c r="J8" s="56">
        <v>13.995179020938439</v>
      </c>
      <c r="K8" s="56">
        <v>15.897988064826775</v>
      </c>
      <c r="L8" s="56">
        <v>17.848020749712344</v>
      </c>
      <c r="M8" s="56">
        <v>19.576144362323799</v>
      </c>
      <c r="N8" s="56">
        <v>18.946474984481434</v>
      </c>
      <c r="O8" s="56">
        <v>18.848407295571985</v>
      </c>
      <c r="P8" s="56">
        <v>19.529386042260562</v>
      </c>
      <c r="Q8" s="56">
        <v>19.591390520214929</v>
      </c>
      <c r="R8" s="56">
        <v>19.018975760898869</v>
      </c>
      <c r="S8" s="56">
        <v>21.481437900951754</v>
      </c>
      <c r="T8" s="56">
        <v>21.402007189228922</v>
      </c>
      <c r="U8" s="56">
        <v>22.595745171459701</v>
      </c>
      <c r="V8" s="56">
        <v>21.575036349345265</v>
      </c>
      <c r="W8" s="56">
        <v>19.363445933632242</v>
      </c>
      <c r="X8" s="56">
        <v>15.778668983985026</v>
      </c>
      <c r="Y8" s="56">
        <v>12.004781821897803</v>
      </c>
      <c r="Z8" s="57">
        <v>370.13089435288776</v>
      </c>
      <c r="AA8" s="62">
        <v>20</v>
      </c>
      <c r="AB8" s="59">
        <v>7402.6178870577551</v>
      </c>
      <c r="AD8" s="59" t="s">
        <v>25</v>
      </c>
      <c r="AE8" s="73"/>
    </row>
    <row r="9" spans="1:31" x14ac:dyDescent="0.35">
      <c r="A9" s="60">
        <v>46054</v>
      </c>
      <c r="B9" s="56">
        <v>9.0421258348938967</v>
      </c>
      <c r="C9" s="56">
        <v>7.7385717307845798</v>
      </c>
      <c r="D9" s="56">
        <v>6.9925512730510118</v>
      </c>
      <c r="E9" s="56">
        <v>6.6096146811271348</v>
      </c>
      <c r="F9" s="56">
        <v>6.8226086050658585</v>
      </c>
      <c r="G9" s="56">
        <v>7.9804071996573143</v>
      </c>
      <c r="H9" s="56">
        <v>10.380040637793183</v>
      </c>
      <c r="I9" s="56">
        <v>9.4559296488152498</v>
      </c>
      <c r="J9" s="56">
        <v>12.387039905612266</v>
      </c>
      <c r="K9" s="56">
        <v>14.551030699805869</v>
      </c>
      <c r="L9" s="56">
        <v>16.288448659320437</v>
      </c>
      <c r="M9" s="56">
        <v>17.381595278984221</v>
      </c>
      <c r="N9" s="56">
        <v>17.352039467477425</v>
      </c>
      <c r="O9" s="56">
        <v>16.739945577501263</v>
      </c>
      <c r="P9" s="56">
        <v>16.221071428594467</v>
      </c>
      <c r="Q9" s="56">
        <v>15.908088811460013</v>
      </c>
      <c r="R9" s="56">
        <v>15.561644476551901</v>
      </c>
      <c r="S9" s="56">
        <v>19.2138775755325</v>
      </c>
      <c r="T9" s="56">
        <v>19.827934871232628</v>
      </c>
      <c r="U9" s="56">
        <v>21.209524520455137</v>
      </c>
      <c r="V9" s="56">
        <v>19.897980543127598</v>
      </c>
      <c r="W9" s="56">
        <v>18.054888738813492</v>
      </c>
      <c r="X9" s="56">
        <v>15.379822668948739</v>
      </c>
      <c r="Y9" s="56">
        <v>12.708524697278936</v>
      </c>
      <c r="Z9" s="61">
        <v>333.70530753188507</v>
      </c>
      <c r="AA9" s="62">
        <v>4</v>
      </c>
      <c r="AB9" s="63">
        <v>1334.8212301275403</v>
      </c>
      <c r="AD9" s="63" t="s">
        <v>26</v>
      </c>
      <c r="AE9" s="73"/>
    </row>
    <row r="10" spans="1:31" x14ac:dyDescent="0.35">
      <c r="A10" s="60">
        <v>46054</v>
      </c>
      <c r="B10" s="56">
        <v>9.52880876477181</v>
      </c>
      <c r="C10" s="56">
        <v>8.082064084118489</v>
      </c>
      <c r="D10" s="56">
        <v>7.0479857186298274</v>
      </c>
      <c r="E10" s="56">
        <v>6.491704659370213</v>
      </c>
      <c r="F10" s="56">
        <v>6.4116493379235715</v>
      </c>
      <c r="G10" s="56">
        <v>6.8010338980669287</v>
      </c>
      <c r="H10" s="56">
        <v>7.8708738103233724</v>
      </c>
      <c r="I10" s="56">
        <v>5.6820072611727328</v>
      </c>
      <c r="J10" s="56">
        <v>7.7927637670198049</v>
      </c>
      <c r="K10" s="56">
        <v>9.797637476656087</v>
      </c>
      <c r="L10" s="56">
        <v>11.023002615869522</v>
      </c>
      <c r="M10" s="56">
        <v>12.329655153774791</v>
      </c>
      <c r="N10" s="56">
        <v>12.959812166017302</v>
      </c>
      <c r="O10" s="56">
        <v>12.645146413460516</v>
      </c>
      <c r="P10" s="56">
        <v>11.897323548646545</v>
      </c>
      <c r="Q10" s="56">
        <v>11.409137220078778</v>
      </c>
      <c r="R10" s="56">
        <v>11.105335761331681</v>
      </c>
      <c r="S10" s="56">
        <v>15.247684275723234</v>
      </c>
      <c r="T10" s="56">
        <v>16.067547157219941</v>
      </c>
      <c r="U10" s="56">
        <v>18.646158645706581</v>
      </c>
      <c r="V10" s="56">
        <v>18.05375906786027</v>
      </c>
      <c r="W10" s="56">
        <v>16.10790753325637</v>
      </c>
      <c r="X10" s="56">
        <v>13.041784438036087</v>
      </c>
      <c r="Y10" s="56">
        <v>10.036807128901131</v>
      </c>
      <c r="Z10" s="61">
        <v>266.07758990393552</v>
      </c>
      <c r="AA10" s="62">
        <v>4</v>
      </c>
      <c r="AB10" s="63">
        <v>1064.3103596157421</v>
      </c>
      <c r="AD10" s="63" t="s">
        <v>27</v>
      </c>
      <c r="AE10" s="73"/>
    </row>
    <row r="11" spans="1:31" x14ac:dyDescent="0.35">
      <c r="A11" s="60">
        <v>46054</v>
      </c>
      <c r="B11" s="56">
        <v>14.264457251251228</v>
      </c>
      <c r="C11" s="56">
        <v>12.279731924805226</v>
      </c>
      <c r="D11" s="56">
        <v>10.910323892964326</v>
      </c>
      <c r="E11" s="56">
        <v>10.145596292429641</v>
      </c>
      <c r="F11" s="56">
        <v>10.009263530079741</v>
      </c>
      <c r="G11" s="56">
        <v>10.362683278787626</v>
      </c>
      <c r="H11" s="56">
        <v>11.193156825181697</v>
      </c>
      <c r="I11" s="56">
        <v>9.2658467915434919</v>
      </c>
      <c r="J11" s="56">
        <v>12.158414880953362</v>
      </c>
      <c r="K11" s="56">
        <v>14.865655329514938</v>
      </c>
      <c r="L11" s="56">
        <v>16.659593928761907</v>
      </c>
      <c r="M11" s="56">
        <v>18.393224245030655</v>
      </c>
      <c r="N11" s="56">
        <v>19.194368746594776</v>
      </c>
      <c r="O11" s="56">
        <v>18.728199434493877</v>
      </c>
      <c r="P11" s="56">
        <v>17.65935728586614</v>
      </c>
      <c r="Q11" s="56">
        <v>16.957464800524019</v>
      </c>
      <c r="R11" s="56">
        <v>16.526991062075783</v>
      </c>
      <c r="S11" s="56">
        <v>21.472557071647806</v>
      </c>
      <c r="T11" s="56">
        <v>23.794006413464736</v>
      </c>
      <c r="U11" s="56">
        <v>27.081186983375254</v>
      </c>
      <c r="V11" s="56">
        <v>26.31104748135612</v>
      </c>
      <c r="W11" s="56">
        <v>23.740457202982292</v>
      </c>
      <c r="X11" s="56">
        <v>19.520493133719782</v>
      </c>
      <c r="Y11" s="56">
        <v>15.350775395477951</v>
      </c>
      <c r="Z11" s="61">
        <v>396.84485318288239</v>
      </c>
      <c r="AA11" s="62">
        <v>0</v>
      </c>
      <c r="AB11" s="63">
        <v>0</v>
      </c>
      <c r="AD11" s="63" t="s">
        <v>28</v>
      </c>
      <c r="AE11" s="73"/>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C12" s="38"/>
      <c r="AD12"/>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C13" s="38"/>
      <c r="AD13"/>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C14" s="38"/>
      <c r="AD14" s="38"/>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C15" s="38"/>
      <c r="AD15" s="38"/>
    </row>
    <row r="16" spans="1:31" s="41" customFormat="1" x14ac:dyDescent="0.35">
      <c r="A16" s="55">
        <v>46054</v>
      </c>
      <c r="B16" s="70">
        <v>251.83506272505699</v>
      </c>
      <c r="C16" s="70">
        <v>216.50774170084321</v>
      </c>
      <c r="D16" s="70">
        <v>196.14595099002224</v>
      </c>
      <c r="E16" s="70">
        <v>188.60478102823154</v>
      </c>
      <c r="F16" s="70">
        <v>202.6850499347745</v>
      </c>
      <c r="G16" s="70">
        <v>261.48246877928227</v>
      </c>
      <c r="H16" s="70">
        <v>335.51378075070278</v>
      </c>
      <c r="I16" s="70">
        <v>292.5331566965055</v>
      </c>
      <c r="J16" s="70">
        <v>360.6227951092971</v>
      </c>
      <c r="K16" s="70">
        <v>415.3544340023833</v>
      </c>
      <c r="L16" s="70">
        <v>466.20622009500676</v>
      </c>
      <c r="M16" s="70">
        <v>510.36788897751205</v>
      </c>
      <c r="N16" s="70">
        <v>500.17690622360755</v>
      </c>
      <c r="O16" s="70">
        <v>494.50851387528678</v>
      </c>
      <c r="P16" s="70">
        <v>503.06130075417531</v>
      </c>
      <c r="Q16" s="70">
        <v>501.09671453045377</v>
      </c>
      <c r="R16" s="70">
        <v>487.04743616951168</v>
      </c>
      <c r="S16" s="70">
        <v>567.47500542405805</v>
      </c>
      <c r="T16" s="70">
        <v>571.62207189838875</v>
      </c>
      <c r="U16" s="70">
        <v>611.33763609384084</v>
      </c>
      <c r="V16" s="70">
        <v>583.30768543085674</v>
      </c>
      <c r="W16" s="70">
        <v>523.92010376092435</v>
      </c>
      <c r="X16" s="70">
        <v>429.2598081076398</v>
      </c>
      <c r="Y16" s="70">
        <v>331.0769637426763</v>
      </c>
      <c r="Z16" s="57">
        <v>9801.7494768010365</v>
      </c>
      <c r="AA16" s="58">
        <v>28</v>
      </c>
      <c r="AB16" s="59">
        <v>9801.7494768010365</v>
      </c>
      <c r="AC16" s="99">
        <v>0</v>
      </c>
      <c r="AD16" s="38"/>
    </row>
    <row r="17" spans="1:30"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c r="AD17" s="38"/>
    </row>
    <row r="19" spans="1:30"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c r="AD19" s="38"/>
    </row>
  </sheetData>
  <conditionalFormatting sqref="B1:Y1048576">
    <cfRule type="cellIs" dxfId="14" priority="1" operator="lessThan">
      <formula>0</formula>
    </cfRule>
  </conditionalFormatting>
  <conditionalFormatting sqref="AA8:AA11">
    <cfRule type="cellIs" dxfId="13" priority="3" operator="lessThan">
      <formula>0</formula>
    </cfRule>
  </conditionalFormatting>
  <conditionalFormatting sqref="AA16">
    <cfRule type="cellIs" dxfId="12" priority="2" operator="lessThan">
      <formula>0</formula>
    </cfRule>
  </conditionalFormatting>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6254-C80D-4677-B194-5735ED7F8C32}">
  <sheetPr>
    <tabColor theme="9" tint="0.39997558519241921"/>
  </sheetPr>
  <dimension ref="A1:M27"/>
  <sheetViews>
    <sheetView view="pageBreakPreview" zoomScale="60" zoomScaleNormal="100" zoomScalePageLayoutView="30" workbookViewId="0">
      <selection activeCell="B20" sqref="B20:L20"/>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56</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4</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4</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4'!A16</f>
        <v>46082</v>
      </c>
      <c r="G15" s="22">
        <f>+'Cantidades Producto No. 4'!AB16</f>
        <v>9768.2325108753357</v>
      </c>
      <c r="H15" s="23"/>
      <c r="I15" s="24"/>
      <c r="J15" s="97"/>
      <c r="L15" s="25"/>
      <c r="M15" s="25"/>
    </row>
    <row r="16" spans="1:13" x14ac:dyDescent="0.45">
      <c r="F16" s="29" t="s">
        <v>24</v>
      </c>
      <c r="G16" s="30">
        <f>SUM(G15:G15)</f>
        <v>9768.2325108753357</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4 de los Pliegos de Condiciones definitivos</v>
      </c>
      <c r="C21" s="102"/>
      <c r="D21" s="102"/>
      <c r="E21" s="102"/>
      <c r="F21" s="102"/>
      <c r="G21" s="102"/>
      <c r="H21" s="102"/>
      <c r="I21" s="102"/>
      <c r="J21" s="102"/>
      <c r="K21" s="102"/>
      <c r="L21" s="102"/>
    </row>
    <row r="22" spans="1:12" ht="83.25" customHeight="1" x14ac:dyDescent="0.45">
      <c r="B22" s="113" t="s">
        <v>63</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9623-D220-4257-87C8-2462A6966558}">
  <sheetPr>
    <tabColor theme="9" tint="0.39997558519241921"/>
  </sheetPr>
  <dimension ref="A1:AE19"/>
  <sheetViews>
    <sheetView showGridLines="0" zoomScale="70" zoomScaleNormal="70" workbookViewId="0">
      <selection activeCell="AD8" sqref="AD8"/>
    </sheetView>
  </sheetViews>
  <sheetFormatPr baseColWidth="10" defaultColWidth="14.453125" defaultRowHeight="15.5" x14ac:dyDescent="0.35"/>
  <cols>
    <col min="1" max="1" width="93.1796875" style="38" bestFit="1" customWidth="1"/>
    <col min="2" max="20" width="7.26953125" style="39" bestFit="1" customWidth="1"/>
    <col min="21" max="21" width="7.7265625" style="39" bestFit="1" customWidth="1"/>
    <col min="22" max="25" width="7.26953125" style="39" bestFit="1" customWidth="1"/>
    <col min="26" max="26" width="13.81640625" style="40" bestFit="1" customWidth="1"/>
    <col min="27" max="27" width="8.54296875" style="38" bestFit="1" customWidth="1"/>
    <col min="28" max="28" width="9.7265625" style="38" customWidth="1"/>
    <col min="29" max="29" width="5.26953125" style="38" customWidth="1"/>
    <col min="30" max="30" width="28.7265625" style="38"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56</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s="49"/>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c r="AD7" s="101" t="s">
        <v>59</v>
      </c>
      <c r="AE7" s="73"/>
    </row>
    <row r="8" spans="1:31" ht="16" thickBot="1" x14ac:dyDescent="0.4">
      <c r="A8" s="55">
        <v>46082</v>
      </c>
      <c r="B8" s="56">
        <v>7.8448655005879218</v>
      </c>
      <c r="C8" s="56">
        <v>6.7141398525790823</v>
      </c>
      <c r="D8" s="56">
        <v>6.1543166047663131</v>
      </c>
      <c r="E8" s="56">
        <v>5.9372461750238319</v>
      </c>
      <c r="F8" s="56">
        <v>6.5989212488730145</v>
      </c>
      <c r="G8" s="56">
        <v>9.0544794962036512</v>
      </c>
      <c r="H8" s="56">
        <v>11.735035833592203</v>
      </c>
      <c r="I8" s="56">
        <v>10.688772752652145</v>
      </c>
      <c r="J8" s="56">
        <v>12.965175475499604</v>
      </c>
      <c r="K8" s="56">
        <v>14.629762515963089</v>
      </c>
      <c r="L8" s="56">
        <v>16.491754552497351</v>
      </c>
      <c r="M8" s="56">
        <v>18.041115952527438</v>
      </c>
      <c r="N8" s="56">
        <v>17.646981122309366</v>
      </c>
      <c r="O8" s="56">
        <v>17.345565692954459</v>
      </c>
      <c r="P8" s="56">
        <v>17.865874928050349</v>
      </c>
      <c r="Q8" s="56">
        <v>17.751248149013215</v>
      </c>
      <c r="R8" s="56">
        <v>17.300164702111196</v>
      </c>
      <c r="S8" s="56">
        <v>19.959998219608856</v>
      </c>
      <c r="T8" s="56">
        <v>20.089832487613911</v>
      </c>
      <c r="U8" s="56">
        <v>21.274677953197166</v>
      </c>
      <c r="V8" s="56">
        <v>19.950778857741785</v>
      </c>
      <c r="W8" s="56">
        <v>17.814171472186402</v>
      </c>
      <c r="X8" s="56">
        <v>14.4614277524916</v>
      </c>
      <c r="Y8" s="56">
        <v>10.905299007587859</v>
      </c>
      <c r="Z8" s="57">
        <v>339.22160630563178</v>
      </c>
      <c r="AA8" s="58">
        <v>21</v>
      </c>
      <c r="AB8" s="59">
        <v>7123.6537324182673</v>
      </c>
      <c r="AD8" s="59" t="s">
        <v>25</v>
      </c>
      <c r="AE8" s="73"/>
    </row>
    <row r="9" spans="1:31" ht="16" thickBot="1" x14ac:dyDescent="0.4">
      <c r="A9" s="60">
        <v>46082</v>
      </c>
      <c r="B9" s="56">
        <v>8.0409301955625807</v>
      </c>
      <c r="C9" s="56">
        <v>6.7711878531181675</v>
      </c>
      <c r="D9" s="56">
        <v>6.0721181762327792</v>
      </c>
      <c r="E9" s="56">
        <v>5.7057911208584216</v>
      </c>
      <c r="F9" s="56">
        <v>6.0197874392309991</v>
      </c>
      <c r="G9" s="56">
        <v>7.0645463351207605</v>
      </c>
      <c r="H9" s="56">
        <v>9.0403775594055364</v>
      </c>
      <c r="I9" s="56">
        <v>8.5514585183281628</v>
      </c>
      <c r="J9" s="56">
        <v>11.422250578263741</v>
      </c>
      <c r="K9" s="56">
        <v>13.326964952763531</v>
      </c>
      <c r="L9" s="56">
        <v>14.912474856491786</v>
      </c>
      <c r="M9" s="56">
        <v>16.360614419198605</v>
      </c>
      <c r="N9" s="56">
        <v>16.303484674276984</v>
      </c>
      <c r="O9" s="56">
        <v>15.332757472115375</v>
      </c>
      <c r="P9" s="56">
        <v>14.668077766333951</v>
      </c>
      <c r="Q9" s="56">
        <v>14.332257774175615</v>
      </c>
      <c r="R9" s="56">
        <v>13.984195954474188</v>
      </c>
      <c r="S9" s="56">
        <v>17.74721245536864</v>
      </c>
      <c r="T9" s="56">
        <v>18.233649161692327</v>
      </c>
      <c r="U9" s="56">
        <v>18.889305229348796</v>
      </c>
      <c r="V9" s="56">
        <v>17.637767277129601</v>
      </c>
      <c r="W9" s="56">
        <v>15.950247143829879</v>
      </c>
      <c r="X9" s="56">
        <v>13.458841429170203</v>
      </c>
      <c r="Y9" s="56">
        <v>10.972420603897579</v>
      </c>
      <c r="Z9" s="61">
        <v>300.79871894638825</v>
      </c>
      <c r="AA9" s="58">
        <v>4</v>
      </c>
      <c r="AB9" s="63">
        <v>1203.194875785553</v>
      </c>
      <c r="AD9" s="63" t="s">
        <v>26</v>
      </c>
      <c r="AE9" s="73"/>
    </row>
    <row r="10" spans="1:31" ht="16" thickBot="1" x14ac:dyDescent="0.4">
      <c r="A10" s="60">
        <v>46082</v>
      </c>
      <c r="B10" s="56">
        <v>8.2497532538245686</v>
      </c>
      <c r="C10" s="56">
        <v>6.9234064130945798</v>
      </c>
      <c r="D10" s="56">
        <v>6.108207279855395</v>
      </c>
      <c r="E10" s="56">
        <v>5.6313483816669567</v>
      </c>
      <c r="F10" s="56">
        <v>5.4826792831446323</v>
      </c>
      <c r="G10" s="56">
        <v>5.8889815962059906</v>
      </c>
      <c r="H10" s="56">
        <v>6.8087499869223134</v>
      </c>
      <c r="I10" s="56">
        <v>4.9923910979607857</v>
      </c>
      <c r="J10" s="56">
        <v>6.7945927970952793</v>
      </c>
      <c r="K10" s="56">
        <v>8.5067830557036768</v>
      </c>
      <c r="L10" s="56">
        <v>9.606852894597429</v>
      </c>
      <c r="M10" s="56">
        <v>10.647508507480223</v>
      </c>
      <c r="N10" s="56">
        <v>11.447895062990993</v>
      </c>
      <c r="O10" s="56">
        <v>11.394420973942488</v>
      </c>
      <c r="P10" s="56">
        <v>10.686515478796773</v>
      </c>
      <c r="Q10" s="56">
        <v>10.359873896065027</v>
      </c>
      <c r="R10" s="56">
        <v>10.353559033733076</v>
      </c>
      <c r="S10" s="56">
        <v>14.488151256262874</v>
      </c>
      <c r="T10" s="56">
        <v>15.749810008235599</v>
      </c>
      <c r="U10" s="56">
        <v>17.245169082339071</v>
      </c>
      <c r="V10" s="56">
        <v>16.41057399943098</v>
      </c>
      <c r="W10" s="56">
        <v>14.566046661743897</v>
      </c>
      <c r="X10" s="56">
        <v>11.981775767473914</v>
      </c>
      <c r="Y10" s="56">
        <v>9.302528678297163</v>
      </c>
      <c r="Z10" s="61">
        <v>239.62757444686363</v>
      </c>
      <c r="AA10" s="58">
        <v>5</v>
      </c>
      <c r="AB10" s="63">
        <v>1198.1378722343181</v>
      </c>
      <c r="AD10" s="63" t="s">
        <v>27</v>
      </c>
      <c r="AE10" s="73"/>
    </row>
    <row r="11" spans="1:31" x14ac:dyDescent="0.35">
      <c r="A11" s="60">
        <v>46082</v>
      </c>
      <c r="B11" s="56">
        <v>7.5442047092014644</v>
      </c>
      <c r="C11" s="56">
        <v>6.3349578128015374</v>
      </c>
      <c r="D11" s="56">
        <v>5.5936833023629395</v>
      </c>
      <c r="E11" s="56">
        <v>5.1566502234932949</v>
      </c>
      <c r="F11" s="56">
        <v>5.0313417936143479</v>
      </c>
      <c r="G11" s="56">
        <v>5.4596091058945779</v>
      </c>
      <c r="H11" s="56">
        <v>6.3200898889303598</v>
      </c>
      <c r="I11" s="56">
        <v>4.9282559395705201</v>
      </c>
      <c r="J11" s="56">
        <v>7.0747186779310969</v>
      </c>
      <c r="K11" s="56">
        <v>8.8271807289622988</v>
      </c>
      <c r="L11" s="56">
        <v>10.318597990318962</v>
      </c>
      <c r="M11" s="56">
        <v>11.679435829621932</v>
      </c>
      <c r="N11" s="56">
        <v>12.137060997094439</v>
      </c>
      <c r="O11" s="56">
        <v>11.878769892435757</v>
      </c>
      <c r="P11" s="56">
        <v>11.416882506084661</v>
      </c>
      <c r="Q11" s="56">
        <v>11.00364385404607</v>
      </c>
      <c r="R11" s="56">
        <v>10.986288846770043</v>
      </c>
      <c r="S11" s="56">
        <v>15.078265267863255</v>
      </c>
      <c r="T11" s="56">
        <v>16.153851762009015</v>
      </c>
      <c r="U11" s="56">
        <v>17.548116873567352</v>
      </c>
      <c r="V11" s="56">
        <v>16.884531790294041</v>
      </c>
      <c r="W11" s="56">
        <v>14.984923135898988</v>
      </c>
      <c r="X11" s="56">
        <v>11.786203916553747</v>
      </c>
      <c r="Y11" s="56">
        <v>9.1187655918764694</v>
      </c>
      <c r="Z11" s="61">
        <v>243.24603043719716</v>
      </c>
      <c r="AA11" s="58">
        <v>1</v>
      </c>
      <c r="AB11" s="63">
        <v>243.24603043719716</v>
      </c>
      <c r="AD11" s="63" t="s">
        <v>28</v>
      </c>
      <c r="AE11" s="73"/>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C12" s="38"/>
      <c r="AD12"/>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C13" s="38"/>
      <c r="AD13"/>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C14" s="38"/>
      <c r="AD14" s="38"/>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C15" s="38"/>
      <c r="AD15" s="38"/>
    </row>
    <row r="16" spans="1:31" s="41" customFormat="1" x14ac:dyDescent="0.35">
      <c r="A16" s="55">
        <v>46082</v>
      </c>
      <c r="B16" s="70">
        <v>245.69886727292098</v>
      </c>
      <c r="C16" s="70">
        <v>209.03367819490785</v>
      </c>
      <c r="D16" s="70">
        <v>189.6638411066636</v>
      </c>
      <c r="E16" s="70">
        <v>180.81872629076224</v>
      </c>
      <c r="F16" s="70">
        <v>195.1012341925948</v>
      </c>
      <c r="G16" s="70">
        <v>253.30677184768425</v>
      </c>
      <c r="H16" s="70">
        <v>322.96110256660035</v>
      </c>
      <c r="I16" s="70">
        <v>288.56027330838219</v>
      </c>
      <c r="J16" s="70">
        <v>359.00536996195416</v>
      </c>
      <c r="K16" s="70">
        <v>411.89396865375966</v>
      </c>
      <c r="L16" s="70">
        <v>464.32960749171764</v>
      </c>
      <c r="M16" s="70">
        <v>509.2228710468936</v>
      </c>
      <c r="N16" s="70">
        <v>505.17707857765407</v>
      </c>
      <c r="O16" s="70">
        <v>494.43878420265332</v>
      </c>
      <c r="P16" s="70">
        <v>498.70514445446167</v>
      </c>
      <c r="Q16" s="70">
        <v>492.90825556035117</v>
      </c>
      <c r="R16" s="70">
        <v>481.99432657766727</v>
      </c>
      <c r="S16" s="70">
        <v>577.6678339824382</v>
      </c>
      <c r="T16" s="70">
        <v>589.72398068984842</v>
      </c>
      <c r="U16" s="70">
        <v>626.09942021979839</v>
      </c>
      <c r="V16" s="70">
        <v>588.45482690854487</v>
      </c>
      <c r="W16" s="70">
        <v>525.71374593585244</v>
      </c>
      <c r="X16" s="70">
        <v>429.22043127292773</v>
      </c>
      <c r="Y16" s="70">
        <v>328.53237055829766</v>
      </c>
      <c r="Z16" s="57">
        <v>9768.2325108753375</v>
      </c>
      <c r="AA16" s="58">
        <v>31</v>
      </c>
      <c r="AB16" s="59">
        <v>9768.2325108753357</v>
      </c>
      <c r="AC16" s="99">
        <v>0</v>
      </c>
      <c r="AD16" s="38"/>
    </row>
    <row r="17" spans="1:30"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c r="AD17" s="38"/>
    </row>
    <row r="19" spans="1:30"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c r="AD19" s="38"/>
    </row>
  </sheetData>
  <conditionalFormatting sqref="B1:Y1048576">
    <cfRule type="cellIs" dxfId="11" priority="1" operator="lessThan">
      <formula>0</formula>
    </cfRule>
  </conditionalFormatting>
  <conditionalFormatting sqref="AA8:AA11">
    <cfRule type="cellIs" dxfId="10" priority="3" operator="lessThan">
      <formula>0</formula>
    </cfRule>
  </conditionalFormatting>
  <conditionalFormatting sqref="AA16">
    <cfRule type="cellIs" dxfId="9" priority="2" operator="lessThan">
      <formula>0</formula>
    </cfRule>
  </conditionalFormatting>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DFEF-83BA-49FA-A1A7-57E0326B0260}">
  <sheetPr>
    <tabColor theme="9" tint="0.39997558519241921"/>
  </sheetPr>
  <dimension ref="A1:M27"/>
  <sheetViews>
    <sheetView view="pageBreakPreview" zoomScale="60" zoomScaleNormal="100" zoomScalePageLayoutView="30" workbookViewId="0">
      <selection activeCell="G16" sqref="G16"/>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57</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5</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5</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5'!A16</f>
        <v>46113</v>
      </c>
      <c r="G15" s="22">
        <f>+'Cantidades Producto No. 5'!AB16</f>
        <v>6645.2169428406251</v>
      </c>
      <c r="H15" s="23"/>
      <c r="I15" s="24"/>
      <c r="J15" s="97"/>
      <c r="L15" s="25"/>
      <c r="M15" s="25"/>
    </row>
    <row r="16" spans="1:13" x14ac:dyDescent="0.45">
      <c r="F16" s="29" t="s">
        <v>24</v>
      </c>
      <c r="G16" s="30">
        <f>SUM(G15:G15)</f>
        <v>6645.2169428406251</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5 de los Pliegos de Condiciones definitivos</v>
      </c>
      <c r="C21" s="102"/>
      <c r="D21" s="102"/>
      <c r="E21" s="102"/>
      <c r="F21" s="102"/>
      <c r="G21" s="102"/>
      <c r="H21" s="102"/>
      <c r="I21" s="102"/>
      <c r="J21" s="102"/>
      <c r="K21" s="102"/>
      <c r="L21" s="102"/>
    </row>
    <row r="22" spans="1:12" ht="83.25" customHeight="1" x14ac:dyDescent="0.45">
      <c r="B22" s="113" t="s">
        <v>64</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2DBA1-121E-4D58-893F-7B17CA0E157A}">
  <sheetPr>
    <tabColor theme="9" tint="0.39997558519241921"/>
  </sheetPr>
  <dimension ref="A1:AE19"/>
  <sheetViews>
    <sheetView showGridLines="0" zoomScale="70" zoomScaleNormal="70" workbookViewId="0">
      <selection activeCell="AD8" sqref="AD8"/>
    </sheetView>
  </sheetViews>
  <sheetFormatPr baseColWidth="10" defaultColWidth="14.453125" defaultRowHeight="15.5" x14ac:dyDescent="0.35"/>
  <cols>
    <col min="1" max="1" width="93.1796875" style="38" bestFit="1" customWidth="1"/>
    <col min="2" max="20" width="7.26953125" style="39" bestFit="1" customWidth="1"/>
    <col min="21" max="21" width="7.7265625" style="39" bestFit="1" customWidth="1"/>
    <col min="22" max="25" width="7.26953125" style="39" bestFit="1" customWidth="1"/>
    <col min="26" max="26" width="13.81640625" style="40" bestFit="1" customWidth="1"/>
    <col min="27" max="27" width="8.54296875" style="38" bestFit="1" customWidth="1"/>
    <col min="28" max="28" width="9.7265625" style="38" customWidth="1"/>
    <col min="29" max="29" width="5.26953125" style="38" customWidth="1"/>
    <col min="30" max="30" width="30.7265625" style="38"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57</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c r="AD7" s="101" t="s">
        <v>59</v>
      </c>
      <c r="AE7" s="73"/>
    </row>
    <row r="8" spans="1:31" ht="16" thickBot="1" x14ac:dyDescent="0.4">
      <c r="A8" s="55">
        <v>46113</v>
      </c>
      <c r="B8" s="56">
        <v>4.0576736900091008</v>
      </c>
      <c r="C8" s="56">
        <v>2.8972470341707548</v>
      </c>
      <c r="D8" s="56">
        <v>2.3390555727443307</v>
      </c>
      <c r="E8" s="56">
        <v>2.1252323312168402</v>
      </c>
      <c r="F8" s="56">
        <v>2.7793396863245534</v>
      </c>
      <c r="G8" s="56">
        <v>4.9337709789983153</v>
      </c>
      <c r="H8" s="56">
        <v>7.6413087752363813</v>
      </c>
      <c r="I8" s="56">
        <v>6.872250177376106</v>
      </c>
      <c r="J8" s="56">
        <v>8.9387776986694476</v>
      </c>
      <c r="K8" s="56">
        <v>11.142033902625331</v>
      </c>
      <c r="L8" s="56">
        <v>12.812398775829115</v>
      </c>
      <c r="M8" s="56">
        <v>14.324861603729817</v>
      </c>
      <c r="N8" s="56">
        <v>13.96126042245772</v>
      </c>
      <c r="O8" s="56">
        <v>13.420093570050067</v>
      </c>
      <c r="P8" s="56">
        <v>13.399146559102952</v>
      </c>
      <c r="Q8" s="56">
        <v>13.479011953400299</v>
      </c>
      <c r="R8" s="56">
        <v>13.099107624509571</v>
      </c>
      <c r="S8" s="56">
        <v>16.153084996462344</v>
      </c>
      <c r="T8" s="56">
        <v>16.711782397739235</v>
      </c>
      <c r="U8" s="56">
        <v>17.372832318949392</v>
      </c>
      <c r="V8" s="56">
        <v>15.985336516880354</v>
      </c>
      <c r="W8" s="56">
        <v>13.822319347109612</v>
      </c>
      <c r="X8" s="56">
        <v>10.522245790035155</v>
      </c>
      <c r="Y8" s="56">
        <v>7.1428143380639115</v>
      </c>
      <c r="Z8" s="57">
        <v>245.93298606169071</v>
      </c>
      <c r="AA8" s="58">
        <v>20</v>
      </c>
      <c r="AB8" s="59">
        <v>4918.6597212338147</v>
      </c>
      <c r="AD8" s="59" t="s">
        <v>25</v>
      </c>
      <c r="AE8" s="73"/>
    </row>
    <row r="9" spans="1:31" ht="16" thickBot="1" x14ac:dyDescent="0.4">
      <c r="A9" s="60">
        <v>46113</v>
      </c>
      <c r="B9" s="56">
        <v>4.4110549712334279</v>
      </c>
      <c r="C9" s="56">
        <v>3.0814298553648141</v>
      </c>
      <c r="D9" s="56">
        <v>2.3149957117475379</v>
      </c>
      <c r="E9" s="56">
        <v>1.9264687322162817</v>
      </c>
      <c r="F9" s="56">
        <v>2.1342092524311984</v>
      </c>
      <c r="G9" s="56">
        <v>2.6863645461561929</v>
      </c>
      <c r="H9" s="56">
        <v>4.9672994534958441</v>
      </c>
      <c r="I9" s="56">
        <v>4.6399248955068355</v>
      </c>
      <c r="J9" s="56">
        <v>7.3629988568770308</v>
      </c>
      <c r="K9" s="56">
        <v>9.4858022796600885</v>
      </c>
      <c r="L9" s="56">
        <v>11.080064913725694</v>
      </c>
      <c r="M9" s="56">
        <v>12.347233019793258</v>
      </c>
      <c r="N9" s="56">
        <v>12.428833487569191</v>
      </c>
      <c r="O9" s="56">
        <v>11.415723092472671</v>
      </c>
      <c r="P9" s="56">
        <v>10.848374355159406</v>
      </c>
      <c r="Q9" s="56">
        <v>10.536710553696434</v>
      </c>
      <c r="R9" s="56">
        <v>9.9771969684236357</v>
      </c>
      <c r="S9" s="56">
        <v>13.652156068571381</v>
      </c>
      <c r="T9" s="56">
        <v>14.647429046771522</v>
      </c>
      <c r="U9" s="56">
        <v>15.371417340660479</v>
      </c>
      <c r="V9" s="56">
        <v>14.124814021642644</v>
      </c>
      <c r="W9" s="56">
        <v>12.340889621541118</v>
      </c>
      <c r="X9" s="56">
        <v>9.9637668075208303</v>
      </c>
      <c r="Y9" s="56">
        <v>7.5042947852011883</v>
      </c>
      <c r="Z9" s="61">
        <v>209.24945263743874</v>
      </c>
      <c r="AA9" s="58">
        <v>4</v>
      </c>
      <c r="AB9" s="63">
        <v>836.99781054975494</v>
      </c>
      <c r="AD9" s="63" t="s">
        <v>26</v>
      </c>
      <c r="AE9" s="73"/>
    </row>
    <row r="10" spans="1:31" ht="16" thickBot="1" x14ac:dyDescent="0.4">
      <c r="A10" s="60">
        <v>46113</v>
      </c>
      <c r="B10" s="56">
        <v>4.1932784086257699</v>
      </c>
      <c r="C10" s="56">
        <v>2.8230234678581136</v>
      </c>
      <c r="D10" s="56">
        <v>1.9653628787162625</v>
      </c>
      <c r="E10" s="56">
        <v>1.5116223180554325</v>
      </c>
      <c r="F10" s="56">
        <v>1.5013441954036562</v>
      </c>
      <c r="G10" s="56">
        <v>1.5151772056684958</v>
      </c>
      <c r="H10" s="56">
        <v>2.5622195098055336</v>
      </c>
      <c r="I10" s="56">
        <v>1.1373562964737238</v>
      </c>
      <c r="J10" s="56">
        <v>3.0273696277932496</v>
      </c>
      <c r="K10" s="56">
        <v>4.8402194309095385</v>
      </c>
      <c r="L10" s="56">
        <v>6.2317476362066913</v>
      </c>
      <c r="M10" s="56">
        <v>7.6327111914902881</v>
      </c>
      <c r="N10" s="56">
        <v>8.307132678875929</v>
      </c>
      <c r="O10" s="56">
        <v>7.9543470407686572</v>
      </c>
      <c r="P10" s="56">
        <v>7.5789417204264051</v>
      </c>
      <c r="Q10" s="56">
        <v>6.7323855706653006</v>
      </c>
      <c r="R10" s="56">
        <v>6.527486167266531</v>
      </c>
      <c r="S10" s="56">
        <v>10.718649598001425</v>
      </c>
      <c r="T10" s="56">
        <v>11.907065571826326</v>
      </c>
      <c r="U10" s="56">
        <v>12.97230420493957</v>
      </c>
      <c r="V10" s="56">
        <v>12.266810413422037</v>
      </c>
      <c r="W10" s="56">
        <v>10.58411459146102</v>
      </c>
      <c r="X10" s="56">
        <v>8.080704503565098</v>
      </c>
      <c r="Y10" s="56">
        <v>5.6885276146174686</v>
      </c>
      <c r="Z10" s="61">
        <v>148.25990184284254</v>
      </c>
      <c r="AA10" s="58">
        <v>6</v>
      </c>
      <c r="AB10" s="63">
        <v>889.55941105705529</v>
      </c>
      <c r="AD10" s="63" t="s">
        <v>27</v>
      </c>
      <c r="AE10" s="73"/>
    </row>
    <row r="11" spans="1:31" x14ac:dyDescent="0.35">
      <c r="A11" s="60">
        <v>46113</v>
      </c>
      <c r="B11" s="56">
        <v>12.866065563294582</v>
      </c>
      <c r="C11" s="56">
        <v>10.929656743060576</v>
      </c>
      <c r="D11" s="56">
        <v>9.7205006890762018</v>
      </c>
      <c r="E11" s="56">
        <v>9.0468642796308707</v>
      </c>
      <c r="F11" s="56">
        <v>8.9761913026479423</v>
      </c>
      <c r="G11" s="56">
        <v>8.9512256190308754</v>
      </c>
      <c r="H11" s="56">
        <v>9.7415981255842024</v>
      </c>
      <c r="I11" s="56">
        <v>8.5931890867277865</v>
      </c>
      <c r="J11" s="56">
        <v>11.305769183685351</v>
      </c>
      <c r="K11" s="56">
        <v>13.855976820008847</v>
      </c>
      <c r="L11" s="56">
        <v>15.842283588096169</v>
      </c>
      <c r="M11" s="56">
        <v>17.693021721268863</v>
      </c>
      <c r="N11" s="56">
        <v>18.549380737821473</v>
      </c>
      <c r="O11" s="56">
        <v>18.035206025476406</v>
      </c>
      <c r="P11" s="56">
        <v>17.320480614622316</v>
      </c>
      <c r="Q11" s="56">
        <v>16.252837918596796</v>
      </c>
      <c r="R11" s="56">
        <v>15.923106439856904</v>
      </c>
      <c r="S11" s="56">
        <v>20.957118796004416</v>
      </c>
      <c r="T11" s="56">
        <v>23.72246189056111</v>
      </c>
      <c r="U11" s="56">
        <v>25.531832928334467</v>
      </c>
      <c r="V11" s="56">
        <v>24.639828605540849</v>
      </c>
      <c r="W11" s="56">
        <v>22.298671817457272</v>
      </c>
      <c r="X11" s="56">
        <v>18.585155227998232</v>
      </c>
      <c r="Y11" s="56">
        <v>14.968207728791171</v>
      </c>
      <c r="Z11" s="61">
        <v>374.30663145317374</v>
      </c>
      <c r="AA11" s="58">
        <v>0</v>
      </c>
      <c r="AB11" s="63">
        <v>0</v>
      </c>
      <c r="AD11" s="63" t="s">
        <v>28</v>
      </c>
      <c r="AE11" s="73"/>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C12" s="38"/>
      <c r="AD12" s="68"/>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C13" s="38"/>
      <c r="AD13" s="68"/>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C14" s="38"/>
      <c r="AD14"/>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C15" s="38"/>
      <c r="AD15" s="38"/>
    </row>
    <row r="16" spans="1:31" s="41" customFormat="1" x14ac:dyDescent="0.35">
      <c r="A16" s="55">
        <v>46113</v>
      </c>
      <c r="B16" s="70">
        <v>123.95736413687034</v>
      </c>
      <c r="C16" s="70">
        <v>87.208800912023037</v>
      </c>
      <c r="D16" s="70">
        <v>67.833271574174347</v>
      </c>
      <c r="E16" s="70">
        <v>59.280255461534523</v>
      </c>
      <c r="F16" s="70">
        <v>73.131695908637795</v>
      </c>
      <c r="G16" s="70">
        <v>118.51194099860204</v>
      </c>
      <c r="H16" s="70">
        <v>188.06869037754421</v>
      </c>
      <c r="I16" s="70">
        <v>162.82884090839181</v>
      </c>
      <c r="J16" s="70">
        <v>226.39176716765658</v>
      </c>
      <c r="K16" s="70">
        <v>289.8252037566042</v>
      </c>
      <c r="L16" s="70">
        <v>337.95872098872519</v>
      </c>
      <c r="M16" s="70">
        <v>381.68243130271117</v>
      </c>
      <c r="N16" s="70">
        <v>378.78333847268669</v>
      </c>
      <c r="O16" s="70">
        <v>361.79084601550403</v>
      </c>
      <c r="P16" s="70">
        <v>356.85007892525505</v>
      </c>
      <c r="Q16" s="70">
        <v>352.12139470678358</v>
      </c>
      <c r="R16" s="70">
        <v>341.05585736748515</v>
      </c>
      <c r="S16" s="70">
        <v>441.98222179154095</v>
      </c>
      <c r="T16" s="70">
        <v>464.26775757282871</v>
      </c>
      <c r="U16" s="70">
        <v>486.77614097126718</v>
      </c>
      <c r="V16" s="70">
        <v>449.80684890470991</v>
      </c>
      <c r="W16" s="70">
        <v>389.31463297712287</v>
      </c>
      <c r="X16" s="70">
        <v>298.78421005217706</v>
      </c>
      <c r="Y16" s="70">
        <v>207.00463158978778</v>
      </c>
      <c r="Z16" s="57">
        <v>6645.2169428406241</v>
      </c>
      <c r="AA16" s="58">
        <v>30</v>
      </c>
      <c r="AB16" s="59">
        <v>6645.2169428406251</v>
      </c>
      <c r="AC16" s="99">
        <v>0</v>
      </c>
      <c r="AD16" s="38"/>
    </row>
    <row r="17" spans="1:30"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c r="AD17" s="38"/>
    </row>
    <row r="19" spans="1:30"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c r="AD19" s="38"/>
    </row>
  </sheetData>
  <conditionalFormatting sqref="B1:Y1048576">
    <cfRule type="cellIs" dxfId="8" priority="3" operator="lessThan">
      <formula>0</formula>
    </cfRule>
  </conditionalFormatting>
  <conditionalFormatting sqref="AA8:AA11">
    <cfRule type="cellIs" dxfId="7" priority="5" operator="lessThan">
      <formula>0</formula>
    </cfRule>
  </conditionalFormatting>
  <conditionalFormatting sqref="AA16">
    <cfRule type="cellIs" dxfId="6" priority="4" operator="lessThan">
      <formula>0</formula>
    </cfRule>
  </conditionalFormatting>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7942-5669-4928-BD20-B416B4EF05C2}">
  <sheetPr>
    <tabColor theme="9" tint="0.39997558519241921"/>
  </sheetPr>
  <dimension ref="A1:M27"/>
  <sheetViews>
    <sheetView view="pageBreakPreview" zoomScale="60" zoomScaleNormal="100" zoomScalePageLayoutView="30" workbookViewId="0">
      <selection activeCell="B20" sqref="B20:L20"/>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58</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6</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6</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6'!A16</f>
        <v>46327</v>
      </c>
      <c r="G15" s="22">
        <f>+'Cantidades Producto No. 6'!AB16</f>
        <v>6238.0631414274012</v>
      </c>
      <c r="H15" s="23"/>
      <c r="I15" s="24"/>
      <c r="J15" s="97"/>
      <c r="L15" s="25"/>
      <c r="M15" s="25"/>
    </row>
    <row r="16" spans="1:13" x14ac:dyDescent="0.45">
      <c r="F16" s="29" t="s">
        <v>24</v>
      </c>
      <c r="G16" s="30">
        <f>SUM(G15:G15)</f>
        <v>6238.0631414274012</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6 de los Pliegos de Condiciones definitivos</v>
      </c>
      <c r="C21" s="102"/>
      <c r="D21" s="102"/>
      <c r="E21" s="102"/>
      <c r="F21" s="102"/>
      <c r="G21" s="102"/>
      <c r="H21" s="102"/>
      <c r="I21" s="102"/>
      <c r="J21" s="102"/>
      <c r="K21" s="102"/>
      <c r="L21" s="102"/>
    </row>
    <row r="22" spans="1:12" ht="83.25" customHeight="1" x14ac:dyDescent="0.45">
      <c r="B22" s="113" t="s">
        <v>65</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3AC4-A802-4B1F-AB94-762E1F87EDA0}">
  <sheetPr>
    <tabColor theme="9" tint="0.39997558519241921"/>
  </sheetPr>
  <dimension ref="A1:AE19"/>
  <sheetViews>
    <sheetView showGridLines="0" zoomScale="70" zoomScaleNormal="70" workbookViewId="0">
      <selection activeCell="Z8" sqref="Z8"/>
    </sheetView>
  </sheetViews>
  <sheetFormatPr baseColWidth="10" defaultColWidth="14.453125" defaultRowHeight="15.5" x14ac:dyDescent="0.35"/>
  <cols>
    <col min="1" max="1" width="93.1796875" style="38" bestFit="1" customWidth="1"/>
    <col min="2" max="20" width="7.26953125" style="39" bestFit="1" customWidth="1"/>
    <col min="21" max="21" width="7.7265625" style="39" bestFit="1" customWidth="1"/>
    <col min="22" max="25" width="7.26953125" style="39" bestFit="1" customWidth="1"/>
    <col min="26" max="26" width="13.81640625" style="40" bestFit="1" customWidth="1"/>
    <col min="27" max="27" width="8.54296875" style="38" bestFit="1" customWidth="1"/>
    <col min="28" max="28" width="9.7265625" style="38" customWidth="1"/>
    <col min="29" max="29" width="5.26953125" style="38" customWidth="1"/>
    <col min="30" max="30" width="28.7265625" style="41"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58</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s="73"/>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s="73"/>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c r="AC7" s="41"/>
      <c r="AD7" s="101" t="s">
        <v>59</v>
      </c>
      <c r="AE7" s="73"/>
    </row>
    <row r="8" spans="1:31" ht="16" thickBot="1" x14ac:dyDescent="0.4">
      <c r="A8" s="55">
        <v>46327</v>
      </c>
      <c r="B8" s="56">
        <v>3.6041715548075328</v>
      </c>
      <c r="C8" s="56">
        <v>2.4754928832578327</v>
      </c>
      <c r="D8" s="56">
        <v>1.8660201040612838</v>
      </c>
      <c r="E8" s="56">
        <v>1.6723159792660254</v>
      </c>
      <c r="F8" s="56">
        <v>2.190073995847869</v>
      </c>
      <c r="G8" s="56">
        <v>3.618432564880687</v>
      </c>
      <c r="H8" s="56">
        <v>6.4601962913442215</v>
      </c>
      <c r="I8" s="56">
        <v>6.2359545990525103</v>
      </c>
      <c r="J8" s="56">
        <v>8.6767573892712644</v>
      </c>
      <c r="K8" s="56">
        <v>10.435839240842219</v>
      </c>
      <c r="L8" s="56">
        <v>12.155542898893426</v>
      </c>
      <c r="M8" s="56">
        <v>13.722629848833105</v>
      </c>
      <c r="N8" s="56">
        <v>13.492237848964297</v>
      </c>
      <c r="O8" s="56">
        <v>13.086836935730313</v>
      </c>
      <c r="P8" s="56">
        <v>13.592871994087163</v>
      </c>
      <c r="Q8" s="56">
        <v>13.404882471898727</v>
      </c>
      <c r="R8" s="56">
        <v>12.981916127053552</v>
      </c>
      <c r="S8" s="56">
        <v>16.441063793378138</v>
      </c>
      <c r="T8" s="56">
        <v>17.079216699428095</v>
      </c>
      <c r="U8" s="56">
        <v>16.40640318245196</v>
      </c>
      <c r="V8" s="56">
        <v>15.006089335297929</v>
      </c>
      <c r="W8" s="56">
        <v>12.77478635530519</v>
      </c>
      <c r="X8" s="56">
        <v>9.5388988305365245</v>
      </c>
      <c r="Y8" s="56">
        <v>6.477717475849432</v>
      </c>
      <c r="Z8" s="57">
        <v>233.39634840033932</v>
      </c>
      <c r="AA8" s="58">
        <v>19</v>
      </c>
      <c r="AB8" s="59">
        <v>4434.5306196064466</v>
      </c>
      <c r="AC8" s="41"/>
      <c r="AD8" s="59" t="s">
        <v>25</v>
      </c>
      <c r="AE8" s="73"/>
    </row>
    <row r="9" spans="1:31" ht="16" thickBot="1" x14ac:dyDescent="0.4">
      <c r="A9" s="60">
        <v>46327</v>
      </c>
      <c r="B9" s="56">
        <v>3.8339779265012139</v>
      </c>
      <c r="C9" s="56">
        <v>2.6006009397864065</v>
      </c>
      <c r="D9" s="56">
        <v>1.8994206214440155</v>
      </c>
      <c r="E9" s="56">
        <v>1.5301528443954111</v>
      </c>
      <c r="F9" s="56">
        <v>1.7838318289012267</v>
      </c>
      <c r="G9" s="56">
        <v>2.2278283458971808</v>
      </c>
      <c r="H9" s="56">
        <v>4.6537902372967395</v>
      </c>
      <c r="I9" s="56">
        <v>4.6772224556006865</v>
      </c>
      <c r="J9" s="56">
        <v>7.4064113873476556</v>
      </c>
      <c r="K9" s="56">
        <v>9.3846708613407497</v>
      </c>
      <c r="L9" s="56">
        <v>11.010323750564417</v>
      </c>
      <c r="M9" s="56">
        <v>12.401946101448363</v>
      </c>
      <c r="N9" s="56">
        <v>12.319088562520072</v>
      </c>
      <c r="O9" s="56">
        <v>11.322968181742526</v>
      </c>
      <c r="P9" s="56">
        <v>10.570843644043208</v>
      </c>
      <c r="Q9" s="56">
        <v>10.24459874759601</v>
      </c>
      <c r="R9" s="56">
        <v>9.827001712741211</v>
      </c>
      <c r="S9" s="56">
        <v>13.411589160301144</v>
      </c>
      <c r="T9" s="56">
        <v>15.143442288459973</v>
      </c>
      <c r="U9" s="56">
        <v>14.770206688043293</v>
      </c>
      <c r="V9" s="56">
        <v>13.315752445383561</v>
      </c>
      <c r="W9" s="56">
        <v>11.721945036818234</v>
      </c>
      <c r="X9" s="56">
        <v>9.2692864698538067</v>
      </c>
      <c r="Y9" s="56">
        <v>6.7867013823763802</v>
      </c>
      <c r="Z9" s="61">
        <v>202.11360162040344</v>
      </c>
      <c r="AA9" s="58">
        <v>4</v>
      </c>
      <c r="AB9" s="63">
        <v>808.45440648161377</v>
      </c>
      <c r="AC9" s="41"/>
      <c r="AD9" s="63" t="s">
        <v>26</v>
      </c>
      <c r="AE9" s="73"/>
    </row>
    <row r="10" spans="1:31" ht="16" thickBot="1" x14ac:dyDescent="0.4">
      <c r="A10" s="60">
        <v>46327</v>
      </c>
      <c r="B10" s="56">
        <v>3.9186507375321842</v>
      </c>
      <c r="C10" s="56">
        <v>2.6868452158658136</v>
      </c>
      <c r="D10" s="56">
        <v>1.8337556990152617</v>
      </c>
      <c r="E10" s="56">
        <v>1.2980999597916842</v>
      </c>
      <c r="F10" s="56">
        <v>1.2153324322918806</v>
      </c>
      <c r="G10" s="56">
        <v>0.91547950667628453</v>
      </c>
      <c r="H10" s="56">
        <v>1.99568663512888</v>
      </c>
      <c r="I10" s="56">
        <v>0.67825543199931693</v>
      </c>
      <c r="J10" s="56">
        <v>2.6856675879533825</v>
      </c>
      <c r="K10" s="56">
        <v>4.3784305595431894</v>
      </c>
      <c r="L10" s="56">
        <v>5.7122113701518566</v>
      </c>
      <c r="M10" s="56">
        <v>7.1667550888890066</v>
      </c>
      <c r="N10" s="56">
        <v>7.9707326214058005</v>
      </c>
      <c r="O10" s="56">
        <v>7.7527549364483521</v>
      </c>
      <c r="P10" s="56">
        <v>7.1429001027157382</v>
      </c>
      <c r="Q10" s="56">
        <v>6.8830264006706008</v>
      </c>
      <c r="R10" s="56">
        <v>6.6628369007244137</v>
      </c>
      <c r="S10" s="56">
        <v>10.551576276364566</v>
      </c>
      <c r="T10" s="56">
        <v>12.462282998186248</v>
      </c>
      <c r="U10" s="56">
        <v>12.52685067881273</v>
      </c>
      <c r="V10" s="56">
        <v>11.794905469857495</v>
      </c>
      <c r="W10" s="56">
        <v>10.172660144871708</v>
      </c>
      <c r="X10" s="56">
        <v>7.7478401210559777</v>
      </c>
      <c r="Y10" s="56">
        <v>5.2503646203865166</v>
      </c>
      <c r="Z10" s="61">
        <v>141.4039014963389</v>
      </c>
      <c r="AA10" s="58">
        <v>5</v>
      </c>
      <c r="AB10" s="63">
        <v>707.01950748169452</v>
      </c>
      <c r="AC10" s="41"/>
      <c r="AD10" s="63" t="s">
        <v>27</v>
      </c>
      <c r="AE10" s="73"/>
    </row>
    <row r="11" spans="1:31" x14ac:dyDescent="0.35">
      <c r="A11" s="60">
        <v>46327</v>
      </c>
      <c r="B11" s="56">
        <v>2.9744968370846134</v>
      </c>
      <c r="C11" s="56">
        <v>1.7617717078699815</v>
      </c>
      <c r="D11" s="56">
        <v>1.1421603033444434</v>
      </c>
      <c r="E11" s="56">
        <v>0.77717565051240212</v>
      </c>
      <c r="F11" s="56">
        <v>0.83297928553929801</v>
      </c>
      <c r="G11" s="56">
        <v>0.93335113853546769</v>
      </c>
      <c r="H11" s="56">
        <v>2.0272623341778697</v>
      </c>
      <c r="I11" s="56">
        <v>0.95003045515137186</v>
      </c>
      <c r="J11" s="56">
        <v>2.9605395265626604</v>
      </c>
      <c r="K11" s="56">
        <v>4.8911498285310548</v>
      </c>
      <c r="L11" s="56">
        <v>6.575221314451551</v>
      </c>
      <c r="M11" s="56">
        <v>7.6656373568695884</v>
      </c>
      <c r="N11" s="56">
        <v>8.5161269894234835</v>
      </c>
      <c r="O11" s="56">
        <v>8.2372393445769223</v>
      </c>
      <c r="P11" s="56">
        <v>7.4772319608474094</v>
      </c>
      <c r="Q11" s="56">
        <v>7.0514618080966782</v>
      </c>
      <c r="R11" s="56">
        <v>7.0112213490965107</v>
      </c>
      <c r="S11" s="56">
        <v>11.109893828567994</v>
      </c>
      <c r="T11" s="56">
        <v>12.869152760801811</v>
      </c>
      <c r="U11" s="56">
        <v>12.914429894251752</v>
      </c>
      <c r="V11" s="56">
        <v>12.170568338812092</v>
      </c>
      <c r="W11" s="56">
        <v>10.508766932773058</v>
      </c>
      <c r="X11" s="56">
        <v>7.7671397105612874</v>
      </c>
      <c r="Y11" s="56">
        <v>4.9042952723836084</v>
      </c>
      <c r="Z11" s="61">
        <v>144.02930392882291</v>
      </c>
      <c r="AA11" s="58">
        <v>2</v>
      </c>
      <c r="AB11" s="63">
        <v>288.05860785764582</v>
      </c>
      <c r="AC11" s="41"/>
      <c r="AD11" s="63" t="s">
        <v>28</v>
      </c>
      <c r="AE11" s="73"/>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C12" s="38"/>
      <c r="AD12" s="73"/>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C13" s="38"/>
      <c r="AD13" s="73"/>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C14" s="38"/>
      <c r="AD14" s="73"/>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C15" s="38"/>
      <c r="AD15" s="89"/>
    </row>
    <row r="16" spans="1:31" s="41" customFormat="1" x14ac:dyDescent="0.35">
      <c r="A16" s="55">
        <v>46327</v>
      </c>
      <c r="B16" s="70">
        <v>109.35741860917813</v>
      </c>
      <c r="C16" s="70">
        <v>74.394538036113488</v>
      </c>
      <c r="D16" s="70">
        <v>54.505163564705654</v>
      </c>
      <c r="E16" s="70">
        <v>45.939466083619344</v>
      </c>
      <c r="F16" s="70">
        <v>56.489353969252413</v>
      </c>
      <c r="G16" s="70">
        <v>84.105631926774137</v>
      </c>
      <c r="H16" s="70">
        <v>155.39184832872729</v>
      </c>
      <c r="I16" s="70">
        <v>142.48336527469976</v>
      </c>
      <c r="J16" s="70">
        <v>213.83345293843686</v>
      </c>
      <c r="K16" s="70">
        <v>267.49408147614321</v>
      </c>
      <c r="L16" s="70">
        <v>316.70810956089514</v>
      </c>
      <c r="M16" s="70">
        <v>361.50280169180667</v>
      </c>
      <c r="N16" s="70">
        <v>362.51479046627787</v>
      </c>
      <c r="O16" s="70">
        <v>349.18002787724168</v>
      </c>
      <c r="P16" s="70">
        <v>351.21690689910241</v>
      </c>
      <c r="Q16" s="70">
        <v>344.18921757600623</v>
      </c>
      <c r="R16" s="70">
        <v>333.30104046679742</v>
      </c>
      <c r="S16" s="70">
        <v>441.00423775434803</v>
      </c>
      <c r="T16" s="70">
        <v>473.12860695550853</v>
      </c>
      <c r="U16" s="70">
        <v>459.26560040132756</v>
      </c>
      <c r="V16" s="70">
        <v>421.69437117910661</v>
      </c>
      <c r="W16" s="70">
        <v>361.48955548797613</v>
      </c>
      <c r="X16" s="70">
        <v>272.58970368601166</v>
      </c>
      <c r="Y16" s="70">
        <v>186.28385121734453</v>
      </c>
      <c r="Z16" s="57">
        <v>6238.0631414274012</v>
      </c>
      <c r="AA16" s="58">
        <v>30</v>
      </c>
      <c r="AB16" s="59">
        <v>6238.0631414274012</v>
      </c>
      <c r="AC16" s="99">
        <v>0</v>
      </c>
      <c r="AD16" s="98"/>
    </row>
    <row r="17" spans="1:29"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row>
    <row r="19" spans="1:29"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row>
  </sheetData>
  <conditionalFormatting sqref="B1:Y1048576">
    <cfRule type="cellIs" dxfId="5" priority="1" operator="lessThan">
      <formula>0</formula>
    </cfRule>
  </conditionalFormatting>
  <conditionalFormatting sqref="AA8:AA11">
    <cfRule type="cellIs" dxfId="4" priority="3" operator="lessThan">
      <formula>0</formula>
    </cfRule>
  </conditionalFormatting>
  <conditionalFormatting sqref="AA16">
    <cfRule type="cellIs" dxfId="3" priority="2" operator="lessThan">
      <formula>0</formula>
    </cfRule>
  </conditionalFormatting>
  <pageMargins left="0.75" right="0.75" top="1" bottom="1" header="0" footer="0"/>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31D5-189B-4F95-9B85-FED7DF48EFE5}">
  <sheetPr>
    <tabColor theme="9" tint="0.39997558519241921"/>
  </sheetPr>
  <dimension ref="A1:M27"/>
  <sheetViews>
    <sheetView view="pageBreakPreview" zoomScale="60" zoomScaleNormal="100" zoomScalePageLayoutView="30" workbookViewId="0">
      <selection activeCell="B21" sqref="B21:L21"/>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2.7265625" style="1" customWidth="1"/>
    <col min="6" max="6" width="21.1796875" style="1" customWidth="1"/>
    <col min="7" max="7" width="23" style="1" customWidth="1"/>
    <col min="8" max="10" width="22.7265625" style="1" customWidth="1"/>
    <col min="11" max="11" width="28.453125" style="1" customWidth="1"/>
    <col min="12" max="12" width="15.453125" style="1" customWidth="1"/>
    <col min="13" max="13" width="8.81640625" style="1" bestFit="1" customWidth="1"/>
    <col min="14" max="16384" width="17.81640625" style="1"/>
  </cols>
  <sheetData>
    <row r="1" spans="1:13" ht="171.25" customHeight="1" x14ac:dyDescent="0.45"/>
    <row r="2" spans="1:13" x14ac:dyDescent="0.45">
      <c r="A2" s="2"/>
      <c r="B2" s="2"/>
      <c r="C2" s="2"/>
      <c r="D2" s="103" t="s">
        <v>29</v>
      </c>
      <c r="E2" s="103"/>
      <c r="F2" s="103"/>
      <c r="G2" s="103"/>
      <c r="H2" s="103"/>
      <c r="I2" s="103"/>
      <c r="J2" s="103"/>
      <c r="K2" s="2"/>
      <c r="L2" s="2"/>
      <c r="M2" s="2"/>
    </row>
    <row r="3" spans="1:13" ht="89.25" customHeight="1" x14ac:dyDescent="0.45">
      <c r="A3" s="2"/>
      <c r="B3" s="2"/>
      <c r="C3" s="104" t="s">
        <v>54</v>
      </c>
      <c r="D3" s="104"/>
      <c r="E3" s="104"/>
      <c r="F3" s="104"/>
      <c r="G3" s="104"/>
      <c r="H3" s="104"/>
      <c r="I3" s="104"/>
      <c r="J3" s="104"/>
      <c r="K3" s="104"/>
      <c r="L3" s="2"/>
      <c r="M3" s="2"/>
    </row>
    <row r="4" spans="1:13" x14ac:dyDescent="0.45">
      <c r="A4" s="2"/>
      <c r="B4" s="2"/>
      <c r="C4" s="3"/>
      <c r="D4" s="105" t="s">
        <v>60</v>
      </c>
      <c r="E4" s="105"/>
      <c r="F4" s="105"/>
      <c r="G4" s="105"/>
      <c r="H4" s="105"/>
      <c r="I4" s="105"/>
      <c r="J4" s="105"/>
      <c r="K4" s="3"/>
      <c r="L4" s="2"/>
      <c r="M4" s="2"/>
    </row>
    <row r="5" spans="1:13" ht="19.5" customHeight="1" x14ac:dyDescent="0.45">
      <c r="A5" s="4"/>
      <c r="B5" s="5"/>
      <c r="C5" s="5"/>
      <c r="D5" s="6"/>
      <c r="E5" s="7"/>
      <c r="F5" s="7"/>
      <c r="G5" s="7"/>
      <c r="H5" s="7"/>
      <c r="I5" s="7"/>
      <c r="J5" s="8"/>
      <c r="K5" s="9"/>
      <c r="L5" s="4"/>
      <c r="M5" s="4"/>
    </row>
    <row r="6" spans="1:13" x14ac:dyDescent="0.45">
      <c r="A6" s="4"/>
      <c r="B6" s="5"/>
      <c r="C6" s="10" t="s">
        <v>32</v>
      </c>
      <c r="D6" s="5"/>
      <c r="E6" s="5"/>
      <c r="G6" s="5"/>
      <c r="H6" s="5"/>
      <c r="I6" s="5"/>
      <c r="J6" s="5"/>
      <c r="K6" s="9"/>
      <c r="L6" s="4"/>
      <c r="M6" s="4"/>
    </row>
    <row r="7" spans="1:13" x14ac:dyDescent="0.45">
      <c r="A7" s="4"/>
      <c r="B7" s="5"/>
      <c r="C7" s="10" t="s">
        <v>33</v>
      </c>
      <c r="D7" s="5"/>
      <c r="E7" s="5"/>
      <c r="G7" s="5"/>
      <c r="H7" s="5"/>
      <c r="I7" s="5"/>
      <c r="J7" s="5"/>
      <c r="K7" s="9"/>
      <c r="L7" s="4"/>
      <c r="M7" s="4"/>
    </row>
    <row r="8" spans="1:13" x14ac:dyDescent="0.45">
      <c r="B8" s="11"/>
      <c r="C8" s="10" t="s">
        <v>34</v>
      </c>
      <c r="D8" s="5"/>
      <c r="E8" s="5"/>
      <c r="G8" s="11"/>
      <c r="H8" s="11"/>
      <c r="I8" s="11"/>
      <c r="J8" s="11"/>
      <c r="K8" s="12"/>
    </row>
    <row r="9" spans="1:13" x14ac:dyDescent="0.45">
      <c r="B9" s="11"/>
      <c r="C9" s="13" t="str">
        <f>"PRODUCTO OFERTADO: "&amp;D4</f>
        <v>PRODUCTO OFERTADO: PRODUCTO No. 7</v>
      </c>
      <c r="D9" s="5"/>
      <c r="E9" s="5"/>
      <c r="G9" s="11"/>
      <c r="H9" s="11"/>
      <c r="I9" s="11"/>
      <c r="J9" s="11"/>
      <c r="K9" s="12"/>
    </row>
    <row r="10" spans="1:13" x14ac:dyDescent="0.45">
      <c r="B10" s="11"/>
      <c r="C10" s="13"/>
      <c r="D10" s="5"/>
      <c r="E10" s="5"/>
      <c r="G10" s="11"/>
      <c r="H10" s="11"/>
      <c r="I10" s="11"/>
      <c r="J10" s="11"/>
      <c r="K10" s="12"/>
    </row>
    <row r="11" spans="1:13" x14ac:dyDescent="0.45">
      <c r="B11" s="11"/>
      <c r="C11" s="10" t="s">
        <v>35</v>
      </c>
      <c r="D11" s="14"/>
      <c r="E11" s="14"/>
      <c r="F11" s="15"/>
      <c r="G11" s="11"/>
      <c r="H11" s="11"/>
      <c r="I11" s="11"/>
      <c r="J11" s="11"/>
      <c r="K11" s="12"/>
    </row>
    <row r="12" spans="1:13" x14ac:dyDescent="0.45">
      <c r="B12" s="16"/>
      <c r="C12" s="15"/>
    </row>
    <row r="13" spans="1:13" x14ac:dyDescent="0.45">
      <c r="F13" s="106" t="str">
        <f>"Oferta " &amp; PROPER(D4)</f>
        <v>Oferta Producto No. 7</v>
      </c>
      <c r="G13" s="106"/>
      <c r="H13" s="106"/>
      <c r="I13" s="106"/>
      <c r="J13" s="106"/>
    </row>
    <row r="14" spans="1:13" ht="72.75" customHeight="1" x14ac:dyDescent="0.45">
      <c r="F14" s="17" t="s">
        <v>36</v>
      </c>
      <c r="G14" s="18" t="s">
        <v>37</v>
      </c>
      <c r="H14" s="18" t="s">
        <v>38</v>
      </c>
      <c r="I14" s="18" t="s">
        <v>39</v>
      </c>
      <c r="J14" s="19" t="s">
        <v>40</v>
      </c>
    </row>
    <row r="15" spans="1:13" x14ac:dyDescent="0.45">
      <c r="A15" s="20">
        <v>22.85</v>
      </c>
      <c r="B15" s="20">
        <v>31</v>
      </c>
      <c r="F15" s="21">
        <f>+'Cantidades Producto No. 7'!A16</f>
        <v>46357</v>
      </c>
      <c r="G15" s="22">
        <f>+'Cantidades Producto No. 7'!AB16</f>
        <v>6832.1025762103054</v>
      </c>
      <c r="H15" s="23"/>
      <c r="I15" s="24"/>
      <c r="J15" s="97"/>
      <c r="L15" s="25"/>
      <c r="M15" s="25"/>
    </row>
    <row r="16" spans="1:13" x14ac:dyDescent="0.45">
      <c r="F16" s="29" t="s">
        <v>24</v>
      </c>
      <c r="G16" s="30">
        <f>SUM(G15:G15)</f>
        <v>6832.1025762103054</v>
      </c>
      <c r="H16" s="31"/>
      <c r="I16" s="31"/>
      <c r="J16" s="32"/>
    </row>
    <row r="17" spans="1:12" x14ac:dyDescent="0.45">
      <c r="F17" s="33"/>
      <c r="G17" s="34"/>
    </row>
    <row r="18" spans="1:12" x14ac:dyDescent="0.45">
      <c r="B18" s="35" t="s">
        <v>41</v>
      </c>
      <c r="C18" s="36"/>
      <c r="D18" s="36"/>
      <c r="E18" s="36"/>
      <c r="F18" s="36"/>
      <c r="G18" s="36"/>
      <c r="L18" s="36"/>
    </row>
    <row r="19" spans="1:12" x14ac:dyDescent="0.45">
      <c r="B19" s="35"/>
      <c r="C19" s="36"/>
      <c r="D19" s="36"/>
      <c r="E19" s="36"/>
      <c r="F19" s="36"/>
      <c r="G19" s="36"/>
      <c r="H19" s="36"/>
      <c r="I19" s="36"/>
      <c r="J19" s="36"/>
      <c r="K19" s="36"/>
      <c r="L19" s="36"/>
    </row>
    <row r="20" spans="1:12" ht="24.75" customHeight="1" x14ac:dyDescent="0.45">
      <c r="B20" s="102" t="s">
        <v>42</v>
      </c>
      <c r="C20" s="102"/>
      <c r="D20" s="102"/>
      <c r="E20" s="102"/>
      <c r="F20" s="102"/>
      <c r="G20" s="102"/>
      <c r="H20" s="102"/>
      <c r="I20" s="102"/>
      <c r="J20" s="102"/>
      <c r="K20" s="102"/>
      <c r="L20" s="102"/>
    </row>
    <row r="21" spans="1:12" ht="39" customHeight="1" x14ac:dyDescent="0.45">
      <c r="B21" s="102" t="str">
        <f>"(2) Las cantidades se distribuyen de acuerdo a la curva del Anexo 1. Ofertas y Cantidades "&amp; D4 &amp;" de los Pliegos de Condiciones definitivos"</f>
        <v>(2) Las cantidades se distribuyen de acuerdo a la curva del Anexo 1. Ofertas y Cantidades PRODUCTO No. 7 de los Pliegos de Condiciones definitivos</v>
      </c>
      <c r="C21" s="102"/>
      <c r="D21" s="102"/>
      <c r="E21" s="102"/>
      <c r="F21" s="102"/>
      <c r="G21" s="102"/>
      <c r="H21" s="102"/>
      <c r="I21" s="102"/>
      <c r="J21" s="102"/>
      <c r="K21" s="102"/>
      <c r="L21" s="102"/>
    </row>
    <row r="22" spans="1:12" ht="83.25" customHeight="1" x14ac:dyDescent="0.45">
      <c r="B22" s="113" t="s">
        <v>66</v>
      </c>
      <c r="C22" s="113"/>
      <c r="D22" s="113"/>
      <c r="E22" s="113"/>
      <c r="F22" s="113"/>
      <c r="G22" s="113"/>
      <c r="H22" s="113"/>
      <c r="I22" s="113"/>
      <c r="J22" s="113"/>
      <c r="K22" s="113"/>
      <c r="L22" s="113"/>
    </row>
    <row r="23" spans="1:12" ht="43.5" customHeight="1" x14ac:dyDescent="0.45">
      <c r="B23" s="113" t="s">
        <v>44</v>
      </c>
      <c r="C23" s="113"/>
      <c r="D23" s="113"/>
      <c r="E23" s="113"/>
      <c r="F23" s="113"/>
      <c r="G23" s="113"/>
      <c r="H23" s="113"/>
      <c r="I23" s="113"/>
      <c r="J23" s="113"/>
      <c r="K23" s="113"/>
      <c r="L23" s="113"/>
    </row>
    <row r="24" spans="1:12" ht="60" customHeight="1" x14ac:dyDescent="0.45">
      <c r="B24" s="113" t="s">
        <v>45</v>
      </c>
      <c r="C24" s="113"/>
      <c r="D24" s="113"/>
      <c r="E24" s="113"/>
      <c r="F24" s="113"/>
      <c r="G24" s="113"/>
      <c r="H24" s="113"/>
      <c r="I24" s="113"/>
      <c r="J24" s="113"/>
      <c r="K24" s="113"/>
      <c r="L24" s="113"/>
    </row>
    <row r="25" spans="1:12" ht="80.25" customHeight="1" x14ac:dyDescent="0.45">
      <c r="A25" s="15"/>
      <c r="B25" s="113" t="s">
        <v>46</v>
      </c>
      <c r="C25" s="113"/>
      <c r="D25" s="113"/>
      <c r="E25" s="113"/>
      <c r="F25" s="113"/>
      <c r="G25" s="113"/>
      <c r="H25" s="113"/>
      <c r="I25" s="113"/>
      <c r="J25" s="113"/>
      <c r="K25" s="113"/>
      <c r="L25" s="113"/>
    </row>
    <row r="27" spans="1:12" ht="24.75" customHeight="1" x14ac:dyDescent="0.45">
      <c r="B27" s="37"/>
      <c r="C27" s="37"/>
      <c r="D27" s="37"/>
      <c r="E27" s="37"/>
      <c r="F27" s="37"/>
      <c r="G27" s="37"/>
      <c r="H27" s="37"/>
      <c r="I27" s="37"/>
      <c r="J27" s="37"/>
      <c r="K27" s="37"/>
      <c r="L27" s="37"/>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E2F8-1C2B-46D3-A313-27059BF9CD6F}">
  <sheetPr>
    <tabColor theme="9" tint="0.39997558519241921"/>
  </sheetPr>
  <dimension ref="A1:AE19"/>
  <sheetViews>
    <sheetView showGridLines="0" zoomScale="70" zoomScaleNormal="70" workbookViewId="0">
      <selection activeCell="A3" sqref="A3"/>
    </sheetView>
  </sheetViews>
  <sheetFormatPr baseColWidth="10" defaultColWidth="14.453125" defaultRowHeight="15.5" x14ac:dyDescent="0.35"/>
  <cols>
    <col min="1" max="1" width="93.1796875" style="38" bestFit="1" customWidth="1"/>
    <col min="2" max="20" width="7.26953125" style="39" bestFit="1" customWidth="1"/>
    <col min="21" max="21" width="7.7265625" style="39" bestFit="1" customWidth="1"/>
    <col min="22" max="25" width="7.26953125" style="39" bestFit="1" customWidth="1"/>
    <col min="26" max="26" width="13.81640625" style="40" bestFit="1" customWidth="1"/>
    <col min="27" max="27" width="8.54296875" style="38" bestFit="1" customWidth="1"/>
    <col min="28" max="28" width="9.7265625" style="38" customWidth="1"/>
    <col min="29" max="29" width="5.26953125" style="38" customWidth="1"/>
    <col min="30" max="30" width="28.7265625" style="41" bestFit="1" customWidth="1"/>
    <col min="31" max="31" width="14.453125" style="41"/>
    <col min="32" max="16384" width="14.453125" style="38"/>
  </cols>
  <sheetData>
    <row r="1" spans="1:31" ht="93" customHeight="1" thickBot="1" x14ac:dyDescent="0.4"/>
    <row r="2" spans="1:31" ht="23" x14ac:dyDescent="0.5">
      <c r="A2" s="42" t="s">
        <v>47</v>
      </c>
    </row>
    <row r="3" spans="1:31" ht="20.5" thickBot="1" x14ac:dyDescent="0.45">
      <c r="A3" s="43" t="s">
        <v>60</v>
      </c>
    </row>
    <row r="4" spans="1:31" ht="16" thickBot="1" x14ac:dyDescent="0.4"/>
    <row r="5" spans="1:31" ht="16" thickBot="1" x14ac:dyDescent="0.4">
      <c r="A5" s="44"/>
      <c r="B5" s="45"/>
      <c r="C5" s="45"/>
      <c r="D5" s="45"/>
      <c r="E5" s="46"/>
      <c r="F5" s="45"/>
      <c r="G5" s="45"/>
      <c r="H5" s="45"/>
      <c r="I5" s="45"/>
      <c r="J5" s="45"/>
      <c r="K5" s="47"/>
      <c r="L5" s="47"/>
      <c r="M5" s="47"/>
      <c r="N5" s="47"/>
      <c r="O5" s="47"/>
      <c r="P5" s="47"/>
      <c r="Q5" s="47"/>
      <c r="R5" s="47"/>
      <c r="S5" s="47"/>
      <c r="T5" s="47"/>
      <c r="U5" s="47"/>
      <c r="V5" s="47"/>
      <c r="W5" s="47"/>
      <c r="X5" s="47"/>
      <c r="Y5" s="47"/>
      <c r="Z5" s="48"/>
      <c r="AA5"/>
      <c r="AB5" s="49"/>
      <c r="AD5" s="73"/>
    </row>
    <row r="6" spans="1:31" ht="16" thickBot="1" x14ac:dyDescent="0.4">
      <c r="A6"/>
      <c r="B6" s="45"/>
      <c r="C6" s="45"/>
      <c r="D6" s="45"/>
      <c r="E6" s="45"/>
      <c r="F6" s="45"/>
      <c r="G6" s="45"/>
      <c r="H6" s="45"/>
      <c r="I6" s="45"/>
      <c r="J6" s="45"/>
      <c r="K6" s="50"/>
      <c r="L6" s="50"/>
      <c r="M6" s="50"/>
      <c r="N6" s="50"/>
      <c r="O6" s="50"/>
      <c r="P6" s="50"/>
      <c r="Q6" s="50"/>
      <c r="R6" s="50"/>
      <c r="S6" s="50"/>
      <c r="T6" s="50"/>
      <c r="U6" s="50"/>
      <c r="V6" s="50"/>
      <c r="W6" s="50"/>
      <c r="X6" s="50"/>
      <c r="Y6" s="50"/>
      <c r="Z6" s="48"/>
      <c r="AA6"/>
      <c r="AB6"/>
      <c r="AD6" s="73"/>
      <c r="AE6" s="73"/>
    </row>
    <row r="7" spans="1:31" ht="16" customHeight="1" thickBot="1" x14ac:dyDescent="0.4">
      <c r="A7" s="51" t="s">
        <v>48</v>
      </c>
      <c r="B7" s="52" t="s">
        <v>0</v>
      </c>
      <c r="C7" s="52" t="s">
        <v>1</v>
      </c>
      <c r="D7" s="52" t="s">
        <v>2</v>
      </c>
      <c r="E7" s="52" t="s">
        <v>3</v>
      </c>
      <c r="F7" s="52" t="s">
        <v>4</v>
      </c>
      <c r="G7" s="52" t="s">
        <v>5</v>
      </c>
      <c r="H7" s="52" t="s">
        <v>6</v>
      </c>
      <c r="I7" s="52" t="s">
        <v>7</v>
      </c>
      <c r="J7" s="52" t="s">
        <v>8</v>
      </c>
      <c r="K7" s="52" t="s">
        <v>9</v>
      </c>
      <c r="L7" s="52" t="s">
        <v>10</v>
      </c>
      <c r="M7" s="52" t="s">
        <v>11</v>
      </c>
      <c r="N7" s="52" t="s">
        <v>12</v>
      </c>
      <c r="O7" s="52" t="s">
        <v>13</v>
      </c>
      <c r="P7" s="52" t="s">
        <v>14</v>
      </c>
      <c r="Q7" s="52" t="s">
        <v>15</v>
      </c>
      <c r="R7" s="52" t="s">
        <v>16</v>
      </c>
      <c r="S7" s="52" t="s">
        <v>17</v>
      </c>
      <c r="T7" s="52" t="s">
        <v>18</v>
      </c>
      <c r="U7" s="52" t="s">
        <v>19</v>
      </c>
      <c r="V7" s="52" t="s">
        <v>20</v>
      </c>
      <c r="W7" s="52" t="s">
        <v>21</v>
      </c>
      <c r="X7" s="52" t="s">
        <v>22</v>
      </c>
      <c r="Y7" s="52" t="s">
        <v>23</v>
      </c>
      <c r="Z7" s="52" t="s">
        <v>24</v>
      </c>
      <c r="AA7" s="53" t="s">
        <v>49</v>
      </c>
      <c r="AB7" s="54"/>
      <c r="AC7" s="41"/>
      <c r="AD7" s="101" t="s">
        <v>59</v>
      </c>
      <c r="AE7" s="73"/>
    </row>
    <row r="8" spans="1:31" ht="16" thickBot="1" x14ac:dyDescent="0.4">
      <c r="A8" s="55">
        <v>46357</v>
      </c>
      <c r="B8" s="56">
        <v>4.5167033758487625</v>
      </c>
      <c r="C8" s="56">
        <v>3.1590200137701494</v>
      </c>
      <c r="D8" s="56">
        <v>2.4431621239576882</v>
      </c>
      <c r="E8" s="56">
        <v>2.1416207257887026</v>
      </c>
      <c r="F8" s="56">
        <v>2.513513661709355</v>
      </c>
      <c r="G8" s="56">
        <v>3.6840149441512868</v>
      </c>
      <c r="H8" s="56">
        <v>6.2862861207554044</v>
      </c>
      <c r="I8" s="56">
        <v>6.0955375133831433</v>
      </c>
      <c r="J8" s="56">
        <v>8.7885326304140516</v>
      </c>
      <c r="K8" s="56">
        <v>10.569567253056386</v>
      </c>
      <c r="L8" s="56">
        <v>12.279273519686551</v>
      </c>
      <c r="M8" s="56">
        <v>13.782589710065611</v>
      </c>
      <c r="N8" s="56">
        <v>13.798873127563198</v>
      </c>
      <c r="O8" s="56">
        <v>13.506145031140283</v>
      </c>
      <c r="P8" s="56">
        <v>13.742033490958926</v>
      </c>
      <c r="Q8" s="56">
        <v>13.546515606028738</v>
      </c>
      <c r="R8" s="56">
        <v>12.9534271290617</v>
      </c>
      <c r="S8" s="56">
        <v>15.755488201382741</v>
      </c>
      <c r="T8" s="56">
        <v>16.88953569849151</v>
      </c>
      <c r="U8" s="56">
        <v>16.806058277073706</v>
      </c>
      <c r="V8" s="56">
        <v>15.455988899993764</v>
      </c>
      <c r="W8" s="56">
        <v>13.577408572264739</v>
      </c>
      <c r="X8" s="56">
        <v>10.767566604785058</v>
      </c>
      <c r="Y8" s="56">
        <v>7.7988189759800255</v>
      </c>
      <c r="Z8" s="57">
        <v>240.85768120731149</v>
      </c>
      <c r="AA8" s="58">
        <v>21</v>
      </c>
      <c r="AB8" s="59">
        <v>5058.0113053535415</v>
      </c>
      <c r="AC8" s="41"/>
      <c r="AD8" s="59" t="s">
        <v>25</v>
      </c>
      <c r="AE8" s="73"/>
    </row>
    <row r="9" spans="1:31" ht="16" thickBot="1" x14ac:dyDescent="0.4">
      <c r="A9" s="60">
        <v>46357</v>
      </c>
      <c r="B9" s="56">
        <v>4.7060239950080316</v>
      </c>
      <c r="C9" s="56">
        <v>3.3198911280539423</v>
      </c>
      <c r="D9" s="56">
        <v>2.5145093160683563</v>
      </c>
      <c r="E9" s="56">
        <v>2.0927740301123006</v>
      </c>
      <c r="F9" s="56">
        <v>2.3355860748345538</v>
      </c>
      <c r="G9" s="56">
        <v>2.947021458546117</v>
      </c>
      <c r="H9" s="56">
        <v>5.2460274863776606</v>
      </c>
      <c r="I9" s="56">
        <v>5.0493520642193861</v>
      </c>
      <c r="J9" s="56">
        <v>7.9140232438851994</v>
      </c>
      <c r="K9" s="56">
        <v>9.9368953904819168</v>
      </c>
      <c r="L9" s="56">
        <v>11.503890649325079</v>
      </c>
      <c r="M9" s="56">
        <v>12.886893459476148</v>
      </c>
      <c r="N9" s="56">
        <v>12.836688936025002</v>
      </c>
      <c r="O9" s="56">
        <v>11.762990231483021</v>
      </c>
      <c r="P9" s="56">
        <v>10.813451213845688</v>
      </c>
      <c r="Q9" s="56">
        <v>10.327180250471454</v>
      </c>
      <c r="R9" s="56">
        <v>10.107861164078317</v>
      </c>
      <c r="S9" s="56">
        <v>13.939594736498151</v>
      </c>
      <c r="T9" s="56">
        <v>15.406997486502364</v>
      </c>
      <c r="U9" s="56">
        <v>15.221004635731948</v>
      </c>
      <c r="V9" s="56">
        <v>13.823310167243919</v>
      </c>
      <c r="W9" s="56">
        <v>12.059121417589125</v>
      </c>
      <c r="X9" s="56">
        <v>9.6865384800621719</v>
      </c>
      <c r="Y9" s="56">
        <v>7.2706172280247507</v>
      </c>
      <c r="Z9" s="61">
        <v>213.70824424394465</v>
      </c>
      <c r="AA9" s="58">
        <v>4</v>
      </c>
      <c r="AB9" s="63">
        <v>854.83297697577859</v>
      </c>
      <c r="AC9" s="41"/>
      <c r="AD9" s="63" t="s">
        <v>26</v>
      </c>
      <c r="AE9" s="73"/>
    </row>
    <row r="10" spans="1:31" ht="16" thickBot="1" x14ac:dyDescent="0.4">
      <c r="A10" s="60">
        <v>46357</v>
      </c>
      <c r="B10" s="56">
        <v>4.8514076652047322</v>
      </c>
      <c r="C10" s="56">
        <v>3.516535437618094</v>
      </c>
      <c r="D10" s="56">
        <v>2.6327010198468952</v>
      </c>
      <c r="E10" s="56">
        <v>2.0240096809746491</v>
      </c>
      <c r="F10" s="56">
        <v>1.8293933122765111</v>
      </c>
      <c r="G10" s="56">
        <v>1.8544381302444191</v>
      </c>
      <c r="H10" s="56">
        <v>2.5979338719074323</v>
      </c>
      <c r="I10" s="56">
        <v>0.99560539123591574</v>
      </c>
      <c r="J10" s="56">
        <v>2.6130426430258842</v>
      </c>
      <c r="K10" s="56">
        <v>4.5614538746732389</v>
      </c>
      <c r="L10" s="56">
        <v>6.1953828935952728</v>
      </c>
      <c r="M10" s="56">
        <v>7.496741871042631</v>
      </c>
      <c r="N10" s="56">
        <v>8.3385010936993087</v>
      </c>
      <c r="O10" s="56">
        <v>8.3784003359410377</v>
      </c>
      <c r="P10" s="56">
        <v>7.7321399917952904</v>
      </c>
      <c r="Q10" s="56">
        <v>7.2888059637711224</v>
      </c>
      <c r="R10" s="56">
        <v>6.9224766453845028</v>
      </c>
      <c r="S10" s="56">
        <v>10.696329906084229</v>
      </c>
      <c r="T10" s="56">
        <v>12.601379526414396</v>
      </c>
      <c r="U10" s="56">
        <v>12.736136599781265</v>
      </c>
      <c r="V10" s="56">
        <v>11.983762907141649</v>
      </c>
      <c r="W10" s="56">
        <v>10.663263057121778</v>
      </c>
      <c r="X10" s="56">
        <v>8.561732606921014</v>
      </c>
      <c r="Y10" s="56">
        <v>6.1381412211296658</v>
      </c>
      <c r="Z10" s="61">
        <v>153.20971564683094</v>
      </c>
      <c r="AA10" s="58">
        <v>6</v>
      </c>
      <c r="AB10" s="63">
        <v>919.25829388098566</v>
      </c>
      <c r="AC10" s="41"/>
      <c r="AD10" s="63" t="s">
        <v>27</v>
      </c>
      <c r="AE10" s="73"/>
    </row>
    <row r="11" spans="1:31" x14ac:dyDescent="0.35">
      <c r="A11" s="60">
        <v>46357</v>
      </c>
      <c r="B11" s="56">
        <v>9.7960792086546391</v>
      </c>
      <c r="C11" s="56">
        <v>8.3047813061652374</v>
      </c>
      <c r="D11" s="56">
        <v>7.3123631437559116</v>
      </c>
      <c r="E11" s="56">
        <v>6.6132175590094295</v>
      </c>
      <c r="F11" s="56">
        <v>6.3522725830878217</v>
      </c>
      <c r="G11" s="56">
        <v>6.332347274288356</v>
      </c>
      <c r="H11" s="56">
        <v>7.129435386810214</v>
      </c>
      <c r="I11" s="56">
        <v>5.5902747251482099</v>
      </c>
      <c r="J11" s="56">
        <v>7.3171442415765879</v>
      </c>
      <c r="K11" s="56">
        <v>9.3226274452415705</v>
      </c>
      <c r="L11" s="56">
        <v>10.975332912924411</v>
      </c>
      <c r="M11" s="56">
        <v>12.284752122835172</v>
      </c>
      <c r="N11" s="56">
        <v>13.163496914270775</v>
      </c>
      <c r="O11" s="56">
        <v>13.224959885042042</v>
      </c>
      <c r="P11" s="56">
        <v>12.581461586209317</v>
      </c>
      <c r="Q11" s="56">
        <v>12.0934442846157</v>
      </c>
      <c r="R11" s="56">
        <v>11.707131946724058</v>
      </c>
      <c r="S11" s="56">
        <v>15.512124993368136</v>
      </c>
      <c r="T11" s="56">
        <v>17.612217701511074</v>
      </c>
      <c r="U11" s="56">
        <v>17.92949551990321</v>
      </c>
      <c r="V11" s="56">
        <v>17.230654724148046</v>
      </c>
      <c r="W11" s="56">
        <v>15.886845900802978</v>
      </c>
      <c r="X11" s="56">
        <v>13.595494906815086</v>
      </c>
      <c r="Y11" s="56">
        <v>10.983446461006682</v>
      </c>
      <c r="Z11" s="61">
        <v>268.85140273391465</v>
      </c>
      <c r="AA11" s="58">
        <v>0</v>
      </c>
      <c r="AB11" s="63">
        <v>0</v>
      </c>
      <c r="AC11" s="41"/>
      <c r="AD11" s="63" t="s">
        <v>28</v>
      </c>
      <c r="AE11" s="73"/>
    </row>
    <row r="12" spans="1:31" s="41" customFormat="1" ht="16" thickBot="1" x14ac:dyDescent="0.4">
      <c r="A12"/>
      <c r="B12" s="67"/>
      <c r="C12" s="50"/>
      <c r="D12" s="50"/>
      <c r="E12" s="50"/>
      <c r="F12" s="50"/>
      <c r="G12" s="50"/>
      <c r="H12" s="50"/>
      <c r="I12" s="50"/>
      <c r="J12" s="50"/>
      <c r="K12" s="50"/>
      <c r="L12" s="50"/>
      <c r="M12" s="50"/>
      <c r="N12" s="50"/>
      <c r="O12" s="50"/>
      <c r="P12" s="50"/>
      <c r="Q12" s="50"/>
      <c r="R12" s="50"/>
      <c r="S12" s="50"/>
      <c r="T12" s="50"/>
      <c r="U12" s="50"/>
      <c r="V12" s="50"/>
      <c r="W12" s="50"/>
      <c r="X12" s="50"/>
      <c r="Y12" s="50"/>
      <c r="Z12" s="48"/>
      <c r="AA12" s="68"/>
      <c r="AB12"/>
      <c r="AC12" s="38"/>
      <c r="AD12" s="73"/>
    </row>
    <row r="13" spans="1:31" s="41" customFormat="1" ht="16" thickBot="1" x14ac:dyDescent="0.4">
      <c r="A13" s="44" t="s">
        <v>50</v>
      </c>
      <c r="B13" s="50"/>
      <c r="C13" s="50"/>
      <c r="D13" s="50"/>
      <c r="E13" s="69"/>
      <c r="F13" s="50"/>
      <c r="G13" s="50"/>
      <c r="H13" s="50"/>
      <c r="I13" s="50"/>
      <c r="J13" s="50"/>
      <c r="K13" s="50"/>
      <c r="L13" s="50"/>
      <c r="M13" s="50"/>
      <c r="N13" s="50"/>
      <c r="O13" s="50"/>
      <c r="P13" s="50"/>
      <c r="Q13" s="50"/>
      <c r="R13" s="50"/>
      <c r="S13" s="50"/>
      <c r="T13" s="50"/>
      <c r="U13" s="50"/>
      <c r="V13" s="50"/>
      <c r="W13" s="50"/>
      <c r="X13" s="50"/>
      <c r="Y13" s="50"/>
      <c r="Z13" s="48"/>
      <c r="AA13" s="68"/>
      <c r="AB13"/>
      <c r="AC13" s="38"/>
      <c r="AD13" s="73"/>
    </row>
    <row r="14" spans="1:31" s="41" customFormat="1" ht="16" thickBot="1" x14ac:dyDescent="0.4">
      <c r="A14"/>
      <c r="B14" s="67"/>
      <c r="C14" s="50"/>
      <c r="D14" s="50"/>
      <c r="E14" s="50"/>
      <c r="F14" s="50"/>
      <c r="G14" s="50"/>
      <c r="H14" s="50"/>
      <c r="I14" s="50"/>
      <c r="J14" s="50"/>
      <c r="K14" s="50"/>
      <c r="L14" s="50"/>
      <c r="M14" s="50"/>
      <c r="N14" s="50"/>
      <c r="O14" s="50"/>
      <c r="P14" s="50"/>
      <c r="Q14" s="50"/>
      <c r="R14" s="50"/>
      <c r="S14" s="50"/>
      <c r="T14" s="50"/>
      <c r="U14" s="50"/>
      <c r="V14" s="50"/>
      <c r="W14" s="50"/>
      <c r="X14" s="50"/>
      <c r="Y14" s="50"/>
      <c r="Z14" s="48"/>
      <c r="AA14"/>
      <c r="AB14"/>
      <c r="AC14" s="38"/>
      <c r="AD14" s="73"/>
    </row>
    <row r="15" spans="1:31" s="41" customFormat="1" ht="16" thickBot="1" x14ac:dyDescent="0.4">
      <c r="A15" s="51" t="s">
        <v>48</v>
      </c>
      <c r="B15" s="52" t="s">
        <v>0</v>
      </c>
      <c r="C15" s="52" t="s">
        <v>1</v>
      </c>
      <c r="D15" s="52" t="s">
        <v>2</v>
      </c>
      <c r="E15" s="52" t="s">
        <v>3</v>
      </c>
      <c r="F15" s="52" t="s">
        <v>4</v>
      </c>
      <c r="G15" s="52" t="s">
        <v>5</v>
      </c>
      <c r="H15" s="52" t="s">
        <v>6</v>
      </c>
      <c r="I15" s="52" t="s">
        <v>7</v>
      </c>
      <c r="J15" s="52" t="s">
        <v>8</v>
      </c>
      <c r="K15" s="52" t="s">
        <v>9</v>
      </c>
      <c r="L15" s="52" t="s">
        <v>10</v>
      </c>
      <c r="M15" s="52" t="s">
        <v>11</v>
      </c>
      <c r="N15" s="52" t="s">
        <v>12</v>
      </c>
      <c r="O15" s="52" t="s">
        <v>13</v>
      </c>
      <c r="P15" s="52" t="s">
        <v>14</v>
      </c>
      <c r="Q15" s="52" t="s">
        <v>15</v>
      </c>
      <c r="R15" s="52" t="s">
        <v>16</v>
      </c>
      <c r="S15" s="52" t="s">
        <v>17</v>
      </c>
      <c r="T15" s="52" t="s">
        <v>18</v>
      </c>
      <c r="U15" s="52" t="s">
        <v>19</v>
      </c>
      <c r="V15" s="52" t="s">
        <v>20</v>
      </c>
      <c r="W15" s="52" t="s">
        <v>21</v>
      </c>
      <c r="X15" s="52" t="s">
        <v>22</v>
      </c>
      <c r="Y15" s="52" t="s">
        <v>23</v>
      </c>
      <c r="Z15" s="52" t="s">
        <v>24</v>
      </c>
      <c r="AA15" s="52" t="s">
        <v>49</v>
      </c>
      <c r="AB15" s="54"/>
      <c r="AC15" s="38"/>
      <c r="AD15" s="89"/>
    </row>
    <row r="16" spans="1:31" s="41" customFormat="1" x14ac:dyDescent="0.35">
      <c r="A16" s="55">
        <v>46357</v>
      </c>
      <c r="B16" s="70">
        <v>142.78331286408454</v>
      </c>
      <c r="C16" s="70">
        <v>100.71819742709746</v>
      </c>
      <c r="D16" s="70">
        <v>77.160647986466245</v>
      </c>
      <c r="E16" s="70">
        <v>65.489189447859843</v>
      </c>
      <c r="F16" s="70">
        <v>73.102491068893741</v>
      </c>
      <c r="G16" s="70">
        <v>100.27902844282801</v>
      </c>
      <c r="H16" s="70">
        <v>168.58372171281874</v>
      </c>
      <c r="I16" s="70">
        <v>154.17732838533905</v>
      </c>
      <c r="J16" s="70">
        <v>231.89353407239116</v>
      </c>
      <c r="K16" s="70">
        <v>289.07721712415122</v>
      </c>
      <c r="L16" s="70">
        <v>341.05260387228952</v>
      </c>
      <c r="M16" s="70">
        <v>385.96240897553821</v>
      </c>
      <c r="N16" s="70">
        <v>391.15409798512297</v>
      </c>
      <c r="O16" s="70">
        <v>380.95140859552419</v>
      </c>
      <c r="P16" s="70">
        <v>378.22934811629193</v>
      </c>
      <c r="Q16" s="70">
        <v>369.5183845111161</v>
      </c>
      <c r="R16" s="70">
        <v>353.98827423891601</v>
      </c>
      <c r="S16" s="70">
        <v>450.80161061153558</v>
      </c>
      <c r="T16" s="70">
        <v>491.91651677281754</v>
      </c>
      <c r="U16" s="70">
        <v>490.22806196016319</v>
      </c>
      <c r="V16" s="70">
        <v>451.77158501169458</v>
      </c>
      <c r="W16" s="70">
        <v>397.34164403064671</v>
      </c>
      <c r="X16" s="70">
        <v>316.235448262261</v>
      </c>
      <c r="Y16" s="70">
        <v>229.68651473445752</v>
      </c>
      <c r="Z16" s="57">
        <v>6832.1025762103054</v>
      </c>
      <c r="AA16" s="58">
        <v>31</v>
      </c>
      <c r="AB16" s="59">
        <v>6832.1025762103054</v>
      </c>
      <c r="AC16" s="99">
        <v>0</v>
      </c>
      <c r="AD16" s="98"/>
    </row>
    <row r="17" spans="1:29" s="41" customFormat="1" x14ac:dyDescent="0.35">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40"/>
      <c r="AA17" s="38"/>
      <c r="AB17" s="38"/>
      <c r="AC17" s="38"/>
    </row>
    <row r="19" spans="1:29" s="41" customFormat="1" x14ac:dyDescent="0.35">
      <c r="A19" s="38"/>
      <c r="B19" s="39"/>
      <c r="C19" s="39"/>
      <c r="D19" s="39"/>
      <c r="E19" s="39"/>
      <c r="F19" s="39"/>
      <c r="G19" s="39"/>
      <c r="H19" s="39"/>
      <c r="I19" s="39"/>
      <c r="J19" s="39"/>
      <c r="K19" s="39"/>
      <c r="L19" s="39"/>
      <c r="M19" s="39"/>
      <c r="N19" s="39"/>
      <c r="O19" s="39"/>
      <c r="P19" s="39"/>
      <c r="Q19" s="39"/>
      <c r="R19" s="39"/>
      <c r="S19" s="39"/>
      <c r="T19" s="39"/>
      <c r="U19" s="39"/>
      <c r="V19" s="39"/>
      <c r="W19" s="39"/>
      <c r="X19" s="39"/>
      <c r="Y19" s="39"/>
      <c r="Z19" s="96"/>
      <c r="AA19" s="38"/>
      <c r="AB19" s="38"/>
      <c r="AC19" s="38"/>
    </row>
  </sheetData>
  <conditionalFormatting sqref="B1:Y1048576">
    <cfRule type="cellIs" dxfId="2" priority="1" operator="lessThan">
      <formula>0</formula>
    </cfRule>
  </conditionalFormatting>
  <conditionalFormatting sqref="AA8:AA11">
    <cfRule type="cellIs" dxfId="1" priority="3" operator="lessThan">
      <formula>0</formula>
    </cfRule>
  </conditionalFormatting>
  <conditionalFormatting sqref="AA16">
    <cfRule type="cellIs" dxfId="0" priority="2"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8</vt:i4>
      </vt:variant>
    </vt:vector>
  </HeadingPairs>
  <TitlesOfParts>
    <vt:vector size="23" baseType="lpstr">
      <vt:lpstr>Oferta Producto No. 1</vt:lpstr>
      <vt:lpstr>Cantidades Producto No. 1</vt:lpstr>
      <vt:lpstr>Oferta Producto No. 2 </vt:lpstr>
      <vt:lpstr>Cantidades Producto No. 2</vt:lpstr>
      <vt:lpstr>Oferta Producto Base Curva</vt:lpstr>
      <vt:lpstr>Oferta Producto No. 3</vt:lpstr>
      <vt:lpstr>Cantidades Producto No. 3</vt:lpstr>
      <vt:lpstr>Oferta Producto No. 4</vt:lpstr>
      <vt:lpstr>Cantidades Producto No. 4</vt:lpstr>
      <vt:lpstr>Oferta Producto No. 5</vt:lpstr>
      <vt:lpstr>Cantidades Producto No. 5</vt:lpstr>
      <vt:lpstr>Oferta Producto No. 6</vt:lpstr>
      <vt:lpstr>Cantidades Producto No. 6</vt:lpstr>
      <vt:lpstr>Oferta Producto No. 7</vt:lpstr>
      <vt:lpstr>Cantidades Producto No. 7</vt:lpstr>
      <vt:lpstr>'Oferta Producto Base Curva'!Área_de_impresión</vt:lpstr>
      <vt:lpstr>'Oferta Producto No. 1'!Área_de_impresión</vt:lpstr>
      <vt:lpstr>'Oferta Producto No. 2 '!Área_de_impresión</vt:lpstr>
      <vt:lpstr>'Oferta Producto No. 3'!Área_de_impresión</vt:lpstr>
      <vt:lpstr>'Oferta Producto No. 4'!Área_de_impresión</vt:lpstr>
      <vt:lpstr>'Oferta Producto No. 5'!Área_de_impresión</vt:lpstr>
      <vt:lpstr>'Oferta Producto No. 6'!Área_de_impresión</vt:lpstr>
      <vt:lpstr>'Oferta Producto No. 7'!Área_de_impresión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Arias Castano</dc:creator>
  <cp:lastModifiedBy>John Alexander Perilla Rincon</cp:lastModifiedBy>
  <dcterms:created xsi:type="dcterms:W3CDTF">2025-06-24T16:43:47Z</dcterms:created>
  <dcterms:modified xsi:type="dcterms:W3CDTF">2025-09-17T02:43:30Z</dcterms:modified>
</cp:coreProperties>
</file>