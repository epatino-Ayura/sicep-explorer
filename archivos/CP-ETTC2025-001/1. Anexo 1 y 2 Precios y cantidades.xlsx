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K:\ANALISIS DE MERCADO\CONTRATOS MEM\GESTION DE CONTRATOS\SICEP\4. CONVOCATORIAS 2025\CP-ETTC2025-001\0. BASES\"/>
    </mc:Choice>
  </mc:AlternateContent>
  <xr:revisionPtr revIDLastSave="0" documentId="13_ncr:1_{8FADC155-6D14-472D-84BD-8D18C75B466A}" xr6:coauthVersionLast="47" xr6:coauthVersionMax="47" xr10:uidLastSave="{00000000-0000-0000-0000-000000000000}"/>
  <bookViews>
    <workbookView xWindow="-28920" yWindow="-120" windowWidth="29040" windowHeight="15720" xr2:uid="{3356226D-6403-4143-A471-BF24866AC6A4}"/>
  </bookViews>
  <sheets>
    <sheet name="Anexo 1 Necesidades de Contrata" sheetId="3" r:id="rId1"/>
    <sheet name="Anexo 2 $ y  Cant" sheetId="8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82" i="8" l="1"/>
  <c r="J71" i="8"/>
  <c r="I71" i="8"/>
  <c r="I72" i="8" s="1"/>
  <c r="J70" i="8"/>
  <c r="J65" i="8"/>
  <c r="I54" i="8"/>
  <c r="I55" i="8" s="1"/>
  <c r="J53" i="8"/>
  <c r="J48" i="8"/>
  <c r="J37" i="8"/>
  <c r="I37" i="8"/>
  <c r="I38" i="8" s="1"/>
  <c r="J36" i="8"/>
  <c r="J31" i="8"/>
  <c r="E27" i="8"/>
  <c r="D27" i="8"/>
  <c r="C27" i="8"/>
  <c r="B27" i="8"/>
  <c r="I20" i="8"/>
  <c r="I21" i="8" s="1"/>
  <c r="J19" i="8"/>
  <c r="L14" i="8"/>
  <c r="K14" i="8"/>
  <c r="J14" i="8"/>
  <c r="I14" i="8"/>
  <c r="M13" i="8"/>
  <c r="L13" i="8"/>
  <c r="K13" i="8"/>
  <c r="J13" i="8"/>
  <c r="I13" i="8"/>
  <c r="I15" i="8" s="1"/>
  <c r="M12" i="8"/>
  <c r="L12" i="8"/>
  <c r="K12" i="8"/>
  <c r="J12" i="8"/>
  <c r="M11" i="8"/>
  <c r="L11" i="8"/>
  <c r="K11" i="8"/>
  <c r="J11" i="8"/>
  <c r="M10" i="8"/>
  <c r="L10" i="8"/>
  <c r="K10" i="8"/>
  <c r="J10" i="8"/>
  <c r="M9" i="8"/>
  <c r="L9" i="8"/>
  <c r="K9" i="8"/>
  <c r="J9" i="8"/>
  <c r="M8" i="8"/>
  <c r="L8" i="8"/>
  <c r="K8" i="8"/>
  <c r="J8" i="8"/>
  <c r="M7" i="8"/>
  <c r="L7" i="8"/>
  <c r="K7" i="8"/>
  <c r="J7" i="8"/>
  <c r="M6" i="8"/>
  <c r="L6" i="8"/>
  <c r="K6" i="8"/>
  <c r="J6" i="8"/>
  <c r="M5" i="8"/>
  <c r="L5" i="8"/>
  <c r="K5" i="8"/>
  <c r="J5" i="8"/>
  <c r="H5" i="8"/>
  <c r="H6" i="8" s="1"/>
  <c r="H7" i="8" s="1"/>
  <c r="H8" i="8" s="1"/>
  <c r="H9" i="8" s="1"/>
  <c r="H10" i="8" s="1"/>
  <c r="H11" i="8" s="1"/>
  <c r="H12" i="8" s="1"/>
  <c r="H13" i="8" s="1"/>
  <c r="H14" i="8" s="1"/>
  <c r="M4" i="8"/>
  <c r="L4" i="8"/>
  <c r="K4" i="8"/>
  <c r="J4" i="8"/>
  <c r="H4" i="8"/>
  <c r="M3" i="8"/>
  <c r="M15" i="8" s="1"/>
  <c r="L3" i="8"/>
  <c r="L15" i="8" s="1"/>
  <c r="K3" i="8"/>
  <c r="K15" i="8" s="1"/>
  <c r="J3" i="8"/>
  <c r="J15" i="8" s="1"/>
  <c r="I13" i="3"/>
  <c r="I14" i="3"/>
  <c r="J3" i="3"/>
  <c r="J4" i="3"/>
  <c r="O48" i="3"/>
  <c r="N37" i="3"/>
  <c r="N38" i="3" s="1"/>
  <c r="O36" i="3"/>
  <c r="J48" i="3"/>
  <c r="I37" i="3"/>
  <c r="I38" i="3" s="1"/>
  <c r="J36" i="3"/>
  <c r="O31" i="3"/>
  <c r="N20" i="3"/>
  <c r="N21" i="3" s="1"/>
  <c r="O19" i="3"/>
  <c r="J19" i="3"/>
  <c r="J31" i="3"/>
  <c r="H4" i="3"/>
  <c r="H5" i="3" s="1"/>
  <c r="H6" i="3" s="1"/>
  <c r="H7" i="3" s="1"/>
  <c r="H8" i="3" s="1"/>
  <c r="H9" i="3" s="1"/>
  <c r="H10" i="3" s="1"/>
  <c r="H11" i="3" s="1"/>
  <c r="H12" i="3" s="1"/>
  <c r="H13" i="3" s="1"/>
  <c r="H14" i="3" s="1"/>
  <c r="L14" i="3"/>
  <c r="K14" i="3"/>
  <c r="J14" i="3"/>
  <c r="M13" i="3"/>
  <c r="L13" i="3"/>
  <c r="K13" i="3"/>
  <c r="J13" i="3"/>
  <c r="M12" i="3"/>
  <c r="L12" i="3"/>
  <c r="K12" i="3"/>
  <c r="J12" i="3"/>
  <c r="M11" i="3"/>
  <c r="L11" i="3"/>
  <c r="K11" i="3"/>
  <c r="J11" i="3"/>
  <c r="M10" i="3"/>
  <c r="L10" i="3"/>
  <c r="K10" i="3"/>
  <c r="J10" i="3"/>
  <c r="M9" i="3"/>
  <c r="L9" i="3"/>
  <c r="K9" i="3"/>
  <c r="J9" i="3"/>
  <c r="M8" i="3"/>
  <c r="L8" i="3"/>
  <c r="K8" i="3"/>
  <c r="J8" i="3"/>
  <c r="M7" i="3"/>
  <c r="L7" i="3"/>
  <c r="K7" i="3"/>
  <c r="J7" i="3"/>
  <c r="M6" i="3"/>
  <c r="L6" i="3"/>
  <c r="K6" i="3"/>
  <c r="J6" i="3"/>
  <c r="M5" i="3"/>
  <c r="L5" i="3"/>
  <c r="K5" i="3"/>
  <c r="J5" i="3"/>
  <c r="M4" i="3"/>
  <c r="L4" i="3"/>
  <c r="K4" i="3"/>
  <c r="M3" i="3"/>
  <c r="L3" i="3"/>
  <c r="K3" i="3"/>
  <c r="I20" i="3"/>
  <c r="I21" i="3" s="1"/>
  <c r="I22" i="3" s="1"/>
  <c r="I23" i="3" s="1"/>
  <c r="I24" i="3" s="1"/>
  <c r="I25" i="3" s="1"/>
  <c r="I26" i="3" s="1"/>
  <c r="I27" i="3" s="1"/>
  <c r="I28" i="3" s="1"/>
  <c r="I29" i="3" s="1"/>
  <c r="I30" i="3" s="1"/>
  <c r="J30" i="3" s="1"/>
  <c r="I22" i="8" l="1"/>
  <c r="J21" i="8"/>
  <c r="I56" i="8"/>
  <c r="J55" i="8"/>
  <c r="N15" i="8"/>
  <c r="I73" i="8"/>
  <c r="J72" i="8"/>
  <c r="I39" i="8"/>
  <c r="J38" i="8"/>
  <c r="J54" i="8"/>
  <c r="J20" i="8"/>
  <c r="O37" i="3"/>
  <c r="N39" i="3"/>
  <c r="O38" i="3"/>
  <c r="J15" i="3"/>
  <c r="I15" i="3"/>
  <c r="J37" i="3"/>
  <c r="I39" i="3"/>
  <c r="J38" i="3"/>
  <c r="N22" i="3"/>
  <c r="O21" i="3"/>
  <c r="O20" i="3"/>
  <c r="M15" i="3"/>
  <c r="J27" i="3"/>
  <c r="K15" i="3"/>
  <c r="J25" i="3"/>
  <c r="J26" i="3"/>
  <c r="J24" i="3"/>
  <c r="L15" i="3"/>
  <c r="J23" i="3"/>
  <c r="J22" i="3"/>
  <c r="J29" i="3"/>
  <c r="J21" i="3"/>
  <c r="J28" i="3"/>
  <c r="J20" i="3"/>
  <c r="J22" i="8" l="1"/>
  <c r="I23" i="8"/>
  <c r="I74" i="8"/>
  <c r="J73" i="8"/>
  <c r="I40" i="8"/>
  <c r="J39" i="8"/>
  <c r="J56" i="8"/>
  <c r="I57" i="8"/>
  <c r="N40" i="3"/>
  <c r="O39" i="3"/>
  <c r="J32" i="3"/>
  <c r="I40" i="3"/>
  <c r="J39" i="3"/>
  <c r="N23" i="3"/>
  <c r="O22" i="3"/>
  <c r="I41" i="8" l="1"/>
  <c r="J40" i="8"/>
  <c r="I75" i="8"/>
  <c r="J74" i="8"/>
  <c r="I24" i="8"/>
  <c r="J23" i="8"/>
  <c r="I58" i="8"/>
  <c r="J57" i="8"/>
  <c r="O40" i="3"/>
  <c r="N41" i="3"/>
  <c r="J40" i="3"/>
  <c r="I41" i="3"/>
  <c r="O23" i="3"/>
  <c r="N24" i="3"/>
  <c r="N15" i="3"/>
  <c r="I25" i="8" l="1"/>
  <c r="J24" i="8"/>
  <c r="I76" i="8"/>
  <c r="J75" i="8"/>
  <c r="I42" i="8"/>
  <c r="J41" i="8"/>
  <c r="I59" i="8"/>
  <c r="J58" i="8"/>
  <c r="O41" i="3"/>
  <c r="N42" i="3"/>
  <c r="J41" i="3"/>
  <c r="I42" i="3"/>
  <c r="N25" i="3"/>
  <c r="O24" i="3"/>
  <c r="D27" i="3"/>
  <c r="C27" i="3"/>
  <c r="B27" i="3"/>
  <c r="E27" i="3"/>
  <c r="J25" i="8" l="1"/>
  <c r="I26" i="8"/>
  <c r="I60" i="8"/>
  <c r="J59" i="8"/>
  <c r="J42" i="8"/>
  <c r="I43" i="8"/>
  <c r="I77" i="8"/>
  <c r="J76" i="8"/>
  <c r="N43" i="3"/>
  <c r="O42" i="3"/>
  <c r="I43" i="3"/>
  <c r="J42" i="3"/>
  <c r="O25" i="3"/>
  <c r="N26" i="3"/>
  <c r="I78" i="8" l="1"/>
  <c r="J77" i="8"/>
  <c r="I44" i="8"/>
  <c r="J43" i="8"/>
  <c r="J26" i="8"/>
  <c r="I27" i="8"/>
  <c r="I61" i="8"/>
  <c r="J60" i="8"/>
  <c r="N44" i="3"/>
  <c r="O43" i="3"/>
  <c r="I44" i="3"/>
  <c r="J43" i="3"/>
  <c r="N27" i="3"/>
  <c r="O26" i="3"/>
  <c r="I45" i="8" l="1"/>
  <c r="J44" i="8"/>
  <c r="I79" i="8"/>
  <c r="J78" i="8"/>
  <c r="J61" i="8"/>
  <c r="I62" i="8"/>
  <c r="J27" i="8"/>
  <c r="I28" i="8"/>
  <c r="O44" i="3"/>
  <c r="N45" i="3"/>
  <c r="J44" i="3"/>
  <c r="I45" i="3"/>
  <c r="O27" i="3"/>
  <c r="N28" i="3"/>
  <c r="I46" i="8" l="1"/>
  <c r="J45" i="8"/>
  <c r="J28" i="8"/>
  <c r="I29" i="8"/>
  <c r="J79" i="8"/>
  <c r="I80" i="8"/>
  <c r="I63" i="8"/>
  <c r="J62" i="8"/>
  <c r="N46" i="3"/>
  <c r="O45" i="3"/>
  <c r="I46" i="3"/>
  <c r="J45" i="3"/>
  <c r="N29" i="3"/>
  <c r="O28" i="3"/>
  <c r="I64" i="8" l="1"/>
  <c r="J64" i="8" s="1"/>
  <c r="J66" i="8" s="1"/>
  <c r="J63" i="8"/>
  <c r="I81" i="8"/>
  <c r="J81" i="8" s="1"/>
  <c r="J80" i="8"/>
  <c r="I30" i="8"/>
  <c r="J30" i="8" s="1"/>
  <c r="J29" i="8"/>
  <c r="I47" i="8"/>
  <c r="J47" i="8" s="1"/>
  <c r="J49" i="8" s="1"/>
  <c r="J46" i="8"/>
  <c r="N47" i="3"/>
  <c r="O47" i="3" s="1"/>
  <c r="O46" i="3"/>
  <c r="I47" i="3"/>
  <c r="J47" i="3" s="1"/>
  <c r="J46" i="3"/>
  <c r="O29" i="3"/>
  <c r="N30" i="3"/>
  <c r="O30" i="3" s="1"/>
  <c r="J32" i="8" l="1"/>
  <c r="J83" i="8"/>
  <c r="O32" i="3"/>
  <c r="O49" i="3"/>
  <c r="J49" i="3"/>
</calcChain>
</file>

<file path=xl/sharedStrings.xml><?xml version="1.0" encoding="utf-8"?>
<sst xmlns="http://schemas.openxmlformats.org/spreadsheetml/2006/main" count="200" uniqueCount="62">
  <si>
    <t>Hábil</t>
  </si>
  <si>
    <t>Sábado</t>
  </si>
  <si>
    <t xml:space="preserve">Domingo </t>
  </si>
  <si>
    <t>Festivo</t>
  </si>
  <si>
    <t>Hora</t>
  </si>
  <si>
    <t>Total dia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</si>
  <si>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</si>
  <si>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</si>
  <si>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</si>
  <si>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</si>
  <si>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</si>
  <si>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</si>
  <si>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</si>
  <si>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</si>
  <si>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</si>
  <si>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</si>
  <si>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</si>
  <si>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</si>
  <si>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Mes</t>
  </si>
  <si>
    <t>No Dias</t>
  </si>
  <si>
    <t>TAMAÑO CONTRATO</t>
  </si>
  <si>
    <t>CANTIDADES</t>
  </si>
  <si>
    <t>H24
KWh</t>
  </si>
  <si>
    <t>H23
KWh</t>
  </si>
  <si>
    <t>H22
KWh</t>
  </si>
  <si>
    <t>H21
KWh</t>
  </si>
  <si>
    <t>H20
KWh</t>
  </si>
  <si>
    <t>H19
KWh</t>
  </si>
  <si>
    <t>H18
KWh</t>
  </si>
  <si>
    <t>H17
KWh</t>
  </si>
  <si>
    <t>H16
KWh</t>
  </si>
  <si>
    <t>H15
KWh</t>
  </si>
  <si>
    <t>H14
KWh</t>
  </si>
  <si>
    <t>H13
KWh</t>
  </si>
  <si>
    <t>H12
KWh</t>
  </si>
  <si>
    <t>H11
KWh</t>
  </si>
  <si>
    <t>H10
KWh</t>
  </si>
  <si>
    <t>H9
KWh</t>
  </si>
  <si>
    <t>H8
KWh</t>
  </si>
  <si>
    <t>H7
KWh</t>
  </si>
  <si>
    <t>H6
KWh</t>
  </si>
  <si>
    <t>H5
KWh</t>
  </si>
  <si>
    <t>H4
KWh</t>
  </si>
  <si>
    <t>H3
KWh</t>
  </si>
  <si>
    <t>H2
KWh</t>
  </si>
  <si>
    <t>H1
KWh</t>
  </si>
  <si>
    <t>MWh</t>
  </si>
  <si>
    <t>Total Mes 
MWh/mes
2037</t>
  </si>
  <si>
    <t>Total Mes 
MWh/mes
2038</t>
  </si>
  <si>
    <t>Total Mes 
MWh/mes
2039</t>
  </si>
  <si>
    <t>Total Mes 
MWh/mes
2040</t>
  </si>
  <si>
    <t>Total Mes 
MWh/mes
2041</t>
  </si>
  <si>
    <t>CURVA DE CARGA MWh</t>
  </si>
  <si>
    <r>
      <t xml:space="preserve">PRODUCTO 1:  </t>
    </r>
    <r>
      <rPr>
        <sz val="11"/>
        <color theme="1"/>
        <rFont val="Aptos Narrow"/>
        <family val="2"/>
        <scheme val="minor"/>
      </rPr>
      <t>25 Nov de 2037 / 24 Nov de 2038</t>
    </r>
  </si>
  <si>
    <r>
      <t xml:space="preserve">PRODUCTO 2:  </t>
    </r>
    <r>
      <rPr>
        <sz val="11"/>
        <color theme="1"/>
        <rFont val="Aptos Narrow"/>
        <family val="2"/>
        <scheme val="minor"/>
      </rPr>
      <t>25 Nov de 2038 / 24 Nov de 2039</t>
    </r>
  </si>
  <si>
    <r>
      <t xml:space="preserve">PRODUCTO 3:  </t>
    </r>
    <r>
      <rPr>
        <sz val="11"/>
        <color theme="1"/>
        <rFont val="Aptos Narrow"/>
        <family val="2"/>
        <scheme val="minor"/>
      </rPr>
      <t>25 Nov de 2039 / 24 Nov de 2040</t>
    </r>
  </si>
  <si>
    <r>
      <t xml:space="preserve">PRODUCTO 4:  </t>
    </r>
    <r>
      <rPr>
        <sz val="11"/>
        <color theme="1"/>
        <rFont val="Aptos Narrow"/>
        <family val="2"/>
        <scheme val="minor"/>
      </rPr>
      <t>25 Nov de 2040 / 24 Nov de 2041</t>
    </r>
  </si>
  <si>
    <r>
      <t xml:space="preserve">PRODUCTO 1:  </t>
    </r>
    <r>
      <rPr>
        <sz val="11"/>
        <color theme="3" tint="0.89999084444715716"/>
        <rFont val="Aptos Narrow"/>
        <family val="2"/>
        <scheme val="minor"/>
      </rPr>
      <t>25 Nov de 2037 / 24 Nov de 2038</t>
    </r>
  </si>
  <si>
    <r>
      <t xml:space="preserve">PRODUCTO 2:  </t>
    </r>
    <r>
      <rPr>
        <sz val="11"/>
        <color theme="3" tint="0.89999084444715716"/>
        <rFont val="Aptos Narrow"/>
        <family val="2"/>
        <scheme val="minor"/>
      </rPr>
      <t>25 Nov de 2038 / 24 Nov de 2039</t>
    </r>
  </si>
  <si>
    <r>
      <t xml:space="preserve">PRODUCTO 3:  </t>
    </r>
    <r>
      <rPr>
        <sz val="11"/>
        <color theme="3" tint="0.89999084444715716"/>
        <rFont val="Aptos Narrow"/>
        <family val="2"/>
        <scheme val="minor"/>
      </rPr>
      <t>25 Nov de 2039 / 24 Nov de 2040</t>
    </r>
  </si>
  <si>
    <r>
      <t xml:space="preserve">PRODUCTO 4:  </t>
    </r>
    <r>
      <rPr>
        <sz val="11"/>
        <color theme="3" tint="0.89999084444715716"/>
        <rFont val="Aptos Narrow"/>
        <family val="2"/>
        <scheme val="minor"/>
      </rPr>
      <t>25 Nov de 2040 / 24 Nov de 2041</t>
    </r>
  </si>
  <si>
    <t>Total Mes 
MWh/mes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</si>
</sst>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_(* #,##0.00_);_(* \(#,##0.00\);_(* &quot;-&quot;??_);_(@_)"/>
    <numFmt numFmtId="165" formatCode="_-* #,##0_-;\-* #,##0_-;_-* &quot;-&quot;??_-;_-@_-"/>
    <numFmt numFmtId="166" formatCode="_-* #,##0.0_-;\-* #,##0.0_-;_-* &quot;-&quot;?_-;_-@_-"/>
  </numFmts>
  <fonts count="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indexed="8"/>
      <name val="Century Gothic"/>
      <family val="2"/>
    </font>
    <font>
      <sz val="11"/>
      <color indexed="8"/>
      <name val="Calibri"/>
      <family val="2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sz val="11"/>
      <color theme="3" tint="0.89999084444715716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3" tint="0.89999084444715716"/>
        <bgColor indexed="64"/>
      </patternFill>
    </fill>
  </fills>
  <borders count="31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ck">
        <color auto="1"/>
      </left>
      <right/>
      <top style="thick">
        <color auto="1"/>
      </top>
      <bottom style="medium">
        <color auto="1"/>
      </bottom>
      <diagonal/>
    </border>
    <border>
      <left/>
      <right/>
      <top style="thick">
        <color auto="1"/>
      </top>
      <bottom style="medium">
        <color auto="1"/>
      </bottom>
      <diagonal/>
    </border>
    <border>
      <left/>
      <right style="thick">
        <color auto="1"/>
      </right>
      <top style="thick">
        <color auto="1"/>
      </top>
      <bottom style="medium">
        <color auto="1"/>
      </bottom>
      <diagonal/>
    </border>
    <border>
      <left style="thick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ck">
        <color auto="1"/>
      </right>
      <top/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164" fontId="3" fillId="0" borderId="0" applyFont="0" applyFill="0" applyBorder="0" applyAlignment="0" applyProtection="0"/>
  </cellStyleXfs>
  <cellXfs count="67">
    <xf numFmtId="0" fontId="0" fillId="0" borderId="0" xfId="0"/>
    <xf numFmtId="0" fontId="2" fillId="2" borderId="0" xfId="0" applyFont="1" applyFill="1"/>
    <xf numFmtId="9" fontId="0" fillId="0" borderId="0" xfId="0" applyNumberFormat="1"/>
    <xf numFmtId="165" fontId="2" fillId="2" borderId="0" xfId="1" applyNumberFormat="1" applyFont="1" applyFill="1"/>
    <xf numFmtId="0" fontId="0" fillId="0" borderId="0" xfId="0" applyAlignment="1">
      <alignment horizontal="center"/>
    </xf>
    <xf numFmtId="0" fontId="0" fillId="0" borderId="6" xfId="0" applyBorder="1"/>
    <xf numFmtId="165" fontId="0" fillId="0" borderId="6" xfId="1" applyNumberFormat="1" applyFont="1" applyBorder="1"/>
    <xf numFmtId="0" fontId="0" fillId="0" borderId="0" xfId="0" applyAlignment="1">
      <alignment horizontal="center" vertical="center"/>
    </xf>
    <xf numFmtId="0" fontId="0" fillId="0" borderId="6" xfId="0" applyBorder="1" applyAlignment="1">
      <alignment horizontal="center" vertical="center"/>
    </xf>
    <xf numFmtId="165" fontId="0" fillId="0" borderId="6" xfId="0" applyNumberFormat="1" applyBorder="1"/>
    <xf numFmtId="0" fontId="4" fillId="3" borderId="8" xfId="0" applyFont="1" applyFill="1" applyBorder="1" applyAlignment="1">
      <alignment horizontal="center" vertical="center"/>
    </xf>
    <xf numFmtId="0" fontId="4" fillId="3" borderId="9" xfId="0" applyFont="1" applyFill="1" applyBorder="1" applyAlignment="1">
      <alignment horizontal="center" vertical="center"/>
    </xf>
    <xf numFmtId="0" fontId="0" fillId="0" borderId="11" xfId="0" applyBorder="1"/>
    <xf numFmtId="0" fontId="0" fillId="0" borderId="12" xfId="0" applyBorder="1"/>
    <xf numFmtId="0" fontId="4" fillId="3" borderId="4" xfId="0" applyFont="1" applyFill="1" applyBorder="1"/>
    <xf numFmtId="0" fontId="4" fillId="3" borderId="5" xfId="0" applyFont="1" applyFill="1" applyBorder="1" applyAlignment="1">
      <alignment horizontal="center" vertical="center"/>
    </xf>
    <xf numFmtId="0" fontId="4" fillId="3" borderId="14" xfId="0" applyFont="1" applyFill="1" applyBorder="1"/>
    <xf numFmtId="0" fontId="4" fillId="3" borderId="15" xfId="0" applyFont="1" applyFill="1" applyBorder="1"/>
    <xf numFmtId="0" fontId="0" fillId="0" borderId="0" xfId="0" applyAlignment="1">
      <alignment vertical="center"/>
    </xf>
    <xf numFmtId="0" fontId="4" fillId="3" borderId="8" xfId="0" applyFont="1" applyFill="1" applyBorder="1" applyAlignment="1">
      <alignment horizontal="center" vertical="center" wrapText="1"/>
    </xf>
    <xf numFmtId="165" fontId="0" fillId="0" borderId="6" xfId="1" applyNumberFormat="1" applyFont="1" applyBorder="1" applyAlignment="1">
      <alignment horizontal="center" vertical="center"/>
    </xf>
    <xf numFmtId="0" fontId="0" fillId="0" borderId="11" xfId="0" applyBorder="1" applyAlignment="1">
      <alignment horizontal="center"/>
    </xf>
    <xf numFmtId="165" fontId="0" fillId="0" borderId="12" xfId="1" applyNumberFormat="1" applyFont="1" applyBorder="1" applyAlignment="1">
      <alignment horizontal="center" vertical="center"/>
    </xf>
    <xf numFmtId="0" fontId="4" fillId="3" borderId="4" xfId="0" applyFont="1" applyFill="1" applyBorder="1" applyAlignment="1">
      <alignment horizontal="center"/>
    </xf>
    <xf numFmtId="165" fontId="4" fillId="3" borderId="5" xfId="1" applyNumberFormat="1" applyFont="1" applyFill="1" applyBorder="1" applyAlignment="1">
      <alignment horizontal="center" vertical="center"/>
    </xf>
    <xf numFmtId="165" fontId="4" fillId="3" borderId="7" xfId="1" applyNumberFormat="1" applyFont="1" applyFill="1" applyBorder="1" applyAlignment="1">
      <alignment horizontal="center" vertical="center"/>
    </xf>
    <xf numFmtId="0" fontId="4" fillId="3" borderId="10" xfId="0" applyFont="1" applyFill="1" applyBorder="1" applyAlignment="1">
      <alignment horizontal="center" vertical="center"/>
    </xf>
    <xf numFmtId="0" fontId="4" fillId="3" borderId="13" xfId="0" applyFont="1" applyFill="1" applyBorder="1" applyAlignment="1">
      <alignment horizontal="center"/>
    </xf>
    <xf numFmtId="0" fontId="4" fillId="3" borderId="14" xfId="0" applyFont="1" applyFill="1" applyBorder="1" applyAlignment="1">
      <alignment horizontal="right"/>
    </xf>
    <xf numFmtId="165" fontId="0" fillId="5" borderId="6" xfId="0" applyNumberFormat="1" applyFill="1" applyBorder="1"/>
    <xf numFmtId="165" fontId="0" fillId="0" borderId="6" xfId="0" applyNumberFormat="1" applyBorder="1" applyAlignment="1">
      <alignment horizontal="center"/>
    </xf>
    <xf numFmtId="0" fontId="4" fillId="3" borderId="10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6" fillId="4" borderId="2" xfId="0" applyFont="1" applyFill="1" applyBorder="1" applyAlignment="1">
      <alignment horizontal="center" vertical="center" wrapText="1"/>
    </xf>
    <xf numFmtId="0" fontId="6" fillId="4" borderId="3" xfId="0" applyFont="1" applyFill="1" applyBorder="1" applyAlignment="1">
      <alignment horizontal="center" vertical="center" wrapText="1"/>
    </xf>
    <xf numFmtId="0" fontId="0" fillId="0" borderId="4" xfId="0" applyBorder="1"/>
    <xf numFmtId="0" fontId="0" fillId="0" borderId="5" xfId="0" applyBorder="1"/>
    <xf numFmtId="0" fontId="0" fillId="0" borderId="7" xfId="0" applyBorder="1"/>
    <xf numFmtId="0" fontId="4" fillId="3" borderId="23" xfId="0" applyFont="1" applyFill="1" applyBorder="1" applyAlignment="1">
      <alignment horizontal="center" vertical="center"/>
    </xf>
    <xf numFmtId="0" fontId="4" fillId="3" borderId="24" xfId="0" applyFont="1" applyFill="1" applyBorder="1" applyAlignment="1">
      <alignment horizontal="center" vertical="center" wrapText="1"/>
    </xf>
    <xf numFmtId="0" fontId="0" fillId="0" borderId="25" xfId="0" applyBorder="1"/>
    <xf numFmtId="165" fontId="0" fillId="0" borderId="26" xfId="1" applyNumberFormat="1" applyFont="1" applyBorder="1"/>
    <xf numFmtId="165" fontId="0" fillId="5" borderId="26" xfId="1" applyNumberFormat="1" applyFont="1" applyFill="1" applyBorder="1"/>
    <xf numFmtId="0" fontId="4" fillId="3" borderId="27" xfId="0" applyFont="1" applyFill="1" applyBorder="1"/>
    <xf numFmtId="0" fontId="4" fillId="3" borderId="28" xfId="0" applyFont="1" applyFill="1" applyBorder="1" applyAlignment="1">
      <alignment horizontal="center" vertical="center"/>
    </xf>
    <xf numFmtId="165" fontId="4" fillId="3" borderId="28" xfId="0" applyNumberFormat="1" applyFont="1" applyFill="1" applyBorder="1"/>
    <xf numFmtId="165" fontId="4" fillId="3" borderId="28" xfId="1" applyNumberFormat="1" applyFont="1" applyFill="1" applyBorder="1"/>
    <xf numFmtId="165" fontId="4" fillId="3" borderId="29" xfId="1" applyNumberFormat="1" applyFont="1" applyFill="1" applyBorder="1"/>
    <xf numFmtId="165" fontId="4" fillId="6" borderId="19" xfId="1" applyNumberFormat="1" applyFont="1" applyFill="1" applyBorder="1"/>
    <xf numFmtId="17" fontId="0" fillId="0" borderId="11" xfId="0" applyNumberFormat="1" applyBorder="1"/>
    <xf numFmtId="0" fontId="0" fillId="0" borderId="30" xfId="0" applyBorder="1" applyAlignment="1">
      <alignment horizontal="center" vertical="center"/>
    </xf>
    <xf numFmtId="165" fontId="0" fillId="0" borderId="30" xfId="0" applyNumberFormat="1" applyBorder="1" applyAlignment="1">
      <alignment horizontal="center"/>
    </xf>
    <xf numFmtId="165" fontId="0" fillId="0" borderId="12" xfId="0" applyNumberFormat="1" applyBorder="1"/>
    <xf numFmtId="165" fontId="4" fillId="3" borderId="7" xfId="0" applyNumberFormat="1" applyFont="1" applyFill="1" applyBorder="1"/>
    <xf numFmtId="0" fontId="4" fillId="0" borderId="0" xfId="0" applyFont="1"/>
    <xf numFmtId="0" fontId="4" fillId="0" borderId="0" xfId="0" applyFont="1" applyAlignment="1">
      <alignment horizontal="center" vertical="center"/>
    </xf>
    <xf numFmtId="165" fontId="4" fillId="0" borderId="0" xfId="0" applyNumberFormat="1" applyFont="1"/>
    <xf numFmtId="0" fontId="4" fillId="3" borderId="10" xfId="0" applyFont="1" applyFill="1" applyBorder="1" applyAlignment="1">
      <alignment horizontal="center" wrapText="1"/>
    </xf>
    <xf numFmtId="0" fontId="4" fillId="6" borderId="20" xfId="0" applyFont="1" applyFill="1" applyBorder="1" applyAlignment="1">
      <alignment horizontal="center"/>
    </xf>
    <xf numFmtId="0" fontId="4" fillId="6" borderId="21" xfId="0" applyFont="1" applyFill="1" applyBorder="1" applyAlignment="1">
      <alignment horizontal="center"/>
    </xf>
    <xf numFmtId="0" fontId="4" fillId="6" borderId="22" xfId="0" applyFont="1" applyFill="1" applyBorder="1" applyAlignment="1">
      <alignment horizontal="center"/>
    </xf>
    <xf numFmtId="0" fontId="4" fillId="6" borderId="16" xfId="0" applyFont="1" applyFill="1" applyBorder="1" applyAlignment="1">
      <alignment horizontal="center"/>
    </xf>
    <xf numFmtId="0" fontId="4" fillId="6" borderId="17" xfId="0" applyFont="1" applyFill="1" applyBorder="1" applyAlignment="1">
      <alignment horizontal="center"/>
    </xf>
    <xf numFmtId="0" fontId="4" fillId="6" borderId="18" xfId="0" applyFont="1" applyFill="1" applyBorder="1" applyAlignment="1">
      <alignment horizontal="center"/>
    </xf>
    <xf numFmtId="165" fontId="0" fillId="0" borderId="0" xfId="0" applyNumberFormat="1"/>
    <xf numFmtId="166" fontId="0" fillId="0" borderId="0" xfId="0" applyNumberFormat="1"/>
    <xf numFmtId="165" fontId="0" fillId="0" borderId="0" xfId="1" applyNumberFormat="1" applyFont="1"/>
  </cellXfs>
  <cellStyles count="3">
    <cellStyle name="Millares" xfId="1" builtinId="3"/>
    <cellStyle name="Millares 10 2 2" xfId="2" xr:uid="{2BFF0A1F-5B43-4032-9BD8-AA234113A6BB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83A59D-ABBD-42B8-A0AF-C97645F6B1F9}">
  <dimension ref="A1:Q67"/>
  <sheetViews>
    <sheetView tabSelected="1" zoomScale="85" zoomScaleNormal="85" workbookViewId="0">
      <selection activeCell="Q9" sqref="Q9"/>
    </sheetView>
  </sheetViews>
  <sheetFormatPr baseColWidth="10" defaultRowHeight="14.5" x14ac:dyDescent="0.35"/>
  <cols>
    <col min="1" max="1" width="10.90625" style="4"/>
    <col min="2" max="2" width="14.6328125" bestFit="1" customWidth="1"/>
    <col min="7" max="7" width="18.08984375" bestFit="1" customWidth="1"/>
    <col min="8" max="8" width="10.90625" style="7"/>
    <col min="9" max="9" width="11.1796875" bestFit="1" customWidth="1"/>
    <col min="10" max="13" width="13.7265625" bestFit="1" customWidth="1"/>
    <col min="14" max="14" width="13.90625" customWidth="1"/>
    <col min="15" max="15" width="13.7265625" bestFit="1" customWidth="1"/>
    <col min="16" max="16" width="18.36328125" bestFit="1" customWidth="1"/>
    <col min="17" max="17" width="13.7265625" bestFit="1" customWidth="1"/>
    <col min="25" max="25" width="11.1796875" bestFit="1" customWidth="1"/>
  </cols>
  <sheetData>
    <row r="1" spans="1:17" ht="15.5" thickTop="1" thickBot="1" x14ac:dyDescent="0.4">
      <c r="A1" s="27"/>
      <c r="B1" s="16"/>
      <c r="C1" s="28" t="s">
        <v>52</v>
      </c>
      <c r="D1" s="16"/>
      <c r="E1" s="17"/>
      <c r="G1" s="58" t="s">
        <v>21</v>
      </c>
      <c r="H1" s="59"/>
      <c r="I1" s="59"/>
      <c r="J1" s="59"/>
      <c r="K1" s="59"/>
      <c r="L1" s="59"/>
      <c r="M1" s="60"/>
    </row>
    <row r="2" spans="1:17" s="18" customFormat="1" ht="43.5" x14ac:dyDescent="0.35">
      <c r="A2" s="11" t="s">
        <v>4</v>
      </c>
      <c r="B2" s="10" t="s">
        <v>0</v>
      </c>
      <c r="C2" s="10" t="s">
        <v>1</v>
      </c>
      <c r="D2" s="10" t="s">
        <v>2</v>
      </c>
      <c r="E2" s="26" t="s">
        <v>3</v>
      </c>
      <c r="G2" s="38" t="s">
        <v>18</v>
      </c>
      <c r="H2" s="10" t="s">
        <v>46</v>
      </c>
      <c r="I2" s="19" t="s">
        <v>47</v>
      </c>
      <c r="J2" s="19" t="s">
        <v>48</v>
      </c>
      <c r="K2" s="19" t="s">
        <v>49</v>
      </c>
      <c r="L2" s="19" t="s">
        <v>50</v>
      </c>
      <c r="M2" s="39" t="s">
        <v>51</v>
      </c>
    </row>
    <row r="3" spans="1:17" x14ac:dyDescent="0.35">
      <c r="A3" s="21">
        <v>1</v>
      </c>
      <c r="B3" s="20">
        <v>60</v>
      </c>
      <c r="C3" s="20">
        <v>60</v>
      </c>
      <c r="D3" s="20">
        <v>60</v>
      </c>
      <c r="E3" s="22">
        <v>60</v>
      </c>
      <c r="F3" s="2"/>
      <c r="G3" s="40" t="s">
        <v>6</v>
      </c>
      <c r="H3" s="20">
        <v>60</v>
      </c>
      <c r="I3" s="29">
        <v>0</v>
      </c>
      <c r="J3" s="6">
        <f>(60000*24*31)*0.001</f>
        <v>44640</v>
      </c>
      <c r="K3" s="6">
        <f>(60000*24*31)*0.001</f>
        <v>44640</v>
      </c>
      <c r="L3" s="6">
        <f>(60000*24*31)*0.001</f>
        <v>44640</v>
      </c>
      <c r="M3" s="41">
        <f>(60000*24*31)*0.001</f>
        <v>44640</v>
      </c>
    </row>
    <row r="4" spans="1:17" x14ac:dyDescent="0.35">
      <c r="A4" s="21">
        <v>2</v>
      </c>
      <c r="B4" s="20">
        <v>60</v>
      </c>
      <c r="C4" s="20">
        <v>60</v>
      </c>
      <c r="D4" s="20">
        <v>60</v>
      </c>
      <c r="E4" s="22">
        <v>60</v>
      </c>
      <c r="F4" s="2"/>
      <c r="G4" s="40" t="s">
        <v>7</v>
      </c>
      <c r="H4" s="30">
        <f>H3</f>
        <v>60</v>
      </c>
      <c r="I4" s="29">
        <v>0</v>
      </c>
      <c r="J4" s="6">
        <f>(60000*24*28)*0.001</f>
        <v>40320</v>
      </c>
      <c r="K4" s="6">
        <f>(60000*24*28)*0.001</f>
        <v>40320</v>
      </c>
      <c r="L4" s="6">
        <f>(60000*24*29)*0.001</f>
        <v>41760</v>
      </c>
      <c r="M4" s="41">
        <f>(60000*24*28)*0.001</f>
        <v>40320</v>
      </c>
    </row>
    <row r="5" spans="1:17" x14ac:dyDescent="0.35">
      <c r="A5" s="21">
        <v>3</v>
      </c>
      <c r="B5" s="20">
        <v>60</v>
      </c>
      <c r="C5" s="20">
        <v>60</v>
      </c>
      <c r="D5" s="20">
        <v>60</v>
      </c>
      <c r="E5" s="22">
        <v>60</v>
      </c>
      <c r="F5" s="2"/>
      <c r="G5" s="40" t="s">
        <v>8</v>
      </c>
      <c r="H5" s="30">
        <f t="shared" ref="H5:H14" si="0">H4</f>
        <v>60</v>
      </c>
      <c r="I5" s="29">
        <v>0</v>
      </c>
      <c r="J5" s="6">
        <f>(60000*24*31)*0.001</f>
        <v>44640</v>
      </c>
      <c r="K5" s="6">
        <f>(60000*24*31)*0.001</f>
        <v>44640</v>
      </c>
      <c r="L5" s="6">
        <f>(60000*24*31)*0.001</f>
        <v>44640</v>
      </c>
      <c r="M5" s="41">
        <f>(60000*24*31)*0.001</f>
        <v>44640</v>
      </c>
    </row>
    <row r="6" spans="1:17" x14ac:dyDescent="0.35">
      <c r="A6" s="21">
        <v>4</v>
      </c>
      <c r="B6" s="20">
        <v>60</v>
      </c>
      <c r="C6" s="20">
        <v>60</v>
      </c>
      <c r="D6" s="20">
        <v>60</v>
      </c>
      <c r="E6" s="22">
        <v>60</v>
      </c>
      <c r="F6" s="2"/>
      <c r="G6" s="40" t="s">
        <v>9</v>
      </c>
      <c r="H6" s="30">
        <f t="shared" si="0"/>
        <v>60</v>
      </c>
      <c r="I6" s="29">
        <v>0</v>
      </c>
      <c r="J6" s="6">
        <f>(60000*24*30)*0.001</f>
        <v>43200</v>
      </c>
      <c r="K6" s="6">
        <f>(60000*24*30)*0.001</f>
        <v>43200</v>
      </c>
      <c r="L6" s="6">
        <f>(60000*24*30)*0.001</f>
        <v>43200</v>
      </c>
      <c r="M6" s="41">
        <f>(60000*24*30)*0.001</f>
        <v>43200</v>
      </c>
    </row>
    <row r="7" spans="1:17" x14ac:dyDescent="0.35">
      <c r="A7" s="21">
        <v>5</v>
      </c>
      <c r="B7" s="20">
        <v>60</v>
      </c>
      <c r="C7" s="20">
        <v>60</v>
      </c>
      <c r="D7" s="20">
        <v>60</v>
      </c>
      <c r="E7" s="22">
        <v>60</v>
      </c>
      <c r="F7" s="2"/>
      <c r="G7" s="40" t="s">
        <v>10</v>
      </c>
      <c r="H7" s="30">
        <f t="shared" si="0"/>
        <v>60</v>
      </c>
      <c r="I7" s="29">
        <v>0</v>
      </c>
      <c r="J7" s="6">
        <f>(60000*24*31)*0.001</f>
        <v>44640</v>
      </c>
      <c r="K7" s="6">
        <f>(60000*24*31)*0.001</f>
        <v>44640</v>
      </c>
      <c r="L7" s="6">
        <f>(60000*24*31)*0.001</f>
        <v>44640</v>
      </c>
      <c r="M7" s="41">
        <f>(60000*24*31)*0.001</f>
        <v>44640</v>
      </c>
    </row>
    <row r="8" spans="1:17" x14ac:dyDescent="0.35">
      <c r="A8" s="21">
        <v>6</v>
      </c>
      <c r="B8" s="20">
        <v>60</v>
      </c>
      <c r="C8" s="20">
        <v>60</v>
      </c>
      <c r="D8" s="20">
        <v>60</v>
      </c>
      <c r="E8" s="22">
        <v>60</v>
      </c>
      <c r="F8" s="2"/>
      <c r="G8" s="40" t="s">
        <v>11</v>
      </c>
      <c r="H8" s="30">
        <f t="shared" si="0"/>
        <v>60</v>
      </c>
      <c r="I8" s="29">
        <v>0</v>
      </c>
      <c r="J8" s="6">
        <f>(60000*24*30)*0.001</f>
        <v>43200</v>
      </c>
      <c r="K8" s="6">
        <f>(60000*24*30)*0.001</f>
        <v>43200</v>
      </c>
      <c r="L8" s="6">
        <f>(60000*24*30)*0.001</f>
        <v>43200</v>
      </c>
      <c r="M8" s="41">
        <f>(60000*24*30)*0.001</f>
        <v>43200</v>
      </c>
    </row>
    <row r="9" spans="1:17" x14ac:dyDescent="0.35">
      <c r="A9" s="21">
        <v>7</v>
      </c>
      <c r="B9" s="20">
        <v>60</v>
      </c>
      <c r="C9" s="20">
        <v>60</v>
      </c>
      <c r="D9" s="20">
        <v>60</v>
      </c>
      <c r="E9" s="22">
        <v>60</v>
      </c>
      <c r="F9" s="2"/>
      <c r="G9" s="40" t="s">
        <v>12</v>
      </c>
      <c r="H9" s="30">
        <f t="shared" si="0"/>
        <v>60</v>
      </c>
      <c r="I9" s="29">
        <v>0</v>
      </c>
      <c r="J9" s="6">
        <f t="shared" ref="J9:M10" si="1">(60000*24*31)*0.001</f>
        <v>44640</v>
      </c>
      <c r="K9" s="6">
        <f t="shared" si="1"/>
        <v>44640</v>
      </c>
      <c r="L9" s="6">
        <f t="shared" si="1"/>
        <v>44640</v>
      </c>
      <c r="M9" s="41">
        <f t="shared" si="1"/>
        <v>44640</v>
      </c>
    </row>
    <row r="10" spans="1:17" x14ac:dyDescent="0.35">
      <c r="A10" s="21">
        <v>8</v>
      </c>
      <c r="B10" s="20">
        <v>60</v>
      </c>
      <c r="C10" s="20">
        <v>60</v>
      </c>
      <c r="D10" s="20">
        <v>60</v>
      </c>
      <c r="E10" s="22">
        <v>60</v>
      </c>
      <c r="F10" s="2"/>
      <c r="G10" s="40" t="s">
        <v>13</v>
      </c>
      <c r="H10" s="30">
        <f t="shared" si="0"/>
        <v>60</v>
      </c>
      <c r="I10" s="29">
        <v>0</v>
      </c>
      <c r="J10" s="6">
        <f t="shared" si="1"/>
        <v>44640</v>
      </c>
      <c r="K10" s="6">
        <f t="shared" si="1"/>
        <v>44640</v>
      </c>
      <c r="L10" s="6">
        <f t="shared" si="1"/>
        <v>44640</v>
      </c>
      <c r="M10" s="41">
        <f t="shared" si="1"/>
        <v>44640</v>
      </c>
    </row>
    <row r="11" spans="1:17" x14ac:dyDescent="0.35">
      <c r="A11" s="21">
        <v>9</v>
      </c>
      <c r="B11" s="20">
        <v>60</v>
      </c>
      <c r="C11" s="20">
        <v>60</v>
      </c>
      <c r="D11" s="20">
        <v>60</v>
      </c>
      <c r="E11" s="22">
        <v>60</v>
      </c>
      <c r="F11" s="2"/>
      <c r="G11" s="40" t="s">
        <v>14</v>
      </c>
      <c r="H11" s="30">
        <f t="shared" si="0"/>
        <v>60</v>
      </c>
      <c r="I11" s="29">
        <v>0</v>
      </c>
      <c r="J11" s="6">
        <f>(60000*24*30)*0.001</f>
        <v>43200</v>
      </c>
      <c r="K11" s="6">
        <f>(60000*24*30)*0.001</f>
        <v>43200</v>
      </c>
      <c r="L11" s="6">
        <f>(60000*24*30)*0.001</f>
        <v>43200</v>
      </c>
      <c r="M11" s="41">
        <f>(60000*24*30)*0.001</f>
        <v>43200</v>
      </c>
    </row>
    <row r="12" spans="1:17" x14ac:dyDescent="0.35">
      <c r="A12" s="21">
        <v>10</v>
      </c>
      <c r="B12" s="20">
        <v>60</v>
      </c>
      <c r="C12" s="20">
        <v>60</v>
      </c>
      <c r="D12" s="20">
        <v>60</v>
      </c>
      <c r="E12" s="22">
        <v>60</v>
      </c>
      <c r="F12" s="2"/>
      <c r="G12" s="40" t="s">
        <v>15</v>
      </c>
      <c r="H12" s="30">
        <f t="shared" si="0"/>
        <v>60</v>
      </c>
      <c r="I12" s="29">
        <v>0</v>
      </c>
      <c r="J12" s="6">
        <f>(60000*24*31)*0.001</f>
        <v>44640</v>
      </c>
      <c r="K12" s="6">
        <f>(60000*24*31)*0.001</f>
        <v>44640</v>
      </c>
      <c r="L12" s="6">
        <f>(60000*24*31)*0.001</f>
        <v>44640</v>
      </c>
      <c r="M12" s="41">
        <f>(60000*24*31)*0.001</f>
        <v>44640</v>
      </c>
    </row>
    <row r="13" spans="1:17" x14ac:dyDescent="0.35">
      <c r="A13" s="21">
        <v>11</v>
      </c>
      <c r="B13" s="20">
        <v>60</v>
      </c>
      <c r="C13" s="20">
        <v>60</v>
      </c>
      <c r="D13" s="20">
        <v>60</v>
      </c>
      <c r="E13" s="22">
        <v>60</v>
      </c>
      <c r="F13" s="2"/>
      <c r="G13" s="40" t="s">
        <v>16</v>
      </c>
      <c r="H13" s="30">
        <f t="shared" si="0"/>
        <v>60</v>
      </c>
      <c r="I13" s="9">
        <f>(60000*24*6)*0.001</f>
        <v>8640</v>
      </c>
      <c r="J13" s="6">
        <f>(60000*24*30)*0.001</f>
        <v>43200</v>
      </c>
      <c r="K13" s="6">
        <f>(60000*24*30)*0.001</f>
        <v>43200</v>
      </c>
      <c r="L13" s="6">
        <f>(60000*24*30)*0.001</f>
        <v>43200</v>
      </c>
      <c r="M13" s="41">
        <f>(60000*24*22)*0.001</f>
        <v>31680</v>
      </c>
    </row>
    <row r="14" spans="1:17" ht="15" thickBot="1" x14ac:dyDescent="0.4">
      <c r="A14" s="21">
        <v>12</v>
      </c>
      <c r="B14" s="20">
        <v>60</v>
      </c>
      <c r="C14" s="20">
        <v>60</v>
      </c>
      <c r="D14" s="20">
        <v>60</v>
      </c>
      <c r="E14" s="22">
        <v>60</v>
      </c>
      <c r="F14" s="2"/>
      <c r="G14" s="40" t="s">
        <v>17</v>
      </c>
      <c r="H14" s="30">
        <f t="shared" si="0"/>
        <v>60</v>
      </c>
      <c r="I14" s="9">
        <f>(60000*24*31)*0.001</f>
        <v>44640</v>
      </c>
      <c r="J14" s="6">
        <f>(60000*24*31)*0.001</f>
        <v>44640</v>
      </c>
      <c r="K14" s="6">
        <f>(60000*24*31)*0.001</f>
        <v>44640</v>
      </c>
      <c r="L14" s="6">
        <f>(60000*24*31)*0.001</f>
        <v>44640</v>
      </c>
      <c r="M14" s="42">
        <v>0</v>
      </c>
    </row>
    <row r="15" spans="1:17" ht="15.5" thickTop="1" thickBot="1" x14ac:dyDescent="0.4">
      <c r="A15" s="21">
        <v>13</v>
      </c>
      <c r="B15" s="20">
        <v>60</v>
      </c>
      <c r="C15" s="20">
        <v>60</v>
      </c>
      <c r="D15" s="20">
        <v>60</v>
      </c>
      <c r="E15" s="22">
        <v>60</v>
      </c>
      <c r="F15" s="2"/>
      <c r="G15" s="43" t="s">
        <v>20</v>
      </c>
      <c r="H15" s="44"/>
      <c r="I15" s="45">
        <f>SUM(I3:I14)</f>
        <v>53280</v>
      </c>
      <c r="J15" s="46">
        <f t="shared" ref="J15:M15" si="2">SUM(J3:J14)</f>
        <v>525600</v>
      </c>
      <c r="K15" s="46">
        <f t="shared" si="2"/>
        <v>525600</v>
      </c>
      <c r="L15" s="46">
        <f t="shared" si="2"/>
        <v>527040</v>
      </c>
      <c r="M15" s="47">
        <f t="shared" si="2"/>
        <v>469440</v>
      </c>
      <c r="N15" s="48">
        <f>SUM(I15:M15)</f>
        <v>2100960</v>
      </c>
      <c r="O15" s="64"/>
      <c r="P15" s="66"/>
      <c r="Q15" s="65"/>
    </row>
    <row r="16" spans="1:17" ht="15" customHeight="1" thickTop="1" thickBot="1" x14ac:dyDescent="0.4">
      <c r="A16" s="21">
        <v>14</v>
      </c>
      <c r="B16" s="20">
        <v>60</v>
      </c>
      <c r="C16" s="20">
        <v>60</v>
      </c>
      <c r="D16" s="20">
        <v>60</v>
      </c>
      <c r="E16" s="22">
        <v>60</v>
      </c>
      <c r="F16" s="2"/>
    </row>
    <row r="17" spans="1:15" ht="15" thickBot="1" x14ac:dyDescent="0.4">
      <c r="A17" s="21">
        <v>15</v>
      </c>
      <c r="B17" s="20">
        <v>60</v>
      </c>
      <c r="C17" s="20">
        <v>60</v>
      </c>
      <c r="D17" s="20">
        <v>60</v>
      </c>
      <c r="E17" s="22">
        <v>60</v>
      </c>
      <c r="F17" s="2"/>
      <c r="G17" s="61" t="s">
        <v>53</v>
      </c>
      <c r="H17" s="62"/>
      <c r="I17" s="62"/>
      <c r="J17" s="63"/>
      <c r="L17" s="61" t="s">
        <v>54</v>
      </c>
      <c r="M17" s="62"/>
      <c r="N17" s="62"/>
      <c r="O17" s="63"/>
    </row>
    <row r="18" spans="1:15" ht="14.5" customHeight="1" x14ac:dyDescent="0.35">
      <c r="A18" s="21">
        <v>16</v>
      </c>
      <c r="B18" s="20">
        <v>60</v>
      </c>
      <c r="C18" s="20">
        <v>60</v>
      </c>
      <c r="D18" s="20">
        <v>60</v>
      </c>
      <c r="E18" s="22">
        <v>60</v>
      </c>
      <c r="F18" s="2"/>
      <c r="G18" s="11" t="s">
        <v>18</v>
      </c>
      <c r="H18" s="10" t="s">
        <v>19</v>
      </c>
      <c r="I18" s="10" t="s">
        <v>46</v>
      </c>
      <c r="J18" s="31" t="s">
        <v>47</v>
      </c>
      <c r="L18" s="11" t="s">
        <v>18</v>
      </c>
      <c r="M18" s="10" t="s">
        <v>19</v>
      </c>
      <c r="N18" s="10" t="s">
        <v>46</v>
      </c>
      <c r="O18" s="31" t="s">
        <v>47</v>
      </c>
    </row>
    <row r="19" spans="1:15" x14ac:dyDescent="0.35">
      <c r="A19" s="21">
        <v>17</v>
      </c>
      <c r="B19" s="20">
        <v>60</v>
      </c>
      <c r="C19" s="20">
        <v>60</v>
      </c>
      <c r="D19" s="20">
        <v>60</v>
      </c>
      <c r="E19" s="22">
        <v>60</v>
      </c>
      <c r="F19" s="2"/>
      <c r="G19" s="49">
        <v>50345</v>
      </c>
      <c r="H19" s="8">
        <v>6</v>
      </c>
      <c r="I19" s="20">
        <v>60</v>
      </c>
      <c r="J19" s="52">
        <f>I19*24*H19</f>
        <v>8640</v>
      </c>
      <c r="L19" s="49">
        <v>50710</v>
      </c>
      <c r="M19" s="8">
        <v>6</v>
      </c>
      <c r="N19" s="20">
        <v>60</v>
      </c>
      <c r="O19" s="52">
        <f>N19*24*M19</f>
        <v>8640</v>
      </c>
    </row>
    <row r="20" spans="1:15" x14ac:dyDescent="0.35">
      <c r="A20" s="21">
        <v>18</v>
      </c>
      <c r="B20" s="20">
        <v>60</v>
      </c>
      <c r="C20" s="20">
        <v>60</v>
      </c>
      <c r="D20" s="20">
        <v>60</v>
      </c>
      <c r="E20" s="22">
        <v>60</v>
      </c>
      <c r="F20" s="2"/>
      <c r="G20" s="49">
        <v>50375</v>
      </c>
      <c r="H20" s="8">
        <v>31</v>
      </c>
      <c r="I20" s="30">
        <f>I19</f>
        <v>60</v>
      </c>
      <c r="J20" s="52">
        <f t="shared" ref="J20:J31" si="3">I20*24*H20</f>
        <v>44640</v>
      </c>
      <c r="L20" s="49">
        <v>50740</v>
      </c>
      <c r="M20" s="8">
        <v>31</v>
      </c>
      <c r="N20" s="30">
        <f>N19</f>
        <v>60</v>
      </c>
      <c r="O20" s="52">
        <f t="shared" ref="O20:O31" si="4">N20*24*M20</f>
        <v>44640</v>
      </c>
    </row>
    <row r="21" spans="1:15" x14ac:dyDescent="0.35">
      <c r="A21" s="21">
        <v>19</v>
      </c>
      <c r="B21" s="20">
        <v>60</v>
      </c>
      <c r="C21" s="20">
        <v>60</v>
      </c>
      <c r="D21" s="20">
        <v>60</v>
      </c>
      <c r="E21" s="22">
        <v>60</v>
      </c>
      <c r="F21" s="2"/>
      <c r="G21" s="49">
        <v>50406</v>
      </c>
      <c r="H21" s="8">
        <v>31</v>
      </c>
      <c r="I21" s="30">
        <f t="shared" ref="I21:I30" si="5">I20</f>
        <v>60</v>
      </c>
      <c r="J21" s="52">
        <f t="shared" si="3"/>
        <v>44640</v>
      </c>
      <c r="L21" s="49">
        <v>50771</v>
      </c>
      <c r="M21" s="8">
        <v>31</v>
      </c>
      <c r="N21" s="30">
        <f t="shared" ref="N21:N30" si="6">N20</f>
        <v>60</v>
      </c>
      <c r="O21" s="52">
        <f t="shared" si="4"/>
        <v>44640</v>
      </c>
    </row>
    <row r="22" spans="1:15" x14ac:dyDescent="0.35">
      <c r="A22" s="21">
        <v>20</v>
      </c>
      <c r="B22" s="20">
        <v>60</v>
      </c>
      <c r="C22" s="20">
        <v>60</v>
      </c>
      <c r="D22" s="20">
        <v>60</v>
      </c>
      <c r="E22" s="22">
        <v>60</v>
      </c>
      <c r="F22" s="2"/>
      <c r="G22" s="49">
        <v>50437</v>
      </c>
      <c r="H22" s="8">
        <v>28</v>
      </c>
      <c r="I22" s="30">
        <f t="shared" si="5"/>
        <v>60</v>
      </c>
      <c r="J22" s="52">
        <f t="shared" si="3"/>
        <v>40320</v>
      </c>
      <c r="L22" s="49">
        <v>50802</v>
      </c>
      <c r="M22" s="8">
        <v>28</v>
      </c>
      <c r="N22" s="30">
        <f t="shared" si="6"/>
        <v>60</v>
      </c>
      <c r="O22" s="52">
        <f t="shared" si="4"/>
        <v>40320</v>
      </c>
    </row>
    <row r="23" spans="1:15" x14ac:dyDescent="0.35">
      <c r="A23" s="21">
        <v>21</v>
      </c>
      <c r="B23" s="20">
        <v>60</v>
      </c>
      <c r="C23" s="20">
        <v>60</v>
      </c>
      <c r="D23" s="20">
        <v>60</v>
      </c>
      <c r="E23" s="22">
        <v>60</v>
      </c>
      <c r="F23" s="2"/>
      <c r="G23" s="49">
        <v>50465</v>
      </c>
      <c r="H23" s="8">
        <v>31</v>
      </c>
      <c r="I23" s="30">
        <f t="shared" si="5"/>
        <v>60</v>
      </c>
      <c r="J23" s="52">
        <f t="shared" si="3"/>
        <v>44640</v>
      </c>
      <c r="L23" s="49">
        <v>50830</v>
      </c>
      <c r="M23" s="8">
        <v>31</v>
      </c>
      <c r="N23" s="30">
        <f t="shared" si="6"/>
        <v>60</v>
      </c>
      <c r="O23" s="52">
        <f t="shared" si="4"/>
        <v>44640</v>
      </c>
    </row>
    <row r="24" spans="1:15" x14ac:dyDescent="0.35">
      <c r="A24" s="21">
        <v>22</v>
      </c>
      <c r="B24" s="20">
        <v>60</v>
      </c>
      <c r="C24" s="20">
        <v>60</v>
      </c>
      <c r="D24" s="20">
        <v>60</v>
      </c>
      <c r="E24" s="22">
        <v>60</v>
      </c>
      <c r="F24" s="2"/>
      <c r="G24" s="49">
        <v>50496</v>
      </c>
      <c r="H24" s="8">
        <v>30</v>
      </c>
      <c r="I24" s="30">
        <f t="shared" si="5"/>
        <v>60</v>
      </c>
      <c r="J24" s="52">
        <f t="shared" si="3"/>
        <v>43200</v>
      </c>
      <c r="L24" s="49">
        <v>50861</v>
      </c>
      <c r="M24" s="8">
        <v>30</v>
      </c>
      <c r="N24" s="30">
        <f t="shared" si="6"/>
        <v>60</v>
      </c>
      <c r="O24" s="52">
        <f t="shared" si="4"/>
        <v>43200</v>
      </c>
    </row>
    <row r="25" spans="1:15" x14ac:dyDescent="0.35">
      <c r="A25" s="21">
        <v>23</v>
      </c>
      <c r="B25" s="20">
        <v>60</v>
      </c>
      <c r="C25" s="20">
        <v>60</v>
      </c>
      <c r="D25" s="20">
        <v>60</v>
      </c>
      <c r="E25" s="22">
        <v>60</v>
      </c>
      <c r="F25" s="2"/>
      <c r="G25" s="49">
        <v>50526</v>
      </c>
      <c r="H25" s="8">
        <v>31</v>
      </c>
      <c r="I25" s="30">
        <f t="shared" si="5"/>
        <v>60</v>
      </c>
      <c r="J25" s="52">
        <f t="shared" si="3"/>
        <v>44640</v>
      </c>
      <c r="L25" s="49">
        <v>50891</v>
      </c>
      <c r="M25" s="8">
        <v>31</v>
      </c>
      <c r="N25" s="30">
        <f t="shared" si="6"/>
        <v>60</v>
      </c>
      <c r="O25" s="52">
        <f t="shared" si="4"/>
        <v>44640</v>
      </c>
    </row>
    <row r="26" spans="1:15" x14ac:dyDescent="0.35">
      <c r="A26" s="21">
        <v>24</v>
      </c>
      <c r="B26" s="20">
        <v>60</v>
      </c>
      <c r="C26" s="20">
        <v>60</v>
      </c>
      <c r="D26" s="20">
        <v>60</v>
      </c>
      <c r="E26" s="22">
        <v>60</v>
      </c>
      <c r="F26" s="2"/>
      <c r="G26" s="49">
        <v>50557</v>
      </c>
      <c r="H26" s="8">
        <v>30</v>
      </c>
      <c r="I26" s="30">
        <f t="shared" si="5"/>
        <v>60</v>
      </c>
      <c r="J26" s="52">
        <f t="shared" si="3"/>
        <v>43200</v>
      </c>
      <c r="L26" s="49">
        <v>50922</v>
      </c>
      <c r="M26" s="8">
        <v>30</v>
      </c>
      <c r="N26" s="30">
        <f t="shared" si="6"/>
        <v>60</v>
      </c>
      <c r="O26" s="52">
        <f t="shared" si="4"/>
        <v>43200</v>
      </c>
    </row>
    <row r="27" spans="1:15" ht="15" thickBot="1" x14ac:dyDescent="0.4">
      <c r="A27" s="23" t="s">
        <v>5</v>
      </c>
      <c r="B27" s="24">
        <f>SUM(B3:B26)</f>
        <v>1440</v>
      </c>
      <c r="C27" s="24">
        <f t="shared" ref="C27:E27" si="7">SUM(C3:C26)</f>
        <v>1440</v>
      </c>
      <c r="D27" s="24">
        <f t="shared" si="7"/>
        <v>1440</v>
      </c>
      <c r="E27" s="25">
        <f t="shared" si="7"/>
        <v>1440</v>
      </c>
      <c r="G27" s="49">
        <v>50587</v>
      </c>
      <c r="H27" s="8">
        <v>31</v>
      </c>
      <c r="I27" s="30">
        <f t="shared" si="5"/>
        <v>60</v>
      </c>
      <c r="J27" s="52">
        <f t="shared" si="3"/>
        <v>44640</v>
      </c>
      <c r="L27" s="49">
        <v>50952</v>
      </c>
      <c r="M27" s="8">
        <v>31</v>
      </c>
      <c r="N27" s="30">
        <f t="shared" si="6"/>
        <v>60</v>
      </c>
      <c r="O27" s="52">
        <f t="shared" si="4"/>
        <v>44640</v>
      </c>
    </row>
    <row r="28" spans="1:15" x14ac:dyDescent="0.35">
      <c r="B28" s="1"/>
      <c r="C28" s="1"/>
      <c r="D28" s="1"/>
      <c r="E28" s="1"/>
      <c r="G28" s="49">
        <v>50618</v>
      </c>
      <c r="H28" s="8">
        <v>31</v>
      </c>
      <c r="I28" s="30">
        <f t="shared" si="5"/>
        <v>60</v>
      </c>
      <c r="J28" s="52">
        <f t="shared" si="3"/>
        <v>44640</v>
      </c>
      <c r="L28" s="49">
        <v>50983</v>
      </c>
      <c r="M28" s="8">
        <v>31</v>
      </c>
      <c r="N28" s="30">
        <f t="shared" si="6"/>
        <v>60</v>
      </c>
      <c r="O28" s="52">
        <f t="shared" si="4"/>
        <v>44640</v>
      </c>
    </row>
    <row r="29" spans="1:15" x14ac:dyDescent="0.35">
      <c r="B29" s="3"/>
      <c r="C29" s="1"/>
      <c r="D29" s="1"/>
      <c r="E29" s="1"/>
      <c r="G29" s="49">
        <v>50649</v>
      </c>
      <c r="H29" s="8">
        <v>30</v>
      </c>
      <c r="I29" s="30">
        <f t="shared" si="5"/>
        <v>60</v>
      </c>
      <c r="J29" s="52">
        <f t="shared" si="3"/>
        <v>43200</v>
      </c>
      <c r="L29" s="49">
        <v>51014</v>
      </c>
      <c r="M29" s="8">
        <v>30</v>
      </c>
      <c r="N29" s="30">
        <f t="shared" si="6"/>
        <v>60</v>
      </c>
      <c r="O29" s="52">
        <f t="shared" si="4"/>
        <v>43200</v>
      </c>
    </row>
    <row r="30" spans="1:15" x14ac:dyDescent="0.35">
      <c r="G30" s="49">
        <v>50679</v>
      </c>
      <c r="H30" s="8">
        <v>31</v>
      </c>
      <c r="I30" s="30">
        <f t="shared" si="5"/>
        <v>60</v>
      </c>
      <c r="J30" s="52">
        <f t="shared" si="3"/>
        <v>44640</v>
      </c>
      <c r="L30" s="49">
        <v>51044</v>
      </c>
      <c r="M30" s="8">
        <v>31</v>
      </c>
      <c r="N30" s="30">
        <f t="shared" si="6"/>
        <v>60</v>
      </c>
      <c r="O30" s="52">
        <f t="shared" si="4"/>
        <v>44640</v>
      </c>
    </row>
    <row r="31" spans="1:15" x14ac:dyDescent="0.35">
      <c r="G31" s="49">
        <v>50710</v>
      </c>
      <c r="H31" s="50">
        <v>24</v>
      </c>
      <c r="I31" s="51">
        <v>60</v>
      </c>
      <c r="J31" s="52">
        <f t="shared" si="3"/>
        <v>34560</v>
      </c>
      <c r="L31" s="49">
        <v>51075</v>
      </c>
      <c r="M31" s="50">
        <v>24</v>
      </c>
      <c r="N31" s="51">
        <v>60</v>
      </c>
      <c r="O31" s="52">
        <f t="shared" si="4"/>
        <v>34560</v>
      </c>
    </row>
    <row r="32" spans="1:15" ht="15" thickBot="1" x14ac:dyDescent="0.4">
      <c r="G32" s="14" t="s">
        <v>20</v>
      </c>
      <c r="H32" s="15"/>
      <c r="I32" s="15"/>
      <c r="J32" s="53">
        <f>SUM(J19:J31)</f>
        <v>525600</v>
      </c>
      <c r="L32" s="14" t="s">
        <v>20</v>
      </c>
      <c r="M32" s="15"/>
      <c r="N32" s="15"/>
      <c r="O32" s="53">
        <f>SUM(O19:O31)</f>
        <v>525600</v>
      </c>
    </row>
    <row r="33" spans="7:15" ht="15" thickBot="1" x14ac:dyDescent="0.4">
      <c r="G33" s="54"/>
      <c r="H33" s="55"/>
      <c r="I33" s="55"/>
      <c r="J33" s="56"/>
    </row>
    <row r="34" spans="7:15" ht="15" thickBot="1" x14ac:dyDescent="0.4">
      <c r="G34" s="61" t="s">
        <v>55</v>
      </c>
      <c r="H34" s="62"/>
      <c r="I34" s="62"/>
      <c r="J34" s="63"/>
      <c r="L34" s="61" t="s">
        <v>56</v>
      </c>
      <c r="M34" s="62"/>
      <c r="N34" s="62"/>
      <c r="O34" s="63"/>
    </row>
    <row r="35" spans="7:15" ht="43.5" x14ac:dyDescent="0.35">
      <c r="G35" s="11" t="s">
        <v>18</v>
      </c>
      <c r="H35" s="10" t="s">
        <v>19</v>
      </c>
      <c r="I35" s="10" t="s">
        <v>46</v>
      </c>
      <c r="J35" s="31" t="s">
        <v>47</v>
      </c>
      <c r="L35" s="11" t="s">
        <v>18</v>
      </c>
      <c r="M35" s="10" t="s">
        <v>19</v>
      </c>
      <c r="N35" s="10" t="s">
        <v>46</v>
      </c>
      <c r="O35" s="31" t="s">
        <v>47</v>
      </c>
    </row>
    <row r="36" spans="7:15" x14ac:dyDescent="0.35">
      <c r="G36" s="49">
        <v>51075</v>
      </c>
      <c r="H36" s="8">
        <v>6</v>
      </c>
      <c r="I36" s="20">
        <v>60</v>
      </c>
      <c r="J36" s="52">
        <f>I36*24*H36</f>
        <v>8640</v>
      </c>
      <c r="L36" s="49">
        <v>51441</v>
      </c>
      <c r="M36" s="8">
        <v>6</v>
      </c>
      <c r="N36" s="20">
        <v>60</v>
      </c>
      <c r="O36" s="52">
        <f>N36*24*M36</f>
        <v>8640</v>
      </c>
    </row>
    <row r="37" spans="7:15" x14ac:dyDescent="0.35">
      <c r="G37" s="49">
        <v>51105</v>
      </c>
      <c r="H37" s="8">
        <v>31</v>
      </c>
      <c r="I37" s="30">
        <f>I36</f>
        <v>60</v>
      </c>
      <c r="J37" s="52">
        <f t="shared" ref="J37:J48" si="8">I37*24*H37</f>
        <v>44640</v>
      </c>
      <c r="L37" s="49">
        <v>51471</v>
      </c>
      <c r="M37" s="8">
        <v>31</v>
      </c>
      <c r="N37" s="30">
        <f>N36</f>
        <v>60</v>
      </c>
      <c r="O37" s="52">
        <f t="shared" ref="O37:O48" si="9">N37*24*M37</f>
        <v>44640</v>
      </c>
    </row>
    <row r="38" spans="7:15" x14ac:dyDescent="0.35">
      <c r="G38" s="49">
        <v>51136</v>
      </c>
      <c r="H38" s="8">
        <v>31</v>
      </c>
      <c r="I38" s="30">
        <f t="shared" ref="I38:I47" si="10">I37</f>
        <v>60</v>
      </c>
      <c r="J38" s="52">
        <f t="shared" si="8"/>
        <v>44640</v>
      </c>
      <c r="L38" s="49">
        <v>51502</v>
      </c>
      <c r="M38" s="8">
        <v>31</v>
      </c>
      <c r="N38" s="30">
        <f t="shared" ref="N38:N47" si="11">N37</f>
        <v>60</v>
      </c>
      <c r="O38" s="52">
        <f t="shared" si="9"/>
        <v>44640</v>
      </c>
    </row>
    <row r="39" spans="7:15" x14ac:dyDescent="0.35">
      <c r="G39" s="49">
        <v>51167</v>
      </c>
      <c r="H39" s="8">
        <v>29</v>
      </c>
      <c r="I39" s="30">
        <f t="shared" si="10"/>
        <v>60</v>
      </c>
      <c r="J39" s="52">
        <f t="shared" si="8"/>
        <v>41760</v>
      </c>
      <c r="L39" s="49">
        <v>51533</v>
      </c>
      <c r="M39" s="8">
        <v>28</v>
      </c>
      <c r="N39" s="30">
        <f t="shared" si="11"/>
        <v>60</v>
      </c>
      <c r="O39" s="52">
        <f t="shared" si="9"/>
        <v>40320</v>
      </c>
    </row>
    <row r="40" spans="7:15" x14ac:dyDescent="0.35">
      <c r="G40" s="49">
        <v>51196</v>
      </c>
      <c r="H40" s="8">
        <v>31</v>
      </c>
      <c r="I40" s="30">
        <f t="shared" si="10"/>
        <v>60</v>
      </c>
      <c r="J40" s="52">
        <f t="shared" si="8"/>
        <v>44640</v>
      </c>
      <c r="L40" s="49">
        <v>51561</v>
      </c>
      <c r="M40" s="8">
        <v>31</v>
      </c>
      <c r="N40" s="30">
        <f t="shared" si="11"/>
        <v>60</v>
      </c>
      <c r="O40" s="52">
        <f t="shared" si="9"/>
        <v>44640</v>
      </c>
    </row>
    <row r="41" spans="7:15" x14ac:dyDescent="0.35">
      <c r="G41" s="49">
        <v>51227</v>
      </c>
      <c r="H41" s="8">
        <v>30</v>
      </c>
      <c r="I41" s="30">
        <f t="shared" si="10"/>
        <v>60</v>
      </c>
      <c r="J41" s="52">
        <f t="shared" si="8"/>
        <v>43200</v>
      </c>
      <c r="L41" s="49">
        <v>51592</v>
      </c>
      <c r="M41" s="8">
        <v>30</v>
      </c>
      <c r="N41" s="30">
        <f t="shared" si="11"/>
        <v>60</v>
      </c>
      <c r="O41" s="52">
        <f t="shared" si="9"/>
        <v>43200</v>
      </c>
    </row>
    <row r="42" spans="7:15" x14ac:dyDescent="0.35">
      <c r="G42" s="49">
        <v>51257</v>
      </c>
      <c r="H42" s="8">
        <v>31</v>
      </c>
      <c r="I42" s="30">
        <f t="shared" si="10"/>
        <v>60</v>
      </c>
      <c r="J42" s="52">
        <f t="shared" si="8"/>
        <v>44640</v>
      </c>
      <c r="L42" s="49">
        <v>51622</v>
      </c>
      <c r="M42" s="8">
        <v>31</v>
      </c>
      <c r="N42" s="30">
        <f t="shared" si="11"/>
        <v>60</v>
      </c>
      <c r="O42" s="52">
        <f t="shared" si="9"/>
        <v>44640</v>
      </c>
    </row>
    <row r="43" spans="7:15" x14ac:dyDescent="0.35">
      <c r="G43" s="49">
        <v>51288</v>
      </c>
      <c r="H43" s="8">
        <v>30</v>
      </c>
      <c r="I43" s="30">
        <f t="shared" si="10"/>
        <v>60</v>
      </c>
      <c r="J43" s="52">
        <f t="shared" si="8"/>
        <v>43200</v>
      </c>
      <c r="L43" s="49">
        <v>51653</v>
      </c>
      <c r="M43" s="8">
        <v>30</v>
      </c>
      <c r="N43" s="30">
        <f t="shared" si="11"/>
        <v>60</v>
      </c>
      <c r="O43" s="52">
        <f t="shared" si="9"/>
        <v>43200</v>
      </c>
    </row>
    <row r="44" spans="7:15" x14ac:dyDescent="0.35">
      <c r="G44" s="49">
        <v>51318</v>
      </c>
      <c r="H44" s="8">
        <v>31</v>
      </c>
      <c r="I44" s="30">
        <f t="shared" si="10"/>
        <v>60</v>
      </c>
      <c r="J44" s="52">
        <f t="shared" si="8"/>
        <v>44640</v>
      </c>
      <c r="L44" s="49">
        <v>51683</v>
      </c>
      <c r="M44" s="8">
        <v>31</v>
      </c>
      <c r="N44" s="30">
        <f t="shared" si="11"/>
        <v>60</v>
      </c>
      <c r="O44" s="52">
        <f t="shared" si="9"/>
        <v>44640</v>
      </c>
    </row>
    <row r="45" spans="7:15" x14ac:dyDescent="0.35">
      <c r="G45" s="49">
        <v>51349</v>
      </c>
      <c r="H45" s="8">
        <v>31</v>
      </c>
      <c r="I45" s="30">
        <f t="shared" si="10"/>
        <v>60</v>
      </c>
      <c r="J45" s="52">
        <f t="shared" si="8"/>
        <v>44640</v>
      </c>
      <c r="L45" s="49">
        <v>51714</v>
      </c>
      <c r="M45" s="8">
        <v>31</v>
      </c>
      <c r="N45" s="30">
        <f t="shared" si="11"/>
        <v>60</v>
      </c>
      <c r="O45" s="52">
        <f t="shared" si="9"/>
        <v>44640</v>
      </c>
    </row>
    <row r="46" spans="7:15" x14ac:dyDescent="0.35">
      <c r="G46" s="49">
        <v>51380</v>
      </c>
      <c r="H46" s="8">
        <v>30</v>
      </c>
      <c r="I46" s="30">
        <f t="shared" si="10"/>
        <v>60</v>
      </c>
      <c r="J46" s="52">
        <f t="shared" si="8"/>
        <v>43200</v>
      </c>
      <c r="L46" s="49">
        <v>51745</v>
      </c>
      <c r="M46" s="8">
        <v>30</v>
      </c>
      <c r="N46" s="30">
        <f t="shared" si="11"/>
        <v>60</v>
      </c>
      <c r="O46" s="52">
        <f t="shared" si="9"/>
        <v>43200</v>
      </c>
    </row>
    <row r="47" spans="7:15" x14ac:dyDescent="0.35">
      <c r="G47" s="49">
        <v>51410</v>
      </c>
      <c r="H47" s="8">
        <v>31</v>
      </c>
      <c r="I47" s="30">
        <f t="shared" si="10"/>
        <v>60</v>
      </c>
      <c r="J47" s="52">
        <f t="shared" si="8"/>
        <v>44640</v>
      </c>
      <c r="L47" s="49">
        <v>51775</v>
      </c>
      <c r="M47" s="8">
        <v>31</v>
      </c>
      <c r="N47" s="30">
        <f t="shared" si="11"/>
        <v>60</v>
      </c>
      <c r="O47" s="52">
        <f t="shared" si="9"/>
        <v>44640</v>
      </c>
    </row>
    <row r="48" spans="7:15" x14ac:dyDescent="0.35">
      <c r="G48" s="49">
        <v>51441</v>
      </c>
      <c r="H48" s="50">
        <v>24</v>
      </c>
      <c r="I48" s="51">
        <v>60</v>
      </c>
      <c r="J48" s="52">
        <f t="shared" si="8"/>
        <v>34560</v>
      </c>
      <c r="L48" s="49">
        <v>51806</v>
      </c>
      <c r="M48" s="50">
        <v>22</v>
      </c>
      <c r="N48" s="51">
        <v>60</v>
      </c>
      <c r="O48" s="52">
        <f t="shared" si="9"/>
        <v>31680</v>
      </c>
    </row>
    <row r="49" spans="7:15" ht="15" thickBot="1" x14ac:dyDescent="0.4">
      <c r="G49" s="14" t="s">
        <v>20</v>
      </c>
      <c r="H49" s="15"/>
      <c r="I49" s="15"/>
      <c r="J49" s="53">
        <f>SUM(J36:J48)</f>
        <v>527040</v>
      </c>
      <c r="L49" s="14" t="s">
        <v>20</v>
      </c>
      <c r="M49" s="15"/>
      <c r="N49" s="15"/>
      <c r="O49" s="53">
        <f>SUM(O36:O48)</f>
        <v>522720</v>
      </c>
    </row>
    <row r="50" spans="7:15" x14ac:dyDescent="0.35">
      <c r="G50" s="54"/>
      <c r="H50" s="55"/>
      <c r="I50" s="55"/>
      <c r="J50" s="56"/>
    </row>
    <row r="67" spans="7:10" x14ac:dyDescent="0.35">
      <c r="G67" s="54"/>
      <c r="H67" s="55"/>
      <c r="I67" s="55"/>
      <c r="J67" s="56"/>
    </row>
  </sheetData>
  <mergeCells count="5">
    <mergeCell ref="G1:M1"/>
    <mergeCell ref="G17:J17"/>
    <mergeCell ref="L17:O17"/>
    <mergeCell ref="G34:J34"/>
    <mergeCell ref="L34:O34"/>
  </mergeCells>
  <phoneticPr fontId="5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A46DB4-D979-45F6-9D6D-84C17897CB77}">
  <dimension ref="A1:AH83"/>
  <sheetViews>
    <sheetView topLeftCell="A60" workbookViewId="0">
      <selection activeCell="E77" sqref="E77"/>
    </sheetView>
  </sheetViews>
  <sheetFormatPr baseColWidth="10" defaultRowHeight="14.5" x14ac:dyDescent="0.35"/>
  <cols>
    <col min="1" max="1" width="10.90625" style="4"/>
    <col min="2" max="2" width="14.6328125" bestFit="1" customWidth="1"/>
    <col min="7" max="7" width="18.08984375" bestFit="1" customWidth="1"/>
    <col min="8" max="8" width="10.90625" style="7"/>
    <col min="9" max="9" width="11.1796875" bestFit="1" customWidth="1"/>
    <col min="10" max="13" width="13.7265625" bestFit="1" customWidth="1"/>
    <col min="14" max="14" width="13.90625" customWidth="1"/>
    <col min="25" max="25" width="11.1796875" bestFit="1" customWidth="1"/>
  </cols>
  <sheetData>
    <row r="1" spans="1:14" ht="15.5" thickTop="1" thickBot="1" x14ac:dyDescent="0.4">
      <c r="A1" s="27"/>
      <c r="B1" s="16"/>
      <c r="C1" s="28" t="s">
        <v>52</v>
      </c>
      <c r="D1" s="16"/>
      <c r="E1" s="17"/>
      <c r="G1" s="58" t="s">
        <v>21</v>
      </c>
      <c r="H1" s="59"/>
      <c r="I1" s="59"/>
      <c r="J1" s="59"/>
      <c r="K1" s="59"/>
      <c r="L1" s="59"/>
      <c r="M1" s="60"/>
    </row>
    <row r="2" spans="1:14" s="18" customFormat="1" ht="43.5" x14ac:dyDescent="0.35">
      <c r="A2" s="11" t="s">
        <v>4</v>
      </c>
      <c r="B2" s="10" t="s">
        <v>0</v>
      </c>
      <c r="C2" s="10" t="s">
        <v>1</v>
      </c>
      <c r="D2" s="10" t="s">
        <v>2</v>
      </c>
      <c r="E2" s="26" t="s">
        <v>3</v>
      </c>
      <c r="G2" s="38" t="s">
        <v>18</v>
      </c>
      <c r="H2" s="10" t="s">
        <v>46</v>
      </c>
      <c r="I2" s="19" t="s">
        <v>47</v>
      </c>
      <c r="J2" s="19" t="s">
        <v>48</v>
      </c>
      <c r="K2" s="19" t="s">
        <v>49</v>
      </c>
      <c r="L2" s="19" t="s">
        <v>50</v>
      </c>
      <c r="M2" s="39" t="s">
        <v>51</v>
      </c>
    </row>
    <row r="3" spans="1:14" x14ac:dyDescent="0.35">
      <c r="A3" s="21">
        <v>1</v>
      </c>
      <c r="B3" s="20">
        <v>60</v>
      </c>
      <c r="C3" s="20">
        <v>60</v>
      </c>
      <c r="D3" s="20">
        <v>60</v>
      </c>
      <c r="E3" s="22">
        <v>60</v>
      </c>
      <c r="F3" s="2"/>
      <c r="G3" s="40" t="s">
        <v>6</v>
      </c>
      <c r="H3" s="20">
        <v>60</v>
      </c>
      <c r="I3" s="29">
        <v>0</v>
      </c>
      <c r="J3" s="6">
        <f>(60000*24*31)*0.001</f>
        <v>44640</v>
      </c>
      <c r="K3" s="6">
        <f>(60000*24*31)*0.001</f>
        <v>44640</v>
      </c>
      <c r="L3" s="6">
        <f>(60000*24*31)*0.001</f>
        <v>44640</v>
      </c>
      <c r="M3" s="41">
        <f>(60000*24*31)*0.001</f>
        <v>44640</v>
      </c>
    </row>
    <row r="4" spans="1:14" x14ac:dyDescent="0.35">
      <c r="A4" s="21">
        <v>2</v>
      </c>
      <c r="B4" s="20">
        <v>60</v>
      </c>
      <c r="C4" s="20">
        <v>60</v>
      </c>
      <c r="D4" s="20">
        <v>60</v>
      </c>
      <c r="E4" s="22">
        <v>60</v>
      </c>
      <c r="F4" s="2"/>
      <c r="G4" s="40" t="s">
        <v>7</v>
      </c>
      <c r="H4" s="30">
        <f>H3</f>
        <v>60</v>
      </c>
      <c r="I4" s="29">
        <v>0</v>
      </c>
      <c r="J4" s="6">
        <f>(60000*24*28)*0.001</f>
        <v>40320</v>
      </c>
      <c r="K4" s="6">
        <f>(60000*24*28)*0.001</f>
        <v>40320</v>
      </c>
      <c r="L4" s="6">
        <f>(60000*24*29)*0.001</f>
        <v>41760</v>
      </c>
      <c r="M4" s="41">
        <f>(60000*24*28)*0.001</f>
        <v>40320</v>
      </c>
    </row>
    <row r="5" spans="1:14" x14ac:dyDescent="0.35">
      <c r="A5" s="21">
        <v>3</v>
      </c>
      <c r="B5" s="20">
        <v>60</v>
      </c>
      <c r="C5" s="20">
        <v>60</v>
      </c>
      <c r="D5" s="20">
        <v>60</v>
      </c>
      <c r="E5" s="22">
        <v>60</v>
      </c>
      <c r="F5" s="2"/>
      <c r="G5" s="40" t="s">
        <v>8</v>
      </c>
      <c r="H5" s="30">
        <f t="shared" ref="H5:H14" si="0">H4</f>
        <v>60</v>
      </c>
      <c r="I5" s="29">
        <v>0</v>
      </c>
      <c r="J5" s="6">
        <f>(60000*24*31)*0.001</f>
        <v>44640</v>
      </c>
      <c r="K5" s="6">
        <f>(60000*24*31)*0.001</f>
        <v>44640</v>
      </c>
      <c r="L5" s="6">
        <f>(60000*24*31)*0.001</f>
        <v>44640</v>
      </c>
      <c r="M5" s="41">
        <f>(60000*24*31)*0.001</f>
        <v>44640</v>
      </c>
    </row>
    <row r="6" spans="1:14" x14ac:dyDescent="0.35">
      <c r="A6" s="21">
        <v>4</v>
      </c>
      <c r="B6" s="20">
        <v>60</v>
      </c>
      <c r="C6" s="20">
        <v>60</v>
      </c>
      <c r="D6" s="20">
        <v>60</v>
      </c>
      <c r="E6" s="22">
        <v>60</v>
      </c>
      <c r="F6" s="2"/>
      <c r="G6" s="40" t="s">
        <v>9</v>
      </c>
      <c r="H6" s="30">
        <f t="shared" si="0"/>
        <v>60</v>
      </c>
      <c r="I6" s="29">
        <v>0</v>
      </c>
      <c r="J6" s="6">
        <f>(60000*24*30)*0.001</f>
        <v>43200</v>
      </c>
      <c r="K6" s="6">
        <f>(60000*24*30)*0.001</f>
        <v>43200</v>
      </c>
      <c r="L6" s="6">
        <f>(60000*24*30)*0.001</f>
        <v>43200</v>
      </c>
      <c r="M6" s="41">
        <f>(60000*24*30)*0.001</f>
        <v>43200</v>
      </c>
    </row>
    <row r="7" spans="1:14" x14ac:dyDescent="0.35">
      <c r="A7" s="21">
        <v>5</v>
      </c>
      <c r="B7" s="20">
        <v>60</v>
      </c>
      <c r="C7" s="20">
        <v>60</v>
      </c>
      <c r="D7" s="20">
        <v>60</v>
      </c>
      <c r="E7" s="22">
        <v>60</v>
      </c>
      <c r="F7" s="2"/>
      <c r="G7" s="40" t="s">
        <v>10</v>
      </c>
      <c r="H7" s="30">
        <f t="shared" si="0"/>
        <v>60</v>
      </c>
      <c r="I7" s="29">
        <v>0</v>
      </c>
      <c r="J7" s="6">
        <f>(60000*24*31)*0.001</f>
        <v>44640</v>
      </c>
      <c r="K7" s="6">
        <f>(60000*24*31)*0.001</f>
        <v>44640</v>
      </c>
      <c r="L7" s="6">
        <f>(60000*24*31)*0.001</f>
        <v>44640</v>
      </c>
      <c r="M7" s="41">
        <f>(60000*24*31)*0.001</f>
        <v>44640</v>
      </c>
    </row>
    <row r="8" spans="1:14" x14ac:dyDescent="0.35">
      <c r="A8" s="21">
        <v>6</v>
      </c>
      <c r="B8" s="20">
        <v>60</v>
      </c>
      <c r="C8" s="20">
        <v>60</v>
      </c>
      <c r="D8" s="20">
        <v>60</v>
      </c>
      <c r="E8" s="22">
        <v>60</v>
      </c>
      <c r="F8" s="2"/>
      <c r="G8" s="40" t="s">
        <v>11</v>
      </c>
      <c r="H8" s="30">
        <f t="shared" si="0"/>
        <v>60</v>
      </c>
      <c r="I8" s="29">
        <v>0</v>
      </c>
      <c r="J8" s="6">
        <f>(60000*24*30)*0.001</f>
        <v>43200</v>
      </c>
      <c r="K8" s="6">
        <f>(60000*24*30)*0.001</f>
        <v>43200</v>
      </c>
      <c r="L8" s="6">
        <f>(60000*24*30)*0.001</f>
        <v>43200</v>
      </c>
      <c r="M8" s="41">
        <f>(60000*24*30)*0.001</f>
        <v>43200</v>
      </c>
    </row>
    <row r="9" spans="1:14" x14ac:dyDescent="0.35">
      <c r="A9" s="21">
        <v>7</v>
      </c>
      <c r="B9" s="20">
        <v>60</v>
      </c>
      <c r="C9" s="20">
        <v>60</v>
      </c>
      <c r="D9" s="20">
        <v>60</v>
      </c>
      <c r="E9" s="22">
        <v>60</v>
      </c>
      <c r="F9" s="2"/>
      <c r="G9" s="40" t="s">
        <v>12</v>
      </c>
      <c r="H9" s="30">
        <f t="shared" si="0"/>
        <v>60</v>
      </c>
      <c r="I9" s="29">
        <v>0</v>
      </c>
      <c r="J9" s="6">
        <f t="shared" ref="J9:M10" si="1">(60000*24*31)*0.001</f>
        <v>44640</v>
      </c>
      <c r="K9" s="6">
        <f t="shared" si="1"/>
        <v>44640</v>
      </c>
      <c r="L9" s="6">
        <f t="shared" si="1"/>
        <v>44640</v>
      </c>
      <c r="M9" s="41">
        <f t="shared" si="1"/>
        <v>44640</v>
      </c>
    </row>
    <row r="10" spans="1:14" x14ac:dyDescent="0.35">
      <c r="A10" s="21">
        <v>8</v>
      </c>
      <c r="B10" s="20">
        <v>60</v>
      </c>
      <c r="C10" s="20">
        <v>60</v>
      </c>
      <c r="D10" s="20">
        <v>60</v>
      </c>
      <c r="E10" s="22">
        <v>60</v>
      </c>
      <c r="F10" s="2"/>
      <c r="G10" s="40" t="s">
        <v>13</v>
      </c>
      <c r="H10" s="30">
        <f t="shared" si="0"/>
        <v>60</v>
      </c>
      <c r="I10" s="29">
        <v>0</v>
      </c>
      <c r="J10" s="6">
        <f t="shared" si="1"/>
        <v>44640</v>
      </c>
      <c r="K10" s="6">
        <f t="shared" si="1"/>
        <v>44640</v>
      </c>
      <c r="L10" s="6">
        <f t="shared" si="1"/>
        <v>44640</v>
      </c>
      <c r="M10" s="41">
        <f t="shared" si="1"/>
        <v>44640</v>
      </c>
    </row>
    <row r="11" spans="1:14" x14ac:dyDescent="0.35">
      <c r="A11" s="21">
        <v>9</v>
      </c>
      <c r="B11" s="20">
        <v>60</v>
      </c>
      <c r="C11" s="20">
        <v>60</v>
      </c>
      <c r="D11" s="20">
        <v>60</v>
      </c>
      <c r="E11" s="22">
        <v>60</v>
      </c>
      <c r="F11" s="2"/>
      <c r="G11" s="40" t="s">
        <v>14</v>
      </c>
      <c r="H11" s="30">
        <f t="shared" si="0"/>
        <v>60</v>
      </c>
      <c r="I11" s="29">
        <v>0</v>
      </c>
      <c r="J11" s="6">
        <f>(60000*24*30)*0.001</f>
        <v>43200</v>
      </c>
      <c r="K11" s="6">
        <f>(60000*24*30)*0.001</f>
        <v>43200</v>
      </c>
      <c r="L11" s="6">
        <f>(60000*24*30)*0.001</f>
        <v>43200</v>
      </c>
      <c r="M11" s="41">
        <f>(60000*24*30)*0.001</f>
        <v>43200</v>
      </c>
    </row>
    <row r="12" spans="1:14" x14ac:dyDescent="0.35">
      <c r="A12" s="21">
        <v>10</v>
      </c>
      <c r="B12" s="20">
        <v>60</v>
      </c>
      <c r="C12" s="20">
        <v>60</v>
      </c>
      <c r="D12" s="20">
        <v>60</v>
      </c>
      <c r="E12" s="22">
        <v>60</v>
      </c>
      <c r="F12" s="2"/>
      <c r="G12" s="40" t="s">
        <v>15</v>
      </c>
      <c r="H12" s="30">
        <f t="shared" si="0"/>
        <v>60</v>
      </c>
      <c r="I12" s="29">
        <v>0</v>
      </c>
      <c r="J12" s="6">
        <f>(60000*24*31)*0.001</f>
        <v>44640</v>
      </c>
      <c r="K12" s="6">
        <f>(60000*24*31)*0.001</f>
        <v>44640</v>
      </c>
      <c r="L12" s="6">
        <f>(60000*24*31)*0.001</f>
        <v>44640</v>
      </c>
      <c r="M12" s="41">
        <f>(60000*24*31)*0.001</f>
        <v>44640</v>
      </c>
    </row>
    <row r="13" spans="1:14" x14ac:dyDescent="0.35">
      <c r="A13" s="21">
        <v>11</v>
      </c>
      <c r="B13" s="20">
        <v>60</v>
      </c>
      <c r="C13" s="20">
        <v>60</v>
      </c>
      <c r="D13" s="20">
        <v>60</v>
      </c>
      <c r="E13" s="22">
        <v>60</v>
      </c>
      <c r="F13" s="2"/>
      <c r="G13" s="40" t="s">
        <v>16</v>
      </c>
      <c r="H13" s="30">
        <f t="shared" si="0"/>
        <v>60</v>
      </c>
      <c r="I13" s="9">
        <f>(60000*24*6)*0.001</f>
        <v>8640</v>
      </c>
      <c r="J13" s="6">
        <f>(60000*24*30)*0.001</f>
        <v>43200</v>
      </c>
      <c r="K13" s="6">
        <f>(60000*24*30)*0.001</f>
        <v>43200</v>
      </c>
      <c r="L13" s="6">
        <f>(60000*24*30)*0.001</f>
        <v>43200</v>
      </c>
      <c r="M13" s="41">
        <f>(60000*24*22)*0.001</f>
        <v>31680</v>
      </c>
    </row>
    <row r="14" spans="1:14" ht="15" thickBot="1" x14ac:dyDescent="0.4">
      <c r="A14" s="21">
        <v>12</v>
      </c>
      <c r="B14" s="20">
        <v>60</v>
      </c>
      <c r="C14" s="20">
        <v>60</v>
      </c>
      <c r="D14" s="20">
        <v>60</v>
      </c>
      <c r="E14" s="22">
        <v>60</v>
      </c>
      <c r="F14" s="2"/>
      <c r="G14" s="40" t="s">
        <v>17</v>
      </c>
      <c r="H14" s="30">
        <f t="shared" si="0"/>
        <v>60</v>
      </c>
      <c r="I14" s="9">
        <f>(60000*24*31)*0.001</f>
        <v>44640</v>
      </c>
      <c r="J14" s="6">
        <f>(60000*24*31)*0.001</f>
        <v>44640</v>
      </c>
      <c r="K14" s="6">
        <f>(60000*24*31)*0.001</f>
        <v>44640</v>
      </c>
      <c r="L14" s="6">
        <f>(60000*24*31)*0.001</f>
        <v>44640</v>
      </c>
      <c r="M14" s="42">
        <v>0</v>
      </c>
    </row>
    <row r="15" spans="1:14" ht="15.5" thickTop="1" thickBot="1" x14ac:dyDescent="0.4">
      <c r="A15" s="21">
        <v>13</v>
      </c>
      <c r="B15" s="20">
        <v>60</v>
      </c>
      <c r="C15" s="20">
        <v>60</v>
      </c>
      <c r="D15" s="20">
        <v>60</v>
      </c>
      <c r="E15" s="22">
        <v>60</v>
      </c>
      <c r="F15" s="2"/>
      <c r="G15" s="43" t="s">
        <v>20</v>
      </c>
      <c r="H15" s="44"/>
      <c r="I15" s="45">
        <f>SUM(I3:I14)</f>
        <v>53280</v>
      </c>
      <c r="J15" s="46">
        <f t="shared" ref="J15:M15" si="2">SUM(J3:J14)</f>
        <v>525600</v>
      </c>
      <c r="K15" s="46">
        <f t="shared" si="2"/>
        <v>525600</v>
      </c>
      <c r="L15" s="46">
        <f t="shared" si="2"/>
        <v>527040</v>
      </c>
      <c r="M15" s="47">
        <f t="shared" si="2"/>
        <v>469440</v>
      </c>
      <c r="N15" s="48">
        <f>SUM(I15:M15)</f>
        <v>2100960</v>
      </c>
    </row>
    <row r="16" spans="1:14" ht="15" customHeight="1" thickTop="1" thickBot="1" x14ac:dyDescent="0.4">
      <c r="A16" s="21">
        <v>14</v>
      </c>
      <c r="B16" s="20">
        <v>60</v>
      </c>
      <c r="C16" s="20">
        <v>60</v>
      </c>
      <c r="D16" s="20">
        <v>60</v>
      </c>
      <c r="E16" s="22">
        <v>60</v>
      </c>
      <c r="F16" s="2"/>
    </row>
    <row r="17" spans="1:34" ht="15" thickBot="1" x14ac:dyDescent="0.4">
      <c r="A17" s="21">
        <v>15</v>
      </c>
      <c r="B17" s="20">
        <v>60</v>
      </c>
      <c r="C17" s="20">
        <v>60</v>
      </c>
      <c r="D17" s="20">
        <v>60</v>
      </c>
      <c r="E17" s="22">
        <v>60</v>
      </c>
      <c r="F17" s="2"/>
      <c r="G17" s="61" t="s">
        <v>57</v>
      </c>
      <c r="H17" s="62"/>
      <c r="I17" s="62"/>
      <c r="J17" s="63"/>
    </row>
    <row r="18" spans="1:34" ht="33.5" customHeight="1" x14ac:dyDescent="0.35">
      <c r="A18" s="21">
        <v>16</v>
      </c>
      <c r="B18" s="20">
        <v>60</v>
      </c>
      <c r="C18" s="20">
        <v>60</v>
      </c>
      <c r="D18" s="20">
        <v>60</v>
      </c>
      <c r="E18" s="22">
        <v>60</v>
      </c>
      <c r="F18" s="2"/>
      <c r="G18" s="11" t="s">
        <v>18</v>
      </c>
      <c r="H18" s="10" t="s">
        <v>19</v>
      </c>
      <c r="I18" s="10" t="s">
        <v>46</v>
      </c>
      <c r="J18" s="57" t="s">
        <v>61</v>
      </c>
      <c r="K18" s="32" t="s">
        <v>45</v>
      </c>
      <c r="L18" s="33" t="s">
        <v>44</v>
      </c>
      <c r="M18" s="33" t="s">
        <v>43</v>
      </c>
      <c r="N18" s="33" t="s">
        <v>42</v>
      </c>
      <c r="O18" s="33" t="s">
        <v>41</v>
      </c>
      <c r="P18" s="33" t="s">
        <v>40</v>
      </c>
      <c r="Q18" s="33" t="s">
        <v>39</v>
      </c>
      <c r="R18" s="33" t="s">
        <v>38</v>
      </c>
      <c r="S18" s="33" t="s">
        <v>37</v>
      </c>
      <c r="T18" s="33" t="s">
        <v>36</v>
      </c>
      <c r="U18" s="33" t="s">
        <v>35</v>
      </c>
      <c r="V18" s="33" t="s">
        <v>34</v>
      </c>
      <c r="W18" s="33" t="s">
        <v>33</v>
      </c>
      <c r="X18" s="33" t="s">
        <v>32</v>
      </c>
      <c r="Y18" s="33" t="s">
        <v>31</v>
      </c>
      <c r="Z18" s="33" t="s">
        <v>30</v>
      </c>
      <c r="AA18" s="33" t="s">
        <v>29</v>
      </c>
      <c r="AB18" s="33" t="s">
        <v>28</v>
      </c>
      <c r="AC18" s="33" t="s">
        <v>27</v>
      </c>
      <c r="AD18" s="33" t="s">
        <v>26</v>
      </c>
      <c r="AE18" s="33" t="s">
        <v>25</v>
      </c>
      <c r="AF18" s="33" t="s">
        <v>24</v>
      </c>
      <c r="AG18" s="33" t="s">
        <v>23</v>
      </c>
      <c r="AH18" s="34" t="s">
        <v>22</v>
      </c>
    </row>
    <row r="19" spans="1:34" x14ac:dyDescent="0.35">
      <c r="A19" s="21">
        <v>17</v>
      </c>
      <c r="B19" s="20">
        <v>60</v>
      </c>
      <c r="C19" s="20">
        <v>60</v>
      </c>
      <c r="D19" s="20">
        <v>60</v>
      </c>
      <c r="E19" s="22">
        <v>60</v>
      </c>
      <c r="F19" s="2"/>
      <c r="G19" s="49">
        <v>50345</v>
      </c>
      <c r="H19" s="8">
        <v>6</v>
      </c>
      <c r="I19" s="20">
        <v>60</v>
      </c>
      <c r="J19" s="52">
        <f>I19*24*H19</f>
        <v>8640</v>
      </c>
      <c r="K19" s="12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13"/>
    </row>
    <row r="20" spans="1:34" x14ac:dyDescent="0.35">
      <c r="A20" s="21">
        <v>18</v>
      </c>
      <c r="B20" s="20">
        <v>60</v>
      </c>
      <c r="C20" s="20">
        <v>60</v>
      </c>
      <c r="D20" s="20">
        <v>60</v>
      </c>
      <c r="E20" s="22">
        <v>60</v>
      </c>
      <c r="F20" s="2"/>
      <c r="G20" s="49">
        <v>50375</v>
      </c>
      <c r="H20" s="8">
        <v>31</v>
      </c>
      <c r="I20" s="30">
        <f>I19</f>
        <v>60</v>
      </c>
      <c r="J20" s="52">
        <f t="shared" ref="J20:J31" si="3">I20*24*H20</f>
        <v>44640</v>
      </c>
      <c r="K20" s="12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13"/>
    </row>
    <row r="21" spans="1:34" x14ac:dyDescent="0.35">
      <c r="A21" s="21">
        <v>19</v>
      </c>
      <c r="B21" s="20">
        <v>60</v>
      </c>
      <c r="C21" s="20">
        <v>60</v>
      </c>
      <c r="D21" s="20">
        <v>60</v>
      </c>
      <c r="E21" s="22">
        <v>60</v>
      </c>
      <c r="F21" s="2"/>
      <c r="G21" s="49">
        <v>50406</v>
      </c>
      <c r="H21" s="8">
        <v>31</v>
      </c>
      <c r="I21" s="30">
        <f t="shared" ref="I21:I30" si="4">I20</f>
        <v>60</v>
      </c>
      <c r="J21" s="52">
        <f t="shared" si="3"/>
        <v>44640</v>
      </c>
      <c r="K21" s="12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13"/>
    </row>
    <row r="22" spans="1:34" x14ac:dyDescent="0.35">
      <c r="A22" s="21">
        <v>20</v>
      </c>
      <c r="B22" s="20">
        <v>60</v>
      </c>
      <c r="C22" s="20">
        <v>60</v>
      </c>
      <c r="D22" s="20">
        <v>60</v>
      </c>
      <c r="E22" s="22">
        <v>60</v>
      </c>
      <c r="F22" s="2"/>
      <c r="G22" s="49">
        <v>50437</v>
      </c>
      <c r="H22" s="8">
        <v>28</v>
      </c>
      <c r="I22" s="30">
        <f t="shared" si="4"/>
        <v>60</v>
      </c>
      <c r="J22" s="52">
        <f t="shared" si="3"/>
        <v>40320</v>
      </c>
      <c r="K22" s="12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13"/>
    </row>
    <row r="23" spans="1:34" x14ac:dyDescent="0.35">
      <c r="A23" s="21">
        <v>21</v>
      </c>
      <c r="B23" s="20">
        <v>60</v>
      </c>
      <c r="C23" s="20">
        <v>60</v>
      </c>
      <c r="D23" s="20">
        <v>60</v>
      </c>
      <c r="E23" s="22">
        <v>60</v>
      </c>
      <c r="F23" s="2"/>
      <c r="G23" s="49">
        <v>50465</v>
      </c>
      <c r="H23" s="8">
        <v>31</v>
      </c>
      <c r="I23" s="30">
        <f t="shared" si="4"/>
        <v>60</v>
      </c>
      <c r="J23" s="52">
        <f t="shared" si="3"/>
        <v>44640</v>
      </c>
      <c r="K23" s="12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13"/>
    </row>
    <row r="24" spans="1:34" x14ac:dyDescent="0.35">
      <c r="A24" s="21">
        <v>22</v>
      </c>
      <c r="B24" s="20">
        <v>60</v>
      </c>
      <c r="C24" s="20">
        <v>60</v>
      </c>
      <c r="D24" s="20">
        <v>60</v>
      </c>
      <c r="E24" s="22">
        <v>60</v>
      </c>
      <c r="F24" s="2"/>
      <c r="G24" s="49">
        <v>50496</v>
      </c>
      <c r="H24" s="8">
        <v>30</v>
      </c>
      <c r="I24" s="30">
        <f t="shared" si="4"/>
        <v>60</v>
      </c>
      <c r="J24" s="52">
        <f t="shared" si="3"/>
        <v>43200</v>
      </c>
      <c r="K24" s="12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13"/>
    </row>
    <row r="25" spans="1:34" x14ac:dyDescent="0.35">
      <c r="A25" s="21">
        <v>23</v>
      </c>
      <c r="B25" s="20">
        <v>60</v>
      </c>
      <c r="C25" s="20">
        <v>60</v>
      </c>
      <c r="D25" s="20">
        <v>60</v>
      </c>
      <c r="E25" s="22">
        <v>60</v>
      </c>
      <c r="F25" s="2"/>
      <c r="G25" s="49">
        <v>50526</v>
      </c>
      <c r="H25" s="8">
        <v>31</v>
      </c>
      <c r="I25" s="30">
        <f t="shared" si="4"/>
        <v>60</v>
      </c>
      <c r="J25" s="52">
        <f t="shared" si="3"/>
        <v>44640</v>
      </c>
      <c r="K25" s="12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13"/>
    </row>
    <row r="26" spans="1:34" x14ac:dyDescent="0.35">
      <c r="A26" s="21">
        <v>24</v>
      </c>
      <c r="B26" s="20">
        <v>60</v>
      </c>
      <c r="C26" s="20">
        <v>60</v>
      </c>
      <c r="D26" s="20">
        <v>60</v>
      </c>
      <c r="E26" s="22">
        <v>60</v>
      </c>
      <c r="F26" s="2"/>
      <c r="G26" s="49">
        <v>50557</v>
      </c>
      <c r="H26" s="8">
        <v>30</v>
      </c>
      <c r="I26" s="30">
        <f t="shared" si="4"/>
        <v>60</v>
      </c>
      <c r="J26" s="52">
        <f t="shared" si="3"/>
        <v>43200</v>
      </c>
      <c r="K26" s="12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13"/>
    </row>
    <row r="27" spans="1:34" ht="15" thickBot="1" x14ac:dyDescent="0.4">
      <c r="A27" s="23" t="s">
        <v>5</v>
      </c>
      <c r="B27" s="24">
        <f>SUM(B3:B26)</f>
        <v>1440</v>
      </c>
      <c r="C27" s="24">
        <f t="shared" ref="C27:E27" si="5">SUM(C3:C26)</f>
        <v>1440</v>
      </c>
      <c r="D27" s="24">
        <f t="shared" si="5"/>
        <v>1440</v>
      </c>
      <c r="E27" s="25">
        <f t="shared" si="5"/>
        <v>1440</v>
      </c>
      <c r="G27" s="49">
        <v>50587</v>
      </c>
      <c r="H27" s="8">
        <v>31</v>
      </c>
      <c r="I27" s="30">
        <f t="shared" si="4"/>
        <v>60</v>
      </c>
      <c r="J27" s="52">
        <f t="shared" si="3"/>
        <v>44640</v>
      </c>
      <c r="K27" s="12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13"/>
    </row>
    <row r="28" spans="1:34" x14ac:dyDescent="0.35">
      <c r="B28" s="1"/>
      <c r="C28" s="1"/>
      <c r="D28" s="1"/>
      <c r="E28" s="1"/>
      <c r="G28" s="49">
        <v>50618</v>
      </c>
      <c r="H28" s="8">
        <v>31</v>
      </c>
      <c r="I28" s="30">
        <f t="shared" si="4"/>
        <v>60</v>
      </c>
      <c r="J28" s="52">
        <f t="shared" si="3"/>
        <v>44640</v>
      </c>
      <c r="K28" s="12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13"/>
    </row>
    <row r="29" spans="1:34" x14ac:dyDescent="0.35">
      <c r="B29" s="3"/>
      <c r="C29" s="1"/>
      <c r="D29" s="1"/>
      <c r="E29" s="1"/>
      <c r="G29" s="49">
        <v>50649</v>
      </c>
      <c r="H29" s="8">
        <v>30</v>
      </c>
      <c r="I29" s="30">
        <f t="shared" si="4"/>
        <v>60</v>
      </c>
      <c r="J29" s="52">
        <f t="shared" si="3"/>
        <v>43200</v>
      </c>
      <c r="K29" s="12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13"/>
    </row>
    <row r="30" spans="1:34" x14ac:dyDescent="0.35">
      <c r="G30" s="49">
        <v>50679</v>
      </c>
      <c r="H30" s="8">
        <v>31</v>
      </c>
      <c r="I30" s="30">
        <f t="shared" si="4"/>
        <v>60</v>
      </c>
      <c r="J30" s="52">
        <f t="shared" si="3"/>
        <v>44640</v>
      </c>
      <c r="K30" s="12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13"/>
    </row>
    <row r="31" spans="1:34" x14ac:dyDescent="0.35">
      <c r="G31" s="49">
        <v>50710</v>
      </c>
      <c r="H31" s="50">
        <v>24</v>
      </c>
      <c r="I31" s="51">
        <v>60</v>
      </c>
      <c r="J31" s="52">
        <f t="shared" si="3"/>
        <v>34560</v>
      </c>
      <c r="K31" s="12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13"/>
    </row>
    <row r="32" spans="1:34" ht="15" thickBot="1" x14ac:dyDescent="0.4">
      <c r="G32" s="14" t="s">
        <v>20</v>
      </c>
      <c r="H32" s="15"/>
      <c r="I32" s="15"/>
      <c r="J32" s="53">
        <f>SUM(J19:J31)</f>
        <v>525600</v>
      </c>
      <c r="K32" s="35"/>
      <c r="L32" s="36"/>
      <c r="M32" s="36"/>
      <c r="N32" s="36"/>
      <c r="O32" s="36"/>
      <c r="P32" s="36"/>
      <c r="Q32" s="36"/>
      <c r="R32" s="36"/>
      <c r="S32" s="36"/>
      <c r="T32" s="36"/>
      <c r="U32" s="36"/>
      <c r="V32" s="36"/>
      <c r="W32" s="36"/>
      <c r="X32" s="36"/>
      <c r="Y32" s="36"/>
      <c r="Z32" s="36"/>
      <c r="AA32" s="36"/>
      <c r="AB32" s="36"/>
      <c r="AC32" s="36"/>
      <c r="AD32" s="36"/>
      <c r="AE32" s="36"/>
      <c r="AF32" s="36"/>
      <c r="AG32" s="36"/>
      <c r="AH32" s="37"/>
    </row>
    <row r="33" spans="7:34" ht="15" thickBot="1" x14ac:dyDescent="0.4">
      <c r="G33" s="54"/>
      <c r="H33" s="55"/>
      <c r="I33" s="55"/>
      <c r="J33" s="56"/>
    </row>
    <row r="34" spans="7:34" ht="15" thickBot="1" x14ac:dyDescent="0.4">
      <c r="G34" s="61" t="s">
        <v>58</v>
      </c>
      <c r="H34" s="62"/>
      <c r="I34" s="62"/>
      <c r="J34" s="63"/>
    </row>
    <row r="35" spans="7:34" ht="29" x14ac:dyDescent="0.35">
      <c r="G35" s="11" t="s">
        <v>18</v>
      </c>
      <c r="H35" s="10" t="s">
        <v>19</v>
      </c>
      <c r="I35" s="10" t="s">
        <v>46</v>
      </c>
      <c r="J35" s="57" t="s">
        <v>61</v>
      </c>
      <c r="K35" s="32" t="s">
        <v>45</v>
      </c>
      <c r="L35" s="33" t="s">
        <v>44</v>
      </c>
      <c r="M35" s="33" t="s">
        <v>43</v>
      </c>
      <c r="N35" s="33" t="s">
        <v>42</v>
      </c>
      <c r="O35" s="33" t="s">
        <v>41</v>
      </c>
      <c r="P35" s="33" t="s">
        <v>40</v>
      </c>
      <c r="Q35" s="33" t="s">
        <v>39</v>
      </c>
      <c r="R35" s="33" t="s">
        <v>38</v>
      </c>
      <c r="S35" s="33" t="s">
        <v>37</v>
      </c>
      <c r="T35" s="33" t="s">
        <v>36</v>
      </c>
      <c r="U35" s="33" t="s">
        <v>35</v>
      </c>
      <c r="V35" s="33" t="s">
        <v>34</v>
      </c>
      <c r="W35" s="33" t="s">
        <v>33</v>
      </c>
      <c r="X35" s="33" t="s">
        <v>32</v>
      </c>
      <c r="Y35" s="33" t="s">
        <v>31</v>
      </c>
      <c r="Z35" s="33" t="s">
        <v>30</v>
      </c>
      <c r="AA35" s="33" t="s">
        <v>29</v>
      </c>
      <c r="AB35" s="33" t="s">
        <v>28</v>
      </c>
      <c r="AC35" s="33" t="s">
        <v>27</v>
      </c>
      <c r="AD35" s="33" t="s">
        <v>26</v>
      </c>
      <c r="AE35" s="33" t="s">
        <v>25</v>
      </c>
      <c r="AF35" s="33" t="s">
        <v>24</v>
      </c>
      <c r="AG35" s="33" t="s">
        <v>23</v>
      </c>
      <c r="AH35" s="34" t="s">
        <v>22</v>
      </c>
    </row>
    <row r="36" spans="7:34" x14ac:dyDescent="0.35">
      <c r="G36" s="49">
        <v>50710</v>
      </c>
      <c r="H36" s="8">
        <v>6</v>
      </c>
      <c r="I36" s="20">
        <v>60</v>
      </c>
      <c r="J36" s="52">
        <f>I36*24*H36</f>
        <v>8640</v>
      </c>
      <c r="K36" s="12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13"/>
    </row>
    <row r="37" spans="7:34" x14ac:dyDescent="0.35">
      <c r="G37" s="49">
        <v>50740</v>
      </c>
      <c r="H37" s="8">
        <v>31</v>
      </c>
      <c r="I37" s="30">
        <f>I36</f>
        <v>60</v>
      </c>
      <c r="J37" s="52">
        <f t="shared" ref="J37:J48" si="6">I37*24*H37</f>
        <v>44640</v>
      </c>
      <c r="K37" s="12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13"/>
    </row>
    <row r="38" spans="7:34" x14ac:dyDescent="0.35">
      <c r="G38" s="49">
        <v>50771</v>
      </c>
      <c r="H38" s="8">
        <v>31</v>
      </c>
      <c r="I38" s="30">
        <f t="shared" ref="I38:I47" si="7">I37</f>
        <v>60</v>
      </c>
      <c r="J38" s="52">
        <f t="shared" si="6"/>
        <v>44640</v>
      </c>
      <c r="K38" s="12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13"/>
    </row>
    <row r="39" spans="7:34" x14ac:dyDescent="0.35">
      <c r="G39" s="49">
        <v>50802</v>
      </c>
      <c r="H39" s="8">
        <v>28</v>
      </c>
      <c r="I39" s="30">
        <f t="shared" si="7"/>
        <v>60</v>
      </c>
      <c r="J39" s="52">
        <f t="shared" si="6"/>
        <v>40320</v>
      </c>
      <c r="K39" s="12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13"/>
    </row>
    <row r="40" spans="7:34" x14ac:dyDescent="0.35">
      <c r="G40" s="49">
        <v>50830</v>
      </c>
      <c r="H40" s="8">
        <v>31</v>
      </c>
      <c r="I40" s="30">
        <f t="shared" si="7"/>
        <v>60</v>
      </c>
      <c r="J40" s="52">
        <f t="shared" si="6"/>
        <v>44640</v>
      </c>
      <c r="K40" s="12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13"/>
    </row>
    <row r="41" spans="7:34" x14ac:dyDescent="0.35">
      <c r="G41" s="49">
        <v>50861</v>
      </c>
      <c r="H41" s="8">
        <v>30</v>
      </c>
      <c r="I41" s="30">
        <f t="shared" si="7"/>
        <v>60</v>
      </c>
      <c r="J41" s="52">
        <f t="shared" si="6"/>
        <v>43200</v>
      </c>
      <c r="K41" s="12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13"/>
    </row>
    <row r="42" spans="7:34" x14ac:dyDescent="0.35">
      <c r="G42" s="49">
        <v>50891</v>
      </c>
      <c r="H42" s="8">
        <v>31</v>
      </c>
      <c r="I42" s="30">
        <f t="shared" si="7"/>
        <v>60</v>
      </c>
      <c r="J42" s="52">
        <f t="shared" si="6"/>
        <v>44640</v>
      </c>
      <c r="K42" s="12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13"/>
    </row>
    <row r="43" spans="7:34" x14ac:dyDescent="0.35">
      <c r="G43" s="49">
        <v>50922</v>
      </c>
      <c r="H43" s="8">
        <v>30</v>
      </c>
      <c r="I43" s="30">
        <f t="shared" si="7"/>
        <v>60</v>
      </c>
      <c r="J43" s="52">
        <f t="shared" si="6"/>
        <v>43200</v>
      </c>
      <c r="K43" s="12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13"/>
    </row>
    <row r="44" spans="7:34" x14ac:dyDescent="0.35">
      <c r="G44" s="49">
        <v>50952</v>
      </c>
      <c r="H44" s="8">
        <v>31</v>
      </c>
      <c r="I44" s="30">
        <f t="shared" si="7"/>
        <v>60</v>
      </c>
      <c r="J44" s="52">
        <f t="shared" si="6"/>
        <v>44640</v>
      </c>
      <c r="K44" s="12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13"/>
    </row>
    <row r="45" spans="7:34" x14ac:dyDescent="0.35">
      <c r="G45" s="49">
        <v>50983</v>
      </c>
      <c r="H45" s="8">
        <v>31</v>
      </c>
      <c r="I45" s="30">
        <f t="shared" si="7"/>
        <v>60</v>
      </c>
      <c r="J45" s="52">
        <f t="shared" si="6"/>
        <v>44640</v>
      </c>
      <c r="K45" s="12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13"/>
    </row>
    <row r="46" spans="7:34" x14ac:dyDescent="0.35">
      <c r="G46" s="49">
        <v>51014</v>
      </c>
      <c r="H46" s="8">
        <v>30</v>
      </c>
      <c r="I46" s="30">
        <f t="shared" si="7"/>
        <v>60</v>
      </c>
      <c r="J46" s="52">
        <f t="shared" si="6"/>
        <v>43200</v>
      </c>
      <c r="K46" s="12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13"/>
    </row>
    <row r="47" spans="7:34" x14ac:dyDescent="0.35">
      <c r="G47" s="49">
        <v>51044</v>
      </c>
      <c r="H47" s="8">
        <v>31</v>
      </c>
      <c r="I47" s="30">
        <f t="shared" si="7"/>
        <v>60</v>
      </c>
      <c r="J47" s="52">
        <f t="shared" si="6"/>
        <v>44640</v>
      </c>
      <c r="K47" s="12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13"/>
    </row>
    <row r="48" spans="7:34" x14ac:dyDescent="0.35">
      <c r="G48" s="49">
        <v>51075</v>
      </c>
      <c r="H48" s="50">
        <v>24</v>
      </c>
      <c r="I48" s="51">
        <v>60</v>
      </c>
      <c r="J48" s="52">
        <f t="shared" si="6"/>
        <v>34560</v>
      </c>
      <c r="K48" s="12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13"/>
    </row>
    <row r="49" spans="7:34" ht="15" thickBot="1" x14ac:dyDescent="0.4">
      <c r="G49" s="14" t="s">
        <v>20</v>
      </c>
      <c r="H49" s="15"/>
      <c r="I49" s="15"/>
      <c r="J49" s="53">
        <f>SUM(J36:J48)</f>
        <v>525600</v>
      </c>
      <c r="K49" s="35"/>
      <c r="L49" s="36"/>
      <c r="M49" s="36"/>
      <c r="N49" s="36"/>
      <c r="O49" s="36"/>
      <c r="P49" s="36"/>
      <c r="Q49" s="36"/>
      <c r="R49" s="36"/>
      <c r="S49" s="36"/>
      <c r="T49" s="36"/>
      <c r="U49" s="36"/>
      <c r="V49" s="36"/>
      <c r="W49" s="36"/>
      <c r="X49" s="36"/>
      <c r="Y49" s="36"/>
      <c r="Z49" s="36"/>
      <c r="AA49" s="36"/>
      <c r="AB49" s="36"/>
      <c r="AC49" s="36"/>
      <c r="AD49" s="36"/>
      <c r="AE49" s="36"/>
      <c r="AF49" s="36"/>
      <c r="AG49" s="36"/>
      <c r="AH49" s="37"/>
    </row>
    <row r="50" spans="7:34" ht="15" thickBot="1" x14ac:dyDescent="0.4">
      <c r="G50" s="54"/>
      <c r="H50" s="55"/>
      <c r="I50" s="55"/>
      <c r="J50" s="56"/>
    </row>
    <row r="51" spans="7:34" ht="15" thickBot="1" x14ac:dyDescent="0.4">
      <c r="G51" s="61" t="s">
        <v>59</v>
      </c>
      <c r="H51" s="62"/>
      <c r="I51" s="62"/>
      <c r="J51" s="63"/>
    </row>
    <row r="52" spans="7:34" ht="29" x14ac:dyDescent="0.35">
      <c r="G52" s="11" t="s">
        <v>18</v>
      </c>
      <c r="H52" s="10" t="s">
        <v>19</v>
      </c>
      <c r="I52" s="10" t="s">
        <v>46</v>
      </c>
      <c r="J52" s="57" t="s">
        <v>61</v>
      </c>
      <c r="K52" s="32" t="s">
        <v>45</v>
      </c>
      <c r="L52" s="33" t="s">
        <v>44</v>
      </c>
      <c r="M52" s="33" t="s">
        <v>43</v>
      </c>
      <c r="N52" s="33" t="s">
        <v>42</v>
      </c>
      <c r="O52" s="33" t="s">
        <v>41</v>
      </c>
      <c r="P52" s="33" t="s">
        <v>40</v>
      </c>
      <c r="Q52" s="33" t="s">
        <v>39</v>
      </c>
      <c r="R52" s="33" t="s">
        <v>38</v>
      </c>
      <c r="S52" s="33" t="s">
        <v>37</v>
      </c>
      <c r="T52" s="33" t="s">
        <v>36</v>
      </c>
      <c r="U52" s="33" t="s">
        <v>35</v>
      </c>
      <c r="V52" s="33" t="s">
        <v>34</v>
      </c>
      <c r="W52" s="33" t="s">
        <v>33</v>
      </c>
      <c r="X52" s="33" t="s">
        <v>32</v>
      </c>
      <c r="Y52" s="33" t="s">
        <v>31</v>
      </c>
      <c r="Z52" s="33" t="s">
        <v>30</v>
      </c>
      <c r="AA52" s="33" t="s">
        <v>29</v>
      </c>
      <c r="AB52" s="33" t="s">
        <v>28</v>
      </c>
      <c r="AC52" s="33" t="s">
        <v>27</v>
      </c>
      <c r="AD52" s="33" t="s">
        <v>26</v>
      </c>
      <c r="AE52" s="33" t="s">
        <v>25</v>
      </c>
      <c r="AF52" s="33" t="s">
        <v>24</v>
      </c>
      <c r="AG52" s="33" t="s">
        <v>23</v>
      </c>
      <c r="AH52" s="34" t="s">
        <v>22</v>
      </c>
    </row>
    <row r="53" spans="7:34" x14ac:dyDescent="0.35">
      <c r="G53" s="49">
        <v>51075</v>
      </c>
      <c r="H53" s="8">
        <v>6</v>
      </c>
      <c r="I53" s="20">
        <v>60</v>
      </c>
      <c r="J53" s="52">
        <f>I53*24*H53</f>
        <v>8640</v>
      </c>
      <c r="K53" s="12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13"/>
    </row>
    <row r="54" spans="7:34" x14ac:dyDescent="0.35">
      <c r="G54" s="49">
        <v>51105</v>
      </c>
      <c r="H54" s="8">
        <v>31</v>
      </c>
      <c r="I54" s="30">
        <f>I53</f>
        <v>60</v>
      </c>
      <c r="J54" s="52">
        <f t="shared" ref="J54:J65" si="8">I54*24*H54</f>
        <v>44640</v>
      </c>
      <c r="K54" s="12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13"/>
    </row>
    <row r="55" spans="7:34" x14ac:dyDescent="0.35">
      <c r="G55" s="49">
        <v>51136</v>
      </c>
      <c r="H55" s="8">
        <v>31</v>
      </c>
      <c r="I55" s="30">
        <f t="shared" ref="I55:I64" si="9">I54</f>
        <v>60</v>
      </c>
      <c r="J55" s="52">
        <f t="shared" si="8"/>
        <v>44640</v>
      </c>
      <c r="K55" s="12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13"/>
    </row>
    <row r="56" spans="7:34" x14ac:dyDescent="0.35">
      <c r="G56" s="49">
        <v>51167</v>
      </c>
      <c r="H56" s="8">
        <v>29</v>
      </c>
      <c r="I56" s="30">
        <f t="shared" si="9"/>
        <v>60</v>
      </c>
      <c r="J56" s="52">
        <f t="shared" si="8"/>
        <v>41760</v>
      </c>
      <c r="K56" s="12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13"/>
    </row>
    <row r="57" spans="7:34" x14ac:dyDescent="0.35">
      <c r="G57" s="49">
        <v>51196</v>
      </c>
      <c r="H57" s="8">
        <v>31</v>
      </c>
      <c r="I57" s="30">
        <f t="shared" si="9"/>
        <v>60</v>
      </c>
      <c r="J57" s="52">
        <f t="shared" si="8"/>
        <v>44640</v>
      </c>
      <c r="K57" s="12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13"/>
    </row>
    <row r="58" spans="7:34" x14ac:dyDescent="0.35">
      <c r="G58" s="49">
        <v>51227</v>
      </c>
      <c r="H58" s="8">
        <v>30</v>
      </c>
      <c r="I58" s="30">
        <f t="shared" si="9"/>
        <v>60</v>
      </c>
      <c r="J58" s="52">
        <f t="shared" si="8"/>
        <v>43200</v>
      </c>
      <c r="K58" s="12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13"/>
    </row>
    <row r="59" spans="7:34" x14ac:dyDescent="0.35">
      <c r="G59" s="49">
        <v>51257</v>
      </c>
      <c r="H59" s="8">
        <v>31</v>
      </c>
      <c r="I59" s="30">
        <f t="shared" si="9"/>
        <v>60</v>
      </c>
      <c r="J59" s="52">
        <f t="shared" si="8"/>
        <v>44640</v>
      </c>
      <c r="K59" s="12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13"/>
    </row>
    <row r="60" spans="7:34" x14ac:dyDescent="0.35">
      <c r="G60" s="49">
        <v>51288</v>
      </c>
      <c r="H60" s="8">
        <v>30</v>
      </c>
      <c r="I60" s="30">
        <f t="shared" si="9"/>
        <v>60</v>
      </c>
      <c r="J60" s="52">
        <f t="shared" si="8"/>
        <v>43200</v>
      </c>
      <c r="K60" s="12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13"/>
    </row>
    <row r="61" spans="7:34" x14ac:dyDescent="0.35">
      <c r="G61" s="49">
        <v>51318</v>
      </c>
      <c r="H61" s="8">
        <v>31</v>
      </c>
      <c r="I61" s="30">
        <f t="shared" si="9"/>
        <v>60</v>
      </c>
      <c r="J61" s="52">
        <f t="shared" si="8"/>
        <v>44640</v>
      </c>
      <c r="K61" s="12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13"/>
    </row>
    <row r="62" spans="7:34" x14ac:dyDescent="0.35">
      <c r="G62" s="49">
        <v>51349</v>
      </c>
      <c r="H62" s="8">
        <v>31</v>
      </c>
      <c r="I62" s="30">
        <f t="shared" si="9"/>
        <v>60</v>
      </c>
      <c r="J62" s="52">
        <f t="shared" si="8"/>
        <v>44640</v>
      </c>
      <c r="K62" s="12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13"/>
    </row>
    <row r="63" spans="7:34" x14ac:dyDescent="0.35">
      <c r="G63" s="49">
        <v>51380</v>
      </c>
      <c r="H63" s="8">
        <v>30</v>
      </c>
      <c r="I63" s="30">
        <f t="shared" si="9"/>
        <v>60</v>
      </c>
      <c r="J63" s="52">
        <f t="shared" si="8"/>
        <v>43200</v>
      </c>
      <c r="K63" s="12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13"/>
    </row>
    <row r="64" spans="7:34" x14ac:dyDescent="0.35">
      <c r="G64" s="49">
        <v>51410</v>
      </c>
      <c r="H64" s="8">
        <v>31</v>
      </c>
      <c r="I64" s="30">
        <f t="shared" si="9"/>
        <v>60</v>
      </c>
      <c r="J64" s="52">
        <f t="shared" si="8"/>
        <v>44640</v>
      </c>
      <c r="K64" s="12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13"/>
    </row>
    <row r="65" spans="7:34" x14ac:dyDescent="0.35">
      <c r="G65" s="49">
        <v>51441</v>
      </c>
      <c r="H65" s="50">
        <v>24</v>
      </c>
      <c r="I65" s="51">
        <v>60</v>
      </c>
      <c r="J65" s="52">
        <f t="shared" si="8"/>
        <v>34560</v>
      </c>
      <c r="K65" s="12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13"/>
    </row>
    <row r="66" spans="7:34" ht="15" thickBot="1" x14ac:dyDescent="0.4">
      <c r="G66" s="14" t="s">
        <v>20</v>
      </c>
      <c r="H66" s="15"/>
      <c r="I66" s="15"/>
      <c r="J66" s="53">
        <f>SUM(J53:J65)</f>
        <v>527040</v>
      </c>
      <c r="K66" s="35"/>
      <c r="L66" s="36"/>
      <c r="M66" s="36"/>
      <c r="N66" s="36"/>
      <c r="O66" s="36"/>
      <c r="P66" s="36"/>
      <c r="Q66" s="36"/>
      <c r="R66" s="36"/>
      <c r="S66" s="36"/>
      <c r="T66" s="36"/>
      <c r="U66" s="36"/>
      <c r="V66" s="36"/>
      <c r="W66" s="36"/>
      <c r="X66" s="36"/>
      <c r="Y66" s="36"/>
      <c r="Z66" s="36"/>
      <c r="AA66" s="36"/>
      <c r="AB66" s="36"/>
      <c r="AC66" s="36"/>
      <c r="AD66" s="36"/>
      <c r="AE66" s="36"/>
      <c r="AF66" s="36"/>
      <c r="AG66" s="36"/>
      <c r="AH66" s="37"/>
    </row>
    <row r="67" spans="7:34" ht="15" thickBot="1" x14ac:dyDescent="0.4">
      <c r="G67" s="54"/>
      <c r="H67" s="55"/>
      <c r="I67" s="55"/>
      <c r="J67" s="56"/>
    </row>
    <row r="68" spans="7:34" ht="15" thickBot="1" x14ac:dyDescent="0.4">
      <c r="G68" s="61" t="s">
        <v>60</v>
      </c>
      <c r="H68" s="62"/>
      <c r="I68" s="62"/>
      <c r="J68" s="63"/>
    </row>
    <row r="69" spans="7:34" ht="29" x14ac:dyDescent="0.35">
      <c r="G69" s="11" t="s">
        <v>18</v>
      </c>
      <c r="H69" s="10" t="s">
        <v>19</v>
      </c>
      <c r="I69" s="10" t="s">
        <v>46</v>
      </c>
      <c r="J69" s="57" t="s">
        <v>61</v>
      </c>
      <c r="K69" s="32" t="s">
        <v>45</v>
      </c>
      <c r="L69" s="33" t="s">
        <v>44</v>
      </c>
      <c r="M69" s="33" t="s">
        <v>43</v>
      </c>
      <c r="N69" s="33" t="s">
        <v>42</v>
      </c>
      <c r="O69" s="33" t="s">
        <v>41</v>
      </c>
      <c r="P69" s="33" t="s">
        <v>40</v>
      </c>
      <c r="Q69" s="33" t="s">
        <v>39</v>
      </c>
      <c r="R69" s="33" t="s">
        <v>38</v>
      </c>
      <c r="S69" s="33" t="s">
        <v>37</v>
      </c>
      <c r="T69" s="33" t="s">
        <v>36</v>
      </c>
      <c r="U69" s="33" t="s">
        <v>35</v>
      </c>
      <c r="V69" s="33" t="s">
        <v>34</v>
      </c>
      <c r="W69" s="33" t="s">
        <v>33</v>
      </c>
      <c r="X69" s="33" t="s">
        <v>32</v>
      </c>
      <c r="Y69" s="33" t="s">
        <v>31</v>
      </c>
      <c r="Z69" s="33" t="s">
        <v>30</v>
      </c>
      <c r="AA69" s="33" t="s">
        <v>29</v>
      </c>
      <c r="AB69" s="33" t="s">
        <v>28</v>
      </c>
      <c r="AC69" s="33" t="s">
        <v>27</v>
      </c>
      <c r="AD69" s="33" t="s">
        <v>26</v>
      </c>
      <c r="AE69" s="33" t="s">
        <v>25</v>
      </c>
      <c r="AF69" s="33" t="s">
        <v>24</v>
      </c>
      <c r="AG69" s="33" t="s">
        <v>23</v>
      </c>
      <c r="AH69" s="34" t="s">
        <v>22</v>
      </c>
    </row>
    <row r="70" spans="7:34" x14ac:dyDescent="0.35">
      <c r="G70" s="49">
        <v>51441</v>
      </c>
      <c r="H70" s="8">
        <v>6</v>
      </c>
      <c r="I70" s="20">
        <v>60</v>
      </c>
      <c r="J70" s="52">
        <f>I70*24*H70</f>
        <v>8640</v>
      </c>
      <c r="K70" s="12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13"/>
    </row>
    <row r="71" spans="7:34" x14ac:dyDescent="0.35">
      <c r="G71" s="49">
        <v>51471</v>
      </c>
      <c r="H71" s="8">
        <v>31</v>
      </c>
      <c r="I71" s="30">
        <f>I70</f>
        <v>60</v>
      </c>
      <c r="J71" s="52">
        <f t="shared" ref="J71:J82" si="10">I71*24*H71</f>
        <v>44640</v>
      </c>
      <c r="K71" s="12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13"/>
    </row>
    <row r="72" spans="7:34" x14ac:dyDescent="0.35">
      <c r="G72" s="49">
        <v>51502</v>
      </c>
      <c r="H72" s="8">
        <v>31</v>
      </c>
      <c r="I72" s="30">
        <f t="shared" ref="I72:I81" si="11">I71</f>
        <v>60</v>
      </c>
      <c r="J72" s="52">
        <f t="shared" si="10"/>
        <v>44640</v>
      </c>
      <c r="K72" s="12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13"/>
    </row>
    <row r="73" spans="7:34" x14ac:dyDescent="0.35">
      <c r="G73" s="49">
        <v>51533</v>
      </c>
      <c r="H73" s="8">
        <v>28</v>
      </c>
      <c r="I73" s="30">
        <f t="shared" si="11"/>
        <v>60</v>
      </c>
      <c r="J73" s="52">
        <f t="shared" si="10"/>
        <v>40320</v>
      </c>
      <c r="K73" s="12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13"/>
    </row>
    <row r="74" spans="7:34" x14ac:dyDescent="0.35">
      <c r="G74" s="49">
        <v>51561</v>
      </c>
      <c r="H74" s="8">
        <v>31</v>
      </c>
      <c r="I74" s="30">
        <f t="shared" si="11"/>
        <v>60</v>
      </c>
      <c r="J74" s="52">
        <f t="shared" si="10"/>
        <v>44640</v>
      </c>
      <c r="K74" s="12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13"/>
    </row>
    <row r="75" spans="7:34" x14ac:dyDescent="0.35">
      <c r="G75" s="49">
        <v>51592</v>
      </c>
      <c r="H75" s="8">
        <v>30</v>
      </c>
      <c r="I75" s="30">
        <f t="shared" si="11"/>
        <v>60</v>
      </c>
      <c r="J75" s="52">
        <f t="shared" si="10"/>
        <v>43200</v>
      </c>
      <c r="K75" s="12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13"/>
    </row>
    <row r="76" spans="7:34" x14ac:dyDescent="0.35">
      <c r="G76" s="49">
        <v>51622</v>
      </c>
      <c r="H76" s="8">
        <v>31</v>
      </c>
      <c r="I76" s="30">
        <f t="shared" si="11"/>
        <v>60</v>
      </c>
      <c r="J76" s="52">
        <f t="shared" si="10"/>
        <v>44640</v>
      </c>
      <c r="K76" s="12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13"/>
    </row>
    <row r="77" spans="7:34" x14ac:dyDescent="0.35">
      <c r="G77" s="49">
        <v>51653</v>
      </c>
      <c r="H77" s="8">
        <v>30</v>
      </c>
      <c r="I77" s="30">
        <f t="shared" si="11"/>
        <v>60</v>
      </c>
      <c r="J77" s="52">
        <f t="shared" si="10"/>
        <v>43200</v>
      </c>
      <c r="K77" s="12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13"/>
    </row>
    <row r="78" spans="7:34" x14ac:dyDescent="0.35">
      <c r="G78" s="49">
        <v>51683</v>
      </c>
      <c r="H78" s="8">
        <v>31</v>
      </c>
      <c r="I78" s="30">
        <f t="shared" si="11"/>
        <v>60</v>
      </c>
      <c r="J78" s="52">
        <f t="shared" si="10"/>
        <v>44640</v>
      </c>
      <c r="K78" s="12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13"/>
    </row>
    <row r="79" spans="7:34" x14ac:dyDescent="0.35">
      <c r="G79" s="49">
        <v>51714</v>
      </c>
      <c r="H79" s="8">
        <v>31</v>
      </c>
      <c r="I79" s="30">
        <f t="shared" si="11"/>
        <v>60</v>
      </c>
      <c r="J79" s="52">
        <f t="shared" si="10"/>
        <v>44640</v>
      </c>
      <c r="K79" s="12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13"/>
    </row>
    <row r="80" spans="7:34" x14ac:dyDescent="0.35">
      <c r="G80" s="49">
        <v>51745</v>
      </c>
      <c r="H80" s="8">
        <v>30</v>
      </c>
      <c r="I80" s="30">
        <f t="shared" si="11"/>
        <v>60</v>
      </c>
      <c r="J80" s="52">
        <f t="shared" si="10"/>
        <v>43200</v>
      </c>
      <c r="K80" s="12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13"/>
    </row>
    <row r="81" spans="7:34" x14ac:dyDescent="0.35">
      <c r="G81" s="49">
        <v>51775</v>
      </c>
      <c r="H81" s="8">
        <v>31</v>
      </c>
      <c r="I81" s="30">
        <f t="shared" si="11"/>
        <v>60</v>
      </c>
      <c r="J81" s="52">
        <f t="shared" si="10"/>
        <v>44640</v>
      </c>
      <c r="K81" s="12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13"/>
    </row>
    <row r="82" spans="7:34" x14ac:dyDescent="0.35">
      <c r="G82" s="49">
        <v>51806</v>
      </c>
      <c r="H82" s="50">
        <v>22</v>
      </c>
      <c r="I82" s="51">
        <v>60</v>
      </c>
      <c r="J82" s="52">
        <f t="shared" si="10"/>
        <v>31680</v>
      </c>
      <c r="K82" s="12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13"/>
    </row>
    <row r="83" spans="7:34" ht="15" thickBot="1" x14ac:dyDescent="0.4">
      <c r="G83" s="14" t="s">
        <v>20</v>
      </c>
      <c r="H83" s="15"/>
      <c r="I83" s="15"/>
      <c r="J83" s="53">
        <f>SUM(J70:J82)</f>
        <v>522720</v>
      </c>
      <c r="K83" s="35"/>
      <c r="L83" s="36"/>
      <c r="M83" s="36"/>
      <c r="N83" s="36"/>
      <c r="O83" s="36"/>
      <c r="P83" s="36"/>
      <c r="Q83" s="36"/>
      <c r="R83" s="36"/>
      <c r="S83" s="36"/>
      <c r="T83" s="36"/>
      <c r="U83" s="36"/>
      <c r="V83" s="36"/>
      <c r="W83" s="36"/>
      <c r="X83" s="36"/>
      <c r="Y83" s="36"/>
      <c r="Z83" s="36"/>
      <c r="AA83" s="36"/>
      <c r="AB83" s="36"/>
      <c r="AC83" s="36"/>
      <c r="AD83" s="36"/>
      <c r="AE83" s="36"/>
      <c r="AF83" s="36"/>
      <c r="AG83" s="36"/>
      <c r="AH83" s="37"/>
    </row>
  </sheetData>
  <mergeCells count="5">
    <mergeCell ref="G1:M1"/>
    <mergeCell ref="G17:J17"/>
    <mergeCell ref="G34:J34"/>
    <mergeCell ref="G51:J51"/>
    <mergeCell ref="G68:J6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Anexo 1 Necesidades de Contrata</vt:lpstr>
      <vt:lpstr>Anexo 2 $ y  Cant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Eliana Garzon Rayo</dc:creator>
  <cp:lastModifiedBy>Sofia Ximena Achicanoy Paz</cp:lastModifiedBy>
  <dcterms:created xsi:type="dcterms:W3CDTF">2024-11-05T21:22:48Z</dcterms:created>
  <dcterms:modified xsi:type="dcterms:W3CDTF">2025-07-24T20:28:57Z</dcterms:modified>
</cp:coreProperties>
</file>