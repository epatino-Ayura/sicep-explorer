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LSIA COLOMBIA/Licitaciones/2025/CP-EPSC2025-002/Prepliegos/"/>
    </mc:Choice>
  </mc:AlternateContent>
  <xr:revisionPtr revIDLastSave="1049" documentId="8_{FFCDC07D-3E81-4B66-8782-D9AE71B5DE20}" xr6:coauthVersionLast="47" xr6:coauthVersionMax="47" xr10:uidLastSave="{4703FE6E-4EC7-4E06-8F6A-8F04FF1A1BE0}"/>
  <bookViews>
    <workbookView xWindow="-120" yWindow="-120" windowWidth="20730" windowHeight="11160" xr2:uid="{AE04A264-B901-4B34-A8A6-2C5B58A0F334}"/>
  </bookViews>
  <sheets>
    <sheet name="Anexo 1" sheetId="23" r:id="rId1"/>
    <sheet name="Anexo 1A" sheetId="67" r:id="rId2"/>
    <sheet name="Anexo 11" sheetId="26" r:id="rId3"/>
    <sheet name="Cantidades Ofertadas Prod 1" sheetId="27" r:id="rId4"/>
    <sheet name="Anexo 2" sheetId="13" r:id="rId5"/>
    <sheet name="Anexo 2A" sheetId="68" r:id="rId6"/>
    <sheet name="Anexo 12" sheetId="14" r:id="rId7"/>
    <sheet name="Cantidades Ofertadas Prod 2" sheetId="19" r:id="rId8"/>
    <sheet name="Anexo 3" sheetId="20" r:id="rId9"/>
    <sheet name="Anexo 3A" sheetId="69" r:id="rId10"/>
    <sheet name="Anexo 13" sheetId="21" r:id="rId11"/>
    <sheet name="Cantidades Ofertadas Prod 3" sheetId="22" r:id="rId12"/>
    <sheet name="Anexo 4" sheetId="24" r:id="rId13"/>
    <sheet name="Anexo 4A" sheetId="66" r:id="rId14"/>
    <sheet name="Anexo 14" sheetId="25" r:id="rId15"/>
    <sheet name="Cantidades Ofertadas Prod 4" sheetId="28" r:id="rId16"/>
    <sheet name="Anexo 5" sheetId="11" r:id="rId17"/>
    <sheet name="Anexo 5A" sheetId="33" r:id="rId18"/>
    <sheet name="Anexo 15" sheetId="12" r:id="rId19"/>
    <sheet name="Cantidades Ofertadas Prod 5" sheetId="18" r:id="rId20"/>
    <sheet name="Anexo 6" sheetId="44" r:id="rId21"/>
    <sheet name="Anexo 6A" sheetId="60" r:id="rId22"/>
    <sheet name="Anexo 16" sheetId="37" r:id="rId23"/>
    <sheet name="Cantidades Ofertadas Prod 6" sheetId="43" r:id="rId24"/>
    <sheet name="Anexo 7" sheetId="46" r:id="rId25"/>
    <sheet name="Anexo 7A" sheetId="62" r:id="rId26"/>
    <sheet name="Anexo 17" sheetId="38" r:id="rId27"/>
    <sheet name="Cantidades Ofertadas Prod 7" sheetId="49" r:id="rId28"/>
    <sheet name="Anexo 8" sheetId="53" r:id="rId29"/>
    <sheet name="Anexo 8A" sheetId="63" r:id="rId30"/>
    <sheet name="Anexo 18" sheetId="50" r:id="rId31"/>
    <sheet name="Cantidades Ofertadas Prod 8" sheetId="54" r:id="rId32"/>
    <sheet name="Anexo 9" sheetId="55" r:id="rId33"/>
    <sheet name="Anexo 9A" sheetId="64" r:id="rId34"/>
    <sheet name="Anexo 19" sheetId="51" r:id="rId35"/>
    <sheet name="Cantidades Ofertadas Prod 9" sheetId="56" r:id="rId36"/>
    <sheet name="Anexo 10" sheetId="57" r:id="rId37"/>
    <sheet name="Anexo 10A" sheetId="65" r:id="rId38"/>
    <sheet name="Anexo 20" sheetId="52" r:id="rId39"/>
    <sheet name="Cantidades Ofertadas Prod 10" sheetId="58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6" i="25" l="1"/>
  <c r="AA7" i="25"/>
  <c r="AA8" i="25"/>
  <c r="AA9" i="25"/>
  <c r="AA10" i="25"/>
  <c r="AA11" i="25"/>
  <c r="AA12" i="25"/>
  <c r="AA13" i="25"/>
  <c r="AA14" i="25"/>
  <c r="AA15" i="25"/>
  <c r="AA16" i="25"/>
  <c r="AA17" i="25"/>
  <c r="AA18" i="25"/>
  <c r="AA19" i="25"/>
  <c r="AA20" i="25"/>
  <c r="AA21" i="25"/>
  <c r="AA22" i="25"/>
  <c r="AA23" i="25"/>
  <c r="AA24" i="25"/>
  <c r="AA25" i="25"/>
  <c r="AA26" i="25"/>
  <c r="AA27" i="25"/>
  <c r="AA28" i="25"/>
  <c r="AA29" i="25"/>
  <c r="AA30" i="25"/>
  <c r="AA31" i="25"/>
  <c r="AA32" i="25"/>
  <c r="AA33" i="25"/>
  <c r="AA34" i="25"/>
  <c r="AA35" i="25"/>
  <c r="AA36" i="25"/>
  <c r="AA37" i="25"/>
  <c r="AA38" i="25"/>
  <c r="AA39" i="25"/>
  <c r="AA40" i="25"/>
  <c r="AA41" i="25"/>
  <c r="F22" i="69"/>
  <c r="E21" i="69"/>
  <c r="C21" i="69"/>
  <c r="E20" i="69"/>
  <c r="C20" i="69"/>
  <c r="E19" i="69"/>
  <c r="C19" i="69"/>
  <c r="E18" i="69"/>
  <c r="C18" i="69"/>
  <c r="E17" i="69"/>
  <c r="C17" i="69"/>
  <c r="E16" i="69"/>
  <c r="C16" i="69"/>
  <c r="E15" i="69"/>
  <c r="C15" i="69"/>
  <c r="E14" i="69"/>
  <c r="C14" i="69"/>
  <c r="E13" i="69"/>
  <c r="C13" i="69"/>
  <c r="E12" i="69"/>
  <c r="C12" i="69"/>
  <c r="E11" i="69"/>
  <c r="C11" i="69"/>
  <c r="E10" i="69"/>
  <c r="C10" i="69"/>
  <c r="E22" i="69" l="1"/>
  <c r="C22" i="69"/>
  <c r="F22" i="68" l="1"/>
  <c r="E21" i="68"/>
  <c r="C21" i="68"/>
  <c r="E20" i="68"/>
  <c r="C20" i="68"/>
  <c r="E19" i="68"/>
  <c r="C19" i="68"/>
  <c r="E18" i="68"/>
  <c r="C18" i="68"/>
  <c r="E17" i="68"/>
  <c r="C17" i="68"/>
  <c r="E16" i="68"/>
  <c r="C16" i="68"/>
  <c r="E15" i="68"/>
  <c r="C15" i="68"/>
  <c r="E14" i="68"/>
  <c r="C14" i="68"/>
  <c r="E13" i="68"/>
  <c r="C13" i="68"/>
  <c r="E12" i="68"/>
  <c r="C12" i="68"/>
  <c r="E11" i="68"/>
  <c r="C11" i="68"/>
  <c r="E10" i="68"/>
  <c r="C10" i="68"/>
  <c r="C22" i="68" s="1"/>
  <c r="F22" i="67"/>
  <c r="E21" i="67"/>
  <c r="C21" i="67"/>
  <c r="E20" i="67"/>
  <c r="C20" i="67"/>
  <c r="E19" i="67"/>
  <c r="C19" i="67"/>
  <c r="E18" i="67"/>
  <c r="C18" i="67"/>
  <c r="E17" i="67"/>
  <c r="C17" i="67"/>
  <c r="E16" i="67"/>
  <c r="C16" i="67"/>
  <c r="E15" i="67"/>
  <c r="C15" i="67"/>
  <c r="E14" i="67"/>
  <c r="C14" i="67"/>
  <c r="E13" i="67"/>
  <c r="C13" i="67"/>
  <c r="E12" i="67"/>
  <c r="C12" i="67"/>
  <c r="E11" i="67"/>
  <c r="C11" i="67"/>
  <c r="E10" i="67"/>
  <c r="C10" i="67"/>
  <c r="AA6" i="26"/>
  <c r="AA7" i="26"/>
  <c r="AA8" i="26"/>
  <c r="AA9" i="26"/>
  <c r="AA10" i="26"/>
  <c r="AA11" i="26"/>
  <c r="AA12" i="26"/>
  <c r="AA13" i="26"/>
  <c r="AA14" i="26"/>
  <c r="AA15" i="26"/>
  <c r="AA16" i="26"/>
  <c r="AA17" i="26"/>
  <c r="AA18" i="26"/>
  <c r="AA19" i="26"/>
  <c r="AA20" i="26"/>
  <c r="AA21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6" i="26"/>
  <c r="AA37" i="26"/>
  <c r="AA38" i="26"/>
  <c r="AA39" i="26"/>
  <c r="AA40" i="26"/>
  <c r="AA41" i="26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E22" i="68" l="1"/>
  <c r="E22" i="67"/>
  <c r="C22" i="67"/>
  <c r="F22" i="66"/>
  <c r="E21" i="66"/>
  <c r="C21" i="66"/>
  <c r="E20" i="66"/>
  <c r="C20" i="66"/>
  <c r="E19" i="66"/>
  <c r="C19" i="66"/>
  <c r="E18" i="66"/>
  <c r="C18" i="66"/>
  <c r="E17" i="66"/>
  <c r="C17" i="66"/>
  <c r="E16" i="66"/>
  <c r="C16" i="66"/>
  <c r="E15" i="66"/>
  <c r="C15" i="66"/>
  <c r="E14" i="66"/>
  <c r="C14" i="66"/>
  <c r="E13" i="66"/>
  <c r="C13" i="66"/>
  <c r="E12" i="66"/>
  <c r="C12" i="66"/>
  <c r="E11" i="66"/>
  <c r="C11" i="66"/>
  <c r="E10" i="66"/>
  <c r="C10" i="66"/>
  <c r="F22" i="65"/>
  <c r="E21" i="65"/>
  <c r="C21" i="65"/>
  <c r="E20" i="65"/>
  <c r="C20" i="65"/>
  <c r="E19" i="65"/>
  <c r="C19" i="65"/>
  <c r="E18" i="65"/>
  <c r="C18" i="65"/>
  <c r="E17" i="65"/>
  <c r="C17" i="65"/>
  <c r="E16" i="65"/>
  <c r="C16" i="65"/>
  <c r="E15" i="65"/>
  <c r="C15" i="65"/>
  <c r="E14" i="65"/>
  <c r="C14" i="65"/>
  <c r="E13" i="65"/>
  <c r="C13" i="65"/>
  <c r="E12" i="65"/>
  <c r="C12" i="65"/>
  <c r="E11" i="65"/>
  <c r="C11" i="65"/>
  <c r="E10" i="65"/>
  <c r="C10" i="65"/>
  <c r="F22" i="64"/>
  <c r="C22" i="64"/>
  <c r="E21" i="64"/>
  <c r="C21" i="64"/>
  <c r="E20" i="64"/>
  <c r="C20" i="64"/>
  <c r="E19" i="64"/>
  <c r="C19" i="64"/>
  <c r="E18" i="64"/>
  <c r="C18" i="64"/>
  <c r="E17" i="64"/>
  <c r="C17" i="64"/>
  <c r="E16" i="64"/>
  <c r="C16" i="64"/>
  <c r="E15" i="64"/>
  <c r="C15" i="64"/>
  <c r="E14" i="64"/>
  <c r="C14" i="64"/>
  <c r="E13" i="64"/>
  <c r="C13" i="64"/>
  <c r="E12" i="64"/>
  <c r="C12" i="64"/>
  <c r="E11" i="64"/>
  <c r="C11" i="64"/>
  <c r="E10" i="64"/>
  <c r="C10" i="64"/>
  <c r="F22" i="63"/>
  <c r="E21" i="63"/>
  <c r="C21" i="63"/>
  <c r="E20" i="63"/>
  <c r="C20" i="63"/>
  <c r="E19" i="63"/>
  <c r="C19" i="63"/>
  <c r="E18" i="63"/>
  <c r="C18" i="63"/>
  <c r="E17" i="63"/>
  <c r="C17" i="63"/>
  <c r="E16" i="63"/>
  <c r="C16" i="63"/>
  <c r="E15" i="63"/>
  <c r="C15" i="63"/>
  <c r="E14" i="63"/>
  <c r="C14" i="63"/>
  <c r="E13" i="63"/>
  <c r="C13" i="63"/>
  <c r="E12" i="63"/>
  <c r="C12" i="63"/>
  <c r="E11" i="63"/>
  <c r="C11" i="63"/>
  <c r="E10" i="63"/>
  <c r="E22" i="63" s="1"/>
  <c r="C10" i="63"/>
  <c r="C22" i="63" s="1"/>
  <c r="F22" i="62"/>
  <c r="E21" i="62"/>
  <c r="C21" i="62"/>
  <c r="E20" i="62"/>
  <c r="C20" i="62"/>
  <c r="E19" i="62"/>
  <c r="C19" i="62"/>
  <c r="E18" i="62"/>
  <c r="C18" i="62"/>
  <c r="E17" i="62"/>
  <c r="C17" i="62"/>
  <c r="E16" i="62"/>
  <c r="C16" i="62"/>
  <c r="E15" i="62"/>
  <c r="C15" i="62"/>
  <c r="E14" i="62"/>
  <c r="C14" i="62"/>
  <c r="E13" i="62"/>
  <c r="C13" i="62"/>
  <c r="E12" i="62"/>
  <c r="C12" i="62"/>
  <c r="E11" i="62"/>
  <c r="C11" i="62"/>
  <c r="E10" i="62"/>
  <c r="C10" i="62"/>
  <c r="F22" i="60"/>
  <c r="E21" i="60"/>
  <c r="C21" i="60"/>
  <c r="E20" i="60"/>
  <c r="C20" i="60"/>
  <c r="E19" i="60"/>
  <c r="C19" i="60"/>
  <c r="E18" i="60"/>
  <c r="C18" i="60"/>
  <c r="E17" i="60"/>
  <c r="C17" i="60"/>
  <c r="E16" i="60"/>
  <c r="C16" i="60"/>
  <c r="E15" i="60"/>
  <c r="C15" i="60"/>
  <c r="E14" i="60"/>
  <c r="C14" i="60"/>
  <c r="E13" i="60"/>
  <c r="C13" i="60"/>
  <c r="E12" i="60"/>
  <c r="C12" i="60"/>
  <c r="E11" i="60"/>
  <c r="C11" i="60"/>
  <c r="E10" i="60"/>
  <c r="C10" i="60"/>
  <c r="C22" i="60" s="1"/>
  <c r="C22" i="65" l="1"/>
  <c r="E22" i="64"/>
  <c r="C22" i="62"/>
  <c r="E22" i="66"/>
  <c r="C22" i="66"/>
  <c r="E22" i="65"/>
  <c r="E22" i="62"/>
  <c r="E22" i="60"/>
  <c r="Z41" i="58" l="1"/>
  <c r="Y41" i="58"/>
  <c r="X41" i="58"/>
  <c r="W41" i="58"/>
  <c r="V41" i="58"/>
  <c r="U41" i="58"/>
  <c r="T41" i="58"/>
  <c r="S41" i="58"/>
  <c r="R41" i="58"/>
  <c r="Q41" i="58"/>
  <c r="P41" i="58"/>
  <c r="O41" i="58"/>
  <c r="N41" i="58"/>
  <c r="M41" i="58"/>
  <c r="L41" i="58"/>
  <c r="K41" i="58"/>
  <c r="J41" i="58"/>
  <c r="I41" i="58"/>
  <c r="H41" i="58"/>
  <c r="G41" i="58"/>
  <c r="F41" i="58"/>
  <c r="E41" i="58"/>
  <c r="D41" i="58"/>
  <c r="C41" i="58"/>
  <c r="Z40" i="58"/>
  <c r="Y40" i="58"/>
  <c r="X40" i="58"/>
  <c r="W40" i="58"/>
  <c r="V40" i="58"/>
  <c r="U40" i="58"/>
  <c r="T40" i="58"/>
  <c r="S40" i="58"/>
  <c r="R40" i="58"/>
  <c r="Q40" i="58"/>
  <c r="P40" i="58"/>
  <c r="O40" i="58"/>
  <c r="N40" i="58"/>
  <c r="M40" i="58"/>
  <c r="L40" i="58"/>
  <c r="K40" i="58"/>
  <c r="J40" i="58"/>
  <c r="I40" i="58"/>
  <c r="H40" i="58"/>
  <c r="G40" i="58"/>
  <c r="F40" i="58"/>
  <c r="E40" i="58"/>
  <c r="D40" i="58"/>
  <c r="C40" i="58"/>
  <c r="Z39" i="58"/>
  <c r="Y39" i="58"/>
  <c r="X39" i="58"/>
  <c r="W39" i="58"/>
  <c r="V39" i="58"/>
  <c r="U39" i="58"/>
  <c r="T39" i="58"/>
  <c r="S39" i="58"/>
  <c r="R39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D39" i="58"/>
  <c r="C39" i="58"/>
  <c r="Z38" i="58"/>
  <c r="Y38" i="58"/>
  <c r="X38" i="58"/>
  <c r="W38" i="58"/>
  <c r="V38" i="58"/>
  <c r="U38" i="58"/>
  <c r="T38" i="58"/>
  <c r="S38" i="58"/>
  <c r="R38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E38" i="58"/>
  <c r="D38" i="58"/>
  <c r="C38" i="58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G37" i="58"/>
  <c r="F37" i="58"/>
  <c r="E37" i="58"/>
  <c r="D37" i="58"/>
  <c r="C37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G36" i="58"/>
  <c r="F36" i="58"/>
  <c r="E36" i="58"/>
  <c r="D36" i="58"/>
  <c r="C36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H35" i="58"/>
  <c r="G35" i="58"/>
  <c r="F35" i="58"/>
  <c r="E35" i="58"/>
  <c r="D35" i="58"/>
  <c r="C35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G34" i="58"/>
  <c r="F34" i="58"/>
  <c r="E34" i="58"/>
  <c r="D34" i="58"/>
  <c r="C34" i="58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G33" i="58"/>
  <c r="F33" i="58"/>
  <c r="E33" i="58"/>
  <c r="D33" i="58"/>
  <c r="C33" i="58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G32" i="58"/>
  <c r="F32" i="58"/>
  <c r="E32" i="58"/>
  <c r="D32" i="58"/>
  <c r="C32" i="58"/>
  <c r="Z31" i="58"/>
  <c r="Y31" i="58"/>
  <c r="X31" i="58"/>
  <c r="W31" i="58"/>
  <c r="V31" i="58"/>
  <c r="U31" i="58"/>
  <c r="T31" i="58"/>
  <c r="S31" i="58"/>
  <c r="R31" i="58"/>
  <c r="Q31" i="58"/>
  <c r="P31" i="58"/>
  <c r="O31" i="58"/>
  <c r="N31" i="58"/>
  <c r="M31" i="58"/>
  <c r="L31" i="58"/>
  <c r="K31" i="58"/>
  <c r="J31" i="58"/>
  <c r="I31" i="58"/>
  <c r="H31" i="58"/>
  <c r="G31" i="58"/>
  <c r="F31" i="58"/>
  <c r="E31" i="58"/>
  <c r="D31" i="58"/>
  <c r="C31" i="58"/>
  <c r="Z30" i="58"/>
  <c r="Y30" i="58"/>
  <c r="X30" i="58"/>
  <c r="W30" i="58"/>
  <c r="V30" i="58"/>
  <c r="U30" i="58"/>
  <c r="T30" i="58"/>
  <c r="S30" i="58"/>
  <c r="R30" i="58"/>
  <c r="Q30" i="58"/>
  <c r="P30" i="58"/>
  <c r="O30" i="58"/>
  <c r="N30" i="58"/>
  <c r="M30" i="58"/>
  <c r="L30" i="58"/>
  <c r="K30" i="58"/>
  <c r="J30" i="58"/>
  <c r="I30" i="58"/>
  <c r="H30" i="58"/>
  <c r="G30" i="58"/>
  <c r="F30" i="58"/>
  <c r="E30" i="58"/>
  <c r="D30" i="58"/>
  <c r="C30" i="58"/>
  <c r="Z29" i="58"/>
  <c r="Y29" i="58"/>
  <c r="X29" i="58"/>
  <c r="W29" i="58"/>
  <c r="V29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Z28" i="58"/>
  <c r="Y28" i="58"/>
  <c r="X28" i="58"/>
  <c r="W28" i="58"/>
  <c r="V28" i="58"/>
  <c r="U28" i="58"/>
  <c r="T28" i="58"/>
  <c r="S28" i="58"/>
  <c r="R28" i="58"/>
  <c r="Q28" i="58"/>
  <c r="P28" i="58"/>
  <c r="O28" i="58"/>
  <c r="N28" i="58"/>
  <c r="M28" i="58"/>
  <c r="L28" i="58"/>
  <c r="K28" i="58"/>
  <c r="J28" i="58"/>
  <c r="I28" i="58"/>
  <c r="H28" i="58"/>
  <c r="G28" i="58"/>
  <c r="F28" i="58"/>
  <c r="E28" i="58"/>
  <c r="D28" i="58"/>
  <c r="C28" i="58"/>
  <c r="Z27" i="58"/>
  <c r="Y27" i="58"/>
  <c r="X27" i="58"/>
  <c r="W27" i="58"/>
  <c r="V27" i="58"/>
  <c r="U27" i="58"/>
  <c r="T27" i="58"/>
  <c r="S27" i="58"/>
  <c r="R27" i="58"/>
  <c r="Q27" i="58"/>
  <c r="P27" i="58"/>
  <c r="O27" i="58"/>
  <c r="N27" i="58"/>
  <c r="M27" i="58"/>
  <c r="L27" i="58"/>
  <c r="K27" i="58"/>
  <c r="J27" i="58"/>
  <c r="I27" i="58"/>
  <c r="H27" i="58"/>
  <c r="G27" i="58"/>
  <c r="F27" i="58"/>
  <c r="E27" i="58"/>
  <c r="D27" i="58"/>
  <c r="C27" i="58"/>
  <c r="Z26" i="58"/>
  <c r="Y26" i="58"/>
  <c r="X26" i="58"/>
  <c r="W26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Z25" i="58"/>
  <c r="Y25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Z24" i="58"/>
  <c r="Y24" i="58"/>
  <c r="X24" i="58"/>
  <c r="W24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Z23" i="58"/>
  <c r="Y23" i="58"/>
  <c r="X23" i="58"/>
  <c r="W23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Z22" i="58"/>
  <c r="Y22" i="58"/>
  <c r="X22" i="58"/>
  <c r="W22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Z20" i="58"/>
  <c r="Y20" i="58"/>
  <c r="X20" i="58"/>
  <c r="W20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Z19" i="58"/>
  <c r="Y19" i="58"/>
  <c r="X19" i="58"/>
  <c r="W19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Z18" i="58"/>
  <c r="Y18" i="58"/>
  <c r="X18" i="58"/>
  <c r="W18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Z17" i="58"/>
  <c r="Y17" i="58"/>
  <c r="X17" i="58"/>
  <c r="W17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G7" i="58"/>
  <c r="F7" i="58"/>
  <c r="E7" i="58"/>
  <c r="D7" i="58"/>
  <c r="C7" i="58"/>
  <c r="Z6" i="58"/>
  <c r="Y6" i="58"/>
  <c r="Y42" i="58" s="1"/>
  <c r="X6" i="58"/>
  <c r="X42" i="58" s="1"/>
  <c r="W6" i="58"/>
  <c r="W42" i="58" s="1"/>
  <c r="V6" i="58"/>
  <c r="V42" i="58" s="1"/>
  <c r="U6" i="58"/>
  <c r="T6" i="58"/>
  <c r="S6" i="58"/>
  <c r="S42" i="58" s="1"/>
  <c r="R6" i="58"/>
  <c r="R42" i="58" s="1"/>
  <c r="Q6" i="58"/>
  <c r="Q42" i="58" s="1"/>
  <c r="P6" i="58"/>
  <c r="P42" i="58" s="1"/>
  <c r="O6" i="58"/>
  <c r="O42" i="58" s="1"/>
  <c r="N6" i="58"/>
  <c r="N42" i="58" s="1"/>
  <c r="M6" i="58"/>
  <c r="M42" i="58" s="1"/>
  <c r="L6" i="58"/>
  <c r="K6" i="58"/>
  <c r="K42" i="58" s="1"/>
  <c r="J6" i="58"/>
  <c r="I6" i="58"/>
  <c r="H6" i="58"/>
  <c r="H42" i="58" s="1"/>
  <c r="G6" i="58"/>
  <c r="F6" i="58"/>
  <c r="F42" i="58" s="1"/>
  <c r="E6" i="58"/>
  <c r="E42" i="58" s="1"/>
  <c r="D6" i="58"/>
  <c r="C6" i="58"/>
  <c r="C42" i="58" s="1"/>
  <c r="AB42" i="58"/>
  <c r="H32" i="57"/>
  <c r="H31" i="57"/>
  <c r="H30" i="57"/>
  <c r="F22" i="57"/>
  <c r="Z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Z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Z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Z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Z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Z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Z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Z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Z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C8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Z6" i="56"/>
  <c r="Z42" i="56" s="1"/>
  <c r="Y6" i="56"/>
  <c r="Y42" i="56" s="1"/>
  <c r="X6" i="56"/>
  <c r="X42" i="56" s="1"/>
  <c r="W6" i="56"/>
  <c r="V6" i="56"/>
  <c r="V42" i="56" s="1"/>
  <c r="U6" i="56"/>
  <c r="U42" i="56" s="1"/>
  <c r="T6" i="56"/>
  <c r="T42" i="56" s="1"/>
  <c r="S6" i="56"/>
  <c r="R6" i="56"/>
  <c r="R42" i="56" s="1"/>
  <c r="Q6" i="56"/>
  <c r="Q42" i="56" s="1"/>
  <c r="P6" i="56"/>
  <c r="P42" i="56" s="1"/>
  <c r="O6" i="56"/>
  <c r="O42" i="56" s="1"/>
  <c r="N6" i="56"/>
  <c r="N42" i="56" s="1"/>
  <c r="M6" i="56"/>
  <c r="L6" i="56"/>
  <c r="K6" i="56"/>
  <c r="K42" i="56" s="1"/>
  <c r="J6" i="56"/>
  <c r="I6" i="56"/>
  <c r="I42" i="56" s="1"/>
  <c r="H6" i="56"/>
  <c r="H42" i="56" s="1"/>
  <c r="G6" i="56"/>
  <c r="G42" i="56" s="1"/>
  <c r="F6" i="56"/>
  <c r="F42" i="56" s="1"/>
  <c r="E6" i="56"/>
  <c r="E42" i="56" s="1"/>
  <c r="D6" i="56"/>
  <c r="D42" i="56" s="1"/>
  <c r="C6" i="56"/>
  <c r="AB42" i="56"/>
  <c r="H32" i="55"/>
  <c r="H31" i="55"/>
  <c r="H30" i="55"/>
  <c r="F22" i="55"/>
  <c r="Z41" i="54"/>
  <c r="Y41" i="54"/>
  <c r="X41" i="54"/>
  <c r="W41" i="54"/>
  <c r="V41" i="54"/>
  <c r="U41" i="54"/>
  <c r="T41" i="54"/>
  <c r="S41" i="54"/>
  <c r="R41" i="54"/>
  <c r="Q41" i="54"/>
  <c r="P41" i="54"/>
  <c r="O41" i="54"/>
  <c r="N41" i="54"/>
  <c r="M41" i="54"/>
  <c r="L41" i="54"/>
  <c r="K41" i="54"/>
  <c r="J41" i="54"/>
  <c r="I41" i="54"/>
  <c r="H41" i="54"/>
  <c r="G41" i="54"/>
  <c r="F41" i="54"/>
  <c r="E41" i="54"/>
  <c r="D41" i="54"/>
  <c r="C41" i="54"/>
  <c r="Z40" i="54"/>
  <c r="Y40" i="54"/>
  <c r="X40" i="54"/>
  <c r="W40" i="54"/>
  <c r="V40" i="54"/>
  <c r="U40" i="54"/>
  <c r="T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E40" i="54"/>
  <c r="D40" i="54"/>
  <c r="C40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Z38" i="54"/>
  <c r="Y38" i="54"/>
  <c r="X38" i="54"/>
  <c r="W38" i="54"/>
  <c r="V38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C38" i="54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D37" i="54"/>
  <c r="C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G34" i="54"/>
  <c r="F34" i="54"/>
  <c r="E34" i="54"/>
  <c r="D34" i="54"/>
  <c r="C34" i="54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E33" i="54"/>
  <c r="D33" i="54"/>
  <c r="C33" i="54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32" i="54"/>
  <c r="E32" i="54"/>
  <c r="D32" i="54"/>
  <c r="C32" i="54"/>
  <c r="Z31" i="54"/>
  <c r="Y31" i="54"/>
  <c r="X31" i="54"/>
  <c r="W31" i="54"/>
  <c r="V31" i="54"/>
  <c r="U31" i="54"/>
  <c r="T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Z30" i="54"/>
  <c r="Y30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C30" i="54"/>
  <c r="Z29" i="54"/>
  <c r="Y29" i="54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C29" i="54"/>
  <c r="Z28" i="54"/>
  <c r="Y28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E28" i="54"/>
  <c r="D28" i="54"/>
  <c r="C28" i="54"/>
  <c r="Z27" i="54"/>
  <c r="Y27" i="54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E27" i="54"/>
  <c r="D27" i="54"/>
  <c r="C27" i="54"/>
  <c r="Z26" i="54"/>
  <c r="Y26" i="54"/>
  <c r="X26" i="54"/>
  <c r="W26" i="54"/>
  <c r="V26" i="54"/>
  <c r="U26" i="54"/>
  <c r="T26" i="54"/>
  <c r="S26" i="54"/>
  <c r="R26" i="54"/>
  <c r="Q26" i="54"/>
  <c r="P26" i="54"/>
  <c r="O26" i="54"/>
  <c r="N26" i="54"/>
  <c r="M26" i="54"/>
  <c r="L26" i="54"/>
  <c r="K26" i="54"/>
  <c r="J26" i="54"/>
  <c r="I26" i="54"/>
  <c r="H26" i="54"/>
  <c r="G26" i="54"/>
  <c r="F26" i="54"/>
  <c r="E26" i="54"/>
  <c r="D26" i="54"/>
  <c r="C26" i="54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E25" i="54"/>
  <c r="D25" i="54"/>
  <c r="C25" i="54"/>
  <c r="Z24" i="54"/>
  <c r="Y24" i="54"/>
  <c r="X24" i="54"/>
  <c r="W24" i="54"/>
  <c r="V24" i="54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E24" i="54"/>
  <c r="D24" i="54"/>
  <c r="C24" i="54"/>
  <c r="Z23" i="54"/>
  <c r="Y23" i="54"/>
  <c r="X23" i="54"/>
  <c r="W23" i="54"/>
  <c r="V23" i="54"/>
  <c r="U23" i="54"/>
  <c r="T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G23" i="54"/>
  <c r="F23" i="54"/>
  <c r="E23" i="54"/>
  <c r="D23" i="54"/>
  <c r="C23" i="54"/>
  <c r="Z22" i="54"/>
  <c r="Y22" i="54"/>
  <c r="X22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F22" i="54"/>
  <c r="E22" i="54"/>
  <c r="D22" i="54"/>
  <c r="C22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D21" i="54"/>
  <c r="C21" i="54"/>
  <c r="Z20" i="54"/>
  <c r="Y20" i="54"/>
  <c r="X20" i="54"/>
  <c r="W20" i="54"/>
  <c r="V20" i="54"/>
  <c r="U20" i="54"/>
  <c r="T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E20" i="54"/>
  <c r="D20" i="54"/>
  <c r="C20" i="54"/>
  <c r="Z19" i="54"/>
  <c r="Y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D19" i="54"/>
  <c r="C19" i="54"/>
  <c r="Z18" i="54"/>
  <c r="Y18" i="54"/>
  <c r="X18" i="54"/>
  <c r="W18" i="54"/>
  <c r="V18" i="54"/>
  <c r="U18" i="54"/>
  <c r="T18" i="54"/>
  <c r="S18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E18" i="54"/>
  <c r="D18" i="54"/>
  <c r="C18" i="54"/>
  <c r="Z17" i="54"/>
  <c r="Y17" i="54"/>
  <c r="X17" i="54"/>
  <c r="W17" i="54"/>
  <c r="V17" i="54"/>
  <c r="U17" i="54"/>
  <c r="T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E11" i="54"/>
  <c r="D11" i="54"/>
  <c r="C11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G8" i="54"/>
  <c r="F8" i="54"/>
  <c r="E8" i="54"/>
  <c r="D8" i="54"/>
  <c r="C8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G7" i="54"/>
  <c r="F7" i="54"/>
  <c r="E7" i="54"/>
  <c r="D7" i="54"/>
  <c r="C7" i="54"/>
  <c r="Z6" i="54"/>
  <c r="Y6" i="54"/>
  <c r="Y42" i="54" s="1"/>
  <c r="X6" i="54"/>
  <c r="X42" i="54" s="1"/>
  <c r="W6" i="54"/>
  <c r="W42" i="54" s="1"/>
  <c r="V6" i="54"/>
  <c r="U6" i="54"/>
  <c r="U42" i="54" s="1"/>
  <c r="T6" i="54"/>
  <c r="T42" i="54" s="1"/>
  <c r="S6" i="54"/>
  <c r="S42" i="54" s="1"/>
  <c r="R6" i="54"/>
  <c r="Q6" i="54"/>
  <c r="Q42" i="54" s="1"/>
  <c r="P6" i="54"/>
  <c r="O6" i="54"/>
  <c r="O42" i="54" s="1"/>
  <c r="N6" i="54"/>
  <c r="M6" i="54"/>
  <c r="M42" i="54" s="1"/>
  <c r="L6" i="54"/>
  <c r="L42" i="54" s="1"/>
  <c r="K6" i="54"/>
  <c r="K42" i="54" s="1"/>
  <c r="J6" i="54"/>
  <c r="I6" i="54"/>
  <c r="I42" i="54" s="1"/>
  <c r="H6" i="54"/>
  <c r="H42" i="54" s="1"/>
  <c r="G6" i="54"/>
  <c r="G42" i="54" s="1"/>
  <c r="F6" i="54"/>
  <c r="F42" i="54" s="1"/>
  <c r="E6" i="54"/>
  <c r="D6" i="54"/>
  <c r="D42" i="54" s="1"/>
  <c r="C6" i="54"/>
  <c r="C42" i="54" s="1"/>
  <c r="AB42" i="54"/>
  <c r="Z42" i="54"/>
  <c r="R42" i="54"/>
  <c r="J42" i="54"/>
  <c r="H32" i="53"/>
  <c r="H31" i="53"/>
  <c r="H30" i="53"/>
  <c r="F22" i="53"/>
  <c r="AB42" i="52"/>
  <c r="Z42" i="52"/>
  <c r="Y42" i="52"/>
  <c r="X42" i="52"/>
  <c r="W42" i="52"/>
  <c r="V42" i="52"/>
  <c r="U42" i="52"/>
  <c r="T42" i="52"/>
  <c r="S42" i="52"/>
  <c r="R42" i="52"/>
  <c r="Q42" i="52"/>
  <c r="P42" i="52"/>
  <c r="O42" i="52"/>
  <c r="N42" i="52"/>
  <c r="M42" i="52"/>
  <c r="L42" i="52"/>
  <c r="K42" i="52"/>
  <c r="J42" i="52"/>
  <c r="I42" i="52"/>
  <c r="H42" i="52"/>
  <c r="G42" i="52"/>
  <c r="F42" i="52"/>
  <c r="E42" i="52"/>
  <c r="D42" i="52"/>
  <c r="C42" i="52"/>
  <c r="AA41" i="52"/>
  <c r="AA40" i="52"/>
  <c r="AA39" i="52"/>
  <c r="AC39" i="52" s="1"/>
  <c r="C21" i="57" s="1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25" i="52"/>
  <c r="AA24" i="52"/>
  <c r="AA23" i="52"/>
  <c r="AA22" i="52"/>
  <c r="AA21" i="52"/>
  <c r="AC21" i="52" s="1"/>
  <c r="C15" i="57" s="1"/>
  <c r="AA20" i="52"/>
  <c r="AA19" i="52"/>
  <c r="AA18" i="52"/>
  <c r="AA17" i="52"/>
  <c r="AA16" i="52"/>
  <c r="AA15" i="52"/>
  <c r="AC15" i="52" s="1"/>
  <c r="C13" i="57" s="1"/>
  <c r="AA14" i="52"/>
  <c r="AA13" i="52"/>
  <c r="AA12" i="52"/>
  <c r="AA11" i="52"/>
  <c r="AA10" i="52"/>
  <c r="AA9" i="52"/>
  <c r="AA8" i="52"/>
  <c r="AA7" i="52"/>
  <c r="AA6" i="52"/>
  <c r="AB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AA41" i="51"/>
  <c r="AA40" i="51"/>
  <c r="AA39" i="51"/>
  <c r="AA38" i="51"/>
  <c r="AA37" i="51"/>
  <c r="AA36" i="51"/>
  <c r="AA35" i="51"/>
  <c r="AA34" i="51"/>
  <c r="AA33" i="51"/>
  <c r="AA32" i="51"/>
  <c r="AA31" i="51"/>
  <c r="AA30" i="51"/>
  <c r="AC30" i="51" s="1"/>
  <c r="C18" i="55" s="1"/>
  <c r="AA29" i="51"/>
  <c r="AA28" i="51"/>
  <c r="AA27" i="51"/>
  <c r="AA26" i="51"/>
  <c r="AA25" i="51"/>
  <c r="AA24" i="51"/>
  <c r="AC24" i="51" s="1"/>
  <c r="C16" i="55" s="1"/>
  <c r="AA23" i="51"/>
  <c r="AA22" i="51"/>
  <c r="AA21" i="51"/>
  <c r="AA20" i="51"/>
  <c r="AA19" i="51"/>
  <c r="AA18" i="51"/>
  <c r="AA17" i="51"/>
  <c r="AA16" i="51"/>
  <c r="AA15" i="51"/>
  <c r="AA14" i="51"/>
  <c r="AA13" i="51"/>
  <c r="AA12" i="51"/>
  <c r="AA11" i="51"/>
  <c r="AA10" i="51"/>
  <c r="AA9" i="51"/>
  <c r="AA8" i="51"/>
  <c r="AA7" i="51"/>
  <c r="AA6" i="51"/>
  <c r="AB42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E42" i="50"/>
  <c r="D42" i="50"/>
  <c r="C42" i="50"/>
  <c r="AA41" i="50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C27" i="50" s="1"/>
  <c r="C17" i="53" s="1"/>
  <c r="AA28" i="50"/>
  <c r="AA27" i="50"/>
  <c r="AA26" i="50"/>
  <c r="AA25" i="50"/>
  <c r="AA24" i="50"/>
  <c r="AA23" i="50"/>
  <c r="AC21" i="50" s="1"/>
  <c r="C15" i="53" s="1"/>
  <c r="AA22" i="50"/>
  <c r="AA21" i="50"/>
  <c r="AA20" i="50"/>
  <c r="AA19" i="50"/>
  <c r="AA18" i="50"/>
  <c r="AC18" i="50" s="1"/>
  <c r="C14" i="53" s="1"/>
  <c r="AA17" i="50"/>
  <c r="AC15" i="50" s="1"/>
  <c r="C13" i="53" s="1"/>
  <c r="AA16" i="50"/>
  <c r="AA15" i="50"/>
  <c r="AA14" i="50"/>
  <c r="AA13" i="50"/>
  <c r="AA12" i="50"/>
  <c r="AA11" i="50"/>
  <c r="AA10" i="50"/>
  <c r="AA9" i="50"/>
  <c r="AA8" i="50"/>
  <c r="AA7" i="50"/>
  <c r="AA6" i="50"/>
  <c r="M42" i="56" l="1"/>
  <c r="T42" i="58"/>
  <c r="AC33" i="52"/>
  <c r="C19" i="57" s="1"/>
  <c r="G42" i="58"/>
  <c r="AC12" i="52"/>
  <c r="C12" i="57" s="1"/>
  <c r="AC36" i="52"/>
  <c r="C20" i="57" s="1"/>
  <c r="AC15" i="51"/>
  <c r="C13" i="55" s="1"/>
  <c r="AC39" i="51"/>
  <c r="C21" i="55" s="1"/>
  <c r="AC9" i="51"/>
  <c r="C11" i="55" s="1"/>
  <c r="AC18" i="51"/>
  <c r="C14" i="55" s="1"/>
  <c r="W42" i="56"/>
  <c r="AC12" i="51"/>
  <c r="C12" i="55" s="1"/>
  <c r="AC36" i="51"/>
  <c r="C20" i="55" s="1"/>
  <c r="AC21" i="51"/>
  <c r="C15" i="55" s="1"/>
  <c r="AC39" i="50"/>
  <c r="C21" i="53" s="1"/>
  <c r="AC24" i="50"/>
  <c r="C16" i="53" s="1"/>
  <c r="AC9" i="50"/>
  <c r="C11" i="53" s="1"/>
  <c r="AC33" i="50"/>
  <c r="C19" i="53" s="1"/>
  <c r="AC12" i="50"/>
  <c r="C12" i="53" s="1"/>
  <c r="AC36" i="50"/>
  <c r="C20" i="53" s="1"/>
  <c r="AC30" i="50"/>
  <c r="C18" i="53" s="1"/>
  <c r="I42" i="58"/>
  <c r="Z42" i="58"/>
  <c r="J42" i="58"/>
  <c r="U42" i="58"/>
  <c r="J42" i="56"/>
  <c r="V42" i="54"/>
  <c r="N42" i="54"/>
  <c r="P42" i="54"/>
  <c r="E42" i="54"/>
  <c r="AA23" i="54"/>
  <c r="AA20" i="58"/>
  <c r="AA33" i="58"/>
  <c r="AA24" i="58"/>
  <c r="AA15" i="58"/>
  <c r="D42" i="58"/>
  <c r="L42" i="58"/>
  <c r="AA7" i="58"/>
  <c r="AA8" i="58"/>
  <c r="AA9" i="58"/>
  <c r="AA10" i="58"/>
  <c r="AA11" i="58"/>
  <c r="AA12" i="58"/>
  <c r="AA13" i="58"/>
  <c r="AA14" i="58"/>
  <c r="AA16" i="58"/>
  <c r="AA17" i="58"/>
  <c r="AA18" i="58"/>
  <c r="AA19" i="58"/>
  <c r="AA21" i="58"/>
  <c r="AA22" i="58"/>
  <c r="AA23" i="58"/>
  <c r="AA25" i="58"/>
  <c r="AA26" i="58"/>
  <c r="AA27" i="58"/>
  <c r="AA28" i="58"/>
  <c r="AA29" i="58"/>
  <c r="AA30" i="58"/>
  <c r="AA31" i="58"/>
  <c r="AA32" i="58"/>
  <c r="AA34" i="58"/>
  <c r="AA35" i="58"/>
  <c r="AA36" i="58"/>
  <c r="AA37" i="58"/>
  <c r="AA38" i="58"/>
  <c r="AA39" i="58"/>
  <c r="AA40" i="58"/>
  <c r="AA41" i="58"/>
  <c r="AA7" i="56"/>
  <c r="AA13" i="56"/>
  <c r="AA17" i="56"/>
  <c r="AA18" i="56"/>
  <c r="AA20" i="56"/>
  <c r="AA25" i="56"/>
  <c r="AA26" i="56"/>
  <c r="AA27" i="56"/>
  <c r="AA28" i="56"/>
  <c r="AA29" i="56"/>
  <c r="AA32" i="56"/>
  <c r="AA33" i="56"/>
  <c r="AA34" i="56"/>
  <c r="AA35" i="56"/>
  <c r="AA36" i="56"/>
  <c r="AA37" i="56"/>
  <c r="AA38" i="56"/>
  <c r="AA40" i="56"/>
  <c r="AA41" i="56"/>
  <c r="AA33" i="54"/>
  <c r="AA12" i="54"/>
  <c r="AA22" i="54"/>
  <c r="AA10" i="54"/>
  <c r="AA16" i="54"/>
  <c r="AA19" i="54"/>
  <c r="AA20" i="54"/>
  <c r="AA21" i="54"/>
  <c r="AA24" i="54"/>
  <c r="AA25" i="54"/>
  <c r="AA26" i="54"/>
  <c r="AA27" i="54"/>
  <c r="AA28" i="54"/>
  <c r="AA29" i="54"/>
  <c r="AA30" i="54"/>
  <c r="AA31" i="54"/>
  <c r="AA32" i="54"/>
  <c r="AA34" i="54"/>
  <c r="AA35" i="54"/>
  <c r="AA36" i="54"/>
  <c r="AA37" i="54"/>
  <c r="AA38" i="54"/>
  <c r="AA39" i="54"/>
  <c r="AA40" i="54"/>
  <c r="AA41" i="54"/>
  <c r="AA7" i="54"/>
  <c r="AA14" i="54"/>
  <c r="AA18" i="54"/>
  <c r="AA9" i="54"/>
  <c r="AA13" i="54"/>
  <c r="AA15" i="54"/>
  <c r="AA17" i="54"/>
  <c r="AA11" i="54"/>
  <c r="AA8" i="54"/>
  <c r="AA6" i="58"/>
  <c r="AA22" i="56"/>
  <c r="AA10" i="56"/>
  <c r="AA12" i="56"/>
  <c r="S42" i="56"/>
  <c r="AA11" i="56"/>
  <c r="AA24" i="56"/>
  <c r="C42" i="56"/>
  <c r="L42" i="56"/>
  <c r="AA19" i="56"/>
  <c r="AA30" i="56"/>
  <c r="AA15" i="56"/>
  <c r="AA39" i="56"/>
  <c r="AA9" i="56"/>
  <c r="AA16" i="56"/>
  <c r="AA21" i="56"/>
  <c r="AA23" i="56"/>
  <c r="AA14" i="56"/>
  <c r="AA31" i="56"/>
  <c r="AA8" i="56"/>
  <c r="AA6" i="56"/>
  <c r="AA6" i="54"/>
  <c r="AC27" i="52"/>
  <c r="C17" i="57" s="1"/>
  <c r="AC6" i="52"/>
  <c r="C10" i="57" s="1"/>
  <c r="AC30" i="52"/>
  <c r="C18" i="57" s="1"/>
  <c r="AC24" i="52"/>
  <c r="C16" i="57" s="1"/>
  <c r="AC9" i="52"/>
  <c r="AC18" i="52"/>
  <c r="C14" i="57" s="1"/>
  <c r="AA42" i="52"/>
  <c r="AA42" i="51"/>
  <c r="AC33" i="51"/>
  <c r="C19" i="55" s="1"/>
  <c r="AC6" i="51"/>
  <c r="C10" i="55" s="1"/>
  <c r="AC27" i="51"/>
  <c r="C17" i="55" s="1"/>
  <c r="AA42" i="50"/>
  <c r="AC6" i="50"/>
  <c r="H31" i="44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6" i="1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C9" i="49"/>
  <c r="D9" i="49"/>
  <c r="E9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C10" i="49"/>
  <c r="D10" i="49"/>
  <c r="E10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C11" i="49"/>
  <c r="D11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C12" i="49"/>
  <c r="D12" i="49"/>
  <c r="E12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C13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V13" i="49"/>
  <c r="W13" i="49"/>
  <c r="X13" i="49"/>
  <c r="Y13" i="49"/>
  <c r="Z13" i="49"/>
  <c r="C14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/>
  <c r="X14" i="49"/>
  <c r="Y14" i="49"/>
  <c r="Z14" i="49"/>
  <c r="C15" i="49"/>
  <c r="D15" i="49"/>
  <c r="E15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C16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W16" i="49"/>
  <c r="X16" i="49"/>
  <c r="Y16" i="49"/>
  <c r="Z16" i="49"/>
  <c r="C17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C18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C19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W19" i="49"/>
  <c r="X19" i="49"/>
  <c r="Y19" i="49"/>
  <c r="Z19" i="49"/>
  <c r="C20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W20" i="49"/>
  <c r="X20" i="49"/>
  <c r="Y20" i="49"/>
  <c r="Z20" i="49"/>
  <c r="C21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V21" i="49"/>
  <c r="W21" i="49"/>
  <c r="X21" i="49"/>
  <c r="Y21" i="49"/>
  <c r="Z21" i="49"/>
  <c r="C22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W22" i="49"/>
  <c r="X22" i="49"/>
  <c r="Y22" i="49"/>
  <c r="Z22" i="49"/>
  <c r="C23" i="49"/>
  <c r="D23" i="49"/>
  <c r="E23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C24" i="49"/>
  <c r="D24" i="49"/>
  <c r="E24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W24" i="49"/>
  <c r="X24" i="49"/>
  <c r="Y24" i="49"/>
  <c r="Z24" i="49"/>
  <c r="C25" i="49"/>
  <c r="D25" i="49"/>
  <c r="E25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C26" i="49"/>
  <c r="D26" i="49"/>
  <c r="E26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C27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C28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V28" i="49"/>
  <c r="W28" i="49"/>
  <c r="X28" i="49"/>
  <c r="Y28" i="49"/>
  <c r="Z28" i="49"/>
  <c r="C29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C30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C31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U31" i="49"/>
  <c r="V31" i="49"/>
  <c r="W31" i="49"/>
  <c r="X31" i="49"/>
  <c r="Y31" i="49"/>
  <c r="Z31" i="49"/>
  <c r="C32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U32" i="49"/>
  <c r="V32" i="49"/>
  <c r="W32" i="49"/>
  <c r="X32" i="49"/>
  <c r="Y32" i="49"/>
  <c r="Z32" i="49"/>
  <c r="C33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C34" i="49"/>
  <c r="D34" i="49"/>
  <c r="E34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U34" i="49"/>
  <c r="V34" i="49"/>
  <c r="W34" i="49"/>
  <c r="X34" i="49"/>
  <c r="Y34" i="49"/>
  <c r="Z34" i="49"/>
  <c r="C35" i="49"/>
  <c r="D35" i="49"/>
  <c r="E35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C36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U36" i="49"/>
  <c r="V36" i="49"/>
  <c r="W36" i="49"/>
  <c r="X36" i="49"/>
  <c r="Y36" i="49"/>
  <c r="Z36" i="49"/>
  <c r="C37" i="49"/>
  <c r="D37" i="49"/>
  <c r="E37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U37" i="49"/>
  <c r="V37" i="49"/>
  <c r="W37" i="49"/>
  <c r="X37" i="49"/>
  <c r="Y37" i="49"/>
  <c r="Z37" i="49"/>
  <c r="C38" i="49"/>
  <c r="D38" i="49"/>
  <c r="E38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U38" i="49"/>
  <c r="V38" i="49"/>
  <c r="W38" i="49"/>
  <c r="X38" i="49"/>
  <c r="Y38" i="49"/>
  <c r="Z38" i="49"/>
  <c r="C39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C40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C41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U41" i="49"/>
  <c r="V41" i="49"/>
  <c r="W41" i="49"/>
  <c r="X41" i="49"/>
  <c r="Y41" i="49"/>
  <c r="Z41" i="49"/>
  <c r="D6" i="49"/>
  <c r="E6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C6" i="49"/>
  <c r="AB42" i="49"/>
  <c r="H32" i="46"/>
  <c r="H31" i="46"/>
  <c r="H30" i="46"/>
  <c r="F22" i="46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C15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C16" i="43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C19" i="43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C20" i="43"/>
  <c r="D20" i="43"/>
  <c r="E20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C21" i="43"/>
  <c r="D21" i="43"/>
  <c r="E21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C22" i="43"/>
  <c r="D22" i="43"/>
  <c r="E22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C23" i="43"/>
  <c r="D23" i="43"/>
  <c r="E23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C24" i="43"/>
  <c r="D24" i="43"/>
  <c r="E24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C25" i="43"/>
  <c r="D25" i="43"/>
  <c r="E25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C26" i="43"/>
  <c r="D26" i="43"/>
  <c r="E26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C27" i="43"/>
  <c r="D27" i="43"/>
  <c r="E27" i="43"/>
  <c r="F27" i="43"/>
  <c r="G27" i="43"/>
  <c r="H27" i="43"/>
  <c r="I27" i="43"/>
  <c r="J27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C28" i="43"/>
  <c r="D28" i="43"/>
  <c r="E28" i="43"/>
  <c r="F28" i="43"/>
  <c r="G28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C29" i="43"/>
  <c r="D29" i="43"/>
  <c r="E29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C30" i="43"/>
  <c r="D30" i="43"/>
  <c r="E30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C31" i="43"/>
  <c r="D31" i="43"/>
  <c r="E31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C32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C33" i="43"/>
  <c r="D33" i="43"/>
  <c r="E33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C34" i="43"/>
  <c r="D34" i="43"/>
  <c r="E34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C35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C36" i="43"/>
  <c r="D36" i="43"/>
  <c r="E36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W36" i="43"/>
  <c r="X36" i="43"/>
  <c r="Y36" i="43"/>
  <c r="Z36" i="43"/>
  <c r="C37" i="43"/>
  <c r="D37" i="43"/>
  <c r="E37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C38" i="43"/>
  <c r="D38" i="43"/>
  <c r="E38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W38" i="43"/>
  <c r="X38" i="43"/>
  <c r="Y38" i="43"/>
  <c r="Z38" i="43"/>
  <c r="C39" i="43"/>
  <c r="D39" i="43"/>
  <c r="E39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C40" i="43"/>
  <c r="D40" i="43"/>
  <c r="E40" i="43"/>
  <c r="F40" i="43"/>
  <c r="G40" i="43"/>
  <c r="H40" i="43"/>
  <c r="I40" i="43"/>
  <c r="J40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W40" i="43"/>
  <c r="X40" i="43"/>
  <c r="Y40" i="43"/>
  <c r="Z40" i="43"/>
  <c r="C41" i="43"/>
  <c r="D41" i="43"/>
  <c r="E41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W41" i="43"/>
  <c r="X41" i="43"/>
  <c r="Y41" i="43"/>
  <c r="Z41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C6" i="43"/>
  <c r="H32" i="44"/>
  <c r="H30" i="44"/>
  <c r="F22" i="44"/>
  <c r="AB42" i="43"/>
  <c r="AB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A18" i="38"/>
  <c r="AA17" i="38"/>
  <c r="AA16" i="38"/>
  <c r="AA15" i="38"/>
  <c r="AA14" i="38"/>
  <c r="AA13" i="38"/>
  <c r="AA12" i="38"/>
  <c r="AA11" i="38"/>
  <c r="AA10" i="38"/>
  <c r="AA9" i="38"/>
  <c r="AA8" i="38"/>
  <c r="AA7" i="38"/>
  <c r="AA6" i="38"/>
  <c r="AB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AA41" i="37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25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6" i="21"/>
  <c r="AC24" i="58" l="1"/>
  <c r="E16" i="57" s="1"/>
  <c r="AC42" i="52"/>
  <c r="C11" i="57"/>
  <c r="C22" i="57" s="1"/>
  <c r="C22" i="55"/>
  <c r="AC42" i="50"/>
  <c r="C10" i="53"/>
  <c r="C22" i="53" s="1"/>
  <c r="AC15" i="37"/>
  <c r="C13" i="44" s="1"/>
  <c r="AC39" i="37"/>
  <c r="C21" i="44" s="1"/>
  <c r="AC12" i="58"/>
  <c r="E12" i="57" s="1"/>
  <c r="AC12" i="56"/>
  <c r="E12" i="55" s="1"/>
  <c r="AC15" i="58"/>
  <c r="E13" i="57" s="1"/>
  <c r="AC36" i="56"/>
  <c r="E20" i="55" s="1"/>
  <c r="AC33" i="56"/>
  <c r="E19" i="55" s="1"/>
  <c r="AC27" i="56"/>
  <c r="E17" i="55" s="1"/>
  <c r="AC24" i="56"/>
  <c r="E16" i="55" s="1"/>
  <c r="AC33" i="54"/>
  <c r="E19" i="53" s="1"/>
  <c r="AC27" i="54"/>
  <c r="E17" i="53" s="1"/>
  <c r="AC33" i="58"/>
  <c r="E19" i="57" s="1"/>
  <c r="AC36" i="58"/>
  <c r="E20" i="57" s="1"/>
  <c r="AC27" i="58"/>
  <c r="E17" i="57" s="1"/>
  <c r="AC18" i="58"/>
  <c r="E14" i="57" s="1"/>
  <c r="AC30" i="58"/>
  <c r="E18" i="57" s="1"/>
  <c r="AC21" i="58"/>
  <c r="E15" i="57" s="1"/>
  <c r="AC9" i="58"/>
  <c r="E11" i="57" s="1"/>
  <c r="AC39" i="58"/>
  <c r="E21" i="57" s="1"/>
  <c r="AC39" i="56"/>
  <c r="E21" i="55" s="1"/>
  <c r="AC30" i="56"/>
  <c r="E18" i="55" s="1"/>
  <c r="AC18" i="56"/>
  <c r="E14" i="55" s="1"/>
  <c r="AC15" i="56"/>
  <c r="E13" i="55" s="1"/>
  <c r="AC21" i="54"/>
  <c r="E15" i="53" s="1"/>
  <c r="AC12" i="54"/>
  <c r="E12" i="53" s="1"/>
  <c r="AC9" i="54"/>
  <c r="E11" i="53" s="1"/>
  <c r="AC30" i="54"/>
  <c r="E18" i="53" s="1"/>
  <c r="AC15" i="54"/>
  <c r="E13" i="53" s="1"/>
  <c r="AC39" i="54"/>
  <c r="E21" i="53" s="1"/>
  <c r="AC24" i="54"/>
  <c r="E16" i="53" s="1"/>
  <c r="AC18" i="54"/>
  <c r="E14" i="53" s="1"/>
  <c r="AC36" i="54"/>
  <c r="E20" i="53" s="1"/>
  <c r="X42" i="43"/>
  <c r="P42" i="43"/>
  <c r="H42" i="43"/>
  <c r="O42" i="43"/>
  <c r="G42" i="43"/>
  <c r="W42" i="43"/>
  <c r="AC6" i="58"/>
  <c r="AA42" i="58"/>
  <c r="AC9" i="56"/>
  <c r="E11" i="55" s="1"/>
  <c r="AC21" i="56"/>
  <c r="E15" i="55" s="1"/>
  <c r="AC6" i="56"/>
  <c r="AA42" i="56"/>
  <c r="AC6" i="54"/>
  <c r="AA42" i="54"/>
  <c r="AC42" i="51"/>
  <c r="AC15" i="38"/>
  <c r="C13" i="46" s="1"/>
  <c r="AC36" i="38"/>
  <c r="C20" i="46" s="1"/>
  <c r="U42" i="43"/>
  <c r="D42" i="43"/>
  <c r="T42" i="43"/>
  <c r="AC27" i="37"/>
  <c r="C17" i="44" s="1"/>
  <c r="AC36" i="37"/>
  <c r="C20" i="44" s="1"/>
  <c r="O42" i="49"/>
  <c r="AC39" i="38"/>
  <c r="C21" i="46" s="1"/>
  <c r="AC6" i="38"/>
  <c r="C10" i="46" s="1"/>
  <c r="AC21" i="38"/>
  <c r="C15" i="46" s="1"/>
  <c r="AC30" i="38"/>
  <c r="C18" i="46" s="1"/>
  <c r="AC9" i="38"/>
  <c r="C11" i="46" s="1"/>
  <c r="AC33" i="38"/>
  <c r="C19" i="46" s="1"/>
  <c r="AC12" i="38"/>
  <c r="C12" i="46" s="1"/>
  <c r="AC27" i="38"/>
  <c r="C17" i="46" s="1"/>
  <c r="AC9" i="37"/>
  <c r="C11" i="44" s="1"/>
  <c r="AC24" i="37"/>
  <c r="C16" i="44" s="1"/>
  <c r="Y42" i="43"/>
  <c r="AC33" i="37"/>
  <c r="C19" i="44" s="1"/>
  <c r="AC21" i="37"/>
  <c r="C15" i="44" s="1"/>
  <c r="AA6" i="49"/>
  <c r="AA35" i="49"/>
  <c r="AA34" i="49"/>
  <c r="AA33" i="49"/>
  <c r="AA23" i="49"/>
  <c r="AA17" i="49"/>
  <c r="AA12" i="49"/>
  <c r="C42" i="43"/>
  <c r="S42" i="43"/>
  <c r="K42" i="43"/>
  <c r="I42" i="43"/>
  <c r="Q42" i="43"/>
  <c r="L42" i="43"/>
  <c r="V42" i="43"/>
  <c r="W42" i="49"/>
  <c r="V42" i="49"/>
  <c r="L42" i="49"/>
  <c r="R42" i="49"/>
  <c r="AA40" i="49"/>
  <c r="H42" i="49"/>
  <c r="F42" i="49"/>
  <c r="S42" i="49"/>
  <c r="K42" i="49"/>
  <c r="G42" i="49"/>
  <c r="AA24" i="49"/>
  <c r="P42" i="49"/>
  <c r="M42" i="49"/>
  <c r="I42" i="49"/>
  <c r="AA39" i="49"/>
  <c r="AA36" i="49"/>
  <c r="AA32" i="49"/>
  <c r="AA31" i="49"/>
  <c r="AA28" i="49"/>
  <c r="AA27" i="49"/>
  <c r="AA26" i="49"/>
  <c r="AA20" i="49"/>
  <c r="AA19" i="49"/>
  <c r="AA18" i="49"/>
  <c r="AA16" i="49"/>
  <c r="AA15" i="49"/>
  <c r="AA10" i="49"/>
  <c r="AA8" i="49"/>
  <c r="AA7" i="49"/>
  <c r="T42" i="49"/>
  <c r="Q42" i="49"/>
  <c r="AA11" i="49"/>
  <c r="N42" i="49"/>
  <c r="D42" i="49"/>
  <c r="Y42" i="49"/>
  <c r="X42" i="49"/>
  <c r="E42" i="49"/>
  <c r="J42" i="49"/>
  <c r="U42" i="49"/>
  <c r="Z42" i="49"/>
  <c r="AA9" i="49"/>
  <c r="AA41" i="49"/>
  <c r="AA38" i="49"/>
  <c r="AA30" i="49"/>
  <c r="AA22" i="49"/>
  <c r="AA14" i="49"/>
  <c r="AA37" i="49"/>
  <c r="AA29" i="49"/>
  <c r="AA21" i="49"/>
  <c r="AA13" i="49"/>
  <c r="AA25" i="49"/>
  <c r="C42" i="49"/>
  <c r="E42" i="43"/>
  <c r="M42" i="43"/>
  <c r="N42" i="43"/>
  <c r="F42" i="43"/>
  <c r="Z42" i="43"/>
  <c r="R42" i="43"/>
  <c r="J42" i="43"/>
  <c r="AA7" i="43"/>
  <c r="AA8" i="43"/>
  <c r="AA9" i="43"/>
  <c r="AA10" i="43"/>
  <c r="AA11" i="43"/>
  <c r="AA12" i="43"/>
  <c r="AA13" i="43"/>
  <c r="AA14" i="43"/>
  <c r="AA15" i="43"/>
  <c r="AA16" i="43"/>
  <c r="AA17" i="43"/>
  <c r="AA18" i="43"/>
  <c r="AA19" i="43"/>
  <c r="AA20" i="43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38" i="43"/>
  <c r="AA39" i="43"/>
  <c r="AA40" i="43"/>
  <c r="AA41" i="43"/>
  <c r="AA6" i="43"/>
  <c r="AC24" i="38"/>
  <c r="AC18" i="38"/>
  <c r="C14" i="46" s="1"/>
  <c r="AA42" i="38"/>
  <c r="AC30" i="37"/>
  <c r="C18" i="44" s="1"/>
  <c r="AC18" i="37"/>
  <c r="C14" i="44" s="1"/>
  <c r="AC12" i="37"/>
  <c r="C12" i="44" s="1"/>
  <c r="AA42" i="37"/>
  <c r="AC6" i="37"/>
  <c r="C10" i="44" s="1"/>
  <c r="AC42" i="58" l="1"/>
  <c r="E10" i="57"/>
  <c r="AC42" i="56"/>
  <c r="E10" i="55"/>
  <c r="AC42" i="54"/>
  <c r="E10" i="53"/>
  <c r="C22" i="44"/>
  <c r="AC42" i="38"/>
  <c r="C16" i="46"/>
  <c r="C22" i="46" s="1"/>
  <c r="AC33" i="49"/>
  <c r="E19" i="46" s="1"/>
  <c r="AC15" i="49"/>
  <c r="E13" i="46" s="1"/>
  <c r="AC27" i="49"/>
  <c r="E17" i="46" s="1"/>
  <c r="AC39" i="49"/>
  <c r="E21" i="46" s="1"/>
  <c r="AC30" i="49"/>
  <c r="E18" i="46" s="1"/>
  <c r="AC18" i="49"/>
  <c r="E14" i="46" s="1"/>
  <c r="AC36" i="49"/>
  <c r="E20" i="46" s="1"/>
  <c r="AC24" i="49"/>
  <c r="E16" i="46" s="1"/>
  <c r="AC12" i="49"/>
  <c r="AC9" i="49"/>
  <c r="AC21" i="49"/>
  <c r="E15" i="46" s="1"/>
  <c r="AA42" i="49"/>
  <c r="AC6" i="49"/>
  <c r="E10" i="46" s="1"/>
  <c r="AC30" i="43"/>
  <c r="E18" i="44" s="1"/>
  <c r="AC21" i="43"/>
  <c r="E15" i="44" s="1"/>
  <c r="AC12" i="43"/>
  <c r="E12" i="44" s="1"/>
  <c r="AC27" i="43"/>
  <c r="E17" i="44" s="1"/>
  <c r="AC36" i="43"/>
  <c r="E20" i="44" s="1"/>
  <c r="AC18" i="43"/>
  <c r="E14" i="44" s="1"/>
  <c r="AC33" i="43"/>
  <c r="E19" i="44" s="1"/>
  <c r="AC9" i="43"/>
  <c r="E11" i="44" s="1"/>
  <c r="AC24" i="43"/>
  <c r="E16" i="44" s="1"/>
  <c r="AC39" i="43"/>
  <c r="E21" i="44" s="1"/>
  <c r="AC15" i="43"/>
  <c r="E13" i="44" s="1"/>
  <c r="AC6" i="43"/>
  <c r="E10" i="44" s="1"/>
  <c r="AA42" i="43"/>
  <c r="AC42" i="37"/>
  <c r="E22" i="57" l="1"/>
  <c r="E22" i="55"/>
  <c r="E22" i="53"/>
  <c r="E11" i="46"/>
  <c r="E12" i="46"/>
  <c r="AC42" i="49"/>
  <c r="AC42" i="43"/>
  <c r="C21" i="33"/>
  <c r="C20" i="33"/>
  <c r="C19" i="33"/>
  <c r="C18" i="33"/>
  <c r="C17" i="33"/>
  <c r="C16" i="33"/>
  <c r="C15" i="33"/>
  <c r="C14" i="33"/>
  <c r="C13" i="33"/>
  <c r="C12" i="33"/>
  <c r="C11" i="33"/>
  <c r="C10" i="33"/>
  <c r="E22" i="46" l="1"/>
  <c r="E11" i="33"/>
  <c r="E12" i="33"/>
  <c r="E13" i="33"/>
  <c r="E14" i="33"/>
  <c r="E15" i="33"/>
  <c r="E16" i="33"/>
  <c r="E17" i="33"/>
  <c r="E18" i="33"/>
  <c r="E19" i="33"/>
  <c r="E20" i="33"/>
  <c r="E21" i="33"/>
  <c r="E10" i="33"/>
  <c r="F22" i="33"/>
  <c r="C22" i="33" l="1"/>
  <c r="D20" i="18" l="1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C19" i="18"/>
  <c r="C20" i="18"/>
  <c r="C18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C16" i="18"/>
  <c r="C17" i="18"/>
  <c r="C15" i="18"/>
  <c r="C12" i="18"/>
  <c r="D12" i="18"/>
  <c r="E12" i="18"/>
  <c r="F12" i="18"/>
  <c r="G12" i="18"/>
  <c r="H12" i="18"/>
  <c r="I12" i="18"/>
  <c r="J12" i="18"/>
  <c r="K12" i="18"/>
  <c r="L12" i="18"/>
  <c r="M12" i="18"/>
  <c r="C13" i="18"/>
  <c r="D13" i="18"/>
  <c r="E13" i="18"/>
  <c r="F13" i="18"/>
  <c r="G13" i="18"/>
  <c r="H13" i="18"/>
  <c r="I13" i="18"/>
  <c r="J13" i="18"/>
  <c r="K13" i="18"/>
  <c r="L13" i="18"/>
  <c r="M13" i="18"/>
  <c r="C14" i="18"/>
  <c r="D14" i="18"/>
  <c r="E14" i="18"/>
  <c r="F14" i="18"/>
  <c r="G14" i="18"/>
  <c r="H14" i="18"/>
  <c r="I14" i="18"/>
  <c r="J14" i="18"/>
  <c r="K14" i="18"/>
  <c r="L14" i="18"/>
  <c r="M14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N13" i="18"/>
  <c r="N14" i="18"/>
  <c r="N12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C10" i="18"/>
  <c r="C11" i="18"/>
  <c r="C9" i="18"/>
  <c r="F22" i="11"/>
  <c r="F22" i="23"/>
  <c r="F22" i="13"/>
  <c r="F22" i="24"/>
  <c r="F22" i="20"/>
  <c r="Z41" i="28" l="1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B42" i="28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J42" i="27" s="1"/>
  <c r="I6" i="27"/>
  <c r="H6" i="27"/>
  <c r="H42" i="27" s="1"/>
  <c r="G6" i="27"/>
  <c r="F6" i="27"/>
  <c r="E6" i="27"/>
  <c r="D6" i="27"/>
  <c r="C6" i="27"/>
  <c r="AB42" i="27"/>
  <c r="AB42" i="26"/>
  <c r="AB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H37" i="24"/>
  <c r="H36" i="24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6" i="22"/>
  <c r="X42" i="27" l="1"/>
  <c r="P42" i="27"/>
  <c r="S42" i="27"/>
  <c r="Y42" i="27"/>
  <c r="K42" i="27"/>
  <c r="R42" i="27"/>
  <c r="AC9" i="25"/>
  <c r="C11" i="24" s="1"/>
  <c r="AC24" i="25"/>
  <c r="C16" i="24" s="1"/>
  <c r="AC15" i="25"/>
  <c r="C13" i="24" s="1"/>
  <c r="AC39" i="25"/>
  <c r="C21" i="24" s="1"/>
  <c r="AC12" i="25"/>
  <c r="C12" i="24" s="1"/>
  <c r="D42" i="27"/>
  <c r="AC6" i="25"/>
  <c r="C10" i="24" s="1"/>
  <c r="AC30" i="25"/>
  <c r="C18" i="24" s="1"/>
  <c r="AC33" i="26"/>
  <c r="C19" i="23" s="1"/>
  <c r="V42" i="27"/>
  <c r="T42" i="27"/>
  <c r="N42" i="27"/>
  <c r="G42" i="27"/>
  <c r="I42" i="27"/>
  <c r="F42" i="27"/>
  <c r="AC33" i="25"/>
  <c r="C19" i="24" s="1"/>
  <c r="AC18" i="25"/>
  <c r="C14" i="24" s="1"/>
  <c r="AC36" i="25"/>
  <c r="C20" i="24" s="1"/>
  <c r="U42" i="27"/>
  <c r="E42" i="27"/>
  <c r="AC15" i="26"/>
  <c r="C13" i="23" s="1"/>
  <c r="AC27" i="25"/>
  <c r="C17" i="24" s="1"/>
  <c r="AC21" i="25"/>
  <c r="C15" i="24" s="1"/>
  <c r="W42" i="27"/>
  <c r="AC27" i="26"/>
  <c r="C17" i="23" s="1"/>
  <c r="AC21" i="26"/>
  <c r="C15" i="23" s="1"/>
  <c r="AC36" i="26"/>
  <c r="C20" i="23" s="1"/>
  <c r="AC6" i="26"/>
  <c r="C10" i="23" s="1"/>
  <c r="AC9" i="26"/>
  <c r="C11" i="23" s="1"/>
  <c r="AC24" i="26"/>
  <c r="C16" i="23" s="1"/>
  <c r="AC39" i="26"/>
  <c r="C21" i="23" s="1"/>
  <c r="AA7" i="28"/>
  <c r="AA8" i="28"/>
  <c r="AA9" i="28"/>
  <c r="AA10" i="28"/>
  <c r="AA11" i="28"/>
  <c r="AA12" i="28"/>
  <c r="AA13" i="28"/>
  <c r="AA15" i="28"/>
  <c r="AA16" i="28"/>
  <c r="AA17" i="28"/>
  <c r="AA18" i="28"/>
  <c r="AA19" i="28"/>
  <c r="AA20" i="28"/>
  <c r="AA21" i="28"/>
  <c r="AA22" i="28"/>
  <c r="AA23" i="28"/>
  <c r="AA24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O42" i="27"/>
  <c r="Q42" i="27"/>
  <c r="L42" i="27"/>
  <c r="AA14" i="28"/>
  <c r="AA6" i="28"/>
  <c r="AA25" i="28"/>
  <c r="M42" i="27"/>
  <c r="Z42" i="27"/>
  <c r="C42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6" i="27"/>
  <c r="AA42" i="25"/>
  <c r="AC30" i="26"/>
  <c r="C18" i="23" s="1"/>
  <c r="AC18" i="26"/>
  <c r="C14" i="23" s="1"/>
  <c r="AC12" i="26"/>
  <c r="AA42" i="26"/>
  <c r="AB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B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C42" i="25" l="1"/>
  <c r="AC6" i="28"/>
  <c r="AC18" i="28"/>
  <c r="AC9" i="28"/>
  <c r="AC27" i="28"/>
  <c r="AC33" i="28"/>
  <c r="AC39" i="28"/>
  <c r="AC30" i="28"/>
  <c r="K42" i="22"/>
  <c r="K42" i="28"/>
  <c r="L42" i="22"/>
  <c r="L42" i="28"/>
  <c r="T42" i="22"/>
  <c r="T42" i="28"/>
  <c r="E42" i="22"/>
  <c r="E42" i="28"/>
  <c r="M42" i="22"/>
  <c r="M42" i="28"/>
  <c r="U42" i="22"/>
  <c r="U42" i="28"/>
  <c r="V42" i="22"/>
  <c r="V42" i="28"/>
  <c r="G42" i="22"/>
  <c r="G42" i="28"/>
  <c r="O42" i="22"/>
  <c r="O42" i="28"/>
  <c r="W42" i="22"/>
  <c r="W42" i="28"/>
  <c r="H42" i="22"/>
  <c r="H42" i="28"/>
  <c r="P42" i="22"/>
  <c r="P42" i="28"/>
  <c r="X42" i="22"/>
  <c r="X42" i="28"/>
  <c r="S42" i="22"/>
  <c r="S42" i="28"/>
  <c r="I42" i="22"/>
  <c r="I42" i="28"/>
  <c r="Q42" i="22"/>
  <c r="Q42" i="28"/>
  <c r="Y42" i="22"/>
  <c r="Y42" i="28"/>
  <c r="C42" i="22"/>
  <c r="C42" i="28"/>
  <c r="D42" i="22"/>
  <c r="D42" i="28"/>
  <c r="F42" i="22"/>
  <c r="F42" i="28"/>
  <c r="N42" i="22"/>
  <c r="N42" i="28"/>
  <c r="J42" i="22"/>
  <c r="J42" i="28"/>
  <c r="R42" i="22"/>
  <c r="R42" i="28"/>
  <c r="Z42" i="22"/>
  <c r="Z42" i="28"/>
  <c r="AC42" i="26"/>
  <c r="C12" i="23"/>
  <c r="AC12" i="28"/>
  <c r="AC24" i="28"/>
  <c r="AA42" i="28"/>
  <c r="AC21" i="28"/>
  <c r="AC15" i="28"/>
  <c r="AC36" i="28"/>
  <c r="AC33" i="27"/>
  <c r="E19" i="23" s="1"/>
  <c r="AC30" i="27"/>
  <c r="E18" i="23" s="1"/>
  <c r="AC18" i="27"/>
  <c r="E14" i="23" s="1"/>
  <c r="AC21" i="27"/>
  <c r="E15" i="23" s="1"/>
  <c r="AC27" i="27"/>
  <c r="E17" i="23" s="1"/>
  <c r="AC12" i="27"/>
  <c r="E12" i="23" s="1"/>
  <c r="AC9" i="27"/>
  <c r="E11" i="23" s="1"/>
  <c r="AC24" i="27"/>
  <c r="E16" i="23" s="1"/>
  <c r="AC36" i="27"/>
  <c r="E20" i="23" s="1"/>
  <c r="AC39" i="27"/>
  <c r="E21" i="23" s="1"/>
  <c r="AC15" i="27"/>
  <c r="E13" i="23" s="1"/>
  <c r="AC6" i="27"/>
  <c r="E10" i="23" s="1"/>
  <c r="AA42" i="27"/>
  <c r="AC12" i="21"/>
  <c r="AC27" i="21"/>
  <c r="AC39" i="21"/>
  <c r="AC24" i="21"/>
  <c r="AC33" i="22"/>
  <c r="AC36" i="21"/>
  <c r="AC30" i="22"/>
  <c r="AC18" i="21"/>
  <c r="AC21" i="21"/>
  <c r="AA42" i="21"/>
  <c r="AC15" i="21"/>
  <c r="AC6" i="21"/>
  <c r="AC30" i="21"/>
  <c r="AC9" i="21"/>
  <c r="AC33" i="21"/>
  <c r="AC39" i="22"/>
  <c r="AC24" i="22"/>
  <c r="AC9" i="22"/>
  <c r="AC18" i="22"/>
  <c r="AC27" i="22"/>
  <c r="AC36" i="22"/>
  <c r="AC21" i="22"/>
  <c r="AC15" i="22"/>
  <c r="AC12" i="22"/>
  <c r="AA6" i="22"/>
  <c r="E20" i="24" l="1"/>
  <c r="E18" i="24"/>
  <c r="E15" i="24"/>
  <c r="E17" i="24"/>
  <c r="E21" i="24"/>
  <c r="E11" i="24"/>
  <c r="E12" i="24"/>
  <c r="E10" i="24"/>
  <c r="E13" i="24"/>
  <c r="E19" i="24"/>
  <c r="E16" i="24"/>
  <c r="E14" i="24"/>
  <c r="AC42" i="28"/>
  <c r="AC42" i="27"/>
  <c r="C19" i="20"/>
  <c r="C14" i="20"/>
  <c r="C16" i="20"/>
  <c r="C20" i="20"/>
  <c r="C13" i="20"/>
  <c r="C21" i="20"/>
  <c r="C11" i="20"/>
  <c r="C22" i="24"/>
  <c r="C18" i="20"/>
  <c r="C17" i="20"/>
  <c r="C15" i="20"/>
  <c r="C12" i="20"/>
  <c r="E21" i="20"/>
  <c r="E11" i="20"/>
  <c r="E16" i="20"/>
  <c r="E13" i="20"/>
  <c r="E20" i="20"/>
  <c r="E18" i="20"/>
  <c r="E17" i="20"/>
  <c r="E12" i="20"/>
  <c r="E15" i="20"/>
  <c r="E19" i="20"/>
  <c r="E14" i="20"/>
  <c r="AC42" i="21"/>
  <c r="C10" i="20"/>
  <c r="AC6" i="22"/>
  <c r="AA42" i="22"/>
  <c r="E22" i="24" l="1"/>
  <c r="AC42" i="22"/>
  <c r="E10" i="20"/>
  <c r="V42" i="19"/>
  <c r="Q42" i="19"/>
  <c r="O42" i="19"/>
  <c r="N42" i="19"/>
  <c r="H42" i="19"/>
  <c r="F42" i="19"/>
  <c r="D42" i="19"/>
  <c r="AB42" i="19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B42" i="18"/>
  <c r="T42" i="19" l="1"/>
  <c r="W42" i="19"/>
  <c r="K42" i="19"/>
  <c r="P42" i="19"/>
  <c r="I42" i="19"/>
  <c r="G42" i="19"/>
  <c r="U42" i="19"/>
  <c r="J42" i="19"/>
  <c r="L42" i="19"/>
  <c r="Z42" i="19"/>
  <c r="X42" i="19"/>
  <c r="Y42" i="19"/>
  <c r="E42" i="19"/>
  <c r="AA38" i="19"/>
  <c r="AA10" i="19"/>
  <c r="AA11" i="19"/>
  <c r="AA12" i="19"/>
  <c r="AA14" i="19"/>
  <c r="AA17" i="19"/>
  <c r="AA19" i="19"/>
  <c r="AA22" i="19"/>
  <c r="AA23" i="19"/>
  <c r="AA26" i="19"/>
  <c r="AA32" i="19"/>
  <c r="AA34" i="19"/>
  <c r="AA16" i="19"/>
  <c r="AA27" i="19"/>
  <c r="AA29" i="19"/>
  <c r="R42" i="19"/>
  <c r="AA9" i="19"/>
  <c r="AA13" i="19"/>
  <c r="AA15" i="19"/>
  <c r="AA18" i="19"/>
  <c r="AA20" i="19"/>
  <c r="AA21" i="19"/>
  <c r="AA24" i="19"/>
  <c r="AA30" i="19"/>
  <c r="AA31" i="19"/>
  <c r="AA36" i="19"/>
  <c r="AA37" i="19"/>
  <c r="AA39" i="19"/>
  <c r="AA40" i="19"/>
  <c r="AA41" i="19"/>
  <c r="AA8" i="19"/>
  <c r="AA25" i="19"/>
  <c r="AA35" i="19"/>
  <c r="M42" i="19"/>
  <c r="AA28" i="19"/>
  <c r="AA33" i="19"/>
  <c r="S42" i="19"/>
  <c r="C42" i="19"/>
  <c r="AA7" i="19"/>
  <c r="AA6" i="19"/>
  <c r="O42" i="18"/>
  <c r="W42" i="18"/>
  <c r="S42" i="18"/>
  <c r="G42" i="18"/>
  <c r="K42" i="18"/>
  <c r="E42" i="18"/>
  <c r="U42" i="18"/>
  <c r="C42" i="18"/>
  <c r="AA7" i="18"/>
  <c r="AA8" i="18"/>
  <c r="AA9" i="18"/>
  <c r="AA10" i="18"/>
  <c r="AA11" i="18"/>
  <c r="AA13" i="18"/>
  <c r="AA12" i="18"/>
  <c r="M42" i="18"/>
  <c r="AA6" i="18"/>
  <c r="AB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B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H32" i="11"/>
  <c r="H31" i="11"/>
  <c r="H30" i="11"/>
  <c r="AC27" i="12" l="1"/>
  <c r="C17" i="11" s="1"/>
  <c r="AC24" i="12"/>
  <c r="C16" i="11" s="1"/>
  <c r="AC21" i="14"/>
  <c r="C15" i="13" s="1"/>
  <c r="AC6" i="18"/>
  <c r="E10" i="11" s="1"/>
  <c r="AC24" i="19"/>
  <c r="AC36" i="19"/>
  <c r="AC15" i="19"/>
  <c r="AC39" i="19"/>
  <c r="AC27" i="19"/>
  <c r="AC9" i="19"/>
  <c r="AC30" i="19"/>
  <c r="AC21" i="19"/>
  <c r="AC18" i="19"/>
  <c r="AC12" i="19"/>
  <c r="AC33" i="19"/>
  <c r="AA42" i="19"/>
  <c r="AC6" i="19"/>
  <c r="AA41" i="18"/>
  <c r="AA18" i="18"/>
  <c r="AC9" i="18"/>
  <c r="AA34" i="18"/>
  <c r="H42" i="18"/>
  <c r="AA38" i="18"/>
  <c r="AA30" i="18"/>
  <c r="AA22" i="18"/>
  <c r="X42" i="18"/>
  <c r="AA35" i="18"/>
  <c r="AA27" i="18"/>
  <c r="AA19" i="18"/>
  <c r="R42" i="18"/>
  <c r="AA32" i="18"/>
  <c r="AA29" i="18"/>
  <c r="N42" i="18"/>
  <c r="Z42" i="18"/>
  <c r="AA26" i="18"/>
  <c r="L42" i="18"/>
  <c r="AA24" i="18"/>
  <c r="AA16" i="18"/>
  <c r="I42" i="18"/>
  <c r="AA39" i="18"/>
  <c r="AA31" i="18"/>
  <c r="AA23" i="18"/>
  <c r="AA15" i="18"/>
  <c r="P42" i="18"/>
  <c r="AA40" i="18"/>
  <c r="J42" i="18"/>
  <c r="AA37" i="18"/>
  <c r="AA36" i="18"/>
  <c r="AA28" i="18"/>
  <c r="AA20" i="18"/>
  <c r="AA14" i="18"/>
  <c r="AC12" i="18" s="1"/>
  <c r="AA21" i="18"/>
  <c r="AA33" i="18"/>
  <c r="AA25" i="18"/>
  <c r="AA17" i="18"/>
  <c r="T42" i="18"/>
  <c r="F42" i="18"/>
  <c r="D42" i="18"/>
  <c r="Q42" i="18"/>
  <c r="V42" i="18"/>
  <c r="Y42" i="18"/>
  <c r="AC39" i="14"/>
  <c r="AC30" i="12"/>
  <c r="C18" i="11" s="1"/>
  <c r="AC6" i="12"/>
  <c r="C10" i="11" s="1"/>
  <c r="AC6" i="14"/>
  <c r="AC30" i="14"/>
  <c r="AC12" i="12"/>
  <c r="C12" i="11" s="1"/>
  <c r="AC21" i="12"/>
  <c r="C15" i="11" s="1"/>
  <c r="AC15" i="12"/>
  <c r="C13" i="11" s="1"/>
  <c r="AC9" i="12"/>
  <c r="C11" i="11" s="1"/>
  <c r="AC18" i="12"/>
  <c r="C14" i="11" s="1"/>
  <c r="AC27" i="14"/>
  <c r="AC12" i="14"/>
  <c r="AC36" i="14"/>
  <c r="AC15" i="14"/>
  <c r="AC24" i="14"/>
  <c r="AC9" i="14"/>
  <c r="AC33" i="14"/>
  <c r="AC18" i="14"/>
  <c r="AA42" i="14"/>
  <c r="AC33" i="12"/>
  <c r="C19" i="11" s="1"/>
  <c r="AC39" i="12"/>
  <c r="C21" i="11" s="1"/>
  <c r="AC36" i="12"/>
  <c r="C20" i="11" s="1"/>
  <c r="AA42" i="12"/>
  <c r="E11" i="11" l="1"/>
  <c r="E12" i="11"/>
  <c r="E18" i="13"/>
  <c r="E10" i="13"/>
  <c r="E17" i="13"/>
  <c r="E13" i="13"/>
  <c r="E21" i="13"/>
  <c r="E19" i="13"/>
  <c r="E12" i="13"/>
  <c r="E20" i="13"/>
  <c r="E11" i="13"/>
  <c r="E14" i="13"/>
  <c r="E16" i="13"/>
  <c r="E15" i="13"/>
  <c r="C17" i="13"/>
  <c r="C14" i="13"/>
  <c r="C20" i="13"/>
  <c r="C19" i="13"/>
  <c r="C11" i="13"/>
  <c r="C16" i="13"/>
  <c r="C18" i="13"/>
  <c r="C13" i="13"/>
  <c r="C12" i="13"/>
  <c r="C10" i="13"/>
  <c r="C21" i="13"/>
  <c r="AC33" i="18"/>
  <c r="AC42" i="19"/>
  <c r="AC36" i="18"/>
  <c r="AC27" i="18"/>
  <c r="AC18" i="18"/>
  <c r="AC30" i="18"/>
  <c r="AC39" i="18"/>
  <c r="AC24" i="18"/>
  <c r="AC21" i="18"/>
  <c r="AA42" i="18"/>
  <c r="AC15" i="18"/>
  <c r="E22" i="44" s="1"/>
  <c r="AC42" i="12"/>
  <c r="AC42" i="14"/>
  <c r="E17" i="11" l="1"/>
  <c r="E13" i="11"/>
  <c r="E22" i="33"/>
  <c r="E20" i="11"/>
  <c r="E19" i="11"/>
  <c r="E18" i="11"/>
  <c r="E14" i="11"/>
  <c r="E15" i="11"/>
  <c r="E16" i="11"/>
  <c r="E21" i="11"/>
  <c r="C22" i="11"/>
  <c r="C22" i="23"/>
  <c r="E22" i="23"/>
  <c r="C22" i="13"/>
  <c r="E22" i="13"/>
  <c r="E22" i="20"/>
  <c r="E30" i="20" s="1"/>
  <c r="C22" i="20"/>
  <c r="AC42" i="18"/>
  <c r="E22" i="11" l="1"/>
</calcChain>
</file>

<file path=xl/sharedStrings.xml><?xml version="1.0" encoding="utf-8"?>
<sst xmlns="http://schemas.openxmlformats.org/spreadsheetml/2006/main" count="1700" uniqueCount="140">
  <si>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</si>
  <si>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</si>
  <si>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</si>
  <si>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</si>
  <si>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</si>
  <si>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</si>
  <si>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</si>
  <si>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</si>
  <si>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</si>
  <si>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</si>
  <si>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</si>
  <si>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</si>
  <si>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</si>
  <si>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</si>
  <si>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</si>
  <si>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</si>
  <si>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</si>
  <si>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</si>
  <si>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</si>
  <si>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</si>
  <si>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</si>
  <si>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</si>
  <si>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</si>
  <si>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</si>
  <si>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</si>
  <si>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</si>
  <si>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</si>
  <si>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</si>
  <si>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</si>
  <si>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</si>
  <si>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</si>
  <si>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</si>
  <si>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</si>
  <si>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</si>
  <si>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</si>
  <si>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</si>
  <si>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SOLICITADA kWh/MES</t>
  </si>
  <si>
    <t>ENERGIA OFERTADA kWh/MES</t>
  </si>
  <si>
    <t>PAGUE LO CONTRATADO AÑO 2026</t>
  </si>
  <si>
    <t>PAGUE LO CONTRATADO AÑO 2027</t>
  </si>
  <si>
    <t>% OFERTADO ANUAL</t>
  </si>
  <si>
    <t>PAGUE LO CONTRATADO AÑO 2028</t>
  </si>
  <si>
    <t>PRECIO OFERTADO ANUAL $/kWh</t>
  </si>
  <si>
    <t>* Se debe ofertar un unico precio por producto.</t>
  </si>
  <si>
    <t>PAGUE LO CONTRATADO AÑO 2029</t>
  </si>
  <si>
    <t>ANEXO No 1 - PRODUCTO No. 1 - CURVA</t>
  </si>
  <si>
    <t>* Se  debe ofertar un unico  %  para todos los meses del año.</t>
  </si>
  <si>
    <t>CURVAS REQUERIDAS PRODUCTO 1 AÑO 2026 MODALIDAD PAGUE LO CONTRATADO - kWh</t>
  </si>
  <si>
    <t xml:space="preserve">ANEXO No 2 - PRODUCTO No. 2 - CURVA </t>
  </si>
  <si>
    <t>CURVAS REQUERIDAS PRODUCTO 2 AÑO 2027 MODALIDAD PAGUE LO CONTRATADO - kWh</t>
  </si>
  <si>
    <t>CANTIDADES OFERTADAS PRODUCTO 1 AÑO 2026 MODALIDAD PAGUE LO CONTRATADO - kWh</t>
  </si>
  <si>
    <t>CANTIDADES OFERTADAS PRODUCTO 2 AÑO 2027 MODALIDAD PAGUE LO CONTRATADO - kWh</t>
  </si>
  <si>
    <t>ANEXO No  3 - PRODUCTO No. 3 - CURVA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</si>
  <si>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</si>
  <si>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</si>
  <si>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</si>
  <si>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</si>
  <si>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CANTIDADES OFERTADAS PRODUCTO 3 AÑO 2028 MODALIDAD PAGUE LO CONTRATADO - kWh</t>
  </si>
  <si>
    <t>*Solo se debe ingresar valores en las celdas en color Naranja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</si>
  <si>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 1</t>
    </r>
    <r>
      <rPr>
        <sz val="9"/>
        <color theme="1"/>
        <rFont val="Calibri"/>
        <family val="2"/>
        <scheme val="minor"/>
      </rPr>
      <t>"</t>
    </r>
  </si>
  <si>
    <t xml:space="preserve">ANEXO No 4 - PRODUCTO No. 4 - CURVA </t>
  </si>
  <si>
    <t>CURVAS REQUERIDAS PRODUCTO 3 AÑO 2028 MODALIDAD PAGUE LO CONTRATADO - kWh</t>
  </si>
  <si>
    <t>CURVAS REQUERIDAS PRODUCTO 4 AÑO 2029 MODALIDAD PAGUE LO CONTRATADO - kWh</t>
  </si>
  <si>
    <t>PAGUE LO CONTRATADO AÑO 2030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</si>
  <si>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Prod2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</si>
  <si>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Prod3</t>
    </r>
    <r>
      <rPr>
        <sz val="9"/>
        <color theme="1"/>
        <rFont val="Calibri"/>
        <family val="2"/>
        <scheme val="minor"/>
      </rPr>
      <t>"</t>
    </r>
  </si>
  <si>
    <t>kWh OFERTADO</t>
  </si>
  <si>
    <t>CURVAS REQUERIDAS PRODUCTO 5 AÑO 2030 MODALIDAD PAGUE LO CONTRATADO - kWh</t>
  </si>
  <si>
    <t>* A las ofertas planas al momento de la evaluación se le adicionarán 5 $/kWh al precio ofertado; con el fin de hacerlas comparables con las Ofertas que siguen la curva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</si>
  <si>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Prod4</t>
    </r>
    <r>
      <rPr>
        <sz val="9"/>
        <color theme="1"/>
        <rFont val="Calibri"/>
        <family val="2"/>
        <scheme val="minor"/>
      </rPr>
      <t>"</t>
    </r>
  </si>
  <si>
    <t>ANEXO No 5A - PRODUCTO No. 5 - OFERTA PLANA</t>
  </si>
  <si>
    <t>ANEXO No 4A - PRODUCTO No. 4 - OFERTA PLANA</t>
  </si>
  <si>
    <t>CURVAS REQUERIDAS PRODUCTO 6 AÑO 2031 MODALIDAD PAGUE LO CONTRATADO - kWh</t>
  </si>
  <si>
    <t>CURVAS REQUERIDAS PRODUCTO 7 AÑO 2032 MODALIDAD PAGUE LO CONTRATADO - kWh</t>
  </si>
  <si>
    <t>CANTIDADES OFERTADAS PRODUCTO 4 AÑO 2029 MODALIDAD PAGUE LO CONTRATADO - kWh</t>
  </si>
  <si>
    <t>CANTIDADES OFERTADAS PRODUCTO 5 AÑO 2030 MODALIDAD PAGUE LO CONTRATADO - kWh</t>
  </si>
  <si>
    <t>CANTIDADES OFERTADAS PRODUCTO 6 AÑO 2031 MODALIDAD PAGUE LO CONTRATADO - kWh</t>
  </si>
  <si>
    <t>PAGUE LO CONTRATADO AÑO 2032</t>
  </si>
  <si>
    <t>PAGUE LO CONTRATADO AÑO 2031</t>
  </si>
  <si>
    <t>ANEXO No 5 - PRODUCTO No. 5 CURVA</t>
  </si>
  <si>
    <t xml:space="preserve">ANEXO No 6 - PRODUCTO No. 6 CURVA </t>
  </si>
  <si>
    <t>CANTIDADES OFERTADAS PRODUCTO 7 AÑO 2032 MODALIDAD PAGUE LO CONTRATADO - kWh</t>
  </si>
  <si>
    <t>ANEXO No 7 - PRODUCTO No. 7 CURVA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</si>
  <si>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12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</si>
  <si>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13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</si>
  <si>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Prod6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</si>
  <si>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Prod7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</si>
  <si>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11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</si>
  <si>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14</t>
    </r>
    <r>
      <rPr>
        <sz val="9"/>
        <color theme="1"/>
        <rFont val="Calibri"/>
        <family val="2"/>
        <scheme val="minor"/>
      </rPr>
      <t>".</t>
    </r>
  </si>
  <si>
    <t>PRECIO OFERTADO EN $ / kWh DE ABRIL DE 2025</t>
  </si>
  <si>
    <t>CURVAS REQUERIDAS PRODUCTO 8 AÑO 2033 MODALIDAD PAGUE LO CONTRATADO - kWh</t>
  </si>
  <si>
    <t>CURVAS REQUERIDAS PRODUCTO 9 AÑO 2034 MODALIDAD PAGUE LO CONTRATADO - kWh</t>
  </si>
  <si>
    <t>CURVAS REQUERIDAS PRODUCTO 10 AÑO 2035 MODALIDAD PAGUE LO CONTRATADO - kWh</t>
  </si>
  <si>
    <t>ANEXO No 8 - PRODUCTO No. 8 CURVA</t>
  </si>
  <si>
    <t>PAGUE LO CONTRATADO AÑO 2033</t>
  </si>
  <si>
    <t>ANEXO No 9 - PRODUCTO No. 9 CURVA</t>
  </si>
  <si>
    <t>PAGUE LO CONTRATADO AÑO 2034</t>
  </si>
  <si>
    <t>CANTIDADES OFERTADAS PRODUCTO 8 AÑO 2033 MODALIDAD PAGUE LO CONTRATADO - kWh</t>
  </si>
  <si>
    <t>CANTIDADES OFERTADAS PRODUCTO 9 AÑO 2034 MODALIDAD PAGUE LO CONTRATADO - kWh</t>
  </si>
  <si>
    <t>ANEXO No 10 - PRODUCTO No. 10 CURVA</t>
  </si>
  <si>
    <t>PAGUE LO CONTRATADO AÑO 2035</t>
  </si>
  <si>
    <t>CANTIDADES OFERTADAS PRODUCTO 10 AÑO 2035 MODALIDAD PAGUE LO CONTRATADO -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</si>
  <si>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15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</si>
  <si>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16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</si>
  <si>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17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</si>
  <si>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18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</si>
  <si>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Prod8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</si>
  <si>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19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</si>
  <si>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Prod9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</si>
  <si>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20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</si>
  <si>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Prod10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</si>
  <si>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 5</t>
    </r>
    <r>
      <rPr>
        <sz val="9"/>
        <color theme="1"/>
        <rFont val="Calibri"/>
        <family val="2"/>
        <scheme val="minor"/>
      </rPr>
      <t>"</t>
    </r>
  </si>
  <si>
    <t>ANEXO No  6A - PRODUCTO No. 6 - OFERTA PLANA</t>
  </si>
  <si>
    <t>ANEXO No  7A - PRODUCTO No. 7 - OFERTA PLANA</t>
  </si>
  <si>
    <t>ANEXO No  8A - PRODUCTO No. 8 - OFERTA PLANA</t>
  </si>
  <si>
    <t>ANEXO No  10A - PRODUCTO No. 10 - OFERTA PLANA</t>
  </si>
  <si>
    <t>ANEXO No  9A - PRODUCTO No. 9 - OFERTA PLANA</t>
  </si>
  <si>
    <t>* Se debe oferta un valor de kWh el cual se aplica para todas las horas del año, con un tope horario de 16.591 kWh</t>
  </si>
  <si>
    <t>ANEXO No 1A - PRODUCTO No. 1 - OFERTA PLANA</t>
  </si>
  <si>
    <t>ANEXO No 2A - PRODUCTO No. 2 - OFERTA PLANA</t>
  </si>
  <si>
    <t>* Para ofertas planas se debe diligenciar el anexo 1A, con un tope horario de 16.591 kWh</t>
  </si>
  <si>
    <t>* Para ofertas planas se debe diligenciar el anexo 2A, con un tope horario de 14.307 kWh</t>
  </si>
  <si>
    <t>* Se debe oferta un valor de kWh el cual se aplica para todas las horas del año, con un tope horario de 14.307 kWh</t>
  </si>
  <si>
    <t>ANEXO No 3A - PRODUCTO No. 3 - OFERTA PLANA</t>
  </si>
  <si>
    <t>* Se debe oferta un valor de kWh el cual se aplica para todas las horas del año, con un tope horario de 23.189 kWh</t>
  </si>
  <si>
    <t>* Para ofertas planas se debe diligenciar el anexo 3A, con un tope horario de 23.189 kWh</t>
  </si>
  <si>
    <t>* Se debe oferta un valor de kWh el cual se aplica para todas las horas del año, con un tope horario de 56.252 kWh</t>
  </si>
  <si>
    <t>* Para ofertas planas se debe diligenciar el anexo 6A, con un tope horario de 56.252 kWh</t>
  </si>
  <si>
    <t>* Se debe oferta un valor de kWh el cual se aplica para todas las horas del año, con un tope horario de 80.307 kWh</t>
  </si>
  <si>
    <t>* Para ofertas planas se debe diligenciar el anexo 8A, con un tope horario de 80.307 kWh</t>
  </si>
  <si>
    <t>* Se debe oferta un valor de kWh el cual se aplica para todas las horas del año, con un tope horario de 82.305 kWh</t>
  </si>
  <si>
    <t>* Se debe oferta un valor de kWh el cual se aplica para todas las horas del año, con un tope horario de 84.457 kWh</t>
  </si>
  <si>
    <t>* Para ofertas planas se debe diligenciar el anexo 10A, con un tope horario de 84.457 kWh</t>
  </si>
  <si>
    <t>* Para ofertas planas se debe diligenciar el anexo 4A, con un tope horario de 29.854 kWh</t>
  </si>
  <si>
    <t>* Se debe oferta un valor de kWh el cual se aplica para todas las horas del año, con un tope horario de 29.854 kWh</t>
  </si>
  <si>
    <t>* Se debe oferta un valor de kWh el cual se aplica para todas las horas del año, con un tope horario de 72.159 kWh</t>
  </si>
  <si>
    <t>* Para ofertas planas se debe diligenciar el anexo 5A, con un tope horario de 72.159 kWh</t>
  </si>
  <si>
    <t>* Se debe oferta un valor de kWh el cual se aplica para todas las horas del año, con un tope horario de 58.655 kWh</t>
  </si>
  <si>
    <t>* Para ofertas planas se debe diligenciar el anexo 7A, con un tope horario de 58.655 kWh</t>
  </si>
  <si>
    <t>* Para ofertas planas se debe diligenciar el anexo 9A, con un tope horario de 82.305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</si>
</sst>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  <numFmt numFmtId="167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0"/>
      <name val="Segoe UI Light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17" fontId="9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0" xfId="0" applyFont="1"/>
    <xf numFmtId="0" fontId="9" fillId="0" borderId="0" xfId="0" applyFont="1"/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" fontId="12" fillId="0" borderId="14" xfId="0" applyNumberFormat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vertical="center"/>
    </xf>
    <xf numFmtId="17" fontId="12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vertical="center"/>
    </xf>
    <xf numFmtId="17" fontId="12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10" fillId="0" borderId="0" xfId="2" applyNumberFormat="1" applyFont="1" applyBorder="1" applyAlignment="1">
      <alignment vertical="center"/>
    </xf>
    <xf numFmtId="166" fontId="12" fillId="0" borderId="4" xfId="2" applyNumberFormat="1" applyFont="1" applyBorder="1" applyAlignment="1">
      <alignment horizontal="center" vertical="center"/>
    </xf>
    <xf numFmtId="166" fontId="9" fillId="0" borderId="0" xfId="2" applyNumberFormat="1" applyFont="1" applyFill="1" applyBorder="1" applyAlignment="1">
      <alignment vertical="center"/>
    </xf>
    <xf numFmtId="166" fontId="13" fillId="0" borderId="16" xfId="2" applyNumberFormat="1" applyFont="1" applyBorder="1" applyAlignment="1">
      <alignment horizontal="center" vertical="center"/>
    </xf>
    <xf numFmtId="166" fontId="13" fillId="0" borderId="15" xfId="2" applyNumberFormat="1" applyFont="1" applyBorder="1" applyAlignment="1">
      <alignment horizontal="center" vertical="center"/>
    </xf>
    <xf numFmtId="166" fontId="13" fillId="0" borderId="14" xfId="2" applyNumberFormat="1" applyFont="1" applyBorder="1" applyAlignment="1">
      <alignment horizontal="center" vertical="center"/>
    </xf>
    <xf numFmtId="166" fontId="13" fillId="0" borderId="12" xfId="2" applyNumberFormat="1" applyFont="1" applyBorder="1" applyAlignment="1">
      <alignment horizontal="center" vertical="center"/>
    </xf>
    <xf numFmtId="166" fontId="13" fillId="0" borderId="11" xfId="2" applyNumberFormat="1" applyFont="1" applyBorder="1" applyAlignment="1">
      <alignment horizontal="center" vertical="center"/>
    </xf>
    <xf numFmtId="166" fontId="13" fillId="0" borderId="3" xfId="2" applyNumberFormat="1" applyFont="1" applyBorder="1" applyAlignment="1">
      <alignment horizontal="center" vertical="center"/>
    </xf>
    <xf numFmtId="166" fontId="13" fillId="0" borderId="8" xfId="2" applyNumberFormat="1" applyFont="1" applyBorder="1" applyAlignment="1">
      <alignment horizontal="center" vertical="center"/>
    </xf>
    <xf numFmtId="166" fontId="13" fillId="0" borderId="7" xfId="2" applyNumberFormat="1" applyFont="1" applyBorder="1" applyAlignment="1">
      <alignment horizontal="center" vertical="center"/>
    </xf>
    <xf numFmtId="166" fontId="13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9" fillId="0" borderId="3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2" fillId="0" borderId="6" xfId="2" applyNumberFormat="1" applyFont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10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7" fillId="0" borderId="0" xfId="0" applyFont="1" applyAlignment="1">
      <alignment horizontal="left" wrapText="1"/>
    </xf>
    <xf numFmtId="166" fontId="15" fillId="0" borderId="0" xfId="0" applyNumberFormat="1" applyFont="1"/>
    <xf numFmtId="0" fontId="7" fillId="0" borderId="0" xfId="0" applyFont="1" applyAlignment="1">
      <alignment wrapText="1"/>
    </xf>
    <xf numFmtId="43" fontId="10" fillId="0" borderId="1" xfId="2" applyFont="1" applyBorder="1" applyAlignment="1">
      <alignment vertical="center"/>
    </xf>
    <xf numFmtId="166" fontId="10" fillId="0" borderId="1" xfId="2" applyNumberFormat="1" applyFont="1" applyBorder="1" applyAlignment="1">
      <alignment horizontal="center" vertical="center"/>
    </xf>
    <xf numFmtId="166" fontId="9" fillId="0" borderId="3" xfId="2" applyNumberFormat="1" applyFont="1" applyBorder="1" applyAlignment="1">
      <alignment horizontal="center" vertical="center"/>
    </xf>
    <xf numFmtId="166" fontId="9" fillId="0" borderId="2" xfId="2" applyNumberFormat="1" applyFont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10" fillId="0" borderId="1" xfId="2" applyNumberFormat="1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166" fontId="10" fillId="0" borderId="0" xfId="2" applyNumberFormat="1" applyFont="1" applyAlignment="1">
      <alignment horizontal="center" vertical="center"/>
    </xf>
    <xf numFmtId="166" fontId="0" fillId="0" borderId="0" xfId="1" applyNumberFormat="1" applyFont="1"/>
    <xf numFmtId="166" fontId="10" fillId="0" borderId="0" xfId="0" applyNumberFormat="1" applyFont="1" applyAlignment="1">
      <alignment vertical="center"/>
    </xf>
    <xf numFmtId="10" fontId="10" fillId="0" borderId="0" xfId="1" applyNumberFormat="1" applyFont="1" applyAlignment="1">
      <alignment vertical="center"/>
    </xf>
    <xf numFmtId="3" fontId="7" fillId="0" borderId="0" xfId="0" applyNumberFormat="1" applyFont="1" applyAlignment="1">
      <alignment wrapText="1"/>
    </xf>
    <xf numFmtId="3" fontId="7" fillId="0" borderId="0" xfId="0" applyNumberFormat="1" applyFont="1"/>
    <xf numFmtId="167" fontId="0" fillId="0" borderId="0" xfId="0" applyNumberFormat="1"/>
    <xf numFmtId="0" fontId="7" fillId="0" borderId="0" xfId="0" applyFont="1" applyAlignment="1">
      <alignment horizontal="left" wrapText="1"/>
    </xf>
    <xf numFmtId="0" fontId="9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0" fontId="9" fillId="2" borderId="5" xfId="1" applyNumberFormat="1" applyFont="1" applyFill="1" applyBorder="1" applyAlignment="1">
      <alignment horizontal="center" vertical="center"/>
    </xf>
    <xf numFmtId="10" fontId="9" fillId="2" borderId="2" xfId="1" applyNumberFormat="1" applyFont="1" applyFill="1" applyBorder="1" applyAlignment="1">
      <alignment horizontal="center" vertical="center"/>
    </xf>
    <xf numFmtId="10" fontId="9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6" fontId="9" fillId="2" borderId="5" xfId="2" applyNumberFormat="1" applyFont="1" applyFill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>
      <alignment horizontal="center" vertical="center"/>
    </xf>
    <xf numFmtId="43" fontId="9" fillId="2" borderId="5" xfId="2" applyFont="1" applyFill="1" applyBorder="1" applyAlignment="1">
      <alignment horizontal="center" vertical="center"/>
    </xf>
    <xf numFmtId="43" fontId="9" fillId="2" borderId="2" xfId="2" applyFont="1" applyFill="1" applyBorder="1" applyAlignment="1">
      <alignment horizontal="center" vertical="center"/>
    </xf>
    <xf numFmtId="43" fontId="9" fillId="2" borderId="4" xfId="2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/>
    </xf>
    <xf numFmtId="3" fontId="13" fillId="0" borderId="13" xfId="2" applyNumberFormat="1" applyFont="1" applyBorder="1" applyAlignment="1">
      <alignment horizontal="center" vertical="center"/>
    </xf>
    <xf numFmtId="3" fontId="13" fillId="0" borderId="10" xfId="2" applyNumberFormat="1" applyFont="1" applyBorder="1" applyAlignment="1">
      <alignment horizontal="center" vertical="center"/>
    </xf>
    <xf numFmtId="3" fontId="13" fillId="0" borderId="6" xfId="2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3" fontId="10" fillId="0" borderId="0" xfId="0" applyNumberFormat="1" applyFont="1" applyAlignment="1">
      <alignment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8028-0607-472D-862D-16CC23D9CF49}">
  <sheetPr>
    <tabColor rgb="FFFF0000"/>
  </sheetPr>
  <dimension ref="A1:H37"/>
  <sheetViews>
    <sheetView showGridLines="0" tabSelected="1" topLeftCell="A15" zoomScaleNormal="100" zoomScaleSheetLayoutView="140" workbookViewId="0">
      <selection activeCell="G22" sqref="G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5.85546875" customWidth="1"/>
    <col min="6" max="6" width="13.85546875" customWidth="1"/>
    <col min="7" max="7" width="19.7109375" customWidth="1"/>
    <col min="8" max="8" width="0" hidden="1" customWidth="1"/>
    <col min="9" max="16384" width="11.42578125" hidden="1"/>
  </cols>
  <sheetData>
    <row r="1" spans="2:7" x14ac:dyDescent="0.25"/>
    <row r="2" spans="2:7" x14ac:dyDescent="0.25"/>
    <row r="3" spans="2:7" x14ac:dyDescent="0.25">
      <c r="B3" s="79" t="s">
        <v>45</v>
      </c>
      <c r="C3" s="79"/>
      <c r="D3" s="79"/>
      <c r="E3" s="79"/>
      <c r="F3" s="79"/>
      <c r="G3" s="29"/>
    </row>
    <row r="4" spans="2:7" x14ac:dyDescent="0.25">
      <c r="B4" s="79" t="s">
        <v>38</v>
      </c>
      <c r="C4" s="79"/>
      <c r="D4" s="79"/>
      <c r="E4" s="79"/>
      <c r="F4" s="79"/>
      <c r="G4" s="29"/>
    </row>
    <row r="5" spans="2:7" x14ac:dyDescent="0.25">
      <c r="B5" s="79" t="s">
        <v>89</v>
      </c>
      <c r="C5" s="79"/>
      <c r="D5" s="79"/>
      <c r="E5" s="79"/>
      <c r="F5" s="79"/>
      <c r="G5" s="29"/>
    </row>
    <row r="6" spans="2:7" x14ac:dyDescent="0.25">
      <c r="B6" s="5"/>
      <c r="C6" s="5"/>
      <c r="D6" s="5"/>
      <c r="E6" s="5"/>
      <c r="F6" s="5"/>
      <c r="G6" s="5"/>
    </row>
    <row r="7" spans="2:7" x14ac:dyDescent="0.25"/>
    <row r="8" spans="2:7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2:7" ht="23.25" customHeight="1" x14ac:dyDescent="0.25">
      <c r="B9" s="81"/>
      <c r="C9" s="81"/>
      <c r="D9" s="81"/>
      <c r="E9" s="81"/>
      <c r="F9" s="81"/>
      <c r="G9" s="28"/>
    </row>
    <row r="10" spans="2:7" ht="15.75" thickBot="1" x14ac:dyDescent="0.3">
      <c r="B10" s="8">
        <v>46023</v>
      </c>
      <c r="C10" s="43">
        <f>+'Anexo 11'!AC6</f>
        <v>12390605</v>
      </c>
      <c r="D10" s="76"/>
      <c r="E10" s="57">
        <f>+'Cantidades Ofertadas Prod 1'!AC6</f>
        <v>0</v>
      </c>
      <c r="F10" s="73"/>
      <c r="G10" s="32"/>
    </row>
    <row r="11" spans="2:7" ht="15.75" thickBot="1" x14ac:dyDescent="0.3">
      <c r="B11" s="8">
        <v>46054</v>
      </c>
      <c r="C11" s="43">
        <f>+'Anexo 11'!AC9</f>
        <v>11417324</v>
      </c>
      <c r="D11" s="77"/>
      <c r="E11" s="57">
        <f>+'Cantidades Ofertadas Prod 1'!AC9</f>
        <v>0</v>
      </c>
      <c r="F11" s="74"/>
      <c r="G11" s="32"/>
    </row>
    <row r="12" spans="2:7" ht="15.75" thickBot="1" x14ac:dyDescent="0.3">
      <c r="B12" s="8">
        <v>46082</v>
      </c>
      <c r="C12" s="43">
        <f>+'Anexo 11'!AC12</f>
        <v>12298630</v>
      </c>
      <c r="D12" s="77"/>
      <c r="E12" s="57">
        <f>+'Cantidades Ofertadas Prod 1'!AC12</f>
        <v>0</v>
      </c>
      <c r="F12" s="74"/>
      <c r="G12" s="32"/>
    </row>
    <row r="13" spans="2:7" ht="15.75" thickBot="1" x14ac:dyDescent="0.3">
      <c r="B13" s="8">
        <v>46113</v>
      </c>
      <c r="C13" s="43">
        <f>+'Anexo 11'!AC15</f>
        <v>11627746</v>
      </c>
      <c r="D13" s="77"/>
      <c r="E13" s="57">
        <f>+'Cantidades Ofertadas Prod 1'!AC15</f>
        <v>0</v>
      </c>
      <c r="F13" s="74"/>
      <c r="G13" s="32"/>
    </row>
    <row r="14" spans="2:7" ht="15.75" thickBot="1" x14ac:dyDescent="0.3">
      <c r="B14" s="8">
        <v>46143</v>
      </c>
      <c r="C14" s="43">
        <f>+'Anexo 11'!AC18</f>
        <v>12073036</v>
      </c>
      <c r="D14" s="77"/>
      <c r="E14" s="57">
        <f>+'Cantidades Ofertadas Prod 1'!AC18</f>
        <v>0</v>
      </c>
      <c r="F14" s="74"/>
      <c r="G14" s="32"/>
    </row>
    <row r="15" spans="2:7" ht="15.75" thickBot="1" x14ac:dyDescent="0.3">
      <c r="B15" s="8">
        <v>46174</v>
      </c>
      <c r="C15" s="43">
        <f>+'Anexo 11'!AC21</f>
        <v>11688903</v>
      </c>
      <c r="D15" s="77"/>
      <c r="E15" s="57">
        <f>+'Cantidades Ofertadas Prod 1'!AC21</f>
        <v>0</v>
      </c>
      <c r="F15" s="74"/>
      <c r="G15" s="32"/>
    </row>
    <row r="16" spans="2:7" ht="15.75" thickBot="1" x14ac:dyDescent="0.3">
      <c r="B16" s="8">
        <v>46204</v>
      </c>
      <c r="C16" s="43">
        <f>+'Anexo 11'!AC24</f>
        <v>12412726</v>
      </c>
      <c r="D16" s="77"/>
      <c r="E16" s="57">
        <f>+'Cantidades Ofertadas Prod 1'!AC24</f>
        <v>0</v>
      </c>
      <c r="F16" s="74"/>
      <c r="G16" s="32"/>
    </row>
    <row r="17" spans="2:7" ht="15.75" thickBot="1" x14ac:dyDescent="0.3">
      <c r="B17" s="8">
        <v>46235</v>
      </c>
      <c r="C17" s="43">
        <f>+'Anexo 11'!AC27</f>
        <v>12586725</v>
      </c>
      <c r="D17" s="77"/>
      <c r="E17" s="57">
        <f>+'Cantidades Ofertadas Prod 1'!AC27</f>
        <v>0</v>
      </c>
      <c r="F17" s="74"/>
      <c r="G17" s="32"/>
    </row>
    <row r="18" spans="2:7" ht="15.75" thickBot="1" x14ac:dyDescent="0.3">
      <c r="B18" s="8">
        <v>46266</v>
      </c>
      <c r="C18" s="43">
        <f>+'Anexo 11'!AC30</f>
        <v>12409140</v>
      </c>
      <c r="D18" s="77"/>
      <c r="E18" s="57">
        <f>+'Cantidades Ofertadas Prod 1'!AC30</f>
        <v>0</v>
      </c>
      <c r="F18" s="74"/>
      <c r="G18" s="32"/>
    </row>
    <row r="19" spans="2:7" ht="15.75" thickBot="1" x14ac:dyDescent="0.3">
      <c r="B19" s="8">
        <v>46296</v>
      </c>
      <c r="C19" s="43">
        <f>+'Anexo 11'!AC33</f>
        <v>12283132</v>
      </c>
      <c r="D19" s="77"/>
      <c r="E19" s="57">
        <f>+'Cantidades Ofertadas Prod 1'!AC33</f>
        <v>0</v>
      </c>
      <c r="F19" s="74"/>
      <c r="G19" s="32"/>
    </row>
    <row r="20" spans="2:7" ht="15.75" thickBot="1" x14ac:dyDescent="0.3">
      <c r="B20" s="8">
        <v>46327</v>
      </c>
      <c r="C20" s="43">
        <f>+'Anexo 11'!AC36</f>
        <v>11629733</v>
      </c>
      <c r="D20" s="77"/>
      <c r="E20" s="57">
        <f>+'Cantidades Ofertadas Prod 1'!AC36</f>
        <v>0</v>
      </c>
      <c r="F20" s="74"/>
      <c r="G20" s="32"/>
    </row>
    <row r="21" spans="2:7" ht="15.75" thickBot="1" x14ac:dyDescent="0.3">
      <c r="B21" s="8">
        <v>46357</v>
      </c>
      <c r="C21" s="44">
        <f>+'Anexo 11'!AC39</f>
        <v>12526287</v>
      </c>
      <c r="D21" s="78"/>
      <c r="E21" s="58">
        <f>+'Cantidades Ofertadas Prod 1'!AC39</f>
        <v>0</v>
      </c>
      <c r="F21" s="75"/>
      <c r="G21" s="32"/>
    </row>
    <row r="22" spans="2:7" ht="28.5" customHeight="1" x14ac:dyDescent="0.25">
      <c r="B22" s="9" t="s">
        <v>0</v>
      </c>
      <c r="C22" s="10">
        <f>+SUM(C10:C21)</f>
        <v>145343987</v>
      </c>
      <c r="D22" s="62"/>
      <c r="E22" s="56">
        <f>SUM(E10:E21)</f>
        <v>0</v>
      </c>
      <c r="F22" s="55">
        <f>+F10</f>
        <v>0</v>
      </c>
      <c r="G22" s="50"/>
    </row>
    <row r="23" spans="2:7" x14ac:dyDescent="0.25">
      <c r="B23" s="7" t="s">
        <v>58</v>
      </c>
      <c r="C23" s="25"/>
      <c r="D23" s="30"/>
      <c r="E23" s="25"/>
      <c r="F23" s="26"/>
      <c r="G23" s="67"/>
    </row>
    <row r="24" spans="2:7" x14ac:dyDescent="0.25">
      <c r="B24" s="72" t="s">
        <v>46</v>
      </c>
      <c r="C24" s="72"/>
      <c r="D24" s="72"/>
      <c r="E24" s="72"/>
      <c r="F24" s="72"/>
      <c r="G24" s="72"/>
    </row>
    <row r="25" spans="2:7" x14ac:dyDescent="0.25">
      <c r="B25" s="7" t="s">
        <v>87</v>
      </c>
      <c r="C25" s="52"/>
      <c r="D25" s="52"/>
      <c r="E25" s="52"/>
      <c r="F25" s="52"/>
      <c r="G25" s="52"/>
    </row>
    <row r="26" spans="2:7" x14ac:dyDescent="0.25">
      <c r="B26" s="7" t="s">
        <v>59</v>
      </c>
      <c r="C26" s="52"/>
      <c r="D26" s="52"/>
      <c r="E26" s="52"/>
      <c r="F26" s="52"/>
      <c r="G26" s="52"/>
    </row>
    <row r="27" spans="2:7" x14ac:dyDescent="0.25">
      <c r="B27" s="7" t="s">
        <v>43</v>
      </c>
    </row>
    <row r="28" spans="2:7" x14ac:dyDescent="0.25">
      <c r="B28" s="7" t="s">
        <v>120</v>
      </c>
    </row>
    <row r="29" spans="2:7" x14ac:dyDescent="0.25">
      <c r="C29" s="45"/>
    </row>
    <row r="30" spans="2:7" x14ac:dyDescent="0.25"/>
    <row r="31" spans="2:7" x14ac:dyDescent="0.25">
      <c r="B31" s="60" t="s">
        <v>53</v>
      </c>
      <c r="C31" s="60"/>
      <c r="D31" s="60"/>
      <c r="E31" s="60"/>
    </row>
    <row r="32" spans="2:7" x14ac:dyDescent="0.25">
      <c r="B32" s="61" t="s">
        <v>54</v>
      </c>
      <c r="C32" s="61"/>
      <c r="D32" s="61"/>
      <c r="E32" s="61"/>
    </row>
    <row r="33" spans="2:2" x14ac:dyDescent="0.25">
      <c r="B33" s="61" t="s">
        <v>55</v>
      </c>
    </row>
    <row r="34" spans="2:2" x14ac:dyDescent="0.25"/>
    <row r="35" spans="2:2" x14ac:dyDescent="0.25"/>
    <row r="36" spans="2:2" x14ac:dyDescent="0.25"/>
    <row r="37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8383341-0F85-45AA-A7BD-3F02125829C3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060F-855B-4F72-8FEA-33D0892A3BB5}">
  <sheetPr>
    <tabColor theme="5" tint="0.79998168889431442"/>
  </sheetPr>
  <dimension ref="A1:XFD34"/>
  <sheetViews>
    <sheetView showGridLines="0" topLeftCell="A6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2" width="11.42578125" hidden="1"/>
    <col min="16383" max="16383" width="14.42578125" customWidth="1"/>
    <col min="16384" max="16384" width="23.42578125" hidden="1" customWidth="1"/>
  </cols>
  <sheetData>
    <row r="1" spans="1:8 16383:16384" ht="15" x14ac:dyDescent="0.25"/>
    <row r="2" spans="1:8 16383:16384" ht="15" x14ac:dyDescent="0.25"/>
    <row r="3" spans="1:8 16383:16384" ht="15" x14ac:dyDescent="0.25">
      <c r="B3" s="79" t="s">
        <v>118</v>
      </c>
      <c r="C3" s="79"/>
      <c r="D3" s="79"/>
      <c r="E3" s="79"/>
      <c r="F3" s="79"/>
      <c r="G3" s="29"/>
    </row>
    <row r="4" spans="1:8 16383:16384" ht="15" x14ac:dyDescent="0.25">
      <c r="B4" s="79" t="s">
        <v>38</v>
      </c>
      <c r="C4" s="79"/>
      <c r="D4" s="79"/>
      <c r="E4" s="79"/>
      <c r="F4" s="79"/>
      <c r="G4" s="29"/>
    </row>
    <row r="5" spans="1:8 16383:16384" ht="15" x14ac:dyDescent="0.25">
      <c r="B5" s="79" t="s">
        <v>89</v>
      </c>
      <c r="C5" s="79"/>
      <c r="D5" s="79"/>
      <c r="E5" s="79"/>
      <c r="F5" s="79"/>
      <c r="G5" s="29"/>
    </row>
    <row r="6" spans="1:8 16383:16384" ht="15" x14ac:dyDescent="0.25">
      <c r="B6" s="5"/>
      <c r="C6" s="5"/>
      <c r="D6" s="5"/>
      <c r="E6" s="5"/>
      <c r="F6" s="5"/>
      <c r="G6" s="5"/>
    </row>
    <row r="7" spans="1:8 16383:16384" ht="15" x14ac:dyDescent="0.25"/>
    <row r="8" spans="1:8 16383:16384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 16383:16384" ht="23.25" customHeight="1" x14ac:dyDescent="0.25">
      <c r="A9" s="59">
        <v>16591</v>
      </c>
      <c r="B9" s="81"/>
      <c r="C9" s="81"/>
      <c r="D9" s="81"/>
      <c r="E9" s="81"/>
      <c r="F9" s="81"/>
      <c r="G9" s="28"/>
    </row>
    <row r="10" spans="1:8 16383:16384" ht="15.75" thickBot="1" x14ac:dyDescent="0.3">
      <c r="A10" s="59">
        <v>31</v>
      </c>
      <c r="B10" s="8">
        <v>46023</v>
      </c>
      <c r="C10" s="43">
        <f>+$A$9*A10*24</f>
        <v>12343704</v>
      </c>
      <c r="D10" s="82"/>
      <c r="E10" s="57">
        <f>+$D$10*A10*24</f>
        <v>0</v>
      </c>
      <c r="F10" s="85"/>
      <c r="G10" s="32"/>
      <c r="H10" s="51"/>
      <c r="XFC10" s="48"/>
      <c r="XFD10" s="49"/>
    </row>
    <row r="11" spans="1:8 16383:16384" ht="15.75" thickBot="1" x14ac:dyDescent="0.3">
      <c r="A11" s="59">
        <v>28</v>
      </c>
      <c r="B11" s="8">
        <v>46054</v>
      </c>
      <c r="C11" s="43">
        <f t="shared" ref="C11:C21" si="0">+$A$9*A11*24</f>
        <v>11149152</v>
      </c>
      <c r="D11" s="83"/>
      <c r="E11" s="57">
        <f t="shared" ref="E11:E21" si="1">+$D$10*A11*24</f>
        <v>0</v>
      </c>
      <c r="F11" s="86"/>
      <c r="G11" s="32"/>
      <c r="H11" s="51"/>
      <c r="XFC11" s="48"/>
      <c r="XFD11" s="49"/>
    </row>
    <row r="12" spans="1:8 16383:16384" ht="15.75" thickBot="1" x14ac:dyDescent="0.3">
      <c r="A12" s="59">
        <v>31</v>
      </c>
      <c r="B12" s="8">
        <v>46082</v>
      </c>
      <c r="C12" s="43">
        <f t="shared" si="0"/>
        <v>12343704</v>
      </c>
      <c r="D12" s="83"/>
      <c r="E12" s="57">
        <f t="shared" si="1"/>
        <v>0</v>
      </c>
      <c r="F12" s="86"/>
      <c r="G12" s="32"/>
      <c r="H12" s="51"/>
      <c r="XFC12" s="48"/>
      <c r="XFD12" s="49"/>
    </row>
    <row r="13" spans="1:8 16383:16384" ht="15.75" thickBot="1" x14ac:dyDescent="0.3">
      <c r="A13" s="59">
        <v>30</v>
      </c>
      <c r="B13" s="8">
        <v>46113</v>
      </c>
      <c r="C13" s="43">
        <f t="shared" si="0"/>
        <v>11945520</v>
      </c>
      <c r="D13" s="83"/>
      <c r="E13" s="57">
        <f t="shared" si="1"/>
        <v>0</v>
      </c>
      <c r="F13" s="86"/>
      <c r="G13" s="32"/>
      <c r="H13" s="51"/>
      <c r="XFC13" s="48"/>
      <c r="XFD13" s="49"/>
    </row>
    <row r="14" spans="1:8 16383:16384" ht="15.75" thickBot="1" x14ac:dyDescent="0.3">
      <c r="A14" s="59">
        <v>31</v>
      </c>
      <c r="B14" s="8">
        <v>46143</v>
      </c>
      <c r="C14" s="43">
        <f t="shared" si="0"/>
        <v>12343704</v>
      </c>
      <c r="D14" s="83"/>
      <c r="E14" s="57">
        <f t="shared" si="1"/>
        <v>0</v>
      </c>
      <c r="F14" s="86"/>
      <c r="G14" s="32"/>
      <c r="H14" s="51"/>
      <c r="XFC14" s="48"/>
      <c r="XFD14" s="49"/>
    </row>
    <row r="15" spans="1:8 16383:16384" ht="15.75" thickBot="1" x14ac:dyDescent="0.3">
      <c r="A15" s="59">
        <v>30</v>
      </c>
      <c r="B15" s="8">
        <v>46174</v>
      </c>
      <c r="C15" s="43">
        <f t="shared" si="0"/>
        <v>11945520</v>
      </c>
      <c r="D15" s="83"/>
      <c r="E15" s="57">
        <f t="shared" si="1"/>
        <v>0</v>
      </c>
      <c r="F15" s="86"/>
      <c r="G15" s="32"/>
      <c r="H15" s="51"/>
      <c r="XFC15" s="48"/>
      <c r="XFD15" s="49"/>
    </row>
    <row r="16" spans="1:8 16383:16384" ht="15.75" thickBot="1" x14ac:dyDescent="0.3">
      <c r="A16" s="59">
        <v>31</v>
      </c>
      <c r="B16" s="8">
        <v>46204</v>
      </c>
      <c r="C16" s="43">
        <f t="shared" si="0"/>
        <v>12343704</v>
      </c>
      <c r="D16" s="83"/>
      <c r="E16" s="57">
        <f t="shared" si="1"/>
        <v>0</v>
      </c>
      <c r="F16" s="86"/>
      <c r="G16" s="32"/>
      <c r="H16" s="51"/>
      <c r="XFC16" s="48"/>
      <c r="XFD16" s="49"/>
    </row>
    <row r="17" spans="1:8 16383:16384" ht="15.75" thickBot="1" x14ac:dyDescent="0.3">
      <c r="A17" s="59">
        <v>31</v>
      </c>
      <c r="B17" s="8">
        <v>46235</v>
      </c>
      <c r="C17" s="43">
        <f t="shared" si="0"/>
        <v>12343704</v>
      </c>
      <c r="D17" s="83"/>
      <c r="E17" s="57">
        <f t="shared" si="1"/>
        <v>0</v>
      </c>
      <c r="F17" s="86"/>
      <c r="G17" s="32"/>
      <c r="H17" s="51"/>
      <c r="XFC17" s="48"/>
      <c r="XFD17" s="49"/>
    </row>
    <row r="18" spans="1:8 16383:16384" ht="15.75" thickBot="1" x14ac:dyDescent="0.3">
      <c r="A18" s="59">
        <v>30</v>
      </c>
      <c r="B18" s="8">
        <v>46266</v>
      </c>
      <c r="C18" s="43">
        <f t="shared" si="0"/>
        <v>11945520</v>
      </c>
      <c r="D18" s="83"/>
      <c r="E18" s="57">
        <f t="shared" si="1"/>
        <v>0</v>
      </c>
      <c r="F18" s="86"/>
      <c r="G18" s="32"/>
      <c r="H18" s="51"/>
      <c r="XFC18" s="48"/>
      <c r="XFD18" s="49"/>
    </row>
    <row r="19" spans="1:8 16383:16384" ht="15.75" thickBot="1" x14ac:dyDescent="0.3">
      <c r="A19" s="59">
        <v>31</v>
      </c>
      <c r="B19" s="8">
        <v>46296</v>
      </c>
      <c r="C19" s="43">
        <f t="shared" si="0"/>
        <v>12343704</v>
      </c>
      <c r="D19" s="83"/>
      <c r="E19" s="57">
        <f t="shared" si="1"/>
        <v>0</v>
      </c>
      <c r="F19" s="86"/>
      <c r="G19" s="32"/>
      <c r="H19" s="45"/>
      <c r="XFC19" s="48"/>
      <c r="XFD19" s="49"/>
    </row>
    <row r="20" spans="1:8 16383:16384" ht="15.75" thickBot="1" x14ac:dyDescent="0.3">
      <c r="A20" s="59">
        <v>30</v>
      </c>
      <c r="B20" s="8">
        <v>46327</v>
      </c>
      <c r="C20" s="43">
        <f t="shared" si="0"/>
        <v>11945520</v>
      </c>
      <c r="D20" s="83"/>
      <c r="E20" s="57">
        <f t="shared" si="1"/>
        <v>0</v>
      </c>
      <c r="F20" s="86"/>
      <c r="G20" s="32"/>
      <c r="H20" s="45"/>
      <c r="XFC20" s="48"/>
      <c r="XFD20" s="49"/>
    </row>
    <row r="21" spans="1:8 16383:16384" ht="15.75" thickBot="1" x14ac:dyDescent="0.3">
      <c r="A21" s="59">
        <v>31</v>
      </c>
      <c r="B21" s="8">
        <v>46357</v>
      </c>
      <c r="C21" s="43">
        <f t="shared" si="0"/>
        <v>12343704</v>
      </c>
      <c r="D21" s="84"/>
      <c r="E21" s="57">
        <f t="shared" si="1"/>
        <v>0</v>
      </c>
      <c r="F21" s="87"/>
      <c r="G21" s="32"/>
      <c r="H21" s="45"/>
      <c r="XFC21" s="48"/>
      <c r="XFD21" s="49"/>
    </row>
    <row r="22" spans="1:8 16383:16384" ht="28.5" customHeight="1" x14ac:dyDescent="0.25">
      <c r="B22" s="9" t="s">
        <v>0</v>
      </c>
      <c r="C22" s="10">
        <f>+SUM(C10:C21)</f>
        <v>145337160</v>
      </c>
      <c r="D22" s="11"/>
      <c r="E22" s="56">
        <f>SUM(E10:E21)</f>
        <v>0</v>
      </c>
      <c r="F22" s="55">
        <f>+F10</f>
        <v>0</v>
      </c>
      <c r="G22" s="50"/>
      <c r="H22" s="42"/>
      <c r="XFC22" s="48"/>
      <c r="XFD22" s="49"/>
    </row>
    <row r="23" spans="1:8 16383:16384" ht="19.5" customHeight="1" x14ac:dyDescent="0.25">
      <c r="B23" s="7" t="s">
        <v>58</v>
      </c>
      <c r="C23" s="25"/>
      <c r="D23" s="30"/>
      <c r="E23" s="25"/>
      <c r="F23" s="26"/>
      <c r="G23" s="67"/>
      <c r="H23" s="42"/>
      <c r="XFC23" s="51"/>
      <c r="XFD23" s="49"/>
    </row>
    <row r="24" spans="1:8 16383:16384" ht="15" customHeight="1" x14ac:dyDescent="0.25">
      <c r="B24" s="7" t="s">
        <v>117</v>
      </c>
      <c r="C24" s="7"/>
      <c r="D24" s="7"/>
      <c r="E24" s="7"/>
      <c r="F24" s="7"/>
      <c r="G24" s="7"/>
      <c r="H24" s="42"/>
      <c r="XFC24" s="45"/>
    </row>
    <row r="25" spans="1:8 16383:16384" ht="15" x14ac:dyDescent="0.25">
      <c r="B25" s="7" t="s">
        <v>43</v>
      </c>
      <c r="H25" s="42"/>
      <c r="XFC25" s="42"/>
    </row>
    <row r="26" spans="1:8 16383:16384" ht="33" customHeight="1" x14ac:dyDescent="0.25">
      <c r="B26" s="72" t="s">
        <v>68</v>
      </c>
      <c r="C26" s="72"/>
      <c r="D26" s="72"/>
      <c r="E26" s="72"/>
      <c r="F26" s="72"/>
      <c r="G26" s="72"/>
      <c r="H26" s="42"/>
    </row>
    <row r="27" spans="1:8 16383:16384" ht="15" x14ac:dyDescent="0.25">
      <c r="B27" s="7"/>
      <c r="C27" s="54"/>
      <c r="D27" s="54"/>
      <c r="E27" s="54"/>
      <c r="F27" s="54"/>
      <c r="G27" s="54"/>
      <c r="H27" s="42"/>
    </row>
    <row r="28" spans="1:8 16383:16384" ht="15" x14ac:dyDescent="0.25">
      <c r="B28" s="7"/>
      <c r="C28" s="54"/>
      <c r="D28" s="54"/>
      <c r="E28" s="54"/>
      <c r="F28" s="54"/>
      <c r="G28" s="54"/>
      <c r="H28" s="42"/>
    </row>
    <row r="29" spans="1:8 16383:16384" ht="15" x14ac:dyDescent="0.25">
      <c r="B29" s="7"/>
      <c r="C29" s="4"/>
      <c r="D29" s="3"/>
      <c r="E29" s="3"/>
      <c r="F29" s="3"/>
      <c r="G29" s="3"/>
      <c r="H29" s="42"/>
    </row>
    <row r="30" spans="1:8 16383:16384" ht="15" customHeight="1" x14ac:dyDescent="0.25">
      <c r="A30" s="2"/>
      <c r="H30" s="42"/>
    </row>
    <row r="31" spans="1:8 16383:16384" ht="15" customHeight="1" x14ac:dyDescent="0.25">
      <c r="A31" s="1"/>
      <c r="B31" s="60" t="s">
        <v>53</v>
      </c>
      <c r="H31" s="42"/>
    </row>
    <row r="32" spans="1:8 16383:16384" ht="15" customHeight="1" x14ac:dyDescent="0.25">
      <c r="A32" s="1"/>
      <c r="B32" s="61" t="s">
        <v>54</v>
      </c>
      <c r="H32" s="42"/>
    </row>
    <row r="33" spans="2:2" ht="15" x14ac:dyDescent="0.25">
      <c r="B33" s="61" t="s">
        <v>55</v>
      </c>
    </row>
    <row r="34" spans="2:2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XFD10:XFD21">
    <cfRule type="cellIs" dxfId="9" priority="1" operator="lessThan">
      <formula>0</formula>
    </cfRule>
  </conditionalFormatting>
  <dataValidations count="1">
    <dataValidation type="whole" operator="lessThanOrEqual" allowBlank="1" showInputMessage="1" showErrorMessage="1" errorTitle="Error" error="Debe ingresar un numero menor o igual  16.591" sqref="D10:D21" xr:uid="{0BDB259F-7358-42F3-84E1-BE5A2F8FE113}">
      <formula1>A9</formula1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DF7-6557-4880-83A6-C35257F7B616}">
  <sheetPr>
    <tabColor rgb="FFFF0000"/>
  </sheetPr>
  <dimension ref="A1:AD46"/>
  <sheetViews>
    <sheetView showGridLines="0" zoomScale="115" zoomScaleNormal="115" zoomScaleSheetLayoutView="110" workbookViewId="0">
      <pane xSplit="2" ySplit="5" topLeftCell="C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customWidth="1"/>
    <col min="2" max="2" width="8.7109375" bestFit="1" customWidth="1"/>
    <col min="3" max="4" width="8" bestFit="1" customWidth="1"/>
    <col min="5" max="5" width="7.7109375" bestFit="1" customWidth="1"/>
    <col min="6" max="6" width="8" bestFit="1" customWidth="1"/>
    <col min="7" max="8" width="7.7109375" bestFit="1" customWidth="1"/>
    <col min="9" max="10" width="7.42578125" bestFit="1" customWidth="1"/>
    <col min="11" max="12" width="7.7109375" bestFit="1" customWidth="1"/>
    <col min="13" max="18" width="8" bestFit="1" customWidth="1"/>
    <col min="19" max="22" width="7.7109375" bestFit="1" customWidth="1"/>
    <col min="23" max="26" width="8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47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46023</v>
      </c>
      <c r="B6" s="18" t="s">
        <v>5</v>
      </c>
      <c r="C6" s="33">
        <v>13462</v>
      </c>
      <c r="D6" s="33">
        <v>12684</v>
      </c>
      <c r="E6" s="33">
        <v>12216</v>
      </c>
      <c r="F6" s="33">
        <v>11974</v>
      </c>
      <c r="G6" s="33">
        <v>12141</v>
      </c>
      <c r="H6" s="33">
        <v>12865</v>
      </c>
      <c r="I6" s="33">
        <v>13552</v>
      </c>
      <c r="J6" s="33">
        <v>14839</v>
      </c>
      <c r="K6" s="33">
        <v>16287</v>
      </c>
      <c r="L6" s="33">
        <v>17384</v>
      </c>
      <c r="M6" s="33">
        <v>18501</v>
      </c>
      <c r="N6" s="33">
        <v>19554</v>
      </c>
      <c r="O6" s="33">
        <v>19375</v>
      </c>
      <c r="P6" s="33">
        <v>19399</v>
      </c>
      <c r="Q6" s="33">
        <v>19722</v>
      </c>
      <c r="R6" s="33">
        <v>19784</v>
      </c>
      <c r="S6" s="33">
        <v>19557</v>
      </c>
      <c r="T6" s="33">
        <v>19134</v>
      </c>
      <c r="U6" s="33">
        <v>20540</v>
      </c>
      <c r="V6" s="33">
        <v>21711</v>
      </c>
      <c r="W6" s="33">
        <v>20924</v>
      </c>
      <c r="X6" s="33">
        <v>19543</v>
      </c>
      <c r="Y6" s="33">
        <v>17324</v>
      </c>
      <c r="Z6" s="34">
        <v>15082</v>
      </c>
      <c r="AA6" s="35">
        <f>SUM(C6:Z6)</f>
        <v>407554</v>
      </c>
      <c r="AB6" s="19">
        <v>20</v>
      </c>
      <c r="AC6" s="100">
        <f>+AA6*AB6+AA7*AB7+AA8*AB8</f>
        <v>12390605</v>
      </c>
    </row>
    <row r="7" spans="1:30" ht="15.75" thickBot="1" x14ac:dyDescent="0.3">
      <c r="A7" s="99"/>
      <c r="B7" s="20" t="s">
        <v>4</v>
      </c>
      <c r="C7" s="36">
        <v>13787</v>
      </c>
      <c r="D7" s="36">
        <v>12908</v>
      </c>
      <c r="E7" s="36">
        <v>12372</v>
      </c>
      <c r="F7" s="36">
        <v>12034</v>
      </c>
      <c r="G7" s="36">
        <v>12045</v>
      </c>
      <c r="H7" s="36">
        <v>12449</v>
      </c>
      <c r="I7" s="36">
        <v>12921</v>
      </c>
      <c r="J7" s="36">
        <v>14230</v>
      </c>
      <c r="K7" s="36">
        <v>15848</v>
      </c>
      <c r="L7" s="36">
        <v>17070</v>
      </c>
      <c r="M7" s="36">
        <v>17985</v>
      </c>
      <c r="N7" s="36">
        <v>18890</v>
      </c>
      <c r="O7" s="36">
        <v>18988</v>
      </c>
      <c r="P7" s="36">
        <v>18801</v>
      </c>
      <c r="Q7" s="36">
        <v>18597</v>
      </c>
      <c r="R7" s="36">
        <v>18497</v>
      </c>
      <c r="S7" s="36">
        <v>18358</v>
      </c>
      <c r="T7" s="36">
        <v>18340</v>
      </c>
      <c r="U7" s="36">
        <v>20103</v>
      </c>
      <c r="V7" s="36">
        <v>21359</v>
      </c>
      <c r="W7" s="36">
        <v>20500</v>
      </c>
      <c r="X7" s="36">
        <v>19220</v>
      </c>
      <c r="Y7" s="36">
        <v>17404</v>
      </c>
      <c r="Z7" s="37">
        <v>15583</v>
      </c>
      <c r="AA7" s="38">
        <f t="shared" ref="AA7:AA41" si="0">SUM(C7:Z7)</f>
        <v>398289</v>
      </c>
      <c r="AB7" s="21">
        <v>5</v>
      </c>
      <c r="AC7" s="101"/>
      <c r="AD7" s="47"/>
    </row>
    <row r="8" spans="1:30" ht="15" x14ac:dyDescent="0.25">
      <c r="A8" s="99"/>
      <c r="B8" s="22" t="s">
        <v>3</v>
      </c>
      <c r="C8" s="39">
        <v>14453</v>
      </c>
      <c r="D8" s="39">
        <v>13504</v>
      </c>
      <c r="E8" s="39">
        <v>12874</v>
      </c>
      <c r="F8" s="39">
        <v>12430</v>
      </c>
      <c r="G8" s="39">
        <v>12213</v>
      </c>
      <c r="H8" s="39">
        <v>12298</v>
      </c>
      <c r="I8" s="39">
        <v>12177</v>
      </c>
      <c r="J8" s="39">
        <v>12897</v>
      </c>
      <c r="K8" s="39">
        <v>14128</v>
      </c>
      <c r="L8" s="39">
        <v>15213</v>
      </c>
      <c r="M8" s="39">
        <v>16014</v>
      </c>
      <c r="N8" s="39">
        <v>16847</v>
      </c>
      <c r="O8" s="39">
        <v>17341</v>
      </c>
      <c r="P8" s="39">
        <v>17282</v>
      </c>
      <c r="Q8" s="39">
        <v>16969</v>
      </c>
      <c r="R8" s="39">
        <v>16788</v>
      </c>
      <c r="S8" s="39">
        <v>16697</v>
      </c>
      <c r="T8" s="39">
        <v>16787</v>
      </c>
      <c r="U8" s="39">
        <v>18710</v>
      </c>
      <c r="V8" s="39">
        <v>20083</v>
      </c>
      <c r="W8" s="39">
        <v>19523</v>
      </c>
      <c r="X8" s="39">
        <v>18326</v>
      </c>
      <c r="Y8" s="39">
        <v>16481</v>
      </c>
      <c r="Z8" s="40">
        <v>14645</v>
      </c>
      <c r="AA8" s="41">
        <f t="shared" si="0"/>
        <v>374680</v>
      </c>
      <c r="AB8" s="23">
        <v>6</v>
      </c>
      <c r="AC8" s="102"/>
      <c r="AD8" s="48"/>
    </row>
    <row r="9" spans="1:30" ht="15.75" thickBot="1" x14ac:dyDescent="0.3">
      <c r="A9" s="99">
        <v>46054</v>
      </c>
      <c r="B9" s="18" t="s">
        <v>5</v>
      </c>
      <c r="C9" s="33">
        <v>13541</v>
      </c>
      <c r="D9" s="33">
        <v>12792</v>
      </c>
      <c r="E9" s="33">
        <v>12362</v>
      </c>
      <c r="F9" s="33">
        <v>12150</v>
      </c>
      <c r="G9" s="33">
        <v>12395</v>
      </c>
      <c r="H9" s="33">
        <v>13517</v>
      </c>
      <c r="I9" s="33">
        <v>14412</v>
      </c>
      <c r="J9" s="33">
        <v>15383</v>
      </c>
      <c r="K9" s="33">
        <v>16671</v>
      </c>
      <c r="L9" s="33">
        <v>17636</v>
      </c>
      <c r="M9" s="33">
        <v>18691</v>
      </c>
      <c r="N9" s="33">
        <v>19668</v>
      </c>
      <c r="O9" s="33">
        <v>19275</v>
      </c>
      <c r="P9" s="33">
        <v>19425</v>
      </c>
      <c r="Q9" s="33">
        <v>19879</v>
      </c>
      <c r="R9" s="33">
        <v>19960</v>
      </c>
      <c r="S9" s="33">
        <v>19738</v>
      </c>
      <c r="T9" s="33">
        <v>19222</v>
      </c>
      <c r="U9" s="33">
        <v>20296</v>
      </c>
      <c r="V9" s="33">
        <v>21832</v>
      </c>
      <c r="W9" s="33">
        <v>21075</v>
      </c>
      <c r="X9" s="33">
        <v>19630</v>
      </c>
      <c r="Y9" s="33">
        <v>17349</v>
      </c>
      <c r="Z9" s="34">
        <v>15079</v>
      </c>
      <c r="AA9" s="35">
        <f t="shared" si="0"/>
        <v>411978</v>
      </c>
      <c r="AB9" s="19">
        <v>20</v>
      </c>
      <c r="AC9" s="100">
        <f>+AA9*AB9+AA10*AB10+AA11*AB11</f>
        <v>11417324</v>
      </c>
    </row>
    <row r="10" spans="1:30" ht="15.75" thickBot="1" x14ac:dyDescent="0.3">
      <c r="A10" s="99"/>
      <c r="B10" s="20" t="s">
        <v>4</v>
      </c>
      <c r="C10" s="36">
        <v>14042</v>
      </c>
      <c r="D10" s="36">
        <v>13212</v>
      </c>
      <c r="E10" s="36">
        <v>12678</v>
      </c>
      <c r="F10" s="36">
        <v>12372</v>
      </c>
      <c r="G10" s="36">
        <v>12408</v>
      </c>
      <c r="H10" s="36">
        <v>12843</v>
      </c>
      <c r="I10" s="36">
        <v>13539</v>
      </c>
      <c r="J10" s="36">
        <v>14847</v>
      </c>
      <c r="K10" s="36">
        <v>16528</v>
      </c>
      <c r="L10" s="36">
        <v>17699</v>
      </c>
      <c r="M10" s="36">
        <v>18630</v>
      </c>
      <c r="N10" s="36">
        <v>19533</v>
      </c>
      <c r="O10" s="36">
        <v>19558</v>
      </c>
      <c r="P10" s="36">
        <v>19308</v>
      </c>
      <c r="Q10" s="36">
        <v>19093</v>
      </c>
      <c r="R10" s="36">
        <v>18975</v>
      </c>
      <c r="S10" s="36">
        <v>18814</v>
      </c>
      <c r="T10" s="36">
        <v>18755</v>
      </c>
      <c r="U10" s="36">
        <v>20181</v>
      </c>
      <c r="V10" s="36">
        <v>21726</v>
      </c>
      <c r="W10" s="36">
        <v>20876</v>
      </c>
      <c r="X10" s="36">
        <v>19667</v>
      </c>
      <c r="Y10" s="36">
        <v>17938</v>
      </c>
      <c r="Z10" s="37">
        <v>16018</v>
      </c>
      <c r="AA10" s="38">
        <f t="shared" si="0"/>
        <v>409240</v>
      </c>
      <c r="AB10" s="21">
        <v>4</v>
      </c>
      <c r="AC10" s="101"/>
      <c r="AD10" s="47"/>
    </row>
    <row r="11" spans="1:30" ht="15" x14ac:dyDescent="0.25">
      <c r="A11" s="99"/>
      <c r="B11" s="22" t="s">
        <v>3</v>
      </c>
      <c r="C11" s="39">
        <v>14585</v>
      </c>
      <c r="D11" s="39">
        <v>13642</v>
      </c>
      <c r="E11" s="39">
        <v>13068</v>
      </c>
      <c r="F11" s="39">
        <v>12637</v>
      </c>
      <c r="G11" s="39">
        <v>12499</v>
      </c>
      <c r="H11" s="39">
        <v>12628</v>
      </c>
      <c r="I11" s="39">
        <v>12732</v>
      </c>
      <c r="J11" s="39">
        <v>13575</v>
      </c>
      <c r="K11" s="39">
        <v>14926</v>
      </c>
      <c r="L11" s="39">
        <v>16031</v>
      </c>
      <c r="M11" s="39">
        <v>16764</v>
      </c>
      <c r="N11" s="39">
        <v>17556</v>
      </c>
      <c r="O11" s="39">
        <v>17999</v>
      </c>
      <c r="P11" s="39">
        <v>17855</v>
      </c>
      <c r="Q11" s="39">
        <v>17501</v>
      </c>
      <c r="R11" s="39">
        <v>17287</v>
      </c>
      <c r="S11" s="39">
        <v>17179</v>
      </c>
      <c r="T11" s="39">
        <v>17270</v>
      </c>
      <c r="U11" s="39">
        <v>18803</v>
      </c>
      <c r="V11" s="39">
        <v>20510</v>
      </c>
      <c r="W11" s="39">
        <v>19989</v>
      </c>
      <c r="X11" s="39">
        <v>18749</v>
      </c>
      <c r="Y11" s="39">
        <v>16712</v>
      </c>
      <c r="Z11" s="40">
        <v>14704</v>
      </c>
      <c r="AA11" s="41">
        <f t="shared" si="0"/>
        <v>385201</v>
      </c>
      <c r="AB11" s="23">
        <v>4</v>
      </c>
      <c r="AC11" s="102"/>
      <c r="AD11" s="48"/>
    </row>
    <row r="12" spans="1:30" ht="15.75" thickBot="1" x14ac:dyDescent="0.3">
      <c r="A12" s="99">
        <v>46082</v>
      </c>
      <c r="B12" s="18" t="s">
        <v>5</v>
      </c>
      <c r="C12" s="33">
        <v>13253</v>
      </c>
      <c r="D12" s="33">
        <v>12536</v>
      </c>
      <c r="E12" s="33">
        <v>12139</v>
      </c>
      <c r="F12" s="33">
        <v>11941</v>
      </c>
      <c r="G12" s="33">
        <v>12204</v>
      </c>
      <c r="H12" s="33">
        <v>13305</v>
      </c>
      <c r="I12" s="33">
        <v>14076</v>
      </c>
      <c r="J12" s="33">
        <v>15150</v>
      </c>
      <c r="K12" s="33">
        <v>16388</v>
      </c>
      <c r="L12" s="33">
        <v>17314</v>
      </c>
      <c r="M12" s="33">
        <v>18302</v>
      </c>
      <c r="N12" s="33">
        <v>19192</v>
      </c>
      <c r="O12" s="33">
        <v>18838</v>
      </c>
      <c r="P12" s="33">
        <v>18916</v>
      </c>
      <c r="Q12" s="33">
        <v>19306</v>
      </c>
      <c r="R12" s="33">
        <v>19370</v>
      </c>
      <c r="S12" s="33">
        <v>19200</v>
      </c>
      <c r="T12" s="33">
        <v>18838</v>
      </c>
      <c r="U12" s="33">
        <v>20177</v>
      </c>
      <c r="V12" s="33">
        <v>21488</v>
      </c>
      <c r="W12" s="33">
        <v>20707</v>
      </c>
      <c r="X12" s="33">
        <v>19237</v>
      </c>
      <c r="Y12" s="33">
        <v>17002</v>
      </c>
      <c r="Z12" s="34">
        <v>14795</v>
      </c>
      <c r="AA12" s="35">
        <f t="shared" si="0"/>
        <v>403674</v>
      </c>
      <c r="AB12" s="19">
        <v>21</v>
      </c>
      <c r="AC12" s="100">
        <f>+AA12*AB12+AA13*AB13+AA14*AB14</f>
        <v>12298630</v>
      </c>
    </row>
    <row r="13" spans="1:30" ht="15.75" thickBot="1" x14ac:dyDescent="0.3">
      <c r="A13" s="99"/>
      <c r="B13" s="20" t="s">
        <v>4</v>
      </c>
      <c r="C13" s="36">
        <v>13671</v>
      </c>
      <c r="D13" s="36">
        <v>12843</v>
      </c>
      <c r="E13" s="36">
        <v>12403</v>
      </c>
      <c r="F13" s="36">
        <v>12151</v>
      </c>
      <c r="G13" s="36">
        <v>12166</v>
      </c>
      <c r="H13" s="36">
        <v>12628</v>
      </c>
      <c r="I13" s="36">
        <v>13031</v>
      </c>
      <c r="J13" s="36">
        <v>14466</v>
      </c>
      <c r="K13" s="36">
        <v>16025</v>
      </c>
      <c r="L13" s="36">
        <v>17156</v>
      </c>
      <c r="M13" s="36">
        <v>18054</v>
      </c>
      <c r="N13" s="36">
        <v>18802</v>
      </c>
      <c r="O13" s="36">
        <v>18787</v>
      </c>
      <c r="P13" s="36">
        <v>18521</v>
      </c>
      <c r="Q13" s="36">
        <v>18321</v>
      </c>
      <c r="R13" s="36">
        <v>18171</v>
      </c>
      <c r="S13" s="36">
        <v>17976</v>
      </c>
      <c r="T13" s="36">
        <v>17989</v>
      </c>
      <c r="U13" s="36">
        <v>19616</v>
      </c>
      <c r="V13" s="36">
        <v>20853</v>
      </c>
      <c r="W13" s="36">
        <v>20045</v>
      </c>
      <c r="X13" s="36">
        <v>18889</v>
      </c>
      <c r="Y13" s="36">
        <v>17169</v>
      </c>
      <c r="Z13" s="37">
        <v>15431</v>
      </c>
      <c r="AA13" s="38">
        <f t="shared" si="0"/>
        <v>395164</v>
      </c>
      <c r="AB13" s="21">
        <v>4</v>
      </c>
      <c r="AC13" s="101"/>
      <c r="AD13" s="47"/>
    </row>
    <row r="14" spans="1:30" ht="15" x14ac:dyDescent="0.25">
      <c r="A14" s="99"/>
      <c r="B14" s="22" t="s">
        <v>3</v>
      </c>
      <c r="C14" s="39">
        <v>14089</v>
      </c>
      <c r="D14" s="39">
        <v>13178</v>
      </c>
      <c r="E14" s="39">
        <v>12642</v>
      </c>
      <c r="F14" s="39">
        <v>12278</v>
      </c>
      <c r="G14" s="39">
        <v>12128</v>
      </c>
      <c r="H14" s="39">
        <v>12306</v>
      </c>
      <c r="I14" s="39">
        <v>12262</v>
      </c>
      <c r="J14" s="39">
        <v>13173</v>
      </c>
      <c r="K14" s="39">
        <v>14414</v>
      </c>
      <c r="L14" s="39">
        <v>15414</v>
      </c>
      <c r="M14" s="39">
        <v>16112</v>
      </c>
      <c r="N14" s="39">
        <v>16905</v>
      </c>
      <c r="O14" s="39">
        <v>17377</v>
      </c>
      <c r="P14" s="39">
        <v>17245</v>
      </c>
      <c r="Q14" s="39">
        <v>16883</v>
      </c>
      <c r="R14" s="39">
        <v>16721</v>
      </c>
      <c r="S14" s="39">
        <v>16616</v>
      </c>
      <c r="T14" s="39">
        <v>16746</v>
      </c>
      <c r="U14" s="39">
        <v>18503</v>
      </c>
      <c r="V14" s="39">
        <v>19960</v>
      </c>
      <c r="W14" s="39">
        <v>19398</v>
      </c>
      <c r="X14" s="39">
        <v>18235</v>
      </c>
      <c r="Y14" s="39">
        <v>16344</v>
      </c>
      <c r="Z14" s="40">
        <v>14541</v>
      </c>
      <c r="AA14" s="41">
        <f t="shared" si="0"/>
        <v>373470</v>
      </c>
      <c r="AB14" s="23">
        <v>6</v>
      </c>
      <c r="AC14" s="102"/>
      <c r="AD14" s="45"/>
    </row>
    <row r="15" spans="1:30" ht="15.75" thickBot="1" x14ac:dyDescent="0.3">
      <c r="A15" s="99">
        <v>46113</v>
      </c>
      <c r="B15" s="18" t="s">
        <v>5</v>
      </c>
      <c r="C15" s="33">
        <v>12948</v>
      </c>
      <c r="D15" s="33">
        <v>12261</v>
      </c>
      <c r="E15" s="33">
        <v>11848</v>
      </c>
      <c r="F15" s="33">
        <v>11657</v>
      </c>
      <c r="G15" s="33">
        <v>11899</v>
      </c>
      <c r="H15" s="33">
        <v>12787</v>
      </c>
      <c r="I15" s="33">
        <v>13440</v>
      </c>
      <c r="J15" s="33">
        <v>14624</v>
      </c>
      <c r="K15" s="33">
        <v>15861</v>
      </c>
      <c r="L15" s="33">
        <v>16830</v>
      </c>
      <c r="M15" s="33">
        <v>17853</v>
      </c>
      <c r="N15" s="33">
        <v>18779</v>
      </c>
      <c r="O15" s="33">
        <v>18448</v>
      </c>
      <c r="P15" s="33">
        <v>18533</v>
      </c>
      <c r="Q15" s="33">
        <v>18900</v>
      </c>
      <c r="R15" s="33">
        <v>18937</v>
      </c>
      <c r="S15" s="33">
        <v>18747</v>
      </c>
      <c r="T15" s="33">
        <v>18470</v>
      </c>
      <c r="U15" s="33">
        <v>20082</v>
      </c>
      <c r="V15" s="33">
        <v>21041</v>
      </c>
      <c r="W15" s="33">
        <v>20300</v>
      </c>
      <c r="X15" s="33">
        <v>18816</v>
      </c>
      <c r="Y15" s="33">
        <v>16570</v>
      </c>
      <c r="Z15" s="34">
        <v>14421</v>
      </c>
      <c r="AA15" s="35">
        <f t="shared" si="0"/>
        <v>394052</v>
      </c>
      <c r="AB15" s="19">
        <v>20</v>
      </c>
      <c r="AC15" s="100">
        <f>+AA15*AB15+AA16*AB16+AA17*AB17</f>
        <v>11627746</v>
      </c>
    </row>
    <row r="16" spans="1:30" ht="15.75" thickBot="1" x14ac:dyDescent="0.3">
      <c r="A16" s="99"/>
      <c r="B16" s="20" t="s">
        <v>4</v>
      </c>
      <c r="C16" s="36">
        <v>13224</v>
      </c>
      <c r="D16" s="36">
        <v>12440</v>
      </c>
      <c r="E16" s="36">
        <v>11937</v>
      </c>
      <c r="F16" s="36">
        <v>11639</v>
      </c>
      <c r="G16" s="36">
        <v>11694</v>
      </c>
      <c r="H16" s="36">
        <v>12030</v>
      </c>
      <c r="I16" s="36">
        <v>12452</v>
      </c>
      <c r="J16" s="36">
        <v>13950</v>
      </c>
      <c r="K16" s="36">
        <v>15486</v>
      </c>
      <c r="L16" s="36">
        <v>16651</v>
      </c>
      <c r="M16" s="36">
        <v>17493</v>
      </c>
      <c r="N16" s="36">
        <v>18449</v>
      </c>
      <c r="O16" s="36">
        <v>18507</v>
      </c>
      <c r="P16" s="36">
        <v>18285</v>
      </c>
      <c r="Q16" s="36">
        <v>18082</v>
      </c>
      <c r="R16" s="36">
        <v>17943</v>
      </c>
      <c r="S16" s="36">
        <v>17892</v>
      </c>
      <c r="T16" s="36">
        <v>17978</v>
      </c>
      <c r="U16" s="36">
        <v>19812</v>
      </c>
      <c r="V16" s="36">
        <v>20826</v>
      </c>
      <c r="W16" s="36">
        <v>19973</v>
      </c>
      <c r="X16" s="36">
        <v>18736</v>
      </c>
      <c r="Y16" s="36">
        <v>16994</v>
      </c>
      <c r="Z16" s="37">
        <v>15217</v>
      </c>
      <c r="AA16" s="38">
        <f t="shared" si="0"/>
        <v>387690</v>
      </c>
      <c r="AB16" s="21">
        <v>4</v>
      </c>
      <c r="AC16" s="101"/>
      <c r="AD16" s="47"/>
    </row>
    <row r="17" spans="1:30" ht="15" x14ac:dyDescent="0.25">
      <c r="A17" s="99"/>
      <c r="B17" s="22" t="s">
        <v>3</v>
      </c>
      <c r="C17" s="39">
        <v>13781</v>
      </c>
      <c r="D17" s="39">
        <v>12902</v>
      </c>
      <c r="E17" s="39">
        <v>12333</v>
      </c>
      <c r="F17" s="39">
        <v>11946</v>
      </c>
      <c r="G17" s="39">
        <v>11796</v>
      </c>
      <c r="H17" s="39">
        <v>11776</v>
      </c>
      <c r="I17" s="39">
        <v>11868</v>
      </c>
      <c r="J17" s="39">
        <v>12896</v>
      </c>
      <c r="K17" s="39">
        <v>14099</v>
      </c>
      <c r="L17" s="39">
        <v>15155</v>
      </c>
      <c r="M17" s="39">
        <v>15906</v>
      </c>
      <c r="N17" s="39">
        <v>16672</v>
      </c>
      <c r="O17" s="39">
        <v>17118</v>
      </c>
      <c r="P17" s="39">
        <v>16995</v>
      </c>
      <c r="Q17" s="39">
        <v>16610</v>
      </c>
      <c r="R17" s="39">
        <v>16429</v>
      </c>
      <c r="S17" s="39">
        <v>16325</v>
      </c>
      <c r="T17" s="39">
        <v>16473</v>
      </c>
      <c r="U17" s="39">
        <v>18431</v>
      </c>
      <c r="V17" s="39">
        <v>19603</v>
      </c>
      <c r="W17" s="39">
        <v>18989</v>
      </c>
      <c r="X17" s="39">
        <v>17793</v>
      </c>
      <c r="Y17" s="39">
        <v>15961</v>
      </c>
      <c r="Z17" s="40">
        <v>14134</v>
      </c>
      <c r="AA17" s="41">
        <f t="shared" si="0"/>
        <v>365991</v>
      </c>
      <c r="AB17" s="23">
        <v>6</v>
      </c>
      <c r="AC17" s="102"/>
      <c r="AD17" s="48"/>
    </row>
    <row r="18" spans="1:30" ht="15.75" thickBot="1" x14ac:dyDescent="0.3">
      <c r="A18" s="99">
        <v>46143</v>
      </c>
      <c r="B18" s="18" t="s">
        <v>5</v>
      </c>
      <c r="C18" s="33">
        <v>12967</v>
      </c>
      <c r="D18" s="33">
        <v>12257</v>
      </c>
      <c r="E18" s="33">
        <v>11862</v>
      </c>
      <c r="F18" s="33">
        <v>11664</v>
      </c>
      <c r="G18" s="33">
        <v>11898</v>
      </c>
      <c r="H18" s="33">
        <v>12659</v>
      </c>
      <c r="I18" s="33">
        <v>13455</v>
      </c>
      <c r="J18" s="33">
        <v>14698</v>
      </c>
      <c r="K18" s="33">
        <v>15969</v>
      </c>
      <c r="L18" s="33">
        <v>16967</v>
      </c>
      <c r="M18" s="33">
        <v>17970</v>
      </c>
      <c r="N18" s="33">
        <v>18923</v>
      </c>
      <c r="O18" s="33">
        <v>18635</v>
      </c>
      <c r="P18" s="33">
        <v>18631</v>
      </c>
      <c r="Q18" s="33">
        <v>18918</v>
      </c>
      <c r="R18" s="33">
        <v>18952</v>
      </c>
      <c r="S18" s="33">
        <v>18758</v>
      </c>
      <c r="T18" s="33">
        <v>18532</v>
      </c>
      <c r="U18" s="33">
        <v>20215</v>
      </c>
      <c r="V18" s="33">
        <v>21170</v>
      </c>
      <c r="W18" s="33">
        <v>20342</v>
      </c>
      <c r="X18" s="33">
        <v>18853</v>
      </c>
      <c r="Y18" s="33">
        <v>16571</v>
      </c>
      <c r="Z18" s="34">
        <v>14458</v>
      </c>
      <c r="AA18" s="35">
        <f t="shared" si="0"/>
        <v>395324</v>
      </c>
      <c r="AB18" s="19">
        <v>19</v>
      </c>
      <c r="AC18" s="100">
        <f>+AA18*AB18+AA19*AB19+AA20*AB20</f>
        <v>12073036</v>
      </c>
    </row>
    <row r="19" spans="1:30" ht="15.75" thickBot="1" x14ac:dyDescent="0.3">
      <c r="A19" s="99"/>
      <c r="B19" s="20" t="s">
        <v>4</v>
      </c>
      <c r="C19" s="36">
        <v>13447</v>
      </c>
      <c r="D19" s="36">
        <v>12669</v>
      </c>
      <c r="E19" s="36">
        <v>12200</v>
      </c>
      <c r="F19" s="36">
        <v>11923</v>
      </c>
      <c r="G19" s="36">
        <v>11971</v>
      </c>
      <c r="H19" s="36">
        <v>12167</v>
      </c>
      <c r="I19" s="36">
        <v>12804</v>
      </c>
      <c r="J19" s="36">
        <v>14310</v>
      </c>
      <c r="K19" s="36">
        <v>15881</v>
      </c>
      <c r="L19" s="36">
        <v>17095</v>
      </c>
      <c r="M19" s="36">
        <v>17926</v>
      </c>
      <c r="N19" s="36">
        <v>18685</v>
      </c>
      <c r="O19" s="36">
        <v>18688</v>
      </c>
      <c r="P19" s="36">
        <v>18391</v>
      </c>
      <c r="Q19" s="36">
        <v>18088</v>
      </c>
      <c r="R19" s="36">
        <v>17905</v>
      </c>
      <c r="S19" s="36">
        <v>17772</v>
      </c>
      <c r="T19" s="36">
        <v>17936</v>
      </c>
      <c r="U19" s="36">
        <v>19929</v>
      </c>
      <c r="V19" s="36">
        <v>20738</v>
      </c>
      <c r="W19" s="36">
        <v>19916</v>
      </c>
      <c r="X19" s="36">
        <v>18656</v>
      </c>
      <c r="Y19" s="36">
        <v>16903</v>
      </c>
      <c r="Z19" s="37">
        <v>15156</v>
      </c>
      <c r="AA19" s="38">
        <f t="shared" si="0"/>
        <v>391156</v>
      </c>
      <c r="AB19" s="21">
        <v>5</v>
      </c>
      <c r="AC19" s="101"/>
      <c r="AD19" s="47"/>
    </row>
    <row r="20" spans="1:30" ht="15" x14ac:dyDescent="0.25">
      <c r="A20" s="99"/>
      <c r="B20" s="22" t="s">
        <v>3</v>
      </c>
      <c r="C20" s="39">
        <v>13682</v>
      </c>
      <c r="D20" s="39">
        <v>12832</v>
      </c>
      <c r="E20" s="39">
        <v>12304</v>
      </c>
      <c r="F20" s="39">
        <v>11953</v>
      </c>
      <c r="G20" s="39">
        <v>11845</v>
      </c>
      <c r="H20" s="39">
        <v>11711</v>
      </c>
      <c r="I20" s="39">
        <v>11952</v>
      </c>
      <c r="J20" s="39">
        <v>13097</v>
      </c>
      <c r="K20" s="39">
        <v>14371</v>
      </c>
      <c r="L20" s="39">
        <v>15502</v>
      </c>
      <c r="M20" s="39">
        <v>16275</v>
      </c>
      <c r="N20" s="39">
        <v>17083</v>
      </c>
      <c r="O20" s="39">
        <v>17437</v>
      </c>
      <c r="P20" s="39">
        <v>17366</v>
      </c>
      <c r="Q20" s="39">
        <v>16945</v>
      </c>
      <c r="R20" s="39">
        <v>17418</v>
      </c>
      <c r="S20" s="39">
        <v>16649</v>
      </c>
      <c r="T20" s="39">
        <v>16832</v>
      </c>
      <c r="U20" s="39">
        <v>18856</v>
      </c>
      <c r="V20" s="39">
        <v>20033</v>
      </c>
      <c r="W20" s="39">
        <v>19401</v>
      </c>
      <c r="X20" s="39">
        <v>18129</v>
      </c>
      <c r="Y20" s="39">
        <v>16245</v>
      </c>
      <c r="Z20" s="40">
        <v>14382</v>
      </c>
      <c r="AA20" s="41">
        <f t="shared" si="0"/>
        <v>372300</v>
      </c>
      <c r="AB20" s="23">
        <v>7</v>
      </c>
      <c r="AC20" s="102"/>
      <c r="AD20" s="48"/>
    </row>
    <row r="21" spans="1:30" ht="15.75" thickBot="1" x14ac:dyDescent="0.3">
      <c r="A21" s="99">
        <v>46174</v>
      </c>
      <c r="B21" s="18" t="s">
        <v>5</v>
      </c>
      <c r="C21" s="33">
        <v>12814</v>
      </c>
      <c r="D21" s="33">
        <v>12089</v>
      </c>
      <c r="E21" s="33">
        <v>11727</v>
      </c>
      <c r="F21" s="33">
        <v>11532</v>
      </c>
      <c r="G21" s="33">
        <v>11747</v>
      </c>
      <c r="H21" s="33">
        <v>12401</v>
      </c>
      <c r="I21" s="33">
        <v>13262</v>
      </c>
      <c r="J21" s="33">
        <v>14574</v>
      </c>
      <c r="K21" s="33">
        <v>15900</v>
      </c>
      <c r="L21" s="33">
        <v>16888</v>
      </c>
      <c r="M21" s="33">
        <v>17921</v>
      </c>
      <c r="N21" s="33">
        <v>18885</v>
      </c>
      <c r="O21" s="33">
        <v>18574</v>
      </c>
      <c r="P21" s="33">
        <v>18553</v>
      </c>
      <c r="Q21" s="33">
        <v>18908</v>
      </c>
      <c r="R21" s="33">
        <v>18928</v>
      </c>
      <c r="S21" s="33">
        <v>18735</v>
      </c>
      <c r="T21" s="33">
        <v>18445</v>
      </c>
      <c r="U21" s="33">
        <v>19787</v>
      </c>
      <c r="V21" s="33">
        <v>21040</v>
      </c>
      <c r="W21" s="33">
        <v>20255</v>
      </c>
      <c r="X21" s="33">
        <v>18780</v>
      </c>
      <c r="Y21" s="33">
        <v>16464</v>
      </c>
      <c r="Z21" s="34">
        <v>14318</v>
      </c>
      <c r="AA21" s="35">
        <f t="shared" si="0"/>
        <v>392527</v>
      </c>
      <c r="AB21" s="19">
        <v>19</v>
      </c>
      <c r="AC21" s="100">
        <f>+AA21*AB21+AA22*AB22+AA23*AB23</f>
        <v>11688903</v>
      </c>
    </row>
    <row r="22" spans="1:30" ht="15.75" thickBot="1" x14ac:dyDescent="0.3">
      <c r="A22" s="99"/>
      <c r="B22" s="20" t="s">
        <v>4</v>
      </c>
      <c r="C22" s="36">
        <v>13433</v>
      </c>
      <c r="D22" s="36">
        <v>12597</v>
      </c>
      <c r="E22" s="36">
        <v>12118</v>
      </c>
      <c r="F22" s="36">
        <v>11847</v>
      </c>
      <c r="G22" s="36">
        <v>11871</v>
      </c>
      <c r="H22" s="36">
        <v>12063</v>
      </c>
      <c r="I22" s="36">
        <v>12693</v>
      </c>
      <c r="J22" s="36">
        <v>14182</v>
      </c>
      <c r="K22" s="36">
        <v>15862</v>
      </c>
      <c r="L22" s="36">
        <v>17016</v>
      </c>
      <c r="M22" s="36">
        <v>17916</v>
      </c>
      <c r="N22" s="36">
        <v>18697</v>
      </c>
      <c r="O22" s="36">
        <v>18748</v>
      </c>
      <c r="P22" s="36">
        <v>18556</v>
      </c>
      <c r="Q22" s="36">
        <v>18358</v>
      </c>
      <c r="R22" s="36">
        <v>18324</v>
      </c>
      <c r="S22" s="36">
        <v>18187</v>
      </c>
      <c r="T22" s="36">
        <v>18323</v>
      </c>
      <c r="U22" s="36">
        <v>20034</v>
      </c>
      <c r="V22" s="36">
        <v>21132</v>
      </c>
      <c r="W22" s="36">
        <v>20265</v>
      </c>
      <c r="X22" s="36">
        <v>19028</v>
      </c>
      <c r="Y22" s="36">
        <v>17195</v>
      </c>
      <c r="Z22" s="37">
        <v>15331</v>
      </c>
      <c r="AA22" s="38">
        <f t="shared" si="0"/>
        <v>393776</v>
      </c>
      <c r="AB22" s="21">
        <v>4</v>
      </c>
      <c r="AC22" s="101"/>
      <c r="AD22" s="47"/>
    </row>
    <row r="23" spans="1:30" ht="15" x14ac:dyDescent="0.25">
      <c r="A23" s="99"/>
      <c r="B23" s="22" t="s">
        <v>3</v>
      </c>
      <c r="C23" s="39">
        <v>13980</v>
      </c>
      <c r="D23" s="39">
        <v>13089</v>
      </c>
      <c r="E23" s="39">
        <v>12572</v>
      </c>
      <c r="F23" s="39">
        <v>12219</v>
      </c>
      <c r="G23" s="39">
        <v>12136</v>
      </c>
      <c r="H23" s="39">
        <v>12122</v>
      </c>
      <c r="I23" s="39">
        <v>12283</v>
      </c>
      <c r="J23" s="39">
        <v>13477</v>
      </c>
      <c r="K23" s="39">
        <v>14803</v>
      </c>
      <c r="L23" s="39">
        <v>15827</v>
      </c>
      <c r="M23" s="39">
        <v>16670</v>
      </c>
      <c r="N23" s="39">
        <v>17485</v>
      </c>
      <c r="O23" s="39">
        <v>17775</v>
      </c>
      <c r="P23" s="39">
        <v>17652</v>
      </c>
      <c r="Q23" s="39">
        <v>17311</v>
      </c>
      <c r="R23" s="39">
        <v>17150</v>
      </c>
      <c r="S23" s="39">
        <v>17062</v>
      </c>
      <c r="T23" s="39">
        <v>17202</v>
      </c>
      <c r="U23" s="39">
        <v>18937</v>
      </c>
      <c r="V23" s="39">
        <v>20329</v>
      </c>
      <c r="W23" s="39">
        <v>19730</v>
      </c>
      <c r="X23" s="39">
        <v>18443</v>
      </c>
      <c r="Y23" s="39">
        <v>16508</v>
      </c>
      <c r="Z23" s="40">
        <v>14636</v>
      </c>
      <c r="AA23" s="41">
        <f t="shared" si="0"/>
        <v>379398</v>
      </c>
      <c r="AB23" s="23">
        <v>7</v>
      </c>
      <c r="AC23" s="102"/>
      <c r="AD23" s="48"/>
    </row>
    <row r="24" spans="1:30" ht="15.75" thickBot="1" x14ac:dyDescent="0.3">
      <c r="A24" s="99">
        <v>46204</v>
      </c>
      <c r="B24" s="18" t="s">
        <v>5</v>
      </c>
      <c r="C24" s="33">
        <v>13416</v>
      </c>
      <c r="D24" s="33">
        <v>12653</v>
      </c>
      <c r="E24" s="33">
        <v>12213</v>
      </c>
      <c r="F24" s="33">
        <v>11973</v>
      </c>
      <c r="G24" s="33">
        <v>12177</v>
      </c>
      <c r="H24" s="33">
        <v>12828</v>
      </c>
      <c r="I24" s="33">
        <v>13527</v>
      </c>
      <c r="J24" s="33">
        <v>14992</v>
      </c>
      <c r="K24" s="33">
        <v>16415</v>
      </c>
      <c r="L24" s="33">
        <v>17531</v>
      </c>
      <c r="M24" s="33">
        <v>18611</v>
      </c>
      <c r="N24" s="33">
        <v>19569</v>
      </c>
      <c r="O24" s="33">
        <v>19230</v>
      </c>
      <c r="P24" s="33">
        <v>19271</v>
      </c>
      <c r="Q24" s="33">
        <v>19625</v>
      </c>
      <c r="R24" s="33">
        <v>19664</v>
      </c>
      <c r="S24" s="33">
        <v>19386</v>
      </c>
      <c r="T24" s="33">
        <v>18901</v>
      </c>
      <c r="U24" s="33">
        <v>20011</v>
      </c>
      <c r="V24" s="33">
        <v>21499</v>
      </c>
      <c r="W24" s="33">
        <v>20804</v>
      </c>
      <c r="X24" s="33">
        <v>19402</v>
      </c>
      <c r="Y24" s="33">
        <v>17089</v>
      </c>
      <c r="Z24" s="34">
        <v>14960</v>
      </c>
      <c r="AA24" s="35">
        <f t="shared" si="0"/>
        <v>405747</v>
      </c>
      <c r="AB24" s="19">
        <v>22</v>
      </c>
      <c r="AC24" s="100">
        <f>+AA24*AB24+AA25*AB25+AA26*AB26</f>
        <v>12412726</v>
      </c>
    </row>
    <row r="25" spans="1:30" ht="15.75" thickBot="1" x14ac:dyDescent="0.3">
      <c r="A25" s="99"/>
      <c r="B25" s="20" t="s">
        <v>4</v>
      </c>
      <c r="C25" s="36">
        <v>13446</v>
      </c>
      <c r="D25" s="36">
        <v>12570</v>
      </c>
      <c r="E25" s="36">
        <v>12124</v>
      </c>
      <c r="F25" s="36">
        <v>11825</v>
      </c>
      <c r="G25" s="36">
        <v>11854</v>
      </c>
      <c r="H25" s="36">
        <v>12103</v>
      </c>
      <c r="I25" s="36">
        <v>12705</v>
      </c>
      <c r="J25" s="36">
        <v>14478</v>
      </c>
      <c r="K25" s="36">
        <v>16166</v>
      </c>
      <c r="L25" s="36">
        <v>17322</v>
      </c>
      <c r="M25" s="36">
        <v>18230</v>
      </c>
      <c r="N25" s="36">
        <v>18998</v>
      </c>
      <c r="O25" s="36">
        <v>18963</v>
      </c>
      <c r="P25" s="36">
        <v>18666</v>
      </c>
      <c r="Q25" s="36">
        <v>18395</v>
      </c>
      <c r="R25" s="36">
        <v>18255</v>
      </c>
      <c r="S25" s="36">
        <v>18093</v>
      </c>
      <c r="T25" s="36">
        <v>18147</v>
      </c>
      <c r="U25" s="36">
        <v>19503</v>
      </c>
      <c r="V25" s="36">
        <v>20936</v>
      </c>
      <c r="W25" s="36">
        <v>20137</v>
      </c>
      <c r="X25" s="36">
        <v>18993</v>
      </c>
      <c r="Y25" s="36">
        <v>17201</v>
      </c>
      <c r="Z25" s="37">
        <v>15428</v>
      </c>
      <c r="AA25" s="38">
        <f t="shared" si="0"/>
        <v>394538</v>
      </c>
      <c r="AB25" s="21">
        <v>4</v>
      </c>
      <c r="AC25" s="101"/>
      <c r="AD25" s="47"/>
    </row>
    <row r="26" spans="1:30" ht="15" x14ac:dyDescent="0.25">
      <c r="A26" s="99"/>
      <c r="B26" s="22" t="s">
        <v>3</v>
      </c>
      <c r="C26" s="39">
        <v>14269</v>
      </c>
      <c r="D26" s="39">
        <v>13393</v>
      </c>
      <c r="E26" s="39">
        <v>12815</v>
      </c>
      <c r="F26" s="39">
        <v>12437</v>
      </c>
      <c r="G26" s="39">
        <v>12319</v>
      </c>
      <c r="H26" s="39">
        <v>12323</v>
      </c>
      <c r="I26" s="39">
        <v>12404</v>
      </c>
      <c r="J26" s="39">
        <v>13531</v>
      </c>
      <c r="K26" s="39">
        <v>14884</v>
      </c>
      <c r="L26" s="39">
        <v>16006</v>
      </c>
      <c r="M26" s="39">
        <v>16822</v>
      </c>
      <c r="N26" s="39">
        <v>17580</v>
      </c>
      <c r="O26" s="39">
        <v>17955</v>
      </c>
      <c r="P26" s="39">
        <v>17758</v>
      </c>
      <c r="Q26" s="39">
        <v>17365</v>
      </c>
      <c r="R26" s="39">
        <v>17157</v>
      </c>
      <c r="S26" s="39">
        <v>16996</v>
      </c>
      <c r="T26" s="39">
        <v>17070</v>
      </c>
      <c r="U26" s="39">
        <v>18507</v>
      </c>
      <c r="V26" s="39">
        <v>20274</v>
      </c>
      <c r="W26" s="39">
        <v>19757</v>
      </c>
      <c r="X26" s="39">
        <v>18568</v>
      </c>
      <c r="Y26" s="39">
        <v>16636</v>
      </c>
      <c r="Z26" s="40">
        <v>14802</v>
      </c>
      <c r="AA26" s="41">
        <f t="shared" si="0"/>
        <v>381628</v>
      </c>
      <c r="AB26" s="23">
        <v>5</v>
      </c>
      <c r="AC26" s="102"/>
      <c r="AD26" s="48"/>
    </row>
    <row r="27" spans="1:30" ht="15.75" thickBot="1" x14ac:dyDescent="0.3">
      <c r="A27" s="99">
        <v>46235</v>
      </c>
      <c r="B27" s="18" t="s">
        <v>5</v>
      </c>
      <c r="C27" s="33">
        <v>13574</v>
      </c>
      <c r="D27" s="33">
        <v>12851</v>
      </c>
      <c r="E27" s="33">
        <v>12451</v>
      </c>
      <c r="F27" s="33">
        <v>12215</v>
      </c>
      <c r="G27" s="33">
        <v>12429</v>
      </c>
      <c r="H27" s="33">
        <v>13291</v>
      </c>
      <c r="I27" s="33">
        <v>14058</v>
      </c>
      <c r="J27" s="33">
        <v>15362</v>
      </c>
      <c r="K27" s="33">
        <v>16727</v>
      </c>
      <c r="L27" s="33">
        <v>17771</v>
      </c>
      <c r="M27" s="33">
        <v>18878</v>
      </c>
      <c r="N27" s="33">
        <v>19848</v>
      </c>
      <c r="O27" s="33">
        <v>19506</v>
      </c>
      <c r="P27" s="33">
        <v>19661</v>
      </c>
      <c r="Q27" s="33">
        <v>20060</v>
      </c>
      <c r="R27" s="33">
        <v>20092</v>
      </c>
      <c r="S27" s="33">
        <v>19802</v>
      </c>
      <c r="T27" s="33">
        <v>19302</v>
      </c>
      <c r="U27" s="33">
        <v>20652</v>
      </c>
      <c r="V27" s="33">
        <v>21903</v>
      </c>
      <c r="W27" s="33">
        <v>21139</v>
      </c>
      <c r="X27" s="33">
        <v>19661</v>
      </c>
      <c r="Y27" s="33">
        <v>17319</v>
      </c>
      <c r="Z27" s="34">
        <v>15205</v>
      </c>
      <c r="AA27" s="35">
        <f t="shared" si="0"/>
        <v>413757</v>
      </c>
      <c r="AB27" s="19">
        <v>19</v>
      </c>
      <c r="AC27" s="100">
        <f>+AA27*AB27+AA28*AB28+AA29*AB29</f>
        <v>12586725</v>
      </c>
    </row>
    <row r="28" spans="1:30" ht="15.75" thickBot="1" x14ac:dyDescent="0.3">
      <c r="A28" s="99"/>
      <c r="B28" s="20" t="s">
        <v>4</v>
      </c>
      <c r="C28" s="36">
        <v>14129</v>
      </c>
      <c r="D28" s="36">
        <v>13344</v>
      </c>
      <c r="E28" s="36">
        <v>12854</v>
      </c>
      <c r="F28" s="36">
        <v>12486</v>
      </c>
      <c r="G28" s="36">
        <v>12459</v>
      </c>
      <c r="H28" s="36">
        <v>12805</v>
      </c>
      <c r="I28" s="36">
        <v>13215</v>
      </c>
      <c r="J28" s="36">
        <v>14888</v>
      </c>
      <c r="K28" s="36">
        <v>16579</v>
      </c>
      <c r="L28" s="36">
        <v>17738</v>
      </c>
      <c r="M28" s="36">
        <v>18754</v>
      </c>
      <c r="N28" s="36">
        <v>19523</v>
      </c>
      <c r="O28" s="36">
        <v>19529</v>
      </c>
      <c r="P28" s="36">
        <v>19319</v>
      </c>
      <c r="Q28" s="36">
        <v>19117</v>
      </c>
      <c r="R28" s="36">
        <v>19000</v>
      </c>
      <c r="S28" s="36">
        <v>18746</v>
      </c>
      <c r="T28" s="36">
        <v>18710</v>
      </c>
      <c r="U28" s="36">
        <v>20383</v>
      </c>
      <c r="V28" s="36">
        <v>21488</v>
      </c>
      <c r="W28" s="36">
        <v>20674</v>
      </c>
      <c r="X28" s="36">
        <v>19493</v>
      </c>
      <c r="Y28" s="36">
        <v>17774</v>
      </c>
      <c r="Z28" s="37">
        <v>15923</v>
      </c>
      <c r="AA28" s="38">
        <f t="shared" si="0"/>
        <v>408930</v>
      </c>
      <c r="AB28" s="21">
        <v>5</v>
      </c>
      <c r="AC28" s="101"/>
      <c r="AD28" s="47"/>
    </row>
    <row r="29" spans="1:30" ht="15" x14ac:dyDescent="0.25">
      <c r="A29" s="99"/>
      <c r="B29" s="22" t="s">
        <v>3</v>
      </c>
      <c r="C29" s="39">
        <v>14393</v>
      </c>
      <c r="D29" s="39">
        <v>13500</v>
      </c>
      <c r="E29" s="39">
        <v>12912</v>
      </c>
      <c r="F29" s="39">
        <v>12537</v>
      </c>
      <c r="G29" s="39">
        <v>12415</v>
      </c>
      <c r="H29" s="39">
        <v>12457</v>
      </c>
      <c r="I29" s="39">
        <v>12455</v>
      </c>
      <c r="J29" s="39">
        <v>13628</v>
      </c>
      <c r="K29" s="39">
        <v>14953</v>
      </c>
      <c r="L29" s="39">
        <v>16046</v>
      </c>
      <c r="M29" s="39">
        <v>16819</v>
      </c>
      <c r="N29" s="39">
        <v>17621</v>
      </c>
      <c r="O29" s="39">
        <v>18034</v>
      </c>
      <c r="P29" s="39">
        <v>17873</v>
      </c>
      <c r="Q29" s="39">
        <v>17434</v>
      </c>
      <c r="R29" s="39">
        <v>17140</v>
      </c>
      <c r="S29" s="39">
        <v>17029</v>
      </c>
      <c r="T29" s="39">
        <v>17077</v>
      </c>
      <c r="U29" s="39">
        <v>18812</v>
      </c>
      <c r="V29" s="39">
        <v>20319</v>
      </c>
      <c r="W29" s="39">
        <v>19716</v>
      </c>
      <c r="X29" s="39">
        <v>18478</v>
      </c>
      <c r="Y29" s="39">
        <v>16592</v>
      </c>
      <c r="Z29" s="40">
        <v>14716</v>
      </c>
      <c r="AA29" s="41">
        <f t="shared" si="0"/>
        <v>382956</v>
      </c>
      <c r="AB29" s="23">
        <v>7</v>
      </c>
      <c r="AC29" s="102"/>
      <c r="AD29" s="49"/>
    </row>
    <row r="30" spans="1:30" ht="15.75" thickBot="1" x14ac:dyDescent="0.3">
      <c r="A30" s="99">
        <v>46266</v>
      </c>
      <c r="B30" s="18" t="s">
        <v>5</v>
      </c>
      <c r="C30" s="33">
        <v>13817</v>
      </c>
      <c r="D30" s="33">
        <v>13056</v>
      </c>
      <c r="E30" s="33">
        <v>12580</v>
      </c>
      <c r="F30" s="33">
        <v>12372</v>
      </c>
      <c r="G30" s="33">
        <v>12573</v>
      </c>
      <c r="H30" s="33">
        <v>13397</v>
      </c>
      <c r="I30" s="33">
        <v>14191</v>
      </c>
      <c r="J30" s="33">
        <v>15537</v>
      </c>
      <c r="K30" s="33">
        <v>16889</v>
      </c>
      <c r="L30" s="33">
        <v>18013</v>
      </c>
      <c r="M30" s="33">
        <v>19129</v>
      </c>
      <c r="N30" s="33">
        <v>20151</v>
      </c>
      <c r="O30" s="33">
        <v>19800</v>
      </c>
      <c r="P30" s="33">
        <v>19944</v>
      </c>
      <c r="Q30" s="33">
        <v>20410</v>
      </c>
      <c r="R30" s="33">
        <v>20526</v>
      </c>
      <c r="S30" s="33">
        <v>20232</v>
      </c>
      <c r="T30" s="33">
        <v>19817</v>
      </c>
      <c r="U30" s="33">
        <v>21671</v>
      </c>
      <c r="V30" s="33">
        <v>22172</v>
      </c>
      <c r="W30" s="33">
        <v>21339</v>
      </c>
      <c r="X30" s="33">
        <v>19835</v>
      </c>
      <c r="Y30" s="33">
        <v>17444</v>
      </c>
      <c r="Z30" s="34">
        <v>15335</v>
      </c>
      <c r="AA30" s="35">
        <f t="shared" si="0"/>
        <v>420230</v>
      </c>
      <c r="AB30" s="19">
        <v>22</v>
      </c>
      <c r="AC30" s="100">
        <f>+AA30*AB30+AA31*AB31+AA32*AB32</f>
        <v>12409140</v>
      </c>
    </row>
    <row r="31" spans="1:30" ht="15.75" thickBot="1" x14ac:dyDescent="0.3">
      <c r="A31" s="99"/>
      <c r="B31" s="20" t="s">
        <v>4</v>
      </c>
      <c r="C31" s="36">
        <v>14186</v>
      </c>
      <c r="D31" s="36">
        <v>13280</v>
      </c>
      <c r="E31" s="36">
        <v>12790</v>
      </c>
      <c r="F31" s="36">
        <v>12521</v>
      </c>
      <c r="G31" s="36">
        <v>12532</v>
      </c>
      <c r="H31" s="36">
        <v>12648</v>
      </c>
      <c r="I31" s="36">
        <v>13282</v>
      </c>
      <c r="J31" s="36">
        <v>15085</v>
      </c>
      <c r="K31" s="36">
        <v>16803</v>
      </c>
      <c r="L31" s="36">
        <v>18030</v>
      </c>
      <c r="M31" s="36">
        <v>19000</v>
      </c>
      <c r="N31" s="36">
        <v>19777</v>
      </c>
      <c r="O31" s="36">
        <v>19728</v>
      </c>
      <c r="P31" s="36">
        <v>19476</v>
      </c>
      <c r="Q31" s="36">
        <v>19243</v>
      </c>
      <c r="R31" s="36">
        <v>19073</v>
      </c>
      <c r="S31" s="36">
        <v>18909</v>
      </c>
      <c r="T31" s="36">
        <v>19050</v>
      </c>
      <c r="U31" s="36">
        <v>21084</v>
      </c>
      <c r="V31" s="36">
        <v>21539</v>
      </c>
      <c r="W31" s="36">
        <v>20594</v>
      </c>
      <c r="X31" s="36">
        <v>19386</v>
      </c>
      <c r="Y31" s="36">
        <v>17621</v>
      </c>
      <c r="Z31" s="37">
        <v>15819</v>
      </c>
      <c r="AA31" s="38">
        <f t="shared" si="0"/>
        <v>411456</v>
      </c>
      <c r="AB31" s="21">
        <v>4</v>
      </c>
      <c r="AC31" s="101"/>
      <c r="AD31" s="47"/>
    </row>
    <row r="32" spans="1:30" ht="15" x14ac:dyDescent="0.25">
      <c r="A32" s="99"/>
      <c r="B32" s="22" t="s">
        <v>3</v>
      </c>
      <c r="C32" s="39">
        <v>14443</v>
      </c>
      <c r="D32" s="39">
        <v>13576</v>
      </c>
      <c r="E32" s="39">
        <v>13007</v>
      </c>
      <c r="F32" s="39">
        <v>12566</v>
      </c>
      <c r="G32" s="39">
        <v>12367</v>
      </c>
      <c r="H32" s="39">
        <v>12216</v>
      </c>
      <c r="I32" s="39">
        <v>12309</v>
      </c>
      <c r="J32" s="39">
        <v>13461</v>
      </c>
      <c r="K32" s="39">
        <v>14760</v>
      </c>
      <c r="L32" s="39">
        <v>15825</v>
      </c>
      <c r="M32" s="39">
        <v>16567</v>
      </c>
      <c r="N32" s="39">
        <v>17276</v>
      </c>
      <c r="O32" s="39">
        <v>17687</v>
      </c>
      <c r="P32" s="39">
        <v>17561</v>
      </c>
      <c r="Q32" s="39">
        <v>17191</v>
      </c>
      <c r="R32" s="39">
        <v>17011</v>
      </c>
      <c r="S32" s="39">
        <v>16894</v>
      </c>
      <c r="T32" s="39">
        <v>17029</v>
      </c>
      <c r="U32" s="39">
        <v>19249</v>
      </c>
      <c r="V32" s="39">
        <v>20005</v>
      </c>
      <c r="W32" s="39">
        <v>19451</v>
      </c>
      <c r="X32" s="39">
        <v>18239</v>
      </c>
      <c r="Y32" s="39">
        <v>16345</v>
      </c>
      <c r="Z32" s="40">
        <v>14529</v>
      </c>
      <c r="AA32" s="41">
        <f t="shared" si="0"/>
        <v>379564</v>
      </c>
      <c r="AB32" s="23">
        <v>4</v>
      </c>
      <c r="AC32" s="102"/>
      <c r="AD32" s="48"/>
    </row>
    <row r="33" spans="1:30" ht="15.75" thickBot="1" x14ac:dyDescent="0.3">
      <c r="A33" s="99">
        <v>46296</v>
      </c>
      <c r="B33" s="18" t="s">
        <v>5</v>
      </c>
      <c r="C33" s="33">
        <v>13093</v>
      </c>
      <c r="D33" s="33">
        <v>12391</v>
      </c>
      <c r="E33" s="33">
        <v>12001</v>
      </c>
      <c r="F33" s="33">
        <v>11792</v>
      </c>
      <c r="G33" s="33">
        <v>12024</v>
      </c>
      <c r="H33" s="33">
        <v>12687</v>
      </c>
      <c r="I33" s="33">
        <v>13533</v>
      </c>
      <c r="J33" s="33">
        <v>14800</v>
      </c>
      <c r="K33" s="33">
        <v>16072</v>
      </c>
      <c r="L33" s="33">
        <v>17076</v>
      </c>
      <c r="M33" s="33">
        <v>18116</v>
      </c>
      <c r="N33" s="33">
        <v>19080</v>
      </c>
      <c r="O33" s="33">
        <v>18745</v>
      </c>
      <c r="P33" s="33">
        <v>18848</v>
      </c>
      <c r="Q33" s="33">
        <v>19280</v>
      </c>
      <c r="R33" s="33">
        <v>19372</v>
      </c>
      <c r="S33" s="33">
        <v>19158</v>
      </c>
      <c r="T33" s="33">
        <v>19214</v>
      </c>
      <c r="U33" s="33">
        <v>21339</v>
      </c>
      <c r="V33" s="33">
        <v>21230</v>
      </c>
      <c r="W33" s="33">
        <v>20298</v>
      </c>
      <c r="X33" s="33">
        <v>18776</v>
      </c>
      <c r="Y33" s="33">
        <v>16542</v>
      </c>
      <c r="Z33" s="34">
        <v>14555</v>
      </c>
      <c r="AA33" s="35">
        <f t="shared" si="0"/>
        <v>400022</v>
      </c>
      <c r="AB33" s="19">
        <v>21</v>
      </c>
      <c r="AC33" s="100">
        <f>+AA33*AB33+AA34*AB34+AA35*AB35</f>
        <v>12283132</v>
      </c>
    </row>
    <row r="34" spans="1:30" ht="15.75" thickBot="1" x14ac:dyDescent="0.3">
      <c r="A34" s="99"/>
      <c r="B34" s="20" t="s">
        <v>4</v>
      </c>
      <c r="C34" s="36">
        <v>13784</v>
      </c>
      <c r="D34" s="36">
        <v>12998</v>
      </c>
      <c r="E34" s="36">
        <v>12521</v>
      </c>
      <c r="F34" s="36">
        <v>12204</v>
      </c>
      <c r="G34" s="36">
        <v>12268</v>
      </c>
      <c r="H34" s="36">
        <v>12458</v>
      </c>
      <c r="I34" s="36">
        <v>13162</v>
      </c>
      <c r="J34" s="36">
        <v>14783</v>
      </c>
      <c r="K34" s="36">
        <v>16398</v>
      </c>
      <c r="L34" s="36">
        <v>17520</v>
      </c>
      <c r="M34" s="36">
        <v>18475</v>
      </c>
      <c r="N34" s="36">
        <v>19275</v>
      </c>
      <c r="O34" s="36">
        <v>19307</v>
      </c>
      <c r="P34" s="36">
        <v>19088</v>
      </c>
      <c r="Q34" s="36">
        <v>18856</v>
      </c>
      <c r="R34" s="36">
        <v>18712</v>
      </c>
      <c r="S34" s="36">
        <v>18544</v>
      </c>
      <c r="T34" s="36">
        <v>19128</v>
      </c>
      <c r="U34" s="36">
        <v>21556</v>
      </c>
      <c r="V34" s="36">
        <v>21518</v>
      </c>
      <c r="W34" s="36">
        <v>20607</v>
      </c>
      <c r="X34" s="36">
        <v>19227</v>
      </c>
      <c r="Y34" s="36">
        <v>17525</v>
      </c>
      <c r="Z34" s="37">
        <v>15675</v>
      </c>
      <c r="AA34" s="38">
        <f t="shared" si="0"/>
        <v>405589</v>
      </c>
      <c r="AB34" s="21">
        <v>5</v>
      </c>
      <c r="AC34" s="101"/>
      <c r="AD34" s="47"/>
    </row>
    <row r="35" spans="1:30" ht="15" x14ac:dyDescent="0.25">
      <c r="A35" s="99"/>
      <c r="B35" s="22" t="s">
        <v>3</v>
      </c>
      <c r="C35" s="39">
        <v>13830</v>
      </c>
      <c r="D35" s="39">
        <v>12993</v>
      </c>
      <c r="E35" s="39">
        <v>12415</v>
      </c>
      <c r="F35" s="39">
        <v>12012</v>
      </c>
      <c r="G35" s="39">
        <v>11883</v>
      </c>
      <c r="H35" s="39">
        <v>11716</v>
      </c>
      <c r="I35" s="39">
        <v>11940</v>
      </c>
      <c r="J35" s="39">
        <v>13036</v>
      </c>
      <c r="K35" s="39">
        <v>14279</v>
      </c>
      <c r="L35" s="39">
        <v>15372</v>
      </c>
      <c r="M35" s="39">
        <v>16146</v>
      </c>
      <c r="N35" s="39">
        <v>16907</v>
      </c>
      <c r="O35" s="39">
        <v>17335</v>
      </c>
      <c r="P35" s="39">
        <v>17192</v>
      </c>
      <c r="Q35" s="39">
        <v>16866</v>
      </c>
      <c r="R35" s="39">
        <v>16700</v>
      </c>
      <c r="S35" s="39">
        <v>16605</v>
      </c>
      <c r="T35" s="39">
        <v>17117</v>
      </c>
      <c r="U35" s="39">
        <v>19563</v>
      </c>
      <c r="V35" s="39">
        <v>19763</v>
      </c>
      <c r="W35" s="39">
        <v>19129</v>
      </c>
      <c r="X35" s="39">
        <v>17880</v>
      </c>
      <c r="Y35" s="39">
        <v>16025</v>
      </c>
      <c r="Z35" s="40">
        <v>14241</v>
      </c>
      <c r="AA35" s="41">
        <f t="shared" si="0"/>
        <v>370945</v>
      </c>
      <c r="AB35" s="23">
        <v>5</v>
      </c>
      <c r="AC35" s="102"/>
      <c r="AD35" s="48"/>
    </row>
    <row r="36" spans="1:30" ht="15.75" thickBot="1" x14ac:dyDescent="0.3">
      <c r="A36" s="99">
        <v>46327</v>
      </c>
      <c r="B36" s="18" t="s">
        <v>5</v>
      </c>
      <c r="C36" s="33">
        <v>12851</v>
      </c>
      <c r="D36" s="33">
        <v>12151</v>
      </c>
      <c r="E36" s="33">
        <v>11763</v>
      </c>
      <c r="F36" s="33">
        <v>11581</v>
      </c>
      <c r="G36" s="33">
        <v>11850</v>
      </c>
      <c r="H36" s="33">
        <v>12607</v>
      </c>
      <c r="I36" s="33">
        <v>13507</v>
      </c>
      <c r="J36" s="33">
        <v>14794</v>
      </c>
      <c r="K36" s="33">
        <v>16043</v>
      </c>
      <c r="L36" s="33">
        <v>17009</v>
      </c>
      <c r="M36" s="33">
        <v>18044</v>
      </c>
      <c r="N36" s="33">
        <v>19035</v>
      </c>
      <c r="O36" s="33">
        <v>18646</v>
      </c>
      <c r="P36" s="33">
        <v>18657</v>
      </c>
      <c r="Q36" s="33">
        <v>19079</v>
      </c>
      <c r="R36" s="33">
        <v>19060</v>
      </c>
      <c r="S36" s="33">
        <v>18904</v>
      </c>
      <c r="T36" s="33">
        <v>19162</v>
      </c>
      <c r="U36" s="33">
        <v>21381</v>
      </c>
      <c r="V36" s="33">
        <v>21262</v>
      </c>
      <c r="W36" s="33">
        <v>20317</v>
      </c>
      <c r="X36" s="33">
        <v>18715</v>
      </c>
      <c r="Y36" s="33">
        <v>16414</v>
      </c>
      <c r="Z36" s="34">
        <v>14356</v>
      </c>
      <c r="AA36" s="35">
        <f t="shared" si="0"/>
        <v>397188</v>
      </c>
      <c r="AB36" s="19">
        <v>19</v>
      </c>
      <c r="AC36" s="100">
        <f>+AA36*AB36+AA37*AB37+AA38*AB38</f>
        <v>11629733</v>
      </c>
    </row>
    <row r="37" spans="1:30" ht="15.75" thickBot="1" x14ac:dyDescent="0.3">
      <c r="A37" s="99"/>
      <c r="B37" s="20" t="s">
        <v>4</v>
      </c>
      <c r="C37" s="36">
        <v>13197</v>
      </c>
      <c r="D37" s="36">
        <v>12452</v>
      </c>
      <c r="E37" s="36">
        <v>11998</v>
      </c>
      <c r="F37" s="36">
        <v>11707</v>
      </c>
      <c r="G37" s="36">
        <v>11758</v>
      </c>
      <c r="H37" s="36">
        <v>11905</v>
      </c>
      <c r="I37" s="36">
        <v>12554</v>
      </c>
      <c r="J37" s="36">
        <v>14047</v>
      </c>
      <c r="K37" s="36">
        <v>15625</v>
      </c>
      <c r="L37" s="36">
        <v>16726</v>
      </c>
      <c r="M37" s="36">
        <v>17606</v>
      </c>
      <c r="N37" s="36">
        <v>18416</v>
      </c>
      <c r="O37" s="36">
        <v>18340</v>
      </c>
      <c r="P37" s="36">
        <v>17999</v>
      </c>
      <c r="Q37" s="36">
        <v>17898</v>
      </c>
      <c r="R37" s="36">
        <v>17841</v>
      </c>
      <c r="S37" s="36">
        <v>17737</v>
      </c>
      <c r="T37" s="36">
        <v>18372</v>
      </c>
      <c r="U37" s="36">
        <v>20842</v>
      </c>
      <c r="V37" s="36">
        <v>20780</v>
      </c>
      <c r="W37" s="36">
        <v>19828</v>
      </c>
      <c r="X37" s="36">
        <v>18611</v>
      </c>
      <c r="Y37" s="36">
        <v>16810</v>
      </c>
      <c r="Z37" s="37">
        <v>14999</v>
      </c>
      <c r="AA37" s="38">
        <f t="shared" si="0"/>
        <v>388048</v>
      </c>
      <c r="AB37" s="21">
        <v>4</v>
      </c>
      <c r="AC37" s="101"/>
      <c r="AD37" s="47"/>
    </row>
    <row r="38" spans="1:30" ht="15" x14ac:dyDescent="0.25">
      <c r="A38" s="99"/>
      <c r="B38" s="22" t="s">
        <v>3</v>
      </c>
      <c r="C38" s="39">
        <v>13250</v>
      </c>
      <c r="D38" s="39">
        <v>12453</v>
      </c>
      <c r="E38" s="39">
        <v>11912</v>
      </c>
      <c r="F38" s="39">
        <v>11517</v>
      </c>
      <c r="G38" s="39">
        <v>11463</v>
      </c>
      <c r="H38" s="39">
        <v>11322</v>
      </c>
      <c r="I38" s="39">
        <v>11591</v>
      </c>
      <c r="J38" s="39">
        <v>12733</v>
      </c>
      <c r="K38" s="39">
        <v>13979</v>
      </c>
      <c r="L38" s="39">
        <v>15049</v>
      </c>
      <c r="M38" s="39">
        <v>15827</v>
      </c>
      <c r="N38" s="39">
        <v>16618</v>
      </c>
      <c r="O38" s="39">
        <v>17010</v>
      </c>
      <c r="P38" s="39">
        <v>16855</v>
      </c>
      <c r="Q38" s="39">
        <v>16481</v>
      </c>
      <c r="R38" s="39">
        <v>16216</v>
      </c>
      <c r="S38" s="39">
        <v>16140</v>
      </c>
      <c r="T38" s="39">
        <v>16716</v>
      </c>
      <c r="U38" s="39">
        <v>19206</v>
      </c>
      <c r="V38" s="39">
        <v>19437</v>
      </c>
      <c r="W38" s="39">
        <v>18797</v>
      </c>
      <c r="X38" s="39">
        <v>17529</v>
      </c>
      <c r="Y38" s="39">
        <v>15631</v>
      </c>
      <c r="Z38" s="40">
        <v>13835</v>
      </c>
      <c r="AA38" s="41">
        <f t="shared" si="0"/>
        <v>361567</v>
      </c>
      <c r="AB38" s="23">
        <v>7</v>
      </c>
      <c r="AC38" s="102"/>
      <c r="AD38" s="49"/>
    </row>
    <row r="39" spans="1:30" ht="15.75" thickBot="1" x14ac:dyDescent="0.3">
      <c r="A39" s="99">
        <v>46357</v>
      </c>
      <c r="B39" s="18" t="s">
        <v>5</v>
      </c>
      <c r="C39" s="33">
        <v>13768</v>
      </c>
      <c r="D39" s="33">
        <v>12935</v>
      </c>
      <c r="E39" s="33">
        <v>12454</v>
      </c>
      <c r="F39" s="33">
        <v>12207</v>
      </c>
      <c r="G39" s="33">
        <v>12377</v>
      </c>
      <c r="H39" s="33">
        <v>12920</v>
      </c>
      <c r="I39" s="33">
        <v>13524</v>
      </c>
      <c r="J39" s="33">
        <v>15115</v>
      </c>
      <c r="K39" s="33">
        <v>16601</v>
      </c>
      <c r="L39" s="33">
        <v>17700</v>
      </c>
      <c r="M39" s="33">
        <v>18702</v>
      </c>
      <c r="N39" s="33">
        <v>19718</v>
      </c>
      <c r="O39" s="33">
        <v>19524</v>
      </c>
      <c r="P39" s="33">
        <v>19509</v>
      </c>
      <c r="Q39" s="33">
        <v>19797</v>
      </c>
      <c r="R39" s="33">
        <v>19772</v>
      </c>
      <c r="S39" s="33">
        <v>19487</v>
      </c>
      <c r="T39" s="33">
        <v>19357</v>
      </c>
      <c r="U39" s="33">
        <v>21516</v>
      </c>
      <c r="V39" s="33">
        <v>21850</v>
      </c>
      <c r="W39" s="33">
        <v>21002</v>
      </c>
      <c r="X39" s="33">
        <v>19647</v>
      </c>
      <c r="Y39" s="33">
        <v>17568</v>
      </c>
      <c r="Z39" s="34">
        <v>15577</v>
      </c>
      <c r="AA39" s="35">
        <f t="shared" si="0"/>
        <v>412627</v>
      </c>
      <c r="AB39" s="19">
        <v>21</v>
      </c>
      <c r="AC39" s="100">
        <f>+AA39*AB39+AA40*AB40+AA41*AB41</f>
        <v>12526287</v>
      </c>
    </row>
    <row r="40" spans="1:30" ht="15.75" thickBot="1" x14ac:dyDescent="0.3">
      <c r="A40" s="99"/>
      <c r="B40" s="20" t="s">
        <v>4</v>
      </c>
      <c r="C40" s="36">
        <v>14009</v>
      </c>
      <c r="D40" s="36">
        <v>13163</v>
      </c>
      <c r="E40" s="36">
        <v>12679</v>
      </c>
      <c r="F40" s="36">
        <v>12359</v>
      </c>
      <c r="G40" s="36">
        <v>12377</v>
      </c>
      <c r="H40" s="36">
        <v>12685</v>
      </c>
      <c r="I40" s="36">
        <v>13058</v>
      </c>
      <c r="J40" s="36">
        <v>14557</v>
      </c>
      <c r="K40" s="36">
        <v>16087</v>
      </c>
      <c r="L40" s="36">
        <v>17153</v>
      </c>
      <c r="M40" s="36">
        <v>18010</v>
      </c>
      <c r="N40" s="36">
        <v>18724</v>
      </c>
      <c r="O40" s="36">
        <v>18724</v>
      </c>
      <c r="P40" s="36">
        <v>18456</v>
      </c>
      <c r="Q40" s="36">
        <v>18284</v>
      </c>
      <c r="R40" s="36">
        <v>18093</v>
      </c>
      <c r="S40" s="36">
        <v>17958</v>
      </c>
      <c r="T40" s="36">
        <v>18280</v>
      </c>
      <c r="U40" s="36">
        <v>20709</v>
      </c>
      <c r="V40" s="36">
        <v>20994</v>
      </c>
      <c r="W40" s="36">
        <v>20154</v>
      </c>
      <c r="X40" s="36">
        <v>18953</v>
      </c>
      <c r="Y40" s="36">
        <v>17239</v>
      </c>
      <c r="Z40" s="37">
        <v>15584</v>
      </c>
      <c r="AA40" s="38">
        <f t="shared" si="0"/>
        <v>398289</v>
      </c>
      <c r="AB40" s="21">
        <v>4</v>
      </c>
      <c r="AC40" s="101"/>
      <c r="AD40" s="47"/>
    </row>
    <row r="41" spans="1:30" ht="15" x14ac:dyDescent="0.25">
      <c r="A41" s="99"/>
      <c r="B41" s="22" t="s">
        <v>3</v>
      </c>
      <c r="C41" s="39">
        <v>14360</v>
      </c>
      <c r="D41" s="39">
        <v>13485</v>
      </c>
      <c r="E41" s="39">
        <v>12874</v>
      </c>
      <c r="F41" s="39">
        <v>12440</v>
      </c>
      <c r="G41" s="39">
        <v>12270</v>
      </c>
      <c r="H41" s="39">
        <v>12209</v>
      </c>
      <c r="I41" s="39">
        <v>12189</v>
      </c>
      <c r="J41" s="39">
        <v>13176</v>
      </c>
      <c r="K41" s="39">
        <v>14402</v>
      </c>
      <c r="L41" s="39">
        <v>15480</v>
      </c>
      <c r="M41" s="39">
        <v>16287</v>
      </c>
      <c r="N41" s="39">
        <v>17044</v>
      </c>
      <c r="O41" s="39">
        <v>17453</v>
      </c>
      <c r="P41" s="39">
        <v>17431</v>
      </c>
      <c r="Q41" s="39">
        <v>17155</v>
      </c>
      <c r="R41" s="39">
        <v>16981</v>
      </c>
      <c r="S41" s="39">
        <v>16880</v>
      </c>
      <c r="T41" s="39">
        <v>17200</v>
      </c>
      <c r="U41" s="39">
        <v>19609</v>
      </c>
      <c r="V41" s="39">
        <v>20098</v>
      </c>
      <c r="W41" s="39">
        <v>19411</v>
      </c>
      <c r="X41" s="39">
        <v>18237</v>
      </c>
      <c r="Y41" s="39">
        <v>16521</v>
      </c>
      <c r="Z41" s="40">
        <v>14802</v>
      </c>
      <c r="AA41" s="41">
        <f t="shared" si="0"/>
        <v>377994</v>
      </c>
      <c r="AB41" s="23">
        <v>6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492974</v>
      </c>
      <c r="D42" s="31">
        <f t="shared" si="1"/>
        <v>463679</v>
      </c>
      <c r="E42" s="31">
        <f t="shared" si="1"/>
        <v>446018</v>
      </c>
      <c r="F42" s="31">
        <f t="shared" si="1"/>
        <v>435098</v>
      </c>
      <c r="G42" s="31">
        <f t="shared" si="1"/>
        <v>436451</v>
      </c>
      <c r="H42" s="31">
        <f t="shared" si="1"/>
        <v>449132</v>
      </c>
      <c r="I42" s="31">
        <f t="shared" si="1"/>
        <v>466115</v>
      </c>
      <c r="J42" s="31">
        <f t="shared" si="1"/>
        <v>512371</v>
      </c>
      <c r="K42" s="31">
        <f t="shared" si="1"/>
        <v>563109</v>
      </c>
      <c r="L42" s="31">
        <f t="shared" si="1"/>
        <v>602215</v>
      </c>
      <c r="M42" s="31">
        <f t="shared" si="1"/>
        <v>635006</v>
      </c>
      <c r="N42" s="31">
        <f t="shared" si="1"/>
        <v>665765</v>
      </c>
      <c r="O42" s="31">
        <f t="shared" si="1"/>
        <v>666984</v>
      </c>
      <c r="P42" s="31">
        <f t="shared" si="1"/>
        <v>663278</v>
      </c>
      <c r="Q42" s="31">
        <f t="shared" si="1"/>
        <v>660927</v>
      </c>
      <c r="R42" s="31">
        <f t="shared" si="1"/>
        <v>658204</v>
      </c>
      <c r="S42" s="31">
        <f t="shared" si="1"/>
        <v>651762</v>
      </c>
      <c r="T42" s="31">
        <f t="shared" si="1"/>
        <v>652921</v>
      </c>
      <c r="U42" s="31">
        <f t="shared" si="1"/>
        <v>718605</v>
      </c>
      <c r="V42" s="31">
        <f t="shared" si="1"/>
        <v>752501</v>
      </c>
      <c r="W42" s="31">
        <f t="shared" si="1"/>
        <v>725362</v>
      </c>
      <c r="X42" s="31">
        <f t="shared" si="1"/>
        <v>678360</v>
      </c>
      <c r="Y42" s="31">
        <f t="shared" si="1"/>
        <v>607430</v>
      </c>
      <c r="Z42" s="31">
        <f t="shared" si="1"/>
        <v>538272</v>
      </c>
      <c r="AA42" s="31">
        <f t="shared" si="1"/>
        <v>14142539</v>
      </c>
      <c r="AB42" s="31">
        <f t="shared" si="1"/>
        <v>365</v>
      </c>
      <c r="AC42" s="46">
        <f t="shared" si="1"/>
        <v>145343987</v>
      </c>
    </row>
    <row r="43" spans="1:30" ht="15" x14ac:dyDescent="0.25">
      <c r="AB43" s="6"/>
      <c r="AC43" s="6"/>
    </row>
    <row r="44" spans="1:30" ht="15" x14ac:dyDescent="0.25">
      <c r="C44" s="49"/>
    </row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209-1201-4C03-97AC-25DB61F1D400}">
  <sheetPr>
    <tabColor rgb="FFFF0000"/>
  </sheetPr>
  <dimension ref="A1:AD46"/>
  <sheetViews>
    <sheetView showGridLines="0" zoomScale="115" zoomScaleNormal="115" zoomScaleSheetLayoutView="110" workbookViewId="0">
      <pane xSplit="2" ySplit="5" topLeftCell="C20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13" bestFit="1" customWidth="1"/>
    <col min="4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50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46023</v>
      </c>
      <c r="B6" s="18" t="s">
        <v>5</v>
      </c>
      <c r="C6" s="36">
        <f>ROUND('Anexo 11'!C6*'Anexo 1'!$D$10,0)</f>
        <v>0</v>
      </c>
      <c r="D6" s="33">
        <f>ROUND('Anexo 11'!D6*'Anexo 1'!$D$10,0)</f>
        <v>0</v>
      </c>
      <c r="E6" s="33">
        <f>ROUND('Anexo 11'!E6*'Anexo 1'!$D$10,0)</f>
        <v>0</v>
      </c>
      <c r="F6" s="33">
        <f>ROUND('Anexo 11'!F6*'Anexo 1'!$D$10,0)</f>
        <v>0</v>
      </c>
      <c r="G6" s="33">
        <f>ROUND('Anexo 11'!G6*'Anexo 1'!$D$10,0)</f>
        <v>0</v>
      </c>
      <c r="H6" s="33">
        <f>ROUND('Anexo 11'!H6*'Anexo 1'!$D$10,0)</f>
        <v>0</v>
      </c>
      <c r="I6" s="33">
        <f>ROUND('Anexo 11'!I6*'Anexo 1'!$D$10,0)</f>
        <v>0</v>
      </c>
      <c r="J6" s="33">
        <f>ROUND('Anexo 11'!J6*'Anexo 1'!$D$10,0)</f>
        <v>0</v>
      </c>
      <c r="K6" s="33">
        <f>ROUND('Anexo 11'!K6*'Anexo 1'!$D$10,0)</f>
        <v>0</v>
      </c>
      <c r="L6" s="33">
        <f>ROUND('Anexo 11'!L6*'Anexo 1'!$D$10,0)</f>
        <v>0</v>
      </c>
      <c r="M6" s="33">
        <f>ROUND('Anexo 11'!M6*'Anexo 1'!$D$10,0)</f>
        <v>0</v>
      </c>
      <c r="N6" s="33">
        <f>ROUND('Anexo 11'!N6*'Anexo 1'!$D$10,0)</f>
        <v>0</v>
      </c>
      <c r="O6" s="33">
        <f>ROUND('Anexo 11'!O6*'Anexo 1'!$D$10,0)</f>
        <v>0</v>
      </c>
      <c r="P6" s="33">
        <f>ROUND('Anexo 11'!P6*'Anexo 1'!$D$10,0)</f>
        <v>0</v>
      </c>
      <c r="Q6" s="33">
        <f>ROUND('Anexo 11'!Q6*'Anexo 1'!$D$10,0)</f>
        <v>0</v>
      </c>
      <c r="R6" s="33">
        <f>ROUND('Anexo 11'!R6*'Anexo 1'!$D$10,0)</f>
        <v>0</v>
      </c>
      <c r="S6" s="33">
        <f>ROUND('Anexo 11'!S6*'Anexo 1'!$D$10,0)</f>
        <v>0</v>
      </c>
      <c r="T6" s="33">
        <f>ROUND('Anexo 11'!T6*'Anexo 1'!$D$10,0)</f>
        <v>0</v>
      </c>
      <c r="U6" s="33">
        <f>ROUND('Anexo 11'!U6*'Anexo 1'!$D$10,0)</f>
        <v>0</v>
      </c>
      <c r="V6" s="33">
        <f>ROUND('Anexo 11'!V6*'Anexo 1'!$D$10,0)</f>
        <v>0</v>
      </c>
      <c r="W6" s="33">
        <f>ROUND('Anexo 11'!W6*'Anexo 1'!$D$10,0)</f>
        <v>0</v>
      </c>
      <c r="X6" s="33">
        <f>ROUND('Anexo 11'!X6*'Anexo 1'!$D$10,0)</f>
        <v>0</v>
      </c>
      <c r="Y6" s="33">
        <f>ROUND('Anexo 11'!Y6*'Anexo 1'!$D$10,0)</f>
        <v>0</v>
      </c>
      <c r="Z6" s="34">
        <f>ROUND('Anexo 11'!Z6*'Anexo 1'!$D$10,0)</f>
        <v>0</v>
      </c>
      <c r="AA6" s="35">
        <f>SUM(C6:Z6)</f>
        <v>0</v>
      </c>
      <c r="AB6" s="19">
        <v>20</v>
      </c>
      <c r="AC6" s="100">
        <f>+AA6*AB6+AA7*AB7+AA8*AB8</f>
        <v>0</v>
      </c>
      <c r="AD6" s="49"/>
    </row>
    <row r="7" spans="1:30" ht="15.75" thickBot="1" x14ac:dyDescent="0.3">
      <c r="A7" s="99"/>
      <c r="B7" s="20" t="s">
        <v>4</v>
      </c>
      <c r="C7" s="36">
        <f>ROUND('Anexo 11'!C7*'Anexo 1'!$D$10,0)</f>
        <v>0</v>
      </c>
      <c r="D7" s="36">
        <f>ROUND('Anexo 11'!D7*'Anexo 1'!$D$10,0)</f>
        <v>0</v>
      </c>
      <c r="E7" s="36">
        <f>ROUND('Anexo 11'!E7*'Anexo 1'!$D$10,0)</f>
        <v>0</v>
      </c>
      <c r="F7" s="36">
        <f>ROUND('Anexo 11'!F7*'Anexo 1'!$D$10,0)</f>
        <v>0</v>
      </c>
      <c r="G7" s="36">
        <f>ROUND('Anexo 11'!G7*'Anexo 1'!$D$10,0)</f>
        <v>0</v>
      </c>
      <c r="H7" s="36">
        <f>ROUND('Anexo 11'!H7*'Anexo 1'!$D$10,0)</f>
        <v>0</v>
      </c>
      <c r="I7" s="36">
        <f>ROUND('Anexo 11'!I7*'Anexo 1'!$D$10,0)</f>
        <v>0</v>
      </c>
      <c r="J7" s="36">
        <f>ROUND('Anexo 11'!J7*'Anexo 1'!$D$10,0)</f>
        <v>0</v>
      </c>
      <c r="K7" s="36">
        <f>ROUND('Anexo 11'!K7*'Anexo 1'!$D$10,0)</f>
        <v>0</v>
      </c>
      <c r="L7" s="36">
        <f>ROUND('Anexo 11'!L7*'Anexo 1'!$D$10,0)</f>
        <v>0</v>
      </c>
      <c r="M7" s="36">
        <f>ROUND('Anexo 11'!M7*'Anexo 1'!$D$10,0)</f>
        <v>0</v>
      </c>
      <c r="N7" s="36">
        <f>ROUND('Anexo 11'!N7*'Anexo 1'!$D$10,0)</f>
        <v>0</v>
      </c>
      <c r="O7" s="36">
        <f>ROUND('Anexo 11'!O7*'Anexo 1'!$D$10,0)</f>
        <v>0</v>
      </c>
      <c r="P7" s="36">
        <f>ROUND('Anexo 11'!P7*'Anexo 1'!$D$10,0)</f>
        <v>0</v>
      </c>
      <c r="Q7" s="36">
        <f>ROUND('Anexo 11'!Q7*'Anexo 1'!$D$10,0)</f>
        <v>0</v>
      </c>
      <c r="R7" s="36">
        <f>ROUND('Anexo 11'!R7*'Anexo 1'!$D$10,0)</f>
        <v>0</v>
      </c>
      <c r="S7" s="36">
        <f>ROUND('Anexo 11'!S7*'Anexo 1'!$D$10,0)</f>
        <v>0</v>
      </c>
      <c r="T7" s="36">
        <f>ROUND('Anexo 11'!T7*'Anexo 1'!$D$10,0)</f>
        <v>0</v>
      </c>
      <c r="U7" s="36">
        <f>ROUND('Anexo 11'!U7*'Anexo 1'!$D$10,0)</f>
        <v>0</v>
      </c>
      <c r="V7" s="36">
        <f>ROUND('Anexo 11'!V7*'Anexo 1'!$D$10,0)</f>
        <v>0</v>
      </c>
      <c r="W7" s="36">
        <f>ROUND('Anexo 11'!W7*'Anexo 1'!$D$10,0)</f>
        <v>0</v>
      </c>
      <c r="X7" s="36">
        <f>ROUND('Anexo 11'!X7*'Anexo 1'!$D$10,0)</f>
        <v>0</v>
      </c>
      <c r="Y7" s="36">
        <f>ROUND('Anexo 11'!Y7*'Anexo 1'!$D$10,0)</f>
        <v>0</v>
      </c>
      <c r="Z7" s="37">
        <f>ROUND('Anexo 11'!Z7*'Anexo 1'!$D$10,0)</f>
        <v>0</v>
      </c>
      <c r="AA7" s="38">
        <f t="shared" ref="AA7:AA41" si="0">SUM(C7:Z7)</f>
        <v>0</v>
      </c>
      <c r="AB7" s="21">
        <v>5</v>
      </c>
      <c r="AC7" s="101"/>
      <c r="AD7" s="49"/>
    </row>
    <row r="8" spans="1:30" ht="15" x14ac:dyDescent="0.25">
      <c r="A8" s="99"/>
      <c r="B8" s="22" t="s">
        <v>3</v>
      </c>
      <c r="C8" s="39">
        <f>ROUND('Anexo 11'!C8*'Anexo 1'!$D$10,0)</f>
        <v>0</v>
      </c>
      <c r="D8" s="39">
        <f>ROUND('Anexo 11'!D8*'Anexo 1'!$D$10,0)</f>
        <v>0</v>
      </c>
      <c r="E8" s="39">
        <f>ROUND('Anexo 11'!E8*'Anexo 1'!$D$10,0)</f>
        <v>0</v>
      </c>
      <c r="F8" s="39">
        <f>ROUND('Anexo 11'!F8*'Anexo 1'!$D$10,0)</f>
        <v>0</v>
      </c>
      <c r="G8" s="39">
        <f>ROUND('Anexo 11'!G8*'Anexo 1'!$D$10,0)</f>
        <v>0</v>
      </c>
      <c r="H8" s="39">
        <f>ROUND('Anexo 11'!H8*'Anexo 1'!$D$10,0)</f>
        <v>0</v>
      </c>
      <c r="I8" s="39">
        <f>ROUND('Anexo 11'!I8*'Anexo 1'!$D$10,0)</f>
        <v>0</v>
      </c>
      <c r="J8" s="39">
        <f>ROUND('Anexo 11'!J8*'Anexo 1'!$D$10,0)</f>
        <v>0</v>
      </c>
      <c r="K8" s="39">
        <f>ROUND('Anexo 11'!K8*'Anexo 1'!$D$10,0)</f>
        <v>0</v>
      </c>
      <c r="L8" s="39">
        <f>ROUND('Anexo 11'!L8*'Anexo 1'!$D$10,0)</f>
        <v>0</v>
      </c>
      <c r="M8" s="39">
        <f>ROUND('Anexo 11'!M8*'Anexo 1'!$D$10,0)</f>
        <v>0</v>
      </c>
      <c r="N8" s="39">
        <f>ROUND('Anexo 11'!N8*'Anexo 1'!$D$10,0)</f>
        <v>0</v>
      </c>
      <c r="O8" s="39">
        <f>ROUND('Anexo 11'!O8*'Anexo 1'!$D$10,0)</f>
        <v>0</v>
      </c>
      <c r="P8" s="39">
        <f>ROUND('Anexo 11'!P8*'Anexo 1'!$D$10,0)</f>
        <v>0</v>
      </c>
      <c r="Q8" s="39">
        <f>ROUND('Anexo 11'!Q8*'Anexo 1'!$D$10,0)</f>
        <v>0</v>
      </c>
      <c r="R8" s="39">
        <f>ROUND('Anexo 11'!R8*'Anexo 1'!$D$10,0)</f>
        <v>0</v>
      </c>
      <c r="S8" s="39">
        <f>ROUND('Anexo 11'!S8*'Anexo 1'!$D$10,0)</f>
        <v>0</v>
      </c>
      <c r="T8" s="39">
        <f>ROUND('Anexo 11'!T8*'Anexo 1'!$D$10,0)</f>
        <v>0</v>
      </c>
      <c r="U8" s="39">
        <f>ROUND('Anexo 11'!U8*'Anexo 1'!$D$10,0)</f>
        <v>0</v>
      </c>
      <c r="V8" s="39">
        <f>ROUND('Anexo 11'!V8*'Anexo 1'!$D$10,0)</f>
        <v>0</v>
      </c>
      <c r="W8" s="39">
        <f>ROUND('Anexo 11'!W8*'Anexo 1'!$D$10,0)</f>
        <v>0</v>
      </c>
      <c r="X8" s="39">
        <f>ROUND('Anexo 11'!X8*'Anexo 1'!$D$10,0)</f>
        <v>0</v>
      </c>
      <c r="Y8" s="39">
        <f>ROUND('Anexo 11'!Y8*'Anexo 1'!$D$10,0)</f>
        <v>0</v>
      </c>
      <c r="Z8" s="40">
        <f>ROUND('Anexo 11'!Z8*'Anexo 1'!$D$10,0)</f>
        <v>0</v>
      </c>
      <c r="AA8" s="41">
        <f t="shared" si="0"/>
        <v>0</v>
      </c>
      <c r="AB8" s="23">
        <v>6</v>
      </c>
      <c r="AC8" s="102"/>
      <c r="AD8" s="49"/>
    </row>
    <row r="9" spans="1:30" ht="15.75" thickBot="1" x14ac:dyDescent="0.3">
      <c r="A9" s="99">
        <v>46054</v>
      </c>
      <c r="B9" s="18" t="s">
        <v>5</v>
      </c>
      <c r="C9" s="33">
        <f>ROUND('Anexo 11'!C9*'Anexo 1'!$D$10,0)</f>
        <v>0</v>
      </c>
      <c r="D9" s="33">
        <f>ROUND('Anexo 11'!D9*'Anexo 1'!$D$10,0)</f>
        <v>0</v>
      </c>
      <c r="E9" s="33">
        <f>ROUND('Anexo 11'!E9*'Anexo 1'!$D$10,0)</f>
        <v>0</v>
      </c>
      <c r="F9" s="33">
        <f>ROUND('Anexo 11'!F9*'Anexo 1'!$D$10,0)</f>
        <v>0</v>
      </c>
      <c r="G9" s="33">
        <f>ROUND('Anexo 11'!G9*'Anexo 1'!$D$10,0)</f>
        <v>0</v>
      </c>
      <c r="H9" s="33">
        <f>ROUND('Anexo 11'!H9*'Anexo 1'!$D$10,0)</f>
        <v>0</v>
      </c>
      <c r="I9" s="33">
        <f>ROUND('Anexo 11'!I9*'Anexo 1'!$D$10,0)</f>
        <v>0</v>
      </c>
      <c r="J9" s="33">
        <f>ROUND('Anexo 11'!J9*'Anexo 1'!$D$10,0)</f>
        <v>0</v>
      </c>
      <c r="K9" s="33">
        <f>ROUND('Anexo 11'!K9*'Anexo 1'!$D$10,0)</f>
        <v>0</v>
      </c>
      <c r="L9" s="33">
        <f>ROUND('Anexo 11'!L9*'Anexo 1'!$D$10,0)</f>
        <v>0</v>
      </c>
      <c r="M9" s="33">
        <f>ROUND('Anexo 11'!M9*'Anexo 1'!$D$10,0)</f>
        <v>0</v>
      </c>
      <c r="N9" s="33">
        <f>ROUND('Anexo 11'!N9*'Anexo 1'!$D$10,0)</f>
        <v>0</v>
      </c>
      <c r="O9" s="33">
        <f>ROUND('Anexo 11'!O9*'Anexo 1'!$D$10,0)</f>
        <v>0</v>
      </c>
      <c r="P9" s="33">
        <f>ROUND('Anexo 11'!P9*'Anexo 1'!$D$10,0)</f>
        <v>0</v>
      </c>
      <c r="Q9" s="33">
        <f>ROUND('Anexo 11'!Q9*'Anexo 1'!$D$10,0)</f>
        <v>0</v>
      </c>
      <c r="R9" s="33">
        <f>ROUND('Anexo 11'!R9*'Anexo 1'!$D$10,0)</f>
        <v>0</v>
      </c>
      <c r="S9" s="33">
        <f>ROUND('Anexo 11'!S9*'Anexo 1'!$D$10,0)</f>
        <v>0</v>
      </c>
      <c r="T9" s="33">
        <f>ROUND('Anexo 11'!T9*'Anexo 1'!$D$10,0)</f>
        <v>0</v>
      </c>
      <c r="U9" s="33">
        <f>ROUND('Anexo 11'!U9*'Anexo 1'!$D$10,0)</f>
        <v>0</v>
      </c>
      <c r="V9" s="33">
        <f>ROUND('Anexo 11'!V9*'Anexo 1'!$D$10,0)</f>
        <v>0</v>
      </c>
      <c r="W9" s="33">
        <f>ROUND('Anexo 11'!W9*'Anexo 1'!$D$10,0)</f>
        <v>0</v>
      </c>
      <c r="X9" s="33">
        <f>ROUND('Anexo 11'!X9*'Anexo 1'!$D$10,0)</f>
        <v>0</v>
      </c>
      <c r="Y9" s="33">
        <f>ROUND('Anexo 11'!Y9*'Anexo 1'!$D$10,0)</f>
        <v>0</v>
      </c>
      <c r="Z9" s="34">
        <f>ROUND('Anexo 11'!Z9*'Anexo 1'!$D$10,0)</f>
        <v>0</v>
      </c>
      <c r="AA9" s="35">
        <f t="shared" si="0"/>
        <v>0</v>
      </c>
      <c r="AB9" s="19">
        <v>20</v>
      </c>
      <c r="AC9" s="100">
        <f>+AA9*AB9+AA10*AB10+AA11*AB11</f>
        <v>0</v>
      </c>
      <c r="AD9" s="49"/>
    </row>
    <row r="10" spans="1:30" ht="15.75" thickBot="1" x14ac:dyDescent="0.3">
      <c r="A10" s="99"/>
      <c r="B10" s="20" t="s">
        <v>4</v>
      </c>
      <c r="C10" s="36">
        <f>ROUND('Anexo 11'!C10*'Anexo 1'!$D$10,0)</f>
        <v>0</v>
      </c>
      <c r="D10" s="36">
        <f>ROUND('Anexo 11'!D10*'Anexo 1'!$D$10,0)</f>
        <v>0</v>
      </c>
      <c r="E10" s="36">
        <f>ROUND('Anexo 11'!E10*'Anexo 1'!$D$10,0)</f>
        <v>0</v>
      </c>
      <c r="F10" s="36">
        <f>ROUND('Anexo 11'!F10*'Anexo 1'!$D$10,0)</f>
        <v>0</v>
      </c>
      <c r="G10" s="36">
        <f>ROUND('Anexo 11'!G10*'Anexo 1'!$D$10,0)</f>
        <v>0</v>
      </c>
      <c r="H10" s="36">
        <f>ROUND('Anexo 11'!H10*'Anexo 1'!$D$10,0)</f>
        <v>0</v>
      </c>
      <c r="I10" s="36">
        <f>ROUND('Anexo 11'!I10*'Anexo 1'!$D$10,0)</f>
        <v>0</v>
      </c>
      <c r="J10" s="36">
        <f>ROUND('Anexo 11'!J10*'Anexo 1'!$D$10,0)</f>
        <v>0</v>
      </c>
      <c r="K10" s="36">
        <f>ROUND('Anexo 11'!K10*'Anexo 1'!$D$10,0)</f>
        <v>0</v>
      </c>
      <c r="L10" s="36">
        <f>ROUND('Anexo 11'!L10*'Anexo 1'!$D$10,0)</f>
        <v>0</v>
      </c>
      <c r="M10" s="36">
        <f>ROUND('Anexo 11'!M10*'Anexo 1'!$D$10,0)</f>
        <v>0</v>
      </c>
      <c r="N10" s="36">
        <f>ROUND('Anexo 11'!N10*'Anexo 1'!$D$10,0)</f>
        <v>0</v>
      </c>
      <c r="O10" s="36">
        <f>ROUND('Anexo 11'!O10*'Anexo 1'!$D$10,0)</f>
        <v>0</v>
      </c>
      <c r="P10" s="36">
        <f>ROUND('Anexo 11'!P10*'Anexo 1'!$D$10,0)</f>
        <v>0</v>
      </c>
      <c r="Q10" s="36">
        <f>ROUND('Anexo 11'!Q10*'Anexo 1'!$D$10,0)</f>
        <v>0</v>
      </c>
      <c r="R10" s="36">
        <f>ROUND('Anexo 11'!R10*'Anexo 1'!$D$10,0)</f>
        <v>0</v>
      </c>
      <c r="S10" s="36">
        <f>ROUND('Anexo 11'!S10*'Anexo 1'!$D$10,0)</f>
        <v>0</v>
      </c>
      <c r="T10" s="36">
        <f>ROUND('Anexo 11'!T10*'Anexo 1'!$D$10,0)</f>
        <v>0</v>
      </c>
      <c r="U10" s="36">
        <f>ROUND('Anexo 11'!U10*'Anexo 1'!$D$10,0)</f>
        <v>0</v>
      </c>
      <c r="V10" s="36">
        <f>ROUND('Anexo 11'!V10*'Anexo 1'!$D$10,0)</f>
        <v>0</v>
      </c>
      <c r="W10" s="36">
        <f>ROUND('Anexo 11'!W10*'Anexo 1'!$D$10,0)</f>
        <v>0</v>
      </c>
      <c r="X10" s="36">
        <f>ROUND('Anexo 11'!X10*'Anexo 1'!$D$10,0)</f>
        <v>0</v>
      </c>
      <c r="Y10" s="36">
        <f>ROUND('Anexo 11'!Y10*'Anexo 1'!$D$10,0)</f>
        <v>0</v>
      </c>
      <c r="Z10" s="37">
        <f>ROUND('Anexo 11'!Z10*'Anexo 1'!$D$10,0)</f>
        <v>0</v>
      </c>
      <c r="AA10" s="38">
        <f t="shared" si="0"/>
        <v>0</v>
      </c>
      <c r="AB10" s="21">
        <v>4</v>
      </c>
      <c r="AC10" s="101"/>
      <c r="AD10" s="49"/>
    </row>
    <row r="11" spans="1:30" ht="15" x14ac:dyDescent="0.25">
      <c r="A11" s="99"/>
      <c r="B11" s="22" t="s">
        <v>3</v>
      </c>
      <c r="C11" s="39">
        <f>ROUND('Anexo 11'!C11*'Anexo 1'!$D$10,0)</f>
        <v>0</v>
      </c>
      <c r="D11" s="39">
        <f>ROUND('Anexo 11'!D11*'Anexo 1'!$D$10,0)</f>
        <v>0</v>
      </c>
      <c r="E11" s="39">
        <f>ROUND('Anexo 11'!E11*'Anexo 1'!$D$10,0)</f>
        <v>0</v>
      </c>
      <c r="F11" s="39">
        <f>ROUND('Anexo 11'!F11*'Anexo 1'!$D$10,0)</f>
        <v>0</v>
      </c>
      <c r="G11" s="39">
        <f>ROUND('Anexo 11'!G11*'Anexo 1'!$D$10,0)</f>
        <v>0</v>
      </c>
      <c r="H11" s="39">
        <f>ROUND('Anexo 11'!H11*'Anexo 1'!$D$10,0)</f>
        <v>0</v>
      </c>
      <c r="I11" s="39">
        <f>ROUND('Anexo 11'!I11*'Anexo 1'!$D$10,0)</f>
        <v>0</v>
      </c>
      <c r="J11" s="39">
        <f>ROUND('Anexo 11'!J11*'Anexo 1'!$D$10,0)</f>
        <v>0</v>
      </c>
      <c r="K11" s="39">
        <f>ROUND('Anexo 11'!K11*'Anexo 1'!$D$10,0)</f>
        <v>0</v>
      </c>
      <c r="L11" s="39">
        <f>ROUND('Anexo 11'!L11*'Anexo 1'!$D$10,0)</f>
        <v>0</v>
      </c>
      <c r="M11" s="39">
        <f>ROUND('Anexo 11'!M11*'Anexo 1'!$D$10,0)</f>
        <v>0</v>
      </c>
      <c r="N11" s="39">
        <f>ROUND('Anexo 11'!N11*'Anexo 1'!$D$10,0)</f>
        <v>0</v>
      </c>
      <c r="O11" s="39">
        <f>ROUND('Anexo 11'!O11*'Anexo 1'!$D$10,0)</f>
        <v>0</v>
      </c>
      <c r="P11" s="39">
        <f>ROUND('Anexo 11'!P11*'Anexo 1'!$D$10,0)</f>
        <v>0</v>
      </c>
      <c r="Q11" s="39">
        <f>ROUND('Anexo 11'!Q11*'Anexo 1'!$D$10,0)</f>
        <v>0</v>
      </c>
      <c r="R11" s="39">
        <f>ROUND('Anexo 11'!R11*'Anexo 1'!$D$10,0)</f>
        <v>0</v>
      </c>
      <c r="S11" s="39">
        <f>ROUND('Anexo 11'!S11*'Anexo 1'!$D$10,0)</f>
        <v>0</v>
      </c>
      <c r="T11" s="39">
        <f>ROUND('Anexo 11'!T11*'Anexo 1'!$D$10,0)</f>
        <v>0</v>
      </c>
      <c r="U11" s="39">
        <f>ROUND('Anexo 11'!U11*'Anexo 1'!$D$10,0)</f>
        <v>0</v>
      </c>
      <c r="V11" s="39">
        <f>ROUND('Anexo 11'!V11*'Anexo 1'!$D$10,0)</f>
        <v>0</v>
      </c>
      <c r="W11" s="39">
        <f>ROUND('Anexo 11'!W11*'Anexo 1'!$D$10,0)</f>
        <v>0</v>
      </c>
      <c r="X11" s="39">
        <f>ROUND('Anexo 11'!X11*'Anexo 1'!$D$10,0)</f>
        <v>0</v>
      </c>
      <c r="Y11" s="39">
        <f>ROUND('Anexo 11'!Y11*'Anexo 1'!$D$10,0)</f>
        <v>0</v>
      </c>
      <c r="Z11" s="40">
        <f>ROUND('Anexo 11'!Z11*'Anexo 1'!$D$10,0)</f>
        <v>0</v>
      </c>
      <c r="AA11" s="41">
        <f t="shared" si="0"/>
        <v>0</v>
      </c>
      <c r="AB11" s="23">
        <v>4</v>
      </c>
      <c r="AC11" s="102"/>
      <c r="AD11" s="49"/>
    </row>
    <row r="12" spans="1:30" ht="15.75" thickBot="1" x14ac:dyDescent="0.3">
      <c r="A12" s="99">
        <v>46082</v>
      </c>
      <c r="B12" s="18" t="s">
        <v>5</v>
      </c>
      <c r="C12" s="33">
        <f>ROUND('Anexo 11'!C12*'Anexo 1'!$D$10,0)</f>
        <v>0</v>
      </c>
      <c r="D12" s="33">
        <f>ROUND('Anexo 11'!D12*'Anexo 1'!$D$10,0)</f>
        <v>0</v>
      </c>
      <c r="E12" s="33">
        <f>ROUND('Anexo 11'!E12*'Anexo 1'!$D$10,0)</f>
        <v>0</v>
      </c>
      <c r="F12" s="33">
        <f>ROUND('Anexo 11'!F12*'Anexo 1'!$D$10,0)</f>
        <v>0</v>
      </c>
      <c r="G12" s="33">
        <f>ROUND('Anexo 11'!G12*'Anexo 1'!$D$10,0)</f>
        <v>0</v>
      </c>
      <c r="H12" s="33">
        <f>ROUND('Anexo 11'!H12*'Anexo 1'!$D$10,0)</f>
        <v>0</v>
      </c>
      <c r="I12" s="33">
        <f>ROUND('Anexo 11'!I12*'Anexo 1'!$D$10,0)</f>
        <v>0</v>
      </c>
      <c r="J12" s="33">
        <f>ROUND('Anexo 11'!J12*'Anexo 1'!$D$10,0)</f>
        <v>0</v>
      </c>
      <c r="K12" s="33">
        <f>ROUND('Anexo 11'!K12*'Anexo 1'!$D$10,0)</f>
        <v>0</v>
      </c>
      <c r="L12" s="33">
        <f>ROUND('Anexo 11'!L12*'Anexo 1'!$D$10,0)</f>
        <v>0</v>
      </c>
      <c r="M12" s="33">
        <f>ROUND('Anexo 11'!M12*'Anexo 1'!$D$10,0)</f>
        <v>0</v>
      </c>
      <c r="N12" s="33">
        <f>ROUND('Anexo 11'!N12*'Anexo 1'!$D$10,0)</f>
        <v>0</v>
      </c>
      <c r="O12" s="33">
        <f>ROUND('Anexo 11'!O12*'Anexo 1'!$D$10,0)</f>
        <v>0</v>
      </c>
      <c r="P12" s="33">
        <f>ROUND('Anexo 11'!P12*'Anexo 1'!$D$10,0)</f>
        <v>0</v>
      </c>
      <c r="Q12" s="33">
        <f>ROUND('Anexo 11'!Q12*'Anexo 1'!$D$10,0)</f>
        <v>0</v>
      </c>
      <c r="R12" s="33">
        <f>ROUND('Anexo 11'!R12*'Anexo 1'!$D$10,0)</f>
        <v>0</v>
      </c>
      <c r="S12" s="33">
        <f>ROUND('Anexo 11'!S12*'Anexo 1'!$D$10,0)</f>
        <v>0</v>
      </c>
      <c r="T12" s="33">
        <f>ROUND('Anexo 11'!T12*'Anexo 1'!$D$10,0)</f>
        <v>0</v>
      </c>
      <c r="U12" s="33">
        <f>ROUND('Anexo 11'!U12*'Anexo 1'!$D$10,0)</f>
        <v>0</v>
      </c>
      <c r="V12" s="33">
        <f>ROUND('Anexo 11'!V12*'Anexo 1'!$D$10,0)</f>
        <v>0</v>
      </c>
      <c r="W12" s="33">
        <f>ROUND('Anexo 11'!W12*'Anexo 1'!$D$10,0)</f>
        <v>0</v>
      </c>
      <c r="X12" s="33">
        <f>ROUND('Anexo 11'!X12*'Anexo 1'!$D$10,0)</f>
        <v>0</v>
      </c>
      <c r="Y12" s="33">
        <f>ROUND('Anexo 11'!Y12*'Anexo 1'!$D$10,0)</f>
        <v>0</v>
      </c>
      <c r="Z12" s="34">
        <f>ROUND('Anexo 11'!Z12*'Anexo 1'!$D$10,0)</f>
        <v>0</v>
      </c>
      <c r="AA12" s="35">
        <f t="shared" si="0"/>
        <v>0</v>
      </c>
      <c r="AB12" s="19">
        <v>21</v>
      </c>
      <c r="AC12" s="100">
        <f>+AA12*AB12+AA13*AB13+AA14*AB14</f>
        <v>0</v>
      </c>
      <c r="AD12" s="49"/>
    </row>
    <row r="13" spans="1:30" ht="15.75" thickBot="1" x14ac:dyDescent="0.3">
      <c r="A13" s="99"/>
      <c r="B13" s="20" t="s">
        <v>4</v>
      </c>
      <c r="C13" s="36">
        <f>ROUND('Anexo 11'!C13*'Anexo 1'!$D$10,0)</f>
        <v>0</v>
      </c>
      <c r="D13" s="36">
        <f>ROUND('Anexo 11'!D13*'Anexo 1'!$D$10,0)</f>
        <v>0</v>
      </c>
      <c r="E13" s="36">
        <f>ROUND('Anexo 11'!E13*'Anexo 1'!$D$10,0)</f>
        <v>0</v>
      </c>
      <c r="F13" s="36">
        <f>ROUND('Anexo 11'!F13*'Anexo 1'!$D$10,0)</f>
        <v>0</v>
      </c>
      <c r="G13" s="36">
        <f>ROUND('Anexo 11'!G13*'Anexo 1'!$D$10,0)</f>
        <v>0</v>
      </c>
      <c r="H13" s="36">
        <f>ROUND('Anexo 11'!H13*'Anexo 1'!$D$10,0)</f>
        <v>0</v>
      </c>
      <c r="I13" s="36">
        <f>ROUND('Anexo 11'!I13*'Anexo 1'!$D$10,0)</f>
        <v>0</v>
      </c>
      <c r="J13" s="36">
        <f>ROUND('Anexo 11'!J13*'Anexo 1'!$D$10,0)</f>
        <v>0</v>
      </c>
      <c r="K13" s="36">
        <f>ROUND('Anexo 11'!K13*'Anexo 1'!$D$10,0)</f>
        <v>0</v>
      </c>
      <c r="L13" s="36">
        <f>ROUND('Anexo 11'!L13*'Anexo 1'!$D$10,0)</f>
        <v>0</v>
      </c>
      <c r="M13" s="36">
        <f>ROUND('Anexo 11'!M13*'Anexo 1'!$D$10,0)</f>
        <v>0</v>
      </c>
      <c r="N13" s="36">
        <f>ROUND('Anexo 11'!N13*'Anexo 1'!$D$10,0)</f>
        <v>0</v>
      </c>
      <c r="O13" s="36">
        <f>ROUND('Anexo 11'!O13*'Anexo 1'!$D$10,0)</f>
        <v>0</v>
      </c>
      <c r="P13" s="36">
        <f>ROUND('Anexo 11'!P13*'Anexo 1'!$D$10,0)</f>
        <v>0</v>
      </c>
      <c r="Q13" s="36">
        <f>ROUND('Anexo 11'!Q13*'Anexo 1'!$D$10,0)</f>
        <v>0</v>
      </c>
      <c r="R13" s="36">
        <f>ROUND('Anexo 11'!R13*'Anexo 1'!$D$10,0)</f>
        <v>0</v>
      </c>
      <c r="S13" s="36">
        <f>ROUND('Anexo 11'!S13*'Anexo 1'!$D$10,0)</f>
        <v>0</v>
      </c>
      <c r="T13" s="36">
        <f>ROUND('Anexo 11'!T13*'Anexo 1'!$D$10,0)</f>
        <v>0</v>
      </c>
      <c r="U13" s="36">
        <f>ROUND('Anexo 11'!U13*'Anexo 1'!$D$10,0)</f>
        <v>0</v>
      </c>
      <c r="V13" s="36">
        <f>ROUND('Anexo 11'!V13*'Anexo 1'!$D$10,0)</f>
        <v>0</v>
      </c>
      <c r="W13" s="36">
        <f>ROUND('Anexo 11'!W13*'Anexo 1'!$D$10,0)</f>
        <v>0</v>
      </c>
      <c r="X13" s="36">
        <f>ROUND('Anexo 11'!X13*'Anexo 1'!$D$10,0)</f>
        <v>0</v>
      </c>
      <c r="Y13" s="36">
        <f>ROUND('Anexo 11'!Y13*'Anexo 1'!$D$10,0)</f>
        <v>0</v>
      </c>
      <c r="Z13" s="37">
        <f>ROUND('Anexo 11'!Z13*'Anexo 1'!$D$10,0)</f>
        <v>0</v>
      </c>
      <c r="AA13" s="38">
        <f t="shared" si="0"/>
        <v>0</v>
      </c>
      <c r="AB13" s="21">
        <v>4</v>
      </c>
      <c r="AC13" s="101"/>
      <c r="AD13" s="49"/>
    </row>
    <row r="14" spans="1:30" ht="15" x14ac:dyDescent="0.25">
      <c r="A14" s="99"/>
      <c r="B14" s="22" t="s">
        <v>3</v>
      </c>
      <c r="C14" s="39">
        <f>ROUND('Anexo 11'!C14*'Anexo 1'!$D$10,0)</f>
        <v>0</v>
      </c>
      <c r="D14" s="39">
        <f>ROUND('Anexo 11'!D14*'Anexo 1'!$D$10,0)</f>
        <v>0</v>
      </c>
      <c r="E14" s="39">
        <f>ROUND('Anexo 11'!E14*'Anexo 1'!$D$10,0)</f>
        <v>0</v>
      </c>
      <c r="F14" s="39">
        <f>ROUND('Anexo 11'!F14*'Anexo 1'!$D$10,0)</f>
        <v>0</v>
      </c>
      <c r="G14" s="39">
        <f>ROUND('Anexo 11'!G14*'Anexo 1'!$D$10,0)</f>
        <v>0</v>
      </c>
      <c r="H14" s="39">
        <f>ROUND('Anexo 11'!H14*'Anexo 1'!$D$10,0)</f>
        <v>0</v>
      </c>
      <c r="I14" s="39">
        <f>ROUND('Anexo 11'!I14*'Anexo 1'!$D$10,0)</f>
        <v>0</v>
      </c>
      <c r="J14" s="39">
        <f>ROUND('Anexo 11'!J14*'Anexo 1'!$D$10,0)</f>
        <v>0</v>
      </c>
      <c r="K14" s="39">
        <f>ROUND('Anexo 11'!K14*'Anexo 1'!$D$10,0)</f>
        <v>0</v>
      </c>
      <c r="L14" s="39">
        <f>ROUND('Anexo 11'!L14*'Anexo 1'!$D$10,0)</f>
        <v>0</v>
      </c>
      <c r="M14" s="39">
        <f>ROUND('Anexo 11'!M14*'Anexo 1'!$D$10,0)</f>
        <v>0</v>
      </c>
      <c r="N14" s="39">
        <f>ROUND('Anexo 11'!N14*'Anexo 1'!$D$10,0)</f>
        <v>0</v>
      </c>
      <c r="O14" s="39">
        <f>ROUND('Anexo 11'!O14*'Anexo 1'!$D$10,0)</f>
        <v>0</v>
      </c>
      <c r="P14" s="39">
        <f>ROUND('Anexo 11'!P14*'Anexo 1'!$D$10,0)</f>
        <v>0</v>
      </c>
      <c r="Q14" s="39">
        <f>ROUND('Anexo 11'!Q14*'Anexo 1'!$D$10,0)</f>
        <v>0</v>
      </c>
      <c r="R14" s="39">
        <f>ROUND('Anexo 11'!R14*'Anexo 1'!$D$10,0)</f>
        <v>0</v>
      </c>
      <c r="S14" s="39">
        <f>ROUND('Anexo 11'!S14*'Anexo 1'!$D$10,0)</f>
        <v>0</v>
      </c>
      <c r="T14" s="39">
        <f>ROUND('Anexo 11'!T14*'Anexo 1'!$D$10,0)</f>
        <v>0</v>
      </c>
      <c r="U14" s="39">
        <f>ROUND('Anexo 11'!U14*'Anexo 1'!$D$10,0)</f>
        <v>0</v>
      </c>
      <c r="V14" s="39">
        <f>ROUND('Anexo 11'!V14*'Anexo 1'!$D$10,0)</f>
        <v>0</v>
      </c>
      <c r="W14" s="39">
        <f>ROUND('Anexo 11'!W14*'Anexo 1'!$D$10,0)</f>
        <v>0</v>
      </c>
      <c r="X14" s="39">
        <f>ROUND('Anexo 11'!X14*'Anexo 1'!$D$10,0)</f>
        <v>0</v>
      </c>
      <c r="Y14" s="39">
        <f>ROUND('Anexo 11'!Y14*'Anexo 1'!$D$10,0)</f>
        <v>0</v>
      </c>
      <c r="Z14" s="40">
        <f>ROUND('Anexo 11'!Z14*'Anexo 1'!$D$10,0)</f>
        <v>0</v>
      </c>
      <c r="AA14" s="41">
        <f t="shared" si="0"/>
        <v>0</v>
      </c>
      <c r="AB14" s="23">
        <v>6</v>
      </c>
      <c r="AC14" s="102"/>
      <c r="AD14" s="49"/>
    </row>
    <row r="15" spans="1:30" ht="15.75" thickBot="1" x14ac:dyDescent="0.3">
      <c r="A15" s="99">
        <v>46113</v>
      </c>
      <c r="B15" s="18" t="s">
        <v>5</v>
      </c>
      <c r="C15" s="33">
        <f>ROUND('Anexo 11'!C15*'Anexo 1'!$D$10,0)</f>
        <v>0</v>
      </c>
      <c r="D15" s="33">
        <f>ROUND('Anexo 11'!D15*'Anexo 1'!$D$10,0)</f>
        <v>0</v>
      </c>
      <c r="E15" s="33">
        <f>ROUND('Anexo 11'!E15*'Anexo 1'!$D$10,0)</f>
        <v>0</v>
      </c>
      <c r="F15" s="33">
        <f>ROUND('Anexo 11'!F15*'Anexo 1'!$D$10,0)</f>
        <v>0</v>
      </c>
      <c r="G15" s="33">
        <f>ROUND('Anexo 11'!G15*'Anexo 1'!$D$10,0)</f>
        <v>0</v>
      </c>
      <c r="H15" s="33">
        <f>ROUND('Anexo 11'!H15*'Anexo 1'!$D$10,0)</f>
        <v>0</v>
      </c>
      <c r="I15" s="33">
        <f>ROUND('Anexo 11'!I15*'Anexo 1'!$D$10,0)</f>
        <v>0</v>
      </c>
      <c r="J15" s="33">
        <f>ROUND('Anexo 11'!J15*'Anexo 1'!$D$10,0)</f>
        <v>0</v>
      </c>
      <c r="K15" s="33">
        <f>ROUND('Anexo 11'!K15*'Anexo 1'!$D$10,0)</f>
        <v>0</v>
      </c>
      <c r="L15" s="33">
        <f>ROUND('Anexo 11'!L15*'Anexo 1'!$D$10,0)</f>
        <v>0</v>
      </c>
      <c r="M15" s="33">
        <f>ROUND('Anexo 11'!M15*'Anexo 1'!$D$10,0)</f>
        <v>0</v>
      </c>
      <c r="N15" s="33">
        <f>ROUND('Anexo 11'!N15*'Anexo 1'!$D$10,0)</f>
        <v>0</v>
      </c>
      <c r="O15" s="33">
        <f>ROUND('Anexo 11'!O15*'Anexo 1'!$D$10,0)</f>
        <v>0</v>
      </c>
      <c r="P15" s="33">
        <f>ROUND('Anexo 11'!P15*'Anexo 1'!$D$10,0)</f>
        <v>0</v>
      </c>
      <c r="Q15" s="33">
        <f>ROUND('Anexo 11'!Q15*'Anexo 1'!$D$10,0)</f>
        <v>0</v>
      </c>
      <c r="R15" s="33">
        <f>ROUND('Anexo 11'!R15*'Anexo 1'!$D$10,0)</f>
        <v>0</v>
      </c>
      <c r="S15" s="33">
        <f>ROUND('Anexo 11'!S15*'Anexo 1'!$D$10,0)</f>
        <v>0</v>
      </c>
      <c r="T15" s="33">
        <f>ROUND('Anexo 11'!T15*'Anexo 1'!$D$10,0)</f>
        <v>0</v>
      </c>
      <c r="U15" s="33">
        <f>ROUND('Anexo 11'!U15*'Anexo 1'!$D$10,0)</f>
        <v>0</v>
      </c>
      <c r="V15" s="33">
        <f>ROUND('Anexo 11'!V15*'Anexo 1'!$D$10,0)</f>
        <v>0</v>
      </c>
      <c r="W15" s="33">
        <f>ROUND('Anexo 11'!W15*'Anexo 1'!$D$10,0)</f>
        <v>0</v>
      </c>
      <c r="X15" s="33">
        <f>ROUND('Anexo 11'!X15*'Anexo 1'!$D$10,0)</f>
        <v>0</v>
      </c>
      <c r="Y15" s="33">
        <f>ROUND('Anexo 11'!Y15*'Anexo 1'!$D$10,0)</f>
        <v>0</v>
      </c>
      <c r="Z15" s="34">
        <f>ROUND('Anexo 11'!Z15*'Anexo 1'!$D$10,0)</f>
        <v>0</v>
      </c>
      <c r="AA15" s="35">
        <f t="shared" si="0"/>
        <v>0</v>
      </c>
      <c r="AB15" s="19">
        <v>20</v>
      </c>
      <c r="AC15" s="100">
        <f>+AA15*AB15+AA16*AB16+AA17*AB17</f>
        <v>0</v>
      </c>
      <c r="AD15" s="49"/>
    </row>
    <row r="16" spans="1:30" ht="15.75" thickBot="1" x14ac:dyDescent="0.3">
      <c r="A16" s="99"/>
      <c r="B16" s="20" t="s">
        <v>4</v>
      </c>
      <c r="C16" s="36">
        <f>ROUND('Anexo 11'!C16*'Anexo 1'!$D$10,0)</f>
        <v>0</v>
      </c>
      <c r="D16" s="36">
        <f>ROUND('Anexo 11'!D16*'Anexo 1'!$D$10,0)</f>
        <v>0</v>
      </c>
      <c r="E16" s="36">
        <f>ROUND('Anexo 11'!E16*'Anexo 1'!$D$10,0)</f>
        <v>0</v>
      </c>
      <c r="F16" s="36">
        <f>ROUND('Anexo 11'!F16*'Anexo 1'!$D$10,0)</f>
        <v>0</v>
      </c>
      <c r="G16" s="36">
        <f>ROUND('Anexo 11'!G16*'Anexo 1'!$D$10,0)</f>
        <v>0</v>
      </c>
      <c r="H16" s="36">
        <f>ROUND('Anexo 11'!H16*'Anexo 1'!$D$10,0)</f>
        <v>0</v>
      </c>
      <c r="I16" s="36">
        <f>ROUND('Anexo 11'!I16*'Anexo 1'!$D$10,0)</f>
        <v>0</v>
      </c>
      <c r="J16" s="36">
        <f>ROUND('Anexo 11'!J16*'Anexo 1'!$D$10,0)</f>
        <v>0</v>
      </c>
      <c r="K16" s="36">
        <f>ROUND('Anexo 11'!K16*'Anexo 1'!$D$10,0)</f>
        <v>0</v>
      </c>
      <c r="L16" s="36">
        <f>ROUND('Anexo 11'!L16*'Anexo 1'!$D$10,0)</f>
        <v>0</v>
      </c>
      <c r="M16" s="36">
        <f>ROUND('Anexo 11'!M16*'Anexo 1'!$D$10,0)</f>
        <v>0</v>
      </c>
      <c r="N16" s="36">
        <f>ROUND('Anexo 11'!N16*'Anexo 1'!$D$10,0)</f>
        <v>0</v>
      </c>
      <c r="O16" s="36">
        <f>ROUND('Anexo 11'!O16*'Anexo 1'!$D$10,0)</f>
        <v>0</v>
      </c>
      <c r="P16" s="36">
        <f>ROUND('Anexo 11'!P16*'Anexo 1'!$D$10,0)</f>
        <v>0</v>
      </c>
      <c r="Q16" s="36">
        <f>ROUND('Anexo 11'!Q16*'Anexo 1'!$D$10,0)</f>
        <v>0</v>
      </c>
      <c r="R16" s="36">
        <f>ROUND('Anexo 11'!R16*'Anexo 1'!$D$10,0)</f>
        <v>0</v>
      </c>
      <c r="S16" s="36">
        <f>ROUND('Anexo 11'!S16*'Anexo 1'!$D$10,0)</f>
        <v>0</v>
      </c>
      <c r="T16" s="36">
        <f>ROUND('Anexo 11'!T16*'Anexo 1'!$D$10,0)</f>
        <v>0</v>
      </c>
      <c r="U16" s="36">
        <f>ROUND('Anexo 11'!U16*'Anexo 1'!$D$10,0)</f>
        <v>0</v>
      </c>
      <c r="V16" s="36">
        <f>ROUND('Anexo 11'!V16*'Anexo 1'!$D$10,0)</f>
        <v>0</v>
      </c>
      <c r="W16" s="36">
        <f>ROUND('Anexo 11'!W16*'Anexo 1'!$D$10,0)</f>
        <v>0</v>
      </c>
      <c r="X16" s="36">
        <f>ROUND('Anexo 11'!X16*'Anexo 1'!$D$10,0)</f>
        <v>0</v>
      </c>
      <c r="Y16" s="36">
        <f>ROUND('Anexo 11'!Y16*'Anexo 1'!$D$10,0)</f>
        <v>0</v>
      </c>
      <c r="Z16" s="37">
        <f>ROUND('Anexo 11'!Z16*'Anexo 1'!$D$10,0)</f>
        <v>0</v>
      </c>
      <c r="AA16" s="38">
        <f t="shared" si="0"/>
        <v>0</v>
      </c>
      <c r="AB16" s="21">
        <v>4</v>
      </c>
      <c r="AC16" s="101"/>
      <c r="AD16" s="49"/>
    </row>
    <row r="17" spans="1:30" ht="15" x14ac:dyDescent="0.25">
      <c r="A17" s="99"/>
      <c r="B17" s="22" t="s">
        <v>3</v>
      </c>
      <c r="C17" s="39">
        <f>ROUND('Anexo 11'!C17*'Anexo 1'!$D$10,0)</f>
        <v>0</v>
      </c>
      <c r="D17" s="39">
        <f>ROUND('Anexo 11'!D17*'Anexo 1'!$D$10,0)</f>
        <v>0</v>
      </c>
      <c r="E17" s="39">
        <f>ROUND('Anexo 11'!E17*'Anexo 1'!$D$10,0)</f>
        <v>0</v>
      </c>
      <c r="F17" s="39">
        <f>ROUND('Anexo 11'!F17*'Anexo 1'!$D$10,0)</f>
        <v>0</v>
      </c>
      <c r="G17" s="39">
        <f>ROUND('Anexo 11'!G17*'Anexo 1'!$D$10,0)</f>
        <v>0</v>
      </c>
      <c r="H17" s="39">
        <f>ROUND('Anexo 11'!H17*'Anexo 1'!$D$10,0)</f>
        <v>0</v>
      </c>
      <c r="I17" s="39">
        <f>ROUND('Anexo 11'!I17*'Anexo 1'!$D$10,0)</f>
        <v>0</v>
      </c>
      <c r="J17" s="39">
        <f>ROUND('Anexo 11'!J17*'Anexo 1'!$D$10,0)</f>
        <v>0</v>
      </c>
      <c r="K17" s="39">
        <f>ROUND('Anexo 11'!K17*'Anexo 1'!$D$10,0)</f>
        <v>0</v>
      </c>
      <c r="L17" s="39">
        <f>ROUND('Anexo 11'!L17*'Anexo 1'!$D$10,0)</f>
        <v>0</v>
      </c>
      <c r="M17" s="39">
        <f>ROUND('Anexo 11'!M17*'Anexo 1'!$D$10,0)</f>
        <v>0</v>
      </c>
      <c r="N17" s="39">
        <f>ROUND('Anexo 11'!N17*'Anexo 1'!$D$10,0)</f>
        <v>0</v>
      </c>
      <c r="O17" s="39">
        <f>ROUND('Anexo 11'!O17*'Anexo 1'!$D$10,0)</f>
        <v>0</v>
      </c>
      <c r="P17" s="39">
        <f>ROUND('Anexo 11'!P17*'Anexo 1'!$D$10,0)</f>
        <v>0</v>
      </c>
      <c r="Q17" s="39">
        <f>ROUND('Anexo 11'!Q17*'Anexo 1'!$D$10,0)</f>
        <v>0</v>
      </c>
      <c r="R17" s="39">
        <f>ROUND('Anexo 11'!R17*'Anexo 1'!$D$10,0)</f>
        <v>0</v>
      </c>
      <c r="S17" s="39">
        <f>ROUND('Anexo 11'!S17*'Anexo 1'!$D$10,0)</f>
        <v>0</v>
      </c>
      <c r="T17" s="39">
        <f>ROUND('Anexo 11'!T17*'Anexo 1'!$D$10,0)</f>
        <v>0</v>
      </c>
      <c r="U17" s="39">
        <f>ROUND('Anexo 11'!U17*'Anexo 1'!$D$10,0)</f>
        <v>0</v>
      </c>
      <c r="V17" s="39">
        <f>ROUND('Anexo 11'!V17*'Anexo 1'!$D$10,0)</f>
        <v>0</v>
      </c>
      <c r="W17" s="39">
        <f>ROUND('Anexo 11'!W17*'Anexo 1'!$D$10,0)</f>
        <v>0</v>
      </c>
      <c r="X17" s="39">
        <f>ROUND('Anexo 11'!X17*'Anexo 1'!$D$10,0)</f>
        <v>0</v>
      </c>
      <c r="Y17" s="39">
        <f>ROUND('Anexo 11'!Y17*'Anexo 1'!$D$10,0)</f>
        <v>0</v>
      </c>
      <c r="Z17" s="40">
        <f>ROUND('Anexo 11'!Z17*'Anexo 1'!$D$10,0)</f>
        <v>0</v>
      </c>
      <c r="AA17" s="41">
        <f t="shared" si="0"/>
        <v>0</v>
      </c>
      <c r="AB17" s="23">
        <v>6</v>
      </c>
      <c r="AC17" s="102"/>
      <c r="AD17" s="49"/>
    </row>
    <row r="18" spans="1:30" ht="15.75" thickBot="1" x14ac:dyDescent="0.3">
      <c r="A18" s="99">
        <v>46143</v>
      </c>
      <c r="B18" s="18" t="s">
        <v>5</v>
      </c>
      <c r="C18" s="33">
        <f>ROUND('Anexo 11'!C18*'Anexo 1'!$D$10,0)</f>
        <v>0</v>
      </c>
      <c r="D18" s="33">
        <f>ROUND('Anexo 11'!D18*'Anexo 1'!$D$10,0)</f>
        <v>0</v>
      </c>
      <c r="E18" s="33">
        <f>ROUND('Anexo 11'!E18*'Anexo 1'!$D$10,0)</f>
        <v>0</v>
      </c>
      <c r="F18" s="33">
        <f>ROUND('Anexo 11'!F18*'Anexo 1'!$D$10,0)</f>
        <v>0</v>
      </c>
      <c r="G18" s="33">
        <f>ROUND('Anexo 11'!G18*'Anexo 1'!$D$10,0)</f>
        <v>0</v>
      </c>
      <c r="H18" s="33">
        <f>ROUND('Anexo 11'!H18*'Anexo 1'!$D$10,0)</f>
        <v>0</v>
      </c>
      <c r="I18" s="33">
        <f>ROUND('Anexo 11'!I18*'Anexo 1'!$D$10,0)</f>
        <v>0</v>
      </c>
      <c r="J18" s="33">
        <f>ROUND('Anexo 11'!J18*'Anexo 1'!$D$10,0)</f>
        <v>0</v>
      </c>
      <c r="K18" s="33">
        <f>ROUND('Anexo 11'!K18*'Anexo 1'!$D$10,0)</f>
        <v>0</v>
      </c>
      <c r="L18" s="33">
        <f>ROUND('Anexo 11'!L18*'Anexo 1'!$D$10,0)</f>
        <v>0</v>
      </c>
      <c r="M18" s="33">
        <f>ROUND('Anexo 11'!M18*'Anexo 1'!$D$10,0)</f>
        <v>0</v>
      </c>
      <c r="N18" s="33">
        <f>ROUND('Anexo 11'!N18*'Anexo 1'!$D$10,0)</f>
        <v>0</v>
      </c>
      <c r="O18" s="33">
        <f>ROUND('Anexo 11'!O18*'Anexo 1'!$D$10,0)</f>
        <v>0</v>
      </c>
      <c r="P18" s="33">
        <f>ROUND('Anexo 11'!P18*'Anexo 1'!$D$10,0)</f>
        <v>0</v>
      </c>
      <c r="Q18" s="33">
        <f>ROUND('Anexo 11'!Q18*'Anexo 1'!$D$10,0)</f>
        <v>0</v>
      </c>
      <c r="R18" s="33">
        <f>ROUND('Anexo 11'!R18*'Anexo 1'!$D$10,0)</f>
        <v>0</v>
      </c>
      <c r="S18" s="33">
        <f>ROUND('Anexo 11'!S18*'Anexo 1'!$D$10,0)</f>
        <v>0</v>
      </c>
      <c r="T18" s="33">
        <f>ROUND('Anexo 11'!T18*'Anexo 1'!$D$10,0)</f>
        <v>0</v>
      </c>
      <c r="U18" s="33">
        <f>ROUND('Anexo 11'!U18*'Anexo 1'!$D$10,0)</f>
        <v>0</v>
      </c>
      <c r="V18" s="33">
        <f>ROUND('Anexo 11'!V18*'Anexo 1'!$D$10,0)</f>
        <v>0</v>
      </c>
      <c r="W18" s="33">
        <f>ROUND('Anexo 11'!W18*'Anexo 1'!$D$10,0)</f>
        <v>0</v>
      </c>
      <c r="X18" s="33">
        <f>ROUND('Anexo 11'!X18*'Anexo 1'!$D$10,0)</f>
        <v>0</v>
      </c>
      <c r="Y18" s="33">
        <f>ROUND('Anexo 11'!Y18*'Anexo 1'!$D$10,0)</f>
        <v>0</v>
      </c>
      <c r="Z18" s="34">
        <f>ROUND('Anexo 11'!Z18*'Anexo 1'!$D$10,0)</f>
        <v>0</v>
      </c>
      <c r="AA18" s="35">
        <f t="shared" si="0"/>
        <v>0</v>
      </c>
      <c r="AB18" s="19">
        <v>19</v>
      </c>
      <c r="AC18" s="100">
        <f>+AA18*AB18+AA19*AB19+AA20*AB20</f>
        <v>0</v>
      </c>
      <c r="AD18" s="49"/>
    </row>
    <row r="19" spans="1:30" ht="15.75" thickBot="1" x14ac:dyDescent="0.3">
      <c r="A19" s="99"/>
      <c r="B19" s="20" t="s">
        <v>4</v>
      </c>
      <c r="C19" s="36">
        <f>ROUND('Anexo 11'!C19*'Anexo 1'!$D$10,0)</f>
        <v>0</v>
      </c>
      <c r="D19" s="36">
        <f>ROUND('Anexo 11'!D19*'Anexo 1'!$D$10,0)</f>
        <v>0</v>
      </c>
      <c r="E19" s="36">
        <f>ROUND('Anexo 11'!E19*'Anexo 1'!$D$10,0)</f>
        <v>0</v>
      </c>
      <c r="F19" s="36">
        <f>ROUND('Anexo 11'!F19*'Anexo 1'!$D$10,0)</f>
        <v>0</v>
      </c>
      <c r="G19" s="36">
        <f>ROUND('Anexo 11'!G19*'Anexo 1'!$D$10,0)</f>
        <v>0</v>
      </c>
      <c r="H19" s="36">
        <f>ROUND('Anexo 11'!H19*'Anexo 1'!$D$10,0)</f>
        <v>0</v>
      </c>
      <c r="I19" s="36">
        <f>ROUND('Anexo 11'!I19*'Anexo 1'!$D$10,0)</f>
        <v>0</v>
      </c>
      <c r="J19" s="36">
        <f>ROUND('Anexo 11'!J19*'Anexo 1'!$D$10,0)</f>
        <v>0</v>
      </c>
      <c r="K19" s="36">
        <f>ROUND('Anexo 11'!K19*'Anexo 1'!$D$10,0)</f>
        <v>0</v>
      </c>
      <c r="L19" s="36">
        <f>ROUND('Anexo 11'!L19*'Anexo 1'!$D$10,0)</f>
        <v>0</v>
      </c>
      <c r="M19" s="36">
        <f>ROUND('Anexo 11'!M19*'Anexo 1'!$D$10,0)</f>
        <v>0</v>
      </c>
      <c r="N19" s="36">
        <f>ROUND('Anexo 11'!N19*'Anexo 1'!$D$10,0)</f>
        <v>0</v>
      </c>
      <c r="O19" s="36">
        <f>ROUND('Anexo 11'!O19*'Anexo 1'!$D$10,0)</f>
        <v>0</v>
      </c>
      <c r="P19" s="36">
        <f>ROUND('Anexo 11'!P19*'Anexo 1'!$D$10,0)</f>
        <v>0</v>
      </c>
      <c r="Q19" s="36">
        <f>ROUND('Anexo 11'!Q19*'Anexo 1'!$D$10,0)</f>
        <v>0</v>
      </c>
      <c r="R19" s="36">
        <f>ROUND('Anexo 11'!R19*'Anexo 1'!$D$10,0)</f>
        <v>0</v>
      </c>
      <c r="S19" s="36">
        <f>ROUND('Anexo 11'!S19*'Anexo 1'!$D$10,0)</f>
        <v>0</v>
      </c>
      <c r="T19" s="36">
        <f>ROUND('Anexo 11'!T19*'Anexo 1'!$D$10,0)</f>
        <v>0</v>
      </c>
      <c r="U19" s="36">
        <f>ROUND('Anexo 11'!U19*'Anexo 1'!$D$10,0)</f>
        <v>0</v>
      </c>
      <c r="V19" s="36">
        <f>ROUND('Anexo 11'!V19*'Anexo 1'!$D$10,0)</f>
        <v>0</v>
      </c>
      <c r="W19" s="36">
        <f>ROUND('Anexo 11'!W19*'Anexo 1'!$D$10,0)</f>
        <v>0</v>
      </c>
      <c r="X19" s="36">
        <f>ROUND('Anexo 11'!X19*'Anexo 1'!$D$10,0)</f>
        <v>0</v>
      </c>
      <c r="Y19" s="36">
        <f>ROUND('Anexo 11'!Y19*'Anexo 1'!$D$10,0)</f>
        <v>0</v>
      </c>
      <c r="Z19" s="37">
        <f>ROUND('Anexo 11'!Z19*'Anexo 1'!$D$10,0)</f>
        <v>0</v>
      </c>
      <c r="AA19" s="38">
        <f t="shared" si="0"/>
        <v>0</v>
      </c>
      <c r="AB19" s="21">
        <v>5</v>
      </c>
      <c r="AC19" s="101"/>
      <c r="AD19" s="49"/>
    </row>
    <row r="20" spans="1:30" ht="15" x14ac:dyDescent="0.25">
      <c r="A20" s="99"/>
      <c r="B20" s="22" t="s">
        <v>3</v>
      </c>
      <c r="C20" s="39">
        <f>ROUND('Anexo 11'!C20*'Anexo 1'!$D$10,0)</f>
        <v>0</v>
      </c>
      <c r="D20" s="39">
        <f>ROUND('Anexo 11'!D20*'Anexo 1'!$D$10,0)</f>
        <v>0</v>
      </c>
      <c r="E20" s="39">
        <f>ROUND('Anexo 11'!E20*'Anexo 1'!$D$10,0)</f>
        <v>0</v>
      </c>
      <c r="F20" s="39">
        <f>ROUND('Anexo 11'!F20*'Anexo 1'!$D$10,0)</f>
        <v>0</v>
      </c>
      <c r="G20" s="39">
        <f>ROUND('Anexo 11'!G20*'Anexo 1'!$D$10,0)</f>
        <v>0</v>
      </c>
      <c r="H20" s="39">
        <f>ROUND('Anexo 11'!H20*'Anexo 1'!$D$10,0)</f>
        <v>0</v>
      </c>
      <c r="I20" s="39">
        <f>ROUND('Anexo 11'!I20*'Anexo 1'!$D$10,0)</f>
        <v>0</v>
      </c>
      <c r="J20" s="39">
        <f>ROUND('Anexo 11'!J20*'Anexo 1'!$D$10,0)</f>
        <v>0</v>
      </c>
      <c r="K20" s="39">
        <f>ROUND('Anexo 11'!K20*'Anexo 1'!$D$10,0)</f>
        <v>0</v>
      </c>
      <c r="L20" s="39">
        <f>ROUND('Anexo 11'!L20*'Anexo 1'!$D$10,0)</f>
        <v>0</v>
      </c>
      <c r="M20" s="39">
        <f>ROUND('Anexo 11'!M20*'Anexo 1'!$D$10,0)</f>
        <v>0</v>
      </c>
      <c r="N20" s="39">
        <f>ROUND('Anexo 11'!N20*'Anexo 1'!$D$10,0)</f>
        <v>0</v>
      </c>
      <c r="O20" s="39">
        <f>ROUND('Anexo 11'!O20*'Anexo 1'!$D$10,0)</f>
        <v>0</v>
      </c>
      <c r="P20" s="39">
        <f>ROUND('Anexo 11'!P20*'Anexo 1'!$D$10,0)</f>
        <v>0</v>
      </c>
      <c r="Q20" s="39">
        <f>ROUND('Anexo 11'!Q20*'Anexo 1'!$D$10,0)</f>
        <v>0</v>
      </c>
      <c r="R20" s="39">
        <f>ROUND('Anexo 11'!R20*'Anexo 1'!$D$10,0)</f>
        <v>0</v>
      </c>
      <c r="S20" s="39">
        <f>ROUND('Anexo 11'!S20*'Anexo 1'!$D$10,0)</f>
        <v>0</v>
      </c>
      <c r="T20" s="39">
        <f>ROUND('Anexo 11'!T20*'Anexo 1'!$D$10,0)</f>
        <v>0</v>
      </c>
      <c r="U20" s="39">
        <f>ROUND('Anexo 11'!U20*'Anexo 1'!$D$10,0)</f>
        <v>0</v>
      </c>
      <c r="V20" s="39">
        <f>ROUND('Anexo 11'!V20*'Anexo 1'!$D$10,0)</f>
        <v>0</v>
      </c>
      <c r="W20" s="39">
        <f>ROUND('Anexo 11'!W20*'Anexo 1'!$D$10,0)</f>
        <v>0</v>
      </c>
      <c r="X20" s="39">
        <f>ROUND('Anexo 11'!X20*'Anexo 1'!$D$10,0)</f>
        <v>0</v>
      </c>
      <c r="Y20" s="39">
        <f>ROUND('Anexo 11'!Y20*'Anexo 1'!$D$10,0)</f>
        <v>0</v>
      </c>
      <c r="Z20" s="40">
        <f>ROUND('Anexo 11'!Z20*'Anexo 1'!$D$10,0)</f>
        <v>0</v>
      </c>
      <c r="AA20" s="41">
        <f t="shared" si="0"/>
        <v>0</v>
      </c>
      <c r="AB20" s="23">
        <v>7</v>
      </c>
      <c r="AC20" s="102"/>
      <c r="AD20" s="49"/>
    </row>
    <row r="21" spans="1:30" ht="15.75" thickBot="1" x14ac:dyDescent="0.3">
      <c r="A21" s="99">
        <v>46174</v>
      </c>
      <c r="B21" s="18" t="s">
        <v>5</v>
      </c>
      <c r="C21" s="33">
        <f>ROUND('Anexo 11'!C21*'Anexo 1'!$D$10,0)</f>
        <v>0</v>
      </c>
      <c r="D21" s="33">
        <f>ROUND('Anexo 11'!D21*'Anexo 1'!$D$10,0)</f>
        <v>0</v>
      </c>
      <c r="E21" s="33">
        <f>ROUND('Anexo 11'!E21*'Anexo 1'!$D$10,0)</f>
        <v>0</v>
      </c>
      <c r="F21" s="33">
        <f>ROUND('Anexo 11'!F21*'Anexo 1'!$D$10,0)</f>
        <v>0</v>
      </c>
      <c r="G21" s="33">
        <f>ROUND('Anexo 11'!G21*'Anexo 1'!$D$10,0)</f>
        <v>0</v>
      </c>
      <c r="H21" s="33">
        <f>ROUND('Anexo 11'!H21*'Anexo 1'!$D$10,0)</f>
        <v>0</v>
      </c>
      <c r="I21" s="33">
        <f>ROUND('Anexo 11'!I21*'Anexo 1'!$D$10,0)</f>
        <v>0</v>
      </c>
      <c r="J21" s="33">
        <f>ROUND('Anexo 11'!J21*'Anexo 1'!$D$10,0)</f>
        <v>0</v>
      </c>
      <c r="K21" s="33">
        <f>ROUND('Anexo 11'!K21*'Anexo 1'!$D$10,0)</f>
        <v>0</v>
      </c>
      <c r="L21" s="33">
        <f>ROUND('Anexo 11'!L21*'Anexo 1'!$D$10,0)</f>
        <v>0</v>
      </c>
      <c r="M21" s="33">
        <f>ROUND('Anexo 11'!M21*'Anexo 1'!$D$10,0)</f>
        <v>0</v>
      </c>
      <c r="N21" s="33">
        <f>ROUND('Anexo 11'!N21*'Anexo 1'!$D$10,0)</f>
        <v>0</v>
      </c>
      <c r="O21" s="33">
        <f>ROUND('Anexo 11'!O21*'Anexo 1'!$D$10,0)</f>
        <v>0</v>
      </c>
      <c r="P21" s="33">
        <f>ROUND('Anexo 11'!P21*'Anexo 1'!$D$10,0)</f>
        <v>0</v>
      </c>
      <c r="Q21" s="33">
        <f>ROUND('Anexo 11'!Q21*'Anexo 1'!$D$10,0)</f>
        <v>0</v>
      </c>
      <c r="R21" s="33">
        <f>ROUND('Anexo 11'!R21*'Anexo 1'!$D$10,0)</f>
        <v>0</v>
      </c>
      <c r="S21" s="33">
        <f>ROUND('Anexo 11'!S21*'Anexo 1'!$D$10,0)</f>
        <v>0</v>
      </c>
      <c r="T21" s="33">
        <f>ROUND('Anexo 11'!T21*'Anexo 1'!$D$10,0)</f>
        <v>0</v>
      </c>
      <c r="U21" s="33">
        <f>ROUND('Anexo 11'!U21*'Anexo 1'!$D$10,0)</f>
        <v>0</v>
      </c>
      <c r="V21" s="33">
        <f>ROUND('Anexo 11'!V21*'Anexo 1'!$D$10,0)</f>
        <v>0</v>
      </c>
      <c r="W21" s="33">
        <f>ROUND('Anexo 11'!W21*'Anexo 1'!$D$10,0)</f>
        <v>0</v>
      </c>
      <c r="X21" s="33">
        <f>ROUND('Anexo 11'!X21*'Anexo 1'!$D$10,0)</f>
        <v>0</v>
      </c>
      <c r="Y21" s="33">
        <f>ROUND('Anexo 11'!Y21*'Anexo 1'!$D$10,0)</f>
        <v>0</v>
      </c>
      <c r="Z21" s="34">
        <f>ROUND('Anexo 11'!Z21*'Anexo 1'!$D$10,0)</f>
        <v>0</v>
      </c>
      <c r="AA21" s="35">
        <f t="shared" si="0"/>
        <v>0</v>
      </c>
      <c r="AB21" s="19">
        <v>19</v>
      </c>
      <c r="AC21" s="100">
        <f>+AA21*AB21+AA22*AB22+AA23*AB23</f>
        <v>0</v>
      </c>
      <c r="AD21" s="49"/>
    </row>
    <row r="22" spans="1:30" ht="15.75" thickBot="1" x14ac:dyDescent="0.3">
      <c r="A22" s="99"/>
      <c r="B22" s="20" t="s">
        <v>4</v>
      </c>
      <c r="C22" s="36">
        <f>ROUND('Anexo 11'!C22*'Anexo 1'!$D$10,0)</f>
        <v>0</v>
      </c>
      <c r="D22" s="36">
        <f>ROUND('Anexo 11'!D22*'Anexo 1'!$D$10,0)</f>
        <v>0</v>
      </c>
      <c r="E22" s="36">
        <f>ROUND('Anexo 11'!E22*'Anexo 1'!$D$10,0)</f>
        <v>0</v>
      </c>
      <c r="F22" s="36">
        <f>ROUND('Anexo 11'!F22*'Anexo 1'!$D$10,0)</f>
        <v>0</v>
      </c>
      <c r="G22" s="36">
        <f>ROUND('Anexo 11'!G22*'Anexo 1'!$D$10,0)</f>
        <v>0</v>
      </c>
      <c r="H22" s="36">
        <f>ROUND('Anexo 11'!H22*'Anexo 1'!$D$10,0)</f>
        <v>0</v>
      </c>
      <c r="I22" s="36">
        <f>ROUND('Anexo 11'!I22*'Anexo 1'!$D$10,0)</f>
        <v>0</v>
      </c>
      <c r="J22" s="36">
        <f>ROUND('Anexo 11'!J22*'Anexo 1'!$D$10,0)</f>
        <v>0</v>
      </c>
      <c r="K22" s="36">
        <f>ROUND('Anexo 11'!K22*'Anexo 1'!$D$10,0)</f>
        <v>0</v>
      </c>
      <c r="L22" s="36">
        <f>ROUND('Anexo 11'!L22*'Anexo 1'!$D$10,0)</f>
        <v>0</v>
      </c>
      <c r="M22" s="36">
        <f>ROUND('Anexo 11'!M22*'Anexo 1'!$D$10,0)</f>
        <v>0</v>
      </c>
      <c r="N22" s="36">
        <f>ROUND('Anexo 11'!N22*'Anexo 1'!$D$10,0)</f>
        <v>0</v>
      </c>
      <c r="O22" s="36">
        <f>ROUND('Anexo 11'!O22*'Anexo 1'!$D$10,0)</f>
        <v>0</v>
      </c>
      <c r="P22" s="36">
        <f>ROUND('Anexo 11'!P22*'Anexo 1'!$D$10,0)</f>
        <v>0</v>
      </c>
      <c r="Q22" s="36">
        <f>ROUND('Anexo 11'!Q22*'Anexo 1'!$D$10,0)</f>
        <v>0</v>
      </c>
      <c r="R22" s="36">
        <f>ROUND('Anexo 11'!R22*'Anexo 1'!$D$10,0)</f>
        <v>0</v>
      </c>
      <c r="S22" s="36">
        <f>ROUND('Anexo 11'!S22*'Anexo 1'!$D$10,0)</f>
        <v>0</v>
      </c>
      <c r="T22" s="36">
        <f>ROUND('Anexo 11'!T22*'Anexo 1'!$D$10,0)</f>
        <v>0</v>
      </c>
      <c r="U22" s="36">
        <f>ROUND('Anexo 11'!U22*'Anexo 1'!$D$10,0)</f>
        <v>0</v>
      </c>
      <c r="V22" s="36">
        <f>ROUND('Anexo 11'!V22*'Anexo 1'!$D$10,0)</f>
        <v>0</v>
      </c>
      <c r="W22" s="36">
        <f>ROUND('Anexo 11'!W22*'Anexo 1'!$D$10,0)</f>
        <v>0</v>
      </c>
      <c r="X22" s="36">
        <f>ROUND('Anexo 11'!X22*'Anexo 1'!$D$10,0)</f>
        <v>0</v>
      </c>
      <c r="Y22" s="36">
        <f>ROUND('Anexo 11'!Y22*'Anexo 1'!$D$10,0)</f>
        <v>0</v>
      </c>
      <c r="Z22" s="37">
        <f>ROUND('Anexo 11'!Z22*'Anexo 1'!$D$10,0)</f>
        <v>0</v>
      </c>
      <c r="AA22" s="38">
        <f t="shared" si="0"/>
        <v>0</v>
      </c>
      <c r="AB22" s="21">
        <v>4</v>
      </c>
      <c r="AC22" s="101"/>
      <c r="AD22" s="49"/>
    </row>
    <row r="23" spans="1:30" ht="15" x14ac:dyDescent="0.25">
      <c r="A23" s="99"/>
      <c r="B23" s="22" t="s">
        <v>3</v>
      </c>
      <c r="C23" s="39">
        <f>ROUND('Anexo 11'!C23*'Anexo 1'!$D$10,0)</f>
        <v>0</v>
      </c>
      <c r="D23" s="39">
        <f>ROUND('Anexo 11'!D23*'Anexo 1'!$D$10,0)</f>
        <v>0</v>
      </c>
      <c r="E23" s="39">
        <f>ROUND('Anexo 11'!E23*'Anexo 1'!$D$10,0)</f>
        <v>0</v>
      </c>
      <c r="F23" s="39">
        <f>ROUND('Anexo 11'!F23*'Anexo 1'!$D$10,0)</f>
        <v>0</v>
      </c>
      <c r="G23" s="39">
        <f>ROUND('Anexo 11'!G23*'Anexo 1'!$D$10,0)</f>
        <v>0</v>
      </c>
      <c r="H23" s="39">
        <f>ROUND('Anexo 11'!H23*'Anexo 1'!$D$10,0)</f>
        <v>0</v>
      </c>
      <c r="I23" s="39">
        <f>ROUND('Anexo 11'!I23*'Anexo 1'!$D$10,0)</f>
        <v>0</v>
      </c>
      <c r="J23" s="39">
        <f>ROUND('Anexo 11'!J23*'Anexo 1'!$D$10,0)</f>
        <v>0</v>
      </c>
      <c r="K23" s="39">
        <f>ROUND('Anexo 11'!K23*'Anexo 1'!$D$10,0)</f>
        <v>0</v>
      </c>
      <c r="L23" s="39">
        <f>ROUND('Anexo 11'!L23*'Anexo 1'!$D$10,0)</f>
        <v>0</v>
      </c>
      <c r="M23" s="39">
        <f>ROUND('Anexo 11'!M23*'Anexo 1'!$D$10,0)</f>
        <v>0</v>
      </c>
      <c r="N23" s="39">
        <f>ROUND('Anexo 11'!N23*'Anexo 1'!$D$10,0)</f>
        <v>0</v>
      </c>
      <c r="O23" s="39">
        <f>ROUND('Anexo 11'!O23*'Anexo 1'!$D$10,0)</f>
        <v>0</v>
      </c>
      <c r="P23" s="39">
        <f>ROUND('Anexo 11'!P23*'Anexo 1'!$D$10,0)</f>
        <v>0</v>
      </c>
      <c r="Q23" s="39">
        <f>ROUND('Anexo 11'!Q23*'Anexo 1'!$D$10,0)</f>
        <v>0</v>
      </c>
      <c r="R23" s="39">
        <f>ROUND('Anexo 11'!R23*'Anexo 1'!$D$10,0)</f>
        <v>0</v>
      </c>
      <c r="S23" s="39">
        <f>ROUND('Anexo 11'!S23*'Anexo 1'!$D$10,0)</f>
        <v>0</v>
      </c>
      <c r="T23" s="39">
        <f>ROUND('Anexo 11'!T23*'Anexo 1'!$D$10,0)</f>
        <v>0</v>
      </c>
      <c r="U23" s="39">
        <f>ROUND('Anexo 11'!U23*'Anexo 1'!$D$10,0)</f>
        <v>0</v>
      </c>
      <c r="V23" s="39">
        <f>ROUND('Anexo 11'!V23*'Anexo 1'!$D$10,0)</f>
        <v>0</v>
      </c>
      <c r="W23" s="39">
        <f>ROUND('Anexo 11'!W23*'Anexo 1'!$D$10,0)</f>
        <v>0</v>
      </c>
      <c r="X23" s="39">
        <f>ROUND('Anexo 11'!X23*'Anexo 1'!$D$10,0)</f>
        <v>0</v>
      </c>
      <c r="Y23" s="39">
        <f>ROUND('Anexo 11'!Y23*'Anexo 1'!$D$10,0)</f>
        <v>0</v>
      </c>
      <c r="Z23" s="40">
        <f>ROUND('Anexo 11'!Z23*'Anexo 1'!$D$10,0)</f>
        <v>0</v>
      </c>
      <c r="AA23" s="41">
        <f t="shared" si="0"/>
        <v>0</v>
      </c>
      <c r="AB23" s="23">
        <v>7</v>
      </c>
      <c r="AC23" s="102"/>
      <c r="AD23" s="49"/>
    </row>
    <row r="24" spans="1:30" ht="15.75" thickBot="1" x14ac:dyDescent="0.3">
      <c r="A24" s="99">
        <v>46204</v>
      </c>
      <c r="B24" s="18" t="s">
        <v>5</v>
      </c>
      <c r="C24" s="33">
        <f>ROUND('Anexo 11'!C24*'Anexo 1'!$D$10,0)</f>
        <v>0</v>
      </c>
      <c r="D24" s="33">
        <f>ROUND('Anexo 11'!D24*'Anexo 1'!$D$10,0)</f>
        <v>0</v>
      </c>
      <c r="E24" s="33">
        <f>ROUND('Anexo 11'!E24*'Anexo 1'!$D$10,0)</f>
        <v>0</v>
      </c>
      <c r="F24" s="33">
        <f>ROUND('Anexo 11'!F24*'Anexo 1'!$D$10,0)</f>
        <v>0</v>
      </c>
      <c r="G24" s="33">
        <f>ROUND('Anexo 11'!G24*'Anexo 1'!$D$10,0)</f>
        <v>0</v>
      </c>
      <c r="H24" s="33">
        <f>ROUND('Anexo 11'!H24*'Anexo 1'!$D$10,0)</f>
        <v>0</v>
      </c>
      <c r="I24" s="33">
        <f>ROUND('Anexo 11'!I24*'Anexo 1'!$D$10,0)</f>
        <v>0</v>
      </c>
      <c r="J24" s="33">
        <f>ROUND('Anexo 11'!J24*'Anexo 1'!$D$10,0)</f>
        <v>0</v>
      </c>
      <c r="K24" s="33">
        <f>ROUND('Anexo 11'!K24*'Anexo 1'!$D$10,0)</f>
        <v>0</v>
      </c>
      <c r="L24" s="33">
        <f>ROUND('Anexo 11'!L24*'Anexo 1'!$D$10,0)</f>
        <v>0</v>
      </c>
      <c r="M24" s="33">
        <f>ROUND('Anexo 11'!M24*'Anexo 1'!$D$10,0)</f>
        <v>0</v>
      </c>
      <c r="N24" s="33">
        <f>ROUND('Anexo 11'!N24*'Anexo 1'!$D$10,0)</f>
        <v>0</v>
      </c>
      <c r="O24" s="33">
        <f>ROUND('Anexo 11'!O24*'Anexo 1'!$D$10,0)</f>
        <v>0</v>
      </c>
      <c r="P24" s="33">
        <f>ROUND('Anexo 11'!P24*'Anexo 1'!$D$10,0)</f>
        <v>0</v>
      </c>
      <c r="Q24" s="33">
        <f>ROUND('Anexo 11'!Q24*'Anexo 1'!$D$10,0)</f>
        <v>0</v>
      </c>
      <c r="R24" s="33">
        <f>ROUND('Anexo 11'!R24*'Anexo 1'!$D$10,0)</f>
        <v>0</v>
      </c>
      <c r="S24" s="33">
        <f>ROUND('Anexo 11'!S24*'Anexo 1'!$D$10,0)</f>
        <v>0</v>
      </c>
      <c r="T24" s="33">
        <f>ROUND('Anexo 11'!T24*'Anexo 1'!$D$10,0)</f>
        <v>0</v>
      </c>
      <c r="U24" s="33">
        <f>ROUND('Anexo 11'!U24*'Anexo 1'!$D$10,0)</f>
        <v>0</v>
      </c>
      <c r="V24" s="33">
        <f>ROUND('Anexo 11'!V24*'Anexo 1'!$D$10,0)</f>
        <v>0</v>
      </c>
      <c r="W24" s="33">
        <f>ROUND('Anexo 11'!W24*'Anexo 1'!$D$10,0)</f>
        <v>0</v>
      </c>
      <c r="X24" s="33">
        <f>ROUND('Anexo 11'!X24*'Anexo 1'!$D$10,0)</f>
        <v>0</v>
      </c>
      <c r="Y24" s="33">
        <f>ROUND('Anexo 11'!Y24*'Anexo 1'!$D$10,0)</f>
        <v>0</v>
      </c>
      <c r="Z24" s="34">
        <f>ROUND('Anexo 11'!Z24*'Anexo 1'!$D$10,0)</f>
        <v>0</v>
      </c>
      <c r="AA24" s="35">
        <f t="shared" si="0"/>
        <v>0</v>
      </c>
      <c r="AB24" s="19">
        <v>22</v>
      </c>
      <c r="AC24" s="100">
        <f>+AA24*AB24+AA25*AB25+AA26*AB26</f>
        <v>0</v>
      </c>
      <c r="AD24" s="49"/>
    </row>
    <row r="25" spans="1:30" ht="15.75" thickBot="1" x14ac:dyDescent="0.3">
      <c r="A25" s="99"/>
      <c r="B25" s="20" t="s">
        <v>4</v>
      </c>
      <c r="C25" s="36">
        <f>ROUND('Anexo 11'!C25*'Anexo 1'!$D$10,0)</f>
        <v>0</v>
      </c>
      <c r="D25" s="36">
        <f>ROUND('Anexo 11'!D25*'Anexo 1'!$D$10,0)</f>
        <v>0</v>
      </c>
      <c r="E25" s="36">
        <f>ROUND('Anexo 11'!E25*'Anexo 1'!$D$10,0)</f>
        <v>0</v>
      </c>
      <c r="F25" s="36">
        <f>ROUND('Anexo 11'!F25*'Anexo 1'!$D$10,0)</f>
        <v>0</v>
      </c>
      <c r="G25" s="36">
        <f>ROUND('Anexo 11'!G25*'Anexo 1'!$D$10,0)</f>
        <v>0</v>
      </c>
      <c r="H25" s="36">
        <f>ROUND('Anexo 11'!H25*'Anexo 1'!$D$10,0)</f>
        <v>0</v>
      </c>
      <c r="I25" s="36">
        <f>ROUND('Anexo 11'!I25*'Anexo 1'!$D$10,0)</f>
        <v>0</v>
      </c>
      <c r="J25" s="36">
        <f>ROUND('Anexo 11'!J25*'Anexo 1'!$D$10,0)</f>
        <v>0</v>
      </c>
      <c r="K25" s="36">
        <f>ROUND('Anexo 11'!K25*'Anexo 1'!$D$10,0)</f>
        <v>0</v>
      </c>
      <c r="L25" s="36">
        <f>ROUND('Anexo 11'!L25*'Anexo 1'!$D$10,0)</f>
        <v>0</v>
      </c>
      <c r="M25" s="36">
        <f>ROUND('Anexo 11'!M25*'Anexo 1'!$D$10,0)</f>
        <v>0</v>
      </c>
      <c r="N25" s="36">
        <f>ROUND('Anexo 11'!N25*'Anexo 1'!$D$10,0)</f>
        <v>0</v>
      </c>
      <c r="O25" s="36">
        <f>ROUND('Anexo 11'!O25*'Anexo 1'!$D$10,0)</f>
        <v>0</v>
      </c>
      <c r="P25" s="36">
        <f>ROUND('Anexo 11'!P25*'Anexo 1'!$D$10,0)</f>
        <v>0</v>
      </c>
      <c r="Q25" s="36">
        <f>ROUND('Anexo 11'!Q25*'Anexo 1'!$D$10,0)</f>
        <v>0</v>
      </c>
      <c r="R25" s="36">
        <f>ROUND('Anexo 11'!R25*'Anexo 1'!$D$10,0)</f>
        <v>0</v>
      </c>
      <c r="S25" s="36">
        <f>ROUND('Anexo 11'!S25*'Anexo 1'!$D$10,0)</f>
        <v>0</v>
      </c>
      <c r="T25" s="36">
        <f>ROUND('Anexo 11'!T25*'Anexo 1'!$D$10,0)</f>
        <v>0</v>
      </c>
      <c r="U25" s="36">
        <f>ROUND('Anexo 11'!U25*'Anexo 1'!$D$10,0)</f>
        <v>0</v>
      </c>
      <c r="V25" s="36">
        <f>ROUND('Anexo 11'!V25*'Anexo 1'!$D$10,0)</f>
        <v>0</v>
      </c>
      <c r="W25" s="36">
        <f>ROUND('Anexo 11'!W25*'Anexo 1'!$D$10,0)</f>
        <v>0</v>
      </c>
      <c r="X25" s="36">
        <f>ROUND('Anexo 11'!X25*'Anexo 1'!$D$10,0)</f>
        <v>0</v>
      </c>
      <c r="Y25" s="36">
        <f>ROUND('Anexo 11'!Y25*'Anexo 1'!$D$10,0)</f>
        <v>0</v>
      </c>
      <c r="Z25" s="37">
        <f>ROUND('Anexo 11'!Z25*'Anexo 1'!$D$10,0)</f>
        <v>0</v>
      </c>
      <c r="AA25" s="38">
        <f t="shared" si="0"/>
        <v>0</v>
      </c>
      <c r="AB25" s="21">
        <v>4</v>
      </c>
      <c r="AC25" s="101"/>
      <c r="AD25" s="49"/>
    </row>
    <row r="26" spans="1:30" ht="15" x14ac:dyDescent="0.25">
      <c r="A26" s="99"/>
      <c r="B26" s="22" t="s">
        <v>3</v>
      </c>
      <c r="C26" s="39">
        <f>ROUND('Anexo 11'!C26*'Anexo 1'!$D$10,0)</f>
        <v>0</v>
      </c>
      <c r="D26" s="39">
        <f>ROUND('Anexo 11'!D26*'Anexo 1'!$D$10,0)</f>
        <v>0</v>
      </c>
      <c r="E26" s="39">
        <f>ROUND('Anexo 11'!E26*'Anexo 1'!$D$10,0)</f>
        <v>0</v>
      </c>
      <c r="F26" s="39">
        <f>ROUND('Anexo 11'!F26*'Anexo 1'!$D$10,0)</f>
        <v>0</v>
      </c>
      <c r="G26" s="39">
        <f>ROUND('Anexo 11'!G26*'Anexo 1'!$D$10,0)</f>
        <v>0</v>
      </c>
      <c r="H26" s="39">
        <f>ROUND('Anexo 11'!H26*'Anexo 1'!$D$10,0)</f>
        <v>0</v>
      </c>
      <c r="I26" s="39">
        <f>ROUND('Anexo 11'!I26*'Anexo 1'!$D$10,0)</f>
        <v>0</v>
      </c>
      <c r="J26" s="39">
        <f>ROUND('Anexo 11'!J26*'Anexo 1'!$D$10,0)</f>
        <v>0</v>
      </c>
      <c r="K26" s="39">
        <f>ROUND('Anexo 11'!K26*'Anexo 1'!$D$10,0)</f>
        <v>0</v>
      </c>
      <c r="L26" s="39">
        <f>ROUND('Anexo 11'!L26*'Anexo 1'!$D$10,0)</f>
        <v>0</v>
      </c>
      <c r="M26" s="39">
        <f>ROUND('Anexo 11'!M26*'Anexo 1'!$D$10,0)</f>
        <v>0</v>
      </c>
      <c r="N26" s="39">
        <f>ROUND('Anexo 11'!N26*'Anexo 1'!$D$10,0)</f>
        <v>0</v>
      </c>
      <c r="O26" s="39">
        <f>ROUND('Anexo 11'!O26*'Anexo 1'!$D$10,0)</f>
        <v>0</v>
      </c>
      <c r="P26" s="39">
        <f>ROUND('Anexo 11'!P26*'Anexo 1'!$D$10,0)</f>
        <v>0</v>
      </c>
      <c r="Q26" s="39">
        <f>ROUND('Anexo 11'!Q26*'Anexo 1'!$D$10,0)</f>
        <v>0</v>
      </c>
      <c r="R26" s="39">
        <f>ROUND('Anexo 11'!R26*'Anexo 1'!$D$10,0)</f>
        <v>0</v>
      </c>
      <c r="S26" s="39">
        <f>ROUND('Anexo 11'!S26*'Anexo 1'!$D$10,0)</f>
        <v>0</v>
      </c>
      <c r="T26" s="39">
        <f>ROUND('Anexo 11'!T26*'Anexo 1'!$D$10,0)</f>
        <v>0</v>
      </c>
      <c r="U26" s="39">
        <f>ROUND('Anexo 11'!U26*'Anexo 1'!$D$10,0)</f>
        <v>0</v>
      </c>
      <c r="V26" s="39">
        <f>ROUND('Anexo 11'!V26*'Anexo 1'!$D$10,0)</f>
        <v>0</v>
      </c>
      <c r="W26" s="39">
        <f>ROUND('Anexo 11'!W26*'Anexo 1'!$D$10,0)</f>
        <v>0</v>
      </c>
      <c r="X26" s="39">
        <f>ROUND('Anexo 11'!X26*'Anexo 1'!$D$10,0)</f>
        <v>0</v>
      </c>
      <c r="Y26" s="39">
        <f>ROUND('Anexo 11'!Y26*'Anexo 1'!$D$10,0)</f>
        <v>0</v>
      </c>
      <c r="Z26" s="40">
        <f>ROUND('Anexo 11'!Z26*'Anexo 1'!$D$10,0)</f>
        <v>0</v>
      </c>
      <c r="AA26" s="41">
        <f t="shared" si="0"/>
        <v>0</v>
      </c>
      <c r="AB26" s="23">
        <v>5</v>
      </c>
      <c r="AC26" s="102"/>
      <c r="AD26" s="49"/>
    </row>
    <row r="27" spans="1:30" ht="15.75" thickBot="1" x14ac:dyDescent="0.3">
      <c r="A27" s="99">
        <v>46235</v>
      </c>
      <c r="B27" s="18" t="s">
        <v>5</v>
      </c>
      <c r="C27" s="33">
        <f>ROUND('Anexo 11'!C27*'Anexo 1'!$D$10,0)</f>
        <v>0</v>
      </c>
      <c r="D27" s="33">
        <f>ROUND('Anexo 11'!D27*'Anexo 1'!$D$10,0)</f>
        <v>0</v>
      </c>
      <c r="E27" s="33">
        <f>ROUND('Anexo 11'!E27*'Anexo 1'!$D$10,0)</f>
        <v>0</v>
      </c>
      <c r="F27" s="33">
        <f>ROUND('Anexo 11'!F27*'Anexo 1'!$D$10,0)</f>
        <v>0</v>
      </c>
      <c r="G27" s="33">
        <f>ROUND('Anexo 11'!G27*'Anexo 1'!$D$10,0)</f>
        <v>0</v>
      </c>
      <c r="H27" s="33">
        <f>ROUND('Anexo 11'!H27*'Anexo 1'!$D$10,0)</f>
        <v>0</v>
      </c>
      <c r="I27" s="33">
        <f>ROUND('Anexo 11'!I27*'Anexo 1'!$D$10,0)</f>
        <v>0</v>
      </c>
      <c r="J27" s="33">
        <f>ROUND('Anexo 11'!J27*'Anexo 1'!$D$10,0)</f>
        <v>0</v>
      </c>
      <c r="K27" s="33">
        <f>ROUND('Anexo 11'!K27*'Anexo 1'!$D$10,0)</f>
        <v>0</v>
      </c>
      <c r="L27" s="33">
        <f>ROUND('Anexo 11'!L27*'Anexo 1'!$D$10,0)</f>
        <v>0</v>
      </c>
      <c r="M27" s="33">
        <f>ROUND('Anexo 11'!M27*'Anexo 1'!$D$10,0)</f>
        <v>0</v>
      </c>
      <c r="N27" s="33">
        <f>ROUND('Anexo 11'!N27*'Anexo 1'!$D$10,0)</f>
        <v>0</v>
      </c>
      <c r="O27" s="33">
        <f>ROUND('Anexo 11'!O27*'Anexo 1'!$D$10,0)</f>
        <v>0</v>
      </c>
      <c r="P27" s="33">
        <f>ROUND('Anexo 11'!P27*'Anexo 1'!$D$10,0)</f>
        <v>0</v>
      </c>
      <c r="Q27" s="33">
        <f>ROUND('Anexo 11'!Q27*'Anexo 1'!$D$10,0)</f>
        <v>0</v>
      </c>
      <c r="R27" s="33">
        <f>ROUND('Anexo 11'!R27*'Anexo 1'!$D$10,0)</f>
        <v>0</v>
      </c>
      <c r="S27" s="33">
        <f>ROUND('Anexo 11'!S27*'Anexo 1'!$D$10,0)</f>
        <v>0</v>
      </c>
      <c r="T27" s="33">
        <f>ROUND('Anexo 11'!T27*'Anexo 1'!$D$10,0)</f>
        <v>0</v>
      </c>
      <c r="U27" s="33">
        <f>ROUND('Anexo 11'!U27*'Anexo 1'!$D$10,0)</f>
        <v>0</v>
      </c>
      <c r="V27" s="33">
        <f>ROUND('Anexo 11'!V27*'Anexo 1'!$D$10,0)</f>
        <v>0</v>
      </c>
      <c r="W27" s="33">
        <f>ROUND('Anexo 11'!W27*'Anexo 1'!$D$10,0)</f>
        <v>0</v>
      </c>
      <c r="X27" s="33">
        <f>ROUND('Anexo 11'!X27*'Anexo 1'!$D$10,0)</f>
        <v>0</v>
      </c>
      <c r="Y27" s="33">
        <f>ROUND('Anexo 11'!Y27*'Anexo 1'!$D$10,0)</f>
        <v>0</v>
      </c>
      <c r="Z27" s="34">
        <f>ROUND('Anexo 11'!Z27*'Anexo 1'!$D$10,0)</f>
        <v>0</v>
      </c>
      <c r="AA27" s="35">
        <f t="shared" si="0"/>
        <v>0</v>
      </c>
      <c r="AB27" s="19">
        <v>19</v>
      </c>
      <c r="AC27" s="100">
        <f>+AA27*AB27+AA28*AB28+AA29*AB29</f>
        <v>0</v>
      </c>
      <c r="AD27" s="49"/>
    </row>
    <row r="28" spans="1:30" ht="15.75" thickBot="1" x14ac:dyDescent="0.3">
      <c r="A28" s="99"/>
      <c r="B28" s="20" t="s">
        <v>4</v>
      </c>
      <c r="C28" s="36">
        <f>ROUND('Anexo 11'!C28*'Anexo 1'!$D$10,0)</f>
        <v>0</v>
      </c>
      <c r="D28" s="36">
        <f>ROUND('Anexo 11'!D28*'Anexo 1'!$D$10,0)</f>
        <v>0</v>
      </c>
      <c r="E28" s="36">
        <f>ROUND('Anexo 11'!E28*'Anexo 1'!$D$10,0)</f>
        <v>0</v>
      </c>
      <c r="F28" s="36">
        <f>ROUND('Anexo 11'!F28*'Anexo 1'!$D$10,0)</f>
        <v>0</v>
      </c>
      <c r="G28" s="36">
        <f>ROUND('Anexo 11'!G28*'Anexo 1'!$D$10,0)</f>
        <v>0</v>
      </c>
      <c r="H28" s="36">
        <f>ROUND('Anexo 11'!H28*'Anexo 1'!$D$10,0)</f>
        <v>0</v>
      </c>
      <c r="I28" s="36">
        <f>ROUND('Anexo 11'!I28*'Anexo 1'!$D$10,0)</f>
        <v>0</v>
      </c>
      <c r="J28" s="36">
        <f>ROUND('Anexo 11'!J28*'Anexo 1'!$D$10,0)</f>
        <v>0</v>
      </c>
      <c r="K28" s="36">
        <f>ROUND('Anexo 11'!K28*'Anexo 1'!$D$10,0)</f>
        <v>0</v>
      </c>
      <c r="L28" s="36">
        <f>ROUND('Anexo 11'!L28*'Anexo 1'!$D$10,0)</f>
        <v>0</v>
      </c>
      <c r="M28" s="36">
        <f>ROUND('Anexo 11'!M28*'Anexo 1'!$D$10,0)</f>
        <v>0</v>
      </c>
      <c r="N28" s="36">
        <f>ROUND('Anexo 11'!N28*'Anexo 1'!$D$10,0)</f>
        <v>0</v>
      </c>
      <c r="O28" s="36">
        <f>ROUND('Anexo 11'!O28*'Anexo 1'!$D$10,0)</f>
        <v>0</v>
      </c>
      <c r="P28" s="36">
        <f>ROUND('Anexo 11'!P28*'Anexo 1'!$D$10,0)</f>
        <v>0</v>
      </c>
      <c r="Q28" s="36">
        <f>ROUND('Anexo 11'!Q28*'Anexo 1'!$D$10,0)</f>
        <v>0</v>
      </c>
      <c r="R28" s="36">
        <f>ROUND('Anexo 11'!R28*'Anexo 1'!$D$10,0)</f>
        <v>0</v>
      </c>
      <c r="S28" s="36">
        <f>ROUND('Anexo 11'!S28*'Anexo 1'!$D$10,0)</f>
        <v>0</v>
      </c>
      <c r="T28" s="36">
        <f>ROUND('Anexo 11'!T28*'Anexo 1'!$D$10,0)</f>
        <v>0</v>
      </c>
      <c r="U28" s="36">
        <f>ROUND('Anexo 11'!U28*'Anexo 1'!$D$10,0)</f>
        <v>0</v>
      </c>
      <c r="V28" s="36">
        <f>ROUND('Anexo 11'!V28*'Anexo 1'!$D$10,0)</f>
        <v>0</v>
      </c>
      <c r="W28" s="36">
        <f>ROUND('Anexo 11'!W28*'Anexo 1'!$D$10,0)</f>
        <v>0</v>
      </c>
      <c r="X28" s="36">
        <f>ROUND('Anexo 11'!X28*'Anexo 1'!$D$10,0)</f>
        <v>0</v>
      </c>
      <c r="Y28" s="36">
        <f>ROUND('Anexo 11'!Y28*'Anexo 1'!$D$10,0)</f>
        <v>0</v>
      </c>
      <c r="Z28" s="37">
        <f>ROUND('Anexo 11'!Z28*'Anexo 1'!$D$10,0)</f>
        <v>0</v>
      </c>
      <c r="AA28" s="38">
        <f t="shared" si="0"/>
        <v>0</v>
      </c>
      <c r="AB28" s="21">
        <v>5</v>
      </c>
      <c r="AC28" s="101"/>
      <c r="AD28" s="49"/>
    </row>
    <row r="29" spans="1:30" ht="15" x14ac:dyDescent="0.25">
      <c r="A29" s="99"/>
      <c r="B29" s="22" t="s">
        <v>3</v>
      </c>
      <c r="C29" s="39">
        <f>ROUND('Anexo 11'!C29*'Anexo 1'!$D$10,0)</f>
        <v>0</v>
      </c>
      <c r="D29" s="39">
        <f>ROUND('Anexo 11'!D29*'Anexo 1'!$D$10,0)</f>
        <v>0</v>
      </c>
      <c r="E29" s="39">
        <f>ROUND('Anexo 11'!E29*'Anexo 1'!$D$10,0)</f>
        <v>0</v>
      </c>
      <c r="F29" s="39">
        <f>ROUND('Anexo 11'!F29*'Anexo 1'!$D$10,0)</f>
        <v>0</v>
      </c>
      <c r="G29" s="39">
        <f>ROUND('Anexo 11'!G29*'Anexo 1'!$D$10,0)</f>
        <v>0</v>
      </c>
      <c r="H29" s="39">
        <f>ROUND('Anexo 11'!H29*'Anexo 1'!$D$10,0)</f>
        <v>0</v>
      </c>
      <c r="I29" s="39">
        <f>ROUND('Anexo 11'!I29*'Anexo 1'!$D$10,0)</f>
        <v>0</v>
      </c>
      <c r="J29" s="39">
        <f>ROUND('Anexo 11'!J29*'Anexo 1'!$D$10,0)</f>
        <v>0</v>
      </c>
      <c r="K29" s="39">
        <f>ROUND('Anexo 11'!K29*'Anexo 1'!$D$10,0)</f>
        <v>0</v>
      </c>
      <c r="L29" s="39">
        <f>ROUND('Anexo 11'!L29*'Anexo 1'!$D$10,0)</f>
        <v>0</v>
      </c>
      <c r="M29" s="39">
        <f>ROUND('Anexo 11'!M29*'Anexo 1'!$D$10,0)</f>
        <v>0</v>
      </c>
      <c r="N29" s="39">
        <f>ROUND('Anexo 11'!N29*'Anexo 1'!$D$10,0)</f>
        <v>0</v>
      </c>
      <c r="O29" s="39">
        <f>ROUND('Anexo 11'!O29*'Anexo 1'!$D$10,0)</f>
        <v>0</v>
      </c>
      <c r="P29" s="39">
        <f>ROUND('Anexo 11'!P29*'Anexo 1'!$D$10,0)</f>
        <v>0</v>
      </c>
      <c r="Q29" s="39">
        <f>ROUND('Anexo 11'!Q29*'Anexo 1'!$D$10,0)</f>
        <v>0</v>
      </c>
      <c r="R29" s="39">
        <f>ROUND('Anexo 11'!R29*'Anexo 1'!$D$10,0)</f>
        <v>0</v>
      </c>
      <c r="S29" s="39">
        <f>ROUND('Anexo 11'!S29*'Anexo 1'!$D$10,0)</f>
        <v>0</v>
      </c>
      <c r="T29" s="39">
        <f>ROUND('Anexo 11'!T29*'Anexo 1'!$D$10,0)</f>
        <v>0</v>
      </c>
      <c r="U29" s="39">
        <f>ROUND('Anexo 11'!U29*'Anexo 1'!$D$10,0)</f>
        <v>0</v>
      </c>
      <c r="V29" s="39">
        <f>ROUND('Anexo 11'!V29*'Anexo 1'!$D$10,0)</f>
        <v>0</v>
      </c>
      <c r="W29" s="39">
        <f>ROUND('Anexo 11'!W29*'Anexo 1'!$D$10,0)</f>
        <v>0</v>
      </c>
      <c r="X29" s="39">
        <f>ROUND('Anexo 11'!X29*'Anexo 1'!$D$10,0)</f>
        <v>0</v>
      </c>
      <c r="Y29" s="39">
        <f>ROUND('Anexo 11'!Y29*'Anexo 1'!$D$10,0)</f>
        <v>0</v>
      </c>
      <c r="Z29" s="40">
        <f>ROUND('Anexo 11'!Z29*'Anexo 1'!$D$10,0)</f>
        <v>0</v>
      </c>
      <c r="AA29" s="41">
        <f t="shared" si="0"/>
        <v>0</v>
      </c>
      <c r="AB29" s="23">
        <v>7</v>
      </c>
      <c r="AC29" s="102"/>
      <c r="AD29" s="49"/>
    </row>
    <row r="30" spans="1:30" ht="15.75" thickBot="1" x14ac:dyDescent="0.3">
      <c r="A30" s="99">
        <v>46266</v>
      </c>
      <c r="B30" s="18" t="s">
        <v>5</v>
      </c>
      <c r="C30" s="33">
        <f>ROUND('Anexo 11'!C30*'Anexo 1'!$D$10,0)</f>
        <v>0</v>
      </c>
      <c r="D30" s="33">
        <f>ROUND('Anexo 11'!D30*'Anexo 1'!$D$10,0)</f>
        <v>0</v>
      </c>
      <c r="E30" s="33">
        <f>ROUND('Anexo 11'!E30*'Anexo 1'!$D$10,0)</f>
        <v>0</v>
      </c>
      <c r="F30" s="33">
        <f>ROUND('Anexo 11'!F30*'Anexo 1'!$D$10,0)</f>
        <v>0</v>
      </c>
      <c r="G30" s="33">
        <f>ROUND('Anexo 11'!G30*'Anexo 1'!$D$10,0)</f>
        <v>0</v>
      </c>
      <c r="H30" s="33">
        <f>ROUND('Anexo 11'!H30*'Anexo 1'!$D$10,0)</f>
        <v>0</v>
      </c>
      <c r="I30" s="33">
        <f>ROUND('Anexo 11'!I30*'Anexo 1'!$D$10,0)</f>
        <v>0</v>
      </c>
      <c r="J30" s="33">
        <f>ROUND('Anexo 11'!J30*'Anexo 1'!$D$10,0)</f>
        <v>0</v>
      </c>
      <c r="K30" s="33">
        <f>ROUND('Anexo 11'!K30*'Anexo 1'!$D$10,0)</f>
        <v>0</v>
      </c>
      <c r="L30" s="33">
        <f>ROUND('Anexo 11'!L30*'Anexo 1'!$D$10,0)</f>
        <v>0</v>
      </c>
      <c r="M30" s="33">
        <f>ROUND('Anexo 11'!M30*'Anexo 1'!$D$10,0)</f>
        <v>0</v>
      </c>
      <c r="N30" s="33">
        <f>ROUND('Anexo 11'!N30*'Anexo 1'!$D$10,0)</f>
        <v>0</v>
      </c>
      <c r="O30" s="33">
        <f>ROUND('Anexo 11'!O30*'Anexo 1'!$D$10,0)</f>
        <v>0</v>
      </c>
      <c r="P30" s="33">
        <f>ROUND('Anexo 11'!P30*'Anexo 1'!$D$10,0)</f>
        <v>0</v>
      </c>
      <c r="Q30" s="33">
        <f>ROUND('Anexo 11'!Q30*'Anexo 1'!$D$10,0)</f>
        <v>0</v>
      </c>
      <c r="R30" s="33">
        <f>ROUND('Anexo 11'!R30*'Anexo 1'!$D$10,0)</f>
        <v>0</v>
      </c>
      <c r="S30" s="33">
        <f>ROUND('Anexo 11'!S30*'Anexo 1'!$D$10,0)</f>
        <v>0</v>
      </c>
      <c r="T30" s="33">
        <f>ROUND('Anexo 11'!T30*'Anexo 1'!$D$10,0)</f>
        <v>0</v>
      </c>
      <c r="U30" s="33">
        <f>ROUND('Anexo 11'!U30*'Anexo 1'!$D$10,0)</f>
        <v>0</v>
      </c>
      <c r="V30" s="33">
        <f>ROUND('Anexo 11'!V30*'Anexo 1'!$D$10,0)</f>
        <v>0</v>
      </c>
      <c r="W30" s="33">
        <f>ROUND('Anexo 11'!W30*'Anexo 1'!$D$10,0)</f>
        <v>0</v>
      </c>
      <c r="X30" s="33">
        <f>ROUND('Anexo 11'!X30*'Anexo 1'!$D$10,0)</f>
        <v>0</v>
      </c>
      <c r="Y30" s="33">
        <f>ROUND('Anexo 11'!Y30*'Anexo 1'!$D$10,0)</f>
        <v>0</v>
      </c>
      <c r="Z30" s="34">
        <f>ROUND('Anexo 11'!Z30*'Anexo 1'!$D$10,0)</f>
        <v>0</v>
      </c>
      <c r="AA30" s="35">
        <f t="shared" si="0"/>
        <v>0</v>
      </c>
      <c r="AB30" s="19">
        <v>22</v>
      </c>
      <c r="AC30" s="100">
        <f>+AA30*AB30+AA31*AB31+AA32*AB32</f>
        <v>0</v>
      </c>
      <c r="AD30" s="49"/>
    </row>
    <row r="31" spans="1:30" ht="15.75" thickBot="1" x14ac:dyDescent="0.3">
      <c r="A31" s="99"/>
      <c r="B31" s="20" t="s">
        <v>4</v>
      </c>
      <c r="C31" s="36">
        <f>ROUND('Anexo 11'!C31*'Anexo 1'!$D$10,0)</f>
        <v>0</v>
      </c>
      <c r="D31" s="36">
        <f>ROUND('Anexo 11'!D31*'Anexo 1'!$D$10,0)</f>
        <v>0</v>
      </c>
      <c r="E31" s="36">
        <f>ROUND('Anexo 11'!E31*'Anexo 1'!$D$10,0)</f>
        <v>0</v>
      </c>
      <c r="F31" s="36">
        <f>ROUND('Anexo 11'!F31*'Anexo 1'!$D$10,0)</f>
        <v>0</v>
      </c>
      <c r="G31" s="36">
        <f>ROUND('Anexo 11'!G31*'Anexo 1'!$D$10,0)</f>
        <v>0</v>
      </c>
      <c r="H31" s="36">
        <f>ROUND('Anexo 11'!H31*'Anexo 1'!$D$10,0)</f>
        <v>0</v>
      </c>
      <c r="I31" s="36">
        <f>ROUND('Anexo 11'!I31*'Anexo 1'!$D$10,0)</f>
        <v>0</v>
      </c>
      <c r="J31" s="36">
        <f>ROUND('Anexo 11'!J31*'Anexo 1'!$D$10,0)</f>
        <v>0</v>
      </c>
      <c r="K31" s="36">
        <f>ROUND('Anexo 11'!K31*'Anexo 1'!$D$10,0)</f>
        <v>0</v>
      </c>
      <c r="L31" s="36">
        <f>ROUND('Anexo 11'!L31*'Anexo 1'!$D$10,0)</f>
        <v>0</v>
      </c>
      <c r="M31" s="36">
        <f>ROUND('Anexo 11'!M31*'Anexo 1'!$D$10,0)</f>
        <v>0</v>
      </c>
      <c r="N31" s="36">
        <f>ROUND('Anexo 11'!N31*'Anexo 1'!$D$10,0)</f>
        <v>0</v>
      </c>
      <c r="O31" s="36">
        <f>ROUND('Anexo 11'!O31*'Anexo 1'!$D$10,0)</f>
        <v>0</v>
      </c>
      <c r="P31" s="36">
        <f>ROUND('Anexo 11'!P31*'Anexo 1'!$D$10,0)</f>
        <v>0</v>
      </c>
      <c r="Q31" s="36">
        <f>ROUND('Anexo 11'!Q31*'Anexo 1'!$D$10,0)</f>
        <v>0</v>
      </c>
      <c r="R31" s="36">
        <f>ROUND('Anexo 11'!R31*'Anexo 1'!$D$10,0)</f>
        <v>0</v>
      </c>
      <c r="S31" s="36">
        <f>ROUND('Anexo 11'!S31*'Anexo 1'!$D$10,0)</f>
        <v>0</v>
      </c>
      <c r="T31" s="36">
        <f>ROUND('Anexo 11'!T31*'Anexo 1'!$D$10,0)</f>
        <v>0</v>
      </c>
      <c r="U31" s="36">
        <f>ROUND('Anexo 11'!U31*'Anexo 1'!$D$10,0)</f>
        <v>0</v>
      </c>
      <c r="V31" s="36">
        <f>ROUND('Anexo 11'!V31*'Anexo 1'!$D$10,0)</f>
        <v>0</v>
      </c>
      <c r="W31" s="36">
        <f>ROUND('Anexo 11'!W31*'Anexo 1'!$D$10,0)</f>
        <v>0</v>
      </c>
      <c r="X31" s="36">
        <f>ROUND('Anexo 11'!X31*'Anexo 1'!$D$10,0)</f>
        <v>0</v>
      </c>
      <c r="Y31" s="36">
        <f>ROUND('Anexo 11'!Y31*'Anexo 1'!$D$10,0)</f>
        <v>0</v>
      </c>
      <c r="Z31" s="37">
        <f>ROUND('Anexo 11'!Z31*'Anexo 1'!$D$10,0)</f>
        <v>0</v>
      </c>
      <c r="AA31" s="38">
        <f t="shared" si="0"/>
        <v>0</v>
      </c>
      <c r="AB31" s="21">
        <v>4</v>
      </c>
      <c r="AC31" s="101"/>
      <c r="AD31" s="49"/>
    </row>
    <row r="32" spans="1:30" ht="15" x14ac:dyDescent="0.25">
      <c r="A32" s="99"/>
      <c r="B32" s="22" t="s">
        <v>3</v>
      </c>
      <c r="C32" s="39">
        <f>ROUND('Anexo 11'!C32*'Anexo 1'!$D$10,0)</f>
        <v>0</v>
      </c>
      <c r="D32" s="39">
        <f>ROUND('Anexo 11'!D32*'Anexo 1'!$D$10,0)</f>
        <v>0</v>
      </c>
      <c r="E32" s="39">
        <f>ROUND('Anexo 11'!E32*'Anexo 1'!$D$10,0)</f>
        <v>0</v>
      </c>
      <c r="F32" s="39">
        <f>ROUND('Anexo 11'!F32*'Anexo 1'!$D$10,0)</f>
        <v>0</v>
      </c>
      <c r="G32" s="39">
        <f>ROUND('Anexo 11'!G32*'Anexo 1'!$D$10,0)</f>
        <v>0</v>
      </c>
      <c r="H32" s="39">
        <f>ROUND('Anexo 11'!H32*'Anexo 1'!$D$10,0)</f>
        <v>0</v>
      </c>
      <c r="I32" s="39">
        <f>ROUND('Anexo 11'!I32*'Anexo 1'!$D$10,0)</f>
        <v>0</v>
      </c>
      <c r="J32" s="39">
        <f>ROUND('Anexo 11'!J32*'Anexo 1'!$D$10,0)</f>
        <v>0</v>
      </c>
      <c r="K32" s="39">
        <f>ROUND('Anexo 11'!K32*'Anexo 1'!$D$10,0)</f>
        <v>0</v>
      </c>
      <c r="L32" s="39">
        <f>ROUND('Anexo 11'!L32*'Anexo 1'!$D$10,0)</f>
        <v>0</v>
      </c>
      <c r="M32" s="39">
        <f>ROUND('Anexo 11'!M32*'Anexo 1'!$D$10,0)</f>
        <v>0</v>
      </c>
      <c r="N32" s="39">
        <f>ROUND('Anexo 11'!N32*'Anexo 1'!$D$10,0)</f>
        <v>0</v>
      </c>
      <c r="O32" s="39">
        <f>ROUND('Anexo 11'!O32*'Anexo 1'!$D$10,0)</f>
        <v>0</v>
      </c>
      <c r="P32" s="39">
        <f>ROUND('Anexo 11'!P32*'Anexo 1'!$D$10,0)</f>
        <v>0</v>
      </c>
      <c r="Q32" s="39">
        <f>ROUND('Anexo 11'!Q32*'Anexo 1'!$D$10,0)</f>
        <v>0</v>
      </c>
      <c r="R32" s="39">
        <f>ROUND('Anexo 11'!R32*'Anexo 1'!$D$10,0)</f>
        <v>0</v>
      </c>
      <c r="S32" s="39">
        <f>ROUND('Anexo 11'!S32*'Anexo 1'!$D$10,0)</f>
        <v>0</v>
      </c>
      <c r="T32" s="39">
        <f>ROUND('Anexo 11'!T32*'Anexo 1'!$D$10,0)</f>
        <v>0</v>
      </c>
      <c r="U32" s="39">
        <f>ROUND('Anexo 11'!U32*'Anexo 1'!$D$10,0)</f>
        <v>0</v>
      </c>
      <c r="V32" s="39">
        <f>ROUND('Anexo 11'!V32*'Anexo 1'!$D$10,0)</f>
        <v>0</v>
      </c>
      <c r="W32" s="39">
        <f>ROUND('Anexo 11'!W32*'Anexo 1'!$D$10,0)</f>
        <v>0</v>
      </c>
      <c r="X32" s="39">
        <f>ROUND('Anexo 11'!X32*'Anexo 1'!$D$10,0)</f>
        <v>0</v>
      </c>
      <c r="Y32" s="39">
        <f>ROUND('Anexo 11'!Y32*'Anexo 1'!$D$10,0)</f>
        <v>0</v>
      </c>
      <c r="Z32" s="40">
        <f>ROUND('Anexo 11'!Z32*'Anexo 1'!$D$10,0)</f>
        <v>0</v>
      </c>
      <c r="AA32" s="41">
        <f t="shared" si="0"/>
        <v>0</v>
      </c>
      <c r="AB32" s="23">
        <v>4</v>
      </c>
      <c r="AC32" s="102"/>
      <c r="AD32" s="49"/>
    </row>
    <row r="33" spans="1:30" ht="15.75" thickBot="1" x14ac:dyDescent="0.3">
      <c r="A33" s="99">
        <v>46296</v>
      </c>
      <c r="B33" s="18" t="s">
        <v>5</v>
      </c>
      <c r="C33" s="33">
        <f>ROUND('Anexo 11'!C33*'Anexo 1'!$D$10,0)</f>
        <v>0</v>
      </c>
      <c r="D33" s="33">
        <f>ROUND('Anexo 11'!D33*'Anexo 1'!$D$10,0)</f>
        <v>0</v>
      </c>
      <c r="E33" s="33">
        <f>ROUND('Anexo 11'!E33*'Anexo 1'!$D$10,0)</f>
        <v>0</v>
      </c>
      <c r="F33" s="33">
        <f>ROUND('Anexo 11'!F33*'Anexo 1'!$D$10,0)</f>
        <v>0</v>
      </c>
      <c r="G33" s="33">
        <f>ROUND('Anexo 11'!G33*'Anexo 1'!$D$10,0)</f>
        <v>0</v>
      </c>
      <c r="H33" s="33">
        <f>ROUND('Anexo 11'!H33*'Anexo 1'!$D$10,0)</f>
        <v>0</v>
      </c>
      <c r="I33" s="33">
        <f>ROUND('Anexo 11'!I33*'Anexo 1'!$D$10,0)</f>
        <v>0</v>
      </c>
      <c r="J33" s="33">
        <f>ROUND('Anexo 11'!J33*'Anexo 1'!$D$10,0)</f>
        <v>0</v>
      </c>
      <c r="K33" s="33">
        <f>ROUND('Anexo 11'!K33*'Anexo 1'!$D$10,0)</f>
        <v>0</v>
      </c>
      <c r="L33" s="33">
        <f>ROUND('Anexo 11'!L33*'Anexo 1'!$D$10,0)</f>
        <v>0</v>
      </c>
      <c r="M33" s="33">
        <f>ROUND('Anexo 11'!M33*'Anexo 1'!$D$10,0)</f>
        <v>0</v>
      </c>
      <c r="N33" s="33">
        <f>ROUND('Anexo 11'!N33*'Anexo 1'!$D$10,0)</f>
        <v>0</v>
      </c>
      <c r="O33" s="33">
        <f>ROUND('Anexo 11'!O33*'Anexo 1'!$D$10,0)</f>
        <v>0</v>
      </c>
      <c r="P33" s="33">
        <f>ROUND('Anexo 11'!P33*'Anexo 1'!$D$10,0)</f>
        <v>0</v>
      </c>
      <c r="Q33" s="33">
        <f>ROUND('Anexo 11'!Q33*'Anexo 1'!$D$10,0)</f>
        <v>0</v>
      </c>
      <c r="R33" s="33">
        <f>ROUND('Anexo 11'!R33*'Anexo 1'!$D$10,0)</f>
        <v>0</v>
      </c>
      <c r="S33" s="33">
        <f>ROUND('Anexo 11'!S33*'Anexo 1'!$D$10,0)</f>
        <v>0</v>
      </c>
      <c r="T33" s="33">
        <f>ROUND('Anexo 11'!T33*'Anexo 1'!$D$10,0)</f>
        <v>0</v>
      </c>
      <c r="U33" s="33">
        <f>ROUND('Anexo 11'!U33*'Anexo 1'!$D$10,0)</f>
        <v>0</v>
      </c>
      <c r="V33" s="33">
        <f>ROUND('Anexo 11'!V33*'Anexo 1'!$D$10,0)</f>
        <v>0</v>
      </c>
      <c r="W33" s="33">
        <f>ROUND('Anexo 11'!W33*'Anexo 1'!$D$10,0)</f>
        <v>0</v>
      </c>
      <c r="X33" s="33">
        <f>ROUND('Anexo 11'!X33*'Anexo 1'!$D$10,0)</f>
        <v>0</v>
      </c>
      <c r="Y33" s="33">
        <f>ROUND('Anexo 11'!Y33*'Anexo 1'!$D$10,0)</f>
        <v>0</v>
      </c>
      <c r="Z33" s="34">
        <f>ROUND('Anexo 11'!Z33*'Anexo 1'!$D$10,0)</f>
        <v>0</v>
      </c>
      <c r="AA33" s="35">
        <f t="shared" si="0"/>
        <v>0</v>
      </c>
      <c r="AB33" s="19">
        <v>21</v>
      </c>
      <c r="AC33" s="100">
        <f>+AA33*AB33+AA34*AB34+AA35*AB35</f>
        <v>0</v>
      </c>
      <c r="AD33" s="49"/>
    </row>
    <row r="34" spans="1:30" ht="15.75" thickBot="1" x14ac:dyDescent="0.3">
      <c r="A34" s="99"/>
      <c r="B34" s="20" t="s">
        <v>4</v>
      </c>
      <c r="C34" s="36">
        <f>ROUND('Anexo 11'!C34*'Anexo 1'!$D$10,0)</f>
        <v>0</v>
      </c>
      <c r="D34" s="36">
        <f>ROUND('Anexo 11'!D34*'Anexo 1'!$D$10,0)</f>
        <v>0</v>
      </c>
      <c r="E34" s="36">
        <f>ROUND('Anexo 11'!E34*'Anexo 1'!$D$10,0)</f>
        <v>0</v>
      </c>
      <c r="F34" s="36">
        <f>ROUND('Anexo 11'!F34*'Anexo 1'!$D$10,0)</f>
        <v>0</v>
      </c>
      <c r="G34" s="36">
        <f>ROUND('Anexo 11'!G34*'Anexo 1'!$D$10,0)</f>
        <v>0</v>
      </c>
      <c r="H34" s="36">
        <f>ROUND('Anexo 11'!H34*'Anexo 1'!$D$10,0)</f>
        <v>0</v>
      </c>
      <c r="I34" s="36">
        <f>ROUND('Anexo 11'!I34*'Anexo 1'!$D$10,0)</f>
        <v>0</v>
      </c>
      <c r="J34" s="36">
        <f>ROUND('Anexo 11'!J34*'Anexo 1'!$D$10,0)</f>
        <v>0</v>
      </c>
      <c r="K34" s="36">
        <f>ROUND('Anexo 11'!K34*'Anexo 1'!$D$10,0)</f>
        <v>0</v>
      </c>
      <c r="L34" s="36">
        <f>ROUND('Anexo 11'!L34*'Anexo 1'!$D$10,0)</f>
        <v>0</v>
      </c>
      <c r="M34" s="36">
        <f>ROUND('Anexo 11'!M34*'Anexo 1'!$D$10,0)</f>
        <v>0</v>
      </c>
      <c r="N34" s="36">
        <f>ROUND('Anexo 11'!N34*'Anexo 1'!$D$10,0)</f>
        <v>0</v>
      </c>
      <c r="O34" s="36">
        <f>ROUND('Anexo 11'!O34*'Anexo 1'!$D$10,0)</f>
        <v>0</v>
      </c>
      <c r="P34" s="36">
        <f>ROUND('Anexo 11'!P34*'Anexo 1'!$D$10,0)</f>
        <v>0</v>
      </c>
      <c r="Q34" s="36">
        <f>ROUND('Anexo 11'!Q34*'Anexo 1'!$D$10,0)</f>
        <v>0</v>
      </c>
      <c r="R34" s="36">
        <f>ROUND('Anexo 11'!R34*'Anexo 1'!$D$10,0)</f>
        <v>0</v>
      </c>
      <c r="S34" s="36">
        <f>ROUND('Anexo 11'!S34*'Anexo 1'!$D$10,0)</f>
        <v>0</v>
      </c>
      <c r="T34" s="36">
        <f>ROUND('Anexo 11'!T34*'Anexo 1'!$D$10,0)</f>
        <v>0</v>
      </c>
      <c r="U34" s="36">
        <f>ROUND('Anexo 11'!U34*'Anexo 1'!$D$10,0)</f>
        <v>0</v>
      </c>
      <c r="V34" s="36">
        <f>ROUND('Anexo 11'!V34*'Anexo 1'!$D$10,0)</f>
        <v>0</v>
      </c>
      <c r="W34" s="36">
        <f>ROUND('Anexo 11'!W34*'Anexo 1'!$D$10,0)</f>
        <v>0</v>
      </c>
      <c r="X34" s="36">
        <f>ROUND('Anexo 11'!X34*'Anexo 1'!$D$10,0)</f>
        <v>0</v>
      </c>
      <c r="Y34" s="36">
        <f>ROUND('Anexo 11'!Y34*'Anexo 1'!$D$10,0)</f>
        <v>0</v>
      </c>
      <c r="Z34" s="37">
        <f>ROUND('Anexo 11'!Z34*'Anexo 1'!$D$10,0)</f>
        <v>0</v>
      </c>
      <c r="AA34" s="38">
        <f t="shared" si="0"/>
        <v>0</v>
      </c>
      <c r="AB34" s="21">
        <v>5</v>
      </c>
      <c r="AC34" s="101"/>
      <c r="AD34" s="49"/>
    </row>
    <row r="35" spans="1:30" ht="15" x14ac:dyDescent="0.25">
      <c r="A35" s="99"/>
      <c r="B35" s="22" t="s">
        <v>3</v>
      </c>
      <c r="C35" s="39">
        <f>ROUND('Anexo 11'!C35*'Anexo 1'!$D$10,0)</f>
        <v>0</v>
      </c>
      <c r="D35" s="39">
        <f>ROUND('Anexo 11'!D35*'Anexo 1'!$D$10,0)</f>
        <v>0</v>
      </c>
      <c r="E35" s="39">
        <f>ROUND('Anexo 11'!E35*'Anexo 1'!$D$10,0)</f>
        <v>0</v>
      </c>
      <c r="F35" s="39">
        <f>ROUND('Anexo 11'!F35*'Anexo 1'!$D$10,0)</f>
        <v>0</v>
      </c>
      <c r="G35" s="39">
        <f>ROUND('Anexo 11'!G35*'Anexo 1'!$D$10,0)</f>
        <v>0</v>
      </c>
      <c r="H35" s="39">
        <f>ROUND('Anexo 11'!H35*'Anexo 1'!$D$10,0)</f>
        <v>0</v>
      </c>
      <c r="I35" s="39">
        <f>ROUND('Anexo 11'!I35*'Anexo 1'!$D$10,0)</f>
        <v>0</v>
      </c>
      <c r="J35" s="39">
        <f>ROUND('Anexo 11'!J35*'Anexo 1'!$D$10,0)</f>
        <v>0</v>
      </c>
      <c r="K35" s="39">
        <f>ROUND('Anexo 11'!K35*'Anexo 1'!$D$10,0)</f>
        <v>0</v>
      </c>
      <c r="L35" s="39">
        <f>ROUND('Anexo 11'!L35*'Anexo 1'!$D$10,0)</f>
        <v>0</v>
      </c>
      <c r="M35" s="39">
        <f>ROUND('Anexo 11'!M35*'Anexo 1'!$D$10,0)</f>
        <v>0</v>
      </c>
      <c r="N35" s="39">
        <f>ROUND('Anexo 11'!N35*'Anexo 1'!$D$10,0)</f>
        <v>0</v>
      </c>
      <c r="O35" s="39">
        <f>ROUND('Anexo 11'!O35*'Anexo 1'!$D$10,0)</f>
        <v>0</v>
      </c>
      <c r="P35" s="39">
        <f>ROUND('Anexo 11'!P35*'Anexo 1'!$D$10,0)</f>
        <v>0</v>
      </c>
      <c r="Q35" s="39">
        <f>ROUND('Anexo 11'!Q35*'Anexo 1'!$D$10,0)</f>
        <v>0</v>
      </c>
      <c r="R35" s="39">
        <f>ROUND('Anexo 11'!R35*'Anexo 1'!$D$10,0)</f>
        <v>0</v>
      </c>
      <c r="S35" s="39">
        <f>ROUND('Anexo 11'!S35*'Anexo 1'!$D$10,0)</f>
        <v>0</v>
      </c>
      <c r="T35" s="39">
        <f>ROUND('Anexo 11'!T35*'Anexo 1'!$D$10,0)</f>
        <v>0</v>
      </c>
      <c r="U35" s="39">
        <f>ROUND('Anexo 11'!U35*'Anexo 1'!$D$10,0)</f>
        <v>0</v>
      </c>
      <c r="V35" s="39">
        <f>ROUND('Anexo 11'!V35*'Anexo 1'!$D$10,0)</f>
        <v>0</v>
      </c>
      <c r="W35" s="39">
        <f>ROUND('Anexo 11'!W35*'Anexo 1'!$D$10,0)</f>
        <v>0</v>
      </c>
      <c r="X35" s="39">
        <f>ROUND('Anexo 11'!X35*'Anexo 1'!$D$10,0)</f>
        <v>0</v>
      </c>
      <c r="Y35" s="39">
        <f>ROUND('Anexo 11'!Y35*'Anexo 1'!$D$10,0)</f>
        <v>0</v>
      </c>
      <c r="Z35" s="40">
        <f>ROUND('Anexo 11'!Z35*'Anexo 1'!$D$10,0)</f>
        <v>0</v>
      </c>
      <c r="AA35" s="41">
        <f t="shared" si="0"/>
        <v>0</v>
      </c>
      <c r="AB35" s="23">
        <v>5</v>
      </c>
      <c r="AC35" s="102"/>
      <c r="AD35" s="49"/>
    </row>
    <row r="36" spans="1:30" ht="15.75" thickBot="1" x14ac:dyDescent="0.3">
      <c r="A36" s="99">
        <v>46327</v>
      </c>
      <c r="B36" s="18" t="s">
        <v>5</v>
      </c>
      <c r="C36" s="33">
        <f>ROUND('Anexo 11'!C36*'Anexo 1'!$D$10,0)</f>
        <v>0</v>
      </c>
      <c r="D36" s="33">
        <f>ROUND('Anexo 11'!D36*'Anexo 1'!$D$10,0)</f>
        <v>0</v>
      </c>
      <c r="E36" s="33">
        <f>ROUND('Anexo 11'!E36*'Anexo 1'!$D$10,0)</f>
        <v>0</v>
      </c>
      <c r="F36" s="33">
        <f>ROUND('Anexo 11'!F36*'Anexo 1'!$D$10,0)</f>
        <v>0</v>
      </c>
      <c r="G36" s="33">
        <f>ROUND('Anexo 11'!G36*'Anexo 1'!$D$10,0)</f>
        <v>0</v>
      </c>
      <c r="H36" s="33">
        <f>ROUND('Anexo 11'!H36*'Anexo 1'!$D$10,0)</f>
        <v>0</v>
      </c>
      <c r="I36" s="33">
        <f>ROUND('Anexo 11'!I36*'Anexo 1'!$D$10,0)</f>
        <v>0</v>
      </c>
      <c r="J36" s="33">
        <f>ROUND('Anexo 11'!J36*'Anexo 1'!$D$10,0)</f>
        <v>0</v>
      </c>
      <c r="K36" s="33">
        <f>ROUND('Anexo 11'!K36*'Anexo 1'!$D$10,0)</f>
        <v>0</v>
      </c>
      <c r="L36" s="33">
        <f>ROUND('Anexo 11'!L36*'Anexo 1'!$D$10,0)</f>
        <v>0</v>
      </c>
      <c r="M36" s="33">
        <f>ROUND('Anexo 11'!M36*'Anexo 1'!$D$10,0)</f>
        <v>0</v>
      </c>
      <c r="N36" s="33">
        <f>ROUND('Anexo 11'!N36*'Anexo 1'!$D$10,0)</f>
        <v>0</v>
      </c>
      <c r="O36" s="33">
        <f>ROUND('Anexo 11'!O36*'Anexo 1'!$D$10,0)</f>
        <v>0</v>
      </c>
      <c r="P36" s="33">
        <f>ROUND('Anexo 11'!P36*'Anexo 1'!$D$10,0)</f>
        <v>0</v>
      </c>
      <c r="Q36" s="33">
        <f>ROUND('Anexo 11'!Q36*'Anexo 1'!$D$10,0)</f>
        <v>0</v>
      </c>
      <c r="R36" s="33">
        <f>ROUND('Anexo 11'!R36*'Anexo 1'!$D$10,0)</f>
        <v>0</v>
      </c>
      <c r="S36" s="33">
        <f>ROUND('Anexo 11'!S36*'Anexo 1'!$D$10,0)</f>
        <v>0</v>
      </c>
      <c r="T36" s="33">
        <f>ROUND('Anexo 11'!T36*'Anexo 1'!$D$10,0)</f>
        <v>0</v>
      </c>
      <c r="U36" s="33">
        <f>ROUND('Anexo 11'!U36*'Anexo 1'!$D$10,0)</f>
        <v>0</v>
      </c>
      <c r="V36" s="33">
        <f>ROUND('Anexo 11'!V36*'Anexo 1'!$D$10,0)</f>
        <v>0</v>
      </c>
      <c r="W36" s="33">
        <f>ROUND('Anexo 11'!W36*'Anexo 1'!$D$10,0)</f>
        <v>0</v>
      </c>
      <c r="X36" s="33">
        <f>ROUND('Anexo 11'!X36*'Anexo 1'!$D$10,0)</f>
        <v>0</v>
      </c>
      <c r="Y36" s="33">
        <f>ROUND('Anexo 11'!Y36*'Anexo 1'!$D$10,0)</f>
        <v>0</v>
      </c>
      <c r="Z36" s="34">
        <f>ROUND('Anexo 11'!Z36*'Anexo 1'!$D$10,0)</f>
        <v>0</v>
      </c>
      <c r="AA36" s="35">
        <f t="shared" si="0"/>
        <v>0</v>
      </c>
      <c r="AB36" s="19">
        <v>19</v>
      </c>
      <c r="AC36" s="100">
        <f>+AA36*AB36+AA37*AB37+AA38*AB38</f>
        <v>0</v>
      </c>
      <c r="AD36" s="49"/>
    </row>
    <row r="37" spans="1:30" ht="15.75" thickBot="1" x14ac:dyDescent="0.3">
      <c r="A37" s="99"/>
      <c r="B37" s="20" t="s">
        <v>4</v>
      </c>
      <c r="C37" s="36">
        <f>ROUND('Anexo 11'!C37*'Anexo 1'!$D$10,0)</f>
        <v>0</v>
      </c>
      <c r="D37" s="36">
        <f>ROUND('Anexo 11'!D37*'Anexo 1'!$D$10,0)</f>
        <v>0</v>
      </c>
      <c r="E37" s="36">
        <f>ROUND('Anexo 11'!E37*'Anexo 1'!$D$10,0)</f>
        <v>0</v>
      </c>
      <c r="F37" s="36">
        <f>ROUND('Anexo 11'!F37*'Anexo 1'!$D$10,0)</f>
        <v>0</v>
      </c>
      <c r="G37" s="36">
        <f>ROUND('Anexo 11'!G37*'Anexo 1'!$D$10,0)</f>
        <v>0</v>
      </c>
      <c r="H37" s="36">
        <f>ROUND('Anexo 11'!H37*'Anexo 1'!$D$10,0)</f>
        <v>0</v>
      </c>
      <c r="I37" s="36">
        <f>ROUND('Anexo 11'!I37*'Anexo 1'!$D$10,0)</f>
        <v>0</v>
      </c>
      <c r="J37" s="36">
        <f>ROUND('Anexo 11'!J37*'Anexo 1'!$D$10,0)</f>
        <v>0</v>
      </c>
      <c r="K37" s="36">
        <f>ROUND('Anexo 11'!K37*'Anexo 1'!$D$10,0)</f>
        <v>0</v>
      </c>
      <c r="L37" s="36">
        <f>ROUND('Anexo 11'!L37*'Anexo 1'!$D$10,0)</f>
        <v>0</v>
      </c>
      <c r="M37" s="36">
        <f>ROUND('Anexo 11'!M37*'Anexo 1'!$D$10,0)</f>
        <v>0</v>
      </c>
      <c r="N37" s="36">
        <f>ROUND('Anexo 11'!N37*'Anexo 1'!$D$10,0)</f>
        <v>0</v>
      </c>
      <c r="O37" s="36">
        <f>ROUND('Anexo 11'!O37*'Anexo 1'!$D$10,0)</f>
        <v>0</v>
      </c>
      <c r="P37" s="36">
        <f>ROUND('Anexo 11'!P37*'Anexo 1'!$D$10,0)</f>
        <v>0</v>
      </c>
      <c r="Q37" s="36">
        <f>ROUND('Anexo 11'!Q37*'Anexo 1'!$D$10,0)</f>
        <v>0</v>
      </c>
      <c r="R37" s="36">
        <f>ROUND('Anexo 11'!R37*'Anexo 1'!$D$10,0)</f>
        <v>0</v>
      </c>
      <c r="S37" s="36">
        <f>ROUND('Anexo 11'!S37*'Anexo 1'!$D$10,0)</f>
        <v>0</v>
      </c>
      <c r="T37" s="36">
        <f>ROUND('Anexo 11'!T37*'Anexo 1'!$D$10,0)</f>
        <v>0</v>
      </c>
      <c r="U37" s="36">
        <f>ROUND('Anexo 11'!U37*'Anexo 1'!$D$10,0)</f>
        <v>0</v>
      </c>
      <c r="V37" s="36">
        <f>ROUND('Anexo 11'!V37*'Anexo 1'!$D$10,0)</f>
        <v>0</v>
      </c>
      <c r="W37" s="36">
        <f>ROUND('Anexo 11'!W37*'Anexo 1'!$D$10,0)</f>
        <v>0</v>
      </c>
      <c r="X37" s="36">
        <f>ROUND('Anexo 11'!X37*'Anexo 1'!$D$10,0)</f>
        <v>0</v>
      </c>
      <c r="Y37" s="36">
        <f>ROUND('Anexo 11'!Y37*'Anexo 1'!$D$10,0)</f>
        <v>0</v>
      </c>
      <c r="Z37" s="37">
        <f>ROUND('Anexo 11'!Z37*'Anexo 1'!$D$10,0)</f>
        <v>0</v>
      </c>
      <c r="AA37" s="38">
        <f t="shared" si="0"/>
        <v>0</v>
      </c>
      <c r="AB37" s="21">
        <v>4</v>
      </c>
      <c r="AC37" s="101"/>
      <c r="AD37" s="49"/>
    </row>
    <row r="38" spans="1:30" ht="15" x14ac:dyDescent="0.25">
      <c r="A38" s="99"/>
      <c r="B38" s="22" t="s">
        <v>3</v>
      </c>
      <c r="C38" s="39">
        <f>ROUND('Anexo 11'!C38*'Anexo 1'!$D$10,0)</f>
        <v>0</v>
      </c>
      <c r="D38" s="39">
        <f>ROUND('Anexo 11'!D38*'Anexo 1'!$D$10,0)</f>
        <v>0</v>
      </c>
      <c r="E38" s="39">
        <f>ROUND('Anexo 11'!E38*'Anexo 1'!$D$10,0)</f>
        <v>0</v>
      </c>
      <c r="F38" s="39">
        <f>ROUND('Anexo 11'!F38*'Anexo 1'!$D$10,0)</f>
        <v>0</v>
      </c>
      <c r="G38" s="39">
        <f>ROUND('Anexo 11'!G38*'Anexo 1'!$D$10,0)</f>
        <v>0</v>
      </c>
      <c r="H38" s="39">
        <f>ROUND('Anexo 11'!H38*'Anexo 1'!$D$10,0)</f>
        <v>0</v>
      </c>
      <c r="I38" s="39">
        <f>ROUND('Anexo 11'!I38*'Anexo 1'!$D$10,0)</f>
        <v>0</v>
      </c>
      <c r="J38" s="39">
        <f>ROUND('Anexo 11'!J38*'Anexo 1'!$D$10,0)</f>
        <v>0</v>
      </c>
      <c r="K38" s="39">
        <f>ROUND('Anexo 11'!K38*'Anexo 1'!$D$10,0)</f>
        <v>0</v>
      </c>
      <c r="L38" s="39">
        <f>ROUND('Anexo 11'!L38*'Anexo 1'!$D$10,0)</f>
        <v>0</v>
      </c>
      <c r="M38" s="39">
        <f>ROUND('Anexo 11'!M38*'Anexo 1'!$D$10,0)</f>
        <v>0</v>
      </c>
      <c r="N38" s="39">
        <f>ROUND('Anexo 11'!N38*'Anexo 1'!$D$10,0)</f>
        <v>0</v>
      </c>
      <c r="O38" s="39">
        <f>ROUND('Anexo 11'!O38*'Anexo 1'!$D$10,0)</f>
        <v>0</v>
      </c>
      <c r="P38" s="39">
        <f>ROUND('Anexo 11'!P38*'Anexo 1'!$D$10,0)</f>
        <v>0</v>
      </c>
      <c r="Q38" s="39">
        <f>ROUND('Anexo 11'!Q38*'Anexo 1'!$D$10,0)</f>
        <v>0</v>
      </c>
      <c r="R38" s="39">
        <f>ROUND('Anexo 11'!R38*'Anexo 1'!$D$10,0)</f>
        <v>0</v>
      </c>
      <c r="S38" s="39">
        <f>ROUND('Anexo 11'!S38*'Anexo 1'!$D$10,0)</f>
        <v>0</v>
      </c>
      <c r="T38" s="39">
        <f>ROUND('Anexo 11'!T38*'Anexo 1'!$D$10,0)</f>
        <v>0</v>
      </c>
      <c r="U38" s="39">
        <f>ROUND('Anexo 11'!U38*'Anexo 1'!$D$10,0)</f>
        <v>0</v>
      </c>
      <c r="V38" s="39">
        <f>ROUND('Anexo 11'!V38*'Anexo 1'!$D$10,0)</f>
        <v>0</v>
      </c>
      <c r="W38" s="39">
        <f>ROUND('Anexo 11'!W38*'Anexo 1'!$D$10,0)</f>
        <v>0</v>
      </c>
      <c r="X38" s="39">
        <f>ROUND('Anexo 11'!X38*'Anexo 1'!$D$10,0)</f>
        <v>0</v>
      </c>
      <c r="Y38" s="39">
        <f>ROUND('Anexo 11'!Y38*'Anexo 1'!$D$10,0)</f>
        <v>0</v>
      </c>
      <c r="Z38" s="40">
        <f>ROUND('Anexo 11'!Z38*'Anexo 1'!$D$10,0)</f>
        <v>0</v>
      </c>
      <c r="AA38" s="41">
        <f t="shared" si="0"/>
        <v>0</v>
      </c>
      <c r="AB38" s="23">
        <v>7</v>
      </c>
      <c r="AC38" s="102"/>
      <c r="AD38" s="49"/>
    </row>
    <row r="39" spans="1:30" ht="15.75" thickBot="1" x14ac:dyDescent="0.3">
      <c r="A39" s="99">
        <v>46357</v>
      </c>
      <c r="B39" s="18" t="s">
        <v>5</v>
      </c>
      <c r="C39" s="33">
        <f>ROUND('Anexo 11'!C39*'Anexo 1'!$D$10,0)</f>
        <v>0</v>
      </c>
      <c r="D39" s="33">
        <f>ROUND('Anexo 11'!D39*'Anexo 1'!$D$10,0)</f>
        <v>0</v>
      </c>
      <c r="E39" s="33">
        <f>ROUND('Anexo 11'!E39*'Anexo 1'!$D$10,0)</f>
        <v>0</v>
      </c>
      <c r="F39" s="33">
        <f>ROUND('Anexo 11'!F39*'Anexo 1'!$D$10,0)</f>
        <v>0</v>
      </c>
      <c r="G39" s="33">
        <f>ROUND('Anexo 11'!G39*'Anexo 1'!$D$10,0)</f>
        <v>0</v>
      </c>
      <c r="H39" s="33">
        <f>ROUND('Anexo 11'!H39*'Anexo 1'!$D$10,0)</f>
        <v>0</v>
      </c>
      <c r="I39" s="33">
        <f>ROUND('Anexo 11'!I39*'Anexo 1'!$D$10,0)</f>
        <v>0</v>
      </c>
      <c r="J39" s="33">
        <f>ROUND('Anexo 11'!J39*'Anexo 1'!$D$10,0)</f>
        <v>0</v>
      </c>
      <c r="K39" s="33">
        <f>ROUND('Anexo 11'!K39*'Anexo 1'!$D$10,0)</f>
        <v>0</v>
      </c>
      <c r="L39" s="33">
        <f>ROUND('Anexo 11'!L39*'Anexo 1'!$D$10,0)</f>
        <v>0</v>
      </c>
      <c r="M39" s="33">
        <f>ROUND('Anexo 11'!M39*'Anexo 1'!$D$10,0)</f>
        <v>0</v>
      </c>
      <c r="N39" s="33">
        <f>ROUND('Anexo 11'!N39*'Anexo 1'!$D$10,0)</f>
        <v>0</v>
      </c>
      <c r="O39" s="33">
        <f>ROUND('Anexo 11'!O39*'Anexo 1'!$D$10,0)</f>
        <v>0</v>
      </c>
      <c r="P39" s="33">
        <f>ROUND('Anexo 11'!P39*'Anexo 1'!$D$10,0)</f>
        <v>0</v>
      </c>
      <c r="Q39" s="33">
        <f>ROUND('Anexo 11'!Q39*'Anexo 1'!$D$10,0)</f>
        <v>0</v>
      </c>
      <c r="R39" s="33">
        <f>ROUND('Anexo 11'!R39*'Anexo 1'!$D$10,0)</f>
        <v>0</v>
      </c>
      <c r="S39" s="33">
        <f>ROUND('Anexo 11'!S39*'Anexo 1'!$D$10,0)</f>
        <v>0</v>
      </c>
      <c r="T39" s="33">
        <f>ROUND('Anexo 11'!T39*'Anexo 1'!$D$10,0)</f>
        <v>0</v>
      </c>
      <c r="U39" s="33">
        <f>ROUND('Anexo 11'!U39*'Anexo 1'!$D$10,0)</f>
        <v>0</v>
      </c>
      <c r="V39" s="33">
        <f>ROUND('Anexo 11'!V39*'Anexo 1'!$D$10,0)</f>
        <v>0</v>
      </c>
      <c r="W39" s="33">
        <f>ROUND('Anexo 11'!W39*'Anexo 1'!$D$10,0)</f>
        <v>0</v>
      </c>
      <c r="X39" s="33">
        <f>ROUND('Anexo 11'!X39*'Anexo 1'!$D$10,0)</f>
        <v>0</v>
      </c>
      <c r="Y39" s="33">
        <f>ROUND('Anexo 11'!Y39*'Anexo 1'!$D$10,0)</f>
        <v>0</v>
      </c>
      <c r="Z39" s="34">
        <f>ROUND('Anexo 11'!Z39*'Anexo 1'!$D$10,0)</f>
        <v>0</v>
      </c>
      <c r="AA39" s="35">
        <f t="shared" si="0"/>
        <v>0</v>
      </c>
      <c r="AB39" s="19">
        <v>21</v>
      </c>
      <c r="AC39" s="100">
        <f>+AA39*AB39+AA40*AB40+AA41*AB41</f>
        <v>0</v>
      </c>
      <c r="AD39" s="49"/>
    </row>
    <row r="40" spans="1:30" ht="15.75" thickBot="1" x14ac:dyDescent="0.3">
      <c r="A40" s="99"/>
      <c r="B40" s="20" t="s">
        <v>4</v>
      </c>
      <c r="C40" s="36">
        <f>ROUND('Anexo 11'!C40*'Anexo 1'!$D$10,0)</f>
        <v>0</v>
      </c>
      <c r="D40" s="36">
        <f>ROUND('Anexo 11'!D40*'Anexo 1'!$D$10,0)</f>
        <v>0</v>
      </c>
      <c r="E40" s="36">
        <f>ROUND('Anexo 11'!E40*'Anexo 1'!$D$10,0)</f>
        <v>0</v>
      </c>
      <c r="F40" s="36">
        <f>ROUND('Anexo 11'!F40*'Anexo 1'!$D$10,0)</f>
        <v>0</v>
      </c>
      <c r="G40" s="36">
        <f>ROUND('Anexo 11'!G40*'Anexo 1'!$D$10,0)</f>
        <v>0</v>
      </c>
      <c r="H40" s="36">
        <f>ROUND('Anexo 11'!H40*'Anexo 1'!$D$10,0)</f>
        <v>0</v>
      </c>
      <c r="I40" s="36">
        <f>ROUND('Anexo 11'!I40*'Anexo 1'!$D$10,0)</f>
        <v>0</v>
      </c>
      <c r="J40" s="36">
        <f>ROUND('Anexo 11'!J40*'Anexo 1'!$D$10,0)</f>
        <v>0</v>
      </c>
      <c r="K40" s="36">
        <f>ROUND('Anexo 11'!K40*'Anexo 1'!$D$10,0)</f>
        <v>0</v>
      </c>
      <c r="L40" s="36">
        <f>ROUND('Anexo 11'!L40*'Anexo 1'!$D$10,0)</f>
        <v>0</v>
      </c>
      <c r="M40" s="36">
        <f>ROUND('Anexo 11'!M40*'Anexo 1'!$D$10,0)</f>
        <v>0</v>
      </c>
      <c r="N40" s="36">
        <f>ROUND('Anexo 11'!N40*'Anexo 1'!$D$10,0)</f>
        <v>0</v>
      </c>
      <c r="O40" s="36">
        <f>ROUND('Anexo 11'!O40*'Anexo 1'!$D$10,0)</f>
        <v>0</v>
      </c>
      <c r="P40" s="36">
        <f>ROUND('Anexo 11'!P40*'Anexo 1'!$D$10,0)</f>
        <v>0</v>
      </c>
      <c r="Q40" s="36">
        <f>ROUND('Anexo 11'!Q40*'Anexo 1'!$D$10,0)</f>
        <v>0</v>
      </c>
      <c r="R40" s="36">
        <f>ROUND('Anexo 11'!R40*'Anexo 1'!$D$10,0)</f>
        <v>0</v>
      </c>
      <c r="S40" s="36">
        <f>ROUND('Anexo 11'!S40*'Anexo 1'!$D$10,0)</f>
        <v>0</v>
      </c>
      <c r="T40" s="36">
        <f>ROUND('Anexo 11'!T40*'Anexo 1'!$D$10,0)</f>
        <v>0</v>
      </c>
      <c r="U40" s="36">
        <f>ROUND('Anexo 11'!U40*'Anexo 1'!$D$10,0)</f>
        <v>0</v>
      </c>
      <c r="V40" s="36">
        <f>ROUND('Anexo 11'!V40*'Anexo 1'!$D$10,0)</f>
        <v>0</v>
      </c>
      <c r="W40" s="36">
        <f>ROUND('Anexo 11'!W40*'Anexo 1'!$D$10,0)</f>
        <v>0</v>
      </c>
      <c r="X40" s="36">
        <f>ROUND('Anexo 11'!X40*'Anexo 1'!$D$10,0)</f>
        <v>0</v>
      </c>
      <c r="Y40" s="36">
        <f>ROUND('Anexo 11'!Y40*'Anexo 1'!$D$10,0)</f>
        <v>0</v>
      </c>
      <c r="Z40" s="37">
        <f>ROUND('Anexo 11'!Z40*'Anexo 1'!$D$10,0)</f>
        <v>0</v>
      </c>
      <c r="AA40" s="38">
        <f t="shared" si="0"/>
        <v>0</v>
      </c>
      <c r="AB40" s="21">
        <v>4</v>
      </c>
      <c r="AC40" s="101"/>
      <c r="AD40" s="49"/>
    </row>
    <row r="41" spans="1:30" ht="15" x14ac:dyDescent="0.25">
      <c r="A41" s="99"/>
      <c r="B41" s="22" t="s">
        <v>3</v>
      </c>
      <c r="C41" s="39">
        <f>ROUND('Anexo 11'!C41*'Anexo 1'!$D$10,0)</f>
        <v>0</v>
      </c>
      <c r="D41" s="39">
        <f>ROUND('Anexo 11'!D41*'Anexo 1'!$D$10,0)</f>
        <v>0</v>
      </c>
      <c r="E41" s="39">
        <f>ROUND('Anexo 11'!E41*'Anexo 1'!$D$10,0)</f>
        <v>0</v>
      </c>
      <c r="F41" s="39">
        <f>ROUND('Anexo 11'!F41*'Anexo 1'!$D$10,0)</f>
        <v>0</v>
      </c>
      <c r="G41" s="39">
        <f>ROUND('Anexo 11'!G41*'Anexo 1'!$D$10,0)</f>
        <v>0</v>
      </c>
      <c r="H41" s="39">
        <f>ROUND('Anexo 11'!H41*'Anexo 1'!$D$10,0)</f>
        <v>0</v>
      </c>
      <c r="I41" s="39">
        <f>ROUND('Anexo 11'!I41*'Anexo 1'!$D$10,0)</f>
        <v>0</v>
      </c>
      <c r="J41" s="39">
        <f>ROUND('Anexo 11'!J41*'Anexo 1'!$D$10,0)</f>
        <v>0</v>
      </c>
      <c r="K41" s="39">
        <f>ROUND('Anexo 11'!K41*'Anexo 1'!$D$10,0)</f>
        <v>0</v>
      </c>
      <c r="L41" s="39">
        <f>ROUND('Anexo 11'!L41*'Anexo 1'!$D$10,0)</f>
        <v>0</v>
      </c>
      <c r="M41" s="39">
        <f>ROUND('Anexo 11'!M41*'Anexo 1'!$D$10,0)</f>
        <v>0</v>
      </c>
      <c r="N41" s="39">
        <f>ROUND('Anexo 11'!N41*'Anexo 1'!$D$10,0)</f>
        <v>0</v>
      </c>
      <c r="O41" s="39">
        <f>ROUND('Anexo 11'!O41*'Anexo 1'!$D$10,0)</f>
        <v>0</v>
      </c>
      <c r="P41" s="39">
        <f>ROUND('Anexo 11'!P41*'Anexo 1'!$D$10,0)</f>
        <v>0</v>
      </c>
      <c r="Q41" s="39">
        <f>ROUND('Anexo 11'!Q41*'Anexo 1'!$D$10,0)</f>
        <v>0</v>
      </c>
      <c r="R41" s="39">
        <f>ROUND('Anexo 11'!R41*'Anexo 1'!$D$10,0)</f>
        <v>0</v>
      </c>
      <c r="S41" s="39">
        <f>ROUND('Anexo 11'!S41*'Anexo 1'!$D$10,0)</f>
        <v>0</v>
      </c>
      <c r="T41" s="39">
        <f>ROUND('Anexo 11'!T41*'Anexo 1'!$D$10,0)</f>
        <v>0</v>
      </c>
      <c r="U41" s="39">
        <f>ROUND('Anexo 11'!U41*'Anexo 1'!$D$10,0)</f>
        <v>0</v>
      </c>
      <c r="V41" s="39">
        <f>ROUND('Anexo 11'!V41*'Anexo 1'!$D$10,0)</f>
        <v>0</v>
      </c>
      <c r="W41" s="39">
        <f>ROUND('Anexo 11'!W41*'Anexo 1'!$D$10,0)</f>
        <v>0</v>
      </c>
      <c r="X41" s="39">
        <f>ROUND('Anexo 11'!X41*'Anexo 1'!$D$10,0)</f>
        <v>0</v>
      </c>
      <c r="Y41" s="39">
        <f>ROUND('Anexo 11'!Y41*'Anexo 1'!$D$10,0)</f>
        <v>0</v>
      </c>
      <c r="Z41" s="40">
        <f>ROUND('Anexo 11'!Z41*'Anexo 1'!$D$10,0)</f>
        <v>0</v>
      </c>
      <c r="AA41" s="41">
        <f t="shared" si="0"/>
        <v>0</v>
      </c>
      <c r="AB41" s="23">
        <v>6</v>
      </c>
      <c r="AC41" s="102"/>
      <c r="AD41" s="49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  <c r="AD42" s="49"/>
    </row>
    <row r="43" spans="1:30" ht="15" x14ac:dyDescent="0.25">
      <c r="N43" s="49"/>
      <c r="AB43" s="6"/>
      <c r="AC43" s="6"/>
    </row>
    <row r="44" spans="1:30" ht="15" x14ac:dyDescent="0.25">
      <c r="AA44" s="53"/>
      <c r="AC44" s="51"/>
    </row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2041-3788-4A3C-A99E-DCBB976FEC64}">
  <sheetPr codeName="Hoja2">
    <tabColor rgb="FFFFFF00"/>
  </sheetPr>
  <dimension ref="A1:H37"/>
  <sheetViews>
    <sheetView showGridLines="0" topLeftCell="A12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9" t="s">
        <v>48</v>
      </c>
      <c r="C3" s="79"/>
      <c r="D3" s="79"/>
      <c r="E3" s="79"/>
      <c r="F3" s="79"/>
      <c r="G3" s="29"/>
    </row>
    <row r="4" spans="2:8" x14ac:dyDescent="0.25">
      <c r="B4" s="79" t="s">
        <v>39</v>
      </c>
      <c r="C4" s="79"/>
      <c r="D4" s="79"/>
      <c r="E4" s="79"/>
      <c r="F4" s="79"/>
      <c r="G4" s="29"/>
    </row>
    <row r="5" spans="2:8" x14ac:dyDescent="0.25">
      <c r="B5" s="79" t="s">
        <v>89</v>
      </c>
      <c r="C5" s="79"/>
      <c r="D5" s="79"/>
      <c r="E5" s="79"/>
      <c r="F5" s="79"/>
      <c r="G5" s="29"/>
    </row>
    <row r="6" spans="2:8" x14ac:dyDescent="0.25">
      <c r="B6" s="5"/>
      <c r="C6" s="5"/>
      <c r="D6" s="5"/>
      <c r="E6" s="5"/>
      <c r="F6" s="5"/>
      <c r="G6" s="5"/>
    </row>
    <row r="7" spans="2:8" x14ac:dyDescent="0.25"/>
    <row r="8" spans="2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2:8" ht="23.25" customHeight="1" x14ac:dyDescent="0.25">
      <c r="B9" s="81"/>
      <c r="C9" s="81"/>
      <c r="D9" s="81"/>
      <c r="E9" s="81"/>
      <c r="F9" s="81"/>
      <c r="G9" s="28"/>
    </row>
    <row r="10" spans="2:8" ht="15.75" thickBot="1" x14ac:dyDescent="0.3">
      <c r="B10" s="8">
        <v>46388</v>
      </c>
      <c r="C10" s="43">
        <f>+'Anexo 12'!AC6</f>
        <v>10657301</v>
      </c>
      <c r="D10" s="76"/>
      <c r="E10" s="57">
        <f>+'Cantidades Ofertadas Prod 2'!AC6</f>
        <v>0</v>
      </c>
      <c r="F10" s="73"/>
      <c r="G10" s="32"/>
      <c r="H10" s="51"/>
    </row>
    <row r="11" spans="2:8" ht="15.75" thickBot="1" x14ac:dyDescent="0.3">
      <c r="B11" s="8">
        <v>46419</v>
      </c>
      <c r="C11" s="43">
        <f>+'Anexo 12'!AC9</f>
        <v>9846236</v>
      </c>
      <c r="D11" s="77"/>
      <c r="E11" s="57">
        <f>+'Cantidades Ofertadas Prod 2'!AC9</f>
        <v>0</v>
      </c>
      <c r="F11" s="74"/>
      <c r="G11" s="32"/>
      <c r="H11" s="51"/>
    </row>
    <row r="12" spans="2:8" ht="15.75" thickBot="1" x14ac:dyDescent="0.3">
      <c r="B12" s="8">
        <v>46447</v>
      </c>
      <c r="C12" s="43">
        <f>+'Anexo 12'!AC12</f>
        <v>10580321</v>
      </c>
      <c r="D12" s="77"/>
      <c r="E12" s="57">
        <f>+'Cantidades Ofertadas Prod 2'!AC12</f>
        <v>0</v>
      </c>
      <c r="F12" s="74"/>
      <c r="G12" s="32"/>
      <c r="H12" s="51"/>
    </row>
    <row r="13" spans="2:8" ht="15.75" thickBot="1" x14ac:dyDescent="0.3">
      <c r="B13" s="8">
        <v>46478</v>
      </c>
      <c r="C13" s="43">
        <f>+'Anexo 12'!AC15</f>
        <v>10076204</v>
      </c>
      <c r="D13" s="77"/>
      <c r="E13" s="57">
        <f>+'Cantidades Ofertadas Prod 2'!AC15</f>
        <v>0</v>
      </c>
      <c r="F13" s="74"/>
      <c r="G13" s="32"/>
      <c r="H13" s="51"/>
    </row>
    <row r="14" spans="2:8" ht="15.75" thickBot="1" x14ac:dyDescent="0.3">
      <c r="B14" s="8">
        <v>46508</v>
      </c>
      <c r="C14" s="43">
        <f>+'Anexo 12'!AC18</f>
        <v>10395490</v>
      </c>
      <c r="D14" s="77"/>
      <c r="E14" s="57">
        <f>+'Cantidades Ofertadas Prod 2'!AC18</f>
        <v>0</v>
      </c>
      <c r="F14" s="74"/>
      <c r="G14" s="32"/>
      <c r="H14" s="51"/>
    </row>
    <row r="15" spans="2:8" ht="15.75" thickBot="1" x14ac:dyDescent="0.3">
      <c r="B15" s="8">
        <v>46539</v>
      </c>
      <c r="C15" s="43">
        <f>+'Anexo 12'!AC21</f>
        <v>10103194</v>
      </c>
      <c r="D15" s="77"/>
      <c r="E15" s="57">
        <f>+'Cantidades Ofertadas Prod 2'!AC21</f>
        <v>0</v>
      </c>
      <c r="F15" s="74"/>
      <c r="G15" s="32"/>
      <c r="H15" s="51"/>
    </row>
    <row r="16" spans="2:8" ht="15.75" thickBot="1" x14ac:dyDescent="0.3">
      <c r="B16" s="8">
        <v>46569</v>
      </c>
      <c r="C16" s="43">
        <f>+'Anexo 12'!AC24</f>
        <v>10674199</v>
      </c>
      <c r="D16" s="77"/>
      <c r="E16" s="57">
        <f>+'Cantidades Ofertadas Prod 2'!AC24</f>
        <v>0</v>
      </c>
      <c r="F16" s="74"/>
      <c r="G16" s="32"/>
      <c r="H16" s="51"/>
    </row>
    <row r="17" spans="2:8" ht="15.75" thickBot="1" x14ac:dyDescent="0.3">
      <c r="B17" s="8">
        <v>46600</v>
      </c>
      <c r="C17" s="43">
        <f>+'Anexo 12'!AC27</f>
        <v>10863111</v>
      </c>
      <c r="D17" s="77"/>
      <c r="E17" s="57">
        <f>+'Cantidades Ofertadas Prod 2'!AC27</f>
        <v>0</v>
      </c>
      <c r="F17" s="74"/>
      <c r="G17" s="32"/>
      <c r="H17" s="51"/>
    </row>
    <row r="18" spans="2:8" ht="15.75" thickBot="1" x14ac:dyDescent="0.3">
      <c r="B18" s="8">
        <v>46631</v>
      </c>
      <c r="C18" s="43">
        <f>+'Anexo 12'!AC30</f>
        <v>10701632</v>
      </c>
      <c r="D18" s="77"/>
      <c r="E18" s="57">
        <f>+'Cantidades Ofertadas Prod 2'!AC30</f>
        <v>0</v>
      </c>
      <c r="F18" s="74"/>
      <c r="G18" s="32"/>
      <c r="H18" s="51"/>
    </row>
    <row r="19" spans="2:8" ht="15.75" thickBot="1" x14ac:dyDescent="0.3">
      <c r="B19" s="8">
        <v>46661</v>
      </c>
      <c r="C19" s="43">
        <f>+'Anexo 12'!AC33</f>
        <v>10567965</v>
      </c>
      <c r="D19" s="77"/>
      <c r="E19" s="57">
        <f>+'Cantidades Ofertadas Prod 2'!AC33</f>
        <v>0</v>
      </c>
      <c r="F19" s="74"/>
      <c r="G19" s="32"/>
      <c r="H19" s="51"/>
    </row>
    <row r="20" spans="2:8" ht="15.75" thickBot="1" x14ac:dyDescent="0.3">
      <c r="B20" s="8">
        <v>46692</v>
      </c>
      <c r="C20" s="43">
        <f>+'Anexo 12'!AC36</f>
        <v>10060220</v>
      </c>
      <c r="D20" s="77"/>
      <c r="E20" s="57">
        <f>+'Cantidades Ofertadas Prod 2'!AC36</f>
        <v>0</v>
      </c>
      <c r="F20" s="74"/>
      <c r="G20" s="32"/>
      <c r="H20" s="51"/>
    </row>
    <row r="21" spans="2:8" ht="15.75" thickBot="1" x14ac:dyDescent="0.3">
      <c r="B21" s="8">
        <v>46722</v>
      </c>
      <c r="C21" s="44">
        <f>+'Anexo 12'!AC39</f>
        <v>10807043</v>
      </c>
      <c r="D21" s="78"/>
      <c r="E21" s="58">
        <f>+'Cantidades Ofertadas Prod 2'!AC39</f>
        <v>0</v>
      </c>
      <c r="F21" s="75"/>
      <c r="G21" s="32"/>
      <c r="H21" s="51"/>
    </row>
    <row r="22" spans="2:8" ht="28.5" customHeight="1" x14ac:dyDescent="0.25">
      <c r="B22" s="9" t="s">
        <v>0</v>
      </c>
      <c r="C22" s="10">
        <f>+SUM(C10:C21)</f>
        <v>125332916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2:8" x14ac:dyDescent="0.25">
      <c r="B24" s="72" t="s">
        <v>46</v>
      </c>
      <c r="C24" s="72"/>
      <c r="D24" s="72"/>
      <c r="E24" s="72"/>
      <c r="F24" s="72"/>
      <c r="G24" s="72"/>
      <c r="H24" s="54"/>
    </row>
    <row r="25" spans="2:8" x14ac:dyDescent="0.25">
      <c r="B25" s="7" t="s">
        <v>83</v>
      </c>
      <c r="C25" s="52"/>
      <c r="D25" s="52"/>
      <c r="E25" s="52"/>
      <c r="F25" s="52"/>
      <c r="G25" s="52"/>
      <c r="H25" s="42"/>
    </row>
    <row r="26" spans="2:8" x14ac:dyDescent="0.25">
      <c r="B26" s="7" t="s">
        <v>64</v>
      </c>
      <c r="C26" s="52"/>
      <c r="D26" s="52"/>
      <c r="E26" s="52"/>
      <c r="F26" s="52"/>
      <c r="G26" s="52"/>
      <c r="H26" s="42"/>
    </row>
    <row r="27" spans="2:8" x14ac:dyDescent="0.25">
      <c r="B27" s="7" t="s">
        <v>43</v>
      </c>
    </row>
    <row r="28" spans="2:8" x14ac:dyDescent="0.25">
      <c r="B28" s="7" t="s">
        <v>121</v>
      </c>
      <c r="C28" s="45"/>
      <c r="E28" s="45"/>
    </row>
    <row r="29" spans="2:8" x14ac:dyDescent="0.25">
      <c r="B29" s="7"/>
      <c r="C29" s="45"/>
    </row>
    <row r="30" spans="2:8" x14ac:dyDescent="0.25">
      <c r="B30" s="7"/>
    </row>
    <row r="31" spans="2:8" x14ac:dyDescent="0.25">
      <c r="B31" s="60" t="s">
        <v>53</v>
      </c>
      <c r="C31" s="45"/>
      <c r="D31" s="60"/>
      <c r="E31" s="60"/>
    </row>
    <row r="32" spans="2:8" x14ac:dyDescent="0.25">
      <c r="B32" s="61" t="s">
        <v>54</v>
      </c>
      <c r="C32" s="61"/>
      <c r="D32" s="61"/>
      <c r="E32" s="61"/>
    </row>
    <row r="33" spans="2:2" x14ac:dyDescent="0.25">
      <c r="B33" s="61" t="s">
        <v>55</v>
      </c>
    </row>
    <row r="34" spans="2:2" x14ac:dyDescent="0.25"/>
    <row r="35" spans="2:2" x14ac:dyDescent="0.25"/>
    <row r="36" spans="2:2" x14ac:dyDescent="0.25"/>
    <row r="37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AF594D90-A320-4C55-ADB7-FC06DEF3D4CA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AB70-ABB9-40D9-9EAF-FB85384AE5EA}">
  <sheetPr>
    <tabColor rgb="FFFFFF00"/>
  </sheetPr>
  <dimension ref="A1:XFD34"/>
  <sheetViews>
    <sheetView showGridLines="0" topLeftCell="A10" zoomScaleNormal="100" zoomScaleSheetLayoutView="140" workbookViewId="0">
      <selection activeCell="A9" sqref="A9"/>
    </sheetView>
  </sheetViews>
  <sheetFormatPr baseColWidth="10" defaultColWidth="0" defaultRowHeight="0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2" width="11.42578125" hidden="1"/>
    <col min="16383" max="16383" width="14.42578125" customWidth="1"/>
    <col min="16384" max="16384" width="23.42578125" hidden="1" customWidth="1"/>
  </cols>
  <sheetData>
    <row r="1" spans="1:8 16383:16384" ht="15" x14ac:dyDescent="0.25"/>
    <row r="2" spans="1:8 16383:16384" ht="15" x14ac:dyDescent="0.25"/>
    <row r="3" spans="1:8 16383:16384" ht="15" x14ac:dyDescent="0.25">
      <c r="B3" s="79" t="s">
        <v>119</v>
      </c>
      <c r="C3" s="79"/>
      <c r="D3" s="79"/>
      <c r="E3" s="79"/>
      <c r="F3" s="79"/>
      <c r="G3" s="29"/>
    </row>
    <row r="4" spans="1:8 16383:16384" ht="15" x14ac:dyDescent="0.25">
      <c r="B4" s="79" t="s">
        <v>39</v>
      </c>
      <c r="C4" s="79"/>
      <c r="D4" s="79"/>
      <c r="E4" s="79"/>
      <c r="F4" s="79"/>
      <c r="G4" s="29"/>
    </row>
    <row r="5" spans="1:8 16383:16384" ht="15" x14ac:dyDescent="0.25">
      <c r="B5" s="79" t="s">
        <v>89</v>
      </c>
      <c r="C5" s="79"/>
      <c r="D5" s="79"/>
      <c r="E5" s="79"/>
      <c r="F5" s="79"/>
      <c r="G5" s="29"/>
    </row>
    <row r="6" spans="1:8 16383:16384" ht="15" x14ac:dyDescent="0.25">
      <c r="B6" s="5"/>
      <c r="C6" s="5"/>
      <c r="D6" s="5"/>
      <c r="E6" s="5"/>
      <c r="F6" s="5"/>
      <c r="G6" s="5"/>
    </row>
    <row r="7" spans="1:8 16383:16384" ht="15" x14ac:dyDescent="0.25"/>
    <row r="8" spans="1:8 16383:16384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 16383:16384" ht="23.25" customHeight="1" x14ac:dyDescent="0.25">
      <c r="A9" s="59">
        <v>14307</v>
      </c>
      <c r="B9" s="81"/>
      <c r="C9" s="81"/>
      <c r="D9" s="81"/>
      <c r="E9" s="81"/>
      <c r="F9" s="81"/>
      <c r="G9" s="28"/>
    </row>
    <row r="10" spans="1:8 16383:16384" ht="15.75" thickBot="1" x14ac:dyDescent="0.3">
      <c r="A10" s="59">
        <v>31</v>
      </c>
      <c r="B10" s="8">
        <v>46388</v>
      </c>
      <c r="C10" s="43">
        <f>+$A$9*A10*24</f>
        <v>10644408</v>
      </c>
      <c r="D10" s="82"/>
      <c r="E10" s="57">
        <f>+$D$10*A10*24</f>
        <v>0</v>
      </c>
      <c r="F10" s="85"/>
      <c r="G10" s="32"/>
      <c r="H10" s="51"/>
      <c r="XFC10" s="48"/>
      <c r="XFD10" s="49"/>
    </row>
    <row r="11" spans="1:8 16383:16384" ht="15.75" thickBot="1" x14ac:dyDescent="0.3">
      <c r="A11" s="59">
        <v>28</v>
      </c>
      <c r="B11" s="8">
        <v>46419</v>
      </c>
      <c r="C11" s="43">
        <f t="shared" ref="C11:C21" si="0">+$A$9*A11*24</f>
        <v>9614304</v>
      </c>
      <c r="D11" s="83"/>
      <c r="E11" s="57">
        <f t="shared" ref="E11:E21" si="1">+$D$10*A11*24</f>
        <v>0</v>
      </c>
      <c r="F11" s="86"/>
      <c r="G11" s="32"/>
      <c r="H11" s="51"/>
      <c r="XFC11" s="48"/>
      <c r="XFD11" s="49"/>
    </row>
    <row r="12" spans="1:8 16383:16384" ht="15.75" thickBot="1" x14ac:dyDescent="0.3">
      <c r="A12" s="59">
        <v>31</v>
      </c>
      <c r="B12" s="8">
        <v>46447</v>
      </c>
      <c r="C12" s="43">
        <f t="shared" si="0"/>
        <v>10644408</v>
      </c>
      <c r="D12" s="83"/>
      <c r="E12" s="57">
        <f t="shared" si="1"/>
        <v>0</v>
      </c>
      <c r="F12" s="86"/>
      <c r="G12" s="32"/>
      <c r="H12" s="51"/>
      <c r="XFC12" s="48"/>
      <c r="XFD12" s="49"/>
    </row>
    <row r="13" spans="1:8 16383:16384" ht="15.75" thickBot="1" x14ac:dyDescent="0.3">
      <c r="A13" s="59">
        <v>30</v>
      </c>
      <c r="B13" s="8">
        <v>46478</v>
      </c>
      <c r="C13" s="43">
        <f t="shared" si="0"/>
        <v>10301040</v>
      </c>
      <c r="D13" s="83"/>
      <c r="E13" s="57">
        <f t="shared" si="1"/>
        <v>0</v>
      </c>
      <c r="F13" s="86"/>
      <c r="G13" s="32"/>
      <c r="H13" s="51"/>
      <c r="XFC13" s="48"/>
      <c r="XFD13" s="49"/>
    </row>
    <row r="14" spans="1:8 16383:16384" ht="15.75" thickBot="1" x14ac:dyDescent="0.3">
      <c r="A14" s="59">
        <v>31</v>
      </c>
      <c r="B14" s="8">
        <v>46508</v>
      </c>
      <c r="C14" s="43">
        <f t="shared" si="0"/>
        <v>10644408</v>
      </c>
      <c r="D14" s="83"/>
      <c r="E14" s="57">
        <f t="shared" si="1"/>
        <v>0</v>
      </c>
      <c r="F14" s="86"/>
      <c r="G14" s="32"/>
      <c r="H14" s="51"/>
      <c r="XFC14" s="48"/>
      <c r="XFD14" s="49"/>
    </row>
    <row r="15" spans="1:8 16383:16384" ht="15.75" thickBot="1" x14ac:dyDescent="0.3">
      <c r="A15" s="59">
        <v>30</v>
      </c>
      <c r="B15" s="8">
        <v>46539</v>
      </c>
      <c r="C15" s="43">
        <f t="shared" si="0"/>
        <v>10301040</v>
      </c>
      <c r="D15" s="83"/>
      <c r="E15" s="57">
        <f t="shared" si="1"/>
        <v>0</v>
      </c>
      <c r="F15" s="86"/>
      <c r="G15" s="32"/>
      <c r="H15" s="51"/>
      <c r="XFC15" s="48"/>
      <c r="XFD15" s="49"/>
    </row>
    <row r="16" spans="1:8 16383:16384" ht="15.75" thickBot="1" x14ac:dyDescent="0.3">
      <c r="A16" s="59">
        <v>31</v>
      </c>
      <c r="B16" s="8">
        <v>46569</v>
      </c>
      <c r="C16" s="43">
        <f t="shared" si="0"/>
        <v>10644408</v>
      </c>
      <c r="D16" s="83"/>
      <c r="E16" s="57">
        <f t="shared" si="1"/>
        <v>0</v>
      </c>
      <c r="F16" s="86"/>
      <c r="G16" s="32"/>
      <c r="H16" s="51"/>
      <c r="XFC16" s="48"/>
      <c r="XFD16" s="49"/>
    </row>
    <row r="17" spans="1:8 16383:16384" ht="15.75" thickBot="1" x14ac:dyDescent="0.3">
      <c r="A17" s="59">
        <v>31</v>
      </c>
      <c r="B17" s="8">
        <v>46600</v>
      </c>
      <c r="C17" s="43">
        <f t="shared" si="0"/>
        <v>10644408</v>
      </c>
      <c r="D17" s="83"/>
      <c r="E17" s="57">
        <f t="shared" si="1"/>
        <v>0</v>
      </c>
      <c r="F17" s="86"/>
      <c r="G17" s="32"/>
      <c r="H17" s="51"/>
      <c r="XFC17" s="48"/>
      <c r="XFD17" s="49"/>
    </row>
    <row r="18" spans="1:8 16383:16384" ht="15.75" thickBot="1" x14ac:dyDescent="0.3">
      <c r="A18" s="59">
        <v>30</v>
      </c>
      <c r="B18" s="8">
        <v>46631</v>
      </c>
      <c r="C18" s="43">
        <f t="shared" si="0"/>
        <v>10301040</v>
      </c>
      <c r="D18" s="83"/>
      <c r="E18" s="57">
        <f t="shared" si="1"/>
        <v>0</v>
      </c>
      <c r="F18" s="86"/>
      <c r="G18" s="32"/>
      <c r="H18" s="51"/>
      <c r="XFC18" s="48"/>
      <c r="XFD18" s="49"/>
    </row>
    <row r="19" spans="1:8 16383:16384" ht="15.75" thickBot="1" x14ac:dyDescent="0.3">
      <c r="A19" s="59">
        <v>31</v>
      </c>
      <c r="B19" s="8">
        <v>46661</v>
      </c>
      <c r="C19" s="43">
        <f t="shared" si="0"/>
        <v>10644408</v>
      </c>
      <c r="D19" s="83"/>
      <c r="E19" s="57">
        <f t="shared" si="1"/>
        <v>0</v>
      </c>
      <c r="F19" s="86"/>
      <c r="G19" s="32"/>
      <c r="H19" s="45"/>
      <c r="XFC19" s="48"/>
      <c r="XFD19" s="49"/>
    </row>
    <row r="20" spans="1:8 16383:16384" ht="15.75" thickBot="1" x14ac:dyDescent="0.3">
      <c r="A20" s="59">
        <v>30</v>
      </c>
      <c r="B20" s="8">
        <v>46692</v>
      </c>
      <c r="C20" s="43">
        <f t="shared" si="0"/>
        <v>10301040</v>
      </c>
      <c r="D20" s="83"/>
      <c r="E20" s="57">
        <f t="shared" si="1"/>
        <v>0</v>
      </c>
      <c r="F20" s="86"/>
      <c r="G20" s="32"/>
      <c r="H20" s="45"/>
      <c r="XFC20" s="48"/>
      <c r="XFD20" s="49"/>
    </row>
    <row r="21" spans="1:8 16383:16384" ht="15.75" thickBot="1" x14ac:dyDescent="0.3">
      <c r="A21" s="59">
        <v>31</v>
      </c>
      <c r="B21" s="8">
        <v>46722</v>
      </c>
      <c r="C21" s="43">
        <f t="shared" si="0"/>
        <v>10644408</v>
      </c>
      <c r="D21" s="84"/>
      <c r="E21" s="57">
        <f t="shared" si="1"/>
        <v>0</v>
      </c>
      <c r="F21" s="87"/>
      <c r="G21" s="32"/>
      <c r="H21" s="45"/>
      <c r="XFC21" s="48"/>
      <c r="XFD21" s="49"/>
    </row>
    <row r="22" spans="1:8 16383:16384" ht="28.5" customHeight="1" x14ac:dyDescent="0.25">
      <c r="B22" s="9" t="s">
        <v>0</v>
      </c>
      <c r="C22" s="10">
        <f>+SUM(C10:C21)</f>
        <v>125329320</v>
      </c>
      <c r="D22" s="11"/>
      <c r="E22" s="56">
        <f>SUM(E10:E21)</f>
        <v>0</v>
      </c>
      <c r="F22" s="55">
        <f>+F10</f>
        <v>0</v>
      </c>
      <c r="G22" s="50"/>
      <c r="H22" s="42"/>
      <c r="XFC22" s="48"/>
      <c r="XFD22" s="49"/>
    </row>
    <row r="23" spans="1:8 16383:16384" ht="19.5" customHeight="1" x14ac:dyDescent="0.25">
      <c r="B23" s="7" t="s">
        <v>58</v>
      </c>
      <c r="C23" s="25"/>
      <c r="D23" s="30"/>
      <c r="E23" s="25"/>
      <c r="F23" s="26"/>
      <c r="G23" s="67"/>
      <c r="H23" s="42"/>
      <c r="XFC23" s="51"/>
      <c r="XFD23" s="49"/>
    </row>
    <row r="24" spans="1:8 16383:16384" ht="15" customHeight="1" x14ac:dyDescent="0.25">
      <c r="B24" s="7" t="s">
        <v>122</v>
      </c>
      <c r="C24" s="7"/>
      <c r="D24" s="7"/>
      <c r="E24" s="7"/>
      <c r="F24" s="7"/>
      <c r="G24" s="7"/>
      <c r="H24" s="42"/>
      <c r="XFC24" s="45"/>
    </row>
    <row r="25" spans="1:8 16383:16384" ht="15" x14ac:dyDescent="0.25">
      <c r="B25" s="7" t="s">
        <v>43</v>
      </c>
      <c r="H25" s="42"/>
      <c r="XFC25" s="42"/>
    </row>
    <row r="26" spans="1:8 16383:16384" ht="33" customHeight="1" x14ac:dyDescent="0.25">
      <c r="B26" s="72" t="s">
        <v>68</v>
      </c>
      <c r="C26" s="72"/>
      <c r="D26" s="72"/>
      <c r="E26" s="72"/>
      <c r="F26" s="72"/>
      <c r="G26" s="72"/>
      <c r="H26" s="42"/>
    </row>
    <row r="27" spans="1:8 16383:16384" ht="15" x14ac:dyDescent="0.25">
      <c r="B27" s="7"/>
      <c r="C27" s="54"/>
      <c r="D27" s="54"/>
      <c r="E27" s="54"/>
      <c r="F27" s="54"/>
      <c r="G27" s="54"/>
      <c r="H27" s="42"/>
    </row>
    <row r="28" spans="1:8 16383:16384" ht="15" x14ac:dyDescent="0.25">
      <c r="B28" s="7"/>
      <c r="C28" s="54"/>
      <c r="D28" s="54"/>
      <c r="E28" s="54"/>
      <c r="F28" s="54"/>
      <c r="G28" s="54"/>
      <c r="H28" s="42"/>
    </row>
    <row r="29" spans="1:8 16383:16384" ht="15" x14ac:dyDescent="0.25">
      <c r="B29" s="7"/>
      <c r="C29" s="4"/>
      <c r="D29" s="3"/>
      <c r="E29" s="3"/>
      <c r="F29" s="3"/>
      <c r="G29" s="3"/>
      <c r="H29" s="42"/>
    </row>
    <row r="30" spans="1:8 16383:16384" ht="15" customHeight="1" x14ac:dyDescent="0.25">
      <c r="A30" s="2"/>
      <c r="H30" s="42"/>
    </row>
    <row r="31" spans="1:8 16383:16384" ht="15" customHeight="1" x14ac:dyDescent="0.25">
      <c r="A31" s="1"/>
      <c r="B31" s="60" t="s">
        <v>53</v>
      </c>
      <c r="H31" s="42"/>
    </row>
    <row r="32" spans="1:8 16383:16384" ht="15" customHeight="1" x14ac:dyDescent="0.25">
      <c r="A32" s="1"/>
      <c r="B32" s="61" t="s">
        <v>54</v>
      </c>
      <c r="H32" s="42"/>
    </row>
    <row r="33" spans="2:2" ht="15" x14ac:dyDescent="0.25">
      <c r="B33" s="61" t="s">
        <v>55</v>
      </c>
    </row>
    <row r="34" spans="2:2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XFD10:XFD21">
    <cfRule type="cellIs" dxfId="8" priority="1" operator="lessThan">
      <formula>0</formula>
    </cfRule>
  </conditionalFormatting>
  <dataValidations count="1">
    <dataValidation type="whole" operator="lessThanOrEqual" allowBlank="1" showInputMessage="1" showErrorMessage="1" errorTitle="Error" error="Debe ingresar un numero menor o igual  14.307" prompt="Debe ingresar un numero menor o igual  14.307" sqref="D10:D21" xr:uid="{21FC3E5E-F670-4A93-8CD4-B1A9FACF171C}">
      <formula1>A9</formula1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4653-9B93-43DC-B84B-031CB9C59D6A}">
  <sheetPr codeName="Hoja5">
    <tabColor rgb="FFFFFF00"/>
  </sheetPr>
  <dimension ref="A1:AD46"/>
  <sheetViews>
    <sheetView showGridLines="0" zoomScale="85" zoomScaleNormal="85" zoomScaleSheetLayoutView="110" workbookViewId="0">
      <pane xSplit="2" ySplit="5" topLeftCell="G2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7" bestFit="1" customWidth="1"/>
    <col min="2" max="2" width="9" bestFit="1" customWidth="1"/>
    <col min="3" max="4" width="9.28515625" bestFit="1" customWidth="1"/>
    <col min="5" max="5" width="9" bestFit="1" customWidth="1"/>
    <col min="6" max="6" width="8.5703125" bestFit="1" customWidth="1"/>
    <col min="7" max="7" width="8.85546875" bestFit="1" customWidth="1"/>
    <col min="8" max="9" width="9" bestFit="1" customWidth="1"/>
    <col min="10" max="10" width="8.42578125" bestFit="1" customWidth="1"/>
    <col min="11" max="12" width="8.5703125" bestFit="1" customWidth="1"/>
    <col min="13" max="13" width="8.85546875" bestFit="1" customWidth="1"/>
    <col min="14" max="14" width="9" bestFit="1" customWidth="1"/>
    <col min="15" max="15" width="8.85546875" bestFit="1" customWidth="1"/>
    <col min="16" max="16" width="8.7109375" bestFit="1" customWidth="1"/>
    <col min="17" max="17" width="9.28515625" bestFit="1" customWidth="1"/>
    <col min="18" max="19" width="8.5703125" bestFit="1" customWidth="1"/>
    <col min="20" max="21" width="8.85546875" bestFit="1" customWidth="1"/>
    <col min="22" max="22" width="9" bestFit="1" customWidth="1"/>
    <col min="23" max="23" width="8.7109375" bestFit="1" customWidth="1"/>
    <col min="24" max="24" width="9.28515625" bestFit="1" customWidth="1"/>
    <col min="25" max="25" width="8.7109375" bestFit="1" customWidth="1"/>
    <col min="26" max="26" width="9" customWidth="1"/>
    <col min="27" max="27" width="11.28515625" bestFit="1" customWidth="1"/>
    <col min="28" max="28" width="5.7109375" bestFit="1" customWidth="1"/>
    <col min="29" max="29" width="10.7109375" bestFit="1" customWidth="1"/>
    <col min="30" max="30" width="8.42578125" bestFit="1" customWidth="1"/>
    <col min="31" max="16384" width="9.140625" hidden="1"/>
  </cols>
  <sheetData>
    <row r="1" spans="1:30" x14ac:dyDescent="0.25">
      <c r="A1" s="90" t="s">
        <v>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46388</v>
      </c>
      <c r="B6" s="18" t="s">
        <v>5</v>
      </c>
      <c r="C6" s="33">
        <v>11610</v>
      </c>
      <c r="D6" s="33">
        <v>10939</v>
      </c>
      <c r="E6" s="33">
        <v>10535</v>
      </c>
      <c r="F6" s="33">
        <v>10326</v>
      </c>
      <c r="G6" s="33">
        <v>10471</v>
      </c>
      <c r="H6" s="33">
        <v>11094</v>
      </c>
      <c r="I6" s="33">
        <v>11687</v>
      </c>
      <c r="J6" s="33">
        <v>12797</v>
      </c>
      <c r="K6" s="33">
        <v>14046</v>
      </c>
      <c r="L6" s="33">
        <v>14992</v>
      </c>
      <c r="M6" s="33">
        <v>15955</v>
      </c>
      <c r="N6" s="33">
        <v>16864</v>
      </c>
      <c r="O6" s="33">
        <v>16709</v>
      </c>
      <c r="P6" s="33">
        <v>16729</v>
      </c>
      <c r="Q6" s="33">
        <v>17008</v>
      </c>
      <c r="R6" s="33">
        <v>17061</v>
      </c>
      <c r="S6" s="33">
        <v>16866</v>
      </c>
      <c r="T6" s="33">
        <v>16501</v>
      </c>
      <c r="U6" s="33">
        <v>17714</v>
      </c>
      <c r="V6" s="33">
        <v>18724</v>
      </c>
      <c r="W6" s="33">
        <v>18045</v>
      </c>
      <c r="X6" s="33">
        <v>16854</v>
      </c>
      <c r="Y6" s="33">
        <v>14940</v>
      </c>
      <c r="Z6" s="34">
        <v>13007</v>
      </c>
      <c r="AA6" s="35">
        <f>SUM(C6:Z6)</f>
        <v>351474</v>
      </c>
      <c r="AB6" s="19">
        <v>19</v>
      </c>
      <c r="AC6" s="100">
        <f>+AA6*AB6+AA7*AB7+AA8*AB8</f>
        <v>10657301</v>
      </c>
      <c r="AD6" s="49"/>
    </row>
    <row r="7" spans="1:30" ht="15.75" thickBot="1" x14ac:dyDescent="0.3">
      <c r="A7" s="99"/>
      <c r="B7" s="20" t="s">
        <v>4</v>
      </c>
      <c r="C7" s="36">
        <v>11890</v>
      </c>
      <c r="D7" s="36">
        <v>11132</v>
      </c>
      <c r="E7" s="36">
        <v>10670</v>
      </c>
      <c r="F7" s="36">
        <v>10378</v>
      </c>
      <c r="G7" s="36">
        <v>10387</v>
      </c>
      <c r="H7" s="36">
        <v>10736</v>
      </c>
      <c r="I7" s="36">
        <v>11143</v>
      </c>
      <c r="J7" s="36">
        <v>12272</v>
      </c>
      <c r="K7" s="36">
        <v>13667</v>
      </c>
      <c r="L7" s="36">
        <v>14721</v>
      </c>
      <c r="M7" s="36">
        <v>15510</v>
      </c>
      <c r="N7" s="36">
        <v>16291</v>
      </c>
      <c r="O7" s="36">
        <v>16375</v>
      </c>
      <c r="P7" s="36">
        <v>16214</v>
      </c>
      <c r="Q7" s="36">
        <v>16038</v>
      </c>
      <c r="R7" s="36">
        <v>15952</v>
      </c>
      <c r="S7" s="36">
        <v>15832</v>
      </c>
      <c r="T7" s="36">
        <v>15817</v>
      </c>
      <c r="U7" s="36">
        <v>17337</v>
      </c>
      <c r="V7" s="36">
        <v>18420</v>
      </c>
      <c r="W7" s="36">
        <v>17679</v>
      </c>
      <c r="X7" s="36">
        <v>16575</v>
      </c>
      <c r="Y7" s="36">
        <v>15009</v>
      </c>
      <c r="Z7" s="37">
        <v>13439</v>
      </c>
      <c r="AA7" s="38">
        <f t="shared" ref="AA7:AA41" si="0">SUM(C7:Z7)</f>
        <v>343484</v>
      </c>
      <c r="AB7" s="21">
        <v>5</v>
      </c>
      <c r="AC7" s="101"/>
      <c r="AD7" s="49"/>
    </row>
    <row r="8" spans="1:30" x14ac:dyDescent="0.25">
      <c r="A8" s="99"/>
      <c r="B8" s="22" t="s">
        <v>3</v>
      </c>
      <c r="C8" s="39">
        <v>12464</v>
      </c>
      <c r="D8" s="39">
        <v>11646</v>
      </c>
      <c r="E8" s="39">
        <v>11103</v>
      </c>
      <c r="F8" s="39">
        <v>10719</v>
      </c>
      <c r="G8" s="39">
        <v>10532</v>
      </c>
      <c r="H8" s="39">
        <v>10606</v>
      </c>
      <c r="I8" s="39">
        <v>10502</v>
      </c>
      <c r="J8" s="39">
        <v>11122</v>
      </c>
      <c r="K8" s="39">
        <v>12184</v>
      </c>
      <c r="L8" s="39">
        <v>13120</v>
      </c>
      <c r="M8" s="39">
        <v>13810</v>
      </c>
      <c r="N8" s="39">
        <v>14529</v>
      </c>
      <c r="O8" s="39">
        <v>14955</v>
      </c>
      <c r="P8" s="39">
        <v>14904</v>
      </c>
      <c r="Q8" s="39">
        <v>14634</v>
      </c>
      <c r="R8" s="39">
        <v>14478</v>
      </c>
      <c r="S8" s="39">
        <v>14399</v>
      </c>
      <c r="T8" s="39">
        <v>14477</v>
      </c>
      <c r="U8" s="39">
        <v>16136</v>
      </c>
      <c r="V8" s="39">
        <v>17320</v>
      </c>
      <c r="W8" s="39">
        <v>16837</v>
      </c>
      <c r="X8" s="39">
        <v>15805</v>
      </c>
      <c r="Y8" s="39">
        <v>14213</v>
      </c>
      <c r="Z8" s="40">
        <v>12630</v>
      </c>
      <c r="AA8" s="41">
        <f t="shared" si="0"/>
        <v>323125</v>
      </c>
      <c r="AB8" s="23">
        <v>7</v>
      </c>
      <c r="AC8" s="102"/>
      <c r="AD8" s="49"/>
    </row>
    <row r="9" spans="1:30" ht="15.75" thickBot="1" x14ac:dyDescent="0.3">
      <c r="A9" s="99">
        <v>46419</v>
      </c>
      <c r="B9" s="18" t="s">
        <v>5</v>
      </c>
      <c r="C9" s="33">
        <v>11678</v>
      </c>
      <c r="D9" s="33">
        <v>11032</v>
      </c>
      <c r="E9" s="33">
        <v>10661</v>
      </c>
      <c r="F9" s="33">
        <v>10478</v>
      </c>
      <c r="G9" s="33">
        <v>10689</v>
      </c>
      <c r="H9" s="33">
        <v>11657</v>
      </c>
      <c r="I9" s="33">
        <v>12429</v>
      </c>
      <c r="J9" s="33">
        <v>13266</v>
      </c>
      <c r="K9" s="33">
        <v>14377</v>
      </c>
      <c r="L9" s="33">
        <v>15209</v>
      </c>
      <c r="M9" s="33">
        <v>16119</v>
      </c>
      <c r="N9" s="33">
        <v>16962</v>
      </c>
      <c r="O9" s="33">
        <v>16623</v>
      </c>
      <c r="P9" s="33">
        <v>16752</v>
      </c>
      <c r="Q9" s="33">
        <v>17143</v>
      </c>
      <c r="R9" s="33">
        <v>17214</v>
      </c>
      <c r="S9" s="33">
        <v>17022</v>
      </c>
      <c r="T9" s="33">
        <v>16577</v>
      </c>
      <c r="U9" s="33">
        <v>17503</v>
      </c>
      <c r="V9" s="33">
        <v>18828</v>
      </c>
      <c r="W9" s="33">
        <v>18175</v>
      </c>
      <c r="X9" s="33">
        <v>16928</v>
      </c>
      <c r="Y9" s="33">
        <v>14961</v>
      </c>
      <c r="Z9" s="34">
        <v>13004</v>
      </c>
      <c r="AA9" s="35">
        <f t="shared" si="0"/>
        <v>355287</v>
      </c>
      <c r="AB9" s="19">
        <v>20</v>
      </c>
      <c r="AC9" s="100">
        <f>+AA9*AB9+AA10*AB10+AA11*AB11</f>
        <v>9846236</v>
      </c>
      <c r="AD9" s="49"/>
    </row>
    <row r="10" spans="1:30" ht="15.75" thickBot="1" x14ac:dyDescent="0.3">
      <c r="A10" s="99"/>
      <c r="B10" s="20" t="s">
        <v>4</v>
      </c>
      <c r="C10" s="36">
        <v>12110</v>
      </c>
      <c r="D10" s="36">
        <v>11394</v>
      </c>
      <c r="E10" s="36">
        <v>10934</v>
      </c>
      <c r="F10" s="36">
        <v>10669</v>
      </c>
      <c r="G10" s="36">
        <v>10701</v>
      </c>
      <c r="H10" s="36">
        <v>11076</v>
      </c>
      <c r="I10" s="36">
        <v>11676</v>
      </c>
      <c r="J10" s="36">
        <v>12804</v>
      </c>
      <c r="K10" s="36">
        <v>14254</v>
      </c>
      <c r="L10" s="36">
        <v>15264</v>
      </c>
      <c r="M10" s="36">
        <v>16066</v>
      </c>
      <c r="N10" s="36">
        <v>16845</v>
      </c>
      <c r="O10" s="36">
        <v>16867</v>
      </c>
      <c r="P10" s="36">
        <v>16651</v>
      </c>
      <c r="Q10" s="36">
        <v>16466</v>
      </c>
      <c r="R10" s="36">
        <v>16364</v>
      </c>
      <c r="S10" s="36">
        <v>16225</v>
      </c>
      <c r="T10" s="36">
        <v>16174</v>
      </c>
      <c r="U10" s="36">
        <v>17404</v>
      </c>
      <c r="V10" s="36">
        <v>18737</v>
      </c>
      <c r="W10" s="36">
        <v>18003</v>
      </c>
      <c r="X10" s="36">
        <v>16960</v>
      </c>
      <c r="Y10" s="36">
        <v>15470</v>
      </c>
      <c r="Z10" s="37">
        <v>13814</v>
      </c>
      <c r="AA10" s="38">
        <f t="shared" si="0"/>
        <v>352928</v>
      </c>
      <c r="AB10" s="21">
        <v>4</v>
      </c>
      <c r="AC10" s="101"/>
      <c r="AD10" s="49"/>
    </row>
    <row r="11" spans="1:30" x14ac:dyDescent="0.25">
      <c r="A11" s="99"/>
      <c r="B11" s="22" t="s">
        <v>3</v>
      </c>
      <c r="C11" s="39">
        <v>12578</v>
      </c>
      <c r="D11" s="39">
        <v>11765</v>
      </c>
      <c r="E11" s="39">
        <v>11270</v>
      </c>
      <c r="F11" s="39">
        <v>10898</v>
      </c>
      <c r="G11" s="39">
        <v>10779</v>
      </c>
      <c r="H11" s="39">
        <v>10891</v>
      </c>
      <c r="I11" s="39">
        <v>10980</v>
      </c>
      <c r="J11" s="39">
        <v>11707</v>
      </c>
      <c r="K11" s="39">
        <v>12872</v>
      </c>
      <c r="L11" s="39">
        <v>13825</v>
      </c>
      <c r="M11" s="39">
        <v>14457</v>
      </c>
      <c r="N11" s="39">
        <v>15140</v>
      </c>
      <c r="O11" s="39">
        <v>15523</v>
      </c>
      <c r="P11" s="39">
        <v>15398</v>
      </c>
      <c r="Q11" s="39">
        <v>15093</v>
      </c>
      <c r="R11" s="39">
        <v>14908</v>
      </c>
      <c r="S11" s="39">
        <v>14815</v>
      </c>
      <c r="T11" s="39">
        <v>14893</v>
      </c>
      <c r="U11" s="39">
        <v>16216</v>
      </c>
      <c r="V11" s="39">
        <v>17688</v>
      </c>
      <c r="W11" s="39">
        <v>17239</v>
      </c>
      <c r="X11" s="39">
        <v>16169</v>
      </c>
      <c r="Y11" s="39">
        <v>14412</v>
      </c>
      <c r="Z11" s="40">
        <v>12680</v>
      </c>
      <c r="AA11" s="41">
        <f t="shared" si="0"/>
        <v>332196</v>
      </c>
      <c r="AB11" s="23">
        <v>4</v>
      </c>
      <c r="AC11" s="102"/>
      <c r="AD11" s="49"/>
    </row>
    <row r="12" spans="1:30" ht="15.75" thickBot="1" x14ac:dyDescent="0.3">
      <c r="A12" s="99">
        <v>46447</v>
      </c>
      <c r="B12" s="18" t="s">
        <v>5</v>
      </c>
      <c r="C12" s="33">
        <v>11430</v>
      </c>
      <c r="D12" s="33">
        <v>10811</v>
      </c>
      <c r="E12" s="33">
        <v>10469</v>
      </c>
      <c r="F12" s="33">
        <v>10298</v>
      </c>
      <c r="G12" s="33">
        <v>10525</v>
      </c>
      <c r="H12" s="33">
        <v>11474</v>
      </c>
      <c r="I12" s="33">
        <v>12139</v>
      </c>
      <c r="J12" s="33">
        <v>13066</v>
      </c>
      <c r="K12" s="33">
        <v>14133</v>
      </c>
      <c r="L12" s="33">
        <v>14932</v>
      </c>
      <c r="M12" s="33">
        <v>15784</v>
      </c>
      <c r="N12" s="33">
        <v>16552</v>
      </c>
      <c r="O12" s="33">
        <v>16246</v>
      </c>
      <c r="P12" s="33">
        <v>16313</v>
      </c>
      <c r="Q12" s="33">
        <v>16650</v>
      </c>
      <c r="R12" s="33">
        <v>16705</v>
      </c>
      <c r="S12" s="33">
        <v>16558</v>
      </c>
      <c r="T12" s="33">
        <v>16245</v>
      </c>
      <c r="U12" s="33">
        <v>17401</v>
      </c>
      <c r="V12" s="33">
        <v>18531</v>
      </c>
      <c r="W12" s="33">
        <v>17858</v>
      </c>
      <c r="X12" s="33">
        <v>16590</v>
      </c>
      <c r="Y12" s="33">
        <v>14662</v>
      </c>
      <c r="Z12" s="34">
        <v>12759</v>
      </c>
      <c r="AA12" s="35">
        <f t="shared" si="0"/>
        <v>348131</v>
      </c>
      <c r="AB12" s="19">
        <v>20</v>
      </c>
      <c r="AC12" s="100">
        <f>+AA12*AB12+AA13*AB13+AA14*AB14</f>
        <v>10580321</v>
      </c>
      <c r="AD12" s="49"/>
    </row>
    <row r="13" spans="1:30" ht="15.75" thickBot="1" x14ac:dyDescent="0.3">
      <c r="A13" s="99"/>
      <c r="B13" s="20" t="s">
        <v>4</v>
      </c>
      <c r="C13" s="36">
        <v>11790</v>
      </c>
      <c r="D13" s="36">
        <v>11076</v>
      </c>
      <c r="E13" s="36">
        <v>10696</v>
      </c>
      <c r="F13" s="36">
        <v>10479</v>
      </c>
      <c r="G13" s="36">
        <v>10492</v>
      </c>
      <c r="H13" s="36">
        <v>10891</v>
      </c>
      <c r="I13" s="36">
        <v>11238</v>
      </c>
      <c r="J13" s="36">
        <v>12475</v>
      </c>
      <c r="K13" s="36">
        <v>13820</v>
      </c>
      <c r="L13" s="36">
        <v>14795</v>
      </c>
      <c r="M13" s="36">
        <v>15570</v>
      </c>
      <c r="N13" s="36">
        <v>16215</v>
      </c>
      <c r="O13" s="36">
        <v>16202</v>
      </c>
      <c r="P13" s="36">
        <v>15972</v>
      </c>
      <c r="Q13" s="36">
        <v>15800</v>
      </c>
      <c r="R13" s="36">
        <v>15670</v>
      </c>
      <c r="S13" s="36">
        <v>15502</v>
      </c>
      <c r="T13" s="36">
        <v>15514</v>
      </c>
      <c r="U13" s="36">
        <v>16917</v>
      </c>
      <c r="V13" s="36">
        <v>17983</v>
      </c>
      <c r="W13" s="36">
        <v>17286</v>
      </c>
      <c r="X13" s="36">
        <v>16290</v>
      </c>
      <c r="Y13" s="36">
        <v>14806</v>
      </c>
      <c r="Z13" s="37">
        <v>13308</v>
      </c>
      <c r="AA13" s="38">
        <f t="shared" si="0"/>
        <v>340787</v>
      </c>
      <c r="AB13" s="21">
        <v>4</v>
      </c>
      <c r="AC13" s="101"/>
      <c r="AD13" s="49"/>
    </row>
    <row r="14" spans="1:30" x14ac:dyDescent="0.25">
      <c r="A14" s="99"/>
      <c r="B14" s="22" t="s">
        <v>3</v>
      </c>
      <c r="C14" s="39">
        <v>12150</v>
      </c>
      <c r="D14" s="39">
        <v>11364</v>
      </c>
      <c r="E14" s="39">
        <v>10902</v>
      </c>
      <c r="F14" s="39">
        <v>10589</v>
      </c>
      <c r="G14" s="39">
        <v>10459</v>
      </c>
      <c r="H14" s="39">
        <v>10613</v>
      </c>
      <c r="I14" s="39">
        <v>10574</v>
      </c>
      <c r="J14" s="39">
        <v>11360</v>
      </c>
      <c r="K14" s="39">
        <v>12431</v>
      </c>
      <c r="L14" s="39">
        <v>13293</v>
      </c>
      <c r="M14" s="39">
        <v>13895</v>
      </c>
      <c r="N14" s="39">
        <v>14579</v>
      </c>
      <c r="O14" s="39">
        <v>14986</v>
      </c>
      <c r="P14" s="39">
        <v>14872</v>
      </c>
      <c r="Q14" s="39">
        <v>14560</v>
      </c>
      <c r="R14" s="39">
        <v>14420</v>
      </c>
      <c r="S14" s="39">
        <v>14330</v>
      </c>
      <c r="T14" s="39">
        <v>14442</v>
      </c>
      <c r="U14" s="39">
        <v>15957</v>
      </c>
      <c r="V14" s="39">
        <v>17213</v>
      </c>
      <c r="W14" s="39">
        <v>16729</v>
      </c>
      <c r="X14" s="39">
        <v>15726</v>
      </c>
      <c r="Y14" s="39">
        <v>14095</v>
      </c>
      <c r="Z14" s="40">
        <v>12540</v>
      </c>
      <c r="AA14" s="41">
        <f t="shared" si="0"/>
        <v>322079</v>
      </c>
      <c r="AB14" s="23">
        <v>7</v>
      </c>
      <c r="AC14" s="102"/>
      <c r="AD14" s="49"/>
    </row>
    <row r="15" spans="1:30" ht="15.75" thickBot="1" x14ac:dyDescent="0.3">
      <c r="A15" s="99">
        <v>46478</v>
      </c>
      <c r="B15" s="18" t="s">
        <v>5</v>
      </c>
      <c r="C15" s="33">
        <v>11166</v>
      </c>
      <c r="D15" s="33">
        <v>10574</v>
      </c>
      <c r="E15" s="33">
        <v>10218</v>
      </c>
      <c r="F15" s="33">
        <v>10053</v>
      </c>
      <c r="G15" s="33">
        <v>10262</v>
      </c>
      <c r="H15" s="33">
        <v>11027</v>
      </c>
      <c r="I15" s="33">
        <v>11591</v>
      </c>
      <c r="J15" s="33">
        <v>12612</v>
      </c>
      <c r="K15" s="33">
        <v>13679</v>
      </c>
      <c r="L15" s="33">
        <v>14514</v>
      </c>
      <c r="M15" s="33">
        <v>15396</v>
      </c>
      <c r="N15" s="33">
        <v>16195</v>
      </c>
      <c r="O15" s="33">
        <v>15910</v>
      </c>
      <c r="P15" s="33">
        <v>15983</v>
      </c>
      <c r="Q15" s="33">
        <v>16299</v>
      </c>
      <c r="R15" s="33">
        <v>16332</v>
      </c>
      <c r="S15" s="33">
        <v>16167</v>
      </c>
      <c r="T15" s="33">
        <v>15928</v>
      </c>
      <c r="U15" s="33">
        <v>17319</v>
      </c>
      <c r="V15" s="33">
        <v>18146</v>
      </c>
      <c r="W15" s="33">
        <v>17507</v>
      </c>
      <c r="X15" s="33">
        <v>16227</v>
      </c>
      <c r="Y15" s="33">
        <v>14290</v>
      </c>
      <c r="Z15" s="34">
        <v>12437</v>
      </c>
      <c r="AA15" s="35">
        <f t="shared" si="0"/>
        <v>339832</v>
      </c>
      <c r="AB15" s="19">
        <v>22</v>
      </c>
      <c r="AC15" s="100">
        <f>+AA15*AB15+AA16*AB16+AA17*AB17</f>
        <v>10076204</v>
      </c>
      <c r="AD15" s="49"/>
    </row>
    <row r="16" spans="1:30" ht="15.75" thickBot="1" x14ac:dyDescent="0.3">
      <c r="A16" s="99"/>
      <c r="B16" s="20" t="s">
        <v>4</v>
      </c>
      <c r="C16" s="36">
        <v>11404</v>
      </c>
      <c r="D16" s="36">
        <v>10729</v>
      </c>
      <c r="E16" s="36">
        <v>10294</v>
      </c>
      <c r="F16" s="36">
        <v>10038</v>
      </c>
      <c r="G16" s="36">
        <v>10085</v>
      </c>
      <c r="H16" s="36">
        <v>10375</v>
      </c>
      <c r="I16" s="36">
        <v>10739</v>
      </c>
      <c r="J16" s="36">
        <v>12030</v>
      </c>
      <c r="K16" s="36">
        <v>13355</v>
      </c>
      <c r="L16" s="36">
        <v>14360</v>
      </c>
      <c r="M16" s="36">
        <v>15086</v>
      </c>
      <c r="N16" s="36">
        <v>15910</v>
      </c>
      <c r="O16" s="36">
        <v>15961</v>
      </c>
      <c r="P16" s="36">
        <v>15769</v>
      </c>
      <c r="Q16" s="36">
        <v>15594</v>
      </c>
      <c r="R16" s="36">
        <v>15474</v>
      </c>
      <c r="S16" s="36">
        <v>15430</v>
      </c>
      <c r="T16" s="36">
        <v>15504</v>
      </c>
      <c r="U16" s="36">
        <v>17086</v>
      </c>
      <c r="V16" s="36">
        <v>17960</v>
      </c>
      <c r="W16" s="36">
        <v>17225</v>
      </c>
      <c r="X16" s="36">
        <v>16158</v>
      </c>
      <c r="Y16" s="36">
        <v>14656</v>
      </c>
      <c r="Z16" s="37">
        <v>13123</v>
      </c>
      <c r="AA16" s="38">
        <f t="shared" si="0"/>
        <v>334345</v>
      </c>
      <c r="AB16" s="21">
        <v>4</v>
      </c>
      <c r="AC16" s="101"/>
      <c r="AD16" s="49"/>
    </row>
    <row r="17" spans="1:30" x14ac:dyDescent="0.25">
      <c r="A17" s="99"/>
      <c r="B17" s="22" t="s">
        <v>3</v>
      </c>
      <c r="C17" s="39">
        <v>11884</v>
      </c>
      <c r="D17" s="39">
        <v>11126</v>
      </c>
      <c r="E17" s="39">
        <v>10636</v>
      </c>
      <c r="F17" s="39">
        <v>10302</v>
      </c>
      <c r="G17" s="39">
        <v>10173</v>
      </c>
      <c r="H17" s="39">
        <v>10156</v>
      </c>
      <c r="I17" s="39">
        <v>10235</v>
      </c>
      <c r="J17" s="39">
        <v>11122</v>
      </c>
      <c r="K17" s="39">
        <v>12159</v>
      </c>
      <c r="L17" s="39">
        <v>13070</v>
      </c>
      <c r="M17" s="39">
        <v>13718</v>
      </c>
      <c r="N17" s="39">
        <v>14378</v>
      </c>
      <c r="O17" s="39">
        <v>14762</v>
      </c>
      <c r="P17" s="39">
        <v>14656</v>
      </c>
      <c r="Q17" s="39">
        <v>14325</v>
      </c>
      <c r="R17" s="39">
        <v>14168</v>
      </c>
      <c r="S17" s="39">
        <v>14079</v>
      </c>
      <c r="T17" s="39">
        <v>14206</v>
      </c>
      <c r="U17" s="39">
        <v>15895</v>
      </c>
      <c r="V17" s="39">
        <v>16906</v>
      </c>
      <c r="W17" s="39">
        <v>16376</v>
      </c>
      <c r="X17" s="39">
        <v>15344</v>
      </c>
      <c r="Y17" s="39">
        <v>13764</v>
      </c>
      <c r="Z17" s="40">
        <v>12190</v>
      </c>
      <c r="AA17" s="41">
        <f t="shared" si="0"/>
        <v>315630</v>
      </c>
      <c r="AB17" s="23">
        <v>4</v>
      </c>
      <c r="AC17" s="102"/>
      <c r="AD17" s="49"/>
    </row>
    <row r="18" spans="1:30" ht="15.75" thickBot="1" x14ac:dyDescent="0.3">
      <c r="A18" s="99">
        <v>46508</v>
      </c>
      <c r="B18" s="18" t="s">
        <v>5</v>
      </c>
      <c r="C18" s="33">
        <v>11183</v>
      </c>
      <c r="D18" s="33">
        <v>10571</v>
      </c>
      <c r="E18" s="33">
        <v>10230</v>
      </c>
      <c r="F18" s="33">
        <v>10059</v>
      </c>
      <c r="G18" s="33">
        <v>10261</v>
      </c>
      <c r="H18" s="33">
        <v>10917</v>
      </c>
      <c r="I18" s="33">
        <v>11603</v>
      </c>
      <c r="J18" s="33">
        <v>12675</v>
      </c>
      <c r="K18" s="33">
        <v>13771</v>
      </c>
      <c r="L18" s="33">
        <v>14632</v>
      </c>
      <c r="M18" s="33">
        <v>15497</v>
      </c>
      <c r="N18" s="33">
        <v>16319</v>
      </c>
      <c r="O18" s="33">
        <v>16071</v>
      </c>
      <c r="P18" s="33">
        <v>16067</v>
      </c>
      <c r="Q18" s="33">
        <v>16315</v>
      </c>
      <c r="R18" s="33">
        <v>16344</v>
      </c>
      <c r="S18" s="33">
        <v>16177</v>
      </c>
      <c r="T18" s="33">
        <v>15982</v>
      </c>
      <c r="U18" s="33">
        <v>17434</v>
      </c>
      <c r="V18" s="33">
        <v>18257</v>
      </c>
      <c r="W18" s="33">
        <v>17543</v>
      </c>
      <c r="X18" s="33">
        <v>16259</v>
      </c>
      <c r="Y18" s="33">
        <v>14291</v>
      </c>
      <c r="Z18" s="34">
        <v>12468</v>
      </c>
      <c r="AA18" s="35">
        <f t="shared" si="0"/>
        <v>340926</v>
      </c>
      <c r="AB18" s="19">
        <v>19</v>
      </c>
      <c r="AC18" s="100">
        <f>+AA18*AB18+AA19*AB19+AA20*AB20</f>
        <v>10395490</v>
      </c>
      <c r="AD18" s="49"/>
    </row>
    <row r="19" spans="1:30" ht="15.75" thickBot="1" x14ac:dyDescent="0.3">
      <c r="A19" s="99"/>
      <c r="B19" s="20" t="s">
        <v>4</v>
      </c>
      <c r="C19" s="36">
        <v>11597</v>
      </c>
      <c r="D19" s="36">
        <v>10926</v>
      </c>
      <c r="E19" s="36">
        <v>10521</v>
      </c>
      <c r="F19" s="36">
        <v>10282</v>
      </c>
      <c r="G19" s="36">
        <v>10324</v>
      </c>
      <c r="H19" s="36">
        <v>10493</v>
      </c>
      <c r="I19" s="36">
        <v>11042</v>
      </c>
      <c r="J19" s="36">
        <v>12341</v>
      </c>
      <c r="K19" s="36">
        <v>13695</v>
      </c>
      <c r="L19" s="36">
        <v>14742</v>
      </c>
      <c r="M19" s="36">
        <v>15460</v>
      </c>
      <c r="N19" s="36">
        <v>16114</v>
      </c>
      <c r="O19" s="36">
        <v>16116</v>
      </c>
      <c r="P19" s="36">
        <v>15860</v>
      </c>
      <c r="Q19" s="36">
        <v>15599</v>
      </c>
      <c r="R19" s="36">
        <v>15441</v>
      </c>
      <c r="S19" s="36">
        <v>15327</v>
      </c>
      <c r="T19" s="36">
        <v>15468</v>
      </c>
      <c r="U19" s="36">
        <v>17187</v>
      </c>
      <c r="V19" s="36">
        <v>17884</v>
      </c>
      <c r="W19" s="36">
        <v>17175</v>
      </c>
      <c r="X19" s="36">
        <v>16089</v>
      </c>
      <c r="Y19" s="36">
        <v>14577</v>
      </c>
      <c r="Z19" s="37">
        <v>13070</v>
      </c>
      <c r="AA19" s="38">
        <f t="shared" si="0"/>
        <v>337330</v>
      </c>
      <c r="AB19" s="21">
        <v>4</v>
      </c>
      <c r="AC19" s="101"/>
      <c r="AD19" s="49"/>
    </row>
    <row r="20" spans="1:30" x14ac:dyDescent="0.25">
      <c r="A20" s="99"/>
      <c r="B20" s="22" t="s">
        <v>3</v>
      </c>
      <c r="C20" s="39">
        <v>11799</v>
      </c>
      <c r="D20" s="39">
        <v>11066</v>
      </c>
      <c r="E20" s="39">
        <v>10611</v>
      </c>
      <c r="F20" s="39">
        <v>10308</v>
      </c>
      <c r="G20" s="39">
        <v>10215</v>
      </c>
      <c r="H20" s="39">
        <v>10100</v>
      </c>
      <c r="I20" s="39">
        <v>10307</v>
      </c>
      <c r="J20" s="39">
        <v>11295</v>
      </c>
      <c r="K20" s="39">
        <v>12393</v>
      </c>
      <c r="L20" s="39">
        <v>13369</v>
      </c>
      <c r="M20" s="39">
        <v>14036</v>
      </c>
      <c r="N20" s="39">
        <v>14732</v>
      </c>
      <c r="O20" s="39">
        <v>15038</v>
      </c>
      <c r="P20" s="39">
        <v>14977</v>
      </c>
      <c r="Q20" s="39">
        <v>14614</v>
      </c>
      <c r="R20" s="39">
        <v>15022</v>
      </c>
      <c r="S20" s="39">
        <v>14358</v>
      </c>
      <c r="T20" s="39">
        <v>14516</v>
      </c>
      <c r="U20" s="39">
        <v>16262</v>
      </c>
      <c r="V20" s="39">
        <v>17276</v>
      </c>
      <c r="W20" s="39">
        <v>16731</v>
      </c>
      <c r="X20" s="39">
        <v>15634</v>
      </c>
      <c r="Y20" s="39">
        <v>14010</v>
      </c>
      <c r="Z20" s="40">
        <v>12403</v>
      </c>
      <c r="AA20" s="41">
        <f t="shared" si="0"/>
        <v>321072</v>
      </c>
      <c r="AB20" s="23">
        <v>8</v>
      </c>
      <c r="AC20" s="102"/>
      <c r="AD20" s="49"/>
    </row>
    <row r="21" spans="1:30" ht="15.75" thickBot="1" x14ac:dyDescent="0.3">
      <c r="A21" s="99">
        <v>46539</v>
      </c>
      <c r="B21" s="18" t="s">
        <v>5</v>
      </c>
      <c r="C21" s="33">
        <v>11051</v>
      </c>
      <c r="D21" s="33">
        <v>10426</v>
      </c>
      <c r="E21" s="33">
        <v>10113</v>
      </c>
      <c r="F21" s="33">
        <v>9946</v>
      </c>
      <c r="G21" s="33">
        <v>10131</v>
      </c>
      <c r="H21" s="33">
        <v>10694</v>
      </c>
      <c r="I21" s="33">
        <v>11438</v>
      </c>
      <c r="J21" s="33">
        <v>12569</v>
      </c>
      <c r="K21" s="33">
        <v>13712</v>
      </c>
      <c r="L21" s="33">
        <v>14564</v>
      </c>
      <c r="M21" s="33">
        <v>15455</v>
      </c>
      <c r="N21" s="33">
        <v>16287</v>
      </c>
      <c r="O21" s="33">
        <v>16018</v>
      </c>
      <c r="P21" s="33">
        <v>16000</v>
      </c>
      <c r="Q21" s="33">
        <v>16306</v>
      </c>
      <c r="R21" s="33">
        <v>16323</v>
      </c>
      <c r="S21" s="33">
        <v>16157</v>
      </c>
      <c r="T21" s="33">
        <v>15907</v>
      </c>
      <c r="U21" s="33">
        <v>17064</v>
      </c>
      <c r="V21" s="33">
        <v>18145</v>
      </c>
      <c r="W21" s="33">
        <v>17468</v>
      </c>
      <c r="X21" s="33">
        <v>16196</v>
      </c>
      <c r="Y21" s="33">
        <v>14199</v>
      </c>
      <c r="Z21" s="34">
        <v>12348</v>
      </c>
      <c r="AA21" s="35">
        <f t="shared" si="0"/>
        <v>338517</v>
      </c>
      <c r="AB21" s="19">
        <v>21</v>
      </c>
      <c r="AC21" s="100">
        <f>+AA21*AB21+AA22*AB22+AA23*AB23</f>
        <v>10103194</v>
      </c>
      <c r="AD21" s="49"/>
    </row>
    <row r="22" spans="1:30" ht="15.75" thickBot="1" x14ac:dyDescent="0.3">
      <c r="A22" s="99"/>
      <c r="B22" s="20" t="s">
        <v>4</v>
      </c>
      <c r="C22" s="36">
        <v>11585</v>
      </c>
      <c r="D22" s="36">
        <v>10864</v>
      </c>
      <c r="E22" s="36">
        <v>10450</v>
      </c>
      <c r="F22" s="36">
        <v>10217</v>
      </c>
      <c r="G22" s="36">
        <v>10237</v>
      </c>
      <c r="H22" s="36">
        <v>10403</v>
      </c>
      <c r="I22" s="36">
        <v>10947</v>
      </c>
      <c r="J22" s="36">
        <v>12231</v>
      </c>
      <c r="K22" s="36">
        <v>13680</v>
      </c>
      <c r="L22" s="36">
        <v>14674</v>
      </c>
      <c r="M22" s="36">
        <v>15451</v>
      </c>
      <c r="N22" s="36">
        <v>16124</v>
      </c>
      <c r="O22" s="36">
        <v>16168</v>
      </c>
      <c r="P22" s="36">
        <v>16003</v>
      </c>
      <c r="Q22" s="36">
        <v>15832</v>
      </c>
      <c r="R22" s="36">
        <v>15802</v>
      </c>
      <c r="S22" s="36">
        <v>15684</v>
      </c>
      <c r="T22" s="36">
        <v>15802</v>
      </c>
      <c r="U22" s="36">
        <v>17277</v>
      </c>
      <c r="V22" s="36">
        <v>18224</v>
      </c>
      <c r="W22" s="36">
        <v>17477</v>
      </c>
      <c r="X22" s="36">
        <v>16410</v>
      </c>
      <c r="Y22" s="36">
        <v>14829</v>
      </c>
      <c r="Z22" s="37">
        <v>13222</v>
      </c>
      <c r="AA22" s="38">
        <f t="shared" si="0"/>
        <v>339593</v>
      </c>
      <c r="AB22" s="21">
        <v>4</v>
      </c>
      <c r="AC22" s="101"/>
      <c r="AD22" s="49"/>
    </row>
    <row r="23" spans="1:30" x14ac:dyDescent="0.25">
      <c r="A23" s="99"/>
      <c r="B23" s="22" t="s">
        <v>3</v>
      </c>
      <c r="C23" s="39">
        <v>12057</v>
      </c>
      <c r="D23" s="39">
        <v>11288</v>
      </c>
      <c r="E23" s="39">
        <v>10842</v>
      </c>
      <c r="F23" s="39">
        <v>10538</v>
      </c>
      <c r="G23" s="39">
        <v>10466</v>
      </c>
      <c r="H23" s="39">
        <v>10454</v>
      </c>
      <c r="I23" s="39">
        <v>10593</v>
      </c>
      <c r="J23" s="39">
        <v>11622</v>
      </c>
      <c r="K23" s="39">
        <v>12766</v>
      </c>
      <c r="L23" s="39">
        <v>13649</v>
      </c>
      <c r="M23" s="39">
        <v>14376</v>
      </c>
      <c r="N23" s="39">
        <v>15079</v>
      </c>
      <c r="O23" s="39">
        <v>15329</v>
      </c>
      <c r="P23" s="39">
        <v>15223</v>
      </c>
      <c r="Q23" s="39">
        <v>14929</v>
      </c>
      <c r="R23" s="39">
        <v>14790</v>
      </c>
      <c r="S23" s="39">
        <v>14715</v>
      </c>
      <c r="T23" s="39">
        <v>14835</v>
      </c>
      <c r="U23" s="39">
        <v>16331</v>
      </c>
      <c r="V23" s="39">
        <v>17532</v>
      </c>
      <c r="W23" s="39">
        <v>17015</v>
      </c>
      <c r="X23" s="39">
        <v>15905</v>
      </c>
      <c r="Y23" s="39">
        <v>14237</v>
      </c>
      <c r="Z23" s="40">
        <v>12622</v>
      </c>
      <c r="AA23" s="41">
        <f t="shared" si="0"/>
        <v>327193</v>
      </c>
      <c r="AB23" s="23">
        <v>5</v>
      </c>
      <c r="AC23" s="102"/>
      <c r="AD23" s="49"/>
    </row>
    <row r="24" spans="1:30" ht="15.75" thickBot="1" x14ac:dyDescent="0.3">
      <c r="A24" s="99">
        <v>46569</v>
      </c>
      <c r="B24" s="18" t="s">
        <v>5</v>
      </c>
      <c r="C24" s="33">
        <v>11570</v>
      </c>
      <c r="D24" s="33">
        <v>10912</v>
      </c>
      <c r="E24" s="33">
        <v>10532</v>
      </c>
      <c r="F24" s="33">
        <v>10325</v>
      </c>
      <c r="G24" s="33">
        <v>10502</v>
      </c>
      <c r="H24" s="33">
        <v>11063</v>
      </c>
      <c r="I24" s="33">
        <v>11666</v>
      </c>
      <c r="J24" s="33">
        <v>12929</v>
      </c>
      <c r="K24" s="33">
        <v>14157</v>
      </c>
      <c r="L24" s="33">
        <v>15119</v>
      </c>
      <c r="M24" s="33">
        <v>16050</v>
      </c>
      <c r="N24" s="33">
        <v>16876</v>
      </c>
      <c r="O24" s="33">
        <v>16584</v>
      </c>
      <c r="P24" s="33">
        <v>16620</v>
      </c>
      <c r="Q24" s="33">
        <v>16924</v>
      </c>
      <c r="R24" s="33">
        <v>16958</v>
      </c>
      <c r="S24" s="33">
        <v>16718</v>
      </c>
      <c r="T24" s="33">
        <v>16300</v>
      </c>
      <c r="U24" s="33">
        <v>17257</v>
      </c>
      <c r="V24" s="33">
        <v>18541</v>
      </c>
      <c r="W24" s="33">
        <v>17941</v>
      </c>
      <c r="X24" s="33">
        <v>16732</v>
      </c>
      <c r="Y24" s="33">
        <v>14737</v>
      </c>
      <c r="Z24" s="34">
        <v>12901</v>
      </c>
      <c r="AA24" s="35">
        <f t="shared" si="0"/>
        <v>349914</v>
      </c>
      <c r="AB24" s="19">
        <v>20</v>
      </c>
      <c r="AC24" s="100">
        <f>+AA24*AB24+AA25*AB25+AA26*AB26</f>
        <v>10674199</v>
      </c>
      <c r="AD24" s="49"/>
    </row>
    <row r="25" spans="1:30" ht="15.75" thickBot="1" x14ac:dyDescent="0.3">
      <c r="A25" s="99"/>
      <c r="B25" s="20" t="s">
        <v>4</v>
      </c>
      <c r="C25" s="36">
        <v>11596</v>
      </c>
      <c r="D25" s="36">
        <v>10840</v>
      </c>
      <c r="E25" s="36">
        <v>10455</v>
      </c>
      <c r="F25" s="36">
        <v>10198</v>
      </c>
      <c r="G25" s="36">
        <v>10223</v>
      </c>
      <c r="H25" s="36">
        <v>10437</v>
      </c>
      <c r="I25" s="36">
        <v>10957</v>
      </c>
      <c r="J25" s="36">
        <v>12486</v>
      </c>
      <c r="K25" s="36">
        <v>13942</v>
      </c>
      <c r="L25" s="36">
        <v>14938</v>
      </c>
      <c r="M25" s="36">
        <v>15721</v>
      </c>
      <c r="N25" s="36">
        <v>16384</v>
      </c>
      <c r="O25" s="36">
        <v>16353</v>
      </c>
      <c r="P25" s="36">
        <v>16097</v>
      </c>
      <c r="Q25" s="36">
        <v>15864</v>
      </c>
      <c r="R25" s="36">
        <v>15743</v>
      </c>
      <c r="S25" s="36">
        <v>15604</v>
      </c>
      <c r="T25" s="36">
        <v>15650</v>
      </c>
      <c r="U25" s="36">
        <v>16819</v>
      </c>
      <c r="V25" s="36">
        <v>18056</v>
      </c>
      <c r="W25" s="36">
        <v>17366</v>
      </c>
      <c r="X25" s="36">
        <v>16379</v>
      </c>
      <c r="Y25" s="36">
        <v>14834</v>
      </c>
      <c r="Z25" s="37">
        <v>13305</v>
      </c>
      <c r="AA25" s="38">
        <f t="shared" si="0"/>
        <v>340247</v>
      </c>
      <c r="AB25" s="21">
        <v>5</v>
      </c>
      <c r="AC25" s="101"/>
      <c r="AD25" s="49"/>
    </row>
    <row r="26" spans="1:30" x14ac:dyDescent="0.25">
      <c r="A26" s="99"/>
      <c r="B26" s="22" t="s">
        <v>3</v>
      </c>
      <c r="C26" s="39">
        <v>12306</v>
      </c>
      <c r="D26" s="39">
        <v>11550</v>
      </c>
      <c r="E26" s="39">
        <v>11051</v>
      </c>
      <c r="F26" s="39">
        <v>10725</v>
      </c>
      <c r="G26" s="39">
        <v>10624</v>
      </c>
      <c r="H26" s="39">
        <v>10627</v>
      </c>
      <c r="I26" s="39">
        <v>10697</v>
      </c>
      <c r="J26" s="39">
        <v>11669</v>
      </c>
      <c r="K26" s="39">
        <v>12836</v>
      </c>
      <c r="L26" s="39">
        <v>13803</v>
      </c>
      <c r="M26" s="39">
        <v>14508</v>
      </c>
      <c r="N26" s="39">
        <v>15161</v>
      </c>
      <c r="O26" s="39">
        <v>15484</v>
      </c>
      <c r="P26" s="39">
        <v>15314</v>
      </c>
      <c r="Q26" s="39">
        <v>14976</v>
      </c>
      <c r="R26" s="39">
        <v>14796</v>
      </c>
      <c r="S26" s="39">
        <v>14657</v>
      </c>
      <c r="T26" s="39">
        <v>14721</v>
      </c>
      <c r="U26" s="39">
        <v>15960</v>
      </c>
      <c r="V26" s="39">
        <v>17484</v>
      </c>
      <c r="W26" s="39">
        <v>17039</v>
      </c>
      <c r="X26" s="39">
        <v>16013</v>
      </c>
      <c r="Y26" s="39">
        <v>14347</v>
      </c>
      <c r="Z26" s="40">
        <v>12766</v>
      </c>
      <c r="AA26" s="41">
        <f t="shared" si="0"/>
        <v>329114</v>
      </c>
      <c r="AB26" s="23">
        <v>6</v>
      </c>
      <c r="AC26" s="102"/>
      <c r="AD26" s="49"/>
    </row>
    <row r="27" spans="1:30" ht="15.75" thickBot="1" x14ac:dyDescent="0.3">
      <c r="A27" s="99">
        <v>46600</v>
      </c>
      <c r="B27" s="18" t="s">
        <v>5</v>
      </c>
      <c r="C27" s="33">
        <v>11706</v>
      </c>
      <c r="D27" s="33">
        <v>11082</v>
      </c>
      <c r="E27" s="33">
        <v>10738</v>
      </c>
      <c r="F27" s="33">
        <v>10534</v>
      </c>
      <c r="G27" s="33">
        <v>10719</v>
      </c>
      <c r="H27" s="33">
        <v>11462</v>
      </c>
      <c r="I27" s="33">
        <v>12124</v>
      </c>
      <c r="J27" s="33">
        <v>13248</v>
      </c>
      <c r="K27" s="33">
        <v>14425</v>
      </c>
      <c r="L27" s="33">
        <v>15326</v>
      </c>
      <c r="M27" s="33">
        <v>16280</v>
      </c>
      <c r="N27" s="33">
        <v>17117</v>
      </c>
      <c r="O27" s="33">
        <v>16822</v>
      </c>
      <c r="P27" s="33">
        <v>16955</v>
      </c>
      <c r="Q27" s="33">
        <v>17300</v>
      </c>
      <c r="R27" s="33">
        <v>17327</v>
      </c>
      <c r="S27" s="33">
        <v>17078</v>
      </c>
      <c r="T27" s="33">
        <v>16646</v>
      </c>
      <c r="U27" s="33">
        <v>17811</v>
      </c>
      <c r="V27" s="33">
        <v>18890</v>
      </c>
      <c r="W27" s="33">
        <v>18230</v>
      </c>
      <c r="X27" s="33">
        <v>16956</v>
      </c>
      <c r="Y27" s="33">
        <v>14936</v>
      </c>
      <c r="Z27" s="34">
        <v>13112</v>
      </c>
      <c r="AA27" s="35">
        <f t="shared" si="0"/>
        <v>356824</v>
      </c>
      <c r="AB27" s="19">
        <v>21</v>
      </c>
      <c r="AC27" s="100">
        <f>+AA27*AB27+AA28*AB28+AA29*AB29</f>
        <v>10863111</v>
      </c>
      <c r="AD27" s="49"/>
    </row>
    <row r="28" spans="1:30" ht="15.75" thickBot="1" x14ac:dyDescent="0.3">
      <c r="A28" s="99"/>
      <c r="B28" s="20" t="s">
        <v>4</v>
      </c>
      <c r="C28" s="36">
        <v>12185</v>
      </c>
      <c r="D28" s="36">
        <v>11508</v>
      </c>
      <c r="E28" s="36">
        <v>11085</v>
      </c>
      <c r="F28" s="36">
        <v>10768</v>
      </c>
      <c r="G28" s="36">
        <v>10744</v>
      </c>
      <c r="H28" s="36">
        <v>11043</v>
      </c>
      <c r="I28" s="36">
        <v>11397</v>
      </c>
      <c r="J28" s="36">
        <v>12839</v>
      </c>
      <c r="K28" s="36">
        <v>14298</v>
      </c>
      <c r="L28" s="36">
        <v>15297</v>
      </c>
      <c r="M28" s="36">
        <v>16174</v>
      </c>
      <c r="N28" s="36">
        <v>16837</v>
      </c>
      <c r="O28" s="36">
        <v>16841</v>
      </c>
      <c r="P28" s="36">
        <v>16660</v>
      </c>
      <c r="Q28" s="36">
        <v>16486</v>
      </c>
      <c r="R28" s="36">
        <v>16386</v>
      </c>
      <c r="S28" s="36">
        <v>16166</v>
      </c>
      <c r="T28" s="36">
        <v>16136</v>
      </c>
      <c r="U28" s="36">
        <v>17578</v>
      </c>
      <c r="V28" s="36">
        <v>18531</v>
      </c>
      <c r="W28" s="36">
        <v>17830</v>
      </c>
      <c r="X28" s="36">
        <v>16811</v>
      </c>
      <c r="Y28" s="36">
        <v>15328</v>
      </c>
      <c r="Z28" s="37">
        <v>13732</v>
      </c>
      <c r="AA28" s="38">
        <f t="shared" si="0"/>
        <v>352660</v>
      </c>
      <c r="AB28" s="21">
        <v>3</v>
      </c>
      <c r="AC28" s="101"/>
      <c r="AD28" s="49"/>
    </row>
    <row r="29" spans="1:30" x14ac:dyDescent="0.25">
      <c r="A29" s="99"/>
      <c r="B29" s="22" t="s">
        <v>3</v>
      </c>
      <c r="C29" s="39">
        <v>12412</v>
      </c>
      <c r="D29" s="39">
        <v>11643</v>
      </c>
      <c r="E29" s="39">
        <v>11135</v>
      </c>
      <c r="F29" s="39">
        <v>10812</v>
      </c>
      <c r="G29" s="39">
        <v>10707</v>
      </c>
      <c r="H29" s="39">
        <v>10743</v>
      </c>
      <c r="I29" s="39">
        <v>10741</v>
      </c>
      <c r="J29" s="39">
        <v>11753</v>
      </c>
      <c r="K29" s="39">
        <v>12895</v>
      </c>
      <c r="L29" s="39">
        <v>13838</v>
      </c>
      <c r="M29" s="39">
        <v>14505</v>
      </c>
      <c r="N29" s="39">
        <v>15196</v>
      </c>
      <c r="O29" s="39">
        <v>15553</v>
      </c>
      <c r="P29" s="39">
        <v>15413</v>
      </c>
      <c r="Q29" s="39">
        <v>15035</v>
      </c>
      <c r="R29" s="39">
        <v>14782</v>
      </c>
      <c r="S29" s="39">
        <v>14686</v>
      </c>
      <c r="T29" s="39">
        <v>14727</v>
      </c>
      <c r="U29" s="39">
        <v>16223</v>
      </c>
      <c r="V29" s="39">
        <v>17523</v>
      </c>
      <c r="W29" s="39">
        <v>17003</v>
      </c>
      <c r="X29" s="39">
        <v>15936</v>
      </c>
      <c r="Y29" s="39">
        <v>14309</v>
      </c>
      <c r="Z29" s="40">
        <v>12691</v>
      </c>
      <c r="AA29" s="41">
        <f t="shared" si="0"/>
        <v>330261</v>
      </c>
      <c r="AB29" s="23">
        <v>7</v>
      </c>
      <c r="AC29" s="102"/>
      <c r="AD29" s="49"/>
    </row>
    <row r="30" spans="1:30" ht="15.75" thickBot="1" x14ac:dyDescent="0.3">
      <c r="A30" s="99">
        <v>46631</v>
      </c>
      <c r="B30" s="18" t="s">
        <v>5</v>
      </c>
      <c r="C30" s="33">
        <v>11916</v>
      </c>
      <c r="D30" s="33">
        <v>11259</v>
      </c>
      <c r="E30" s="33">
        <v>10849</v>
      </c>
      <c r="F30" s="33">
        <v>10670</v>
      </c>
      <c r="G30" s="33">
        <v>10843</v>
      </c>
      <c r="H30" s="33">
        <v>11554</v>
      </c>
      <c r="I30" s="33">
        <v>12238</v>
      </c>
      <c r="J30" s="33">
        <v>13399</v>
      </c>
      <c r="K30" s="33">
        <v>14565</v>
      </c>
      <c r="L30" s="33">
        <v>15534</v>
      </c>
      <c r="M30" s="33">
        <v>16497</v>
      </c>
      <c r="N30" s="33">
        <v>17379</v>
      </c>
      <c r="O30" s="33">
        <v>17076</v>
      </c>
      <c r="P30" s="33">
        <v>17199</v>
      </c>
      <c r="Q30" s="33">
        <v>17602</v>
      </c>
      <c r="R30" s="33">
        <v>17702</v>
      </c>
      <c r="S30" s="33">
        <v>17448</v>
      </c>
      <c r="T30" s="33">
        <v>17090</v>
      </c>
      <c r="U30" s="33">
        <v>18689</v>
      </c>
      <c r="V30" s="33">
        <v>19121</v>
      </c>
      <c r="W30" s="33">
        <v>18402</v>
      </c>
      <c r="X30" s="33">
        <v>17105</v>
      </c>
      <c r="Y30" s="33">
        <v>15044</v>
      </c>
      <c r="Z30" s="34">
        <v>13225</v>
      </c>
      <c r="AA30" s="35">
        <f t="shared" si="0"/>
        <v>362406</v>
      </c>
      <c r="AB30" s="19">
        <v>22</v>
      </c>
      <c r="AC30" s="100">
        <f>+AA30*AB30+AA31*AB31+AA32*AB32</f>
        <v>10701632</v>
      </c>
      <c r="AD30" s="49"/>
    </row>
    <row r="31" spans="1:30" ht="15.75" thickBot="1" x14ac:dyDescent="0.3">
      <c r="A31" s="99"/>
      <c r="B31" s="20" t="s">
        <v>4</v>
      </c>
      <c r="C31" s="36">
        <v>12234</v>
      </c>
      <c r="D31" s="36">
        <v>11453</v>
      </c>
      <c r="E31" s="36">
        <v>11030</v>
      </c>
      <c r="F31" s="36">
        <v>10798</v>
      </c>
      <c r="G31" s="36">
        <v>10808</v>
      </c>
      <c r="H31" s="36">
        <v>10908</v>
      </c>
      <c r="I31" s="36">
        <v>11455</v>
      </c>
      <c r="J31" s="36">
        <v>13009</v>
      </c>
      <c r="K31" s="36">
        <v>14491</v>
      </c>
      <c r="L31" s="36">
        <v>15549</v>
      </c>
      <c r="M31" s="36">
        <v>16385</v>
      </c>
      <c r="N31" s="36">
        <v>17056</v>
      </c>
      <c r="O31" s="36">
        <v>17014</v>
      </c>
      <c r="P31" s="36">
        <v>16796</v>
      </c>
      <c r="Q31" s="36">
        <v>16595</v>
      </c>
      <c r="R31" s="36">
        <v>16449</v>
      </c>
      <c r="S31" s="36">
        <v>16307</v>
      </c>
      <c r="T31" s="36">
        <v>16429</v>
      </c>
      <c r="U31" s="36">
        <v>18183</v>
      </c>
      <c r="V31" s="36">
        <v>18575</v>
      </c>
      <c r="W31" s="36">
        <v>17760</v>
      </c>
      <c r="X31" s="36">
        <v>16718</v>
      </c>
      <c r="Y31" s="36">
        <v>15196</v>
      </c>
      <c r="Z31" s="37">
        <v>13642</v>
      </c>
      <c r="AA31" s="38">
        <f t="shared" si="0"/>
        <v>354840</v>
      </c>
      <c r="AB31" s="21">
        <v>4</v>
      </c>
      <c r="AC31" s="101"/>
      <c r="AD31" s="49"/>
    </row>
    <row r="32" spans="1:30" x14ac:dyDescent="0.25">
      <c r="A32" s="99"/>
      <c r="B32" s="22" t="s">
        <v>3</v>
      </c>
      <c r="C32" s="39">
        <v>12456</v>
      </c>
      <c r="D32" s="39">
        <v>11708</v>
      </c>
      <c r="E32" s="39">
        <v>11217</v>
      </c>
      <c r="F32" s="39">
        <v>10837</v>
      </c>
      <c r="G32" s="39">
        <v>10665</v>
      </c>
      <c r="H32" s="39">
        <v>10535</v>
      </c>
      <c r="I32" s="39">
        <v>10615</v>
      </c>
      <c r="J32" s="39">
        <v>11609</v>
      </c>
      <c r="K32" s="39">
        <v>12729</v>
      </c>
      <c r="L32" s="39">
        <v>13647</v>
      </c>
      <c r="M32" s="39">
        <v>14288</v>
      </c>
      <c r="N32" s="39">
        <v>14899</v>
      </c>
      <c r="O32" s="39">
        <v>15253</v>
      </c>
      <c r="P32" s="39">
        <v>15145</v>
      </c>
      <c r="Q32" s="39">
        <v>14825</v>
      </c>
      <c r="R32" s="39">
        <v>14670</v>
      </c>
      <c r="S32" s="39">
        <v>14569</v>
      </c>
      <c r="T32" s="39">
        <v>14686</v>
      </c>
      <c r="U32" s="39">
        <v>16600</v>
      </c>
      <c r="V32" s="39">
        <v>17252</v>
      </c>
      <c r="W32" s="39">
        <v>16775</v>
      </c>
      <c r="X32" s="39">
        <v>15729</v>
      </c>
      <c r="Y32" s="39">
        <v>14096</v>
      </c>
      <c r="Z32" s="40">
        <v>12530</v>
      </c>
      <c r="AA32" s="41">
        <f t="shared" si="0"/>
        <v>327335</v>
      </c>
      <c r="AB32" s="23">
        <v>4</v>
      </c>
      <c r="AC32" s="102"/>
      <c r="AD32" s="49"/>
    </row>
    <row r="33" spans="1:30" ht="15.75" thickBot="1" x14ac:dyDescent="0.3">
      <c r="A33" s="99">
        <v>46661</v>
      </c>
      <c r="B33" s="18" t="s">
        <v>5</v>
      </c>
      <c r="C33" s="33">
        <v>11291</v>
      </c>
      <c r="D33" s="33">
        <v>10686</v>
      </c>
      <c r="E33" s="33">
        <v>10350</v>
      </c>
      <c r="F33" s="33">
        <v>10170</v>
      </c>
      <c r="G33" s="33">
        <v>10369</v>
      </c>
      <c r="H33" s="33">
        <v>10942</v>
      </c>
      <c r="I33" s="33">
        <v>11671</v>
      </c>
      <c r="J33" s="33">
        <v>12764</v>
      </c>
      <c r="K33" s="33">
        <v>13861</v>
      </c>
      <c r="L33" s="33">
        <v>14726</v>
      </c>
      <c r="M33" s="33">
        <v>15623</v>
      </c>
      <c r="N33" s="33">
        <v>16454</v>
      </c>
      <c r="O33" s="33">
        <v>16166</v>
      </c>
      <c r="P33" s="33">
        <v>16254</v>
      </c>
      <c r="Q33" s="33">
        <v>16627</v>
      </c>
      <c r="R33" s="33">
        <v>16707</v>
      </c>
      <c r="S33" s="33">
        <v>16522</v>
      </c>
      <c r="T33" s="33">
        <v>16570</v>
      </c>
      <c r="U33" s="33">
        <v>18403</v>
      </c>
      <c r="V33" s="33">
        <v>18309</v>
      </c>
      <c r="W33" s="33">
        <v>17505</v>
      </c>
      <c r="X33" s="33">
        <v>16193</v>
      </c>
      <c r="Y33" s="33">
        <v>14266</v>
      </c>
      <c r="Z33" s="34">
        <v>12553</v>
      </c>
      <c r="AA33" s="35">
        <f t="shared" si="0"/>
        <v>344982</v>
      </c>
      <c r="AB33" s="19">
        <v>20</v>
      </c>
      <c r="AC33" s="100">
        <f>+AA33*AB33+AA34*AB34+AA35*AB35</f>
        <v>10567965</v>
      </c>
      <c r="AD33" s="49"/>
    </row>
    <row r="34" spans="1:30" ht="15.75" thickBot="1" x14ac:dyDescent="0.3">
      <c r="A34" s="99"/>
      <c r="B34" s="20" t="s">
        <v>4</v>
      </c>
      <c r="C34" s="36">
        <v>11887</v>
      </c>
      <c r="D34" s="36">
        <v>11209</v>
      </c>
      <c r="E34" s="36">
        <v>10798</v>
      </c>
      <c r="F34" s="36">
        <v>10525</v>
      </c>
      <c r="G34" s="36">
        <v>10580</v>
      </c>
      <c r="H34" s="36">
        <v>10744</v>
      </c>
      <c r="I34" s="36">
        <v>11351</v>
      </c>
      <c r="J34" s="36">
        <v>12749</v>
      </c>
      <c r="K34" s="36">
        <v>14142</v>
      </c>
      <c r="L34" s="36">
        <v>15109</v>
      </c>
      <c r="M34" s="36">
        <v>15932</v>
      </c>
      <c r="N34" s="36">
        <v>16623</v>
      </c>
      <c r="O34" s="36">
        <v>16650</v>
      </c>
      <c r="P34" s="36">
        <v>16462</v>
      </c>
      <c r="Q34" s="36">
        <v>16262</v>
      </c>
      <c r="R34" s="36">
        <v>16137</v>
      </c>
      <c r="S34" s="36">
        <v>15992</v>
      </c>
      <c r="T34" s="36">
        <v>16496</v>
      </c>
      <c r="U34" s="36">
        <v>18590</v>
      </c>
      <c r="V34" s="36">
        <v>18557</v>
      </c>
      <c r="W34" s="36">
        <v>17771</v>
      </c>
      <c r="X34" s="36">
        <v>16581</v>
      </c>
      <c r="Y34" s="36">
        <v>15114</v>
      </c>
      <c r="Z34" s="37">
        <v>13518</v>
      </c>
      <c r="AA34" s="38">
        <f t="shared" si="0"/>
        <v>349779</v>
      </c>
      <c r="AB34" s="21">
        <v>5</v>
      </c>
      <c r="AC34" s="101"/>
      <c r="AD34" s="49"/>
    </row>
    <row r="35" spans="1:30" x14ac:dyDescent="0.25">
      <c r="A35" s="99"/>
      <c r="B35" s="22" t="s">
        <v>3</v>
      </c>
      <c r="C35" s="39">
        <v>11927</v>
      </c>
      <c r="D35" s="39">
        <v>11205</v>
      </c>
      <c r="E35" s="39">
        <v>10707</v>
      </c>
      <c r="F35" s="39">
        <v>10359</v>
      </c>
      <c r="G35" s="39">
        <v>10248</v>
      </c>
      <c r="H35" s="39">
        <v>10104</v>
      </c>
      <c r="I35" s="39">
        <v>10297</v>
      </c>
      <c r="J35" s="39">
        <v>11243</v>
      </c>
      <c r="K35" s="39">
        <v>12315</v>
      </c>
      <c r="L35" s="39">
        <v>13256</v>
      </c>
      <c r="M35" s="39">
        <v>13924</v>
      </c>
      <c r="N35" s="39">
        <v>14581</v>
      </c>
      <c r="O35" s="39">
        <v>14949</v>
      </c>
      <c r="P35" s="39">
        <v>14827</v>
      </c>
      <c r="Q35" s="39">
        <v>14545</v>
      </c>
      <c r="R35" s="39">
        <v>14402</v>
      </c>
      <c r="S35" s="39">
        <v>14320</v>
      </c>
      <c r="T35" s="39">
        <v>14762</v>
      </c>
      <c r="U35" s="39">
        <v>16871</v>
      </c>
      <c r="V35" s="39">
        <v>17044</v>
      </c>
      <c r="W35" s="39">
        <v>16497</v>
      </c>
      <c r="X35" s="39">
        <v>15420</v>
      </c>
      <c r="Y35" s="39">
        <v>13820</v>
      </c>
      <c r="Z35" s="40">
        <v>12282</v>
      </c>
      <c r="AA35" s="41">
        <f t="shared" si="0"/>
        <v>319905</v>
      </c>
      <c r="AB35" s="23">
        <v>6</v>
      </c>
      <c r="AC35" s="102"/>
      <c r="AD35" s="49"/>
    </row>
    <row r="36" spans="1:30" ht="15.75" thickBot="1" x14ac:dyDescent="0.3">
      <c r="A36" s="99">
        <v>46692</v>
      </c>
      <c r="B36" s="18" t="s">
        <v>5</v>
      </c>
      <c r="C36" s="33">
        <v>11083</v>
      </c>
      <c r="D36" s="33">
        <v>10479</v>
      </c>
      <c r="E36" s="33">
        <v>10144</v>
      </c>
      <c r="F36" s="33">
        <v>9987</v>
      </c>
      <c r="G36" s="33">
        <v>10219</v>
      </c>
      <c r="H36" s="33">
        <v>10872</v>
      </c>
      <c r="I36" s="33">
        <v>11648</v>
      </c>
      <c r="J36" s="33">
        <v>12758</v>
      </c>
      <c r="K36" s="33">
        <v>13835</v>
      </c>
      <c r="L36" s="33">
        <v>14669</v>
      </c>
      <c r="M36" s="33">
        <v>15561</v>
      </c>
      <c r="N36" s="33">
        <v>16416</v>
      </c>
      <c r="O36" s="33">
        <v>16081</v>
      </c>
      <c r="P36" s="33">
        <v>16090</v>
      </c>
      <c r="Q36" s="33">
        <v>16454</v>
      </c>
      <c r="R36" s="33">
        <v>16438</v>
      </c>
      <c r="S36" s="33">
        <v>16303</v>
      </c>
      <c r="T36" s="33">
        <v>16525</v>
      </c>
      <c r="U36" s="33">
        <v>18439</v>
      </c>
      <c r="V36" s="33">
        <v>18337</v>
      </c>
      <c r="W36" s="33">
        <v>17521</v>
      </c>
      <c r="X36" s="33">
        <v>16140</v>
      </c>
      <c r="Y36" s="33">
        <v>14156</v>
      </c>
      <c r="Z36" s="34">
        <v>12381</v>
      </c>
      <c r="AA36" s="35">
        <f t="shared" si="0"/>
        <v>342536</v>
      </c>
      <c r="AB36" s="19">
        <v>20</v>
      </c>
      <c r="AC36" s="100">
        <f>+AA36*AB36+AA37*AB37+AA38*AB38</f>
        <v>10060220</v>
      </c>
      <c r="AD36" s="49"/>
    </row>
    <row r="37" spans="1:30" ht="15.75" thickBot="1" x14ac:dyDescent="0.3">
      <c r="A37" s="99"/>
      <c r="B37" s="20" t="s">
        <v>4</v>
      </c>
      <c r="C37" s="36">
        <v>11381</v>
      </c>
      <c r="D37" s="36">
        <v>10739</v>
      </c>
      <c r="E37" s="36">
        <v>10347</v>
      </c>
      <c r="F37" s="36">
        <v>10096</v>
      </c>
      <c r="G37" s="36">
        <v>10140</v>
      </c>
      <c r="H37" s="36">
        <v>10267</v>
      </c>
      <c r="I37" s="36">
        <v>10826</v>
      </c>
      <c r="J37" s="36">
        <v>12114</v>
      </c>
      <c r="K37" s="36">
        <v>13475</v>
      </c>
      <c r="L37" s="36">
        <v>14425</v>
      </c>
      <c r="M37" s="36">
        <v>15184</v>
      </c>
      <c r="N37" s="36">
        <v>15882</v>
      </c>
      <c r="O37" s="36">
        <v>15817</v>
      </c>
      <c r="P37" s="36">
        <v>15522</v>
      </c>
      <c r="Q37" s="36">
        <v>15436</v>
      </c>
      <c r="R37" s="36">
        <v>15386</v>
      </c>
      <c r="S37" s="36">
        <v>15296</v>
      </c>
      <c r="T37" s="36">
        <v>15844</v>
      </c>
      <c r="U37" s="36">
        <v>17974</v>
      </c>
      <c r="V37" s="36">
        <v>17921</v>
      </c>
      <c r="W37" s="36">
        <v>17100</v>
      </c>
      <c r="X37" s="36">
        <v>16050</v>
      </c>
      <c r="Y37" s="36">
        <v>14497</v>
      </c>
      <c r="Z37" s="37">
        <v>12935</v>
      </c>
      <c r="AA37" s="38">
        <f t="shared" si="0"/>
        <v>334654</v>
      </c>
      <c r="AB37" s="21">
        <v>4</v>
      </c>
      <c r="AC37" s="101"/>
      <c r="AD37" s="49"/>
    </row>
    <row r="38" spans="1:30" x14ac:dyDescent="0.25">
      <c r="A38" s="99"/>
      <c r="B38" s="22" t="s">
        <v>3</v>
      </c>
      <c r="C38" s="39">
        <v>11427</v>
      </c>
      <c r="D38" s="39">
        <v>10739</v>
      </c>
      <c r="E38" s="39">
        <v>10273</v>
      </c>
      <c r="F38" s="39">
        <v>9932</v>
      </c>
      <c r="G38" s="39">
        <v>9886</v>
      </c>
      <c r="H38" s="39">
        <v>9764</v>
      </c>
      <c r="I38" s="39">
        <v>9996</v>
      </c>
      <c r="J38" s="39">
        <v>10981</v>
      </c>
      <c r="K38" s="39">
        <v>12055</v>
      </c>
      <c r="L38" s="39">
        <v>12978</v>
      </c>
      <c r="M38" s="39">
        <v>13649</v>
      </c>
      <c r="N38" s="39">
        <v>14332</v>
      </c>
      <c r="O38" s="39">
        <v>14669</v>
      </c>
      <c r="P38" s="39">
        <v>14536</v>
      </c>
      <c r="Q38" s="39">
        <v>14213</v>
      </c>
      <c r="R38" s="39">
        <v>13984</v>
      </c>
      <c r="S38" s="39">
        <v>13919</v>
      </c>
      <c r="T38" s="39">
        <v>14416</v>
      </c>
      <c r="U38" s="39">
        <v>16563</v>
      </c>
      <c r="V38" s="39">
        <v>16763</v>
      </c>
      <c r="W38" s="39">
        <v>16211</v>
      </c>
      <c r="X38" s="39">
        <v>15117</v>
      </c>
      <c r="Y38" s="39">
        <v>13480</v>
      </c>
      <c r="Z38" s="40">
        <v>11931</v>
      </c>
      <c r="AA38" s="41">
        <f t="shared" si="0"/>
        <v>311814</v>
      </c>
      <c r="AB38" s="23">
        <v>6</v>
      </c>
      <c r="AC38" s="102"/>
      <c r="AD38" s="49"/>
    </row>
    <row r="39" spans="1:30" ht="15.75" thickBot="1" x14ac:dyDescent="0.3">
      <c r="A39" s="99">
        <v>46722</v>
      </c>
      <c r="B39" s="18" t="s">
        <v>5</v>
      </c>
      <c r="C39" s="33">
        <v>11874</v>
      </c>
      <c r="D39" s="33">
        <v>11156</v>
      </c>
      <c r="E39" s="33">
        <v>10740</v>
      </c>
      <c r="F39" s="33">
        <v>10527</v>
      </c>
      <c r="G39" s="33">
        <v>10674</v>
      </c>
      <c r="H39" s="33">
        <v>11142</v>
      </c>
      <c r="I39" s="33">
        <v>11663</v>
      </c>
      <c r="J39" s="33">
        <v>13035</v>
      </c>
      <c r="K39" s="33">
        <v>14317</v>
      </c>
      <c r="L39" s="33">
        <v>15264</v>
      </c>
      <c r="M39" s="33">
        <v>16129</v>
      </c>
      <c r="N39" s="33">
        <v>17005</v>
      </c>
      <c r="O39" s="33">
        <v>16838</v>
      </c>
      <c r="P39" s="33">
        <v>16824</v>
      </c>
      <c r="Q39" s="33">
        <v>17073</v>
      </c>
      <c r="R39" s="33">
        <v>17051</v>
      </c>
      <c r="S39" s="33">
        <v>16806</v>
      </c>
      <c r="T39" s="33">
        <v>16694</v>
      </c>
      <c r="U39" s="33">
        <v>18556</v>
      </c>
      <c r="V39" s="33">
        <v>18843</v>
      </c>
      <c r="W39" s="33">
        <v>18112</v>
      </c>
      <c r="X39" s="33">
        <v>16943</v>
      </c>
      <c r="Y39" s="33">
        <v>15150</v>
      </c>
      <c r="Z39" s="34">
        <v>13434</v>
      </c>
      <c r="AA39" s="35">
        <f t="shared" si="0"/>
        <v>355850</v>
      </c>
      <c r="AB39" s="19">
        <v>22</v>
      </c>
      <c r="AC39" s="100">
        <f>+AA39*AB39+AA40*AB40+AA41*AB41</f>
        <v>10807043</v>
      </c>
      <c r="AD39" s="49"/>
    </row>
    <row r="40" spans="1:30" ht="15.75" thickBot="1" x14ac:dyDescent="0.3">
      <c r="A40" s="99"/>
      <c r="B40" s="20" t="s">
        <v>4</v>
      </c>
      <c r="C40" s="36">
        <v>11988</v>
      </c>
      <c r="D40" s="36">
        <v>11263</v>
      </c>
      <c r="E40" s="36">
        <v>10849</v>
      </c>
      <c r="F40" s="36">
        <v>10576</v>
      </c>
      <c r="G40" s="36">
        <v>10591</v>
      </c>
      <c r="H40" s="36">
        <v>10854</v>
      </c>
      <c r="I40" s="36">
        <v>11173</v>
      </c>
      <c r="J40" s="36">
        <v>12457</v>
      </c>
      <c r="K40" s="36">
        <v>13765</v>
      </c>
      <c r="L40" s="36">
        <v>14678</v>
      </c>
      <c r="M40" s="36">
        <v>15411</v>
      </c>
      <c r="N40" s="36">
        <v>16022</v>
      </c>
      <c r="O40" s="36">
        <v>16022</v>
      </c>
      <c r="P40" s="36">
        <v>15793</v>
      </c>
      <c r="Q40" s="36">
        <v>15646</v>
      </c>
      <c r="R40" s="36">
        <v>15482</v>
      </c>
      <c r="S40" s="36">
        <v>15366</v>
      </c>
      <c r="T40" s="36">
        <v>15642</v>
      </c>
      <c r="U40" s="36">
        <v>17721</v>
      </c>
      <c r="V40" s="36">
        <v>17965</v>
      </c>
      <c r="W40" s="36">
        <v>17246</v>
      </c>
      <c r="X40" s="36">
        <v>16218</v>
      </c>
      <c r="Y40" s="36">
        <v>14752</v>
      </c>
      <c r="Z40" s="37">
        <v>13335</v>
      </c>
      <c r="AA40" s="38">
        <f t="shared" si="0"/>
        <v>340815</v>
      </c>
      <c r="AB40" s="21">
        <v>3</v>
      </c>
      <c r="AC40" s="101"/>
      <c r="AD40" s="49"/>
    </row>
    <row r="41" spans="1:30" x14ac:dyDescent="0.25">
      <c r="A41" s="99"/>
      <c r="B41" s="22" t="s">
        <v>3</v>
      </c>
      <c r="C41" s="39">
        <v>12384</v>
      </c>
      <c r="D41" s="39">
        <v>11629</v>
      </c>
      <c r="E41" s="39">
        <v>11103</v>
      </c>
      <c r="F41" s="39">
        <v>10729</v>
      </c>
      <c r="G41" s="39">
        <v>10582</v>
      </c>
      <c r="H41" s="39">
        <v>10529</v>
      </c>
      <c r="I41" s="39">
        <v>10512</v>
      </c>
      <c r="J41" s="39">
        <v>11363</v>
      </c>
      <c r="K41" s="39">
        <v>12420</v>
      </c>
      <c r="L41" s="39">
        <v>13350</v>
      </c>
      <c r="M41" s="39">
        <v>14046</v>
      </c>
      <c r="N41" s="39">
        <v>14699</v>
      </c>
      <c r="O41" s="39">
        <v>15051</v>
      </c>
      <c r="P41" s="39">
        <v>15033</v>
      </c>
      <c r="Q41" s="39">
        <v>14795</v>
      </c>
      <c r="R41" s="39">
        <v>14644</v>
      </c>
      <c r="S41" s="39">
        <v>14557</v>
      </c>
      <c r="T41" s="39">
        <v>14833</v>
      </c>
      <c r="U41" s="39">
        <v>16911</v>
      </c>
      <c r="V41" s="39">
        <v>17332</v>
      </c>
      <c r="W41" s="39">
        <v>16740</v>
      </c>
      <c r="X41" s="39">
        <v>15728</v>
      </c>
      <c r="Y41" s="39">
        <v>14248</v>
      </c>
      <c r="Z41" s="40">
        <v>12765</v>
      </c>
      <c r="AA41" s="41">
        <f t="shared" si="0"/>
        <v>325983</v>
      </c>
      <c r="AB41" s="23">
        <v>6</v>
      </c>
      <c r="AC41" s="102"/>
      <c r="AD41" s="49"/>
    </row>
    <row r="42" spans="1:30" x14ac:dyDescent="0.25">
      <c r="A42" s="103" t="s">
        <v>2</v>
      </c>
      <c r="B42" s="104"/>
      <c r="C42" s="31">
        <f t="shared" ref="C42:AC42" si="1">+SUM(C6:C41)</f>
        <v>425049</v>
      </c>
      <c r="D42" s="31">
        <f t="shared" si="1"/>
        <v>399789</v>
      </c>
      <c r="E42" s="31">
        <f t="shared" si="1"/>
        <v>384558</v>
      </c>
      <c r="F42" s="31">
        <f t="shared" si="1"/>
        <v>375145</v>
      </c>
      <c r="G42" s="31">
        <f t="shared" si="1"/>
        <v>376313</v>
      </c>
      <c r="H42" s="31">
        <f t="shared" si="1"/>
        <v>387247</v>
      </c>
      <c r="I42" s="31">
        <f t="shared" si="1"/>
        <v>401890</v>
      </c>
      <c r="J42" s="31">
        <f t="shared" si="1"/>
        <v>441771</v>
      </c>
      <c r="K42" s="31">
        <f t="shared" si="1"/>
        <v>485517</v>
      </c>
      <c r="L42" s="31">
        <f t="shared" si="1"/>
        <v>519231</v>
      </c>
      <c r="M42" s="31">
        <f t="shared" si="1"/>
        <v>547508</v>
      </c>
      <c r="N42" s="31">
        <f t="shared" si="1"/>
        <v>574034</v>
      </c>
      <c r="O42" s="31">
        <f t="shared" si="1"/>
        <v>575082</v>
      </c>
      <c r="P42" s="31">
        <f t="shared" si="1"/>
        <v>571883</v>
      </c>
      <c r="Q42" s="31">
        <f t="shared" si="1"/>
        <v>569863</v>
      </c>
      <c r="R42" s="31">
        <f t="shared" si="1"/>
        <v>567512</v>
      </c>
      <c r="S42" s="31">
        <f t="shared" si="1"/>
        <v>561957</v>
      </c>
      <c r="T42" s="31">
        <f t="shared" si="1"/>
        <v>562955</v>
      </c>
      <c r="U42" s="31">
        <f t="shared" si="1"/>
        <v>619588</v>
      </c>
      <c r="V42" s="31">
        <f t="shared" si="1"/>
        <v>648818</v>
      </c>
      <c r="W42" s="31">
        <f t="shared" si="1"/>
        <v>625417</v>
      </c>
      <c r="X42" s="31">
        <f t="shared" si="1"/>
        <v>584888</v>
      </c>
      <c r="Y42" s="31">
        <f t="shared" si="1"/>
        <v>523731</v>
      </c>
      <c r="Z42" s="31">
        <f t="shared" si="1"/>
        <v>464102</v>
      </c>
      <c r="AA42" s="31">
        <f t="shared" si="1"/>
        <v>12193848</v>
      </c>
      <c r="AB42" s="31">
        <f t="shared" si="1"/>
        <v>365</v>
      </c>
      <c r="AC42" s="46">
        <f t="shared" si="1"/>
        <v>125332916</v>
      </c>
      <c r="AD42" s="49"/>
    </row>
    <row r="43" spans="1:30" x14ac:dyDescent="0.25">
      <c r="AB43" s="6"/>
      <c r="AC43" s="6"/>
    </row>
    <row r="44" spans="1:30" x14ac:dyDescent="0.25">
      <c r="AA44" s="48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06C-0485-4FC0-B06D-9F64D564DA9C}">
  <sheetPr codeName="Hoja8">
    <tabColor rgb="FFFFFF00"/>
  </sheetPr>
  <dimension ref="A1:AD46"/>
  <sheetViews>
    <sheetView showGridLines="0" zoomScale="115" zoomScaleNormal="115" zoomScaleSheetLayoutView="110" workbookViewId="0">
      <selection activeCell="C6" sqref="C6:Z41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51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46388</v>
      </c>
      <c r="B6" s="18" t="s">
        <v>5</v>
      </c>
      <c r="C6" s="33">
        <f>ROUND('Anexo 12'!C6*'Anexo 2'!$D$10,0)</f>
        <v>0</v>
      </c>
      <c r="D6" s="33">
        <f>ROUND('Anexo 12'!D6*'Anexo 2'!$D$10,0)</f>
        <v>0</v>
      </c>
      <c r="E6" s="33">
        <f>ROUND('Anexo 12'!E6*'Anexo 2'!$D$10,0)</f>
        <v>0</v>
      </c>
      <c r="F6" s="33">
        <f>ROUND('Anexo 12'!F6*'Anexo 2'!$D$10,0)</f>
        <v>0</v>
      </c>
      <c r="G6" s="33">
        <f>ROUND('Anexo 12'!G6*'Anexo 2'!$D$10,0)</f>
        <v>0</v>
      </c>
      <c r="H6" s="33">
        <f>ROUND('Anexo 12'!H6*'Anexo 2'!$D$10,0)</f>
        <v>0</v>
      </c>
      <c r="I6" s="33">
        <f>ROUND('Anexo 12'!I6*'Anexo 2'!$D$10,0)</f>
        <v>0</v>
      </c>
      <c r="J6" s="33">
        <f>ROUND('Anexo 12'!J6*'Anexo 2'!$D$10,0)</f>
        <v>0</v>
      </c>
      <c r="K6" s="33">
        <f>ROUND('Anexo 12'!K6*'Anexo 2'!$D$10,0)</f>
        <v>0</v>
      </c>
      <c r="L6" s="33">
        <f>ROUND('Anexo 12'!L6*'Anexo 2'!$D$10,0)</f>
        <v>0</v>
      </c>
      <c r="M6" s="33">
        <f>ROUND('Anexo 12'!M6*'Anexo 2'!$D$10,0)</f>
        <v>0</v>
      </c>
      <c r="N6" s="33">
        <f>ROUND('Anexo 12'!N6*'Anexo 2'!$D$10,0)</f>
        <v>0</v>
      </c>
      <c r="O6" s="33">
        <f>ROUND('Anexo 12'!O6*'Anexo 2'!$D$10,0)</f>
        <v>0</v>
      </c>
      <c r="P6" s="33">
        <f>ROUND('Anexo 12'!P6*'Anexo 2'!$D$10,0)</f>
        <v>0</v>
      </c>
      <c r="Q6" s="33">
        <f>ROUND('Anexo 12'!Q6*'Anexo 2'!$D$10,0)</f>
        <v>0</v>
      </c>
      <c r="R6" s="33">
        <f>ROUND('Anexo 12'!R6*'Anexo 2'!$D$10,0)</f>
        <v>0</v>
      </c>
      <c r="S6" s="33">
        <f>ROUND('Anexo 12'!S6*'Anexo 2'!$D$10,0)</f>
        <v>0</v>
      </c>
      <c r="T6" s="33">
        <f>ROUND('Anexo 12'!T6*'Anexo 2'!$D$10,0)</f>
        <v>0</v>
      </c>
      <c r="U6" s="33">
        <f>ROUND('Anexo 12'!U6*'Anexo 2'!$D$10,0)</f>
        <v>0</v>
      </c>
      <c r="V6" s="33">
        <f>ROUND('Anexo 12'!V6*'Anexo 2'!$D$10,0)</f>
        <v>0</v>
      </c>
      <c r="W6" s="33">
        <f>ROUND('Anexo 12'!W6*'Anexo 2'!$D$10,0)</f>
        <v>0</v>
      </c>
      <c r="X6" s="33">
        <f>ROUND('Anexo 12'!X6*'Anexo 2'!$D$10,0)</f>
        <v>0</v>
      </c>
      <c r="Y6" s="33">
        <f>ROUND('Anexo 12'!Y6*'Anexo 2'!$D$10,0)</f>
        <v>0</v>
      </c>
      <c r="Z6" s="33">
        <f>ROUND('Anexo 12'!Z6*'Anexo 2'!$D$10,0)</f>
        <v>0</v>
      </c>
      <c r="AA6" s="35">
        <f>SUM(C6:Z6)</f>
        <v>0</v>
      </c>
      <c r="AB6" s="19">
        <v>19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ROUND('Anexo 12'!C7*'Anexo 2'!$D$10,0)</f>
        <v>0</v>
      </c>
      <c r="D7" s="33">
        <f>ROUND('Anexo 12'!D7*'Anexo 2'!$D$10,0)</f>
        <v>0</v>
      </c>
      <c r="E7" s="33">
        <f>ROUND('Anexo 12'!E7*'Anexo 2'!$D$10,0)</f>
        <v>0</v>
      </c>
      <c r="F7" s="33">
        <f>ROUND('Anexo 12'!F7*'Anexo 2'!$D$10,0)</f>
        <v>0</v>
      </c>
      <c r="G7" s="33">
        <f>ROUND('Anexo 12'!G7*'Anexo 2'!$D$10,0)</f>
        <v>0</v>
      </c>
      <c r="H7" s="33">
        <f>ROUND('Anexo 12'!H7*'Anexo 2'!$D$10,0)</f>
        <v>0</v>
      </c>
      <c r="I7" s="33">
        <f>ROUND('Anexo 12'!I7*'Anexo 2'!$D$10,0)</f>
        <v>0</v>
      </c>
      <c r="J7" s="33">
        <f>ROUND('Anexo 12'!J7*'Anexo 2'!$D$10,0)</f>
        <v>0</v>
      </c>
      <c r="K7" s="33">
        <f>ROUND('Anexo 12'!K7*'Anexo 2'!$D$10,0)</f>
        <v>0</v>
      </c>
      <c r="L7" s="33">
        <f>ROUND('Anexo 12'!L7*'Anexo 2'!$D$10,0)</f>
        <v>0</v>
      </c>
      <c r="M7" s="33">
        <f>ROUND('Anexo 12'!M7*'Anexo 2'!$D$10,0)</f>
        <v>0</v>
      </c>
      <c r="N7" s="33">
        <f>ROUND('Anexo 12'!N7*'Anexo 2'!$D$10,0)</f>
        <v>0</v>
      </c>
      <c r="O7" s="33">
        <f>ROUND('Anexo 12'!O7*'Anexo 2'!$D$10,0)</f>
        <v>0</v>
      </c>
      <c r="P7" s="33">
        <f>ROUND('Anexo 12'!P7*'Anexo 2'!$D$10,0)</f>
        <v>0</v>
      </c>
      <c r="Q7" s="33">
        <f>ROUND('Anexo 12'!Q7*'Anexo 2'!$D$10,0)</f>
        <v>0</v>
      </c>
      <c r="R7" s="33">
        <f>ROUND('Anexo 12'!R7*'Anexo 2'!$D$10,0)</f>
        <v>0</v>
      </c>
      <c r="S7" s="33">
        <f>ROUND('Anexo 12'!S7*'Anexo 2'!$D$10,0)</f>
        <v>0</v>
      </c>
      <c r="T7" s="33">
        <f>ROUND('Anexo 12'!T7*'Anexo 2'!$D$10,0)</f>
        <v>0</v>
      </c>
      <c r="U7" s="33">
        <f>ROUND('Anexo 12'!U7*'Anexo 2'!$D$10,0)</f>
        <v>0</v>
      </c>
      <c r="V7" s="33">
        <f>ROUND('Anexo 12'!V7*'Anexo 2'!$D$10,0)</f>
        <v>0</v>
      </c>
      <c r="W7" s="33">
        <f>ROUND('Anexo 12'!W7*'Anexo 2'!$D$10,0)</f>
        <v>0</v>
      </c>
      <c r="X7" s="33">
        <f>ROUND('Anexo 12'!X7*'Anexo 2'!$D$10,0)</f>
        <v>0</v>
      </c>
      <c r="Y7" s="33">
        <f>ROUND('Anexo 12'!Y7*'Anexo 2'!$D$10,0)</f>
        <v>0</v>
      </c>
      <c r="Z7" s="33">
        <f>ROUND('Anexo 12'!Z7*'Anexo 2'!$D$10,0)</f>
        <v>0</v>
      </c>
      <c r="AA7" s="38">
        <f t="shared" ref="AA7:AA41" si="0">SUM(C7:Z7)</f>
        <v>0</v>
      </c>
      <c r="AB7" s="21">
        <v>5</v>
      </c>
      <c r="AC7" s="101"/>
      <c r="AD7" s="47"/>
    </row>
    <row r="8" spans="1:30" ht="15.75" thickBot="1" x14ac:dyDescent="0.3">
      <c r="A8" s="99"/>
      <c r="B8" s="22" t="s">
        <v>3</v>
      </c>
      <c r="C8" s="33">
        <f>ROUND('Anexo 12'!C8*'Anexo 2'!$D$10,0)</f>
        <v>0</v>
      </c>
      <c r="D8" s="33">
        <f>ROUND('Anexo 12'!D8*'Anexo 2'!$D$10,0)</f>
        <v>0</v>
      </c>
      <c r="E8" s="33">
        <f>ROUND('Anexo 12'!E8*'Anexo 2'!$D$10,0)</f>
        <v>0</v>
      </c>
      <c r="F8" s="33">
        <f>ROUND('Anexo 12'!F8*'Anexo 2'!$D$10,0)</f>
        <v>0</v>
      </c>
      <c r="G8" s="33">
        <f>ROUND('Anexo 12'!G8*'Anexo 2'!$D$10,0)</f>
        <v>0</v>
      </c>
      <c r="H8" s="33">
        <f>ROUND('Anexo 12'!H8*'Anexo 2'!$D$10,0)</f>
        <v>0</v>
      </c>
      <c r="I8" s="33">
        <f>ROUND('Anexo 12'!I8*'Anexo 2'!$D$10,0)</f>
        <v>0</v>
      </c>
      <c r="J8" s="33">
        <f>ROUND('Anexo 12'!J8*'Anexo 2'!$D$10,0)</f>
        <v>0</v>
      </c>
      <c r="K8" s="33">
        <f>ROUND('Anexo 12'!K8*'Anexo 2'!$D$10,0)</f>
        <v>0</v>
      </c>
      <c r="L8" s="33">
        <f>ROUND('Anexo 12'!L8*'Anexo 2'!$D$10,0)</f>
        <v>0</v>
      </c>
      <c r="M8" s="33">
        <f>ROUND('Anexo 12'!M8*'Anexo 2'!$D$10,0)</f>
        <v>0</v>
      </c>
      <c r="N8" s="33">
        <f>ROUND('Anexo 12'!N8*'Anexo 2'!$D$10,0)</f>
        <v>0</v>
      </c>
      <c r="O8" s="33">
        <f>ROUND('Anexo 12'!O8*'Anexo 2'!$D$10,0)</f>
        <v>0</v>
      </c>
      <c r="P8" s="33">
        <f>ROUND('Anexo 12'!P8*'Anexo 2'!$D$10,0)</f>
        <v>0</v>
      </c>
      <c r="Q8" s="33">
        <f>ROUND('Anexo 12'!Q8*'Anexo 2'!$D$10,0)</f>
        <v>0</v>
      </c>
      <c r="R8" s="33">
        <f>ROUND('Anexo 12'!R8*'Anexo 2'!$D$10,0)</f>
        <v>0</v>
      </c>
      <c r="S8" s="33">
        <f>ROUND('Anexo 12'!S8*'Anexo 2'!$D$10,0)</f>
        <v>0</v>
      </c>
      <c r="T8" s="33">
        <f>ROUND('Anexo 12'!T8*'Anexo 2'!$D$10,0)</f>
        <v>0</v>
      </c>
      <c r="U8" s="33">
        <f>ROUND('Anexo 12'!U8*'Anexo 2'!$D$10,0)</f>
        <v>0</v>
      </c>
      <c r="V8" s="33">
        <f>ROUND('Anexo 12'!V8*'Anexo 2'!$D$10,0)</f>
        <v>0</v>
      </c>
      <c r="W8" s="33">
        <f>ROUND('Anexo 12'!W8*'Anexo 2'!$D$10,0)</f>
        <v>0</v>
      </c>
      <c r="X8" s="33">
        <f>ROUND('Anexo 12'!X8*'Anexo 2'!$D$10,0)</f>
        <v>0</v>
      </c>
      <c r="Y8" s="33">
        <f>ROUND('Anexo 12'!Y8*'Anexo 2'!$D$10,0)</f>
        <v>0</v>
      </c>
      <c r="Z8" s="33">
        <f>ROUND('Anexo 12'!Z8*'Anexo 2'!$D$10,0)</f>
        <v>0</v>
      </c>
      <c r="AA8" s="41">
        <f t="shared" si="0"/>
        <v>0</v>
      </c>
      <c r="AB8" s="23">
        <v>7</v>
      </c>
      <c r="AC8" s="102"/>
      <c r="AD8" s="48"/>
    </row>
    <row r="9" spans="1:30" ht="15.75" thickBot="1" x14ac:dyDescent="0.3">
      <c r="A9" s="99">
        <v>46419</v>
      </c>
      <c r="B9" s="18" t="s">
        <v>5</v>
      </c>
      <c r="C9" s="33">
        <f>ROUND('Anexo 12'!C9*'Anexo 2'!$D$10,0)</f>
        <v>0</v>
      </c>
      <c r="D9" s="33">
        <f>ROUND('Anexo 12'!D9*'Anexo 2'!$D$10,0)</f>
        <v>0</v>
      </c>
      <c r="E9" s="33">
        <f>ROUND('Anexo 12'!E9*'Anexo 2'!$D$10,0)</f>
        <v>0</v>
      </c>
      <c r="F9" s="33">
        <f>ROUND('Anexo 12'!F9*'Anexo 2'!$D$10,0)</f>
        <v>0</v>
      </c>
      <c r="G9" s="33">
        <f>ROUND('Anexo 12'!G9*'Anexo 2'!$D$10,0)</f>
        <v>0</v>
      </c>
      <c r="H9" s="33">
        <f>ROUND('Anexo 12'!H9*'Anexo 2'!$D$10,0)</f>
        <v>0</v>
      </c>
      <c r="I9" s="33">
        <f>ROUND('Anexo 12'!I9*'Anexo 2'!$D$10,0)</f>
        <v>0</v>
      </c>
      <c r="J9" s="33">
        <f>ROUND('Anexo 12'!J9*'Anexo 2'!$D$10,0)</f>
        <v>0</v>
      </c>
      <c r="K9" s="33">
        <f>ROUND('Anexo 12'!K9*'Anexo 2'!$D$10,0)</f>
        <v>0</v>
      </c>
      <c r="L9" s="33">
        <f>ROUND('Anexo 12'!L9*'Anexo 2'!$D$10,0)</f>
        <v>0</v>
      </c>
      <c r="M9" s="33">
        <f>ROUND('Anexo 12'!M9*'Anexo 2'!$D$10,0)</f>
        <v>0</v>
      </c>
      <c r="N9" s="33">
        <f>ROUND('Anexo 12'!N9*'Anexo 2'!$D$10,0)</f>
        <v>0</v>
      </c>
      <c r="O9" s="33">
        <f>ROUND('Anexo 12'!O9*'Anexo 2'!$D$10,0)</f>
        <v>0</v>
      </c>
      <c r="P9" s="33">
        <f>ROUND('Anexo 12'!P9*'Anexo 2'!$D$10,0)</f>
        <v>0</v>
      </c>
      <c r="Q9" s="33">
        <f>ROUND('Anexo 12'!Q9*'Anexo 2'!$D$10,0)</f>
        <v>0</v>
      </c>
      <c r="R9" s="33">
        <f>ROUND('Anexo 12'!R9*'Anexo 2'!$D$10,0)</f>
        <v>0</v>
      </c>
      <c r="S9" s="33">
        <f>ROUND('Anexo 12'!S9*'Anexo 2'!$D$10,0)</f>
        <v>0</v>
      </c>
      <c r="T9" s="33">
        <f>ROUND('Anexo 12'!T9*'Anexo 2'!$D$10,0)</f>
        <v>0</v>
      </c>
      <c r="U9" s="33">
        <f>ROUND('Anexo 12'!U9*'Anexo 2'!$D$10,0)</f>
        <v>0</v>
      </c>
      <c r="V9" s="33">
        <f>ROUND('Anexo 12'!V9*'Anexo 2'!$D$10,0)</f>
        <v>0</v>
      </c>
      <c r="W9" s="33">
        <f>ROUND('Anexo 12'!W9*'Anexo 2'!$D$10,0)</f>
        <v>0</v>
      </c>
      <c r="X9" s="33">
        <f>ROUND('Anexo 12'!X9*'Anexo 2'!$D$10,0)</f>
        <v>0</v>
      </c>
      <c r="Y9" s="33">
        <f>ROUND('Anexo 12'!Y9*'Anexo 2'!$D$10,0)</f>
        <v>0</v>
      </c>
      <c r="Z9" s="33">
        <f>ROUND('Anexo 12'!Z9*'Anexo 2'!$D$10,0)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ROUND('Anexo 12'!C10*'Anexo 2'!$D$10,0)</f>
        <v>0</v>
      </c>
      <c r="D10" s="33">
        <f>ROUND('Anexo 12'!D10*'Anexo 2'!$D$10,0)</f>
        <v>0</v>
      </c>
      <c r="E10" s="33">
        <f>ROUND('Anexo 12'!E10*'Anexo 2'!$D$10,0)</f>
        <v>0</v>
      </c>
      <c r="F10" s="33">
        <f>ROUND('Anexo 12'!F10*'Anexo 2'!$D$10,0)</f>
        <v>0</v>
      </c>
      <c r="G10" s="33">
        <f>ROUND('Anexo 12'!G10*'Anexo 2'!$D$10,0)</f>
        <v>0</v>
      </c>
      <c r="H10" s="33">
        <f>ROUND('Anexo 12'!H10*'Anexo 2'!$D$10,0)</f>
        <v>0</v>
      </c>
      <c r="I10" s="33">
        <f>ROUND('Anexo 12'!I10*'Anexo 2'!$D$10,0)</f>
        <v>0</v>
      </c>
      <c r="J10" s="33">
        <f>ROUND('Anexo 12'!J10*'Anexo 2'!$D$10,0)</f>
        <v>0</v>
      </c>
      <c r="K10" s="33">
        <f>ROUND('Anexo 12'!K10*'Anexo 2'!$D$10,0)</f>
        <v>0</v>
      </c>
      <c r="L10" s="33">
        <f>ROUND('Anexo 12'!L10*'Anexo 2'!$D$10,0)</f>
        <v>0</v>
      </c>
      <c r="M10" s="33">
        <f>ROUND('Anexo 12'!M10*'Anexo 2'!$D$10,0)</f>
        <v>0</v>
      </c>
      <c r="N10" s="33">
        <f>ROUND('Anexo 12'!N10*'Anexo 2'!$D$10,0)</f>
        <v>0</v>
      </c>
      <c r="O10" s="33">
        <f>ROUND('Anexo 12'!O10*'Anexo 2'!$D$10,0)</f>
        <v>0</v>
      </c>
      <c r="P10" s="33">
        <f>ROUND('Anexo 12'!P10*'Anexo 2'!$D$10,0)</f>
        <v>0</v>
      </c>
      <c r="Q10" s="33">
        <f>ROUND('Anexo 12'!Q10*'Anexo 2'!$D$10,0)</f>
        <v>0</v>
      </c>
      <c r="R10" s="33">
        <f>ROUND('Anexo 12'!R10*'Anexo 2'!$D$10,0)</f>
        <v>0</v>
      </c>
      <c r="S10" s="33">
        <f>ROUND('Anexo 12'!S10*'Anexo 2'!$D$10,0)</f>
        <v>0</v>
      </c>
      <c r="T10" s="33">
        <f>ROUND('Anexo 12'!T10*'Anexo 2'!$D$10,0)</f>
        <v>0</v>
      </c>
      <c r="U10" s="33">
        <f>ROUND('Anexo 12'!U10*'Anexo 2'!$D$10,0)</f>
        <v>0</v>
      </c>
      <c r="V10" s="33">
        <f>ROUND('Anexo 12'!V10*'Anexo 2'!$D$10,0)</f>
        <v>0</v>
      </c>
      <c r="W10" s="33">
        <f>ROUND('Anexo 12'!W10*'Anexo 2'!$D$10,0)</f>
        <v>0</v>
      </c>
      <c r="X10" s="33">
        <f>ROUND('Anexo 12'!X10*'Anexo 2'!$D$10,0)</f>
        <v>0</v>
      </c>
      <c r="Y10" s="33">
        <f>ROUND('Anexo 12'!Y10*'Anexo 2'!$D$10,0)</f>
        <v>0</v>
      </c>
      <c r="Z10" s="33">
        <f>ROUND('Anexo 12'!Z10*'Anexo 2'!$D$10,0)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ROUND('Anexo 12'!C11*'Anexo 2'!$D$10,0)</f>
        <v>0</v>
      </c>
      <c r="D11" s="33">
        <f>ROUND('Anexo 12'!D11*'Anexo 2'!$D$10,0)</f>
        <v>0</v>
      </c>
      <c r="E11" s="33">
        <f>ROUND('Anexo 12'!E11*'Anexo 2'!$D$10,0)</f>
        <v>0</v>
      </c>
      <c r="F11" s="33">
        <f>ROUND('Anexo 12'!F11*'Anexo 2'!$D$10,0)</f>
        <v>0</v>
      </c>
      <c r="G11" s="33">
        <f>ROUND('Anexo 12'!G11*'Anexo 2'!$D$10,0)</f>
        <v>0</v>
      </c>
      <c r="H11" s="33">
        <f>ROUND('Anexo 12'!H11*'Anexo 2'!$D$10,0)</f>
        <v>0</v>
      </c>
      <c r="I11" s="33">
        <f>ROUND('Anexo 12'!I11*'Anexo 2'!$D$10,0)</f>
        <v>0</v>
      </c>
      <c r="J11" s="33">
        <f>ROUND('Anexo 12'!J11*'Anexo 2'!$D$10,0)</f>
        <v>0</v>
      </c>
      <c r="K11" s="33">
        <f>ROUND('Anexo 12'!K11*'Anexo 2'!$D$10,0)</f>
        <v>0</v>
      </c>
      <c r="L11" s="33">
        <f>ROUND('Anexo 12'!L11*'Anexo 2'!$D$10,0)</f>
        <v>0</v>
      </c>
      <c r="M11" s="33">
        <f>ROUND('Anexo 12'!M11*'Anexo 2'!$D$10,0)</f>
        <v>0</v>
      </c>
      <c r="N11" s="33">
        <f>ROUND('Anexo 12'!N11*'Anexo 2'!$D$10,0)</f>
        <v>0</v>
      </c>
      <c r="O11" s="33">
        <f>ROUND('Anexo 12'!O11*'Anexo 2'!$D$10,0)</f>
        <v>0</v>
      </c>
      <c r="P11" s="33">
        <f>ROUND('Anexo 12'!P11*'Anexo 2'!$D$10,0)</f>
        <v>0</v>
      </c>
      <c r="Q11" s="33">
        <f>ROUND('Anexo 12'!Q11*'Anexo 2'!$D$10,0)</f>
        <v>0</v>
      </c>
      <c r="R11" s="33">
        <f>ROUND('Anexo 12'!R11*'Anexo 2'!$D$10,0)</f>
        <v>0</v>
      </c>
      <c r="S11" s="33">
        <f>ROUND('Anexo 12'!S11*'Anexo 2'!$D$10,0)</f>
        <v>0</v>
      </c>
      <c r="T11" s="33">
        <f>ROUND('Anexo 12'!T11*'Anexo 2'!$D$10,0)</f>
        <v>0</v>
      </c>
      <c r="U11" s="33">
        <f>ROUND('Anexo 12'!U11*'Anexo 2'!$D$10,0)</f>
        <v>0</v>
      </c>
      <c r="V11" s="33">
        <f>ROUND('Anexo 12'!V11*'Anexo 2'!$D$10,0)</f>
        <v>0</v>
      </c>
      <c r="W11" s="33">
        <f>ROUND('Anexo 12'!W11*'Anexo 2'!$D$10,0)</f>
        <v>0</v>
      </c>
      <c r="X11" s="33">
        <f>ROUND('Anexo 12'!X11*'Anexo 2'!$D$10,0)</f>
        <v>0</v>
      </c>
      <c r="Y11" s="33">
        <f>ROUND('Anexo 12'!Y11*'Anexo 2'!$D$10,0)</f>
        <v>0</v>
      </c>
      <c r="Z11" s="33">
        <f>ROUND('Anexo 12'!Z11*'Anexo 2'!$D$10,0)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46447</v>
      </c>
      <c r="B12" s="18" t="s">
        <v>5</v>
      </c>
      <c r="C12" s="33">
        <f>ROUND('Anexo 12'!C12*'Anexo 2'!$D$10,0)</f>
        <v>0</v>
      </c>
      <c r="D12" s="33">
        <f>ROUND('Anexo 12'!D12*'Anexo 2'!$D$10,0)</f>
        <v>0</v>
      </c>
      <c r="E12" s="33">
        <f>ROUND('Anexo 12'!E12*'Anexo 2'!$D$10,0)</f>
        <v>0</v>
      </c>
      <c r="F12" s="33">
        <f>ROUND('Anexo 12'!F12*'Anexo 2'!$D$10,0)</f>
        <v>0</v>
      </c>
      <c r="G12" s="33">
        <f>ROUND('Anexo 12'!G12*'Anexo 2'!$D$10,0)</f>
        <v>0</v>
      </c>
      <c r="H12" s="33">
        <f>ROUND('Anexo 12'!H12*'Anexo 2'!$D$10,0)</f>
        <v>0</v>
      </c>
      <c r="I12" s="33">
        <f>ROUND('Anexo 12'!I12*'Anexo 2'!$D$10,0)</f>
        <v>0</v>
      </c>
      <c r="J12" s="33">
        <f>ROUND('Anexo 12'!J12*'Anexo 2'!$D$10,0)</f>
        <v>0</v>
      </c>
      <c r="K12" s="33">
        <f>ROUND('Anexo 12'!K12*'Anexo 2'!$D$10,0)</f>
        <v>0</v>
      </c>
      <c r="L12" s="33">
        <f>ROUND('Anexo 12'!L12*'Anexo 2'!$D$10,0)</f>
        <v>0</v>
      </c>
      <c r="M12" s="33">
        <f>ROUND('Anexo 12'!M12*'Anexo 2'!$D$10,0)</f>
        <v>0</v>
      </c>
      <c r="N12" s="33">
        <f>ROUND('Anexo 12'!N12*'Anexo 2'!$D$10,0)</f>
        <v>0</v>
      </c>
      <c r="O12" s="33">
        <f>ROUND('Anexo 12'!O12*'Anexo 2'!$D$10,0)</f>
        <v>0</v>
      </c>
      <c r="P12" s="33">
        <f>ROUND('Anexo 12'!P12*'Anexo 2'!$D$10,0)</f>
        <v>0</v>
      </c>
      <c r="Q12" s="33">
        <f>ROUND('Anexo 12'!Q12*'Anexo 2'!$D$10,0)</f>
        <v>0</v>
      </c>
      <c r="R12" s="33">
        <f>ROUND('Anexo 12'!R12*'Anexo 2'!$D$10,0)</f>
        <v>0</v>
      </c>
      <c r="S12" s="33">
        <f>ROUND('Anexo 12'!S12*'Anexo 2'!$D$10,0)</f>
        <v>0</v>
      </c>
      <c r="T12" s="33">
        <f>ROUND('Anexo 12'!T12*'Anexo 2'!$D$10,0)</f>
        <v>0</v>
      </c>
      <c r="U12" s="33">
        <f>ROUND('Anexo 12'!U12*'Anexo 2'!$D$10,0)</f>
        <v>0</v>
      </c>
      <c r="V12" s="33">
        <f>ROUND('Anexo 12'!V12*'Anexo 2'!$D$10,0)</f>
        <v>0</v>
      </c>
      <c r="W12" s="33">
        <f>ROUND('Anexo 12'!W12*'Anexo 2'!$D$10,0)</f>
        <v>0</v>
      </c>
      <c r="X12" s="33">
        <f>ROUND('Anexo 12'!X12*'Anexo 2'!$D$10,0)</f>
        <v>0</v>
      </c>
      <c r="Y12" s="33">
        <f>ROUND('Anexo 12'!Y12*'Anexo 2'!$D$10,0)</f>
        <v>0</v>
      </c>
      <c r="Z12" s="33">
        <f>ROUND('Anexo 12'!Z12*'Anexo 2'!$D$10,0)</f>
        <v>0</v>
      </c>
      <c r="AA12" s="35">
        <f t="shared" si="0"/>
        <v>0</v>
      </c>
      <c r="AB12" s="19">
        <v>20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ROUND('Anexo 12'!C13*'Anexo 2'!$D$10,0)</f>
        <v>0</v>
      </c>
      <c r="D13" s="33">
        <f>ROUND('Anexo 12'!D13*'Anexo 2'!$D$10,0)</f>
        <v>0</v>
      </c>
      <c r="E13" s="33">
        <f>ROUND('Anexo 12'!E13*'Anexo 2'!$D$10,0)</f>
        <v>0</v>
      </c>
      <c r="F13" s="33">
        <f>ROUND('Anexo 12'!F13*'Anexo 2'!$D$10,0)</f>
        <v>0</v>
      </c>
      <c r="G13" s="33">
        <f>ROUND('Anexo 12'!G13*'Anexo 2'!$D$10,0)</f>
        <v>0</v>
      </c>
      <c r="H13" s="33">
        <f>ROUND('Anexo 12'!H13*'Anexo 2'!$D$10,0)</f>
        <v>0</v>
      </c>
      <c r="I13" s="33">
        <f>ROUND('Anexo 12'!I13*'Anexo 2'!$D$10,0)</f>
        <v>0</v>
      </c>
      <c r="J13" s="33">
        <f>ROUND('Anexo 12'!J13*'Anexo 2'!$D$10,0)</f>
        <v>0</v>
      </c>
      <c r="K13" s="33">
        <f>ROUND('Anexo 12'!K13*'Anexo 2'!$D$10,0)</f>
        <v>0</v>
      </c>
      <c r="L13" s="33">
        <f>ROUND('Anexo 12'!L13*'Anexo 2'!$D$10,0)</f>
        <v>0</v>
      </c>
      <c r="M13" s="33">
        <f>ROUND('Anexo 12'!M13*'Anexo 2'!$D$10,0)</f>
        <v>0</v>
      </c>
      <c r="N13" s="33">
        <f>ROUND('Anexo 12'!N13*'Anexo 2'!$D$10,0)</f>
        <v>0</v>
      </c>
      <c r="O13" s="33">
        <f>ROUND('Anexo 12'!O13*'Anexo 2'!$D$10,0)</f>
        <v>0</v>
      </c>
      <c r="P13" s="33">
        <f>ROUND('Anexo 12'!P13*'Anexo 2'!$D$10,0)</f>
        <v>0</v>
      </c>
      <c r="Q13" s="33">
        <f>ROUND('Anexo 12'!Q13*'Anexo 2'!$D$10,0)</f>
        <v>0</v>
      </c>
      <c r="R13" s="33">
        <f>ROUND('Anexo 12'!R13*'Anexo 2'!$D$10,0)</f>
        <v>0</v>
      </c>
      <c r="S13" s="33">
        <f>ROUND('Anexo 12'!S13*'Anexo 2'!$D$10,0)</f>
        <v>0</v>
      </c>
      <c r="T13" s="33">
        <f>ROUND('Anexo 12'!T13*'Anexo 2'!$D$10,0)</f>
        <v>0</v>
      </c>
      <c r="U13" s="33">
        <f>ROUND('Anexo 12'!U13*'Anexo 2'!$D$10,0)</f>
        <v>0</v>
      </c>
      <c r="V13" s="33">
        <f>ROUND('Anexo 12'!V13*'Anexo 2'!$D$10,0)</f>
        <v>0</v>
      </c>
      <c r="W13" s="33">
        <f>ROUND('Anexo 12'!W13*'Anexo 2'!$D$10,0)</f>
        <v>0</v>
      </c>
      <c r="X13" s="33">
        <f>ROUND('Anexo 12'!X13*'Anexo 2'!$D$10,0)</f>
        <v>0</v>
      </c>
      <c r="Y13" s="33">
        <f>ROUND('Anexo 12'!Y13*'Anexo 2'!$D$10,0)</f>
        <v>0</v>
      </c>
      <c r="Z13" s="33">
        <f>ROUND('Anexo 12'!Z13*'Anexo 2'!$D$10,0)</f>
        <v>0</v>
      </c>
      <c r="AA13" s="38">
        <f t="shared" si="0"/>
        <v>0</v>
      </c>
      <c r="AB13" s="21">
        <v>4</v>
      </c>
      <c r="AC13" s="101"/>
      <c r="AD13" s="47"/>
    </row>
    <row r="14" spans="1:30" ht="15.75" thickBot="1" x14ac:dyDescent="0.3">
      <c r="A14" s="99"/>
      <c r="B14" s="22" t="s">
        <v>3</v>
      </c>
      <c r="C14" s="33">
        <f>ROUND('Anexo 12'!C14*'Anexo 2'!$D$10,0)</f>
        <v>0</v>
      </c>
      <c r="D14" s="33">
        <f>ROUND('Anexo 12'!D14*'Anexo 2'!$D$10,0)</f>
        <v>0</v>
      </c>
      <c r="E14" s="33">
        <f>ROUND('Anexo 12'!E14*'Anexo 2'!$D$10,0)</f>
        <v>0</v>
      </c>
      <c r="F14" s="33">
        <f>ROUND('Anexo 12'!F14*'Anexo 2'!$D$10,0)</f>
        <v>0</v>
      </c>
      <c r="G14" s="33">
        <f>ROUND('Anexo 12'!G14*'Anexo 2'!$D$10,0)</f>
        <v>0</v>
      </c>
      <c r="H14" s="33">
        <f>ROUND('Anexo 12'!H14*'Anexo 2'!$D$10,0)</f>
        <v>0</v>
      </c>
      <c r="I14" s="33">
        <f>ROUND('Anexo 12'!I14*'Anexo 2'!$D$10,0)</f>
        <v>0</v>
      </c>
      <c r="J14" s="33">
        <f>ROUND('Anexo 12'!J14*'Anexo 2'!$D$10,0)</f>
        <v>0</v>
      </c>
      <c r="K14" s="33">
        <f>ROUND('Anexo 12'!K14*'Anexo 2'!$D$10,0)</f>
        <v>0</v>
      </c>
      <c r="L14" s="33">
        <f>ROUND('Anexo 12'!L14*'Anexo 2'!$D$10,0)</f>
        <v>0</v>
      </c>
      <c r="M14" s="33">
        <f>ROUND('Anexo 12'!M14*'Anexo 2'!$D$10,0)</f>
        <v>0</v>
      </c>
      <c r="N14" s="33">
        <f>ROUND('Anexo 12'!N14*'Anexo 2'!$D$10,0)</f>
        <v>0</v>
      </c>
      <c r="O14" s="33">
        <f>ROUND('Anexo 12'!O14*'Anexo 2'!$D$10,0)</f>
        <v>0</v>
      </c>
      <c r="P14" s="33">
        <f>ROUND('Anexo 12'!P14*'Anexo 2'!$D$10,0)</f>
        <v>0</v>
      </c>
      <c r="Q14" s="33">
        <f>ROUND('Anexo 12'!Q14*'Anexo 2'!$D$10,0)</f>
        <v>0</v>
      </c>
      <c r="R14" s="33">
        <f>ROUND('Anexo 12'!R14*'Anexo 2'!$D$10,0)</f>
        <v>0</v>
      </c>
      <c r="S14" s="33">
        <f>ROUND('Anexo 12'!S14*'Anexo 2'!$D$10,0)</f>
        <v>0</v>
      </c>
      <c r="T14" s="33">
        <f>ROUND('Anexo 12'!T14*'Anexo 2'!$D$10,0)</f>
        <v>0</v>
      </c>
      <c r="U14" s="33">
        <f>ROUND('Anexo 12'!U14*'Anexo 2'!$D$10,0)</f>
        <v>0</v>
      </c>
      <c r="V14" s="33">
        <f>ROUND('Anexo 12'!V14*'Anexo 2'!$D$10,0)</f>
        <v>0</v>
      </c>
      <c r="W14" s="33">
        <f>ROUND('Anexo 12'!W14*'Anexo 2'!$D$10,0)</f>
        <v>0</v>
      </c>
      <c r="X14" s="33">
        <f>ROUND('Anexo 12'!X14*'Anexo 2'!$D$10,0)</f>
        <v>0</v>
      </c>
      <c r="Y14" s="33">
        <f>ROUND('Anexo 12'!Y14*'Anexo 2'!$D$10,0)</f>
        <v>0</v>
      </c>
      <c r="Z14" s="33">
        <f>ROUND('Anexo 12'!Z14*'Anexo 2'!$D$10,0)</f>
        <v>0</v>
      </c>
      <c r="AA14" s="41">
        <f t="shared" si="0"/>
        <v>0</v>
      </c>
      <c r="AB14" s="23">
        <v>7</v>
      </c>
      <c r="AC14" s="102"/>
      <c r="AD14" s="45"/>
    </row>
    <row r="15" spans="1:30" ht="15.75" thickBot="1" x14ac:dyDescent="0.3">
      <c r="A15" s="99">
        <v>46478</v>
      </c>
      <c r="B15" s="18" t="s">
        <v>5</v>
      </c>
      <c r="C15" s="33">
        <f>ROUND('Anexo 12'!C15*'Anexo 2'!$D$10,0)</f>
        <v>0</v>
      </c>
      <c r="D15" s="33">
        <f>ROUND('Anexo 12'!D15*'Anexo 2'!$D$10,0)</f>
        <v>0</v>
      </c>
      <c r="E15" s="33">
        <f>ROUND('Anexo 12'!E15*'Anexo 2'!$D$10,0)</f>
        <v>0</v>
      </c>
      <c r="F15" s="33">
        <f>ROUND('Anexo 12'!F15*'Anexo 2'!$D$10,0)</f>
        <v>0</v>
      </c>
      <c r="G15" s="33">
        <f>ROUND('Anexo 12'!G15*'Anexo 2'!$D$10,0)</f>
        <v>0</v>
      </c>
      <c r="H15" s="33">
        <f>ROUND('Anexo 12'!H15*'Anexo 2'!$D$10,0)</f>
        <v>0</v>
      </c>
      <c r="I15" s="33">
        <f>ROUND('Anexo 12'!I15*'Anexo 2'!$D$10,0)</f>
        <v>0</v>
      </c>
      <c r="J15" s="33">
        <f>ROUND('Anexo 12'!J15*'Anexo 2'!$D$10,0)</f>
        <v>0</v>
      </c>
      <c r="K15" s="33">
        <f>ROUND('Anexo 12'!K15*'Anexo 2'!$D$10,0)</f>
        <v>0</v>
      </c>
      <c r="L15" s="33">
        <f>ROUND('Anexo 12'!L15*'Anexo 2'!$D$10,0)</f>
        <v>0</v>
      </c>
      <c r="M15" s="33">
        <f>ROUND('Anexo 12'!M15*'Anexo 2'!$D$10,0)</f>
        <v>0</v>
      </c>
      <c r="N15" s="33">
        <f>ROUND('Anexo 12'!N15*'Anexo 2'!$D$10,0)</f>
        <v>0</v>
      </c>
      <c r="O15" s="33">
        <f>ROUND('Anexo 12'!O15*'Anexo 2'!$D$10,0)</f>
        <v>0</v>
      </c>
      <c r="P15" s="33">
        <f>ROUND('Anexo 12'!P15*'Anexo 2'!$D$10,0)</f>
        <v>0</v>
      </c>
      <c r="Q15" s="33">
        <f>ROUND('Anexo 12'!Q15*'Anexo 2'!$D$10,0)</f>
        <v>0</v>
      </c>
      <c r="R15" s="33">
        <f>ROUND('Anexo 12'!R15*'Anexo 2'!$D$10,0)</f>
        <v>0</v>
      </c>
      <c r="S15" s="33">
        <f>ROUND('Anexo 12'!S15*'Anexo 2'!$D$10,0)</f>
        <v>0</v>
      </c>
      <c r="T15" s="33">
        <f>ROUND('Anexo 12'!T15*'Anexo 2'!$D$10,0)</f>
        <v>0</v>
      </c>
      <c r="U15" s="33">
        <f>ROUND('Anexo 12'!U15*'Anexo 2'!$D$10,0)</f>
        <v>0</v>
      </c>
      <c r="V15" s="33">
        <f>ROUND('Anexo 12'!V15*'Anexo 2'!$D$10,0)</f>
        <v>0</v>
      </c>
      <c r="W15" s="33">
        <f>ROUND('Anexo 12'!W15*'Anexo 2'!$D$10,0)</f>
        <v>0</v>
      </c>
      <c r="X15" s="33">
        <f>ROUND('Anexo 12'!X15*'Anexo 2'!$D$10,0)</f>
        <v>0</v>
      </c>
      <c r="Y15" s="33">
        <f>ROUND('Anexo 12'!Y15*'Anexo 2'!$D$10,0)</f>
        <v>0</v>
      </c>
      <c r="Z15" s="33">
        <f>ROUND('Anexo 12'!Z15*'Anexo 2'!$D$10,0)</f>
        <v>0</v>
      </c>
      <c r="AA15" s="35">
        <f t="shared" si="0"/>
        <v>0</v>
      </c>
      <c r="AB15" s="19">
        <v>22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ROUND('Anexo 12'!C16*'Anexo 2'!$D$10,0)</f>
        <v>0</v>
      </c>
      <c r="D16" s="33">
        <f>ROUND('Anexo 12'!D16*'Anexo 2'!$D$10,0)</f>
        <v>0</v>
      </c>
      <c r="E16" s="33">
        <f>ROUND('Anexo 12'!E16*'Anexo 2'!$D$10,0)</f>
        <v>0</v>
      </c>
      <c r="F16" s="33">
        <f>ROUND('Anexo 12'!F16*'Anexo 2'!$D$10,0)</f>
        <v>0</v>
      </c>
      <c r="G16" s="33">
        <f>ROUND('Anexo 12'!G16*'Anexo 2'!$D$10,0)</f>
        <v>0</v>
      </c>
      <c r="H16" s="33">
        <f>ROUND('Anexo 12'!H16*'Anexo 2'!$D$10,0)</f>
        <v>0</v>
      </c>
      <c r="I16" s="33">
        <f>ROUND('Anexo 12'!I16*'Anexo 2'!$D$10,0)</f>
        <v>0</v>
      </c>
      <c r="J16" s="33">
        <f>ROUND('Anexo 12'!J16*'Anexo 2'!$D$10,0)</f>
        <v>0</v>
      </c>
      <c r="K16" s="33">
        <f>ROUND('Anexo 12'!K16*'Anexo 2'!$D$10,0)</f>
        <v>0</v>
      </c>
      <c r="L16" s="33">
        <f>ROUND('Anexo 12'!L16*'Anexo 2'!$D$10,0)</f>
        <v>0</v>
      </c>
      <c r="M16" s="33">
        <f>ROUND('Anexo 12'!M16*'Anexo 2'!$D$10,0)</f>
        <v>0</v>
      </c>
      <c r="N16" s="33">
        <f>ROUND('Anexo 12'!N16*'Anexo 2'!$D$10,0)</f>
        <v>0</v>
      </c>
      <c r="O16" s="33">
        <f>ROUND('Anexo 12'!O16*'Anexo 2'!$D$10,0)</f>
        <v>0</v>
      </c>
      <c r="P16" s="33">
        <f>ROUND('Anexo 12'!P16*'Anexo 2'!$D$10,0)</f>
        <v>0</v>
      </c>
      <c r="Q16" s="33">
        <f>ROUND('Anexo 12'!Q16*'Anexo 2'!$D$10,0)</f>
        <v>0</v>
      </c>
      <c r="R16" s="33">
        <f>ROUND('Anexo 12'!R16*'Anexo 2'!$D$10,0)</f>
        <v>0</v>
      </c>
      <c r="S16" s="33">
        <f>ROUND('Anexo 12'!S16*'Anexo 2'!$D$10,0)</f>
        <v>0</v>
      </c>
      <c r="T16" s="33">
        <f>ROUND('Anexo 12'!T16*'Anexo 2'!$D$10,0)</f>
        <v>0</v>
      </c>
      <c r="U16" s="33">
        <f>ROUND('Anexo 12'!U16*'Anexo 2'!$D$10,0)</f>
        <v>0</v>
      </c>
      <c r="V16" s="33">
        <f>ROUND('Anexo 12'!V16*'Anexo 2'!$D$10,0)</f>
        <v>0</v>
      </c>
      <c r="W16" s="33">
        <f>ROUND('Anexo 12'!W16*'Anexo 2'!$D$10,0)</f>
        <v>0</v>
      </c>
      <c r="X16" s="33">
        <f>ROUND('Anexo 12'!X16*'Anexo 2'!$D$10,0)</f>
        <v>0</v>
      </c>
      <c r="Y16" s="33">
        <f>ROUND('Anexo 12'!Y16*'Anexo 2'!$D$10,0)</f>
        <v>0</v>
      </c>
      <c r="Z16" s="33">
        <f>ROUND('Anexo 12'!Z16*'Anexo 2'!$D$10,0)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ROUND('Anexo 12'!C17*'Anexo 2'!$D$10,0)</f>
        <v>0</v>
      </c>
      <c r="D17" s="33">
        <f>ROUND('Anexo 12'!D17*'Anexo 2'!$D$10,0)</f>
        <v>0</v>
      </c>
      <c r="E17" s="33">
        <f>ROUND('Anexo 12'!E17*'Anexo 2'!$D$10,0)</f>
        <v>0</v>
      </c>
      <c r="F17" s="33">
        <f>ROUND('Anexo 12'!F17*'Anexo 2'!$D$10,0)</f>
        <v>0</v>
      </c>
      <c r="G17" s="33">
        <f>ROUND('Anexo 12'!G17*'Anexo 2'!$D$10,0)</f>
        <v>0</v>
      </c>
      <c r="H17" s="33">
        <f>ROUND('Anexo 12'!H17*'Anexo 2'!$D$10,0)</f>
        <v>0</v>
      </c>
      <c r="I17" s="33">
        <f>ROUND('Anexo 12'!I17*'Anexo 2'!$D$10,0)</f>
        <v>0</v>
      </c>
      <c r="J17" s="33">
        <f>ROUND('Anexo 12'!J17*'Anexo 2'!$D$10,0)</f>
        <v>0</v>
      </c>
      <c r="K17" s="33">
        <f>ROUND('Anexo 12'!K17*'Anexo 2'!$D$10,0)</f>
        <v>0</v>
      </c>
      <c r="L17" s="33">
        <f>ROUND('Anexo 12'!L17*'Anexo 2'!$D$10,0)</f>
        <v>0</v>
      </c>
      <c r="M17" s="33">
        <f>ROUND('Anexo 12'!M17*'Anexo 2'!$D$10,0)</f>
        <v>0</v>
      </c>
      <c r="N17" s="33">
        <f>ROUND('Anexo 12'!N17*'Anexo 2'!$D$10,0)</f>
        <v>0</v>
      </c>
      <c r="O17" s="33">
        <f>ROUND('Anexo 12'!O17*'Anexo 2'!$D$10,0)</f>
        <v>0</v>
      </c>
      <c r="P17" s="33">
        <f>ROUND('Anexo 12'!P17*'Anexo 2'!$D$10,0)</f>
        <v>0</v>
      </c>
      <c r="Q17" s="33">
        <f>ROUND('Anexo 12'!Q17*'Anexo 2'!$D$10,0)</f>
        <v>0</v>
      </c>
      <c r="R17" s="33">
        <f>ROUND('Anexo 12'!R17*'Anexo 2'!$D$10,0)</f>
        <v>0</v>
      </c>
      <c r="S17" s="33">
        <f>ROUND('Anexo 12'!S17*'Anexo 2'!$D$10,0)</f>
        <v>0</v>
      </c>
      <c r="T17" s="33">
        <f>ROUND('Anexo 12'!T17*'Anexo 2'!$D$10,0)</f>
        <v>0</v>
      </c>
      <c r="U17" s="33">
        <f>ROUND('Anexo 12'!U17*'Anexo 2'!$D$10,0)</f>
        <v>0</v>
      </c>
      <c r="V17" s="33">
        <f>ROUND('Anexo 12'!V17*'Anexo 2'!$D$10,0)</f>
        <v>0</v>
      </c>
      <c r="W17" s="33">
        <f>ROUND('Anexo 12'!W17*'Anexo 2'!$D$10,0)</f>
        <v>0</v>
      </c>
      <c r="X17" s="33">
        <f>ROUND('Anexo 12'!X17*'Anexo 2'!$D$10,0)</f>
        <v>0</v>
      </c>
      <c r="Y17" s="33">
        <f>ROUND('Anexo 12'!Y17*'Anexo 2'!$D$10,0)</f>
        <v>0</v>
      </c>
      <c r="Z17" s="33">
        <f>ROUND('Anexo 12'!Z17*'Anexo 2'!$D$10,0)</f>
        <v>0</v>
      </c>
      <c r="AA17" s="41">
        <f t="shared" si="0"/>
        <v>0</v>
      </c>
      <c r="AB17" s="23">
        <v>4</v>
      </c>
      <c r="AC17" s="102"/>
      <c r="AD17" s="48"/>
    </row>
    <row r="18" spans="1:30" ht="15.75" thickBot="1" x14ac:dyDescent="0.3">
      <c r="A18" s="99">
        <v>46508</v>
      </c>
      <c r="B18" s="18" t="s">
        <v>5</v>
      </c>
      <c r="C18" s="33">
        <f>ROUND('Anexo 12'!C18*'Anexo 2'!$D$10,0)</f>
        <v>0</v>
      </c>
      <c r="D18" s="33">
        <f>ROUND('Anexo 12'!D18*'Anexo 2'!$D$10,0)</f>
        <v>0</v>
      </c>
      <c r="E18" s="33">
        <f>ROUND('Anexo 12'!E18*'Anexo 2'!$D$10,0)</f>
        <v>0</v>
      </c>
      <c r="F18" s="33">
        <f>ROUND('Anexo 12'!F18*'Anexo 2'!$D$10,0)</f>
        <v>0</v>
      </c>
      <c r="G18" s="33">
        <f>ROUND('Anexo 12'!G18*'Anexo 2'!$D$10,0)</f>
        <v>0</v>
      </c>
      <c r="H18" s="33">
        <f>ROUND('Anexo 12'!H18*'Anexo 2'!$D$10,0)</f>
        <v>0</v>
      </c>
      <c r="I18" s="33">
        <f>ROUND('Anexo 12'!I18*'Anexo 2'!$D$10,0)</f>
        <v>0</v>
      </c>
      <c r="J18" s="33">
        <f>ROUND('Anexo 12'!J18*'Anexo 2'!$D$10,0)</f>
        <v>0</v>
      </c>
      <c r="K18" s="33">
        <f>ROUND('Anexo 12'!K18*'Anexo 2'!$D$10,0)</f>
        <v>0</v>
      </c>
      <c r="L18" s="33">
        <f>ROUND('Anexo 12'!L18*'Anexo 2'!$D$10,0)</f>
        <v>0</v>
      </c>
      <c r="M18" s="33">
        <f>ROUND('Anexo 12'!M18*'Anexo 2'!$D$10,0)</f>
        <v>0</v>
      </c>
      <c r="N18" s="33">
        <f>ROUND('Anexo 12'!N18*'Anexo 2'!$D$10,0)</f>
        <v>0</v>
      </c>
      <c r="O18" s="33">
        <f>ROUND('Anexo 12'!O18*'Anexo 2'!$D$10,0)</f>
        <v>0</v>
      </c>
      <c r="P18" s="33">
        <f>ROUND('Anexo 12'!P18*'Anexo 2'!$D$10,0)</f>
        <v>0</v>
      </c>
      <c r="Q18" s="33">
        <f>ROUND('Anexo 12'!Q18*'Anexo 2'!$D$10,0)</f>
        <v>0</v>
      </c>
      <c r="R18" s="33">
        <f>ROUND('Anexo 12'!R18*'Anexo 2'!$D$10,0)</f>
        <v>0</v>
      </c>
      <c r="S18" s="33">
        <f>ROUND('Anexo 12'!S18*'Anexo 2'!$D$10,0)</f>
        <v>0</v>
      </c>
      <c r="T18" s="33">
        <f>ROUND('Anexo 12'!T18*'Anexo 2'!$D$10,0)</f>
        <v>0</v>
      </c>
      <c r="U18" s="33">
        <f>ROUND('Anexo 12'!U18*'Anexo 2'!$D$10,0)</f>
        <v>0</v>
      </c>
      <c r="V18" s="33">
        <f>ROUND('Anexo 12'!V18*'Anexo 2'!$D$10,0)</f>
        <v>0</v>
      </c>
      <c r="W18" s="33">
        <f>ROUND('Anexo 12'!W18*'Anexo 2'!$D$10,0)</f>
        <v>0</v>
      </c>
      <c r="X18" s="33">
        <f>ROUND('Anexo 12'!X18*'Anexo 2'!$D$10,0)</f>
        <v>0</v>
      </c>
      <c r="Y18" s="33">
        <f>ROUND('Anexo 12'!Y18*'Anexo 2'!$D$10,0)</f>
        <v>0</v>
      </c>
      <c r="Z18" s="33">
        <f>ROUND('Anexo 12'!Z18*'Anexo 2'!$D$10,0)</f>
        <v>0</v>
      </c>
      <c r="AA18" s="35">
        <f t="shared" si="0"/>
        <v>0</v>
      </c>
      <c r="AB18" s="19">
        <v>19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ROUND('Anexo 12'!C19*'Anexo 2'!$D$10,0)</f>
        <v>0</v>
      </c>
      <c r="D19" s="33">
        <f>ROUND('Anexo 12'!D19*'Anexo 2'!$D$10,0)</f>
        <v>0</v>
      </c>
      <c r="E19" s="33">
        <f>ROUND('Anexo 12'!E19*'Anexo 2'!$D$10,0)</f>
        <v>0</v>
      </c>
      <c r="F19" s="33">
        <f>ROUND('Anexo 12'!F19*'Anexo 2'!$D$10,0)</f>
        <v>0</v>
      </c>
      <c r="G19" s="33">
        <f>ROUND('Anexo 12'!G19*'Anexo 2'!$D$10,0)</f>
        <v>0</v>
      </c>
      <c r="H19" s="33">
        <f>ROUND('Anexo 12'!H19*'Anexo 2'!$D$10,0)</f>
        <v>0</v>
      </c>
      <c r="I19" s="33">
        <f>ROUND('Anexo 12'!I19*'Anexo 2'!$D$10,0)</f>
        <v>0</v>
      </c>
      <c r="J19" s="33">
        <f>ROUND('Anexo 12'!J19*'Anexo 2'!$D$10,0)</f>
        <v>0</v>
      </c>
      <c r="K19" s="33">
        <f>ROUND('Anexo 12'!K19*'Anexo 2'!$D$10,0)</f>
        <v>0</v>
      </c>
      <c r="L19" s="33">
        <f>ROUND('Anexo 12'!L19*'Anexo 2'!$D$10,0)</f>
        <v>0</v>
      </c>
      <c r="M19" s="33">
        <f>ROUND('Anexo 12'!M19*'Anexo 2'!$D$10,0)</f>
        <v>0</v>
      </c>
      <c r="N19" s="33">
        <f>ROUND('Anexo 12'!N19*'Anexo 2'!$D$10,0)</f>
        <v>0</v>
      </c>
      <c r="O19" s="33">
        <f>ROUND('Anexo 12'!O19*'Anexo 2'!$D$10,0)</f>
        <v>0</v>
      </c>
      <c r="P19" s="33">
        <f>ROUND('Anexo 12'!P19*'Anexo 2'!$D$10,0)</f>
        <v>0</v>
      </c>
      <c r="Q19" s="33">
        <f>ROUND('Anexo 12'!Q19*'Anexo 2'!$D$10,0)</f>
        <v>0</v>
      </c>
      <c r="R19" s="33">
        <f>ROUND('Anexo 12'!R19*'Anexo 2'!$D$10,0)</f>
        <v>0</v>
      </c>
      <c r="S19" s="33">
        <f>ROUND('Anexo 12'!S19*'Anexo 2'!$D$10,0)</f>
        <v>0</v>
      </c>
      <c r="T19" s="33">
        <f>ROUND('Anexo 12'!T19*'Anexo 2'!$D$10,0)</f>
        <v>0</v>
      </c>
      <c r="U19" s="33">
        <f>ROUND('Anexo 12'!U19*'Anexo 2'!$D$10,0)</f>
        <v>0</v>
      </c>
      <c r="V19" s="33">
        <f>ROUND('Anexo 12'!V19*'Anexo 2'!$D$10,0)</f>
        <v>0</v>
      </c>
      <c r="W19" s="33">
        <f>ROUND('Anexo 12'!W19*'Anexo 2'!$D$10,0)</f>
        <v>0</v>
      </c>
      <c r="X19" s="33">
        <f>ROUND('Anexo 12'!X19*'Anexo 2'!$D$10,0)</f>
        <v>0</v>
      </c>
      <c r="Y19" s="33">
        <f>ROUND('Anexo 12'!Y19*'Anexo 2'!$D$10,0)</f>
        <v>0</v>
      </c>
      <c r="Z19" s="33">
        <f>ROUND('Anexo 12'!Z19*'Anexo 2'!$D$10,0)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ROUND('Anexo 12'!C20*'Anexo 2'!$D$10,0)</f>
        <v>0</v>
      </c>
      <c r="D20" s="33">
        <f>ROUND('Anexo 12'!D20*'Anexo 2'!$D$10,0)</f>
        <v>0</v>
      </c>
      <c r="E20" s="33">
        <f>ROUND('Anexo 12'!E20*'Anexo 2'!$D$10,0)</f>
        <v>0</v>
      </c>
      <c r="F20" s="33">
        <f>ROUND('Anexo 12'!F20*'Anexo 2'!$D$10,0)</f>
        <v>0</v>
      </c>
      <c r="G20" s="33">
        <f>ROUND('Anexo 12'!G20*'Anexo 2'!$D$10,0)</f>
        <v>0</v>
      </c>
      <c r="H20" s="33">
        <f>ROUND('Anexo 12'!H20*'Anexo 2'!$D$10,0)</f>
        <v>0</v>
      </c>
      <c r="I20" s="33">
        <f>ROUND('Anexo 12'!I20*'Anexo 2'!$D$10,0)</f>
        <v>0</v>
      </c>
      <c r="J20" s="33">
        <f>ROUND('Anexo 12'!J20*'Anexo 2'!$D$10,0)</f>
        <v>0</v>
      </c>
      <c r="K20" s="33">
        <f>ROUND('Anexo 12'!K20*'Anexo 2'!$D$10,0)</f>
        <v>0</v>
      </c>
      <c r="L20" s="33">
        <f>ROUND('Anexo 12'!L20*'Anexo 2'!$D$10,0)</f>
        <v>0</v>
      </c>
      <c r="M20" s="33">
        <f>ROUND('Anexo 12'!M20*'Anexo 2'!$D$10,0)</f>
        <v>0</v>
      </c>
      <c r="N20" s="33">
        <f>ROUND('Anexo 12'!N20*'Anexo 2'!$D$10,0)</f>
        <v>0</v>
      </c>
      <c r="O20" s="33">
        <f>ROUND('Anexo 12'!O20*'Anexo 2'!$D$10,0)</f>
        <v>0</v>
      </c>
      <c r="P20" s="33">
        <f>ROUND('Anexo 12'!P20*'Anexo 2'!$D$10,0)</f>
        <v>0</v>
      </c>
      <c r="Q20" s="33">
        <f>ROUND('Anexo 12'!Q20*'Anexo 2'!$D$10,0)</f>
        <v>0</v>
      </c>
      <c r="R20" s="33">
        <f>ROUND('Anexo 12'!R20*'Anexo 2'!$D$10,0)</f>
        <v>0</v>
      </c>
      <c r="S20" s="33">
        <f>ROUND('Anexo 12'!S20*'Anexo 2'!$D$10,0)</f>
        <v>0</v>
      </c>
      <c r="T20" s="33">
        <f>ROUND('Anexo 12'!T20*'Anexo 2'!$D$10,0)</f>
        <v>0</v>
      </c>
      <c r="U20" s="33">
        <f>ROUND('Anexo 12'!U20*'Anexo 2'!$D$10,0)</f>
        <v>0</v>
      </c>
      <c r="V20" s="33">
        <f>ROUND('Anexo 12'!V20*'Anexo 2'!$D$10,0)</f>
        <v>0</v>
      </c>
      <c r="W20" s="33">
        <f>ROUND('Anexo 12'!W20*'Anexo 2'!$D$10,0)</f>
        <v>0</v>
      </c>
      <c r="X20" s="33">
        <f>ROUND('Anexo 12'!X20*'Anexo 2'!$D$10,0)</f>
        <v>0</v>
      </c>
      <c r="Y20" s="33">
        <f>ROUND('Anexo 12'!Y20*'Anexo 2'!$D$10,0)</f>
        <v>0</v>
      </c>
      <c r="Z20" s="33">
        <f>ROUND('Anexo 12'!Z20*'Anexo 2'!$D$10,0)</f>
        <v>0</v>
      </c>
      <c r="AA20" s="41">
        <f t="shared" si="0"/>
        <v>0</v>
      </c>
      <c r="AB20" s="23">
        <v>8</v>
      </c>
      <c r="AC20" s="102"/>
      <c r="AD20" s="48"/>
    </row>
    <row r="21" spans="1:30" ht="15.75" thickBot="1" x14ac:dyDescent="0.3">
      <c r="A21" s="99">
        <v>46539</v>
      </c>
      <c r="B21" s="18" t="s">
        <v>5</v>
      </c>
      <c r="C21" s="33">
        <f>ROUND('Anexo 12'!C21*'Anexo 2'!$D$10,0)</f>
        <v>0</v>
      </c>
      <c r="D21" s="33">
        <f>ROUND('Anexo 12'!D21*'Anexo 2'!$D$10,0)</f>
        <v>0</v>
      </c>
      <c r="E21" s="33">
        <f>ROUND('Anexo 12'!E21*'Anexo 2'!$D$10,0)</f>
        <v>0</v>
      </c>
      <c r="F21" s="33">
        <f>ROUND('Anexo 12'!F21*'Anexo 2'!$D$10,0)</f>
        <v>0</v>
      </c>
      <c r="G21" s="33">
        <f>ROUND('Anexo 12'!G21*'Anexo 2'!$D$10,0)</f>
        <v>0</v>
      </c>
      <c r="H21" s="33">
        <f>ROUND('Anexo 12'!H21*'Anexo 2'!$D$10,0)</f>
        <v>0</v>
      </c>
      <c r="I21" s="33">
        <f>ROUND('Anexo 12'!I21*'Anexo 2'!$D$10,0)</f>
        <v>0</v>
      </c>
      <c r="J21" s="33">
        <f>ROUND('Anexo 12'!J21*'Anexo 2'!$D$10,0)</f>
        <v>0</v>
      </c>
      <c r="K21" s="33">
        <f>ROUND('Anexo 12'!K21*'Anexo 2'!$D$10,0)</f>
        <v>0</v>
      </c>
      <c r="L21" s="33">
        <f>ROUND('Anexo 12'!L21*'Anexo 2'!$D$10,0)</f>
        <v>0</v>
      </c>
      <c r="M21" s="33">
        <f>ROUND('Anexo 12'!M21*'Anexo 2'!$D$10,0)</f>
        <v>0</v>
      </c>
      <c r="N21" s="33">
        <f>ROUND('Anexo 12'!N21*'Anexo 2'!$D$10,0)</f>
        <v>0</v>
      </c>
      <c r="O21" s="33">
        <f>ROUND('Anexo 12'!O21*'Anexo 2'!$D$10,0)</f>
        <v>0</v>
      </c>
      <c r="P21" s="33">
        <f>ROUND('Anexo 12'!P21*'Anexo 2'!$D$10,0)</f>
        <v>0</v>
      </c>
      <c r="Q21" s="33">
        <f>ROUND('Anexo 12'!Q21*'Anexo 2'!$D$10,0)</f>
        <v>0</v>
      </c>
      <c r="R21" s="33">
        <f>ROUND('Anexo 12'!R21*'Anexo 2'!$D$10,0)</f>
        <v>0</v>
      </c>
      <c r="S21" s="33">
        <f>ROUND('Anexo 12'!S21*'Anexo 2'!$D$10,0)</f>
        <v>0</v>
      </c>
      <c r="T21" s="33">
        <f>ROUND('Anexo 12'!T21*'Anexo 2'!$D$10,0)</f>
        <v>0</v>
      </c>
      <c r="U21" s="33">
        <f>ROUND('Anexo 12'!U21*'Anexo 2'!$D$10,0)</f>
        <v>0</v>
      </c>
      <c r="V21" s="33">
        <f>ROUND('Anexo 12'!V21*'Anexo 2'!$D$10,0)</f>
        <v>0</v>
      </c>
      <c r="W21" s="33">
        <f>ROUND('Anexo 12'!W21*'Anexo 2'!$D$10,0)</f>
        <v>0</v>
      </c>
      <c r="X21" s="33">
        <f>ROUND('Anexo 12'!X21*'Anexo 2'!$D$10,0)</f>
        <v>0</v>
      </c>
      <c r="Y21" s="33">
        <f>ROUND('Anexo 12'!Y21*'Anexo 2'!$D$10,0)</f>
        <v>0</v>
      </c>
      <c r="Z21" s="33">
        <f>ROUND('Anexo 12'!Z21*'Anexo 2'!$D$10,0)</f>
        <v>0</v>
      </c>
      <c r="AA21" s="35">
        <f t="shared" si="0"/>
        <v>0</v>
      </c>
      <c r="AB21" s="19">
        <v>21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ROUND('Anexo 12'!C22*'Anexo 2'!$D$10,0)</f>
        <v>0</v>
      </c>
      <c r="D22" s="33">
        <f>ROUND('Anexo 12'!D22*'Anexo 2'!$D$10,0)</f>
        <v>0</v>
      </c>
      <c r="E22" s="33">
        <f>ROUND('Anexo 12'!E22*'Anexo 2'!$D$10,0)</f>
        <v>0</v>
      </c>
      <c r="F22" s="33">
        <f>ROUND('Anexo 12'!F22*'Anexo 2'!$D$10,0)</f>
        <v>0</v>
      </c>
      <c r="G22" s="33">
        <f>ROUND('Anexo 12'!G22*'Anexo 2'!$D$10,0)</f>
        <v>0</v>
      </c>
      <c r="H22" s="33">
        <f>ROUND('Anexo 12'!H22*'Anexo 2'!$D$10,0)</f>
        <v>0</v>
      </c>
      <c r="I22" s="33">
        <f>ROUND('Anexo 12'!I22*'Anexo 2'!$D$10,0)</f>
        <v>0</v>
      </c>
      <c r="J22" s="33">
        <f>ROUND('Anexo 12'!J22*'Anexo 2'!$D$10,0)</f>
        <v>0</v>
      </c>
      <c r="K22" s="33">
        <f>ROUND('Anexo 12'!K22*'Anexo 2'!$D$10,0)</f>
        <v>0</v>
      </c>
      <c r="L22" s="33">
        <f>ROUND('Anexo 12'!L22*'Anexo 2'!$D$10,0)</f>
        <v>0</v>
      </c>
      <c r="M22" s="33">
        <f>ROUND('Anexo 12'!M22*'Anexo 2'!$D$10,0)</f>
        <v>0</v>
      </c>
      <c r="N22" s="33">
        <f>ROUND('Anexo 12'!N22*'Anexo 2'!$D$10,0)</f>
        <v>0</v>
      </c>
      <c r="O22" s="33">
        <f>ROUND('Anexo 12'!O22*'Anexo 2'!$D$10,0)</f>
        <v>0</v>
      </c>
      <c r="P22" s="33">
        <f>ROUND('Anexo 12'!P22*'Anexo 2'!$D$10,0)</f>
        <v>0</v>
      </c>
      <c r="Q22" s="33">
        <f>ROUND('Anexo 12'!Q22*'Anexo 2'!$D$10,0)</f>
        <v>0</v>
      </c>
      <c r="R22" s="33">
        <f>ROUND('Anexo 12'!R22*'Anexo 2'!$D$10,0)</f>
        <v>0</v>
      </c>
      <c r="S22" s="33">
        <f>ROUND('Anexo 12'!S22*'Anexo 2'!$D$10,0)</f>
        <v>0</v>
      </c>
      <c r="T22" s="33">
        <f>ROUND('Anexo 12'!T22*'Anexo 2'!$D$10,0)</f>
        <v>0</v>
      </c>
      <c r="U22" s="33">
        <f>ROUND('Anexo 12'!U22*'Anexo 2'!$D$10,0)</f>
        <v>0</v>
      </c>
      <c r="V22" s="33">
        <f>ROUND('Anexo 12'!V22*'Anexo 2'!$D$10,0)</f>
        <v>0</v>
      </c>
      <c r="W22" s="33">
        <f>ROUND('Anexo 12'!W22*'Anexo 2'!$D$10,0)</f>
        <v>0</v>
      </c>
      <c r="X22" s="33">
        <f>ROUND('Anexo 12'!X22*'Anexo 2'!$D$10,0)</f>
        <v>0</v>
      </c>
      <c r="Y22" s="33">
        <f>ROUND('Anexo 12'!Y22*'Anexo 2'!$D$10,0)</f>
        <v>0</v>
      </c>
      <c r="Z22" s="33">
        <f>ROUND('Anexo 12'!Z22*'Anexo 2'!$D$10,0)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ROUND('Anexo 12'!C23*'Anexo 2'!$D$10,0)</f>
        <v>0</v>
      </c>
      <c r="D23" s="33">
        <f>ROUND('Anexo 12'!D23*'Anexo 2'!$D$10,0)</f>
        <v>0</v>
      </c>
      <c r="E23" s="33">
        <f>ROUND('Anexo 12'!E23*'Anexo 2'!$D$10,0)</f>
        <v>0</v>
      </c>
      <c r="F23" s="33">
        <f>ROUND('Anexo 12'!F23*'Anexo 2'!$D$10,0)</f>
        <v>0</v>
      </c>
      <c r="G23" s="33">
        <f>ROUND('Anexo 12'!G23*'Anexo 2'!$D$10,0)</f>
        <v>0</v>
      </c>
      <c r="H23" s="33">
        <f>ROUND('Anexo 12'!H23*'Anexo 2'!$D$10,0)</f>
        <v>0</v>
      </c>
      <c r="I23" s="33">
        <f>ROUND('Anexo 12'!I23*'Anexo 2'!$D$10,0)</f>
        <v>0</v>
      </c>
      <c r="J23" s="33">
        <f>ROUND('Anexo 12'!J23*'Anexo 2'!$D$10,0)</f>
        <v>0</v>
      </c>
      <c r="K23" s="33">
        <f>ROUND('Anexo 12'!K23*'Anexo 2'!$D$10,0)</f>
        <v>0</v>
      </c>
      <c r="L23" s="33">
        <f>ROUND('Anexo 12'!L23*'Anexo 2'!$D$10,0)</f>
        <v>0</v>
      </c>
      <c r="M23" s="33">
        <f>ROUND('Anexo 12'!M23*'Anexo 2'!$D$10,0)</f>
        <v>0</v>
      </c>
      <c r="N23" s="33">
        <f>ROUND('Anexo 12'!N23*'Anexo 2'!$D$10,0)</f>
        <v>0</v>
      </c>
      <c r="O23" s="33">
        <f>ROUND('Anexo 12'!O23*'Anexo 2'!$D$10,0)</f>
        <v>0</v>
      </c>
      <c r="P23" s="33">
        <f>ROUND('Anexo 12'!P23*'Anexo 2'!$D$10,0)</f>
        <v>0</v>
      </c>
      <c r="Q23" s="33">
        <f>ROUND('Anexo 12'!Q23*'Anexo 2'!$D$10,0)</f>
        <v>0</v>
      </c>
      <c r="R23" s="33">
        <f>ROUND('Anexo 12'!R23*'Anexo 2'!$D$10,0)</f>
        <v>0</v>
      </c>
      <c r="S23" s="33">
        <f>ROUND('Anexo 12'!S23*'Anexo 2'!$D$10,0)</f>
        <v>0</v>
      </c>
      <c r="T23" s="33">
        <f>ROUND('Anexo 12'!T23*'Anexo 2'!$D$10,0)</f>
        <v>0</v>
      </c>
      <c r="U23" s="33">
        <f>ROUND('Anexo 12'!U23*'Anexo 2'!$D$10,0)</f>
        <v>0</v>
      </c>
      <c r="V23" s="33">
        <f>ROUND('Anexo 12'!V23*'Anexo 2'!$D$10,0)</f>
        <v>0</v>
      </c>
      <c r="W23" s="33">
        <f>ROUND('Anexo 12'!W23*'Anexo 2'!$D$10,0)</f>
        <v>0</v>
      </c>
      <c r="X23" s="33">
        <f>ROUND('Anexo 12'!X23*'Anexo 2'!$D$10,0)</f>
        <v>0</v>
      </c>
      <c r="Y23" s="33">
        <f>ROUND('Anexo 12'!Y23*'Anexo 2'!$D$10,0)</f>
        <v>0</v>
      </c>
      <c r="Z23" s="33">
        <f>ROUND('Anexo 12'!Z23*'Anexo 2'!$D$10,0)</f>
        <v>0</v>
      </c>
      <c r="AA23" s="41">
        <f t="shared" si="0"/>
        <v>0</v>
      </c>
      <c r="AB23" s="23">
        <v>5</v>
      </c>
      <c r="AC23" s="102"/>
      <c r="AD23" s="48"/>
    </row>
    <row r="24" spans="1:30" ht="15.75" thickBot="1" x14ac:dyDescent="0.3">
      <c r="A24" s="99">
        <v>46569</v>
      </c>
      <c r="B24" s="18" t="s">
        <v>5</v>
      </c>
      <c r="C24" s="33">
        <f>ROUND('Anexo 12'!C24*'Anexo 2'!$D$10,0)</f>
        <v>0</v>
      </c>
      <c r="D24" s="33">
        <f>ROUND('Anexo 12'!D24*'Anexo 2'!$D$10,0)</f>
        <v>0</v>
      </c>
      <c r="E24" s="33">
        <f>ROUND('Anexo 12'!E24*'Anexo 2'!$D$10,0)</f>
        <v>0</v>
      </c>
      <c r="F24" s="33">
        <f>ROUND('Anexo 12'!F24*'Anexo 2'!$D$10,0)</f>
        <v>0</v>
      </c>
      <c r="G24" s="33">
        <f>ROUND('Anexo 12'!G24*'Anexo 2'!$D$10,0)</f>
        <v>0</v>
      </c>
      <c r="H24" s="33">
        <f>ROUND('Anexo 12'!H24*'Anexo 2'!$D$10,0)</f>
        <v>0</v>
      </c>
      <c r="I24" s="33">
        <f>ROUND('Anexo 12'!I24*'Anexo 2'!$D$10,0)</f>
        <v>0</v>
      </c>
      <c r="J24" s="33">
        <f>ROUND('Anexo 12'!J24*'Anexo 2'!$D$10,0)</f>
        <v>0</v>
      </c>
      <c r="K24" s="33">
        <f>ROUND('Anexo 12'!K24*'Anexo 2'!$D$10,0)</f>
        <v>0</v>
      </c>
      <c r="L24" s="33">
        <f>ROUND('Anexo 12'!L24*'Anexo 2'!$D$10,0)</f>
        <v>0</v>
      </c>
      <c r="M24" s="33">
        <f>ROUND('Anexo 12'!M24*'Anexo 2'!$D$10,0)</f>
        <v>0</v>
      </c>
      <c r="N24" s="33">
        <f>ROUND('Anexo 12'!N24*'Anexo 2'!$D$10,0)</f>
        <v>0</v>
      </c>
      <c r="O24" s="33">
        <f>ROUND('Anexo 12'!O24*'Anexo 2'!$D$10,0)</f>
        <v>0</v>
      </c>
      <c r="P24" s="33">
        <f>ROUND('Anexo 12'!P24*'Anexo 2'!$D$10,0)</f>
        <v>0</v>
      </c>
      <c r="Q24" s="33">
        <f>ROUND('Anexo 12'!Q24*'Anexo 2'!$D$10,0)</f>
        <v>0</v>
      </c>
      <c r="R24" s="33">
        <f>ROUND('Anexo 12'!R24*'Anexo 2'!$D$10,0)</f>
        <v>0</v>
      </c>
      <c r="S24" s="33">
        <f>ROUND('Anexo 12'!S24*'Anexo 2'!$D$10,0)</f>
        <v>0</v>
      </c>
      <c r="T24" s="33">
        <f>ROUND('Anexo 12'!T24*'Anexo 2'!$D$10,0)</f>
        <v>0</v>
      </c>
      <c r="U24" s="33">
        <f>ROUND('Anexo 12'!U24*'Anexo 2'!$D$10,0)</f>
        <v>0</v>
      </c>
      <c r="V24" s="33">
        <f>ROUND('Anexo 12'!V24*'Anexo 2'!$D$10,0)</f>
        <v>0</v>
      </c>
      <c r="W24" s="33">
        <f>ROUND('Anexo 12'!W24*'Anexo 2'!$D$10,0)</f>
        <v>0</v>
      </c>
      <c r="X24" s="33">
        <f>ROUND('Anexo 12'!X24*'Anexo 2'!$D$10,0)</f>
        <v>0</v>
      </c>
      <c r="Y24" s="33">
        <f>ROUND('Anexo 12'!Y24*'Anexo 2'!$D$10,0)</f>
        <v>0</v>
      </c>
      <c r="Z24" s="33">
        <f>ROUND('Anexo 12'!Z24*'Anexo 2'!$D$10,0)</f>
        <v>0</v>
      </c>
      <c r="AA24" s="35">
        <f t="shared" si="0"/>
        <v>0</v>
      </c>
      <c r="AB24" s="19">
        <v>20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ROUND('Anexo 12'!C25*'Anexo 2'!$D$10,0)</f>
        <v>0</v>
      </c>
      <c r="D25" s="33">
        <f>ROUND('Anexo 12'!D25*'Anexo 2'!$D$10,0)</f>
        <v>0</v>
      </c>
      <c r="E25" s="33">
        <f>ROUND('Anexo 12'!E25*'Anexo 2'!$D$10,0)</f>
        <v>0</v>
      </c>
      <c r="F25" s="33">
        <f>ROUND('Anexo 12'!F25*'Anexo 2'!$D$10,0)</f>
        <v>0</v>
      </c>
      <c r="G25" s="33">
        <f>ROUND('Anexo 12'!G25*'Anexo 2'!$D$10,0)</f>
        <v>0</v>
      </c>
      <c r="H25" s="33">
        <f>ROUND('Anexo 12'!H25*'Anexo 2'!$D$10,0)</f>
        <v>0</v>
      </c>
      <c r="I25" s="33">
        <f>ROUND('Anexo 12'!I25*'Anexo 2'!$D$10,0)</f>
        <v>0</v>
      </c>
      <c r="J25" s="33">
        <f>ROUND('Anexo 12'!J25*'Anexo 2'!$D$10,0)</f>
        <v>0</v>
      </c>
      <c r="K25" s="33">
        <f>ROUND('Anexo 12'!K25*'Anexo 2'!$D$10,0)</f>
        <v>0</v>
      </c>
      <c r="L25" s="33">
        <f>ROUND('Anexo 12'!L25*'Anexo 2'!$D$10,0)</f>
        <v>0</v>
      </c>
      <c r="M25" s="33">
        <f>ROUND('Anexo 12'!M25*'Anexo 2'!$D$10,0)</f>
        <v>0</v>
      </c>
      <c r="N25" s="33">
        <f>ROUND('Anexo 12'!N25*'Anexo 2'!$D$10,0)</f>
        <v>0</v>
      </c>
      <c r="O25" s="33">
        <f>ROUND('Anexo 12'!O25*'Anexo 2'!$D$10,0)</f>
        <v>0</v>
      </c>
      <c r="P25" s="33">
        <f>ROUND('Anexo 12'!P25*'Anexo 2'!$D$10,0)</f>
        <v>0</v>
      </c>
      <c r="Q25" s="33">
        <f>ROUND('Anexo 12'!Q25*'Anexo 2'!$D$10,0)</f>
        <v>0</v>
      </c>
      <c r="R25" s="33">
        <f>ROUND('Anexo 12'!R25*'Anexo 2'!$D$10,0)</f>
        <v>0</v>
      </c>
      <c r="S25" s="33">
        <f>ROUND('Anexo 12'!S25*'Anexo 2'!$D$10,0)</f>
        <v>0</v>
      </c>
      <c r="T25" s="33">
        <f>ROUND('Anexo 12'!T25*'Anexo 2'!$D$10,0)</f>
        <v>0</v>
      </c>
      <c r="U25" s="33">
        <f>ROUND('Anexo 12'!U25*'Anexo 2'!$D$10,0)</f>
        <v>0</v>
      </c>
      <c r="V25" s="33">
        <f>ROUND('Anexo 12'!V25*'Anexo 2'!$D$10,0)</f>
        <v>0</v>
      </c>
      <c r="W25" s="33">
        <f>ROUND('Anexo 12'!W25*'Anexo 2'!$D$10,0)</f>
        <v>0</v>
      </c>
      <c r="X25" s="33">
        <f>ROUND('Anexo 12'!X25*'Anexo 2'!$D$10,0)</f>
        <v>0</v>
      </c>
      <c r="Y25" s="33">
        <f>ROUND('Anexo 12'!Y25*'Anexo 2'!$D$10,0)</f>
        <v>0</v>
      </c>
      <c r="Z25" s="33">
        <f>ROUND('Anexo 12'!Z25*'Anexo 2'!$D$10,0)</f>
        <v>0</v>
      </c>
      <c r="AA25" s="38">
        <f t="shared" si="0"/>
        <v>0</v>
      </c>
      <c r="AB25" s="21">
        <v>5</v>
      </c>
      <c r="AC25" s="101"/>
      <c r="AD25" s="47"/>
    </row>
    <row r="26" spans="1:30" ht="15.75" thickBot="1" x14ac:dyDescent="0.3">
      <c r="A26" s="99"/>
      <c r="B26" s="22" t="s">
        <v>3</v>
      </c>
      <c r="C26" s="33">
        <f>ROUND('Anexo 12'!C26*'Anexo 2'!$D$10,0)</f>
        <v>0</v>
      </c>
      <c r="D26" s="33">
        <f>ROUND('Anexo 12'!D26*'Anexo 2'!$D$10,0)</f>
        <v>0</v>
      </c>
      <c r="E26" s="33">
        <f>ROUND('Anexo 12'!E26*'Anexo 2'!$D$10,0)</f>
        <v>0</v>
      </c>
      <c r="F26" s="33">
        <f>ROUND('Anexo 12'!F26*'Anexo 2'!$D$10,0)</f>
        <v>0</v>
      </c>
      <c r="G26" s="33">
        <f>ROUND('Anexo 12'!G26*'Anexo 2'!$D$10,0)</f>
        <v>0</v>
      </c>
      <c r="H26" s="33">
        <f>ROUND('Anexo 12'!H26*'Anexo 2'!$D$10,0)</f>
        <v>0</v>
      </c>
      <c r="I26" s="33">
        <f>ROUND('Anexo 12'!I26*'Anexo 2'!$D$10,0)</f>
        <v>0</v>
      </c>
      <c r="J26" s="33">
        <f>ROUND('Anexo 12'!J26*'Anexo 2'!$D$10,0)</f>
        <v>0</v>
      </c>
      <c r="K26" s="33">
        <f>ROUND('Anexo 12'!K26*'Anexo 2'!$D$10,0)</f>
        <v>0</v>
      </c>
      <c r="L26" s="33">
        <f>ROUND('Anexo 12'!L26*'Anexo 2'!$D$10,0)</f>
        <v>0</v>
      </c>
      <c r="M26" s="33">
        <f>ROUND('Anexo 12'!M26*'Anexo 2'!$D$10,0)</f>
        <v>0</v>
      </c>
      <c r="N26" s="33">
        <f>ROUND('Anexo 12'!N26*'Anexo 2'!$D$10,0)</f>
        <v>0</v>
      </c>
      <c r="O26" s="33">
        <f>ROUND('Anexo 12'!O26*'Anexo 2'!$D$10,0)</f>
        <v>0</v>
      </c>
      <c r="P26" s="33">
        <f>ROUND('Anexo 12'!P26*'Anexo 2'!$D$10,0)</f>
        <v>0</v>
      </c>
      <c r="Q26" s="33">
        <f>ROUND('Anexo 12'!Q26*'Anexo 2'!$D$10,0)</f>
        <v>0</v>
      </c>
      <c r="R26" s="33">
        <f>ROUND('Anexo 12'!R26*'Anexo 2'!$D$10,0)</f>
        <v>0</v>
      </c>
      <c r="S26" s="33">
        <f>ROUND('Anexo 12'!S26*'Anexo 2'!$D$10,0)</f>
        <v>0</v>
      </c>
      <c r="T26" s="33">
        <f>ROUND('Anexo 12'!T26*'Anexo 2'!$D$10,0)</f>
        <v>0</v>
      </c>
      <c r="U26" s="33">
        <f>ROUND('Anexo 12'!U26*'Anexo 2'!$D$10,0)</f>
        <v>0</v>
      </c>
      <c r="V26" s="33">
        <f>ROUND('Anexo 12'!V26*'Anexo 2'!$D$10,0)</f>
        <v>0</v>
      </c>
      <c r="W26" s="33">
        <f>ROUND('Anexo 12'!W26*'Anexo 2'!$D$10,0)</f>
        <v>0</v>
      </c>
      <c r="X26" s="33">
        <f>ROUND('Anexo 12'!X26*'Anexo 2'!$D$10,0)</f>
        <v>0</v>
      </c>
      <c r="Y26" s="33">
        <f>ROUND('Anexo 12'!Y26*'Anexo 2'!$D$10,0)</f>
        <v>0</v>
      </c>
      <c r="Z26" s="33">
        <f>ROUND('Anexo 12'!Z26*'Anexo 2'!$D$10,0)</f>
        <v>0</v>
      </c>
      <c r="AA26" s="41">
        <f t="shared" si="0"/>
        <v>0</v>
      </c>
      <c r="AB26" s="23">
        <v>6</v>
      </c>
      <c r="AC26" s="102"/>
      <c r="AD26" s="48"/>
    </row>
    <row r="27" spans="1:30" ht="15.75" thickBot="1" x14ac:dyDescent="0.3">
      <c r="A27" s="99">
        <v>46600</v>
      </c>
      <c r="B27" s="18" t="s">
        <v>5</v>
      </c>
      <c r="C27" s="33">
        <f>ROUND('Anexo 12'!C27*'Anexo 2'!$D$10,0)</f>
        <v>0</v>
      </c>
      <c r="D27" s="33">
        <f>ROUND('Anexo 12'!D27*'Anexo 2'!$D$10,0)</f>
        <v>0</v>
      </c>
      <c r="E27" s="33">
        <f>ROUND('Anexo 12'!E27*'Anexo 2'!$D$10,0)</f>
        <v>0</v>
      </c>
      <c r="F27" s="33">
        <f>ROUND('Anexo 12'!F27*'Anexo 2'!$D$10,0)</f>
        <v>0</v>
      </c>
      <c r="G27" s="33">
        <f>ROUND('Anexo 12'!G27*'Anexo 2'!$D$10,0)</f>
        <v>0</v>
      </c>
      <c r="H27" s="33">
        <f>ROUND('Anexo 12'!H27*'Anexo 2'!$D$10,0)</f>
        <v>0</v>
      </c>
      <c r="I27" s="33">
        <f>ROUND('Anexo 12'!I27*'Anexo 2'!$D$10,0)</f>
        <v>0</v>
      </c>
      <c r="J27" s="33">
        <f>ROUND('Anexo 12'!J27*'Anexo 2'!$D$10,0)</f>
        <v>0</v>
      </c>
      <c r="K27" s="33">
        <f>ROUND('Anexo 12'!K27*'Anexo 2'!$D$10,0)</f>
        <v>0</v>
      </c>
      <c r="L27" s="33">
        <f>ROUND('Anexo 12'!L27*'Anexo 2'!$D$10,0)</f>
        <v>0</v>
      </c>
      <c r="M27" s="33">
        <f>ROUND('Anexo 12'!M27*'Anexo 2'!$D$10,0)</f>
        <v>0</v>
      </c>
      <c r="N27" s="33">
        <f>ROUND('Anexo 12'!N27*'Anexo 2'!$D$10,0)</f>
        <v>0</v>
      </c>
      <c r="O27" s="33">
        <f>ROUND('Anexo 12'!O27*'Anexo 2'!$D$10,0)</f>
        <v>0</v>
      </c>
      <c r="P27" s="33">
        <f>ROUND('Anexo 12'!P27*'Anexo 2'!$D$10,0)</f>
        <v>0</v>
      </c>
      <c r="Q27" s="33">
        <f>ROUND('Anexo 12'!Q27*'Anexo 2'!$D$10,0)</f>
        <v>0</v>
      </c>
      <c r="R27" s="33">
        <f>ROUND('Anexo 12'!R27*'Anexo 2'!$D$10,0)</f>
        <v>0</v>
      </c>
      <c r="S27" s="33">
        <f>ROUND('Anexo 12'!S27*'Anexo 2'!$D$10,0)</f>
        <v>0</v>
      </c>
      <c r="T27" s="33">
        <f>ROUND('Anexo 12'!T27*'Anexo 2'!$D$10,0)</f>
        <v>0</v>
      </c>
      <c r="U27" s="33">
        <f>ROUND('Anexo 12'!U27*'Anexo 2'!$D$10,0)</f>
        <v>0</v>
      </c>
      <c r="V27" s="33">
        <f>ROUND('Anexo 12'!V27*'Anexo 2'!$D$10,0)</f>
        <v>0</v>
      </c>
      <c r="W27" s="33">
        <f>ROUND('Anexo 12'!W27*'Anexo 2'!$D$10,0)</f>
        <v>0</v>
      </c>
      <c r="X27" s="33">
        <f>ROUND('Anexo 12'!X27*'Anexo 2'!$D$10,0)</f>
        <v>0</v>
      </c>
      <c r="Y27" s="33">
        <f>ROUND('Anexo 12'!Y27*'Anexo 2'!$D$10,0)</f>
        <v>0</v>
      </c>
      <c r="Z27" s="33">
        <f>ROUND('Anexo 12'!Z27*'Anexo 2'!$D$10,0)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ROUND('Anexo 12'!C28*'Anexo 2'!$D$10,0)</f>
        <v>0</v>
      </c>
      <c r="D28" s="33">
        <f>ROUND('Anexo 12'!D28*'Anexo 2'!$D$10,0)</f>
        <v>0</v>
      </c>
      <c r="E28" s="33">
        <f>ROUND('Anexo 12'!E28*'Anexo 2'!$D$10,0)</f>
        <v>0</v>
      </c>
      <c r="F28" s="33">
        <f>ROUND('Anexo 12'!F28*'Anexo 2'!$D$10,0)</f>
        <v>0</v>
      </c>
      <c r="G28" s="33">
        <f>ROUND('Anexo 12'!G28*'Anexo 2'!$D$10,0)</f>
        <v>0</v>
      </c>
      <c r="H28" s="33">
        <f>ROUND('Anexo 12'!H28*'Anexo 2'!$D$10,0)</f>
        <v>0</v>
      </c>
      <c r="I28" s="33">
        <f>ROUND('Anexo 12'!I28*'Anexo 2'!$D$10,0)</f>
        <v>0</v>
      </c>
      <c r="J28" s="33">
        <f>ROUND('Anexo 12'!J28*'Anexo 2'!$D$10,0)</f>
        <v>0</v>
      </c>
      <c r="K28" s="33">
        <f>ROUND('Anexo 12'!K28*'Anexo 2'!$D$10,0)</f>
        <v>0</v>
      </c>
      <c r="L28" s="33">
        <f>ROUND('Anexo 12'!L28*'Anexo 2'!$D$10,0)</f>
        <v>0</v>
      </c>
      <c r="M28" s="33">
        <f>ROUND('Anexo 12'!M28*'Anexo 2'!$D$10,0)</f>
        <v>0</v>
      </c>
      <c r="N28" s="33">
        <f>ROUND('Anexo 12'!N28*'Anexo 2'!$D$10,0)</f>
        <v>0</v>
      </c>
      <c r="O28" s="33">
        <f>ROUND('Anexo 12'!O28*'Anexo 2'!$D$10,0)</f>
        <v>0</v>
      </c>
      <c r="P28" s="33">
        <f>ROUND('Anexo 12'!P28*'Anexo 2'!$D$10,0)</f>
        <v>0</v>
      </c>
      <c r="Q28" s="33">
        <f>ROUND('Anexo 12'!Q28*'Anexo 2'!$D$10,0)</f>
        <v>0</v>
      </c>
      <c r="R28" s="33">
        <f>ROUND('Anexo 12'!R28*'Anexo 2'!$D$10,0)</f>
        <v>0</v>
      </c>
      <c r="S28" s="33">
        <f>ROUND('Anexo 12'!S28*'Anexo 2'!$D$10,0)</f>
        <v>0</v>
      </c>
      <c r="T28" s="33">
        <f>ROUND('Anexo 12'!T28*'Anexo 2'!$D$10,0)</f>
        <v>0</v>
      </c>
      <c r="U28" s="33">
        <f>ROUND('Anexo 12'!U28*'Anexo 2'!$D$10,0)</f>
        <v>0</v>
      </c>
      <c r="V28" s="33">
        <f>ROUND('Anexo 12'!V28*'Anexo 2'!$D$10,0)</f>
        <v>0</v>
      </c>
      <c r="W28" s="33">
        <f>ROUND('Anexo 12'!W28*'Anexo 2'!$D$10,0)</f>
        <v>0</v>
      </c>
      <c r="X28" s="33">
        <f>ROUND('Anexo 12'!X28*'Anexo 2'!$D$10,0)</f>
        <v>0</v>
      </c>
      <c r="Y28" s="33">
        <f>ROUND('Anexo 12'!Y28*'Anexo 2'!$D$10,0)</f>
        <v>0</v>
      </c>
      <c r="Z28" s="33">
        <f>ROUND('Anexo 12'!Z28*'Anexo 2'!$D$10,0)</f>
        <v>0</v>
      </c>
      <c r="AA28" s="38">
        <f t="shared" si="0"/>
        <v>0</v>
      </c>
      <c r="AB28" s="21">
        <v>3</v>
      </c>
      <c r="AC28" s="101"/>
      <c r="AD28" s="47"/>
    </row>
    <row r="29" spans="1:30" ht="15.75" thickBot="1" x14ac:dyDescent="0.3">
      <c r="A29" s="99"/>
      <c r="B29" s="22" t="s">
        <v>3</v>
      </c>
      <c r="C29" s="33">
        <f>ROUND('Anexo 12'!C29*'Anexo 2'!$D$10,0)</f>
        <v>0</v>
      </c>
      <c r="D29" s="33">
        <f>ROUND('Anexo 12'!D29*'Anexo 2'!$D$10,0)</f>
        <v>0</v>
      </c>
      <c r="E29" s="33">
        <f>ROUND('Anexo 12'!E29*'Anexo 2'!$D$10,0)</f>
        <v>0</v>
      </c>
      <c r="F29" s="33">
        <f>ROUND('Anexo 12'!F29*'Anexo 2'!$D$10,0)</f>
        <v>0</v>
      </c>
      <c r="G29" s="33">
        <f>ROUND('Anexo 12'!G29*'Anexo 2'!$D$10,0)</f>
        <v>0</v>
      </c>
      <c r="H29" s="33">
        <f>ROUND('Anexo 12'!H29*'Anexo 2'!$D$10,0)</f>
        <v>0</v>
      </c>
      <c r="I29" s="33">
        <f>ROUND('Anexo 12'!I29*'Anexo 2'!$D$10,0)</f>
        <v>0</v>
      </c>
      <c r="J29" s="33">
        <f>ROUND('Anexo 12'!J29*'Anexo 2'!$D$10,0)</f>
        <v>0</v>
      </c>
      <c r="K29" s="33">
        <f>ROUND('Anexo 12'!K29*'Anexo 2'!$D$10,0)</f>
        <v>0</v>
      </c>
      <c r="L29" s="33">
        <f>ROUND('Anexo 12'!L29*'Anexo 2'!$D$10,0)</f>
        <v>0</v>
      </c>
      <c r="M29" s="33">
        <f>ROUND('Anexo 12'!M29*'Anexo 2'!$D$10,0)</f>
        <v>0</v>
      </c>
      <c r="N29" s="33">
        <f>ROUND('Anexo 12'!N29*'Anexo 2'!$D$10,0)</f>
        <v>0</v>
      </c>
      <c r="O29" s="33">
        <f>ROUND('Anexo 12'!O29*'Anexo 2'!$D$10,0)</f>
        <v>0</v>
      </c>
      <c r="P29" s="33">
        <f>ROUND('Anexo 12'!P29*'Anexo 2'!$D$10,0)</f>
        <v>0</v>
      </c>
      <c r="Q29" s="33">
        <f>ROUND('Anexo 12'!Q29*'Anexo 2'!$D$10,0)</f>
        <v>0</v>
      </c>
      <c r="R29" s="33">
        <f>ROUND('Anexo 12'!R29*'Anexo 2'!$D$10,0)</f>
        <v>0</v>
      </c>
      <c r="S29" s="33">
        <f>ROUND('Anexo 12'!S29*'Anexo 2'!$D$10,0)</f>
        <v>0</v>
      </c>
      <c r="T29" s="33">
        <f>ROUND('Anexo 12'!T29*'Anexo 2'!$D$10,0)</f>
        <v>0</v>
      </c>
      <c r="U29" s="33">
        <f>ROUND('Anexo 12'!U29*'Anexo 2'!$D$10,0)</f>
        <v>0</v>
      </c>
      <c r="V29" s="33">
        <f>ROUND('Anexo 12'!V29*'Anexo 2'!$D$10,0)</f>
        <v>0</v>
      </c>
      <c r="W29" s="33">
        <f>ROUND('Anexo 12'!W29*'Anexo 2'!$D$10,0)</f>
        <v>0</v>
      </c>
      <c r="X29" s="33">
        <f>ROUND('Anexo 12'!X29*'Anexo 2'!$D$10,0)</f>
        <v>0</v>
      </c>
      <c r="Y29" s="33">
        <f>ROUND('Anexo 12'!Y29*'Anexo 2'!$D$10,0)</f>
        <v>0</v>
      </c>
      <c r="Z29" s="33">
        <f>ROUND('Anexo 12'!Z29*'Anexo 2'!$D$10,0)</f>
        <v>0</v>
      </c>
      <c r="AA29" s="41">
        <f t="shared" si="0"/>
        <v>0</v>
      </c>
      <c r="AB29" s="23">
        <v>7</v>
      </c>
      <c r="AC29" s="102"/>
      <c r="AD29" s="49"/>
    </row>
    <row r="30" spans="1:30" ht="15.75" thickBot="1" x14ac:dyDescent="0.3">
      <c r="A30" s="99">
        <v>46631</v>
      </c>
      <c r="B30" s="18" t="s">
        <v>5</v>
      </c>
      <c r="C30" s="33">
        <f>ROUND('Anexo 12'!C30*'Anexo 2'!$D$10,0)</f>
        <v>0</v>
      </c>
      <c r="D30" s="33">
        <f>ROUND('Anexo 12'!D30*'Anexo 2'!$D$10,0)</f>
        <v>0</v>
      </c>
      <c r="E30" s="33">
        <f>ROUND('Anexo 12'!E30*'Anexo 2'!$D$10,0)</f>
        <v>0</v>
      </c>
      <c r="F30" s="33">
        <f>ROUND('Anexo 12'!F30*'Anexo 2'!$D$10,0)</f>
        <v>0</v>
      </c>
      <c r="G30" s="33">
        <f>ROUND('Anexo 12'!G30*'Anexo 2'!$D$10,0)</f>
        <v>0</v>
      </c>
      <c r="H30" s="33">
        <f>ROUND('Anexo 12'!H30*'Anexo 2'!$D$10,0)</f>
        <v>0</v>
      </c>
      <c r="I30" s="33">
        <f>ROUND('Anexo 12'!I30*'Anexo 2'!$D$10,0)</f>
        <v>0</v>
      </c>
      <c r="J30" s="33">
        <f>ROUND('Anexo 12'!J30*'Anexo 2'!$D$10,0)</f>
        <v>0</v>
      </c>
      <c r="K30" s="33">
        <f>ROUND('Anexo 12'!K30*'Anexo 2'!$D$10,0)</f>
        <v>0</v>
      </c>
      <c r="L30" s="33">
        <f>ROUND('Anexo 12'!L30*'Anexo 2'!$D$10,0)</f>
        <v>0</v>
      </c>
      <c r="M30" s="33">
        <f>ROUND('Anexo 12'!M30*'Anexo 2'!$D$10,0)</f>
        <v>0</v>
      </c>
      <c r="N30" s="33">
        <f>ROUND('Anexo 12'!N30*'Anexo 2'!$D$10,0)</f>
        <v>0</v>
      </c>
      <c r="O30" s="33">
        <f>ROUND('Anexo 12'!O30*'Anexo 2'!$D$10,0)</f>
        <v>0</v>
      </c>
      <c r="P30" s="33">
        <f>ROUND('Anexo 12'!P30*'Anexo 2'!$D$10,0)</f>
        <v>0</v>
      </c>
      <c r="Q30" s="33">
        <f>ROUND('Anexo 12'!Q30*'Anexo 2'!$D$10,0)</f>
        <v>0</v>
      </c>
      <c r="R30" s="33">
        <f>ROUND('Anexo 12'!R30*'Anexo 2'!$D$10,0)</f>
        <v>0</v>
      </c>
      <c r="S30" s="33">
        <f>ROUND('Anexo 12'!S30*'Anexo 2'!$D$10,0)</f>
        <v>0</v>
      </c>
      <c r="T30" s="33">
        <f>ROUND('Anexo 12'!T30*'Anexo 2'!$D$10,0)</f>
        <v>0</v>
      </c>
      <c r="U30" s="33">
        <f>ROUND('Anexo 12'!U30*'Anexo 2'!$D$10,0)</f>
        <v>0</v>
      </c>
      <c r="V30" s="33">
        <f>ROUND('Anexo 12'!V30*'Anexo 2'!$D$10,0)</f>
        <v>0</v>
      </c>
      <c r="W30" s="33">
        <f>ROUND('Anexo 12'!W30*'Anexo 2'!$D$10,0)</f>
        <v>0</v>
      </c>
      <c r="X30" s="33">
        <f>ROUND('Anexo 12'!X30*'Anexo 2'!$D$10,0)</f>
        <v>0</v>
      </c>
      <c r="Y30" s="33">
        <f>ROUND('Anexo 12'!Y30*'Anexo 2'!$D$10,0)</f>
        <v>0</v>
      </c>
      <c r="Z30" s="33">
        <f>ROUND('Anexo 12'!Z30*'Anexo 2'!$D$10,0)</f>
        <v>0</v>
      </c>
      <c r="AA30" s="35">
        <f t="shared" si="0"/>
        <v>0</v>
      </c>
      <c r="AB30" s="19">
        <v>22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ROUND('Anexo 12'!C31*'Anexo 2'!$D$10,0)</f>
        <v>0</v>
      </c>
      <c r="D31" s="33">
        <f>ROUND('Anexo 12'!D31*'Anexo 2'!$D$10,0)</f>
        <v>0</v>
      </c>
      <c r="E31" s="33">
        <f>ROUND('Anexo 12'!E31*'Anexo 2'!$D$10,0)</f>
        <v>0</v>
      </c>
      <c r="F31" s="33">
        <f>ROUND('Anexo 12'!F31*'Anexo 2'!$D$10,0)</f>
        <v>0</v>
      </c>
      <c r="G31" s="33">
        <f>ROUND('Anexo 12'!G31*'Anexo 2'!$D$10,0)</f>
        <v>0</v>
      </c>
      <c r="H31" s="33">
        <f>ROUND('Anexo 12'!H31*'Anexo 2'!$D$10,0)</f>
        <v>0</v>
      </c>
      <c r="I31" s="33">
        <f>ROUND('Anexo 12'!I31*'Anexo 2'!$D$10,0)</f>
        <v>0</v>
      </c>
      <c r="J31" s="33">
        <f>ROUND('Anexo 12'!J31*'Anexo 2'!$D$10,0)</f>
        <v>0</v>
      </c>
      <c r="K31" s="33">
        <f>ROUND('Anexo 12'!K31*'Anexo 2'!$D$10,0)</f>
        <v>0</v>
      </c>
      <c r="L31" s="33">
        <f>ROUND('Anexo 12'!L31*'Anexo 2'!$D$10,0)</f>
        <v>0</v>
      </c>
      <c r="M31" s="33">
        <f>ROUND('Anexo 12'!M31*'Anexo 2'!$D$10,0)</f>
        <v>0</v>
      </c>
      <c r="N31" s="33">
        <f>ROUND('Anexo 12'!N31*'Anexo 2'!$D$10,0)</f>
        <v>0</v>
      </c>
      <c r="O31" s="33">
        <f>ROUND('Anexo 12'!O31*'Anexo 2'!$D$10,0)</f>
        <v>0</v>
      </c>
      <c r="P31" s="33">
        <f>ROUND('Anexo 12'!P31*'Anexo 2'!$D$10,0)</f>
        <v>0</v>
      </c>
      <c r="Q31" s="33">
        <f>ROUND('Anexo 12'!Q31*'Anexo 2'!$D$10,0)</f>
        <v>0</v>
      </c>
      <c r="R31" s="33">
        <f>ROUND('Anexo 12'!R31*'Anexo 2'!$D$10,0)</f>
        <v>0</v>
      </c>
      <c r="S31" s="33">
        <f>ROUND('Anexo 12'!S31*'Anexo 2'!$D$10,0)</f>
        <v>0</v>
      </c>
      <c r="T31" s="33">
        <f>ROUND('Anexo 12'!T31*'Anexo 2'!$D$10,0)</f>
        <v>0</v>
      </c>
      <c r="U31" s="33">
        <f>ROUND('Anexo 12'!U31*'Anexo 2'!$D$10,0)</f>
        <v>0</v>
      </c>
      <c r="V31" s="33">
        <f>ROUND('Anexo 12'!V31*'Anexo 2'!$D$10,0)</f>
        <v>0</v>
      </c>
      <c r="W31" s="33">
        <f>ROUND('Anexo 12'!W31*'Anexo 2'!$D$10,0)</f>
        <v>0</v>
      </c>
      <c r="X31" s="33">
        <f>ROUND('Anexo 12'!X31*'Anexo 2'!$D$10,0)</f>
        <v>0</v>
      </c>
      <c r="Y31" s="33">
        <f>ROUND('Anexo 12'!Y31*'Anexo 2'!$D$10,0)</f>
        <v>0</v>
      </c>
      <c r="Z31" s="33">
        <f>ROUND('Anexo 12'!Z31*'Anexo 2'!$D$10,0)</f>
        <v>0</v>
      </c>
      <c r="AA31" s="38">
        <f t="shared" si="0"/>
        <v>0</v>
      </c>
      <c r="AB31" s="21">
        <v>4</v>
      </c>
      <c r="AC31" s="101"/>
      <c r="AD31" s="47"/>
    </row>
    <row r="32" spans="1:30" ht="15.75" thickBot="1" x14ac:dyDescent="0.3">
      <c r="A32" s="99"/>
      <c r="B32" s="22" t="s">
        <v>3</v>
      </c>
      <c r="C32" s="33">
        <f>ROUND('Anexo 12'!C32*'Anexo 2'!$D$10,0)</f>
        <v>0</v>
      </c>
      <c r="D32" s="33">
        <f>ROUND('Anexo 12'!D32*'Anexo 2'!$D$10,0)</f>
        <v>0</v>
      </c>
      <c r="E32" s="33">
        <f>ROUND('Anexo 12'!E32*'Anexo 2'!$D$10,0)</f>
        <v>0</v>
      </c>
      <c r="F32" s="33">
        <f>ROUND('Anexo 12'!F32*'Anexo 2'!$D$10,0)</f>
        <v>0</v>
      </c>
      <c r="G32" s="33">
        <f>ROUND('Anexo 12'!G32*'Anexo 2'!$D$10,0)</f>
        <v>0</v>
      </c>
      <c r="H32" s="33">
        <f>ROUND('Anexo 12'!H32*'Anexo 2'!$D$10,0)</f>
        <v>0</v>
      </c>
      <c r="I32" s="33">
        <f>ROUND('Anexo 12'!I32*'Anexo 2'!$D$10,0)</f>
        <v>0</v>
      </c>
      <c r="J32" s="33">
        <f>ROUND('Anexo 12'!J32*'Anexo 2'!$D$10,0)</f>
        <v>0</v>
      </c>
      <c r="K32" s="33">
        <f>ROUND('Anexo 12'!K32*'Anexo 2'!$D$10,0)</f>
        <v>0</v>
      </c>
      <c r="L32" s="33">
        <f>ROUND('Anexo 12'!L32*'Anexo 2'!$D$10,0)</f>
        <v>0</v>
      </c>
      <c r="M32" s="33">
        <f>ROUND('Anexo 12'!M32*'Anexo 2'!$D$10,0)</f>
        <v>0</v>
      </c>
      <c r="N32" s="33">
        <f>ROUND('Anexo 12'!N32*'Anexo 2'!$D$10,0)</f>
        <v>0</v>
      </c>
      <c r="O32" s="33">
        <f>ROUND('Anexo 12'!O32*'Anexo 2'!$D$10,0)</f>
        <v>0</v>
      </c>
      <c r="P32" s="33">
        <f>ROUND('Anexo 12'!P32*'Anexo 2'!$D$10,0)</f>
        <v>0</v>
      </c>
      <c r="Q32" s="33">
        <f>ROUND('Anexo 12'!Q32*'Anexo 2'!$D$10,0)</f>
        <v>0</v>
      </c>
      <c r="R32" s="33">
        <f>ROUND('Anexo 12'!R32*'Anexo 2'!$D$10,0)</f>
        <v>0</v>
      </c>
      <c r="S32" s="33">
        <f>ROUND('Anexo 12'!S32*'Anexo 2'!$D$10,0)</f>
        <v>0</v>
      </c>
      <c r="T32" s="33">
        <f>ROUND('Anexo 12'!T32*'Anexo 2'!$D$10,0)</f>
        <v>0</v>
      </c>
      <c r="U32" s="33">
        <f>ROUND('Anexo 12'!U32*'Anexo 2'!$D$10,0)</f>
        <v>0</v>
      </c>
      <c r="V32" s="33">
        <f>ROUND('Anexo 12'!V32*'Anexo 2'!$D$10,0)</f>
        <v>0</v>
      </c>
      <c r="W32" s="33">
        <f>ROUND('Anexo 12'!W32*'Anexo 2'!$D$10,0)</f>
        <v>0</v>
      </c>
      <c r="X32" s="33">
        <f>ROUND('Anexo 12'!X32*'Anexo 2'!$D$10,0)</f>
        <v>0</v>
      </c>
      <c r="Y32" s="33">
        <f>ROUND('Anexo 12'!Y32*'Anexo 2'!$D$10,0)</f>
        <v>0</v>
      </c>
      <c r="Z32" s="33">
        <f>ROUND('Anexo 12'!Z32*'Anexo 2'!$D$10,0)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46661</v>
      </c>
      <c r="B33" s="18" t="s">
        <v>5</v>
      </c>
      <c r="C33" s="33">
        <f>ROUND('Anexo 12'!C33*'Anexo 2'!$D$10,0)</f>
        <v>0</v>
      </c>
      <c r="D33" s="33">
        <f>ROUND('Anexo 12'!D33*'Anexo 2'!$D$10,0)</f>
        <v>0</v>
      </c>
      <c r="E33" s="33">
        <f>ROUND('Anexo 12'!E33*'Anexo 2'!$D$10,0)</f>
        <v>0</v>
      </c>
      <c r="F33" s="33">
        <f>ROUND('Anexo 12'!F33*'Anexo 2'!$D$10,0)</f>
        <v>0</v>
      </c>
      <c r="G33" s="33">
        <f>ROUND('Anexo 12'!G33*'Anexo 2'!$D$10,0)</f>
        <v>0</v>
      </c>
      <c r="H33" s="33">
        <f>ROUND('Anexo 12'!H33*'Anexo 2'!$D$10,0)</f>
        <v>0</v>
      </c>
      <c r="I33" s="33">
        <f>ROUND('Anexo 12'!I33*'Anexo 2'!$D$10,0)</f>
        <v>0</v>
      </c>
      <c r="J33" s="33">
        <f>ROUND('Anexo 12'!J33*'Anexo 2'!$D$10,0)</f>
        <v>0</v>
      </c>
      <c r="K33" s="33">
        <f>ROUND('Anexo 12'!K33*'Anexo 2'!$D$10,0)</f>
        <v>0</v>
      </c>
      <c r="L33" s="33">
        <f>ROUND('Anexo 12'!L33*'Anexo 2'!$D$10,0)</f>
        <v>0</v>
      </c>
      <c r="M33" s="33">
        <f>ROUND('Anexo 12'!M33*'Anexo 2'!$D$10,0)</f>
        <v>0</v>
      </c>
      <c r="N33" s="33">
        <f>ROUND('Anexo 12'!N33*'Anexo 2'!$D$10,0)</f>
        <v>0</v>
      </c>
      <c r="O33" s="33">
        <f>ROUND('Anexo 12'!O33*'Anexo 2'!$D$10,0)</f>
        <v>0</v>
      </c>
      <c r="P33" s="33">
        <f>ROUND('Anexo 12'!P33*'Anexo 2'!$D$10,0)</f>
        <v>0</v>
      </c>
      <c r="Q33" s="33">
        <f>ROUND('Anexo 12'!Q33*'Anexo 2'!$D$10,0)</f>
        <v>0</v>
      </c>
      <c r="R33" s="33">
        <f>ROUND('Anexo 12'!R33*'Anexo 2'!$D$10,0)</f>
        <v>0</v>
      </c>
      <c r="S33" s="33">
        <f>ROUND('Anexo 12'!S33*'Anexo 2'!$D$10,0)</f>
        <v>0</v>
      </c>
      <c r="T33" s="33">
        <f>ROUND('Anexo 12'!T33*'Anexo 2'!$D$10,0)</f>
        <v>0</v>
      </c>
      <c r="U33" s="33">
        <f>ROUND('Anexo 12'!U33*'Anexo 2'!$D$10,0)</f>
        <v>0</v>
      </c>
      <c r="V33" s="33">
        <f>ROUND('Anexo 12'!V33*'Anexo 2'!$D$10,0)</f>
        <v>0</v>
      </c>
      <c r="W33" s="33">
        <f>ROUND('Anexo 12'!W33*'Anexo 2'!$D$10,0)</f>
        <v>0</v>
      </c>
      <c r="X33" s="33">
        <f>ROUND('Anexo 12'!X33*'Anexo 2'!$D$10,0)</f>
        <v>0</v>
      </c>
      <c r="Y33" s="33">
        <f>ROUND('Anexo 12'!Y33*'Anexo 2'!$D$10,0)</f>
        <v>0</v>
      </c>
      <c r="Z33" s="33">
        <f>ROUND('Anexo 12'!Z33*'Anexo 2'!$D$10,0)</f>
        <v>0</v>
      </c>
      <c r="AA33" s="35">
        <f t="shared" si="0"/>
        <v>0</v>
      </c>
      <c r="AB33" s="19">
        <v>20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ROUND('Anexo 12'!C34*'Anexo 2'!$D$10,0)</f>
        <v>0</v>
      </c>
      <c r="D34" s="33">
        <f>ROUND('Anexo 12'!D34*'Anexo 2'!$D$10,0)</f>
        <v>0</v>
      </c>
      <c r="E34" s="33">
        <f>ROUND('Anexo 12'!E34*'Anexo 2'!$D$10,0)</f>
        <v>0</v>
      </c>
      <c r="F34" s="33">
        <f>ROUND('Anexo 12'!F34*'Anexo 2'!$D$10,0)</f>
        <v>0</v>
      </c>
      <c r="G34" s="33">
        <f>ROUND('Anexo 12'!G34*'Anexo 2'!$D$10,0)</f>
        <v>0</v>
      </c>
      <c r="H34" s="33">
        <f>ROUND('Anexo 12'!H34*'Anexo 2'!$D$10,0)</f>
        <v>0</v>
      </c>
      <c r="I34" s="33">
        <f>ROUND('Anexo 12'!I34*'Anexo 2'!$D$10,0)</f>
        <v>0</v>
      </c>
      <c r="J34" s="33">
        <f>ROUND('Anexo 12'!J34*'Anexo 2'!$D$10,0)</f>
        <v>0</v>
      </c>
      <c r="K34" s="33">
        <f>ROUND('Anexo 12'!K34*'Anexo 2'!$D$10,0)</f>
        <v>0</v>
      </c>
      <c r="L34" s="33">
        <f>ROUND('Anexo 12'!L34*'Anexo 2'!$D$10,0)</f>
        <v>0</v>
      </c>
      <c r="M34" s="33">
        <f>ROUND('Anexo 12'!M34*'Anexo 2'!$D$10,0)</f>
        <v>0</v>
      </c>
      <c r="N34" s="33">
        <f>ROUND('Anexo 12'!N34*'Anexo 2'!$D$10,0)</f>
        <v>0</v>
      </c>
      <c r="O34" s="33">
        <f>ROUND('Anexo 12'!O34*'Anexo 2'!$D$10,0)</f>
        <v>0</v>
      </c>
      <c r="P34" s="33">
        <f>ROUND('Anexo 12'!P34*'Anexo 2'!$D$10,0)</f>
        <v>0</v>
      </c>
      <c r="Q34" s="33">
        <f>ROUND('Anexo 12'!Q34*'Anexo 2'!$D$10,0)</f>
        <v>0</v>
      </c>
      <c r="R34" s="33">
        <f>ROUND('Anexo 12'!R34*'Anexo 2'!$D$10,0)</f>
        <v>0</v>
      </c>
      <c r="S34" s="33">
        <f>ROUND('Anexo 12'!S34*'Anexo 2'!$D$10,0)</f>
        <v>0</v>
      </c>
      <c r="T34" s="33">
        <f>ROUND('Anexo 12'!T34*'Anexo 2'!$D$10,0)</f>
        <v>0</v>
      </c>
      <c r="U34" s="33">
        <f>ROUND('Anexo 12'!U34*'Anexo 2'!$D$10,0)</f>
        <v>0</v>
      </c>
      <c r="V34" s="33">
        <f>ROUND('Anexo 12'!V34*'Anexo 2'!$D$10,0)</f>
        <v>0</v>
      </c>
      <c r="W34" s="33">
        <f>ROUND('Anexo 12'!W34*'Anexo 2'!$D$10,0)</f>
        <v>0</v>
      </c>
      <c r="X34" s="33">
        <f>ROUND('Anexo 12'!X34*'Anexo 2'!$D$10,0)</f>
        <v>0</v>
      </c>
      <c r="Y34" s="33">
        <f>ROUND('Anexo 12'!Y34*'Anexo 2'!$D$10,0)</f>
        <v>0</v>
      </c>
      <c r="Z34" s="33">
        <f>ROUND('Anexo 12'!Z34*'Anexo 2'!$D$10,0)</f>
        <v>0</v>
      </c>
      <c r="AA34" s="38">
        <f t="shared" si="0"/>
        <v>0</v>
      </c>
      <c r="AB34" s="21">
        <v>5</v>
      </c>
      <c r="AC34" s="101"/>
      <c r="AD34" s="47"/>
    </row>
    <row r="35" spans="1:30" ht="15.75" thickBot="1" x14ac:dyDescent="0.3">
      <c r="A35" s="99"/>
      <c r="B35" s="22" t="s">
        <v>3</v>
      </c>
      <c r="C35" s="33">
        <f>ROUND('Anexo 12'!C35*'Anexo 2'!$D$10,0)</f>
        <v>0</v>
      </c>
      <c r="D35" s="33">
        <f>ROUND('Anexo 12'!D35*'Anexo 2'!$D$10,0)</f>
        <v>0</v>
      </c>
      <c r="E35" s="33">
        <f>ROUND('Anexo 12'!E35*'Anexo 2'!$D$10,0)</f>
        <v>0</v>
      </c>
      <c r="F35" s="33">
        <f>ROUND('Anexo 12'!F35*'Anexo 2'!$D$10,0)</f>
        <v>0</v>
      </c>
      <c r="G35" s="33">
        <f>ROUND('Anexo 12'!G35*'Anexo 2'!$D$10,0)</f>
        <v>0</v>
      </c>
      <c r="H35" s="33">
        <f>ROUND('Anexo 12'!H35*'Anexo 2'!$D$10,0)</f>
        <v>0</v>
      </c>
      <c r="I35" s="33">
        <f>ROUND('Anexo 12'!I35*'Anexo 2'!$D$10,0)</f>
        <v>0</v>
      </c>
      <c r="J35" s="33">
        <f>ROUND('Anexo 12'!J35*'Anexo 2'!$D$10,0)</f>
        <v>0</v>
      </c>
      <c r="K35" s="33">
        <f>ROUND('Anexo 12'!K35*'Anexo 2'!$D$10,0)</f>
        <v>0</v>
      </c>
      <c r="L35" s="33">
        <f>ROUND('Anexo 12'!L35*'Anexo 2'!$D$10,0)</f>
        <v>0</v>
      </c>
      <c r="M35" s="33">
        <f>ROUND('Anexo 12'!M35*'Anexo 2'!$D$10,0)</f>
        <v>0</v>
      </c>
      <c r="N35" s="33">
        <f>ROUND('Anexo 12'!N35*'Anexo 2'!$D$10,0)</f>
        <v>0</v>
      </c>
      <c r="O35" s="33">
        <f>ROUND('Anexo 12'!O35*'Anexo 2'!$D$10,0)</f>
        <v>0</v>
      </c>
      <c r="P35" s="33">
        <f>ROUND('Anexo 12'!P35*'Anexo 2'!$D$10,0)</f>
        <v>0</v>
      </c>
      <c r="Q35" s="33">
        <f>ROUND('Anexo 12'!Q35*'Anexo 2'!$D$10,0)</f>
        <v>0</v>
      </c>
      <c r="R35" s="33">
        <f>ROUND('Anexo 12'!R35*'Anexo 2'!$D$10,0)</f>
        <v>0</v>
      </c>
      <c r="S35" s="33">
        <f>ROUND('Anexo 12'!S35*'Anexo 2'!$D$10,0)</f>
        <v>0</v>
      </c>
      <c r="T35" s="33">
        <f>ROUND('Anexo 12'!T35*'Anexo 2'!$D$10,0)</f>
        <v>0</v>
      </c>
      <c r="U35" s="33">
        <f>ROUND('Anexo 12'!U35*'Anexo 2'!$D$10,0)</f>
        <v>0</v>
      </c>
      <c r="V35" s="33">
        <f>ROUND('Anexo 12'!V35*'Anexo 2'!$D$10,0)</f>
        <v>0</v>
      </c>
      <c r="W35" s="33">
        <f>ROUND('Anexo 12'!W35*'Anexo 2'!$D$10,0)</f>
        <v>0</v>
      </c>
      <c r="X35" s="33">
        <f>ROUND('Anexo 12'!X35*'Anexo 2'!$D$10,0)</f>
        <v>0</v>
      </c>
      <c r="Y35" s="33">
        <f>ROUND('Anexo 12'!Y35*'Anexo 2'!$D$10,0)</f>
        <v>0</v>
      </c>
      <c r="Z35" s="33">
        <f>ROUND('Anexo 12'!Z35*'Anexo 2'!$D$10,0)</f>
        <v>0</v>
      </c>
      <c r="AA35" s="41">
        <f t="shared" si="0"/>
        <v>0</v>
      </c>
      <c r="AB35" s="23">
        <v>6</v>
      </c>
      <c r="AC35" s="102"/>
      <c r="AD35" s="48"/>
    </row>
    <row r="36" spans="1:30" ht="15.75" thickBot="1" x14ac:dyDescent="0.3">
      <c r="A36" s="99">
        <v>46692</v>
      </c>
      <c r="B36" s="18" t="s">
        <v>5</v>
      </c>
      <c r="C36" s="33">
        <f>ROUND('Anexo 12'!C36*'Anexo 2'!$D$10,0)</f>
        <v>0</v>
      </c>
      <c r="D36" s="33">
        <f>ROUND('Anexo 12'!D36*'Anexo 2'!$D$10,0)</f>
        <v>0</v>
      </c>
      <c r="E36" s="33">
        <f>ROUND('Anexo 12'!E36*'Anexo 2'!$D$10,0)</f>
        <v>0</v>
      </c>
      <c r="F36" s="33">
        <f>ROUND('Anexo 12'!F36*'Anexo 2'!$D$10,0)</f>
        <v>0</v>
      </c>
      <c r="G36" s="33">
        <f>ROUND('Anexo 12'!G36*'Anexo 2'!$D$10,0)</f>
        <v>0</v>
      </c>
      <c r="H36" s="33">
        <f>ROUND('Anexo 12'!H36*'Anexo 2'!$D$10,0)</f>
        <v>0</v>
      </c>
      <c r="I36" s="33">
        <f>ROUND('Anexo 12'!I36*'Anexo 2'!$D$10,0)</f>
        <v>0</v>
      </c>
      <c r="J36" s="33">
        <f>ROUND('Anexo 12'!J36*'Anexo 2'!$D$10,0)</f>
        <v>0</v>
      </c>
      <c r="K36" s="33">
        <f>ROUND('Anexo 12'!K36*'Anexo 2'!$D$10,0)</f>
        <v>0</v>
      </c>
      <c r="L36" s="33">
        <f>ROUND('Anexo 12'!L36*'Anexo 2'!$D$10,0)</f>
        <v>0</v>
      </c>
      <c r="M36" s="33">
        <f>ROUND('Anexo 12'!M36*'Anexo 2'!$D$10,0)</f>
        <v>0</v>
      </c>
      <c r="N36" s="33">
        <f>ROUND('Anexo 12'!N36*'Anexo 2'!$D$10,0)</f>
        <v>0</v>
      </c>
      <c r="O36" s="33">
        <f>ROUND('Anexo 12'!O36*'Anexo 2'!$D$10,0)</f>
        <v>0</v>
      </c>
      <c r="P36" s="33">
        <f>ROUND('Anexo 12'!P36*'Anexo 2'!$D$10,0)</f>
        <v>0</v>
      </c>
      <c r="Q36" s="33">
        <f>ROUND('Anexo 12'!Q36*'Anexo 2'!$D$10,0)</f>
        <v>0</v>
      </c>
      <c r="R36" s="33">
        <f>ROUND('Anexo 12'!R36*'Anexo 2'!$D$10,0)</f>
        <v>0</v>
      </c>
      <c r="S36" s="33">
        <f>ROUND('Anexo 12'!S36*'Anexo 2'!$D$10,0)</f>
        <v>0</v>
      </c>
      <c r="T36" s="33">
        <f>ROUND('Anexo 12'!T36*'Anexo 2'!$D$10,0)</f>
        <v>0</v>
      </c>
      <c r="U36" s="33">
        <f>ROUND('Anexo 12'!U36*'Anexo 2'!$D$10,0)</f>
        <v>0</v>
      </c>
      <c r="V36" s="33">
        <f>ROUND('Anexo 12'!V36*'Anexo 2'!$D$10,0)</f>
        <v>0</v>
      </c>
      <c r="W36" s="33">
        <f>ROUND('Anexo 12'!W36*'Anexo 2'!$D$10,0)</f>
        <v>0</v>
      </c>
      <c r="X36" s="33">
        <f>ROUND('Anexo 12'!X36*'Anexo 2'!$D$10,0)</f>
        <v>0</v>
      </c>
      <c r="Y36" s="33">
        <f>ROUND('Anexo 12'!Y36*'Anexo 2'!$D$10,0)</f>
        <v>0</v>
      </c>
      <c r="Z36" s="33">
        <f>ROUND('Anexo 12'!Z36*'Anexo 2'!$D$10,0)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ROUND('Anexo 12'!C37*'Anexo 2'!$D$10,0)</f>
        <v>0</v>
      </c>
      <c r="D37" s="33">
        <f>ROUND('Anexo 12'!D37*'Anexo 2'!$D$10,0)</f>
        <v>0</v>
      </c>
      <c r="E37" s="33">
        <f>ROUND('Anexo 12'!E37*'Anexo 2'!$D$10,0)</f>
        <v>0</v>
      </c>
      <c r="F37" s="33">
        <f>ROUND('Anexo 12'!F37*'Anexo 2'!$D$10,0)</f>
        <v>0</v>
      </c>
      <c r="G37" s="33">
        <f>ROUND('Anexo 12'!G37*'Anexo 2'!$D$10,0)</f>
        <v>0</v>
      </c>
      <c r="H37" s="33">
        <f>ROUND('Anexo 12'!H37*'Anexo 2'!$D$10,0)</f>
        <v>0</v>
      </c>
      <c r="I37" s="33">
        <f>ROUND('Anexo 12'!I37*'Anexo 2'!$D$10,0)</f>
        <v>0</v>
      </c>
      <c r="J37" s="33">
        <f>ROUND('Anexo 12'!J37*'Anexo 2'!$D$10,0)</f>
        <v>0</v>
      </c>
      <c r="K37" s="33">
        <f>ROUND('Anexo 12'!K37*'Anexo 2'!$D$10,0)</f>
        <v>0</v>
      </c>
      <c r="L37" s="33">
        <f>ROUND('Anexo 12'!L37*'Anexo 2'!$D$10,0)</f>
        <v>0</v>
      </c>
      <c r="M37" s="33">
        <f>ROUND('Anexo 12'!M37*'Anexo 2'!$D$10,0)</f>
        <v>0</v>
      </c>
      <c r="N37" s="33">
        <f>ROUND('Anexo 12'!N37*'Anexo 2'!$D$10,0)</f>
        <v>0</v>
      </c>
      <c r="O37" s="33">
        <f>ROUND('Anexo 12'!O37*'Anexo 2'!$D$10,0)</f>
        <v>0</v>
      </c>
      <c r="P37" s="33">
        <f>ROUND('Anexo 12'!P37*'Anexo 2'!$D$10,0)</f>
        <v>0</v>
      </c>
      <c r="Q37" s="33">
        <f>ROUND('Anexo 12'!Q37*'Anexo 2'!$D$10,0)</f>
        <v>0</v>
      </c>
      <c r="R37" s="33">
        <f>ROUND('Anexo 12'!R37*'Anexo 2'!$D$10,0)</f>
        <v>0</v>
      </c>
      <c r="S37" s="33">
        <f>ROUND('Anexo 12'!S37*'Anexo 2'!$D$10,0)</f>
        <v>0</v>
      </c>
      <c r="T37" s="33">
        <f>ROUND('Anexo 12'!T37*'Anexo 2'!$D$10,0)</f>
        <v>0</v>
      </c>
      <c r="U37" s="33">
        <f>ROUND('Anexo 12'!U37*'Anexo 2'!$D$10,0)</f>
        <v>0</v>
      </c>
      <c r="V37" s="33">
        <f>ROUND('Anexo 12'!V37*'Anexo 2'!$D$10,0)</f>
        <v>0</v>
      </c>
      <c r="W37" s="33">
        <f>ROUND('Anexo 12'!W37*'Anexo 2'!$D$10,0)</f>
        <v>0</v>
      </c>
      <c r="X37" s="33">
        <f>ROUND('Anexo 12'!X37*'Anexo 2'!$D$10,0)</f>
        <v>0</v>
      </c>
      <c r="Y37" s="33">
        <f>ROUND('Anexo 12'!Y37*'Anexo 2'!$D$10,0)</f>
        <v>0</v>
      </c>
      <c r="Z37" s="33">
        <f>ROUND('Anexo 12'!Z37*'Anexo 2'!$D$10,0)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ROUND('Anexo 12'!C38*'Anexo 2'!$D$10,0)</f>
        <v>0</v>
      </c>
      <c r="D38" s="33">
        <f>ROUND('Anexo 12'!D38*'Anexo 2'!$D$10,0)</f>
        <v>0</v>
      </c>
      <c r="E38" s="33">
        <f>ROUND('Anexo 12'!E38*'Anexo 2'!$D$10,0)</f>
        <v>0</v>
      </c>
      <c r="F38" s="33">
        <f>ROUND('Anexo 12'!F38*'Anexo 2'!$D$10,0)</f>
        <v>0</v>
      </c>
      <c r="G38" s="33">
        <f>ROUND('Anexo 12'!G38*'Anexo 2'!$D$10,0)</f>
        <v>0</v>
      </c>
      <c r="H38" s="33">
        <f>ROUND('Anexo 12'!H38*'Anexo 2'!$D$10,0)</f>
        <v>0</v>
      </c>
      <c r="I38" s="33">
        <f>ROUND('Anexo 12'!I38*'Anexo 2'!$D$10,0)</f>
        <v>0</v>
      </c>
      <c r="J38" s="33">
        <f>ROUND('Anexo 12'!J38*'Anexo 2'!$D$10,0)</f>
        <v>0</v>
      </c>
      <c r="K38" s="33">
        <f>ROUND('Anexo 12'!K38*'Anexo 2'!$D$10,0)</f>
        <v>0</v>
      </c>
      <c r="L38" s="33">
        <f>ROUND('Anexo 12'!L38*'Anexo 2'!$D$10,0)</f>
        <v>0</v>
      </c>
      <c r="M38" s="33">
        <f>ROUND('Anexo 12'!M38*'Anexo 2'!$D$10,0)</f>
        <v>0</v>
      </c>
      <c r="N38" s="33">
        <f>ROUND('Anexo 12'!N38*'Anexo 2'!$D$10,0)</f>
        <v>0</v>
      </c>
      <c r="O38" s="33">
        <f>ROUND('Anexo 12'!O38*'Anexo 2'!$D$10,0)</f>
        <v>0</v>
      </c>
      <c r="P38" s="33">
        <f>ROUND('Anexo 12'!P38*'Anexo 2'!$D$10,0)</f>
        <v>0</v>
      </c>
      <c r="Q38" s="33">
        <f>ROUND('Anexo 12'!Q38*'Anexo 2'!$D$10,0)</f>
        <v>0</v>
      </c>
      <c r="R38" s="33">
        <f>ROUND('Anexo 12'!R38*'Anexo 2'!$D$10,0)</f>
        <v>0</v>
      </c>
      <c r="S38" s="33">
        <f>ROUND('Anexo 12'!S38*'Anexo 2'!$D$10,0)</f>
        <v>0</v>
      </c>
      <c r="T38" s="33">
        <f>ROUND('Anexo 12'!T38*'Anexo 2'!$D$10,0)</f>
        <v>0</v>
      </c>
      <c r="U38" s="33">
        <f>ROUND('Anexo 12'!U38*'Anexo 2'!$D$10,0)</f>
        <v>0</v>
      </c>
      <c r="V38" s="33">
        <f>ROUND('Anexo 12'!V38*'Anexo 2'!$D$10,0)</f>
        <v>0</v>
      </c>
      <c r="W38" s="33">
        <f>ROUND('Anexo 12'!W38*'Anexo 2'!$D$10,0)</f>
        <v>0</v>
      </c>
      <c r="X38" s="33">
        <f>ROUND('Anexo 12'!X38*'Anexo 2'!$D$10,0)</f>
        <v>0</v>
      </c>
      <c r="Y38" s="33">
        <f>ROUND('Anexo 12'!Y38*'Anexo 2'!$D$10,0)</f>
        <v>0</v>
      </c>
      <c r="Z38" s="33">
        <f>ROUND('Anexo 12'!Z38*'Anexo 2'!$D$10,0)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46722</v>
      </c>
      <c r="B39" s="18" t="s">
        <v>5</v>
      </c>
      <c r="C39" s="33">
        <f>ROUND('Anexo 12'!C39*'Anexo 2'!$D$10,0)</f>
        <v>0</v>
      </c>
      <c r="D39" s="33">
        <f>ROUND('Anexo 12'!D39*'Anexo 2'!$D$10,0)</f>
        <v>0</v>
      </c>
      <c r="E39" s="33">
        <f>ROUND('Anexo 12'!E39*'Anexo 2'!$D$10,0)</f>
        <v>0</v>
      </c>
      <c r="F39" s="33">
        <f>ROUND('Anexo 12'!F39*'Anexo 2'!$D$10,0)</f>
        <v>0</v>
      </c>
      <c r="G39" s="33">
        <f>ROUND('Anexo 12'!G39*'Anexo 2'!$D$10,0)</f>
        <v>0</v>
      </c>
      <c r="H39" s="33">
        <f>ROUND('Anexo 12'!H39*'Anexo 2'!$D$10,0)</f>
        <v>0</v>
      </c>
      <c r="I39" s="33">
        <f>ROUND('Anexo 12'!I39*'Anexo 2'!$D$10,0)</f>
        <v>0</v>
      </c>
      <c r="J39" s="33">
        <f>ROUND('Anexo 12'!J39*'Anexo 2'!$D$10,0)</f>
        <v>0</v>
      </c>
      <c r="K39" s="33">
        <f>ROUND('Anexo 12'!K39*'Anexo 2'!$D$10,0)</f>
        <v>0</v>
      </c>
      <c r="L39" s="33">
        <f>ROUND('Anexo 12'!L39*'Anexo 2'!$D$10,0)</f>
        <v>0</v>
      </c>
      <c r="M39" s="33">
        <f>ROUND('Anexo 12'!M39*'Anexo 2'!$D$10,0)</f>
        <v>0</v>
      </c>
      <c r="N39" s="33">
        <f>ROUND('Anexo 12'!N39*'Anexo 2'!$D$10,0)</f>
        <v>0</v>
      </c>
      <c r="O39" s="33">
        <f>ROUND('Anexo 12'!O39*'Anexo 2'!$D$10,0)</f>
        <v>0</v>
      </c>
      <c r="P39" s="33">
        <f>ROUND('Anexo 12'!P39*'Anexo 2'!$D$10,0)</f>
        <v>0</v>
      </c>
      <c r="Q39" s="33">
        <f>ROUND('Anexo 12'!Q39*'Anexo 2'!$D$10,0)</f>
        <v>0</v>
      </c>
      <c r="R39" s="33">
        <f>ROUND('Anexo 12'!R39*'Anexo 2'!$D$10,0)</f>
        <v>0</v>
      </c>
      <c r="S39" s="33">
        <f>ROUND('Anexo 12'!S39*'Anexo 2'!$D$10,0)</f>
        <v>0</v>
      </c>
      <c r="T39" s="33">
        <f>ROUND('Anexo 12'!T39*'Anexo 2'!$D$10,0)</f>
        <v>0</v>
      </c>
      <c r="U39" s="33">
        <f>ROUND('Anexo 12'!U39*'Anexo 2'!$D$10,0)</f>
        <v>0</v>
      </c>
      <c r="V39" s="33">
        <f>ROUND('Anexo 12'!V39*'Anexo 2'!$D$10,0)</f>
        <v>0</v>
      </c>
      <c r="W39" s="33">
        <f>ROUND('Anexo 12'!W39*'Anexo 2'!$D$10,0)</f>
        <v>0</v>
      </c>
      <c r="X39" s="33">
        <f>ROUND('Anexo 12'!X39*'Anexo 2'!$D$10,0)</f>
        <v>0</v>
      </c>
      <c r="Y39" s="33">
        <f>ROUND('Anexo 12'!Y39*'Anexo 2'!$D$10,0)</f>
        <v>0</v>
      </c>
      <c r="Z39" s="33">
        <f>ROUND('Anexo 12'!Z39*'Anexo 2'!$D$10,0)</f>
        <v>0</v>
      </c>
      <c r="AA39" s="35">
        <f t="shared" si="0"/>
        <v>0</v>
      </c>
      <c r="AB39" s="19">
        <v>22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ROUND('Anexo 12'!C40*'Anexo 2'!$D$10,0)</f>
        <v>0</v>
      </c>
      <c r="D40" s="33">
        <f>ROUND('Anexo 12'!D40*'Anexo 2'!$D$10,0)</f>
        <v>0</v>
      </c>
      <c r="E40" s="33">
        <f>ROUND('Anexo 12'!E40*'Anexo 2'!$D$10,0)</f>
        <v>0</v>
      </c>
      <c r="F40" s="33">
        <f>ROUND('Anexo 12'!F40*'Anexo 2'!$D$10,0)</f>
        <v>0</v>
      </c>
      <c r="G40" s="33">
        <f>ROUND('Anexo 12'!G40*'Anexo 2'!$D$10,0)</f>
        <v>0</v>
      </c>
      <c r="H40" s="33">
        <f>ROUND('Anexo 12'!H40*'Anexo 2'!$D$10,0)</f>
        <v>0</v>
      </c>
      <c r="I40" s="33">
        <f>ROUND('Anexo 12'!I40*'Anexo 2'!$D$10,0)</f>
        <v>0</v>
      </c>
      <c r="J40" s="33">
        <f>ROUND('Anexo 12'!J40*'Anexo 2'!$D$10,0)</f>
        <v>0</v>
      </c>
      <c r="K40" s="33">
        <f>ROUND('Anexo 12'!K40*'Anexo 2'!$D$10,0)</f>
        <v>0</v>
      </c>
      <c r="L40" s="33">
        <f>ROUND('Anexo 12'!L40*'Anexo 2'!$D$10,0)</f>
        <v>0</v>
      </c>
      <c r="M40" s="33">
        <f>ROUND('Anexo 12'!M40*'Anexo 2'!$D$10,0)</f>
        <v>0</v>
      </c>
      <c r="N40" s="33">
        <f>ROUND('Anexo 12'!N40*'Anexo 2'!$D$10,0)</f>
        <v>0</v>
      </c>
      <c r="O40" s="33">
        <f>ROUND('Anexo 12'!O40*'Anexo 2'!$D$10,0)</f>
        <v>0</v>
      </c>
      <c r="P40" s="33">
        <f>ROUND('Anexo 12'!P40*'Anexo 2'!$D$10,0)</f>
        <v>0</v>
      </c>
      <c r="Q40" s="33">
        <f>ROUND('Anexo 12'!Q40*'Anexo 2'!$D$10,0)</f>
        <v>0</v>
      </c>
      <c r="R40" s="33">
        <f>ROUND('Anexo 12'!R40*'Anexo 2'!$D$10,0)</f>
        <v>0</v>
      </c>
      <c r="S40" s="33">
        <f>ROUND('Anexo 12'!S40*'Anexo 2'!$D$10,0)</f>
        <v>0</v>
      </c>
      <c r="T40" s="33">
        <f>ROUND('Anexo 12'!T40*'Anexo 2'!$D$10,0)</f>
        <v>0</v>
      </c>
      <c r="U40" s="33">
        <f>ROUND('Anexo 12'!U40*'Anexo 2'!$D$10,0)</f>
        <v>0</v>
      </c>
      <c r="V40" s="33">
        <f>ROUND('Anexo 12'!V40*'Anexo 2'!$D$10,0)</f>
        <v>0</v>
      </c>
      <c r="W40" s="33">
        <f>ROUND('Anexo 12'!W40*'Anexo 2'!$D$10,0)</f>
        <v>0</v>
      </c>
      <c r="X40" s="33">
        <f>ROUND('Anexo 12'!X40*'Anexo 2'!$D$10,0)</f>
        <v>0</v>
      </c>
      <c r="Y40" s="33">
        <f>ROUND('Anexo 12'!Y40*'Anexo 2'!$D$10,0)</f>
        <v>0</v>
      </c>
      <c r="Z40" s="33">
        <f>ROUND('Anexo 12'!Z40*'Anexo 2'!$D$10,0)</f>
        <v>0</v>
      </c>
      <c r="AA40" s="38">
        <f t="shared" si="0"/>
        <v>0</v>
      </c>
      <c r="AB40" s="21">
        <v>3</v>
      </c>
      <c r="AC40" s="101"/>
      <c r="AD40" s="47"/>
    </row>
    <row r="41" spans="1:30" ht="15.75" thickBot="1" x14ac:dyDescent="0.3">
      <c r="A41" s="99"/>
      <c r="B41" s="22" t="s">
        <v>3</v>
      </c>
      <c r="C41" s="33">
        <f>ROUND('Anexo 12'!C41*'Anexo 2'!$D$10,0)</f>
        <v>0</v>
      </c>
      <c r="D41" s="33">
        <f>ROUND('Anexo 12'!D41*'Anexo 2'!$D$10,0)</f>
        <v>0</v>
      </c>
      <c r="E41" s="33">
        <f>ROUND('Anexo 12'!E41*'Anexo 2'!$D$10,0)</f>
        <v>0</v>
      </c>
      <c r="F41" s="33">
        <f>ROUND('Anexo 12'!F41*'Anexo 2'!$D$10,0)</f>
        <v>0</v>
      </c>
      <c r="G41" s="33">
        <f>ROUND('Anexo 12'!G41*'Anexo 2'!$D$10,0)</f>
        <v>0</v>
      </c>
      <c r="H41" s="33">
        <f>ROUND('Anexo 12'!H41*'Anexo 2'!$D$10,0)</f>
        <v>0</v>
      </c>
      <c r="I41" s="33">
        <f>ROUND('Anexo 12'!I41*'Anexo 2'!$D$10,0)</f>
        <v>0</v>
      </c>
      <c r="J41" s="33">
        <f>ROUND('Anexo 12'!J41*'Anexo 2'!$D$10,0)</f>
        <v>0</v>
      </c>
      <c r="K41" s="33">
        <f>ROUND('Anexo 12'!K41*'Anexo 2'!$D$10,0)</f>
        <v>0</v>
      </c>
      <c r="L41" s="33">
        <f>ROUND('Anexo 12'!L41*'Anexo 2'!$D$10,0)</f>
        <v>0</v>
      </c>
      <c r="M41" s="33">
        <f>ROUND('Anexo 12'!M41*'Anexo 2'!$D$10,0)</f>
        <v>0</v>
      </c>
      <c r="N41" s="33">
        <f>ROUND('Anexo 12'!N41*'Anexo 2'!$D$10,0)</f>
        <v>0</v>
      </c>
      <c r="O41" s="33">
        <f>ROUND('Anexo 12'!O41*'Anexo 2'!$D$10,0)</f>
        <v>0</v>
      </c>
      <c r="P41" s="33">
        <f>ROUND('Anexo 12'!P41*'Anexo 2'!$D$10,0)</f>
        <v>0</v>
      </c>
      <c r="Q41" s="33">
        <f>ROUND('Anexo 12'!Q41*'Anexo 2'!$D$10,0)</f>
        <v>0</v>
      </c>
      <c r="R41" s="33">
        <f>ROUND('Anexo 12'!R41*'Anexo 2'!$D$10,0)</f>
        <v>0</v>
      </c>
      <c r="S41" s="33">
        <f>ROUND('Anexo 12'!S41*'Anexo 2'!$D$10,0)</f>
        <v>0</v>
      </c>
      <c r="T41" s="33">
        <f>ROUND('Anexo 12'!T41*'Anexo 2'!$D$10,0)</f>
        <v>0</v>
      </c>
      <c r="U41" s="33">
        <f>ROUND('Anexo 12'!U41*'Anexo 2'!$D$10,0)</f>
        <v>0</v>
      </c>
      <c r="V41" s="33">
        <f>ROUND('Anexo 12'!V41*'Anexo 2'!$D$10,0)</f>
        <v>0</v>
      </c>
      <c r="W41" s="33">
        <f>ROUND('Anexo 12'!W41*'Anexo 2'!$D$10,0)</f>
        <v>0</v>
      </c>
      <c r="X41" s="33">
        <f>ROUND('Anexo 12'!X41*'Anexo 2'!$D$10,0)</f>
        <v>0</v>
      </c>
      <c r="Y41" s="33">
        <f>ROUND('Anexo 12'!Y41*'Anexo 2'!$D$10,0)</f>
        <v>0</v>
      </c>
      <c r="Z41" s="33">
        <f>ROUND('Anexo 12'!Z41*'Anexo 2'!$D$10,0)</f>
        <v>0</v>
      </c>
      <c r="AA41" s="41">
        <f t="shared" si="0"/>
        <v>0</v>
      </c>
      <c r="AB41" s="23">
        <v>6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221-E7EF-4226-B08A-510586E9FFC9}">
  <sheetPr codeName="Hoja3">
    <tabColor theme="4" tint="-0.249977111117893"/>
  </sheetPr>
  <dimension ref="A1:H35"/>
  <sheetViews>
    <sheetView showGridLines="0" topLeftCell="A12" zoomScaleNormal="100" zoomScaleSheetLayoutView="140" workbookViewId="0">
      <selection activeCell="B8" sqref="B8:F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9" t="s">
        <v>52</v>
      </c>
      <c r="C3" s="79"/>
      <c r="D3" s="79"/>
      <c r="E3" s="79"/>
      <c r="F3" s="79"/>
      <c r="G3" s="29"/>
    </row>
    <row r="4" spans="1:8" x14ac:dyDescent="0.25">
      <c r="B4" s="79" t="s">
        <v>41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64"/>
      <c r="B10" s="8">
        <v>46753</v>
      </c>
      <c r="C10" s="43">
        <f>+'Anexo 13'!AC6</f>
        <v>17293302</v>
      </c>
      <c r="D10" s="76"/>
      <c r="E10" s="57">
        <f>+'Cantidades Ofertadas Prod 3'!AC6</f>
        <v>0</v>
      </c>
      <c r="F10" s="73"/>
      <c r="G10" s="32"/>
      <c r="H10" s="51"/>
    </row>
    <row r="11" spans="1:8" ht="15.75" thickBot="1" x14ac:dyDescent="0.3">
      <c r="A11" s="64"/>
      <c r="B11" s="8">
        <v>46784</v>
      </c>
      <c r="C11" s="43">
        <f>+'Anexo 13'!AC9</f>
        <v>16541326</v>
      </c>
      <c r="D11" s="77"/>
      <c r="E11" s="57">
        <f>+'Cantidades Ofertadas Prod 3'!AC9</f>
        <v>0</v>
      </c>
      <c r="F11" s="74"/>
      <c r="G11" s="32"/>
      <c r="H11" s="51"/>
    </row>
    <row r="12" spans="1:8" ht="15.75" thickBot="1" x14ac:dyDescent="0.3">
      <c r="A12" s="64"/>
      <c r="B12" s="8">
        <v>46813</v>
      </c>
      <c r="C12" s="43">
        <f>+'Anexo 13'!AC12</f>
        <v>17239977</v>
      </c>
      <c r="D12" s="77"/>
      <c r="E12" s="57">
        <f>+'Cantidades Ofertadas Prod 3'!AC12</f>
        <v>0</v>
      </c>
      <c r="F12" s="74"/>
      <c r="G12" s="32"/>
      <c r="H12" s="51"/>
    </row>
    <row r="13" spans="1:8" ht="15.75" thickBot="1" x14ac:dyDescent="0.3">
      <c r="A13" s="64"/>
      <c r="B13" s="8">
        <v>46844</v>
      </c>
      <c r="C13" s="43">
        <f>+'Anexo 13'!AC15</f>
        <v>16211500</v>
      </c>
      <c r="D13" s="77"/>
      <c r="E13" s="57">
        <f>+'Cantidades Ofertadas Prod 3'!AC15</f>
        <v>0</v>
      </c>
      <c r="F13" s="74"/>
      <c r="G13" s="32"/>
      <c r="H13" s="51"/>
    </row>
    <row r="14" spans="1:8" ht="15.75" thickBot="1" x14ac:dyDescent="0.3">
      <c r="A14" s="64"/>
      <c r="B14" s="8">
        <v>46874</v>
      </c>
      <c r="C14" s="43">
        <f>+'Anexo 13'!AC18</f>
        <v>16920192</v>
      </c>
      <c r="D14" s="77"/>
      <c r="E14" s="57">
        <f>+'Cantidades Ofertadas Prod 3'!AC18</f>
        <v>0</v>
      </c>
      <c r="F14" s="74"/>
      <c r="G14" s="32"/>
      <c r="H14" s="51"/>
    </row>
    <row r="15" spans="1:8" ht="15.75" thickBot="1" x14ac:dyDescent="0.3">
      <c r="A15" s="64"/>
      <c r="B15" s="8">
        <v>46905</v>
      </c>
      <c r="C15" s="43">
        <f>+'Anexo 13'!AC21</f>
        <v>16363472</v>
      </c>
      <c r="D15" s="77"/>
      <c r="E15" s="57">
        <f>+'Cantidades Ofertadas Prod 3'!AC21</f>
        <v>0</v>
      </c>
      <c r="F15" s="74"/>
      <c r="G15" s="32"/>
      <c r="H15" s="51"/>
    </row>
    <row r="16" spans="1:8" ht="15.75" thickBot="1" x14ac:dyDescent="0.3">
      <c r="A16" s="64"/>
      <c r="B16" s="8">
        <v>46935</v>
      </c>
      <c r="C16" s="43">
        <f>+'Anexo 13'!AC24</f>
        <v>17274031</v>
      </c>
      <c r="D16" s="77"/>
      <c r="E16" s="57">
        <f>+'Cantidades Ofertadas Prod 3'!AC24</f>
        <v>0</v>
      </c>
      <c r="F16" s="74"/>
      <c r="G16" s="32"/>
      <c r="H16" s="51"/>
    </row>
    <row r="17" spans="1:8" ht="15.75" thickBot="1" x14ac:dyDescent="0.3">
      <c r="A17" s="64"/>
      <c r="B17" s="8">
        <v>46966</v>
      </c>
      <c r="C17" s="43">
        <f>+'Anexo 13'!AC27</f>
        <v>17650378</v>
      </c>
      <c r="D17" s="77"/>
      <c r="E17" s="57">
        <f>+'Cantidades Ofertadas Prod 3'!AC27</f>
        <v>0</v>
      </c>
      <c r="F17" s="74"/>
      <c r="G17" s="32"/>
      <c r="H17" s="51"/>
    </row>
    <row r="18" spans="1:8" ht="15.75" thickBot="1" x14ac:dyDescent="0.3">
      <c r="A18" s="64"/>
      <c r="B18" s="8">
        <v>46997</v>
      </c>
      <c r="C18" s="43">
        <f>+'Anexo 13'!AC30</f>
        <v>17339973</v>
      </c>
      <c r="D18" s="77"/>
      <c r="E18" s="57">
        <f>+'Cantidades Ofertadas Prod 3'!AC30</f>
        <v>0</v>
      </c>
      <c r="F18" s="74"/>
      <c r="G18" s="32"/>
      <c r="H18" s="51"/>
    </row>
    <row r="19" spans="1:8" ht="15.75" thickBot="1" x14ac:dyDescent="0.3">
      <c r="A19" s="64"/>
      <c r="B19" s="8">
        <v>47027</v>
      </c>
      <c r="C19" s="43">
        <f>+'Anexo 13'!AC33</f>
        <v>17127638</v>
      </c>
      <c r="D19" s="77"/>
      <c r="E19" s="57">
        <f>+'Cantidades Ofertadas Prod 3'!AC33</f>
        <v>0</v>
      </c>
      <c r="F19" s="74"/>
      <c r="G19" s="32"/>
      <c r="H19" s="51"/>
    </row>
    <row r="20" spans="1:8" ht="15.75" thickBot="1" x14ac:dyDescent="0.3">
      <c r="A20" s="64"/>
      <c r="B20" s="8">
        <v>47058</v>
      </c>
      <c r="C20" s="43">
        <f>+'Anexo 13'!AC36</f>
        <v>16312126</v>
      </c>
      <c r="D20" s="77"/>
      <c r="E20" s="57">
        <f>+'Cantidades Ofertadas Prod 3'!AC36</f>
        <v>0</v>
      </c>
      <c r="F20" s="74"/>
      <c r="G20" s="32"/>
      <c r="H20" s="51"/>
    </row>
    <row r="21" spans="1:8" ht="15.75" thickBot="1" x14ac:dyDescent="0.3">
      <c r="A21" s="64"/>
      <c r="B21" s="8">
        <v>47088</v>
      </c>
      <c r="C21" s="44">
        <f>+'Anexo 13'!AC39</f>
        <v>17425945</v>
      </c>
      <c r="D21" s="78"/>
      <c r="E21" s="58">
        <f>+'Cantidades Ofertadas Prod 3'!AC39</f>
        <v>0</v>
      </c>
      <c r="F21" s="75"/>
      <c r="G21" s="32"/>
      <c r="H21" s="51"/>
    </row>
    <row r="22" spans="1:8" ht="28.5" customHeight="1" x14ac:dyDescent="0.25">
      <c r="A22" s="64"/>
      <c r="B22" s="9" t="s">
        <v>0</v>
      </c>
      <c r="C22" s="10">
        <f>+SUM(C10:C21)</f>
        <v>203699860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2" t="s">
        <v>46</v>
      </c>
      <c r="C24" s="72"/>
      <c r="D24" s="72"/>
      <c r="E24" s="72"/>
      <c r="F24" s="72"/>
      <c r="G24" s="72"/>
      <c r="H24" s="42"/>
    </row>
    <row r="25" spans="1:8" x14ac:dyDescent="0.25">
      <c r="B25" s="7" t="s">
        <v>84</v>
      </c>
      <c r="C25" s="52"/>
      <c r="D25" s="52"/>
      <c r="E25" s="52"/>
      <c r="F25" s="52"/>
      <c r="G25" s="52"/>
      <c r="H25" s="42"/>
    </row>
    <row r="26" spans="1:8" x14ac:dyDescent="0.25">
      <c r="B26" s="7" t="s">
        <v>65</v>
      </c>
      <c r="C26" s="52"/>
      <c r="D26" s="52"/>
      <c r="E26" s="52"/>
      <c r="F26" s="52"/>
      <c r="G26" s="52"/>
      <c r="H26" s="42"/>
    </row>
    <row r="27" spans="1:8" x14ac:dyDescent="0.25">
      <c r="B27" s="7" t="s">
        <v>43</v>
      </c>
      <c r="H27" s="42"/>
    </row>
    <row r="28" spans="1:8" x14ac:dyDescent="0.25">
      <c r="B28" s="7" t="s">
        <v>125</v>
      </c>
    </row>
    <row r="29" spans="1:8" x14ac:dyDescent="0.25">
      <c r="C29" s="45"/>
    </row>
    <row r="30" spans="1:8" x14ac:dyDescent="0.25">
      <c r="C30" s="45"/>
      <c r="E30" s="45">
        <f>+E22/1000</f>
        <v>0</v>
      </c>
    </row>
    <row r="31" spans="1:8" x14ac:dyDescent="0.25">
      <c r="C31" s="45"/>
    </row>
    <row r="32" spans="1:8" x14ac:dyDescent="0.25">
      <c r="B32" s="60" t="s">
        <v>53</v>
      </c>
      <c r="C32" s="61"/>
      <c r="D32" s="61"/>
      <c r="E32" s="61"/>
    </row>
    <row r="33" spans="2:2" x14ac:dyDescent="0.25">
      <c r="B33" s="61" t="s">
        <v>54</v>
      </c>
    </row>
    <row r="34" spans="2:2" x14ac:dyDescent="0.25">
      <c r="B34" s="61" t="s">
        <v>55</v>
      </c>
    </row>
    <row r="35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61A73EBC-7E67-4E7E-9186-D24A1959D44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570D-3A5B-4D16-87B4-D45525B7C673}">
  <sheetPr>
    <tabColor rgb="FF0070C0"/>
  </sheetPr>
  <dimension ref="A1:XFD34"/>
  <sheetViews>
    <sheetView showGridLines="0" topLeftCell="A10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2" width="11.42578125" hidden="1"/>
    <col min="16383" max="16383" width="14.42578125" customWidth="1"/>
    <col min="16384" max="16384" width="23.42578125" hidden="1" customWidth="1"/>
  </cols>
  <sheetData>
    <row r="1" spans="1:8 16383:16384" ht="15" x14ac:dyDescent="0.25"/>
    <row r="2" spans="1:8 16383:16384" ht="15" x14ac:dyDescent="0.25"/>
    <row r="3" spans="1:8 16383:16384" ht="15" x14ac:dyDescent="0.25">
      <c r="B3" s="79" t="s">
        <v>123</v>
      </c>
      <c r="C3" s="79"/>
      <c r="D3" s="79"/>
      <c r="E3" s="79"/>
      <c r="F3" s="79"/>
      <c r="G3" s="29"/>
    </row>
    <row r="4" spans="1:8 16383:16384" ht="15" x14ac:dyDescent="0.25">
      <c r="B4" s="79" t="s">
        <v>41</v>
      </c>
      <c r="C4" s="79"/>
      <c r="D4" s="79"/>
      <c r="E4" s="79"/>
      <c r="F4" s="79"/>
      <c r="G4" s="29"/>
    </row>
    <row r="5" spans="1:8 16383:16384" ht="15" x14ac:dyDescent="0.25">
      <c r="B5" s="79" t="s">
        <v>89</v>
      </c>
      <c r="C5" s="79"/>
      <c r="D5" s="79"/>
      <c r="E5" s="79"/>
      <c r="F5" s="79"/>
      <c r="G5" s="29"/>
    </row>
    <row r="6" spans="1:8 16383:16384" ht="15" x14ac:dyDescent="0.25">
      <c r="B6" s="5"/>
      <c r="C6" s="5"/>
      <c r="D6" s="5"/>
      <c r="E6" s="5"/>
      <c r="F6" s="5"/>
      <c r="G6" s="5"/>
    </row>
    <row r="7" spans="1:8 16383:16384" ht="15" x14ac:dyDescent="0.25"/>
    <row r="8" spans="1:8 16383:16384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 16383:16384" ht="23.25" customHeight="1" x14ac:dyDescent="0.25">
      <c r="A9" s="59">
        <v>23189</v>
      </c>
      <c r="B9" s="81"/>
      <c r="C9" s="81"/>
      <c r="D9" s="81"/>
      <c r="E9" s="81"/>
      <c r="F9" s="81"/>
      <c r="G9" s="28"/>
    </row>
    <row r="10" spans="1:8 16383:16384" ht="15.75" thickBot="1" x14ac:dyDescent="0.3">
      <c r="A10" s="59">
        <v>31</v>
      </c>
      <c r="B10" s="8">
        <v>46753</v>
      </c>
      <c r="C10" s="43">
        <f>+$A$9*A10*24</f>
        <v>17252616</v>
      </c>
      <c r="D10" s="82"/>
      <c r="E10" s="57">
        <f>+$D$10*A10*24</f>
        <v>0</v>
      </c>
      <c r="F10" s="85"/>
      <c r="G10" s="32"/>
      <c r="H10" s="51"/>
      <c r="XFC10" s="48"/>
      <c r="XFD10" s="49"/>
    </row>
    <row r="11" spans="1:8 16383:16384" ht="15.75" thickBot="1" x14ac:dyDescent="0.3">
      <c r="A11" s="59">
        <v>29</v>
      </c>
      <c r="B11" s="8">
        <v>46784</v>
      </c>
      <c r="C11" s="43">
        <f t="shared" ref="C11:C21" si="0">+$A$9*A11*24</f>
        <v>16139544</v>
      </c>
      <c r="D11" s="83"/>
      <c r="E11" s="57">
        <f t="shared" ref="E11:E21" si="1">+$D$10*A11*24</f>
        <v>0</v>
      </c>
      <c r="F11" s="86"/>
      <c r="G11" s="32"/>
      <c r="H11" s="51"/>
      <c r="XFC11" s="48"/>
      <c r="XFD11" s="49"/>
    </row>
    <row r="12" spans="1:8 16383:16384" ht="15.75" thickBot="1" x14ac:dyDescent="0.3">
      <c r="A12" s="59">
        <v>31</v>
      </c>
      <c r="B12" s="8">
        <v>46813</v>
      </c>
      <c r="C12" s="43">
        <f t="shared" si="0"/>
        <v>17252616</v>
      </c>
      <c r="D12" s="83"/>
      <c r="E12" s="57">
        <f t="shared" si="1"/>
        <v>0</v>
      </c>
      <c r="F12" s="86"/>
      <c r="G12" s="32"/>
      <c r="H12" s="51"/>
      <c r="XFC12" s="48"/>
      <c r="XFD12" s="49"/>
    </row>
    <row r="13" spans="1:8 16383:16384" ht="15.75" thickBot="1" x14ac:dyDescent="0.3">
      <c r="A13" s="59">
        <v>30</v>
      </c>
      <c r="B13" s="8">
        <v>46844</v>
      </c>
      <c r="C13" s="43">
        <f t="shared" si="0"/>
        <v>16696080</v>
      </c>
      <c r="D13" s="83"/>
      <c r="E13" s="57">
        <f t="shared" si="1"/>
        <v>0</v>
      </c>
      <c r="F13" s="86"/>
      <c r="G13" s="32"/>
      <c r="H13" s="51"/>
      <c r="XFC13" s="48"/>
      <c r="XFD13" s="49"/>
    </row>
    <row r="14" spans="1:8 16383:16384" ht="15.75" thickBot="1" x14ac:dyDescent="0.3">
      <c r="A14" s="59">
        <v>31</v>
      </c>
      <c r="B14" s="8">
        <v>46874</v>
      </c>
      <c r="C14" s="43">
        <f t="shared" si="0"/>
        <v>17252616</v>
      </c>
      <c r="D14" s="83"/>
      <c r="E14" s="57">
        <f t="shared" si="1"/>
        <v>0</v>
      </c>
      <c r="F14" s="86"/>
      <c r="G14" s="32"/>
      <c r="H14" s="51"/>
      <c r="XFC14" s="48"/>
      <c r="XFD14" s="49"/>
    </row>
    <row r="15" spans="1:8 16383:16384" ht="15.75" thickBot="1" x14ac:dyDescent="0.3">
      <c r="A15" s="59">
        <v>30</v>
      </c>
      <c r="B15" s="8">
        <v>46905</v>
      </c>
      <c r="C15" s="43">
        <f t="shared" si="0"/>
        <v>16696080</v>
      </c>
      <c r="D15" s="83"/>
      <c r="E15" s="57">
        <f t="shared" si="1"/>
        <v>0</v>
      </c>
      <c r="F15" s="86"/>
      <c r="G15" s="32"/>
      <c r="H15" s="51"/>
      <c r="XFC15" s="48"/>
      <c r="XFD15" s="49"/>
    </row>
    <row r="16" spans="1:8 16383:16384" ht="15.75" thickBot="1" x14ac:dyDescent="0.3">
      <c r="A16" s="59">
        <v>31</v>
      </c>
      <c r="B16" s="8">
        <v>46935</v>
      </c>
      <c r="C16" s="43">
        <f t="shared" si="0"/>
        <v>17252616</v>
      </c>
      <c r="D16" s="83"/>
      <c r="E16" s="57">
        <f t="shared" si="1"/>
        <v>0</v>
      </c>
      <c r="F16" s="86"/>
      <c r="G16" s="32"/>
      <c r="H16" s="51"/>
      <c r="XFC16" s="48"/>
      <c r="XFD16" s="49"/>
    </row>
    <row r="17" spans="1:8 16383:16384" ht="15.75" thickBot="1" x14ac:dyDescent="0.3">
      <c r="A17" s="59">
        <v>31</v>
      </c>
      <c r="B17" s="8">
        <v>46966</v>
      </c>
      <c r="C17" s="43">
        <f t="shared" si="0"/>
        <v>17252616</v>
      </c>
      <c r="D17" s="83"/>
      <c r="E17" s="57">
        <f t="shared" si="1"/>
        <v>0</v>
      </c>
      <c r="F17" s="86"/>
      <c r="G17" s="32"/>
      <c r="H17" s="51"/>
      <c r="XFC17" s="48"/>
      <c r="XFD17" s="49"/>
    </row>
    <row r="18" spans="1:8 16383:16384" ht="15.75" thickBot="1" x14ac:dyDescent="0.3">
      <c r="A18" s="59">
        <v>30</v>
      </c>
      <c r="B18" s="8">
        <v>46997</v>
      </c>
      <c r="C18" s="43">
        <f t="shared" si="0"/>
        <v>16696080</v>
      </c>
      <c r="D18" s="83"/>
      <c r="E18" s="57">
        <f t="shared" si="1"/>
        <v>0</v>
      </c>
      <c r="F18" s="86"/>
      <c r="G18" s="32"/>
      <c r="H18" s="51"/>
      <c r="XFC18" s="48"/>
      <c r="XFD18" s="49"/>
    </row>
    <row r="19" spans="1:8 16383:16384" ht="15.75" thickBot="1" x14ac:dyDescent="0.3">
      <c r="A19" s="59">
        <v>31</v>
      </c>
      <c r="B19" s="8">
        <v>47027</v>
      </c>
      <c r="C19" s="43">
        <f t="shared" si="0"/>
        <v>17252616</v>
      </c>
      <c r="D19" s="83"/>
      <c r="E19" s="57">
        <f t="shared" si="1"/>
        <v>0</v>
      </c>
      <c r="F19" s="86"/>
      <c r="G19" s="32"/>
      <c r="H19" s="45"/>
      <c r="XFC19" s="48"/>
      <c r="XFD19" s="49"/>
    </row>
    <row r="20" spans="1:8 16383:16384" ht="15.75" thickBot="1" x14ac:dyDescent="0.3">
      <c r="A20" s="59">
        <v>30</v>
      </c>
      <c r="B20" s="8">
        <v>47058</v>
      </c>
      <c r="C20" s="43">
        <f t="shared" si="0"/>
        <v>16696080</v>
      </c>
      <c r="D20" s="83"/>
      <c r="E20" s="57">
        <f t="shared" si="1"/>
        <v>0</v>
      </c>
      <c r="F20" s="86"/>
      <c r="G20" s="32"/>
      <c r="H20" s="45"/>
      <c r="XFC20" s="48"/>
      <c r="XFD20" s="49"/>
    </row>
    <row r="21" spans="1:8 16383:16384" ht="15.75" thickBot="1" x14ac:dyDescent="0.3">
      <c r="A21" s="59">
        <v>31</v>
      </c>
      <c r="B21" s="8">
        <v>47088</v>
      </c>
      <c r="C21" s="43">
        <f t="shared" si="0"/>
        <v>17252616</v>
      </c>
      <c r="D21" s="84"/>
      <c r="E21" s="57">
        <f t="shared" si="1"/>
        <v>0</v>
      </c>
      <c r="F21" s="87"/>
      <c r="G21" s="32"/>
      <c r="H21" s="45"/>
      <c r="XFC21" s="48"/>
      <c r="XFD21" s="49"/>
    </row>
    <row r="22" spans="1:8 16383:16384" ht="28.5" customHeight="1" x14ac:dyDescent="0.25">
      <c r="B22" s="9" t="s">
        <v>0</v>
      </c>
      <c r="C22" s="10">
        <f>+SUM(C10:C21)</f>
        <v>203692176</v>
      </c>
      <c r="D22" s="11"/>
      <c r="E22" s="56">
        <f>SUM(E10:E21)</f>
        <v>0</v>
      </c>
      <c r="F22" s="55">
        <f>+F10</f>
        <v>0</v>
      </c>
      <c r="G22" s="50"/>
      <c r="H22" s="42"/>
      <c r="XFC22" s="48"/>
      <c r="XFD22" s="49"/>
    </row>
    <row r="23" spans="1:8 16383:16384" ht="19.5" customHeight="1" x14ac:dyDescent="0.25">
      <c r="B23" s="7" t="s">
        <v>58</v>
      </c>
      <c r="C23" s="25"/>
      <c r="D23" s="30"/>
      <c r="E23" s="25"/>
      <c r="F23" s="26"/>
      <c r="G23" s="67"/>
      <c r="H23" s="42"/>
      <c r="XFC23" s="51"/>
      <c r="XFD23" s="49"/>
    </row>
    <row r="24" spans="1:8 16383:16384" ht="15" customHeight="1" x14ac:dyDescent="0.25">
      <c r="B24" s="7" t="s">
        <v>124</v>
      </c>
      <c r="C24" s="7"/>
      <c r="D24" s="7"/>
      <c r="E24" s="7"/>
      <c r="F24" s="7"/>
      <c r="G24" s="7"/>
      <c r="H24" s="42"/>
      <c r="XFC24" s="45"/>
    </row>
    <row r="25" spans="1:8 16383:16384" ht="15" x14ac:dyDescent="0.25">
      <c r="B25" s="7" t="s">
        <v>43</v>
      </c>
      <c r="H25" s="42"/>
      <c r="XFC25" s="42"/>
    </row>
    <row r="26" spans="1:8 16383:16384" ht="33" customHeight="1" x14ac:dyDescent="0.25">
      <c r="B26" s="72" t="s">
        <v>68</v>
      </c>
      <c r="C26" s="72"/>
      <c r="D26" s="72"/>
      <c r="E26" s="72"/>
      <c r="F26" s="72"/>
      <c r="G26" s="72"/>
      <c r="H26" s="42"/>
    </row>
    <row r="27" spans="1:8 16383:16384" ht="15" x14ac:dyDescent="0.25">
      <c r="B27" s="7"/>
      <c r="C27" s="69"/>
      <c r="D27" s="54"/>
      <c r="E27" s="54"/>
      <c r="F27" s="54"/>
      <c r="G27" s="54"/>
      <c r="H27" s="42"/>
    </row>
    <row r="28" spans="1:8 16383:16384" ht="15" x14ac:dyDescent="0.25">
      <c r="B28" s="70"/>
      <c r="C28" s="54"/>
      <c r="D28" s="54"/>
      <c r="E28" s="54"/>
      <c r="F28" s="54"/>
      <c r="G28" s="54"/>
      <c r="H28" s="42"/>
    </row>
    <row r="29" spans="1:8 16383:16384" ht="15" x14ac:dyDescent="0.25">
      <c r="B29" s="7"/>
      <c r="C29" s="4"/>
      <c r="D29" s="3"/>
      <c r="E29" s="3"/>
      <c r="F29" s="3"/>
      <c r="G29" s="3"/>
      <c r="H29" s="42"/>
    </row>
    <row r="30" spans="1:8 16383:16384" ht="15" customHeight="1" x14ac:dyDescent="0.25">
      <c r="A30" s="2"/>
      <c r="H30" s="42"/>
    </row>
    <row r="31" spans="1:8 16383:16384" ht="15" customHeight="1" x14ac:dyDescent="0.25">
      <c r="A31" s="1"/>
      <c r="B31" s="60" t="s">
        <v>53</v>
      </c>
      <c r="H31" s="42"/>
    </row>
    <row r="32" spans="1:8 16383:16384" ht="15" customHeight="1" x14ac:dyDescent="0.25">
      <c r="A32" s="1"/>
      <c r="B32" s="61" t="s">
        <v>54</v>
      </c>
      <c r="H32" s="42"/>
    </row>
    <row r="33" spans="2:2" ht="15" x14ac:dyDescent="0.25">
      <c r="B33" s="61" t="s">
        <v>55</v>
      </c>
    </row>
    <row r="34" spans="2:2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XFD10:XFD21">
    <cfRule type="cellIs" dxfId="7" priority="1" operator="lessThan">
      <formula>0</formula>
    </cfRule>
  </conditionalFormatting>
  <dataValidations count="1">
    <dataValidation type="whole" operator="lessThanOrEqual" allowBlank="1" showInputMessage="1" showErrorMessage="1" errorTitle="Error" error="Debe ingresar un numero menor o igual  23.189" prompt="Debe ingresar un numero menor o igual  23.189" sqref="D10:D21" xr:uid="{F8B85251-9854-46D7-B607-474BCBBA6E25}">
      <formula1>A9</formula1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EA43-20F0-4D82-8C03-DE937EA6488F}">
  <sheetPr codeName="Hoja6">
    <tabColor rgb="FF0070C0"/>
  </sheetPr>
  <dimension ref="A1:AD46"/>
  <sheetViews>
    <sheetView showGridLines="0" zoomScale="115" zoomScaleNormal="115" zoomScaleSheetLayoutView="110" workbookViewId="0">
      <pane xSplit="2" ySplit="5" topLeftCell="C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6.42578125" bestFit="1" customWidth="1"/>
    <col min="2" max="2" width="8.7109375" bestFit="1" customWidth="1"/>
    <col min="3" max="3" width="7.42578125" bestFit="1" customWidth="1"/>
    <col min="4" max="6" width="8" bestFit="1" customWidth="1"/>
    <col min="7" max="7" width="7.42578125" bestFit="1" customWidth="1"/>
    <col min="8" max="8" width="8" bestFit="1" customWidth="1"/>
    <col min="9" max="9" width="7.7109375" bestFit="1" customWidth="1"/>
    <col min="10" max="10" width="7.42578125" bestFit="1" customWidth="1"/>
    <col min="11" max="11" width="8" bestFit="1" customWidth="1"/>
    <col min="12" max="12" width="7.42578125" bestFit="1" customWidth="1"/>
    <col min="13" max="15" width="8" bestFit="1" customWidth="1"/>
    <col min="16" max="16" width="7.7109375" bestFit="1" customWidth="1"/>
    <col min="17" max="17" width="8" bestFit="1" customWidth="1"/>
    <col min="18" max="18" width="7.7109375" bestFit="1" customWidth="1"/>
    <col min="19" max="19" width="7.140625" bestFit="1" customWidth="1"/>
    <col min="20" max="20" width="7.7109375" bestFit="1" customWidth="1"/>
    <col min="21" max="22" width="9" bestFit="1" customWidth="1"/>
    <col min="23" max="23" width="8.7109375" bestFit="1" customWidth="1"/>
    <col min="24" max="26" width="8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8.42578125" bestFit="1" customWidth="1"/>
    <col min="31" max="16384" width="9.140625" hidden="1"/>
  </cols>
  <sheetData>
    <row r="1" spans="1:30" x14ac:dyDescent="0.25">
      <c r="A1" s="90" t="s">
        <v>61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46753</v>
      </c>
      <c r="B6" s="18" t="s">
        <v>5</v>
      </c>
      <c r="C6" s="33">
        <v>18825</v>
      </c>
      <c r="D6" s="33">
        <v>17737</v>
      </c>
      <c r="E6" s="33">
        <v>17082</v>
      </c>
      <c r="F6" s="33">
        <v>16744</v>
      </c>
      <c r="G6" s="33">
        <v>16978</v>
      </c>
      <c r="H6" s="33">
        <v>17989</v>
      </c>
      <c r="I6" s="33">
        <v>18950</v>
      </c>
      <c r="J6" s="33">
        <v>20750</v>
      </c>
      <c r="K6" s="33">
        <v>22775</v>
      </c>
      <c r="L6" s="33">
        <v>24309</v>
      </c>
      <c r="M6" s="33">
        <v>25870</v>
      </c>
      <c r="N6" s="33">
        <v>27344</v>
      </c>
      <c r="O6" s="33">
        <v>27094</v>
      </c>
      <c r="P6" s="33">
        <v>27126</v>
      </c>
      <c r="Q6" s="33">
        <v>27578</v>
      </c>
      <c r="R6" s="33">
        <v>27664</v>
      </c>
      <c r="S6" s="33">
        <v>27348</v>
      </c>
      <c r="T6" s="33">
        <v>26755</v>
      </c>
      <c r="U6" s="33">
        <v>28722</v>
      </c>
      <c r="V6" s="33">
        <v>30359</v>
      </c>
      <c r="W6" s="33">
        <v>29258</v>
      </c>
      <c r="X6" s="33">
        <v>27328</v>
      </c>
      <c r="Y6" s="33">
        <v>24224</v>
      </c>
      <c r="Z6" s="34">
        <v>21090</v>
      </c>
      <c r="AA6" s="35">
        <f>SUM(C6:Z6)</f>
        <v>569899</v>
      </c>
      <c r="AB6" s="19">
        <v>20</v>
      </c>
      <c r="AC6" s="100">
        <f>+AA6*AB6+AA7*AB7+AA8*AB8</f>
        <v>17293302</v>
      </c>
      <c r="AD6" s="49"/>
    </row>
    <row r="7" spans="1:30" ht="15.75" thickBot="1" x14ac:dyDescent="0.3">
      <c r="A7" s="99"/>
      <c r="B7" s="20" t="s">
        <v>4</v>
      </c>
      <c r="C7" s="36">
        <v>19279</v>
      </c>
      <c r="D7" s="36">
        <v>18050</v>
      </c>
      <c r="E7" s="36">
        <v>17300</v>
      </c>
      <c r="F7" s="36">
        <v>16828</v>
      </c>
      <c r="G7" s="36">
        <v>16843</v>
      </c>
      <c r="H7" s="36">
        <v>17408</v>
      </c>
      <c r="I7" s="36">
        <v>18068</v>
      </c>
      <c r="J7" s="36">
        <v>19898</v>
      </c>
      <c r="K7" s="36">
        <v>22161</v>
      </c>
      <c r="L7" s="36">
        <v>23869</v>
      </c>
      <c r="M7" s="36">
        <v>25149</v>
      </c>
      <c r="N7" s="36">
        <v>26415</v>
      </c>
      <c r="O7" s="36">
        <v>26552</v>
      </c>
      <c r="P7" s="36">
        <v>26291</v>
      </c>
      <c r="Q7" s="36">
        <v>26005</v>
      </c>
      <c r="R7" s="36">
        <v>25866</v>
      </c>
      <c r="S7" s="36">
        <v>25671</v>
      </c>
      <c r="T7" s="36">
        <v>25646</v>
      </c>
      <c r="U7" s="36">
        <v>28111</v>
      </c>
      <c r="V7" s="36">
        <v>29867</v>
      </c>
      <c r="W7" s="36">
        <v>28666</v>
      </c>
      <c r="X7" s="36">
        <v>26876</v>
      </c>
      <c r="Y7" s="36">
        <v>24336</v>
      </c>
      <c r="Z7" s="37">
        <v>21791</v>
      </c>
      <c r="AA7" s="35">
        <f t="shared" ref="AA7:AA41" si="0">SUM(C7:Z7)</f>
        <v>556946</v>
      </c>
      <c r="AB7" s="21">
        <v>4</v>
      </c>
      <c r="AC7" s="101"/>
      <c r="AD7" s="49"/>
    </row>
    <row r="8" spans="1:30" ht="15.75" thickBot="1" x14ac:dyDescent="0.3">
      <c r="A8" s="99"/>
      <c r="B8" s="22" t="s">
        <v>3</v>
      </c>
      <c r="C8" s="39">
        <v>20210</v>
      </c>
      <c r="D8" s="39">
        <v>18883</v>
      </c>
      <c r="E8" s="39">
        <v>18002</v>
      </c>
      <c r="F8" s="39">
        <v>17381</v>
      </c>
      <c r="G8" s="39">
        <v>17078</v>
      </c>
      <c r="H8" s="39">
        <v>17197</v>
      </c>
      <c r="I8" s="39">
        <v>17028</v>
      </c>
      <c r="J8" s="39">
        <v>18034</v>
      </c>
      <c r="K8" s="39">
        <v>19756</v>
      </c>
      <c r="L8" s="39">
        <v>21273</v>
      </c>
      <c r="M8" s="39">
        <v>22393</v>
      </c>
      <c r="N8" s="39">
        <v>23559</v>
      </c>
      <c r="O8" s="39">
        <v>24249</v>
      </c>
      <c r="P8" s="39">
        <v>24167</v>
      </c>
      <c r="Q8" s="39">
        <v>23728</v>
      </c>
      <c r="R8" s="39">
        <v>23475</v>
      </c>
      <c r="S8" s="39">
        <v>23348</v>
      </c>
      <c r="T8" s="39">
        <v>23475</v>
      </c>
      <c r="U8" s="39">
        <v>26164</v>
      </c>
      <c r="V8" s="39">
        <v>28084</v>
      </c>
      <c r="W8" s="39">
        <v>27300</v>
      </c>
      <c r="X8" s="39">
        <v>25626</v>
      </c>
      <c r="Y8" s="39">
        <v>23045</v>
      </c>
      <c r="Z8" s="40">
        <v>20479</v>
      </c>
      <c r="AA8" s="35">
        <f t="shared" si="0"/>
        <v>523934</v>
      </c>
      <c r="AB8" s="23">
        <v>7</v>
      </c>
      <c r="AC8" s="102"/>
      <c r="AD8" s="49"/>
    </row>
    <row r="9" spans="1:30" ht="15.75" thickBot="1" x14ac:dyDescent="0.3">
      <c r="A9" s="99">
        <v>46784</v>
      </c>
      <c r="B9" s="18" t="s">
        <v>5</v>
      </c>
      <c r="C9" s="33">
        <v>18935</v>
      </c>
      <c r="D9" s="33">
        <v>17888</v>
      </c>
      <c r="E9" s="33">
        <v>17286</v>
      </c>
      <c r="F9" s="33">
        <v>16990</v>
      </c>
      <c r="G9" s="33">
        <v>17332</v>
      </c>
      <c r="H9" s="33">
        <v>18902</v>
      </c>
      <c r="I9" s="33">
        <v>20152</v>
      </c>
      <c r="J9" s="33">
        <v>21510</v>
      </c>
      <c r="K9" s="33">
        <v>23312</v>
      </c>
      <c r="L9" s="33">
        <v>24661</v>
      </c>
      <c r="M9" s="33">
        <v>26136</v>
      </c>
      <c r="N9" s="33">
        <v>27502</v>
      </c>
      <c r="O9" s="33">
        <v>26954</v>
      </c>
      <c r="P9" s="33">
        <v>27162</v>
      </c>
      <c r="Q9" s="33">
        <v>27797</v>
      </c>
      <c r="R9" s="33">
        <v>27911</v>
      </c>
      <c r="S9" s="33">
        <v>27600</v>
      </c>
      <c r="T9" s="33">
        <v>26880</v>
      </c>
      <c r="U9" s="33">
        <v>28380</v>
      </c>
      <c r="V9" s="33">
        <v>30529</v>
      </c>
      <c r="W9" s="33">
        <v>29470</v>
      </c>
      <c r="X9" s="33">
        <v>27449</v>
      </c>
      <c r="Y9" s="33">
        <v>24259</v>
      </c>
      <c r="Z9" s="34">
        <v>21085</v>
      </c>
      <c r="AA9" s="35">
        <f t="shared" si="0"/>
        <v>576082</v>
      </c>
      <c r="AB9" s="19">
        <v>21</v>
      </c>
      <c r="AC9" s="100">
        <f>+AA9*AB9+AA10*AB10+AA11*AB11</f>
        <v>16541326</v>
      </c>
      <c r="AD9" s="49"/>
    </row>
    <row r="10" spans="1:30" ht="15.75" thickBot="1" x14ac:dyDescent="0.3">
      <c r="A10" s="99"/>
      <c r="B10" s="20" t="s">
        <v>4</v>
      </c>
      <c r="C10" s="36">
        <v>19636</v>
      </c>
      <c r="D10" s="36">
        <v>18475</v>
      </c>
      <c r="E10" s="36">
        <v>17728</v>
      </c>
      <c r="F10" s="36">
        <v>17300</v>
      </c>
      <c r="G10" s="36">
        <v>17350</v>
      </c>
      <c r="H10" s="36">
        <v>17959</v>
      </c>
      <c r="I10" s="36">
        <v>18933</v>
      </c>
      <c r="J10" s="36">
        <v>20762</v>
      </c>
      <c r="K10" s="36">
        <v>23112</v>
      </c>
      <c r="L10" s="36">
        <v>24749</v>
      </c>
      <c r="M10" s="36">
        <v>26051</v>
      </c>
      <c r="N10" s="36">
        <v>27314</v>
      </c>
      <c r="O10" s="36">
        <v>27349</v>
      </c>
      <c r="P10" s="36">
        <v>26999</v>
      </c>
      <c r="Q10" s="36">
        <v>26698</v>
      </c>
      <c r="R10" s="36">
        <v>26534</v>
      </c>
      <c r="S10" s="36">
        <v>26308</v>
      </c>
      <c r="T10" s="36">
        <v>26226</v>
      </c>
      <c r="U10" s="36">
        <v>28220</v>
      </c>
      <c r="V10" s="36">
        <v>30381</v>
      </c>
      <c r="W10" s="36">
        <v>29191</v>
      </c>
      <c r="X10" s="36">
        <v>27501</v>
      </c>
      <c r="Y10" s="36">
        <v>25084</v>
      </c>
      <c r="Z10" s="37">
        <v>22398</v>
      </c>
      <c r="AA10" s="35">
        <f t="shared" si="0"/>
        <v>572258</v>
      </c>
      <c r="AB10" s="21">
        <v>4</v>
      </c>
      <c r="AC10" s="101"/>
      <c r="AD10" s="49"/>
    </row>
    <row r="11" spans="1:30" ht="15.75" thickBot="1" x14ac:dyDescent="0.3">
      <c r="A11" s="99"/>
      <c r="B11" s="22" t="s">
        <v>3</v>
      </c>
      <c r="C11" s="39">
        <v>20394</v>
      </c>
      <c r="D11" s="39">
        <v>19077</v>
      </c>
      <c r="E11" s="39">
        <v>18274</v>
      </c>
      <c r="F11" s="39">
        <v>17671</v>
      </c>
      <c r="G11" s="39">
        <v>17478</v>
      </c>
      <c r="H11" s="39">
        <v>17659</v>
      </c>
      <c r="I11" s="39">
        <v>17803</v>
      </c>
      <c r="J11" s="39">
        <v>18983</v>
      </c>
      <c r="K11" s="39">
        <v>20871</v>
      </c>
      <c r="L11" s="39">
        <v>22417</v>
      </c>
      <c r="M11" s="39">
        <v>23442</v>
      </c>
      <c r="N11" s="39">
        <v>24549</v>
      </c>
      <c r="O11" s="39">
        <v>25169</v>
      </c>
      <c r="P11" s="39">
        <v>24967</v>
      </c>
      <c r="Q11" s="39">
        <v>24473</v>
      </c>
      <c r="R11" s="39">
        <v>24173</v>
      </c>
      <c r="S11" s="39">
        <v>24022</v>
      </c>
      <c r="T11" s="39">
        <v>24149</v>
      </c>
      <c r="U11" s="39">
        <v>26293</v>
      </c>
      <c r="V11" s="39">
        <v>28680</v>
      </c>
      <c r="W11" s="39">
        <v>27952</v>
      </c>
      <c r="X11" s="39">
        <v>26217</v>
      </c>
      <c r="Y11" s="39">
        <v>23369</v>
      </c>
      <c r="Z11" s="40">
        <v>20561</v>
      </c>
      <c r="AA11" s="35">
        <f t="shared" si="0"/>
        <v>538643</v>
      </c>
      <c r="AB11" s="23">
        <v>4</v>
      </c>
      <c r="AC11" s="102"/>
      <c r="AD11" s="49"/>
    </row>
    <row r="12" spans="1:30" ht="15.75" thickBot="1" x14ac:dyDescent="0.3">
      <c r="A12" s="99">
        <v>46813</v>
      </c>
      <c r="B12" s="18" t="s">
        <v>5</v>
      </c>
      <c r="C12" s="33">
        <v>18533</v>
      </c>
      <c r="D12" s="33">
        <v>17530</v>
      </c>
      <c r="E12" s="33">
        <v>16975</v>
      </c>
      <c r="F12" s="33">
        <v>16697</v>
      </c>
      <c r="G12" s="33">
        <v>17066</v>
      </c>
      <c r="H12" s="33">
        <v>18605</v>
      </c>
      <c r="I12" s="33">
        <v>19683</v>
      </c>
      <c r="J12" s="33">
        <v>21186</v>
      </c>
      <c r="K12" s="33">
        <v>22915</v>
      </c>
      <c r="L12" s="33">
        <v>24211</v>
      </c>
      <c r="M12" s="33">
        <v>25592</v>
      </c>
      <c r="N12" s="33">
        <v>26838</v>
      </c>
      <c r="O12" s="33">
        <v>26341</v>
      </c>
      <c r="P12" s="33">
        <v>26451</v>
      </c>
      <c r="Q12" s="33">
        <v>26997</v>
      </c>
      <c r="R12" s="33">
        <v>27086</v>
      </c>
      <c r="S12" s="33">
        <v>26849</v>
      </c>
      <c r="T12" s="33">
        <v>26341</v>
      </c>
      <c r="U12" s="33">
        <v>28214</v>
      </c>
      <c r="V12" s="33">
        <v>30047</v>
      </c>
      <c r="W12" s="33">
        <v>28956</v>
      </c>
      <c r="X12" s="33">
        <v>26900</v>
      </c>
      <c r="Y12" s="33">
        <v>23775</v>
      </c>
      <c r="Z12" s="34">
        <v>20689</v>
      </c>
      <c r="AA12" s="35">
        <f t="shared" si="0"/>
        <v>564477</v>
      </c>
      <c r="AB12" s="19">
        <v>22</v>
      </c>
      <c r="AC12" s="100">
        <f>+AA12*AB12+AA13*AB13+AA14*AB14</f>
        <v>17239977</v>
      </c>
      <c r="AD12" s="49"/>
    </row>
    <row r="13" spans="1:30" ht="15.75" thickBot="1" x14ac:dyDescent="0.3">
      <c r="A13" s="99"/>
      <c r="B13" s="20" t="s">
        <v>4</v>
      </c>
      <c r="C13" s="36">
        <v>19116</v>
      </c>
      <c r="D13" s="36">
        <v>17959</v>
      </c>
      <c r="E13" s="36">
        <v>17343</v>
      </c>
      <c r="F13" s="36">
        <v>16991</v>
      </c>
      <c r="G13" s="36">
        <v>17012</v>
      </c>
      <c r="H13" s="36">
        <v>17659</v>
      </c>
      <c r="I13" s="36">
        <v>18222</v>
      </c>
      <c r="J13" s="36">
        <v>20228</v>
      </c>
      <c r="K13" s="36">
        <v>22409</v>
      </c>
      <c r="L13" s="36">
        <v>23990</v>
      </c>
      <c r="M13" s="36">
        <v>25245</v>
      </c>
      <c r="N13" s="36">
        <v>26292</v>
      </c>
      <c r="O13" s="36">
        <v>26271</v>
      </c>
      <c r="P13" s="36">
        <v>25898</v>
      </c>
      <c r="Q13" s="36">
        <v>25619</v>
      </c>
      <c r="R13" s="36">
        <v>25409</v>
      </c>
      <c r="S13" s="36">
        <v>25136</v>
      </c>
      <c r="T13" s="36">
        <v>25155</v>
      </c>
      <c r="U13" s="36">
        <v>27431</v>
      </c>
      <c r="V13" s="36">
        <v>29159</v>
      </c>
      <c r="W13" s="36">
        <v>28029</v>
      </c>
      <c r="X13" s="36">
        <v>26413</v>
      </c>
      <c r="Y13" s="36">
        <v>24008</v>
      </c>
      <c r="Z13" s="37">
        <v>21578</v>
      </c>
      <c r="AA13" s="35">
        <f t="shared" si="0"/>
        <v>552572</v>
      </c>
      <c r="AB13" s="21">
        <v>4</v>
      </c>
      <c r="AC13" s="101"/>
      <c r="AD13" s="49"/>
    </row>
    <row r="14" spans="1:30" ht="15.75" thickBot="1" x14ac:dyDescent="0.3">
      <c r="A14" s="99"/>
      <c r="B14" s="22" t="s">
        <v>3</v>
      </c>
      <c r="C14" s="39">
        <v>19701</v>
      </c>
      <c r="D14" s="39">
        <v>18427</v>
      </c>
      <c r="E14" s="39">
        <v>17678</v>
      </c>
      <c r="F14" s="39">
        <v>17169</v>
      </c>
      <c r="G14" s="39">
        <v>16958</v>
      </c>
      <c r="H14" s="39">
        <v>17208</v>
      </c>
      <c r="I14" s="39">
        <v>17146</v>
      </c>
      <c r="J14" s="39">
        <v>18420</v>
      </c>
      <c r="K14" s="39">
        <v>20156</v>
      </c>
      <c r="L14" s="39">
        <v>21555</v>
      </c>
      <c r="M14" s="39">
        <v>22530</v>
      </c>
      <c r="N14" s="39">
        <v>23639</v>
      </c>
      <c r="O14" s="39">
        <v>24299</v>
      </c>
      <c r="P14" s="39">
        <v>24115</v>
      </c>
      <c r="Q14" s="39">
        <v>23608</v>
      </c>
      <c r="R14" s="39">
        <v>23382</v>
      </c>
      <c r="S14" s="39">
        <v>23235</v>
      </c>
      <c r="T14" s="39">
        <v>23417</v>
      </c>
      <c r="U14" s="39">
        <v>25874</v>
      </c>
      <c r="V14" s="39">
        <v>27911</v>
      </c>
      <c r="W14" s="39">
        <v>27125</v>
      </c>
      <c r="X14" s="39">
        <v>25499</v>
      </c>
      <c r="Y14" s="39">
        <v>22854</v>
      </c>
      <c r="Z14" s="40">
        <v>20333</v>
      </c>
      <c r="AA14" s="35">
        <f t="shared" si="0"/>
        <v>522239</v>
      </c>
      <c r="AB14" s="23">
        <v>5</v>
      </c>
      <c r="AC14" s="102"/>
      <c r="AD14" s="49"/>
    </row>
    <row r="15" spans="1:30" ht="15.75" thickBot="1" x14ac:dyDescent="0.3">
      <c r="A15" s="99">
        <v>46844</v>
      </c>
      <c r="B15" s="18" t="s">
        <v>5</v>
      </c>
      <c r="C15" s="33">
        <v>18105</v>
      </c>
      <c r="D15" s="33">
        <v>17146</v>
      </c>
      <c r="E15" s="33">
        <v>16568</v>
      </c>
      <c r="F15" s="33">
        <v>16300</v>
      </c>
      <c r="G15" s="33">
        <v>16639</v>
      </c>
      <c r="H15" s="33">
        <v>17880</v>
      </c>
      <c r="I15" s="33">
        <v>18794</v>
      </c>
      <c r="J15" s="33">
        <v>20450</v>
      </c>
      <c r="K15" s="33">
        <v>22179</v>
      </c>
      <c r="L15" s="33">
        <v>23534</v>
      </c>
      <c r="M15" s="33">
        <v>24964</v>
      </c>
      <c r="N15" s="33">
        <v>26260</v>
      </c>
      <c r="O15" s="33">
        <v>25797</v>
      </c>
      <c r="P15" s="33">
        <v>25916</v>
      </c>
      <c r="Q15" s="33">
        <v>26428</v>
      </c>
      <c r="R15" s="33">
        <v>26481</v>
      </c>
      <c r="S15" s="33">
        <v>26214</v>
      </c>
      <c r="T15" s="33">
        <v>25827</v>
      </c>
      <c r="U15" s="33">
        <v>28082</v>
      </c>
      <c r="V15" s="33">
        <v>29422</v>
      </c>
      <c r="W15" s="33">
        <v>28387</v>
      </c>
      <c r="X15" s="33">
        <v>26312</v>
      </c>
      <c r="Y15" s="33">
        <v>23171</v>
      </c>
      <c r="Z15" s="34">
        <v>20166</v>
      </c>
      <c r="AA15" s="35">
        <f t="shared" si="0"/>
        <v>551022</v>
      </c>
      <c r="AB15" s="19">
        <v>18</v>
      </c>
      <c r="AC15" s="100">
        <f>+AA15*AB15+AA16*AB16+AA17*AB17</f>
        <v>16211500</v>
      </c>
      <c r="AD15" s="49"/>
    </row>
    <row r="16" spans="1:30" ht="15.75" thickBot="1" x14ac:dyDescent="0.3">
      <c r="A16" s="99"/>
      <c r="B16" s="20" t="s">
        <v>4</v>
      </c>
      <c r="C16" s="36">
        <v>18491</v>
      </c>
      <c r="D16" s="36">
        <v>17396</v>
      </c>
      <c r="E16" s="36">
        <v>16692</v>
      </c>
      <c r="F16" s="36">
        <v>16276</v>
      </c>
      <c r="G16" s="36">
        <v>16352</v>
      </c>
      <c r="H16" s="36">
        <v>16822</v>
      </c>
      <c r="I16" s="36">
        <v>17413</v>
      </c>
      <c r="J16" s="36">
        <v>19507</v>
      </c>
      <c r="K16" s="36">
        <v>21654</v>
      </c>
      <c r="L16" s="36">
        <v>23284</v>
      </c>
      <c r="M16" s="36">
        <v>24462</v>
      </c>
      <c r="N16" s="36">
        <v>25798</v>
      </c>
      <c r="O16" s="36">
        <v>25880</v>
      </c>
      <c r="P16" s="36">
        <v>25568</v>
      </c>
      <c r="Q16" s="36">
        <v>25285</v>
      </c>
      <c r="R16" s="36">
        <v>25090</v>
      </c>
      <c r="S16" s="36">
        <v>25019</v>
      </c>
      <c r="T16" s="36">
        <v>25139</v>
      </c>
      <c r="U16" s="36">
        <v>27704</v>
      </c>
      <c r="V16" s="36">
        <v>29122</v>
      </c>
      <c r="W16" s="36">
        <v>27930</v>
      </c>
      <c r="X16" s="36">
        <v>26200</v>
      </c>
      <c r="Y16" s="36">
        <v>23764</v>
      </c>
      <c r="Z16" s="37">
        <v>21278</v>
      </c>
      <c r="AA16" s="35">
        <f t="shared" si="0"/>
        <v>542126</v>
      </c>
      <c r="AB16" s="21">
        <v>5</v>
      </c>
      <c r="AC16" s="101"/>
      <c r="AD16" s="49"/>
    </row>
    <row r="17" spans="1:30" ht="15.75" thickBot="1" x14ac:dyDescent="0.3">
      <c r="A17" s="99"/>
      <c r="B17" s="22" t="s">
        <v>3</v>
      </c>
      <c r="C17" s="39">
        <v>19270</v>
      </c>
      <c r="D17" s="39">
        <v>18041</v>
      </c>
      <c r="E17" s="39">
        <v>17246</v>
      </c>
      <c r="F17" s="39">
        <v>16705</v>
      </c>
      <c r="G17" s="39">
        <v>16495</v>
      </c>
      <c r="H17" s="39">
        <v>16467</v>
      </c>
      <c r="I17" s="39">
        <v>16596</v>
      </c>
      <c r="J17" s="39">
        <v>18033</v>
      </c>
      <c r="K17" s="39">
        <v>19716</v>
      </c>
      <c r="L17" s="39">
        <v>21192</v>
      </c>
      <c r="M17" s="39">
        <v>22243</v>
      </c>
      <c r="N17" s="39">
        <v>23314</v>
      </c>
      <c r="O17" s="39">
        <v>23936</v>
      </c>
      <c r="P17" s="39">
        <v>23765</v>
      </c>
      <c r="Q17" s="39">
        <v>23227</v>
      </c>
      <c r="R17" s="39">
        <v>22973</v>
      </c>
      <c r="S17" s="39">
        <v>22828</v>
      </c>
      <c r="T17" s="39">
        <v>23034</v>
      </c>
      <c r="U17" s="39">
        <v>25773</v>
      </c>
      <c r="V17" s="39">
        <v>27412</v>
      </c>
      <c r="W17" s="39">
        <v>26553</v>
      </c>
      <c r="X17" s="39">
        <v>24880</v>
      </c>
      <c r="Y17" s="39">
        <v>22318</v>
      </c>
      <c r="Z17" s="40">
        <v>19765</v>
      </c>
      <c r="AA17" s="35">
        <f t="shared" si="0"/>
        <v>511782</v>
      </c>
      <c r="AB17" s="23">
        <v>7</v>
      </c>
      <c r="AC17" s="102"/>
      <c r="AD17" s="49"/>
    </row>
    <row r="18" spans="1:30" ht="15.75" thickBot="1" x14ac:dyDescent="0.3">
      <c r="A18" s="99">
        <v>46874</v>
      </c>
      <c r="B18" s="18" t="s">
        <v>5</v>
      </c>
      <c r="C18" s="33">
        <v>18132</v>
      </c>
      <c r="D18" s="33">
        <v>17140</v>
      </c>
      <c r="E18" s="33">
        <v>16587</v>
      </c>
      <c r="F18" s="33">
        <v>16310</v>
      </c>
      <c r="G18" s="33">
        <v>16637</v>
      </c>
      <c r="H18" s="33">
        <v>17702</v>
      </c>
      <c r="I18" s="33">
        <v>18814</v>
      </c>
      <c r="J18" s="33">
        <v>20553</v>
      </c>
      <c r="K18" s="33">
        <v>22330</v>
      </c>
      <c r="L18" s="33">
        <v>23725</v>
      </c>
      <c r="M18" s="33">
        <v>25128</v>
      </c>
      <c r="N18" s="33">
        <v>26460</v>
      </c>
      <c r="O18" s="33">
        <v>26058</v>
      </c>
      <c r="P18" s="33">
        <v>26053</v>
      </c>
      <c r="Q18" s="33">
        <v>26454</v>
      </c>
      <c r="R18" s="33">
        <v>26501</v>
      </c>
      <c r="S18" s="33">
        <v>26231</v>
      </c>
      <c r="T18" s="33">
        <v>25914</v>
      </c>
      <c r="U18" s="33">
        <v>28268</v>
      </c>
      <c r="V18" s="33">
        <v>29602</v>
      </c>
      <c r="W18" s="33">
        <v>28445</v>
      </c>
      <c r="X18" s="33">
        <v>26363</v>
      </c>
      <c r="Y18" s="33">
        <v>23172</v>
      </c>
      <c r="Z18" s="34">
        <v>20217</v>
      </c>
      <c r="AA18" s="35">
        <f t="shared" si="0"/>
        <v>552796</v>
      </c>
      <c r="AB18" s="19">
        <v>21</v>
      </c>
      <c r="AC18" s="100">
        <f>+AA18*AB18+AA19*AB19+AA20*AB20</f>
        <v>16920192</v>
      </c>
      <c r="AD18" s="49"/>
    </row>
    <row r="19" spans="1:30" ht="15.75" thickBot="1" x14ac:dyDescent="0.3">
      <c r="A19" s="99"/>
      <c r="B19" s="20" t="s">
        <v>4</v>
      </c>
      <c r="C19" s="36">
        <v>18804</v>
      </c>
      <c r="D19" s="36">
        <v>17716</v>
      </c>
      <c r="E19" s="36">
        <v>17059</v>
      </c>
      <c r="F19" s="36">
        <v>16672</v>
      </c>
      <c r="G19" s="36">
        <v>16739</v>
      </c>
      <c r="H19" s="36">
        <v>17013</v>
      </c>
      <c r="I19" s="36">
        <v>17905</v>
      </c>
      <c r="J19" s="36">
        <v>20010</v>
      </c>
      <c r="K19" s="36">
        <v>22206</v>
      </c>
      <c r="L19" s="36">
        <v>23904</v>
      </c>
      <c r="M19" s="36">
        <v>25067</v>
      </c>
      <c r="N19" s="36">
        <v>26129</v>
      </c>
      <c r="O19" s="36">
        <v>26132</v>
      </c>
      <c r="P19" s="36">
        <v>25716</v>
      </c>
      <c r="Q19" s="36">
        <v>25293</v>
      </c>
      <c r="R19" s="36">
        <v>25037</v>
      </c>
      <c r="S19" s="36">
        <v>24852</v>
      </c>
      <c r="T19" s="36">
        <v>25081</v>
      </c>
      <c r="U19" s="36">
        <v>27868</v>
      </c>
      <c r="V19" s="36">
        <v>28998</v>
      </c>
      <c r="W19" s="36">
        <v>27849</v>
      </c>
      <c r="X19" s="36">
        <v>26087</v>
      </c>
      <c r="Y19" s="36">
        <v>23636</v>
      </c>
      <c r="Z19" s="37">
        <v>21193</v>
      </c>
      <c r="AA19" s="35">
        <f t="shared" si="0"/>
        <v>546966</v>
      </c>
      <c r="AB19" s="21">
        <v>4</v>
      </c>
      <c r="AC19" s="101"/>
      <c r="AD19" s="49"/>
    </row>
    <row r="20" spans="1:30" ht="15.75" thickBot="1" x14ac:dyDescent="0.3">
      <c r="A20" s="99"/>
      <c r="B20" s="22" t="s">
        <v>3</v>
      </c>
      <c r="C20" s="39">
        <v>19132</v>
      </c>
      <c r="D20" s="39">
        <v>17943</v>
      </c>
      <c r="E20" s="39">
        <v>17205</v>
      </c>
      <c r="F20" s="39">
        <v>16714</v>
      </c>
      <c r="G20" s="39">
        <v>16563</v>
      </c>
      <c r="H20" s="39">
        <v>16376</v>
      </c>
      <c r="I20" s="39">
        <v>16712</v>
      </c>
      <c r="J20" s="39">
        <v>18314</v>
      </c>
      <c r="K20" s="39">
        <v>20095</v>
      </c>
      <c r="L20" s="39">
        <v>21677</v>
      </c>
      <c r="M20" s="39">
        <v>22758</v>
      </c>
      <c r="N20" s="39">
        <v>23888</v>
      </c>
      <c r="O20" s="39">
        <v>24384</v>
      </c>
      <c r="P20" s="39">
        <v>24284</v>
      </c>
      <c r="Q20" s="39">
        <v>23696</v>
      </c>
      <c r="R20" s="39">
        <v>24357</v>
      </c>
      <c r="S20" s="39">
        <v>23281</v>
      </c>
      <c r="T20" s="39">
        <v>23537</v>
      </c>
      <c r="U20" s="39">
        <v>26368</v>
      </c>
      <c r="V20" s="39">
        <v>28012</v>
      </c>
      <c r="W20" s="39">
        <v>27129</v>
      </c>
      <c r="X20" s="39">
        <v>25350</v>
      </c>
      <c r="Y20" s="39">
        <v>22716</v>
      </c>
      <c r="Z20" s="40">
        <v>20111</v>
      </c>
      <c r="AA20" s="35">
        <f t="shared" si="0"/>
        <v>520602</v>
      </c>
      <c r="AB20" s="23">
        <v>6</v>
      </c>
      <c r="AC20" s="102"/>
      <c r="AD20" s="49"/>
    </row>
    <row r="21" spans="1:30" ht="15.75" thickBot="1" x14ac:dyDescent="0.3">
      <c r="A21" s="99">
        <v>46905</v>
      </c>
      <c r="B21" s="18" t="s">
        <v>5</v>
      </c>
      <c r="C21" s="33">
        <v>17918</v>
      </c>
      <c r="D21" s="33">
        <v>16905</v>
      </c>
      <c r="E21" s="33">
        <v>16398</v>
      </c>
      <c r="F21" s="33">
        <v>16126</v>
      </c>
      <c r="G21" s="33">
        <v>16427</v>
      </c>
      <c r="H21" s="33">
        <v>17340</v>
      </c>
      <c r="I21" s="33">
        <v>18545</v>
      </c>
      <c r="J21" s="33">
        <v>20380</v>
      </c>
      <c r="K21" s="33">
        <v>22233</v>
      </c>
      <c r="L21" s="33">
        <v>23616</v>
      </c>
      <c r="M21" s="33">
        <v>25060</v>
      </c>
      <c r="N21" s="33">
        <v>26408</v>
      </c>
      <c r="O21" s="33">
        <v>25973</v>
      </c>
      <c r="P21" s="33">
        <v>25944</v>
      </c>
      <c r="Q21" s="33">
        <v>26440</v>
      </c>
      <c r="R21" s="33">
        <v>26467</v>
      </c>
      <c r="S21" s="33">
        <v>26198</v>
      </c>
      <c r="T21" s="33">
        <v>25792</v>
      </c>
      <c r="U21" s="33">
        <v>27669</v>
      </c>
      <c r="V21" s="33">
        <v>29421</v>
      </c>
      <c r="W21" s="33">
        <v>28323</v>
      </c>
      <c r="X21" s="33">
        <v>26260</v>
      </c>
      <c r="Y21" s="33">
        <v>23023</v>
      </c>
      <c r="Z21" s="34">
        <v>20022</v>
      </c>
      <c r="AA21" s="35">
        <f t="shared" si="0"/>
        <v>548888</v>
      </c>
      <c r="AB21" s="19">
        <v>20</v>
      </c>
      <c r="AC21" s="100">
        <f>+AA21*AB21+AA22*AB22+AA23*AB23</f>
        <v>16363472</v>
      </c>
      <c r="AD21" s="49"/>
    </row>
    <row r="22" spans="1:30" ht="15.75" thickBot="1" x14ac:dyDescent="0.3">
      <c r="A22" s="99"/>
      <c r="B22" s="20" t="s">
        <v>4</v>
      </c>
      <c r="C22" s="36">
        <v>18784</v>
      </c>
      <c r="D22" s="36">
        <v>17615</v>
      </c>
      <c r="E22" s="36">
        <v>16945</v>
      </c>
      <c r="F22" s="36">
        <v>16566</v>
      </c>
      <c r="G22" s="36">
        <v>16600</v>
      </c>
      <c r="H22" s="36">
        <v>16869</v>
      </c>
      <c r="I22" s="36">
        <v>17750</v>
      </c>
      <c r="J22" s="36">
        <v>19832</v>
      </c>
      <c r="K22" s="36">
        <v>22181</v>
      </c>
      <c r="L22" s="36">
        <v>23794</v>
      </c>
      <c r="M22" s="36">
        <v>25053</v>
      </c>
      <c r="N22" s="36">
        <v>26144</v>
      </c>
      <c r="O22" s="36">
        <v>26216</v>
      </c>
      <c r="P22" s="36">
        <v>25948</v>
      </c>
      <c r="Q22" s="36">
        <v>25671</v>
      </c>
      <c r="R22" s="36">
        <v>25623</v>
      </c>
      <c r="S22" s="36">
        <v>25432</v>
      </c>
      <c r="T22" s="36">
        <v>25622</v>
      </c>
      <c r="U22" s="36">
        <v>28014</v>
      </c>
      <c r="V22" s="36">
        <v>29549</v>
      </c>
      <c r="W22" s="36">
        <v>28338</v>
      </c>
      <c r="X22" s="36">
        <v>26607</v>
      </c>
      <c r="Y22" s="36">
        <v>24045</v>
      </c>
      <c r="Z22" s="37">
        <v>21438</v>
      </c>
      <c r="AA22" s="35">
        <f t="shared" si="0"/>
        <v>550636</v>
      </c>
      <c r="AB22" s="21">
        <v>4</v>
      </c>
      <c r="AC22" s="101"/>
      <c r="AD22" s="49"/>
    </row>
    <row r="23" spans="1:30" ht="15.75" thickBot="1" x14ac:dyDescent="0.3">
      <c r="A23" s="99"/>
      <c r="B23" s="22" t="s">
        <v>3</v>
      </c>
      <c r="C23" s="39">
        <v>19549</v>
      </c>
      <c r="D23" s="39">
        <v>18303</v>
      </c>
      <c r="E23" s="39">
        <v>17580</v>
      </c>
      <c r="F23" s="39">
        <v>17086</v>
      </c>
      <c r="G23" s="39">
        <v>16970</v>
      </c>
      <c r="H23" s="39">
        <v>16950</v>
      </c>
      <c r="I23" s="39">
        <v>17176</v>
      </c>
      <c r="J23" s="39">
        <v>18845</v>
      </c>
      <c r="K23" s="39">
        <v>20700</v>
      </c>
      <c r="L23" s="39">
        <v>22132</v>
      </c>
      <c r="M23" s="39">
        <v>23310</v>
      </c>
      <c r="N23" s="39">
        <v>24450</v>
      </c>
      <c r="O23" s="39">
        <v>24856</v>
      </c>
      <c r="P23" s="39">
        <v>24684</v>
      </c>
      <c r="Q23" s="39">
        <v>24207</v>
      </c>
      <c r="R23" s="39">
        <v>23981</v>
      </c>
      <c r="S23" s="39">
        <v>23859</v>
      </c>
      <c r="T23" s="39">
        <v>24054</v>
      </c>
      <c r="U23" s="39">
        <v>26480</v>
      </c>
      <c r="V23" s="39">
        <v>28427</v>
      </c>
      <c r="W23" s="39">
        <v>27590</v>
      </c>
      <c r="X23" s="39">
        <v>25789</v>
      </c>
      <c r="Y23" s="39">
        <v>23084</v>
      </c>
      <c r="Z23" s="40">
        <v>20466</v>
      </c>
      <c r="AA23" s="35">
        <f t="shared" si="0"/>
        <v>530528</v>
      </c>
      <c r="AB23" s="23">
        <v>6</v>
      </c>
      <c r="AC23" s="102"/>
      <c r="AD23" s="49"/>
    </row>
    <row r="24" spans="1:30" ht="15.75" thickBot="1" x14ac:dyDescent="0.3">
      <c r="A24" s="99">
        <v>46935</v>
      </c>
      <c r="B24" s="18" t="s">
        <v>5</v>
      </c>
      <c r="C24" s="33">
        <v>18761</v>
      </c>
      <c r="D24" s="33">
        <v>17693</v>
      </c>
      <c r="E24" s="33">
        <v>17077</v>
      </c>
      <c r="F24" s="33">
        <v>16742</v>
      </c>
      <c r="G24" s="33">
        <v>17028</v>
      </c>
      <c r="H24" s="33">
        <v>17937</v>
      </c>
      <c r="I24" s="33">
        <v>18916</v>
      </c>
      <c r="J24" s="33">
        <v>20964</v>
      </c>
      <c r="K24" s="33">
        <v>22954</v>
      </c>
      <c r="L24" s="33">
        <v>24514</v>
      </c>
      <c r="M24" s="33">
        <v>26025</v>
      </c>
      <c r="N24" s="33">
        <v>27364</v>
      </c>
      <c r="O24" s="33">
        <v>26890</v>
      </c>
      <c r="P24" s="33">
        <v>26948</v>
      </c>
      <c r="Q24" s="33">
        <v>27442</v>
      </c>
      <c r="R24" s="33">
        <v>27497</v>
      </c>
      <c r="S24" s="33">
        <v>27108</v>
      </c>
      <c r="T24" s="33">
        <v>26430</v>
      </c>
      <c r="U24" s="33">
        <v>27982</v>
      </c>
      <c r="V24" s="33">
        <v>30063</v>
      </c>
      <c r="W24" s="33">
        <v>29090</v>
      </c>
      <c r="X24" s="33">
        <v>27130</v>
      </c>
      <c r="Y24" s="33">
        <v>23896</v>
      </c>
      <c r="Z24" s="34">
        <v>20919</v>
      </c>
      <c r="AA24" s="35">
        <f t="shared" si="0"/>
        <v>567370</v>
      </c>
      <c r="AB24" s="19">
        <v>19</v>
      </c>
      <c r="AC24" s="100">
        <f>+AA24*AB24+AA25*AB25+AA26*AB26</f>
        <v>17274031</v>
      </c>
      <c r="AD24" s="49"/>
    </row>
    <row r="25" spans="1:30" ht="15.75" thickBot="1" x14ac:dyDescent="0.3">
      <c r="A25" s="99"/>
      <c r="B25" s="20" t="s">
        <v>4</v>
      </c>
      <c r="C25" s="36">
        <v>18802</v>
      </c>
      <c r="D25" s="36">
        <v>17577</v>
      </c>
      <c r="E25" s="36">
        <v>16953</v>
      </c>
      <c r="F25" s="36">
        <v>16536</v>
      </c>
      <c r="G25" s="36">
        <v>16576</v>
      </c>
      <c r="H25" s="36">
        <v>16924</v>
      </c>
      <c r="I25" s="36">
        <v>17766</v>
      </c>
      <c r="J25" s="36">
        <v>20245</v>
      </c>
      <c r="K25" s="36">
        <v>22606</v>
      </c>
      <c r="L25" s="36">
        <v>24222</v>
      </c>
      <c r="M25" s="36">
        <v>25492</v>
      </c>
      <c r="N25" s="36">
        <v>26566</v>
      </c>
      <c r="O25" s="36">
        <v>26516</v>
      </c>
      <c r="P25" s="36">
        <v>26101</v>
      </c>
      <c r="Q25" s="36">
        <v>25723</v>
      </c>
      <c r="R25" s="36">
        <v>25527</v>
      </c>
      <c r="S25" s="36">
        <v>25301</v>
      </c>
      <c r="T25" s="36">
        <v>25376</v>
      </c>
      <c r="U25" s="36">
        <v>27272</v>
      </c>
      <c r="V25" s="36">
        <v>29276</v>
      </c>
      <c r="W25" s="36">
        <v>28158</v>
      </c>
      <c r="X25" s="36">
        <v>26558</v>
      </c>
      <c r="Y25" s="36">
        <v>24053</v>
      </c>
      <c r="Z25" s="37">
        <v>21574</v>
      </c>
      <c r="AA25" s="35">
        <f t="shared" si="0"/>
        <v>551700</v>
      </c>
      <c r="AB25" s="21">
        <v>5</v>
      </c>
      <c r="AC25" s="101"/>
      <c r="AD25" s="49"/>
    </row>
    <row r="26" spans="1:30" ht="15.75" thickBot="1" x14ac:dyDescent="0.3">
      <c r="A26" s="99"/>
      <c r="B26" s="22" t="s">
        <v>3</v>
      </c>
      <c r="C26" s="39">
        <v>19953</v>
      </c>
      <c r="D26" s="39">
        <v>18728</v>
      </c>
      <c r="E26" s="39">
        <v>17919</v>
      </c>
      <c r="F26" s="39">
        <v>17391</v>
      </c>
      <c r="G26" s="39">
        <v>17226</v>
      </c>
      <c r="H26" s="39">
        <v>17231</v>
      </c>
      <c r="I26" s="39">
        <v>17344</v>
      </c>
      <c r="J26" s="39">
        <v>18921</v>
      </c>
      <c r="K26" s="39">
        <v>20813</v>
      </c>
      <c r="L26" s="39">
        <v>22382</v>
      </c>
      <c r="M26" s="39">
        <v>23523</v>
      </c>
      <c r="N26" s="39">
        <v>24582</v>
      </c>
      <c r="O26" s="39">
        <v>25107</v>
      </c>
      <c r="P26" s="39">
        <v>24831</v>
      </c>
      <c r="Q26" s="39">
        <v>24282</v>
      </c>
      <c r="R26" s="39">
        <v>23991</v>
      </c>
      <c r="S26" s="39">
        <v>23766</v>
      </c>
      <c r="T26" s="39">
        <v>23870</v>
      </c>
      <c r="U26" s="39">
        <v>25879</v>
      </c>
      <c r="V26" s="39">
        <v>28350</v>
      </c>
      <c r="W26" s="39">
        <v>27628</v>
      </c>
      <c r="X26" s="39">
        <v>25965</v>
      </c>
      <c r="Y26" s="39">
        <v>23262</v>
      </c>
      <c r="Z26" s="40">
        <v>20699</v>
      </c>
      <c r="AA26" s="35">
        <f t="shared" si="0"/>
        <v>533643</v>
      </c>
      <c r="AB26" s="23">
        <v>7</v>
      </c>
      <c r="AC26" s="102"/>
      <c r="AD26" s="49"/>
    </row>
    <row r="27" spans="1:30" ht="15.75" thickBot="1" x14ac:dyDescent="0.3">
      <c r="A27" s="99">
        <v>46966</v>
      </c>
      <c r="B27" s="18" t="s">
        <v>5</v>
      </c>
      <c r="C27" s="33">
        <v>18981</v>
      </c>
      <c r="D27" s="33">
        <v>17970</v>
      </c>
      <c r="E27" s="33">
        <v>17411</v>
      </c>
      <c r="F27" s="33">
        <v>17081</v>
      </c>
      <c r="G27" s="33">
        <v>17380</v>
      </c>
      <c r="H27" s="33">
        <v>18585</v>
      </c>
      <c r="I27" s="33">
        <v>19658</v>
      </c>
      <c r="J27" s="33">
        <v>21482</v>
      </c>
      <c r="K27" s="33">
        <v>23389</v>
      </c>
      <c r="L27" s="33">
        <v>24850</v>
      </c>
      <c r="M27" s="33">
        <v>26398</v>
      </c>
      <c r="N27" s="33">
        <v>27754</v>
      </c>
      <c r="O27" s="33">
        <v>27277</v>
      </c>
      <c r="P27" s="33">
        <v>27493</v>
      </c>
      <c r="Q27" s="33">
        <v>28050</v>
      </c>
      <c r="R27" s="33">
        <v>28095</v>
      </c>
      <c r="S27" s="33">
        <v>27691</v>
      </c>
      <c r="T27" s="33">
        <v>26990</v>
      </c>
      <c r="U27" s="33">
        <v>28879</v>
      </c>
      <c r="V27" s="33">
        <v>30629</v>
      </c>
      <c r="W27" s="33">
        <v>29559</v>
      </c>
      <c r="X27" s="33">
        <v>27493</v>
      </c>
      <c r="Y27" s="33">
        <v>24218</v>
      </c>
      <c r="Z27" s="34">
        <v>21261</v>
      </c>
      <c r="AA27" s="35">
        <f t="shared" si="0"/>
        <v>578574</v>
      </c>
      <c r="AB27" s="19">
        <v>21</v>
      </c>
      <c r="AC27" s="100">
        <f>+AA27*AB27+AA28*AB28+AA29*AB29</f>
        <v>17650378</v>
      </c>
      <c r="AD27" s="49"/>
    </row>
    <row r="28" spans="1:30" ht="15.75" thickBot="1" x14ac:dyDescent="0.3">
      <c r="A28" s="99"/>
      <c r="B28" s="20" t="s">
        <v>4</v>
      </c>
      <c r="C28" s="36">
        <v>19757</v>
      </c>
      <c r="D28" s="36">
        <v>18660</v>
      </c>
      <c r="E28" s="36">
        <v>17974</v>
      </c>
      <c r="F28" s="36">
        <v>17460</v>
      </c>
      <c r="G28" s="36">
        <v>17421</v>
      </c>
      <c r="H28" s="36">
        <v>17905</v>
      </c>
      <c r="I28" s="36">
        <v>18479</v>
      </c>
      <c r="J28" s="36">
        <v>20818</v>
      </c>
      <c r="K28" s="36">
        <v>23183</v>
      </c>
      <c r="L28" s="36">
        <v>24804</v>
      </c>
      <c r="M28" s="36">
        <v>26225</v>
      </c>
      <c r="N28" s="36">
        <v>27300</v>
      </c>
      <c r="O28" s="36">
        <v>27308</v>
      </c>
      <c r="P28" s="36">
        <v>27014</v>
      </c>
      <c r="Q28" s="36">
        <v>26732</v>
      </c>
      <c r="R28" s="36">
        <v>26569</v>
      </c>
      <c r="S28" s="36">
        <v>26213</v>
      </c>
      <c r="T28" s="36">
        <v>26164</v>
      </c>
      <c r="U28" s="36">
        <v>28503</v>
      </c>
      <c r="V28" s="36">
        <v>30047</v>
      </c>
      <c r="W28" s="36">
        <v>28910</v>
      </c>
      <c r="X28" s="36">
        <v>27259</v>
      </c>
      <c r="Y28" s="36">
        <v>24854</v>
      </c>
      <c r="Z28" s="37">
        <v>22266</v>
      </c>
      <c r="AA28" s="35">
        <f t="shared" si="0"/>
        <v>571825</v>
      </c>
      <c r="AB28" s="21">
        <v>4</v>
      </c>
      <c r="AC28" s="101"/>
      <c r="AD28" s="49"/>
    </row>
    <row r="29" spans="1:30" ht="15.75" thickBot="1" x14ac:dyDescent="0.3">
      <c r="A29" s="99"/>
      <c r="B29" s="22" t="s">
        <v>3</v>
      </c>
      <c r="C29" s="39">
        <v>20126</v>
      </c>
      <c r="D29" s="39">
        <v>18878</v>
      </c>
      <c r="E29" s="39">
        <v>18055</v>
      </c>
      <c r="F29" s="39">
        <v>17532</v>
      </c>
      <c r="G29" s="39">
        <v>17361</v>
      </c>
      <c r="H29" s="39">
        <v>17419</v>
      </c>
      <c r="I29" s="39">
        <v>17416</v>
      </c>
      <c r="J29" s="39">
        <v>19057</v>
      </c>
      <c r="K29" s="39">
        <v>20909</v>
      </c>
      <c r="L29" s="39">
        <v>22437</v>
      </c>
      <c r="M29" s="39">
        <v>23519</v>
      </c>
      <c r="N29" s="39">
        <v>24640</v>
      </c>
      <c r="O29" s="39">
        <v>25218</v>
      </c>
      <c r="P29" s="39">
        <v>24992</v>
      </c>
      <c r="Q29" s="39">
        <v>24379</v>
      </c>
      <c r="R29" s="39">
        <v>23968</v>
      </c>
      <c r="S29" s="39">
        <v>23813</v>
      </c>
      <c r="T29" s="39">
        <v>23879</v>
      </c>
      <c r="U29" s="39">
        <v>26305</v>
      </c>
      <c r="V29" s="39">
        <v>28412</v>
      </c>
      <c r="W29" s="39">
        <v>27570</v>
      </c>
      <c r="X29" s="39">
        <v>25839</v>
      </c>
      <c r="Y29" s="39">
        <v>23202</v>
      </c>
      <c r="Z29" s="40">
        <v>20578</v>
      </c>
      <c r="AA29" s="35">
        <f t="shared" si="0"/>
        <v>535504</v>
      </c>
      <c r="AB29" s="23">
        <v>6</v>
      </c>
      <c r="AC29" s="102"/>
      <c r="AD29" s="49"/>
    </row>
    <row r="30" spans="1:30" ht="15.75" thickBot="1" x14ac:dyDescent="0.3">
      <c r="A30" s="99">
        <v>46997</v>
      </c>
      <c r="B30" s="18" t="s">
        <v>5</v>
      </c>
      <c r="C30" s="33">
        <v>19320</v>
      </c>
      <c r="D30" s="33">
        <v>18256</v>
      </c>
      <c r="E30" s="33">
        <v>17591</v>
      </c>
      <c r="F30" s="33">
        <v>17301</v>
      </c>
      <c r="G30" s="33">
        <v>17582</v>
      </c>
      <c r="H30" s="33">
        <v>18734</v>
      </c>
      <c r="I30" s="33">
        <v>19844</v>
      </c>
      <c r="J30" s="33">
        <v>21725</v>
      </c>
      <c r="K30" s="33">
        <v>23617</v>
      </c>
      <c r="L30" s="33">
        <v>25188</v>
      </c>
      <c r="M30" s="33">
        <v>26749</v>
      </c>
      <c r="N30" s="33">
        <v>28179</v>
      </c>
      <c r="O30" s="33">
        <v>27688</v>
      </c>
      <c r="P30" s="33">
        <v>27888</v>
      </c>
      <c r="Q30" s="33">
        <v>28540</v>
      </c>
      <c r="R30" s="33">
        <v>28703</v>
      </c>
      <c r="S30" s="33">
        <v>28291</v>
      </c>
      <c r="T30" s="33">
        <v>27710</v>
      </c>
      <c r="U30" s="33">
        <v>30303</v>
      </c>
      <c r="V30" s="33">
        <v>31004</v>
      </c>
      <c r="W30" s="33">
        <v>29839</v>
      </c>
      <c r="X30" s="33">
        <v>27736</v>
      </c>
      <c r="Y30" s="33">
        <v>24393</v>
      </c>
      <c r="Z30" s="34">
        <v>21444</v>
      </c>
      <c r="AA30" s="35">
        <f t="shared" si="0"/>
        <v>587625</v>
      </c>
      <c r="AB30" s="19">
        <v>21</v>
      </c>
      <c r="AC30" s="100">
        <f>+AA30*AB30+AA31*AB31+AA32*AB32</f>
        <v>17339973</v>
      </c>
      <c r="AD30" s="49"/>
    </row>
    <row r="31" spans="1:30" ht="15.75" thickBot="1" x14ac:dyDescent="0.3">
      <c r="A31" s="99"/>
      <c r="B31" s="20" t="s">
        <v>4</v>
      </c>
      <c r="C31" s="36">
        <v>19836</v>
      </c>
      <c r="D31" s="36">
        <v>18570</v>
      </c>
      <c r="E31" s="36">
        <v>17885</v>
      </c>
      <c r="F31" s="36">
        <v>17509</v>
      </c>
      <c r="G31" s="36">
        <v>17525</v>
      </c>
      <c r="H31" s="36">
        <v>17687</v>
      </c>
      <c r="I31" s="36">
        <v>18573</v>
      </c>
      <c r="J31" s="36">
        <v>21094</v>
      </c>
      <c r="K31" s="36">
        <v>23497</v>
      </c>
      <c r="L31" s="36">
        <v>25212</v>
      </c>
      <c r="M31" s="36">
        <v>26568</v>
      </c>
      <c r="N31" s="36">
        <v>27655</v>
      </c>
      <c r="O31" s="36">
        <v>27587</v>
      </c>
      <c r="P31" s="36">
        <v>27235</v>
      </c>
      <c r="Q31" s="36">
        <v>26908</v>
      </c>
      <c r="R31" s="36">
        <v>26671</v>
      </c>
      <c r="S31" s="36">
        <v>26442</v>
      </c>
      <c r="T31" s="36">
        <v>26639</v>
      </c>
      <c r="U31" s="36">
        <v>29483</v>
      </c>
      <c r="V31" s="36">
        <v>30119</v>
      </c>
      <c r="W31" s="36">
        <v>28797</v>
      </c>
      <c r="X31" s="36">
        <v>27108</v>
      </c>
      <c r="Y31" s="36">
        <v>24640</v>
      </c>
      <c r="Z31" s="37">
        <v>22120</v>
      </c>
      <c r="AA31" s="35">
        <f t="shared" si="0"/>
        <v>575360</v>
      </c>
      <c r="AB31" s="21">
        <v>5</v>
      </c>
      <c r="AC31" s="101"/>
      <c r="AD31" s="49"/>
    </row>
    <row r="32" spans="1:30" ht="15.75" thickBot="1" x14ac:dyDescent="0.3">
      <c r="A32" s="99"/>
      <c r="B32" s="22" t="s">
        <v>3</v>
      </c>
      <c r="C32" s="39">
        <v>20197</v>
      </c>
      <c r="D32" s="39">
        <v>18985</v>
      </c>
      <c r="E32" s="39">
        <v>18188</v>
      </c>
      <c r="F32" s="39">
        <v>17572</v>
      </c>
      <c r="G32" s="39">
        <v>17293</v>
      </c>
      <c r="H32" s="39">
        <v>17082</v>
      </c>
      <c r="I32" s="39">
        <v>17212</v>
      </c>
      <c r="J32" s="39">
        <v>18823</v>
      </c>
      <c r="K32" s="39">
        <v>20639</v>
      </c>
      <c r="L32" s="39">
        <v>22129</v>
      </c>
      <c r="M32" s="39">
        <v>23167</v>
      </c>
      <c r="N32" s="39">
        <v>24158</v>
      </c>
      <c r="O32" s="39">
        <v>24732</v>
      </c>
      <c r="P32" s="39">
        <v>24557</v>
      </c>
      <c r="Q32" s="39">
        <v>24039</v>
      </c>
      <c r="R32" s="39">
        <v>23787</v>
      </c>
      <c r="S32" s="39">
        <v>23624</v>
      </c>
      <c r="T32" s="39">
        <v>23812</v>
      </c>
      <c r="U32" s="39">
        <v>26916</v>
      </c>
      <c r="V32" s="39">
        <v>27974</v>
      </c>
      <c r="W32" s="39">
        <v>27199</v>
      </c>
      <c r="X32" s="39">
        <v>25504</v>
      </c>
      <c r="Y32" s="39">
        <v>22856</v>
      </c>
      <c r="Z32" s="40">
        <v>20317</v>
      </c>
      <c r="AA32" s="35">
        <f t="shared" si="0"/>
        <v>530762</v>
      </c>
      <c r="AB32" s="23">
        <v>4</v>
      </c>
      <c r="AC32" s="102"/>
      <c r="AD32" s="49"/>
    </row>
    <row r="33" spans="1:30" ht="15.75" thickBot="1" x14ac:dyDescent="0.3">
      <c r="A33" s="99">
        <v>47027</v>
      </c>
      <c r="B33" s="18" t="s">
        <v>5</v>
      </c>
      <c r="C33" s="33">
        <v>18309</v>
      </c>
      <c r="D33" s="33">
        <v>17328</v>
      </c>
      <c r="E33" s="33">
        <v>16782</v>
      </c>
      <c r="F33" s="33">
        <v>16490</v>
      </c>
      <c r="G33" s="33">
        <v>16813</v>
      </c>
      <c r="H33" s="33">
        <v>17741</v>
      </c>
      <c r="I33" s="33">
        <v>18923</v>
      </c>
      <c r="J33" s="33">
        <v>20695</v>
      </c>
      <c r="K33" s="33">
        <v>22475</v>
      </c>
      <c r="L33" s="33">
        <v>23878</v>
      </c>
      <c r="M33" s="33">
        <v>25332</v>
      </c>
      <c r="N33" s="33">
        <v>26680</v>
      </c>
      <c r="O33" s="33">
        <v>26212</v>
      </c>
      <c r="P33" s="33">
        <v>26356</v>
      </c>
      <c r="Q33" s="33">
        <v>26960</v>
      </c>
      <c r="R33" s="33">
        <v>27089</v>
      </c>
      <c r="S33" s="33">
        <v>26789</v>
      </c>
      <c r="T33" s="33">
        <v>26868</v>
      </c>
      <c r="U33" s="33">
        <v>29839</v>
      </c>
      <c r="V33" s="33">
        <v>29687</v>
      </c>
      <c r="W33" s="33">
        <v>28383</v>
      </c>
      <c r="X33" s="33">
        <v>26256</v>
      </c>
      <c r="Y33" s="33">
        <v>23132</v>
      </c>
      <c r="Z33" s="34">
        <v>20353</v>
      </c>
      <c r="AA33" s="35">
        <f t="shared" si="0"/>
        <v>559370</v>
      </c>
      <c r="AB33" s="19">
        <v>21</v>
      </c>
      <c r="AC33" s="100">
        <f>+AA33*AB33+AA34*AB34+AA35*AB35</f>
        <v>17127638</v>
      </c>
      <c r="AD33" s="49"/>
    </row>
    <row r="34" spans="1:30" ht="15.75" thickBot="1" x14ac:dyDescent="0.3">
      <c r="A34" s="99"/>
      <c r="B34" s="20" t="s">
        <v>4</v>
      </c>
      <c r="C34" s="36">
        <v>19274</v>
      </c>
      <c r="D34" s="36">
        <v>18175</v>
      </c>
      <c r="E34" s="36">
        <v>17508</v>
      </c>
      <c r="F34" s="36">
        <v>17066</v>
      </c>
      <c r="G34" s="36">
        <v>17155</v>
      </c>
      <c r="H34" s="36">
        <v>17421</v>
      </c>
      <c r="I34" s="36">
        <v>18406</v>
      </c>
      <c r="J34" s="36">
        <v>20672</v>
      </c>
      <c r="K34" s="36">
        <v>22930</v>
      </c>
      <c r="L34" s="36">
        <v>24499</v>
      </c>
      <c r="M34" s="36">
        <v>25834</v>
      </c>
      <c r="N34" s="36">
        <v>26953</v>
      </c>
      <c r="O34" s="36">
        <v>26997</v>
      </c>
      <c r="P34" s="36">
        <v>26692</v>
      </c>
      <c r="Q34" s="36">
        <v>26367</v>
      </c>
      <c r="R34" s="36">
        <v>26166</v>
      </c>
      <c r="S34" s="36">
        <v>25931</v>
      </c>
      <c r="T34" s="36">
        <v>26748</v>
      </c>
      <c r="U34" s="36">
        <v>30143</v>
      </c>
      <c r="V34" s="36">
        <v>30089</v>
      </c>
      <c r="W34" s="36">
        <v>28815</v>
      </c>
      <c r="X34" s="36">
        <v>26885</v>
      </c>
      <c r="Y34" s="36">
        <v>24506</v>
      </c>
      <c r="Z34" s="37">
        <v>21920</v>
      </c>
      <c r="AA34" s="35">
        <f t="shared" si="0"/>
        <v>567152</v>
      </c>
      <c r="AB34" s="21">
        <v>4</v>
      </c>
      <c r="AC34" s="101"/>
      <c r="AD34" s="49"/>
    </row>
    <row r="35" spans="1:30" ht="15.75" thickBot="1" x14ac:dyDescent="0.3">
      <c r="A35" s="99"/>
      <c r="B35" s="22" t="s">
        <v>3</v>
      </c>
      <c r="C35" s="39">
        <v>19339</v>
      </c>
      <c r="D35" s="39">
        <v>18169</v>
      </c>
      <c r="E35" s="39">
        <v>17361</v>
      </c>
      <c r="F35" s="39">
        <v>16797</v>
      </c>
      <c r="G35" s="39">
        <v>16617</v>
      </c>
      <c r="H35" s="39">
        <v>16383</v>
      </c>
      <c r="I35" s="39">
        <v>16696</v>
      </c>
      <c r="J35" s="39">
        <v>18229</v>
      </c>
      <c r="K35" s="39">
        <v>19968</v>
      </c>
      <c r="L35" s="39">
        <v>21495</v>
      </c>
      <c r="M35" s="39">
        <v>22577</v>
      </c>
      <c r="N35" s="39">
        <v>23642</v>
      </c>
      <c r="O35" s="39">
        <v>24240</v>
      </c>
      <c r="P35" s="39">
        <v>24041</v>
      </c>
      <c r="Q35" s="39">
        <v>23584</v>
      </c>
      <c r="R35" s="39">
        <v>23353</v>
      </c>
      <c r="S35" s="39">
        <v>23219</v>
      </c>
      <c r="T35" s="39">
        <v>23935</v>
      </c>
      <c r="U35" s="39">
        <v>27355</v>
      </c>
      <c r="V35" s="39">
        <v>27636</v>
      </c>
      <c r="W35" s="39">
        <v>26749</v>
      </c>
      <c r="X35" s="39">
        <v>25002</v>
      </c>
      <c r="Y35" s="39">
        <v>22409</v>
      </c>
      <c r="Z35" s="40">
        <v>19914</v>
      </c>
      <c r="AA35" s="35">
        <f t="shared" si="0"/>
        <v>518710</v>
      </c>
      <c r="AB35" s="23">
        <v>6</v>
      </c>
      <c r="AC35" s="102"/>
      <c r="AD35" s="49"/>
    </row>
    <row r="36" spans="1:30" ht="15.75" thickBot="1" x14ac:dyDescent="0.3">
      <c r="A36" s="99">
        <v>47058</v>
      </c>
      <c r="B36" s="18" t="s">
        <v>5</v>
      </c>
      <c r="C36" s="33">
        <v>17971</v>
      </c>
      <c r="D36" s="33">
        <v>16991</v>
      </c>
      <c r="E36" s="33">
        <v>16448</v>
      </c>
      <c r="F36" s="33">
        <v>16194</v>
      </c>
      <c r="G36" s="33">
        <v>16570</v>
      </c>
      <c r="H36" s="33">
        <v>17629</v>
      </c>
      <c r="I36" s="33">
        <v>18887</v>
      </c>
      <c r="J36" s="33">
        <v>20687</v>
      </c>
      <c r="K36" s="33">
        <v>22433</v>
      </c>
      <c r="L36" s="33">
        <v>23785</v>
      </c>
      <c r="M36" s="33">
        <v>25231</v>
      </c>
      <c r="N36" s="33">
        <v>26617</v>
      </c>
      <c r="O36" s="33">
        <v>26074</v>
      </c>
      <c r="P36" s="33">
        <v>26089</v>
      </c>
      <c r="Q36" s="33">
        <v>26679</v>
      </c>
      <c r="R36" s="33">
        <v>26653</v>
      </c>
      <c r="S36" s="33">
        <v>26434</v>
      </c>
      <c r="T36" s="33">
        <v>26795</v>
      </c>
      <c r="U36" s="33">
        <v>29897</v>
      </c>
      <c r="V36" s="33">
        <v>29732</v>
      </c>
      <c r="W36" s="33">
        <v>28410</v>
      </c>
      <c r="X36" s="33">
        <v>26170</v>
      </c>
      <c r="Y36" s="33">
        <v>22953</v>
      </c>
      <c r="Z36" s="34">
        <v>20075</v>
      </c>
      <c r="AA36" s="35">
        <f t="shared" si="0"/>
        <v>555404</v>
      </c>
      <c r="AB36" s="19">
        <v>20</v>
      </c>
      <c r="AC36" s="100">
        <f>+AA36*AB36+AA37*AB37+AA38*AB38</f>
        <v>16312126</v>
      </c>
      <c r="AD36" s="49"/>
    </row>
    <row r="37" spans="1:30" ht="15.75" thickBot="1" x14ac:dyDescent="0.3">
      <c r="A37" s="99"/>
      <c r="B37" s="20" t="s">
        <v>4</v>
      </c>
      <c r="C37" s="36">
        <v>18453</v>
      </c>
      <c r="D37" s="36">
        <v>17413</v>
      </c>
      <c r="E37" s="36">
        <v>16777</v>
      </c>
      <c r="F37" s="36">
        <v>16371</v>
      </c>
      <c r="G37" s="36">
        <v>16442</v>
      </c>
      <c r="H37" s="36">
        <v>16647</v>
      </c>
      <c r="I37" s="36">
        <v>17554</v>
      </c>
      <c r="J37" s="36">
        <v>19642</v>
      </c>
      <c r="K37" s="36">
        <v>21850</v>
      </c>
      <c r="L37" s="36">
        <v>23389</v>
      </c>
      <c r="M37" s="36">
        <v>24619</v>
      </c>
      <c r="N37" s="36">
        <v>25751</v>
      </c>
      <c r="O37" s="36">
        <v>25646</v>
      </c>
      <c r="P37" s="36">
        <v>25168</v>
      </c>
      <c r="Q37" s="36">
        <v>25028</v>
      </c>
      <c r="R37" s="36">
        <v>24948</v>
      </c>
      <c r="S37" s="36">
        <v>24802</v>
      </c>
      <c r="T37" s="36">
        <v>25690</v>
      </c>
      <c r="U37" s="36">
        <v>29144</v>
      </c>
      <c r="V37" s="36">
        <v>29058</v>
      </c>
      <c r="W37" s="36">
        <v>27726</v>
      </c>
      <c r="X37" s="36">
        <v>26024</v>
      </c>
      <c r="Y37" s="36">
        <v>23506</v>
      </c>
      <c r="Z37" s="37">
        <v>20974</v>
      </c>
      <c r="AA37" s="35">
        <f t="shared" si="0"/>
        <v>542622</v>
      </c>
      <c r="AB37" s="21">
        <v>4</v>
      </c>
      <c r="AC37" s="101"/>
      <c r="AD37" s="49"/>
    </row>
    <row r="38" spans="1:30" ht="15.75" thickBot="1" x14ac:dyDescent="0.3">
      <c r="A38" s="99"/>
      <c r="B38" s="22" t="s">
        <v>3</v>
      </c>
      <c r="C38" s="39">
        <v>18528</v>
      </c>
      <c r="D38" s="39">
        <v>17413</v>
      </c>
      <c r="E38" s="39">
        <v>16657</v>
      </c>
      <c r="F38" s="39">
        <v>16104</v>
      </c>
      <c r="G38" s="39">
        <v>16030</v>
      </c>
      <c r="H38" s="39">
        <v>15832</v>
      </c>
      <c r="I38" s="39">
        <v>16208</v>
      </c>
      <c r="J38" s="39">
        <v>17806</v>
      </c>
      <c r="K38" s="39">
        <v>19547</v>
      </c>
      <c r="L38" s="39">
        <v>21044</v>
      </c>
      <c r="M38" s="39">
        <v>22132</v>
      </c>
      <c r="N38" s="39">
        <v>23238</v>
      </c>
      <c r="O38" s="39">
        <v>23785</v>
      </c>
      <c r="P38" s="39">
        <v>23569</v>
      </c>
      <c r="Q38" s="39">
        <v>23046</v>
      </c>
      <c r="R38" s="39">
        <v>22675</v>
      </c>
      <c r="S38" s="39">
        <v>22569</v>
      </c>
      <c r="T38" s="39">
        <v>23374</v>
      </c>
      <c r="U38" s="39">
        <v>26856</v>
      </c>
      <c r="V38" s="39">
        <v>27180</v>
      </c>
      <c r="W38" s="39">
        <v>26285</v>
      </c>
      <c r="X38" s="39">
        <v>24511</v>
      </c>
      <c r="Y38" s="39">
        <v>21858</v>
      </c>
      <c r="Z38" s="40">
        <v>19346</v>
      </c>
      <c r="AA38" s="35">
        <f t="shared" si="0"/>
        <v>505593</v>
      </c>
      <c r="AB38" s="23">
        <v>6</v>
      </c>
      <c r="AC38" s="102"/>
      <c r="AD38" s="49"/>
    </row>
    <row r="39" spans="1:30" ht="15.75" thickBot="1" x14ac:dyDescent="0.3">
      <c r="A39" s="99">
        <v>47088</v>
      </c>
      <c r="B39" s="18" t="s">
        <v>5</v>
      </c>
      <c r="C39" s="33">
        <v>19253</v>
      </c>
      <c r="D39" s="33">
        <v>18088</v>
      </c>
      <c r="E39" s="33">
        <v>17415</v>
      </c>
      <c r="F39" s="33">
        <v>17069</v>
      </c>
      <c r="G39" s="33">
        <v>17307</v>
      </c>
      <c r="H39" s="33">
        <v>18066</v>
      </c>
      <c r="I39" s="33">
        <v>18911</v>
      </c>
      <c r="J39" s="33">
        <v>21136</v>
      </c>
      <c r="K39" s="33">
        <v>23214</v>
      </c>
      <c r="L39" s="33">
        <v>24751</v>
      </c>
      <c r="M39" s="33">
        <v>26152</v>
      </c>
      <c r="N39" s="33">
        <v>27573</v>
      </c>
      <c r="O39" s="33">
        <v>27302</v>
      </c>
      <c r="P39" s="33">
        <v>27280</v>
      </c>
      <c r="Q39" s="33">
        <v>27683</v>
      </c>
      <c r="R39" s="33">
        <v>27648</v>
      </c>
      <c r="S39" s="33">
        <v>27250</v>
      </c>
      <c r="T39" s="33">
        <v>27068</v>
      </c>
      <c r="U39" s="33">
        <v>30087</v>
      </c>
      <c r="V39" s="33">
        <v>30553</v>
      </c>
      <c r="W39" s="33">
        <v>29368</v>
      </c>
      <c r="X39" s="33">
        <v>27473</v>
      </c>
      <c r="Y39" s="33">
        <v>24566</v>
      </c>
      <c r="Z39" s="34">
        <v>21783</v>
      </c>
      <c r="AA39" s="35">
        <f t="shared" si="0"/>
        <v>576996</v>
      </c>
      <c r="AB39" s="19">
        <v>19</v>
      </c>
      <c r="AC39" s="100">
        <f>+AA39*AB39+AA40*AB40+AA41*AB41</f>
        <v>17425945</v>
      </c>
      <c r="AD39" s="49"/>
    </row>
    <row r="40" spans="1:30" ht="15.75" thickBot="1" x14ac:dyDescent="0.3">
      <c r="A40" s="99"/>
      <c r="B40" s="20" t="s">
        <v>4</v>
      </c>
      <c r="C40" s="36">
        <v>19437</v>
      </c>
      <c r="D40" s="36">
        <v>18263</v>
      </c>
      <c r="E40" s="36">
        <v>17592</v>
      </c>
      <c r="F40" s="36">
        <v>17148</v>
      </c>
      <c r="G40" s="36">
        <v>17172</v>
      </c>
      <c r="H40" s="36">
        <v>17600</v>
      </c>
      <c r="I40" s="36">
        <v>18117</v>
      </c>
      <c r="J40" s="36">
        <v>20198</v>
      </c>
      <c r="K40" s="36">
        <v>22320</v>
      </c>
      <c r="L40" s="36">
        <v>23799</v>
      </c>
      <c r="M40" s="36">
        <v>24988</v>
      </c>
      <c r="N40" s="36">
        <v>25980</v>
      </c>
      <c r="O40" s="36">
        <v>25979</v>
      </c>
      <c r="P40" s="36">
        <v>25608</v>
      </c>
      <c r="Q40" s="36">
        <v>25369</v>
      </c>
      <c r="R40" s="36">
        <v>25104</v>
      </c>
      <c r="S40" s="36">
        <v>24916</v>
      </c>
      <c r="T40" s="36">
        <v>25362</v>
      </c>
      <c r="U40" s="36">
        <v>28734</v>
      </c>
      <c r="V40" s="36">
        <v>29129</v>
      </c>
      <c r="W40" s="36">
        <v>27963</v>
      </c>
      <c r="X40" s="36">
        <v>26297</v>
      </c>
      <c r="Y40" s="36">
        <v>23919</v>
      </c>
      <c r="Z40" s="37">
        <v>21622</v>
      </c>
      <c r="AA40" s="35">
        <f t="shared" si="0"/>
        <v>552616</v>
      </c>
      <c r="AB40" s="21">
        <v>5</v>
      </c>
      <c r="AC40" s="101"/>
      <c r="AD40" s="49"/>
    </row>
    <row r="41" spans="1:30" ht="15.75" thickBot="1" x14ac:dyDescent="0.3">
      <c r="A41" s="99"/>
      <c r="B41" s="22" t="s">
        <v>3</v>
      </c>
      <c r="C41" s="39">
        <v>20080</v>
      </c>
      <c r="D41" s="39">
        <v>18857</v>
      </c>
      <c r="E41" s="39">
        <v>18002</v>
      </c>
      <c r="F41" s="39">
        <v>17396</v>
      </c>
      <c r="G41" s="39">
        <v>17158</v>
      </c>
      <c r="H41" s="39">
        <v>17072</v>
      </c>
      <c r="I41" s="39">
        <v>17044</v>
      </c>
      <c r="J41" s="39">
        <v>18424</v>
      </c>
      <c r="K41" s="39">
        <v>20139</v>
      </c>
      <c r="L41" s="39">
        <v>21646</v>
      </c>
      <c r="M41" s="39">
        <v>22774</v>
      </c>
      <c r="N41" s="39">
        <v>23834</v>
      </c>
      <c r="O41" s="39">
        <v>24405</v>
      </c>
      <c r="P41" s="39">
        <v>24375</v>
      </c>
      <c r="Q41" s="39">
        <v>23989</v>
      </c>
      <c r="R41" s="39">
        <v>23745</v>
      </c>
      <c r="S41" s="39">
        <v>23604</v>
      </c>
      <c r="T41" s="39">
        <v>24051</v>
      </c>
      <c r="U41" s="39">
        <v>27420</v>
      </c>
      <c r="V41" s="39">
        <v>28103</v>
      </c>
      <c r="W41" s="39">
        <v>27143</v>
      </c>
      <c r="X41" s="39">
        <v>25502</v>
      </c>
      <c r="Y41" s="39">
        <v>23102</v>
      </c>
      <c r="Z41" s="40">
        <v>20698</v>
      </c>
      <c r="AA41" s="35">
        <f t="shared" si="0"/>
        <v>528563</v>
      </c>
      <c r="AB41" s="23">
        <v>7</v>
      </c>
      <c r="AC41" s="102"/>
      <c r="AD41" s="49"/>
    </row>
    <row r="42" spans="1:30" x14ac:dyDescent="0.25">
      <c r="A42" s="103" t="s">
        <v>2</v>
      </c>
      <c r="B42" s="104"/>
      <c r="C42" s="31">
        <f t="shared" ref="C42:AC42" si="1">+SUM(C6:C41)</f>
        <v>689191</v>
      </c>
      <c r="D42" s="31">
        <f t="shared" si="1"/>
        <v>648245</v>
      </c>
      <c r="E42" s="31">
        <f t="shared" si="1"/>
        <v>623543</v>
      </c>
      <c r="F42" s="31">
        <f t="shared" si="1"/>
        <v>608285</v>
      </c>
      <c r="G42" s="31">
        <f t="shared" si="1"/>
        <v>610173</v>
      </c>
      <c r="H42" s="31">
        <f t="shared" si="1"/>
        <v>627900</v>
      </c>
      <c r="I42" s="31">
        <f t="shared" si="1"/>
        <v>651644</v>
      </c>
      <c r="J42" s="31">
        <f t="shared" si="1"/>
        <v>716313</v>
      </c>
      <c r="K42" s="31">
        <f t="shared" si="1"/>
        <v>787244</v>
      </c>
      <c r="L42" s="31">
        <f t="shared" si="1"/>
        <v>841916</v>
      </c>
      <c r="M42" s="31">
        <f t="shared" si="1"/>
        <v>887758</v>
      </c>
      <c r="N42" s="31">
        <f t="shared" si="1"/>
        <v>930769</v>
      </c>
      <c r="O42" s="31">
        <f t="shared" si="1"/>
        <v>932473</v>
      </c>
      <c r="P42" s="31">
        <f t="shared" si="1"/>
        <v>927291</v>
      </c>
      <c r="Q42" s="31">
        <f t="shared" si="1"/>
        <v>924004</v>
      </c>
      <c r="R42" s="31">
        <f t="shared" si="1"/>
        <v>920199</v>
      </c>
      <c r="S42" s="31">
        <f t="shared" si="1"/>
        <v>911194</v>
      </c>
      <c r="T42" s="31">
        <f t="shared" si="1"/>
        <v>912805</v>
      </c>
      <c r="U42" s="31">
        <f t="shared" si="1"/>
        <v>1004632</v>
      </c>
      <c r="V42" s="31">
        <f t="shared" si="1"/>
        <v>1052023</v>
      </c>
      <c r="W42" s="31">
        <f t="shared" si="1"/>
        <v>1014083</v>
      </c>
      <c r="X42" s="31">
        <f t="shared" si="1"/>
        <v>948369</v>
      </c>
      <c r="Y42" s="31">
        <f t="shared" si="1"/>
        <v>849208</v>
      </c>
      <c r="Z42" s="31">
        <f t="shared" si="1"/>
        <v>752523</v>
      </c>
      <c r="AA42" s="31">
        <f t="shared" si="1"/>
        <v>19771785</v>
      </c>
      <c r="AB42" s="31">
        <f t="shared" si="1"/>
        <v>366</v>
      </c>
      <c r="AC42" s="46">
        <f t="shared" si="1"/>
        <v>203699860</v>
      </c>
      <c r="AD42" s="49"/>
    </row>
    <row r="43" spans="1:30" x14ac:dyDescent="0.25">
      <c r="AB43" s="6"/>
      <c r="AC43" s="6"/>
    </row>
    <row r="44" spans="1:30" x14ac:dyDescent="0.25">
      <c r="AA44" s="45"/>
      <c r="AC44" s="45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9E6-CC4E-448E-9416-BCFB75F5E663}">
  <sheetPr codeName="Hoja9">
    <tabColor rgb="FF0070C0"/>
  </sheetPr>
  <dimension ref="A1:AD46"/>
  <sheetViews>
    <sheetView showGridLines="0" zoomScale="115" zoomScaleNormal="115" zoomScaleSheetLayoutView="110" workbookViewId="0">
      <pane xSplit="2" ySplit="5" topLeftCell="M3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57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46753</v>
      </c>
      <c r="B6" s="18" t="s">
        <v>5</v>
      </c>
      <c r="C6" s="33">
        <f>ROUND('Anexo 13'!C6*'Anexo 3'!$D$10,0)</f>
        <v>0</v>
      </c>
      <c r="D6" s="33">
        <f>ROUND('Anexo 13'!D6*'Anexo 3'!$D$10,0)</f>
        <v>0</v>
      </c>
      <c r="E6" s="33">
        <f>ROUND('Anexo 13'!E6*'Anexo 3'!$D$10,0)</f>
        <v>0</v>
      </c>
      <c r="F6" s="33">
        <f>ROUND('Anexo 13'!F6*'Anexo 3'!$D$10,0)</f>
        <v>0</v>
      </c>
      <c r="G6" s="33">
        <f>ROUND('Anexo 13'!G6*'Anexo 3'!$D$10,0)</f>
        <v>0</v>
      </c>
      <c r="H6" s="33">
        <f>ROUND('Anexo 13'!H6*'Anexo 3'!$D$10,0)</f>
        <v>0</v>
      </c>
      <c r="I6" s="33">
        <f>ROUND('Anexo 13'!I6*'Anexo 3'!$D$10,0)</f>
        <v>0</v>
      </c>
      <c r="J6" s="33">
        <f>ROUND('Anexo 13'!J6*'Anexo 3'!$D$10,0)</f>
        <v>0</v>
      </c>
      <c r="K6" s="33">
        <f>ROUND('Anexo 13'!K6*'Anexo 3'!$D$10,0)</f>
        <v>0</v>
      </c>
      <c r="L6" s="33">
        <f>ROUND('Anexo 13'!L6*'Anexo 3'!$D$10,0)</f>
        <v>0</v>
      </c>
      <c r="M6" s="33">
        <f>ROUND('Anexo 13'!M6*'Anexo 3'!$D$10,0)</f>
        <v>0</v>
      </c>
      <c r="N6" s="33">
        <f>ROUND('Anexo 13'!N6*'Anexo 3'!$D$10,0)</f>
        <v>0</v>
      </c>
      <c r="O6" s="33">
        <f>ROUND('Anexo 13'!O6*'Anexo 3'!$D$10,0)</f>
        <v>0</v>
      </c>
      <c r="P6" s="33">
        <f>ROUND('Anexo 13'!P6*'Anexo 3'!$D$10,0)</f>
        <v>0</v>
      </c>
      <c r="Q6" s="33">
        <f>ROUND('Anexo 13'!Q6*'Anexo 3'!$D$10,0)</f>
        <v>0</v>
      </c>
      <c r="R6" s="33">
        <f>ROUND('Anexo 13'!R6*'Anexo 3'!$D$10,0)</f>
        <v>0</v>
      </c>
      <c r="S6" s="33">
        <f>ROUND('Anexo 13'!S6*'Anexo 3'!$D$10,0)</f>
        <v>0</v>
      </c>
      <c r="T6" s="33">
        <f>ROUND('Anexo 13'!T6*'Anexo 3'!$D$10,0)</f>
        <v>0</v>
      </c>
      <c r="U6" s="33">
        <f>ROUND('Anexo 13'!U6*'Anexo 3'!$D$10,0)</f>
        <v>0</v>
      </c>
      <c r="V6" s="33">
        <f>ROUND('Anexo 13'!V6*'Anexo 3'!$D$10,0)</f>
        <v>0</v>
      </c>
      <c r="W6" s="33">
        <f>ROUND('Anexo 13'!W6*'Anexo 3'!$D$10,0)</f>
        <v>0</v>
      </c>
      <c r="X6" s="33">
        <f>ROUND('Anexo 13'!X6*'Anexo 3'!$D$10,0)</f>
        <v>0</v>
      </c>
      <c r="Y6" s="33">
        <f>ROUND('Anexo 13'!Y6*'Anexo 3'!$D$10,0)</f>
        <v>0</v>
      </c>
      <c r="Z6" s="33">
        <f>ROUND('Anexo 13'!Z6*'Anexo 3'!$D$10,0)</f>
        <v>0</v>
      </c>
      <c r="AA6" s="35">
        <f>SUM(C6:Z6)</f>
        <v>0</v>
      </c>
      <c r="AB6" s="19">
        <v>20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ROUND('Anexo 13'!C7*'Anexo 3'!$D$10,0)</f>
        <v>0</v>
      </c>
      <c r="D7" s="33">
        <f>ROUND('Anexo 13'!D7*'Anexo 3'!$D$10,0)</f>
        <v>0</v>
      </c>
      <c r="E7" s="33">
        <f>ROUND('Anexo 13'!E7*'Anexo 3'!$D$10,0)</f>
        <v>0</v>
      </c>
      <c r="F7" s="33">
        <f>ROUND('Anexo 13'!F7*'Anexo 3'!$D$10,0)</f>
        <v>0</v>
      </c>
      <c r="G7" s="33">
        <f>ROUND('Anexo 13'!G7*'Anexo 3'!$D$10,0)</f>
        <v>0</v>
      </c>
      <c r="H7" s="33">
        <f>ROUND('Anexo 13'!H7*'Anexo 3'!$D$10,0)</f>
        <v>0</v>
      </c>
      <c r="I7" s="33">
        <f>ROUND('Anexo 13'!I7*'Anexo 3'!$D$10,0)</f>
        <v>0</v>
      </c>
      <c r="J7" s="33">
        <f>ROUND('Anexo 13'!J7*'Anexo 3'!$D$10,0)</f>
        <v>0</v>
      </c>
      <c r="K7" s="33">
        <f>ROUND('Anexo 13'!K7*'Anexo 3'!$D$10,0)</f>
        <v>0</v>
      </c>
      <c r="L7" s="33">
        <f>ROUND('Anexo 13'!L7*'Anexo 3'!$D$10,0)</f>
        <v>0</v>
      </c>
      <c r="M7" s="33">
        <f>ROUND('Anexo 13'!M7*'Anexo 3'!$D$10,0)</f>
        <v>0</v>
      </c>
      <c r="N7" s="33">
        <f>ROUND('Anexo 13'!N7*'Anexo 3'!$D$10,0)</f>
        <v>0</v>
      </c>
      <c r="O7" s="33">
        <f>ROUND('Anexo 13'!O7*'Anexo 3'!$D$10,0)</f>
        <v>0</v>
      </c>
      <c r="P7" s="33">
        <f>ROUND('Anexo 13'!P7*'Anexo 3'!$D$10,0)</f>
        <v>0</v>
      </c>
      <c r="Q7" s="33">
        <f>ROUND('Anexo 13'!Q7*'Anexo 3'!$D$10,0)</f>
        <v>0</v>
      </c>
      <c r="R7" s="33">
        <f>ROUND('Anexo 13'!R7*'Anexo 3'!$D$10,0)</f>
        <v>0</v>
      </c>
      <c r="S7" s="33">
        <f>ROUND('Anexo 13'!S7*'Anexo 3'!$D$10,0)</f>
        <v>0</v>
      </c>
      <c r="T7" s="33">
        <f>ROUND('Anexo 13'!T7*'Anexo 3'!$D$10,0)</f>
        <v>0</v>
      </c>
      <c r="U7" s="33">
        <f>ROUND('Anexo 13'!U7*'Anexo 3'!$D$10,0)</f>
        <v>0</v>
      </c>
      <c r="V7" s="33">
        <f>ROUND('Anexo 13'!V7*'Anexo 3'!$D$10,0)</f>
        <v>0</v>
      </c>
      <c r="W7" s="33">
        <f>ROUND('Anexo 13'!W7*'Anexo 3'!$D$10,0)</f>
        <v>0</v>
      </c>
      <c r="X7" s="33">
        <f>ROUND('Anexo 13'!X7*'Anexo 3'!$D$10,0)</f>
        <v>0</v>
      </c>
      <c r="Y7" s="33">
        <f>ROUND('Anexo 13'!Y7*'Anexo 3'!$D$10,0)</f>
        <v>0</v>
      </c>
      <c r="Z7" s="33">
        <f>ROUND('Anexo 13'!Z7*'Anexo 3'!$D$10,0)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ROUND('Anexo 13'!C8*'Anexo 3'!$D$10,0)</f>
        <v>0</v>
      </c>
      <c r="D8" s="33">
        <f>ROUND('Anexo 13'!D8*'Anexo 3'!$D$10,0)</f>
        <v>0</v>
      </c>
      <c r="E8" s="33">
        <f>ROUND('Anexo 13'!E8*'Anexo 3'!$D$10,0)</f>
        <v>0</v>
      </c>
      <c r="F8" s="33">
        <f>ROUND('Anexo 13'!F8*'Anexo 3'!$D$10,0)</f>
        <v>0</v>
      </c>
      <c r="G8" s="33">
        <f>ROUND('Anexo 13'!G8*'Anexo 3'!$D$10,0)</f>
        <v>0</v>
      </c>
      <c r="H8" s="33">
        <f>ROUND('Anexo 13'!H8*'Anexo 3'!$D$10,0)</f>
        <v>0</v>
      </c>
      <c r="I8" s="33">
        <f>ROUND('Anexo 13'!I8*'Anexo 3'!$D$10,0)</f>
        <v>0</v>
      </c>
      <c r="J8" s="33">
        <f>ROUND('Anexo 13'!J8*'Anexo 3'!$D$10,0)</f>
        <v>0</v>
      </c>
      <c r="K8" s="33">
        <f>ROUND('Anexo 13'!K8*'Anexo 3'!$D$10,0)</f>
        <v>0</v>
      </c>
      <c r="L8" s="33">
        <f>ROUND('Anexo 13'!L8*'Anexo 3'!$D$10,0)</f>
        <v>0</v>
      </c>
      <c r="M8" s="33">
        <f>ROUND('Anexo 13'!M8*'Anexo 3'!$D$10,0)</f>
        <v>0</v>
      </c>
      <c r="N8" s="33">
        <f>ROUND('Anexo 13'!N8*'Anexo 3'!$D$10,0)</f>
        <v>0</v>
      </c>
      <c r="O8" s="33">
        <f>ROUND('Anexo 13'!O8*'Anexo 3'!$D$10,0)</f>
        <v>0</v>
      </c>
      <c r="P8" s="33">
        <f>ROUND('Anexo 13'!P8*'Anexo 3'!$D$10,0)</f>
        <v>0</v>
      </c>
      <c r="Q8" s="33">
        <f>ROUND('Anexo 13'!Q8*'Anexo 3'!$D$10,0)</f>
        <v>0</v>
      </c>
      <c r="R8" s="33">
        <f>ROUND('Anexo 13'!R8*'Anexo 3'!$D$10,0)</f>
        <v>0</v>
      </c>
      <c r="S8" s="33">
        <f>ROUND('Anexo 13'!S8*'Anexo 3'!$D$10,0)</f>
        <v>0</v>
      </c>
      <c r="T8" s="33">
        <f>ROUND('Anexo 13'!T8*'Anexo 3'!$D$10,0)</f>
        <v>0</v>
      </c>
      <c r="U8" s="33">
        <f>ROUND('Anexo 13'!U8*'Anexo 3'!$D$10,0)</f>
        <v>0</v>
      </c>
      <c r="V8" s="33">
        <f>ROUND('Anexo 13'!V8*'Anexo 3'!$D$10,0)</f>
        <v>0</v>
      </c>
      <c r="W8" s="33">
        <f>ROUND('Anexo 13'!W8*'Anexo 3'!$D$10,0)</f>
        <v>0</v>
      </c>
      <c r="X8" s="33">
        <f>ROUND('Anexo 13'!X8*'Anexo 3'!$D$10,0)</f>
        <v>0</v>
      </c>
      <c r="Y8" s="33">
        <f>ROUND('Anexo 13'!Y8*'Anexo 3'!$D$10,0)</f>
        <v>0</v>
      </c>
      <c r="Z8" s="33">
        <f>ROUND('Anexo 13'!Z8*'Anexo 3'!$D$10,0)</f>
        <v>0</v>
      </c>
      <c r="AA8" s="41">
        <f t="shared" si="0"/>
        <v>0</v>
      </c>
      <c r="AB8" s="23">
        <v>7</v>
      </c>
      <c r="AC8" s="102"/>
      <c r="AD8" s="48"/>
    </row>
    <row r="9" spans="1:30" ht="15.75" thickBot="1" x14ac:dyDescent="0.3">
      <c r="A9" s="99">
        <v>46784</v>
      </c>
      <c r="B9" s="18" t="s">
        <v>5</v>
      </c>
      <c r="C9" s="33">
        <f>ROUND('Anexo 13'!C9*'Anexo 3'!$D$10,0)</f>
        <v>0</v>
      </c>
      <c r="D9" s="33">
        <f>ROUND('Anexo 13'!D9*'Anexo 3'!$D$10,0)</f>
        <v>0</v>
      </c>
      <c r="E9" s="33">
        <f>ROUND('Anexo 13'!E9*'Anexo 3'!$D$10,0)</f>
        <v>0</v>
      </c>
      <c r="F9" s="33">
        <f>ROUND('Anexo 13'!F9*'Anexo 3'!$D$10,0)</f>
        <v>0</v>
      </c>
      <c r="G9" s="33">
        <f>ROUND('Anexo 13'!G9*'Anexo 3'!$D$10,0)</f>
        <v>0</v>
      </c>
      <c r="H9" s="33">
        <f>ROUND('Anexo 13'!H9*'Anexo 3'!$D$10,0)</f>
        <v>0</v>
      </c>
      <c r="I9" s="33">
        <f>ROUND('Anexo 13'!I9*'Anexo 3'!$D$10,0)</f>
        <v>0</v>
      </c>
      <c r="J9" s="33">
        <f>ROUND('Anexo 13'!J9*'Anexo 3'!$D$10,0)</f>
        <v>0</v>
      </c>
      <c r="K9" s="33">
        <f>ROUND('Anexo 13'!K9*'Anexo 3'!$D$10,0)</f>
        <v>0</v>
      </c>
      <c r="L9" s="33">
        <f>ROUND('Anexo 13'!L9*'Anexo 3'!$D$10,0)</f>
        <v>0</v>
      </c>
      <c r="M9" s="33">
        <f>ROUND('Anexo 13'!M9*'Anexo 3'!$D$10,0)</f>
        <v>0</v>
      </c>
      <c r="N9" s="33">
        <f>ROUND('Anexo 13'!N9*'Anexo 3'!$D$10,0)</f>
        <v>0</v>
      </c>
      <c r="O9" s="33">
        <f>ROUND('Anexo 13'!O9*'Anexo 3'!$D$10,0)</f>
        <v>0</v>
      </c>
      <c r="P9" s="33">
        <f>ROUND('Anexo 13'!P9*'Anexo 3'!$D$10,0)</f>
        <v>0</v>
      </c>
      <c r="Q9" s="33">
        <f>ROUND('Anexo 13'!Q9*'Anexo 3'!$D$10,0)</f>
        <v>0</v>
      </c>
      <c r="R9" s="33">
        <f>ROUND('Anexo 13'!R9*'Anexo 3'!$D$10,0)</f>
        <v>0</v>
      </c>
      <c r="S9" s="33">
        <f>ROUND('Anexo 13'!S9*'Anexo 3'!$D$10,0)</f>
        <v>0</v>
      </c>
      <c r="T9" s="33">
        <f>ROUND('Anexo 13'!T9*'Anexo 3'!$D$10,0)</f>
        <v>0</v>
      </c>
      <c r="U9" s="33">
        <f>ROUND('Anexo 13'!U9*'Anexo 3'!$D$10,0)</f>
        <v>0</v>
      </c>
      <c r="V9" s="33">
        <f>ROUND('Anexo 13'!V9*'Anexo 3'!$D$10,0)</f>
        <v>0</v>
      </c>
      <c r="W9" s="33">
        <f>ROUND('Anexo 13'!W9*'Anexo 3'!$D$10,0)</f>
        <v>0</v>
      </c>
      <c r="X9" s="33">
        <f>ROUND('Anexo 13'!X9*'Anexo 3'!$D$10,0)</f>
        <v>0</v>
      </c>
      <c r="Y9" s="33">
        <f>ROUND('Anexo 13'!Y9*'Anexo 3'!$D$10,0)</f>
        <v>0</v>
      </c>
      <c r="Z9" s="33">
        <f>ROUND('Anexo 13'!Z9*'Anexo 3'!$D$10,0)</f>
        <v>0</v>
      </c>
      <c r="AA9" s="35">
        <f t="shared" si="0"/>
        <v>0</v>
      </c>
      <c r="AB9" s="19">
        <v>21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ROUND('Anexo 13'!C10*'Anexo 3'!$D$10,0)</f>
        <v>0</v>
      </c>
      <c r="D10" s="33">
        <f>ROUND('Anexo 13'!D10*'Anexo 3'!$D$10,0)</f>
        <v>0</v>
      </c>
      <c r="E10" s="33">
        <f>ROUND('Anexo 13'!E10*'Anexo 3'!$D$10,0)</f>
        <v>0</v>
      </c>
      <c r="F10" s="33">
        <f>ROUND('Anexo 13'!F10*'Anexo 3'!$D$10,0)</f>
        <v>0</v>
      </c>
      <c r="G10" s="33">
        <f>ROUND('Anexo 13'!G10*'Anexo 3'!$D$10,0)</f>
        <v>0</v>
      </c>
      <c r="H10" s="33">
        <f>ROUND('Anexo 13'!H10*'Anexo 3'!$D$10,0)</f>
        <v>0</v>
      </c>
      <c r="I10" s="33">
        <f>ROUND('Anexo 13'!I10*'Anexo 3'!$D$10,0)</f>
        <v>0</v>
      </c>
      <c r="J10" s="33">
        <f>ROUND('Anexo 13'!J10*'Anexo 3'!$D$10,0)</f>
        <v>0</v>
      </c>
      <c r="K10" s="33">
        <f>ROUND('Anexo 13'!K10*'Anexo 3'!$D$10,0)</f>
        <v>0</v>
      </c>
      <c r="L10" s="33">
        <f>ROUND('Anexo 13'!L10*'Anexo 3'!$D$10,0)</f>
        <v>0</v>
      </c>
      <c r="M10" s="33">
        <f>ROUND('Anexo 13'!M10*'Anexo 3'!$D$10,0)</f>
        <v>0</v>
      </c>
      <c r="N10" s="33">
        <f>ROUND('Anexo 13'!N10*'Anexo 3'!$D$10,0)</f>
        <v>0</v>
      </c>
      <c r="O10" s="33">
        <f>ROUND('Anexo 13'!O10*'Anexo 3'!$D$10,0)</f>
        <v>0</v>
      </c>
      <c r="P10" s="33">
        <f>ROUND('Anexo 13'!P10*'Anexo 3'!$D$10,0)</f>
        <v>0</v>
      </c>
      <c r="Q10" s="33">
        <f>ROUND('Anexo 13'!Q10*'Anexo 3'!$D$10,0)</f>
        <v>0</v>
      </c>
      <c r="R10" s="33">
        <f>ROUND('Anexo 13'!R10*'Anexo 3'!$D$10,0)</f>
        <v>0</v>
      </c>
      <c r="S10" s="33">
        <f>ROUND('Anexo 13'!S10*'Anexo 3'!$D$10,0)</f>
        <v>0</v>
      </c>
      <c r="T10" s="33">
        <f>ROUND('Anexo 13'!T10*'Anexo 3'!$D$10,0)</f>
        <v>0</v>
      </c>
      <c r="U10" s="33">
        <f>ROUND('Anexo 13'!U10*'Anexo 3'!$D$10,0)</f>
        <v>0</v>
      </c>
      <c r="V10" s="33">
        <f>ROUND('Anexo 13'!V10*'Anexo 3'!$D$10,0)</f>
        <v>0</v>
      </c>
      <c r="W10" s="33">
        <f>ROUND('Anexo 13'!W10*'Anexo 3'!$D$10,0)</f>
        <v>0</v>
      </c>
      <c r="X10" s="33">
        <f>ROUND('Anexo 13'!X10*'Anexo 3'!$D$10,0)</f>
        <v>0</v>
      </c>
      <c r="Y10" s="33">
        <f>ROUND('Anexo 13'!Y10*'Anexo 3'!$D$10,0)</f>
        <v>0</v>
      </c>
      <c r="Z10" s="33">
        <f>ROUND('Anexo 13'!Z10*'Anexo 3'!$D$10,0)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ROUND('Anexo 13'!C11*'Anexo 3'!$D$10,0)</f>
        <v>0</v>
      </c>
      <c r="D11" s="33">
        <f>ROUND('Anexo 13'!D11*'Anexo 3'!$D$10,0)</f>
        <v>0</v>
      </c>
      <c r="E11" s="33">
        <f>ROUND('Anexo 13'!E11*'Anexo 3'!$D$10,0)</f>
        <v>0</v>
      </c>
      <c r="F11" s="33">
        <f>ROUND('Anexo 13'!F11*'Anexo 3'!$D$10,0)</f>
        <v>0</v>
      </c>
      <c r="G11" s="33">
        <f>ROUND('Anexo 13'!G11*'Anexo 3'!$D$10,0)</f>
        <v>0</v>
      </c>
      <c r="H11" s="33">
        <f>ROUND('Anexo 13'!H11*'Anexo 3'!$D$10,0)</f>
        <v>0</v>
      </c>
      <c r="I11" s="33">
        <f>ROUND('Anexo 13'!I11*'Anexo 3'!$D$10,0)</f>
        <v>0</v>
      </c>
      <c r="J11" s="33">
        <f>ROUND('Anexo 13'!J11*'Anexo 3'!$D$10,0)</f>
        <v>0</v>
      </c>
      <c r="K11" s="33">
        <f>ROUND('Anexo 13'!K11*'Anexo 3'!$D$10,0)</f>
        <v>0</v>
      </c>
      <c r="L11" s="33">
        <f>ROUND('Anexo 13'!L11*'Anexo 3'!$D$10,0)</f>
        <v>0</v>
      </c>
      <c r="M11" s="33">
        <f>ROUND('Anexo 13'!M11*'Anexo 3'!$D$10,0)</f>
        <v>0</v>
      </c>
      <c r="N11" s="33">
        <f>ROUND('Anexo 13'!N11*'Anexo 3'!$D$10,0)</f>
        <v>0</v>
      </c>
      <c r="O11" s="33">
        <f>ROUND('Anexo 13'!O11*'Anexo 3'!$D$10,0)</f>
        <v>0</v>
      </c>
      <c r="P11" s="33">
        <f>ROUND('Anexo 13'!P11*'Anexo 3'!$D$10,0)</f>
        <v>0</v>
      </c>
      <c r="Q11" s="33">
        <f>ROUND('Anexo 13'!Q11*'Anexo 3'!$D$10,0)</f>
        <v>0</v>
      </c>
      <c r="R11" s="33">
        <f>ROUND('Anexo 13'!R11*'Anexo 3'!$D$10,0)</f>
        <v>0</v>
      </c>
      <c r="S11" s="33">
        <f>ROUND('Anexo 13'!S11*'Anexo 3'!$D$10,0)</f>
        <v>0</v>
      </c>
      <c r="T11" s="33">
        <f>ROUND('Anexo 13'!T11*'Anexo 3'!$D$10,0)</f>
        <v>0</v>
      </c>
      <c r="U11" s="33">
        <f>ROUND('Anexo 13'!U11*'Anexo 3'!$D$10,0)</f>
        <v>0</v>
      </c>
      <c r="V11" s="33">
        <f>ROUND('Anexo 13'!V11*'Anexo 3'!$D$10,0)</f>
        <v>0</v>
      </c>
      <c r="W11" s="33">
        <f>ROUND('Anexo 13'!W11*'Anexo 3'!$D$10,0)</f>
        <v>0</v>
      </c>
      <c r="X11" s="33">
        <f>ROUND('Anexo 13'!X11*'Anexo 3'!$D$10,0)</f>
        <v>0</v>
      </c>
      <c r="Y11" s="33">
        <f>ROUND('Anexo 13'!Y11*'Anexo 3'!$D$10,0)</f>
        <v>0</v>
      </c>
      <c r="Z11" s="33">
        <f>ROUND('Anexo 13'!Z11*'Anexo 3'!$D$10,0)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46813</v>
      </c>
      <c r="B12" s="18" t="s">
        <v>5</v>
      </c>
      <c r="C12" s="33">
        <f>ROUND('Anexo 13'!C12*'Anexo 3'!$D$10,0)</f>
        <v>0</v>
      </c>
      <c r="D12" s="33">
        <f>ROUND('Anexo 13'!D12*'Anexo 3'!$D$10,0)</f>
        <v>0</v>
      </c>
      <c r="E12" s="33">
        <f>ROUND('Anexo 13'!E12*'Anexo 3'!$D$10,0)</f>
        <v>0</v>
      </c>
      <c r="F12" s="33">
        <f>ROUND('Anexo 13'!F12*'Anexo 3'!$D$10,0)</f>
        <v>0</v>
      </c>
      <c r="G12" s="33">
        <f>ROUND('Anexo 13'!G12*'Anexo 3'!$D$10,0)</f>
        <v>0</v>
      </c>
      <c r="H12" s="33">
        <f>ROUND('Anexo 13'!H12*'Anexo 3'!$D$10,0)</f>
        <v>0</v>
      </c>
      <c r="I12" s="33">
        <f>ROUND('Anexo 13'!I12*'Anexo 3'!$D$10,0)</f>
        <v>0</v>
      </c>
      <c r="J12" s="33">
        <f>ROUND('Anexo 13'!J12*'Anexo 3'!$D$10,0)</f>
        <v>0</v>
      </c>
      <c r="K12" s="33">
        <f>ROUND('Anexo 13'!K12*'Anexo 3'!$D$10,0)</f>
        <v>0</v>
      </c>
      <c r="L12" s="33">
        <f>ROUND('Anexo 13'!L12*'Anexo 3'!$D$10,0)</f>
        <v>0</v>
      </c>
      <c r="M12" s="33">
        <f>ROUND('Anexo 13'!M12*'Anexo 3'!$D$10,0)</f>
        <v>0</v>
      </c>
      <c r="N12" s="33">
        <f>ROUND('Anexo 13'!N12*'Anexo 3'!$D$10,0)</f>
        <v>0</v>
      </c>
      <c r="O12" s="33">
        <f>ROUND('Anexo 13'!O12*'Anexo 3'!$D$10,0)</f>
        <v>0</v>
      </c>
      <c r="P12" s="33">
        <f>ROUND('Anexo 13'!P12*'Anexo 3'!$D$10,0)</f>
        <v>0</v>
      </c>
      <c r="Q12" s="33">
        <f>ROUND('Anexo 13'!Q12*'Anexo 3'!$D$10,0)</f>
        <v>0</v>
      </c>
      <c r="R12" s="33">
        <f>ROUND('Anexo 13'!R12*'Anexo 3'!$D$10,0)</f>
        <v>0</v>
      </c>
      <c r="S12" s="33">
        <f>ROUND('Anexo 13'!S12*'Anexo 3'!$D$10,0)</f>
        <v>0</v>
      </c>
      <c r="T12" s="33">
        <f>ROUND('Anexo 13'!T12*'Anexo 3'!$D$10,0)</f>
        <v>0</v>
      </c>
      <c r="U12" s="33">
        <f>ROUND('Anexo 13'!U12*'Anexo 3'!$D$10,0)</f>
        <v>0</v>
      </c>
      <c r="V12" s="33">
        <f>ROUND('Anexo 13'!V12*'Anexo 3'!$D$10,0)</f>
        <v>0</v>
      </c>
      <c r="W12" s="33">
        <f>ROUND('Anexo 13'!W12*'Anexo 3'!$D$10,0)</f>
        <v>0</v>
      </c>
      <c r="X12" s="33">
        <f>ROUND('Anexo 13'!X12*'Anexo 3'!$D$10,0)</f>
        <v>0</v>
      </c>
      <c r="Y12" s="33">
        <f>ROUND('Anexo 13'!Y12*'Anexo 3'!$D$10,0)</f>
        <v>0</v>
      </c>
      <c r="Z12" s="33">
        <f>ROUND('Anexo 13'!Z12*'Anexo 3'!$D$10,0)</f>
        <v>0</v>
      </c>
      <c r="AA12" s="35">
        <f t="shared" si="0"/>
        <v>0</v>
      </c>
      <c r="AB12" s="19">
        <v>22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ROUND('Anexo 13'!C13*'Anexo 3'!$D$10,0)</f>
        <v>0</v>
      </c>
      <c r="D13" s="33">
        <f>ROUND('Anexo 13'!D13*'Anexo 3'!$D$10,0)</f>
        <v>0</v>
      </c>
      <c r="E13" s="33">
        <f>ROUND('Anexo 13'!E13*'Anexo 3'!$D$10,0)</f>
        <v>0</v>
      </c>
      <c r="F13" s="33">
        <f>ROUND('Anexo 13'!F13*'Anexo 3'!$D$10,0)</f>
        <v>0</v>
      </c>
      <c r="G13" s="33">
        <f>ROUND('Anexo 13'!G13*'Anexo 3'!$D$10,0)</f>
        <v>0</v>
      </c>
      <c r="H13" s="33">
        <f>ROUND('Anexo 13'!H13*'Anexo 3'!$D$10,0)</f>
        <v>0</v>
      </c>
      <c r="I13" s="33">
        <f>ROUND('Anexo 13'!I13*'Anexo 3'!$D$10,0)</f>
        <v>0</v>
      </c>
      <c r="J13" s="33">
        <f>ROUND('Anexo 13'!J13*'Anexo 3'!$D$10,0)</f>
        <v>0</v>
      </c>
      <c r="K13" s="33">
        <f>ROUND('Anexo 13'!K13*'Anexo 3'!$D$10,0)</f>
        <v>0</v>
      </c>
      <c r="L13" s="33">
        <f>ROUND('Anexo 13'!L13*'Anexo 3'!$D$10,0)</f>
        <v>0</v>
      </c>
      <c r="M13" s="33">
        <f>ROUND('Anexo 13'!M13*'Anexo 3'!$D$10,0)</f>
        <v>0</v>
      </c>
      <c r="N13" s="33">
        <f>ROUND('Anexo 13'!N13*'Anexo 3'!$D$10,0)</f>
        <v>0</v>
      </c>
      <c r="O13" s="33">
        <f>ROUND('Anexo 13'!O13*'Anexo 3'!$D$10,0)</f>
        <v>0</v>
      </c>
      <c r="P13" s="33">
        <f>ROUND('Anexo 13'!P13*'Anexo 3'!$D$10,0)</f>
        <v>0</v>
      </c>
      <c r="Q13" s="33">
        <f>ROUND('Anexo 13'!Q13*'Anexo 3'!$D$10,0)</f>
        <v>0</v>
      </c>
      <c r="R13" s="33">
        <f>ROUND('Anexo 13'!R13*'Anexo 3'!$D$10,0)</f>
        <v>0</v>
      </c>
      <c r="S13" s="33">
        <f>ROUND('Anexo 13'!S13*'Anexo 3'!$D$10,0)</f>
        <v>0</v>
      </c>
      <c r="T13" s="33">
        <f>ROUND('Anexo 13'!T13*'Anexo 3'!$D$10,0)</f>
        <v>0</v>
      </c>
      <c r="U13" s="33">
        <f>ROUND('Anexo 13'!U13*'Anexo 3'!$D$10,0)</f>
        <v>0</v>
      </c>
      <c r="V13" s="33">
        <f>ROUND('Anexo 13'!V13*'Anexo 3'!$D$10,0)</f>
        <v>0</v>
      </c>
      <c r="W13" s="33">
        <f>ROUND('Anexo 13'!W13*'Anexo 3'!$D$10,0)</f>
        <v>0</v>
      </c>
      <c r="X13" s="33">
        <f>ROUND('Anexo 13'!X13*'Anexo 3'!$D$10,0)</f>
        <v>0</v>
      </c>
      <c r="Y13" s="33">
        <f>ROUND('Anexo 13'!Y13*'Anexo 3'!$D$10,0)</f>
        <v>0</v>
      </c>
      <c r="Z13" s="33">
        <f>ROUND('Anexo 13'!Z13*'Anexo 3'!$D$10,0)</f>
        <v>0</v>
      </c>
      <c r="AA13" s="38">
        <f t="shared" si="0"/>
        <v>0</v>
      </c>
      <c r="AB13" s="21">
        <v>4</v>
      </c>
      <c r="AC13" s="101"/>
      <c r="AD13" s="47"/>
    </row>
    <row r="14" spans="1:30" ht="15.75" thickBot="1" x14ac:dyDescent="0.3">
      <c r="A14" s="99"/>
      <c r="B14" s="22" t="s">
        <v>3</v>
      </c>
      <c r="C14" s="33">
        <f>ROUND('Anexo 13'!C14*'Anexo 3'!$D$10,0)</f>
        <v>0</v>
      </c>
      <c r="D14" s="33">
        <f>ROUND('Anexo 13'!D14*'Anexo 3'!$D$10,0)</f>
        <v>0</v>
      </c>
      <c r="E14" s="33">
        <f>ROUND('Anexo 13'!E14*'Anexo 3'!$D$10,0)</f>
        <v>0</v>
      </c>
      <c r="F14" s="33">
        <f>ROUND('Anexo 13'!F14*'Anexo 3'!$D$10,0)</f>
        <v>0</v>
      </c>
      <c r="G14" s="33">
        <f>ROUND('Anexo 13'!G14*'Anexo 3'!$D$10,0)</f>
        <v>0</v>
      </c>
      <c r="H14" s="33">
        <f>ROUND('Anexo 13'!H14*'Anexo 3'!$D$10,0)</f>
        <v>0</v>
      </c>
      <c r="I14" s="33">
        <f>ROUND('Anexo 13'!I14*'Anexo 3'!$D$10,0)</f>
        <v>0</v>
      </c>
      <c r="J14" s="33">
        <f>ROUND('Anexo 13'!J14*'Anexo 3'!$D$10,0)</f>
        <v>0</v>
      </c>
      <c r="K14" s="33">
        <f>ROUND('Anexo 13'!K14*'Anexo 3'!$D$10,0)</f>
        <v>0</v>
      </c>
      <c r="L14" s="33">
        <f>ROUND('Anexo 13'!L14*'Anexo 3'!$D$10,0)</f>
        <v>0</v>
      </c>
      <c r="M14" s="33">
        <f>ROUND('Anexo 13'!M14*'Anexo 3'!$D$10,0)</f>
        <v>0</v>
      </c>
      <c r="N14" s="33">
        <f>ROUND('Anexo 13'!N14*'Anexo 3'!$D$10,0)</f>
        <v>0</v>
      </c>
      <c r="O14" s="33">
        <f>ROUND('Anexo 13'!O14*'Anexo 3'!$D$10,0)</f>
        <v>0</v>
      </c>
      <c r="P14" s="33">
        <f>ROUND('Anexo 13'!P14*'Anexo 3'!$D$10,0)</f>
        <v>0</v>
      </c>
      <c r="Q14" s="33">
        <f>ROUND('Anexo 13'!Q14*'Anexo 3'!$D$10,0)</f>
        <v>0</v>
      </c>
      <c r="R14" s="33">
        <f>ROUND('Anexo 13'!R14*'Anexo 3'!$D$10,0)</f>
        <v>0</v>
      </c>
      <c r="S14" s="33">
        <f>ROUND('Anexo 13'!S14*'Anexo 3'!$D$10,0)</f>
        <v>0</v>
      </c>
      <c r="T14" s="33">
        <f>ROUND('Anexo 13'!T14*'Anexo 3'!$D$10,0)</f>
        <v>0</v>
      </c>
      <c r="U14" s="33">
        <f>ROUND('Anexo 13'!U14*'Anexo 3'!$D$10,0)</f>
        <v>0</v>
      </c>
      <c r="V14" s="33">
        <f>ROUND('Anexo 13'!V14*'Anexo 3'!$D$10,0)</f>
        <v>0</v>
      </c>
      <c r="W14" s="33">
        <f>ROUND('Anexo 13'!W14*'Anexo 3'!$D$10,0)</f>
        <v>0</v>
      </c>
      <c r="X14" s="33">
        <f>ROUND('Anexo 13'!X14*'Anexo 3'!$D$10,0)</f>
        <v>0</v>
      </c>
      <c r="Y14" s="33">
        <f>ROUND('Anexo 13'!Y14*'Anexo 3'!$D$10,0)</f>
        <v>0</v>
      </c>
      <c r="Z14" s="33">
        <f>ROUND('Anexo 13'!Z14*'Anexo 3'!$D$10,0)</f>
        <v>0</v>
      </c>
      <c r="AA14" s="41">
        <f t="shared" si="0"/>
        <v>0</v>
      </c>
      <c r="AB14" s="23">
        <v>5</v>
      </c>
      <c r="AC14" s="102"/>
      <c r="AD14" s="45"/>
    </row>
    <row r="15" spans="1:30" ht="15.75" thickBot="1" x14ac:dyDescent="0.3">
      <c r="A15" s="99">
        <v>46844</v>
      </c>
      <c r="B15" s="18" t="s">
        <v>5</v>
      </c>
      <c r="C15" s="33">
        <f>ROUND('Anexo 13'!C15*'Anexo 3'!$D$10,0)</f>
        <v>0</v>
      </c>
      <c r="D15" s="33">
        <f>ROUND('Anexo 13'!D15*'Anexo 3'!$D$10,0)</f>
        <v>0</v>
      </c>
      <c r="E15" s="33">
        <f>ROUND('Anexo 13'!E15*'Anexo 3'!$D$10,0)</f>
        <v>0</v>
      </c>
      <c r="F15" s="33">
        <f>ROUND('Anexo 13'!F15*'Anexo 3'!$D$10,0)</f>
        <v>0</v>
      </c>
      <c r="G15" s="33">
        <f>ROUND('Anexo 13'!G15*'Anexo 3'!$D$10,0)</f>
        <v>0</v>
      </c>
      <c r="H15" s="33">
        <f>ROUND('Anexo 13'!H15*'Anexo 3'!$D$10,0)</f>
        <v>0</v>
      </c>
      <c r="I15" s="33">
        <f>ROUND('Anexo 13'!I15*'Anexo 3'!$D$10,0)</f>
        <v>0</v>
      </c>
      <c r="J15" s="33">
        <f>ROUND('Anexo 13'!J15*'Anexo 3'!$D$10,0)</f>
        <v>0</v>
      </c>
      <c r="K15" s="33">
        <f>ROUND('Anexo 13'!K15*'Anexo 3'!$D$10,0)</f>
        <v>0</v>
      </c>
      <c r="L15" s="33">
        <f>ROUND('Anexo 13'!L15*'Anexo 3'!$D$10,0)</f>
        <v>0</v>
      </c>
      <c r="M15" s="33">
        <f>ROUND('Anexo 13'!M15*'Anexo 3'!$D$10,0)</f>
        <v>0</v>
      </c>
      <c r="N15" s="33">
        <f>ROUND('Anexo 13'!N15*'Anexo 3'!$D$10,0)</f>
        <v>0</v>
      </c>
      <c r="O15" s="33">
        <f>ROUND('Anexo 13'!O15*'Anexo 3'!$D$10,0)</f>
        <v>0</v>
      </c>
      <c r="P15" s="33">
        <f>ROUND('Anexo 13'!P15*'Anexo 3'!$D$10,0)</f>
        <v>0</v>
      </c>
      <c r="Q15" s="33">
        <f>ROUND('Anexo 13'!Q15*'Anexo 3'!$D$10,0)</f>
        <v>0</v>
      </c>
      <c r="R15" s="33">
        <f>ROUND('Anexo 13'!R15*'Anexo 3'!$D$10,0)</f>
        <v>0</v>
      </c>
      <c r="S15" s="33">
        <f>ROUND('Anexo 13'!S15*'Anexo 3'!$D$10,0)</f>
        <v>0</v>
      </c>
      <c r="T15" s="33">
        <f>ROUND('Anexo 13'!T15*'Anexo 3'!$D$10,0)</f>
        <v>0</v>
      </c>
      <c r="U15" s="33">
        <f>ROUND('Anexo 13'!U15*'Anexo 3'!$D$10,0)</f>
        <v>0</v>
      </c>
      <c r="V15" s="33">
        <f>ROUND('Anexo 13'!V15*'Anexo 3'!$D$10,0)</f>
        <v>0</v>
      </c>
      <c r="W15" s="33">
        <f>ROUND('Anexo 13'!W15*'Anexo 3'!$D$10,0)</f>
        <v>0</v>
      </c>
      <c r="X15" s="33">
        <f>ROUND('Anexo 13'!X15*'Anexo 3'!$D$10,0)</f>
        <v>0</v>
      </c>
      <c r="Y15" s="33">
        <f>ROUND('Anexo 13'!Y15*'Anexo 3'!$D$10,0)</f>
        <v>0</v>
      </c>
      <c r="Z15" s="33">
        <f>ROUND('Anexo 13'!Z15*'Anexo 3'!$D$10,0)</f>
        <v>0</v>
      </c>
      <c r="AA15" s="35">
        <f t="shared" si="0"/>
        <v>0</v>
      </c>
      <c r="AB15" s="19">
        <v>18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ROUND('Anexo 13'!C16*'Anexo 3'!$D$10,0)</f>
        <v>0</v>
      </c>
      <c r="D16" s="33">
        <f>ROUND('Anexo 13'!D16*'Anexo 3'!$D$10,0)</f>
        <v>0</v>
      </c>
      <c r="E16" s="33">
        <f>ROUND('Anexo 13'!E16*'Anexo 3'!$D$10,0)</f>
        <v>0</v>
      </c>
      <c r="F16" s="33">
        <f>ROUND('Anexo 13'!F16*'Anexo 3'!$D$10,0)</f>
        <v>0</v>
      </c>
      <c r="G16" s="33">
        <f>ROUND('Anexo 13'!G16*'Anexo 3'!$D$10,0)</f>
        <v>0</v>
      </c>
      <c r="H16" s="33">
        <f>ROUND('Anexo 13'!H16*'Anexo 3'!$D$10,0)</f>
        <v>0</v>
      </c>
      <c r="I16" s="33">
        <f>ROUND('Anexo 13'!I16*'Anexo 3'!$D$10,0)</f>
        <v>0</v>
      </c>
      <c r="J16" s="33">
        <f>ROUND('Anexo 13'!J16*'Anexo 3'!$D$10,0)</f>
        <v>0</v>
      </c>
      <c r="K16" s="33">
        <f>ROUND('Anexo 13'!K16*'Anexo 3'!$D$10,0)</f>
        <v>0</v>
      </c>
      <c r="L16" s="33">
        <f>ROUND('Anexo 13'!L16*'Anexo 3'!$D$10,0)</f>
        <v>0</v>
      </c>
      <c r="M16" s="33">
        <f>ROUND('Anexo 13'!M16*'Anexo 3'!$D$10,0)</f>
        <v>0</v>
      </c>
      <c r="N16" s="33">
        <f>ROUND('Anexo 13'!N16*'Anexo 3'!$D$10,0)</f>
        <v>0</v>
      </c>
      <c r="O16" s="33">
        <f>ROUND('Anexo 13'!O16*'Anexo 3'!$D$10,0)</f>
        <v>0</v>
      </c>
      <c r="P16" s="33">
        <f>ROUND('Anexo 13'!P16*'Anexo 3'!$D$10,0)</f>
        <v>0</v>
      </c>
      <c r="Q16" s="33">
        <f>ROUND('Anexo 13'!Q16*'Anexo 3'!$D$10,0)</f>
        <v>0</v>
      </c>
      <c r="R16" s="33">
        <f>ROUND('Anexo 13'!R16*'Anexo 3'!$D$10,0)</f>
        <v>0</v>
      </c>
      <c r="S16" s="33">
        <f>ROUND('Anexo 13'!S16*'Anexo 3'!$D$10,0)</f>
        <v>0</v>
      </c>
      <c r="T16" s="33">
        <f>ROUND('Anexo 13'!T16*'Anexo 3'!$D$10,0)</f>
        <v>0</v>
      </c>
      <c r="U16" s="33">
        <f>ROUND('Anexo 13'!U16*'Anexo 3'!$D$10,0)</f>
        <v>0</v>
      </c>
      <c r="V16" s="33">
        <f>ROUND('Anexo 13'!V16*'Anexo 3'!$D$10,0)</f>
        <v>0</v>
      </c>
      <c r="W16" s="33">
        <f>ROUND('Anexo 13'!W16*'Anexo 3'!$D$10,0)</f>
        <v>0</v>
      </c>
      <c r="X16" s="33">
        <f>ROUND('Anexo 13'!X16*'Anexo 3'!$D$10,0)</f>
        <v>0</v>
      </c>
      <c r="Y16" s="33">
        <f>ROUND('Anexo 13'!Y16*'Anexo 3'!$D$10,0)</f>
        <v>0</v>
      </c>
      <c r="Z16" s="33">
        <f>ROUND('Anexo 13'!Z16*'Anexo 3'!$D$10,0)</f>
        <v>0</v>
      </c>
      <c r="AA16" s="38">
        <f t="shared" si="0"/>
        <v>0</v>
      </c>
      <c r="AB16" s="21">
        <v>5</v>
      </c>
      <c r="AC16" s="101"/>
      <c r="AD16" s="47"/>
    </row>
    <row r="17" spans="1:30" ht="15.75" thickBot="1" x14ac:dyDescent="0.3">
      <c r="A17" s="99"/>
      <c r="B17" s="22" t="s">
        <v>3</v>
      </c>
      <c r="C17" s="33">
        <f>ROUND('Anexo 13'!C17*'Anexo 3'!$D$10,0)</f>
        <v>0</v>
      </c>
      <c r="D17" s="33">
        <f>ROUND('Anexo 13'!D17*'Anexo 3'!$D$10,0)</f>
        <v>0</v>
      </c>
      <c r="E17" s="33">
        <f>ROUND('Anexo 13'!E17*'Anexo 3'!$D$10,0)</f>
        <v>0</v>
      </c>
      <c r="F17" s="33">
        <f>ROUND('Anexo 13'!F17*'Anexo 3'!$D$10,0)</f>
        <v>0</v>
      </c>
      <c r="G17" s="33">
        <f>ROUND('Anexo 13'!G17*'Anexo 3'!$D$10,0)</f>
        <v>0</v>
      </c>
      <c r="H17" s="33">
        <f>ROUND('Anexo 13'!H17*'Anexo 3'!$D$10,0)</f>
        <v>0</v>
      </c>
      <c r="I17" s="33">
        <f>ROUND('Anexo 13'!I17*'Anexo 3'!$D$10,0)</f>
        <v>0</v>
      </c>
      <c r="J17" s="33">
        <f>ROUND('Anexo 13'!J17*'Anexo 3'!$D$10,0)</f>
        <v>0</v>
      </c>
      <c r="K17" s="33">
        <f>ROUND('Anexo 13'!K17*'Anexo 3'!$D$10,0)</f>
        <v>0</v>
      </c>
      <c r="L17" s="33">
        <f>ROUND('Anexo 13'!L17*'Anexo 3'!$D$10,0)</f>
        <v>0</v>
      </c>
      <c r="M17" s="33">
        <f>ROUND('Anexo 13'!M17*'Anexo 3'!$D$10,0)</f>
        <v>0</v>
      </c>
      <c r="N17" s="33">
        <f>ROUND('Anexo 13'!N17*'Anexo 3'!$D$10,0)</f>
        <v>0</v>
      </c>
      <c r="O17" s="33">
        <f>ROUND('Anexo 13'!O17*'Anexo 3'!$D$10,0)</f>
        <v>0</v>
      </c>
      <c r="P17" s="33">
        <f>ROUND('Anexo 13'!P17*'Anexo 3'!$D$10,0)</f>
        <v>0</v>
      </c>
      <c r="Q17" s="33">
        <f>ROUND('Anexo 13'!Q17*'Anexo 3'!$D$10,0)</f>
        <v>0</v>
      </c>
      <c r="R17" s="33">
        <f>ROUND('Anexo 13'!R17*'Anexo 3'!$D$10,0)</f>
        <v>0</v>
      </c>
      <c r="S17" s="33">
        <f>ROUND('Anexo 13'!S17*'Anexo 3'!$D$10,0)</f>
        <v>0</v>
      </c>
      <c r="T17" s="33">
        <f>ROUND('Anexo 13'!T17*'Anexo 3'!$D$10,0)</f>
        <v>0</v>
      </c>
      <c r="U17" s="33">
        <f>ROUND('Anexo 13'!U17*'Anexo 3'!$D$10,0)</f>
        <v>0</v>
      </c>
      <c r="V17" s="33">
        <f>ROUND('Anexo 13'!V17*'Anexo 3'!$D$10,0)</f>
        <v>0</v>
      </c>
      <c r="W17" s="33">
        <f>ROUND('Anexo 13'!W17*'Anexo 3'!$D$10,0)</f>
        <v>0</v>
      </c>
      <c r="X17" s="33">
        <f>ROUND('Anexo 13'!X17*'Anexo 3'!$D$10,0)</f>
        <v>0</v>
      </c>
      <c r="Y17" s="33">
        <f>ROUND('Anexo 13'!Y17*'Anexo 3'!$D$10,0)</f>
        <v>0</v>
      </c>
      <c r="Z17" s="33">
        <f>ROUND('Anexo 13'!Z17*'Anexo 3'!$D$10,0)</f>
        <v>0</v>
      </c>
      <c r="AA17" s="41">
        <f t="shared" si="0"/>
        <v>0</v>
      </c>
      <c r="AB17" s="23">
        <v>7</v>
      </c>
      <c r="AC17" s="102"/>
      <c r="AD17" s="48"/>
    </row>
    <row r="18" spans="1:30" ht="15.75" thickBot="1" x14ac:dyDescent="0.3">
      <c r="A18" s="99">
        <v>46874</v>
      </c>
      <c r="B18" s="18" t="s">
        <v>5</v>
      </c>
      <c r="C18" s="33">
        <f>ROUND('Anexo 13'!C18*'Anexo 3'!$D$10,0)</f>
        <v>0</v>
      </c>
      <c r="D18" s="33">
        <f>ROUND('Anexo 13'!D18*'Anexo 3'!$D$10,0)</f>
        <v>0</v>
      </c>
      <c r="E18" s="33">
        <f>ROUND('Anexo 13'!E18*'Anexo 3'!$D$10,0)</f>
        <v>0</v>
      </c>
      <c r="F18" s="33">
        <f>ROUND('Anexo 13'!F18*'Anexo 3'!$D$10,0)</f>
        <v>0</v>
      </c>
      <c r="G18" s="33">
        <f>ROUND('Anexo 13'!G18*'Anexo 3'!$D$10,0)</f>
        <v>0</v>
      </c>
      <c r="H18" s="33">
        <f>ROUND('Anexo 13'!H18*'Anexo 3'!$D$10,0)</f>
        <v>0</v>
      </c>
      <c r="I18" s="33">
        <f>ROUND('Anexo 13'!I18*'Anexo 3'!$D$10,0)</f>
        <v>0</v>
      </c>
      <c r="J18" s="33">
        <f>ROUND('Anexo 13'!J18*'Anexo 3'!$D$10,0)</f>
        <v>0</v>
      </c>
      <c r="K18" s="33">
        <f>ROUND('Anexo 13'!K18*'Anexo 3'!$D$10,0)</f>
        <v>0</v>
      </c>
      <c r="L18" s="33">
        <f>ROUND('Anexo 13'!L18*'Anexo 3'!$D$10,0)</f>
        <v>0</v>
      </c>
      <c r="M18" s="33">
        <f>ROUND('Anexo 13'!M18*'Anexo 3'!$D$10,0)</f>
        <v>0</v>
      </c>
      <c r="N18" s="33">
        <f>ROUND('Anexo 13'!N18*'Anexo 3'!$D$10,0)</f>
        <v>0</v>
      </c>
      <c r="O18" s="33">
        <f>ROUND('Anexo 13'!O18*'Anexo 3'!$D$10,0)</f>
        <v>0</v>
      </c>
      <c r="P18" s="33">
        <f>ROUND('Anexo 13'!P18*'Anexo 3'!$D$10,0)</f>
        <v>0</v>
      </c>
      <c r="Q18" s="33">
        <f>ROUND('Anexo 13'!Q18*'Anexo 3'!$D$10,0)</f>
        <v>0</v>
      </c>
      <c r="R18" s="33">
        <f>ROUND('Anexo 13'!R18*'Anexo 3'!$D$10,0)</f>
        <v>0</v>
      </c>
      <c r="S18" s="33">
        <f>ROUND('Anexo 13'!S18*'Anexo 3'!$D$10,0)</f>
        <v>0</v>
      </c>
      <c r="T18" s="33">
        <f>ROUND('Anexo 13'!T18*'Anexo 3'!$D$10,0)</f>
        <v>0</v>
      </c>
      <c r="U18" s="33">
        <f>ROUND('Anexo 13'!U18*'Anexo 3'!$D$10,0)</f>
        <v>0</v>
      </c>
      <c r="V18" s="33">
        <f>ROUND('Anexo 13'!V18*'Anexo 3'!$D$10,0)</f>
        <v>0</v>
      </c>
      <c r="W18" s="33">
        <f>ROUND('Anexo 13'!W18*'Anexo 3'!$D$10,0)</f>
        <v>0</v>
      </c>
      <c r="X18" s="33">
        <f>ROUND('Anexo 13'!X18*'Anexo 3'!$D$10,0)</f>
        <v>0</v>
      </c>
      <c r="Y18" s="33">
        <f>ROUND('Anexo 13'!Y18*'Anexo 3'!$D$10,0)</f>
        <v>0</v>
      </c>
      <c r="Z18" s="33">
        <f>ROUND('Anexo 13'!Z18*'Anexo 3'!$D$10,0)</f>
        <v>0</v>
      </c>
      <c r="AA18" s="35">
        <f t="shared" si="0"/>
        <v>0</v>
      </c>
      <c r="AB18" s="19">
        <v>21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ROUND('Anexo 13'!C19*'Anexo 3'!$D$10,0)</f>
        <v>0</v>
      </c>
      <c r="D19" s="33">
        <f>ROUND('Anexo 13'!D19*'Anexo 3'!$D$10,0)</f>
        <v>0</v>
      </c>
      <c r="E19" s="33">
        <f>ROUND('Anexo 13'!E19*'Anexo 3'!$D$10,0)</f>
        <v>0</v>
      </c>
      <c r="F19" s="33">
        <f>ROUND('Anexo 13'!F19*'Anexo 3'!$D$10,0)</f>
        <v>0</v>
      </c>
      <c r="G19" s="33">
        <f>ROUND('Anexo 13'!G19*'Anexo 3'!$D$10,0)</f>
        <v>0</v>
      </c>
      <c r="H19" s="33">
        <f>ROUND('Anexo 13'!H19*'Anexo 3'!$D$10,0)</f>
        <v>0</v>
      </c>
      <c r="I19" s="33">
        <f>ROUND('Anexo 13'!I19*'Anexo 3'!$D$10,0)</f>
        <v>0</v>
      </c>
      <c r="J19" s="33">
        <f>ROUND('Anexo 13'!J19*'Anexo 3'!$D$10,0)</f>
        <v>0</v>
      </c>
      <c r="K19" s="33">
        <f>ROUND('Anexo 13'!K19*'Anexo 3'!$D$10,0)</f>
        <v>0</v>
      </c>
      <c r="L19" s="33">
        <f>ROUND('Anexo 13'!L19*'Anexo 3'!$D$10,0)</f>
        <v>0</v>
      </c>
      <c r="M19" s="33">
        <f>ROUND('Anexo 13'!M19*'Anexo 3'!$D$10,0)</f>
        <v>0</v>
      </c>
      <c r="N19" s="33">
        <f>ROUND('Anexo 13'!N19*'Anexo 3'!$D$10,0)</f>
        <v>0</v>
      </c>
      <c r="O19" s="33">
        <f>ROUND('Anexo 13'!O19*'Anexo 3'!$D$10,0)</f>
        <v>0</v>
      </c>
      <c r="P19" s="33">
        <f>ROUND('Anexo 13'!P19*'Anexo 3'!$D$10,0)</f>
        <v>0</v>
      </c>
      <c r="Q19" s="33">
        <f>ROUND('Anexo 13'!Q19*'Anexo 3'!$D$10,0)</f>
        <v>0</v>
      </c>
      <c r="R19" s="33">
        <f>ROUND('Anexo 13'!R19*'Anexo 3'!$D$10,0)</f>
        <v>0</v>
      </c>
      <c r="S19" s="33">
        <f>ROUND('Anexo 13'!S19*'Anexo 3'!$D$10,0)</f>
        <v>0</v>
      </c>
      <c r="T19" s="33">
        <f>ROUND('Anexo 13'!T19*'Anexo 3'!$D$10,0)</f>
        <v>0</v>
      </c>
      <c r="U19" s="33">
        <f>ROUND('Anexo 13'!U19*'Anexo 3'!$D$10,0)</f>
        <v>0</v>
      </c>
      <c r="V19" s="33">
        <f>ROUND('Anexo 13'!V19*'Anexo 3'!$D$10,0)</f>
        <v>0</v>
      </c>
      <c r="W19" s="33">
        <f>ROUND('Anexo 13'!W19*'Anexo 3'!$D$10,0)</f>
        <v>0</v>
      </c>
      <c r="X19" s="33">
        <f>ROUND('Anexo 13'!X19*'Anexo 3'!$D$10,0)</f>
        <v>0</v>
      </c>
      <c r="Y19" s="33">
        <f>ROUND('Anexo 13'!Y19*'Anexo 3'!$D$10,0)</f>
        <v>0</v>
      </c>
      <c r="Z19" s="33">
        <f>ROUND('Anexo 13'!Z19*'Anexo 3'!$D$10,0)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ROUND('Anexo 13'!C20*'Anexo 3'!$D$10,0)</f>
        <v>0</v>
      </c>
      <c r="D20" s="33">
        <f>ROUND('Anexo 13'!D20*'Anexo 3'!$D$10,0)</f>
        <v>0</v>
      </c>
      <c r="E20" s="33">
        <f>ROUND('Anexo 13'!E20*'Anexo 3'!$D$10,0)</f>
        <v>0</v>
      </c>
      <c r="F20" s="33">
        <f>ROUND('Anexo 13'!F20*'Anexo 3'!$D$10,0)</f>
        <v>0</v>
      </c>
      <c r="G20" s="33">
        <f>ROUND('Anexo 13'!G20*'Anexo 3'!$D$10,0)</f>
        <v>0</v>
      </c>
      <c r="H20" s="33">
        <f>ROUND('Anexo 13'!H20*'Anexo 3'!$D$10,0)</f>
        <v>0</v>
      </c>
      <c r="I20" s="33">
        <f>ROUND('Anexo 13'!I20*'Anexo 3'!$D$10,0)</f>
        <v>0</v>
      </c>
      <c r="J20" s="33">
        <f>ROUND('Anexo 13'!J20*'Anexo 3'!$D$10,0)</f>
        <v>0</v>
      </c>
      <c r="K20" s="33">
        <f>ROUND('Anexo 13'!K20*'Anexo 3'!$D$10,0)</f>
        <v>0</v>
      </c>
      <c r="L20" s="33">
        <f>ROUND('Anexo 13'!L20*'Anexo 3'!$D$10,0)</f>
        <v>0</v>
      </c>
      <c r="M20" s="33">
        <f>ROUND('Anexo 13'!M20*'Anexo 3'!$D$10,0)</f>
        <v>0</v>
      </c>
      <c r="N20" s="33">
        <f>ROUND('Anexo 13'!N20*'Anexo 3'!$D$10,0)</f>
        <v>0</v>
      </c>
      <c r="O20" s="33">
        <f>ROUND('Anexo 13'!O20*'Anexo 3'!$D$10,0)</f>
        <v>0</v>
      </c>
      <c r="P20" s="33">
        <f>ROUND('Anexo 13'!P20*'Anexo 3'!$D$10,0)</f>
        <v>0</v>
      </c>
      <c r="Q20" s="33">
        <f>ROUND('Anexo 13'!Q20*'Anexo 3'!$D$10,0)</f>
        <v>0</v>
      </c>
      <c r="R20" s="33">
        <f>ROUND('Anexo 13'!R20*'Anexo 3'!$D$10,0)</f>
        <v>0</v>
      </c>
      <c r="S20" s="33">
        <f>ROUND('Anexo 13'!S20*'Anexo 3'!$D$10,0)</f>
        <v>0</v>
      </c>
      <c r="T20" s="33">
        <f>ROUND('Anexo 13'!T20*'Anexo 3'!$D$10,0)</f>
        <v>0</v>
      </c>
      <c r="U20" s="33">
        <f>ROUND('Anexo 13'!U20*'Anexo 3'!$D$10,0)</f>
        <v>0</v>
      </c>
      <c r="V20" s="33">
        <f>ROUND('Anexo 13'!V20*'Anexo 3'!$D$10,0)</f>
        <v>0</v>
      </c>
      <c r="W20" s="33">
        <f>ROUND('Anexo 13'!W20*'Anexo 3'!$D$10,0)</f>
        <v>0</v>
      </c>
      <c r="X20" s="33">
        <f>ROUND('Anexo 13'!X20*'Anexo 3'!$D$10,0)</f>
        <v>0</v>
      </c>
      <c r="Y20" s="33">
        <f>ROUND('Anexo 13'!Y20*'Anexo 3'!$D$10,0)</f>
        <v>0</v>
      </c>
      <c r="Z20" s="33">
        <f>ROUND('Anexo 13'!Z20*'Anexo 3'!$D$10,0)</f>
        <v>0</v>
      </c>
      <c r="AA20" s="41">
        <f t="shared" si="0"/>
        <v>0</v>
      </c>
      <c r="AB20" s="23">
        <v>6</v>
      </c>
      <c r="AC20" s="102"/>
      <c r="AD20" s="48"/>
    </row>
    <row r="21" spans="1:30" ht="15.75" thickBot="1" x14ac:dyDescent="0.3">
      <c r="A21" s="99">
        <v>46905</v>
      </c>
      <c r="B21" s="18" t="s">
        <v>5</v>
      </c>
      <c r="C21" s="33">
        <f>ROUND('Anexo 13'!C21*'Anexo 3'!$D$10,0)</f>
        <v>0</v>
      </c>
      <c r="D21" s="33">
        <f>ROUND('Anexo 13'!D21*'Anexo 3'!$D$10,0)</f>
        <v>0</v>
      </c>
      <c r="E21" s="33">
        <f>ROUND('Anexo 13'!E21*'Anexo 3'!$D$10,0)</f>
        <v>0</v>
      </c>
      <c r="F21" s="33">
        <f>ROUND('Anexo 13'!F21*'Anexo 3'!$D$10,0)</f>
        <v>0</v>
      </c>
      <c r="G21" s="33">
        <f>ROUND('Anexo 13'!G21*'Anexo 3'!$D$10,0)</f>
        <v>0</v>
      </c>
      <c r="H21" s="33">
        <f>ROUND('Anexo 13'!H21*'Anexo 3'!$D$10,0)</f>
        <v>0</v>
      </c>
      <c r="I21" s="33">
        <f>ROUND('Anexo 13'!I21*'Anexo 3'!$D$10,0)</f>
        <v>0</v>
      </c>
      <c r="J21" s="33">
        <f>ROUND('Anexo 13'!J21*'Anexo 3'!$D$10,0)</f>
        <v>0</v>
      </c>
      <c r="K21" s="33">
        <f>ROUND('Anexo 13'!K21*'Anexo 3'!$D$10,0)</f>
        <v>0</v>
      </c>
      <c r="L21" s="33">
        <f>ROUND('Anexo 13'!L21*'Anexo 3'!$D$10,0)</f>
        <v>0</v>
      </c>
      <c r="M21" s="33">
        <f>ROUND('Anexo 13'!M21*'Anexo 3'!$D$10,0)</f>
        <v>0</v>
      </c>
      <c r="N21" s="33">
        <f>ROUND('Anexo 13'!N21*'Anexo 3'!$D$10,0)</f>
        <v>0</v>
      </c>
      <c r="O21" s="33">
        <f>ROUND('Anexo 13'!O21*'Anexo 3'!$D$10,0)</f>
        <v>0</v>
      </c>
      <c r="P21" s="33">
        <f>ROUND('Anexo 13'!P21*'Anexo 3'!$D$10,0)</f>
        <v>0</v>
      </c>
      <c r="Q21" s="33">
        <f>ROUND('Anexo 13'!Q21*'Anexo 3'!$D$10,0)</f>
        <v>0</v>
      </c>
      <c r="R21" s="33">
        <f>ROUND('Anexo 13'!R21*'Anexo 3'!$D$10,0)</f>
        <v>0</v>
      </c>
      <c r="S21" s="33">
        <f>ROUND('Anexo 13'!S21*'Anexo 3'!$D$10,0)</f>
        <v>0</v>
      </c>
      <c r="T21" s="33">
        <f>ROUND('Anexo 13'!T21*'Anexo 3'!$D$10,0)</f>
        <v>0</v>
      </c>
      <c r="U21" s="33">
        <f>ROUND('Anexo 13'!U21*'Anexo 3'!$D$10,0)</f>
        <v>0</v>
      </c>
      <c r="V21" s="33">
        <f>ROUND('Anexo 13'!V21*'Anexo 3'!$D$10,0)</f>
        <v>0</v>
      </c>
      <c r="W21" s="33">
        <f>ROUND('Anexo 13'!W21*'Anexo 3'!$D$10,0)</f>
        <v>0</v>
      </c>
      <c r="X21" s="33">
        <f>ROUND('Anexo 13'!X21*'Anexo 3'!$D$10,0)</f>
        <v>0</v>
      </c>
      <c r="Y21" s="33">
        <f>ROUND('Anexo 13'!Y21*'Anexo 3'!$D$10,0)</f>
        <v>0</v>
      </c>
      <c r="Z21" s="33">
        <f>ROUND('Anexo 13'!Z21*'Anexo 3'!$D$10,0)</f>
        <v>0</v>
      </c>
      <c r="AA21" s="35">
        <f t="shared" si="0"/>
        <v>0</v>
      </c>
      <c r="AB21" s="19">
        <v>20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ROUND('Anexo 13'!C22*'Anexo 3'!$D$10,0)</f>
        <v>0</v>
      </c>
      <c r="D22" s="33">
        <f>ROUND('Anexo 13'!D22*'Anexo 3'!$D$10,0)</f>
        <v>0</v>
      </c>
      <c r="E22" s="33">
        <f>ROUND('Anexo 13'!E22*'Anexo 3'!$D$10,0)</f>
        <v>0</v>
      </c>
      <c r="F22" s="33">
        <f>ROUND('Anexo 13'!F22*'Anexo 3'!$D$10,0)</f>
        <v>0</v>
      </c>
      <c r="G22" s="33">
        <f>ROUND('Anexo 13'!G22*'Anexo 3'!$D$10,0)</f>
        <v>0</v>
      </c>
      <c r="H22" s="33">
        <f>ROUND('Anexo 13'!H22*'Anexo 3'!$D$10,0)</f>
        <v>0</v>
      </c>
      <c r="I22" s="33">
        <f>ROUND('Anexo 13'!I22*'Anexo 3'!$D$10,0)</f>
        <v>0</v>
      </c>
      <c r="J22" s="33">
        <f>ROUND('Anexo 13'!J22*'Anexo 3'!$D$10,0)</f>
        <v>0</v>
      </c>
      <c r="K22" s="33">
        <f>ROUND('Anexo 13'!K22*'Anexo 3'!$D$10,0)</f>
        <v>0</v>
      </c>
      <c r="L22" s="33">
        <f>ROUND('Anexo 13'!L22*'Anexo 3'!$D$10,0)</f>
        <v>0</v>
      </c>
      <c r="M22" s="33">
        <f>ROUND('Anexo 13'!M22*'Anexo 3'!$D$10,0)</f>
        <v>0</v>
      </c>
      <c r="N22" s="33">
        <f>ROUND('Anexo 13'!N22*'Anexo 3'!$D$10,0)</f>
        <v>0</v>
      </c>
      <c r="O22" s="33">
        <f>ROUND('Anexo 13'!O22*'Anexo 3'!$D$10,0)</f>
        <v>0</v>
      </c>
      <c r="P22" s="33">
        <f>ROUND('Anexo 13'!P22*'Anexo 3'!$D$10,0)</f>
        <v>0</v>
      </c>
      <c r="Q22" s="33">
        <f>ROUND('Anexo 13'!Q22*'Anexo 3'!$D$10,0)</f>
        <v>0</v>
      </c>
      <c r="R22" s="33">
        <f>ROUND('Anexo 13'!R22*'Anexo 3'!$D$10,0)</f>
        <v>0</v>
      </c>
      <c r="S22" s="33">
        <f>ROUND('Anexo 13'!S22*'Anexo 3'!$D$10,0)</f>
        <v>0</v>
      </c>
      <c r="T22" s="33">
        <f>ROUND('Anexo 13'!T22*'Anexo 3'!$D$10,0)</f>
        <v>0</v>
      </c>
      <c r="U22" s="33">
        <f>ROUND('Anexo 13'!U22*'Anexo 3'!$D$10,0)</f>
        <v>0</v>
      </c>
      <c r="V22" s="33">
        <f>ROUND('Anexo 13'!V22*'Anexo 3'!$D$10,0)</f>
        <v>0</v>
      </c>
      <c r="W22" s="33">
        <f>ROUND('Anexo 13'!W22*'Anexo 3'!$D$10,0)</f>
        <v>0</v>
      </c>
      <c r="X22" s="33">
        <f>ROUND('Anexo 13'!X22*'Anexo 3'!$D$10,0)</f>
        <v>0</v>
      </c>
      <c r="Y22" s="33">
        <f>ROUND('Anexo 13'!Y22*'Anexo 3'!$D$10,0)</f>
        <v>0</v>
      </c>
      <c r="Z22" s="33">
        <f>ROUND('Anexo 13'!Z22*'Anexo 3'!$D$10,0)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ROUND('Anexo 13'!C23*'Anexo 3'!$D$10,0)</f>
        <v>0</v>
      </c>
      <c r="D23" s="33">
        <f>ROUND('Anexo 13'!D23*'Anexo 3'!$D$10,0)</f>
        <v>0</v>
      </c>
      <c r="E23" s="33">
        <f>ROUND('Anexo 13'!E23*'Anexo 3'!$D$10,0)</f>
        <v>0</v>
      </c>
      <c r="F23" s="33">
        <f>ROUND('Anexo 13'!F23*'Anexo 3'!$D$10,0)</f>
        <v>0</v>
      </c>
      <c r="G23" s="33">
        <f>ROUND('Anexo 13'!G23*'Anexo 3'!$D$10,0)</f>
        <v>0</v>
      </c>
      <c r="H23" s="33">
        <f>ROUND('Anexo 13'!H23*'Anexo 3'!$D$10,0)</f>
        <v>0</v>
      </c>
      <c r="I23" s="33">
        <f>ROUND('Anexo 13'!I23*'Anexo 3'!$D$10,0)</f>
        <v>0</v>
      </c>
      <c r="J23" s="33">
        <f>ROUND('Anexo 13'!J23*'Anexo 3'!$D$10,0)</f>
        <v>0</v>
      </c>
      <c r="K23" s="33">
        <f>ROUND('Anexo 13'!K23*'Anexo 3'!$D$10,0)</f>
        <v>0</v>
      </c>
      <c r="L23" s="33">
        <f>ROUND('Anexo 13'!L23*'Anexo 3'!$D$10,0)</f>
        <v>0</v>
      </c>
      <c r="M23" s="33">
        <f>ROUND('Anexo 13'!M23*'Anexo 3'!$D$10,0)</f>
        <v>0</v>
      </c>
      <c r="N23" s="33">
        <f>ROUND('Anexo 13'!N23*'Anexo 3'!$D$10,0)</f>
        <v>0</v>
      </c>
      <c r="O23" s="33">
        <f>ROUND('Anexo 13'!O23*'Anexo 3'!$D$10,0)</f>
        <v>0</v>
      </c>
      <c r="P23" s="33">
        <f>ROUND('Anexo 13'!P23*'Anexo 3'!$D$10,0)</f>
        <v>0</v>
      </c>
      <c r="Q23" s="33">
        <f>ROUND('Anexo 13'!Q23*'Anexo 3'!$D$10,0)</f>
        <v>0</v>
      </c>
      <c r="R23" s="33">
        <f>ROUND('Anexo 13'!R23*'Anexo 3'!$D$10,0)</f>
        <v>0</v>
      </c>
      <c r="S23" s="33">
        <f>ROUND('Anexo 13'!S23*'Anexo 3'!$D$10,0)</f>
        <v>0</v>
      </c>
      <c r="T23" s="33">
        <f>ROUND('Anexo 13'!T23*'Anexo 3'!$D$10,0)</f>
        <v>0</v>
      </c>
      <c r="U23" s="33">
        <f>ROUND('Anexo 13'!U23*'Anexo 3'!$D$10,0)</f>
        <v>0</v>
      </c>
      <c r="V23" s="33">
        <f>ROUND('Anexo 13'!V23*'Anexo 3'!$D$10,0)</f>
        <v>0</v>
      </c>
      <c r="W23" s="33">
        <f>ROUND('Anexo 13'!W23*'Anexo 3'!$D$10,0)</f>
        <v>0</v>
      </c>
      <c r="X23" s="33">
        <f>ROUND('Anexo 13'!X23*'Anexo 3'!$D$10,0)</f>
        <v>0</v>
      </c>
      <c r="Y23" s="33">
        <f>ROUND('Anexo 13'!Y23*'Anexo 3'!$D$10,0)</f>
        <v>0</v>
      </c>
      <c r="Z23" s="33">
        <f>ROUND('Anexo 13'!Z23*'Anexo 3'!$D$10,0)</f>
        <v>0</v>
      </c>
      <c r="AA23" s="41">
        <f t="shared" si="0"/>
        <v>0</v>
      </c>
      <c r="AB23" s="23">
        <v>6</v>
      </c>
      <c r="AC23" s="102"/>
      <c r="AD23" s="48"/>
    </row>
    <row r="24" spans="1:30" ht="15.75" thickBot="1" x14ac:dyDescent="0.3">
      <c r="A24" s="99">
        <v>46935</v>
      </c>
      <c r="B24" s="18" t="s">
        <v>5</v>
      </c>
      <c r="C24" s="33">
        <f>ROUND('Anexo 13'!C24*'Anexo 3'!$D$10,0)</f>
        <v>0</v>
      </c>
      <c r="D24" s="33">
        <f>ROUND('Anexo 13'!D24*'Anexo 3'!$D$10,0)</f>
        <v>0</v>
      </c>
      <c r="E24" s="33">
        <f>ROUND('Anexo 13'!E24*'Anexo 3'!$D$10,0)</f>
        <v>0</v>
      </c>
      <c r="F24" s="33">
        <f>ROUND('Anexo 13'!F24*'Anexo 3'!$D$10,0)</f>
        <v>0</v>
      </c>
      <c r="G24" s="33">
        <f>ROUND('Anexo 13'!G24*'Anexo 3'!$D$10,0)</f>
        <v>0</v>
      </c>
      <c r="H24" s="33">
        <f>ROUND('Anexo 13'!H24*'Anexo 3'!$D$10,0)</f>
        <v>0</v>
      </c>
      <c r="I24" s="33">
        <f>ROUND('Anexo 13'!I24*'Anexo 3'!$D$10,0)</f>
        <v>0</v>
      </c>
      <c r="J24" s="33">
        <f>ROUND('Anexo 13'!J24*'Anexo 3'!$D$10,0)</f>
        <v>0</v>
      </c>
      <c r="K24" s="33">
        <f>ROUND('Anexo 13'!K24*'Anexo 3'!$D$10,0)</f>
        <v>0</v>
      </c>
      <c r="L24" s="33">
        <f>ROUND('Anexo 13'!L24*'Anexo 3'!$D$10,0)</f>
        <v>0</v>
      </c>
      <c r="M24" s="33">
        <f>ROUND('Anexo 13'!M24*'Anexo 3'!$D$10,0)</f>
        <v>0</v>
      </c>
      <c r="N24" s="33">
        <f>ROUND('Anexo 13'!N24*'Anexo 3'!$D$10,0)</f>
        <v>0</v>
      </c>
      <c r="O24" s="33">
        <f>ROUND('Anexo 13'!O24*'Anexo 3'!$D$10,0)</f>
        <v>0</v>
      </c>
      <c r="P24" s="33">
        <f>ROUND('Anexo 13'!P24*'Anexo 3'!$D$10,0)</f>
        <v>0</v>
      </c>
      <c r="Q24" s="33">
        <f>ROUND('Anexo 13'!Q24*'Anexo 3'!$D$10,0)</f>
        <v>0</v>
      </c>
      <c r="R24" s="33">
        <f>ROUND('Anexo 13'!R24*'Anexo 3'!$D$10,0)</f>
        <v>0</v>
      </c>
      <c r="S24" s="33">
        <f>ROUND('Anexo 13'!S24*'Anexo 3'!$D$10,0)</f>
        <v>0</v>
      </c>
      <c r="T24" s="33">
        <f>ROUND('Anexo 13'!T24*'Anexo 3'!$D$10,0)</f>
        <v>0</v>
      </c>
      <c r="U24" s="33">
        <f>ROUND('Anexo 13'!U24*'Anexo 3'!$D$10,0)</f>
        <v>0</v>
      </c>
      <c r="V24" s="33">
        <f>ROUND('Anexo 13'!V24*'Anexo 3'!$D$10,0)</f>
        <v>0</v>
      </c>
      <c r="W24" s="33">
        <f>ROUND('Anexo 13'!W24*'Anexo 3'!$D$10,0)</f>
        <v>0</v>
      </c>
      <c r="X24" s="33">
        <f>ROUND('Anexo 13'!X24*'Anexo 3'!$D$10,0)</f>
        <v>0</v>
      </c>
      <c r="Y24" s="33">
        <f>ROUND('Anexo 13'!Y24*'Anexo 3'!$D$10,0)</f>
        <v>0</v>
      </c>
      <c r="Z24" s="33">
        <f>ROUND('Anexo 13'!Z24*'Anexo 3'!$D$10,0)</f>
        <v>0</v>
      </c>
      <c r="AA24" s="35">
        <f t="shared" si="0"/>
        <v>0</v>
      </c>
      <c r="AB24" s="19">
        <v>19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ROUND('Anexo 13'!C25*'Anexo 3'!$D$10,0)</f>
        <v>0</v>
      </c>
      <c r="D25" s="33">
        <f>ROUND('Anexo 13'!D25*'Anexo 3'!$D$10,0)</f>
        <v>0</v>
      </c>
      <c r="E25" s="33">
        <f>ROUND('Anexo 13'!E25*'Anexo 3'!$D$10,0)</f>
        <v>0</v>
      </c>
      <c r="F25" s="33">
        <f>ROUND('Anexo 13'!F25*'Anexo 3'!$D$10,0)</f>
        <v>0</v>
      </c>
      <c r="G25" s="33">
        <f>ROUND('Anexo 13'!G25*'Anexo 3'!$D$10,0)</f>
        <v>0</v>
      </c>
      <c r="H25" s="33">
        <f>ROUND('Anexo 13'!H25*'Anexo 3'!$D$10,0)</f>
        <v>0</v>
      </c>
      <c r="I25" s="33">
        <f>ROUND('Anexo 13'!I25*'Anexo 3'!$D$10,0)</f>
        <v>0</v>
      </c>
      <c r="J25" s="33">
        <f>ROUND('Anexo 13'!J25*'Anexo 3'!$D$10,0)</f>
        <v>0</v>
      </c>
      <c r="K25" s="33">
        <f>ROUND('Anexo 13'!K25*'Anexo 3'!$D$10,0)</f>
        <v>0</v>
      </c>
      <c r="L25" s="33">
        <f>ROUND('Anexo 13'!L25*'Anexo 3'!$D$10,0)</f>
        <v>0</v>
      </c>
      <c r="M25" s="33">
        <f>ROUND('Anexo 13'!M25*'Anexo 3'!$D$10,0)</f>
        <v>0</v>
      </c>
      <c r="N25" s="33">
        <f>ROUND('Anexo 13'!N25*'Anexo 3'!$D$10,0)</f>
        <v>0</v>
      </c>
      <c r="O25" s="33">
        <f>ROUND('Anexo 13'!O25*'Anexo 3'!$D$10,0)</f>
        <v>0</v>
      </c>
      <c r="P25" s="33">
        <f>ROUND('Anexo 13'!P25*'Anexo 3'!$D$10,0)</f>
        <v>0</v>
      </c>
      <c r="Q25" s="33">
        <f>ROUND('Anexo 13'!Q25*'Anexo 3'!$D$10,0)</f>
        <v>0</v>
      </c>
      <c r="R25" s="33">
        <f>ROUND('Anexo 13'!R25*'Anexo 3'!$D$10,0)</f>
        <v>0</v>
      </c>
      <c r="S25" s="33">
        <f>ROUND('Anexo 13'!S25*'Anexo 3'!$D$10,0)</f>
        <v>0</v>
      </c>
      <c r="T25" s="33">
        <f>ROUND('Anexo 13'!T25*'Anexo 3'!$D$10,0)</f>
        <v>0</v>
      </c>
      <c r="U25" s="33">
        <f>ROUND('Anexo 13'!U25*'Anexo 3'!$D$10,0)</f>
        <v>0</v>
      </c>
      <c r="V25" s="33">
        <f>ROUND('Anexo 13'!V25*'Anexo 3'!$D$10,0)</f>
        <v>0</v>
      </c>
      <c r="W25" s="33">
        <f>ROUND('Anexo 13'!W25*'Anexo 3'!$D$10,0)</f>
        <v>0</v>
      </c>
      <c r="X25" s="33">
        <f>ROUND('Anexo 13'!X25*'Anexo 3'!$D$10,0)</f>
        <v>0</v>
      </c>
      <c r="Y25" s="33">
        <f>ROUND('Anexo 13'!Y25*'Anexo 3'!$D$10,0)</f>
        <v>0</v>
      </c>
      <c r="Z25" s="33">
        <f>ROUND('Anexo 13'!Z25*'Anexo 3'!$D$10,0)</f>
        <v>0</v>
      </c>
      <c r="AA25" s="38">
        <f t="shared" si="0"/>
        <v>0</v>
      </c>
      <c r="AB25" s="21">
        <v>5</v>
      </c>
      <c r="AC25" s="101"/>
      <c r="AD25" s="47"/>
    </row>
    <row r="26" spans="1:30" ht="15.75" thickBot="1" x14ac:dyDescent="0.3">
      <c r="A26" s="99"/>
      <c r="B26" s="22" t="s">
        <v>3</v>
      </c>
      <c r="C26" s="33">
        <f>ROUND('Anexo 13'!C26*'Anexo 3'!$D$10,0)</f>
        <v>0</v>
      </c>
      <c r="D26" s="33">
        <f>ROUND('Anexo 13'!D26*'Anexo 3'!$D$10,0)</f>
        <v>0</v>
      </c>
      <c r="E26" s="33">
        <f>ROUND('Anexo 13'!E26*'Anexo 3'!$D$10,0)</f>
        <v>0</v>
      </c>
      <c r="F26" s="33">
        <f>ROUND('Anexo 13'!F26*'Anexo 3'!$D$10,0)</f>
        <v>0</v>
      </c>
      <c r="G26" s="33">
        <f>ROUND('Anexo 13'!G26*'Anexo 3'!$D$10,0)</f>
        <v>0</v>
      </c>
      <c r="H26" s="33">
        <f>ROUND('Anexo 13'!H26*'Anexo 3'!$D$10,0)</f>
        <v>0</v>
      </c>
      <c r="I26" s="33">
        <f>ROUND('Anexo 13'!I26*'Anexo 3'!$D$10,0)</f>
        <v>0</v>
      </c>
      <c r="J26" s="33">
        <f>ROUND('Anexo 13'!J26*'Anexo 3'!$D$10,0)</f>
        <v>0</v>
      </c>
      <c r="K26" s="33">
        <f>ROUND('Anexo 13'!K26*'Anexo 3'!$D$10,0)</f>
        <v>0</v>
      </c>
      <c r="L26" s="33">
        <f>ROUND('Anexo 13'!L26*'Anexo 3'!$D$10,0)</f>
        <v>0</v>
      </c>
      <c r="M26" s="33">
        <f>ROUND('Anexo 13'!M26*'Anexo 3'!$D$10,0)</f>
        <v>0</v>
      </c>
      <c r="N26" s="33">
        <f>ROUND('Anexo 13'!N26*'Anexo 3'!$D$10,0)</f>
        <v>0</v>
      </c>
      <c r="O26" s="33">
        <f>ROUND('Anexo 13'!O26*'Anexo 3'!$D$10,0)</f>
        <v>0</v>
      </c>
      <c r="P26" s="33">
        <f>ROUND('Anexo 13'!P26*'Anexo 3'!$D$10,0)</f>
        <v>0</v>
      </c>
      <c r="Q26" s="33">
        <f>ROUND('Anexo 13'!Q26*'Anexo 3'!$D$10,0)</f>
        <v>0</v>
      </c>
      <c r="R26" s="33">
        <f>ROUND('Anexo 13'!R26*'Anexo 3'!$D$10,0)</f>
        <v>0</v>
      </c>
      <c r="S26" s="33">
        <f>ROUND('Anexo 13'!S26*'Anexo 3'!$D$10,0)</f>
        <v>0</v>
      </c>
      <c r="T26" s="33">
        <f>ROUND('Anexo 13'!T26*'Anexo 3'!$D$10,0)</f>
        <v>0</v>
      </c>
      <c r="U26" s="33">
        <f>ROUND('Anexo 13'!U26*'Anexo 3'!$D$10,0)</f>
        <v>0</v>
      </c>
      <c r="V26" s="33">
        <f>ROUND('Anexo 13'!V26*'Anexo 3'!$D$10,0)</f>
        <v>0</v>
      </c>
      <c r="W26" s="33">
        <f>ROUND('Anexo 13'!W26*'Anexo 3'!$D$10,0)</f>
        <v>0</v>
      </c>
      <c r="X26" s="33">
        <f>ROUND('Anexo 13'!X26*'Anexo 3'!$D$10,0)</f>
        <v>0</v>
      </c>
      <c r="Y26" s="33">
        <f>ROUND('Anexo 13'!Y26*'Anexo 3'!$D$10,0)</f>
        <v>0</v>
      </c>
      <c r="Z26" s="33">
        <f>ROUND('Anexo 13'!Z26*'Anexo 3'!$D$10,0)</f>
        <v>0</v>
      </c>
      <c r="AA26" s="41">
        <f t="shared" si="0"/>
        <v>0</v>
      </c>
      <c r="AB26" s="23">
        <v>7</v>
      </c>
      <c r="AC26" s="102"/>
      <c r="AD26" s="48"/>
    </row>
    <row r="27" spans="1:30" ht="15.75" thickBot="1" x14ac:dyDescent="0.3">
      <c r="A27" s="99">
        <v>46966</v>
      </c>
      <c r="B27" s="18" t="s">
        <v>5</v>
      </c>
      <c r="C27" s="33">
        <f>ROUND('Anexo 13'!C27*'Anexo 3'!$D$10,0)</f>
        <v>0</v>
      </c>
      <c r="D27" s="33">
        <f>ROUND('Anexo 13'!D27*'Anexo 3'!$D$10,0)</f>
        <v>0</v>
      </c>
      <c r="E27" s="33">
        <f>ROUND('Anexo 13'!E27*'Anexo 3'!$D$10,0)</f>
        <v>0</v>
      </c>
      <c r="F27" s="33">
        <f>ROUND('Anexo 13'!F27*'Anexo 3'!$D$10,0)</f>
        <v>0</v>
      </c>
      <c r="G27" s="33">
        <f>ROUND('Anexo 13'!G27*'Anexo 3'!$D$10,0)</f>
        <v>0</v>
      </c>
      <c r="H27" s="33">
        <f>ROUND('Anexo 13'!H27*'Anexo 3'!$D$10,0)</f>
        <v>0</v>
      </c>
      <c r="I27" s="33">
        <f>ROUND('Anexo 13'!I27*'Anexo 3'!$D$10,0)</f>
        <v>0</v>
      </c>
      <c r="J27" s="33">
        <f>ROUND('Anexo 13'!J27*'Anexo 3'!$D$10,0)</f>
        <v>0</v>
      </c>
      <c r="K27" s="33">
        <f>ROUND('Anexo 13'!K27*'Anexo 3'!$D$10,0)</f>
        <v>0</v>
      </c>
      <c r="L27" s="33">
        <f>ROUND('Anexo 13'!L27*'Anexo 3'!$D$10,0)</f>
        <v>0</v>
      </c>
      <c r="M27" s="33">
        <f>ROUND('Anexo 13'!M27*'Anexo 3'!$D$10,0)</f>
        <v>0</v>
      </c>
      <c r="N27" s="33">
        <f>ROUND('Anexo 13'!N27*'Anexo 3'!$D$10,0)</f>
        <v>0</v>
      </c>
      <c r="O27" s="33">
        <f>ROUND('Anexo 13'!O27*'Anexo 3'!$D$10,0)</f>
        <v>0</v>
      </c>
      <c r="P27" s="33">
        <f>ROUND('Anexo 13'!P27*'Anexo 3'!$D$10,0)</f>
        <v>0</v>
      </c>
      <c r="Q27" s="33">
        <f>ROUND('Anexo 13'!Q27*'Anexo 3'!$D$10,0)</f>
        <v>0</v>
      </c>
      <c r="R27" s="33">
        <f>ROUND('Anexo 13'!R27*'Anexo 3'!$D$10,0)</f>
        <v>0</v>
      </c>
      <c r="S27" s="33">
        <f>ROUND('Anexo 13'!S27*'Anexo 3'!$D$10,0)</f>
        <v>0</v>
      </c>
      <c r="T27" s="33">
        <f>ROUND('Anexo 13'!T27*'Anexo 3'!$D$10,0)</f>
        <v>0</v>
      </c>
      <c r="U27" s="33">
        <f>ROUND('Anexo 13'!U27*'Anexo 3'!$D$10,0)</f>
        <v>0</v>
      </c>
      <c r="V27" s="33">
        <f>ROUND('Anexo 13'!V27*'Anexo 3'!$D$10,0)</f>
        <v>0</v>
      </c>
      <c r="W27" s="33">
        <f>ROUND('Anexo 13'!W27*'Anexo 3'!$D$10,0)</f>
        <v>0</v>
      </c>
      <c r="X27" s="33">
        <f>ROUND('Anexo 13'!X27*'Anexo 3'!$D$10,0)</f>
        <v>0</v>
      </c>
      <c r="Y27" s="33">
        <f>ROUND('Anexo 13'!Y27*'Anexo 3'!$D$10,0)</f>
        <v>0</v>
      </c>
      <c r="Z27" s="33">
        <f>ROUND('Anexo 13'!Z27*'Anexo 3'!$D$10,0)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ROUND('Anexo 13'!C28*'Anexo 3'!$D$10,0)</f>
        <v>0</v>
      </c>
      <c r="D28" s="33">
        <f>ROUND('Anexo 13'!D28*'Anexo 3'!$D$10,0)</f>
        <v>0</v>
      </c>
      <c r="E28" s="33">
        <f>ROUND('Anexo 13'!E28*'Anexo 3'!$D$10,0)</f>
        <v>0</v>
      </c>
      <c r="F28" s="33">
        <f>ROUND('Anexo 13'!F28*'Anexo 3'!$D$10,0)</f>
        <v>0</v>
      </c>
      <c r="G28" s="33">
        <f>ROUND('Anexo 13'!G28*'Anexo 3'!$D$10,0)</f>
        <v>0</v>
      </c>
      <c r="H28" s="33">
        <f>ROUND('Anexo 13'!H28*'Anexo 3'!$D$10,0)</f>
        <v>0</v>
      </c>
      <c r="I28" s="33">
        <f>ROUND('Anexo 13'!I28*'Anexo 3'!$D$10,0)</f>
        <v>0</v>
      </c>
      <c r="J28" s="33">
        <f>ROUND('Anexo 13'!J28*'Anexo 3'!$D$10,0)</f>
        <v>0</v>
      </c>
      <c r="K28" s="33">
        <f>ROUND('Anexo 13'!K28*'Anexo 3'!$D$10,0)</f>
        <v>0</v>
      </c>
      <c r="L28" s="33">
        <f>ROUND('Anexo 13'!L28*'Anexo 3'!$D$10,0)</f>
        <v>0</v>
      </c>
      <c r="M28" s="33">
        <f>ROUND('Anexo 13'!M28*'Anexo 3'!$D$10,0)</f>
        <v>0</v>
      </c>
      <c r="N28" s="33">
        <f>ROUND('Anexo 13'!N28*'Anexo 3'!$D$10,0)</f>
        <v>0</v>
      </c>
      <c r="O28" s="33">
        <f>ROUND('Anexo 13'!O28*'Anexo 3'!$D$10,0)</f>
        <v>0</v>
      </c>
      <c r="P28" s="33">
        <f>ROUND('Anexo 13'!P28*'Anexo 3'!$D$10,0)</f>
        <v>0</v>
      </c>
      <c r="Q28" s="33">
        <f>ROUND('Anexo 13'!Q28*'Anexo 3'!$D$10,0)</f>
        <v>0</v>
      </c>
      <c r="R28" s="33">
        <f>ROUND('Anexo 13'!R28*'Anexo 3'!$D$10,0)</f>
        <v>0</v>
      </c>
      <c r="S28" s="33">
        <f>ROUND('Anexo 13'!S28*'Anexo 3'!$D$10,0)</f>
        <v>0</v>
      </c>
      <c r="T28" s="33">
        <f>ROUND('Anexo 13'!T28*'Anexo 3'!$D$10,0)</f>
        <v>0</v>
      </c>
      <c r="U28" s="33">
        <f>ROUND('Anexo 13'!U28*'Anexo 3'!$D$10,0)</f>
        <v>0</v>
      </c>
      <c r="V28" s="33">
        <f>ROUND('Anexo 13'!V28*'Anexo 3'!$D$10,0)</f>
        <v>0</v>
      </c>
      <c r="W28" s="33">
        <f>ROUND('Anexo 13'!W28*'Anexo 3'!$D$10,0)</f>
        <v>0</v>
      </c>
      <c r="X28" s="33">
        <f>ROUND('Anexo 13'!X28*'Anexo 3'!$D$10,0)</f>
        <v>0</v>
      </c>
      <c r="Y28" s="33">
        <f>ROUND('Anexo 13'!Y28*'Anexo 3'!$D$10,0)</f>
        <v>0</v>
      </c>
      <c r="Z28" s="33">
        <f>ROUND('Anexo 13'!Z28*'Anexo 3'!$D$10,0)</f>
        <v>0</v>
      </c>
      <c r="AA28" s="38">
        <f t="shared" si="0"/>
        <v>0</v>
      </c>
      <c r="AB28" s="21">
        <v>4</v>
      </c>
      <c r="AC28" s="101"/>
      <c r="AD28" s="47"/>
    </row>
    <row r="29" spans="1:30" ht="15.75" thickBot="1" x14ac:dyDescent="0.3">
      <c r="A29" s="99"/>
      <c r="B29" s="22" t="s">
        <v>3</v>
      </c>
      <c r="C29" s="33">
        <f>ROUND('Anexo 13'!C29*'Anexo 3'!$D$10,0)</f>
        <v>0</v>
      </c>
      <c r="D29" s="33">
        <f>ROUND('Anexo 13'!D29*'Anexo 3'!$D$10,0)</f>
        <v>0</v>
      </c>
      <c r="E29" s="33">
        <f>ROUND('Anexo 13'!E29*'Anexo 3'!$D$10,0)</f>
        <v>0</v>
      </c>
      <c r="F29" s="33">
        <f>ROUND('Anexo 13'!F29*'Anexo 3'!$D$10,0)</f>
        <v>0</v>
      </c>
      <c r="G29" s="33">
        <f>ROUND('Anexo 13'!G29*'Anexo 3'!$D$10,0)</f>
        <v>0</v>
      </c>
      <c r="H29" s="33">
        <f>ROUND('Anexo 13'!H29*'Anexo 3'!$D$10,0)</f>
        <v>0</v>
      </c>
      <c r="I29" s="33">
        <f>ROUND('Anexo 13'!I29*'Anexo 3'!$D$10,0)</f>
        <v>0</v>
      </c>
      <c r="J29" s="33">
        <f>ROUND('Anexo 13'!J29*'Anexo 3'!$D$10,0)</f>
        <v>0</v>
      </c>
      <c r="K29" s="33">
        <f>ROUND('Anexo 13'!K29*'Anexo 3'!$D$10,0)</f>
        <v>0</v>
      </c>
      <c r="L29" s="33">
        <f>ROUND('Anexo 13'!L29*'Anexo 3'!$D$10,0)</f>
        <v>0</v>
      </c>
      <c r="M29" s="33">
        <f>ROUND('Anexo 13'!M29*'Anexo 3'!$D$10,0)</f>
        <v>0</v>
      </c>
      <c r="N29" s="33">
        <f>ROUND('Anexo 13'!N29*'Anexo 3'!$D$10,0)</f>
        <v>0</v>
      </c>
      <c r="O29" s="33">
        <f>ROUND('Anexo 13'!O29*'Anexo 3'!$D$10,0)</f>
        <v>0</v>
      </c>
      <c r="P29" s="33">
        <f>ROUND('Anexo 13'!P29*'Anexo 3'!$D$10,0)</f>
        <v>0</v>
      </c>
      <c r="Q29" s="33">
        <f>ROUND('Anexo 13'!Q29*'Anexo 3'!$D$10,0)</f>
        <v>0</v>
      </c>
      <c r="R29" s="33">
        <f>ROUND('Anexo 13'!R29*'Anexo 3'!$D$10,0)</f>
        <v>0</v>
      </c>
      <c r="S29" s="33">
        <f>ROUND('Anexo 13'!S29*'Anexo 3'!$D$10,0)</f>
        <v>0</v>
      </c>
      <c r="T29" s="33">
        <f>ROUND('Anexo 13'!T29*'Anexo 3'!$D$10,0)</f>
        <v>0</v>
      </c>
      <c r="U29" s="33">
        <f>ROUND('Anexo 13'!U29*'Anexo 3'!$D$10,0)</f>
        <v>0</v>
      </c>
      <c r="V29" s="33">
        <f>ROUND('Anexo 13'!V29*'Anexo 3'!$D$10,0)</f>
        <v>0</v>
      </c>
      <c r="W29" s="33">
        <f>ROUND('Anexo 13'!W29*'Anexo 3'!$D$10,0)</f>
        <v>0</v>
      </c>
      <c r="X29" s="33">
        <f>ROUND('Anexo 13'!X29*'Anexo 3'!$D$10,0)</f>
        <v>0</v>
      </c>
      <c r="Y29" s="33">
        <f>ROUND('Anexo 13'!Y29*'Anexo 3'!$D$10,0)</f>
        <v>0</v>
      </c>
      <c r="Z29" s="33">
        <f>ROUND('Anexo 13'!Z29*'Anexo 3'!$D$10,0)</f>
        <v>0</v>
      </c>
      <c r="AA29" s="41">
        <f t="shared" si="0"/>
        <v>0</v>
      </c>
      <c r="AB29" s="23">
        <v>6</v>
      </c>
      <c r="AC29" s="102"/>
      <c r="AD29" s="49"/>
    </row>
    <row r="30" spans="1:30" ht="15.75" thickBot="1" x14ac:dyDescent="0.3">
      <c r="A30" s="99">
        <v>46997</v>
      </c>
      <c r="B30" s="18" t="s">
        <v>5</v>
      </c>
      <c r="C30" s="33">
        <f>ROUND('Anexo 13'!C30*'Anexo 3'!$D$10,0)</f>
        <v>0</v>
      </c>
      <c r="D30" s="33">
        <f>ROUND('Anexo 13'!D30*'Anexo 3'!$D$10,0)</f>
        <v>0</v>
      </c>
      <c r="E30" s="33">
        <f>ROUND('Anexo 13'!E30*'Anexo 3'!$D$10,0)</f>
        <v>0</v>
      </c>
      <c r="F30" s="33">
        <f>ROUND('Anexo 13'!F30*'Anexo 3'!$D$10,0)</f>
        <v>0</v>
      </c>
      <c r="G30" s="33">
        <f>ROUND('Anexo 13'!G30*'Anexo 3'!$D$10,0)</f>
        <v>0</v>
      </c>
      <c r="H30" s="33">
        <f>ROUND('Anexo 13'!H30*'Anexo 3'!$D$10,0)</f>
        <v>0</v>
      </c>
      <c r="I30" s="33">
        <f>ROUND('Anexo 13'!I30*'Anexo 3'!$D$10,0)</f>
        <v>0</v>
      </c>
      <c r="J30" s="33">
        <f>ROUND('Anexo 13'!J30*'Anexo 3'!$D$10,0)</f>
        <v>0</v>
      </c>
      <c r="K30" s="33">
        <f>ROUND('Anexo 13'!K30*'Anexo 3'!$D$10,0)</f>
        <v>0</v>
      </c>
      <c r="L30" s="33">
        <f>ROUND('Anexo 13'!L30*'Anexo 3'!$D$10,0)</f>
        <v>0</v>
      </c>
      <c r="M30" s="33">
        <f>ROUND('Anexo 13'!M30*'Anexo 3'!$D$10,0)</f>
        <v>0</v>
      </c>
      <c r="N30" s="33">
        <f>ROUND('Anexo 13'!N30*'Anexo 3'!$D$10,0)</f>
        <v>0</v>
      </c>
      <c r="O30" s="33">
        <f>ROUND('Anexo 13'!O30*'Anexo 3'!$D$10,0)</f>
        <v>0</v>
      </c>
      <c r="P30" s="33">
        <f>ROUND('Anexo 13'!P30*'Anexo 3'!$D$10,0)</f>
        <v>0</v>
      </c>
      <c r="Q30" s="33">
        <f>ROUND('Anexo 13'!Q30*'Anexo 3'!$D$10,0)</f>
        <v>0</v>
      </c>
      <c r="R30" s="33">
        <f>ROUND('Anexo 13'!R30*'Anexo 3'!$D$10,0)</f>
        <v>0</v>
      </c>
      <c r="S30" s="33">
        <f>ROUND('Anexo 13'!S30*'Anexo 3'!$D$10,0)</f>
        <v>0</v>
      </c>
      <c r="T30" s="33">
        <f>ROUND('Anexo 13'!T30*'Anexo 3'!$D$10,0)</f>
        <v>0</v>
      </c>
      <c r="U30" s="33">
        <f>ROUND('Anexo 13'!U30*'Anexo 3'!$D$10,0)</f>
        <v>0</v>
      </c>
      <c r="V30" s="33">
        <f>ROUND('Anexo 13'!V30*'Anexo 3'!$D$10,0)</f>
        <v>0</v>
      </c>
      <c r="W30" s="33">
        <f>ROUND('Anexo 13'!W30*'Anexo 3'!$D$10,0)</f>
        <v>0</v>
      </c>
      <c r="X30" s="33">
        <f>ROUND('Anexo 13'!X30*'Anexo 3'!$D$10,0)</f>
        <v>0</v>
      </c>
      <c r="Y30" s="33">
        <f>ROUND('Anexo 13'!Y30*'Anexo 3'!$D$10,0)</f>
        <v>0</v>
      </c>
      <c r="Z30" s="33">
        <f>ROUND('Anexo 13'!Z30*'Anexo 3'!$D$10,0)</f>
        <v>0</v>
      </c>
      <c r="AA30" s="35">
        <f t="shared" si="0"/>
        <v>0</v>
      </c>
      <c r="AB30" s="19">
        <v>21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ROUND('Anexo 13'!C31*'Anexo 3'!$D$10,0)</f>
        <v>0</v>
      </c>
      <c r="D31" s="33">
        <f>ROUND('Anexo 13'!D31*'Anexo 3'!$D$10,0)</f>
        <v>0</v>
      </c>
      <c r="E31" s="33">
        <f>ROUND('Anexo 13'!E31*'Anexo 3'!$D$10,0)</f>
        <v>0</v>
      </c>
      <c r="F31" s="33">
        <f>ROUND('Anexo 13'!F31*'Anexo 3'!$D$10,0)</f>
        <v>0</v>
      </c>
      <c r="G31" s="33">
        <f>ROUND('Anexo 13'!G31*'Anexo 3'!$D$10,0)</f>
        <v>0</v>
      </c>
      <c r="H31" s="33">
        <f>ROUND('Anexo 13'!H31*'Anexo 3'!$D$10,0)</f>
        <v>0</v>
      </c>
      <c r="I31" s="33">
        <f>ROUND('Anexo 13'!I31*'Anexo 3'!$D$10,0)</f>
        <v>0</v>
      </c>
      <c r="J31" s="33">
        <f>ROUND('Anexo 13'!J31*'Anexo 3'!$D$10,0)</f>
        <v>0</v>
      </c>
      <c r="K31" s="33">
        <f>ROUND('Anexo 13'!K31*'Anexo 3'!$D$10,0)</f>
        <v>0</v>
      </c>
      <c r="L31" s="33">
        <f>ROUND('Anexo 13'!L31*'Anexo 3'!$D$10,0)</f>
        <v>0</v>
      </c>
      <c r="M31" s="33">
        <f>ROUND('Anexo 13'!M31*'Anexo 3'!$D$10,0)</f>
        <v>0</v>
      </c>
      <c r="N31" s="33">
        <f>ROUND('Anexo 13'!N31*'Anexo 3'!$D$10,0)</f>
        <v>0</v>
      </c>
      <c r="O31" s="33">
        <f>ROUND('Anexo 13'!O31*'Anexo 3'!$D$10,0)</f>
        <v>0</v>
      </c>
      <c r="P31" s="33">
        <f>ROUND('Anexo 13'!P31*'Anexo 3'!$D$10,0)</f>
        <v>0</v>
      </c>
      <c r="Q31" s="33">
        <f>ROUND('Anexo 13'!Q31*'Anexo 3'!$D$10,0)</f>
        <v>0</v>
      </c>
      <c r="R31" s="33">
        <f>ROUND('Anexo 13'!R31*'Anexo 3'!$D$10,0)</f>
        <v>0</v>
      </c>
      <c r="S31" s="33">
        <f>ROUND('Anexo 13'!S31*'Anexo 3'!$D$10,0)</f>
        <v>0</v>
      </c>
      <c r="T31" s="33">
        <f>ROUND('Anexo 13'!T31*'Anexo 3'!$D$10,0)</f>
        <v>0</v>
      </c>
      <c r="U31" s="33">
        <f>ROUND('Anexo 13'!U31*'Anexo 3'!$D$10,0)</f>
        <v>0</v>
      </c>
      <c r="V31" s="33">
        <f>ROUND('Anexo 13'!V31*'Anexo 3'!$D$10,0)</f>
        <v>0</v>
      </c>
      <c r="W31" s="33">
        <f>ROUND('Anexo 13'!W31*'Anexo 3'!$D$10,0)</f>
        <v>0</v>
      </c>
      <c r="X31" s="33">
        <f>ROUND('Anexo 13'!X31*'Anexo 3'!$D$10,0)</f>
        <v>0</v>
      </c>
      <c r="Y31" s="33">
        <f>ROUND('Anexo 13'!Y31*'Anexo 3'!$D$10,0)</f>
        <v>0</v>
      </c>
      <c r="Z31" s="33">
        <f>ROUND('Anexo 13'!Z31*'Anexo 3'!$D$10,0)</f>
        <v>0</v>
      </c>
      <c r="AA31" s="38">
        <f t="shared" si="0"/>
        <v>0</v>
      </c>
      <c r="AB31" s="21">
        <v>5</v>
      </c>
      <c r="AC31" s="101"/>
      <c r="AD31" s="47"/>
    </row>
    <row r="32" spans="1:30" ht="15.75" thickBot="1" x14ac:dyDescent="0.3">
      <c r="A32" s="99"/>
      <c r="B32" s="22" t="s">
        <v>3</v>
      </c>
      <c r="C32" s="33">
        <f>ROUND('Anexo 13'!C32*'Anexo 3'!$D$10,0)</f>
        <v>0</v>
      </c>
      <c r="D32" s="33">
        <f>ROUND('Anexo 13'!D32*'Anexo 3'!$D$10,0)</f>
        <v>0</v>
      </c>
      <c r="E32" s="33">
        <f>ROUND('Anexo 13'!E32*'Anexo 3'!$D$10,0)</f>
        <v>0</v>
      </c>
      <c r="F32" s="33">
        <f>ROUND('Anexo 13'!F32*'Anexo 3'!$D$10,0)</f>
        <v>0</v>
      </c>
      <c r="G32" s="33">
        <f>ROUND('Anexo 13'!G32*'Anexo 3'!$D$10,0)</f>
        <v>0</v>
      </c>
      <c r="H32" s="33">
        <f>ROUND('Anexo 13'!H32*'Anexo 3'!$D$10,0)</f>
        <v>0</v>
      </c>
      <c r="I32" s="33">
        <f>ROUND('Anexo 13'!I32*'Anexo 3'!$D$10,0)</f>
        <v>0</v>
      </c>
      <c r="J32" s="33">
        <f>ROUND('Anexo 13'!J32*'Anexo 3'!$D$10,0)</f>
        <v>0</v>
      </c>
      <c r="K32" s="33">
        <f>ROUND('Anexo 13'!K32*'Anexo 3'!$D$10,0)</f>
        <v>0</v>
      </c>
      <c r="L32" s="33">
        <f>ROUND('Anexo 13'!L32*'Anexo 3'!$D$10,0)</f>
        <v>0</v>
      </c>
      <c r="M32" s="33">
        <f>ROUND('Anexo 13'!M32*'Anexo 3'!$D$10,0)</f>
        <v>0</v>
      </c>
      <c r="N32" s="33">
        <f>ROUND('Anexo 13'!N32*'Anexo 3'!$D$10,0)</f>
        <v>0</v>
      </c>
      <c r="O32" s="33">
        <f>ROUND('Anexo 13'!O32*'Anexo 3'!$D$10,0)</f>
        <v>0</v>
      </c>
      <c r="P32" s="33">
        <f>ROUND('Anexo 13'!P32*'Anexo 3'!$D$10,0)</f>
        <v>0</v>
      </c>
      <c r="Q32" s="33">
        <f>ROUND('Anexo 13'!Q32*'Anexo 3'!$D$10,0)</f>
        <v>0</v>
      </c>
      <c r="R32" s="33">
        <f>ROUND('Anexo 13'!R32*'Anexo 3'!$D$10,0)</f>
        <v>0</v>
      </c>
      <c r="S32" s="33">
        <f>ROUND('Anexo 13'!S32*'Anexo 3'!$D$10,0)</f>
        <v>0</v>
      </c>
      <c r="T32" s="33">
        <f>ROUND('Anexo 13'!T32*'Anexo 3'!$D$10,0)</f>
        <v>0</v>
      </c>
      <c r="U32" s="33">
        <f>ROUND('Anexo 13'!U32*'Anexo 3'!$D$10,0)</f>
        <v>0</v>
      </c>
      <c r="V32" s="33">
        <f>ROUND('Anexo 13'!V32*'Anexo 3'!$D$10,0)</f>
        <v>0</v>
      </c>
      <c r="W32" s="33">
        <f>ROUND('Anexo 13'!W32*'Anexo 3'!$D$10,0)</f>
        <v>0</v>
      </c>
      <c r="X32" s="33">
        <f>ROUND('Anexo 13'!X32*'Anexo 3'!$D$10,0)</f>
        <v>0</v>
      </c>
      <c r="Y32" s="33">
        <f>ROUND('Anexo 13'!Y32*'Anexo 3'!$D$10,0)</f>
        <v>0</v>
      </c>
      <c r="Z32" s="33">
        <f>ROUND('Anexo 13'!Z32*'Anexo 3'!$D$10,0)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47027</v>
      </c>
      <c r="B33" s="18" t="s">
        <v>5</v>
      </c>
      <c r="C33" s="33">
        <f>ROUND('Anexo 13'!C33*'Anexo 3'!$D$10,0)</f>
        <v>0</v>
      </c>
      <c r="D33" s="33">
        <f>ROUND('Anexo 13'!D33*'Anexo 3'!$D$10,0)</f>
        <v>0</v>
      </c>
      <c r="E33" s="33">
        <f>ROUND('Anexo 13'!E33*'Anexo 3'!$D$10,0)</f>
        <v>0</v>
      </c>
      <c r="F33" s="33">
        <f>ROUND('Anexo 13'!F33*'Anexo 3'!$D$10,0)</f>
        <v>0</v>
      </c>
      <c r="G33" s="33">
        <f>ROUND('Anexo 13'!G33*'Anexo 3'!$D$10,0)</f>
        <v>0</v>
      </c>
      <c r="H33" s="33">
        <f>ROUND('Anexo 13'!H33*'Anexo 3'!$D$10,0)</f>
        <v>0</v>
      </c>
      <c r="I33" s="33">
        <f>ROUND('Anexo 13'!I33*'Anexo 3'!$D$10,0)</f>
        <v>0</v>
      </c>
      <c r="J33" s="33">
        <f>ROUND('Anexo 13'!J33*'Anexo 3'!$D$10,0)</f>
        <v>0</v>
      </c>
      <c r="K33" s="33">
        <f>ROUND('Anexo 13'!K33*'Anexo 3'!$D$10,0)</f>
        <v>0</v>
      </c>
      <c r="L33" s="33">
        <f>ROUND('Anexo 13'!L33*'Anexo 3'!$D$10,0)</f>
        <v>0</v>
      </c>
      <c r="M33" s="33">
        <f>ROUND('Anexo 13'!M33*'Anexo 3'!$D$10,0)</f>
        <v>0</v>
      </c>
      <c r="N33" s="33">
        <f>ROUND('Anexo 13'!N33*'Anexo 3'!$D$10,0)</f>
        <v>0</v>
      </c>
      <c r="O33" s="33">
        <f>ROUND('Anexo 13'!O33*'Anexo 3'!$D$10,0)</f>
        <v>0</v>
      </c>
      <c r="P33" s="33">
        <f>ROUND('Anexo 13'!P33*'Anexo 3'!$D$10,0)</f>
        <v>0</v>
      </c>
      <c r="Q33" s="33">
        <f>ROUND('Anexo 13'!Q33*'Anexo 3'!$D$10,0)</f>
        <v>0</v>
      </c>
      <c r="R33" s="33">
        <f>ROUND('Anexo 13'!R33*'Anexo 3'!$D$10,0)</f>
        <v>0</v>
      </c>
      <c r="S33" s="33">
        <f>ROUND('Anexo 13'!S33*'Anexo 3'!$D$10,0)</f>
        <v>0</v>
      </c>
      <c r="T33" s="33">
        <f>ROUND('Anexo 13'!T33*'Anexo 3'!$D$10,0)</f>
        <v>0</v>
      </c>
      <c r="U33" s="33">
        <f>ROUND('Anexo 13'!U33*'Anexo 3'!$D$10,0)</f>
        <v>0</v>
      </c>
      <c r="V33" s="33">
        <f>ROUND('Anexo 13'!V33*'Anexo 3'!$D$10,0)</f>
        <v>0</v>
      </c>
      <c r="W33" s="33">
        <f>ROUND('Anexo 13'!W33*'Anexo 3'!$D$10,0)</f>
        <v>0</v>
      </c>
      <c r="X33" s="33">
        <f>ROUND('Anexo 13'!X33*'Anexo 3'!$D$10,0)</f>
        <v>0</v>
      </c>
      <c r="Y33" s="33">
        <f>ROUND('Anexo 13'!Y33*'Anexo 3'!$D$10,0)</f>
        <v>0</v>
      </c>
      <c r="Z33" s="33">
        <f>ROUND('Anexo 13'!Z33*'Anexo 3'!$D$10,0)</f>
        <v>0</v>
      </c>
      <c r="AA33" s="35">
        <f t="shared" si="0"/>
        <v>0</v>
      </c>
      <c r="AB33" s="19">
        <v>21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ROUND('Anexo 13'!C34*'Anexo 3'!$D$10,0)</f>
        <v>0</v>
      </c>
      <c r="D34" s="33">
        <f>ROUND('Anexo 13'!D34*'Anexo 3'!$D$10,0)</f>
        <v>0</v>
      </c>
      <c r="E34" s="33">
        <f>ROUND('Anexo 13'!E34*'Anexo 3'!$D$10,0)</f>
        <v>0</v>
      </c>
      <c r="F34" s="33">
        <f>ROUND('Anexo 13'!F34*'Anexo 3'!$D$10,0)</f>
        <v>0</v>
      </c>
      <c r="G34" s="33">
        <f>ROUND('Anexo 13'!G34*'Anexo 3'!$D$10,0)</f>
        <v>0</v>
      </c>
      <c r="H34" s="33">
        <f>ROUND('Anexo 13'!H34*'Anexo 3'!$D$10,0)</f>
        <v>0</v>
      </c>
      <c r="I34" s="33">
        <f>ROUND('Anexo 13'!I34*'Anexo 3'!$D$10,0)</f>
        <v>0</v>
      </c>
      <c r="J34" s="33">
        <f>ROUND('Anexo 13'!J34*'Anexo 3'!$D$10,0)</f>
        <v>0</v>
      </c>
      <c r="K34" s="33">
        <f>ROUND('Anexo 13'!K34*'Anexo 3'!$D$10,0)</f>
        <v>0</v>
      </c>
      <c r="L34" s="33">
        <f>ROUND('Anexo 13'!L34*'Anexo 3'!$D$10,0)</f>
        <v>0</v>
      </c>
      <c r="M34" s="33">
        <f>ROUND('Anexo 13'!M34*'Anexo 3'!$D$10,0)</f>
        <v>0</v>
      </c>
      <c r="N34" s="33">
        <f>ROUND('Anexo 13'!N34*'Anexo 3'!$D$10,0)</f>
        <v>0</v>
      </c>
      <c r="O34" s="33">
        <f>ROUND('Anexo 13'!O34*'Anexo 3'!$D$10,0)</f>
        <v>0</v>
      </c>
      <c r="P34" s="33">
        <f>ROUND('Anexo 13'!P34*'Anexo 3'!$D$10,0)</f>
        <v>0</v>
      </c>
      <c r="Q34" s="33">
        <f>ROUND('Anexo 13'!Q34*'Anexo 3'!$D$10,0)</f>
        <v>0</v>
      </c>
      <c r="R34" s="33">
        <f>ROUND('Anexo 13'!R34*'Anexo 3'!$D$10,0)</f>
        <v>0</v>
      </c>
      <c r="S34" s="33">
        <f>ROUND('Anexo 13'!S34*'Anexo 3'!$D$10,0)</f>
        <v>0</v>
      </c>
      <c r="T34" s="33">
        <f>ROUND('Anexo 13'!T34*'Anexo 3'!$D$10,0)</f>
        <v>0</v>
      </c>
      <c r="U34" s="33">
        <f>ROUND('Anexo 13'!U34*'Anexo 3'!$D$10,0)</f>
        <v>0</v>
      </c>
      <c r="V34" s="33">
        <f>ROUND('Anexo 13'!V34*'Anexo 3'!$D$10,0)</f>
        <v>0</v>
      </c>
      <c r="W34" s="33">
        <f>ROUND('Anexo 13'!W34*'Anexo 3'!$D$10,0)</f>
        <v>0</v>
      </c>
      <c r="X34" s="33">
        <f>ROUND('Anexo 13'!X34*'Anexo 3'!$D$10,0)</f>
        <v>0</v>
      </c>
      <c r="Y34" s="33">
        <f>ROUND('Anexo 13'!Y34*'Anexo 3'!$D$10,0)</f>
        <v>0</v>
      </c>
      <c r="Z34" s="33">
        <f>ROUND('Anexo 13'!Z34*'Anexo 3'!$D$10,0)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ROUND('Anexo 13'!C35*'Anexo 3'!$D$10,0)</f>
        <v>0</v>
      </c>
      <c r="D35" s="33">
        <f>ROUND('Anexo 13'!D35*'Anexo 3'!$D$10,0)</f>
        <v>0</v>
      </c>
      <c r="E35" s="33">
        <f>ROUND('Anexo 13'!E35*'Anexo 3'!$D$10,0)</f>
        <v>0</v>
      </c>
      <c r="F35" s="33">
        <f>ROUND('Anexo 13'!F35*'Anexo 3'!$D$10,0)</f>
        <v>0</v>
      </c>
      <c r="G35" s="33">
        <f>ROUND('Anexo 13'!G35*'Anexo 3'!$D$10,0)</f>
        <v>0</v>
      </c>
      <c r="H35" s="33">
        <f>ROUND('Anexo 13'!H35*'Anexo 3'!$D$10,0)</f>
        <v>0</v>
      </c>
      <c r="I35" s="33">
        <f>ROUND('Anexo 13'!I35*'Anexo 3'!$D$10,0)</f>
        <v>0</v>
      </c>
      <c r="J35" s="33">
        <f>ROUND('Anexo 13'!J35*'Anexo 3'!$D$10,0)</f>
        <v>0</v>
      </c>
      <c r="K35" s="33">
        <f>ROUND('Anexo 13'!K35*'Anexo 3'!$D$10,0)</f>
        <v>0</v>
      </c>
      <c r="L35" s="33">
        <f>ROUND('Anexo 13'!L35*'Anexo 3'!$D$10,0)</f>
        <v>0</v>
      </c>
      <c r="M35" s="33">
        <f>ROUND('Anexo 13'!M35*'Anexo 3'!$D$10,0)</f>
        <v>0</v>
      </c>
      <c r="N35" s="33">
        <f>ROUND('Anexo 13'!N35*'Anexo 3'!$D$10,0)</f>
        <v>0</v>
      </c>
      <c r="O35" s="33">
        <f>ROUND('Anexo 13'!O35*'Anexo 3'!$D$10,0)</f>
        <v>0</v>
      </c>
      <c r="P35" s="33">
        <f>ROUND('Anexo 13'!P35*'Anexo 3'!$D$10,0)</f>
        <v>0</v>
      </c>
      <c r="Q35" s="33">
        <f>ROUND('Anexo 13'!Q35*'Anexo 3'!$D$10,0)</f>
        <v>0</v>
      </c>
      <c r="R35" s="33">
        <f>ROUND('Anexo 13'!R35*'Anexo 3'!$D$10,0)</f>
        <v>0</v>
      </c>
      <c r="S35" s="33">
        <f>ROUND('Anexo 13'!S35*'Anexo 3'!$D$10,0)</f>
        <v>0</v>
      </c>
      <c r="T35" s="33">
        <f>ROUND('Anexo 13'!T35*'Anexo 3'!$D$10,0)</f>
        <v>0</v>
      </c>
      <c r="U35" s="33">
        <f>ROUND('Anexo 13'!U35*'Anexo 3'!$D$10,0)</f>
        <v>0</v>
      </c>
      <c r="V35" s="33">
        <f>ROUND('Anexo 13'!V35*'Anexo 3'!$D$10,0)</f>
        <v>0</v>
      </c>
      <c r="W35" s="33">
        <f>ROUND('Anexo 13'!W35*'Anexo 3'!$D$10,0)</f>
        <v>0</v>
      </c>
      <c r="X35" s="33">
        <f>ROUND('Anexo 13'!X35*'Anexo 3'!$D$10,0)</f>
        <v>0</v>
      </c>
      <c r="Y35" s="33">
        <f>ROUND('Anexo 13'!Y35*'Anexo 3'!$D$10,0)</f>
        <v>0</v>
      </c>
      <c r="Z35" s="33">
        <f>ROUND('Anexo 13'!Z35*'Anexo 3'!$D$10,0)</f>
        <v>0</v>
      </c>
      <c r="AA35" s="41">
        <f t="shared" si="0"/>
        <v>0</v>
      </c>
      <c r="AB35" s="23">
        <v>6</v>
      </c>
      <c r="AC35" s="102"/>
      <c r="AD35" s="48"/>
    </row>
    <row r="36" spans="1:30" ht="15.75" thickBot="1" x14ac:dyDescent="0.3">
      <c r="A36" s="99">
        <v>47058</v>
      </c>
      <c r="B36" s="18" t="s">
        <v>5</v>
      </c>
      <c r="C36" s="33">
        <f>ROUND('Anexo 13'!C36*'Anexo 3'!$D$10,0)</f>
        <v>0</v>
      </c>
      <c r="D36" s="33">
        <f>ROUND('Anexo 13'!D36*'Anexo 3'!$D$10,0)</f>
        <v>0</v>
      </c>
      <c r="E36" s="33">
        <f>ROUND('Anexo 13'!E36*'Anexo 3'!$D$10,0)</f>
        <v>0</v>
      </c>
      <c r="F36" s="33">
        <f>ROUND('Anexo 13'!F36*'Anexo 3'!$D$10,0)</f>
        <v>0</v>
      </c>
      <c r="G36" s="33">
        <f>ROUND('Anexo 13'!G36*'Anexo 3'!$D$10,0)</f>
        <v>0</v>
      </c>
      <c r="H36" s="33">
        <f>ROUND('Anexo 13'!H36*'Anexo 3'!$D$10,0)</f>
        <v>0</v>
      </c>
      <c r="I36" s="33">
        <f>ROUND('Anexo 13'!I36*'Anexo 3'!$D$10,0)</f>
        <v>0</v>
      </c>
      <c r="J36" s="33">
        <f>ROUND('Anexo 13'!J36*'Anexo 3'!$D$10,0)</f>
        <v>0</v>
      </c>
      <c r="K36" s="33">
        <f>ROUND('Anexo 13'!K36*'Anexo 3'!$D$10,0)</f>
        <v>0</v>
      </c>
      <c r="L36" s="33">
        <f>ROUND('Anexo 13'!L36*'Anexo 3'!$D$10,0)</f>
        <v>0</v>
      </c>
      <c r="M36" s="33">
        <f>ROUND('Anexo 13'!M36*'Anexo 3'!$D$10,0)</f>
        <v>0</v>
      </c>
      <c r="N36" s="33">
        <f>ROUND('Anexo 13'!N36*'Anexo 3'!$D$10,0)</f>
        <v>0</v>
      </c>
      <c r="O36" s="33">
        <f>ROUND('Anexo 13'!O36*'Anexo 3'!$D$10,0)</f>
        <v>0</v>
      </c>
      <c r="P36" s="33">
        <f>ROUND('Anexo 13'!P36*'Anexo 3'!$D$10,0)</f>
        <v>0</v>
      </c>
      <c r="Q36" s="33">
        <f>ROUND('Anexo 13'!Q36*'Anexo 3'!$D$10,0)</f>
        <v>0</v>
      </c>
      <c r="R36" s="33">
        <f>ROUND('Anexo 13'!R36*'Anexo 3'!$D$10,0)</f>
        <v>0</v>
      </c>
      <c r="S36" s="33">
        <f>ROUND('Anexo 13'!S36*'Anexo 3'!$D$10,0)</f>
        <v>0</v>
      </c>
      <c r="T36" s="33">
        <f>ROUND('Anexo 13'!T36*'Anexo 3'!$D$10,0)</f>
        <v>0</v>
      </c>
      <c r="U36" s="33">
        <f>ROUND('Anexo 13'!U36*'Anexo 3'!$D$10,0)</f>
        <v>0</v>
      </c>
      <c r="V36" s="33">
        <f>ROUND('Anexo 13'!V36*'Anexo 3'!$D$10,0)</f>
        <v>0</v>
      </c>
      <c r="W36" s="33">
        <f>ROUND('Anexo 13'!W36*'Anexo 3'!$D$10,0)</f>
        <v>0</v>
      </c>
      <c r="X36" s="33">
        <f>ROUND('Anexo 13'!X36*'Anexo 3'!$D$10,0)</f>
        <v>0</v>
      </c>
      <c r="Y36" s="33">
        <f>ROUND('Anexo 13'!Y36*'Anexo 3'!$D$10,0)</f>
        <v>0</v>
      </c>
      <c r="Z36" s="33">
        <f>ROUND('Anexo 13'!Z36*'Anexo 3'!$D$10,0)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ROUND('Anexo 13'!C37*'Anexo 3'!$D$10,0)</f>
        <v>0</v>
      </c>
      <c r="D37" s="33">
        <f>ROUND('Anexo 13'!D37*'Anexo 3'!$D$10,0)</f>
        <v>0</v>
      </c>
      <c r="E37" s="33">
        <f>ROUND('Anexo 13'!E37*'Anexo 3'!$D$10,0)</f>
        <v>0</v>
      </c>
      <c r="F37" s="33">
        <f>ROUND('Anexo 13'!F37*'Anexo 3'!$D$10,0)</f>
        <v>0</v>
      </c>
      <c r="G37" s="33">
        <f>ROUND('Anexo 13'!G37*'Anexo 3'!$D$10,0)</f>
        <v>0</v>
      </c>
      <c r="H37" s="33">
        <f>ROUND('Anexo 13'!H37*'Anexo 3'!$D$10,0)</f>
        <v>0</v>
      </c>
      <c r="I37" s="33">
        <f>ROUND('Anexo 13'!I37*'Anexo 3'!$D$10,0)</f>
        <v>0</v>
      </c>
      <c r="J37" s="33">
        <f>ROUND('Anexo 13'!J37*'Anexo 3'!$D$10,0)</f>
        <v>0</v>
      </c>
      <c r="K37" s="33">
        <f>ROUND('Anexo 13'!K37*'Anexo 3'!$D$10,0)</f>
        <v>0</v>
      </c>
      <c r="L37" s="33">
        <f>ROUND('Anexo 13'!L37*'Anexo 3'!$D$10,0)</f>
        <v>0</v>
      </c>
      <c r="M37" s="33">
        <f>ROUND('Anexo 13'!M37*'Anexo 3'!$D$10,0)</f>
        <v>0</v>
      </c>
      <c r="N37" s="33">
        <f>ROUND('Anexo 13'!N37*'Anexo 3'!$D$10,0)</f>
        <v>0</v>
      </c>
      <c r="O37" s="33">
        <f>ROUND('Anexo 13'!O37*'Anexo 3'!$D$10,0)</f>
        <v>0</v>
      </c>
      <c r="P37" s="33">
        <f>ROUND('Anexo 13'!P37*'Anexo 3'!$D$10,0)</f>
        <v>0</v>
      </c>
      <c r="Q37" s="33">
        <f>ROUND('Anexo 13'!Q37*'Anexo 3'!$D$10,0)</f>
        <v>0</v>
      </c>
      <c r="R37" s="33">
        <f>ROUND('Anexo 13'!R37*'Anexo 3'!$D$10,0)</f>
        <v>0</v>
      </c>
      <c r="S37" s="33">
        <f>ROUND('Anexo 13'!S37*'Anexo 3'!$D$10,0)</f>
        <v>0</v>
      </c>
      <c r="T37" s="33">
        <f>ROUND('Anexo 13'!T37*'Anexo 3'!$D$10,0)</f>
        <v>0</v>
      </c>
      <c r="U37" s="33">
        <f>ROUND('Anexo 13'!U37*'Anexo 3'!$D$10,0)</f>
        <v>0</v>
      </c>
      <c r="V37" s="33">
        <f>ROUND('Anexo 13'!V37*'Anexo 3'!$D$10,0)</f>
        <v>0</v>
      </c>
      <c r="W37" s="33">
        <f>ROUND('Anexo 13'!W37*'Anexo 3'!$D$10,0)</f>
        <v>0</v>
      </c>
      <c r="X37" s="33">
        <f>ROUND('Anexo 13'!X37*'Anexo 3'!$D$10,0)</f>
        <v>0</v>
      </c>
      <c r="Y37" s="33">
        <f>ROUND('Anexo 13'!Y37*'Anexo 3'!$D$10,0)</f>
        <v>0</v>
      </c>
      <c r="Z37" s="33">
        <f>ROUND('Anexo 13'!Z37*'Anexo 3'!$D$10,0)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ROUND('Anexo 13'!C38*'Anexo 3'!$D$10,0)</f>
        <v>0</v>
      </c>
      <c r="D38" s="33">
        <f>ROUND('Anexo 13'!D38*'Anexo 3'!$D$10,0)</f>
        <v>0</v>
      </c>
      <c r="E38" s="33">
        <f>ROUND('Anexo 13'!E38*'Anexo 3'!$D$10,0)</f>
        <v>0</v>
      </c>
      <c r="F38" s="33">
        <f>ROUND('Anexo 13'!F38*'Anexo 3'!$D$10,0)</f>
        <v>0</v>
      </c>
      <c r="G38" s="33">
        <f>ROUND('Anexo 13'!G38*'Anexo 3'!$D$10,0)</f>
        <v>0</v>
      </c>
      <c r="H38" s="33">
        <f>ROUND('Anexo 13'!H38*'Anexo 3'!$D$10,0)</f>
        <v>0</v>
      </c>
      <c r="I38" s="33">
        <f>ROUND('Anexo 13'!I38*'Anexo 3'!$D$10,0)</f>
        <v>0</v>
      </c>
      <c r="J38" s="33">
        <f>ROUND('Anexo 13'!J38*'Anexo 3'!$D$10,0)</f>
        <v>0</v>
      </c>
      <c r="K38" s="33">
        <f>ROUND('Anexo 13'!K38*'Anexo 3'!$D$10,0)</f>
        <v>0</v>
      </c>
      <c r="L38" s="33">
        <f>ROUND('Anexo 13'!L38*'Anexo 3'!$D$10,0)</f>
        <v>0</v>
      </c>
      <c r="M38" s="33">
        <f>ROUND('Anexo 13'!M38*'Anexo 3'!$D$10,0)</f>
        <v>0</v>
      </c>
      <c r="N38" s="33">
        <f>ROUND('Anexo 13'!N38*'Anexo 3'!$D$10,0)</f>
        <v>0</v>
      </c>
      <c r="O38" s="33">
        <f>ROUND('Anexo 13'!O38*'Anexo 3'!$D$10,0)</f>
        <v>0</v>
      </c>
      <c r="P38" s="33">
        <f>ROUND('Anexo 13'!P38*'Anexo 3'!$D$10,0)</f>
        <v>0</v>
      </c>
      <c r="Q38" s="33">
        <f>ROUND('Anexo 13'!Q38*'Anexo 3'!$D$10,0)</f>
        <v>0</v>
      </c>
      <c r="R38" s="33">
        <f>ROUND('Anexo 13'!R38*'Anexo 3'!$D$10,0)</f>
        <v>0</v>
      </c>
      <c r="S38" s="33">
        <f>ROUND('Anexo 13'!S38*'Anexo 3'!$D$10,0)</f>
        <v>0</v>
      </c>
      <c r="T38" s="33">
        <f>ROUND('Anexo 13'!T38*'Anexo 3'!$D$10,0)</f>
        <v>0</v>
      </c>
      <c r="U38" s="33">
        <f>ROUND('Anexo 13'!U38*'Anexo 3'!$D$10,0)</f>
        <v>0</v>
      </c>
      <c r="V38" s="33">
        <f>ROUND('Anexo 13'!V38*'Anexo 3'!$D$10,0)</f>
        <v>0</v>
      </c>
      <c r="W38" s="33">
        <f>ROUND('Anexo 13'!W38*'Anexo 3'!$D$10,0)</f>
        <v>0</v>
      </c>
      <c r="X38" s="33">
        <f>ROUND('Anexo 13'!X38*'Anexo 3'!$D$10,0)</f>
        <v>0</v>
      </c>
      <c r="Y38" s="33">
        <f>ROUND('Anexo 13'!Y38*'Anexo 3'!$D$10,0)</f>
        <v>0</v>
      </c>
      <c r="Z38" s="33">
        <f>ROUND('Anexo 13'!Z38*'Anexo 3'!$D$10,0)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47088</v>
      </c>
      <c r="B39" s="18" t="s">
        <v>5</v>
      </c>
      <c r="C39" s="33">
        <f>ROUND('Anexo 13'!C39*'Anexo 3'!$D$10,0)</f>
        <v>0</v>
      </c>
      <c r="D39" s="33">
        <f>ROUND('Anexo 13'!D39*'Anexo 3'!$D$10,0)</f>
        <v>0</v>
      </c>
      <c r="E39" s="33">
        <f>ROUND('Anexo 13'!E39*'Anexo 3'!$D$10,0)</f>
        <v>0</v>
      </c>
      <c r="F39" s="33">
        <f>ROUND('Anexo 13'!F39*'Anexo 3'!$D$10,0)</f>
        <v>0</v>
      </c>
      <c r="G39" s="33">
        <f>ROUND('Anexo 13'!G39*'Anexo 3'!$D$10,0)</f>
        <v>0</v>
      </c>
      <c r="H39" s="33">
        <f>ROUND('Anexo 13'!H39*'Anexo 3'!$D$10,0)</f>
        <v>0</v>
      </c>
      <c r="I39" s="33">
        <f>ROUND('Anexo 13'!I39*'Anexo 3'!$D$10,0)</f>
        <v>0</v>
      </c>
      <c r="J39" s="33">
        <f>ROUND('Anexo 13'!J39*'Anexo 3'!$D$10,0)</f>
        <v>0</v>
      </c>
      <c r="K39" s="33">
        <f>ROUND('Anexo 13'!K39*'Anexo 3'!$D$10,0)</f>
        <v>0</v>
      </c>
      <c r="L39" s="33">
        <f>ROUND('Anexo 13'!L39*'Anexo 3'!$D$10,0)</f>
        <v>0</v>
      </c>
      <c r="M39" s="33">
        <f>ROUND('Anexo 13'!M39*'Anexo 3'!$D$10,0)</f>
        <v>0</v>
      </c>
      <c r="N39" s="33">
        <f>ROUND('Anexo 13'!N39*'Anexo 3'!$D$10,0)</f>
        <v>0</v>
      </c>
      <c r="O39" s="33">
        <f>ROUND('Anexo 13'!O39*'Anexo 3'!$D$10,0)</f>
        <v>0</v>
      </c>
      <c r="P39" s="33">
        <f>ROUND('Anexo 13'!P39*'Anexo 3'!$D$10,0)</f>
        <v>0</v>
      </c>
      <c r="Q39" s="33">
        <f>ROUND('Anexo 13'!Q39*'Anexo 3'!$D$10,0)</f>
        <v>0</v>
      </c>
      <c r="R39" s="33">
        <f>ROUND('Anexo 13'!R39*'Anexo 3'!$D$10,0)</f>
        <v>0</v>
      </c>
      <c r="S39" s="33">
        <f>ROUND('Anexo 13'!S39*'Anexo 3'!$D$10,0)</f>
        <v>0</v>
      </c>
      <c r="T39" s="33">
        <f>ROUND('Anexo 13'!T39*'Anexo 3'!$D$10,0)</f>
        <v>0</v>
      </c>
      <c r="U39" s="33">
        <f>ROUND('Anexo 13'!U39*'Anexo 3'!$D$10,0)</f>
        <v>0</v>
      </c>
      <c r="V39" s="33">
        <f>ROUND('Anexo 13'!V39*'Anexo 3'!$D$10,0)</f>
        <v>0</v>
      </c>
      <c r="W39" s="33">
        <f>ROUND('Anexo 13'!W39*'Anexo 3'!$D$10,0)</f>
        <v>0</v>
      </c>
      <c r="X39" s="33">
        <f>ROUND('Anexo 13'!X39*'Anexo 3'!$D$10,0)</f>
        <v>0</v>
      </c>
      <c r="Y39" s="33">
        <f>ROUND('Anexo 13'!Y39*'Anexo 3'!$D$10,0)</f>
        <v>0</v>
      </c>
      <c r="Z39" s="33">
        <f>ROUND('Anexo 13'!Z39*'Anexo 3'!$D$10,0)</f>
        <v>0</v>
      </c>
      <c r="AA39" s="35">
        <f t="shared" si="0"/>
        <v>0</v>
      </c>
      <c r="AB39" s="19">
        <v>19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ROUND('Anexo 13'!C40*'Anexo 3'!$D$10,0)</f>
        <v>0</v>
      </c>
      <c r="D40" s="33">
        <f>ROUND('Anexo 13'!D40*'Anexo 3'!$D$10,0)</f>
        <v>0</v>
      </c>
      <c r="E40" s="33">
        <f>ROUND('Anexo 13'!E40*'Anexo 3'!$D$10,0)</f>
        <v>0</v>
      </c>
      <c r="F40" s="33">
        <f>ROUND('Anexo 13'!F40*'Anexo 3'!$D$10,0)</f>
        <v>0</v>
      </c>
      <c r="G40" s="33">
        <f>ROUND('Anexo 13'!G40*'Anexo 3'!$D$10,0)</f>
        <v>0</v>
      </c>
      <c r="H40" s="33">
        <f>ROUND('Anexo 13'!H40*'Anexo 3'!$D$10,0)</f>
        <v>0</v>
      </c>
      <c r="I40" s="33">
        <f>ROUND('Anexo 13'!I40*'Anexo 3'!$D$10,0)</f>
        <v>0</v>
      </c>
      <c r="J40" s="33">
        <f>ROUND('Anexo 13'!J40*'Anexo 3'!$D$10,0)</f>
        <v>0</v>
      </c>
      <c r="K40" s="33">
        <f>ROUND('Anexo 13'!K40*'Anexo 3'!$D$10,0)</f>
        <v>0</v>
      </c>
      <c r="L40" s="33">
        <f>ROUND('Anexo 13'!L40*'Anexo 3'!$D$10,0)</f>
        <v>0</v>
      </c>
      <c r="M40" s="33">
        <f>ROUND('Anexo 13'!M40*'Anexo 3'!$D$10,0)</f>
        <v>0</v>
      </c>
      <c r="N40" s="33">
        <f>ROUND('Anexo 13'!N40*'Anexo 3'!$D$10,0)</f>
        <v>0</v>
      </c>
      <c r="O40" s="33">
        <f>ROUND('Anexo 13'!O40*'Anexo 3'!$D$10,0)</f>
        <v>0</v>
      </c>
      <c r="P40" s="33">
        <f>ROUND('Anexo 13'!P40*'Anexo 3'!$D$10,0)</f>
        <v>0</v>
      </c>
      <c r="Q40" s="33">
        <f>ROUND('Anexo 13'!Q40*'Anexo 3'!$D$10,0)</f>
        <v>0</v>
      </c>
      <c r="R40" s="33">
        <f>ROUND('Anexo 13'!R40*'Anexo 3'!$D$10,0)</f>
        <v>0</v>
      </c>
      <c r="S40" s="33">
        <f>ROUND('Anexo 13'!S40*'Anexo 3'!$D$10,0)</f>
        <v>0</v>
      </c>
      <c r="T40" s="33">
        <f>ROUND('Anexo 13'!T40*'Anexo 3'!$D$10,0)</f>
        <v>0</v>
      </c>
      <c r="U40" s="33">
        <f>ROUND('Anexo 13'!U40*'Anexo 3'!$D$10,0)</f>
        <v>0</v>
      </c>
      <c r="V40" s="33">
        <f>ROUND('Anexo 13'!V40*'Anexo 3'!$D$10,0)</f>
        <v>0</v>
      </c>
      <c r="W40" s="33">
        <f>ROUND('Anexo 13'!W40*'Anexo 3'!$D$10,0)</f>
        <v>0</v>
      </c>
      <c r="X40" s="33">
        <f>ROUND('Anexo 13'!X40*'Anexo 3'!$D$10,0)</f>
        <v>0</v>
      </c>
      <c r="Y40" s="33">
        <f>ROUND('Anexo 13'!Y40*'Anexo 3'!$D$10,0)</f>
        <v>0</v>
      </c>
      <c r="Z40" s="33">
        <f>ROUND('Anexo 13'!Z40*'Anexo 3'!$D$10,0)</f>
        <v>0</v>
      </c>
      <c r="AA40" s="38">
        <f t="shared" si="0"/>
        <v>0</v>
      </c>
      <c r="AB40" s="21">
        <v>5</v>
      </c>
      <c r="AC40" s="101"/>
      <c r="AD40" s="47"/>
    </row>
    <row r="41" spans="1:30" ht="15.75" thickBot="1" x14ac:dyDescent="0.3">
      <c r="A41" s="99"/>
      <c r="B41" s="22" t="s">
        <v>3</v>
      </c>
      <c r="C41" s="33">
        <f>ROUND('Anexo 13'!C41*'Anexo 3'!$D$10,0)</f>
        <v>0</v>
      </c>
      <c r="D41" s="33">
        <f>ROUND('Anexo 13'!D41*'Anexo 3'!$D$10,0)</f>
        <v>0</v>
      </c>
      <c r="E41" s="33">
        <f>ROUND('Anexo 13'!E41*'Anexo 3'!$D$10,0)</f>
        <v>0</v>
      </c>
      <c r="F41" s="33">
        <f>ROUND('Anexo 13'!F41*'Anexo 3'!$D$10,0)</f>
        <v>0</v>
      </c>
      <c r="G41" s="33">
        <f>ROUND('Anexo 13'!G41*'Anexo 3'!$D$10,0)</f>
        <v>0</v>
      </c>
      <c r="H41" s="33">
        <f>ROUND('Anexo 13'!H41*'Anexo 3'!$D$10,0)</f>
        <v>0</v>
      </c>
      <c r="I41" s="33">
        <f>ROUND('Anexo 13'!I41*'Anexo 3'!$D$10,0)</f>
        <v>0</v>
      </c>
      <c r="J41" s="33">
        <f>ROUND('Anexo 13'!J41*'Anexo 3'!$D$10,0)</f>
        <v>0</v>
      </c>
      <c r="K41" s="33">
        <f>ROUND('Anexo 13'!K41*'Anexo 3'!$D$10,0)</f>
        <v>0</v>
      </c>
      <c r="L41" s="33">
        <f>ROUND('Anexo 13'!L41*'Anexo 3'!$D$10,0)</f>
        <v>0</v>
      </c>
      <c r="M41" s="33">
        <f>ROUND('Anexo 13'!M41*'Anexo 3'!$D$10,0)</f>
        <v>0</v>
      </c>
      <c r="N41" s="33">
        <f>ROUND('Anexo 13'!N41*'Anexo 3'!$D$10,0)</f>
        <v>0</v>
      </c>
      <c r="O41" s="33">
        <f>ROUND('Anexo 13'!O41*'Anexo 3'!$D$10,0)</f>
        <v>0</v>
      </c>
      <c r="P41" s="33">
        <f>ROUND('Anexo 13'!P41*'Anexo 3'!$D$10,0)</f>
        <v>0</v>
      </c>
      <c r="Q41" s="33">
        <f>ROUND('Anexo 13'!Q41*'Anexo 3'!$D$10,0)</f>
        <v>0</v>
      </c>
      <c r="R41" s="33">
        <f>ROUND('Anexo 13'!R41*'Anexo 3'!$D$10,0)</f>
        <v>0</v>
      </c>
      <c r="S41" s="33">
        <f>ROUND('Anexo 13'!S41*'Anexo 3'!$D$10,0)</f>
        <v>0</v>
      </c>
      <c r="T41" s="33">
        <f>ROUND('Anexo 13'!T41*'Anexo 3'!$D$10,0)</f>
        <v>0</v>
      </c>
      <c r="U41" s="33">
        <f>ROUND('Anexo 13'!U41*'Anexo 3'!$D$10,0)</f>
        <v>0</v>
      </c>
      <c r="V41" s="33">
        <f>ROUND('Anexo 13'!V41*'Anexo 3'!$D$10,0)</f>
        <v>0</v>
      </c>
      <c r="W41" s="33">
        <f>ROUND('Anexo 13'!W41*'Anexo 3'!$D$10,0)</f>
        <v>0</v>
      </c>
      <c r="X41" s="33">
        <f>ROUND('Anexo 13'!X41*'Anexo 3'!$D$10,0)</f>
        <v>0</v>
      </c>
      <c r="Y41" s="33">
        <f>ROUND('Anexo 13'!Y41*'Anexo 3'!$D$10,0)</f>
        <v>0</v>
      </c>
      <c r="Z41" s="33">
        <f>ROUND('Anexo 13'!Z41*'Anexo 3'!$D$10,0)</f>
        <v>0</v>
      </c>
      <c r="AA41" s="41">
        <f t="shared" si="0"/>
        <v>0</v>
      </c>
      <c r="AB41" s="23">
        <v>7</v>
      </c>
      <c r="AC41" s="102"/>
      <c r="AD41" s="42"/>
    </row>
    <row r="42" spans="1:30" ht="15.75" thickBot="1" x14ac:dyDescent="0.3">
      <c r="A42" s="103" t="s">
        <v>2</v>
      </c>
      <c r="B42" s="104"/>
      <c r="C42" s="33">
        <f>ROUND('Anexo 13'!C42*'Anexo 3'!$D$10,0)</f>
        <v>0</v>
      </c>
      <c r="D42" s="33">
        <f>ROUND('Anexo 13'!D42*'Anexo 3'!$D$10,0)</f>
        <v>0</v>
      </c>
      <c r="E42" s="33">
        <f>ROUND('Anexo 13'!E42*'Anexo 3'!$D$10,0)</f>
        <v>0</v>
      </c>
      <c r="F42" s="33">
        <f>ROUND('Anexo 13'!F42*'Anexo 3'!$D$10,0)</f>
        <v>0</v>
      </c>
      <c r="G42" s="33">
        <f>ROUND('Anexo 13'!G42*'Anexo 3'!$D$10,0)</f>
        <v>0</v>
      </c>
      <c r="H42" s="33">
        <f>ROUND('Anexo 13'!H42*'Anexo 3'!$D$10,0)</f>
        <v>0</v>
      </c>
      <c r="I42" s="33">
        <f>ROUND('Anexo 13'!I42*'Anexo 3'!$D$10,0)</f>
        <v>0</v>
      </c>
      <c r="J42" s="33">
        <f>ROUND('Anexo 13'!J42*'Anexo 3'!$D$10,0)</f>
        <v>0</v>
      </c>
      <c r="K42" s="33">
        <f>ROUND('Anexo 13'!K42*'Anexo 3'!$D$10,0)</f>
        <v>0</v>
      </c>
      <c r="L42" s="33">
        <f>ROUND('Anexo 13'!L42*'Anexo 3'!$D$10,0)</f>
        <v>0</v>
      </c>
      <c r="M42" s="33">
        <f>ROUND('Anexo 13'!M42*'Anexo 3'!$D$10,0)</f>
        <v>0</v>
      </c>
      <c r="N42" s="33">
        <f>ROUND('Anexo 13'!N42*'Anexo 3'!$D$10,0)</f>
        <v>0</v>
      </c>
      <c r="O42" s="33">
        <f>ROUND('Anexo 13'!O42*'Anexo 3'!$D$10,0)</f>
        <v>0</v>
      </c>
      <c r="P42" s="33">
        <f>ROUND('Anexo 13'!P42*'Anexo 3'!$D$10,0)</f>
        <v>0</v>
      </c>
      <c r="Q42" s="33">
        <f>ROUND('Anexo 13'!Q42*'Anexo 3'!$D$10,0)</f>
        <v>0</v>
      </c>
      <c r="R42" s="33">
        <f>ROUND('Anexo 13'!R42*'Anexo 3'!$D$10,0)</f>
        <v>0</v>
      </c>
      <c r="S42" s="33">
        <f>ROUND('Anexo 13'!S42*'Anexo 3'!$D$10,0)</f>
        <v>0</v>
      </c>
      <c r="T42" s="33">
        <f>ROUND('Anexo 13'!T42*'Anexo 3'!$D$10,0)</f>
        <v>0</v>
      </c>
      <c r="U42" s="33">
        <f>ROUND('Anexo 13'!U42*'Anexo 3'!$D$10,0)</f>
        <v>0</v>
      </c>
      <c r="V42" s="33">
        <f>ROUND('Anexo 13'!V42*'Anexo 3'!$D$10,0)</f>
        <v>0</v>
      </c>
      <c r="W42" s="33">
        <f>ROUND('Anexo 13'!W42*'Anexo 3'!$D$10,0)</f>
        <v>0</v>
      </c>
      <c r="X42" s="33">
        <f>ROUND('Anexo 13'!X42*'Anexo 3'!$D$10,0)</f>
        <v>0</v>
      </c>
      <c r="Y42" s="33">
        <f>ROUND('Anexo 13'!Y42*'Anexo 3'!$D$10,0)</f>
        <v>0</v>
      </c>
      <c r="Z42" s="33">
        <f>ROUND('Anexo 13'!Z42*'Anexo 3'!$D$10,0)</f>
        <v>0</v>
      </c>
      <c r="AA42" s="31">
        <f t="shared" ref="AA42:AC42" si="1">+SUM(AA6:AA41)</f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862A-7CD6-49EB-BF2D-69CACAA52D36}">
  <sheetPr>
    <tabColor rgb="FF00B050"/>
  </sheetPr>
  <dimension ref="A1:XFD37"/>
  <sheetViews>
    <sheetView showGridLines="0" topLeftCell="A14" zoomScaleNormal="100" zoomScaleSheetLayoutView="140" workbookViewId="0">
      <selection activeCell="B8" sqref="B8:F22"/>
    </sheetView>
  </sheetViews>
  <sheetFormatPr baseColWidth="10" defaultColWidth="11.42578125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3" width="0" hidden="1" customWidth="1"/>
  </cols>
  <sheetData>
    <row r="1" spans="2:8 16384:16384" x14ac:dyDescent="0.25"/>
    <row r="2" spans="2:8 16384:16384" x14ac:dyDescent="0.25"/>
    <row r="3" spans="2:8 16384:16384" x14ac:dyDescent="0.25">
      <c r="B3" s="79" t="s">
        <v>60</v>
      </c>
      <c r="C3" s="79"/>
      <c r="D3" s="79"/>
      <c r="E3" s="79"/>
      <c r="F3" s="79"/>
      <c r="G3" s="29"/>
    </row>
    <row r="4" spans="2:8 16384:16384" x14ac:dyDescent="0.25">
      <c r="B4" s="79" t="s">
        <v>44</v>
      </c>
      <c r="C4" s="79"/>
      <c r="D4" s="79"/>
      <c r="E4" s="79"/>
      <c r="F4" s="79"/>
      <c r="G4" s="29"/>
    </row>
    <row r="5" spans="2:8 16384:16384" x14ac:dyDescent="0.25">
      <c r="B5" s="79" t="s">
        <v>89</v>
      </c>
      <c r="C5" s="79"/>
      <c r="D5" s="79"/>
      <c r="E5" s="79"/>
      <c r="F5" s="79"/>
      <c r="G5" s="29"/>
    </row>
    <row r="6" spans="2:8 16384:16384" x14ac:dyDescent="0.25">
      <c r="B6" s="5"/>
      <c r="C6" s="5"/>
      <c r="D6" s="5"/>
      <c r="E6" s="5"/>
      <c r="F6" s="5"/>
      <c r="G6" s="5"/>
    </row>
    <row r="7" spans="2:8 16384:16384" x14ac:dyDescent="0.25"/>
    <row r="8" spans="2:8 16384:16384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2:8 16384:16384" ht="23.25" customHeight="1" x14ac:dyDescent="0.25">
      <c r="B9" s="81"/>
      <c r="C9" s="81"/>
      <c r="D9" s="81"/>
      <c r="E9" s="81"/>
      <c r="F9" s="81"/>
      <c r="G9" s="28"/>
    </row>
    <row r="10" spans="2:8 16384:16384" ht="15.75" thickBot="1" x14ac:dyDescent="0.3">
      <c r="B10" s="8">
        <v>47119</v>
      </c>
      <c r="C10" s="43">
        <f>+'Anexo 14'!AC6</f>
        <v>22317395</v>
      </c>
      <c r="D10" s="76"/>
      <c r="E10" s="57">
        <f>+'Cantidades Ofertadas Prod 4'!AC6</f>
        <v>0</v>
      </c>
      <c r="F10" s="85"/>
      <c r="G10" s="32"/>
      <c r="H10" s="51"/>
      <c r="XFD10" s="48"/>
    </row>
    <row r="11" spans="2:8 16384:16384" ht="15.75" thickBot="1" x14ac:dyDescent="0.3">
      <c r="B11" s="8">
        <v>47150</v>
      </c>
      <c r="C11" s="43">
        <f>+'Anexo 14'!AC9</f>
        <v>20548992</v>
      </c>
      <c r="D11" s="77"/>
      <c r="E11" s="57">
        <f>+'Cantidades Ofertadas Prod 4'!AC9</f>
        <v>0</v>
      </c>
      <c r="F11" s="86"/>
      <c r="G11" s="32"/>
      <c r="H11" s="51"/>
      <c r="XFD11" s="48"/>
    </row>
    <row r="12" spans="2:8 16384:16384" ht="15.75" thickBot="1" x14ac:dyDescent="0.3">
      <c r="B12" s="8">
        <v>47178</v>
      </c>
      <c r="C12" s="43">
        <f>+'Anexo 14'!AC12</f>
        <v>22065556</v>
      </c>
      <c r="D12" s="77"/>
      <c r="E12" s="57">
        <f>+'Cantidades Ofertadas Prod 4'!AC12</f>
        <v>0</v>
      </c>
      <c r="F12" s="86"/>
      <c r="G12" s="32"/>
      <c r="H12" s="51"/>
      <c r="XFD12" s="48"/>
    </row>
    <row r="13" spans="2:8 16384:16384" ht="15.75" thickBot="1" x14ac:dyDescent="0.3">
      <c r="B13" s="8">
        <v>47209</v>
      </c>
      <c r="C13" s="43">
        <f>+'Anexo 14'!AC15</f>
        <v>20978333</v>
      </c>
      <c r="D13" s="77"/>
      <c r="E13" s="57">
        <f>+'Cantidades Ofertadas Prod 4'!AC15</f>
        <v>0</v>
      </c>
      <c r="F13" s="86"/>
      <c r="G13" s="32"/>
      <c r="H13" s="51"/>
      <c r="XFD13" s="48"/>
    </row>
    <row r="14" spans="2:8 16384:16384" ht="15.75" thickBot="1" x14ac:dyDescent="0.3">
      <c r="B14" s="8">
        <v>47239</v>
      </c>
      <c r="C14" s="43">
        <f>+'Anexo 14'!AC18</f>
        <v>21778059</v>
      </c>
      <c r="D14" s="77"/>
      <c r="E14" s="57">
        <f>+'Cantidades Ofertadas Prod 4'!AC18</f>
        <v>0</v>
      </c>
      <c r="F14" s="86"/>
      <c r="G14" s="32"/>
      <c r="H14" s="51"/>
      <c r="XFD14" s="48"/>
    </row>
    <row r="15" spans="2:8 16384:16384" ht="15.75" thickBot="1" x14ac:dyDescent="0.3">
      <c r="B15" s="8">
        <v>47270</v>
      </c>
      <c r="C15" s="43">
        <f>+'Anexo 14'!AC21</f>
        <v>21063761</v>
      </c>
      <c r="D15" s="77"/>
      <c r="E15" s="57">
        <f>+'Cantidades Ofertadas Prod 4'!AC21</f>
        <v>0</v>
      </c>
      <c r="F15" s="86"/>
      <c r="G15" s="32"/>
      <c r="H15" s="51"/>
      <c r="XFD15" s="48"/>
    </row>
    <row r="16" spans="2:8 16384:16384" ht="15.75" thickBot="1" x14ac:dyDescent="0.3">
      <c r="B16" s="8">
        <v>47300</v>
      </c>
      <c r="C16" s="43">
        <f>+'Anexo 14'!AC24</f>
        <v>22253660</v>
      </c>
      <c r="D16" s="77"/>
      <c r="E16" s="57">
        <f>+'Cantidades Ofertadas Prod 4'!AC24</f>
        <v>0</v>
      </c>
      <c r="F16" s="86"/>
      <c r="G16" s="32"/>
      <c r="H16" s="51"/>
      <c r="XFD16" s="48"/>
    </row>
    <row r="17" spans="2:8 16384:16384" ht="15.75" thickBot="1" x14ac:dyDescent="0.3">
      <c r="B17" s="8">
        <v>47331</v>
      </c>
      <c r="C17" s="43">
        <f>+'Anexo 14'!AC27</f>
        <v>22717830</v>
      </c>
      <c r="D17" s="77"/>
      <c r="E17" s="57">
        <f>+'Cantidades Ofertadas Prod 4'!AC27</f>
        <v>0</v>
      </c>
      <c r="F17" s="86"/>
      <c r="G17" s="32"/>
      <c r="H17" s="51"/>
      <c r="XFD17" s="48"/>
    </row>
    <row r="18" spans="2:8 16384:16384" ht="15.75" thickBot="1" x14ac:dyDescent="0.3">
      <c r="B18" s="8">
        <v>47362</v>
      </c>
      <c r="C18" s="43">
        <f>+'Anexo 14'!AC30</f>
        <v>22245115</v>
      </c>
      <c r="D18" s="77"/>
      <c r="E18" s="57">
        <f>+'Cantidades Ofertadas Prod 4'!AC30</f>
        <v>0</v>
      </c>
      <c r="F18" s="86"/>
      <c r="G18" s="32"/>
      <c r="H18" s="51"/>
      <c r="XFD18" s="48"/>
    </row>
    <row r="19" spans="2:8 16384:16384" ht="15.75" thickBot="1" x14ac:dyDescent="0.3">
      <c r="B19" s="8">
        <v>47392</v>
      </c>
      <c r="C19" s="43">
        <f>+'Anexo 14'!AC33</f>
        <v>22097350</v>
      </c>
      <c r="D19" s="77"/>
      <c r="E19" s="57">
        <f>+'Cantidades Ofertadas Prod 4'!AC33</f>
        <v>0</v>
      </c>
      <c r="F19" s="86"/>
      <c r="G19" s="32"/>
      <c r="H19" s="51"/>
      <c r="XFD19" s="48"/>
    </row>
    <row r="20" spans="2:8 16384:16384" ht="15.75" thickBot="1" x14ac:dyDescent="0.3">
      <c r="B20" s="8">
        <v>47423</v>
      </c>
      <c r="C20" s="43">
        <f>+'Anexo 14'!AC36</f>
        <v>20995396</v>
      </c>
      <c r="D20" s="77"/>
      <c r="E20" s="57">
        <f>+'Cantidades Ofertadas Prod 4'!AC36</f>
        <v>0</v>
      </c>
      <c r="F20" s="86"/>
      <c r="G20" s="32"/>
      <c r="H20" s="51"/>
      <c r="XFD20" s="48"/>
    </row>
    <row r="21" spans="2:8 16384:16384" ht="15.75" thickBot="1" x14ac:dyDescent="0.3">
      <c r="B21" s="8">
        <v>47453</v>
      </c>
      <c r="C21" s="44">
        <f>+'Anexo 14'!AC39</f>
        <v>22460362</v>
      </c>
      <c r="D21" s="78"/>
      <c r="E21" s="58">
        <f>+'Cantidades Ofertadas Prod 4'!AC39</f>
        <v>0</v>
      </c>
      <c r="F21" s="87"/>
      <c r="G21" s="32"/>
      <c r="H21" s="51"/>
      <c r="XFD21" s="48"/>
    </row>
    <row r="22" spans="2:8 16384:16384" ht="28.5" customHeight="1" x14ac:dyDescent="0.25">
      <c r="B22" s="9" t="s">
        <v>0</v>
      </c>
      <c r="C22" s="10">
        <f>+SUM(C10:C21)</f>
        <v>261521809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 16384:16384" ht="19.5" customHeight="1" x14ac:dyDescent="0.25">
      <c r="B23" s="7" t="s">
        <v>58</v>
      </c>
      <c r="C23" s="25"/>
      <c r="D23" s="30"/>
      <c r="E23" s="25"/>
      <c r="F23" s="26"/>
      <c r="G23" s="68"/>
      <c r="H23" s="42"/>
    </row>
    <row r="24" spans="2:8 16384:16384" ht="15" customHeight="1" x14ac:dyDescent="0.25">
      <c r="B24" s="72" t="s">
        <v>46</v>
      </c>
      <c r="C24" s="72"/>
      <c r="D24" s="72"/>
      <c r="E24" s="72"/>
      <c r="F24" s="72"/>
      <c r="G24" s="72"/>
      <c r="H24" s="42"/>
    </row>
    <row r="25" spans="2:8 16384:16384" x14ac:dyDescent="0.25">
      <c r="B25" s="7" t="s">
        <v>88</v>
      </c>
      <c r="C25" s="52"/>
      <c r="D25" s="52"/>
      <c r="E25" s="52"/>
      <c r="F25" s="52"/>
      <c r="G25" s="52"/>
      <c r="H25" s="42"/>
    </row>
    <row r="26" spans="2:8 16384:16384" x14ac:dyDescent="0.25">
      <c r="B26" s="7" t="s">
        <v>69</v>
      </c>
      <c r="C26" s="52"/>
      <c r="D26" s="52"/>
      <c r="E26" s="52"/>
      <c r="F26" s="52"/>
      <c r="G26" s="52"/>
      <c r="H26" s="42"/>
    </row>
    <row r="27" spans="2:8 16384:16384" x14ac:dyDescent="0.25">
      <c r="B27" s="7" t="s">
        <v>43</v>
      </c>
      <c r="H27" s="42"/>
    </row>
    <row r="28" spans="2:8 16384:16384" x14ac:dyDescent="0.25">
      <c r="B28" s="7" t="s">
        <v>133</v>
      </c>
      <c r="H28" s="42"/>
    </row>
    <row r="29" spans="2:8 16384:16384" x14ac:dyDescent="0.25">
      <c r="B29" s="7"/>
      <c r="C29" s="45"/>
      <c r="D29" s="26"/>
      <c r="E29" s="65"/>
      <c r="F29" s="26"/>
      <c r="G29" s="26"/>
      <c r="H29" s="42"/>
    </row>
    <row r="30" spans="2:8 16384:16384" x14ac:dyDescent="0.25">
      <c r="B30" s="7"/>
      <c r="C30" s="25"/>
      <c r="D30" s="26"/>
      <c r="E30" s="27"/>
      <c r="F30" s="26"/>
      <c r="G30" s="26"/>
      <c r="H30" s="42"/>
    </row>
    <row r="31" spans="2:8 16384:16384" x14ac:dyDescent="0.25">
      <c r="B31" s="7"/>
      <c r="C31" s="45"/>
      <c r="D31" s="26"/>
      <c r="E31" s="27"/>
      <c r="F31" s="26"/>
      <c r="G31" s="26"/>
      <c r="H31" s="42"/>
    </row>
    <row r="32" spans="2:8 16384:16384" x14ac:dyDescent="0.25">
      <c r="B32" s="7"/>
      <c r="C32" s="25"/>
      <c r="D32" s="26"/>
      <c r="E32" s="27"/>
      <c r="F32" s="26"/>
      <c r="G32" s="26"/>
      <c r="H32" s="42"/>
    </row>
    <row r="33" spans="1:8" x14ac:dyDescent="0.25">
      <c r="B33" s="60" t="s">
        <v>53</v>
      </c>
      <c r="C33" s="60"/>
      <c r="D33" s="60"/>
      <c r="E33" s="60"/>
      <c r="F33" s="26"/>
      <c r="G33" s="26"/>
      <c r="H33" s="42"/>
    </row>
    <row r="34" spans="1:8" x14ac:dyDescent="0.25">
      <c r="B34" s="61" t="s">
        <v>54</v>
      </c>
      <c r="C34" s="61"/>
      <c r="D34" s="61"/>
      <c r="E34" s="61"/>
      <c r="F34" s="26"/>
      <c r="G34" s="26"/>
      <c r="H34" s="42"/>
    </row>
    <row r="35" spans="1:8" x14ac:dyDescent="0.25">
      <c r="B35" s="61" t="s">
        <v>55</v>
      </c>
      <c r="F35" s="26"/>
      <c r="G35" s="26"/>
      <c r="H35" s="42"/>
    </row>
    <row r="36" spans="1:8" ht="15" customHeight="1" x14ac:dyDescent="0.25">
      <c r="A36" s="2"/>
      <c r="H36" s="42">
        <f t="shared" ref="H36:H37" si="0">+C36-G36</f>
        <v>0</v>
      </c>
    </row>
    <row r="37" spans="1:8" ht="15" hidden="1" customHeight="1" x14ac:dyDescent="0.25">
      <c r="A37" s="1"/>
      <c r="H37" s="42">
        <f t="shared" si="0"/>
        <v>0</v>
      </c>
    </row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XFD10:XFD21">
    <cfRule type="cellIs" dxfId="6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D8C692E0-0018-460E-88FE-104E424B83B1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E47-61B8-4D1B-A16E-E5952644AE10}">
  <sheetPr>
    <tabColor rgb="FF00B050"/>
  </sheetPr>
  <dimension ref="A1:XFC34"/>
  <sheetViews>
    <sheetView showGridLines="0" topLeftCell="A7" zoomScaleNormal="100" zoomScaleSheetLayoutView="140" workbookViewId="0">
      <selection activeCell="D10" sqref="D10:D21"/>
    </sheetView>
  </sheetViews>
  <sheetFormatPr baseColWidth="10" defaultColWidth="0" defaultRowHeight="15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9" t="s">
        <v>71</v>
      </c>
      <c r="C3" s="79"/>
      <c r="D3" s="79"/>
      <c r="E3" s="79"/>
      <c r="F3" s="79"/>
      <c r="G3" s="29"/>
    </row>
    <row r="4" spans="1:8" x14ac:dyDescent="0.25">
      <c r="B4" s="79" t="s">
        <v>44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29854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47119</v>
      </c>
      <c r="C10" s="43">
        <f>+$A$9*A10*24</f>
        <v>22211376</v>
      </c>
      <c r="D10" s="82"/>
      <c r="E10" s="57">
        <f>+$D$10*A10*24</f>
        <v>0</v>
      </c>
      <c r="F10" s="85"/>
      <c r="G10" s="32"/>
      <c r="H10" s="51"/>
    </row>
    <row r="11" spans="1:8" ht="15.75" thickBot="1" x14ac:dyDescent="0.3">
      <c r="A11" s="59">
        <v>28</v>
      </c>
      <c r="B11" s="8">
        <v>47150</v>
      </c>
      <c r="C11" s="43">
        <f t="shared" ref="C11:C21" si="0">+$A$9*A11*24</f>
        <v>20061888</v>
      </c>
      <c r="D11" s="83"/>
      <c r="E11" s="57">
        <f t="shared" ref="E11:E21" si="1">+$D$10*A11*24</f>
        <v>0</v>
      </c>
      <c r="F11" s="86"/>
      <c r="G11" s="32"/>
      <c r="H11" s="51"/>
    </row>
    <row r="12" spans="1:8" ht="15.75" thickBot="1" x14ac:dyDescent="0.3">
      <c r="A12" s="59">
        <v>31</v>
      </c>
      <c r="B12" s="8">
        <v>47178</v>
      </c>
      <c r="C12" s="43">
        <f t="shared" si="0"/>
        <v>22211376</v>
      </c>
      <c r="D12" s="83"/>
      <c r="E12" s="57">
        <f t="shared" si="1"/>
        <v>0</v>
      </c>
      <c r="F12" s="86"/>
      <c r="G12" s="32"/>
      <c r="H12" s="51"/>
    </row>
    <row r="13" spans="1:8" ht="15.75" thickBot="1" x14ac:dyDescent="0.3">
      <c r="A13" s="59">
        <v>30</v>
      </c>
      <c r="B13" s="8">
        <v>47209</v>
      </c>
      <c r="C13" s="43">
        <f t="shared" si="0"/>
        <v>21494880</v>
      </c>
      <c r="D13" s="83"/>
      <c r="E13" s="57">
        <f t="shared" si="1"/>
        <v>0</v>
      </c>
      <c r="F13" s="86"/>
      <c r="G13" s="32"/>
      <c r="H13" s="51"/>
    </row>
    <row r="14" spans="1:8" ht="15.75" thickBot="1" x14ac:dyDescent="0.3">
      <c r="A14" s="59">
        <v>31</v>
      </c>
      <c r="B14" s="8">
        <v>47239</v>
      </c>
      <c r="C14" s="43">
        <f t="shared" si="0"/>
        <v>22211376</v>
      </c>
      <c r="D14" s="83"/>
      <c r="E14" s="57">
        <f t="shared" si="1"/>
        <v>0</v>
      </c>
      <c r="F14" s="86"/>
      <c r="G14" s="32"/>
      <c r="H14" s="51"/>
    </row>
    <row r="15" spans="1:8" ht="15.75" thickBot="1" x14ac:dyDescent="0.3">
      <c r="A15" s="59">
        <v>30</v>
      </c>
      <c r="B15" s="8">
        <v>47270</v>
      </c>
      <c r="C15" s="43">
        <f t="shared" si="0"/>
        <v>21494880</v>
      </c>
      <c r="D15" s="83"/>
      <c r="E15" s="57">
        <f t="shared" si="1"/>
        <v>0</v>
      </c>
      <c r="F15" s="86"/>
      <c r="G15" s="32"/>
      <c r="H15" s="51"/>
    </row>
    <row r="16" spans="1:8" ht="15.75" thickBot="1" x14ac:dyDescent="0.3">
      <c r="A16" s="59">
        <v>31</v>
      </c>
      <c r="B16" s="8">
        <v>47300</v>
      </c>
      <c r="C16" s="43">
        <f t="shared" si="0"/>
        <v>22211376</v>
      </c>
      <c r="D16" s="83"/>
      <c r="E16" s="57">
        <f t="shared" si="1"/>
        <v>0</v>
      </c>
      <c r="F16" s="86"/>
      <c r="G16" s="32"/>
      <c r="H16" s="51"/>
    </row>
    <row r="17" spans="1:8" ht="15.75" thickBot="1" x14ac:dyDescent="0.3">
      <c r="A17" s="59">
        <v>31</v>
      </c>
      <c r="B17" s="8">
        <v>47331</v>
      </c>
      <c r="C17" s="43">
        <f t="shared" si="0"/>
        <v>22211376</v>
      </c>
      <c r="D17" s="83"/>
      <c r="E17" s="57">
        <f t="shared" si="1"/>
        <v>0</v>
      </c>
      <c r="F17" s="86"/>
      <c r="G17" s="32"/>
      <c r="H17" s="51"/>
    </row>
    <row r="18" spans="1:8" ht="15.75" thickBot="1" x14ac:dyDescent="0.3">
      <c r="A18" s="59">
        <v>30</v>
      </c>
      <c r="B18" s="8">
        <v>47362</v>
      </c>
      <c r="C18" s="43">
        <f t="shared" si="0"/>
        <v>21494880</v>
      </c>
      <c r="D18" s="83"/>
      <c r="E18" s="57">
        <f t="shared" si="1"/>
        <v>0</v>
      </c>
      <c r="F18" s="86"/>
      <c r="G18" s="32"/>
      <c r="H18" s="51"/>
    </row>
    <row r="19" spans="1:8" ht="15.75" thickBot="1" x14ac:dyDescent="0.3">
      <c r="A19" s="59">
        <v>31</v>
      </c>
      <c r="B19" s="8">
        <v>47392</v>
      </c>
      <c r="C19" s="43">
        <f t="shared" si="0"/>
        <v>22211376</v>
      </c>
      <c r="D19" s="83"/>
      <c r="E19" s="57">
        <f t="shared" si="1"/>
        <v>0</v>
      </c>
      <c r="F19" s="86"/>
      <c r="G19" s="32"/>
      <c r="H19" s="45"/>
    </row>
    <row r="20" spans="1:8" ht="15.75" thickBot="1" x14ac:dyDescent="0.3">
      <c r="A20" s="59">
        <v>30</v>
      </c>
      <c r="B20" s="8">
        <v>47423</v>
      </c>
      <c r="C20" s="43">
        <f t="shared" si="0"/>
        <v>21494880</v>
      </c>
      <c r="D20" s="83"/>
      <c r="E20" s="57">
        <f t="shared" si="1"/>
        <v>0</v>
      </c>
      <c r="F20" s="86"/>
      <c r="G20" s="32"/>
      <c r="H20" s="45"/>
    </row>
    <row r="21" spans="1:8" ht="15.75" thickBot="1" x14ac:dyDescent="0.3">
      <c r="A21" s="59">
        <v>31</v>
      </c>
      <c r="B21" s="8">
        <v>47453</v>
      </c>
      <c r="C21" s="43">
        <f t="shared" si="0"/>
        <v>22211376</v>
      </c>
      <c r="D21" s="84"/>
      <c r="E21" s="57">
        <f t="shared" si="1"/>
        <v>0</v>
      </c>
      <c r="F21" s="87"/>
      <c r="G21" s="32"/>
      <c r="H21" s="45"/>
    </row>
    <row r="22" spans="1:8" ht="28.5" customHeight="1" x14ac:dyDescent="0.25">
      <c r="B22" s="9" t="s">
        <v>0</v>
      </c>
      <c r="C22" s="10">
        <f>+SUM(C10:C21)</f>
        <v>261521040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134</v>
      </c>
      <c r="C24" s="7"/>
      <c r="D24" s="7"/>
      <c r="E24" s="7"/>
      <c r="F24" s="7"/>
      <c r="G24" s="7"/>
      <c r="H24" s="42"/>
    </row>
    <row r="25" spans="1:8" x14ac:dyDescent="0.25">
      <c r="B25" s="7" t="s">
        <v>43</v>
      </c>
      <c r="H25" s="42"/>
    </row>
    <row r="26" spans="1:8" ht="33" customHeight="1" x14ac:dyDescent="0.25">
      <c r="B26" s="72" t="s">
        <v>68</v>
      </c>
      <c r="C26" s="72"/>
      <c r="D26" s="72"/>
      <c r="E26" s="72"/>
      <c r="F26" s="72"/>
      <c r="G26" s="72"/>
      <c r="H26" s="42"/>
    </row>
    <row r="27" spans="1:8" x14ac:dyDescent="0.25">
      <c r="B27" s="7"/>
      <c r="C27" s="69"/>
      <c r="D27" s="54"/>
      <c r="E27" s="54"/>
      <c r="F27" s="54"/>
      <c r="G27" s="54"/>
      <c r="H27" s="42"/>
    </row>
    <row r="28" spans="1:8" x14ac:dyDescent="0.25">
      <c r="B28" s="7"/>
      <c r="C28" s="54"/>
      <c r="D28" s="54"/>
      <c r="E28" s="54"/>
      <c r="F28" s="54"/>
      <c r="G28" s="54"/>
      <c r="H28" s="42"/>
    </row>
    <row r="29" spans="1:8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53</v>
      </c>
      <c r="H31" s="42"/>
    </row>
    <row r="32" spans="1:8" ht="15" customHeight="1" x14ac:dyDescent="0.25">
      <c r="A32" s="1"/>
      <c r="B32" s="61" t="s">
        <v>54</v>
      </c>
      <c r="H32" s="42"/>
    </row>
    <row r="33" spans="2:2" x14ac:dyDescent="0.25">
      <c r="B33" s="61" t="s">
        <v>55</v>
      </c>
    </row>
    <row r="34" spans="2:2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9.854" prompt="debe ofertar maximo 29.854 kWh" sqref="D10:D21" xr:uid="{54374CE8-F01F-4EB6-84CC-ED41C96441A1}">
      <formula1>0</formula1>
      <formula2>29854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055-D181-49D7-B7D8-A176D06E368D}">
  <sheetPr>
    <tabColor rgb="FF00B050"/>
  </sheetPr>
  <dimension ref="A1:AD46"/>
  <sheetViews>
    <sheetView showGridLines="0" zoomScale="115" zoomScaleNormal="115" zoomScaleSheetLayoutView="110" workbookViewId="0">
      <pane xSplit="2" ySplit="5" topLeftCell="N30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7" width="8" bestFit="1" customWidth="1"/>
    <col min="8" max="8" width="7.7109375" bestFit="1" customWidth="1"/>
    <col min="9" max="9" width="8" bestFit="1" customWidth="1"/>
    <col min="10" max="10" width="7.7109375" bestFit="1" customWidth="1"/>
    <col min="11" max="11" width="8.7109375" bestFit="1" customWidth="1"/>
    <col min="12" max="12" width="9" bestFit="1" customWidth="1"/>
    <col min="13" max="15" width="8.7109375" bestFit="1" customWidth="1"/>
    <col min="16" max="16" width="8.42578125" bestFit="1" customWidth="1"/>
    <col min="17" max="20" width="8.7109375" bestFit="1" customWidth="1"/>
    <col min="21" max="24" width="9" bestFit="1" customWidth="1"/>
    <col min="25" max="25" width="8.7109375" bestFit="1" customWidth="1"/>
    <col min="26" max="26" width="8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62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47119</v>
      </c>
      <c r="B6" s="18" t="s">
        <v>5</v>
      </c>
      <c r="C6" s="33">
        <v>24229</v>
      </c>
      <c r="D6" s="33">
        <v>22829</v>
      </c>
      <c r="E6" s="33">
        <v>21986</v>
      </c>
      <c r="F6" s="33">
        <v>21551</v>
      </c>
      <c r="G6" s="33">
        <v>21852</v>
      </c>
      <c r="H6" s="33">
        <v>23154</v>
      </c>
      <c r="I6" s="33">
        <v>24391</v>
      </c>
      <c r="J6" s="33">
        <v>26708</v>
      </c>
      <c r="K6" s="33">
        <v>29314</v>
      </c>
      <c r="L6" s="33">
        <v>31288</v>
      </c>
      <c r="M6" s="33">
        <v>33298</v>
      </c>
      <c r="N6" s="33">
        <v>35194</v>
      </c>
      <c r="O6" s="33">
        <v>34872</v>
      </c>
      <c r="P6" s="33">
        <v>34914</v>
      </c>
      <c r="Q6" s="33">
        <v>35496</v>
      </c>
      <c r="R6" s="33">
        <v>35607</v>
      </c>
      <c r="S6" s="33">
        <v>35199</v>
      </c>
      <c r="T6" s="33">
        <v>34437</v>
      </c>
      <c r="U6" s="33">
        <v>36968</v>
      </c>
      <c r="V6" s="33">
        <v>39076</v>
      </c>
      <c r="W6" s="33">
        <v>37659</v>
      </c>
      <c r="X6" s="33">
        <v>35173</v>
      </c>
      <c r="Y6" s="33">
        <v>31179</v>
      </c>
      <c r="Z6" s="34">
        <v>27145</v>
      </c>
      <c r="AA6" s="35">
        <f>SUM(C6:Z6)</f>
        <v>733519</v>
      </c>
      <c r="AB6" s="19">
        <v>21</v>
      </c>
      <c r="AC6" s="100">
        <f>+AA6*AB6+AA7*AB7+AA8*AB8</f>
        <v>22317395</v>
      </c>
    </row>
    <row r="7" spans="1:30" ht="15.75" thickBot="1" x14ac:dyDescent="0.3">
      <c r="A7" s="99"/>
      <c r="B7" s="20" t="s">
        <v>4</v>
      </c>
      <c r="C7" s="36">
        <v>24814</v>
      </c>
      <c r="D7" s="36">
        <v>23232</v>
      </c>
      <c r="E7" s="36">
        <v>22267</v>
      </c>
      <c r="F7" s="36">
        <v>21659</v>
      </c>
      <c r="G7" s="36">
        <v>21678</v>
      </c>
      <c r="H7" s="36">
        <v>22406</v>
      </c>
      <c r="I7" s="36">
        <v>23255</v>
      </c>
      <c r="J7" s="36">
        <v>25611</v>
      </c>
      <c r="K7" s="36">
        <v>28523</v>
      </c>
      <c r="L7" s="36">
        <v>30722</v>
      </c>
      <c r="M7" s="36">
        <v>32369</v>
      </c>
      <c r="N7" s="36">
        <v>33998</v>
      </c>
      <c r="O7" s="36">
        <v>34175</v>
      </c>
      <c r="P7" s="36">
        <v>33839</v>
      </c>
      <c r="Q7" s="36">
        <v>33471</v>
      </c>
      <c r="R7" s="36">
        <v>33292</v>
      </c>
      <c r="S7" s="36">
        <v>33041</v>
      </c>
      <c r="T7" s="36">
        <v>33009</v>
      </c>
      <c r="U7" s="36">
        <v>36182</v>
      </c>
      <c r="V7" s="36">
        <v>38442</v>
      </c>
      <c r="W7" s="36">
        <v>36896</v>
      </c>
      <c r="X7" s="36">
        <v>34592</v>
      </c>
      <c r="Y7" s="36">
        <v>31323</v>
      </c>
      <c r="Z7" s="37">
        <v>28047</v>
      </c>
      <c r="AA7" s="38">
        <f t="shared" ref="AA7:AA41" si="0">SUM(C7:Z7)</f>
        <v>716843</v>
      </c>
      <c r="AB7" s="21">
        <v>4</v>
      </c>
      <c r="AC7" s="101"/>
      <c r="AD7" s="47"/>
    </row>
    <row r="8" spans="1:30" ht="15" x14ac:dyDescent="0.25">
      <c r="A8" s="99"/>
      <c r="B8" s="22" t="s">
        <v>3</v>
      </c>
      <c r="C8" s="39">
        <v>26013</v>
      </c>
      <c r="D8" s="39">
        <v>24304</v>
      </c>
      <c r="E8" s="39">
        <v>23171</v>
      </c>
      <c r="F8" s="39">
        <v>22371</v>
      </c>
      <c r="G8" s="39">
        <v>21981</v>
      </c>
      <c r="H8" s="39">
        <v>22134</v>
      </c>
      <c r="I8" s="39">
        <v>21917</v>
      </c>
      <c r="J8" s="39">
        <v>23211</v>
      </c>
      <c r="K8" s="39">
        <v>25428</v>
      </c>
      <c r="L8" s="39">
        <v>27381</v>
      </c>
      <c r="M8" s="39">
        <v>28822</v>
      </c>
      <c r="N8" s="39">
        <v>30322</v>
      </c>
      <c r="O8" s="39">
        <v>31211</v>
      </c>
      <c r="P8" s="39">
        <v>31105</v>
      </c>
      <c r="Q8" s="39">
        <v>30540</v>
      </c>
      <c r="R8" s="39">
        <v>30215</v>
      </c>
      <c r="S8" s="39">
        <v>30051</v>
      </c>
      <c r="T8" s="39">
        <v>30214</v>
      </c>
      <c r="U8" s="39">
        <v>33675</v>
      </c>
      <c r="V8" s="39">
        <v>36146</v>
      </c>
      <c r="W8" s="39">
        <v>35138</v>
      </c>
      <c r="X8" s="39">
        <v>32984</v>
      </c>
      <c r="Y8" s="39">
        <v>29662</v>
      </c>
      <c r="Z8" s="40">
        <v>26358</v>
      </c>
      <c r="AA8" s="41">
        <f t="shared" si="0"/>
        <v>674354</v>
      </c>
      <c r="AB8" s="23">
        <v>6</v>
      </c>
      <c r="AC8" s="102"/>
      <c r="AD8" s="48"/>
    </row>
    <row r="9" spans="1:30" ht="15.75" thickBot="1" x14ac:dyDescent="0.3">
      <c r="A9" s="99">
        <v>47150</v>
      </c>
      <c r="B9" s="18" t="s">
        <v>5</v>
      </c>
      <c r="C9" s="33">
        <v>24371</v>
      </c>
      <c r="D9" s="33">
        <v>23024</v>
      </c>
      <c r="E9" s="33">
        <v>22249</v>
      </c>
      <c r="F9" s="33">
        <v>21868</v>
      </c>
      <c r="G9" s="33">
        <v>22309</v>
      </c>
      <c r="H9" s="33">
        <v>24329</v>
      </c>
      <c r="I9" s="33">
        <v>25938</v>
      </c>
      <c r="J9" s="33">
        <v>27686</v>
      </c>
      <c r="K9" s="33">
        <v>30004</v>
      </c>
      <c r="L9" s="33">
        <v>31742</v>
      </c>
      <c r="M9" s="33">
        <v>33640</v>
      </c>
      <c r="N9" s="33">
        <v>35399</v>
      </c>
      <c r="O9" s="33">
        <v>34692</v>
      </c>
      <c r="P9" s="33">
        <v>34961</v>
      </c>
      <c r="Q9" s="33">
        <v>35778</v>
      </c>
      <c r="R9" s="33">
        <v>35925</v>
      </c>
      <c r="S9" s="33">
        <v>35524</v>
      </c>
      <c r="T9" s="33">
        <v>34597</v>
      </c>
      <c r="U9" s="33">
        <v>36528</v>
      </c>
      <c r="V9" s="33">
        <v>39294</v>
      </c>
      <c r="W9" s="33">
        <v>37931</v>
      </c>
      <c r="X9" s="33">
        <v>35329</v>
      </c>
      <c r="Y9" s="33">
        <v>31224</v>
      </c>
      <c r="Z9" s="34">
        <v>27139</v>
      </c>
      <c r="AA9" s="35">
        <f t="shared" si="0"/>
        <v>741481</v>
      </c>
      <c r="AB9" s="19">
        <v>20</v>
      </c>
      <c r="AC9" s="100">
        <f>+AA9*AB9+AA10*AB10+AA11*AB11</f>
        <v>20548992</v>
      </c>
    </row>
    <row r="10" spans="1:30" ht="15.75" thickBot="1" x14ac:dyDescent="0.3">
      <c r="A10" s="99"/>
      <c r="B10" s="20" t="s">
        <v>4</v>
      </c>
      <c r="C10" s="36">
        <v>25273</v>
      </c>
      <c r="D10" s="36">
        <v>23779</v>
      </c>
      <c r="E10" s="36">
        <v>22818</v>
      </c>
      <c r="F10" s="36">
        <v>22267</v>
      </c>
      <c r="G10" s="36">
        <v>22332</v>
      </c>
      <c r="H10" s="36">
        <v>23115</v>
      </c>
      <c r="I10" s="36">
        <v>24368</v>
      </c>
      <c r="J10" s="36">
        <v>26722</v>
      </c>
      <c r="K10" s="36">
        <v>29748</v>
      </c>
      <c r="L10" s="36">
        <v>31855</v>
      </c>
      <c r="M10" s="36">
        <v>33530</v>
      </c>
      <c r="N10" s="36">
        <v>35156</v>
      </c>
      <c r="O10" s="36">
        <v>35201</v>
      </c>
      <c r="P10" s="36">
        <v>34750</v>
      </c>
      <c r="Q10" s="36">
        <v>34364</v>
      </c>
      <c r="R10" s="36">
        <v>34152</v>
      </c>
      <c r="S10" s="36">
        <v>33862</v>
      </c>
      <c r="T10" s="36">
        <v>33756</v>
      </c>
      <c r="U10" s="36">
        <v>36322</v>
      </c>
      <c r="V10" s="36">
        <v>39104</v>
      </c>
      <c r="W10" s="36">
        <v>37572</v>
      </c>
      <c r="X10" s="36">
        <v>35396</v>
      </c>
      <c r="Y10" s="36">
        <v>32285</v>
      </c>
      <c r="Z10" s="37">
        <v>28829</v>
      </c>
      <c r="AA10" s="38">
        <f t="shared" si="0"/>
        <v>736556</v>
      </c>
      <c r="AB10" s="21">
        <v>4</v>
      </c>
      <c r="AC10" s="101"/>
      <c r="AD10" s="47"/>
    </row>
    <row r="11" spans="1:30" ht="15" x14ac:dyDescent="0.25">
      <c r="A11" s="99"/>
      <c r="B11" s="22" t="s">
        <v>3</v>
      </c>
      <c r="C11" s="39">
        <v>26249</v>
      </c>
      <c r="D11" s="39">
        <v>24554</v>
      </c>
      <c r="E11" s="39">
        <v>23520</v>
      </c>
      <c r="F11" s="39">
        <v>22744</v>
      </c>
      <c r="G11" s="39">
        <v>22496</v>
      </c>
      <c r="H11" s="39">
        <v>22729</v>
      </c>
      <c r="I11" s="39">
        <v>22914</v>
      </c>
      <c r="J11" s="39">
        <v>24433</v>
      </c>
      <c r="K11" s="39">
        <v>26863</v>
      </c>
      <c r="L11" s="39">
        <v>28853</v>
      </c>
      <c r="M11" s="39">
        <v>30172</v>
      </c>
      <c r="N11" s="39">
        <v>31597</v>
      </c>
      <c r="O11" s="39">
        <v>32396</v>
      </c>
      <c r="P11" s="39">
        <v>32135</v>
      </c>
      <c r="Q11" s="39">
        <v>31499</v>
      </c>
      <c r="R11" s="39">
        <v>31113</v>
      </c>
      <c r="S11" s="39">
        <v>30919</v>
      </c>
      <c r="T11" s="39">
        <v>31082</v>
      </c>
      <c r="U11" s="39">
        <v>33842</v>
      </c>
      <c r="V11" s="39">
        <v>36914</v>
      </c>
      <c r="W11" s="39">
        <v>35977</v>
      </c>
      <c r="X11" s="39">
        <v>33744</v>
      </c>
      <c r="Y11" s="39">
        <v>30078</v>
      </c>
      <c r="Z11" s="40">
        <v>26464</v>
      </c>
      <c r="AA11" s="41">
        <f t="shared" si="0"/>
        <v>693287</v>
      </c>
      <c r="AB11" s="23">
        <v>4</v>
      </c>
      <c r="AC11" s="102"/>
      <c r="AD11" s="48"/>
    </row>
    <row r="12" spans="1:30" ht="15.75" thickBot="1" x14ac:dyDescent="0.3">
      <c r="A12" s="99">
        <v>47178</v>
      </c>
      <c r="B12" s="18" t="s">
        <v>5</v>
      </c>
      <c r="C12" s="33">
        <v>23853</v>
      </c>
      <c r="D12" s="33">
        <v>22563</v>
      </c>
      <c r="E12" s="33">
        <v>21849</v>
      </c>
      <c r="F12" s="33">
        <v>21491</v>
      </c>
      <c r="G12" s="33">
        <v>21966</v>
      </c>
      <c r="H12" s="33">
        <v>23946</v>
      </c>
      <c r="I12" s="33">
        <v>25334</v>
      </c>
      <c r="J12" s="33">
        <v>27268</v>
      </c>
      <c r="K12" s="33">
        <v>29494</v>
      </c>
      <c r="L12" s="33">
        <v>31163</v>
      </c>
      <c r="M12" s="33">
        <v>32940</v>
      </c>
      <c r="N12" s="33">
        <v>34543</v>
      </c>
      <c r="O12" s="33">
        <v>33904</v>
      </c>
      <c r="P12" s="33">
        <v>34045</v>
      </c>
      <c r="Q12" s="33">
        <v>34748</v>
      </c>
      <c r="R12" s="33">
        <v>34862</v>
      </c>
      <c r="S12" s="33">
        <v>34557</v>
      </c>
      <c r="T12" s="33">
        <v>33904</v>
      </c>
      <c r="U12" s="33">
        <v>36315</v>
      </c>
      <c r="V12" s="33">
        <v>38674</v>
      </c>
      <c r="W12" s="33">
        <v>37269</v>
      </c>
      <c r="X12" s="33">
        <v>34623</v>
      </c>
      <c r="Y12" s="33">
        <v>30600</v>
      </c>
      <c r="Z12" s="34">
        <v>26628</v>
      </c>
      <c r="AA12" s="35">
        <f t="shared" si="0"/>
        <v>726539</v>
      </c>
      <c r="AB12" s="19">
        <v>19</v>
      </c>
      <c r="AC12" s="100">
        <f>+AA12*AB12+AA13*AB13+AA14*AB14</f>
        <v>22065556</v>
      </c>
    </row>
    <row r="13" spans="1:30" ht="15.75" thickBot="1" x14ac:dyDescent="0.3">
      <c r="A13" s="99"/>
      <c r="B13" s="20" t="s">
        <v>4</v>
      </c>
      <c r="C13" s="36">
        <v>24605</v>
      </c>
      <c r="D13" s="36">
        <v>23115</v>
      </c>
      <c r="E13" s="36">
        <v>22323</v>
      </c>
      <c r="F13" s="36">
        <v>21870</v>
      </c>
      <c r="G13" s="36">
        <v>21897</v>
      </c>
      <c r="H13" s="36">
        <v>22728</v>
      </c>
      <c r="I13" s="36">
        <v>23453</v>
      </c>
      <c r="J13" s="36">
        <v>26035</v>
      </c>
      <c r="K13" s="36">
        <v>28843</v>
      </c>
      <c r="L13" s="36">
        <v>30877</v>
      </c>
      <c r="M13" s="36">
        <v>32493</v>
      </c>
      <c r="N13" s="36">
        <v>33840</v>
      </c>
      <c r="O13" s="36">
        <v>33813</v>
      </c>
      <c r="P13" s="36">
        <v>33333</v>
      </c>
      <c r="Q13" s="36">
        <v>32974</v>
      </c>
      <c r="R13" s="36">
        <v>32704</v>
      </c>
      <c r="S13" s="36">
        <v>32353</v>
      </c>
      <c r="T13" s="36">
        <v>32377</v>
      </c>
      <c r="U13" s="36">
        <v>35306</v>
      </c>
      <c r="V13" s="36">
        <v>37531</v>
      </c>
      <c r="W13" s="36">
        <v>36077</v>
      </c>
      <c r="X13" s="36">
        <v>33996</v>
      </c>
      <c r="Y13" s="36">
        <v>30901</v>
      </c>
      <c r="Z13" s="37">
        <v>27774</v>
      </c>
      <c r="AA13" s="38">
        <f t="shared" si="0"/>
        <v>711218</v>
      </c>
      <c r="AB13" s="21">
        <v>5</v>
      </c>
      <c r="AC13" s="101"/>
      <c r="AD13" s="47"/>
    </row>
    <row r="14" spans="1:30" ht="15" x14ac:dyDescent="0.25">
      <c r="A14" s="99"/>
      <c r="B14" s="22" t="s">
        <v>3</v>
      </c>
      <c r="C14" s="39">
        <v>25357</v>
      </c>
      <c r="D14" s="39">
        <v>23717</v>
      </c>
      <c r="E14" s="39">
        <v>22753</v>
      </c>
      <c r="F14" s="39">
        <v>22099</v>
      </c>
      <c r="G14" s="39">
        <v>21827</v>
      </c>
      <c r="H14" s="39">
        <v>22149</v>
      </c>
      <c r="I14" s="39">
        <v>22068</v>
      </c>
      <c r="J14" s="39">
        <v>23708</v>
      </c>
      <c r="K14" s="39">
        <v>25942</v>
      </c>
      <c r="L14" s="39">
        <v>27743</v>
      </c>
      <c r="M14" s="39">
        <v>28999</v>
      </c>
      <c r="N14" s="39">
        <v>30426</v>
      </c>
      <c r="O14" s="39">
        <v>31276</v>
      </c>
      <c r="P14" s="39">
        <v>31038</v>
      </c>
      <c r="Q14" s="39">
        <v>30386</v>
      </c>
      <c r="R14" s="39">
        <v>30095</v>
      </c>
      <c r="S14" s="39">
        <v>29906</v>
      </c>
      <c r="T14" s="39">
        <v>30140</v>
      </c>
      <c r="U14" s="39">
        <v>33302</v>
      </c>
      <c r="V14" s="39">
        <v>35924</v>
      </c>
      <c r="W14" s="39">
        <v>34913</v>
      </c>
      <c r="X14" s="39">
        <v>32820</v>
      </c>
      <c r="Y14" s="39">
        <v>29416</v>
      </c>
      <c r="Z14" s="40">
        <v>26171</v>
      </c>
      <c r="AA14" s="41">
        <f t="shared" si="0"/>
        <v>672175</v>
      </c>
      <c r="AB14" s="23">
        <v>7</v>
      </c>
      <c r="AC14" s="102"/>
      <c r="AD14" s="45"/>
    </row>
    <row r="15" spans="1:30" ht="15.75" thickBot="1" x14ac:dyDescent="0.3">
      <c r="A15" s="99">
        <v>47209</v>
      </c>
      <c r="B15" s="18" t="s">
        <v>5</v>
      </c>
      <c r="C15" s="33">
        <v>23303</v>
      </c>
      <c r="D15" s="33">
        <v>22068</v>
      </c>
      <c r="E15" s="33">
        <v>21325</v>
      </c>
      <c r="F15" s="33">
        <v>20980</v>
      </c>
      <c r="G15" s="33">
        <v>21416</v>
      </c>
      <c r="H15" s="33">
        <v>23014</v>
      </c>
      <c r="I15" s="33">
        <v>24190</v>
      </c>
      <c r="J15" s="33">
        <v>26321</v>
      </c>
      <c r="K15" s="33">
        <v>28547</v>
      </c>
      <c r="L15" s="33">
        <v>30291</v>
      </c>
      <c r="M15" s="33">
        <v>32131</v>
      </c>
      <c r="N15" s="33">
        <v>33799</v>
      </c>
      <c r="O15" s="33">
        <v>33203</v>
      </c>
      <c r="P15" s="33">
        <v>33356</v>
      </c>
      <c r="Q15" s="33">
        <v>34016</v>
      </c>
      <c r="R15" s="33">
        <v>34084</v>
      </c>
      <c r="S15" s="33">
        <v>33741</v>
      </c>
      <c r="T15" s="33">
        <v>33242</v>
      </c>
      <c r="U15" s="33">
        <v>36144</v>
      </c>
      <c r="V15" s="33">
        <v>37870</v>
      </c>
      <c r="W15" s="33">
        <v>36537</v>
      </c>
      <c r="X15" s="33">
        <v>33866</v>
      </c>
      <c r="Y15" s="33">
        <v>29823</v>
      </c>
      <c r="Z15" s="34">
        <v>25956</v>
      </c>
      <c r="AA15" s="35">
        <f t="shared" si="0"/>
        <v>709223</v>
      </c>
      <c r="AB15" s="19">
        <v>21</v>
      </c>
      <c r="AC15" s="100">
        <f>+AA15*AB15+AA16*AB16+AA17*AB17</f>
        <v>20978333</v>
      </c>
    </row>
    <row r="16" spans="1:30" ht="15.75" thickBot="1" x14ac:dyDescent="0.3">
      <c r="A16" s="99"/>
      <c r="B16" s="20" t="s">
        <v>4</v>
      </c>
      <c r="C16" s="36">
        <v>23800</v>
      </c>
      <c r="D16" s="36">
        <v>22390</v>
      </c>
      <c r="E16" s="36">
        <v>21484</v>
      </c>
      <c r="F16" s="36">
        <v>20949</v>
      </c>
      <c r="G16" s="36">
        <v>21047</v>
      </c>
      <c r="H16" s="36">
        <v>21651</v>
      </c>
      <c r="I16" s="36">
        <v>22412</v>
      </c>
      <c r="J16" s="36">
        <v>25107</v>
      </c>
      <c r="K16" s="36">
        <v>27871</v>
      </c>
      <c r="L16" s="36">
        <v>29969</v>
      </c>
      <c r="M16" s="36">
        <v>31485</v>
      </c>
      <c r="N16" s="36">
        <v>33204</v>
      </c>
      <c r="O16" s="36">
        <v>33310</v>
      </c>
      <c r="P16" s="36">
        <v>32909</v>
      </c>
      <c r="Q16" s="36">
        <v>32545</v>
      </c>
      <c r="R16" s="36">
        <v>32294</v>
      </c>
      <c r="S16" s="36">
        <v>32202</v>
      </c>
      <c r="T16" s="36">
        <v>32357</v>
      </c>
      <c r="U16" s="36">
        <v>35657</v>
      </c>
      <c r="V16" s="36">
        <v>37483</v>
      </c>
      <c r="W16" s="36">
        <v>35948</v>
      </c>
      <c r="X16" s="36">
        <v>33722</v>
      </c>
      <c r="Y16" s="36">
        <v>30587</v>
      </c>
      <c r="Z16" s="37">
        <v>27387</v>
      </c>
      <c r="AA16" s="38">
        <f t="shared" si="0"/>
        <v>697770</v>
      </c>
      <c r="AB16" s="21">
        <v>4</v>
      </c>
      <c r="AC16" s="101"/>
      <c r="AD16" s="47"/>
    </row>
    <row r="17" spans="1:30" ht="15" x14ac:dyDescent="0.25">
      <c r="A17" s="99"/>
      <c r="B17" s="22" t="s">
        <v>3</v>
      </c>
      <c r="C17" s="39">
        <v>24803</v>
      </c>
      <c r="D17" s="39">
        <v>23220</v>
      </c>
      <c r="E17" s="39">
        <v>22197</v>
      </c>
      <c r="F17" s="39">
        <v>21501</v>
      </c>
      <c r="G17" s="39">
        <v>21231</v>
      </c>
      <c r="H17" s="39">
        <v>21195</v>
      </c>
      <c r="I17" s="39">
        <v>21360</v>
      </c>
      <c r="J17" s="39">
        <v>23211</v>
      </c>
      <c r="K17" s="39">
        <v>25376</v>
      </c>
      <c r="L17" s="39">
        <v>27276</v>
      </c>
      <c r="M17" s="39">
        <v>28629</v>
      </c>
      <c r="N17" s="39">
        <v>30007</v>
      </c>
      <c r="O17" s="39">
        <v>30808</v>
      </c>
      <c r="P17" s="39">
        <v>30587</v>
      </c>
      <c r="Q17" s="39">
        <v>29895</v>
      </c>
      <c r="R17" s="39">
        <v>29569</v>
      </c>
      <c r="S17" s="39">
        <v>29382</v>
      </c>
      <c r="T17" s="39">
        <v>29648</v>
      </c>
      <c r="U17" s="39">
        <v>33172</v>
      </c>
      <c r="V17" s="39">
        <v>35282</v>
      </c>
      <c r="W17" s="39">
        <v>34177</v>
      </c>
      <c r="X17" s="39">
        <v>32023</v>
      </c>
      <c r="Y17" s="39">
        <v>28726</v>
      </c>
      <c r="Z17" s="40">
        <v>25439</v>
      </c>
      <c r="AA17" s="41">
        <f t="shared" si="0"/>
        <v>658714</v>
      </c>
      <c r="AB17" s="23">
        <v>5</v>
      </c>
      <c r="AC17" s="102"/>
      <c r="AD17" s="48"/>
    </row>
    <row r="18" spans="1:30" ht="15.75" thickBot="1" x14ac:dyDescent="0.3">
      <c r="A18" s="99">
        <v>47239</v>
      </c>
      <c r="B18" s="18" t="s">
        <v>5</v>
      </c>
      <c r="C18" s="33">
        <v>23338</v>
      </c>
      <c r="D18" s="33">
        <v>22060</v>
      </c>
      <c r="E18" s="33">
        <v>21349</v>
      </c>
      <c r="F18" s="33">
        <v>20993</v>
      </c>
      <c r="G18" s="33">
        <v>21414</v>
      </c>
      <c r="H18" s="33">
        <v>22784</v>
      </c>
      <c r="I18" s="33">
        <v>24216</v>
      </c>
      <c r="J18" s="33">
        <v>26453</v>
      </c>
      <c r="K18" s="33">
        <v>28740</v>
      </c>
      <c r="L18" s="33">
        <v>30537</v>
      </c>
      <c r="M18" s="33">
        <v>32343</v>
      </c>
      <c r="N18" s="33">
        <v>34057</v>
      </c>
      <c r="O18" s="33">
        <v>33539</v>
      </c>
      <c r="P18" s="33">
        <v>33532</v>
      </c>
      <c r="Q18" s="33">
        <v>34050</v>
      </c>
      <c r="R18" s="33">
        <v>34110</v>
      </c>
      <c r="S18" s="33">
        <v>33762</v>
      </c>
      <c r="T18" s="33">
        <v>33354</v>
      </c>
      <c r="U18" s="33">
        <v>36384</v>
      </c>
      <c r="V18" s="33">
        <v>38101</v>
      </c>
      <c r="W18" s="33">
        <v>36611</v>
      </c>
      <c r="X18" s="33">
        <v>33932</v>
      </c>
      <c r="Y18" s="33">
        <v>29825</v>
      </c>
      <c r="Z18" s="34">
        <v>26021</v>
      </c>
      <c r="AA18" s="35">
        <f t="shared" si="0"/>
        <v>711505</v>
      </c>
      <c r="AB18" s="19">
        <v>21</v>
      </c>
      <c r="AC18" s="100">
        <f>+AA18*AB18+AA19*AB19+AA20*AB20</f>
        <v>21778059</v>
      </c>
    </row>
    <row r="19" spans="1:30" ht="15.75" thickBot="1" x14ac:dyDescent="0.3">
      <c r="A19" s="99"/>
      <c r="B19" s="20" t="s">
        <v>4</v>
      </c>
      <c r="C19" s="36">
        <v>24202</v>
      </c>
      <c r="D19" s="36">
        <v>22802</v>
      </c>
      <c r="E19" s="36">
        <v>21957</v>
      </c>
      <c r="F19" s="36">
        <v>21459</v>
      </c>
      <c r="G19" s="36">
        <v>21545</v>
      </c>
      <c r="H19" s="36">
        <v>21898</v>
      </c>
      <c r="I19" s="36">
        <v>23045</v>
      </c>
      <c r="J19" s="36">
        <v>25755</v>
      </c>
      <c r="K19" s="36">
        <v>28582</v>
      </c>
      <c r="L19" s="36">
        <v>30767</v>
      </c>
      <c r="M19" s="36">
        <v>32264</v>
      </c>
      <c r="N19" s="36">
        <v>33630</v>
      </c>
      <c r="O19" s="36">
        <v>33635</v>
      </c>
      <c r="P19" s="36">
        <v>33100</v>
      </c>
      <c r="Q19" s="36">
        <v>32555</v>
      </c>
      <c r="R19" s="36">
        <v>32226</v>
      </c>
      <c r="S19" s="36">
        <v>31987</v>
      </c>
      <c r="T19" s="36">
        <v>32282</v>
      </c>
      <c r="U19" s="36">
        <v>35869</v>
      </c>
      <c r="V19" s="36">
        <v>37324</v>
      </c>
      <c r="W19" s="36">
        <v>35844</v>
      </c>
      <c r="X19" s="36">
        <v>33577</v>
      </c>
      <c r="Y19" s="36">
        <v>30422</v>
      </c>
      <c r="Z19" s="37">
        <v>27277</v>
      </c>
      <c r="AA19" s="38">
        <f t="shared" si="0"/>
        <v>704004</v>
      </c>
      <c r="AB19" s="21">
        <v>4</v>
      </c>
      <c r="AC19" s="101"/>
      <c r="AD19" s="47"/>
    </row>
    <row r="20" spans="1:30" ht="15" x14ac:dyDescent="0.25">
      <c r="A20" s="99"/>
      <c r="B20" s="22" t="s">
        <v>3</v>
      </c>
      <c r="C20" s="39">
        <v>24625</v>
      </c>
      <c r="D20" s="39">
        <v>23095</v>
      </c>
      <c r="E20" s="39">
        <v>22145</v>
      </c>
      <c r="F20" s="39">
        <v>21513</v>
      </c>
      <c r="G20" s="39">
        <v>21319</v>
      </c>
      <c r="H20" s="39">
        <v>21078</v>
      </c>
      <c r="I20" s="39">
        <v>21511</v>
      </c>
      <c r="J20" s="39">
        <v>23572</v>
      </c>
      <c r="K20" s="39">
        <v>25865</v>
      </c>
      <c r="L20" s="39">
        <v>27901</v>
      </c>
      <c r="M20" s="39">
        <v>29292</v>
      </c>
      <c r="N20" s="39">
        <v>30746</v>
      </c>
      <c r="O20" s="39">
        <v>31384</v>
      </c>
      <c r="P20" s="39">
        <v>31256</v>
      </c>
      <c r="Q20" s="39">
        <v>30499</v>
      </c>
      <c r="R20" s="39">
        <v>31350</v>
      </c>
      <c r="S20" s="39">
        <v>29965</v>
      </c>
      <c r="T20" s="39">
        <v>30295</v>
      </c>
      <c r="U20" s="39">
        <v>33938</v>
      </c>
      <c r="V20" s="39">
        <v>36055</v>
      </c>
      <c r="W20" s="39">
        <v>34917</v>
      </c>
      <c r="X20" s="39">
        <v>32629</v>
      </c>
      <c r="Y20" s="39">
        <v>29238</v>
      </c>
      <c r="Z20" s="40">
        <v>25885</v>
      </c>
      <c r="AA20" s="41">
        <f t="shared" si="0"/>
        <v>670073</v>
      </c>
      <c r="AB20" s="23">
        <v>6</v>
      </c>
      <c r="AC20" s="102"/>
      <c r="AD20" s="48"/>
    </row>
    <row r="21" spans="1:30" ht="15.75" thickBot="1" x14ac:dyDescent="0.3">
      <c r="A21" s="99">
        <v>47270</v>
      </c>
      <c r="B21" s="18" t="s">
        <v>5</v>
      </c>
      <c r="C21" s="33">
        <v>23063</v>
      </c>
      <c r="D21" s="33">
        <v>21758</v>
      </c>
      <c r="E21" s="33">
        <v>21106</v>
      </c>
      <c r="F21" s="33">
        <v>20756</v>
      </c>
      <c r="G21" s="33">
        <v>21143</v>
      </c>
      <c r="H21" s="33">
        <v>22319</v>
      </c>
      <c r="I21" s="33">
        <v>23870</v>
      </c>
      <c r="J21" s="33">
        <v>26231</v>
      </c>
      <c r="K21" s="33">
        <v>28617</v>
      </c>
      <c r="L21" s="33">
        <v>30396</v>
      </c>
      <c r="M21" s="33">
        <v>32255</v>
      </c>
      <c r="N21" s="33">
        <v>33990</v>
      </c>
      <c r="O21" s="33">
        <v>33430</v>
      </c>
      <c r="P21" s="33">
        <v>33392</v>
      </c>
      <c r="Q21" s="33">
        <v>34031</v>
      </c>
      <c r="R21" s="33">
        <v>34066</v>
      </c>
      <c r="S21" s="33">
        <v>33719</v>
      </c>
      <c r="T21" s="33">
        <v>33197</v>
      </c>
      <c r="U21" s="33">
        <v>35613</v>
      </c>
      <c r="V21" s="33">
        <v>37868</v>
      </c>
      <c r="W21" s="33">
        <v>36455</v>
      </c>
      <c r="X21" s="33">
        <v>33800</v>
      </c>
      <c r="Y21" s="33">
        <v>29633</v>
      </c>
      <c r="Z21" s="34">
        <v>25770</v>
      </c>
      <c r="AA21" s="35">
        <f t="shared" si="0"/>
        <v>706478</v>
      </c>
      <c r="AB21" s="19">
        <v>19</v>
      </c>
      <c r="AC21" s="100">
        <f>+AA21*AB21+AA22*AB22+AA23*AB23</f>
        <v>21063761</v>
      </c>
    </row>
    <row r="22" spans="1:30" ht="15.75" thickBot="1" x14ac:dyDescent="0.3">
      <c r="A22" s="99"/>
      <c r="B22" s="20" t="s">
        <v>4</v>
      </c>
      <c r="C22" s="36">
        <v>24178</v>
      </c>
      <c r="D22" s="36">
        <v>22672</v>
      </c>
      <c r="E22" s="36">
        <v>21809</v>
      </c>
      <c r="F22" s="36">
        <v>21322</v>
      </c>
      <c r="G22" s="36">
        <v>21365</v>
      </c>
      <c r="H22" s="36">
        <v>21712</v>
      </c>
      <c r="I22" s="36">
        <v>22846</v>
      </c>
      <c r="J22" s="36">
        <v>25525</v>
      </c>
      <c r="K22" s="36">
        <v>28549</v>
      </c>
      <c r="L22" s="36">
        <v>30625</v>
      </c>
      <c r="M22" s="36">
        <v>32246</v>
      </c>
      <c r="N22" s="36">
        <v>33651</v>
      </c>
      <c r="O22" s="36">
        <v>33743</v>
      </c>
      <c r="P22" s="36">
        <v>33398</v>
      </c>
      <c r="Q22" s="36">
        <v>33041</v>
      </c>
      <c r="R22" s="36">
        <v>32979</v>
      </c>
      <c r="S22" s="36">
        <v>32733</v>
      </c>
      <c r="T22" s="36">
        <v>32978</v>
      </c>
      <c r="U22" s="36">
        <v>36057</v>
      </c>
      <c r="V22" s="36">
        <v>38033</v>
      </c>
      <c r="W22" s="36">
        <v>36473</v>
      </c>
      <c r="X22" s="36">
        <v>34246</v>
      </c>
      <c r="Y22" s="36">
        <v>30949</v>
      </c>
      <c r="Z22" s="37">
        <v>27593</v>
      </c>
      <c r="AA22" s="38">
        <f t="shared" si="0"/>
        <v>708723</v>
      </c>
      <c r="AB22" s="21">
        <v>5</v>
      </c>
      <c r="AC22" s="101"/>
      <c r="AD22" s="47"/>
    </row>
    <row r="23" spans="1:30" ht="15" x14ac:dyDescent="0.25">
      <c r="A23" s="99"/>
      <c r="B23" s="22" t="s">
        <v>3</v>
      </c>
      <c r="C23" s="39">
        <v>25162</v>
      </c>
      <c r="D23" s="39">
        <v>23558</v>
      </c>
      <c r="E23" s="39">
        <v>22627</v>
      </c>
      <c r="F23" s="39">
        <v>21992</v>
      </c>
      <c r="G23" s="39">
        <v>21842</v>
      </c>
      <c r="H23" s="39">
        <v>21817</v>
      </c>
      <c r="I23" s="39">
        <v>22107</v>
      </c>
      <c r="J23" s="39">
        <v>24255</v>
      </c>
      <c r="K23" s="39">
        <v>26643</v>
      </c>
      <c r="L23" s="39">
        <v>28486</v>
      </c>
      <c r="M23" s="39">
        <v>30003</v>
      </c>
      <c r="N23" s="39">
        <v>31469</v>
      </c>
      <c r="O23" s="39">
        <v>31992</v>
      </c>
      <c r="P23" s="39">
        <v>31771</v>
      </c>
      <c r="Q23" s="39">
        <v>31156</v>
      </c>
      <c r="R23" s="39">
        <v>30867</v>
      </c>
      <c r="S23" s="39">
        <v>30709</v>
      </c>
      <c r="T23" s="39">
        <v>30960</v>
      </c>
      <c r="U23" s="39">
        <v>34083</v>
      </c>
      <c r="V23" s="39">
        <v>36589</v>
      </c>
      <c r="W23" s="39">
        <v>35511</v>
      </c>
      <c r="X23" s="39">
        <v>33193</v>
      </c>
      <c r="Y23" s="39">
        <v>29711</v>
      </c>
      <c r="Z23" s="40">
        <v>26341</v>
      </c>
      <c r="AA23" s="41">
        <f t="shared" si="0"/>
        <v>682844</v>
      </c>
      <c r="AB23" s="23">
        <v>6</v>
      </c>
      <c r="AC23" s="102"/>
      <c r="AD23" s="48"/>
    </row>
    <row r="24" spans="1:30" ht="15.75" thickBot="1" x14ac:dyDescent="0.3">
      <c r="A24" s="99">
        <v>47300</v>
      </c>
      <c r="B24" s="18" t="s">
        <v>5</v>
      </c>
      <c r="C24" s="33">
        <v>24147</v>
      </c>
      <c r="D24" s="33">
        <v>22773</v>
      </c>
      <c r="E24" s="33">
        <v>21980</v>
      </c>
      <c r="F24" s="33">
        <v>21549</v>
      </c>
      <c r="G24" s="33">
        <v>21917</v>
      </c>
      <c r="H24" s="33">
        <v>23087</v>
      </c>
      <c r="I24" s="33">
        <v>24347</v>
      </c>
      <c r="J24" s="33">
        <v>26983</v>
      </c>
      <c r="K24" s="33">
        <v>29544</v>
      </c>
      <c r="L24" s="33">
        <v>31553</v>
      </c>
      <c r="M24" s="33">
        <v>33496</v>
      </c>
      <c r="N24" s="33">
        <v>35220</v>
      </c>
      <c r="O24" s="33">
        <v>34610</v>
      </c>
      <c r="P24" s="33">
        <v>34685</v>
      </c>
      <c r="Q24" s="33">
        <v>35321</v>
      </c>
      <c r="R24" s="33">
        <v>35392</v>
      </c>
      <c r="S24" s="33">
        <v>34891</v>
      </c>
      <c r="T24" s="33">
        <v>34019</v>
      </c>
      <c r="U24" s="33">
        <v>36015</v>
      </c>
      <c r="V24" s="33">
        <v>38695</v>
      </c>
      <c r="W24" s="33">
        <v>37442</v>
      </c>
      <c r="X24" s="33">
        <v>34919</v>
      </c>
      <c r="Y24" s="33">
        <v>30756</v>
      </c>
      <c r="Z24" s="34">
        <v>26924</v>
      </c>
      <c r="AA24" s="35">
        <f t="shared" si="0"/>
        <v>730265</v>
      </c>
      <c r="AB24" s="19">
        <v>20</v>
      </c>
      <c r="AC24" s="100">
        <f>+AA24*AB24+AA25*AB25+AA26*AB26</f>
        <v>22253660</v>
      </c>
    </row>
    <row r="25" spans="1:30" ht="15.75" thickBot="1" x14ac:dyDescent="0.3">
      <c r="A25" s="99"/>
      <c r="B25" s="20" t="s">
        <v>4</v>
      </c>
      <c r="C25" s="36">
        <v>24201</v>
      </c>
      <c r="D25" s="36">
        <v>22623</v>
      </c>
      <c r="E25" s="36">
        <v>21820</v>
      </c>
      <c r="F25" s="36">
        <v>21283</v>
      </c>
      <c r="G25" s="36">
        <v>21334</v>
      </c>
      <c r="H25" s="36">
        <v>21783</v>
      </c>
      <c r="I25" s="36">
        <v>22866</v>
      </c>
      <c r="J25" s="36">
        <v>26058</v>
      </c>
      <c r="K25" s="36">
        <v>29096</v>
      </c>
      <c r="L25" s="36">
        <v>31176</v>
      </c>
      <c r="M25" s="36">
        <v>32810</v>
      </c>
      <c r="N25" s="36">
        <v>34193</v>
      </c>
      <c r="O25" s="36">
        <v>34129</v>
      </c>
      <c r="P25" s="36">
        <v>33595</v>
      </c>
      <c r="Q25" s="36">
        <v>33108</v>
      </c>
      <c r="R25" s="36">
        <v>32856</v>
      </c>
      <c r="S25" s="36">
        <v>32565</v>
      </c>
      <c r="T25" s="36">
        <v>32662</v>
      </c>
      <c r="U25" s="36">
        <v>35101</v>
      </c>
      <c r="V25" s="36">
        <v>37681</v>
      </c>
      <c r="W25" s="36">
        <v>36242</v>
      </c>
      <c r="X25" s="36">
        <v>34183</v>
      </c>
      <c r="Y25" s="36">
        <v>30959</v>
      </c>
      <c r="Z25" s="37">
        <v>27768</v>
      </c>
      <c r="AA25" s="38">
        <f t="shared" si="0"/>
        <v>710092</v>
      </c>
      <c r="AB25" s="21">
        <v>4</v>
      </c>
      <c r="AC25" s="101"/>
      <c r="AD25" s="47"/>
    </row>
    <row r="26" spans="1:30" ht="15" x14ac:dyDescent="0.25">
      <c r="A26" s="99"/>
      <c r="B26" s="22" t="s">
        <v>3</v>
      </c>
      <c r="C26" s="39">
        <v>25682</v>
      </c>
      <c r="D26" s="39">
        <v>24105</v>
      </c>
      <c r="E26" s="39">
        <v>23064</v>
      </c>
      <c r="F26" s="39">
        <v>22383</v>
      </c>
      <c r="G26" s="39">
        <v>22171</v>
      </c>
      <c r="H26" s="39">
        <v>22179</v>
      </c>
      <c r="I26" s="39">
        <v>22324</v>
      </c>
      <c r="J26" s="39">
        <v>24353</v>
      </c>
      <c r="K26" s="39">
        <v>26788</v>
      </c>
      <c r="L26" s="39">
        <v>28808</v>
      </c>
      <c r="M26" s="39">
        <v>30277</v>
      </c>
      <c r="N26" s="39">
        <v>31640</v>
      </c>
      <c r="O26" s="39">
        <v>32315</v>
      </c>
      <c r="P26" s="39">
        <v>31961</v>
      </c>
      <c r="Q26" s="39">
        <v>31254</v>
      </c>
      <c r="R26" s="39">
        <v>30879</v>
      </c>
      <c r="S26" s="39">
        <v>30589</v>
      </c>
      <c r="T26" s="39">
        <v>30723</v>
      </c>
      <c r="U26" s="39">
        <v>33309</v>
      </c>
      <c r="V26" s="39">
        <v>36489</v>
      </c>
      <c r="W26" s="39">
        <v>35560</v>
      </c>
      <c r="X26" s="39">
        <v>33420</v>
      </c>
      <c r="Y26" s="39">
        <v>29941</v>
      </c>
      <c r="Z26" s="40">
        <v>26642</v>
      </c>
      <c r="AA26" s="41">
        <f t="shared" si="0"/>
        <v>686856</v>
      </c>
      <c r="AB26" s="23">
        <v>7</v>
      </c>
      <c r="AC26" s="102"/>
      <c r="AD26" s="48"/>
    </row>
    <row r="27" spans="1:30" ht="15.75" thickBot="1" x14ac:dyDescent="0.3">
      <c r="A27" s="99">
        <v>47331</v>
      </c>
      <c r="B27" s="18" t="s">
        <v>5</v>
      </c>
      <c r="C27" s="33">
        <v>24431</v>
      </c>
      <c r="D27" s="33">
        <v>23129</v>
      </c>
      <c r="E27" s="33">
        <v>22410</v>
      </c>
      <c r="F27" s="33">
        <v>21984</v>
      </c>
      <c r="G27" s="33">
        <v>22370</v>
      </c>
      <c r="H27" s="33">
        <v>23921</v>
      </c>
      <c r="I27" s="33">
        <v>25302</v>
      </c>
      <c r="J27" s="33">
        <v>27649</v>
      </c>
      <c r="K27" s="33">
        <v>30105</v>
      </c>
      <c r="L27" s="33">
        <v>31985</v>
      </c>
      <c r="M27" s="33">
        <v>33977</v>
      </c>
      <c r="N27" s="33">
        <v>35722</v>
      </c>
      <c r="O27" s="33">
        <v>35108</v>
      </c>
      <c r="P27" s="33">
        <v>35386</v>
      </c>
      <c r="Q27" s="33">
        <v>36104</v>
      </c>
      <c r="R27" s="33">
        <v>36161</v>
      </c>
      <c r="S27" s="33">
        <v>35641</v>
      </c>
      <c r="T27" s="33">
        <v>34739</v>
      </c>
      <c r="U27" s="33">
        <v>37170</v>
      </c>
      <c r="V27" s="33">
        <v>39422</v>
      </c>
      <c r="W27" s="33">
        <v>38046</v>
      </c>
      <c r="X27" s="33">
        <v>35386</v>
      </c>
      <c r="Y27" s="33">
        <v>31171</v>
      </c>
      <c r="Z27" s="34">
        <v>27365</v>
      </c>
      <c r="AA27" s="35">
        <f t="shared" si="0"/>
        <v>744684</v>
      </c>
      <c r="AB27" s="19">
        <v>21</v>
      </c>
      <c r="AC27" s="100">
        <f>+AA27*AB27+AA28*AB28+AA29*AB29</f>
        <v>22717830</v>
      </c>
    </row>
    <row r="28" spans="1:30" ht="15.75" thickBot="1" x14ac:dyDescent="0.3">
      <c r="A28" s="99"/>
      <c r="B28" s="20" t="s">
        <v>4</v>
      </c>
      <c r="C28" s="36">
        <v>25430</v>
      </c>
      <c r="D28" s="36">
        <v>24017</v>
      </c>
      <c r="E28" s="36">
        <v>23134</v>
      </c>
      <c r="F28" s="36">
        <v>22472</v>
      </c>
      <c r="G28" s="36">
        <v>22423</v>
      </c>
      <c r="H28" s="36">
        <v>23046</v>
      </c>
      <c r="I28" s="36">
        <v>23784</v>
      </c>
      <c r="J28" s="36">
        <v>26795</v>
      </c>
      <c r="K28" s="36">
        <v>29839</v>
      </c>
      <c r="L28" s="36">
        <v>31925</v>
      </c>
      <c r="M28" s="36">
        <v>33754</v>
      </c>
      <c r="N28" s="36">
        <v>35138</v>
      </c>
      <c r="O28" s="36">
        <v>35148</v>
      </c>
      <c r="P28" s="36">
        <v>34770</v>
      </c>
      <c r="Q28" s="36">
        <v>34407</v>
      </c>
      <c r="R28" s="36">
        <v>34197</v>
      </c>
      <c r="S28" s="36">
        <v>33739</v>
      </c>
      <c r="T28" s="36">
        <v>33675</v>
      </c>
      <c r="U28" s="36">
        <v>36686</v>
      </c>
      <c r="V28" s="36">
        <v>38674</v>
      </c>
      <c r="W28" s="36">
        <v>37210</v>
      </c>
      <c r="X28" s="36">
        <v>35085</v>
      </c>
      <c r="Y28" s="36">
        <v>31989</v>
      </c>
      <c r="Z28" s="37">
        <v>28659</v>
      </c>
      <c r="AA28" s="38">
        <f t="shared" si="0"/>
        <v>735996</v>
      </c>
      <c r="AB28" s="21">
        <v>4</v>
      </c>
      <c r="AC28" s="101"/>
      <c r="AD28" s="47"/>
    </row>
    <row r="29" spans="1:30" ht="15" x14ac:dyDescent="0.25">
      <c r="A29" s="99"/>
      <c r="B29" s="22" t="s">
        <v>3</v>
      </c>
      <c r="C29" s="39">
        <v>25904</v>
      </c>
      <c r="D29" s="39">
        <v>24298</v>
      </c>
      <c r="E29" s="39">
        <v>23239</v>
      </c>
      <c r="F29" s="39">
        <v>22565</v>
      </c>
      <c r="G29" s="39">
        <v>22345</v>
      </c>
      <c r="H29" s="39">
        <v>22420</v>
      </c>
      <c r="I29" s="39">
        <v>22416</v>
      </c>
      <c r="J29" s="39">
        <v>24528</v>
      </c>
      <c r="K29" s="39">
        <v>26913</v>
      </c>
      <c r="L29" s="39">
        <v>28879</v>
      </c>
      <c r="M29" s="39">
        <v>30271</v>
      </c>
      <c r="N29" s="39">
        <v>31714</v>
      </c>
      <c r="O29" s="39">
        <v>32458</v>
      </c>
      <c r="P29" s="39">
        <v>32167</v>
      </c>
      <c r="Q29" s="39">
        <v>31378</v>
      </c>
      <c r="R29" s="39">
        <v>30850</v>
      </c>
      <c r="S29" s="39">
        <v>30649</v>
      </c>
      <c r="T29" s="39">
        <v>30735</v>
      </c>
      <c r="U29" s="39">
        <v>33857</v>
      </c>
      <c r="V29" s="39">
        <v>36570</v>
      </c>
      <c r="W29" s="39">
        <v>35485</v>
      </c>
      <c r="X29" s="39">
        <v>33257</v>
      </c>
      <c r="Y29" s="39">
        <v>29863</v>
      </c>
      <c r="Z29" s="40">
        <v>26486</v>
      </c>
      <c r="AA29" s="41">
        <f t="shared" si="0"/>
        <v>689247</v>
      </c>
      <c r="AB29" s="23">
        <v>6</v>
      </c>
      <c r="AC29" s="102"/>
      <c r="AD29" s="49"/>
    </row>
    <row r="30" spans="1:30" ht="15.75" thickBot="1" x14ac:dyDescent="0.3">
      <c r="A30" s="99">
        <v>47362</v>
      </c>
      <c r="B30" s="18" t="s">
        <v>5</v>
      </c>
      <c r="C30" s="33">
        <v>24867</v>
      </c>
      <c r="D30" s="33">
        <v>23498</v>
      </c>
      <c r="E30" s="33">
        <v>22642</v>
      </c>
      <c r="F30" s="33">
        <v>22268</v>
      </c>
      <c r="G30" s="33">
        <v>22629</v>
      </c>
      <c r="H30" s="33">
        <v>24112</v>
      </c>
      <c r="I30" s="33">
        <v>25541</v>
      </c>
      <c r="J30" s="33">
        <v>27963</v>
      </c>
      <c r="K30" s="33">
        <v>30397</v>
      </c>
      <c r="L30" s="33">
        <v>32420</v>
      </c>
      <c r="M30" s="33">
        <v>34428</v>
      </c>
      <c r="N30" s="33">
        <v>36269</v>
      </c>
      <c r="O30" s="33">
        <v>35637</v>
      </c>
      <c r="P30" s="33">
        <v>35895</v>
      </c>
      <c r="Q30" s="33">
        <v>36734</v>
      </c>
      <c r="R30" s="33">
        <v>36944</v>
      </c>
      <c r="S30" s="33">
        <v>36413</v>
      </c>
      <c r="T30" s="33">
        <v>35666</v>
      </c>
      <c r="U30" s="33">
        <v>39003</v>
      </c>
      <c r="V30" s="33">
        <v>39905</v>
      </c>
      <c r="W30" s="33">
        <v>38406</v>
      </c>
      <c r="X30" s="33">
        <v>35699</v>
      </c>
      <c r="Y30" s="33">
        <v>31396</v>
      </c>
      <c r="Z30" s="34">
        <v>27601</v>
      </c>
      <c r="AA30" s="35">
        <f t="shared" si="0"/>
        <v>756333</v>
      </c>
      <c r="AB30" s="19">
        <v>20</v>
      </c>
      <c r="AC30" s="100">
        <f>+AA30*AB30+AA31*AB31+AA32*AB32</f>
        <v>22245115</v>
      </c>
    </row>
    <row r="31" spans="1:30" ht="15.75" thickBot="1" x14ac:dyDescent="0.3">
      <c r="A31" s="99"/>
      <c r="B31" s="20" t="s">
        <v>4</v>
      </c>
      <c r="C31" s="36">
        <v>25532</v>
      </c>
      <c r="D31" s="36">
        <v>23902</v>
      </c>
      <c r="E31" s="36">
        <v>23020</v>
      </c>
      <c r="F31" s="36">
        <v>22536</v>
      </c>
      <c r="G31" s="36">
        <v>22556</v>
      </c>
      <c r="H31" s="36">
        <v>22765</v>
      </c>
      <c r="I31" s="36">
        <v>23906</v>
      </c>
      <c r="J31" s="36">
        <v>27150</v>
      </c>
      <c r="K31" s="36">
        <v>30243</v>
      </c>
      <c r="L31" s="36">
        <v>32450</v>
      </c>
      <c r="M31" s="36">
        <v>34196</v>
      </c>
      <c r="N31" s="36">
        <v>35595</v>
      </c>
      <c r="O31" s="36">
        <v>35507</v>
      </c>
      <c r="P31" s="36">
        <v>35054</v>
      </c>
      <c r="Q31" s="36">
        <v>34633</v>
      </c>
      <c r="R31" s="36">
        <v>34329</v>
      </c>
      <c r="S31" s="36">
        <v>34033</v>
      </c>
      <c r="T31" s="36">
        <v>34287</v>
      </c>
      <c r="U31" s="36">
        <v>37948</v>
      </c>
      <c r="V31" s="36">
        <v>38766</v>
      </c>
      <c r="W31" s="36">
        <v>37065</v>
      </c>
      <c r="X31" s="36">
        <v>34890</v>
      </c>
      <c r="Y31" s="36">
        <v>31715</v>
      </c>
      <c r="Z31" s="37">
        <v>28470</v>
      </c>
      <c r="AA31" s="38">
        <f t="shared" si="0"/>
        <v>740548</v>
      </c>
      <c r="AB31" s="21">
        <v>5</v>
      </c>
      <c r="AC31" s="101"/>
      <c r="AD31" s="47"/>
    </row>
    <row r="32" spans="1:30" ht="15" x14ac:dyDescent="0.25">
      <c r="A32" s="99"/>
      <c r="B32" s="22" t="s">
        <v>3</v>
      </c>
      <c r="C32" s="39">
        <v>25995</v>
      </c>
      <c r="D32" s="39">
        <v>24435</v>
      </c>
      <c r="E32" s="39">
        <v>23410</v>
      </c>
      <c r="F32" s="39">
        <v>22617</v>
      </c>
      <c r="G32" s="39">
        <v>22258</v>
      </c>
      <c r="H32" s="39">
        <v>21986</v>
      </c>
      <c r="I32" s="39">
        <v>22154</v>
      </c>
      <c r="J32" s="39">
        <v>24227</v>
      </c>
      <c r="K32" s="39">
        <v>26564</v>
      </c>
      <c r="L32" s="39">
        <v>28482</v>
      </c>
      <c r="M32" s="39">
        <v>29818</v>
      </c>
      <c r="N32" s="39">
        <v>31094</v>
      </c>
      <c r="O32" s="39">
        <v>31833</v>
      </c>
      <c r="P32" s="39">
        <v>31607</v>
      </c>
      <c r="Q32" s="39">
        <v>30940</v>
      </c>
      <c r="R32" s="39">
        <v>30616</v>
      </c>
      <c r="S32" s="39">
        <v>30406</v>
      </c>
      <c r="T32" s="39">
        <v>30649</v>
      </c>
      <c r="U32" s="39">
        <v>34644</v>
      </c>
      <c r="V32" s="39">
        <v>36005</v>
      </c>
      <c r="W32" s="39">
        <v>35009</v>
      </c>
      <c r="X32" s="39">
        <v>32826</v>
      </c>
      <c r="Y32" s="39">
        <v>29418</v>
      </c>
      <c r="Z32" s="40">
        <v>26150</v>
      </c>
      <c r="AA32" s="41">
        <f t="shared" si="0"/>
        <v>683143</v>
      </c>
      <c r="AB32" s="23">
        <v>5</v>
      </c>
      <c r="AC32" s="102"/>
      <c r="AD32" s="48"/>
    </row>
    <row r="33" spans="1:30" ht="15.75" thickBot="1" x14ac:dyDescent="0.3">
      <c r="A33" s="99">
        <v>47392</v>
      </c>
      <c r="B33" s="18" t="s">
        <v>5</v>
      </c>
      <c r="C33" s="33">
        <v>23565</v>
      </c>
      <c r="D33" s="33">
        <v>22302</v>
      </c>
      <c r="E33" s="33">
        <v>21600</v>
      </c>
      <c r="F33" s="33">
        <v>21224</v>
      </c>
      <c r="G33" s="33">
        <v>21640</v>
      </c>
      <c r="H33" s="33">
        <v>22835</v>
      </c>
      <c r="I33" s="33">
        <v>24356</v>
      </c>
      <c r="J33" s="33">
        <v>26637</v>
      </c>
      <c r="K33" s="33">
        <v>28927</v>
      </c>
      <c r="L33" s="33">
        <v>30733</v>
      </c>
      <c r="M33" s="33">
        <v>32605</v>
      </c>
      <c r="N33" s="33">
        <v>34340</v>
      </c>
      <c r="O33" s="33">
        <v>33737</v>
      </c>
      <c r="P33" s="33">
        <v>33923</v>
      </c>
      <c r="Q33" s="33">
        <v>34700</v>
      </c>
      <c r="R33" s="33">
        <v>34867</v>
      </c>
      <c r="S33" s="33">
        <v>34481</v>
      </c>
      <c r="T33" s="33">
        <v>34582</v>
      </c>
      <c r="U33" s="33">
        <v>38406</v>
      </c>
      <c r="V33" s="33">
        <v>38210</v>
      </c>
      <c r="W33" s="33">
        <v>36532</v>
      </c>
      <c r="X33" s="33">
        <v>33794</v>
      </c>
      <c r="Y33" s="33">
        <v>29773</v>
      </c>
      <c r="Z33" s="34">
        <v>26197</v>
      </c>
      <c r="AA33" s="35">
        <f t="shared" si="0"/>
        <v>719966</v>
      </c>
      <c r="AB33" s="19">
        <v>22</v>
      </c>
      <c r="AC33" s="100">
        <f>+AA33*AB33+AA34*AB34+AA35*AB35</f>
        <v>22097350</v>
      </c>
    </row>
    <row r="34" spans="1:30" ht="15.75" thickBot="1" x14ac:dyDescent="0.3">
      <c r="A34" s="99"/>
      <c r="B34" s="20" t="s">
        <v>4</v>
      </c>
      <c r="C34" s="36">
        <v>24808</v>
      </c>
      <c r="D34" s="36">
        <v>23394</v>
      </c>
      <c r="E34" s="36">
        <v>22535</v>
      </c>
      <c r="F34" s="36">
        <v>21965</v>
      </c>
      <c r="G34" s="36">
        <v>22080</v>
      </c>
      <c r="H34" s="36">
        <v>22423</v>
      </c>
      <c r="I34" s="36">
        <v>23690</v>
      </c>
      <c r="J34" s="36">
        <v>26607</v>
      </c>
      <c r="K34" s="36">
        <v>29513</v>
      </c>
      <c r="L34" s="36">
        <v>31532</v>
      </c>
      <c r="M34" s="36">
        <v>33251</v>
      </c>
      <c r="N34" s="36">
        <v>34691</v>
      </c>
      <c r="O34" s="36">
        <v>34748</v>
      </c>
      <c r="P34" s="36">
        <v>34355</v>
      </c>
      <c r="Q34" s="36">
        <v>33938</v>
      </c>
      <c r="R34" s="36">
        <v>33678</v>
      </c>
      <c r="S34" s="36">
        <v>33375</v>
      </c>
      <c r="T34" s="36">
        <v>34427</v>
      </c>
      <c r="U34" s="36">
        <v>38797</v>
      </c>
      <c r="V34" s="36">
        <v>38728</v>
      </c>
      <c r="W34" s="36">
        <v>37088</v>
      </c>
      <c r="X34" s="36">
        <v>34604</v>
      </c>
      <c r="Y34" s="36">
        <v>31542</v>
      </c>
      <c r="Z34" s="37">
        <v>28213</v>
      </c>
      <c r="AA34" s="38">
        <f t="shared" si="0"/>
        <v>729982</v>
      </c>
      <c r="AB34" s="21">
        <v>4</v>
      </c>
      <c r="AC34" s="101"/>
      <c r="AD34" s="47"/>
    </row>
    <row r="35" spans="1:30" ht="15" x14ac:dyDescent="0.25">
      <c r="A35" s="99"/>
      <c r="B35" s="22" t="s">
        <v>3</v>
      </c>
      <c r="C35" s="39">
        <v>24892</v>
      </c>
      <c r="D35" s="39">
        <v>23385</v>
      </c>
      <c r="E35" s="39">
        <v>22345</v>
      </c>
      <c r="F35" s="39">
        <v>21619</v>
      </c>
      <c r="G35" s="39">
        <v>21388</v>
      </c>
      <c r="H35" s="39">
        <v>21087</v>
      </c>
      <c r="I35" s="39">
        <v>21490</v>
      </c>
      <c r="J35" s="39">
        <v>23463</v>
      </c>
      <c r="K35" s="39">
        <v>25700</v>
      </c>
      <c r="L35" s="39">
        <v>27666</v>
      </c>
      <c r="M35" s="39">
        <v>29059</v>
      </c>
      <c r="N35" s="39">
        <v>30430</v>
      </c>
      <c r="O35" s="39">
        <v>31199</v>
      </c>
      <c r="P35" s="39">
        <v>30943</v>
      </c>
      <c r="Q35" s="39">
        <v>30355</v>
      </c>
      <c r="R35" s="39">
        <v>30057</v>
      </c>
      <c r="S35" s="39">
        <v>29885</v>
      </c>
      <c r="T35" s="39">
        <v>30807</v>
      </c>
      <c r="U35" s="39">
        <v>35209</v>
      </c>
      <c r="V35" s="39">
        <v>35570</v>
      </c>
      <c r="W35" s="39">
        <v>34429</v>
      </c>
      <c r="X35" s="39">
        <v>32181</v>
      </c>
      <c r="Y35" s="39">
        <v>28843</v>
      </c>
      <c r="Z35" s="40">
        <v>25632</v>
      </c>
      <c r="AA35" s="41">
        <f t="shared" si="0"/>
        <v>667634</v>
      </c>
      <c r="AB35" s="23">
        <v>5</v>
      </c>
      <c r="AC35" s="102"/>
      <c r="AD35" s="48"/>
    </row>
    <row r="36" spans="1:30" ht="15.75" thickBot="1" x14ac:dyDescent="0.3">
      <c r="A36" s="99">
        <v>47423</v>
      </c>
      <c r="B36" s="18" t="s">
        <v>5</v>
      </c>
      <c r="C36" s="33">
        <v>23130</v>
      </c>
      <c r="D36" s="33">
        <v>21869</v>
      </c>
      <c r="E36" s="33">
        <v>21171</v>
      </c>
      <c r="F36" s="33">
        <v>20843</v>
      </c>
      <c r="G36" s="33">
        <v>21328</v>
      </c>
      <c r="H36" s="33">
        <v>22690</v>
      </c>
      <c r="I36" s="33">
        <v>24309</v>
      </c>
      <c r="J36" s="33">
        <v>26626</v>
      </c>
      <c r="K36" s="33">
        <v>28874</v>
      </c>
      <c r="L36" s="33">
        <v>30613</v>
      </c>
      <c r="M36" s="33">
        <v>32475</v>
      </c>
      <c r="N36" s="33">
        <v>34259</v>
      </c>
      <c r="O36" s="33">
        <v>33560</v>
      </c>
      <c r="P36" s="33">
        <v>33579</v>
      </c>
      <c r="Q36" s="33">
        <v>34339</v>
      </c>
      <c r="R36" s="33">
        <v>34305</v>
      </c>
      <c r="S36" s="33">
        <v>34024</v>
      </c>
      <c r="T36" s="33">
        <v>34487</v>
      </c>
      <c r="U36" s="33">
        <v>38481</v>
      </c>
      <c r="V36" s="33">
        <v>38268</v>
      </c>
      <c r="W36" s="33">
        <v>36567</v>
      </c>
      <c r="X36" s="33">
        <v>33683</v>
      </c>
      <c r="Y36" s="33">
        <v>29543</v>
      </c>
      <c r="Z36" s="34">
        <v>25839</v>
      </c>
      <c r="AA36" s="35">
        <f t="shared" si="0"/>
        <v>714862</v>
      </c>
      <c r="AB36" s="19">
        <v>20</v>
      </c>
      <c r="AC36" s="100">
        <f>+AA36*AB36+AA37*AB37+AA38*AB38</f>
        <v>20995396</v>
      </c>
    </row>
    <row r="37" spans="1:30" ht="15.75" thickBot="1" x14ac:dyDescent="0.3">
      <c r="A37" s="99"/>
      <c r="B37" s="20" t="s">
        <v>4</v>
      </c>
      <c r="C37" s="36">
        <v>23751</v>
      </c>
      <c r="D37" s="36">
        <v>22412</v>
      </c>
      <c r="E37" s="36">
        <v>21593</v>
      </c>
      <c r="F37" s="36">
        <v>21071</v>
      </c>
      <c r="G37" s="36">
        <v>21163</v>
      </c>
      <c r="H37" s="36">
        <v>21427</v>
      </c>
      <c r="I37" s="36">
        <v>22594</v>
      </c>
      <c r="J37" s="36">
        <v>25281</v>
      </c>
      <c r="K37" s="36">
        <v>28123</v>
      </c>
      <c r="L37" s="36">
        <v>30104</v>
      </c>
      <c r="M37" s="36">
        <v>31688</v>
      </c>
      <c r="N37" s="36">
        <v>33144</v>
      </c>
      <c r="O37" s="36">
        <v>33009</v>
      </c>
      <c r="P37" s="36">
        <v>32394</v>
      </c>
      <c r="Q37" s="36">
        <v>32214</v>
      </c>
      <c r="R37" s="36">
        <v>32111</v>
      </c>
      <c r="S37" s="36">
        <v>31922</v>
      </c>
      <c r="T37" s="36">
        <v>33066</v>
      </c>
      <c r="U37" s="36">
        <v>37512</v>
      </c>
      <c r="V37" s="36">
        <v>37400</v>
      </c>
      <c r="W37" s="36">
        <v>35686</v>
      </c>
      <c r="X37" s="36">
        <v>33496</v>
      </c>
      <c r="Y37" s="36">
        <v>30254</v>
      </c>
      <c r="Z37" s="37">
        <v>26996</v>
      </c>
      <c r="AA37" s="38">
        <f t="shared" si="0"/>
        <v>698411</v>
      </c>
      <c r="AB37" s="21">
        <v>4</v>
      </c>
      <c r="AC37" s="101"/>
      <c r="AD37" s="47"/>
    </row>
    <row r="38" spans="1:30" ht="15" x14ac:dyDescent="0.25">
      <c r="A38" s="99"/>
      <c r="B38" s="22" t="s">
        <v>3</v>
      </c>
      <c r="C38" s="39">
        <v>23848</v>
      </c>
      <c r="D38" s="39">
        <v>22412</v>
      </c>
      <c r="E38" s="39">
        <v>21440</v>
      </c>
      <c r="F38" s="39">
        <v>20728</v>
      </c>
      <c r="G38" s="39">
        <v>20632</v>
      </c>
      <c r="H38" s="39">
        <v>20377</v>
      </c>
      <c r="I38" s="39">
        <v>20862</v>
      </c>
      <c r="J38" s="39">
        <v>22918</v>
      </c>
      <c r="K38" s="39">
        <v>25160</v>
      </c>
      <c r="L38" s="39">
        <v>27086</v>
      </c>
      <c r="M38" s="39">
        <v>28486</v>
      </c>
      <c r="N38" s="39">
        <v>29910</v>
      </c>
      <c r="O38" s="39">
        <v>30614</v>
      </c>
      <c r="P38" s="39">
        <v>30336</v>
      </c>
      <c r="Q38" s="39">
        <v>29662</v>
      </c>
      <c r="R38" s="39">
        <v>29185</v>
      </c>
      <c r="S38" s="39">
        <v>29049</v>
      </c>
      <c r="T38" s="39">
        <v>30085</v>
      </c>
      <c r="U38" s="39">
        <v>34567</v>
      </c>
      <c r="V38" s="39">
        <v>34983</v>
      </c>
      <c r="W38" s="39">
        <v>33831</v>
      </c>
      <c r="X38" s="39">
        <v>31548</v>
      </c>
      <c r="Y38" s="39">
        <v>28133</v>
      </c>
      <c r="Z38" s="40">
        <v>24900</v>
      </c>
      <c r="AA38" s="41">
        <f t="shared" si="0"/>
        <v>650752</v>
      </c>
      <c r="AB38" s="23">
        <v>6</v>
      </c>
      <c r="AC38" s="102"/>
      <c r="AD38" s="49"/>
    </row>
    <row r="39" spans="1:30" ht="15.75" thickBot="1" x14ac:dyDescent="0.3">
      <c r="A39" s="99">
        <v>47453</v>
      </c>
      <c r="B39" s="18" t="s">
        <v>5</v>
      </c>
      <c r="C39" s="33">
        <v>24781</v>
      </c>
      <c r="D39" s="33">
        <v>23281</v>
      </c>
      <c r="E39" s="33">
        <v>22415</v>
      </c>
      <c r="F39" s="33">
        <v>21970</v>
      </c>
      <c r="G39" s="33">
        <v>22276</v>
      </c>
      <c r="H39" s="33">
        <v>23253</v>
      </c>
      <c r="I39" s="33">
        <v>24340</v>
      </c>
      <c r="J39" s="33">
        <v>27204</v>
      </c>
      <c r="K39" s="33">
        <v>29879</v>
      </c>
      <c r="L39" s="33">
        <v>31857</v>
      </c>
      <c r="M39" s="33">
        <v>33660</v>
      </c>
      <c r="N39" s="33">
        <v>35489</v>
      </c>
      <c r="O39" s="33">
        <v>35140</v>
      </c>
      <c r="P39" s="33">
        <v>35112</v>
      </c>
      <c r="Q39" s="33">
        <v>35630</v>
      </c>
      <c r="R39" s="33">
        <v>35586</v>
      </c>
      <c r="S39" s="33">
        <v>35073</v>
      </c>
      <c r="T39" s="33">
        <v>34839</v>
      </c>
      <c r="U39" s="33">
        <v>38725</v>
      </c>
      <c r="V39" s="33">
        <v>39325</v>
      </c>
      <c r="W39" s="33">
        <v>37800</v>
      </c>
      <c r="X39" s="33">
        <v>35361</v>
      </c>
      <c r="Y39" s="33">
        <v>31619</v>
      </c>
      <c r="Z39" s="34">
        <v>28037</v>
      </c>
      <c r="AA39" s="35">
        <f t="shared" si="0"/>
        <v>742652</v>
      </c>
      <c r="AB39" s="19">
        <v>20</v>
      </c>
      <c r="AC39" s="100">
        <f>+AA39*AB39+AA40*AB40+AA41*AB41</f>
        <v>22460362</v>
      </c>
    </row>
    <row r="40" spans="1:30" ht="15.75" thickBot="1" x14ac:dyDescent="0.3">
      <c r="A40" s="99"/>
      <c r="B40" s="20" t="s">
        <v>4</v>
      </c>
      <c r="C40" s="36">
        <v>25018</v>
      </c>
      <c r="D40" s="36">
        <v>23506</v>
      </c>
      <c r="E40" s="36">
        <v>22642</v>
      </c>
      <c r="F40" s="36">
        <v>22071</v>
      </c>
      <c r="G40" s="36">
        <v>22102</v>
      </c>
      <c r="H40" s="36">
        <v>22653</v>
      </c>
      <c r="I40" s="36">
        <v>23319</v>
      </c>
      <c r="J40" s="36">
        <v>25997</v>
      </c>
      <c r="K40" s="36">
        <v>28728</v>
      </c>
      <c r="L40" s="36">
        <v>30632</v>
      </c>
      <c r="M40" s="36">
        <v>32163</v>
      </c>
      <c r="N40" s="36">
        <v>33439</v>
      </c>
      <c r="O40" s="36">
        <v>33437</v>
      </c>
      <c r="P40" s="36">
        <v>32960</v>
      </c>
      <c r="Q40" s="36">
        <v>32652</v>
      </c>
      <c r="R40" s="36">
        <v>32312</v>
      </c>
      <c r="S40" s="36">
        <v>32070</v>
      </c>
      <c r="T40" s="36">
        <v>32644</v>
      </c>
      <c r="U40" s="36">
        <v>36983</v>
      </c>
      <c r="V40" s="36">
        <v>37492</v>
      </c>
      <c r="W40" s="36">
        <v>35991</v>
      </c>
      <c r="X40" s="36">
        <v>33847</v>
      </c>
      <c r="Y40" s="36">
        <v>30786</v>
      </c>
      <c r="Z40" s="37">
        <v>27830</v>
      </c>
      <c r="AA40" s="38">
        <f t="shared" si="0"/>
        <v>711274</v>
      </c>
      <c r="AB40" s="21">
        <v>4</v>
      </c>
      <c r="AC40" s="101"/>
      <c r="AD40" s="47"/>
    </row>
    <row r="41" spans="1:30" ht="15" x14ac:dyDescent="0.25">
      <c r="A41" s="99"/>
      <c r="B41" s="22" t="s">
        <v>3</v>
      </c>
      <c r="C41" s="39">
        <v>25846</v>
      </c>
      <c r="D41" s="39">
        <v>24271</v>
      </c>
      <c r="E41" s="39">
        <v>23171</v>
      </c>
      <c r="F41" s="39">
        <v>22390</v>
      </c>
      <c r="G41" s="39">
        <v>22084</v>
      </c>
      <c r="H41" s="39">
        <v>21973</v>
      </c>
      <c r="I41" s="39">
        <v>21938</v>
      </c>
      <c r="J41" s="39">
        <v>23714</v>
      </c>
      <c r="K41" s="39">
        <v>25921</v>
      </c>
      <c r="L41" s="39">
        <v>27861</v>
      </c>
      <c r="M41" s="39">
        <v>29313</v>
      </c>
      <c r="N41" s="39">
        <v>30677</v>
      </c>
      <c r="O41" s="39">
        <v>31412</v>
      </c>
      <c r="P41" s="39">
        <v>31373</v>
      </c>
      <c r="Q41" s="39">
        <v>30876</v>
      </c>
      <c r="R41" s="39">
        <v>30562</v>
      </c>
      <c r="S41" s="39">
        <v>30381</v>
      </c>
      <c r="T41" s="39">
        <v>30957</v>
      </c>
      <c r="U41" s="39">
        <v>35292</v>
      </c>
      <c r="V41" s="39">
        <v>36172</v>
      </c>
      <c r="W41" s="39">
        <v>34936</v>
      </c>
      <c r="X41" s="39">
        <v>32823</v>
      </c>
      <c r="Y41" s="39">
        <v>29735</v>
      </c>
      <c r="Z41" s="40">
        <v>26640</v>
      </c>
      <c r="AA41" s="41">
        <f t="shared" si="0"/>
        <v>680318</v>
      </c>
      <c r="AB41" s="23">
        <v>7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887066</v>
      </c>
      <c r="D42" s="31">
        <f t="shared" si="1"/>
        <v>834352</v>
      </c>
      <c r="E42" s="31">
        <f t="shared" si="1"/>
        <v>802566</v>
      </c>
      <c r="F42" s="31">
        <f t="shared" si="1"/>
        <v>782923</v>
      </c>
      <c r="G42" s="31">
        <f t="shared" si="1"/>
        <v>785356</v>
      </c>
      <c r="H42" s="31">
        <f t="shared" si="1"/>
        <v>808175</v>
      </c>
      <c r="I42" s="31">
        <f t="shared" si="1"/>
        <v>838733</v>
      </c>
      <c r="J42" s="31">
        <f t="shared" si="1"/>
        <v>921965</v>
      </c>
      <c r="K42" s="31">
        <f t="shared" si="1"/>
        <v>1013263</v>
      </c>
      <c r="L42" s="31">
        <f t="shared" si="1"/>
        <v>1083634</v>
      </c>
      <c r="M42" s="31">
        <f t="shared" si="1"/>
        <v>1142638</v>
      </c>
      <c r="N42" s="31">
        <f t="shared" si="1"/>
        <v>1197992</v>
      </c>
      <c r="O42" s="31">
        <f t="shared" si="1"/>
        <v>1200185</v>
      </c>
      <c r="P42" s="31">
        <f t="shared" si="1"/>
        <v>1193516</v>
      </c>
      <c r="Q42" s="31">
        <f t="shared" si="1"/>
        <v>1189289</v>
      </c>
      <c r="R42" s="31">
        <f t="shared" si="1"/>
        <v>1184397</v>
      </c>
      <c r="S42" s="31">
        <f t="shared" si="1"/>
        <v>1172798</v>
      </c>
      <c r="T42" s="31">
        <f t="shared" si="1"/>
        <v>1174878</v>
      </c>
      <c r="U42" s="31">
        <f t="shared" si="1"/>
        <v>1293062</v>
      </c>
      <c r="V42" s="31">
        <f t="shared" si="1"/>
        <v>1354065</v>
      </c>
      <c r="W42" s="31">
        <f t="shared" si="1"/>
        <v>1305230</v>
      </c>
      <c r="X42" s="31">
        <f t="shared" si="1"/>
        <v>1220647</v>
      </c>
      <c r="Y42" s="31">
        <f t="shared" si="1"/>
        <v>1093018</v>
      </c>
      <c r="Z42" s="31">
        <f t="shared" si="1"/>
        <v>968573</v>
      </c>
      <c r="AA42" s="31">
        <f t="shared" si="1"/>
        <v>25448321</v>
      </c>
      <c r="AB42" s="31">
        <f t="shared" si="1"/>
        <v>365</v>
      </c>
      <c r="AC42" s="46">
        <f t="shared" si="1"/>
        <v>261521809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>
      <c r="AA46" s="45"/>
      <c r="AC46" s="45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6AD-1EE8-45A9-999F-8E6EF3323DE6}">
  <sheetPr>
    <tabColor rgb="FF00B050"/>
  </sheetPr>
  <dimension ref="A1:AD46"/>
  <sheetViews>
    <sheetView showGridLines="0" zoomScale="115" zoomScaleNormal="115" zoomScaleSheetLayoutView="110" workbookViewId="0">
      <pane xSplit="2" ySplit="5" topLeftCell="C26" activePane="bottomRight" state="frozen"/>
      <selection pane="topRight" activeCell="C1" sqref="C1"/>
      <selection pane="bottomLeft" activeCell="A6" sqref="A6"/>
      <selection pane="bottomRight" activeCell="I18" sqref="I18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74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47119</v>
      </c>
      <c r="B6" s="18" t="s">
        <v>5</v>
      </c>
      <c r="C6" s="33">
        <f>ROUND('Anexo 14'!C6*'Anexo 4'!$D$10,0)</f>
        <v>0</v>
      </c>
      <c r="D6" s="33">
        <f>ROUND('Anexo 14'!D6*'Anexo 4'!$D$10,0)</f>
        <v>0</v>
      </c>
      <c r="E6" s="33">
        <f>ROUND('Anexo 14'!E6*'Anexo 4'!$D$10,0)</f>
        <v>0</v>
      </c>
      <c r="F6" s="33">
        <f>ROUND('Anexo 14'!F6*'Anexo 4'!$D$10,0)</f>
        <v>0</v>
      </c>
      <c r="G6" s="33">
        <f>ROUND('Anexo 14'!G6*'Anexo 4'!$D$10,0)</f>
        <v>0</v>
      </c>
      <c r="H6" s="33">
        <f>ROUND('Anexo 14'!H6*'Anexo 4'!$D$10,0)</f>
        <v>0</v>
      </c>
      <c r="I6" s="33">
        <f>ROUND('Anexo 14'!I6*'Anexo 4'!$D$10,0)</f>
        <v>0</v>
      </c>
      <c r="J6" s="33">
        <f>ROUND('Anexo 14'!J6*'Anexo 4'!$D$10,0)</f>
        <v>0</v>
      </c>
      <c r="K6" s="33">
        <f>ROUND('Anexo 14'!K6*'Anexo 4'!$D$10,0)</f>
        <v>0</v>
      </c>
      <c r="L6" s="33">
        <f>ROUND('Anexo 14'!L6*'Anexo 4'!$D$10,0)</f>
        <v>0</v>
      </c>
      <c r="M6" s="33">
        <f>ROUND('Anexo 14'!M6*'Anexo 4'!$D$10,0)</f>
        <v>0</v>
      </c>
      <c r="N6" s="33">
        <f>ROUND('Anexo 14'!N6*'Anexo 4'!$D$10,0)</f>
        <v>0</v>
      </c>
      <c r="O6" s="33">
        <f>ROUND('Anexo 14'!O6*'Anexo 4'!$D$10,0)</f>
        <v>0</v>
      </c>
      <c r="P6" s="33">
        <f>ROUND('Anexo 14'!P6*'Anexo 4'!$D$10,0)</f>
        <v>0</v>
      </c>
      <c r="Q6" s="33">
        <f>ROUND('Anexo 14'!Q6*'Anexo 4'!$D$10,0)</f>
        <v>0</v>
      </c>
      <c r="R6" s="33">
        <f>ROUND('Anexo 14'!R6*'Anexo 4'!$D$10,0)</f>
        <v>0</v>
      </c>
      <c r="S6" s="33">
        <f>ROUND('Anexo 14'!S6*'Anexo 4'!$D$10,0)</f>
        <v>0</v>
      </c>
      <c r="T6" s="33">
        <f>ROUND('Anexo 14'!T6*'Anexo 4'!$D$10,0)</f>
        <v>0</v>
      </c>
      <c r="U6" s="33">
        <f>ROUND('Anexo 14'!U6*'Anexo 4'!$D$10,0)</f>
        <v>0</v>
      </c>
      <c r="V6" s="33">
        <f>ROUND('Anexo 14'!V6*'Anexo 4'!$D$10,0)</f>
        <v>0</v>
      </c>
      <c r="W6" s="33">
        <f>ROUND('Anexo 14'!W6*'Anexo 4'!$D$10,0)</f>
        <v>0</v>
      </c>
      <c r="X6" s="33">
        <f>ROUND('Anexo 14'!X6*'Anexo 4'!$D$10,0)</f>
        <v>0</v>
      </c>
      <c r="Y6" s="33">
        <f>ROUND('Anexo 14'!Y6*'Anexo 4'!$D$10,0)</f>
        <v>0</v>
      </c>
      <c r="Z6" s="33">
        <f>ROUND('Anexo 14'!Z6*'Anexo 4'!$D$10,0)</f>
        <v>0</v>
      </c>
      <c r="AA6" s="35">
        <f>SUM(C6:Z6)</f>
        <v>0</v>
      </c>
      <c r="AB6" s="19">
        <v>21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ROUND('Anexo 14'!C7*'Anexo 4'!$D$10,0)</f>
        <v>0</v>
      </c>
      <c r="D7" s="33">
        <f>ROUND('Anexo 14'!D7*'Anexo 4'!$D$10,0)</f>
        <v>0</v>
      </c>
      <c r="E7" s="33">
        <f>ROUND('Anexo 14'!E7*'Anexo 4'!$D$10,0)</f>
        <v>0</v>
      </c>
      <c r="F7" s="33">
        <f>ROUND('Anexo 14'!F7*'Anexo 4'!$D$10,0)</f>
        <v>0</v>
      </c>
      <c r="G7" s="33">
        <f>ROUND('Anexo 14'!G7*'Anexo 4'!$D$10,0)</f>
        <v>0</v>
      </c>
      <c r="H7" s="33">
        <f>ROUND('Anexo 14'!H7*'Anexo 4'!$D$10,0)</f>
        <v>0</v>
      </c>
      <c r="I7" s="33">
        <f>ROUND('Anexo 14'!I7*'Anexo 4'!$D$10,0)</f>
        <v>0</v>
      </c>
      <c r="J7" s="33">
        <f>ROUND('Anexo 14'!J7*'Anexo 4'!$D$10,0)</f>
        <v>0</v>
      </c>
      <c r="K7" s="33">
        <f>ROUND('Anexo 14'!K7*'Anexo 4'!$D$10,0)</f>
        <v>0</v>
      </c>
      <c r="L7" s="33">
        <f>ROUND('Anexo 14'!L7*'Anexo 4'!$D$10,0)</f>
        <v>0</v>
      </c>
      <c r="M7" s="33">
        <f>ROUND('Anexo 14'!M7*'Anexo 4'!$D$10,0)</f>
        <v>0</v>
      </c>
      <c r="N7" s="33">
        <f>ROUND('Anexo 14'!N7*'Anexo 4'!$D$10,0)</f>
        <v>0</v>
      </c>
      <c r="O7" s="33">
        <f>ROUND('Anexo 14'!O7*'Anexo 4'!$D$10,0)</f>
        <v>0</v>
      </c>
      <c r="P7" s="33">
        <f>ROUND('Anexo 14'!P7*'Anexo 4'!$D$10,0)</f>
        <v>0</v>
      </c>
      <c r="Q7" s="33">
        <f>ROUND('Anexo 14'!Q7*'Anexo 4'!$D$10,0)</f>
        <v>0</v>
      </c>
      <c r="R7" s="33">
        <f>ROUND('Anexo 14'!R7*'Anexo 4'!$D$10,0)</f>
        <v>0</v>
      </c>
      <c r="S7" s="33">
        <f>ROUND('Anexo 14'!S7*'Anexo 4'!$D$10,0)</f>
        <v>0</v>
      </c>
      <c r="T7" s="33">
        <f>ROUND('Anexo 14'!T7*'Anexo 4'!$D$10,0)</f>
        <v>0</v>
      </c>
      <c r="U7" s="33">
        <f>ROUND('Anexo 14'!U7*'Anexo 4'!$D$10,0)</f>
        <v>0</v>
      </c>
      <c r="V7" s="33">
        <f>ROUND('Anexo 14'!V7*'Anexo 4'!$D$10,0)</f>
        <v>0</v>
      </c>
      <c r="W7" s="33">
        <f>ROUND('Anexo 14'!W7*'Anexo 4'!$D$10,0)</f>
        <v>0</v>
      </c>
      <c r="X7" s="33">
        <f>ROUND('Anexo 14'!X7*'Anexo 4'!$D$10,0)</f>
        <v>0</v>
      </c>
      <c r="Y7" s="33">
        <f>ROUND('Anexo 14'!Y7*'Anexo 4'!$D$10,0)</f>
        <v>0</v>
      </c>
      <c r="Z7" s="33">
        <f>ROUND('Anexo 14'!Z7*'Anexo 4'!$D$10,0)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ROUND('Anexo 14'!C8*'Anexo 4'!$D$10,0)</f>
        <v>0</v>
      </c>
      <c r="D8" s="33">
        <f>ROUND('Anexo 14'!D8*'Anexo 4'!$D$10,0)</f>
        <v>0</v>
      </c>
      <c r="E8" s="33">
        <f>ROUND('Anexo 14'!E8*'Anexo 4'!$D$10,0)</f>
        <v>0</v>
      </c>
      <c r="F8" s="33">
        <f>ROUND('Anexo 14'!F8*'Anexo 4'!$D$10,0)</f>
        <v>0</v>
      </c>
      <c r="G8" s="33">
        <f>ROUND('Anexo 14'!G8*'Anexo 4'!$D$10,0)</f>
        <v>0</v>
      </c>
      <c r="H8" s="33">
        <f>ROUND('Anexo 14'!H8*'Anexo 4'!$D$10,0)</f>
        <v>0</v>
      </c>
      <c r="I8" s="33">
        <f>ROUND('Anexo 14'!I8*'Anexo 4'!$D$10,0)</f>
        <v>0</v>
      </c>
      <c r="J8" s="33">
        <f>ROUND('Anexo 14'!J8*'Anexo 4'!$D$10,0)</f>
        <v>0</v>
      </c>
      <c r="K8" s="33">
        <f>ROUND('Anexo 14'!K8*'Anexo 4'!$D$10,0)</f>
        <v>0</v>
      </c>
      <c r="L8" s="33">
        <f>ROUND('Anexo 14'!L8*'Anexo 4'!$D$10,0)</f>
        <v>0</v>
      </c>
      <c r="M8" s="33">
        <f>ROUND('Anexo 14'!M8*'Anexo 4'!$D$10,0)</f>
        <v>0</v>
      </c>
      <c r="N8" s="33">
        <f>ROUND('Anexo 14'!N8*'Anexo 4'!$D$10,0)</f>
        <v>0</v>
      </c>
      <c r="O8" s="33">
        <f>ROUND('Anexo 14'!O8*'Anexo 4'!$D$10,0)</f>
        <v>0</v>
      </c>
      <c r="P8" s="33">
        <f>ROUND('Anexo 14'!P8*'Anexo 4'!$D$10,0)</f>
        <v>0</v>
      </c>
      <c r="Q8" s="33">
        <f>ROUND('Anexo 14'!Q8*'Anexo 4'!$D$10,0)</f>
        <v>0</v>
      </c>
      <c r="R8" s="33">
        <f>ROUND('Anexo 14'!R8*'Anexo 4'!$D$10,0)</f>
        <v>0</v>
      </c>
      <c r="S8" s="33">
        <f>ROUND('Anexo 14'!S8*'Anexo 4'!$D$10,0)</f>
        <v>0</v>
      </c>
      <c r="T8" s="33">
        <f>ROUND('Anexo 14'!T8*'Anexo 4'!$D$10,0)</f>
        <v>0</v>
      </c>
      <c r="U8" s="33">
        <f>ROUND('Anexo 14'!U8*'Anexo 4'!$D$10,0)</f>
        <v>0</v>
      </c>
      <c r="V8" s="33">
        <f>ROUND('Anexo 14'!V8*'Anexo 4'!$D$10,0)</f>
        <v>0</v>
      </c>
      <c r="W8" s="33">
        <f>ROUND('Anexo 14'!W8*'Anexo 4'!$D$10,0)</f>
        <v>0</v>
      </c>
      <c r="X8" s="33">
        <f>ROUND('Anexo 14'!X8*'Anexo 4'!$D$10,0)</f>
        <v>0</v>
      </c>
      <c r="Y8" s="33">
        <f>ROUND('Anexo 14'!Y8*'Anexo 4'!$D$10,0)</f>
        <v>0</v>
      </c>
      <c r="Z8" s="33">
        <f>ROUND('Anexo 14'!Z8*'Anexo 4'!$D$10,0)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47150</v>
      </c>
      <c r="B9" s="18" t="s">
        <v>5</v>
      </c>
      <c r="C9" s="33">
        <f>ROUND('Anexo 14'!C9*'Anexo 4'!$D$10,0)</f>
        <v>0</v>
      </c>
      <c r="D9" s="33">
        <f>ROUND('Anexo 14'!D9*'Anexo 4'!$D$10,0)</f>
        <v>0</v>
      </c>
      <c r="E9" s="33">
        <f>ROUND('Anexo 14'!E9*'Anexo 4'!$D$10,0)</f>
        <v>0</v>
      </c>
      <c r="F9" s="33">
        <f>ROUND('Anexo 14'!F9*'Anexo 4'!$D$10,0)</f>
        <v>0</v>
      </c>
      <c r="G9" s="33">
        <f>ROUND('Anexo 14'!G9*'Anexo 4'!$D$10,0)</f>
        <v>0</v>
      </c>
      <c r="H9" s="33">
        <f>ROUND('Anexo 14'!H9*'Anexo 4'!$D$10,0)</f>
        <v>0</v>
      </c>
      <c r="I9" s="33">
        <f>ROUND('Anexo 14'!I9*'Anexo 4'!$D$10,0)</f>
        <v>0</v>
      </c>
      <c r="J9" s="33">
        <f>ROUND('Anexo 14'!J9*'Anexo 4'!$D$10,0)</f>
        <v>0</v>
      </c>
      <c r="K9" s="33">
        <f>ROUND('Anexo 14'!K9*'Anexo 4'!$D$10,0)</f>
        <v>0</v>
      </c>
      <c r="L9" s="33">
        <f>ROUND('Anexo 14'!L9*'Anexo 4'!$D$10,0)</f>
        <v>0</v>
      </c>
      <c r="M9" s="33">
        <f>ROUND('Anexo 14'!M9*'Anexo 4'!$D$10,0)</f>
        <v>0</v>
      </c>
      <c r="N9" s="33">
        <f>ROUND('Anexo 14'!N9*'Anexo 4'!$D$10,0)</f>
        <v>0</v>
      </c>
      <c r="O9" s="33">
        <f>ROUND('Anexo 14'!O9*'Anexo 4'!$D$10,0)</f>
        <v>0</v>
      </c>
      <c r="P9" s="33">
        <f>ROUND('Anexo 14'!P9*'Anexo 4'!$D$10,0)</f>
        <v>0</v>
      </c>
      <c r="Q9" s="33">
        <f>ROUND('Anexo 14'!Q9*'Anexo 4'!$D$10,0)</f>
        <v>0</v>
      </c>
      <c r="R9" s="33">
        <f>ROUND('Anexo 14'!R9*'Anexo 4'!$D$10,0)</f>
        <v>0</v>
      </c>
      <c r="S9" s="33">
        <f>ROUND('Anexo 14'!S9*'Anexo 4'!$D$10,0)</f>
        <v>0</v>
      </c>
      <c r="T9" s="33">
        <f>ROUND('Anexo 14'!T9*'Anexo 4'!$D$10,0)</f>
        <v>0</v>
      </c>
      <c r="U9" s="33">
        <f>ROUND('Anexo 14'!U9*'Anexo 4'!$D$10,0)</f>
        <v>0</v>
      </c>
      <c r="V9" s="33">
        <f>ROUND('Anexo 14'!V9*'Anexo 4'!$D$10,0)</f>
        <v>0</v>
      </c>
      <c r="W9" s="33">
        <f>ROUND('Anexo 14'!W9*'Anexo 4'!$D$10,0)</f>
        <v>0</v>
      </c>
      <c r="X9" s="33">
        <f>ROUND('Anexo 14'!X9*'Anexo 4'!$D$10,0)</f>
        <v>0</v>
      </c>
      <c r="Y9" s="33">
        <f>ROUND('Anexo 14'!Y9*'Anexo 4'!$D$10,0)</f>
        <v>0</v>
      </c>
      <c r="Z9" s="33">
        <f>ROUND('Anexo 14'!Z9*'Anexo 4'!$D$10,0)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ROUND('Anexo 14'!C10*'Anexo 4'!$D$10,0)</f>
        <v>0</v>
      </c>
      <c r="D10" s="33">
        <f>ROUND('Anexo 14'!D10*'Anexo 4'!$D$10,0)</f>
        <v>0</v>
      </c>
      <c r="E10" s="33">
        <f>ROUND('Anexo 14'!E10*'Anexo 4'!$D$10,0)</f>
        <v>0</v>
      </c>
      <c r="F10" s="33">
        <f>ROUND('Anexo 14'!F10*'Anexo 4'!$D$10,0)</f>
        <v>0</v>
      </c>
      <c r="G10" s="33">
        <f>ROUND('Anexo 14'!G10*'Anexo 4'!$D$10,0)</f>
        <v>0</v>
      </c>
      <c r="H10" s="33">
        <f>ROUND('Anexo 14'!H10*'Anexo 4'!$D$10,0)</f>
        <v>0</v>
      </c>
      <c r="I10" s="33">
        <f>ROUND('Anexo 14'!I10*'Anexo 4'!$D$10,0)</f>
        <v>0</v>
      </c>
      <c r="J10" s="33">
        <f>ROUND('Anexo 14'!J10*'Anexo 4'!$D$10,0)</f>
        <v>0</v>
      </c>
      <c r="K10" s="33">
        <f>ROUND('Anexo 14'!K10*'Anexo 4'!$D$10,0)</f>
        <v>0</v>
      </c>
      <c r="L10" s="33">
        <f>ROUND('Anexo 14'!L10*'Anexo 4'!$D$10,0)</f>
        <v>0</v>
      </c>
      <c r="M10" s="33">
        <f>ROUND('Anexo 14'!M10*'Anexo 4'!$D$10,0)</f>
        <v>0</v>
      </c>
      <c r="N10" s="33">
        <f>ROUND('Anexo 14'!N10*'Anexo 4'!$D$10,0)</f>
        <v>0</v>
      </c>
      <c r="O10" s="33">
        <f>ROUND('Anexo 14'!O10*'Anexo 4'!$D$10,0)</f>
        <v>0</v>
      </c>
      <c r="P10" s="33">
        <f>ROUND('Anexo 14'!P10*'Anexo 4'!$D$10,0)</f>
        <v>0</v>
      </c>
      <c r="Q10" s="33">
        <f>ROUND('Anexo 14'!Q10*'Anexo 4'!$D$10,0)</f>
        <v>0</v>
      </c>
      <c r="R10" s="33">
        <f>ROUND('Anexo 14'!R10*'Anexo 4'!$D$10,0)</f>
        <v>0</v>
      </c>
      <c r="S10" s="33">
        <f>ROUND('Anexo 14'!S10*'Anexo 4'!$D$10,0)</f>
        <v>0</v>
      </c>
      <c r="T10" s="33">
        <f>ROUND('Anexo 14'!T10*'Anexo 4'!$D$10,0)</f>
        <v>0</v>
      </c>
      <c r="U10" s="33">
        <f>ROUND('Anexo 14'!U10*'Anexo 4'!$D$10,0)</f>
        <v>0</v>
      </c>
      <c r="V10" s="33">
        <f>ROUND('Anexo 14'!V10*'Anexo 4'!$D$10,0)</f>
        <v>0</v>
      </c>
      <c r="W10" s="33">
        <f>ROUND('Anexo 14'!W10*'Anexo 4'!$D$10,0)</f>
        <v>0</v>
      </c>
      <c r="X10" s="33">
        <f>ROUND('Anexo 14'!X10*'Anexo 4'!$D$10,0)</f>
        <v>0</v>
      </c>
      <c r="Y10" s="33">
        <f>ROUND('Anexo 14'!Y10*'Anexo 4'!$D$10,0)</f>
        <v>0</v>
      </c>
      <c r="Z10" s="33">
        <f>ROUND('Anexo 14'!Z10*'Anexo 4'!$D$10,0)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ROUND('Anexo 14'!C11*'Anexo 4'!$D$10,0)</f>
        <v>0</v>
      </c>
      <c r="D11" s="33">
        <f>ROUND('Anexo 14'!D11*'Anexo 4'!$D$10,0)</f>
        <v>0</v>
      </c>
      <c r="E11" s="33">
        <f>ROUND('Anexo 14'!E11*'Anexo 4'!$D$10,0)</f>
        <v>0</v>
      </c>
      <c r="F11" s="33">
        <f>ROUND('Anexo 14'!F11*'Anexo 4'!$D$10,0)</f>
        <v>0</v>
      </c>
      <c r="G11" s="33">
        <f>ROUND('Anexo 14'!G11*'Anexo 4'!$D$10,0)</f>
        <v>0</v>
      </c>
      <c r="H11" s="33">
        <f>ROUND('Anexo 14'!H11*'Anexo 4'!$D$10,0)</f>
        <v>0</v>
      </c>
      <c r="I11" s="33">
        <f>ROUND('Anexo 14'!I11*'Anexo 4'!$D$10,0)</f>
        <v>0</v>
      </c>
      <c r="J11" s="33">
        <f>ROUND('Anexo 14'!J11*'Anexo 4'!$D$10,0)</f>
        <v>0</v>
      </c>
      <c r="K11" s="33">
        <f>ROUND('Anexo 14'!K11*'Anexo 4'!$D$10,0)</f>
        <v>0</v>
      </c>
      <c r="L11" s="33">
        <f>ROUND('Anexo 14'!L11*'Anexo 4'!$D$10,0)</f>
        <v>0</v>
      </c>
      <c r="M11" s="33">
        <f>ROUND('Anexo 14'!M11*'Anexo 4'!$D$10,0)</f>
        <v>0</v>
      </c>
      <c r="N11" s="33">
        <f>ROUND('Anexo 14'!N11*'Anexo 4'!$D$10,0)</f>
        <v>0</v>
      </c>
      <c r="O11" s="33">
        <f>ROUND('Anexo 14'!O11*'Anexo 4'!$D$10,0)</f>
        <v>0</v>
      </c>
      <c r="P11" s="33">
        <f>ROUND('Anexo 14'!P11*'Anexo 4'!$D$10,0)</f>
        <v>0</v>
      </c>
      <c r="Q11" s="33">
        <f>ROUND('Anexo 14'!Q11*'Anexo 4'!$D$10,0)</f>
        <v>0</v>
      </c>
      <c r="R11" s="33">
        <f>ROUND('Anexo 14'!R11*'Anexo 4'!$D$10,0)</f>
        <v>0</v>
      </c>
      <c r="S11" s="33">
        <f>ROUND('Anexo 14'!S11*'Anexo 4'!$D$10,0)</f>
        <v>0</v>
      </c>
      <c r="T11" s="33">
        <f>ROUND('Anexo 14'!T11*'Anexo 4'!$D$10,0)</f>
        <v>0</v>
      </c>
      <c r="U11" s="33">
        <f>ROUND('Anexo 14'!U11*'Anexo 4'!$D$10,0)</f>
        <v>0</v>
      </c>
      <c r="V11" s="33">
        <f>ROUND('Anexo 14'!V11*'Anexo 4'!$D$10,0)</f>
        <v>0</v>
      </c>
      <c r="W11" s="33">
        <f>ROUND('Anexo 14'!W11*'Anexo 4'!$D$10,0)</f>
        <v>0</v>
      </c>
      <c r="X11" s="33">
        <f>ROUND('Anexo 14'!X11*'Anexo 4'!$D$10,0)</f>
        <v>0</v>
      </c>
      <c r="Y11" s="33">
        <f>ROUND('Anexo 14'!Y11*'Anexo 4'!$D$10,0)</f>
        <v>0</v>
      </c>
      <c r="Z11" s="33">
        <f>ROUND('Anexo 14'!Z11*'Anexo 4'!$D$10,0)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47178</v>
      </c>
      <c r="B12" s="18" t="s">
        <v>5</v>
      </c>
      <c r="C12" s="33">
        <f>ROUND('Anexo 14'!C12*'Anexo 4'!$D$10,0)</f>
        <v>0</v>
      </c>
      <c r="D12" s="33">
        <f>ROUND('Anexo 14'!D12*'Anexo 4'!$D$10,0)</f>
        <v>0</v>
      </c>
      <c r="E12" s="33">
        <f>ROUND('Anexo 14'!E12*'Anexo 4'!$D$10,0)</f>
        <v>0</v>
      </c>
      <c r="F12" s="33">
        <f>ROUND('Anexo 14'!F12*'Anexo 4'!$D$10,0)</f>
        <v>0</v>
      </c>
      <c r="G12" s="33">
        <f>ROUND('Anexo 14'!G12*'Anexo 4'!$D$10,0)</f>
        <v>0</v>
      </c>
      <c r="H12" s="33">
        <f>ROUND('Anexo 14'!H12*'Anexo 4'!$D$10,0)</f>
        <v>0</v>
      </c>
      <c r="I12" s="33">
        <f>ROUND('Anexo 14'!I12*'Anexo 4'!$D$10,0)</f>
        <v>0</v>
      </c>
      <c r="J12" s="33">
        <f>ROUND('Anexo 14'!J12*'Anexo 4'!$D$10,0)</f>
        <v>0</v>
      </c>
      <c r="K12" s="33">
        <f>ROUND('Anexo 14'!K12*'Anexo 4'!$D$10,0)</f>
        <v>0</v>
      </c>
      <c r="L12" s="33">
        <f>ROUND('Anexo 14'!L12*'Anexo 4'!$D$10,0)</f>
        <v>0</v>
      </c>
      <c r="M12" s="33">
        <f>ROUND('Anexo 14'!M12*'Anexo 4'!$D$10,0)</f>
        <v>0</v>
      </c>
      <c r="N12" s="33">
        <f>ROUND('Anexo 14'!N12*'Anexo 4'!$D$10,0)</f>
        <v>0</v>
      </c>
      <c r="O12" s="33">
        <f>ROUND('Anexo 14'!O12*'Anexo 4'!$D$10,0)</f>
        <v>0</v>
      </c>
      <c r="P12" s="33">
        <f>ROUND('Anexo 14'!P12*'Anexo 4'!$D$10,0)</f>
        <v>0</v>
      </c>
      <c r="Q12" s="33">
        <f>ROUND('Anexo 14'!Q12*'Anexo 4'!$D$10,0)</f>
        <v>0</v>
      </c>
      <c r="R12" s="33">
        <f>ROUND('Anexo 14'!R12*'Anexo 4'!$D$10,0)</f>
        <v>0</v>
      </c>
      <c r="S12" s="33">
        <f>ROUND('Anexo 14'!S12*'Anexo 4'!$D$10,0)</f>
        <v>0</v>
      </c>
      <c r="T12" s="33">
        <f>ROUND('Anexo 14'!T12*'Anexo 4'!$D$10,0)</f>
        <v>0</v>
      </c>
      <c r="U12" s="33">
        <f>ROUND('Anexo 14'!U12*'Anexo 4'!$D$10,0)</f>
        <v>0</v>
      </c>
      <c r="V12" s="33">
        <f>ROUND('Anexo 14'!V12*'Anexo 4'!$D$10,0)</f>
        <v>0</v>
      </c>
      <c r="W12" s="33">
        <f>ROUND('Anexo 14'!W12*'Anexo 4'!$D$10,0)</f>
        <v>0</v>
      </c>
      <c r="X12" s="33">
        <f>ROUND('Anexo 14'!X12*'Anexo 4'!$D$10,0)</f>
        <v>0</v>
      </c>
      <c r="Y12" s="33">
        <f>ROUND('Anexo 14'!Y12*'Anexo 4'!$D$10,0)</f>
        <v>0</v>
      </c>
      <c r="Z12" s="33">
        <f>ROUND('Anexo 14'!Z12*'Anexo 4'!$D$10,0)</f>
        <v>0</v>
      </c>
      <c r="AA12" s="35">
        <f t="shared" si="0"/>
        <v>0</v>
      </c>
      <c r="AB12" s="19">
        <v>19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ROUND('Anexo 14'!C13*'Anexo 4'!$D$10,0)</f>
        <v>0</v>
      </c>
      <c r="D13" s="33">
        <f>ROUND('Anexo 14'!D13*'Anexo 4'!$D$10,0)</f>
        <v>0</v>
      </c>
      <c r="E13" s="33">
        <f>ROUND('Anexo 14'!E13*'Anexo 4'!$D$10,0)</f>
        <v>0</v>
      </c>
      <c r="F13" s="33">
        <f>ROUND('Anexo 14'!F13*'Anexo 4'!$D$10,0)</f>
        <v>0</v>
      </c>
      <c r="G13" s="33">
        <f>ROUND('Anexo 14'!G13*'Anexo 4'!$D$10,0)</f>
        <v>0</v>
      </c>
      <c r="H13" s="33">
        <f>ROUND('Anexo 14'!H13*'Anexo 4'!$D$10,0)</f>
        <v>0</v>
      </c>
      <c r="I13" s="33">
        <f>ROUND('Anexo 14'!I13*'Anexo 4'!$D$10,0)</f>
        <v>0</v>
      </c>
      <c r="J13" s="33">
        <f>ROUND('Anexo 14'!J13*'Anexo 4'!$D$10,0)</f>
        <v>0</v>
      </c>
      <c r="K13" s="33">
        <f>ROUND('Anexo 14'!K13*'Anexo 4'!$D$10,0)</f>
        <v>0</v>
      </c>
      <c r="L13" s="33">
        <f>ROUND('Anexo 14'!L13*'Anexo 4'!$D$10,0)</f>
        <v>0</v>
      </c>
      <c r="M13" s="33">
        <f>ROUND('Anexo 14'!M13*'Anexo 4'!$D$10,0)</f>
        <v>0</v>
      </c>
      <c r="N13" s="33">
        <f>ROUND('Anexo 14'!N13*'Anexo 4'!$D$10,0)</f>
        <v>0</v>
      </c>
      <c r="O13" s="33">
        <f>ROUND('Anexo 14'!O13*'Anexo 4'!$D$10,0)</f>
        <v>0</v>
      </c>
      <c r="P13" s="33">
        <f>ROUND('Anexo 14'!P13*'Anexo 4'!$D$10,0)</f>
        <v>0</v>
      </c>
      <c r="Q13" s="33">
        <f>ROUND('Anexo 14'!Q13*'Anexo 4'!$D$10,0)</f>
        <v>0</v>
      </c>
      <c r="R13" s="33">
        <f>ROUND('Anexo 14'!R13*'Anexo 4'!$D$10,0)</f>
        <v>0</v>
      </c>
      <c r="S13" s="33">
        <f>ROUND('Anexo 14'!S13*'Anexo 4'!$D$10,0)</f>
        <v>0</v>
      </c>
      <c r="T13" s="33">
        <f>ROUND('Anexo 14'!T13*'Anexo 4'!$D$10,0)</f>
        <v>0</v>
      </c>
      <c r="U13" s="33">
        <f>ROUND('Anexo 14'!U13*'Anexo 4'!$D$10,0)</f>
        <v>0</v>
      </c>
      <c r="V13" s="33">
        <f>ROUND('Anexo 14'!V13*'Anexo 4'!$D$10,0)</f>
        <v>0</v>
      </c>
      <c r="W13" s="33">
        <f>ROUND('Anexo 14'!W13*'Anexo 4'!$D$10,0)</f>
        <v>0</v>
      </c>
      <c r="X13" s="33">
        <f>ROUND('Anexo 14'!X13*'Anexo 4'!$D$10,0)</f>
        <v>0</v>
      </c>
      <c r="Y13" s="33">
        <f>ROUND('Anexo 14'!Y13*'Anexo 4'!$D$10,0)</f>
        <v>0</v>
      </c>
      <c r="Z13" s="33">
        <f>ROUND('Anexo 14'!Z13*'Anexo 4'!$D$10,0)</f>
        <v>0</v>
      </c>
      <c r="AA13" s="38">
        <f t="shared" si="0"/>
        <v>0</v>
      </c>
      <c r="AB13" s="21">
        <v>5</v>
      </c>
      <c r="AC13" s="101"/>
      <c r="AD13" s="47"/>
    </row>
    <row r="14" spans="1:30" ht="15.75" thickBot="1" x14ac:dyDescent="0.3">
      <c r="A14" s="99"/>
      <c r="B14" s="22" t="s">
        <v>3</v>
      </c>
      <c r="C14" s="33">
        <f>ROUND('Anexo 14'!C14*'Anexo 4'!$D$10,0)</f>
        <v>0</v>
      </c>
      <c r="D14" s="33">
        <f>ROUND('Anexo 14'!D14*'Anexo 4'!$D$10,0)</f>
        <v>0</v>
      </c>
      <c r="E14" s="33">
        <f>ROUND('Anexo 14'!E14*'Anexo 4'!$D$10,0)</f>
        <v>0</v>
      </c>
      <c r="F14" s="33">
        <f>ROUND('Anexo 14'!F14*'Anexo 4'!$D$10,0)</f>
        <v>0</v>
      </c>
      <c r="G14" s="33">
        <f>ROUND('Anexo 14'!G14*'Anexo 4'!$D$10,0)</f>
        <v>0</v>
      </c>
      <c r="H14" s="33">
        <f>ROUND('Anexo 14'!H14*'Anexo 4'!$D$10,0)</f>
        <v>0</v>
      </c>
      <c r="I14" s="33">
        <f>ROUND('Anexo 14'!I14*'Anexo 4'!$D$10,0)</f>
        <v>0</v>
      </c>
      <c r="J14" s="33">
        <f>ROUND('Anexo 14'!J14*'Anexo 4'!$D$10,0)</f>
        <v>0</v>
      </c>
      <c r="K14" s="33">
        <f>ROUND('Anexo 14'!K14*'Anexo 4'!$D$10,0)</f>
        <v>0</v>
      </c>
      <c r="L14" s="33">
        <f>ROUND('Anexo 14'!L14*'Anexo 4'!$D$10,0)</f>
        <v>0</v>
      </c>
      <c r="M14" s="33">
        <f>ROUND('Anexo 14'!M14*'Anexo 4'!$D$10,0)</f>
        <v>0</v>
      </c>
      <c r="N14" s="33">
        <f>ROUND('Anexo 14'!N14*'Anexo 4'!$D$10,0)</f>
        <v>0</v>
      </c>
      <c r="O14" s="33">
        <f>ROUND('Anexo 14'!O14*'Anexo 4'!$D$10,0)</f>
        <v>0</v>
      </c>
      <c r="P14" s="33">
        <f>ROUND('Anexo 14'!P14*'Anexo 4'!$D$10,0)</f>
        <v>0</v>
      </c>
      <c r="Q14" s="33">
        <f>ROUND('Anexo 14'!Q14*'Anexo 4'!$D$10,0)</f>
        <v>0</v>
      </c>
      <c r="R14" s="33">
        <f>ROUND('Anexo 14'!R14*'Anexo 4'!$D$10,0)</f>
        <v>0</v>
      </c>
      <c r="S14" s="33">
        <f>ROUND('Anexo 14'!S14*'Anexo 4'!$D$10,0)</f>
        <v>0</v>
      </c>
      <c r="T14" s="33">
        <f>ROUND('Anexo 14'!T14*'Anexo 4'!$D$10,0)</f>
        <v>0</v>
      </c>
      <c r="U14" s="33">
        <f>ROUND('Anexo 14'!U14*'Anexo 4'!$D$10,0)</f>
        <v>0</v>
      </c>
      <c r="V14" s="33">
        <f>ROUND('Anexo 14'!V14*'Anexo 4'!$D$10,0)</f>
        <v>0</v>
      </c>
      <c r="W14" s="33">
        <f>ROUND('Anexo 14'!W14*'Anexo 4'!$D$10,0)</f>
        <v>0</v>
      </c>
      <c r="X14" s="33">
        <f>ROUND('Anexo 14'!X14*'Anexo 4'!$D$10,0)</f>
        <v>0</v>
      </c>
      <c r="Y14" s="33">
        <f>ROUND('Anexo 14'!Y14*'Anexo 4'!$D$10,0)</f>
        <v>0</v>
      </c>
      <c r="Z14" s="33">
        <f>ROUND('Anexo 14'!Z14*'Anexo 4'!$D$10,0)</f>
        <v>0</v>
      </c>
      <c r="AA14" s="41">
        <f t="shared" si="0"/>
        <v>0</v>
      </c>
      <c r="AB14" s="23">
        <v>7</v>
      </c>
      <c r="AC14" s="102"/>
      <c r="AD14" s="45"/>
    </row>
    <row r="15" spans="1:30" ht="15.75" thickBot="1" x14ac:dyDescent="0.3">
      <c r="A15" s="99">
        <v>47209</v>
      </c>
      <c r="B15" s="18" t="s">
        <v>5</v>
      </c>
      <c r="C15" s="33">
        <f>ROUND('Anexo 14'!C15*'Anexo 4'!$D$10,0)</f>
        <v>0</v>
      </c>
      <c r="D15" s="33">
        <f>ROUND('Anexo 14'!D15*'Anexo 4'!$D$10,0)</f>
        <v>0</v>
      </c>
      <c r="E15" s="33">
        <f>ROUND('Anexo 14'!E15*'Anexo 4'!$D$10,0)</f>
        <v>0</v>
      </c>
      <c r="F15" s="33">
        <f>ROUND('Anexo 14'!F15*'Anexo 4'!$D$10,0)</f>
        <v>0</v>
      </c>
      <c r="G15" s="33">
        <f>ROUND('Anexo 14'!G15*'Anexo 4'!$D$10,0)</f>
        <v>0</v>
      </c>
      <c r="H15" s="33">
        <f>ROUND('Anexo 14'!H15*'Anexo 4'!$D$10,0)</f>
        <v>0</v>
      </c>
      <c r="I15" s="33">
        <f>ROUND('Anexo 14'!I15*'Anexo 4'!$D$10,0)</f>
        <v>0</v>
      </c>
      <c r="J15" s="33">
        <f>ROUND('Anexo 14'!J15*'Anexo 4'!$D$10,0)</f>
        <v>0</v>
      </c>
      <c r="K15" s="33">
        <f>ROUND('Anexo 14'!K15*'Anexo 4'!$D$10,0)</f>
        <v>0</v>
      </c>
      <c r="L15" s="33">
        <f>ROUND('Anexo 14'!L15*'Anexo 4'!$D$10,0)</f>
        <v>0</v>
      </c>
      <c r="M15" s="33">
        <f>ROUND('Anexo 14'!M15*'Anexo 4'!$D$10,0)</f>
        <v>0</v>
      </c>
      <c r="N15" s="33">
        <f>ROUND('Anexo 14'!N15*'Anexo 4'!$D$10,0)</f>
        <v>0</v>
      </c>
      <c r="O15" s="33">
        <f>ROUND('Anexo 14'!O15*'Anexo 4'!$D$10,0)</f>
        <v>0</v>
      </c>
      <c r="P15" s="33">
        <f>ROUND('Anexo 14'!P15*'Anexo 4'!$D$10,0)</f>
        <v>0</v>
      </c>
      <c r="Q15" s="33">
        <f>ROUND('Anexo 14'!Q15*'Anexo 4'!$D$10,0)</f>
        <v>0</v>
      </c>
      <c r="R15" s="33">
        <f>ROUND('Anexo 14'!R15*'Anexo 4'!$D$10,0)</f>
        <v>0</v>
      </c>
      <c r="S15" s="33">
        <f>ROUND('Anexo 14'!S15*'Anexo 4'!$D$10,0)</f>
        <v>0</v>
      </c>
      <c r="T15" s="33">
        <f>ROUND('Anexo 14'!T15*'Anexo 4'!$D$10,0)</f>
        <v>0</v>
      </c>
      <c r="U15" s="33">
        <f>ROUND('Anexo 14'!U15*'Anexo 4'!$D$10,0)</f>
        <v>0</v>
      </c>
      <c r="V15" s="33">
        <f>ROUND('Anexo 14'!V15*'Anexo 4'!$D$10,0)</f>
        <v>0</v>
      </c>
      <c r="W15" s="33">
        <f>ROUND('Anexo 14'!W15*'Anexo 4'!$D$10,0)</f>
        <v>0</v>
      </c>
      <c r="X15" s="33">
        <f>ROUND('Anexo 14'!X15*'Anexo 4'!$D$10,0)</f>
        <v>0</v>
      </c>
      <c r="Y15" s="33">
        <f>ROUND('Anexo 14'!Y15*'Anexo 4'!$D$10,0)</f>
        <v>0</v>
      </c>
      <c r="Z15" s="33">
        <f>ROUND('Anexo 14'!Z15*'Anexo 4'!$D$10,0)</f>
        <v>0</v>
      </c>
      <c r="AA15" s="35">
        <f t="shared" si="0"/>
        <v>0</v>
      </c>
      <c r="AB15" s="19">
        <v>21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ROUND('Anexo 14'!C16*'Anexo 4'!$D$10,0)</f>
        <v>0</v>
      </c>
      <c r="D16" s="33">
        <f>ROUND('Anexo 14'!D16*'Anexo 4'!$D$10,0)</f>
        <v>0</v>
      </c>
      <c r="E16" s="33">
        <f>ROUND('Anexo 14'!E16*'Anexo 4'!$D$10,0)</f>
        <v>0</v>
      </c>
      <c r="F16" s="33">
        <f>ROUND('Anexo 14'!F16*'Anexo 4'!$D$10,0)</f>
        <v>0</v>
      </c>
      <c r="G16" s="33">
        <f>ROUND('Anexo 14'!G16*'Anexo 4'!$D$10,0)</f>
        <v>0</v>
      </c>
      <c r="H16" s="33">
        <f>ROUND('Anexo 14'!H16*'Anexo 4'!$D$10,0)</f>
        <v>0</v>
      </c>
      <c r="I16" s="33">
        <f>ROUND('Anexo 14'!I16*'Anexo 4'!$D$10,0)</f>
        <v>0</v>
      </c>
      <c r="J16" s="33">
        <f>ROUND('Anexo 14'!J16*'Anexo 4'!$D$10,0)</f>
        <v>0</v>
      </c>
      <c r="K16" s="33">
        <f>ROUND('Anexo 14'!K16*'Anexo 4'!$D$10,0)</f>
        <v>0</v>
      </c>
      <c r="L16" s="33">
        <f>ROUND('Anexo 14'!L16*'Anexo 4'!$D$10,0)</f>
        <v>0</v>
      </c>
      <c r="M16" s="33">
        <f>ROUND('Anexo 14'!M16*'Anexo 4'!$D$10,0)</f>
        <v>0</v>
      </c>
      <c r="N16" s="33">
        <f>ROUND('Anexo 14'!N16*'Anexo 4'!$D$10,0)</f>
        <v>0</v>
      </c>
      <c r="O16" s="33">
        <f>ROUND('Anexo 14'!O16*'Anexo 4'!$D$10,0)</f>
        <v>0</v>
      </c>
      <c r="P16" s="33">
        <f>ROUND('Anexo 14'!P16*'Anexo 4'!$D$10,0)</f>
        <v>0</v>
      </c>
      <c r="Q16" s="33">
        <f>ROUND('Anexo 14'!Q16*'Anexo 4'!$D$10,0)</f>
        <v>0</v>
      </c>
      <c r="R16" s="33">
        <f>ROUND('Anexo 14'!R16*'Anexo 4'!$D$10,0)</f>
        <v>0</v>
      </c>
      <c r="S16" s="33">
        <f>ROUND('Anexo 14'!S16*'Anexo 4'!$D$10,0)</f>
        <v>0</v>
      </c>
      <c r="T16" s="33">
        <f>ROUND('Anexo 14'!T16*'Anexo 4'!$D$10,0)</f>
        <v>0</v>
      </c>
      <c r="U16" s="33">
        <f>ROUND('Anexo 14'!U16*'Anexo 4'!$D$10,0)</f>
        <v>0</v>
      </c>
      <c r="V16" s="33">
        <f>ROUND('Anexo 14'!V16*'Anexo 4'!$D$10,0)</f>
        <v>0</v>
      </c>
      <c r="W16" s="33">
        <f>ROUND('Anexo 14'!W16*'Anexo 4'!$D$10,0)</f>
        <v>0</v>
      </c>
      <c r="X16" s="33">
        <f>ROUND('Anexo 14'!X16*'Anexo 4'!$D$10,0)</f>
        <v>0</v>
      </c>
      <c r="Y16" s="33">
        <f>ROUND('Anexo 14'!Y16*'Anexo 4'!$D$10,0)</f>
        <v>0</v>
      </c>
      <c r="Z16" s="33">
        <f>ROUND('Anexo 14'!Z16*'Anexo 4'!$D$10,0)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ROUND('Anexo 14'!C17*'Anexo 4'!$D$10,0)</f>
        <v>0</v>
      </c>
      <c r="D17" s="33">
        <f>ROUND('Anexo 14'!D17*'Anexo 4'!$D$10,0)</f>
        <v>0</v>
      </c>
      <c r="E17" s="33">
        <f>ROUND('Anexo 14'!E17*'Anexo 4'!$D$10,0)</f>
        <v>0</v>
      </c>
      <c r="F17" s="33">
        <f>ROUND('Anexo 14'!F17*'Anexo 4'!$D$10,0)</f>
        <v>0</v>
      </c>
      <c r="G17" s="33">
        <f>ROUND('Anexo 14'!G17*'Anexo 4'!$D$10,0)</f>
        <v>0</v>
      </c>
      <c r="H17" s="33">
        <f>ROUND('Anexo 14'!H17*'Anexo 4'!$D$10,0)</f>
        <v>0</v>
      </c>
      <c r="I17" s="33">
        <f>ROUND('Anexo 14'!I17*'Anexo 4'!$D$10,0)</f>
        <v>0</v>
      </c>
      <c r="J17" s="33">
        <f>ROUND('Anexo 14'!J17*'Anexo 4'!$D$10,0)</f>
        <v>0</v>
      </c>
      <c r="K17" s="33">
        <f>ROUND('Anexo 14'!K17*'Anexo 4'!$D$10,0)</f>
        <v>0</v>
      </c>
      <c r="L17" s="33">
        <f>ROUND('Anexo 14'!L17*'Anexo 4'!$D$10,0)</f>
        <v>0</v>
      </c>
      <c r="M17" s="33">
        <f>ROUND('Anexo 14'!M17*'Anexo 4'!$D$10,0)</f>
        <v>0</v>
      </c>
      <c r="N17" s="33">
        <f>ROUND('Anexo 14'!N17*'Anexo 4'!$D$10,0)</f>
        <v>0</v>
      </c>
      <c r="O17" s="33">
        <f>ROUND('Anexo 14'!O17*'Anexo 4'!$D$10,0)</f>
        <v>0</v>
      </c>
      <c r="P17" s="33">
        <f>ROUND('Anexo 14'!P17*'Anexo 4'!$D$10,0)</f>
        <v>0</v>
      </c>
      <c r="Q17" s="33">
        <f>ROUND('Anexo 14'!Q17*'Anexo 4'!$D$10,0)</f>
        <v>0</v>
      </c>
      <c r="R17" s="33">
        <f>ROUND('Anexo 14'!R17*'Anexo 4'!$D$10,0)</f>
        <v>0</v>
      </c>
      <c r="S17" s="33">
        <f>ROUND('Anexo 14'!S17*'Anexo 4'!$D$10,0)</f>
        <v>0</v>
      </c>
      <c r="T17" s="33">
        <f>ROUND('Anexo 14'!T17*'Anexo 4'!$D$10,0)</f>
        <v>0</v>
      </c>
      <c r="U17" s="33">
        <f>ROUND('Anexo 14'!U17*'Anexo 4'!$D$10,0)</f>
        <v>0</v>
      </c>
      <c r="V17" s="33">
        <f>ROUND('Anexo 14'!V17*'Anexo 4'!$D$10,0)</f>
        <v>0</v>
      </c>
      <c r="W17" s="33">
        <f>ROUND('Anexo 14'!W17*'Anexo 4'!$D$10,0)</f>
        <v>0</v>
      </c>
      <c r="X17" s="33">
        <f>ROUND('Anexo 14'!X17*'Anexo 4'!$D$10,0)</f>
        <v>0</v>
      </c>
      <c r="Y17" s="33">
        <f>ROUND('Anexo 14'!Y17*'Anexo 4'!$D$10,0)</f>
        <v>0</v>
      </c>
      <c r="Z17" s="33">
        <f>ROUND('Anexo 14'!Z17*'Anexo 4'!$D$10,0)</f>
        <v>0</v>
      </c>
      <c r="AA17" s="41">
        <f t="shared" si="0"/>
        <v>0</v>
      </c>
      <c r="AB17" s="23">
        <v>5</v>
      </c>
      <c r="AC17" s="102"/>
      <c r="AD17" s="48"/>
    </row>
    <row r="18" spans="1:30" ht="15.75" thickBot="1" x14ac:dyDescent="0.3">
      <c r="A18" s="99">
        <v>47239</v>
      </c>
      <c r="B18" s="18" t="s">
        <v>5</v>
      </c>
      <c r="C18" s="33">
        <f>ROUND('Anexo 14'!C18*'Anexo 4'!$D$10,0)</f>
        <v>0</v>
      </c>
      <c r="D18" s="33">
        <f>ROUND('Anexo 14'!D18*'Anexo 4'!$D$10,0)</f>
        <v>0</v>
      </c>
      <c r="E18" s="33">
        <f>ROUND('Anexo 14'!E18*'Anexo 4'!$D$10,0)</f>
        <v>0</v>
      </c>
      <c r="F18" s="33">
        <f>ROUND('Anexo 14'!F18*'Anexo 4'!$D$10,0)</f>
        <v>0</v>
      </c>
      <c r="G18" s="33">
        <f>ROUND('Anexo 14'!G18*'Anexo 4'!$D$10,0)</f>
        <v>0</v>
      </c>
      <c r="H18" s="33">
        <f>ROUND('Anexo 14'!H18*'Anexo 4'!$D$10,0)</f>
        <v>0</v>
      </c>
      <c r="I18" s="33">
        <f>ROUND('Anexo 14'!I18*'Anexo 4'!$D$10,0)</f>
        <v>0</v>
      </c>
      <c r="J18" s="33">
        <f>ROUND('Anexo 14'!J18*'Anexo 4'!$D$10,0)</f>
        <v>0</v>
      </c>
      <c r="K18" s="33">
        <f>ROUND('Anexo 14'!K18*'Anexo 4'!$D$10,0)</f>
        <v>0</v>
      </c>
      <c r="L18" s="33">
        <f>ROUND('Anexo 14'!L18*'Anexo 4'!$D$10,0)</f>
        <v>0</v>
      </c>
      <c r="M18" s="33">
        <f>ROUND('Anexo 14'!M18*'Anexo 4'!$D$10,0)</f>
        <v>0</v>
      </c>
      <c r="N18" s="33">
        <f>ROUND('Anexo 14'!N18*'Anexo 4'!$D$10,0)</f>
        <v>0</v>
      </c>
      <c r="O18" s="33">
        <f>ROUND('Anexo 14'!O18*'Anexo 4'!$D$10,0)</f>
        <v>0</v>
      </c>
      <c r="P18" s="33">
        <f>ROUND('Anexo 14'!P18*'Anexo 4'!$D$10,0)</f>
        <v>0</v>
      </c>
      <c r="Q18" s="33">
        <f>ROUND('Anexo 14'!Q18*'Anexo 4'!$D$10,0)</f>
        <v>0</v>
      </c>
      <c r="R18" s="33">
        <f>ROUND('Anexo 14'!R18*'Anexo 4'!$D$10,0)</f>
        <v>0</v>
      </c>
      <c r="S18" s="33">
        <f>ROUND('Anexo 14'!S18*'Anexo 4'!$D$10,0)</f>
        <v>0</v>
      </c>
      <c r="T18" s="33">
        <f>ROUND('Anexo 14'!T18*'Anexo 4'!$D$10,0)</f>
        <v>0</v>
      </c>
      <c r="U18" s="33">
        <f>ROUND('Anexo 14'!U18*'Anexo 4'!$D$10,0)</f>
        <v>0</v>
      </c>
      <c r="V18" s="33">
        <f>ROUND('Anexo 14'!V18*'Anexo 4'!$D$10,0)</f>
        <v>0</v>
      </c>
      <c r="W18" s="33">
        <f>ROUND('Anexo 14'!W18*'Anexo 4'!$D$10,0)</f>
        <v>0</v>
      </c>
      <c r="X18" s="33">
        <f>ROUND('Anexo 14'!X18*'Anexo 4'!$D$10,0)</f>
        <v>0</v>
      </c>
      <c r="Y18" s="33">
        <f>ROUND('Anexo 14'!Y18*'Anexo 4'!$D$10,0)</f>
        <v>0</v>
      </c>
      <c r="Z18" s="33">
        <f>ROUND('Anexo 14'!Z18*'Anexo 4'!$D$10,0)</f>
        <v>0</v>
      </c>
      <c r="AA18" s="35">
        <f t="shared" si="0"/>
        <v>0</v>
      </c>
      <c r="AB18" s="19">
        <v>21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ROUND('Anexo 14'!C19*'Anexo 4'!$D$10,0)</f>
        <v>0</v>
      </c>
      <c r="D19" s="33">
        <f>ROUND('Anexo 14'!D19*'Anexo 4'!$D$10,0)</f>
        <v>0</v>
      </c>
      <c r="E19" s="33">
        <f>ROUND('Anexo 14'!E19*'Anexo 4'!$D$10,0)</f>
        <v>0</v>
      </c>
      <c r="F19" s="33">
        <f>ROUND('Anexo 14'!F19*'Anexo 4'!$D$10,0)</f>
        <v>0</v>
      </c>
      <c r="G19" s="33">
        <f>ROUND('Anexo 14'!G19*'Anexo 4'!$D$10,0)</f>
        <v>0</v>
      </c>
      <c r="H19" s="33">
        <f>ROUND('Anexo 14'!H19*'Anexo 4'!$D$10,0)</f>
        <v>0</v>
      </c>
      <c r="I19" s="33">
        <f>ROUND('Anexo 14'!I19*'Anexo 4'!$D$10,0)</f>
        <v>0</v>
      </c>
      <c r="J19" s="33">
        <f>ROUND('Anexo 14'!J19*'Anexo 4'!$D$10,0)</f>
        <v>0</v>
      </c>
      <c r="K19" s="33">
        <f>ROUND('Anexo 14'!K19*'Anexo 4'!$D$10,0)</f>
        <v>0</v>
      </c>
      <c r="L19" s="33">
        <f>ROUND('Anexo 14'!L19*'Anexo 4'!$D$10,0)</f>
        <v>0</v>
      </c>
      <c r="M19" s="33">
        <f>ROUND('Anexo 14'!M19*'Anexo 4'!$D$10,0)</f>
        <v>0</v>
      </c>
      <c r="N19" s="33">
        <f>ROUND('Anexo 14'!N19*'Anexo 4'!$D$10,0)</f>
        <v>0</v>
      </c>
      <c r="O19" s="33">
        <f>ROUND('Anexo 14'!O19*'Anexo 4'!$D$10,0)</f>
        <v>0</v>
      </c>
      <c r="P19" s="33">
        <f>ROUND('Anexo 14'!P19*'Anexo 4'!$D$10,0)</f>
        <v>0</v>
      </c>
      <c r="Q19" s="33">
        <f>ROUND('Anexo 14'!Q19*'Anexo 4'!$D$10,0)</f>
        <v>0</v>
      </c>
      <c r="R19" s="33">
        <f>ROUND('Anexo 14'!R19*'Anexo 4'!$D$10,0)</f>
        <v>0</v>
      </c>
      <c r="S19" s="33">
        <f>ROUND('Anexo 14'!S19*'Anexo 4'!$D$10,0)</f>
        <v>0</v>
      </c>
      <c r="T19" s="33">
        <f>ROUND('Anexo 14'!T19*'Anexo 4'!$D$10,0)</f>
        <v>0</v>
      </c>
      <c r="U19" s="33">
        <f>ROUND('Anexo 14'!U19*'Anexo 4'!$D$10,0)</f>
        <v>0</v>
      </c>
      <c r="V19" s="33">
        <f>ROUND('Anexo 14'!V19*'Anexo 4'!$D$10,0)</f>
        <v>0</v>
      </c>
      <c r="W19" s="33">
        <f>ROUND('Anexo 14'!W19*'Anexo 4'!$D$10,0)</f>
        <v>0</v>
      </c>
      <c r="X19" s="33">
        <f>ROUND('Anexo 14'!X19*'Anexo 4'!$D$10,0)</f>
        <v>0</v>
      </c>
      <c r="Y19" s="33">
        <f>ROUND('Anexo 14'!Y19*'Anexo 4'!$D$10,0)</f>
        <v>0</v>
      </c>
      <c r="Z19" s="33">
        <f>ROUND('Anexo 14'!Z19*'Anexo 4'!$D$10,0)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ROUND('Anexo 14'!C20*'Anexo 4'!$D$10,0)</f>
        <v>0</v>
      </c>
      <c r="D20" s="33">
        <f>ROUND('Anexo 14'!D20*'Anexo 4'!$D$10,0)</f>
        <v>0</v>
      </c>
      <c r="E20" s="33">
        <f>ROUND('Anexo 14'!E20*'Anexo 4'!$D$10,0)</f>
        <v>0</v>
      </c>
      <c r="F20" s="33">
        <f>ROUND('Anexo 14'!F20*'Anexo 4'!$D$10,0)</f>
        <v>0</v>
      </c>
      <c r="G20" s="33">
        <f>ROUND('Anexo 14'!G20*'Anexo 4'!$D$10,0)</f>
        <v>0</v>
      </c>
      <c r="H20" s="33">
        <f>ROUND('Anexo 14'!H20*'Anexo 4'!$D$10,0)</f>
        <v>0</v>
      </c>
      <c r="I20" s="33">
        <f>ROUND('Anexo 14'!I20*'Anexo 4'!$D$10,0)</f>
        <v>0</v>
      </c>
      <c r="J20" s="33">
        <f>ROUND('Anexo 14'!J20*'Anexo 4'!$D$10,0)</f>
        <v>0</v>
      </c>
      <c r="K20" s="33">
        <f>ROUND('Anexo 14'!K20*'Anexo 4'!$D$10,0)</f>
        <v>0</v>
      </c>
      <c r="L20" s="33">
        <f>ROUND('Anexo 14'!L20*'Anexo 4'!$D$10,0)</f>
        <v>0</v>
      </c>
      <c r="M20" s="33">
        <f>ROUND('Anexo 14'!M20*'Anexo 4'!$D$10,0)</f>
        <v>0</v>
      </c>
      <c r="N20" s="33">
        <f>ROUND('Anexo 14'!N20*'Anexo 4'!$D$10,0)</f>
        <v>0</v>
      </c>
      <c r="O20" s="33">
        <f>ROUND('Anexo 14'!O20*'Anexo 4'!$D$10,0)</f>
        <v>0</v>
      </c>
      <c r="P20" s="33">
        <f>ROUND('Anexo 14'!P20*'Anexo 4'!$D$10,0)</f>
        <v>0</v>
      </c>
      <c r="Q20" s="33">
        <f>ROUND('Anexo 14'!Q20*'Anexo 4'!$D$10,0)</f>
        <v>0</v>
      </c>
      <c r="R20" s="33">
        <f>ROUND('Anexo 14'!R20*'Anexo 4'!$D$10,0)</f>
        <v>0</v>
      </c>
      <c r="S20" s="33">
        <f>ROUND('Anexo 14'!S20*'Anexo 4'!$D$10,0)</f>
        <v>0</v>
      </c>
      <c r="T20" s="33">
        <f>ROUND('Anexo 14'!T20*'Anexo 4'!$D$10,0)</f>
        <v>0</v>
      </c>
      <c r="U20" s="33">
        <f>ROUND('Anexo 14'!U20*'Anexo 4'!$D$10,0)</f>
        <v>0</v>
      </c>
      <c r="V20" s="33">
        <f>ROUND('Anexo 14'!V20*'Anexo 4'!$D$10,0)</f>
        <v>0</v>
      </c>
      <c r="W20" s="33">
        <f>ROUND('Anexo 14'!W20*'Anexo 4'!$D$10,0)</f>
        <v>0</v>
      </c>
      <c r="X20" s="33">
        <f>ROUND('Anexo 14'!X20*'Anexo 4'!$D$10,0)</f>
        <v>0</v>
      </c>
      <c r="Y20" s="33">
        <f>ROUND('Anexo 14'!Y20*'Anexo 4'!$D$10,0)</f>
        <v>0</v>
      </c>
      <c r="Z20" s="33">
        <f>ROUND('Anexo 14'!Z20*'Anexo 4'!$D$10,0)</f>
        <v>0</v>
      </c>
      <c r="AA20" s="41">
        <f t="shared" si="0"/>
        <v>0</v>
      </c>
      <c r="AB20" s="23">
        <v>6</v>
      </c>
      <c r="AC20" s="102"/>
      <c r="AD20" s="48"/>
    </row>
    <row r="21" spans="1:30" ht="15.75" thickBot="1" x14ac:dyDescent="0.3">
      <c r="A21" s="99">
        <v>47270</v>
      </c>
      <c r="B21" s="18" t="s">
        <v>5</v>
      </c>
      <c r="C21" s="33">
        <f>ROUND('Anexo 14'!C21*'Anexo 4'!$D$10,0)</f>
        <v>0</v>
      </c>
      <c r="D21" s="33">
        <f>ROUND('Anexo 14'!D21*'Anexo 4'!$D$10,0)</f>
        <v>0</v>
      </c>
      <c r="E21" s="33">
        <f>ROUND('Anexo 14'!E21*'Anexo 4'!$D$10,0)</f>
        <v>0</v>
      </c>
      <c r="F21" s="33">
        <f>ROUND('Anexo 14'!F21*'Anexo 4'!$D$10,0)</f>
        <v>0</v>
      </c>
      <c r="G21" s="33">
        <f>ROUND('Anexo 14'!G21*'Anexo 4'!$D$10,0)</f>
        <v>0</v>
      </c>
      <c r="H21" s="33">
        <f>ROUND('Anexo 14'!H21*'Anexo 4'!$D$10,0)</f>
        <v>0</v>
      </c>
      <c r="I21" s="33">
        <f>ROUND('Anexo 14'!I21*'Anexo 4'!$D$10,0)</f>
        <v>0</v>
      </c>
      <c r="J21" s="33">
        <f>ROUND('Anexo 14'!J21*'Anexo 4'!$D$10,0)</f>
        <v>0</v>
      </c>
      <c r="K21" s="33">
        <f>ROUND('Anexo 14'!K21*'Anexo 4'!$D$10,0)</f>
        <v>0</v>
      </c>
      <c r="L21" s="33">
        <f>ROUND('Anexo 14'!L21*'Anexo 4'!$D$10,0)</f>
        <v>0</v>
      </c>
      <c r="M21" s="33">
        <f>ROUND('Anexo 14'!M21*'Anexo 4'!$D$10,0)</f>
        <v>0</v>
      </c>
      <c r="N21" s="33">
        <f>ROUND('Anexo 14'!N21*'Anexo 4'!$D$10,0)</f>
        <v>0</v>
      </c>
      <c r="O21" s="33">
        <f>ROUND('Anexo 14'!O21*'Anexo 4'!$D$10,0)</f>
        <v>0</v>
      </c>
      <c r="P21" s="33">
        <f>ROUND('Anexo 14'!P21*'Anexo 4'!$D$10,0)</f>
        <v>0</v>
      </c>
      <c r="Q21" s="33">
        <f>ROUND('Anexo 14'!Q21*'Anexo 4'!$D$10,0)</f>
        <v>0</v>
      </c>
      <c r="R21" s="33">
        <f>ROUND('Anexo 14'!R21*'Anexo 4'!$D$10,0)</f>
        <v>0</v>
      </c>
      <c r="S21" s="33">
        <f>ROUND('Anexo 14'!S21*'Anexo 4'!$D$10,0)</f>
        <v>0</v>
      </c>
      <c r="T21" s="33">
        <f>ROUND('Anexo 14'!T21*'Anexo 4'!$D$10,0)</f>
        <v>0</v>
      </c>
      <c r="U21" s="33">
        <f>ROUND('Anexo 14'!U21*'Anexo 4'!$D$10,0)</f>
        <v>0</v>
      </c>
      <c r="V21" s="33">
        <f>ROUND('Anexo 14'!V21*'Anexo 4'!$D$10,0)</f>
        <v>0</v>
      </c>
      <c r="W21" s="33">
        <f>ROUND('Anexo 14'!W21*'Anexo 4'!$D$10,0)</f>
        <v>0</v>
      </c>
      <c r="X21" s="33">
        <f>ROUND('Anexo 14'!X21*'Anexo 4'!$D$10,0)</f>
        <v>0</v>
      </c>
      <c r="Y21" s="33">
        <f>ROUND('Anexo 14'!Y21*'Anexo 4'!$D$10,0)</f>
        <v>0</v>
      </c>
      <c r="Z21" s="33">
        <f>ROUND('Anexo 14'!Z21*'Anexo 4'!$D$10,0)</f>
        <v>0</v>
      </c>
      <c r="AA21" s="35">
        <f t="shared" si="0"/>
        <v>0</v>
      </c>
      <c r="AB21" s="19">
        <v>19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ROUND('Anexo 14'!C22*'Anexo 4'!$D$10,0)</f>
        <v>0</v>
      </c>
      <c r="D22" s="33">
        <f>ROUND('Anexo 14'!D22*'Anexo 4'!$D$10,0)</f>
        <v>0</v>
      </c>
      <c r="E22" s="33">
        <f>ROUND('Anexo 14'!E22*'Anexo 4'!$D$10,0)</f>
        <v>0</v>
      </c>
      <c r="F22" s="33">
        <f>ROUND('Anexo 14'!F22*'Anexo 4'!$D$10,0)</f>
        <v>0</v>
      </c>
      <c r="G22" s="33">
        <f>ROUND('Anexo 14'!G22*'Anexo 4'!$D$10,0)</f>
        <v>0</v>
      </c>
      <c r="H22" s="33">
        <f>ROUND('Anexo 14'!H22*'Anexo 4'!$D$10,0)</f>
        <v>0</v>
      </c>
      <c r="I22" s="33">
        <f>ROUND('Anexo 14'!I22*'Anexo 4'!$D$10,0)</f>
        <v>0</v>
      </c>
      <c r="J22" s="33">
        <f>ROUND('Anexo 14'!J22*'Anexo 4'!$D$10,0)</f>
        <v>0</v>
      </c>
      <c r="K22" s="33">
        <f>ROUND('Anexo 14'!K22*'Anexo 4'!$D$10,0)</f>
        <v>0</v>
      </c>
      <c r="L22" s="33">
        <f>ROUND('Anexo 14'!L22*'Anexo 4'!$D$10,0)</f>
        <v>0</v>
      </c>
      <c r="M22" s="33">
        <f>ROUND('Anexo 14'!M22*'Anexo 4'!$D$10,0)</f>
        <v>0</v>
      </c>
      <c r="N22" s="33">
        <f>ROUND('Anexo 14'!N22*'Anexo 4'!$D$10,0)</f>
        <v>0</v>
      </c>
      <c r="O22" s="33">
        <f>ROUND('Anexo 14'!O22*'Anexo 4'!$D$10,0)</f>
        <v>0</v>
      </c>
      <c r="P22" s="33">
        <f>ROUND('Anexo 14'!P22*'Anexo 4'!$D$10,0)</f>
        <v>0</v>
      </c>
      <c r="Q22" s="33">
        <f>ROUND('Anexo 14'!Q22*'Anexo 4'!$D$10,0)</f>
        <v>0</v>
      </c>
      <c r="R22" s="33">
        <f>ROUND('Anexo 14'!R22*'Anexo 4'!$D$10,0)</f>
        <v>0</v>
      </c>
      <c r="S22" s="33">
        <f>ROUND('Anexo 14'!S22*'Anexo 4'!$D$10,0)</f>
        <v>0</v>
      </c>
      <c r="T22" s="33">
        <f>ROUND('Anexo 14'!T22*'Anexo 4'!$D$10,0)</f>
        <v>0</v>
      </c>
      <c r="U22" s="33">
        <f>ROUND('Anexo 14'!U22*'Anexo 4'!$D$10,0)</f>
        <v>0</v>
      </c>
      <c r="V22" s="33">
        <f>ROUND('Anexo 14'!V22*'Anexo 4'!$D$10,0)</f>
        <v>0</v>
      </c>
      <c r="W22" s="33">
        <f>ROUND('Anexo 14'!W22*'Anexo 4'!$D$10,0)</f>
        <v>0</v>
      </c>
      <c r="X22" s="33">
        <f>ROUND('Anexo 14'!X22*'Anexo 4'!$D$10,0)</f>
        <v>0</v>
      </c>
      <c r="Y22" s="33">
        <f>ROUND('Anexo 14'!Y22*'Anexo 4'!$D$10,0)</f>
        <v>0</v>
      </c>
      <c r="Z22" s="33">
        <f>ROUND('Anexo 14'!Z22*'Anexo 4'!$D$10,0)</f>
        <v>0</v>
      </c>
      <c r="AA22" s="38">
        <f t="shared" si="0"/>
        <v>0</v>
      </c>
      <c r="AB22" s="21">
        <v>5</v>
      </c>
      <c r="AC22" s="101"/>
      <c r="AD22" s="47"/>
    </row>
    <row r="23" spans="1:30" ht="15.75" thickBot="1" x14ac:dyDescent="0.3">
      <c r="A23" s="99"/>
      <c r="B23" s="22" t="s">
        <v>3</v>
      </c>
      <c r="C23" s="33">
        <f>ROUND('Anexo 14'!C23*'Anexo 4'!$D$10,0)</f>
        <v>0</v>
      </c>
      <c r="D23" s="33">
        <f>ROUND('Anexo 14'!D23*'Anexo 4'!$D$10,0)</f>
        <v>0</v>
      </c>
      <c r="E23" s="33">
        <f>ROUND('Anexo 14'!E23*'Anexo 4'!$D$10,0)</f>
        <v>0</v>
      </c>
      <c r="F23" s="33">
        <f>ROUND('Anexo 14'!F23*'Anexo 4'!$D$10,0)</f>
        <v>0</v>
      </c>
      <c r="G23" s="33">
        <f>ROUND('Anexo 14'!G23*'Anexo 4'!$D$10,0)</f>
        <v>0</v>
      </c>
      <c r="H23" s="33">
        <f>ROUND('Anexo 14'!H23*'Anexo 4'!$D$10,0)</f>
        <v>0</v>
      </c>
      <c r="I23" s="33">
        <f>ROUND('Anexo 14'!I23*'Anexo 4'!$D$10,0)</f>
        <v>0</v>
      </c>
      <c r="J23" s="33">
        <f>ROUND('Anexo 14'!J23*'Anexo 4'!$D$10,0)</f>
        <v>0</v>
      </c>
      <c r="K23" s="33">
        <f>ROUND('Anexo 14'!K23*'Anexo 4'!$D$10,0)</f>
        <v>0</v>
      </c>
      <c r="L23" s="33">
        <f>ROUND('Anexo 14'!L23*'Anexo 4'!$D$10,0)</f>
        <v>0</v>
      </c>
      <c r="M23" s="33">
        <f>ROUND('Anexo 14'!M23*'Anexo 4'!$D$10,0)</f>
        <v>0</v>
      </c>
      <c r="N23" s="33">
        <f>ROUND('Anexo 14'!N23*'Anexo 4'!$D$10,0)</f>
        <v>0</v>
      </c>
      <c r="O23" s="33">
        <f>ROUND('Anexo 14'!O23*'Anexo 4'!$D$10,0)</f>
        <v>0</v>
      </c>
      <c r="P23" s="33">
        <f>ROUND('Anexo 14'!P23*'Anexo 4'!$D$10,0)</f>
        <v>0</v>
      </c>
      <c r="Q23" s="33">
        <f>ROUND('Anexo 14'!Q23*'Anexo 4'!$D$10,0)</f>
        <v>0</v>
      </c>
      <c r="R23" s="33">
        <f>ROUND('Anexo 14'!R23*'Anexo 4'!$D$10,0)</f>
        <v>0</v>
      </c>
      <c r="S23" s="33">
        <f>ROUND('Anexo 14'!S23*'Anexo 4'!$D$10,0)</f>
        <v>0</v>
      </c>
      <c r="T23" s="33">
        <f>ROUND('Anexo 14'!T23*'Anexo 4'!$D$10,0)</f>
        <v>0</v>
      </c>
      <c r="U23" s="33">
        <f>ROUND('Anexo 14'!U23*'Anexo 4'!$D$10,0)</f>
        <v>0</v>
      </c>
      <c r="V23" s="33">
        <f>ROUND('Anexo 14'!V23*'Anexo 4'!$D$10,0)</f>
        <v>0</v>
      </c>
      <c r="W23" s="33">
        <f>ROUND('Anexo 14'!W23*'Anexo 4'!$D$10,0)</f>
        <v>0</v>
      </c>
      <c r="X23" s="33">
        <f>ROUND('Anexo 14'!X23*'Anexo 4'!$D$10,0)</f>
        <v>0</v>
      </c>
      <c r="Y23" s="33">
        <f>ROUND('Anexo 14'!Y23*'Anexo 4'!$D$10,0)</f>
        <v>0</v>
      </c>
      <c r="Z23" s="33">
        <f>ROUND('Anexo 14'!Z23*'Anexo 4'!$D$10,0)</f>
        <v>0</v>
      </c>
      <c r="AA23" s="41">
        <f t="shared" si="0"/>
        <v>0</v>
      </c>
      <c r="AB23" s="23">
        <v>6</v>
      </c>
      <c r="AC23" s="102"/>
      <c r="AD23" s="48"/>
    </row>
    <row r="24" spans="1:30" ht="15.75" thickBot="1" x14ac:dyDescent="0.3">
      <c r="A24" s="99">
        <v>47300</v>
      </c>
      <c r="B24" s="18" t="s">
        <v>5</v>
      </c>
      <c r="C24" s="33">
        <f>ROUND('Anexo 14'!C24*'Anexo 4'!$D$10,0)</f>
        <v>0</v>
      </c>
      <c r="D24" s="33">
        <f>ROUND('Anexo 14'!D24*'Anexo 4'!$D$10,0)</f>
        <v>0</v>
      </c>
      <c r="E24" s="33">
        <f>ROUND('Anexo 14'!E24*'Anexo 4'!$D$10,0)</f>
        <v>0</v>
      </c>
      <c r="F24" s="33">
        <f>ROUND('Anexo 14'!F24*'Anexo 4'!$D$10,0)</f>
        <v>0</v>
      </c>
      <c r="G24" s="33">
        <f>ROUND('Anexo 14'!G24*'Anexo 4'!$D$10,0)</f>
        <v>0</v>
      </c>
      <c r="H24" s="33">
        <f>ROUND('Anexo 14'!H24*'Anexo 4'!$D$10,0)</f>
        <v>0</v>
      </c>
      <c r="I24" s="33">
        <f>ROUND('Anexo 14'!I24*'Anexo 4'!$D$10,0)</f>
        <v>0</v>
      </c>
      <c r="J24" s="33">
        <f>ROUND('Anexo 14'!J24*'Anexo 4'!$D$10,0)</f>
        <v>0</v>
      </c>
      <c r="K24" s="33">
        <f>ROUND('Anexo 14'!K24*'Anexo 4'!$D$10,0)</f>
        <v>0</v>
      </c>
      <c r="L24" s="33">
        <f>ROUND('Anexo 14'!L24*'Anexo 4'!$D$10,0)</f>
        <v>0</v>
      </c>
      <c r="M24" s="33">
        <f>ROUND('Anexo 14'!M24*'Anexo 4'!$D$10,0)</f>
        <v>0</v>
      </c>
      <c r="N24" s="33">
        <f>ROUND('Anexo 14'!N24*'Anexo 4'!$D$10,0)</f>
        <v>0</v>
      </c>
      <c r="O24" s="33">
        <f>ROUND('Anexo 14'!O24*'Anexo 4'!$D$10,0)</f>
        <v>0</v>
      </c>
      <c r="P24" s="33">
        <f>ROUND('Anexo 14'!P24*'Anexo 4'!$D$10,0)</f>
        <v>0</v>
      </c>
      <c r="Q24" s="33">
        <f>ROUND('Anexo 14'!Q24*'Anexo 4'!$D$10,0)</f>
        <v>0</v>
      </c>
      <c r="R24" s="33">
        <f>ROUND('Anexo 14'!R24*'Anexo 4'!$D$10,0)</f>
        <v>0</v>
      </c>
      <c r="S24" s="33">
        <f>ROUND('Anexo 14'!S24*'Anexo 4'!$D$10,0)</f>
        <v>0</v>
      </c>
      <c r="T24" s="33">
        <f>ROUND('Anexo 14'!T24*'Anexo 4'!$D$10,0)</f>
        <v>0</v>
      </c>
      <c r="U24" s="33">
        <f>ROUND('Anexo 14'!U24*'Anexo 4'!$D$10,0)</f>
        <v>0</v>
      </c>
      <c r="V24" s="33">
        <f>ROUND('Anexo 14'!V24*'Anexo 4'!$D$10,0)</f>
        <v>0</v>
      </c>
      <c r="W24" s="33">
        <f>ROUND('Anexo 14'!W24*'Anexo 4'!$D$10,0)</f>
        <v>0</v>
      </c>
      <c r="X24" s="33">
        <f>ROUND('Anexo 14'!X24*'Anexo 4'!$D$10,0)</f>
        <v>0</v>
      </c>
      <c r="Y24" s="33">
        <f>ROUND('Anexo 14'!Y24*'Anexo 4'!$D$10,0)</f>
        <v>0</v>
      </c>
      <c r="Z24" s="33">
        <f>ROUND('Anexo 14'!Z24*'Anexo 4'!$D$10,0)</f>
        <v>0</v>
      </c>
      <c r="AA24" s="35">
        <f t="shared" si="0"/>
        <v>0</v>
      </c>
      <c r="AB24" s="19">
        <v>20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ROUND('Anexo 14'!C25*'Anexo 4'!$D$10,0)</f>
        <v>0</v>
      </c>
      <c r="D25" s="33">
        <f>ROUND('Anexo 14'!D25*'Anexo 4'!$D$10,0)</f>
        <v>0</v>
      </c>
      <c r="E25" s="33">
        <f>ROUND('Anexo 14'!E25*'Anexo 4'!$D$10,0)</f>
        <v>0</v>
      </c>
      <c r="F25" s="33">
        <f>ROUND('Anexo 14'!F25*'Anexo 4'!$D$10,0)</f>
        <v>0</v>
      </c>
      <c r="G25" s="33">
        <f>ROUND('Anexo 14'!G25*'Anexo 4'!$D$10,0)</f>
        <v>0</v>
      </c>
      <c r="H25" s="33">
        <f>ROUND('Anexo 14'!H25*'Anexo 4'!$D$10,0)</f>
        <v>0</v>
      </c>
      <c r="I25" s="33">
        <f>ROUND('Anexo 14'!I25*'Anexo 4'!$D$10,0)</f>
        <v>0</v>
      </c>
      <c r="J25" s="33">
        <f>ROUND('Anexo 14'!J25*'Anexo 4'!$D$10,0)</f>
        <v>0</v>
      </c>
      <c r="K25" s="33">
        <f>ROUND('Anexo 14'!K25*'Anexo 4'!$D$10,0)</f>
        <v>0</v>
      </c>
      <c r="L25" s="33">
        <f>ROUND('Anexo 14'!L25*'Anexo 4'!$D$10,0)</f>
        <v>0</v>
      </c>
      <c r="M25" s="33">
        <f>ROUND('Anexo 14'!M25*'Anexo 4'!$D$10,0)</f>
        <v>0</v>
      </c>
      <c r="N25" s="33">
        <f>ROUND('Anexo 14'!N25*'Anexo 4'!$D$10,0)</f>
        <v>0</v>
      </c>
      <c r="O25" s="33">
        <f>ROUND('Anexo 14'!O25*'Anexo 4'!$D$10,0)</f>
        <v>0</v>
      </c>
      <c r="P25" s="33">
        <f>ROUND('Anexo 14'!P25*'Anexo 4'!$D$10,0)</f>
        <v>0</v>
      </c>
      <c r="Q25" s="33">
        <f>ROUND('Anexo 14'!Q25*'Anexo 4'!$D$10,0)</f>
        <v>0</v>
      </c>
      <c r="R25" s="33">
        <f>ROUND('Anexo 14'!R25*'Anexo 4'!$D$10,0)</f>
        <v>0</v>
      </c>
      <c r="S25" s="33">
        <f>ROUND('Anexo 14'!S25*'Anexo 4'!$D$10,0)</f>
        <v>0</v>
      </c>
      <c r="T25" s="33">
        <f>ROUND('Anexo 14'!T25*'Anexo 4'!$D$10,0)</f>
        <v>0</v>
      </c>
      <c r="U25" s="33">
        <f>ROUND('Anexo 14'!U25*'Anexo 4'!$D$10,0)</f>
        <v>0</v>
      </c>
      <c r="V25" s="33">
        <f>ROUND('Anexo 14'!V25*'Anexo 4'!$D$10,0)</f>
        <v>0</v>
      </c>
      <c r="W25" s="33">
        <f>ROUND('Anexo 14'!W25*'Anexo 4'!$D$10,0)</f>
        <v>0</v>
      </c>
      <c r="X25" s="33">
        <f>ROUND('Anexo 14'!X25*'Anexo 4'!$D$10,0)</f>
        <v>0</v>
      </c>
      <c r="Y25" s="33">
        <f>ROUND('Anexo 14'!Y25*'Anexo 4'!$D$10,0)</f>
        <v>0</v>
      </c>
      <c r="Z25" s="33">
        <f>ROUND('Anexo 14'!Z25*'Anexo 4'!$D$10,0)</f>
        <v>0</v>
      </c>
      <c r="AA25" s="38">
        <f t="shared" si="0"/>
        <v>0</v>
      </c>
      <c r="AB25" s="21">
        <v>4</v>
      </c>
      <c r="AC25" s="101"/>
      <c r="AD25" s="47"/>
    </row>
    <row r="26" spans="1:30" ht="15.75" thickBot="1" x14ac:dyDescent="0.3">
      <c r="A26" s="99"/>
      <c r="B26" s="22" t="s">
        <v>3</v>
      </c>
      <c r="C26" s="33">
        <f>ROUND('Anexo 14'!C26*'Anexo 4'!$D$10,0)</f>
        <v>0</v>
      </c>
      <c r="D26" s="33">
        <f>ROUND('Anexo 14'!D26*'Anexo 4'!$D$10,0)</f>
        <v>0</v>
      </c>
      <c r="E26" s="33">
        <f>ROUND('Anexo 14'!E26*'Anexo 4'!$D$10,0)</f>
        <v>0</v>
      </c>
      <c r="F26" s="33">
        <f>ROUND('Anexo 14'!F26*'Anexo 4'!$D$10,0)</f>
        <v>0</v>
      </c>
      <c r="G26" s="33">
        <f>ROUND('Anexo 14'!G26*'Anexo 4'!$D$10,0)</f>
        <v>0</v>
      </c>
      <c r="H26" s="33">
        <f>ROUND('Anexo 14'!H26*'Anexo 4'!$D$10,0)</f>
        <v>0</v>
      </c>
      <c r="I26" s="33">
        <f>ROUND('Anexo 14'!I26*'Anexo 4'!$D$10,0)</f>
        <v>0</v>
      </c>
      <c r="J26" s="33">
        <f>ROUND('Anexo 14'!J26*'Anexo 4'!$D$10,0)</f>
        <v>0</v>
      </c>
      <c r="K26" s="33">
        <f>ROUND('Anexo 14'!K26*'Anexo 4'!$D$10,0)</f>
        <v>0</v>
      </c>
      <c r="L26" s="33">
        <f>ROUND('Anexo 14'!L26*'Anexo 4'!$D$10,0)</f>
        <v>0</v>
      </c>
      <c r="M26" s="33">
        <f>ROUND('Anexo 14'!M26*'Anexo 4'!$D$10,0)</f>
        <v>0</v>
      </c>
      <c r="N26" s="33">
        <f>ROUND('Anexo 14'!N26*'Anexo 4'!$D$10,0)</f>
        <v>0</v>
      </c>
      <c r="O26" s="33">
        <f>ROUND('Anexo 14'!O26*'Anexo 4'!$D$10,0)</f>
        <v>0</v>
      </c>
      <c r="P26" s="33">
        <f>ROUND('Anexo 14'!P26*'Anexo 4'!$D$10,0)</f>
        <v>0</v>
      </c>
      <c r="Q26" s="33">
        <f>ROUND('Anexo 14'!Q26*'Anexo 4'!$D$10,0)</f>
        <v>0</v>
      </c>
      <c r="R26" s="33">
        <f>ROUND('Anexo 14'!R26*'Anexo 4'!$D$10,0)</f>
        <v>0</v>
      </c>
      <c r="S26" s="33">
        <f>ROUND('Anexo 14'!S26*'Anexo 4'!$D$10,0)</f>
        <v>0</v>
      </c>
      <c r="T26" s="33">
        <f>ROUND('Anexo 14'!T26*'Anexo 4'!$D$10,0)</f>
        <v>0</v>
      </c>
      <c r="U26" s="33">
        <f>ROUND('Anexo 14'!U26*'Anexo 4'!$D$10,0)</f>
        <v>0</v>
      </c>
      <c r="V26" s="33">
        <f>ROUND('Anexo 14'!V26*'Anexo 4'!$D$10,0)</f>
        <v>0</v>
      </c>
      <c r="W26" s="33">
        <f>ROUND('Anexo 14'!W26*'Anexo 4'!$D$10,0)</f>
        <v>0</v>
      </c>
      <c r="X26" s="33">
        <f>ROUND('Anexo 14'!X26*'Anexo 4'!$D$10,0)</f>
        <v>0</v>
      </c>
      <c r="Y26" s="33">
        <f>ROUND('Anexo 14'!Y26*'Anexo 4'!$D$10,0)</f>
        <v>0</v>
      </c>
      <c r="Z26" s="33">
        <f>ROUND('Anexo 14'!Z26*'Anexo 4'!$D$10,0)</f>
        <v>0</v>
      </c>
      <c r="AA26" s="41">
        <f t="shared" si="0"/>
        <v>0</v>
      </c>
      <c r="AB26" s="23">
        <v>7</v>
      </c>
      <c r="AC26" s="102"/>
      <c r="AD26" s="48"/>
    </row>
    <row r="27" spans="1:30" ht="15.75" thickBot="1" x14ac:dyDescent="0.3">
      <c r="A27" s="99">
        <v>47331</v>
      </c>
      <c r="B27" s="18" t="s">
        <v>5</v>
      </c>
      <c r="C27" s="33">
        <f>ROUND('Anexo 14'!C27*'Anexo 4'!$D$10,0)</f>
        <v>0</v>
      </c>
      <c r="D27" s="33">
        <f>ROUND('Anexo 14'!D27*'Anexo 4'!$D$10,0)</f>
        <v>0</v>
      </c>
      <c r="E27" s="33">
        <f>ROUND('Anexo 14'!E27*'Anexo 4'!$D$10,0)</f>
        <v>0</v>
      </c>
      <c r="F27" s="33">
        <f>ROUND('Anexo 14'!F27*'Anexo 4'!$D$10,0)</f>
        <v>0</v>
      </c>
      <c r="G27" s="33">
        <f>ROUND('Anexo 14'!G27*'Anexo 4'!$D$10,0)</f>
        <v>0</v>
      </c>
      <c r="H27" s="33">
        <f>ROUND('Anexo 14'!H27*'Anexo 4'!$D$10,0)</f>
        <v>0</v>
      </c>
      <c r="I27" s="33">
        <f>ROUND('Anexo 14'!I27*'Anexo 4'!$D$10,0)</f>
        <v>0</v>
      </c>
      <c r="J27" s="33">
        <f>ROUND('Anexo 14'!J27*'Anexo 4'!$D$10,0)</f>
        <v>0</v>
      </c>
      <c r="K27" s="33">
        <f>ROUND('Anexo 14'!K27*'Anexo 4'!$D$10,0)</f>
        <v>0</v>
      </c>
      <c r="L27" s="33">
        <f>ROUND('Anexo 14'!L27*'Anexo 4'!$D$10,0)</f>
        <v>0</v>
      </c>
      <c r="M27" s="33">
        <f>ROUND('Anexo 14'!M27*'Anexo 4'!$D$10,0)</f>
        <v>0</v>
      </c>
      <c r="N27" s="33">
        <f>ROUND('Anexo 14'!N27*'Anexo 4'!$D$10,0)</f>
        <v>0</v>
      </c>
      <c r="O27" s="33">
        <f>ROUND('Anexo 14'!O27*'Anexo 4'!$D$10,0)</f>
        <v>0</v>
      </c>
      <c r="P27" s="33">
        <f>ROUND('Anexo 14'!P27*'Anexo 4'!$D$10,0)</f>
        <v>0</v>
      </c>
      <c r="Q27" s="33">
        <f>ROUND('Anexo 14'!Q27*'Anexo 4'!$D$10,0)</f>
        <v>0</v>
      </c>
      <c r="R27" s="33">
        <f>ROUND('Anexo 14'!R27*'Anexo 4'!$D$10,0)</f>
        <v>0</v>
      </c>
      <c r="S27" s="33">
        <f>ROUND('Anexo 14'!S27*'Anexo 4'!$D$10,0)</f>
        <v>0</v>
      </c>
      <c r="T27" s="33">
        <f>ROUND('Anexo 14'!T27*'Anexo 4'!$D$10,0)</f>
        <v>0</v>
      </c>
      <c r="U27" s="33">
        <f>ROUND('Anexo 14'!U27*'Anexo 4'!$D$10,0)</f>
        <v>0</v>
      </c>
      <c r="V27" s="33">
        <f>ROUND('Anexo 14'!V27*'Anexo 4'!$D$10,0)</f>
        <v>0</v>
      </c>
      <c r="W27" s="33">
        <f>ROUND('Anexo 14'!W27*'Anexo 4'!$D$10,0)</f>
        <v>0</v>
      </c>
      <c r="X27" s="33">
        <f>ROUND('Anexo 14'!X27*'Anexo 4'!$D$10,0)</f>
        <v>0</v>
      </c>
      <c r="Y27" s="33">
        <f>ROUND('Anexo 14'!Y27*'Anexo 4'!$D$10,0)</f>
        <v>0</v>
      </c>
      <c r="Z27" s="33">
        <f>ROUND('Anexo 14'!Z27*'Anexo 4'!$D$10,0)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ROUND('Anexo 14'!C28*'Anexo 4'!$D$10,0)</f>
        <v>0</v>
      </c>
      <c r="D28" s="33">
        <f>ROUND('Anexo 14'!D28*'Anexo 4'!$D$10,0)</f>
        <v>0</v>
      </c>
      <c r="E28" s="33">
        <f>ROUND('Anexo 14'!E28*'Anexo 4'!$D$10,0)</f>
        <v>0</v>
      </c>
      <c r="F28" s="33">
        <f>ROUND('Anexo 14'!F28*'Anexo 4'!$D$10,0)</f>
        <v>0</v>
      </c>
      <c r="G28" s="33">
        <f>ROUND('Anexo 14'!G28*'Anexo 4'!$D$10,0)</f>
        <v>0</v>
      </c>
      <c r="H28" s="33">
        <f>ROUND('Anexo 14'!H28*'Anexo 4'!$D$10,0)</f>
        <v>0</v>
      </c>
      <c r="I28" s="33">
        <f>ROUND('Anexo 14'!I28*'Anexo 4'!$D$10,0)</f>
        <v>0</v>
      </c>
      <c r="J28" s="33">
        <f>ROUND('Anexo 14'!J28*'Anexo 4'!$D$10,0)</f>
        <v>0</v>
      </c>
      <c r="K28" s="33">
        <f>ROUND('Anexo 14'!K28*'Anexo 4'!$D$10,0)</f>
        <v>0</v>
      </c>
      <c r="L28" s="33">
        <f>ROUND('Anexo 14'!L28*'Anexo 4'!$D$10,0)</f>
        <v>0</v>
      </c>
      <c r="M28" s="33">
        <f>ROUND('Anexo 14'!M28*'Anexo 4'!$D$10,0)</f>
        <v>0</v>
      </c>
      <c r="N28" s="33">
        <f>ROUND('Anexo 14'!N28*'Anexo 4'!$D$10,0)</f>
        <v>0</v>
      </c>
      <c r="O28" s="33">
        <f>ROUND('Anexo 14'!O28*'Anexo 4'!$D$10,0)</f>
        <v>0</v>
      </c>
      <c r="P28" s="33">
        <f>ROUND('Anexo 14'!P28*'Anexo 4'!$D$10,0)</f>
        <v>0</v>
      </c>
      <c r="Q28" s="33">
        <f>ROUND('Anexo 14'!Q28*'Anexo 4'!$D$10,0)</f>
        <v>0</v>
      </c>
      <c r="R28" s="33">
        <f>ROUND('Anexo 14'!R28*'Anexo 4'!$D$10,0)</f>
        <v>0</v>
      </c>
      <c r="S28" s="33">
        <f>ROUND('Anexo 14'!S28*'Anexo 4'!$D$10,0)</f>
        <v>0</v>
      </c>
      <c r="T28" s="33">
        <f>ROUND('Anexo 14'!T28*'Anexo 4'!$D$10,0)</f>
        <v>0</v>
      </c>
      <c r="U28" s="33">
        <f>ROUND('Anexo 14'!U28*'Anexo 4'!$D$10,0)</f>
        <v>0</v>
      </c>
      <c r="V28" s="33">
        <f>ROUND('Anexo 14'!V28*'Anexo 4'!$D$10,0)</f>
        <v>0</v>
      </c>
      <c r="W28" s="33">
        <f>ROUND('Anexo 14'!W28*'Anexo 4'!$D$10,0)</f>
        <v>0</v>
      </c>
      <c r="X28" s="33">
        <f>ROUND('Anexo 14'!X28*'Anexo 4'!$D$10,0)</f>
        <v>0</v>
      </c>
      <c r="Y28" s="33">
        <f>ROUND('Anexo 14'!Y28*'Anexo 4'!$D$10,0)</f>
        <v>0</v>
      </c>
      <c r="Z28" s="33">
        <f>ROUND('Anexo 14'!Z28*'Anexo 4'!$D$10,0)</f>
        <v>0</v>
      </c>
      <c r="AA28" s="38">
        <f t="shared" si="0"/>
        <v>0</v>
      </c>
      <c r="AB28" s="21">
        <v>4</v>
      </c>
      <c r="AC28" s="101"/>
      <c r="AD28" s="47"/>
    </row>
    <row r="29" spans="1:30" ht="15.75" thickBot="1" x14ac:dyDescent="0.3">
      <c r="A29" s="99"/>
      <c r="B29" s="22" t="s">
        <v>3</v>
      </c>
      <c r="C29" s="33">
        <f>ROUND('Anexo 14'!C29*'Anexo 4'!$D$10,0)</f>
        <v>0</v>
      </c>
      <c r="D29" s="33">
        <f>ROUND('Anexo 14'!D29*'Anexo 4'!$D$10,0)</f>
        <v>0</v>
      </c>
      <c r="E29" s="33">
        <f>ROUND('Anexo 14'!E29*'Anexo 4'!$D$10,0)</f>
        <v>0</v>
      </c>
      <c r="F29" s="33">
        <f>ROUND('Anexo 14'!F29*'Anexo 4'!$D$10,0)</f>
        <v>0</v>
      </c>
      <c r="G29" s="33">
        <f>ROUND('Anexo 14'!G29*'Anexo 4'!$D$10,0)</f>
        <v>0</v>
      </c>
      <c r="H29" s="33">
        <f>ROUND('Anexo 14'!H29*'Anexo 4'!$D$10,0)</f>
        <v>0</v>
      </c>
      <c r="I29" s="33">
        <f>ROUND('Anexo 14'!I29*'Anexo 4'!$D$10,0)</f>
        <v>0</v>
      </c>
      <c r="J29" s="33">
        <f>ROUND('Anexo 14'!J29*'Anexo 4'!$D$10,0)</f>
        <v>0</v>
      </c>
      <c r="K29" s="33">
        <f>ROUND('Anexo 14'!K29*'Anexo 4'!$D$10,0)</f>
        <v>0</v>
      </c>
      <c r="L29" s="33">
        <f>ROUND('Anexo 14'!L29*'Anexo 4'!$D$10,0)</f>
        <v>0</v>
      </c>
      <c r="M29" s="33">
        <f>ROUND('Anexo 14'!M29*'Anexo 4'!$D$10,0)</f>
        <v>0</v>
      </c>
      <c r="N29" s="33">
        <f>ROUND('Anexo 14'!N29*'Anexo 4'!$D$10,0)</f>
        <v>0</v>
      </c>
      <c r="O29" s="33">
        <f>ROUND('Anexo 14'!O29*'Anexo 4'!$D$10,0)</f>
        <v>0</v>
      </c>
      <c r="P29" s="33">
        <f>ROUND('Anexo 14'!P29*'Anexo 4'!$D$10,0)</f>
        <v>0</v>
      </c>
      <c r="Q29" s="33">
        <f>ROUND('Anexo 14'!Q29*'Anexo 4'!$D$10,0)</f>
        <v>0</v>
      </c>
      <c r="R29" s="33">
        <f>ROUND('Anexo 14'!R29*'Anexo 4'!$D$10,0)</f>
        <v>0</v>
      </c>
      <c r="S29" s="33">
        <f>ROUND('Anexo 14'!S29*'Anexo 4'!$D$10,0)</f>
        <v>0</v>
      </c>
      <c r="T29" s="33">
        <f>ROUND('Anexo 14'!T29*'Anexo 4'!$D$10,0)</f>
        <v>0</v>
      </c>
      <c r="U29" s="33">
        <f>ROUND('Anexo 14'!U29*'Anexo 4'!$D$10,0)</f>
        <v>0</v>
      </c>
      <c r="V29" s="33">
        <f>ROUND('Anexo 14'!V29*'Anexo 4'!$D$10,0)</f>
        <v>0</v>
      </c>
      <c r="W29" s="33">
        <f>ROUND('Anexo 14'!W29*'Anexo 4'!$D$10,0)</f>
        <v>0</v>
      </c>
      <c r="X29" s="33">
        <f>ROUND('Anexo 14'!X29*'Anexo 4'!$D$10,0)</f>
        <v>0</v>
      </c>
      <c r="Y29" s="33">
        <f>ROUND('Anexo 14'!Y29*'Anexo 4'!$D$10,0)</f>
        <v>0</v>
      </c>
      <c r="Z29" s="33">
        <f>ROUND('Anexo 14'!Z29*'Anexo 4'!$D$10,0)</f>
        <v>0</v>
      </c>
      <c r="AA29" s="41">
        <f t="shared" si="0"/>
        <v>0</v>
      </c>
      <c r="AB29" s="23">
        <v>6</v>
      </c>
      <c r="AC29" s="102"/>
      <c r="AD29" s="49"/>
    </row>
    <row r="30" spans="1:30" ht="15.75" thickBot="1" x14ac:dyDescent="0.3">
      <c r="A30" s="99">
        <v>47362</v>
      </c>
      <c r="B30" s="18" t="s">
        <v>5</v>
      </c>
      <c r="C30" s="33">
        <f>ROUND('Anexo 14'!C30*'Anexo 4'!$D$10,0)</f>
        <v>0</v>
      </c>
      <c r="D30" s="33">
        <f>ROUND('Anexo 14'!D30*'Anexo 4'!$D$10,0)</f>
        <v>0</v>
      </c>
      <c r="E30" s="33">
        <f>ROUND('Anexo 14'!E30*'Anexo 4'!$D$10,0)</f>
        <v>0</v>
      </c>
      <c r="F30" s="33">
        <f>ROUND('Anexo 14'!F30*'Anexo 4'!$D$10,0)</f>
        <v>0</v>
      </c>
      <c r="G30" s="33">
        <f>ROUND('Anexo 14'!G30*'Anexo 4'!$D$10,0)</f>
        <v>0</v>
      </c>
      <c r="H30" s="33">
        <f>ROUND('Anexo 14'!H30*'Anexo 4'!$D$10,0)</f>
        <v>0</v>
      </c>
      <c r="I30" s="33">
        <f>ROUND('Anexo 14'!I30*'Anexo 4'!$D$10,0)</f>
        <v>0</v>
      </c>
      <c r="J30" s="33">
        <f>ROUND('Anexo 14'!J30*'Anexo 4'!$D$10,0)</f>
        <v>0</v>
      </c>
      <c r="K30" s="33">
        <f>ROUND('Anexo 14'!K30*'Anexo 4'!$D$10,0)</f>
        <v>0</v>
      </c>
      <c r="L30" s="33">
        <f>ROUND('Anexo 14'!L30*'Anexo 4'!$D$10,0)</f>
        <v>0</v>
      </c>
      <c r="M30" s="33">
        <f>ROUND('Anexo 14'!M30*'Anexo 4'!$D$10,0)</f>
        <v>0</v>
      </c>
      <c r="N30" s="33">
        <f>ROUND('Anexo 14'!N30*'Anexo 4'!$D$10,0)</f>
        <v>0</v>
      </c>
      <c r="O30" s="33">
        <f>ROUND('Anexo 14'!O30*'Anexo 4'!$D$10,0)</f>
        <v>0</v>
      </c>
      <c r="P30" s="33">
        <f>ROUND('Anexo 14'!P30*'Anexo 4'!$D$10,0)</f>
        <v>0</v>
      </c>
      <c r="Q30" s="33">
        <f>ROUND('Anexo 14'!Q30*'Anexo 4'!$D$10,0)</f>
        <v>0</v>
      </c>
      <c r="R30" s="33">
        <f>ROUND('Anexo 14'!R30*'Anexo 4'!$D$10,0)</f>
        <v>0</v>
      </c>
      <c r="S30" s="33">
        <f>ROUND('Anexo 14'!S30*'Anexo 4'!$D$10,0)</f>
        <v>0</v>
      </c>
      <c r="T30" s="33">
        <f>ROUND('Anexo 14'!T30*'Anexo 4'!$D$10,0)</f>
        <v>0</v>
      </c>
      <c r="U30" s="33">
        <f>ROUND('Anexo 14'!U30*'Anexo 4'!$D$10,0)</f>
        <v>0</v>
      </c>
      <c r="V30" s="33">
        <f>ROUND('Anexo 14'!V30*'Anexo 4'!$D$10,0)</f>
        <v>0</v>
      </c>
      <c r="W30" s="33">
        <f>ROUND('Anexo 14'!W30*'Anexo 4'!$D$10,0)</f>
        <v>0</v>
      </c>
      <c r="X30" s="33">
        <f>ROUND('Anexo 14'!X30*'Anexo 4'!$D$10,0)</f>
        <v>0</v>
      </c>
      <c r="Y30" s="33">
        <f>ROUND('Anexo 14'!Y30*'Anexo 4'!$D$10,0)</f>
        <v>0</v>
      </c>
      <c r="Z30" s="33">
        <f>ROUND('Anexo 14'!Z30*'Anexo 4'!$D$10,0)</f>
        <v>0</v>
      </c>
      <c r="AA30" s="35">
        <f t="shared" si="0"/>
        <v>0</v>
      </c>
      <c r="AB30" s="19">
        <v>20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ROUND('Anexo 14'!C31*'Anexo 4'!$D$10,0)</f>
        <v>0</v>
      </c>
      <c r="D31" s="33">
        <f>ROUND('Anexo 14'!D31*'Anexo 4'!$D$10,0)</f>
        <v>0</v>
      </c>
      <c r="E31" s="33">
        <f>ROUND('Anexo 14'!E31*'Anexo 4'!$D$10,0)</f>
        <v>0</v>
      </c>
      <c r="F31" s="33">
        <f>ROUND('Anexo 14'!F31*'Anexo 4'!$D$10,0)</f>
        <v>0</v>
      </c>
      <c r="G31" s="33">
        <f>ROUND('Anexo 14'!G31*'Anexo 4'!$D$10,0)</f>
        <v>0</v>
      </c>
      <c r="H31" s="33">
        <f>ROUND('Anexo 14'!H31*'Anexo 4'!$D$10,0)</f>
        <v>0</v>
      </c>
      <c r="I31" s="33">
        <f>ROUND('Anexo 14'!I31*'Anexo 4'!$D$10,0)</f>
        <v>0</v>
      </c>
      <c r="J31" s="33">
        <f>ROUND('Anexo 14'!J31*'Anexo 4'!$D$10,0)</f>
        <v>0</v>
      </c>
      <c r="K31" s="33">
        <f>ROUND('Anexo 14'!K31*'Anexo 4'!$D$10,0)</f>
        <v>0</v>
      </c>
      <c r="L31" s="33">
        <f>ROUND('Anexo 14'!L31*'Anexo 4'!$D$10,0)</f>
        <v>0</v>
      </c>
      <c r="M31" s="33">
        <f>ROUND('Anexo 14'!M31*'Anexo 4'!$D$10,0)</f>
        <v>0</v>
      </c>
      <c r="N31" s="33">
        <f>ROUND('Anexo 14'!N31*'Anexo 4'!$D$10,0)</f>
        <v>0</v>
      </c>
      <c r="O31" s="33">
        <f>ROUND('Anexo 14'!O31*'Anexo 4'!$D$10,0)</f>
        <v>0</v>
      </c>
      <c r="P31" s="33">
        <f>ROUND('Anexo 14'!P31*'Anexo 4'!$D$10,0)</f>
        <v>0</v>
      </c>
      <c r="Q31" s="33">
        <f>ROUND('Anexo 14'!Q31*'Anexo 4'!$D$10,0)</f>
        <v>0</v>
      </c>
      <c r="R31" s="33">
        <f>ROUND('Anexo 14'!R31*'Anexo 4'!$D$10,0)</f>
        <v>0</v>
      </c>
      <c r="S31" s="33">
        <f>ROUND('Anexo 14'!S31*'Anexo 4'!$D$10,0)</f>
        <v>0</v>
      </c>
      <c r="T31" s="33">
        <f>ROUND('Anexo 14'!T31*'Anexo 4'!$D$10,0)</f>
        <v>0</v>
      </c>
      <c r="U31" s="33">
        <f>ROUND('Anexo 14'!U31*'Anexo 4'!$D$10,0)</f>
        <v>0</v>
      </c>
      <c r="V31" s="33">
        <f>ROUND('Anexo 14'!V31*'Anexo 4'!$D$10,0)</f>
        <v>0</v>
      </c>
      <c r="W31" s="33">
        <f>ROUND('Anexo 14'!W31*'Anexo 4'!$D$10,0)</f>
        <v>0</v>
      </c>
      <c r="X31" s="33">
        <f>ROUND('Anexo 14'!X31*'Anexo 4'!$D$10,0)</f>
        <v>0</v>
      </c>
      <c r="Y31" s="33">
        <f>ROUND('Anexo 14'!Y31*'Anexo 4'!$D$10,0)</f>
        <v>0</v>
      </c>
      <c r="Z31" s="33">
        <f>ROUND('Anexo 14'!Z31*'Anexo 4'!$D$10,0)</f>
        <v>0</v>
      </c>
      <c r="AA31" s="38">
        <f t="shared" si="0"/>
        <v>0</v>
      </c>
      <c r="AB31" s="21">
        <v>5</v>
      </c>
      <c r="AC31" s="101"/>
      <c r="AD31" s="47"/>
    </row>
    <row r="32" spans="1:30" ht="15.75" thickBot="1" x14ac:dyDescent="0.3">
      <c r="A32" s="99"/>
      <c r="B32" s="22" t="s">
        <v>3</v>
      </c>
      <c r="C32" s="33">
        <f>ROUND('Anexo 14'!C32*'Anexo 4'!$D$10,0)</f>
        <v>0</v>
      </c>
      <c r="D32" s="33">
        <f>ROUND('Anexo 14'!D32*'Anexo 4'!$D$10,0)</f>
        <v>0</v>
      </c>
      <c r="E32" s="33">
        <f>ROUND('Anexo 14'!E32*'Anexo 4'!$D$10,0)</f>
        <v>0</v>
      </c>
      <c r="F32" s="33">
        <f>ROUND('Anexo 14'!F32*'Anexo 4'!$D$10,0)</f>
        <v>0</v>
      </c>
      <c r="G32" s="33">
        <f>ROUND('Anexo 14'!G32*'Anexo 4'!$D$10,0)</f>
        <v>0</v>
      </c>
      <c r="H32" s="33">
        <f>ROUND('Anexo 14'!H32*'Anexo 4'!$D$10,0)</f>
        <v>0</v>
      </c>
      <c r="I32" s="33">
        <f>ROUND('Anexo 14'!I32*'Anexo 4'!$D$10,0)</f>
        <v>0</v>
      </c>
      <c r="J32" s="33">
        <f>ROUND('Anexo 14'!J32*'Anexo 4'!$D$10,0)</f>
        <v>0</v>
      </c>
      <c r="K32" s="33">
        <f>ROUND('Anexo 14'!K32*'Anexo 4'!$D$10,0)</f>
        <v>0</v>
      </c>
      <c r="L32" s="33">
        <f>ROUND('Anexo 14'!L32*'Anexo 4'!$D$10,0)</f>
        <v>0</v>
      </c>
      <c r="M32" s="33">
        <f>ROUND('Anexo 14'!M32*'Anexo 4'!$D$10,0)</f>
        <v>0</v>
      </c>
      <c r="N32" s="33">
        <f>ROUND('Anexo 14'!N32*'Anexo 4'!$D$10,0)</f>
        <v>0</v>
      </c>
      <c r="O32" s="33">
        <f>ROUND('Anexo 14'!O32*'Anexo 4'!$D$10,0)</f>
        <v>0</v>
      </c>
      <c r="P32" s="33">
        <f>ROUND('Anexo 14'!P32*'Anexo 4'!$D$10,0)</f>
        <v>0</v>
      </c>
      <c r="Q32" s="33">
        <f>ROUND('Anexo 14'!Q32*'Anexo 4'!$D$10,0)</f>
        <v>0</v>
      </c>
      <c r="R32" s="33">
        <f>ROUND('Anexo 14'!R32*'Anexo 4'!$D$10,0)</f>
        <v>0</v>
      </c>
      <c r="S32" s="33">
        <f>ROUND('Anexo 14'!S32*'Anexo 4'!$D$10,0)</f>
        <v>0</v>
      </c>
      <c r="T32" s="33">
        <f>ROUND('Anexo 14'!T32*'Anexo 4'!$D$10,0)</f>
        <v>0</v>
      </c>
      <c r="U32" s="33">
        <f>ROUND('Anexo 14'!U32*'Anexo 4'!$D$10,0)</f>
        <v>0</v>
      </c>
      <c r="V32" s="33">
        <f>ROUND('Anexo 14'!V32*'Anexo 4'!$D$10,0)</f>
        <v>0</v>
      </c>
      <c r="W32" s="33">
        <f>ROUND('Anexo 14'!W32*'Anexo 4'!$D$10,0)</f>
        <v>0</v>
      </c>
      <c r="X32" s="33">
        <f>ROUND('Anexo 14'!X32*'Anexo 4'!$D$10,0)</f>
        <v>0</v>
      </c>
      <c r="Y32" s="33">
        <f>ROUND('Anexo 14'!Y32*'Anexo 4'!$D$10,0)</f>
        <v>0</v>
      </c>
      <c r="Z32" s="33">
        <f>ROUND('Anexo 14'!Z32*'Anexo 4'!$D$10,0)</f>
        <v>0</v>
      </c>
      <c r="AA32" s="41">
        <f t="shared" si="0"/>
        <v>0</v>
      </c>
      <c r="AB32" s="23">
        <v>5</v>
      </c>
      <c r="AC32" s="102"/>
      <c r="AD32" s="48"/>
    </row>
    <row r="33" spans="1:30" ht="15.75" thickBot="1" x14ac:dyDescent="0.3">
      <c r="A33" s="99">
        <v>47392</v>
      </c>
      <c r="B33" s="18" t="s">
        <v>5</v>
      </c>
      <c r="C33" s="33">
        <f>ROUND('Anexo 14'!C33*'Anexo 4'!$D$10,0)</f>
        <v>0</v>
      </c>
      <c r="D33" s="33">
        <f>ROUND('Anexo 14'!D33*'Anexo 4'!$D$10,0)</f>
        <v>0</v>
      </c>
      <c r="E33" s="33">
        <f>ROUND('Anexo 14'!E33*'Anexo 4'!$D$10,0)</f>
        <v>0</v>
      </c>
      <c r="F33" s="33">
        <f>ROUND('Anexo 14'!F33*'Anexo 4'!$D$10,0)</f>
        <v>0</v>
      </c>
      <c r="G33" s="33">
        <f>ROUND('Anexo 14'!G33*'Anexo 4'!$D$10,0)</f>
        <v>0</v>
      </c>
      <c r="H33" s="33">
        <f>ROUND('Anexo 14'!H33*'Anexo 4'!$D$10,0)</f>
        <v>0</v>
      </c>
      <c r="I33" s="33">
        <f>ROUND('Anexo 14'!I33*'Anexo 4'!$D$10,0)</f>
        <v>0</v>
      </c>
      <c r="J33" s="33">
        <f>ROUND('Anexo 14'!J33*'Anexo 4'!$D$10,0)</f>
        <v>0</v>
      </c>
      <c r="K33" s="33">
        <f>ROUND('Anexo 14'!K33*'Anexo 4'!$D$10,0)</f>
        <v>0</v>
      </c>
      <c r="L33" s="33">
        <f>ROUND('Anexo 14'!L33*'Anexo 4'!$D$10,0)</f>
        <v>0</v>
      </c>
      <c r="M33" s="33">
        <f>ROUND('Anexo 14'!M33*'Anexo 4'!$D$10,0)</f>
        <v>0</v>
      </c>
      <c r="N33" s="33">
        <f>ROUND('Anexo 14'!N33*'Anexo 4'!$D$10,0)</f>
        <v>0</v>
      </c>
      <c r="O33" s="33">
        <f>ROUND('Anexo 14'!O33*'Anexo 4'!$D$10,0)</f>
        <v>0</v>
      </c>
      <c r="P33" s="33">
        <f>ROUND('Anexo 14'!P33*'Anexo 4'!$D$10,0)</f>
        <v>0</v>
      </c>
      <c r="Q33" s="33">
        <f>ROUND('Anexo 14'!Q33*'Anexo 4'!$D$10,0)</f>
        <v>0</v>
      </c>
      <c r="R33" s="33">
        <f>ROUND('Anexo 14'!R33*'Anexo 4'!$D$10,0)</f>
        <v>0</v>
      </c>
      <c r="S33" s="33">
        <f>ROUND('Anexo 14'!S33*'Anexo 4'!$D$10,0)</f>
        <v>0</v>
      </c>
      <c r="T33" s="33">
        <f>ROUND('Anexo 14'!T33*'Anexo 4'!$D$10,0)</f>
        <v>0</v>
      </c>
      <c r="U33" s="33">
        <f>ROUND('Anexo 14'!U33*'Anexo 4'!$D$10,0)</f>
        <v>0</v>
      </c>
      <c r="V33" s="33">
        <f>ROUND('Anexo 14'!V33*'Anexo 4'!$D$10,0)</f>
        <v>0</v>
      </c>
      <c r="W33" s="33">
        <f>ROUND('Anexo 14'!W33*'Anexo 4'!$D$10,0)</f>
        <v>0</v>
      </c>
      <c r="X33" s="33">
        <f>ROUND('Anexo 14'!X33*'Anexo 4'!$D$10,0)</f>
        <v>0</v>
      </c>
      <c r="Y33" s="33">
        <f>ROUND('Anexo 14'!Y33*'Anexo 4'!$D$10,0)</f>
        <v>0</v>
      </c>
      <c r="Z33" s="33">
        <f>ROUND('Anexo 14'!Z33*'Anexo 4'!$D$10,0)</f>
        <v>0</v>
      </c>
      <c r="AA33" s="35">
        <f t="shared" si="0"/>
        <v>0</v>
      </c>
      <c r="AB33" s="19">
        <v>22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ROUND('Anexo 14'!C34*'Anexo 4'!$D$10,0)</f>
        <v>0</v>
      </c>
      <c r="D34" s="33">
        <f>ROUND('Anexo 14'!D34*'Anexo 4'!$D$10,0)</f>
        <v>0</v>
      </c>
      <c r="E34" s="33">
        <f>ROUND('Anexo 14'!E34*'Anexo 4'!$D$10,0)</f>
        <v>0</v>
      </c>
      <c r="F34" s="33">
        <f>ROUND('Anexo 14'!F34*'Anexo 4'!$D$10,0)</f>
        <v>0</v>
      </c>
      <c r="G34" s="33">
        <f>ROUND('Anexo 14'!G34*'Anexo 4'!$D$10,0)</f>
        <v>0</v>
      </c>
      <c r="H34" s="33">
        <f>ROUND('Anexo 14'!H34*'Anexo 4'!$D$10,0)</f>
        <v>0</v>
      </c>
      <c r="I34" s="33">
        <f>ROUND('Anexo 14'!I34*'Anexo 4'!$D$10,0)</f>
        <v>0</v>
      </c>
      <c r="J34" s="33">
        <f>ROUND('Anexo 14'!J34*'Anexo 4'!$D$10,0)</f>
        <v>0</v>
      </c>
      <c r="K34" s="33">
        <f>ROUND('Anexo 14'!K34*'Anexo 4'!$D$10,0)</f>
        <v>0</v>
      </c>
      <c r="L34" s="33">
        <f>ROUND('Anexo 14'!L34*'Anexo 4'!$D$10,0)</f>
        <v>0</v>
      </c>
      <c r="M34" s="33">
        <f>ROUND('Anexo 14'!M34*'Anexo 4'!$D$10,0)</f>
        <v>0</v>
      </c>
      <c r="N34" s="33">
        <f>ROUND('Anexo 14'!N34*'Anexo 4'!$D$10,0)</f>
        <v>0</v>
      </c>
      <c r="O34" s="33">
        <f>ROUND('Anexo 14'!O34*'Anexo 4'!$D$10,0)</f>
        <v>0</v>
      </c>
      <c r="P34" s="33">
        <f>ROUND('Anexo 14'!P34*'Anexo 4'!$D$10,0)</f>
        <v>0</v>
      </c>
      <c r="Q34" s="33">
        <f>ROUND('Anexo 14'!Q34*'Anexo 4'!$D$10,0)</f>
        <v>0</v>
      </c>
      <c r="R34" s="33">
        <f>ROUND('Anexo 14'!R34*'Anexo 4'!$D$10,0)</f>
        <v>0</v>
      </c>
      <c r="S34" s="33">
        <f>ROUND('Anexo 14'!S34*'Anexo 4'!$D$10,0)</f>
        <v>0</v>
      </c>
      <c r="T34" s="33">
        <f>ROUND('Anexo 14'!T34*'Anexo 4'!$D$10,0)</f>
        <v>0</v>
      </c>
      <c r="U34" s="33">
        <f>ROUND('Anexo 14'!U34*'Anexo 4'!$D$10,0)</f>
        <v>0</v>
      </c>
      <c r="V34" s="33">
        <f>ROUND('Anexo 14'!V34*'Anexo 4'!$D$10,0)</f>
        <v>0</v>
      </c>
      <c r="W34" s="33">
        <f>ROUND('Anexo 14'!W34*'Anexo 4'!$D$10,0)</f>
        <v>0</v>
      </c>
      <c r="X34" s="33">
        <f>ROUND('Anexo 14'!X34*'Anexo 4'!$D$10,0)</f>
        <v>0</v>
      </c>
      <c r="Y34" s="33">
        <f>ROUND('Anexo 14'!Y34*'Anexo 4'!$D$10,0)</f>
        <v>0</v>
      </c>
      <c r="Z34" s="33">
        <f>ROUND('Anexo 14'!Z34*'Anexo 4'!$D$10,0)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ROUND('Anexo 14'!C35*'Anexo 4'!$D$10,0)</f>
        <v>0</v>
      </c>
      <c r="D35" s="33">
        <f>ROUND('Anexo 14'!D35*'Anexo 4'!$D$10,0)</f>
        <v>0</v>
      </c>
      <c r="E35" s="33">
        <f>ROUND('Anexo 14'!E35*'Anexo 4'!$D$10,0)</f>
        <v>0</v>
      </c>
      <c r="F35" s="33">
        <f>ROUND('Anexo 14'!F35*'Anexo 4'!$D$10,0)</f>
        <v>0</v>
      </c>
      <c r="G35" s="33">
        <f>ROUND('Anexo 14'!G35*'Anexo 4'!$D$10,0)</f>
        <v>0</v>
      </c>
      <c r="H35" s="33">
        <f>ROUND('Anexo 14'!H35*'Anexo 4'!$D$10,0)</f>
        <v>0</v>
      </c>
      <c r="I35" s="33">
        <f>ROUND('Anexo 14'!I35*'Anexo 4'!$D$10,0)</f>
        <v>0</v>
      </c>
      <c r="J35" s="33">
        <f>ROUND('Anexo 14'!J35*'Anexo 4'!$D$10,0)</f>
        <v>0</v>
      </c>
      <c r="K35" s="33">
        <f>ROUND('Anexo 14'!K35*'Anexo 4'!$D$10,0)</f>
        <v>0</v>
      </c>
      <c r="L35" s="33">
        <f>ROUND('Anexo 14'!L35*'Anexo 4'!$D$10,0)</f>
        <v>0</v>
      </c>
      <c r="M35" s="33">
        <f>ROUND('Anexo 14'!M35*'Anexo 4'!$D$10,0)</f>
        <v>0</v>
      </c>
      <c r="N35" s="33">
        <f>ROUND('Anexo 14'!N35*'Anexo 4'!$D$10,0)</f>
        <v>0</v>
      </c>
      <c r="O35" s="33">
        <f>ROUND('Anexo 14'!O35*'Anexo 4'!$D$10,0)</f>
        <v>0</v>
      </c>
      <c r="P35" s="33">
        <f>ROUND('Anexo 14'!P35*'Anexo 4'!$D$10,0)</f>
        <v>0</v>
      </c>
      <c r="Q35" s="33">
        <f>ROUND('Anexo 14'!Q35*'Anexo 4'!$D$10,0)</f>
        <v>0</v>
      </c>
      <c r="R35" s="33">
        <f>ROUND('Anexo 14'!R35*'Anexo 4'!$D$10,0)</f>
        <v>0</v>
      </c>
      <c r="S35" s="33">
        <f>ROUND('Anexo 14'!S35*'Anexo 4'!$D$10,0)</f>
        <v>0</v>
      </c>
      <c r="T35" s="33">
        <f>ROUND('Anexo 14'!T35*'Anexo 4'!$D$10,0)</f>
        <v>0</v>
      </c>
      <c r="U35" s="33">
        <f>ROUND('Anexo 14'!U35*'Anexo 4'!$D$10,0)</f>
        <v>0</v>
      </c>
      <c r="V35" s="33">
        <f>ROUND('Anexo 14'!V35*'Anexo 4'!$D$10,0)</f>
        <v>0</v>
      </c>
      <c r="W35" s="33">
        <f>ROUND('Anexo 14'!W35*'Anexo 4'!$D$10,0)</f>
        <v>0</v>
      </c>
      <c r="X35" s="33">
        <f>ROUND('Anexo 14'!X35*'Anexo 4'!$D$10,0)</f>
        <v>0</v>
      </c>
      <c r="Y35" s="33">
        <f>ROUND('Anexo 14'!Y35*'Anexo 4'!$D$10,0)</f>
        <v>0</v>
      </c>
      <c r="Z35" s="33">
        <f>ROUND('Anexo 14'!Z35*'Anexo 4'!$D$10,0)</f>
        <v>0</v>
      </c>
      <c r="AA35" s="41">
        <f t="shared" si="0"/>
        <v>0</v>
      </c>
      <c r="AB35" s="23">
        <v>5</v>
      </c>
      <c r="AC35" s="102"/>
      <c r="AD35" s="48"/>
    </row>
    <row r="36" spans="1:30" ht="15.75" thickBot="1" x14ac:dyDescent="0.3">
      <c r="A36" s="99">
        <v>47423</v>
      </c>
      <c r="B36" s="18" t="s">
        <v>5</v>
      </c>
      <c r="C36" s="33">
        <f>ROUND('Anexo 14'!C36*'Anexo 4'!$D$10,0)</f>
        <v>0</v>
      </c>
      <c r="D36" s="33">
        <f>ROUND('Anexo 14'!D36*'Anexo 4'!$D$10,0)</f>
        <v>0</v>
      </c>
      <c r="E36" s="33">
        <f>ROUND('Anexo 14'!E36*'Anexo 4'!$D$10,0)</f>
        <v>0</v>
      </c>
      <c r="F36" s="33">
        <f>ROUND('Anexo 14'!F36*'Anexo 4'!$D$10,0)</f>
        <v>0</v>
      </c>
      <c r="G36" s="33">
        <f>ROUND('Anexo 14'!G36*'Anexo 4'!$D$10,0)</f>
        <v>0</v>
      </c>
      <c r="H36" s="33">
        <f>ROUND('Anexo 14'!H36*'Anexo 4'!$D$10,0)</f>
        <v>0</v>
      </c>
      <c r="I36" s="33">
        <f>ROUND('Anexo 14'!I36*'Anexo 4'!$D$10,0)</f>
        <v>0</v>
      </c>
      <c r="J36" s="33">
        <f>ROUND('Anexo 14'!J36*'Anexo 4'!$D$10,0)</f>
        <v>0</v>
      </c>
      <c r="K36" s="33">
        <f>ROUND('Anexo 14'!K36*'Anexo 4'!$D$10,0)</f>
        <v>0</v>
      </c>
      <c r="L36" s="33">
        <f>ROUND('Anexo 14'!L36*'Anexo 4'!$D$10,0)</f>
        <v>0</v>
      </c>
      <c r="M36" s="33">
        <f>ROUND('Anexo 14'!M36*'Anexo 4'!$D$10,0)</f>
        <v>0</v>
      </c>
      <c r="N36" s="33">
        <f>ROUND('Anexo 14'!N36*'Anexo 4'!$D$10,0)</f>
        <v>0</v>
      </c>
      <c r="O36" s="33">
        <f>ROUND('Anexo 14'!O36*'Anexo 4'!$D$10,0)</f>
        <v>0</v>
      </c>
      <c r="P36" s="33">
        <f>ROUND('Anexo 14'!P36*'Anexo 4'!$D$10,0)</f>
        <v>0</v>
      </c>
      <c r="Q36" s="33">
        <f>ROUND('Anexo 14'!Q36*'Anexo 4'!$D$10,0)</f>
        <v>0</v>
      </c>
      <c r="R36" s="33">
        <f>ROUND('Anexo 14'!R36*'Anexo 4'!$D$10,0)</f>
        <v>0</v>
      </c>
      <c r="S36" s="33">
        <f>ROUND('Anexo 14'!S36*'Anexo 4'!$D$10,0)</f>
        <v>0</v>
      </c>
      <c r="T36" s="33">
        <f>ROUND('Anexo 14'!T36*'Anexo 4'!$D$10,0)</f>
        <v>0</v>
      </c>
      <c r="U36" s="33">
        <f>ROUND('Anexo 14'!U36*'Anexo 4'!$D$10,0)</f>
        <v>0</v>
      </c>
      <c r="V36" s="33">
        <f>ROUND('Anexo 14'!V36*'Anexo 4'!$D$10,0)</f>
        <v>0</v>
      </c>
      <c r="W36" s="33">
        <f>ROUND('Anexo 14'!W36*'Anexo 4'!$D$10,0)</f>
        <v>0</v>
      </c>
      <c r="X36" s="33">
        <f>ROUND('Anexo 14'!X36*'Anexo 4'!$D$10,0)</f>
        <v>0</v>
      </c>
      <c r="Y36" s="33">
        <f>ROUND('Anexo 14'!Y36*'Anexo 4'!$D$10,0)</f>
        <v>0</v>
      </c>
      <c r="Z36" s="33">
        <f>ROUND('Anexo 14'!Z36*'Anexo 4'!$D$10,0)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ROUND('Anexo 14'!C37*'Anexo 4'!$D$10,0)</f>
        <v>0</v>
      </c>
      <c r="D37" s="33">
        <f>ROUND('Anexo 14'!D37*'Anexo 4'!$D$10,0)</f>
        <v>0</v>
      </c>
      <c r="E37" s="33">
        <f>ROUND('Anexo 14'!E37*'Anexo 4'!$D$10,0)</f>
        <v>0</v>
      </c>
      <c r="F37" s="33">
        <f>ROUND('Anexo 14'!F37*'Anexo 4'!$D$10,0)</f>
        <v>0</v>
      </c>
      <c r="G37" s="33">
        <f>ROUND('Anexo 14'!G37*'Anexo 4'!$D$10,0)</f>
        <v>0</v>
      </c>
      <c r="H37" s="33">
        <f>ROUND('Anexo 14'!H37*'Anexo 4'!$D$10,0)</f>
        <v>0</v>
      </c>
      <c r="I37" s="33">
        <f>ROUND('Anexo 14'!I37*'Anexo 4'!$D$10,0)</f>
        <v>0</v>
      </c>
      <c r="J37" s="33">
        <f>ROUND('Anexo 14'!J37*'Anexo 4'!$D$10,0)</f>
        <v>0</v>
      </c>
      <c r="K37" s="33">
        <f>ROUND('Anexo 14'!K37*'Anexo 4'!$D$10,0)</f>
        <v>0</v>
      </c>
      <c r="L37" s="33">
        <f>ROUND('Anexo 14'!L37*'Anexo 4'!$D$10,0)</f>
        <v>0</v>
      </c>
      <c r="M37" s="33">
        <f>ROUND('Anexo 14'!M37*'Anexo 4'!$D$10,0)</f>
        <v>0</v>
      </c>
      <c r="N37" s="33">
        <f>ROUND('Anexo 14'!N37*'Anexo 4'!$D$10,0)</f>
        <v>0</v>
      </c>
      <c r="O37" s="33">
        <f>ROUND('Anexo 14'!O37*'Anexo 4'!$D$10,0)</f>
        <v>0</v>
      </c>
      <c r="P37" s="33">
        <f>ROUND('Anexo 14'!P37*'Anexo 4'!$D$10,0)</f>
        <v>0</v>
      </c>
      <c r="Q37" s="33">
        <f>ROUND('Anexo 14'!Q37*'Anexo 4'!$D$10,0)</f>
        <v>0</v>
      </c>
      <c r="R37" s="33">
        <f>ROUND('Anexo 14'!R37*'Anexo 4'!$D$10,0)</f>
        <v>0</v>
      </c>
      <c r="S37" s="33">
        <f>ROUND('Anexo 14'!S37*'Anexo 4'!$D$10,0)</f>
        <v>0</v>
      </c>
      <c r="T37" s="33">
        <f>ROUND('Anexo 14'!T37*'Anexo 4'!$D$10,0)</f>
        <v>0</v>
      </c>
      <c r="U37" s="33">
        <f>ROUND('Anexo 14'!U37*'Anexo 4'!$D$10,0)</f>
        <v>0</v>
      </c>
      <c r="V37" s="33">
        <f>ROUND('Anexo 14'!V37*'Anexo 4'!$D$10,0)</f>
        <v>0</v>
      </c>
      <c r="W37" s="33">
        <f>ROUND('Anexo 14'!W37*'Anexo 4'!$D$10,0)</f>
        <v>0</v>
      </c>
      <c r="X37" s="33">
        <f>ROUND('Anexo 14'!X37*'Anexo 4'!$D$10,0)</f>
        <v>0</v>
      </c>
      <c r="Y37" s="33">
        <f>ROUND('Anexo 14'!Y37*'Anexo 4'!$D$10,0)</f>
        <v>0</v>
      </c>
      <c r="Z37" s="33">
        <f>ROUND('Anexo 14'!Z37*'Anexo 4'!$D$10,0)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ROUND('Anexo 14'!C38*'Anexo 4'!$D$10,0)</f>
        <v>0</v>
      </c>
      <c r="D38" s="33">
        <f>ROUND('Anexo 14'!D38*'Anexo 4'!$D$10,0)</f>
        <v>0</v>
      </c>
      <c r="E38" s="33">
        <f>ROUND('Anexo 14'!E38*'Anexo 4'!$D$10,0)</f>
        <v>0</v>
      </c>
      <c r="F38" s="33">
        <f>ROUND('Anexo 14'!F38*'Anexo 4'!$D$10,0)</f>
        <v>0</v>
      </c>
      <c r="G38" s="33">
        <f>ROUND('Anexo 14'!G38*'Anexo 4'!$D$10,0)</f>
        <v>0</v>
      </c>
      <c r="H38" s="33">
        <f>ROUND('Anexo 14'!H38*'Anexo 4'!$D$10,0)</f>
        <v>0</v>
      </c>
      <c r="I38" s="33">
        <f>ROUND('Anexo 14'!I38*'Anexo 4'!$D$10,0)</f>
        <v>0</v>
      </c>
      <c r="J38" s="33">
        <f>ROUND('Anexo 14'!J38*'Anexo 4'!$D$10,0)</f>
        <v>0</v>
      </c>
      <c r="K38" s="33">
        <f>ROUND('Anexo 14'!K38*'Anexo 4'!$D$10,0)</f>
        <v>0</v>
      </c>
      <c r="L38" s="33">
        <f>ROUND('Anexo 14'!L38*'Anexo 4'!$D$10,0)</f>
        <v>0</v>
      </c>
      <c r="M38" s="33">
        <f>ROUND('Anexo 14'!M38*'Anexo 4'!$D$10,0)</f>
        <v>0</v>
      </c>
      <c r="N38" s="33">
        <f>ROUND('Anexo 14'!N38*'Anexo 4'!$D$10,0)</f>
        <v>0</v>
      </c>
      <c r="O38" s="33">
        <f>ROUND('Anexo 14'!O38*'Anexo 4'!$D$10,0)</f>
        <v>0</v>
      </c>
      <c r="P38" s="33">
        <f>ROUND('Anexo 14'!P38*'Anexo 4'!$D$10,0)</f>
        <v>0</v>
      </c>
      <c r="Q38" s="33">
        <f>ROUND('Anexo 14'!Q38*'Anexo 4'!$D$10,0)</f>
        <v>0</v>
      </c>
      <c r="R38" s="33">
        <f>ROUND('Anexo 14'!R38*'Anexo 4'!$D$10,0)</f>
        <v>0</v>
      </c>
      <c r="S38" s="33">
        <f>ROUND('Anexo 14'!S38*'Anexo 4'!$D$10,0)</f>
        <v>0</v>
      </c>
      <c r="T38" s="33">
        <f>ROUND('Anexo 14'!T38*'Anexo 4'!$D$10,0)</f>
        <v>0</v>
      </c>
      <c r="U38" s="33">
        <f>ROUND('Anexo 14'!U38*'Anexo 4'!$D$10,0)</f>
        <v>0</v>
      </c>
      <c r="V38" s="33">
        <f>ROUND('Anexo 14'!V38*'Anexo 4'!$D$10,0)</f>
        <v>0</v>
      </c>
      <c r="W38" s="33">
        <f>ROUND('Anexo 14'!W38*'Anexo 4'!$D$10,0)</f>
        <v>0</v>
      </c>
      <c r="X38" s="33">
        <f>ROUND('Anexo 14'!X38*'Anexo 4'!$D$10,0)</f>
        <v>0</v>
      </c>
      <c r="Y38" s="33">
        <f>ROUND('Anexo 14'!Y38*'Anexo 4'!$D$10,0)</f>
        <v>0</v>
      </c>
      <c r="Z38" s="33">
        <f>ROUND('Anexo 14'!Z38*'Anexo 4'!$D$10,0)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47453</v>
      </c>
      <c r="B39" s="18" t="s">
        <v>5</v>
      </c>
      <c r="C39" s="33">
        <f>ROUND('Anexo 14'!C39*'Anexo 4'!$D$10,0)</f>
        <v>0</v>
      </c>
      <c r="D39" s="33">
        <f>ROUND('Anexo 14'!D39*'Anexo 4'!$D$10,0)</f>
        <v>0</v>
      </c>
      <c r="E39" s="33">
        <f>ROUND('Anexo 14'!E39*'Anexo 4'!$D$10,0)</f>
        <v>0</v>
      </c>
      <c r="F39" s="33">
        <f>ROUND('Anexo 14'!F39*'Anexo 4'!$D$10,0)</f>
        <v>0</v>
      </c>
      <c r="G39" s="33">
        <f>ROUND('Anexo 14'!G39*'Anexo 4'!$D$10,0)</f>
        <v>0</v>
      </c>
      <c r="H39" s="33">
        <f>ROUND('Anexo 14'!H39*'Anexo 4'!$D$10,0)</f>
        <v>0</v>
      </c>
      <c r="I39" s="33">
        <f>ROUND('Anexo 14'!I39*'Anexo 4'!$D$10,0)</f>
        <v>0</v>
      </c>
      <c r="J39" s="33">
        <f>ROUND('Anexo 14'!J39*'Anexo 4'!$D$10,0)</f>
        <v>0</v>
      </c>
      <c r="K39" s="33">
        <f>ROUND('Anexo 14'!K39*'Anexo 4'!$D$10,0)</f>
        <v>0</v>
      </c>
      <c r="L39" s="33">
        <f>ROUND('Anexo 14'!L39*'Anexo 4'!$D$10,0)</f>
        <v>0</v>
      </c>
      <c r="M39" s="33">
        <f>ROUND('Anexo 14'!M39*'Anexo 4'!$D$10,0)</f>
        <v>0</v>
      </c>
      <c r="N39" s="33">
        <f>ROUND('Anexo 14'!N39*'Anexo 4'!$D$10,0)</f>
        <v>0</v>
      </c>
      <c r="O39" s="33">
        <f>ROUND('Anexo 14'!O39*'Anexo 4'!$D$10,0)</f>
        <v>0</v>
      </c>
      <c r="P39" s="33">
        <f>ROUND('Anexo 14'!P39*'Anexo 4'!$D$10,0)</f>
        <v>0</v>
      </c>
      <c r="Q39" s="33">
        <f>ROUND('Anexo 14'!Q39*'Anexo 4'!$D$10,0)</f>
        <v>0</v>
      </c>
      <c r="R39" s="33">
        <f>ROUND('Anexo 14'!R39*'Anexo 4'!$D$10,0)</f>
        <v>0</v>
      </c>
      <c r="S39" s="33">
        <f>ROUND('Anexo 14'!S39*'Anexo 4'!$D$10,0)</f>
        <v>0</v>
      </c>
      <c r="T39" s="33">
        <f>ROUND('Anexo 14'!T39*'Anexo 4'!$D$10,0)</f>
        <v>0</v>
      </c>
      <c r="U39" s="33">
        <f>ROUND('Anexo 14'!U39*'Anexo 4'!$D$10,0)</f>
        <v>0</v>
      </c>
      <c r="V39" s="33">
        <f>ROUND('Anexo 14'!V39*'Anexo 4'!$D$10,0)</f>
        <v>0</v>
      </c>
      <c r="W39" s="33">
        <f>ROUND('Anexo 14'!W39*'Anexo 4'!$D$10,0)</f>
        <v>0</v>
      </c>
      <c r="X39" s="33">
        <f>ROUND('Anexo 14'!X39*'Anexo 4'!$D$10,0)</f>
        <v>0</v>
      </c>
      <c r="Y39" s="33">
        <f>ROUND('Anexo 14'!Y39*'Anexo 4'!$D$10,0)</f>
        <v>0</v>
      </c>
      <c r="Z39" s="33">
        <f>ROUND('Anexo 14'!Z39*'Anexo 4'!$D$10,0)</f>
        <v>0</v>
      </c>
      <c r="AA39" s="35">
        <f t="shared" si="0"/>
        <v>0</v>
      </c>
      <c r="AB39" s="19">
        <v>20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ROUND('Anexo 14'!C40*'Anexo 4'!$D$10,0)</f>
        <v>0</v>
      </c>
      <c r="D40" s="33">
        <f>ROUND('Anexo 14'!D40*'Anexo 4'!$D$10,0)</f>
        <v>0</v>
      </c>
      <c r="E40" s="33">
        <f>ROUND('Anexo 14'!E40*'Anexo 4'!$D$10,0)</f>
        <v>0</v>
      </c>
      <c r="F40" s="33">
        <f>ROUND('Anexo 14'!F40*'Anexo 4'!$D$10,0)</f>
        <v>0</v>
      </c>
      <c r="G40" s="33">
        <f>ROUND('Anexo 14'!G40*'Anexo 4'!$D$10,0)</f>
        <v>0</v>
      </c>
      <c r="H40" s="33">
        <f>ROUND('Anexo 14'!H40*'Anexo 4'!$D$10,0)</f>
        <v>0</v>
      </c>
      <c r="I40" s="33">
        <f>ROUND('Anexo 14'!I40*'Anexo 4'!$D$10,0)</f>
        <v>0</v>
      </c>
      <c r="J40" s="33">
        <f>ROUND('Anexo 14'!J40*'Anexo 4'!$D$10,0)</f>
        <v>0</v>
      </c>
      <c r="K40" s="33">
        <f>ROUND('Anexo 14'!K40*'Anexo 4'!$D$10,0)</f>
        <v>0</v>
      </c>
      <c r="L40" s="33">
        <f>ROUND('Anexo 14'!L40*'Anexo 4'!$D$10,0)</f>
        <v>0</v>
      </c>
      <c r="M40" s="33">
        <f>ROUND('Anexo 14'!M40*'Anexo 4'!$D$10,0)</f>
        <v>0</v>
      </c>
      <c r="N40" s="33">
        <f>ROUND('Anexo 14'!N40*'Anexo 4'!$D$10,0)</f>
        <v>0</v>
      </c>
      <c r="O40" s="33">
        <f>ROUND('Anexo 14'!O40*'Anexo 4'!$D$10,0)</f>
        <v>0</v>
      </c>
      <c r="P40" s="33">
        <f>ROUND('Anexo 14'!P40*'Anexo 4'!$D$10,0)</f>
        <v>0</v>
      </c>
      <c r="Q40" s="33">
        <f>ROUND('Anexo 14'!Q40*'Anexo 4'!$D$10,0)</f>
        <v>0</v>
      </c>
      <c r="R40" s="33">
        <f>ROUND('Anexo 14'!R40*'Anexo 4'!$D$10,0)</f>
        <v>0</v>
      </c>
      <c r="S40" s="33">
        <f>ROUND('Anexo 14'!S40*'Anexo 4'!$D$10,0)</f>
        <v>0</v>
      </c>
      <c r="T40" s="33">
        <f>ROUND('Anexo 14'!T40*'Anexo 4'!$D$10,0)</f>
        <v>0</v>
      </c>
      <c r="U40" s="33">
        <f>ROUND('Anexo 14'!U40*'Anexo 4'!$D$10,0)</f>
        <v>0</v>
      </c>
      <c r="V40" s="33">
        <f>ROUND('Anexo 14'!V40*'Anexo 4'!$D$10,0)</f>
        <v>0</v>
      </c>
      <c r="W40" s="33">
        <f>ROUND('Anexo 14'!W40*'Anexo 4'!$D$10,0)</f>
        <v>0</v>
      </c>
      <c r="X40" s="33">
        <f>ROUND('Anexo 14'!X40*'Anexo 4'!$D$10,0)</f>
        <v>0</v>
      </c>
      <c r="Y40" s="33">
        <f>ROUND('Anexo 14'!Y40*'Anexo 4'!$D$10,0)</f>
        <v>0</v>
      </c>
      <c r="Z40" s="33">
        <f>ROUND('Anexo 14'!Z40*'Anexo 4'!$D$10,0)</f>
        <v>0</v>
      </c>
      <c r="AA40" s="38">
        <f t="shared" si="0"/>
        <v>0</v>
      </c>
      <c r="AB40" s="21">
        <v>4</v>
      </c>
      <c r="AC40" s="101"/>
      <c r="AD40" s="47"/>
    </row>
    <row r="41" spans="1:30" ht="15.75" thickBot="1" x14ac:dyDescent="0.3">
      <c r="A41" s="99"/>
      <c r="B41" s="22" t="s">
        <v>3</v>
      </c>
      <c r="C41" s="33">
        <f>ROUND('Anexo 14'!C41*'Anexo 4'!$D$10,0)</f>
        <v>0</v>
      </c>
      <c r="D41" s="33">
        <f>ROUND('Anexo 14'!D41*'Anexo 4'!$D$10,0)</f>
        <v>0</v>
      </c>
      <c r="E41" s="33">
        <f>ROUND('Anexo 14'!E41*'Anexo 4'!$D$10,0)</f>
        <v>0</v>
      </c>
      <c r="F41" s="33">
        <f>ROUND('Anexo 14'!F41*'Anexo 4'!$D$10,0)</f>
        <v>0</v>
      </c>
      <c r="G41" s="33">
        <f>ROUND('Anexo 14'!G41*'Anexo 4'!$D$10,0)</f>
        <v>0</v>
      </c>
      <c r="H41" s="33">
        <f>ROUND('Anexo 14'!H41*'Anexo 4'!$D$10,0)</f>
        <v>0</v>
      </c>
      <c r="I41" s="33">
        <f>ROUND('Anexo 14'!I41*'Anexo 4'!$D$10,0)</f>
        <v>0</v>
      </c>
      <c r="J41" s="33">
        <f>ROUND('Anexo 14'!J41*'Anexo 4'!$D$10,0)</f>
        <v>0</v>
      </c>
      <c r="K41" s="33">
        <f>ROUND('Anexo 14'!K41*'Anexo 4'!$D$10,0)</f>
        <v>0</v>
      </c>
      <c r="L41" s="33">
        <f>ROUND('Anexo 14'!L41*'Anexo 4'!$D$10,0)</f>
        <v>0</v>
      </c>
      <c r="M41" s="33">
        <f>ROUND('Anexo 14'!M41*'Anexo 4'!$D$10,0)</f>
        <v>0</v>
      </c>
      <c r="N41" s="33">
        <f>ROUND('Anexo 14'!N41*'Anexo 4'!$D$10,0)</f>
        <v>0</v>
      </c>
      <c r="O41" s="33">
        <f>ROUND('Anexo 14'!O41*'Anexo 4'!$D$10,0)</f>
        <v>0</v>
      </c>
      <c r="P41" s="33">
        <f>ROUND('Anexo 14'!P41*'Anexo 4'!$D$10,0)</f>
        <v>0</v>
      </c>
      <c r="Q41" s="33">
        <f>ROUND('Anexo 14'!Q41*'Anexo 4'!$D$10,0)</f>
        <v>0</v>
      </c>
      <c r="R41" s="33">
        <f>ROUND('Anexo 14'!R41*'Anexo 4'!$D$10,0)</f>
        <v>0</v>
      </c>
      <c r="S41" s="33">
        <f>ROUND('Anexo 14'!S41*'Anexo 4'!$D$10,0)</f>
        <v>0</v>
      </c>
      <c r="T41" s="33">
        <f>ROUND('Anexo 14'!T41*'Anexo 4'!$D$10,0)</f>
        <v>0</v>
      </c>
      <c r="U41" s="33">
        <f>ROUND('Anexo 14'!U41*'Anexo 4'!$D$10,0)</f>
        <v>0</v>
      </c>
      <c r="V41" s="33">
        <f>ROUND('Anexo 14'!V41*'Anexo 4'!$D$10,0)</f>
        <v>0</v>
      </c>
      <c r="W41" s="33">
        <f>ROUND('Anexo 14'!W41*'Anexo 4'!$D$10,0)</f>
        <v>0</v>
      </c>
      <c r="X41" s="33">
        <f>ROUND('Anexo 14'!X41*'Anexo 4'!$D$10,0)</f>
        <v>0</v>
      </c>
      <c r="Y41" s="33">
        <f>ROUND('Anexo 14'!Y41*'Anexo 4'!$D$10,0)</f>
        <v>0</v>
      </c>
      <c r="Z41" s="33">
        <f>ROUND('Anexo 14'!Z41*'Anexo 4'!$D$10,0)</f>
        <v>0</v>
      </c>
      <c r="AA41" s="41">
        <f t="shared" si="0"/>
        <v>0</v>
      </c>
      <c r="AB41" s="23">
        <v>7</v>
      </c>
      <c r="AC41" s="102"/>
      <c r="AD41" s="42"/>
    </row>
    <row r="42" spans="1:30" ht="15.75" thickBot="1" x14ac:dyDescent="0.3">
      <c r="A42" s="103" t="s">
        <v>2</v>
      </c>
      <c r="B42" s="104"/>
      <c r="C42" s="33">
        <f>ROUND('Anexo 13'!C42*'Anexo 3'!$D$10,0)</f>
        <v>0</v>
      </c>
      <c r="D42" s="33">
        <f>ROUND('Anexo 13'!D42*'Anexo 3'!$D$10,0)</f>
        <v>0</v>
      </c>
      <c r="E42" s="33">
        <f>ROUND('Anexo 13'!E42*'Anexo 3'!$D$10,0)</f>
        <v>0</v>
      </c>
      <c r="F42" s="33">
        <f>ROUND('Anexo 13'!F42*'Anexo 3'!$D$10,0)</f>
        <v>0</v>
      </c>
      <c r="G42" s="33">
        <f>ROUND('Anexo 13'!G42*'Anexo 3'!$D$10,0)</f>
        <v>0</v>
      </c>
      <c r="H42" s="33">
        <f>ROUND('Anexo 13'!H42*'Anexo 3'!$D$10,0)</f>
        <v>0</v>
      </c>
      <c r="I42" s="33">
        <f>ROUND('Anexo 13'!I42*'Anexo 3'!$D$10,0)</f>
        <v>0</v>
      </c>
      <c r="J42" s="33">
        <f>ROUND('Anexo 13'!J42*'Anexo 3'!$D$10,0)</f>
        <v>0</v>
      </c>
      <c r="K42" s="33">
        <f>ROUND('Anexo 13'!K42*'Anexo 3'!$D$10,0)</f>
        <v>0</v>
      </c>
      <c r="L42" s="33">
        <f>ROUND('Anexo 13'!L42*'Anexo 3'!$D$10,0)</f>
        <v>0</v>
      </c>
      <c r="M42" s="33">
        <f>ROUND('Anexo 13'!M42*'Anexo 3'!$D$10,0)</f>
        <v>0</v>
      </c>
      <c r="N42" s="33">
        <f>ROUND('Anexo 13'!N42*'Anexo 3'!$D$10,0)</f>
        <v>0</v>
      </c>
      <c r="O42" s="33">
        <f>ROUND('Anexo 13'!O42*'Anexo 3'!$D$10,0)</f>
        <v>0</v>
      </c>
      <c r="P42" s="33">
        <f>ROUND('Anexo 13'!P42*'Anexo 3'!$D$10,0)</f>
        <v>0</v>
      </c>
      <c r="Q42" s="33">
        <f>ROUND('Anexo 13'!Q42*'Anexo 3'!$D$10,0)</f>
        <v>0</v>
      </c>
      <c r="R42" s="33">
        <f>ROUND('Anexo 13'!R42*'Anexo 3'!$D$10,0)</f>
        <v>0</v>
      </c>
      <c r="S42" s="33">
        <f>ROUND('Anexo 13'!S42*'Anexo 3'!$D$10,0)</f>
        <v>0</v>
      </c>
      <c r="T42" s="33">
        <f>ROUND('Anexo 13'!T42*'Anexo 3'!$D$10,0)</f>
        <v>0</v>
      </c>
      <c r="U42" s="33">
        <f>ROUND('Anexo 13'!U42*'Anexo 3'!$D$10,0)</f>
        <v>0</v>
      </c>
      <c r="V42" s="33">
        <f>ROUND('Anexo 13'!V42*'Anexo 3'!$D$10,0)</f>
        <v>0</v>
      </c>
      <c r="W42" s="33">
        <f>ROUND('Anexo 13'!W42*'Anexo 3'!$D$10,0)</f>
        <v>0</v>
      </c>
      <c r="X42" s="33">
        <f>ROUND('Anexo 13'!X42*'Anexo 3'!$D$10,0)</f>
        <v>0</v>
      </c>
      <c r="Y42" s="33">
        <f>ROUND('Anexo 13'!Y42*'Anexo 3'!$D$10,0)</f>
        <v>0</v>
      </c>
      <c r="Z42" s="33">
        <f>ROUND('Anexo 13'!Z42*'Anexo 3'!$D$10,0)</f>
        <v>0</v>
      </c>
      <c r="AA42" s="31">
        <f t="shared" ref="AA42:AC42" si="1">+SUM(AA6:AA41)</f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701E-77FB-4B66-8D04-18F03EABCD13}">
  <sheetPr codeName="Hoja1">
    <tabColor theme="5" tint="0.79998168889431442"/>
  </sheetPr>
  <dimension ref="A1:XFC36"/>
  <sheetViews>
    <sheetView showGridLines="0" topLeftCell="A14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 customWidth="1"/>
    <col min="9" max="16382" width="11.42578125" hidden="1" customWidth="1"/>
    <col min="16383" max="16383" width="6" hidden="1" customWidth="1"/>
    <col min="16384" max="16384" width="23.42578125" hidden="1" customWidth="1"/>
  </cols>
  <sheetData>
    <row r="1" spans="1:9" x14ac:dyDescent="0.25"/>
    <row r="2" spans="1:9" x14ac:dyDescent="0.25"/>
    <row r="3" spans="1:9" x14ac:dyDescent="0.25">
      <c r="B3" s="79" t="s">
        <v>79</v>
      </c>
      <c r="C3" s="79"/>
      <c r="D3" s="79"/>
      <c r="E3" s="79"/>
      <c r="F3" s="79"/>
      <c r="G3" s="29"/>
    </row>
    <row r="4" spans="1:9" x14ac:dyDescent="0.25">
      <c r="B4" s="79" t="s">
        <v>63</v>
      </c>
      <c r="C4" s="79"/>
      <c r="D4" s="79"/>
      <c r="E4" s="79"/>
      <c r="F4" s="79"/>
      <c r="G4" s="29"/>
    </row>
    <row r="5" spans="1:9" x14ac:dyDescent="0.25">
      <c r="B5" s="79" t="s">
        <v>89</v>
      </c>
      <c r="C5" s="79"/>
      <c r="D5" s="79"/>
      <c r="E5" s="79"/>
      <c r="F5" s="79"/>
      <c r="G5" s="29"/>
    </row>
    <row r="6" spans="1:9" x14ac:dyDescent="0.25">
      <c r="B6" s="5"/>
      <c r="C6" s="5"/>
      <c r="D6" s="5"/>
      <c r="E6" s="5"/>
      <c r="F6" s="5"/>
      <c r="G6" s="5"/>
    </row>
    <row r="7" spans="1:9" x14ac:dyDescent="0.25"/>
    <row r="8" spans="1:9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9" ht="23.25" customHeight="1" x14ac:dyDescent="0.25">
      <c r="B9" s="81"/>
      <c r="C9" s="81"/>
      <c r="D9" s="81"/>
      <c r="E9" s="81"/>
      <c r="F9" s="81"/>
      <c r="G9" s="28"/>
    </row>
    <row r="10" spans="1:9" ht="15.75" thickBot="1" x14ac:dyDescent="0.3">
      <c r="A10" s="59">
        <v>31</v>
      </c>
      <c r="B10" s="8">
        <v>47484</v>
      </c>
      <c r="C10" s="43">
        <f>+'Anexo 15'!AC6</f>
        <v>54032354.5</v>
      </c>
      <c r="D10" s="76"/>
      <c r="E10" s="57">
        <f>+'Cantidades Ofertadas Prod 5'!AC6</f>
        <v>0</v>
      </c>
      <c r="F10" s="85"/>
      <c r="G10" s="32"/>
      <c r="H10" s="66"/>
      <c r="I10" s="48"/>
    </row>
    <row r="11" spans="1:9" ht="15.75" thickBot="1" x14ac:dyDescent="0.3">
      <c r="A11" s="59">
        <v>29</v>
      </c>
      <c r="B11" s="8">
        <v>47515</v>
      </c>
      <c r="C11" s="43">
        <f>+'Anexo 15'!AC9</f>
        <v>49722666</v>
      </c>
      <c r="D11" s="77"/>
      <c r="E11" s="57">
        <f>+'Cantidades Ofertadas Prod 5'!AC9</f>
        <v>0</v>
      </c>
      <c r="F11" s="86"/>
      <c r="G11" s="32"/>
      <c r="H11" s="66"/>
      <c r="I11" s="48"/>
    </row>
    <row r="12" spans="1:9" ht="15.75" thickBot="1" x14ac:dyDescent="0.3">
      <c r="A12" s="59">
        <v>31</v>
      </c>
      <c r="B12" s="8">
        <v>47543</v>
      </c>
      <c r="C12" s="43">
        <f>+'Anexo 15'!AC12</f>
        <v>53397794.5</v>
      </c>
      <c r="D12" s="77"/>
      <c r="E12" s="57">
        <f>+'Cantidades Ofertadas Prod 5'!AC12</f>
        <v>0</v>
      </c>
      <c r="F12" s="86"/>
      <c r="G12" s="32"/>
      <c r="H12" s="66"/>
      <c r="I12" s="48"/>
    </row>
    <row r="13" spans="1:9" ht="15.75" thickBot="1" x14ac:dyDescent="0.3">
      <c r="A13" s="59">
        <v>30</v>
      </c>
      <c r="B13" s="8">
        <v>47574</v>
      </c>
      <c r="C13" s="43">
        <f>+'Anexo 15'!AC15</f>
        <v>49712576</v>
      </c>
      <c r="D13" s="77"/>
      <c r="E13" s="57">
        <f>+'Cantidades Ofertadas Prod 5'!AC15</f>
        <v>0</v>
      </c>
      <c r="F13" s="86"/>
      <c r="G13" s="32"/>
      <c r="H13" s="66"/>
      <c r="I13" s="48"/>
    </row>
    <row r="14" spans="1:9" ht="15.75" thickBot="1" x14ac:dyDescent="0.3">
      <c r="A14" s="59">
        <v>31</v>
      </c>
      <c r="B14" s="8">
        <v>47604</v>
      </c>
      <c r="C14" s="43">
        <f>+'Anexo 15'!AC18</f>
        <v>52315098.5</v>
      </c>
      <c r="D14" s="77"/>
      <c r="E14" s="57">
        <f>+'Cantidades Ofertadas Prod 5'!AC18</f>
        <v>0</v>
      </c>
      <c r="F14" s="86"/>
      <c r="G14" s="32"/>
      <c r="H14" s="66"/>
      <c r="I14" s="48"/>
    </row>
    <row r="15" spans="1:9" ht="15.75" thickBot="1" x14ac:dyDescent="0.3">
      <c r="A15" s="59">
        <v>30</v>
      </c>
      <c r="B15" s="8">
        <v>47635</v>
      </c>
      <c r="C15" s="43">
        <f>+'Anexo 15'!AC21</f>
        <v>50268030.5</v>
      </c>
      <c r="D15" s="77"/>
      <c r="E15" s="57">
        <f>+'Cantidades Ofertadas Prod 5'!AC21</f>
        <v>0</v>
      </c>
      <c r="F15" s="86"/>
      <c r="G15" s="32"/>
      <c r="H15" s="66"/>
      <c r="I15" s="48"/>
    </row>
    <row r="16" spans="1:9" ht="15.75" thickBot="1" x14ac:dyDescent="0.3">
      <c r="A16" s="59">
        <v>31</v>
      </c>
      <c r="B16" s="8">
        <v>47665</v>
      </c>
      <c r="C16" s="43">
        <f>+'Anexo 15'!AC24</f>
        <v>54019575</v>
      </c>
      <c r="D16" s="77"/>
      <c r="E16" s="57">
        <f>+'Cantidades Ofertadas Prod 5'!AC24</f>
        <v>0</v>
      </c>
      <c r="F16" s="86"/>
      <c r="G16" s="32"/>
      <c r="H16" s="66"/>
      <c r="I16" s="48"/>
    </row>
    <row r="17" spans="1:9" ht="15.75" thickBot="1" x14ac:dyDescent="0.3">
      <c r="A17" s="59">
        <v>31</v>
      </c>
      <c r="B17" s="8">
        <v>47696</v>
      </c>
      <c r="C17" s="43">
        <f>+'Anexo 15'!AC27</f>
        <v>55266645.5</v>
      </c>
      <c r="D17" s="77"/>
      <c r="E17" s="57">
        <f>+'Cantidades Ofertadas Prod 5'!AC27</f>
        <v>0</v>
      </c>
      <c r="F17" s="86"/>
      <c r="G17" s="32"/>
      <c r="H17" s="66"/>
      <c r="I17" s="48"/>
    </row>
    <row r="18" spans="1:9" ht="15.75" thickBot="1" x14ac:dyDescent="0.3">
      <c r="A18" s="59">
        <v>30</v>
      </c>
      <c r="B18" s="8">
        <v>47727</v>
      </c>
      <c r="C18" s="43">
        <f>+'Anexo 15'!AC30</f>
        <v>54681746</v>
      </c>
      <c r="D18" s="77"/>
      <c r="E18" s="57">
        <f>+'Cantidades Ofertadas Prod 5'!AC30</f>
        <v>0</v>
      </c>
      <c r="F18" s="86"/>
      <c r="G18" s="32"/>
      <c r="H18" s="66"/>
      <c r="I18" s="48"/>
    </row>
    <row r="19" spans="1:9" ht="15.75" thickBot="1" x14ac:dyDescent="0.3">
      <c r="A19" s="59">
        <v>31</v>
      </c>
      <c r="B19" s="8">
        <v>47757</v>
      </c>
      <c r="C19" s="43">
        <f>+'Anexo 15'!AC33</f>
        <v>53474634</v>
      </c>
      <c r="D19" s="77"/>
      <c r="E19" s="57">
        <f>+'Cantidades Ofertadas Prod 5'!AC33</f>
        <v>0</v>
      </c>
      <c r="F19" s="86"/>
      <c r="G19" s="32"/>
      <c r="H19" s="66"/>
      <c r="I19" s="48"/>
    </row>
    <row r="20" spans="1:9" ht="15.75" thickBot="1" x14ac:dyDescent="0.3">
      <c r="A20" s="59">
        <v>30</v>
      </c>
      <c r="B20" s="8">
        <v>47788</v>
      </c>
      <c r="C20" s="43">
        <f>+'Anexo 15'!AC36</f>
        <v>50201156</v>
      </c>
      <c r="D20" s="77"/>
      <c r="E20" s="57">
        <f>+'Cantidades Ofertadas Prod 5'!AC36</f>
        <v>0</v>
      </c>
      <c r="F20" s="86"/>
      <c r="G20" s="32"/>
      <c r="H20" s="66"/>
      <c r="I20" s="48"/>
    </row>
    <row r="21" spans="1:9" ht="15.75" thickBot="1" x14ac:dyDescent="0.3">
      <c r="A21" s="59">
        <v>31</v>
      </c>
      <c r="B21" s="8">
        <v>47818</v>
      </c>
      <c r="C21" s="43">
        <f>+'Anexo 15'!AC39</f>
        <v>55029110.5</v>
      </c>
      <c r="D21" s="78"/>
      <c r="E21" s="57">
        <f>+'Cantidades Ofertadas Prod 5'!AC39</f>
        <v>0</v>
      </c>
      <c r="F21" s="87"/>
      <c r="G21" s="32"/>
      <c r="H21" s="66"/>
      <c r="I21" s="48"/>
    </row>
    <row r="22" spans="1:9" ht="28.5" customHeight="1" x14ac:dyDescent="0.25">
      <c r="B22" s="9" t="s">
        <v>0</v>
      </c>
      <c r="C22" s="10">
        <f>+SUM(C10:C21)</f>
        <v>632121387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9" ht="19.5" customHeight="1" x14ac:dyDescent="0.25">
      <c r="B23" s="24"/>
      <c r="C23" s="25"/>
      <c r="D23" s="30"/>
      <c r="E23" s="25"/>
      <c r="F23" s="26"/>
      <c r="G23" s="26"/>
      <c r="H23" s="42"/>
    </row>
    <row r="24" spans="1:9" ht="15" customHeight="1" x14ac:dyDescent="0.25">
      <c r="B24" s="7" t="s">
        <v>58</v>
      </c>
      <c r="C24" s="25"/>
      <c r="D24" s="30"/>
      <c r="E24" s="25"/>
      <c r="F24" s="26"/>
      <c r="G24" s="105"/>
      <c r="H24" s="42"/>
    </row>
    <row r="25" spans="1:9" ht="15" customHeight="1" x14ac:dyDescent="0.25">
      <c r="B25" s="72" t="s">
        <v>46</v>
      </c>
      <c r="C25" s="72"/>
      <c r="D25" s="72"/>
      <c r="E25" s="72"/>
      <c r="F25" s="72"/>
      <c r="G25" s="72"/>
      <c r="H25" s="42"/>
    </row>
    <row r="26" spans="1:9" x14ac:dyDescent="0.25">
      <c r="B26" s="7" t="s">
        <v>102</v>
      </c>
      <c r="C26" s="52"/>
      <c r="D26" s="52"/>
      <c r="E26" s="52"/>
      <c r="F26" s="52"/>
      <c r="G26" s="52"/>
      <c r="H26" s="42"/>
    </row>
    <row r="27" spans="1:9" x14ac:dyDescent="0.25">
      <c r="B27" s="7" t="s">
        <v>111</v>
      </c>
      <c r="C27" s="52"/>
      <c r="D27" s="52"/>
      <c r="E27" s="52"/>
      <c r="F27" s="52"/>
      <c r="G27" s="52"/>
      <c r="H27" s="42"/>
    </row>
    <row r="28" spans="1:9" x14ac:dyDescent="0.25">
      <c r="B28" s="7" t="s">
        <v>43</v>
      </c>
      <c r="H28" s="42"/>
    </row>
    <row r="29" spans="1:9" x14ac:dyDescent="0.25">
      <c r="B29" s="7" t="s">
        <v>136</v>
      </c>
      <c r="C29" s="45"/>
      <c r="H29" s="42"/>
    </row>
    <row r="30" spans="1:9" ht="15" customHeight="1" x14ac:dyDescent="0.25">
      <c r="A30" s="2"/>
      <c r="H30" s="42">
        <f t="shared" ref="H30:H32" si="0">+C30-G30</f>
        <v>0</v>
      </c>
    </row>
    <row r="31" spans="1:9" ht="15" customHeight="1" x14ac:dyDescent="0.25">
      <c r="A31" s="1"/>
      <c r="B31" s="7"/>
      <c r="H31" s="42">
        <f t="shared" si="0"/>
        <v>0</v>
      </c>
    </row>
    <row r="32" spans="1:9" ht="15" customHeight="1" x14ac:dyDescent="0.25">
      <c r="A32" s="1"/>
      <c r="B32" s="7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F10:F21"/>
    <mergeCell ref="D10:D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5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1C57C6E5-60C0-4D4B-B5F0-CDB71C317BB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271-1390-4645-9346-4D2A569B6105}">
  <sheetPr>
    <tabColor theme="5" tint="0.79998168889431442"/>
  </sheetPr>
  <dimension ref="A1:XFD34"/>
  <sheetViews>
    <sheetView showGridLines="0" topLeftCell="A9" zoomScaleNormal="100" zoomScaleSheetLayoutView="140" workbookViewId="0">
      <selection activeCell="D10" sqref="D10:D21"/>
    </sheetView>
  </sheetViews>
  <sheetFormatPr baseColWidth="10" defaultColWidth="0" defaultRowHeight="15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 16384:16384" x14ac:dyDescent="0.25"/>
    <row r="2" spans="1:8 16384:16384" x14ac:dyDescent="0.25"/>
    <row r="3" spans="1:8 16384:16384" x14ac:dyDescent="0.25">
      <c r="B3" s="79" t="s">
        <v>70</v>
      </c>
      <c r="C3" s="79"/>
      <c r="D3" s="79"/>
      <c r="E3" s="79"/>
      <c r="F3" s="79"/>
      <c r="G3" s="29"/>
    </row>
    <row r="4" spans="1:8 16384:16384" x14ac:dyDescent="0.25">
      <c r="B4" s="79" t="s">
        <v>63</v>
      </c>
      <c r="C4" s="79"/>
      <c r="D4" s="79"/>
      <c r="E4" s="79"/>
      <c r="F4" s="79"/>
      <c r="G4" s="29"/>
    </row>
    <row r="5" spans="1:8 16384:16384" x14ac:dyDescent="0.25">
      <c r="B5" s="79" t="s">
        <v>89</v>
      </c>
      <c r="C5" s="79"/>
      <c r="D5" s="79"/>
      <c r="E5" s="79"/>
      <c r="F5" s="79"/>
      <c r="G5" s="29"/>
    </row>
    <row r="6" spans="1:8 16384:16384" x14ac:dyDescent="0.25">
      <c r="B6" s="5"/>
      <c r="C6" s="5"/>
      <c r="D6" s="5"/>
      <c r="E6" s="5"/>
      <c r="F6" s="5"/>
      <c r="G6" s="5"/>
    </row>
    <row r="7" spans="1:8 16384:16384" x14ac:dyDescent="0.25"/>
    <row r="8" spans="1:8 16384:16384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 16384:16384" ht="23.25" customHeight="1" x14ac:dyDescent="0.25">
      <c r="A9" s="63">
        <v>72159</v>
      </c>
      <c r="B9" s="81"/>
      <c r="C9" s="81"/>
      <c r="D9" s="81"/>
      <c r="E9" s="81"/>
      <c r="F9" s="81"/>
      <c r="G9" s="28"/>
    </row>
    <row r="10" spans="1:8 16384:16384" ht="15.75" thickBot="1" x14ac:dyDescent="0.3">
      <c r="A10" s="59">
        <v>31</v>
      </c>
      <c r="B10" s="8">
        <v>47484</v>
      </c>
      <c r="C10" s="43">
        <f>+$A$9*A10*24</f>
        <v>53686296</v>
      </c>
      <c r="D10" s="82"/>
      <c r="E10" s="57">
        <f>+$D$10*A10*24</f>
        <v>0</v>
      </c>
      <c r="F10" s="85"/>
      <c r="G10" s="32"/>
      <c r="H10" s="51"/>
      <c r="XFD10" s="71"/>
    </row>
    <row r="11" spans="1:8 16384:16384" ht="15.75" thickBot="1" x14ac:dyDescent="0.3">
      <c r="A11" s="59">
        <v>28</v>
      </c>
      <c r="B11" s="8">
        <v>47515</v>
      </c>
      <c r="C11" s="43">
        <f t="shared" ref="C11:C21" si="0">+$A$9*A11*24</f>
        <v>48490848</v>
      </c>
      <c r="D11" s="83"/>
      <c r="E11" s="57">
        <f t="shared" ref="E11:E21" si="1">+$D$10*A11*24</f>
        <v>0</v>
      </c>
      <c r="F11" s="86"/>
      <c r="G11" s="32"/>
      <c r="H11" s="51"/>
      <c r="XFD11" s="71"/>
    </row>
    <row r="12" spans="1:8 16384:16384" ht="15.75" thickBot="1" x14ac:dyDescent="0.3">
      <c r="A12" s="59">
        <v>31</v>
      </c>
      <c r="B12" s="8">
        <v>47543</v>
      </c>
      <c r="C12" s="43">
        <f t="shared" si="0"/>
        <v>53686296</v>
      </c>
      <c r="D12" s="83"/>
      <c r="E12" s="57">
        <f t="shared" si="1"/>
        <v>0</v>
      </c>
      <c r="F12" s="86"/>
      <c r="G12" s="32"/>
      <c r="H12" s="51"/>
      <c r="XFD12" s="71"/>
    </row>
    <row r="13" spans="1:8 16384:16384" ht="15.75" thickBot="1" x14ac:dyDescent="0.3">
      <c r="A13" s="59">
        <v>30</v>
      </c>
      <c r="B13" s="8">
        <v>47574</v>
      </c>
      <c r="C13" s="43">
        <f t="shared" si="0"/>
        <v>51954480</v>
      </c>
      <c r="D13" s="83"/>
      <c r="E13" s="57">
        <f t="shared" si="1"/>
        <v>0</v>
      </c>
      <c r="F13" s="86"/>
      <c r="G13" s="32"/>
      <c r="H13" s="51"/>
      <c r="XFD13" s="71"/>
    </row>
    <row r="14" spans="1:8 16384:16384" ht="15.75" thickBot="1" x14ac:dyDescent="0.3">
      <c r="A14" s="59">
        <v>31</v>
      </c>
      <c r="B14" s="8">
        <v>47604</v>
      </c>
      <c r="C14" s="43">
        <f t="shared" si="0"/>
        <v>53686296</v>
      </c>
      <c r="D14" s="83"/>
      <c r="E14" s="57">
        <f t="shared" si="1"/>
        <v>0</v>
      </c>
      <c r="F14" s="86"/>
      <c r="G14" s="32"/>
      <c r="H14" s="51"/>
      <c r="XFD14" s="71"/>
    </row>
    <row r="15" spans="1:8 16384:16384" ht="15.75" thickBot="1" x14ac:dyDescent="0.3">
      <c r="A15" s="59">
        <v>30</v>
      </c>
      <c r="B15" s="8">
        <v>47635</v>
      </c>
      <c r="C15" s="43">
        <f t="shared" si="0"/>
        <v>51954480</v>
      </c>
      <c r="D15" s="83"/>
      <c r="E15" s="57">
        <f t="shared" si="1"/>
        <v>0</v>
      </c>
      <c r="F15" s="86"/>
      <c r="G15" s="32"/>
      <c r="H15" s="51"/>
      <c r="XFD15" s="71"/>
    </row>
    <row r="16" spans="1:8 16384:16384" ht="15.75" thickBot="1" x14ac:dyDescent="0.3">
      <c r="A16" s="59">
        <v>31</v>
      </c>
      <c r="B16" s="8">
        <v>47665</v>
      </c>
      <c r="C16" s="43">
        <f t="shared" si="0"/>
        <v>53686296</v>
      </c>
      <c r="D16" s="83"/>
      <c r="E16" s="57">
        <f t="shared" si="1"/>
        <v>0</v>
      </c>
      <c r="F16" s="86"/>
      <c r="G16" s="32"/>
      <c r="H16" s="51"/>
      <c r="XFD16" s="71"/>
    </row>
    <row r="17" spans="1:8 16384:16384" ht="15.75" thickBot="1" x14ac:dyDescent="0.3">
      <c r="A17" s="59">
        <v>31</v>
      </c>
      <c r="B17" s="8">
        <v>47696</v>
      </c>
      <c r="C17" s="43">
        <f t="shared" si="0"/>
        <v>53686296</v>
      </c>
      <c r="D17" s="83"/>
      <c r="E17" s="57">
        <f t="shared" si="1"/>
        <v>0</v>
      </c>
      <c r="F17" s="86"/>
      <c r="G17" s="32"/>
      <c r="H17" s="51"/>
      <c r="XFD17" s="71"/>
    </row>
    <row r="18" spans="1:8 16384:16384" ht="15.75" thickBot="1" x14ac:dyDescent="0.3">
      <c r="A18" s="59">
        <v>30</v>
      </c>
      <c r="B18" s="8">
        <v>47727</v>
      </c>
      <c r="C18" s="43">
        <f t="shared" si="0"/>
        <v>51954480</v>
      </c>
      <c r="D18" s="83"/>
      <c r="E18" s="57">
        <f t="shared" si="1"/>
        <v>0</v>
      </c>
      <c r="F18" s="86"/>
      <c r="G18" s="32"/>
      <c r="H18" s="51"/>
      <c r="XFD18" s="71"/>
    </row>
    <row r="19" spans="1:8 16384:16384" ht="15.75" thickBot="1" x14ac:dyDescent="0.3">
      <c r="A19" s="59">
        <v>31</v>
      </c>
      <c r="B19" s="8">
        <v>47757</v>
      </c>
      <c r="C19" s="43">
        <f t="shared" si="0"/>
        <v>53686296</v>
      </c>
      <c r="D19" s="83"/>
      <c r="E19" s="57">
        <f t="shared" si="1"/>
        <v>0</v>
      </c>
      <c r="F19" s="86"/>
      <c r="G19" s="32"/>
      <c r="H19" s="45"/>
      <c r="XFD19" s="71"/>
    </row>
    <row r="20" spans="1:8 16384:16384" ht="15.75" thickBot="1" x14ac:dyDescent="0.3">
      <c r="A20" s="59">
        <v>30</v>
      </c>
      <c r="B20" s="8">
        <v>47788</v>
      </c>
      <c r="C20" s="43">
        <f t="shared" si="0"/>
        <v>51954480</v>
      </c>
      <c r="D20" s="83"/>
      <c r="E20" s="57">
        <f t="shared" si="1"/>
        <v>0</v>
      </c>
      <c r="F20" s="86"/>
      <c r="G20" s="32"/>
      <c r="H20" s="45"/>
      <c r="XFD20" s="71"/>
    </row>
    <row r="21" spans="1:8 16384:16384" ht="15.75" thickBot="1" x14ac:dyDescent="0.3">
      <c r="A21" s="59">
        <v>31</v>
      </c>
      <c r="B21" s="8">
        <v>47818</v>
      </c>
      <c r="C21" s="43">
        <f t="shared" si="0"/>
        <v>53686296</v>
      </c>
      <c r="D21" s="84"/>
      <c r="E21" s="57">
        <f t="shared" si="1"/>
        <v>0</v>
      </c>
      <c r="F21" s="87"/>
      <c r="G21" s="32"/>
      <c r="H21" s="45"/>
      <c r="XFD21" s="71"/>
    </row>
    <row r="22" spans="1:8 16384:16384" ht="28.5" customHeight="1" x14ac:dyDescent="0.25">
      <c r="B22" s="9" t="s">
        <v>0</v>
      </c>
      <c r="C22" s="10">
        <f>+SUM(C10:C21)</f>
        <v>632112840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 16384:16384" ht="19.5" customHeight="1" x14ac:dyDescent="0.25">
      <c r="B23" s="7" t="s">
        <v>58</v>
      </c>
      <c r="C23" s="25"/>
      <c r="D23" s="30"/>
      <c r="E23" s="25"/>
      <c r="F23" s="26"/>
      <c r="G23" s="68"/>
      <c r="H23" s="42"/>
    </row>
    <row r="24" spans="1:8 16384:16384" ht="15" customHeight="1" x14ac:dyDescent="0.25">
      <c r="B24" s="7" t="s">
        <v>135</v>
      </c>
      <c r="C24" s="7"/>
      <c r="D24" s="7"/>
      <c r="E24" s="7"/>
      <c r="F24" s="7"/>
      <c r="G24" s="7"/>
      <c r="H24" s="42"/>
    </row>
    <row r="25" spans="1:8 16384:16384" x14ac:dyDescent="0.25">
      <c r="B25" s="7" t="s">
        <v>43</v>
      </c>
      <c r="H25" s="42"/>
    </row>
    <row r="26" spans="1:8 16384:16384" ht="33" customHeight="1" x14ac:dyDescent="0.25">
      <c r="B26" s="72" t="s">
        <v>68</v>
      </c>
      <c r="C26" s="72"/>
      <c r="D26" s="72"/>
      <c r="E26" s="72"/>
      <c r="F26" s="72"/>
      <c r="G26" s="72"/>
      <c r="H26" s="42"/>
    </row>
    <row r="27" spans="1:8 16384:16384" x14ac:dyDescent="0.25">
      <c r="B27" s="7"/>
      <c r="C27" s="54"/>
      <c r="D27" s="54"/>
      <c r="E27" s="54"/>
      <c r="F27" s="54"/>
      <c r="G27" s="54"/>
      <c r="H27" s="42"/>
    </row>
    <row r="28" spans="1:8 16384:16384" x14ac:dyDescent="0.25">
      <c r="B28" s="7"/>
      <c r="C28" s="54"/>
      <c r="D28" s="54"/>
      <c r="E28" s="54"/>
      <c r="F28" s="54"/>
      <c r="G28" s="54"/>
      <c r="H28" s="42"/>
    </row>
    <row r="29" spans="1:8 16384:16384" x14ac:dyDescent="0.25">
      <c r="B29" s="7"/>
      <c r="C29" s="4"/>
      <c r="D29" s="3"/>
      <c r="E29" s="3"/>
      <c r="F29" s="3"/>
      <c r="G29" s="3"/>
      <c r="H29" s="42"/>
    </row>
    <row r="30" spans="1:8 16384:16384" ht="15" customHeight="1" x14ac:dyDescent="0.25">
      <c r="A30" s="2"/>
      <c r="H30" s="42"/>
    </row>
    <row r="31" spans="1:8 16384:16384" ht="15" customHeight="1" x14ac:dyDescent="0.25">
      <c r="A31" s="1"/>
      <c r="B31" s="60" t="s">
        <v>53</v>
      </c>
      <c r="H31" s="42"/>
    </row>
    <row r="32" spans="1:8 16384:16384" ht="15" customHeight="1" x14ac:dyDescent="0.25">
      <c r="A32" s="1"/>
      <c r="B32" s="61" t="s">
        <v>54</v>
      </c>
      <c r="H32" s="42"/>
    </row>
    <row r="33" spans="2:2" x14ac:dyDescent="0.25">
      <c r="B33" s="61" t="s">
        <v>55</v>
      </c>
    </row>
    <row r="34" spans="2:2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72.159" prompt="debe ofertar maximo 72.159 kWh" sqref="D10:D21" xr:uid="{866DA3E8-5A74-4B40-9889-E43639967D4F}">
      <formula1>0</formula1>
      <formula2>A9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CB67-858D-4069-925E-3F8524FB6B85}">
  <sheetPr codeName="Hoja4">
    <tabColor theme="5" tint="0.79998168889431442"/>
  </sheetPr>
  <dimension ref="A1:AD44"/>
  <sheetViews>
    <sheetView showGridLines="0" zoomScale="115" zoomScaleNormal="115" zoomScaleSheetLayoutView="110" workbookViewId="0">
      <pane xSplit="2" ySplit="5" topLeftCell="C32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4" width="9" bestFit="1" customWidth="1"/>
    <col min="5" max="5" width="8.7109375" bestFit="1" customWidth="1"/>
    <col min="6" max="7" width="9" bestFit="1" customWidth="1"/>
    <col min="8" max="8" width="8.7109375" bestFit="1" customWidth="1"/>
    <col min="9" max="10" width="9" bestFit="1" customWidth="1"/>
    <col min="11" max="11" width="8.7109375" bestFit="1" customWidth="1"/>
    <col min="12" max="14" width="9.28515625" bestFit="1" customWidth="1"/>
    <col min="15" max="15" width="9" bestFit="1" customWidth="1"/>
    <col min="16" max="18" width="9.28515625" bestFit="1" customWidth="1"/>
    <col min="19" max="19" width="9" bestFit="1" customWidth="1"/>
    <col min="20" max="22" width="9.28515625" bestFit="1" customWidth="1"/>
    <col min="23" max="23" width="9" bestFit="1" customWidth="1"/>
    <col min="24" max="26" width="9.285156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47484</v>
      </c>
      <c r="B6" s="18" t="s">
        <v>5</v>
      </c>
      <c r="C6" s="33">
        <v>53444</v>
      </c>
      <c r="D6" s="33">
        <v>48713</v>
      </c>
      <c r="E6" s="33">
        <v>45866</v>
      </c>
      <c r="F6" s="33">
        <v>44396</v>
      </c>
      <c r="G6" s="33">
        <v>45413</v>
      </c>
      <c r="H6" s="33">
        <v>49810.5</v>
      </c>
      <c r="I6" s="33">
        <v>53991</v>
      </c>
      <c r="J6" s="33">
        <v>54784</v>
      </c>
      <c r="K6" s="33">
        <v>63587</v>
      </c>
      <c r="L6" s="33">
        <v>70256</v>
      </c>
      <c r="M6" s="33">
        <v>77048</v>
      </c>
      <c r="N6" s="33">
        <v>83454</v>
      </c>
      <c r="O6" s="33">
        <v>82366.5</v>
      </c>
      <c r="P6" s="33">
        <v>82506</v>
      </c>
      <c r="Q6" s="33">
        <v>84472</v>
      </c>
      <c r="R6" s="33">
        <v>84848</v>
      </c>
      <c r="S6" s="33">
        <v>83471</v>
      </c>
      <c r="T6" s="33">
        <v>96936.5</v>
      </c>
      <c r="U6" s="33">
        <v>105486.5</v>
      </c>
      <c r="V6" s="33">
        <v>112607</v>
      </c>
      <c r="W6" s="33">
        <v>107820</v>
      </c>
      <c r="X6" s="33">
        <v>99423.5</v>
      </c>
      <c r="Y6" s="33">
        <v>85931.5</v>
      </c>
      <c r="Z6" s="34">
        <v>72302.5</v>
      </c>
      <c r="AA6" s="35">
        <f>SUM(C6:Z6)</f>
        <v>1788933.5</v>
      </c>
      <c r="AB6" s="19">
        <v>21</v>
      </c>
      <c r="AC6" s="100">
        <f>+AA6*AB6+AA7*AB7+AA8*AB8</f>
        <v>54032354.5</v>
      </c>
    </row>
    <row r="7" spans="1:30" ht="15.75" thickBot="1" x14ac:dyDescent="0.3">
      <c r="A7" s="99"/>
      <c r="B7" s="20" t="s">
        <v>4</v>
      </c>
      <c r="C7" s="36">
        <v>55418.5</v>
      </c>
      <c r="D7" s="36">
        <v>50076</v>
      </c>
      <c r="E7" s="36">
        <v>46816</v>
      </c>
      <c r="F7" s="36">
        <v>44760</v>
      </c>
      <c r="G7" s="36">
        <v>44826</v>
      </c>
      <c r="H7" s="36">
        <v>47286</v>
      </c>
      <c r="I7" s="36">
        <v>50153</v>
      </c>
      <c r="J7" s="36">
        <v>51078</v>
      </c>
      <c r="K7" s="36">
        <v>60918</v>
      </c>
      <c r="L7" s="36">
        <v>68345</v>
      </c>
      <c r="M7" s="36">
        <v>73909</v>
      </c>
      <c r="N7" s="36">
        <v>79414.5</v>
      </c>
      <c r="O7" s="36">
        <v>80009</v>
      </c>
      <c r="P7" s="36">
        <v>78876</v>
      </c>
      <c r="Q7" s="36">
        <v>77632.5</v>
      </c>
      <c r="R7" s="36">
        <v>77027</v>
      </c>
      <c r="S7" s="36">
        <v>76179.5</v>
      </c>
      <c r="T7" s="36">
        <v>92111</v>
      </c>
      <c r="U7" s="36">
        <v>102831</v>
      </c>
      <c r="V7" s="36">
        <v>110465.5</v>
      </c>
      <c r="W7" s="36">
        <v>105244</v>
      </c>
      <c r="X7" s="36">
        <v>97461.5</v>
      </c>
      <c r="Y7" s="36">
        <v>86417</v>
      </c>
      <c r="Z7" s="37">
        <v>75349</v>
      </c>
      <c r="AA7" s="38">
        <f t="shared" ref="AA7:AA41" si="0">SUM(C7:Z7)</f>
        <v>1732603</v>
      </c>
      <c r="AB7" s="21">
        <v>4</v>
      </c>
      <c r="AC7" s="101"/>
      <c r="AD7" s="47"/>
    </row>
    <row r="8" spans="1:30" x14ac:dyDescent="0.25">
      <c r="A8" s="99"/>
      <c r="B8" s="22" t="s">
        <v>3</v>
      </c>
      <c r="C8" s="39">
        <v>59468</v>
      </c>
      <c r="D8" s="39">
        <v>53696.5</v>
      </c>
      <c r="E8" s="39">
        <v>49867.5</v>
      </c>
      <c r="F8" s="39">
        <v>47165</v>
      </c>
      <c r="G8" s="39">
        <v>45848.5</v>
      </c>
      <c r="H8" s="39">
        <v>46365</v>
      </c>
      <c r="I8" s="39">
        <v>45632.5</v>
      </c>
      <c r="J8" s="39">
        <v>42972</v>
      </c>
      <c r="K8" s="39">
        <v>50459.5</v>
      </c>
      <c r="L8" s="39">
        <v>57056.5</v>
      </c>
      <c r="M8" s="39">
        <v>61926</v>
      </c>
      <c r="N8" s="39">
        <v>66995.5</v>
      </c>
      <c r="O8" s="39">
        <v>69997</v>
      </c>
      <c r="P8" s="39">
        <v>69639.5</v>
      </c>
      <c r="Q8" s="39">
        <v>67731</v>
      </c>
      <c r="R8" s="39">
        <v>66631</v>
      </c>
      <c r="S8" s="39">
        <v>66079</v>
      </c>
      <c r="T8" s="39">
        <v>82671</v>
      </c>
      <c r="U8" s="39">
        <v>94363</v>
      </c>
      <c r="V8" s="39">
        <v>102711</v>
      </c>
      <c r="W8" s="39">
        <v>99305.5</v>
      </c>
      <c r="X8" s="39">
        <v>92027.5</v>
      </c>
      <c r="Y8" s="39">
        <v>80805</v>
      </c>
      <c r="Z8" s="40">
        <v>69643.5</v>
      </c>
      <c r="AA8" s="41">
        <f t="shared" si="0"/>
        <v>1589056.5</v>
      </c>
      <c r="AB8" s="23">
        <v>6</v>
      </c>
      <c r="AC8" s="102"/>
      <c r="AD8" s="48"/>
    </row>
    <row r="9" spans="1:30" ht="15.75" thickBot="1" x14ac:dyDescent="0.3">
      <c r="A9" s="99">
        <v>47515</v>
      </c>
      <c r="B9" s="18" t="s">
        <v>5</v>
      </c>
      <c r="C9" s="33">
        <v>53445</v>
      </c>
      <c r="D9" s="33">
        <v>48919.5</v>
      </c>
      <c r="E9" s="33">
        <v>46318</v>
      </c>
      <c r="F9" s="33">
        <v>45039.5</v>
      </c>
      <c r="G9" s="33">
        <v>46518</v>
      </c>
      <c r="H9" s="33">
        <v>53304</v>
      </c>
      <c r="I9" s="33">
        <v>58708.5</v>
      </c>
      <c r="J9" s="33">
        <v>57545</v>
      </c>
      <c r="K9" s="33">
        <v>65333</v>
      </c>
      <c r="L9" s="33">
        <v>71167.5</v>
      </c>
      <c r="M9" s="33">
        <v>77543.5</v>
      </c>
      <c r="N9" s="33">
        <v>83451</v>
      </c>
      <c r="O9" s="33">
        <v>81078.5</v>
      </c>
      <c r="P9" s="33">
        <v>81981</v>
      </c>
      <c r="Q9" s="33">
        <v>84724.5</v>
      </c>
      <c r="R9" s="33">
        <v>85220.5</v>
      </c>
      <c r="S9" s="33">
        <v>83872.5</v>
      </c>
      <c r="T9" s="33">
        <v>96798</v>
      </c>
      <c r="U9" s="33">
        <v>103285</v>
      </c>
      <c r="V9" s="33">
        <v>112573.5</v>
      </c>
      <c r="W9" s="33">
        <v>107998</v>
      </c>
      <c r="X9" s="33">
        <v>99259.5</v>
      </c>
      <c r="Y9" s="33">
        <v>85469.5</v>
      </c>
      <c r="Z9" s="34">
        <v>71748.5</v>
      </c>
      <c r="AA9" s="35">
        <f t="shared" si="0"/>
        <v>1801301.5</v>
      </c>
      <c r="AB9" s="19">
        <v>20</v>
      </c>
      <c r="AC9" s="100">
        <f>+AA9*AB9+AA10*AB10+AA11*AB11</f>
        <v>49722666</v>
      </c>
    </row>
    <row r="10" spans="1:30" ht="15.75" thickBot="1" x14ac:dyDescent="0.3">
      <c r="A10" s="99"/>
      <c r="B10" s="20" t="s">
        <v>4</v>
      </c>
      <c r="C10" s="36">
        <v>56475.5</v>
      </c>
      <c r="D10" s="36">
        <v>51456.5</v>
      </c>
      <c r="E10" s="36">
        <v>48229</v>
      </c>
      <c r="F10" s="36">
        <v>46376</v>
      </c>
      <c r="G10" s="36">
        <v>46595.5</v>
      </c>
      <c r="H10" s="36">
        <v>49225</v>
      </c>
      <c r="I10" s="36">
        <v>53436</v>
      </c>
      <c r="J10" s="36">
        <v>54309.5</v>
      </c>
      <c r="K10" s="36">
        <v>64471.5</v>
      </c>
      <c r="L10" s="36">
        <v>71549</v>
      </c>
      <c r="M10" s="36">
        <v>77175</v>
      </c>
      <c r="N10" s="36">
        <v>82636</v>
      </c>
      <c r="O10" s="36">
        <v>82788</v>
      </c>
      <c r="P10" s="36">
        <v>81273</v>
      </c>
      <c r="Q10" s="36">
        <v>79975</v>
      </c>
      <c r="R10" s="36">
        <v>79264.5</v>
      </c>
      <c r="S10" s="36">
        <v>78289</v>
      </c>
      <c r="T10" s="36">
        <v>93973</v>
      </c>
      <c r="U10" s="36">
        <v>102594</v>
      </c>
      <c r="V10" s="36">
        <v>111936.5</v>
      </c>
      <c r="W10" s="36">
        <v>106792.5</v>
      </c>
      <c r="X10" s="36">
        <v>99483</v>
      </c>
      <c r="Y10" s="36">
        <v>89036</v>
      </c>
      <c r="Z10" s="37">
        <v>77424.5</v>
      </c>
      <c r="AA10" s="38">
        <f t="shared" si="0"/>
        <v>1784763.5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59753</v>
      </c>
      <c r="D11" s="39">
        <v>54057.5</v>
      </c>
      <c r="E11" s="39">
        <v>50585.5</v>
      </c>
      <c r="F11" s="39">
        <v>47978</v>
      </c>
      <c r="G11" s="39">
        <v>47145.5</v>
      </c>
      <c r="H11" s="39">
        <v>47927</v>
      </c>
      <c r="I11" s="39">
        <v>48551</v>
      </c>
      <c r="J11" s="39">
        <v>46617</v>
      </c>
      <c r="K11" s="39">
        <v>54781.5</v>
      </c>
      <c r="L11" s="39">
        <v>61465.5</v>
      </c>
      <c r="M11" s="39">
        <v>65894</v>
      </c>
      <c r="N11" s="39">
        <v>70680.5</v>
      </c>
      <c r="O11" s="39">
        <v>73363</v>
      </c>
      <c r="P11" s="39">
        <v>72488</v>
      </c>
      <c r="Q11" s="39">
        <v>70351</v>
      </c>
      <c r="R11" s="39">
        <v>69055.5</v>
      </c>
      <c r="S11" s="39">
        <v>68402</v>
      </c>
      <c r="T11" s="39">
        <v>84991.5</v>
      </c>
      <c r="U11" s="39">
        <v>94262</v>
      </c>
      <c r="V11" s="39">
        <v>104581</v>
      </c>
      <c r="W11" s="39">
        <v>101431</v>
      </c>
      <c r="X11" s="39">
        <v>93934</v>
      </c>
      <c r="Y11" s="39">
        <v>81620.5</v>
      </c>
      <c r="Z11" s="40">
        <v>69480</v>
      </c>
      <c r="AA11" s="41">
        <f t="shared" si="0"/>
        <v>1639395.5</v>
      </c>
      <c r="AB11" s="23">
        <v>4</v>
      </c>
      <c r="AC11" s="102"/>
      <c r="AD11" s="48"/>
    </row>
    <row r="12" spans="1:30" ht="15.75" thickBot="1" x14ac:dyDescent="0.3">
      <c r="A12" s="99">
        <v>47543</v>
      </c>
      <c r="B12" s="18" t="s">
        <v>5</v>
      </c>
      <c r="C12" s="33">
        <v>52209</v>
      </c>
      <c r="D12" s="33">
        <v>47848</v>
      </c>
      <c r="E12" s="33">
        <v>45434</v>
      </c>
      <c r="F12" s="33">
        <v>44225</v>
      </c>
      <c r="G12" s="33">
        <v>45828.5</v>
      </c>
      <c r="H12" s="33">
        <v>52524</v>
      </c>
      <c r="I12" s="33">
        <v>57214</v>
      </c>
      <c r="J12" s="33">
        <v>56716.5</v>
      </c>
      <c r="K12" s="33">
        <v>64241.5</v>
      </c>
      <c r="L12" s="33">
        <v>69879.5</v>
      </c>
      <c r="M12" s="33">
        <v>75885.5</v>
      </c>
      <c r="N12" s="33">
        <v>81303.5</v>
      </c>
      <c r="O12" s="33">
        <v>79145</v>
      </c>
      <c r="P12" s="33">
        <v>79622.5</v>
      </c>
      <c r="Q12" s="33">
        <v>81997</v>
      </c>
      <c r="R12" s="33">
        <v>82383.5</v>
      </c>
      <c r="S12" s="33">
        <v>81352</v>
      </c>
      <c r="T12" s="33">
        <v>95185.5</v>
      </c>
      <c r="U12" s="33">
        <v>103332.5</v>
      </c>
      <c r="V12" s="33">
        <v>111307.5</v>
      </c>
      <c r="W12" s="33">
        <v>106558.5</v>
      </c>
      <c r="X12" s="33">
        <v>97616</v>
      </c>
      <c r="Y12" s="33">
        <v>84019.5</v>
      </c>
      <c r="Z12" s="34">
        <v>70595.5</v>
      </c>
      <c r="AA12" s="35">
        <f t="shared" si="0"/>
        <v>1766424</v>
      </c>
      <c r="AB12" s="19">
        <v>20</v>
      </c>
      <c r="AC12" s="100">
        <f>+AA12*AB12+AA13*AB13+AA14*AB14</f>
        <v>53397794.5</v>
      </c>
    </row>
    <row r="13" spans="1:30" ht="15.75" thickBot="1" x14ac:dyDescent="0.3">
      <c r="A13" s="99"/>
      <c r="B13" s="20" t="s">
        <v>4</v>
      </c>
      <c r="C13" s="36">
        <v>54749</v>
      </c>
      <c r="D13" s="36">
        <v>49713</v>
      </c>
      <c r="E13" s="36">
        <v>47035.5</v>
      </c>
      <c r="F13" s="36">
        <v>45505</v>
      </c>
      <c r="G13" s="36">
        <v>45596</v>
      </c>
      <c r="H13" s="36">
        <v>48406</v>
      </c>
      <c r="I13" s="36">
        <v>50857</v>
      </c>
      <c r="J13" s="36">
        <v>52550.5</v>
      </c>
      <c r="K13" s="36">
        <v>62039</v>
      </c>
      <c r="L13" s="36">
        <v>68916</v>
      </c>
      <c r="M13" s="36">
        <v>74377</v>
      </c>
      <c r="N13" s="36">
        <v>78929.5</v>
      </c>
      <c r="O13" s="36">
        <v>78839</v>
      </c>
      <c r="P13" s="36">
        <v>77216.5</v>
      </c>
      <c r="Q13" s="36">
        <v>76002</v>
      </c>
      <c r="R13" s="36">
        <v>75087</v>
      </c>
      <c r="S13" s="36">
        <v>73902.5</v>
      </c>
      <c r="T13" s="36">
        <v>90024</v>
      </c>
      <c r="U13" s="36">
        <v>99924</v>
      </c>
      <c r="V13" s="36">
        <v>107444.5</v>
      </c>
      <c r="W13" s="36">
        <v>102528.5</v>
      </c>
      <c r="X13" s="36">
        <v>95496</v>
      </c>
      <c r="Y13" s="36">
        <v>85034.5</v>
      </c>
      <c r="Z13" s="37">
        <v>74466.5</v>
      </c>
      <c r="AA13" s="38">
        <f t="shared" si="0"/>
        <v>1714638.5</v>
      </c>
      <c r="AB13" s="21">
        <v>5</v>
      </c>
      <c r="AC13" s="101"/>
      <c r="AD13" s="47"/>
    </row>
    <row r="14" spans="1:30" x14ac:dyDescent="0.25">
      <c r="A14" s="99"/>
      <c r="B14" s="22" t="s">
        <v>3</v>
      </c>
      <c r="C14" s="39">
        <v>57291</v>
      </c>
      <c r="D14" s="39">
        <v>51749.5</v>
      </c>
      <c r="E14" s="39">
        <v>48489</v>
      </c>
      <c r="F14" s="39">
        <v>46278.5</v>
      </c>
      <c r="G14" s="39">
        <v>45361.5</v>
      </c>
      <c r="H14" s="39">
        <v>46448.5</v>
      </c>
      <c r="I14" s="39">
        <v>46176.5</v>
      </c>
      <c r="J14" s="39">
        <v>44686.5</v>
      </c>
      <c r="K14" s="39">
        <v>52236.5</v>
      </c>
      <c r="L14" s="39">
        <v>58322.5</v>
      </c>
      <c r="M14" s="39">
        <v>62566.5</v>
      </c>
      <c r="N14" s="39">
        <v>67389.5</v>
      </c>
      <c r="O14" s="39">
        <v>70262.5</v>
      </c>
      <c r="P14" s="39">
        <v>69459</v>
      </c>
      <c r="Q14" s="39">
        <v>67255</v>
      </c>
      <c r="R14" s="39">
        <v>66271.5</v>
      </c>
      <c r="S14" s="39">
        <v>65632</v>
      </c>
      <c r="T14" s="39">
        <v>82462.5</v>
      </c>
      <c r="U14" s="39">
        <v>93151</v>
      </c>
      <c r="V14" s="39">
        <v>102013.5</v>
      </c>
      <c r="W14" s="39">
        <v>98595.5</v>
      </c>
      <c r="X14" s="39">
        <v>91522.5</v>
      </c>
      <c r="Y14" s="39">
        <v>80016.5</v>
      </c>
      <c r="Z14" s="40">
        <v>69049.5</v>
      </c>
      <c r="AA14" s="41">
        <f t="shared" si="0"/>
        <v>1582687</v>
      </c>
      <c r="AB14" s="23">
        <v>6</v>
      </c>
      <c r="AC14" s="102"/>
      <c r="AD14" s="45"/>
    </row>
    <row r="15" spans="1:30" ht="15.75" thickBot="1" x14ac:dyDescent="0.3">
      <c r="A15" s="99">
        <v>47574</v>
      </c>
      <c r="B15" s="18" t="s">
        <v>5</v>
      </c>
      <c r="C15" s="33">
        <v>49966</v>
      </c>
      <c r="D15" s="33">
        <v>45811</v>
      </c>
      <c r="E15" s="33">
        <v>43311.5</v>
      </c>
      <c r="F15" s="33">
        <v>42151.5</v>
      </c>
      <c r="G15" s="33">
        <v>43619.5</v>
      </c>
      <c r="H15" s="33">
        <v>48992.5</v>
      </c>
      <c r="I15" s="33">
        <v>52947</v>
      </c>
      <c r="J15" s="33">
        <v>53082</v>
      </c>
      <c r="K15" s="33">
        <v>60569</v>
      </c>
      <c r="L15" s="33">
        <v>66434</v>
      </c>
      <c r="M15" s="33">
        <v>72623.5</v>
      </c>
      <c r="N15" s="33">
        <v>78233</v>
      </c>
      <c r="O15" s="33">
        <v>76228.5</v>
      </c>
      <c r="P15" s="33">
        <v>76743</v>
      </c>
      <c r="Q15" s="33">
        <v>78963</v>
      </c>
      <c r="R15" s="33">
        <v>79190</v>
      </c>
      <c r="S15" s="33">
        <v>78036</v>
      </c>
      <c r="T15" s="33">
        <v>92398</v>
      </c>
      <c r="U15" s="33">
        <v>102159.5</v>
      </c>
      <c r="V15" s="33">
        <v>107964</v>
      </c>
      <c r="W15" s="33">
        <v>103481.5</v>
      </c>
      <c r="X15" s="33">
        <v>94498.5</v>
      </c>
      <c r="Y15" s="33">
        <v>80900</v>
      </c>
      <c r="Z15" s="34">
        <v>67894.5</v>
      </c>
      <c r="AA15" s="35">
        <f t="shared" si="0"/>
        <v>1696197</v>
      </c>
      <c r="AB15" s="19">
        <v>20</v>
      </c>
      <c r="AC15" s="100">
        <f>+AA15*AB15+AA16*AB16+AA17*AB17</f>
        <v>49712576</v>
      </c>
    </row>
    <row r="16" spans="1:30" ht="15.75" thickBot="1" x14ac:dyDescent="0.3">
      <c r="A16" s="99"/>
      <c r="B16" s="20" t="s">
        <v>4</v>
      </c>
      <c r="C16" s="36">
        <v>51636.5</v>
      </c>
      <c r="D16" s="36">
        <v>46895</v>
      </c>
      <c r="E16" s="36">
        <v>43846</v>
      </c>
      <c r="F16" s="36">
        <v>42047</v>
      </c>
      <c r="G16" s="36">
        <v>42377.5</v>
      </c>
      <c r="H16" s="36">
        <v>44410.5</v>
      </c>
      <c r="I16" s="36">
        <v>46967.5</v>
      </c>
      <c r="J16" s="36">
        <v>48999.5</v>
      </c>
      <c r="K16" s="36">
        <v>58296</v>
      </c>
      <c r="L16" s="36">
        <v>65350</v>
      </c>
      <c r="M16" s="36">
        <v>70448.5</v>
      </c>
      <c r="N16" s="36">
        <v>76233</v>
      </c>
      <c r="O16" s="36">
        <v>76587.5</v>
      </c>
      <c r="P16" s="36">
        <v>75239.5</v>
      </c>
      <c r="Q16" s="36">
        <v>74014</v>
      </c>
      <c r="R16" s="36">
        <v>73170</v>
      </c>
      <c r="S16" s="36">
        <v>72861.5</v>
      </c>
      <c r="T16" s="36">
        <v>89422.5</v>
      </c>
      <c r="U16" s="36">
        <v>100523</v>
      </c>
      <c r="V16" s="36">
        <v>106662</v>
      </c>
      <c r="W16" s="36">
        <v>101502</v>
      </c>
      <c r="X16" s="36">
        <v>94014</v>
      </c>
      <c r="Y16" s="36">
        <v>83469.5</v>
      </c>
      <c r="Z16" s="37">
        <v>72709.5</v>
      </c>
      <c r="AA16" s="38">
        <f t="shared" si="0"/>
        <v>1657682</v>
      </c>
      <c r="AB16" s="21">
        <v>4</v>
      </c>
      <c r="AC16" s="101"/>
      <c r="AD16" s="47"/>
    </row>
    <row r="17" spans="1:30" x14ac:dyDescent="0.25">
      <c r="A17" s="99"/>
      <c r="B17" s="22" t="s">
        <v>3</v>
      </c>
      <c r="C17" s="39">
        <v>55007.5</v>
      </c>
      <c r="D17" s="39">
        <v>49685.5</v>
      </c>
      <c r="E17" s="39">
        <v>46243.5</v>
      </c>
      <c r="F17" s="39">
        <v>43903</v>
      </c>
      <c r="G17" s="39">
        <v>42995</v>
      </c>
      <c r="H17" s="39">
        <v>42876</v>
      </c>
      <c r="I17" s="39">
        <v>43431</v>
      </c>
      <c r="J17" s="39">
        <v>42620.5</v>
      </c>
      <c r="K17" s="39">
        <v>49903.5</v>
      </c>
      <c r="L17" s="39">
        <v>56294.5</v>
      </c>
      <c r="M17" s="39">
        <v>60843.5</v>
      </c>
      <c r="N17" s="39">
        <v>65479.5</v>
      </c>
      <c r="O17" s="39">
        <v>68174.5</v>
      </c>
      <c r="P17" s="39">
        <v>67430</v>
      </c>
      <c r="Q17" s="39">
        <v>65103</v>
      </c>
      <c r="R17" s="39">
        <v>64005.5</v>
      </c>
      <c r="S17" s="39">
        <v>63375.5</v>
      </c>
      <c r="T17" s="39">
        <v>80310</v>
      </c>
      <c r="U17" s="39">
        <v>92164</v>
      </c>
      <c r="V17" s="39">
        <v>99259.5</v>
      </c>
      <c r="W17" s="39">
        <v>95544</v>
      </c>
      <c r="X17" s="39">
        <v>88301</v>
      </c>
      <c r="Y17" s="39">
        <v>77211</v>
      </c>
      <c r="Z17" s="40">
        <v>66157</v>
      </c>
      <c r="AA17" s="41">
        <f t="shared" si="0"/>
        <v>1526318</v>
      </c>
      <c r="AB17" s="23">
        <v>6</v>
      </c>
      <c r="AC17" s="102"/>
      <c r="AD17" s="48"/>
    </row>
    <row r="18" spans="1:30" ht="15.75" thickBot="1" x14ac:dyDescent="0.3">
      <c r="A18" s="99">
        <v>47604</v>
      </c>
      <c r="B18" s="18" t="s">
        <v>5</v>
      </c>
      <c r="C18" s="33">
        <v>50389</v>
      </c>
      <c r="D18" s="33">
        <v>46075</v>
      </c>
      <c r="E18" s="33">
        <v>43675</v>
      </c>
      <c r="F18" s="33">
        <v>42466</v>
      </c>
      <c r="G18" s="33">
        <v>43889</v>
      </c>
      <c r="H18" s="33">
        <v>48514.5</v>
      </c>
      <c r="I18" s="33">
        <v>53350.5</v>
      </c>
      <c r="J18" s="33">
        <v>53874</v>
      </c>
      <c r="K18" s="33">
        <v>61597.5</v>
      </c>
      <c r="L18" s="33">
        <v>67662.5</v>
      </c>
      <c r="M18" s="33">
        <v>73762</v>
      </c>
      <c r="N18" s="33">
        <v>79551</v>
      </c>
      <c r="O18" s="33">
        <v>77806.5</v>
      </c>
      <c r="P18" s="33">
        <v>77784.5</v>
      </c>
      <c r="Q18" s="33">
        <v>79530.5</v>
      </c>
      <c r="R18" s="33">
        <v>79735.5</v>
      </c>
      <c r="S18" s="33">
        <v>78558.5</v>
      </c>
      <c r="T18" s="33">
        <v>93222.5</v>
      </c>
      <c r="U18" s="33">
        <v>103453.5</v>
      </c>
      <c r="V18" s="33">
        <v>109251.5</v>
      </c>
      <c r="W18" s="33">
        <v>104221</v>
      </c>
      <c r="X18" s="33">
        <v>95174</v>
      </c>
      <c r="Y18" s="33">
        <v>81306</v>
      </c>
      <c r="Z18" s="34">
        <v>68458.5</v>
      </c>
      <c r="AA18" s="35">
        <f t="shared" si="0"/>
        <v>1713308.5</v>
      </c>
      <c r="AB18" s="19">
        <v>22</v>
      </c>
      <c r="AC18" s="100">
        <f>+AA18*AB18+AA19*AB19+AA20*AB20</f>
        <v>52315098.5</v>
      </c>
    </row>
    <row r="19" spans="1:30" ht="15.75" thickBot="1" x14ac:dyDescent="0.3">
      <c r="A19" s="99"/>
      <c r="B19" s="20" t="s">
        <v>4</v>
      </c>
      <c r="C19" s="36">
        <v>53321</v>
      </c>
      <c r="D19" s="36">
        <v>48594.5</v>
      </c>
      <c r="E19" s="36">
        <v>45739.5</v>
      </c>
      <c r="F19" s="36">
        <v>44056.5</v>
      </c>
      <c r="G19" s="36">
        <v>44347.5</v>
      </c>
      <c r="H19" s="36">
        <v>45539</v>
      </c>
      <c r="I19" s="36">
        <v>49415</v>
      </c>
      <c r="J19" s="36">
        <v>51531.5</v>
      </c>
      <c r="K19" s="36">
        <v>61080</v>
      </c>
      <c r="L19" s="36">
        <v>68459.5</v>
      </c>
      <c r="M19" s="36">
        <v>73515</v>
      </c>
      <c r="N19" s="36">
        <v>78129</v>
      </c>
      <c r="O19" s="36">
        <v>78144.5</v>
      </c>
      <c r="P19" s="36">
        <v>76336.5</v>
      </c>
      <c r="Q19" s="36">
        <v>74496</v>
      </c>
      <c r="R19" s="36">
        <v>73385.5</v>
      </c>
      <c r="S19" s="36">
        <v>72578.5</v>
      </c>
      <c r="T19" s="36">
        <v>89615</v>
      </c>
      <c r="U19" s="36">
        <v>101730</v>
      </c>
      <c r="V19" s="36">
        <v>106643</v>
      </c>
      <c r="W19" s="36">
        <v>101646.5</v>
      </c>
      <c r="X19" s="36">
        <v>93987.5</v>
      </c>
      <c r="Y19" s="36">
        <v>83335.5</v>
      </c>
      <c r="Z19" s="37">
        <v>72714.5</v>
      </c>
      <c r="AA19" s="38">
        <f t="shared" si="0"/>
        <v>1688341</v>
      </c>
      <c r="AB19" s="21">
        <v>4</v>
      </c>
      <c r="AC19" s="101"/>
      <c r="AD19" s="47"/>
    </row>
    <row r="20" spans="1:30" x14ac:dyDescent="0.25">
      <c r="A20" s="99"/>
      <c r="B20" s="22" t="s">
        <v>3</v>
      </c>
      <c r="C20" s="39">
        <v>54751.5</v>
      </c>
      <c r="D20" s="39">
        <v>49582.5</v>
      </c>
      <c r="E20" s="39">
        <v>46374</v>
      </c>
      <c r="F20" s="39">
        <v>44240</v>
      </c>
      <c r="G20" s="39">
        <v>43584</v>
      </c>
      <c r="H20" s="39">
        <v>42771</v>
      </c>
      <c r="I20" s="39">
        <v>44232.5</v>
      </c>
      <c r="J20" s="39">
        <v>44161.5</v>
      </c>
      <c r="K20" s="39">
        <v>51904</v>
      </c>
      <c r="L20" s="39">
        <v>58780.5</v>
      </c>
      <c r="M20" s="39">
        <v>63480.5</v>
      </c>
      <c r="N20" s="39">
        <v>68390.5</v>
      </c>
      <c r="O20" s="39">
        <v>70546</v>
      </c>
      <c r="P20" s="39">
        <v>70113.5</v>
      </c>
      <c r="Q20" s="39">
        <v>67555</v>
      </c>
      <c r="R20" s="39">
        <v>70429.5</v>
      </c>
      <c r="S20" s="39">
        <v>65753</v>
      </c>
      <c r="T20" s="39">
        <v>82908.5</v>
      </c>
      <c r="U20" s="39">
        <v>95211.5</v>
      </c>
      <c r="V20" s="39">
        <v>102359.5</v>
      </c>
      <c r="W20" s="39">
        <v>98518.5</v>
      </c>
      <c r="X20" s="39">
        <v>90789</v>
      </c>
      <c r="Y20" s="39">
        <v>79338.5</v>
      </c>
      <c r="Z20" s="40">
        <v>68014.5</v>
      </c>
      <c r="AA20" s="41">
        <f t="shared" si="0"/>
        <v>1573789.5</v>
      </c>
      <c r="AB20" s="23">
        <v>5</v>
      </c>
      <c r="AC20" s="102"/>
      <c r="AD20" s="48"/>
    </row>
    <row r="21" spans="1:30" ht="15.75" thickBot="1" x14ac:dyDescent="0.3">
      <c r="A21" s="99">
        <v>47635</v>
      </c>
      <c r="B21" s="18" t="s">
        <v>5</v>
      </c>
      <c r="C21" s="33">
        <v>49269</v>
      </c>
      <c r="D21" s="33">
        <v>44916.5</v>
      </c>
      <c r="E21" s="33">
        <v>42704</v>
      </c>
      <c r="F21" s="33">
        <v>41532.5</v>
      </c>
      <c r="G21" s="33">
        <v>42815.5</v>
      </c>
      <c r="H21" s="33">
        <v>46777</v>
      </c>
      <c r="I21" s="33">
        <v>51763</v>
      </c>
      <c r="J21" s="33">
        <v>52657.5</v>
      </c>
      <c r="K21" s="33">
        <v>60640</v>
      </c>
      <c r="L21" s="33">
        <v>66580</v>
      </c>
      <c r="M21" s="33">
        <v>72800</v>
      </c>
      <c r="N21" s="33">
        <v>78635</v>
      </c>
      <c r="O21" s="33">
        <v>76748.5</v>
      </c>
      <c r="P21" s="33">
        <v>76648.5</v>
      </c>
      <c r="Q21" s="33">
        <v>78792.5</v>
      </c>
      <c r="R21" s="33">
        <v>78939</v>
      </c>
      <c r="S21" s="33">
        <v>77749.5</v>
      </c>
      <c r="T21" s="33">
        <v>92033.5</v>
      </c>
      <c r="U21" s="33">
        <v>100318</v>
      </c>
      <c r="V21" s="33">
        <v>107770.5</v>
      </c>
      <c r="W21" s="33">
        <v>103040</v>
      </c>
      <c r="X21" s="33">
        <v>94167</v>
      </c>
      <c r="Y21" s="33">
        <v>80257</v>
      </c>
      <c r="Z21" s="34">
        <v>67328.5</v>
      </c>
      <c r="AA21" s="35">
        <f t="shared" si="0"/>
        <v>1684882.5</v>
      </c>
      <c r="AB21" s="19">
        <v>18</v>
      </c>
      <c r="AC21" s="100">
        <f>+AA21*AB21+AA22*AB22+AA23*AB23</f>
        <v>50268030.5</v>
      </c>
    </row>
    <row r="22" spans="1:30" ht="15.75" thickBot="1" x14ac:dyDescent="0.3">
      <c r="A22" s="99"/>
      <c r="B22" s="20" t="s">
        <v>4</v>
      </c>
      <c r="C22" s="36">
        <v>53630</v>
      </c>
      <c r="D22" s="36">
        <v>48567.5</v>
      </c>
      <c r="E22" s="36">
        <v>45676.5</v>
      </c>
      <c r="F22" s="36">
        <v>44015.5</v>
      </c>
      <c r="G22" s="36">
        <v>44099</v>
      </c>
      <c r="H22" s="36">
        <v>45291.5</v>
      </c>
      <c r="I22" s="36">
        <v>48786.5</v>
      </c>
      <c r="J22" s="36">
        <v>50678.5</v>
      </c>
      <c r="K22" s="36">
        <v>60812.5</v>
      </c>
      <c r="L22" s="36">
        <v>67748.5</v>
      </c>
      <c r="M22" s="36">
        <v>73235</v>
      </c>
      <c r="N22" s="36">
        <v>77939</v>
      </c>
      <c r="O22" s="36">
        <v>78272</v>
      </c>
      <c r="P22" s="36">
        <v>77155</v>
      </c>
      <c r="Q22" s="36">
        <v>76026</v>
      </c>
      <c r="R22" s="36">
        <v>75887</v>
      </c>
      <c r="S22" s="36">
        <v>75119.5</v>
      </c>
      <c r="T22" s="36">
        <v>91949</v>
      </c>
      <c r="U22" s="36">
        <v>102478</v>
      </c>
      <c r="V22" s="36">
        <v>109127</v>
      </c>
      <c r="W22" s="36">
        <v>103862.5</v>
      </c>
      <c r="X22" s="36">
        <v>96369.5</v>
      </c>
      <c r="Y22" s="36">
        <v>85445</v>
      </c>
      <c r="Z22" s="37">
        <v>74189</v>
      </c>
      <c r="AA22" s="38">
        <f t="shared" si="0"/>
        <v>1706359.5</v>
      </c>
      <c r="AB22" s="21">
        <v>5</v>
      </c>
      <c r="AC22" s="101"/>
      <c r="AD22" s="47"/>
    </row>
    <row r="23" spans="1:30" x14ac:dyDescent="0.25">
      <c r="A23" s="99"/>
      <c r="B23" s="22" t="s">
        <v>3</v>
      </c>
      <c r="C23" s="39">
        <v>57185</v>
      </c>
      <c r="D23" s="39">
        <v>51819.5</v>
      </c>
      <c r="E23" s="39">
        <v>48678</v>
      </c>
      <c r="F23" s="39">
        <v>46521</v>
      </c>
      <c r="G23" s="39">
        <v>46064</v>
      </c>
      <c r="H23" s="39">
        <v>46084.5</v>
      </c>
      <c r="I23" s="39">
        <v>46791</v>
      </c>
      <c r="J23" s="39">
        <v>46990</v>
      </c>
      <c r="K23" s="39">
        <v>55033.5</v>
      </c>
      <c r="L23" s="39">
        <v>61161.5</v>
      </c>
      <c r="M23" s="39">
        <v>66263</v>
      </c>
      <c r="N23" s="39">
        <v>71220</v>
      </c>
      <c r="O23" s="39">
        <v>72820</v>
      </c>
      <c r="P23" s="39">
        <v>72154.5</v>
      </c>
      <c r="Q23" s="39">
        <v>70254</v>
      </c>
      <c r="R23" s="39">
        <v>69360.5</v>
      </c>
      <c r="S23" s="39">
        <v>68784</v>
      </c>
      <c r="T23" s="39">
        <v>85582.5</v>
      </c>
      <c r="U23" s="39">
        <v>96308</v>
      </c>
      <c r="V23" s="39">
        <v>104629.5</v>
      </c>
      <c r="W23" s="39">
        <v>101004.5</v>
      </c>
      <c r="X23" s="39">
        <v>93225.5</v>
      </c>
      <c r="Y23" s="39">
        <v>81567</v>
      </c>
      <c r="Z23" s="40">
        <v>70263</v>
      </c>
      <c r="AA23" s="41">
        <f t="shared" si="0"/>
        <v>1629764</v>
      </c>
      <c r="AB23" s="23">
        <v>7</v>
      </c>
      <c r="AC23" s="102"/>
      <c r="AD23" s="48"/>
    </row>
    <row r="24" spans="1:30" ht="15.75" thickBot="1" x14ac:dyDescent="0.3">
      <c r="A24" s="99">
        <v>47665</v>
      </c>
      <c r="B24" s="18" t="s">
        <v>5</v>
      </c>
      <c r="C24" s="33">
        <v>53484.5</v>
      </c>
      <c r="D24" s="33">
        <v>48857.5</v>
      </c>
      <c r="E24" s="33">
        <v>46177.5</v>
      </c>
      <c r="F24" s="33">
        <v>44709.5</v>
      </c>
      <c r="G24" s="33">
        <v>45909.5</v>
      </c>
      <c r="H24" s="33">
        <v>49858</v>
      </c>
      <c r="I24" s="33">
        <v>53847.5</v>
      </c>
      <c r="J24" s="33">
        <v>55672.5</v>
      </c>
      <c r="K24" s="33">
        <v>64254</v>
      </c>
      <c r="L24" s="33">
        <v>70993</v>
      </c>
      <c r="M24" s="33">
        <v>77538.5</v>
      </c>
      <c r="N24" s="33">
        <v>83341.5</v>
      </c>
      <c r="O24" s="33">
        <v>81295</v>
      </c>
      <c r="P24" s="33">
        <v>81593</v>
      </c>
      <c r="Q24" s="33">
        <v>83801</v>
      </c>
      <c r="R24" s="33">
        <v>84076.5</v>
      </c>
      <c r="S24" s="33">
        <v>82385</v>
      </c>
      <c r="T24" s="33">
        <v>95477.5</v>
      </c>
      <c r="U24" s="33">
        <v>102412</v>
      </c>
      <c r="V24" s="33">
        <v>111358.5</v>
      </c>
      <c r="W24" s="33">
        <v>107148</v>
      </c>
      <c r="X24" s="33">
        <v>98662.5</v>
      </c>
      <c r="Y24" s="33">
        <v>84687</v>
      </c>
      <c r="Z24" s="34">
        <v>71813</v>
      </c>
      <c r="AA24" s="35">
        <f t="shared" si="0"/>
        <v>1779352.5</v>
      </c>
      <c r="AB24" s="19">
        <v>22</v>
      </c>
      <c r="AC24" s="100">
        <f>+AA24*AB24+AA25*AB25+AA26*AB26</f>
        <v>54019575</v>
      </c>
    </row>
    <row r="25" spans="1:30" ht="15.75" thickBot="1" x14ac:dyDescent="0.3">
      <c r="A25" s="99"/>
      <c r="B25" s="20" t="s">
        <v>4</v>
      </c>
      <c r="C25" s="36">
        <v>53078</v>
      </c>
      <c r="D25" s="36">
        <v>47813.5</v>
      </c>
      <c r="E25" s="36">
        <v>45108.5</v>
      </c>
      <c r="F25" s="36">
        <v>43317</v>
      </c>
      <c r="G25" s="36">
        <v>43488</v>
      </c>
      <c r="H25" s="36">
        <v>45000.5</v>
      </c>
      <c r="I25" s="36">
        <v>48475</v>
      </c>
      <c r="J25" s="36">
        <v>52147</v>
      </c>
      <c r="K25" s="36">
        <v>62349</v>
      </c>
      <c r="L25" s="36">
        <v>69314.5</v>
      </c>
      <c r="M25" s="36">
        <v>74814</v>
      </c>
      <c r="N25" s="36">
        <v>79436</v>
      </c>
      <c r="O25" s="36">
        <v>79217.5</v>
      </c>
      <c r="P25" s="36">
        <v>77444</v>
      </c>
      <c r="Q25" s="36">
        <v>75843.5</v>
      </c>
      <c r="R25" s="36">
        <v>75032.5</v>
      </c>
      <c r="S25" s="36">
        <v>74072</v>
      </c>
      <c r="T25" s="36">
        <v>90461</v>
      </c>
      <c r="U25" s="36">
        <v>98742.5</v>
      </c>
      <c r="V25" s="36">
        <v>107369</v>
      </c>
      <c r="W25" s="36">
        <v>102514.5</v>
      </c>
      <c r="X25" s="36">
        <v>95599.5</v>
      </c>
      <c r="Y25" s="36">
        <v>84802</v>
      </c>
      <c r="Z25" s="37">
        <v>74116</v>
      </c>
      <c r="AA25" s="38">
        <f t="shared" si="0"/>
        <v>1699555</v>
      </c>
      <c r="AB25" s="21">
        <v>3</v>
      </c>
      <c r="AC25" s="101"/>
      <c r="AD25" s="47"/>
    </row>
    <row r="26" spans="1:30" x14ac:dyDescent="0.25">
      <c r="A26" s="99"/>
      <c r="B26" s="22" t="s">
        <v>3</v>
      </c>
      <c r="C26" s="39">
        <v>58390</v>
      </c>
      <c r="D26" s="39">
        <v>53090.5</v>
      </c>
      <c r="E26" s="39">
        <v>49571.5</v>
      </c>
      <c r="F26" s="39">
        <v>47285</v>
      </c>
      <c r="G26" s="39">
        <v>46560.5</v>
      </c>
      <c r="H26" s="39">
        <v>46555</v>
      </c>
      <c r="I26" s="39">
        <v>46861</v>
      </c>
      <c r="J26" s="39">
        <v>46670</v>
      </c>
      <c r="K26" s="39">
        <v>54822.5</v>
      </c>
      <c r="L26" s="39">
        <v>61607.5</v>
      </c>
      <c r="M26" s="39">
        <v>66589.5</v>
      </c>
      <c r="N26" s="39">
        <v>71190.5</v>
      </c>
      <c r="O26" s="39">
        <v>73467.5</v>
      </c>
      <c r="P26" s="39">
        <v>72326</v>
      </c>
      <c r="Q26" s="39">
        <v>69966</v>
      </c>
      <c r="R26" s="39">
        <v>68747</v>
      </c>
      <c r="S26" s="39">
        <v>67789</v>
      </c>
      <c r="T26" s="39">
        <v>84299</v>
      </c>
      <c r="U26" s="39">
        <v>93145.5</v>
      </c>
      <c r="V26" s="39">
        <v>103725</v>
      </c>
      <c r="W26" s="39">
        <v>100574</v>
      </c>
      <c r="X26" s="39">
        <v>93439.5</v>
      </c>
      <c r="Y26" s="39">
        <v>81783.5</v>
      </c>
      <c r="Z26" s="40">
        <v>70737</v>
      </c>
      <c r="AA26" s="41">
        <f t="shared" si="0"/>
        <v>1629192.5</v>
      </c>
      <c r="AB26" s="23">
        <v>6</v>
      </c>
      <c r="AC26" s="102"/>
      <c r="AD26" s="48"/>
    </row>
    <row r="27" spans="1:30" ht="15.75" thickBot="1" x14ac:dyDescent="0.3">
      <c r="A27" s="99">
        <v>47696</v>
      </c>
      <c r="B27" s="18" t="s">
        <v>5</v>
      </c>
      <c r="C27" s="33">
        <v>54368</v>
      </c>
      <c r="D27" s="33">
        <v>49976</v>
      </c>
      <c r="E27" s="33">
        <v>47567</v>
      </c>
      <c r="F27" s="33">
        <v>46112.5</v>
      </c>
      <c r="G27" s="33">
        <v>47395.5</v>
      </c>
      <c r="H27" s="33">
        <v>52625.5</v>
      </c>
      <c r="I27" s="33">
        <v>57045</v>
      </c>
      <c r="J27" s="33">
        <v>57940.5</v>
      </c>
      <c r="K27" s="33">
        <v>66194</v>
      </c>
      <c r="L27" s="33">
        <v>72527</v>
      </c>
      <c r="M27" s="33">
        <v>79201</v>
      </c>
      <c r="N27" s="33">
        <v>85087.5</v>
      </c>
      <c r="O27" s="33">
        <v>83023.5</v>
      </c>
      <c r="P27" s="33">
        <v>84024.5</v>
      </c>
      <c r="Q27" s="33">
        <v>86454.5</v>
      </c>
      <c r="R27" s="33">
        <v>86678</v>
      </c>
      <c r="S27" s="33">
        <v>84903.5</v>
      </c>
      <c r="T27" s="33">
        <v>97888.5</v>
      </c>
      <c r="U27" s="33">
        <v>106223.5</v>
      </c>
      <c r="V27" s="33">
        <v>113749</v>
      </c>
      <c r="W27" s="33">
        <v>109116.5</v>
      </c>
      <c r="X27" s="33">
        <v>100212.5</v>
      </c>
      <c r="Y27" s="33">
        <v>86040.5</v>
      </c>
      <c r="Z27" s="34">
        <v>73276.5</v>
      </c>
      <c r="AA27" s="35">
        <f t="shared" si="0"/>
        <v>1827630.5</v>
      </c>
      <c r="AB27" s="19">
        <v>20</v>
      </c>
      <c r="AC27" s="100">
        <f>+AA27*AB27+AA28*AB28+AA29*AB29</f>
        <v>55266645.5</v>
      </c>
    </row>
    <row r="28" spans="1:30" ht="15.75" thickBot="1" x14ac:dyDescent="0.3">
      <c r="A28" s="99"/>
      <c r="B28" s="20" t="s">
        <v>4</v>
      </c>
      <c r="C28" s="36">
        <v>57290</v>
      </c>
      <c r="D28" s="36">
        <v>52559.5</v>
      </c>
      <c r="E28" s="36">
        <v>49599</v>
      </c>
      <c r="F28" s="36">
        <v>47405.5</v>
      </c>
      <c r="G28" s="36">
        <v>47256.5</v>
      </c>
      <c r="H28" s="36">
        <v>49217.5</v>
      </c>
      <c r="I28" s="36">
        <v>51404.5</v>
      </c>
      <c r="J28" s="36">
        <v>54483</v>
      </c>
      <c r="K28" s="36">
        <v>64623.5</v>
      </c>
      <c r="L28" s="36">
        <v>71668</v>
      </c>
      <c r="M28" s="36">
        <v>77717.5</v>
      </c>
      <c r="N28" s="36">
        <v>82343.5</v>
      </c>
      <c r="O28" s="36">
        <v>82370</v>
      </c>
      <c r="P28" s="36">
        <v>81108</v>
      </c>
      <c r="Q28" s="36">
        <v>79876</v>
      </c>
      <c r="R28" s="36">
        <v>79212</v>
      </c>
      <c r="S28" s="36">
        <v>77680.5</v>
      </c>
      <c r="T28" s="36">
        <v>93516</v>
      </c>
      <c r="U28" s="36">
        <v>103807</v>
      </c>
      <c r="V28" s="36">
        <v>110403</v>
      </c>
      <c r="W28" s="36">
        <v>105450</v>
      </c>
      <c r="X28" s="36">
        <v>98335.5</v>
      </c>
      <c r="Y28" s="36">
        <v>87983.5</v>
      </c>
      <c r="Z28" s="37">
        <v>76955</v>
      </c>
      <c r="AA28" s="38">
        <f t="shared" si="0"/>
        <v>1782264.5</v>
      </c>
      <c r="AB28" s="21">
        <v>5</v>
      </c>
      <c r="AC28" s="101"/>
      <c r="AD28" s="47"/>
    </row>
    <row r="29" spans="1:30" x14ac:dyDescent="0.25">
      <c r="A29" s="99"/>
      <c r="B29" s="22" t="s">
        <v>3</v>
      </c>
      <c r="C29" s="39">
        <v>59020.5</v>
      </c>
      <c r="D29" s="39">
        <v>53618.5</v>
      </c>
      <c r="E29" s="39">
        <v>50077</v>
      </c>
      <c r="F29" s="39">
        <v>47797.5</v>
      </c>
      <c r="G29" s="39">
        <v>47069</v>
      </c>
      <c r="H29" s="39">
        <v>47310.5</v>
      </c>
      <c r="I29" s="39">
        <v>47093</v>
      </c>
      <c r="J29" s="39">
        <v>47166.5</v>
      </c>
      <c r="K29" s="39">
        <v>55143.5</v>
      </c>
      <c r="L29" s="39">
        <v>61710.5</v>
      </c>
      <c r="M29" s="39">
        <v>66443.5</v>
      </c>
      <c r="N29" s="39">
        <v>71293.5</v>
      </c>
      <c r="O29" s="39">
        <v>73809.5</v>
      </c>
      <c r="P29" s="39">
        <v>72841.5</v>
      </c>
      <c r="Q29" s="39">
        <v>70163</v>
      </c>
      <c r="R29" s="39">
        <v>68473.5</v>
      </c>
      <c r="S29" s="39">
        <v>67763.5</v>
      </c>
      <c r="T29" s="39">
        <v>84103</v>
      </c>
      <c r="U29" s="39">
        <v>94753.5</v>
      </c>
      <c r="V29" s="39">
        <v>103821.5</v>
      </c>
      <c r="W29" s="39">
        <v>100216.5</v>
      </c>
      <c r="X29" s="39">
        <v>92737.5</v>
      </c>
      <c r="Y29" s="39">
        <v>81329.5</v>
      </c>
      <c r="Z29" s="40">
        <v>70029.5</v>
      </c>
      <c r="AA29" s="41">
        <f t="shared" si="0"/>
        <v>1633785.5</v>
      </c>
      <c r="AB29" s="23">
        <v>6</v>
      </c>
      <c r="AC29" s="102"/>
      <c r="AD29" s="49"/>
    </row>
    <row r="30" spans="1:30" ht="15.75" thickBot="1" x14ac:dyDescent="0.3">
      <c r="A30" s="99">
        <v>47727</v>
      </c>
      <c r="B30" s="18" t="s">
        <v>5</v>
      </c>
      <c r="C30" s="33">
        <v>56131</v>
      </c>
      <c r="D30" s="33">
        <v>51506.5</v>
      </c>
      <c r="E30" s="33">
        <v>48625</v>
      </c>
      <c r="F30" s="33">
        <v>47322.5</v>
      </c>
      <c r="G30" s="33">
        <v>48504</v>
      </c>
      <c r="H30" s="33">
        <v>53469.5</v>
      </c>
      <c r="I30" s="33">
        <v>58057.5</v>
      </c>
      <c r="J30" s="33">
        <v>59240</v>
      </c>
      <c r="K30" s="33">
        <v>67418</v>
      </c>
      <c r="L30" s="33">
        <v>74186.5</v>
      </c>
      <c r="M30" s="33">
        <v>80959.5</v>
      </c>
      <c r="N30" s="33">
        <v>87152.5</v>
      </c>
      <c r="O30" s="33">
        <v>85029.5</v>
      </c>
      <c r="P30" s="33">
        <v>85956</v>
      </c>
      <c r="Q30" s="33">
        <v>88825</v>
      </c>
      <c r="R30" s="33">
        <v>89565</v>
      </c>
      <c r="S30" s="33">
        <v>87802.5</v>
      </c>
      <c r="T30" s="33">
        <v>101230.5</v>
      </c>
      <c r="U30" s="33">
        <v>112610</v>
      </c>
      <c r="V30" s="33">
        <v>115628</v>
      </c>
      <c r="W30" s="33">
        <v>110625</v>
      </c>
      <c r="X30" s="33">
        <v>101549.5</v>
      </c>
      <c r="Y30" s="33">
        <v>87115.5</v>
      </c>
      <c r="Z30" s="34">
        <v>74381</v>
      </c>
      <c r="AA30" s="35">
        <f t="shared" si="0"/>
        <v>1872890</v>
      </c>
      <c r="AB30" s="19">
        <v>21</v>
      </c>
      <c r="AC30" s="100">
        <f>+AA30*AB30+AA31*AB31+AA32*AB32</f>
        <v>54681746</v>
      </c>
    </row>
    <row r="31" spans="1:30" ht="15.75" thickBot="1" x14ac:dyDescent="0.3">
      <c r="A31" s="99"/>
      <c r="B31" s="20" t="s">
        <v>4</v>
      </c>
      <c r="C31" s="36">
        <v>58391.5</v>
      </c>
      <c r="D31" s="36">
        <v>52878</v>
      </c>
      <c r="E31" s="36">
        <v>49898</v>
      </c>
      <c r="F31" s="36">
        <v>48214</v>
      </c>
      <c r="G31" s="36">
        <v>48268</v>
      </c>
      <c r="H31" s="36">
        <v>48910</v>
      </c>
      <c r="I31" s="36">
        <v>52520.5</v>
      </c>
      <c r="J31" s="36">
        <v>56368.5</v>
      </c>
      <c r="K31" s="36">
        <v>66738.5</v>
      </c>
      <c r="L31" s="36">
        <v>74139</v>
      </c>
      <c r="M31" s="36">
        <v>79937.5</v>
      </c>
      <c r="N31" s="36">
        <v>84625.5</v>
      </c>
      <c r="O31" s="36">
        <v>84293</v>
      </c>
      <c r="P31" s="36">
        <v>82812</v>
      </c>
      <c r="Q31" s="36">
        <v>81432</v>
      </c>
      <c r="R31" s="36">
        <v>80504.5</v>
      </c>
      <c r="S31" s="36">
        <v>79562.5</v>
      </c>
      <c r="T31" s="36">
        <v>96396.5</v>
      </c>
      <c r="U31" s="36">
        <v>108832.5</v>
      </c>
      <c r="V31" s="36">
        <v>111536.5</v>
      </c>
      <c r="W31" s="36">
        <v>105834</v>
      </c>
      <c r="X31" s="36">
        <v>98502</v>
      </c>
      <c r="Y31" s="36">
        <v>87887.5</v>
      </c>
      <c r="Z31" s="37">
        <v>77029.5</v>
      </c>
      <c r="AA31" s="38">
        <f t="shared" si="0"/>
        <v>1815511.5</v>
      </c>
      <c r="AB31" s="21">
        <v>4</v>
      </c>
      <c r="AC31" s="101"/>
      <c r="AD31" s="47"/>
    </row>
    <row r="32" spans="1:30" x14ac:dyDescent="0.25">
      <c r="A32" s="99"/>
      <c r="B32" s="22" t="s">
        <v>3</v>
      </c>
      <c r="C32" s="39">
        <v>59660.5</v>
      </c>
      <c r="D32" s="39">
        <v>54412.5</v>
      </c>
      <c r="E32" s="39">
        <v>50959.5</v>
      </c>
      <c r="F32" s="39">
        <v>48289.5</v>
      </c>
      <c r="G32" s="39">
        <v>47036</v>
      </c>
      <c r="H32" s="39">
        <v>46074.5</v>
      </c>
      <c r="I32" s="39">
        <v>46334.5</v>
      </c>
      <c r="J32" s="39">
        <v>46290</v>
      </c>
      <c r="K32" s="39">
        <v>54117.5</v>
      </c>
      <c r="L32" s="39">
        <v>60497</v>
      </c>
      <c r="M32" s="39">
        <v>64984</v>
      </c>
      <c r="N32" s="39">
        <v>69252</v>
      </c>
      <c r="O32" s="39">
        <v>71769</v>
      </c>
      <c r="P32" s="39">
        <v>71076.5</v>
      </c>
      <c r="Q32" s="39">
        <v>68838.5</v>
      </c>
      <c r="R32" s="39">
        <v>67875.5</v>
      </c>
      <c r="S32" s="39">
        <v>67168.5</v>
      </c>
      <c r="T32" s="39">
        <v>83965.5</v>
      </c>
      <c r="U32" s="39">
        <v>97582</v>
      </c>
      <c r="V32" s="39">
        <v>102113.5</v>
      </c>
      <c r="W32" s="39">
        <v>98763.5</v>
      </c>
      <c r="X32" s="39">
        <v>91468.5</v>
      </c>
      <c r="Y32" s="39">
        <v>80112.5</v>
      </c>
      <c r="Z32" s="40">
        <v>69161</v>
      </c>
      <c r="AA32" s="41">
        <f t="shared" si="0"/>
        <v>1617802</v>
      </c>
      <c r="AB32" s="23">
        <v>5</v>
      </c>
      <c r="AC32" s="102"/>
      <c r="AD32" s="48"/>
    </row>
    <row r="33" spans="1:30" ht="15.75" thickBot="1" x14ac:dyDescent="0.3">
      <c r="A33" s="99">
        <v>47757</v>
      </c>
      <c r="B33" s="18" t="s">
        <v>5</v>
      </c>
      <c r="C33" s="33">
        <v>51606.5</v>
      </c>
      <c r="D33" s="33">
        <v>47350</v>
      </c>
      <c r="E33" s="33">
        <v>44973</v>
      </c>
      <c r="F33" s="33">
        <v>43689.5</v>
      </c>
      <c r="G33" s="33">
        <v>45080</v>
      </c>
      <c r="H33" s="33">
        <v>49147.5</v>
      </c>
      <c r="I33" s="33">
        <v>53972.5</v>
      </c>
      <c r="J33" s="33">
        <v>54593.5</v>
      </c>
      <c r="K33" s="33">
        <v>62291</v>
      </c>
      <c r="L33" s="33">
        <v>68324.5</v>
      </c>
      <c r="M33" s="33">
        <v>74587.5</v>
      </c>
      <c r="N33" s="33">
        <v>80449</v>
      </c>
      <c r="O33" s="33">
        <v>78435.5</v>
      </c>
      <c r="P33" s="33">
        <v>79131</v>
      </c>
      <c r="Q33" s="33">
        <v>81791.5</v>
      </c>
      <c r="R33" s="33">
        <v>82375.5</v>
      </c>
      <c r="S33" s="33">
        <v>81118.5</v>
      </c>
      <c r="T33" s="33">
        <v>97485</v>
      </c>
      <c r="U33" s="33">
        <v>110519</v>
      </c>
      <c r="V33" s="33">
        <v>109865</v>
      </c>
      <c r="W33" s="33">
        <v>104209</v>
      </c>
      <c r="X33" s="33">
        <v>95026.5</v>
      </c>
      <c r="Y33" s="33">
        <v>81502.5</v>
      </c>
      <c r="Z33" s="34">
        <v>69496.5</v>
      </c>
      <c r="AA33" s="35">
        <f t="shared" si="0"/>
        <v>1747020</v>
      </c>
      <c r="AB33" s="19">
        <v>22</v>
      </c>
      <c r="AC33" s="100">
        <f>+AA33*AB33+AA34*AB34+AA35*AB35</f>
        <v>53474634</v>
      </c>
    </row>
    <row r="34" spans="1:30" ht="15.75" thickBot="1" x14ac:dyDescent="0.3">
      <c r="A34" s="99"/>
      <c r="B34" s="20" t="s">
        <v>4</v>
      </c>
      <c r="C34" s="36">
        <v>56333</v>
      </c>
      <c r="D34" s="36">
        <v>51525.5</v>
      </c>
      <c r="E34" s="36">
        <v>48580</v>
      </c>
      <c r="F34" s="36">
        <v>46651</v>
      </c>
      <c r="G34" s="36">
        <v>47038</v>
      </c>
      <c r="H34" s="36">
        <v>48152</v>
      </c>
      <c r="I34" s="36">
        <v>52252</v>
      </c>
      <c r="J34" s="36">
        <v>55157</v>
      </c>
      <c r="K34" s="36">
        <v>65004.5</v>
      </c>
      <c r="L34" s="36">
        <v>71849</v>
      </c>
      <c r="M34" s="36">
        <v>77684.5</v>
      </c>
      <c r="N34" s="36">
        <v>82586.5</v>
      </c>
      <c r="O34" s="36">
        <v>82808.5</v>
      </c>
      <c r="P34" s="36">
        <v>81449.5</v>
      </c>
      <c r="Q34" s="36">
        <v>80098</v>
      </c>
      <c r="R34" s="36">
        <v>79260.5</v>
      </c>
      <c r="S34" s="36">
        <v>78250.5</v>
      </c>
      <c r="T34" s="36">
        <v>97784</v>
      </c>
      <c r="U34" s="36">
        <v>112763</v>
      </c>
      <c r="V34" s="36">
        <v>112502</v>
      </c>
      <c r="W34" s="36">
        <v>106900.5</v>
      </c>
      <c r="X34" s="36">
        <v>98508.5</v>
      </c>
      <c r="Y34" s="36">
        <v>88159</v>
      </c>
      <c r="Z34" s="37">
        <v>76861.5</v>
      </c>
      <c r="AA34" s="38">
        <f t="shared" si="0"/>
        <v>1798158.5</v>
      </c>
      <c r="AB34" s="21">
        <v>4</v>
      </c>
      <c r="AC34" s="101"/>
      <c r="AD34" s="47"/>
    </row>
    <row r="35" spans="1:30" x14ac:dyDescent="0.25">
      <c r="A35" s="99"/>
      <c r="B35" s="22" t="s">
        <v>3</v>
      </c>
      <c r="C35" s="39">
        <v>55987.5</v>
      </c>
      <c r="D35" s="39">
        <v>50906.5</v>
      </c>
      <c r="E35" s="39">
        <v>47390.5</v>
      </c>
      <c r="F35" s="39">
        <v>44912.5</v>
      </c>
      <c r="G35" s="39">
        <v>44105</v>
      </c>
      <c r="H35" s="39">
        <v>43098.5</v>
      </c>
      <c r="I35" s="39">
        <v>44195</v>
      </c>
      <c r="J35" s="39">
        <v>43782.5</v>
      </c>
      <c r="K35" s="39">
        <v>51310.5</v>
      </c>
      <c r="L35" s="39">
        <v>57922.5</v>
      </c>
      <c r="M35" s="39">
        <v>62626.5</v>
      </c>
      <c r="N35" s="39">
        <v>67306</v>
      </c>
      <c r="O35" s="39">
        <v>69916.5</v>
      </c>
      <c r="P35" s="39">
        <v>69062.5</v>
      </c>
      <c r="Q35" s="39">
        <v>67103.5</v>
      </c>
      <c r="R35" s="39">
        <v>66157.5</v>
      </c>
      <c r="S35" s="39">
        <v>65627</v>
      </c>
      <c r="T35" s="39">
        <v>84814.5</v>
      </c>
      <c r="U35" s="39">
        <v>99797.5</v>
      </c>
      <c r="V35" s="39">
        <v>100996</v>
      </c>
      <c r="W35" s="39">
        <v>97129</v>
      </c>
      <c r="X35" s="39">
        <v>89557.5</v>
      </c>
      <c r="Y35" s="39">
        <v>78310.5</v>
      </c>
      <c r="Z35" s="40">
        <v>67496.5</v>
      </c>
      <c r="AA35" s="41">
        <f t="shared" si="0"/>
        <v>1569512</v>
      </c>
      <c r="AB35" s="23">
        <v>5</v>
      </c>
      <c r="AC35" s="102"/>
      <c r="AD35" s="48"/>
    </row>
    <row r="36" spans="1:30" ht="15.75" thickBot="1" x14ac:dyDescent="0.3">
      <c r="A36" s="99">
        <v>47788</v>
      </c>
      <c r="B36" s="18" t="s">
        <v>5</v>
      </c>
      <c r="C36" s="33">
        <v>49984</v>
      </c>
      <c r="D36" s="33">
        <v>45738.5</v>
      </c>
      <c r="E36" s="33">
        <v>43379</v>
      </c>
      <c r="F36" s="33">
        <v>42268.5</v>
      </c>
      <c r="G36" s="33">
        <v>43891</v>
      </c>
      <c r="H36" s="33">
        <v>48484.5</v>
      </c>
      <c r="I36" s="33">
        <v>53735.5</v>
      </c>
      <c r="J36" s="33">
        <v>54513</v>
      </c>
      <c r="K36" s="33">
        <v>62100.5</v>
      </c>
      <c r="L36" s="33">
        <v>67953</v>
      </c>
      <c r="M36" s="33">
        <v>74233.5</v>
      </c>
      <c r="N36" s="33">
        <v>80280.5</v>
      </c>
      <c r="O36" s="33">
        <v>77902.5</v>
      </c>
      <c r="P36" s="33">
        <v>77991.5</v>
      </c>
      <c r="Q36" s="33">
        <v>80614</v>
      </c>
      <c r="R36" s="33">
        <v>80471.5</v>
      </c>
      <c r="S36" s="33">
        <v>79534</v>
      </c>
      <c r="T36" s="33">
        <v>97089</v>
      </c>
      <c r="U36" s="33">
        <v>110698</v>
      </c>
      <c r="V36" s="33">
        <v>109970.5</v>
      </c>
      <c r="W36" s="33">
        <v>104236.5</v>
      </c>
      <c r="X36" s="33">
        <v>94514</v>
      </c>
      <c r="Y36" s="33">
        <v>80560</v>
      </c>
      <c r="Z36" s="34">
        <v>68105</v>
      </c>
      <c r="AA36" s="35">
        <f t="shared" si="0"/>
        <v>1728248</v>
      </c>
      <c r="AB36" s="19">
        <v>19</v>
      </c>
      <c r="AC36" s="100">
        <f>+AA36*AB36+AA37*AB37+AA38*AB38</f>
        <v>50201156</v>
      </c>
    </row>
    <row r="37" spans="1:30" ht="15.75" thickBot="1" x14ac:dyDescent="0.3">
      <c r="A37" s="99"/>
      <c r="B37" s="20" t="s">
        <v>4</v>
      </c>
      <c r="C37" s="36">
        <v>52019</v>
      </c>
      <c r="D37" s="36">
        <v>47541</v>
      </c>
      <c r="E37" s="36">
        <v>44759.5</v>
      </c>
      <c r="F37" s="36">
        <v>43018.5</v>
      </c>
      <c r="G37" s="36">
        <v>43323</v>
      </c>
      <c r="H37" s="36">
        <v>44242.5</v>
      </c>
      <c r="I37" s="36">
        <v>47881</v>
      </c>
      <c r="J37" s="36">
        <v>49949.5</v>
      </c>
      <c r="K37" s="36">
        <v>59526</v>
      </c>
      <c r="L37" s="36">
        <v>66172</v>
      </c>
      <c r="M37" s="36">
        <v>71521</v>
      </c>
      <c r="N37" s="36">
        <v>76410.5</v>
      </c>
      <c r="O37" s="36">
        <v>76030</v>
      </c>
      <c r="P37" s="36">
        <v>73935.5</v>
      </c>
      <c r="Q37" s="36">
        <v>73342</v>
      </c>
      <c r="R37" s="36">
        <v>72961</v>
      </c>
      <c r="S37" s="36">
        <v>72430</v>
      </c>
      <c r="T37" s="36">
        <v>92259</v>
      </c>
      <c r="U37" s="36">
        <v>107468.5</v>
      </c>
      <c r="V37" s="36">
        <v>107096.5</v>
      </c>
      <c r="W37" s="36">
        <v>101399.5</v>
      </c>
      <c r="X37" s="36">
        <v>93958.5</v>
      </c>
      <c r="Y37" s="36">
        <v>83014.5</v>
      </c>
      <c r="Z37" s="37">
        <v>72004.5</v>
      </c>
      <c r="AA37" s="38">
        <f t="shared" si="0"/>
        <v>1672263</v>
      </c>
      <c r="AB37" s="21">
        <v>5</v>
      </c>
      <c r="AC37" s="101"/>
      <c r="AD37" s="47"/>
    </row>
    <row r="38" spans="1:30" x14ac:dyDescent="0.25">
      <c r="A38" s="99"/>
      <c r="B38" s="22" t="s">
        <v>3</v>
      </c>
      <c r="C38" s="39">
        <v>52051.5</v>
      </c>
      <c r="D38" s="39">
        <v>47247.5</v>
      </c>
      <c r="E38" s="39">
        <v>43950</v>
      </c>
      <c r="F38" s="39">
        <v>41538</v>
      </c>
      <c r="G38" s="39">
        <v>41230.5</v>
      </c>
      <c r="H38" s="39">
        <v>40421.5</v>
      </c>
      <c r="I38" s="39">
        <v>41762</v>
      </c>
      <c r="J38" s="39">
        <v>41604.5</v>
      </c>
      <c r="K38" s="39">
        <v>49094</v>
      </c>
      <c r="L38" s="39">
        <v>55503.5</v>
      </c>
      <c r="M38" s="39">
        <v>60157</v>
      </c>
      <c r="N38" s="39">
        <v>64947.5</v>
      </c>
      <c r="O38" s="39">
        <v>67312</v>
      </c>
      <c r="P38" s="39">
        <v>66432.5</v>
      </c>
      <c r="Q38" s="39">
        <v>64134</v>
      </c>
      <c r="R38" s="39">
        <v>62552</v>
      </c>
      <c r="S38" s="39">
        <v>62155</v>
      </c>
      <c r="T38" s="39">
        <v>81704</v>
      </c>
      <c r="U38" s="39">
        <v>96971.5</v>
      </c>
      <c r="V38" s="39">
        <v>98364.5</v>
      </c>
      <c r="W38" s="39">
        <v>94508</v>
      </c>
      <c r="X38" s="39">
        <v>86895</v>
      </c>
      <c r="Y38" s="39">
        <v>75423.5</v>
      </c>
      <c r="Z38" s="40">
        <v>64562</v>
      </c>
      <c r="AA38" s="41">
        <f t="shared" si="0"/>
        <v>1500521.5</v>
      </c>
      <c r="AB38" s="23">
        <v>6</v>
      </c>
      <c r="AC38" s="102"/>
      <c r="AD38" s="49"/>
    </row>
    <row r="39" spans="1:30" ht="15.75" thickBot="1" x14ac:dyDescent="0.3">
      <c r="A39" s="99">
        <v>47818</v>
      </c>
      <c r="B39" s="18" t="s">
        <v>5</v>
      </c>
      <c r="C39" s="33">
        <v>55963</v>
      </c>
      <c r="D39" s="33">
        <v>50869.5</v>
      </c>
      <c r="E39" s="33">
        <v>47924</v>
      </c>
      <c r="F39" s="33">
        <v>46390</v>
      </c>
      <c r="G39" s="33">
        <v>47420</v>
      </c>
      <c r="H39" s="33">
        <v>50699.5</v>
      </c>
      <c r="I39" s="33">
        <v>54200</v>
      </c>
      <c r="J39" s="33">
        <v>56897.5</v>
      </c>
      <c r="K39" s="33">
        <v>65975.5</v>
      </c>
      <c r="L39" s="33">
        <v>72660.5</v>
      </c>
      <c r="M39" s="33">
        <v>78794.5</v>
      </c>
      <c r="N39" s="33">
        <v>85015</v>
      </c>
      <c r="O39" s="33">
        <v>83848.5</v>
      </c>
      <c r="P39" s="33">
        <v>83740</v>
      </c>
      <c r="Q39" s="33">
        <v>85512.5</v>
      </c>
      <c r="R39" s="33">
        <v>85327.5</v>
      </c>
      <c r="S39" s="33">
        <v>83550</v>
      </c>
      <c r="T39" s="33">
        <v>98790</v>
      </c>
      <c r="U39" s="33">
        <v>112059</v>
      </c>
      <c r="V39" s="33">
        <v>114051.5</v>
      </c>
      <c r="W39" s="33">
        <v>108881.5</v>
      </c>
      <c r="X39" s="33">
        <v>100625.5</v>
      </c>
      <c r="Y39" s="33">
        <v>87988.5</v>
      </c>
      <c r="Z39" s="34">
        <v>75920</v>
      </c>
      <c r="AA39" s="35">
        <f t="shared" si="0"/>
        <v>1833103.5</v>
      </c>
      <c r="AB39" s="19">
        <v>21</v>
      </c>
      <c r="AC39" s="100">
        <f>+AA39*AB39+AA40*AB40+AA41*AB41</f>
        <v>55029110.5</v>
      </c>
    </row>
    <row r="40" spans="1:30" ht="15.75" thickBot="1" x14ac:dyDescent="0.3">
      <c r="A40" s="99"/>
      <c r="B40" s="20" t="s">
        <v>4</v>
      </c>
      <c r="C40" s="36">
        <v>56282</v>
      </c>
      <c r="D40" s="36">
        <v>51261</v>
      </c>
      <c r="E40" s="36">
        <v>48307.5</v>
      </c>
      <c r="F40" s="36">
        <v>46345.5</v>
      </c>
      <c r="G40" s="36">
        <v>46457.5</v>
      </c>
      <c r="H40" s="36">
        <v>48304.5</v>
      </c>
      <c r="I40" s="36">
        <v>50393.5</v>
      </c>
      <c r="J40" s="36">
        <v>52387.5</v>
      </c>
      <c r="K40" s="36">
        <v>61595.5</v>
      </c>
      <c r="L40" s="36">
        <v>67954.5</v>
      </c>
      <c r="M40" s="36">
        <v>73074.5</v>
      </c>
      <c r="N40" s="36">
        <v>77355.5</v>
      </c>
      <c r="O40" s="36">
        <v>77348</v>
      </c>
      <c r="P40" s="36">
        <v>75716</v>
      </c>
      <c r="Q40" s="36">
        <v>74695</v>
      </c>
      <c r="R40" s="36">
        <v>73570</v>
      </c>
      <c r="S40" s="36">
        <v>72786</v>
      </c>
      <c r="T40" s="36">
        <v>90704</v>
      </c>
      <c r="U40" s="36">
        <v>105470.5</v>
      </c>
      <c r="V40" s="36">
        <v>107142</v>
      </c>
      <c r="W40" s="36">
        <v>102050</v>
      </c>
      <c r="X40" s="36">
        <v>94830</v>
      </c>
      <c r="Y40" s="36">
        <v>84544.5</v>
      </c>
      <c r="Z40" s="37">
        <v>74625.5</v>
      </c>
      <c r="AA40" s="38">
        <f t="shared" si="0"/>
        <v>1713200.5</v>
      </c>
      <c r="AB40" s="21">
        <v>4</v>
      </c>
      <c r="AC40" s="101"/>
      <c r="AD40" s="47"/>
    </row>
    <row r="41" spans="1:30" x14ac:dyDescent="0.25">
      <c r="A41" s="99"/>
      <c r="B41" s="22" t="s">
        <v>3</v>
      </c>
      <c r="C41" s="39">
        <v>59215.5</v>
      </c>
      <c r="D41" s="39">
        <v>53927</v>
      </c>
      <c r="E41" s="39">
        <v>50160</v>
      </c>
      <c r="F41" s="39">
        <v>47526.5</v>
      </c>
      <c r="G41" s="39">
        <v>46484</v>
      </c>
      <c r="H41" s="39">
        <v>46110.5</v>
      </c>
      <c r="I41" s="39">
        <v>45774.5</v>
      </c>
      <c r="J41" s="39">
        <v>44720.5</v>
      </c>
      <c r="K41" s="39">
        <v>52151.5</v>
      </c>
      <c r="L41" s="39">
        <v>58666.5</v>
      </c>
      <c r="M41" s="39">
        <v>63583</v>
      </c>
      <c r="N41" s="39">
        <v>68185</v>
      </c>
      <c r="O41" s="39">
        <v>70689</v>
      </c>
      <c r="P41" s="39">
        <v>70631</v>
      </c>
      <c r="Q41" s="39">
        <v>68981</v>
      </c>
      <c r="R41" s="39">
        <v>67947</v>
      </c>
      <c r="S41" s="39">
        <v>67386.5</v>
      </c>
      <c r="T41" s="39">
        <v>85323.5</v>
      </c>
      <c r="U41" s="39">
        <v>100063.5</v>
      </c>
      <c r="V41" s="39">
        <v>103051.5</v>
      </c>
      <c r="W41" s="39">
        <v>98890.5</v>
      </c>
      <c r="X41" s="39">
        <v>91780.5</v>
      </c>
      <c r="Y41" s="39">
        <v>81355</v>
      </c>
      <c r="Z41" s="40">
        <v>70919</v>
      </c>
      <c r="AA41" s="41">
        <f t="shared" si="0"/>
        <v>1613522.5</v>
      </c>
      <c r="AB41" s="23">
        <v>6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1976664.5</v>
      </c>
      <c r="D42" s="31">
        <f t="shared" si="1"/>
        <v>1799255.5</v>
      </c>
      <c r="E42" s="31">
        <f t="shared" si="1"/>
        <v>1691895</v>
      </c>
      <c r="F42" s="31">
        <f t="shared" si="1"/>
        <v>1625449</v>
      </c>
      <c r="G42" s="31">
        <f t="shared" si="1"/>
        <v>1633439.5</v>
      </c>
      <c r="H42" s="31">
        <f t="shared" si="1"/>
        <v>1710234.5</v>
      </c>
      <c r="I42" s="31">
        <f t="shared" si="1"/>
        <v>1808208</v>
      </c>
      <c r="J42" s="31">
        <f t="shared" si="1"/>
        <v>1835437.5</v>
      </c>
      <c r="K42" s="31">
        <f t="shared" si="1"/>
        <v>2142613</v>
      </c>
      <c r="L42" s="31">
        <f t="shared" si="1"/>
        <v>2379077.5</v>
      </c>
      <c r="M42" s="31">
        <f t="shared" si="1"/>
        <v>2577742.5</v>
      </c>
      <c r="N42" s="31">
        <f t="shared" si="1"/>
        <v>2764322</v>
      </c>
      <c r="O42" s="31">
        <f t="shared" si="1"/>
        <v>2771741.5</v>
      </c>
      <c r="P42" s="31">
        <f t="shared" si="1"/>
        <v>2749937.5</v>
      </c>
      <c r="Q42" s="31">
        <f t="shared" si="1"/>
        <v>2736345</v>
      </c>
      <c r="R42" s="31">
        <f t="shared" si="1"/>
        <v>2720678</v>
      </c>
      <c r="S42" s="31">
        <f t="shared" si="1"/>
        <v>2681960</v>
      </c>
      <c r="T42" s="31">
        <f t="shared" si="1"/>
        <v>3265885</v>
      </c>
      <c r="U42" s="31">
        <f t="shared" si="1"/>
        <v>3667493.5</v>
      </c>
      <c r="V42" s="31">
        <f t="shared" si="1"/>
        <v>3872050</v>
      </c>
      <c r="W42" s="31">
        <f t="shared" si="1"/>
        <v>3707540.5</v>
      </c>
      <c r="X42" s="31">
        <f t="shared" si="1"/>
        <v>3422952.5</v>
      </c>
      <c r="Y42" s="31">
        <f t="shared" si="1"/>
        <v>2993779</v>
      </c>
      <c r="Z42" s="31">
        <f t="shared" si="1"/>
        <v>2575277.5</v>
      </c>
      <c r="AA42" s="31">
        <f t="shared" si="1"/>
        <v>61109978.5</v>
      </c>
      <c r="AB42" s="31">
        <f t="shared" si="1"/>
        <v>365</v>
      </c>
      <c r="AC42" s="46">
        <f t="shared" si="1"/>
        <v>632121387</v>
      </c>
    </row>
    <row r="43" spans="1:30" x14ac:dyDescent="0.25">
      <c r="AB43" s="6"/>
      <c r="AC43" s="6"/>
    </row>
    <row r="44" spans="1:30" x14ac:dyDescent="0.25">
      <c r="C44" s="49"/>
      <c r="AA44" s="48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F99A-5221-45C2-B43E-7FD7B0826FBD}">
  <sheetPr codeName="Hoja7">
    <tabColor theme="5" tint="0.79998168889431442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6" sqref="N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75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47484</v>
      </c>
      <c r="B6" s="18" t="s">
        <v>5</v>
      </c>
      <c r="C6" s="33">
        <f>ROUND('Anexo 15'!C6*'Anexo 5'!$D$10,0)</f>
        <v>0</v>
      </c>
      <c r="D6" s="33">
        <f>ROUND('Anexo 15'!D6*'Anexo 5'!$D$10,0)</f>
        <v>0</v>
      </c>
      <c r="E6" s="33">
        <f>ROUND('Anexo 15'!E6*'Anexo 5'!$D$10,0)</f>
        <v>0</v>
      </c>
      <c r="F6" s="33">
        <f>ROUND('Anexo 15'!F6*'Anexo 5'!$D$10,0)</f>
        <v>0</v>
      </c>
      <c r="G6" s="33">
        <f>ROUND('Anexo 15'!G6*'Anexo 5'!$D$10,0)</f>
        <v>0</v>
      </c>
      <c r="H6" s="33">
        <f>ROUND('Anexo 15'!H6*'Anexo 5'!$D$10,0)</f>
        <v>0</v>
      </c>
      <c r="I6" s="33">
        <f>ROUND('Anexo 15'!I6*'Anexo 5'!$D$10,0)</f>
        <v>0</v>
      </c>
      <c r="J6" s="33">
        <f>ROUND('Anexo 15'!J6*'Anexo 5'!$D$10,0)</f>
        <v>0</v>
      </c>
      <c r="K6" s="33">
        <f>ROUND('Anexo 15'!K6*'Anexo 5'!$D$10,0)</f>
        <v>0</v>
      </c>
      <c r="L6" s="33">
        <f>ROUND('Anexo 15'!L6*'Anexo 5'!$D$10,0)</f>
        <v>0</v>
      </c>
      <c r="M6" s="33">
        <f>ROUND('Anexo 15'!M6*'Anexo 5'!$D$10,0)</f>
        <v>0</v>
      </c>
      <c r="N6" s="33">
        <f>ROUND('Anexo 15'!N6*'Anexo 5'!$D$10,0)</f>
        <v>0</v>
      </c>
      <c r="O6" s="33">
        <f>ROUND('Anexo 15'!O6*'Anexo 5'!$D$10,0)</f>
        <v>0</v>
      </c>
      <c r="P6" s="33">
        <f>ROUND('Anexo 15'!P6*'Anexo 5'!$D$10,0)</f>
        <v>0</v>
      </c>
      <c r="Q6" s="33">
        <f>ROUND('Anexo 15'!Q6*'Anexo 5'!$D$10,0)</f>
        <v>0</v>
      </c>
      <c r="R6" s="33">
        <f>ROUND('Anexo 15'!R6*'Anexo 5'!$D$10,0)</f>
        <v>0</v>
      </c>
      <c r="S6" s="33">
        <f>ROUND('Anexo 15'!S6*'Anexo 5'!$D$10,0)</f>
        <v>0</v>
      </c>
      <c r="T6" s="33">
        <f>ROUND('Anexo 15'!T6*'Anexo 5'!$D$10,0)</f>
        <v>0</v>
      </c>
      <c r="U6" s="33">
        <f>ROUND('Anexo 15'!U6*'Anexo 5'!$D$10,0)</f>
        <v>0</v>
      </c>
      <c r="V6" s="33">
        <f>ROUND('Anexo 15'!V6*'Anexo 5'!$D$10,0)</f>
        <v>0</v>
      </c>
      <c r="W6" s="33">
        <f>ROUND('Anexo 15'!W6*'Anexo 5'!$D$10,0)</f>
        <v>0</v>
      </c>
      <c r="X6" s="33">
        <f>ROUND('Anexo 15'!X6*'Anexo 5'!$D$10,0)</f>
        <v>0</v>
      </c>
      <c r="Y6" s="33">
        <f>ROUND('Anexo 15'!Y6*'Anexo 5'!$D$10,0)</f>
        <v>0</v>
      </c>
      <c r="Z6" s="34">
        <f>ROUND('Anexo 15'!Z6*'Anexo 5'!$D$10,0)</f>
        <v>0</v>
      </c>
      <c r="AA6" s="35">
        <f>SUM(C6:Z6)</f>
        <v>0</v>
      </c>
      <c r="AB6" s="19">
        <v>21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6">
        <f>ROUND('Anexo 15'!C7*'Anexo 5'!$D$10,0)</f>
        <v>0</v>
      </c>
      <c r="D7" s="36">
        <f>ROUND('Anexo 15'!D7*'Anexo 5'!$D$10,0)</f>
        <v>0</v>
      </c>
      <c r="E7" s="36">
        <f>ROUND('Anexo 15'!E7*'Anexo 5'!$D$10,0)</f>
        <v>0</v>
      </c>
      <c r="F7" s="36">
        <f>ROUND('Anexo 15'!F7*'Anexo 5'!$D$10,0)</f>
        <v>0</v>
      </c>
      <c r="G7" s="36">
        <f>ROUND('Anexo 15'!G7*'Anexo 5'!$D$10,0)</f>
        <v>0</v>
      </c>
      <c r="H7" s="36">
        <f>ROUND('Anexo 15'!H7*'Anexo 5'!$D$10,0)</f>
        <v>0</v>
      </c>
      <c r="I7" s="36">
        <f>ROUND('Anexo 15'!I7*'Anexo 5'!$D$10,0)</f>
        <v>0</v>
      </c>
      <c r="J7" s="36">
        <f>ROUND('Anexo 15'!J7*'Anexo 5'!$D$10,0)</f>
        <v>0</v>
      </c>
      <c r="K7" s="36">
        <f>ROUND('Anexo 15'!K7*'Anexo 5'!$D$10,0)</f>
        <v>0</v>
      </c>
      <c r="L7" s="36">
        <f>ROUND('Anexo 15'!L7*'Anexo 5'!$D$10,0)</f>
        <v>0</v>
      </c>
      <c r="M7" s="36">
        <f>ROUND('Anexo 15'!M7*'Anexo 5'!$D$10,0)</f>
        <v>0</v>
      </c>
      <c r="N7" s="36">
        <f>ROUND('Anexo 15'!N7*'Anexo 5'!$D$10,0)</f>
        <v>0</v>
      </c>
      <c r="O7" s="36">
        <f>ROUND('Anexo 15'!O7*'Anexo 5'!$D$10,0)</f>
        <v>0</v>
      </c>
      <c r="P7" s="36">
        <f>ROUND('Anexo 15'!P7*'Anexo 5'!$D$10,0)</f>
        <v>0</v>
      </c>
      <c r="Q7" s="36">
        <f>ROUND('Anexo 15'!Q7*'Anexo 5'!$D$10,0)</f>
        <v>0</v>
      </c>
      <c r="R7" s="36">
        <f>ROUND('Anexo 15'!R7*'Anexo 5'!$D$10,0)</f>
        <v>0</v>
      </c>
      <c r="S7" s="36">
        <f>ROUND('Anexo 15'!S7*'Anexo 5'!$D$10,0)</f>
        <v>0</v>
      </c>
      <c r="T7" s="36">
        <f>ROUND('Anexo 15'!T7*'Anexo 5'!$D$10,0)</f>
        <v>0</v>
      </c>
      <c r="U7" s="36">
        <f>ROUND('Anexo 15'!U7*'Anexo 5'!$D$10,0)</f>
        <v>0</v>
      </c>
      <c r="V7" s="36">
        <f>ROUND('Anexo 15'!V7*'Anexo 5'!$D$10,0)</f>
        <v>0</v>
      </c>
      <c r="W7" s="36">
        <f>ROUND('Anexo 15'!W7*'Anexo 5'!$D$10,0)</f>
        <v>0</v>
      </c>
      <c r="X7" s="36">
        <f>ROUND('Anexo 15'!X7*'Anexo 5'!$D$10,0)</f>
        <v>0</v>
      </c>
      <c r="Y7" s="36">
        <f>ROUND('Anexo 15'!Y7*'Anexo 5'!$D$10,0)</f>
        <v>0</v>
      </c>
      <c r="Z7" s="37">
        <f>ROUND('Anexo 15'!Z7*'Anexo 5'!$D$10,0)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" x14ac:dyDescent="0.25">
      <c r="A8" s="99"/>
      <c r="B8" s="22" t="s">
        <v>3</v>
      </c>
      <c r="C8" s="39">
        <f>ROUND('Anexo 15'!C8*'Anexo 5'!$D$10,0)</f>
        <v>0</v>
      </c>
      <c r="D8" s="39">
        <f>ROUND('Anexo 15'!D8*'Anexo 5'!$D$10,0)</f>
        <v>0</v>
      </c>
      <c r="E8" s="39">
        <f>ROUND('Anexo 15'!E8*'Anexo 5'!$D$10,0)</f>
        <v>0</v>
      </c>
      <c r="F8" s="39">
        <f>ROUND('Anexo 15'!F8*'Anexo 5'!$D$10,0)</f>
        <v>0</v>
      </c>
      <c r="G8" s="39">
        <f>ROUND('Anexo 15'!G8*'Anexo 5'!$D$10,0)</f>
        <v>0</v>
      </c>
      <c r="H8" s="39">
        <f>ROUND('Anexo 15'!H8*'Anexo 5'!$D$10,0)</f>
        <v>0</v>
      </c>
      <c r="I8" s="39">
        <f>ROUND('Anexo 15'!I8*'Anexo 5'!$D$10,0)</f>
        <v>0</v>
      </c>
      <c r="J8" s="39">
        <f>ROUND('Anexo 15'!J8*'Anexo 5'!$D$10,0)</f>
        <v>0</v>
      </c>
      <c r="K8" s="39">
        <f>ROUND('Anexo 15'!K8*'Anexo 5'!$D$10,0)</f>
        <v>0</v>
      </c>
      <c r="L8" s="39">
        <f>ROUND('Anexo 15'!L8*'Anexo 5'!$D$10,0)</f>
        <v>0</v>
      </c>
      <c r="M8" s="39">
        <f>ROUND('Anexo 15'!M8*'Anexo 5'!$D$10,0)</f>
        <v>0</v>
      </c>
      <c r="N8" s="39">
        <f>ROUND('Anexo 15'!N8*'Anexo 5'!$D$10,0)</f>
        <v>0</v>
      </c>
      <c r="O8" s="39">
        <f>ROUND('Anexo 15'!O8*'Anexo 5'!$D$10,0)</f>
        <v>0</v>
      </c>
      <c r="P8" s="39">
        <f>ROUND('Anexo 15'!P8*'Anexo 5'!$D$10,0)</f>
        <v>0</v>
      </c>
      <c r="Q8" s="39">
        <f>ROUND('Anexo 15'!Q8*'Anexo 5'!$D$10,0)</f>
        <v>0</v>
      </c>
      <c r="R8" s="39">
        <f>ROUND('Anexo 15'!R8*'Anexo 5'!$D$10,0)</f>
        <v>0</v>
      </c>
      <c r="S8" s="39">
        <f>ROUND('Anexo 15'!S8*'Anexo 5'!$D$10,0)</f>
        <v>0</v>
      </c>
      <c r="T8" s="39">
        <f>ROUND('Anexo 15'!T8*'Anexo 5'!$D$10,0)</f>
        <v>0</v>
      </c>
      <c r="U8" s="39">
        <f>ROUND('Anexo 15'!U8*'Anexo 5'!$D$10,0)</f>
        <v>0</v>
      </c>
      <c r="V8" s="39">
        <f>ROUND('Anexo 15'!V8*'Anexo 5'!$D$10,0)</f>
        <v>0</v>
      </c>
      <c r="W8" s="39">
        <f>ROUND('Anexo 15'!W8*'Anexo 5'!$D$10,0)</f>
        <v>0</v>
      </c>
      <c r="X8" s="39">
        <f>ROUND('Anexo 15'!X8*'Anexo 5'!$D$10,0)</f>
        <v>0</v>
      </c>
      <c r="Y8" s="39">
        <f>ROUND('Anexo 15'!Y8*'Anexo 5'!$D$10,0)</f>
        <v>0</v>
      </c>
      <c r="Z8" s="40">
        <f>ROUND('Anexo 15'!Z8*'Anexo 5'!$D$10,0)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47515</v>
      </c>
      <c r="B9" s="18" t="s">
        <v>5</v>
      </c>
      <c r="C9" s="33">
        <f>ROUND('Anexo 15'!C9*'Anexo 5'!$D$10,0)</f>
        <v>0</v>
      </c>
      <c r="D9" s="33">
        <f>ROUND('Anexo 15'!D9*'Anexo 5'!$D$10,0)</f>
        <v>0</v>
      </c>
      <c r="E9" s="33">
        <f>ROUND('Anexo 15'!E9*'Anexo 5'!$D$10,0)</f>
        <v>0</v>
      </c>
      <c r="F9" s="33">
        <f>ROUND('Anexo 15'!F9*'Anexo 5'!$D$10,0)</f>
        <v>0</v>
      </c>
      <c r="G9" s="33">
        <f>ROUND('Anexo 15'!G9*'Anexo 5'!$D$10,0)</f>
        <v>0</v>
      </c>
      <c r="H9" s="33">
        <f>ROUND('Anexo 15'!H9*'Anexo 5'!$D$10,0)</f>
        <v>0</v>
      </c>
      <c r="I9" s="33">
        <f>ROUND('Anexo 15'!I9*'Anexo 5'!$D$10,0)</f>
        <v>0</v>
      </c>
      <c r="J9" s="33">
        <f>ROUND('Anexo 15'!J9*'Anexo 5'!$D$10,0)</f>
        <v>0</v>
      </c>
      <c r="K9" s="33">
        <f>ROUND('Anexo 15'!K9*'Anexo 5'!$D$10,0)</f>
        <v>0</v>
      </c>
      <c r="L9" s="33">
        <f>ROUND('Anexo 15'!L9*'Anexo 5'!$D$10,0)</f>
        <v>0</v>
      </c>
      <c r="M9" s="33">
        <f>ROUND('Anexo 15'!M9*'Anexo 5'!$D$10,0)</f>
        <v>0</v>
      </c>
      <c r="N9" s="33">
        <f>ROUND('Anexo 15'!N9*'Anexo 5'!$D$10,0)</f>
        <v>0</v>
      </c>
      <c r="O9" s="33">
        <f>ROUND('Anexo 15'!O9*'Anexo 5'!$D$10,0)</f>
        <v>0</v>
      </c>
      <c r="P9" s="33">
        <f>ROUND('Anexo 15'!P9*'Anexo 5'!$D$10,0)</f>
        <v>0</v>
      </c>
      <c r="Q9" s="33">
        <f>ROUND('Anexo 15'!Q9*'Anexo 5'!$D$10,0)</f>
        <v>0</v>
      </c>
      <c r="R9" s="33">
        <f>ROUND('Anexo 15'!R9*'Anexo 5'!$D$10,0)</f>
        <v>0</v>
      </c>
      <c r="S9" s="33">
        <f>ROUND('Anexo 15'!S9*'Anexo 5'!$D$10,0)</f>
        <v>0</v>
      </c>
      <c r="T9" s="33">
        <f>ROUND('Anexo 15'!T9*'Anexo 5'!$D$10,0)</f>
        <v>0</v>
      </c>
      <c r="U9" s="33">
        <f>ROUND('Anexo 15'!U9*'Anexo 5'!$D$10,0)</f>
        <v>0</v>
      </c>
      <c r="V9" s="33">
        <f>ROUND('Anexo 15'!V9*'Anexo 5'!$D$10,0)</f>
        <v>0</v>
      </c>
      <c r="W9" s="33">
        <f>ROUND('Anexo 15'!W9*'Anexo 5'!$D$10,0)</f>
        <v>0</v>
      </c>
      <c r="X9" s="33">
        <f>ROUND('Anexo 15'!X9*'Anexo 5'!$D$10,0)</f>
        <v>0</v>
      </c>
      <c r="Y9" s="33">
        <f>ROUND('Anexo 15'!Y9*'Anexo 5'!$D$10,0)</f>
        <v>0</v>
      </c>
      <c r="Z9" s="33">
        <f>ROUND('Anexo 15'!Z9*'Anexo 5'!$D$10,0)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ROUND('Anexo 15'!C10*'Anexo 5'!$D$10,0)</f>
        <v>0</v>
      </c>
      <c r="D10" s="33">
        <f>ROUND('Anexo 15'!D10*'Anexo 5'!$D$10,0)</f>
        <v>0</v>
      </c>
      <c r="E10" s="33">
        <f>ROUND('Anexo 15'!E10*'Anexo 5'!$D$10,0)</f>
        <v>0</v>
      </c>
      <c r="F10" s="33">
        <f>ROUND('Anexo 15'!F10*'Anexo 5'!$D$10,0)</f>
        <v>0</v>
      </c>
      <c r="G10" s="33">
        <f>ROUND('Anexo 15'!G10*'Anexo 5'!$D$10,0)</f>
        <v>0</v>
      </c>
      <c r="H10" s="33">
        <f>ROUND('Anexo 15'!H10*'Anexo 5'!$D$10,0)</f>
        <v>0</v>
      </c>
      <c r="I10" s="33">
        <f>ROUND('Anexo 15'!I10*'Anexo 5'!$D$10,0)</f>
        <v>0</v>
      </c>
      <c r="J10" s="33">
        <f>ROUND('Anexo 15'!J10*'Anexo 5'!$D$10,0)</f>
        <v>0</v>
      </c>
      <c r="K10" s="33">
        <f>ROUND('Anexo 15'!K10*'Anexo 5'!$D$10,0)</f>
        <v>0</v>
      </c>
      <c r="L10" s="33">
        <f>ROUND('Anexo 15'!L10*'Anexo 5'!$D$10,0)</f>
        <v>0</v>
      </c>
      <c r="M10" s="33">
        <f>ROUND('Anexo 15'!M10*'Anexo 5'!$D$10,0)</f>
        <v>0</v>
      </c>
      <c r="N10" s="33">
        <f>ROUND('Anexo 15'!N10*'Anexo 5'!$D$10,0)</f>
        <v>0</v>
      </c>
      <c r="O10" s="33">
        <f>ROUND('Anexo 15'!O10*'Anexo 5'!$D$10,0)</f>
        <v>0</v>
      </c>
      <c r="P10" s="33">
        <f>ROUND('Anexo 15'!P10*'Anexo 5'!$D$10,0)</f>
        <v>0</v>
      </c>
      <c r="Q10" s="33">
        <f>ROUND('Anexo 15'!Q10*'Anexo 5'!$D$10,0)</f>
        <v>0</v>
      </c>
      <c r="R10" s="33">
        <f>ROUND('Anexo 15'!R10*'Anexo 5'!$D$10,0)</f>
        <v>0</v>
      </c>
      <c r="S10" s="33">
        <f>ROUND('Anexo 15'!S10*'Anexo 5'!$D$10,0)</f>
        <v>0</v>
      </c>
      <c r="T10" s="33">
        <f>ROUND('Anexo 15'!T10*'Anexo 5'!$D$10,0)</f>
        <v>0</v>
      </c>
      <c r="U10" s="33">
        <f>ROUND('Anexo 15'!U10*'Anexo 5'!$D$10,0)</f>
        <v>0</v>
      </c>
      <c r="V10" s="33">
        <f>ROUND('Anexo 15'!V10*'Anexo 5'!$D$10,0)</f>
        <v>0</v>
      </c>
      <c r="W10" s="33">
        <f>ROUND('Anexo 15'!W10*'Anexo 5'!$D$10,0)</f>
        <v>0</v>
      </c>
      <c r="X10" s="33">
        <f>ROUND('Anexo 15'!X10*'Anexo 5'!$D$10,0)</f>
        <v>0</v>
      </c>
      <c r="Y10" s="33">
        <f>ROUND('Anexo 15'!Y10*'Anexo 5'!$D$10,0)</f>
        <v>0</v>
      </c>
      <c r="Z10" s="33">
        <f>ROUND('Anexo 15'!Z10*'Anexo 5'!$D$10,0)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ROUND('Anexo 15'!C11*'Anexo 5'!$D$10,0)</f>
        <v>0</v>
      </c>
      <c r="D11" s="33">
        <f>ROUND('Anexo 15'!D11*'Anexo 5'!$D$10,0)</f>
        <v>0</v>
      </c>
      <c r="E11" s="33">
        <f>ROUND('Anexo 15'!E11*'Anexo 5'!$D$10,0)</f>
        <v>0</v>
      </c>
      <c r="F11" s="33">
        <f>ROUND('Anexo 15'!F11*'Anexo 5'!$D$10,0)</f>
        <v>0</v>
      </c>
      <c r="G11" s="33">
        <f>ROUND('Anexo 15'!G11*'Anexo 5'!$D$10,0)</f>
        <v>0</v>
      </c>
      <c r="H11" s="33">
        <f>ROUND('Anexo 15'!H11*'Anexo 5'!$D$10,0)</f>
        <v>0</v>
      </c>
      <c r="I11" s="33">
        <f>ROUND('Anexo 15'!I11*'Anexo 5'!$D$10,0)</f>
        <v>0</v>
      </c>
      <c r="J11" s="33">
        <f>ROUND('Anexo 15'!J11*'Anexo 5'!$D$10,0)</f>
        <v>0</v>
      </c>
      <c r="K11" s="33">
        <f>ROUND('Anexo 15'!K11*'Anexo 5'!$D$10,0)</f>
        <v>0</v>
      </c>
      <c r="L11" s="33">
        <f>ROUND('Anexo 15'!L11*'Anexo 5'!$D$10,0)</f>
        <v>0</v>
      </c>
      <c r="M11" s="33">
        <f>ROUND('Anexo 15'!M11*'Anexo 5'!$D$10,0)</f>
        <v>0</v>
      </c>
      <c r="N11" s="33">
        <f>ROUND('Anexo 15'!N11*'Anexo 5'!$D$10,0)</f>
        <v>0</v>
      </c>
      <c r="O11" s="33">
        <f>ROUND('Anexo 15'!O11*'Anexo 5'!$D$10,0)</f>
        <v>0</v>
      </c>
      <c r="P11" s="33">
        <f>ROUND('Anexo 15'!P11*'Anexo 5'!$D$10,0)</f>
        <v>0</v>
      </c>
      <c r="Q11" s="33">
        <f>ROUND('Anexo 15'!Q11*'Anexo 5'!$D$10,0)</f>
        <v>0</v>
      </c>
      <c r="R11" s="33">
        <f>ROUND('Anexo 15'!R11*'Anexo 5'!$D$10,0)</f>
        <v>0</v>
      </c>
      <c r="S11" s="33">
        <f>ROUND('Anexo 15'!S11*'Anexo 5'!$D$10,0)</f>
        <v>0</v>
      </c>
      <c r="T11" s="33">
        <f>ROUND('Anexo 15'!T11*'Anexo 5'!$D$10,0)</f>
        <v>0</v>
      </c>
      <c r="U11" s="33">
        <f>ROUND('Anexo 15'!U11*'Anexo 5'!$D$10,0)</f>
        <v>0</v>
      </c>
      <c r="V11" s="33">
        <f>ROUND('Anexo 15'!V11*'Anexo 5'!$D$10,0)</f>
        <v>0</v>
      </c>
      <c r="W11" s="33">
        <f>ROUND('Anexo 15'!W11*'Anexo 5'!$D$10,0)</f>
        <v>0</v>
      </c>
      <c r="X11" s="33">
        <f>ROUND('Anexo 15'!X11*'Anexo 5'!$D$10,0)</f>
        <v>0</v>
      </c>
      <c r="Y11" s="33">
        <f>ROUND('Anexo 15'!Y11*'Anexo 5'!$D$10,0)</f>
        <v>0</v>
      </c>
      <c r="Z11" s="33">
        <f>ROUND('Anexo 15'!Z11*'Anexo 5'!$D$10,0)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47543</v>
      </c>
      <c r="B12" s="18" t="s">
        <v>5</v>
      </c>
      <c r="C12" s="33">
        <f>ROUND('Anexo 15'!C12*'Anexo 5'!$D$10,0)</f>
        <v>0</v>
      </c>
      <c r="D12" s="33">
        <f>ROUND('Anexo 15'!D12*'Anexo 5'!$D$10,0)</f>
        <v>0</v>
      </c>
      <c r="E12" s="33">
        <f>ROUND('Anexo 15'!E12*'Anexo 5'!$D$10,0)</f>
        <v>0</v>
      </c>
      <c r="F12" s="33">
        <f>ROUND('Anexo 15'!F12*'Anexo 5'!$D$10,0)</f>
        <v>0</v>
      </c>
      <c r="G12" s="33">
        <f>ROUND('Anexo 15'!G12*'Anexo 5'!$D$10,0)</f>
        <v>0</v>
      </c>
      <c r="H12" s="33">
        <f>ROUND('Anexo 15'!H12*'Anexo 5'!$D$10,0)</f>
        <v>0</v>
      </c>
      <c r="I12" s="33">
        <f>ROUND('Anexo 15'!I12*'Anexo 5'!$D$10,0)</f>
        <v>0</v>
      </c>
      <c r="J12" s="33">
        <f>ROUND('Anexo 15'!J12*'Anexo 5'!$D$10,0)</f>
        <v>0</v>
      </c>
      <c r="K12" s="33">
        <f>ROUND('Anexo 15'!K12*'Anexo 5'!$D$10,0)</f>
        <v>0</v>
      </c>
      <c r="L12" s="33">
        <f>ROUND('Anexo 15'!L12*'Anexo 5'!$D$10,0)</f>
        <v>0</v>
      </c>
      <c r="M12" s="33">
        <f>ROUND('Anexo 15'!M12*'Anexo 5'!$D$10,0)</f>
        <v>0</v>
      </c>
      <c r="N12" s="33">
        <f>ROUND('Anexo 15'!N12*'Anexo 5'!$D$10,0)</f>
        <v>0</v>
      </c>
      <c r="O12" s="33">
        <f>ROUND('Anexo 15'!O12*'Anexo 5'!$D$10,0)</f>
        <v>0</v>
      </c>
      <c r="P12" s="33">
        <f>ROUND('Anexo 15'!P12*'Anexo 5'!$D$10,0)</f>
        <v>0</v>
      </c>
      <c r="Q12" s="33">
        <f>ROUND('Anexo 15'!Q12*'Anexo 5'!$D$10,0)</f>
        <v>0</v>
      </c>
      <c r="R12" s="33">
        <f>ROUND('Anexo 15'!R12*'Anexo 5'!$D$10,0)</f>
        <v>0</v>
      </c>
      <c r="S12" s="33">
        <f>ROUND('Anexo 15'!S12*'Anexo 5'!$D$10,0)</f>
        <v>0</v>
      </c>
      <c r="T12" s="33">
        <f>ROUND('Anexo 15'!T12*'Anexo 5'!$D$10,0)</f>
        <v>0</v>
      </c>
      <c r="U12" s="33">
        <f>ROUND('Anexo 15'!U12*'Anexo 5'!$D$10,0)</f>
        <v>0</v>
      </c>
      <c r="V12" s="33">
        <f>ROUND('Anexo 15'!V12*'Anexo 5'!$D$10,0)</f>
        <v>0</v>
      </c>
      <c r="W12" s="33">
        <f>ROUND('Anexo 15'!W12*'Anexo 5'!$D$10,0)</f>
        <v>0</v>
      </c>
      <c r="X12" s="33">
        <f>ROUND('Anexo 15'!X12*'Anexo 5'!$D$10,0)</f>
        <v>0</v>
      </c>
      <c r="Y12" s="33">
        <f>ROUND('Anexo 15'!Y12*'Anexo 5'!$D$10,0)</f>
        <v>0</v>
      </c>
      <c r="Z12" s="33">
        <f>ROUND('Anexo 15'!Z12*'Anexo 5'!$D$10,0)</f>
        <v>0</v>
      </c>
      <c r="AA12" s="35">
        <f t="shared" si="0"/>
        <v>0</v>
      </c>
      <c r="AB12" s="19">
        <v>20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ROUND('Anexo 15'!C13*'Anexo 5'!$D$10,0)</f>
        <v>0</v>
      </c>
      <c r="D13" s="33">
        <f>ROUND('Anexo 15'!D13*'Anexo 5'!$D$10,0)</f>
        <v>0</v>
      </c>
      <c r="E13" s="33">
        <f>ROUND('Anexo 15'!E13*'Anexo 5'!$D$10,0)</f>
        <v>0</v>
      </c>
      <c r="F13" s="33">
        <f>ROUND('Anexo 15'!F13*'Anexo 5'!$D$10,0)</f>
        <v>0</v>
      </c>
      <c r="G13" s="33">
        <f>ROUND('Anexo 15'!G13*'Anexo 5'!$D$10,0)</f>
        <v>0</v>
      </c>
      <c r="H13" s="33">
        <f>ROUND('Anexo 15'!H13*'Anexo 5'!$D$10,0)</f>
        <v>0</v>
      </c>
      <c r="I13" s="33">
        <f>ROUND('Anexo 15'!I13*'Anexo 5'!$D$10,0)</f>
        <v>0</v>
      </c>
      <c r="J13" s="33">
        <f>ROUND('Anexo 15'!J13*'Anexo 5'!$D$10,0)</f>
        <v>0</v>
      </c>
      <c r="K13" s="33">
        <f>ROUND('Anexo 15'!K13*'Anexo 5'!$D$10,0)</f>
        <v>0</v>
      </c>
      <c r="L13" s="33">
        <f>ROUND('Anexo 15'!L13*'Anexo 5'!$D$10,0)</f>
        <v>0</v>
      </c>
      <c r="M13" s="33">
        <f>ROUND('Anexo 15'!M13*'Anexo 5'!$D$10,0)</f>
        <v>0</v>
      </c>
      <c r="N13" s="33">
        <f>ROUND('Anexo 15'!N13*'Anexo 5'!$D$10,0)</f>
        <v>0</v>
      </c>
      <c r="O13" s="33">
        <f>ROUND('Anexo 15'!O13*'Anexo 5'!$D$10,0)</f>
        <v>0</v>
      </c>
      <c r="P13" s="33">
        <f>ROUND('Anexo 15'!P13*'Anexo 5'!$D$10,0)</f>
        <v>0</v>
      </c>
      <c r="Q13" s="33">
        <f>ROUND('Anexo 15'!Q13*'Anexo 5'!$D$10,0)</f>
        <v>0</v>
      </c>
      <c r="R13" s="33">
        <f>ROUND('Anexo 15'!R13*'Anexo 5'!$D$10,0)</f>
        <v>0</v>
      </c>
      <c r="S13" s="33">
        <f>ROUND('Anexo 15'!S13*'Anexo 5'!$D$10,0)</f>
        <v>0</v>
      </c>
      <c r="T13" s="33">
        <f>ROUND('Anexo 15'!T13*'Anexo 5'!$D$10,0)</f>
        <v>0</v>
      </c>
      <c r="U13" s="33">
        <f>ROUND('Anexo 15'!U13*'Anexo 5'!$D$10,0)</f>
        <v>0</v>
      </c>
      <c r="V13" s="33">
        <f>ROUND('Anexo 15'!V13*'Anexo 5'!$D$10,0)</f>
        <v>0</v>
      </c>
      <c r="W13" s="33">
        <f>ROUND('Anexo 15'!W13*'Anexo 5'!$D$10,0)</f>
        <v>0</v>
      </c>
      <c r="X13" s="33">
        <f>ROUND('Anexo 15'!X13*'Anexo 5'!$D$10,0)</f>
        <v>0</v>
      </c>
      <c r="Y13" s="33">
        <f>ROUND('Anexo 15'!Y13*'Anexo 5'!$D$10,0)</f>
        <v>0</v>
      </c>
      <c r="Z13" s="33">
        <f>ROUND('Anexo 15'!Z13*'Anexo 5'!$D$10,0)</f>
        <v>0</v>
      </c>
      <c r="AA13" s="38">
        <f t="shared" si="0"/>
        <v>0</v>
      </c>
      <c r="AB13" s="21">
        <v>5</v>
      </c>
      <c r="AC13" s="101"/>
      <c r="AD13" s="47"/>
    </row>
    <row r="14" spans="1:30" ht="15.75" thickBot="1" x14ac:dyDescent="0.3">
      <c r="A14" s="99"/>
      <c r="B14" s="22" t="s">
        <v>3</v>
      </c>
      <c r="C14" s="33">
        <f>ROUND('Anexo 15'!C14*'Anexo 5'!$D$10,0)</f>
        <v>0</v>
      </c>
      <c r="D14" s="33">
        <f>ROUND('Anexo 15'!D14*'Anexo 5'!$D$10,0)</f>
        <v>0</v>
      </c>
      <c r="E14" s="33">
        <f>ROUND('Anexo 15'!E14*'Anexo 5'!$D$10,0)</f>
        <v>0</v>
      </c>
      <c r="F14" s="33">
        <f>ROUND('Anexo 15'!F14*'Anexo 5'!$D$10,0)</f>
        <v>0</v>
      </c>
      <c r="G14" s="33">
        <f>ROUND('Anexo 15'!G14*'Anexo 5'!$D$10,0)</f>
        <v>0</v>
      </c>
      <c r="H14" s="33">
        <f>ROUND('Anexo 15'!H14*'Anexo 5'!$D$10,0)</f>
        <v>0</v>
      </c>
      <c r="I14" s="33">
        <f>ROUND('Anexo 15'!I14*'Anexo 5'!$D$10,0)</f>
        <v>0</v>
      </c>
      <c r="J14" s="33">
        <f>ROUND('Anexo 15'!J14*'Anexo 5'!$D$10,0)</f>
        <v>0</v>
      </c>
      <c r="K14" s="33">
        <f>ROUND('Anexo 15'!K14*'Anexo 5'!$D$10,0)</f>
        <v>0</v>
      </c>
      <c r="L14" s="33">
        <f>ROUND('Anexo 15'!L14*'Anexo 5'!$D$10,0)</f>
        <v>0</v>
      </c>
      <c r="M14" s="33">
        <f>ROUND('Anexo 15'!M14*'Anexo 5'!$D$10,0)</f>
        <v>0</v>
      </c>
      <c r="N14" s="33">
        <f>ROUND('Anexo 15'!N14*'Anexo 5'!$D$10,0)</f>
        <v>0</v>
      </c>
      <c r="O14" s="33">
        <f>ROUND('Anexo 15'!O14*'Anexo 5'!$D$10,0)</f>
        <v>0</v>
      </c>
      <c r="P14" s="33">
        <f>ROUND('Anexo 15'!P14*'Anexo 5'!$D$10,0)</f>
        <v>0</v>
      </c>
      <c r="Q14" s="33">
        <f>ROUND('Anexo 15'!Q14*'Anexo 5'!$D$10,0)</f>
        <v>0</v>
      </c>
      <c r="R14" s="33">
        <f>ROUND('Anexo 15'!R14*'Anexo 5'!$D$10,0)</f>
        <v>0</v>
      </c>
      <c r="S14" s="33">
        <f>ROUND('Anexo 15'!S14*'Anexo 5'!$D$10,0)</f>
        <v>0</v>
      </c>
      <c r="T14" s="33">
        <f>ROUND('Anexo 15'!T14*'Anexo 5'!$D$10,0)</f>
        <v>0</v>
      </c>
      <c r="U14" s="33">
        <f>ROUND('Anexo 15'!U14*'Anexo 5'!$D$10,0)</f>
        <v>0</v>
      </c>
      <c r="V14" s="33">
        <f>ROUND('Anexo 15'!V14*'Anexo 5'!$D$10,0)</f>
        <v>0</v>
      </c>
      <c r="W14" s="33">
        <f>ROUND('Anexo 15'!W14*'Anexo 5'!$D$10,0)</f>
        <v>0</v>
      </c>
      <c r="X14" s="33">
        <f>ROUND('Anexo 15'!X14*'Anexo 5'!$D$10,0)</f>
        <v>0</v>
      </c>
      <c r="Y14" s="33">
        <f>ROUND('Anexo 15'!Y14*'Anexo 5'!$D$10,0)</f>
        <v>0</v>
      </c>
      <c r="Z14" s="33">
        <f>ROUND('Anexo 15'!Z14*'Anexo 5'!$D$10,0)</f>
        <v>0</v>
      </c>
      <c r="AA14" s="41">
        <f t="shared" si="0"/>
        <v>0</v>
      </c>
      <c r="AB14" s="23">
        <v>6</v>
      </c>
      <c r="AC14" s="102"/>
      <c r="AD14" s="45"/>
    </row>
    <row r="15" spans="1:30" ht="15.75" thickBot="1" x14ac:dyDescent="0.3">
      <c r="A15" s="99">
        <v>47574</v>
      </c>
      <c r="B15" s="18" t="s">
        <v>5</v>
      </c>
      <c r="C15" s="33">
        <f>ROUND('Anexo 15'!C15*'Anexo 5'!$D$10,0)</f>
        <v>0</v>
      </c>
      <c r="D15" s="33">
        <f>ROUND('Anexo 15'!D15*'Anexo 5'!$D$10,0)</f>
        <v>0</v>
      </c>
      <c r="E15" s="33">
        <f>ROUND('Anexo 15'!E15*'Anexo 5'!$D$10,0)</f>
        <v>0</v>
      </c>
      <c r="F15" s="33">
        <f>ROUND('Anexo 15'!F15*'Anexo 5'!$D$10,0)</f>
        <v>0</v>
      </c>
      <c r="G15" s="33">
        <f>ROUND('Anexo 15'!G15*'Anexo 5'!$D$10,0)</f>
        <v>0</v>
      </c>
      <c r="H15" s="33">
        <f>ROUND('Anexo 15'!H15*'Anexo 5'!$D$10,0)</f>
        <v>0</v>
      </c>
      <c r="I15" s="33">
        <f>ROUND('Anexo 15'!I15*'Anexo 5'!$D$10,0)</f>
        <v>0</v>
      </c>
      <c r="J15" s="33">
        <f>ROUND('Anexo 15'!J15*'Anexo 5'!$D$10,0)</f>
        <v>0</v>
      </c>
      <c r="K15" s="33">
        <f>ROUND('Anexo 15'!K15*'Anexo 5'!$D$10,0)</f>
        <v>0</v>
      </c>
      <c r="L15" s="33">
        <f>ROUND('Anexo 15'!L15*'Anexo 5'!$D$10,0)</f>
        <v>0</v>
      </c>
      <c r="M15" s="33">
        <f>ROUND('Anexo 15'!M15*'Anexo 5'!$D$10,0)</f>
        <v>0</v>
      </c>
      <c r="N15" s="33">
        <f>ROUND('Anexo 15'!N15*'Anexo 5'!$D$10,0)</f>
        <v>0</v>
      </c>
      <c r="O15" s="33">
        <f>ROUND('Anexo 15'!O15*'Anexo 5'!$D$10,0)</f>
        <v>0</v>
      </c>
      <c r="P15" s="33">
        <f>ROUND('Anexo 15'!P15*'Anexo 5'!$D$10,0)</f>
        <v>0</v>
      </c>
      <c r="Q15" s="33">
        <f>ROUND('Anexo 15'!Q15*'Anexo 5'!$D$10,0)</f>
        <v>0</v>
      </c>
      <c r="R15" s="33">
        <f>ROUND('Anexo 15'!R15*'Anexo 5'!$D$10,0)</f>
        <v>0</v>
      </c>
      <c r="S15" s="33">
        <f>ROUND('Anexo 15'!S15*'Anexo 5'!$D$10,0)</f>
        <v>0</v>
      </c>
      <c r="T15" s="33">
        <f>ROUND('Anexo 15'!T15*'Anexo 5'!$D$10,0)</f>
        <v>0</v>
      </c>
      <c r="U15" s="33">
        <f>ROUND('Anexo 15'!U15*'Anexo 5'!$D$10,0)</f>
        <v>0</v>
      </c>
      <c r="V15" s="33">
        <f>ROUND('Anexo 15'!V15*'Anexo 5'!$D$10,0)</f>
        <v>0</v>
      </c>
      <c r="W15" s="33">
        <f>ROUND('Anexo 15'!W15*'Anexo 5'!$D$10,0)</f>
        <v>0</v>
      </c>
      <c r="X15" s="33">
        <f>ROUND('Anexo 15'!X15*'Anexo 5'!$D$10,0)</f>
        <v>0</v>
      </c>
      <c r="Y15" s="33">
        <f>ROUND('Anexo 15'!Y15*'Anexo 5'!$D$10,0)</f>
        <v>0</v>
      </c>
      <c r="Z15" s="33">
        <f>ROUND('Anexo 15'!Z15*'Anexo 5'!$D$10,0)</f>
        <v>0</v>
      </c>
      <c r="AA15" s="35">
        <f t="shared" si="0"/>
        <v>0</v>
      </c>
      <c r="AB15" s="19">
        <v>20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ROUND('Anexo 15'!C16*'Anexo 5'!$D$10,0)</f>
        <v>0</v>
      </c>
      <c r="D16" s="33">
        <f>ROUND('Anexo 15'!D16*'Anexo 5'!$D$10,0)</f>
        <v>0</v>
      </c>
      <c r="E16" s="33">
        <f>ROUND('Anexo 15'!E16*'Anexo 5'!$D$10,0)</f>
        <v>0</v>
      </c>
      <c r="F16" s="33">
        <f>ROUND('Anexo 15'!F16*'Anexo 5'!$D$10,0)</f>
        <v>0</v>
      </c>
      <c r="G16" s="33">
        <f>ROUND('Anexo 15'!G16*'Anexo 5'!$D$10,0)</f>
        <v>0</v>
      </c>
      <c r="H16" s="33">
        <f>ROUND('Anexo 15'!H16*'Anexo 5'!$D$10,0)</f>
        <v>0</v>
      </c>
      <c r="I16" s="33">
        <f>ROUND('Anexo 15'!I16*'Anexo 5'!$D$10,0)</f>
        <v>0</v>
      </c>
      <c r="J16" s="33">
        <f>ROUND('Anexo 15'!J16*'Anexo 5'!$D$10,0)</f>
        <v>0</v>
      </c>
      <c r="K16" s="33">
        <f>ROUND('Anexo 15'!K16*'Anexo 5'!$D$10,0)</f>
        <v>0</v>
      </c>
      <c r="L16" s="33">
        <f>ROUND('Anexo 15'!L16*'Anexo 5'!$D$10,0)</f>
        <v>0</v>
      </c>
      <c r="M16" s="33">
        <f>ROUND('Anexo 15'!M16*'Anexo 5'!$D$10,0)</f>
        <v>0</v>
      </c>
      <c r="N16" s="33">
        <f>ROUND('Anexo 15'!N16*'Anexo 5'!$D$10,0)</f>
        <v>0</v>
      </c>
      <c r="O16" s="33">
        <f>ROUND('Anexo 15'!O16*'Anexo 5'!$D$10,0)</f>
        <v>0</v>
      </c>
      <c r="P16" s="33">
        <f>ROUND('Anexo 15'!P16*'Anexo 5'!$D$10,0)</f>
        <v>0</v>
      </c>
      <c r="Q16" s="33">
        <f>ROUND('Anexo 15'!Q16*'Anexo 5'!$D$10,0)</f>
        <v>0</v>
      </c>
      <c r="R16" s="33">
        <f>ROUND('Anexo 15'!R16*'Anexo 5'!$D$10,0)</f>
        <v>0</v>
      </c>
      <c r="S16" s="33">
        <f>ROUND('Anexo 15'!S16*'Anexo 5'!$D$10,0)</f>
        <v>0</v>
      </c>
      <c r="T16" s="33">
        <f>ROUND('Anexo 15'!T16*'Anexo 5'!$D$10,0)</f>
        <v>0</v>
      </c>
      <c r="U16" s="33">
        <f>ROUND('Anexo 15'!U16*'Anexo 5'!$D$10,0)</f>
        <v>0</v>
      </c>
      <c r="V16" s="33">
        <f>ROUND('Anexo 15'!V16*'Anexo 5'!$D$10,0)</f>
        <v>0</v>
      </c>
      <c r="W16" s="33">
        <f>ROUND('Anexo 15'!W16*'Anexo 5'!$D$10,0)</f>
        <v>0</v>
      </c>
      <c r="X16" s="33">
        <f>ROUND('Anexo 15'!X16*'Anexo 5'!$D$10,0)</f>
        <v>0</v>
      </c>
      <c r="Y16" s="33">
        <f>ROUND('Anexo 15'!Y16*'Anexo 5'!$D$10,0)</f>
        <v>0</v>
      </c>
      <c r="Z16" s="33">
        <f>ROUND('Anexo 15'!Z16*'Anexo 5'!$D$10,0)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ROUND('Anexo 15'!C17*'Anexo 5'!$D$10,0)</f>
        <v>0</v>
      </c>
      <c r="D17" s="33">
        <f>ROUND('Anexo 15'!D17*'Anexo 5'!$D$10,0)</f>
        <v>0</v>
      </c>
      <c r="E17" s="33">
        <f>ROUND('Anexo 15'!E17*'Anexo 5'!$D$10,0)</f>
        <v>0</v>
      </c>
      <c r="F17" s="33">
        <f>ROUND('Anexo 15'!F17*'Anexo 5'!$D$10,0)</f>
        <v>0</v>
      </c>
      <c r="G17" s="33">
        <f>ROUND('Anexo 15'!G17*'Anexo 5'!$D$10,0)</f>
        <v>0</v>
      </c>
      <c r="H17" s="33">
        <f>ROUND('Anexo 15'!H17*'Anexo 5'!$D$10,0)</f>
        <v>0</v>
      </c>
      <c r="I17" s="33">
        <f>ROUND('Anexo 15'!I17*'Anexo 5'!$D$10,0)</f>
        <v>0</v>
      </c>
      <c r="J17" s="33">
        <f>ROUND('Anexo 15'!J17*'Anexo 5'!$D$10,0)</f>
        <v>0</v>
      </c>
      <c r="K17" s="33">
        <f>ROUND('Anexo 15'!K17*'Anexo 5'!$D$10,0)</f>
        <v>0</v>
      </c>
      <c r="L17" s="33">
        <f>ROUND('Anexo 15'!L17*'Anexo 5'!$D$10,0)</f>
        <v>0</v>
      </c>
      <c r="M17" s="33">
        <f>ROUND('Anexo 15'!M17*'Anexo 5'!$D$10,0)</f>
        <v>0</v>
      </c>
      <c r="N17" s="33">
        <f>ROUND('Anexo 15'!N17*'Anexo 5'!$D$10,0)</f>
        <v>0</v>
      </c>
      <c r="O17" s="33">
        <f>ROUND('Anexo 15'!O17*'Anexo 5'!$D$10,0)</f>
        <v>0</v>
      </c>
      <c r="P17" s="33">
        <f>ROUND('Anexo 15'!P17*'Anexo 5'!$D$10,0)</f>
        <v>0</v>
      </c>
      <c r="Q17" s="33">
        <f>ROUND('Anexo 15'!Q17*'Anexo 5'!$D$10,0)</f>
        <v>0</v>
      </c>
      <c r="R17" s="33">
        <f>ROUND('Anexo 15'!R17*'Anexo 5'!$D$10,0)</f>
        <v>0</v>
      </c>
      <c r="S17" s="33">
        <f>ROUND('Anexo 15'!S17*'Anexo 5'!$D$10,0)</f>
        <v>0</v>
      </c>
      <c r="T17" s="33">
        <f>ROUND('Anexo 15'!T17*'Anexo 5'!$D$10,0)</f>
        <v>0</v>
      </c>
      <c r="U17" s="33">
        <f>ROUND('Anexo 15'!U17*'Anexo 5'!$D$10,0)</f>
        <v>0</v>
      </c>
      <c r="V17" s="33">
        <f>ROUND('Anexo 15'!V17*'Anexo 5'!$D$10,0)</f>
        <v>0</v>
      </c>
      <c r="W17" s="33">
        <f>ROUND('Anexo 15'!W17*'Anexo 5'!$D$10,0)</f>
        <v>0</v>
      </c>
      <c r="X17" s="33">
        <f>ROUND('Anexo 15'!X17*'Anexo 5'!$D$10,0)</f>
        <v>0</v>
      </c>
      <c r="Y17" s="33">
        <f>ROUND('Anexo 15'!Y17*'Anexo 5'!$D$10,0)</f>
        <v>0</v>
      </c>
      <c r="Z17" s="33">
        <f>ROUND('Anexo 15'!Z17*'Anexo 5'!$D$10,0)</f>
        <v>0</v>
      </c>
      <c r="AA17" s="41">
        <f t="shared" si="0"/>
        <v>0</v>
      </c>
      <c r="AB17" s="23">
        <v>6</v>
      </c>
      <c r="AC17" s="102"/>
      <c r="AD17" s="48"/>
    </row>
    <row r="18" spans="1:30" ht="15.75" thickBot="1" x14ac:dyDescent="0.3">
      <c r="A18" s="99">
        <v>47604</v>
      </c>
      <c r="B18" s="18" t="s">
        <v>5</v>
      </c>
      <c r="C18" s="33">
        <f>ROUND('Anexo 15'!C18*'Anexo 5'!$D$10,0)</f>
        <v>0</v>
      </c>
      <c r="D18" s="33">
        <f>ROUND('Anexo 15'!D18*'Anexo 5'!$D$10,0)</f>
        <v>0</v>
      </c>
      <c r="E18" s="33">
        <f>ROUND('Anexo 15'!E18*'Anexo 5'!$D$10,0)</f>
        <v>0</v>
      </c>
      <c r="F18" s="33">
        <f>ROUND('Anexo 15'!F18*'Anexo 5'!$D$10,0)</f>
        <v>0</v>
      </c>
      <c r="G18" s="33">
        <f>ROUND('Anexo 15'!G18*'Anexo 5'!$D$10,0)</f>
        <v>0</v>
      </c>
      <c r="H18" s="33">
        <f>ROUND('Anexo 15'!H18*'Anexo 5'!$D$10,0)</f>
        <v>0</v>
      </c>
      <c r="I18" s="33">
        <f>ROUND('Anexo 15'!I18*'Anexo 5'!$D$10,0)</f>
        <v>0</v>
      </c>
      <c r="J18" s="33">
        <f>ROUND('Anexo 15'!J18*'Anexo 5'!$D$10,0)</f>
        <v>0</v>
      </c>
      <c r="K18" s="33">
        <f>ROUND('Anexo 15'!K18*'Anexo 5'!$D$10,0)</f>
        <v>0</v>
      </c>
      <c r="L18" s="33">
        <f>ROUND('Anexo 15'!L18*'Anexo 5'!$D$10,0)</f>
        <v>0</v>
      </c>
      <c r="M18" s="33">
        <f>ROUND('Anexo 15'!M18*'Anexo 5'!$D$10,0)</f>
        <v>0</v>
      </c>
      <c r="N18" s="33">
        <f>ROUND('Anexo 15'!N18*'Anexo 5'!$D$10,0)</f>
        <v>0</v>
      </c>
      <c r="O18" s="33">
        <f>ROUND('Anexo 15'!O18*'Anexo 5'!$D$10,0)</f>
        <v>0</v>
      </c>
      <c r="P18" s="33">
        <f>ROUND('Anexo 15'!P18*'Anexo 5'!$D$10,0)</f>
        <v>0</v>
      </c>
      <c r="Q18" s="33">
        <f>ROUND('Anexo 15'!Q18*'Anexo 5'!$D$10,0)</f>
        <v>0</v>
      </c>
      <c r="R18" s="33">
        <f>ROUND('Anexo 15'!R18*'Anexo 5'!$D$10,0)</f>
        <v>0</v>
      </c>
      <c r="S18" s="33">
        <f>ROUND('Anexo 15'!S18*'Anexo 5'!$D$10,0)</f>
        <v>0</v>
      </c>
      <c r="T18" s="33">
        <f>ROUND('Anexo 15'!T18*'Anexo 5'!$D$10,0)</f>
        <v>0</v>
      </c>
      <c r="U18" s="33">
        <f>ROUND('Anexo 15'!U18*'Anexo 5'!$D$10,0)</f>
        <v>0</v>
      </c>
      <c r="V18" s="33">
        <f>ROUND('Anexo 15'!V18*'Anexo 5'!$D$10,0)</f>
        <v>0</v>
      </c>
      <c r="W18" s="33">
        <f>ROUND('Anexo 15'!W18*'Anexo 5'!$D$10,0)</f>
        <v>0</v>
      </c>
      <c r="X18" s="33">
        <f>ROUND('Anexo 15'!X18*'Anexo 5'!$D$10,0)</f>
        <v>0</v>
      </c>
      <c r="Y18" s="33">
        <f>ROUND('Anexo 15'!Y18*'Anexo 5'!$D$10,0)</f>
        <v>0</v>
      </c>
      <c r="Z18" s="33">
        <f>ROUND('Anexo 15'!Z18*'Anexo 5'!$D$10,0)</f>
        <v>0</v>
      </c>
      <c r="AA18" s="35">
        <f t="shared" si="0"/>
        <v>0</v>
      </c>
      <c r="AB18" s="19">
        <v>22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ROUND('Anexo 15'!C19*'Anexo 5'!$D$10,0)</f>
        <v>0</v>
      </c>
      <c r="D19" s="33">
        <f>ROUND('Anexo 15'!D19*'Anexo 5'!$D$10,0)</f>
        <v>0</v>
      </c>
      <c r="E19" s="33">
        <f>ROUND('Anexo 15'!E19*'Anexo 5'!$D$10,0)</f>
        <v>0</v>
      </c>
      <c r="F19" s="33">
        <f>ROUND('Anexo 15'!F19*'Anexo 5'!$D$10,0)</f>
        <v>0</v>
      </c>
      <c r="G19" s="33">
        <f>ROUND('Anexo 15'!G19*'Anexo 5'!$D$10,0)</f>
        <v>0</v>
      </c>
      <c r="H19" s="33">
        <f>ROUND('Anexo 15'!H19*'Anexo 5'!$D$10,0)</f>
        <v>0</v>
      </c>
      <c r="I19" s="33">
        <f>ROUND('Anexo 15'!I19*'Anexo 5'!$D$10,0)</f>
        <v>0</v>
      </c>
      <c r="J19" s="33">
        <f>ROUND('Anexo 15'!J19*'Anexo 5'!$D$10,0)</f>
        <v>0</v>
      </c>
      <c r="K19" s="33">
        <f>ROUND('Anexo 15'!K19*'Anexo 5'!$D$10,0)</f>
        <v>0</v>
      </c>
      <c r="L19" s="33">
        <f>ROUND('Anexo 15'!L19*'Anexo 5'!$D$10,0)</f>
        <v>0</v>
      </c>
      <c r="M19" s="33">
        <f>ROUND('Anexo 15'!M19*'Anexo 5'!$D$10,0)</f>
        <v>0</v>
      </c>
      <c r="N19" s="33">
        <f>ROUND('Anexo 15'!N19*'Anexo 5'!$D$10,0)</f>
        <v>0</v>
      </c>
      <c r="O19" s="33">
        <f>ROUND('Anexo 15'!O19*'Anexo 5'!$D$10,0)</f>
        <v>0</v>
      </c>
      <c r="P19" s="33">
        <f>ROUND('Anexo 15'!P19*'Anexo 5'!$D$10,0)</f>
        <v>0</v>
      </c>
      <c r="Q19" s="33">
        <f>ROUND('Anexo 15'!Q19*'Anexo 5'!$D$10,0)</f>
        <v>0</v>
      </c>
      <c r="R19" s="33">
        <f>ROUND('Anexo 15'!R19*'Anexo 5'!$D$10,0)</f>
        <v>0</v>
      </c>
      <c r="S19" s="33">
        <f>ROUND('Anexo 15'!S19*'Anexo 5'!$D$10,0)</f>
        <v>0</v>
      </c>
      <c r="T19" s="33">
        <f>ROUND('Anexo 15'!T19*'Anexo 5'!$D$10,0)</f>
        <v>0</v>
      </c>
      <c r="U19" s="33">
        <f>ROUND('Anexo 15'!U19*'Anexo 5'!$D$10,0)</f>
        <v>0</v>
      </c>
      <c r="V19" s="33">
        <f>ROUND('Anexo 15'!V19*'Anexo 5'!$D$10,0)</f>
        <v>0</v>
      </c>
      <c r="W19" s="33">
        <f>ROUND('Anexo 15'!W19*'Anexo 5'!$D$10,0)</f>
        <v>0</v>
      </c>
      <c r="X19" s="33">
        <f>ROUND('Anexo 15'!X19*'Anexo 5'!$D$10,0)</f>
        <v>0</v>
      </c>
      <c r="Y19" s="33">
        <f>ROUND('Anexo 15'!Y19*'Anexo 5'!$D$10,0)</f>
        <v>0</v>
      </c>
      <c r="Z19" s="33">
        <f>ROUND('Anexo 15'!Z19*'Anexo 5'!$D$10,0)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ROUND('Anexo 15'!C20*'Anexo 5'!$D$10,0)</f>
        <v>0</v>
      </c>
      <c r="D20" s="33">
        <f>ROUND('Anexo 15'!D20*'Anexo 5'!$D$10,0)</f>
        <v>0</v>
      </c>
      <c r="E20" s="33">
        <f>ROUND('Anexo 15'!E20*'Anexo 5'!$D$10,0)</f>
        <v>0</v>
      </c>
      <c r="F20" s="33">
        <f>ROUND('Anexo 15'!F20*'Anexo 5'!$D$10,0)</f>
        <v>0</v>
      </c>
      <c r="G20" s="33">
        <f>ROUND('Anexo 15'!G20*'Anexo 5'!$D$10,0)</f>
        <v>0</v>
      </c>
      <c r="H20" s="33">
        <f>ROUND('Anexo 15'!H20*'Anexo 5'!$D$10,0)</f>
        <v>0</v>
      </c>
      <c r="I20" s="33">
        <f>ROUND('Anexo 15'!I20*'Anexo 5'!$D$10,0)</f>
        <v>0</v>
      </c>
      <c r="J20" s="33">
        <f>ROUND('Anexo 15'!J20*'Anexo 5'!$D$10,0)</f>
        <v>0</v>
      </c>
      <c r="K20" s="33">
        <f>ROUND('Anexo 15'!K20*'Anexo 5'!$D$10,0)</f>
        <v>0</v>
      </c>
      <c r="L20" s="33">
        <f>ROUND('Anexo 15'!L20*'Anexo 5'!$D$10,0)</f>
        <v>0</v>
      </c>
      <c r="M20" s="33">
        <f>ROUND('Anexo 15'!M20*'Anexo 5'!$D$10,0)</f>
        <v>0</v>
      </c>
      <c r="N20" s="33">
        <f>ROUND('Anexo 15'!N20*'Anexo 5'!$D$10,0)</f>
        <v>0</v>
      </c>
      <c r="O20" s="33">
        <f>ROUND('Anexo 15'!O20*'Anexo 5'!$D$10,0)</f>
        <v>0</v>
      </c>
      <c r="P20" s="33">
        <f>ROUND('Anexo 15'!P20*'Anexo 5'!$D$10,0)</f>
        <v>0</v>
      </c>
      <c r="Q20" s="33">
        <f>ROUND('Anexo 15'!Q20*'Anexo 5'!$D$10,0)</f>
        <v>0</v>
      </c>
      <c r="R20" s="33">
        <f>ROUND('Anexo 15'!R20*'Anexo 5'!$D$10,0)</f>
        <v>0</v>
      </c>
      <c r="S20" s="33">
        <f>ROUND('Anexo 15'!S20*'Anexo 5'!$D$10,0)</f>
        <v>0</v>
      </c>
      <c r="T20" s="33">
        <f>ROUND('Anexo 15'!T20*'Anexo 5'!$D$10,0)</f>
        <v>0</v>
      </c>
      <c r="U20" s="33">
        <f>ROUND('Anexo 15'!U20*'Anexo 5'!$D$10,0)</f>
        <v>0</v>
      </c>
      <c r="V20" s="33">
        <f>ROUND('Anexo 15'!V20*'Anexo 5'!$D$10,0)</f>
        <v>0</v>
      </c>
      <c r="W20" s="33">
        <f>ROUND('Anexo 15'!W20*'Anexo 5'!$D$10,0)</f>
        <v>0</v>
      </c>
      <c r="X20" s="33">
        <f>ROUND('Anexo 15'!X20*'Anexo 5'!$D$10,0)</f>
        <v>0</v>
      </c>
      <c r="Y20" s="33">
        <f>ROUND('Anexo 15'!Y20*'Anexo 5'!$D$10,0)</f>
        <v>0</v>
      </c>
      <c r="Z20" s="33">
        <f>ROUND('Anexo 15'!Z20*'Anexo 5'!$D$10,0)</f>
        <v>0</v>
      </c>
      <c r="AA20" s="41">
        <f t="shared" si="0"/>
        <v>0</v>
      </c>
      <c r="AB20" s="23">
        <v>5</v>
      </c>
      <c r="AC20" s="102"/>
      <c r="AD20" s="48"/>
    </row>
    <row r="21" spans="1:30" ht="15.75" thickBot="1" x14ac:dyDescent="0.3">
      <c r="A21" s="99">
        <v>47635</v>
      </c>
      <c r="B21" s="18" t="s">
        <v>5</v>
      </c>
      <c r="C21" s="33">
        <f>ROUND('Anexo 15'!C21*'Anexo 5'!$D$10,0)</f>
        <v>0</v>
      </c>
      <c r="D21" s="33">
        <f>ROUND('Anexo 15'!D21*'Anexo 5'!$D$10,0)</f>
        <v>0</v>
      </c>
      <c r="E21" s="33">
        <f>ROUND('Anexo 15'!E21*'Anexo 5'!$D$10,0)</f>
        <v>0</v>
      </c>
      <c r="F21" s="33">
        <f>ROUND('Anexo 15'!F21*'Anexo 5'!$D$10,0)</f>
        <v>0</v>
      </c>
      <c r="G21" s="33">
        <f>ROUND('Anexo 15'!G21*'Anexo 5'!$D$10,0)</f>
        <v>0</v>
      </c>
      <c r="H21" s="33">
        <f>ROUND('Anexo 15'!H21*'Anexo 5'!$D$10,0)</f>
        <v>0</v>
      </c>
      <c r="I21" s="33">
        <f>ROUND('Anexo 15'!I21*'Anexo 5'!$D$10,0)</f>
        <v>0</v>
      </c>
      <c r="J21" s="33">
        <f>ROUND('Anexo 15'!J21*'Anexo 5'!$D$10,0)</f>
        <v>0</v>
      </c>
      <c r="K21" s="33">
        <f>ROUND('Anexo 15'!K21*'Anexo 5'!$D$10,0)</f>
        <v>0</v>
      </c>
      <c r="L21" s="33">
        <f>ROUND('Anexo 15'!L21*'Anexo 5'!$D$10,0)</f>
        <v>0</v>
      </c>
      <c r="M21" s="33">
        <f>ROUND('Anexo 15'!M21*'Anexo 5'!$D$10,0)</f>
        <v>0</v>
      </c>
      <c r="N21" s="33">
        <f>ROUND('Anexo 15'!N21*'Anexo 5'!$D$10,0)</f>
        <v>0</v>
      </c>
      <c r="O21" s="33">
        <f>ROUND('Anexo 15'!O21*'Anexo 5'!$D$10,0)</f>
        <v>0</v>
      </c>
      <c r="P21" s="33">
        <f>ROUND('Anexo 15'!P21*'Anexo 5'!$D$10,0)</f>
        <v>0</v>
      </c>
      <c r="Q21" s="33">
        <f>ROUND('Anexo 15'!Q21*'Anexo 5'!$D$10,0)</f>
        <v>0</v>
      </c>
      <c r="R21" s="33">
        <f>ROUND('Anexo 15'!R21*'Anexo 5'!$D$10,0)</f>
        <v>0</v>
      </c>
      <c r="S21" s="33">
        <f>ROUND('Anexo 15'!S21*'Anexo 5'!$D$10,0)</f>
        <v>0</v>
      </c>
      <c r="T21" s="33">
        <f>ROUND('Anexo 15'!T21*'Anexo 5'!$D$10,0)</f>
        <v>0</v>
      </c>
      <c r="U21" s="33">
        <f>ROUND('Anexo 15'!U21*'Anexo 5'!$D$10,0)</f>
        <v>0</v>
      </c>
      <c r="V21" s="33">
        <f>ROUND('Anexo 15'!V21*'Anexo 5'!$D$10,0)</f>
        <v>0</v>
      </c>
      <c r="W21" s="33">
        <f>ROUND('Anexo 15'!W21*'Anexo 5'!$D$10,0)</f>
        <v>0</v>
      </c>
      <c r="X21" s="33">
        <f>ROUND('Anexo 15'!X21*'Anexo 5'!$D$10,0)</f>
        <v>0</v>
      </c>
      <c r="Y21" s="33">
        <f>ROUND('Anexo 15'!Y21*'Anexo 5'!$D$10,0)</f>
        <v>0</v>
      </c>
      <c r="Z21" s="33">
        <f>ROUND('Anexo 15'!Z21*'Anexo 5'!$D$10,0)</f>
        <v>0</v>
      </c>
      <c r="AA21" s="35">
        <f t="shared" si="0"/>
        <v>0</v>
      </c>
      <c r="AB21" s="19">
        <v>18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ROUND('Anexo 15'!C22*'Anexo 5'!$D$10,0)</f>
        <v>0</v>
      </c>
      <c r="D22" s="33">
        <f>ROUND('Anexo 15'!D22*'Anexo 5'!$D$10,0)</f>
        <v>0</v>
      </c>
      <c r="E22" s="33">
        <f>ROUND('Anexo 15'!E22*'Anexo 5'!$D$10,0)</f>
        <v>0</v>
      </c>
      <c r="F22" s="33">
        <f>ROUND('Anexo 15'!F22*'Anexo 5'!$D$10,0)</f>
        <v>0</v>
      </c>
      <c r="G22" s="33">
        <f>ROUND('Anexo 15'!G22*'Anexo 5'!$D$10,0)</f>
        <v>0</v>
      </c>
      <c r="H22" s="33">
        <f>ROUND('Anexo 15'!H22*'Anexo 5'!$D$10,0)</f>
        <v>0</v>
      </c>
      <c r="I22" s="33">
        <f>ROUND('Anexo 15'!I22*'Anexo 5'!$D$10,0)</f>
        <v>0</v>
      </c>
      <c r="J22" s="33">
        <f>ROUND('Anexo 15'!J22*'Anexo 5'!$D$10,0)</f>
        <v>0</v>
      </c>
      <c r="K22" s="33">
        <f>ROUND('Anexo 15'!K22*'Anexo 5'!$D$10,0)</f>
        <v>0</v>
      </c>
      <c r="L22" s="33">
        <f>ROUND('Anexo 15'!L22*'Anexo 5'!$D$10,0)</f>
        <v>0</v>
      </c>
      <c r="M22" s="33">
        <f>ROUND('Anexo 15'!M22*'Anexo 5'!$D$10,0)</f>
        <v>0</v>
      </c>
      <c r="N22" s="33">
        <f>ROUND('Anexo 15'!N22*'Anexo 5'!$D$10,0)</f>
        <v>0</v>
      </c>
      <c r="O22" s="33">
        <f>ROUND('Anexo 15'!O22*'Anexo 5'!$D$10,0)</f>
        <v>0</v>
      </c>
      <c r="P22" s="33">
        <f>ROUND('Anexo 15'!P22*'Anexo 5'!$D$10,0)</f>
        <v>0</v>
      </c>
      <c r="Q22" s="33">
        <f>ROUND('Anexo 15'!Q22*'Anexo 5'!$D$10,0)</f>
        <v>0</v>
      </c>
      <c r="R22" s="33">
        <f>ROUND('Anexo 15'!R22*'Anexo 5'!$D$10,0)</f>
        <v>0</v>
      </c>
      <c r="S22" s="33">
        <f>ROUND('Anexo 15'!S22*'Anexo 5'!$D$10,0)</f>
        <v>0</v>
      </c>
      <c r="T22" s="33">
        <f>ROUND('Anexo 15'!T22*'Anexo 5'!$D$10,0)</f>
        <v>0</v>
      </c>
      <c r="U22" s="33">
        <f>ROUND('Anexo 15'!U22*'Anexo 5'!$D$10,0)</f>
        <v>0</v>
      </c>
      <c r="V22" s="33">
        <f>ROUND('Anexo 15'!V22*'Anexo 5'!$D$10,0)</f>
        <v>0</v>
      </c>
      <c r="W22" s="33">
        <f>ROUND('Anexo 15'!W22*'Anexo 5'!$D$10,0)</f>
        <v>0</v>
      </c>
      <c r="X22" s="33">
        <f>ROUND('Anexo 15'!X22*'Anexo 5'!$D$10,0)</f>
        <v>0</v>
      </c>
      <c r="Y22" s="33">
        <f>ROUND('Anexo 15'!Y22*'Anexo 5'!$D$10,0)</f>
        <v>0</v>
      </c>
      <c r="Z22" s="33">
        <f>ROUND('Anexo 15'!Z22*'Anexo 5'!$D$10,0)</f>
        <v>0</v>
      </c>
      <c r="AA22" s="38">
        <f t="shared" si="0"/>
        <v>0</v>
      </c>
      <c r="AB22" s="21">
        <v>5</v>
      </c>
      <c r="AC22" s="101"/>
      <c r="AD22" s="47"/>
    </row>
    <row r="23" spans="1:30" ht="15.75" thickBot="1" x14ac:dyDescent="0.3">
      <c r="A23" s="99"/>
      <c r="B23" s="22" t="s">
        <v>3</v>
      </c>
      <c r="C23" s="33">
        <f>ROUND('Anexo 15'!C23*'Anexo 5'!$D$10,0)</f>
        <v>0</v>
      </c>
      <c r="D23" s="33">
        <f>ROUND('Anexo 15'!D23*'Anexo 5'!$D$10,0)</f>
        <v>0</v>
      </c>
      <c r="E23" s="33">
        <f>ROUND('Anexo 15'!E23*'Anexo 5'!$D$10,0)</f>
        <v>0</v>
      </c>
      <c r="F23" s="33">
        <f>ROUND('Anexo 15'!F23*'Anexo 5'!$D$10,0)</f>
        <v>0</v>
      </c>
      <c r="G23" s="33">
        <f>ROUND('Anexo 15'!G23*'Anexo 5'!$D$10,0)</f>
        <v>0</v>
      </c>
      <c r="H23" s="33">
        <f>ROUND('Anexo 15'!H23*'Anexo 5'!$D$10,0)</f>
        <v>0</v>
      </c>
      <c r="I23" s="33">
        <f>ROUND('Anexo 15'!I23*'Anexo 5'!$D$10,0)</f>
        <v>0</v>
      </c>
      <c r="J23" s="33">
        <f>ROUND('Anexo 15'!J23*'Anexo 5'!$D$10,0)</f>
        <v>0</v>
      </c>
      <c r="K23" s="33">
        <f>ROUND('Anexo 15'!K23*'Anexo 5'!$D$10,0)</f>
        <v>0</v>
      </c>
      <c r="L23" s="33">
        <f>ROUND('Anexo 15'!L23*'Anexo 5'!$D$10,0)</f>
        <v>0</v>
      </c>
      <c r="M23" s="33">
        <f>ROUND('Anexo 15'!M23*'Anexo 5'!$D$10,0)</f>
        <v>0</v>
      </c>
      <c r="N23" s="33">
        <f>ROUND('Anexo 15'!N23*'Anexo 5'!$D$10,0)</f>
        <v>0</v>
      </c>
      <c r="O23" s="33">
        <f>ROUND('Anexo 15'!O23*'Anexo 5'!$D$10,0)</f>
        <v>0</v>
      </c>
      <c r="P23" s="33">
        <f>ROUND('Anexo 15'!P23*'Anexo 5'!$D$10,0)</f>
        <v>0</v>
      </c>
      <c r="Q23" s="33">
        <f>ROUND('Anexo 15'!Q23*'Anexo 5'!$D$10,0)</f>
        <v>0</v>
      </c>
      <c r="R23" s="33">
        <f>ROUND('Anexo 15'!R23*'Anexo 5'!$D$10,0)</f>
        <v>0</v>
      </c>
      <c r="S23" s="33">
        <f>ROUND('Anexo 15'!S23*'Anexo 5'!$D$10,0)</f>
        <v>0</v>
      </c>
      <c r="T23" s="33">
        <f>ROUND('Anexo 15'!T23*'Anexo 5'!$D$10,0)</f>
        <v>0</v>
      </c>
      <c r="U23" s="33">
        <f>ROUND('Anexo 15'!U23*'Anexo 5'!$D$10,0)</f>
        <v>0</v>
      </c>
      <c r="V23" s="33">
        <f>ROUND('Anexo 15'!V23*'Anexo 5'!$D$10,0)</f>
        <v>0</v>
      </c>
      <c r="W23" s="33">
        <f>ROUND('Anexo 15'!W23*'Anexo 5'!$D$10,0)</f>
        <v>0</v>
      </c>
      <c r="X23" s="33">
        <f>ROUND('Anexo 15'!X23*'Anexo 5'!$D$10,0)</f>
        <v>0</v>
      </c>
      <c r="Y23" s="33">
        <f>ROUND('Anexo 15'!Y23*'Anexo 5'!$D$10,0)</f>
        <v>0</v>
      </c>
      <c r="Z23" s="33">
        <f>ROUND('Anexo 15'!Z23*'Anexo 5'!$D$10,0)</f>
        <v>0</v>
      </c>
      <c r="AA23" s="41">
        <f t="shared" si="0"/>
        <v>0</v>
      </c>
      <c r="AB23" s="23">
        <v>7</v>
      </c>
      <c r="AC23" s="102"/>
      <c r="AD23" s="48"/>
    </row>
    <row r="24" spans="1:30" ht="15.75" thickBot="1" x14ac:dyDescent="0.3">
      <c r="A24" s="99">
        <v>47665</v>
      </c>
      <c r="B24" s="18" t="s">
        <v>5</v>
      </c>
      <c r="C24" s="33">
        <f>ROUND('Anexo 15'!C24*'Anexo 5'!$D$10,0)</f>
        <v>0</v>
      </c>
      <c r="D24" s="33">
        <f>ROUND('Anexo 15'!D24*'Anexo 5'!$D$10,0)</f>
        <v>0</v>
      </c>
      <c r="E24" s="33">
        <f>ROUND('Anexo 15'!E24*'Anexo 5'!$D$10,0)</f>
        <v>0</v>
      </c>
      <c r="F24" s="33">
        <f>ROUND('Anexo 15'!F24*'Anexo 5'!$D$10,0)</f>
        <v>0</v>
      </c>
      <c r="G24" s="33">
        <f>ROUND('Anexo 15'!G24*'Anexo 5'!$D$10,0)</f>
        <v>0</v>
      </c>
      <c r="H24" s="33">
        <f>ROUND('Anexo 15'!H24*'Anexo 5'!$D$10,0)</f>
        <v>0</v>
      </c>
      <c r="I24" s="33">
        <f>ROUND('Anexo 15'!I24*'Anexo 5'!$D$10,0)</f>
        <v>0</v>
      </c>
      <c r="J24" s="33">
        <f>ROUND('Anexo 15'!J24*'Anexo 5'!$D$10,0)</f>
        <v>0</v>
      </c>
      <c r="K24" s="33">
        <f>ROUND('Anexo 15'!K24*'Anexo 5'!$D$10,0)</f>
        <v>0</v>
      </c>
      <c r="L24" s="33">
        <f>ROUND('Anexo 15'!L24*'Anexo 5'!$D$10,0)</f>
        <v>0</v>
      </c>
      <c r="M24" s="33">
        <f>ROUND('Anexo 15'!M24*'Anexo 5'!$D$10,0)</f>
        <v>0</v>
      </c>
      <c r="N24" s="33">
        <f>ROUND('Anexo 15'!N24*'Anexo 5'!$D$10,0)</f>
        <v>0</v>
      </c>
      <c r="O24" s="33">
        <f>ROUND('Anexo 15'!O24*'Anexo 5'!$D$10,0)</f>
        <v>0</v>
      </c>
      <c r="P24" s="33">
        <f>ROUND('Anexo 15'!P24*'Anexo 5'!$D$10,0)</f>
        <v>0</v>
      </c>
      <c r="Q24" s="33">
        <f>ROUND('Anexo 15'!Q24*'Anexo 5'!$D$10,0)</f>
        <v>0</v>
      </c>
      <c r="R24" s="33">
        <f>ROUND('Anexo 15'!R24*'Anexo 5'!$D$10,0)</f>
        <v>0</v>
      </c>
      <c r="S24" s="33">
        <f>ROUND('Anexo 15'!S24*'Anexo 5'!$D$10,0)</f>
        <v>0</v>
      </c>
      <c r="T24" s="33">
        <f>ROUND('Anexo 15'!T24*'Anexo 5'!$D$10,0)</f>
        <v>0</v>
      </c>
      <c r="U24" s="33">
        <f>ROUND('Anexo 15'!U24*'Anexo 5'!$D$10,0)</f>
        <v>0</v>
      </c>
      <c r="V24" s="33">
        <f>ROUND('Anexo 15'!V24*'Anexo 5'!$D$10,0)</f>
        <v>0</v>
      </c>
      <c r="W24" s="33">
        <f>ROUND('Anexo 15'!W24*'Anexo 5'!$D$10,0)</f>
        <v>0</v>
      </c>
      <c r="X24" s="33">
        <f>ROUND('Anexo 15'!X24*'Anexo 5'!$D$10,0)</f>
        <v>0</v>
      </c>
      <c r="Y24" s="33">
        <f>ROUND('Anexo 15'!Y24*'Anexo 5'!$D$10,0)</f>
        <v>0</v>
      </c>
      <c r="Z24" s="33">
        <f>ROUND('Anexo 15'!Z24*'Anexo 5'!$D$10,0)</f>
        <v>0</v>
      </c>
      <c r="AA24" s="35">
        <f t="shared" si="0"/>
        <v>0</v>
      </c>
      <c r="AB24" s="19">
        <v>22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ROUND('Anexo 15'!C25*'Anexo 5'!$D$10,0)</f>
        <v>0</v>
      </c>
      <c r="D25" s="33">
        <f>ROUND('Anexo 15'!D25*'Anexo 5'!$D$10,0)</f>
        <v>0</v>
      </c>
      <c r="E25" s="33">
        <f>ROUND('Anexo 15'!E25*'Anexo 5'!$D$10,0)</f>
        <v>0</v>
      </c>
      <c r="F25" s="33">
        <f>ROUND('Anexo 15'!F25*'Anexo 5'!$D$10,0)</f>
        <v>0</v>
      </c>
      <c r="G25" s="33">
        <f>ROUND('Anexo 15'!G25*'Anexo 5'!$D$10,0)</f>
        <v>0</v>
      </c>
      <c r="H25" s="33">
        <f>ROUND('Anexo 15'!H25*'Anexo 5'!$D$10,0)</f>
        <v>0</v>
      </c>
      <c r="I25" s="33">
        <f>ROUND('Anexo 15'!I25*'Anexo 5'!$D$10,0)</f>
        <v>0</v>
      </c>
      <c r="J25" s="33">
        <f>ROUND('Anexo 15'!J25*'Anexo 5'!$D$10,0)</f>
        <v>0</v>
      </c>
      <c r="K25" s="33">
        <f>ROUND('Anexo 15'!K25*'Anexo 5'!$D$10,0)</f>
        <v>0</v>
      </c>
      <c r="L25" s="33">
        <f>ROUND('Anexo 15'!L25*'Anexo 5'!$D$10,0)</f>
        <v>0</v>
      </c>
      <c r="M25" s="33">
        <f>ROUND('Anexo 15'!M25*'Anexo 5'!$D$10,0)</f>
        <v>0</v>
      </c>
      <c r="N25" s="33">
        <f>ROUND('Anexo 15'!N25*'Anexo 5'!$D$10,0)</f>
        <v>0</v>
      </c>
      <c r="O25" s="33">
        <f>ROUND('Anexo 15'!O25*'Anexo 5'!$D$10,0)</f>
        <v>0</v>
      </c>
      <c r="P25" s="33">
        <f>ROUND('Anexo 15'!P25*'Anexo 5'!$D$10,0)</f>
        <v>0</v>
      </c>
      <c r="Q25" s="33">
        <f>ROUND('Anexo 15'!Q25*'Anexo 5'!$D$10,0)</f>
        <v>0</v>
      </c>
      <c r="R25" s="33">
        <f>ROUND('Anexo 15'!R25*'Anexo 5'!$D$10,0)</f>
        <v>0</v>
      </c>
      <c r="S25" s="33">
        <f>ROUND('Anexo 15'!S25*'Anexo 5'!$D$10,0)</f>
        <v>0</v>
      </c>
      <c r="T25" s="33">
        <f>ROUND('Anexo 15'!T25*'Anexo 5'!$D$10,0)</f>
        <v>0</v>
      </c>
      <c r="U25" s="33">
        <f>ROUND('Anexo 15'!U25*'Anexo 5'!$D$10,0)</f>
        <v>0</v>
      </c>
      <c r="V25" s="33">
        <f>ROUND('Anexo 15'!V25*'Anexo 5'!$D$10,0)</f>
        <v>0</v>
      </c>
      <c r="W25" s="33">
        <f>ROUND('Anexo 15'!W25*'Anexo 5'!$D$10,0)</f>
        <v>0</v>
      </c>
      <c r="X25" s="33">
        <f>ROUND('Anexo 15'!X25*'Anexo 5'!$D$10,0)</f>
        <v>0</v>
      </c>
      <c r="Y25" s="33">
        <f>ROUND('Anexo 15'!Y25*'Anexo 5'!$D$10,0)</f>
        <v>0</v>
      </c>
      <c r="Z25" s="33">
        <f>ROUND('Anexo 15'!Z25*'Anexo 5'!$D$10,0)</f>
        <v>0</v>
      </c>
      <c r="AA25" s="38">
        <f t="shared" si="0"/>
        <v>0</v>
      </c>
      <c r="AB25" s="21">
        <v>3</v>
      </c>
      <c r="AC25" s="101"/>
      <c r="AD25" s="47"/>
    </row>
    <row r="26" spans="1:30" ht="15.75" thickBot="1" x14ac:dyDescent="0.3">
      <c r="A26" s="99"/>
      <c r="B26" s="22" t="s">
        <v>3</v>
      </c>
      <c r="C26" s="33">
        <f>ROUND('Anexo 15'!C26*'Anexo 5'!$D$10,0)</f>
        <v>0</v>
      </c>
      <c r="D26" s="33">
        <f>ROUND('Anexo 15'!D26*'Anexo 5'!$D$10,0)</f>
        <v>0</v>
      </c>
      <c r="E26" s="33">
        <f>ROUND('Anexo 15'!E26*'Anexo 5'!$D$10,0)</f>
        <v>0</v>
      </c>
      <c r="F26" s="33">
        <f>ROUND('Anexo 15'!F26*'Anexo 5'!$D$10,0)</f>
        <v>0</v>
      </c>
      <c r="G26" s="33">
        <f>ROUND('Anexo 15'!G26*'Anexo 5'!$D$10,0)</f>
        <v>0</v>
      </c>
      <c r="H26" s="33">
        <f>ROUND('Anexo 15'!H26*'Anexo 5'!$D$10,0)</f>
        <v>0</v>
      </c>
      <c r="I26" s="33">
        <f>ROUND('Anexo 15'!I26*'Anexo 5'!$D$10,0)</f>
        <v>0</v>
      </c>
      <c r="J26" s="33">
        <f>ROUND('Anexo 15'!J26*'Anexo 5'!$D$10,0)</f>
        <v>0</v>
      </c>
      <c r="K26" s="33">
        <f>ROUND('Anexo 15'!K26*'Anexo 5'!$D$10,0)</f>
        <v>0</v>
      </c>
      <c r="L26" s="33">
        <f>ROUND('Anexo 15'!L26*'Anexo 5'!$D$10,0)</f>
        <v>0</v>
      </c>
      <c r="M26" s="33">
        <f>ROUND('Anexo 15'!M26*'Anexo 5'!$D$10,0)</f>
        <v>0</v>
      </c>
      <c r="N26" s="33">
        <f>ROUND('Anexo 15'!N26*'Anexo 5'!$D$10,0)</f>
        <v>0</v>
      </c>
      <c r="O26" s="33">
        <f>ROUND('Anexo 15'!O26*'Anexo 5'!$D$10,0)</f>
        <v>0</v>
      </c>
      <c r="P26" s="33">
        <f>ROUND('Anexo 15'!P26*'Anexo 5'!$D$10,0)</f>
        <v>0</v>
      </c>
      <c r="Q26" s="33">
        <f>ROUND('Anexo 15'!Q26*'Anexo 5'!$D$10,0)</f>
        <v>0</v>
      </c>
      <c r="R26" s="33">
        <f>ROUND('Anexo 15'!R26*'Anexo 5'!$D$10,0)</f>
        <v>0</v>
      </c>
      <c r="S26" s="33">
        <f>ROUND('Anexo 15'!S26*'Anexo 5'!$D$10,0)</f>
        <v>0</v>
      </c>
      <c r="T26" s="33">
        <f>ROUND('Anexo 15'!T26*'Anexo 5'!$D$10,0)</f>
        <v>0</v>
      </c>
      <c r="U26" s="33">
        <f>ROUND('Anexo 15'!U26*'Anexo 5'!$D$10,0)</f>
        <v>0</v>
      </c>
      <c r="V26" s="33">
        <f>ROUND('Anexo 15'!V26*'Anexo 5'!$D$10,0)</f>
        <v>0</v>
      </c>
      <c r="W26" s="33">
        <f>ROUND('Anexo 15'!W26*'Anexo 5'!$D$10,0)</f>
        <v>0</v>
      </c>
      <c r="X26" s="33">
        <f>ROUND('Anexo 15'!X26*'Anexo 5'!$D$10,0)</f>
        <v>0</v>
      </c>
      <c r="Y26" s="33">
        <f>ROUND('Anexo 15'!Y26*'Anexo 5'!$D$10,0)</f>
        <v>0</v>
      </c>
      <c r="Z26" s="33">
        <f>ROUND('Anexo 15'!Z26*'Anexo 5'!$D$10,0)</f>
        <v>0</v>
      </c>
      <c r="AA26" s="41">
        <f t="shared" si="0"/>
        <v>0</v>
      </c>
      <c r="AB26" s="23">
        <v>6</v>
      </c>
      <c r="AC26" s="102"/>
      <c r="AD26" s="48"/>
    </row>
    <row r="27" spans="1:30" ht="15.75" thickBot="1" x14ac:dyDescent="0.3">
      <c r="A27" s="99">
        <v>47696</v>
      </c>
      <c r="B27" s="18" t="s">
        <v>5</v>
      </c>
      <c r="C27" s="33">
        <f>ROUND('Anexo 15'!C27*'Anexo 5'!$D$10,0)</f>
        <v>0</v>
      </c>
      <c r="D27" s="33">
        <f>ROUND('Anexo 15'!D27*'Anexo 5'!$D$10,0)</f>
        <v>0</v>
      </c>
      <c r="E27" s="33">
        <f>ROUND('Anexo 15'!E27*'Anexo 5'!$D$10,0)</f>
        <v>0</v>
      </c>
      <c r="F27" s="33">
        <f>ROUND('Anexo 15'!F27*'Anexo 5'!$D$10,0)</f>
        <v>0</v>
      </c>
      <c r="G27" s="33">
        <f>ROUND('Anexo 15'!G27*'Anexo 5'!$D$10,0)</f>
        <v>0</v>
      </c>
      <c r="H27" s="33">
        <f>ROUND('Anexo 15'!H27*'Anexo 5'!$D$10,0)</f>
        <v>0</v>
      </c>
      <c r="I27" s="33">
        <f>ROUND('Anexo 15'!I27*'Anexo 5'!$D$10,0)</f>
        <v>0</v>
      </c>
      <c r="J27" s="33">
        <f>ROUND('Anexo 15'!J27*'Anexo 5'!$D$10,0)</f>
        <v>0</v>
      </c>
      <c r="K27" s="33">
        <f>ROUND('Anexo 15'!K27*'Anexo 5'!$D$10,0)</f>
        <v>0</v>
      </c>
      <c r="L27" s="33">
        <f>ROUND('Anexo 15'!L27*'Anexo 5'!$D$10,0)</f>
        <v>0</v>
      </c>
      <c r="M27" s="33">
        <f>ROUND('Anexo 15'!M27*'Anexo 5'!$D$10,0)</f>
        <v>0</v>
      </c>
      <c r="N27" s="33">
        <f>ROUND('Anexo 15'!N27*'Anexo 5'!$D$10,0)</f>
        <v>0</v>
      </c>
      <c r="O27" s="33">
        <f>ROUND('Anexo 15'!O27*'Anexo 5'!$D$10,0)</f>
        <v>0</v>
      </c>
      <c r="P27" s="33">
        <f>ROUND('Anexo 15'!P27*'Anexo 5'!$D$10,0)</f>
        <v>0</v>
      </c>
      <c r="Q27" s="33">
        <f>ROUND('Anexo 15'!Q27*'Anexo 5'!$D$10,0)</f>
        <v>0</v>
      </c>
      <c r="R27" s="33">
        <f>ROUND('Anexo 15'!R27*'Anexo 5'!$D$10,0)</f>
        <v>0</v>
      </c>
      <c r="S27" s="33">
        <f>ROUND('Anexo 15'!S27*'Anexo 5'!$D$10,0)</f>
        <v>0</v>
      </c>
      <c r="T27" s="33">
        <f>ROUND('Anexo 15'!T27*'Anexo 5'!$D$10,0)</f>
        <v>0</v>
      </c>
      <c r="U27" s="33">
        <f>ROUND('Anexo 15'!U27*'Anexo 5'!$D$10,0)</f>
        <v>0</v>
      </c>
      <c r="V27" s="33">
        <f>ROUND('Anexo 15'!V27*'Anexo 5'!$D$10,0)</f>
        <v>0</v>
      </c>
      <c r="W27" s="33">
        <f>ROUND('Anexo 15'!W27*'Anexo 5'!$D$10,0)</f>
        <v>0</v>
      </c>
      <c r="X27" s="33">
        <f>ROUND('Anexo 15'!X27*'Anexo 5'!$D$10,0)</f>
        <v>0</v>
      </c>
      <c r="Y27" s="33">
        <f>ROUND('Anexo 15'!Y27*'Anexo 5'!$D$10,0)</f>
        <v>0</v>
      </c>
      <c r="Z27" s="33">
        <f>ROUND('Anexo 15'!Z27*'Anexo 5'!$D$10,0)</f>
        <v>0</v>
      </c>
      <c r="AA27" s="35">
        <f t="shared" si="0"/>
        <v>0</v>
      </c>
      <c r="AB27" s="19">
        <v>20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ROUND('Anexo 15'!C28*'Anexo 5'!$D$10,0)</f>
        <v>0</v>
      </c>
      <c r="D28" s="33">
        <f>ROUND('Anexo 15'!D28*'Anexo 5'!$D$10,0)</f>
        <v>0</v>
      </c>
      <c r="E28" s="33">
        <f>ROUND('Anexo 15'!E28*'Anexo 5'!$D$10,0)</f>
        <v>0</v>
      </c>
      <c r="F28" s="33">
        <f>ROUND('Anexo 15'!F28*'Anexo 5'!$D$10,0)</f>
        <v>0</v>
      </c>
      <c r="G28" s="33">
        <f>ROUND('Anexo 15'!G28*'Anexo 5'!$D$10,0)</f>
        <v>0</v>
      </c>
      <c r="H28" s="33">
        <f>ROUND('Anexo 15'!H28*'Anexo 5'!$D$10,0)</f>
        <v>0</v>
      </c>
      <c r="I28" s="33">
        <f>ROUND('Anexo 15'!I28*'Anexo 5'!$D$10,0)</f>
        <v>0</v>
      </c>
      <c r="J28" s="33">
        <f>ROUND('Anexo 15'!J28*'Anexo 5'!$D$10,0)</f>
        <v>0</v>
      </c>
      <c r="K28" s="33">
        <f>ROUND('Anexo 15'!K28*'Anexo 5'!$D$10,0)</f>
        <v>0</v>
      </c>
      <c r="L28" s="33">
        <f>ROUND('Anexo 15'!L28*'Anexo 5'!$D$10,0)</f>
        <v>0</v>
      </c>
      <c r="M28" s="33">
        <f>ROUND('Anexo 15'!M28*'Anexo 5'!$D$10,0)</f>
        <v>0</v>
      </c>
      <c r="N28" s="33">
        <f>ROUND('Anexo 15'!N28*'Anexo 5'!$D$10,0)</f>
        <v>0</v>
      </c>
      <c r="O28" s="33">
        <f>ROUND('Anexo 15'!O28*'Anexo 5'!$D$10,0)</f>
        <v>0</v>
      </c>
      <c r="P28" s="33">
        <f>ROUND('Anexo 15'!P28*'Anexo 5'!$D$10,0)</f>
        <v>0</v>
      </c>
      <c r="Q28" s="33">
        <f>ROUND('Anexo 15'!Q28*'Anexo 5'!$D$10,0)</f>
        <v>0</v>
      </c>
      <c r="R28" s="33">
        <f>ROUND('Anexo 15'!R28*'Anexo 5'!$D$10,0)</f>
        <v>0</v>
      </c>
      <c r="S28" s="33">
        <f>ROUND('Anexo 15'!S28*'Anexo 5'!$D$10,0)</f>
        <v>0</v>
      </c>
      <c r="T28" s="33">
        <f>ROUND('Anexo 15'!T28*'Anexo 5'!$D$10,0)</f>
        <v>0</v>
      </c>
      <c r="U28" s="33">
        <f>ROUND('Anexo 15'!U28*'Anexo 5'!$D$10,0)</f>
        <v>0</v>
      </c>
      <c r="V28" s="33">
        <f>ROUND('Anexo 15'!V28*'Anexo 5'!$D$10,0)</f>
        <v>0</v>
      </c>
      <c r="W28" s="33">
        <f>ROUND('Anexo 15'!W28*'Anexo 5'!$D$10,0)</f>
        <v>0</v>
      </c>
      <c r="X28" s="33">
        <f>ROUND('Anexo 15'!X28*'Anexo 5'!$D$10,0)</f>
        <v>0</v>
      </c>
      <c r="Y28" s="33">
        <f>ROUND('Anexo 15'!Y28*'Anexo 5'!$D$10,0)</f>
        <v>0</v>
      </c>
      <c r="Z28" s="33">
        <f>ROUND('Anexo 15'!Z28*'Anexo 5'!$D$10,0)</f>
        <v>0</v>
      </c>
      <c r="AA28" s="38">
        <f t="shared" si="0"/>
        <v>0</v>
      </c>
      <c r="AB28" s="21">
        <v>5</v>
      </c>
      <c r="AC28" s="101"/>
      <c r="AD28" s="47"/>
    </row>
    <row r="29" spans="1:30" ht="15.75" thickBot="1" x14ac:dyDescent="0.3">
      <c r="A29" s="99"/>
      <c r="B29" s="22" t="s">
        <v>3</v>
      </c>
      <c r="C29" s="33">
        <f>ROUND('Anexo 15'!C29*'Anexo 5'!$D$10,0)</f>
        <v>0</v>
      </c>
      <c r="D29" s="33">
        <f>ROUND('Anexo 15'!D29*'Anexo 5'!$D$10,0)</f>
        <v>0</v>
      </c>
      <c r="E29" s="33">
        <f>ROUND('Anexo 15'!E29*'Anexo 5'!$D$10,0)</f>
        <v>0</v>
      </c>
      <c r="F29" s="33">
        <f>ROUND('Anexo 15'!F29*'Anexo 5'!$D$10,0)</f>
        <v>0</v>
      </c>
      <c r="G29" s="33">
        <f>ROUND('Anexo 15'!G29*'Anexo 5'!$D$10,0)</f>
        <v>0</v>
      </c>
      <c r="H29" s="33">
        <f>ROUND('Anexo 15'!H29*'Anexo 5'!$D$10,0)</f>
        <v>0</v>
      </c>
      <c r="I29" s="33">
        <f>ROUND('Anexo 15'!I29*'Anexo 5'!$D$10,0)</f>
        <v>0</v>
      </c>
      <c r="J29" s="33">
        <f>ROUND('Anexo 15'!J29*'Anexo 5'!$D$10,0)</f>
        <v>0</v>
      </c>
      <c r="K29" s="33">
        <f>ROUND('Anexo 15'!K29*'Anexo 5'!$D$10,0)</f>
        <v>0</v>
      </c>
      <c r="L29" s="33">
        <f>ROUND('Anexo 15'!L29*'Anexo 5'!$D$10,0)</f>
        <v>0</v>
      </c>
      <c r="M29" s="33">
        <f>ROUND('Anexo 15'!M29*'Anexo 5'!$D$10,0)</f>
        <v>0</v>
      </c>
      <c r="N29" s="33">
        <f>ROUND('Anexo 15'!N29*'Anexo 5'!$D$10,0)</f>
        <v>0</v>
      </c>
      <c r="O29" s="33">
        <f>ROUND('Anexo 15'!O29*'Anexo 5'!$D$10,0)</f>
        <v>0</v>
      </c>
      <c r="P29" s="33">
        <f>ROUND('Anexo 15'!P29*'Anexo 5'!$D$10,0)</f>
        <v>0</v>
      </c>
      <c r="Q29" s="33">
        <f>ROUND('Anexo 15'!Q29*'Anexo 5'!$D$10,0)</f>
        <v>0</v>
      </c>
      <c r="R29" s="33">
        <f>ROUND('Anexo 15'!R29*'Anexo 5'!$D$10,0)</f>
        <v>0</v>
      </c>
      <c r="S29" s="33">
        <f>ROUND('Anexo 15'!S29*'Anexo 5'!$D$10,0)</f>
        <v>0</v>
      </c>
      <c r="T29" s="33">
        <f>ROUND('Anexo 15'!T29*'Anexo 5'!$D$10,0)</f>
        <v>0</v>
      </c>
      <c r="U29" s="33">
        <f>ROUND('Anexo 15'!U29*'Anexo 5'!$D$10,0)</f>
        <v>0</v>
      </c>
      <c r="V29" s="33">
        <f>ROUND('Anexo 15'!V29*'Anexo 5'!$D$10,0)</f>
        <v>0</v>
      </c>
      <c r="W29" s="33">
        <f>ROUND('Anexo 15'!W29*'Anexo 5'!$D$10,0)</f>
        <v>0</v>
      </c>
      <c r="X29" s="33">
        <f>ROUND('Anexo 15'!X29*'Anexo 5'!$D$10,0)</f>
        <v>0</v>
      </c>
      <c r="Y29" s="33">
        <f>ROUND('Anexo 15'!Y29*'Anexo 5'!$D$10,0)</f>
        <v>0</v>
      </c>
      <c r="Z29" s="33">
        <f>ROUND('Anexo 15'!Z29*'Anexo 5'!$D$10,0)</f>
        <v>0</v>
      </c>
      <c r="AA29" s="41">
        <f t="shared" si="0"/>
        <v>0</v>
      </c>
      <c r="AB29" s="23">
        <v>6</v>
      </c>
      <c r="AC29" s="102"/>
      <c r="AD29" s="49"/>
    </row>
    <row r="30" spans="1:30" ht="15.75" thickBot="1" x14ac:dyDescent="0.3">
      <c r="A30" s="99">
        <v>47727</v>
      </c>
      <c r="B30" s="18" t="s">
        <v>5</v>
      </c>
      <c r="C30" s="33">
        <f>ROUND('Anexo 15'!C30*'Anexo 5'!$D$10,0)</f>
        <v>0</v>
      </c>
      <c r="D30" s="33">
        <f>ROUND('Anexo 15'!D30*'Anexo 5'!$D$10,0)</f>
        <v>0</v>
      </c>
      <c r="E30" s="33">
        <f>ROUND('Anexo 15'!E30*'Anexo 5'!$D$10,0)</f>
        <v>0</v>
      </c>
      <c r="F30" s="33">
        <f>ROUND('Anexo 15'!F30*'Anexo 5'!$D$10,0)</f>
        <v>0</v>
      </c>
      <c r="G30" s="33">
        <f>ROUND('Anexo 15'!G30*'Anexo 5'!$D$10,0)</f>
        <v>0</v>
      </c>
      <c r="H30" s="33">
        <f>ROUND('Anexo 15'!H30*'Anexo 5'!$D$10,0)</f>
        <v>0</v>
      </c>
      <c r="I30" s="33">
        <f>ROUND('Anexo 15'!I30*'Anexo 5'!$D$10,0)</f>
        <v>0</v>
      </c>
      <c r="J30" s="33">
        <f>ROUND('Anexo 15'!J30*'Anexo 5'!$D$10,0)</f>
        <v>0</v>
      </c>
      <c r="K30" s="33">
        <f>ROUND('Anexo 15'!K30*'Anexo 5'!$D$10,0)</f>
        <v>0</v>
      </c>
      <c r="L30" s="33">
        <f>ROUND('Anexo 15'!L30*'Anexo 5'!$D$10,0)</f>
        <v>0</v>
      </c>
      <c r="M30" s="33">
        <f>ROUND('Anexo 15'!M30*'Anexo 5'!$D$10,0)</f>
        <v>0</v>
      </c>
      <c r="N30" s="33">
        <f>ROUND('Anexo 15'!N30*'Anexo 5'!$D$10,0)</f>
        <v>0</v>
      </c>
      <c r="O30" s="33">
        <f>ROUND('Anexo 15'!O30*'Anexo 5'!$D$10,0)</f>
        <v>0</v>
      </c>
      <c r="P30" s="33">
        <f>ROUND('Anexo 15'!P30*'Anexo 5'!$D$10,0)</f>
        <v>0</v>
      </c>
      <c r="Q30" s="33">
        <f>ROUND('Anexo 15'!Q30*'Anexo 5'!$D$10,0)</f>
        <v>0</v>
      </c>
      <c r="R30" s="33">
        <f>ROUND('Anexo 15'!R30*'Anexo 5'!$D$10,0)</f>
        <v>0</v>
      </c>
      <c r="S30" s="33">
        <f>ROUND('Anexo 15'!S30*'Anexo 5'!$D$10,0)</f>
        <v>0</v>
      </c>
      <c r="T30" s="33">
        <f>ROUND('Anexo 15'!T30*'Anexo 5'!$D$10,0)</f>
        <v>0</v>
      </c>
      <c r="U30" s="33">
        <f>ROUND('Anexo 15'!U30*'Anexo 5'!$D$10,0)</f>
        <v>0</v>
      </c>
      <c r="V30" s="33">
        <f>ROUND('Anexo 15'!V30*'Anexo 5'!$D$10,0)</f>
        <v>0</v>
      </c>
      <c r="W30" s="33">
        <f>ROUND('Anexo 15'!W30*'Anexo 5'!$D$10,0)</f>
        <v>0</v>
      </c>
      <c r="X30" s="33">
        <f>ROUND('Anexo 15'!X30*'Anexo 5'!$D$10,0)</f>
        <v>0</v>
      </c>
      <c r="Y30" s="33">
        <f>ROUND('Anexo 15'!Y30*'Anexo 5'!$D$10,0)</f>
        <v>0</v>
      </c>
      <c r="Z30" s="33">
        <f>ROUND('Anexo 15'!Z30*'Anexo 5'!$D$10,0)</f>
        <v>0</v>
      </c>
      <c r="AA30" s="35">
        <f t="shared" si="0"/>
        <v>0</v>
      </c>
      <c r="AB30" s="19">
        <v>21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ROUND('Anexo 15'!C31*'Anexo 5'!$D$10,0)</f>
        <v>0</v>
      </c>
      <c r="D31" s="33">
        <f>ROUND('Anexo 15'!D31*'Anexo 5'!$D$10,0)</f>
        <v>0</v>
      </c>
      <c r="E31" s="33">
        <f>ROUND('Anexo 15'!E31*'Anexo 5'!$D$10,0)</f>
        <v>0</v>
      </c>
      <c r="F31" s="33">
        <f>ROUND('Anexo 15'!F31*'Anexo 5'!$D$10,0)</f>
        <v>0</v>
      </c>
      <c r="G31" s="33">
        <f>ROUND('Anexo 15'!G31*'Anexo 5'!$D$10,0)</f>
        <v>0</v>
      </c>
      <c r="H31" s="33">
        <f>ROUND('Anexo 15'!H31*'Anexo 5'!$D$10,0)</f>
        <v>0</v>
      </c>
      <c r="I31" s="33">
        <f>ROUND('Anexo 15'!I31*'Anexo 5'!$D$10,0)</f>
        <v>0</v>
      </c>
      <c r="J31" s="33">
        <f>ROUND('Anexo 15'!J31*'Anexo 5'!$D$10,0)</f>
        <v>0</v>
      </c>
      <c r="K31" s="33">
        <f>ROUND('Anexo 15'!K31*'Anexo 5'!$D$10,0)</f>
        <v>0</v>
      </c>
      <c r="L31" s="33">
        <f>ROUND('Anexo 15'!L31*'Anexo 5'!$D$10,0)</f>
        <v>0</v>
      </c>
      <c r="M31" s="33">
        <f>ROUND('Anexo 15'!M31*'Anexo 5'!$D$10,0)</f>
        <v>0</v>
      </c>
      <c r="N31" s="33">
        <f>ROUND('Anexo 15'!N31*'Anexo 5'!$D$10,0)</f>
        <v>0</v>
      </c>
      <c r="O31" s="33">
        <f>ROUND('Anexo 15'!O31*'Anexo 5'!$D$10,0)</f>
        <v>0</v>
      </c>
      <c r="P31" s="33">
        <f>ROUND('Anexo 15'!P31*'Anexo 5'!$D$10,0)</f>
        <v>0</v>
      </c>
      <c r="Q31" s="33">
        <f>ROUND('Anexo 15'!Q31*'Anexo 5'!$D$10,0)</f>
        <v>0</v>
      </c>
      <c r="R31" s="33">
        <f>ROUND('Anexo 15'!R31*'Anexo 5'!$D$10,0)</f>
        <v>0</v>
      </c>
      <c r="S31" s="33">
        <f>ROUND('Anexo 15'!S31*'Anexo 5'!$D$10,0)</f>
        <v>0</v>
      </c>
      <c r="T31" s="33">
        <f>ROUND('Anexo 15'!T31*'Anexo 5'!$D$10,0)</f>
        <v>0</v>
      </c>
      <c r="U31" s="33">
        <f>ROUND('Anexo 15'!U31*'Anexo 5'!$D$10,0)</f>
        <v>0</v>
      </c>
      <c r="V31" s="33">
        <f>ROUND('Anexo 15'!V31*'Anexo 5'!$D$10,0)</f>
        <v>0</v>
      </c>
      <c r="W31" s="33">
        <f>ROUND('Anexo 15'!W31*'Anexo 5'!$D$10,0)</f>
        <v>0</v>
      </c>
      <c r="X31" s="33">
        <f>ROUND('Anexo 15'!X31*'Anexo 5'!$D$10,0)</f>
        <v>0</v>
      </c>
      <c r="Y31" s="33">
        <f>ROUND('Anexo 15'!Y31*'Anexo 5'!$D$10,0)</f>
        <v>0</v>
      </c>
      <c r="Z31" s="33">
        <f>ROUND('Anexo 15'!Z31*'Anexo 5'!$D$10,0)</f>
        <v>0</v>
      </c>
      <c r="AA31" s="38">
        <f t="shared" si="0"/>
        <v>0</v>
      </c>
      <c r="AB31" s="21">
        <v>4</v>
      </c>
      <c r="AC31" s="101"/>
      <c r="AD31" s="47"/>
    </row>
    <row r="32" spans="1:30" ht="15.75" thickBot="1" x14ac:dyDescent="0.3">
      <c r="A32" s="99"/>
      <c r="B32" s="22" t="s">
        <v>3</v>
      </c>
      <c r="C32" s="33">
        <f>ROUND('Anexo 15'!C32*'Anexo 5'!$D$10,0)</f>
        <v>0</v>
      </c>
      <c r="D32" s="33">
        <f>ROUND('Anexo 15'!D32*'Anexo 5'!$D$10,0)</f>
        <v>0</v>
      </c>
      <c r="E32" s="33">
        <f>ROUND('Anexo 15'!E32*'Anexo 5'!$D$10,0)</f>
        <v>0</v>
      </c>
      <c r="F32" s="33">
        <f>ROUND('Anexo 15'!F32*'Anexo 5'!$D$10,0)</f>
        <v>0</v>
      </c>
      <c r="G32" s="33">
        <f>ROUND('Anexo 15'!G32*'Anexo 5'!$D$10,0)</f>
        <v>0</v>
      </c>
      <c r="H32" s="33">
        <f>ROUND('Anexo 15'!H32*'Anexo 5'!$D$10,0)</f>
        <v>0</v>
      </c>
      <c r="I32" s="33">
        <f>ROUND('Anexo 15'!I32*'Anexo 5'!$D$10,0)</f>
        <v>0</v>
      </c>
      <c r="J32" s="33">
        <f>ROUND('Anexo 15'!J32*'Anexo 5'!$D$10,0)</f>
        <v>0</v>
      </c>
      <c r="K32" s="33">
        <f>ROUND('Anexo 15'!K32*'Anexo 5'!$D$10,0)</f>
        <v>0</v>
      </c>
      <c r="L32" s="33">
        <f>ROUND('Anexo 15'!L32*'Anexo 5'!$D$10,0)</f>
        <v>0</v>
      </c>
      <c r="M32" s="33">
        <f>ROUND('Anexo 15'!M32*'Anexo 5'!$D$10,0)</f>
        <v>0</v>
      </c>
      <c r="N32" s="33">
        <f>ROUND('Anexo 15'!N32*'Anexo 5'!$D$10,0)</f>
        <v>0</v>
      </c>
      <c r="O32" s="33">
        <f>ROUND('Anexo 15'!O32*'Anexo 5'!$D$10,0)</f>
        <v>0</v>
      </c>
      <c r="P32" s="33">
        <f>ROUND('Anexo 15'!P32*'Anexo 5'!$D$10,0)</f>
        <v>0</v>
      </c>
      <c r="Q32" s="33">
        <f>ROUND('Anexo 15'!Q32*'Anexo 5'!$D$10,0)</f>
        <v>0</v>
      </c>
      <c r="R32" s="33">
        <f>ROUND('Anexo 15'!R32*'Anexo 5'!$D$10,0)</f>
        <v>0</v>
      </c>
      <c r="S32" s="33">
        <f>ROUND('Anexo 15'!S32*'Anexo 5'!$D$10,0)</f>
        <v>0</v>
      </c>
      <c r="T32" s="33">
        <f>ROUND('Anexo 15'!T32*'Anexo 5'!$D$10,0)</f>
        <v>0</v>
      </c>
      <c r="U32" s="33">
        <f>ROUND('Anexo 15'!U32*'Anexo 5'!$D$10,0)</f>
        <v>0</v>
      </c>
      <c r="V32" s="33">
        <f>ROUND('Anexo 15'!V32*'Anexo 5'!$D$10,0)</f>
        <v>0</v>
      </c>
      <c r="W32" s="33">
        <f>ROUND('Anexo 15'!W32*'Anexo 5'!$D$10,0)</f>
        <v>0</v>
      </c>
      <c r="X32" s="33">
        <f>ROUND('Anexo 15'!X32*'Anexo 5'!$D$10,0)</f>
        <v>0</v>
      </c>
      <c r="Y32" s="33">
        <f>ROUND('Anexo 15'!Y32*'Anexo 5'!$D$10,0)</f>
        <v>0</v>
      </c>
      <c r="Z32" s="33">
        <f>ROUND('Anexo 15'!Z32*'Anexo 5'!$D$10,0)</f>
        <v>0</v>
      </c>
      <c r="AA32" s="41">
        <f t="shared" si="0"/>
        <v>0</v>
      </c>
      <c r="AB32" s="23">
        <v>5</v>
      </c>
      <c r="AC32" s="102"/>
      <c r="AD32" s="48"/>
    </row>
    <row r="33" spans="1:30" ht="15.75" thickBot="1" x14ac:dyDescent="0.3">
      <c r="A33" s="99">
        <v>47757</v>
      </c>
      <c r="B33" s="18" t="s">
        <v>5</v>
      </c>
      <c r="C33" s="33">
        <f>ROUND('Anexo 15'!C33*'Anexo 5'!$D$10,0)</f>
        <v>0</v>
      </c>
      <c r="D33" s="33">
        <f>ROUND('Anexo 15'!D33*'Anexo 5'!$D$10,0)</f>
        <v>0</v>
      </c>
      <c r="E33" s="33">
        <f>ROUND('Anexo 15'!E33*'Anexo 5'!$D$10,0)</f>
        <v>0</v>
      </c>
      <c r="F33" s="33">
        <f>ROUND('Anexo 15'!F33*'Anexo 5'!$D$10,0)</f>
        <v>0</v>
      </c>
      <c r="G33" s="33">
        <f>ROUND('Anexo 15'!G33*'Anexo 5'!$D$10,0)</f>
        <v>0</v>
      </c>
      <c r="H33" s="33">
        <f>ROUND('Anexo 15'!H33*'Anexo 5'!$D$10,0)</f>
        <v>0</v>
      </c>
      <c r="I33" s="33">
        <f>ROUND('Anexo 15'!I33*'Anexo 5'!$D$10,0)</f>
        <v>0</v>
      </c>
      <c r="J33" s="33">
        <f>ROUND('Anexo 15'!J33*'Anexo 5'!$D$10,0)</f>
        <v>0</v>
      </c>
      <c r="K33" s="33">
        <f>ROUND('Anexo 15'!K33*'Anexo 5'!$D$10,0)</f>
        <v>0</v>
      </c>
      <c r="L33" s="33">
        <f>ROUND('Anexo 15'!L33*'Anexo 5'!$D$10,0)</f>
        <v>0</v>
      </c>
      <c r="M33" s="33">
        <f>ROUND('Anexo 15'!M33*'Anexo 5'!$D$10,0)</f>
        <v>0</v>
      </c>
      <c r="N33" s="33">
        <f>ROUND('Anexo 15'!N33*'Anexo 5'!$D$10,0)</f>
        <v>0</v>
      </c>
      <c r="O33" s="33">
        <f>ROUND('Anexo 15'!O33*'Anexo 5'!$D$10,0)</f>
        <v>0</v>
      </c>
      <c r="P33" s="33">
        <f>ROUND('Anexo 15'!P33*'Anexo 5'!$D$10,0)</f>
        <v>0</v>
      </c>
      <c r="Q33" s="33">
        <f>ROUND('Anexo 15'!Q33*'Anexo 5'!$D$10,0)</f>
        <v>0</v>
      </c>
      <c r="R33" s="33">
        <f>ROUND('Anexo 15'!R33*'Anexo 5'!$D$10,0)</f>
        <v>0</v>
      </c>
      <c r="S33" s="33">
        <f>ROUND('Anexo 15'!S33*'Anexo 5'!$D$10,0)</f>
        <v>0</v>
      </c>
      <c r="T33" s="33">
        <f>ROUND('Anexo 15'!T33*'Anexo 5'!$D$10,0)</f>
        <v>0</v>
      </c>
      <c r="U33" s="33">
        <f>ROUND('Anexo 15'!U33*'Anexo 5'!$D$10,0)</f>
        <v>0</v>
      </c>
      <c r="V33" s="33">
        <f>ROUND('Anexo 15'!V33*'Anexo 5'!$D$10,0)</f>
        <v>0</v>
      </c>
      <c r="W33" s="33">
        <f>ROUND('Anexo 15'!W33*'Anexo 5'!$D$10,0)</f>
        <v>0</v>
      </c>
      <c r="X33" s="33">
        <f>ROUND('Anexo 15'!X33*'Anexo 5'!$D$10,0)</f>
        <v>0</v>
      </c>
      <c r="Y33" s="33">
        <f>ROUND('Anexo 15'!Y33*'Anexo 5'!$D$10,0)</f>
        <v>0</v>
      </c>
      <c r="Z33" s="33">
        <f>ROUND('Anexo 15'!Z33*'Anexo 5'!$D$10,0)</f>
        <v>0</v>
      </c>
      <c r="AA33" s="35">
        <f t="shared" si="0"/>
        <v>0</v>
      </c>
      <c r="AB33" s="19">
        <v>22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ROUND('Anexo 15'!C34*'Anexo 5'!$D$10,0)</f>
        <v>0</v>
      </c>
      <c r="D34" s="33">
        <f>ROUND('Anexo 15'!D34*'Anexo 5'!$D$10,0)</f>
        <v>0</v>
      </c>
      <c r="E34" s="33">
        <f>ROUND('Anexo 15'!E34*'Anexo 5'!$D$10,0)</f>
        <v>0</v>
      </c>
      <c r="F34" s="33">
        <f>ROUND('Anexo 15'!F34*'Anexo 5'!$D$10,0)</f>
        <v>0</v>
      </c>
      <c r="G34" s="33">
        <f>ROUND('Anexo 15'!G34*'Anexo 5'!$D$10,0)</f>
        <v>0</v>
      </c>
      <c r="H34" s="33">
        <f>ROUND('Anexo 15'!H34*'Anexo 5'!$D$10,0)</f>
        <v>0</v>
      </c>
      <c r="I34" s="33">
        <f>ROUND('Anexo 15'!I34*'Anexo 5'!$D$10,0)</f>
        <v>0</v>
      </c>
      <c r="J34" s="33">
        <f>ROUND('Anexo 15'!J34*'Anexo 5'!$D$10,0)</f>
        <v>0</v>
      </c>
      <c r="K34" s="33">
        <f>ROUND('Anexo 15'!K34*'Anexo 5'!$D$10,0)</f>
        <v>0</v>
      </c>
      <c r="L34" s="33">
        <f>ROUND('Anexo 15'!L34*'Anexo 5'!$D$10,0)</f>
        <v>0</v>
      </c>
      <c r="M34" s="33">
        <f>ROUND('Anexo 15'!M34*'Anexo 5'!$D$10,0)</f>
        <v>0</v>
      </c>
      <c r="N34" s="33">
        <f>ROUND('Anexo 15'!N34*'Anexo 5'!$D$10,0)</f>
        <v>0</v>
      </c>
      <c r="O34" s="33">
        <f>ROUND('Anexo 15'!O34*'Anexo 5'!$D$10,0)</f>
        <v>0</v>
      </c>
      <c r="P34" s="33">
        <f>ROUND('Anexo 15'!P34*'Anexo 5'!$D$10,0)</f>
        <v>0</v>
      </c>
      <c r="Q34" s="33">
        <f>ROUND('Anexo 15'!Q34*'Anexo 5'!$D$10,0)</f>
        <v>0</v>
      </c>
      <c r="R34" s="33">
        <f>ROUND('Anexo 15'!R34*'Anexo 5'!$D$10,0)</f>
        <v>0</v>
      </c>
      <c r="S34" s="33">
        <f>ROUND('Anexo 15'!S34*'Anexo 5'!$D$10,0)</f>
        <v>0</v>
      </c>
      <c r="T34" s="33">
        <f>ROUND('Anexo 15'!T34*'Anexo 5'!$D$10,0)</f>
        <v>0</v>
      </c>
      <c r="U34" s="33">
        <f>ROUND('Anexo 15'!U34*'Anexo 5'!$D$10,0)</f>
        <v>0</v>
      </c>
      <c r="V34" s="33">
        <f>ROUND('Anexo 15'!V34*'Anexo 5'!$D$10,0)</f>
        <v>0</v>
      </c>
      <c r="W34" s="33">
        <f>ROUND('Anexo 15'!W34*'Anexo 5'!$D$10,0)</f>
        <v>0</v>
      </c>
      <c r="X34" s="33">
        <f>ROUND('Anexo 15'!X34*'Anexo 5'!$D$10,0)</f>
        <v>0</v>
      </c>
      <c r="Y34" s="33">
        <f>ROUND('Anexo 15'!Y34*'Anexo 5'!$D$10,0)</f>
        <v>0</v>
      </c>
      <c r="Z34" s="33">
        <f>ROUND('Anexo 15'!Z34*'Anexo 5'!$D$10,0)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ROUND('Anexo 15'!C35*'Anexo 5'!$D$10,0)</f>
        <v>0</v>
      </c>
      <c r="D35" s="33">
        <f>ROUND('Anexo 15'!D35*'Anexo 5'!$D$10,0)</f>
        <v>0</v>
      </c>
      <c r="E35" s="33">
        <f>ROUND('Anexo 15'!E35*'Anexo 5'!$D$10,0)</f>
        <v>0</v>
      </c>
      <c r="F35" s="33">
        <f>ROUND('Anexo 15'!F35*'Anexo 5'!$D$10,0)</f>
        <v>0</v>
      </c>
      <c r="G35" s="33">
        <f>ROUND('Anexo 15'!G35*'Anexo 5'!$D$10,0)</f>
        <v>0</v>
      </c>
      <c r="H35" s="33">
        <f>ROUND('Anexo 15'!H35*'Anexo 5'!$D$10,0)</f>
        <v>0</v>
      </c>
      <c r="I35" s="33">
        <f>ROUND('Anexo 15'!I35*'Anexo 5'!$D$10,0)</f>
        <v>0</v>
      </c>
      <c r="J35" s="33">
        <f>ROUND('Anexo 15'!J35*'Anexo 5'!$D$10,0)</f>
        <v>0</v>
      </c>
      <c r="K35" s="33">
        <f>ROUND('Anexo 15'!K35*'Anexo 5'!$D$10,0)</f>
        <v>0</v>
      </c>
      <c r="L35" s="33">
        <f>ROUND('Anexo 15'!L35*'Anexo 5'!$D$10,0)</f>
        <v>0</v>
      </c>
      <c r="M35" s="33">
        <f>ROUND('Anexo 15'!M35*'Anexo 5'!$D$10,0)</f>
        <v>0</v>
      </c>
      <c r="N35" s="33">
        <f>ROUND('Anexo 15'!N35*'Anexo 5'!$D$10,0)</f>
        <v>0</v>
      </c>
      <c r="O35" s="33">
        <f>ROUND('Anexo 15'!O35*'Anexo 5'!$D$10,0)</f>
        <v>0</v>
      </c>
      <c r="P35" s="33">
        <f>ROUND('Anexo 15'!P35*'Anexo 5'!$D$10,0)</f>
        <v>0</v>
      </c>
      <c r="Q35" s="33">
        <f>ROUND('Anexo 15'!Q35*'Anexo 5'!$D$10,0)</f>
        <v>0</v>
      </c>
      <c r="R35" s="33">
        <f>ROUND('Anexo 15'!R35*'Anexo 5'!$D$10,0)</f>
        <v>0</v>
      </c>
      <c r="S35" s="33">
        <f>ROUND('Anexo 15'!S35*'Anexo 5'!$D$10,0)</f>
        <v>0</v>
      </c>
      <c r="T35" s="33">
        <f>ROUND('Anexo 15'!T35*'Anexo 5'!$D$10,0)</f>
        <v>0</v>
      </c>
      <c r="U35" s="33">
        <f>ROUND('Anexo 15'!U35*'Anexo 5'!$D$10,0)</f>
        <v>0</v>
      </c>
      <c r="V35" s="33">
        <f>ROUND('Anexo 15'!V35*'Anexo 5'!$D$10,0)</f>
        <v>0</v>
      </c>
      <c r="W35" s="33">
        <f>ROUND('Anexo 15'!W35*'Anexo 5'!$D$10,0)</f>
        <v>0</v>
      </c>
      <c r="X35" s="33">
        <f>ROUND('Anexo 15'!X35*'Anexo 5'!$D$10,0)</f>
        <v>0</v>
      </c>
      <c r="Y35" s="33">
        <f>ROUND('Anexo 15'!Y35*'Anexo 5'!$D$10,0)</f>
        <v>0</v>
      </c>
      <c r="Z35" s="33">
        <f>ROUND('Anexo 15'!Z35*'Anexo 5'!$D$10,0)</f>
        <v>0</v>
      </c>
      <c r="AA35" s="41">
        <f t="shared" si="0"/>
        <v>0</v>
      </c>
      <c r="AB35" s="23">
        <v>5</v>
      </c>
      <c r="AC35" s="102"/>
      <c r="AD35" s="48"/>
    </row>
    <row r="36" spans="1:30" ht="15.75" thickBot="1" x14ac:dyDescent="0.3">
      <c r="A36" s="99">
        <v>47788</v>
      </c>
      <c r="B36" s="18" t="s">
        <v>5</v>
      </c>
      <c r="C36" s="33">
        <f>ROUND('Anexo 15'!C36*'Anexo 5'!$D$10,0)</f>
        <v>0</v>
      </c>
      <c r="D36" s="33">
        <f>ROUND('Anexo 15'!D36*'Anexo 5'!$D$10,0)</f>
        <v>0</v>
      </c>
      <c r="E36" s="33">
        <f>ROUND('Anexo 15'!E36*'Anexo 5'!$D$10,0)</f>
        <v>0</v>
      </c>
      <c r="F36" s="33">
        <f>ROUND('Anexo 15'!F36*'Anexo 5'!$D$10,0)</f>
        <v>0</v>
      </c>
      <c r="G36" s="33">
        <f>ROUND('Anexo 15'!G36*'Anexo 5'!$D$10,0)</f>
        <v>0</v>
      </c>
      <c r="H36" s="33">
        <f>ROUND('Anexo 15'!H36*'Anexo 5'!$D$10,0)</f>
        <v>0</v>
      </c>
      <c r="I36" s="33">
        <f>ROUND('Anexo 15'!I36*'Anexo 5'!$D$10,0)</f>
        <v>0</v>
      </c>
      <c r="J36" s="33">
        <f>ROUND('Anexo 15'!J36*'Anexo 5'!$D$10,0)</f>
        <v>0</v>
      </c>
      <c r="K36" s="33">
        <f>ROUND('Anexo 15'!K36*'Anexo 5'!$D$10,0)</f>
        <v>0</v>
      </c>
      <c r="L36" s="33">
        <f>ROUND('Anexo 15'!L36*'Anexo 5'!$D$10,0)</f>
        <v>0</v>
      </c>
      <c r="M36" s="33">
        <f>ROUND('Anexo 15'!M36*'Anexo 5'!$D$10,0)</f>
        <v>0</v>
      </c>
      <c r="N36" s="33">
        <f>ROUND('Anexo 15'!N36*'Anexo 5'!$D$10,0)</f>
        <v>0</v>
      </c>
      <c r="O36" s="33">
        <f>ROUND('Anexo 15'!O36*'Anexo 5'!$D$10,0)</f>
        <v>0</v>
      </c>
      <c r="P36" s="33">
        <f>ROUND('Anexo 15'!P36*'Anexo 5'!$D$10,0)</f>
        <v>0</v>
      </c>
      <c r="Q36" s="33">
        <f>ROUND('Anexo 15'!Q36*'Anexo 5'!$D$10,0)</f>
        <v>0</v>
      </c>
      <c r="R36" s="33">
        <f>ROUND('Anexo 15'!R36*'Anexo 5'!$D$10,0)</f>
        <v>0</v>
      </c>
      <c r="S36" s="33">
        <f>ROUND('Anexo 15'!S36*'Anexo 5'!$D$10,0)</f>
        <v>0</v>
      </c>
      <c r="T36" s="33">
        <f>ROUND('Anexo 15'!T36*'Anexo 5'!$D$10,0)</f>
        <v>0</v>
      </c>
      <c r="U36" s="33">
        <f>ROUND('Anexo 15'!U36*'Anexo 5'!$D$10,0)</f>
        <v>0</v>
      </c>
      <c r="V36" s="33">
        <f>ROUND('Anexo 15'!V36*'Anexo 5'!$D$10,0)</f>
        <v>0</v>
      </c>
      <c r="W36" s="33">
        <f>ROUND('Anexo 15'!W36*'Anexo 5'!$D$10,0)</f>
        <v>0</v>
      </c>
      <c r="X36" s="33">
        <f>ROUND('Anexo 15'!X36*'Anexo 5'!$D$10,0)</f>
        <v>0</v>
      </c>
      <c r="Y36" s="33">
        <f>ROUND('Anexo 15'!Y36*'Anexo 5'!$D$10,0)</f>
        <v>0</v>
      </c>
      <c r="Z36" s="33">
        <f>ROUND('Anexo 15'!Z36*'Anexo 5'!$D$10,0)</f>
        <v>0</v>
      </c>
      <c r="AA36" s="35">
        <f t="shared" si="0"/>
        <v>0</v>
      </c>
      <c r="AB36" s="19">
        <v>19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ROUND('Anexo 15'!C37*'Anexo 5'!$D$10,0)</f>
        <v>0</v>
      </c>
      <c r="D37" s="33">
        <f>ROUND('Anexo 15'!D37*'Anexo 5'!$D$10,0)</f>
        <v>0</v>
      </c>
      <c r="E37" s="33">
        <f>ROUND('Anexo 15'!E37*'Anexo 5'!$D$10,0)</f>
        <v>0</v>
      </c>
      <c r="F37" s="33">
        <f>ROUND('Anexo 15'!F37*'Anexo 5'!$D$10,0)</f>
        <v>0</v>
      </c>
      <c r="G37" s="33">
        <f>ROUND('Anexo 15'!G37*'Anexo 5'!$D$10,0)</f>
        <v>0</v>
      </c>
      <c r="H37" s="33">
        <f>ROUND('Anexo 15'!H37*'Anexo 5'!$D$10,0)</f>
        <v>0</v>
      </c>
      <c r="I37" s="33">
        <f>ROUND('Anexo 15'!I37*'Anexo 5'!$D$10,0)</f>
        <v>0</v>
      </c>
      <c r="J37" s="33">
        <f>ROUND('Anexo 15'!J37*'Anexo 5'!$D$10,0)</f>
        <v>0</v>
      </c>
      <c r="K37" s="33">
        <f>ROUND('Anexo 15'!K37*'Anexo 5'!$D$10,0)</f>
        <v>0</v>
      </c>
      <c r="L37" s="33">
        <f>ROUND('Anexo 15'!L37*'Anexo 5'!$D$10,0)</f>
        <v>0</v>
      </c>
      <c r="M37" s="33">
        <f>ROUND('Anexo 15'!M37*'Anexo 5'!$D$10,0)</f>
        <v>0</v>
      </c>
      <c r="N37" s="33">
        <f>ROUND('Anexo 15'!N37*'Anexo 5'!$D$10,0)</f>
        <v>0</v>
      </c>
      <c r="O37" s="33">
        <f>ROUND('Anexo 15'!O37*'Anexo 5'!$D$10,0)</f>
        <v>0</v>
      </c>
      <c r="P37" s="33">
        <f>ROUND('Anexo 15'!P37*'Anexo 5'!$D$10,0)</f>
        <v>0</v>
      </c>
      <c r="Q37" s="33">
        <f>ROUND('Anexo 15'!Q37*'Anexo 5'!$D$10,0)</f>
        <v>0</v>
      </c>
      <c r="R37" s="33">
        <f>ROUND('Anexo 15'!R37*'Anexo 5'!$D$10,0)</f>
        <v>0</v>
      </c>
      <c r="S37" s="33">
        <f>ROUND('Anexo 15'!S37*'Anexo 5'!$D$10,0)</f>
        <v>0</v>
      </c>
      <c r="T37" s="33">
        <f>ROUND('Anexo 15'!T37*'Anexo 5'!$D$10,0)</f>
        <v>0</v>
      </c>
      <c r="U37" s="33">
        <f>ROUND('Anexo 15'!U37*'Anexo 5'!$D$10,0)</f>
        <v>0</v>
      </c>
      <c r="V37" s="33">
        <f>ROUND('Anexo 15'!V37*'Anexo 5'!$D$10,0)</f>
        <v>0</v>
      </c>
      <c r="W37" s="33">
        <f>ROUND('Anexo 15'!W37*'Anexo 5'!$D$10,0)</f>
        <v>0</v>
      </c>
      <c r="X37" s="33">
        <f>ROUND('Anexo 15'!X37*'Anexo 5'!$D$10,0)</f>
        <v>0</v>
      </c>
      <c r="Y37" s="33">
        <f>ROUND('Anexo 15'!Y37*'Anexo 5'!$D$10,0)</f>
        <v>0</v>
      </c>
      <c r="Z37" s="33">
        <f>ROUND('Anexo 15'!Z37*'Anexo 5'!$D$10,0)</f>
        <v>0</v>
      </c>
      <c r="AA37" s="38">
        <f t="shared" si="0"/>
        <v>0</v>
      </c>
      <c r="AB37" s="21">
        <v>5</v>
      </c>
      <c r="AC37" s="101"/>
      <c r="AD37" s="47"/>
    </row>
    <row r="38" spans="1:30" ht="15.75" thickBot="1" x14ac:dyDescent="0.3">
      <c r="A38" s="99"/>
      <c r="B38" s="22" t="s">
        <v>3</v>
      </c>
      <c r="C38" s="33">
        <f>ROUND('Anexo 15'!C38*'Anexo 5'!$D$10,0)</f>
        <v>0</v>
      </c>
      <c r="D38" s="33">
        <f>ROUND('Anexo 15'!D38*'Anexo 5'!$D$10,0)</f>
        <v>0</v>
      </c>
      <c r="E38" s="33">
        <f>ROUND('Anexo 15'!E38*'Anexo 5'!$D$10,0)</f>
        <v>0</v>
      </c>
      <c r="F38" s="33">
        <f>ROUND('Anexo 15'!F38*'Anexo 5'!$D$10,0)</f>
        <v>0</v>
      </c>
      <c r="G38" s="33">
        <f>ROUND('Anexo 15'!G38*'Anexo 5'!$D$10,0)</f>
        <v>0</v>
      </c>
      <c r="H38" s="33">
        <f>ROUND('Anexo 15'!H38*'Anexo 5'!$D$10,0)</f>
        <v>0</v>
      </c>
      <c r="I38" s="33">
        <f>ROUND('Anexo 15'!I38*'Anexo 5'!$D$10,0)</f>
        <v>0</v>
      </c>
      <c r="J38" s="33">
        <f>ROUND('Anexo 15'!J38*'Anexo 5'!$D$10,0)</f>
        <v>0</v>
      </c>
      <c r="K38" s="33">
        <f>ROUND('Anexo 15'!K38*'Anexo 5'!$D$10,0)</f>
        <v>0</v>
      </c>
      <c r="L38" s="33">
        <f>ROUND('Anexo 15'!L38*'Anexo 5'!$D$10,0)</f>
        <v>0</v>
      </c>
      <c r="M38" s="33">
        <f>ROUND('Anexo 15'!M38*'Anexo 5'!$D$10,0)</f>
        <v>0</v>
      </c>
      <c r="N38" s="33">
        <f>ROUND('Anexo 15'!N38*'Anexo 5'!$D$10,0)</f>
        <v>0</v>
      </c>
      <c r="O38" s="33">
        <f>ROUND('Anexo 15'!O38*'Anexo 5'!$D$10,0)</f>
        <v>0</v>
      </c>
      <c r="P38" s="33">
        <f>ROUND('Anexo 15'!P38*'Anexo 5'!$D$10,0)</f>
        <v>0</v>
      </c>
      <c r="Q38" s="33">
        <f>ROUND('Anexo 15'!Q38*'Anexo 5'!$D$10,0)</f>
        <v>0</v>
      </c>
      <c r="R38" s="33">
        <f>ROUND('Anexo 15'!R38*'Anexo 5'!$D$10,0)</f>
        <v>0</v>
      </c>
      <c r="S38" s="33">
        <f>ROUND('Anexo 15'!S38*'Anexo 5'!$D$10,0)</f>
        <v>0</v>
      </c>
      <c r="T38" s="33">
        <f>ROUND('Anexo 15'!T38*'Anexo 5'!$D$10,0)</f>
        <v>0</v>
      </c>
      <c r="U38" s="33">
        <f>ROUND('Anexo 15'!U38*'Anexo 5'!$D$10,0)</f>
        <v>0</v>
      </c>
      <c r="V38" s="33">
        <f>ROUND('Anexo 15'!V38*'Anexo 5'!$D$10,0)</f>
        <v>0</v>
      </c>
      <c r="W38" s="33">
        <f>ROUND('Anexo 15'!W38*'Anexo 5'!$D$10,0)</f>
        <v>0</v>
      </c>
      <c r="X38" s="33">
        <f>ROUND('Anexo 15'!X38*'Anexo 5'!$D$10,0)</f>
        <v>0</v>
      </c>
      <c r="Y38" s="33">
        <f>ROUND('Anexo 15'!Y38*'Anexo 5'!$D$10,0)</f>
        <v>0</v>
      </c>
      <c r="Z38" s="33">
        <f>ROUND('Anexo 15'!Z38*'Anexo 5'!$D$10,0)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47818</v>
      </c>
      <c r="B39" s="18" t="s">
        <v>5</v>
      </c>
      <c r="C39" s="33">
        <f>ROUND('Anexo 15'!C39*'Anexo 5'!$D$10,0)</f>
        <v>0</v>
      </c>
      <c r="D39" s="33">
        <f>ROUND('Anexo 15'!D39*'Anexo 5'!$D$10,0)</f>
        <v>0</v>
      </c>
      <c r="E39" s="33">
        <f>ROUND('Anexo 15'!E39*'Anexo 5'!$D$10,0)</f>
        <v>0</v>
      </c>
      <c r="F39" s="33">
        <f>ROUND('Anexo 15'!F39*'Anexo 5'!$D$10,0)</f>
        <v>0</v>
      </c>
      <c r="G39" s="33">
        <f>ROUND('Anexo 15'!G39*'Anexo 5'!$D$10,0)</f>
        <v>0</v>
      </c>
      <c r="H39" s="33">
        <f>ROUND('Anexo 15'!H39*'Anexo 5'!$D$10,0)</f>
        <v>0</v>
      </c>
      <c r="I39" s="33">
        <f>ROUND('Anexo 15'!I39*'Anexo 5'!$D$10,0)</f>
        <v>0</v>
      </c>
      <c r="J39" s="33">
        <f>ROUND('Anexo 15'!J39*'Anexo 5'!$D$10,0)</f>
        <v>0</v>
      </c>
      <c r="K39" s="33">
        <f>ROUND('Anexo 15'!K39*'Anexo 5'!$D$10,0)</f>
        <v>0</v>
      </c>
      <c r="L39" s="33">
        <f>ROUND('Anexo 15'!L39*'Anexo 5'!$D$10,0)</f>
        <v>0</v>
      </c>
      <c r="M39" s="33">
        <f>ROUND('Anexo 15'!M39*'Anexo 5'!$D$10,0)</f>
        <v>0</v>
      </c>
      <c r="N39" s="33">
        <f>ROUND('Anexo 15'!N39*'Anexo 5'!$D$10,0)</f>
        <v>0</v>
      </c>
      <c r="O39" s="33">
        <f>ROUND('Anexo 15'!O39*'Anexo 5'!$D$10,0)</f>
        <v>0</v>
      </c>
      <c r="P39" s="33">
        <f>ROUND('Anexo 15'!P39*'Anexo 5'!$D$10,0)</f>
        <v>0</v>
      </c>
      <c r="Q39" s="33">
        <f>ROUND('Anexo 15'!Q39*'Anexo 5'!$D$10,0)</f>
        <v>0</v>
      </c>
      <c r="R39" s="33">
        <f>ROUND('Anexo 15'!R39*'Anexo 5'!$D$10,0)</f>
        <v>0</v>
      </c>
      <c r="S39" s="33">
        <f>ROUND('Anexo 15'!S39*'Anexo 5'!$D$10,0)</f>
        <v>0</v>
      </c>
      <c r="T39" s="33">
        <f>ROUND('Anexo 15'!T39*'Anexo 5'!$D$10,0)</f>
        <v>0</v>
      </c>
      <c r="U39" s="33">
        <f>ROUND('Anexo 15'!U39*'Anexo 5'!$D$10,0)</f>
        <v>0</v>
      </c>
      <c r="V39" s="33">
        <f>ROUND('Anexo 15'!V39*'Anexo 5'!$D$10,0)</f>
        <v>0</v>
      </c>
      <c r="W39" s="33">
        <f>ROUND('Anexo 15'!W39*'Anexo 5'!$D$10,0)</f>
        <v>0</v>
      </c>
      <c r="X39" s="33">
        <f>ROUND('Anexo 15'!X39*'Anexo 5'!$D$10,0)</f>
        <v>0</v>
      </c>
      <c r="Y39" s="33">
        <f>ROUND('Anexo 15'!Y39*'Anexo 5'!$D$10,0)</f>
        <v>0</v>
      </c>
      <c r="Z39" s="33">
        <f>ROUND('Anexo 15'!Z39*'Anexo 5'!$D$10,0)</f>
        <v>0</v>
      </c>
      <c r="AA39" s="35">
        <f t="shared" si="0"/>
        <v>0</v>
      </c>
      <c r="AB39" s="19">
        <v>21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ROUND('Anexo 15'!C40*'Anexo 5'!$D$10,0)</f>
        <v>0</v>
      </c>
      <c r="D40" s="33">
        <f>ROUND('Anexo 15'!D40*'Anexo 5'!$D$10,0)</f>
        <v>0</v>
      </c>
      <c r="E40" s="33">
        <f>ROUND('Anexo 15'!E40*'Anexo 5'!$D$10,0)</f>
        <v>0</v>
      </c>
      <c r="F40" s="33">
        <f>ROUND('Anexo 15'!F40*'Anexo 5'!$D$10,0)</f>
        <v>0</v>
      </c>
      <c r="G40" s="33">
        <f>ROUND('Anexo 15'!G40*'Anexo 5'!$D$10,0)</f>
        <v>0</v>
      </c>
      <c r="H40" s="33">
        <f>ROUND('Anexo 15'!H40*'Anexo 5'!$D$10,0)</f>
        <v>0</v>
      </c>
      <c r="I40" s="33">
        <f>ROUND('Anexo 15'!I40*'Anexo 5'!$D$10,0)</f>
        <v>0</v>
      </c>
      <c r="J40" s="33">
        <f>ROUND('Anexo 15'!J40*'Anexo 5'!$D$10,0)</f>
        <v>0</v>
      </c>
      <c r="K40" s="33">
        <f>ROUND('Anexo 15'!K40*'Anexo 5'!$D$10,0)</f>
        <v>0</v>
      </c>
      <c r="L40" s="33">
        <f>ROUND('Anexo 15'!L40*'Anexo 5'!$D$10,0)</f>
        <v>0</v>
      </c>
      <c r="M40" s="33">
        <f>ROUND('Anexo 15'!M40*'Anexo 5'!$D$10,0)</f>
        <v>0</v>
      </c>
      <c r="N40" s="33">
        <f>ROUND('Anexo 15'!N40*'Anexo 5'!$D$10,0)</f>
        <v>0</v>
      </c>
      <c r="O40" s="33">
        <f>ROUND('Anexo 15'!O40*'Anexo 5'!$D$10,0)</f>
        <v>0</v>
      </c>
      <c r="P40" s="33">
        <f>ROUND('Anexo 15'!P40*'Anexo 5'!$D$10,0)</f>
        <v>0</v>
      </c>
      <c r="Q40" s="33">
        <f>ROUND('Anexo 15'!Q40*'Anexo 5'!$D$10,0)</f>
        <v>0</v>
      </c>
      <c r="R40" s="33">
        <f>ROUND('Anexo 15'!R40*'Anexo 5'!$D$10,0)</f>
        <v>0</v>
      </c>
      <c r="S40" s="33">
        <f>ROUND('Anexo 15'!S40*'Anexo 5'!$D$10,0)</f>
        <v>0</v>
      </c>
      <c r="T40" s="33">
        <f>ROUND('Anexo 15'!T40*'Anexo 5'!$D$10,0)</f>
        <v>0</v>
      </c>
      <c r="U40" s="33">
        <f>ROUND('Anexo 15'!U40*'Anexo 5'!$D$10,0)</f>
        <v>0</v>
      </c>
      <c r="V40" s="33">
        <f>ROUND('Anexo 15'!V40*'Anexo 5'!$D$10,0)</f>
        <v>0</v>
      </c>
      <c r="W40" s="33">
        <f>ROUND('Anexo 15'!W40*'Anexo 5'!$D$10,0)</f>
        <v>0</v>
      </c>
      <c r="X40" s="33">
        <f>ROUND('Anexo 15'!X40*'Anexo 5'!$D$10,0)</f>
        <v>0</v>
      </c>
      <c r="Y40" s="33">
        <f>ROUND('Anexo 15'!Y40*'Anexo 5'!$D$10,0)</f>
        <v>0</v>
      </c>
      <c r="Z40" s="33">
        <f>ROUND('Anexo 15'!Z40*'Anexo 5'!$D$10,0)</f>
        <v>0</v>
      </c>
      <c r="AA40" s="38">
        <f t="shared" si="0"/>
        <v>0</v>
      </c>
      <c r="AB40" s="21">
        <v>4</v>
      </c>
      <c r="AC40" s="101"/>
      <c r="AD40" s="47"/>
    </row>
    <row r="41" spans="1:30" ht="15.75" thickBot="1" x14ac:dyDescent="0.3">
      <c r="A41" s="99"/>
      <c r="B41" s="22" t="s">
        <v>3</v>
      </c>
      <c r="C41" s="33">
        <f>ROUND('Anexo 15'!C41*'Anexo 5'!$D$10,0)</f>
        <v>0</v>
      </c>
      <c r="D41" s="33">
        <f>ROUND('Anexo 15'!D41*'Anexo 5'!$D$10,0)</f>
        <v>0</v>
      </c>
      <c r="E41" s="33">
        <f>ROUND('Anexo 15'!E41*'Anexo 5'!$D$10,0)</f>
        <v>0</v>
      </c>
      <c r="F41" s="33">
        <f>ROUND('Anexo 15'!F41*'Anexo 5'!$D$10,0)</f>
        <v>0</v>
      </c>
      <c r="G41" s="33">
        <f>ROUND('Anexo 15'!G41*'Anexo 5'!$D$10,0)</f>
        <v>0</v>
      </c>
      <c r="H41" s="33">
        <f>ROUND('Anexo 15'!H41*'Anexo 5'!$D$10,0)</f>
        <v>0</v>
      </c>
      <c r="I41" s="33">
        <f>ROUND('Anexo 15'!I41*'Anexo 5'!$D$10,0)</f>
        <v>0</v>
      </c>
      <c r="J41" s="33">
        <f>ROUND('Anexo 15'!J41*'Anexo 5'!$D$10,0)</f>
        <v>0</v>
      </c>
      <c r="K41" s="33">
        <f>ROUND('Anexo 15'!K41*'Anexo 5'!$D$10,0)</f>
        <v>0</v>
      </c>
      <c r="L41" s="33">
        <f>ROUND('Anexo 15'!L41*'Anexo 5'!$D$10,0)</f>
        <v>0</v>
      </c>
      <c r="M41" s="33">
        <f>ROUND('Anexo 15'!M41*'Anexo 5'!$D$10,0)</f>
        <v>0</v>
      </c>
      <c r="N41" s="33">
        <f>ROUND('Anexo 15'!N41*'Anexo 5'!$D$10,0)</f>
        <v>0</v>
      </c>
      <c r="O41" s="33">
        <f>ROUND('Anexo 15'!O41*'Anexo 5'!$D$10,0)</f>
        <v>0</v>
      </c>
      <c r="P41" s="33">
        <f>ROUND('Anexo 15'!P41*'Anexo 5'!$D$10,0)</f>
        <v>0</v>
      </c>
      <c r="Q41" s="33">
        <f>ROUND('Anexo 15'!Q41*'Anexo 5'!$D$10,0)</f>
        <v>0</v>
      </c>
      <c r="R41" s="33">
        <f>ROUND('Anexo 15'!R41*'Anexo 5'!$D$10,0)</f>
        <v>0</v>
      </c>
      <c r="S41" s="33">
        <f>ROUND('Anexo 15'!S41*'Anexo 5'!$D$10,0)</f>
        <v>0</v>
      </c>
      <c r="T41" s="33">
        <f>ROUND('Anexo 15'!T41*'Anexo 5'!$D$10,0)</f>
        <v>0</v>
      </c>
      <c r="U41" s="33">
        <f>ROUND('Anexo 15'!U41*'Anexo 5'!$D$10,0)</f>
        <v>0</v>
      </c>
      <c r="V41" s="33">
        <f>ROUND('Anexo 15'!V41*'Anexo 5'!$D$10,0)</f>
        <v>0</v>
      </c>
      <c r="W41" s="33">
        <f>ROUND('Anexo 15'!W41*'Anexo 5'!$D$10,0)</f>
        <v>0</v>
      </c>
      <c r="X41" s="33">
        <f>ROUND('Anexo 15'!X41*'Anexo 5'!$D$10,0)</f>
        <v>0</v>
      </c>
      <c r="Y41" s="33">
        <f>ROUND('Anexo 15'!Y41*'Anexo 5'!$D$10,0)</f>
        <v>0</v>
      </c>
      <c r="Z41" s="33">
        <f>ROUND('Anexo 15'!Z41*'Anexo 5'!$D$10,0)</f>
        <v>0</v>
      </c>
      <c r="AA41" s="41">
        <f t="shared" si="0"/>
        <v>0</v>
      </c>
      <c r="AB41" s="23">
        <v>6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5E0-29B2-4565-9B1E-79BFC59CE816}">
  <sheetPr>
    <tabColor theme="7" tint="-0.249977111117893"/>
  </sheetPr>
  <dimension ref="A1:XFC36"/>
  <sheetViews>
    <sheetView showGridLines="0" topLeftCell="A16" zoomScaleNormal="100" zoomScaleSheetLayoutView="140" workbookViewId="0">
      <selection activeCell="B8" sqref="B8:F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22.855468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9" t="s">
        <v>80</v>
      </c>
      <c r="C3" s="79"/>
      <c r="D3" s="79"/>
      <c r="E3" s="79"/>
      <c r="F3" s="79"/>
      <c r="G3" s="29"/>
    </row>
    <row r="4" spans="1:8" x14ac:dyDescent="0.25">
      <c r="B4" s="79" t="s">
        <v>78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47849</v>
      </c>
      <c r="C10" s="43">
        <f>+'Anexo 16'!AC6</f>
        <v>42038164</v>
      </c>
      <c r="D10" s="76"/>
      <c r="E10" s="57">
        <f>+'Cantidades Ofertadas Prod 6'!AC6</f>
        <v>0</v>
      </c>
      <c r="F10" s="85"/>
      <c r="G10" s="32"/>
      <c r="H10" s="66"/>
    </row>
    <row r="11" spans="1:8" ht="15.75" thickBot="1" x14ac:dyDescent="0.3">
      <c r="A11" s="59">
        <v>29</v>
      </c>
      <c r="B11" s="8">
        <v>47880</v>
      </c>
      <c r="C11" s="43">
        <f>+'Anexo 16'!AC9</f>
        <v>38707004</v>
      </c>
      <c r="D11" s="77"/>
      <c r="E11" s="57">
        <f>+'Cantidades Ofertadas Prod 6'!AC9</f>
        <v>0</v>
      </c>
      <c r="F11" s="86"/>
      <c r="G11" s="32"/>
      <c r="H11" s="66"/>
    </row>
    <row r="12" spans="1:8" ht="15.75" thickBot="1" x14ac:dyDescent="0.3">
      <c r="A12" s="59">
        <v>31</v>
      </c>
      <c r="B12" s="8">
        <v>47908</v>
      </c>
      <c r="C12" s="43">
        <f>+'Anexo 16'!AC12</f>
        <v>41666135</v>
      </c>
      <c r="D12" s="77"/>
      <c r="E12" s="57">
        <f>+'Cantidades Ofertadas Prod 6'!AC12</f>
        <v>0</v>
      </c>
      <c r="F12" s="86"/>
      <c r="G12" s="32"/>
      <c r="H12" s="66"/>
    </row>
    <row r="13" spans="1:8" ht="15.75" thickBot="1" x14ac:dyDescent="0.3">
      <c r="A13" s="59">
        <v>30</v>
      </c>
      <c r="B13" s="8">
        <v>47939</v>
      </c>
      <c r="C13" s="43">
        <f>+'Anexo 16'!AC15</f>
        <v>39420724</v>
      </c>
      <c r="D13" s="77"/>
      <c r="E13" s="57">
        <f>+'Cantidades Ofertadas Prod 6'!AC15</f>
        <v>0</v>
      </c>
      <c r="F13" s="86"/>
      <c r="G13" s="32"/>
      <c r="H13" s="66"/>
    </row>
    <row r="14" spans="1:8" ht="15.75" thickBot="1" x14ac:dyDescent="0.3">
      <c r="A14" s="59">
        <v>31</v>
      </c>
      <c r="B14" s="8">
        <v>47969</v>
      </c>
      <c r="C14" s="43">
        <f>+'Anexo 16'!AC18</f>
        <v>41008145</v>
      </c>
      <c r="D14" s="77"/>
      <c r="E14" s="57">
        <f>+'Cantidades Ofertadas Prod 6'!AC18</f>
        <v>0</v>
      </c>
      <c r="F14" s="86"/>
      <c r="G14" s="32"/>
      <c r="H14" s="66"/>
    </row>
    <row r="15" spans="1:8" ht="15.75" thickBot="1" x14ac:dyDescent="0.3">
      <c r="A15" s="59">
        <v>30</v>
      </c>
      <c r="B15" s="8">
        <v>48000</v>
      </c>
      <c r="C15" s="43">
        <f>+'Anexo 16'!AC21</f>
        <v>39583498</v>
      </c>
      <c r="D15" s="77"/>
      <c r="E15" s="57">
        <f>+'Cantidades Ofertadas Prod 6'!AC21</f>
        <v>0</v>
      </c>
      <c r="F15" s="86"/>
      <c r="G15" s="32"/>
      <c r="H15" s="66"/>
    </row>
    <row r="16" spans="1:8" ht="15.75" thickBot="1" x14ac:dyDescent="0.3">
      <c r="A16" s="59">
        <v>31</v>
      </c>
      <c r="B16" s="8">
        <v>48030</v>
      </c>
      <c r="C16" s="43">
        <f>+'Anexo 16'!AC24</f>
        <v>42163324</v>
      </c>
      <c r="D16" s="77"/>
      <c r="E16" s="57">
        <f>+'Cantidades Ofertadas Prod 6'!AC24</f>
        <v>0</v>
      </c>
      <c r="F16" s="86"/>
      <c r="G16" s="32"/>
      <c r="H16" s="66"/>
    </row>
    <row r="17" spans="1:8" ht="15.75" thickBot="1" x14ac:dyDescent="0.3">
      <c r="A17" s="59">
        <v>31</v>
      </c>
      <c r="B17" s="8">
        <v>48061</v>
      </c>
      <c r="C17" s="43">
        <f>+'Anexo 16'!AC27</f>
        <v>42671591</v>
      </c>
      <c r="D17" s="77"/>
      <c r="E17" s="57">
        <f>+'Cantidades Ofertadas Prod 6'!AC27</f>
        <v>0</v>
      </c>
      <c r="F17" s="86"/>
      <c r="G17" s="32"/>
      <c r="H17" s="66"/>
    </row>
    <row r="18" spans="1:8" ht="15.75" thickBot="1" x14ac:dyDescent="0.3">
      <c r="A18" s="59">
        <v>30</v>
      </c>
      <c r="B18" s="8">
        <v>48092</v>
      </c>
      <c r="C18" s="43">
        <f>+'Anexo 16'!AC30</f>
        <v>42069540</v>
      </c>
      <c r="D18" s="77"/>
      <c r="E18" s="57">
        <f>+'Cantidades Ofertadas Prod 6'!AC30</f>
        <v>0</v>
      </c>
      <c r="F18" s="86"/>
      <c r="G18" s="32"/>
      <c r="H18" s="66"/>
    </row>
    <row r="19" spans="1:8" ht="15.75" thickBot="1" x14ac:dyDescent="0.3">
      <c r="A19" s="59">
        <v>31</v>
      </c>
      <c r="B19" s="8">
        <v>48122</v>
      </c>
      <c r="C19" s="43">
        <f>+'Anexo 16'!AC33</f>
        <v>41623686</v>
      </c>
      <c r="D19" s="77"/>
      <c r="E19" s="57">
        <f>+'Cantidades Ofertadas Prod 6'!AC33</f>
        <v>0</v>
      </c>
      <c r="F19" s="86"/>
      <c r="G19" s="32"/>
      <c r="H19" s="66"/>
    </row>
    <row r="20" spans="1:8" ht="15.75" thickBot="1" x14ac:dyDescent="0.3">
      <c r="A20" s="59">
        <v>30</v>
      </c>
      <c r="B20" s="8">
        <v>48153</v>
      </c>
      <c r="C20" s="43">
        <f>+'Anexo 16'!AC36</f>
        <v>39396304</v>
      </c>
      <c r="D20" s="77"/>
      <c r="E20" s="57">
        <f>+'Cantidades Ofertadas Prod 6'!AC36</f>
        <v>0</v>
      </c>
      <c r="F20" s="86"/>
      <c r="G20" s="32"/>
      <c r="H20" s="66"/>
    </row>
    <row r="21" spans="1:8" ht="15.75" thickBot="1" x14ac:dyDescent="0.3">
      <c r="A21" s="59">
        <v>31</v>
      </c>
      <c r="B21" s="8">
        <v>48183</v>
      </c>
      <c r="C21" s="43">
        <f>+'Anexo 16'!AC39</f>
        <v>42424899</v>
      </c>
      <c r="D21" s="78"/>
      <c r="E21" s="57">
        <f>+'Cantidades Ofertadas Prod 6'!AC39</f>
        <v>0</v>
      </c>
      <c r="F21" s="87"/>
      <c r="G21" s="32"/>
      <c r="H21" s="66"/>
    </row>
    <row r="22" spans="1:8" ht="28.5" customHeight="1" x14ac:dyDescent="0.25">
      <c r="B22" s="9" t="s">
        <v>0</v>
      </c>
      <c r="C22" s="10">
        <f>+SUM(C10:C21)</f>
        <v>492773014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72" t="s">
        <v>46</v>
      </c>
      <c r="C25" s="72"/>
      <c r="D25" s="72"/>
      <c r="E25" s="72"/>
      <c r="F25" s="72"/>
      <c r="G25" s="72"/>
      <c r="H25" s="42"/>
    </row>
    <row r="26" spans="1:8" x14ac:dyDescent="0.25">
      <c r="B26" s="7" t="s">
        <v>103</v>
      </c>
      <c r="C26" s="52"/>
      <c r="D26" s="52"/>
      <c r="E26" s="52"/>
      <c r="F26" s="52"/>
      <c r="G26" s="52"/>
      <c r="H26" s="42"/>
    </row>
    <row r="27" spans="1:8" x14ac:dyDescent="0.25">
      <c r="B27" s="7" t="s">
        <v>85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127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4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47E-EB38-44D8-A1D5-39A69B36BA5A}">
  <sheetPr>
    <tabColor theme="7" tint="-0.249977111117893"/>
  </sheetPr>
  <dimension ref="A1:H33"/>
  <sheetViews>
    <sheetView showGridLines="0" topLeftCell="A14" zoomScaleNormal="100" zoomScaleSheetLayoutView="140" workbookViewId="0">
      <selection activeCell="B26" sqref="B26:G26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9" t="s">
        <v>112</v>
      </c>
      <c r="C3" s="79"/>
      <c r="D3" s="79"/>
      <c r="E3" s="79"/>
      <c r="F3" s="79"/>
      <c r="G3" s="29"/>
    </row>
    <row r="4" spans="1:8" ht="15" x14ac:dyDescent="0.25">
      <c r="B4" s="79" t="s">
        <v>78</v>
      </c>
      <c r="C4" s="79"/>
      <c r="D4" s="79"/>
      <c r="E4" s="79"/>
      <c r="F4" s="79"/>
      <c r="G4" s="29"/>
    </row>
    <row r="5" spans="1:8" ht="15" x14ac:dyDescent="0.25">
      <c r="B5" s="79" t="s">
        <v>89</v>
      </c>
      <c r="C5" s="79"/>
      <c r="D5" s="79"/>
      <c r="E5" s="79"/>
      <c r="F5" s="79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56252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47849</v>
      </c>
      <c r="C10" s="43">
        <f>+$A$9*A10*24</f>
        <v>41851488</v>
      </c>
      <c r="D10" s="82"/>
      <c r="E10" s="57">
        <f>+$D$10*A10*24</f>
        <v>0</v>
      </c>
      <c r="F10" s="73"/>
      <c r="G10" s="32"/>
      <c r="H10" s="51"/>
    </row>
    <row r="11" spans="1:8" ht="15.75" thickBot="1" x14ac:dyDescent="0.3">
      <c r="A11" s="59">
        <v>28</v>
      </c>
      <c r="B11" s="8">
        <v>47880</v>
      </c>
      <c r="C11" s="43">
        <f t="shared" ref="C11:C21" si="0">+$A$9*A11*24</f>
        <v>37801344</v>
      </c>
      <c r="D11" s="83"/>
      <c r="E11" s="57">
        <f t="shared" ref="E11:E21" si="1">+$D$10*A11*24</f>
        <v>0</v>
      </c>
      <c r="F11" s="74"/>
      <c r="G11" s="32"/>
      <c r="H11" s="51"/>
    </row>
    <row r="12" spans="1:8" ht="15.75" thickBot="1" x14ac:dyDescent="0.3">
      <c r="A12" s="59">
        <v>31</v>
      </c>
      <c r="B12" s="8">
        <v>47908</v>
      </c>
      <c r="C12" s="43">
        <f t="shared" si="0"/>
        <v>41851488</v>
      </c>
      <c r="D12" s="83"/>
      <c r="E12" s="57">
        <f t="shared" si="1"/>
        <v>0</v>
      </c>
      <c r="F12" s="74"/>
      <c r="G12" s="32"/>
      <c r="H12" s="51"/>
    </row>
    <row r="13" spans="1:8" ht="15.75" thickBot="1" x14ac:dyDescent="0.3">
      <c r="A13" s="59">
        <v>30</v>
      </c>
      <c r="B13" s="8">
        <v>47939</v>
      </c>
      <c r="C13" s="43">
        <f t="shared" si="0"/>
        <v>40501440</v>
      </c>
      <c r="D13" s="83"/>
      <c r="E13" s="57">
        <f t="shared" si="1"/>
        <v>0</v>
      </c>
      <c r="F13" s="74"/>
      <c r="G13" s="32"/>
      <c r="H13" s="51"/>
    </row>
    <row r="14" spans="1:8" ht="15.75" thickBot="1" x14ac:dyDescent="0.3">
      <c r="A14" s="59">
        <v>31</v>
      </c>
      <c r="B14" s="8">
        <v>47969</v>
      </c>
      <c r="C14" s="43">
        <f t="shared" si="0"/>
        <v>41851488</v>
      </c>
      <c r="D14" s="83"/>
      <c r="E14" s="57">
        <f t="shared" si="1"/>
        <v>0</v>
      </c>
      <c r="F14" s="74"/>
      <c r="G14" s="32"/>
      <c r="H14" s="51"/>
    </row>
    <row r="15" spans="1:8" ht="15.75" thickBot="1" x14ac:dyDescent="0.3">
      <c r="A15" s="59">
        <v>30</v>
      </c>
      <c r="B15" s="8">
        <v>48000</v>
      </c>
      <c r="C15" s="43">
        <f t="shared" si="0"/>
        <v>40501440</v>
      </c>
      <c r="D15" s="83"/>
      <c r="E15" s="57">
        <f t="shared" si="1"/>
        <v>0</v>
      </c>
      <c r="F15" s="74"/>
      <c r="G15" s="32"/>
      <c r="H15" s="51"/>
    </row>
    <row r="16" spans="1:8" ht="15.75" thickBot="1" x14ac:dyDescent="0.3">
      <c r="A16" s="59">
        <v>31</v>
      </c>
      <c r="B16" s="8">
        <v>48030</v>
      </c>
      <c r="C16" s="43">
        <f t="shared" si="0"/>
        <v>41851488</v>
      </c>
      <c r="D16" s="83"/>
      <c r="E16" s="57">
        <f t="shared" si="1"/>
        <v>0</v>
      </c>
      <c r="F16" s="74"/>
      <c r="G16" s="32"/>
      <c r="H16" s="51"/>
    </row>
    <row r="17" spans="1:8" ht="15.75" thickBot="1" x14ac:dyDescent="0.3">
      <c r="A17" s="59">
        <v>31</v>
      </c>
      <c r="B17" s="8">
        <v>48061</v>
      </c>
      <c r="C17" s="43">
        <f t="shared" si="0"/>
        <v>41851488</v>
      </c>
      <c r="D17" s="83"/>
      <c r="E17" s="57">
        <f t="shared" si="1"/>
        <v>0</v>
      </c>
      <c r="F17" s="74"/>
      <c r="G17" s="32"/>
      <c r="H17" s="51"/>
    </row>
    <row r="18" spans="1:8" ht="15.75" thickBot="1" x14ac:dyDescent="0.3">
      <c r="A18" s="59">
        <v>30</v>
      </c>
      <c r="B18" s="8">
        <v>48092</v>
      </c>
      <c r="C18" s="43">
        <f t="shared" si="0"/>
        <v>40501440</v>
      </c>
      <c r="D18" s="83"/>
      <c r="E18" s="57">
        <f t="shared" si="1"/>
        <v>0</v>
      </c>
      <c r="F18" s="74"/>
      <c r="G18" s="32"/>
      <c r="H18" s="51"/>
    </row>
    <row r="19" spans="1:8" ht="15.75" thickBot="1" x14ac:dyDescent="0.3">
      <c r="A19" s="59">
        <v>31</v>
      </c>
      <c r="B19" s="8">
        <v>48122</v>
      </c>
      <c r="C19" s="43">
        <f t="shared" si="0"/>
        <v>41851488</v>
      </c>
      <c r="D19" s="83"/>
      <c r="E19" s="57">
        <f t="shared" si="1"/>
        <v>0</v>
      </c>
      <c r="F19" s="74"/>
      <c r="G19" s="32"/>
      <c r="H19" s="51"/>
    </row>
    <row r="20" spans="1:8" ht="15.75" thickBot="1" x14ac:dyDescent="0.3">
      <c r="A20" s="59">
        <v>30</v>
      </c>
      <c r="B20" s="8">
        <v>48153</v>
      </c>
      <c r="C20" s="43">
        <f t="shared" si="0"/>
        <v>40501440</v>
      </c>
      <c r="D20" s="83"/>
      <c r="E20" s="57">
        <f t="shared" si="1"/>
        <v>0</v>
      </c>
      <c r="F20" s="74"/>
      <c r="G20" s="32"/>
      <c r="H20" s="51"/>
    </row>
    <row r="21" spans="1:8" ht="15.75" thickBot="1" x14ac:dyDescent="0.3">
      <c r="A21" s="59">
        <v>31</v>
      </c>
      <c r="B21" s="8">
        <v>48183</v>
      </c>
      <c r="C21" s="43">
        <f t="shared" si="0"/>
        <v>41851488</v>
      </c>
      <c r="D21" s="84"/>
      <c r="E21" s="57">
        <f t="shared" si="1"/>
        <v>0</v>
      </c>
      <c r="F21" s="75"/>
      <c r="G21" s="32"/>
      <c r="H21" s="51"/>
    </row>
    <row r="22" spans="1:8" ht="28.5" customHeight="1" x14ac:dyDescent="0.25">
      <c r="B22" s="9" t="s">
        <v>0</v>
      </c>
      <c r="C22" s="10">
        <f>+SUM(C10:C21)</f>
        <v>492767520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126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72" t="s">
        <v>68</v>
      </c>
      <c r="C26" s="72"/>
      <c r="D26" s="72"/>
      <c r="E26" s="72"/>
      <c r="F26" s="72"/>
      <c r="G26" s="72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2.156" prompt="debe ofertar maximo 56.252 kWh" sqref="D10:D21" xr:uid="{B0F9BE98-7BDC-46DE-A9BE-55C73056D228}">
      <formula1>0</formula1>
      <formula2>+A9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B97C-E805-4999-AE4C-42ACE0510DD7}">
  <sheetPr>
    <tabColor theme="7" tint="-0.249977111117893"/>
  </sheetPr>
  <dimension ref="A1:AD45"/>
  <sheetViews>
    <sheetView showGridLines="0" zoomScale="115" zoomScaleNormal="115" zoomScaleSheetLayoutView="110" workbookViewId="0">
      <pane xSplit="2" ySplit="5" topLeftCell="N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4" width="8.7109375" bestFit="1" customWidth="1"/>
    <col min="5" max="5" width="8.42578125" bestFit="1" customWidth="1"/>
    <col min="6" max="7" width="9" bestFit="1" customWidth="1"/>
    <col min="8" max="8" width="8.7109375" bestFit="1" customWidth="1"/>
    <col min="9" max="11" width="9" bestFit="1" customWidth="1"/>
    <col min="12" max="12" width="8.42578125" bestFit="1" customWidth="1"/>
    <col min="13" max="13" width="9" bestFit="1" customWidth="1"/>
    <col min="14" max="15" width="9.28515625" bestFit="1" customWidth="1"/>
    <col min="16" max="16" width="9" bestFit="1" customWidth="1"/>
    <col min="17" max="17" width="7.7109375" bestFit="1" customWidth="1"/>
    <col min="18" max="20" width="9" bestFit="1" customWidth="1"/>
    <col min="21" max="25" width="9.2851562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72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47849</v>
      </c>
      <c r="B6" s="18" t="s">
        <v>5</v>
      </c>
      <c r="C6" s="33">
        <v>45640</v>
      </c>
      <c r="D6" s="33">
        <v>43002</v>
      </c>
      <c r="E6" s="33">
        <v>41415</v>
      </c>
      <c r="F6" s="33">
        <v>40595</v>
      </c>
      <c r="G6" s="33">
        <v>41162</v>
      </c>
      <c r="H6" s="33">
        <v>43613</v>
      </c>
      <c r="I6" s="33">
        <v>45944</v>
      </c>
      <c r="J6" s="33">
        <v>50308</v>
      </c>
      <c r="K6" s="33">
        <v>55217</v>
      </c>
      <c r="L6" s="33">
        <v>58935</v>
      </c>
      <c r="M6" s="33">
        <v>62722</v>
      </c>
      <c r="N6" s="33">
        <v>66293</v>
      </c>
      <c r="O6" s="33">
        <v>65687</v>
      </c>
      <c r="P6" s="33">
        <v>65765</v>
      </c>
      <c r="Q6" s="33">
        <v>66861</v>
      </c>
      <c r="R6" s="33">
        <v>67071</v>
      </c>
      <c r="S6" s="33">
        <v>66303</v>
      </c>
      <c r="T6" s="33">
        <v>64867</v>
      </c>
      <c r="U6" s="33">
        <v>69634</v>
      </c>
      <c r="V6" s="33">
        <v>73605</v>
      </c>
      <c r="W6" s="33">
        <v>70936</v>
      </c>
      <c r="X6" s="33">
        <v>66254</v>
      </c>
      <c r="Y6" s="33">
        <v>58731</v>
      </c>
      <c r="Z6" s="34">
        <v>51132</v>
      </c>
      <c r="AA6" s="35">
        <f>SUM(C6:Z6)</f>
        <v>1381692</v>
      </c>
      <c r="AB6" s="19">
        <v>21</v>
      </c>
      <c r="AC6" s="100">
        <f>+AA6*AB6+AA7*AB7+AA8*AB8</f>
        <v>42038164</v>
      </c>
    </row>
    <row r="7" spans="1:30" ht="15.75" thickBot="1" x14ac:dyDescent="0.3">
      <c r="A7" s="99"/>
      <c r="B7" s="20" t="s">
        <v>4</v>
      </c>
      <c r="C7" s="36">
        <v>46741</v>
      </c>
      <c r="D7" s="36">
        <v>43762</v>
      </c>
      <c r="E7" s="36">
        <v>41944</v>
      </c>
      <c r="F7" s="36">
        <v>40798</v>
      </c>
      <c r="G7" s="36">
        <v>40834</v>
      </c>
      <c r="H7" s="36">
        <v>42206</v>
      </c>
      <c r="I7" s="36">
        <v>43805</v>
      </c>
      <c r="J7" s="36">
        <v>48242</v>
      </c>
      <c r="K7" s="36">
        <v>53728</v>
      </c>
      <c r="L7" s="36">
        <v>57870</v>
      </c>
      <c r="M7" s="36">
        <v>60972</v>
      </c>
      <c r="N7" s="36">
        <v>64041</v>
      </c>
      <c r="O7" s="36">
        <v>64373</v>
      </c>
      <c r="P7" s="36">
        <v>63741</v>
      </c>
      <c r="Q7" s="36">
        <v>63048</v>
      </c>
      <c r="R7" s="36">
        <v>62710</v>
      </c>
      <c r="S7" s="36">
        <v>62237</v>
      </c>
      <c r="T7" s="36">
        <v>62177</v>
      </c>
      <c r="U7" s="36">
        <v>68154</v>
      </c>
      <c r="V7" s="36">
        <v>72411</v>
      </c>
      <c r="W7" s="36">
        <v>69499</v>
      </c>
      <c r="X7" s="36">
        <v>65160</v>
      </c>
      <c r="Y7" s="36">
        <v>59002</v>
      </c>
      <c r="Z7" s="37">
        <v>52831</v>
      </c>
      <c r="AA7" s="38">
        <f t="shared" ref="AA7:AA41" si="0">SUM(C7:Z7)</f>
        <v>1350286</v>
      </c>
      <c r="AB7" s="21">
        <v>4</v>
      </c>
      <c r="AC7" s="101"/>
      <c r="AD7" s="47"/>
    </row>
    <row r="8" spans="1:30" x14ac:dyDescent="0.25">
      <c r="A8" s="99"/>
      <c r="B8" s="22" t="s">
        <v>3</v>
      </c>
      <c r="C8" s="39">
        <v>48999</v>
      </c>
      <c r="D8" s="39">
        <v>45780</v>
      </c>
      <c r="E8" s="39">
        <v>43646</v>
      </c>
      <c r="F8" s="39">
        <v>42139</v>
      </c>
      <c r="G8" s="39">
        <v>41404</v>
      </c>
      <c r="H8" s="39">
        <v>41693</v>
      </c>
      <c r="I8" s="39">
        <v>41284</v>
      </c>
      <c r="J8" s="39">
        <v>43722</v>
      </c>
      <c r="K8" s="39">
        <v>47897</v>
      </c>
      <c r="L8" s="39">
        <v>51575</v>
      </c>
      <c r="M8" s="39">
        <v>54290</v>
      </c>
      <c r="N8" s="39">
        <v>57117</v>
      </c>
      <c r="O8" s="39">
        <v>58791</v>
      </c>
      <c r="P8" s="39">
        <v>58591</v>
      </c>
      <c r="Q8" s="39">
        <v>57527</v>
      </c>
      <c r="R8" s="39">
        <v>56914</v>
      </c>
      <c r="S8" s="39">
        <v>56606</v>
      </c>
      <c r="T8" s="39">
        <v>56913</v>
      </c>
      <c r="U8" s="39">
        <v>63432</v>
      </c>
      <c r="V8" s="39">
        <v>68087</v>
      </c>
      <c r="W8" s="39">
        <v>66189</v>
      </c>
      <c r="X8" s="39">
        <v>62130</v>
      </c>
      <c r="Y8" s="39">
        <v>55873</v>
      </c>
      <c r="Z8" s="40">
        <v>49649</v>
      </c>
      <c r="AA8" s="41">
        <f t="shared" si="0"/>
        <v>1270248</v>
      </c>
      <c r="AB8" s="23">
        <v>6</v>
      </c>
      <c r="AC8" s="102"/>
      <c r="AD8" s="48"/>
    </row>
    <row r="9" spans="1:30" ht="15.75" thickBot="1" x14ac:dyDescent="0.3">
      <c r="A9" s="99">
        <v>47880</v>
      </c>
      <c r="B9" s="18" t="s">
        <v>5</v>
      </c>
      <c r="C9" s="33">
        <v>45907</v>
      </c>
      <c r="D9" s="33">
        <v>43368</v>
      </c>
      <c r="E9" s="33">
        <v>41909</v>
      </c>
      <c r="F9" s="33">
        <v>41192</v>
      </c>
      <c r="G9" s="33">
        <v>42022</v>
      </c>
      <c r="H9" s="33">
        <v>45827</v>
      </c>
      <c r="I9" s="33">
        <v>48858</v>
      </c>
      <c r="J9" s="33">
        <v>52151</v>
      </c>
      <c r="K9" s="33">
        <v>56518</v>
      </c>
      <c r="L9" s="33">
        <v>59790</v>
      </c>
      <c r="M9" s="33">
        <v>63365</v>
      </c>
      <c r="N9" s="33">
        <v>66678</v>
      </c>
      <c r="O9" s="33">
        <v>65348</v>
      </c>
      <c r="P9" s="33">
        <v>65854</v>
      </c>
      <c r="Q9" s="33">
        <v>67392</v>
      </c>
      <c r="R9" s="33">
        <v>67670</v>
      </c>
      <c r="S9" s="33">
        <v>66915</v>
      </c>
      <c r="T9" s="33">
        <v>65168</v>
      </c>
      <c r="U9" s="33">
        <v>68806</v>
      </c>
      <c r="V9" s="33">
        <v>74016</v>
      </c>
      <c r="W9" s="33">
        <v>71449</v>
      </c>
      <c r="X9" s="33">
        <v>66548</v>
      </c>
      <c r="Y9" s="33">
        <v>58815</v>
      </c>
      <c r="Z9" s="34">
        <v>51121</v>
      </c>
      <c r="AA9" s="35">
        <f t="shared" si="0"/>
        <v>1396687</v>
      </c>
      <c r="AB9" s="19">
        <v>20</v>
      </c>
      <c r="AC9" s="100">
        <f>+AA9*AB9+AA10*AB10+AA11*AB11</f>
        <v>38707004</v>
      </c>
    </row>
    <row r="10" spans="1:30" ht="15.75" thickBot="1" x14ac:dyDescent="0.3">
      <c r="A10" s="99"/>
      <c r="B10" s="20" t="s">
        <v>4</v>
      </c>
      <c r="C10" s="36">
        <v>47606</v>
      </c>
      <c r="D10" s="36">
        <v>44791</v>
      </c>
      <c r="E10" s="36">
        <v>42982</v>
      </c>
      <c r="F10" s="36">
        <v>41942</v>
      </c>
      <c r="G10" s="36">
        <v>42065</v>
      </c>
      <c r="H10" s="36">
        <v>43540</v>
      </c>
      <c r="I10" s="36">
        <v>45901</v>
      </c>
      <c r="J10" s="36">
        <v>50335</v>
      </c>
      <c r="K10" s="36">
        <v>56035</v>
      </c>
      <c r="L10" s="36">
        <v>60003</v>
      </c>
      <c r="M10" s="36">
        <v>63158</v>
      </c>
      <c r="N10" s="36">
        <v>66222</v>
      </c>
      <c r="O10" s="36">
        <v>66307</v>
      </c>
      <c r="P10" s="36">
        <v>65457</v>
      </c>
      <c r="Q10" s="36">
        <v>64729</v>
      </c>
      <c r="R10" s="36">
        <v>64331</v>
      </c>
      <c r="S10" s="36">
        <v>63784</v>
      </c>
      <c r="T10" s="36">
        <v>63584</v>
      </c>
      <c r="U10" s="36">
        <v>68418</v>
      </c>
      <c r="V10" s="36">
        <v>73657</v>
      </c>
      <c r="W10" s="36">
        <v>70773</v>
      </c>
      <c r="X10" s="36">
        <v>66674</v>
      </c>
      <c r="Y10" s="36">
        <v>60814</v>
      </c>
      <c r="Z10" s="37">
        <v>54303</v>
      </c>
      <c r="AA10" s="38">
        <f t="shared" si="0"/>
        <v>1387411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49445</v>
      </c>
      <c r="D11" s="39">
        <v>46251</v>
      </c>
      <c r="E11" s="39">
        <v>44303</v>
      </c>
      <c r="F11" s="39">
        <v>42841</v>
      </c>
      <c r="G11" s="39">
        <v>42374</v>
      </c>
      <c r="H11" s="39">
        <v>42813</v>
      </c>
      <c r="I11" s="39">
        <v>43163</v>
      </c>
      <c r="J11" s="39">
        <v>46022</v>
      </c>
      <c r="K11" s="39">
        <v>50601</v>
      </c>
      <c r="L11" s="39">
        <v>54349</v>
      </c>
      <c r="M11" s="39">
        <v>56833</v>
      </c>
      <c r="N11" s="39">
        <v>59518</v>
      </c>
      <c r="O11" s="39">
        <v>61022</v>
      </c>
      <c r="P11" s="39">
        <v>60531</v>
      </c>
      <c r="Q11" s="39">
        <v>59333</v>
      </c>
      <c r="R11" s="39">
        <v>58606</v>
      </c>
      <c r="S11" s="39">
        <v>58240</v>
      </c>
      <c r="T11" s="39">
        <v>58547</v>
      </c>
      <c r="U11" s="39">
        <v>63746</v>
      </c>
      <c r="V11" s="39">
        <v>69533</v>
      </c>
      <c r="W11" s="39">
        <v>67767</v>
      </c>
      <c r="X11" s="39">
        <v>63562</v>
      </c>
      <c r="Y11" s="39">
        <v>56657</v>
      </c>
      <c r="Z11" s="40">
        <v>49848</v>
      </c>
      <c r="AA11" s="41">
        <f t="shared" si="0"/>
        <v>1305905</v>
      </c>
      <c r="AB11" s="23">
        <v>4</v>
      </c>
      <c r="AC11" s="102"/>
      <c r="AD11" s="48"/>
    </row>
    <row r="12" spans="1:30" ht="15.75" thickBot="1" x14ac:dyDescent="0.3">
      <c r="A12" s="99">
        <v>47908</v>
      </c>
      <c r="B12" s="18" t="s">
        <v>5</v>
      </c>
      <c r="C12" s="33">
        <v>44931</v>
      </c>
      <c r="D12" s="33">
        <v>42501</v>
      </c>
      <c r="E12" s="33">
        <v>41155</v>
      </c>
      <c r="F12" s="33">
        <v>40481</v>
      </c>
      <c r="G12" s="33">
        <v>41375</v>
      </c>
      <c r="H12" s="33">
        <v>45107</v>
      </c>
      <c r="I12" s="33">
        <v>47721</v>
      </c>
      <c r="J12" s="33">
        <v>51363</v>
      </c>
      <c r="K12" s="33">
        <v>55557</v>
      </c>
      <c r="L12" s="33">
        <v>58699</v>
      </c>
      <c r="M12" s="33">
        <v>62047</v>
      </c>
      <c r="N12" s="33">
        <v>65066</v>
      </c>
      <c r="O12" s="33">
        <v>63863</v>
      </c>
      <c r="P12" s="33">
        <v>64129</v>
      </c>
      <c r="Q12" s="33">
        <v>65453</v>
      </c>
      <c r="R12" s="33">
        <v>65668</v>
      </c>
      <c r="S12" s="33">
        <v>65093</v>
      </c>
      <c r="T12" s="33">
        <v>63863</v>
      </c>
      <c r="U12" s="33">
        <v>68404</v>
      </c>
      <c r="V12" s="33">
        <v>72849</v>
      </c>
      <c r="W12" s="33">
        <v>70202</v>
      </c>
      <c r="X12" s="33">
        <v>65218</v>
      </c>
      <c r="Y12" s="33">
        <v>57640</v>
      </c>
      <c r="Z12" s="34">
        <v>50159</v>
      </c>
      <c r="AA12" s="35">
        <f t="shared" si="0"/>
        <v>1368544</v>
      </c>
      <c r="AB12" s="19">
        <v>20</v>
      </c>
      <c r="AC12" s="100">
        <f>+AA12*AB12+AA13*AB13+AA14*AB14</f>
        <v>41666135</v>
      </c>
    </row>
    <row r="13" spans="1:30" ht="15.75" thickBot="1" x14ac:dyDescent="0.3">
      <c r="A13" s="99"/>
      <c r="B13" s="20" t="s">
        <v>4</v>
      </c>
      <c r="C13" s="36">
        <v>46347</v>
      </c>
      <c r="D13" s="36">
        <v>43540</v>
      </c>
      <c r="E13" s="36">
        <v>42048</v>
      </c>
      <c r="F13" s="36">
        <v>41195</v>
      </c>
      <c r="G13" s="36">
        <v>41246</v>
      </c>
      <c r="H13" s="36">
        <v>42812</v>
      </c>
      <c r="I13" s="36">
        <v>44178</v>
      </c>
      <c r="J13" s="36">
        <v>49041</v>
      </c>
      <c r="K13" s="36">
        <v>54330</v>
      </c>
      <c r="L13" s="36">
        <v>58162</v>
      </c>
      <c r="M13" s="36">
        <v>61206</v>
      </c>
      <c r="N13" s="36">
        <v>63743</v>
      </c>
      <c r="O13" s="36">
        <v>63693</v>
      </c>
      <c r="P13" s="36">
        <v>62788</v>
      </c>
      <c r="Q13" s="36">
        <v>62112</v>
      </c>
      <c r="R13" s="36">
        <v>61602</v>
      </c>
      <c r="S13" s="36">
        <v>60941</v>
      </c>
      <c r="T13" s="36">
        <v>60986</v>
      </c>
      <c r="U13" s="36">
        <v>66504</v>
      </c>
      <c r="V13" s="36">
        <v>70695</v>
      </c>
      <c r="W13" s="36">
        <v>67956</v>
      </c>
      <c r="X13" s="36">
        <v>64036</v>
      </c>
      <c r="Y13" s="36">
        <v>58206</v>
      </c>
      <c r="Z13" s="37">
        <v>52316</v>
      </c>
      <c r="AA13" s="38">
        <f t="shared" si="0"/>
        <v>1339683</v>
      </c>
      <c r="AB13" s="21">
        <v>5</v>
      </c>
      <c r="AC13" s="101"/>
      <c r="AD13" s="47"/>
    </row>
    <row r="14" spans="1:30" x14ac:dyDescent="0.25">
      <c r="A14" s="99"/>
      <c r="B14" s="22" t="s">
        <v>3</v>
      </c>
      <c r="C14" s="39">
        <v>47764</v>
      </c>
      <c r="D14" s="39">
        <v>44675</v>
      </c>
      <c r="E14" s="39">
        <v>42858</v>
      </c>
      <c r="F14" s="39">
        <v>41626</v>
      </c>
      <c r="G14" s="39">
        <v>41115</v>
      </c>
      <c r="H14" s="39">
        <v>41721</v>
      </c>
      <c r="I14" s="39">
        <v>41569</v>
      </c>
      <c r="J14" s="39">
        <v>44658</v>
      </c>
      <c r="K14" s="39">
        <v>48866</v>
      </c>
      <c r="L14" s="39">
        <v>52258</v>
      </c>
      <c r="M14" s="39">
        <v>54623</v>
      </c>
      <c r="N14" s="39">
        <v>57312</v>
      </c>
      <c r="O14" s="39">
        <v>58913</v>
      </c>
      <c r="P14" s="39">
        <v>58465</v>
      </c>
      <c r="Q14" s="39">
        <v>57237</v>
      </c>
      <c r="R14" s="39">
        <v>56688</v>
      </c>
      <c r="S14" s="39">
        <v>56332</v>
      </c>
      <c r="T14" s="39">
        <v>56772</v>
      </c>
      <c r="U14" s="39">
        <v>62729</v>
      </c>
      <c r="V14" s="39">
        <v>67668</v>
      </c>
      <c r="W14" s="39">
        <v>65764</v>
      </c>
      <c r="X14" s="39">
        <v>61822</v>
      </c>
      <c r="Y14" s="39">
        <v>55409</v>
      </c>
      <c r="Z14" s="40">
        <v>49296</v>
      </c>
      <c r="AA14" s="41">
        <f t="shared" si="0"/>
        <v>1266140</v>
      </c>
      <c r="AB14" s="23">
        <v>6</v>
      </c>
      <c r="AC14" s="102"/>
      <c r="AD14" s="45"/>
    </row>
    <row r="15" spans="1:30" ht="15.75" thickBot="1" x14ac:dyDescent="0.3">
      <c r="A15" s="99">
        <v>47939</v>
      </c>
      <c r="B15" s="18" t="s">
        <v>5</v>
      </c>
      <c r="C15" s="33">
        <v>43896</v>
      </c>
      <c r="D15" s="33">
        <v>41569</v>
      </c>
      <c r="E15" s="33">
        <v>40169</v>
      </c>
      <c r="F15" s="33">
        <v>39519</v>
      </c>
      <c r="G15" s="33">
        <v>40341</v>
      </c>
      <c r="H15" s="33">
        <v>43350</v>
      </c>
      <c r="I15" s="33">
        <v>45565</v>
      </c>
      <c r="J15" s="33">
        <v>49580</v>
      </c>
      <c r="K15" s="33">
        <v>53773</v>
      </c>
      <c r="L15" s="33">
        <v>57058</v>
      </c>
      <c r="M15" s="33">
        <v>60524</v>
      </c>
      <c r="N15" s="33">
        <v>63666</v>
      </c>
      <c r="O15" s="33">
        <v>62543</v>
      </c>
      <c r="P15" s="33">
        <v>62831</v>
      </c>
      <c r="Q15" s="33">
        <v>64074</v>
      </c>
      <c r="R15" s="33">
        <v>64202</v>
      </c>
      <c r="S15" s="33">
        <v>63556</v>
      </c>
      <c r="T15" s="33">
        <v>62616</v>
      </c>
      <c r="U15" s="33">
        <v>68082</v>
      </c>
      <c r="V15" s="33">
        <v>71333</v>
      </c>
      <c r="W15" s="33">
        <v>68823</v>
      </c>
      <c r="X15" s="33">
        <v>63791</v>
      </c>
      <c r="Y15" s="33">
        <v>56176</v>
      </c>
      <c r="Z15" s="34">
        <v>48892</v>
      </c>
      <c r="AA15" s="35">
        <f t="shared" si="0"/>
        <v>1335929</v>
      </c>
      <c r="AB15" s="19">
        <v>20</v>
      </c>
      <c r="AC15" s="100">
        <f>+AA15*AB15+AA16*AB16+AA17*AB17</f>
        <v>39420724</v>
      </c>
    </row>
    <row r="16" spans="1:30" ht="15.75" thickBot="1" x14ac:dyDescent="0.3">
      <c r="A16" s="99"/>
      <c r="B16" s="20" t="s">
        <v>4</v>
      </c>
      <c r="C16" s="36">
        <v>44831</v>
      </c>
      <c r="D16" s="36">
        <v>42176</v>
      </c>
      <c r="E16" s="36">
        <v>40468</v>
      </c>
      <c r="F16" s="36">
        <v>39460</v>
      </c>
      <c r="G16" s="36">
        <v>39646</v>
      </c>
      <c r="H16" s="36">
        <v>40784</v>
      </c>
      <c r="I16" s="36">
        <v>42216</v>
      </c>
      <c r="J16" s="36">
        <v>47293</v>
      </c>
      <c r="K16" s="36">
        <v>52500</v>
      </c>
      <c r="L16" s="36">
        <v>56451</v>
      </c>
      <c r="M16" s="36">
        <v>59306</v>
      </c>
      <c r="N16" s="36">
        <v>62545</v>
      </c>
      <c r="O16" s="36">
        <v>62744</v>
      </c>
      <c r="P16" s="36">
        <v>61989</v>
      </c>
      <c r="Q16" s="36">
        <v>61303</v>
      </c>
      <c r="R16" s="36">
        <v>60830</v>
      </c>
      <c r="S16" s="36">
        <v>60658</v>
      </c>
      <c r="T16" s="36">
        <v>60949</v>
      </c>
      <c r="U16" s="36">
        <v>67166</v>
      </c>
      <c r="V16" s="36">
        <v>70604</v>
      </c>
      <c r="W16" s="36">
        <v>67714</v>
      </c>
      <c r="X16" s="36">
        <v>63521</v>
      </c>
      <c r="Y16" s="36">
        <v>57615</v>
      </c>
      <c r="Z16" s="37">
        <v>51588</v>
      </c>
      <c r="AA16" s="38">
        <f t="shared" si="0"/>
        <v>1314357</v>
      </c>
      <c r="AB16" s="21">
        <v>4</v>
      </c>
      <c r="AC16" s="101"/>
      <c r="AD16" s="47"/>
    </row>
    <row r="17" spans="1:30" x14ac:dyDescent="0.25">
      <c r="A17" s="99"/>
      <c r="B17" s="22" t="s">
        <v>3</v>
      </c>
      <c r="C17" s="39">
        <v>46719</v>
      </c>
      <c r="D17" s="39">
        <v>43739</v>
      </c>
      <c r="E17" s="39">
        <v>41811</v>
      </c>
      <c r="F17" s="39">
        <v>40500</v>
      </c>
      <c r="G17" s="39">
        <v>39992</v>
      </c>
      <c r="H17" s="39">
        <v>39924</v>
      </c>
      <c r="I17" s="39">
        <v>40235</v>
      </c>
      <c r="J17" s="39">
        <v>43721</v>
      </c>
      <c r="K17" s="39">
        <v>47799</v>
      </c>
      <c r="L17" s="39">
        <v>51379</v>
      </c>
      <c r="M17" s="39">
        <v>53926</v>
      </c>
      <c r="N17" s="39">
        <v>56523</v>
      </c>
      <c r="O17" s="39">
        <v>58032</v>
      </c>
      <c r="P17" s="39">
        <v>57616</v>
      </c>
      <c r="Q17" s="39">
        <v>56312</v>
      </c>
      <c r="R17" s="39">
        <v>55697</v>
      </c>
      <c r="S17" s="39">
        <v>55345</v>
      </c>
      <c r="T17" s="39">
        <v>55846</v>
      </c>
      <c r="U17" s="39">
        <v>62485</v>
      </c>
      <c r="V17" s="39">
        <v>66458</v>
      </c>
      <c r="W17" s="39">
        <v>64377</v>
      </c>
      <c r="X17" s="39">
        <v>60321</v>
      </c>
      <c r="Y17" s="39">
        <v>54110</v>
      </c>
      <c r="Z17" s="40">
        <v>47919</v>
      </c>
      <c r="AA17" s="41">
        <f t="shared" si="0"/>
        <v>1240786</v>
      </c>
      <c r="AB17" s="23">
        <v>6</v>
      </c>
      <c r="AC17" s="102"/>
      <c r="AD17" s="48"/>
    </row>
    <row r="18" spans="1:30" ht="15.75" thickBot="1" x14ac:dyDescent="0.3">
      <c r="A18" s="99">
        <v>47969</v>
      </c>
      <c r="B18" s="18" t="s">
        <v>5</v>
      </c>
      <c r="C18" s="33">
        <v>43960</v>
      </c>
      <c r="D18" s="33">
        <v>41554</v>
      </c>
      <c r="E18" s="33">
        <v>40215</v>
      </c>
      <c r="F18" s="33">
        <v>39544</v>
      </c>
      <c r="G18" s="33">
        <v>40337</v>
      </c>
      <c r="H18" s="33">
        <v>42917</v>
      </c>
      <c r="I18" s="33">
        <v>45614</v>
      </c>
      <c r="J18" s="33">
        <v>49829</v>
      </c>
      <c r="K18" s="33">
        <v>54137</v>
      </c>
      <c r="L18" s="33">
        <v>57520</v>
      </c>
      <c r="M18" s="33">
        <v>60922</v>
      </c>
      <c r="N18" s="33">
        <v>64152</v>
      </c>
      <c r="O18" s="33">
        <v>63176</v>
      </c>
      <c r="P18" s="33">
        <v>63163</v>
      </c>
      <c r="Q18" s="33">
        <v>64137</v>
      </c>
      <c r="R18" s="33">
        <v>64251</v>
      </c>
      <c r="S18" s="33">
        <v>63595</v>
      </c>
      <c r="T18" s="33">
        <v>62827</v>
      </c>
      <c r="U18" s="33">
        <v>68535</v>
      </c>
      <c r="V18" s="33">
        <v>71769</v>
      </c>
      <c r="W18" s="33">
        <v>68963</v>
      </c>
      <c r="X18" s="33">
        <v>63917</v>
      </c>
      <c r="Y18" s="33">
        <v>56181</v>
      </c>
      <c r="Z18" s="34">
        <v>49014</v>
      </c>
      <c r="AA18" s="35">
        <f t="shared" si="0"/>
        <v>1340229</v>
      </c>
      <c r="AB18" s="19">
        <v>20</v>
      </c>
      <c r="AC18" s="100">
        <f>+AA18*AB18+AA19*AB19+AA20*AB20</f>
        <v>41008145</v>
      </c>
    </row>
    <row r="19" spans="1:30" ht="15.75" thickBot="1" x14ac:dyDescent="0.3">
      <c r="A19" s="99"/>
      <c r="B19" s="20" t="s">
        <v>4</v>
      </c>
      <c r="C19" s="36">
        <v>45588</v>
      </c>
      <c r="D19" s="36">
        <v>42952</v>
      </c>
      <c r="E19" s="36">
        <v>41360</v>
      </c>
      <c r="F19" s="36">
        <v>40421</v>
      </c>
      <c r="G19" s="36">
        <v>40584</v>
      </c>
      <c r="H19" s="36">
        <v>41248</v>
      </c>
      <c r="I19" s="36">
        <v>43410</v>
      </c>
      <c r="J19" s="36">
        <v>48513</v>
      </c>
      <c r="K19" s="36">
        <v>53839</v>
      </c>
      <c r="L19" s="36">
        <v>57954</v>
      </c>
      <c r="M19" s="36">
        <v>60774</v>
      </c>
      <c r="N19" s="36">
        <v>63348</v>
      </c>
      <c r="O19" s="36">
        <v>63356</v>
      </c>
      <c r="P19" s="36">
        <v>62348</v>
      </c>
      <c r="Q19" s="36">
        <v>61321</v>
      </c>
      <c r="R19" s="36">
        <v>60702</v>
      </c>
      <c r="S19" s="36">
        <v>60252</v>
      </c>
      <c r="T19" s="36">
        <v>60807</v>
      </c>
      <c r="U19" s="36">
        <v>67565</v>
      </c>
      <c r="V19" s="36">
        <v>70305</v>
      </c>
      <c r="W19" s="36">
        <v>67518</v>
      </c>
      <c r="X19" s="36">
        <v>63246</v>
      </c>
      <c r="Y19" s="36">
        <v>57305</v>
      </c>
      <c r="Z19" s="37">
        <v>51381</v>
      </c>
      <c r="AA19" s="38">
        <f t="shared" si="0"/>
        <v>1326097</v>
      </c>
      <c r="AB19" s="21">
        <v>5</v>
      </c>
      <c r="AC19" s="101"/>
      <c r="AD19" s="47"/>
    </row>
    <row r="20" spans="1:30" x14ac:dyDescent="0.25">
      <c r="A20" s="99"/>
      <c r="B20" s="22" t="s">
        <v>3</v>
      </c>
      <c r="C20" s="39">
        <v>46385</v>
      </c>
      <c r="D20" s="39">
        <v>43502</v>
      </c>
      <c r="E20" s="39">
        <v>41713</v>
      </c>
      <c r="F20" s="39">
        <v>40522</v>
      </c>
      <c r="G20" s="39">
        <v>40157</v>
      </c>
      <c r="H20" s="39">
        <v>39703</v>
      </c>
      <c r="I20" s="39">
        <v>40519</v>
      </c>
      <c r="J20" s="39">
        <v>44401</v>
      </c>
      <c r="K20" s="39">
        <v>48720</v>
      </c>
      <c r="L20" s="39">
        <v>52555</v>
      </c>
      <c r="M20" s="39">
        <v>55176</v>
      </c>
      <c r="N20" s="39">
        <v>57915</v>
      </c>
      <c r="O20" s="39">
        <v>59117</v>
      </c>
      <c r="P20" s="39">
        <v>58876</v>
      </c>
      <c r="Q20" s="39">
        <v>57449</v>
      </c>
      <c r="R20" s="39">
        <v>59052</v>
      </c>
      <c r="S20" s="39">
        <v>56444</v>
      </c>
      <c r="T20" s="39">
        <v>57065</v>
      </c>
      <c r="U20" s="39">
        <v>63928</v>
      </c>
      <c r="V20" s="39">
        <v>67915</v>
      </c>
      <c r="W20" s="39">
        <v>65772</v>
      </c>
      <c r="X20" s="39">
        <v>61461</v>
      </c>
      <c r="Y20" s="39">
        <v>55074</v>
      </c>
      <c r="Z20" s="40">
        <v>48759</v>
      </c>
      <c r="AA20" s="41">
        <f t="shared" si="0"/>
        <v>1262180</v>
      </c>
      <c r="AB20" s="23">
        <v>6</v>
      </c>
      <c r="AC20" s="102"/>
      <c r="AD20" s="48"/>
    </row>
    <row r="21" spans="1:30" ht="15.75" thickBot="1" x14ac:dyDescent="0.3">
      <c r="A21" s="99">
        <v>48000</v>
      </c>
      <c r="B21" s="18" t="s">
        <v>5</v>
      </c>
      <c r="C21" s="33">
        <v>43442</v>
      </c>
      <c r="D21" s="33">
        <v>40985</v>
      </c>
      <c r="E21" s="33">
        <v>39757</v>
      </c>
      <c r="F21" s="33">
        <v>39098</v>
      </c>
      <c r="G21" s="33">
        <v>39826</v>
      </c>
      <c r="H21" s="33">
        <v>42041</v>
      </c>
      <c r="I21" s="33">
        <v>44963</v>
      </c>
      <c r="J21" s="33">
        <v>49410</v>
      </c>
      <c r="K21" s="33">
        <v>53904</v>
      </c>
      <c r="L21" s="33">
        <v>57255</v>
      </c>
      <c r="M21" s="33">
        <v>60756</v>
      </c>
      <c r="N21" s="33">
        <v>64025</v>
      </c>
      <c r="O21" s="33">
        <v>62971</v>
      </c>
      <c r="P21" s="33">
        <v>62900</v>
      </c>
      <c r="Q21" s="33">
        <v>64102</v>
      </c>
      <c r="R21" s="33">
        <v>64169</v>
      </c>
      <c r="S21" s="33">
        <v>63515</v>
      </c>
      <c r="T21" s="33">
        <v>62532</v>
      </c>
      <c r="U21" s="33">
        <v>67082</v>
      </c>
      <c r="V21" s="33">
        <v>71329</v>
      </c>
      <c r="W21" s="33">
        <v>68668</v>
      </c>
      <c r="X21" s="33">
        <v>63667</v>
      </c>
      <c r="Y21" s="33">
        <v>55818</v>
      </c>
      <c r="Z21" s="34">
        <v>48542</v>
      </c>
      <c r="AA21" s="35">
        <f t="shared" si="0"/>
        <v>1330757</v>
      </c>
      <c r="AB21" s="19">
        <v>18</v>
      </c>
      <c r="AC21" s="100">
        <f>+AA21*AB21+AA22*AB22+AA23*AB23</f>
        <v>39583498</v>
      </c>
    </row>
    <row r="22" spans="1:30" ht="15.75" thickBot="1" x14ac:dyDescent="0.3">
      <c r="A22" s="99"/>
      <c r="B22" s="20" t="s">
        <v>4</v>
      </c>
      <c r="C22" s="36">
        <v>45542</v>
      </c>
      <c r="D22" s="36">
        <v>42706</v>
      </c>
      <c r="E22" s="36">
        <v>41081</v>
      </c>
      <c r="F22" s="36">
        <v>40164</v>
      </c>
      <c r="G22" s="36">
        <v>40245</v>
      </c>
      <c r="H22" s="36">
        <v>40897</v>
      </c>
      <c r="I22" s="36">
        <v>43034</v>
      </c>
      <c r="J22" s="36">
        <v>48081</v>
      </c>
      <c r="K22" s="36">
        <v>53777</v>
      </c>
      <c r="L22" s="36">
        <v>57687</v>
      </c>
      <c r="M22" s="36">
        <v>60740</v>
      </c>
      <c r="N22" s="36">
        <v>63386</v>
      </c>
      <c r="O22" s="36">
        <v>63560</v>
      </c>
      <c r="P22" s="36">
        <v>62909</v>
      </c>
      <c r="Q22" s="36">
        <v>62238</v>
      </c>
      <c r="R22" s="36">
        <v>62122</v>
      </c>
      <c r="S22" s="36">
        <v>61658</v>
      </c>
      <c r="T22" s="36">
        <v>62120</v>
      </c>
      <c r="U22" s="36">
        <v>67919</v>
      </c>
      <c r="V22" s="36">
        <v>71641</v>
      </c>
      <c r="W22" s="36">
        <v>68703</v>
      </c>
      <c r="X22" s="36">
        <v>64508</v>
      </c>
      <c r="Y22" s="36">
        <v>58296</v>
      </c>
      <c r="Z22" s="37">
        <v>51976</v>
      </c>
      <c r="AA22" s="38">
        <f t="shared" si="0"/>
        <v>1334990</v>
      </c>
      <c r="AB22" s="21">
        <v>4</v>
      </c>
      <c r="AC22" s="101"/>
      <c r="AD22" s="47"/>
    </row>
    <row r="23" spans="1:30" x14ac:dyDescent="0.25">
      <c r="A23" s="99"/>
      <c r="B23" s="22" t="s">
        <v>3</v>
      </c>
      <c r="C23" s="39">
        <v>47396</v>
      </c>
      <c r="D23" s="39">
        <v>44376</v>
      </c>
      <c r="E23" s="39">
        <v>42621</v>
      </c>
      <c r="F23" s="39">
        <v>41425</v>
      </c>
      <c r="G23" s="39">
        <v>41142</v>
      </c>
      <c r="H23" s="39">
        <v>41095</v>
      </c>
      <c r="I23" s="39">
        <v>41642</v>
      </c>
      <c r="J23" s="39">
        <v>45688</v>
      </c>
      <c r="K23" s="39">
        <v>50186</v>
      </c>
      <c r="L23" s="39">
        <v>53658</v>
      </c>
      <c r="M23" s="39">
        <v>56514</v>
      </c>
      <c r="N23" s="39">
        <v>59277</v>
      </c>
      <c r="O23" s="39">
        <v>60262</v>
      </c>
      <c r="P23" s="39">
        <v>59845</v>
      </c>
      <c r="Q23" s="39">
        <v>58688</v>
      </c>
      <c r="R23" s="39">
        <v>58142</v>
      </c>
      <c r="S23" s="39">
        <v>57845</v>
      </c>
      <c r="T23" s="39">
        <v>58318</v>
      </c>
      <c r="U23" s="39">
        <v>64200</v>
      </c>
      <c r="V23" s="39">
        <v>68921</v>
      </c>
      <c r="W23" s="39">
        <v>66890</v>
      </c>
      <c r="X23" s="39">
        <v>62524</v>
      </c>
      <c r="Y23" s="39">
        <v>55966</v>
      </c>
      <c r="Z23" s="40">
        <v>49618</v>
      </c>
      <c r="AA23" s="41">
        <f t="shared" si="0"/>
        <v>1286239</v>
      </c>
      <c r="AB23" s="23">
        <v>8</v>
      </c>
      <c r="AC23" s="102"/>
      <c r="AD23" s="48"/>
    </row>
    <row r="24" spans="1:30" ht="15.75" thickBot="1" x14ac:dyDescent="0.3">
      <c r="A24" s="99">
        <v>48030</v>
      </c>
      <c r="B24" s="18" t="s">
        <v>5</v>
      </c>
      <c r="C24" s="33">
        <v>45484</v>
      </c>
      <c r="D24" s="33">
        <v>42896</v>
      </c>
      <c r="E24" s="33">
        <v>41403</v>
      </c>
      <c r="F24" s="33">
        <v>40591</v>
      </c>
      <c r="G24" s="33">
        <v>41283</v>
      </c>
      <c r="H24" s="33">
        <v>43488</v>
      </c>
      <c r="I24" s="33">
        <v>45860</v>
      </c>
      <c r="J24" s="33">
        <v>50826</v>
      </c>
      <c r="K24" s="33">
        <v>55651</v>
      </c>
      <c r="L24" s="33">
        <v>59434</v>
      </c>
      <c r="M24" s="33">
        <v>63095</v>
      </c>
      <c r="N24" s="33">
        <v>66343</v>
      </c>
      <c r="O24" s="33">
        <v>65194</v>
      </c>
      <c r="P24" s="33">
        <v>65334</v>
      </c>
      <c r="Q24" s="33">
        <v>66532</v>
      </c>
      <c r="R24" s="33">
        <v>66665</v>
      </c>
      <c r="S24" s="33">
        <v>65722</v>
      </c>
      <c r="T24" s="33">
        <v>64079</v>
      </c>
      <c r="U24" s="33">
        <v>67840</v>
      </c>
      <c r="V24" s="33">
        <v>72887</v>
      </c>
      <c r="W24" s="33">
        <v>70528</v>
      </c>
      <c r="X24" s="33">
        <v>65775</v>
      </c>
      <c r="Y24" s="33">
        <v>57934</v>
      </c>
      <c r="Z24" s="34">
        <v>50716</v>
      </c>
      <c r="AA24" s="35">
        <f t="shared" si="0"/>
        <v>1375560</v>
      </c>
      <c r="AB24" s="19">
        <v>23</v>
      </c>
      <c r="AC24" s="100">
        <f>+AA24*AB24+AA25*AB25+AA26*AB26</f>
        <v>42163324</v>
      </c>
    </row>
    <row r="25" spans="1:30" ht="15.75" thickBot="1" x14ac:dyDescent="0.3">
      <c r="A25" s="99"/>
      <c r="B25" s="20" t="s">
        <v>4</v>
      </c>
      <c r="C25" s="36">
        <v>45586</v>
      </c>
      <c r="D25" s="36">
        <v>42615</v>
      </c>
      <c r="E25" s="36">
        <v>41102</v>
      </c>
      <c r="F25" s="36">
        <v>40090</v>
      </c>
      <c r="G25" s="36">
        <v>40187</v>
      </c>
      <c r="H25" s="36">
        <v>41031</v>
      </c>
      <c r="I25" s="36">
        <v>43072</v>
      </c>
      <c r="J25" s="36">
        <v>49083</v>
      </c>
      <c r="K25" s="36">
        <v>54806</v>
      </c>
      <c r="L25" s="36">
        <v>58724</v>
      </c>
      <c r="M25" s="36">
        <v>61803</v>
      </c>
      <c r="N25" s="36">
        <v>64408</v>
      </c>
      <c r="O25" s="36">
        <v>64287</v>
      </c>
      <c r="P25" s="36">
        <v>63281</v>
      </c>
      <c r="Q25" s="36">
        <v>62364</v>
      </c>
      <c r="R25" s="36">
        <v>61889</v>
      </c>
      <c r="S25" s="36">
        <v>61340</v>
      </c>
      <c r="T25" s="36">
        <v>61524</v>
      </c>
      <c r="U25" s="36">
        <v>66119</v>
      </c>
      <c r="V25" s="36">
        <v>70979</v>
      </c>
      <c r="W25" s="36">
        <v>68267</v>
      </c>
      <c r="X25" s="36">
        <v>64389</v>
      </c>
      <c r="Y25" s="36">
        <v>58315</v>
      </c>
      <c r="Z25" s="37">
        <v>52306</v>
      </c>
      <c r="AA25" s="38">
        <f t="shared" si="0"/>
        <v>1337567</v>
      </c>
      <c r="AB25" s="21">
        <v>4</v>
      </c>
      <c r="AC25" s="101"/>
      <c r="AD25" s="47"/>
    </row>
    <row r="26" spans="1:30" x14ac:dyDescent="0.25">
      <c r="A26" s="99"/>
      <c r="B26" s="22" t="s">
        <v>3</v>
      </c>
      <c r="C26" s="39">
        <v>48376</v>
      </c>
      <c r="D26" s="39">
        <v>45405</v>
      </c>
      <c r="E26" s="39">
        <v>43444</v>
      </c>
      <c r="F26" s="39">
        <v>42163</v>
      </c>
      <c r="G26" s="39">
        <v>41763</v>
      </c>
      <c r="H26" s="39">
        <v>41777</v>
      </c>
      <c r="I26" s="39">
        <v>42051</v>
      </c>
      <c r="J26" s="39">
        <v>45873</v>
      </c>
      <c r="K26" s="39">
        <v>50459</v>
      </c>
      <c r="L26" s="39">
        <v>54263</v>
      </c>
      <c r="M26" s="39">
        <v>57031</v>
      </c>
      <c r="N26" s="39">
        <v>59599</v>
      </c>
      <c r="O26" s="39">
        <v>60871</v>
      </c>
      <c r="P26" s="39">
        <v>60202</v>
      </c>
      <c r="Q26" s="39">
        <v>58871</v>
      </c>
      <c r="R26" s="39">
        <v>58166</v>
      </c>
      <c r="S26" s="39">
        <v>57619</v>
      </c>
      <c r="T26" s="39">
        <v>57871</v>
      </c>
      <c r="U26" s="39">
        <v>62742</v>
      </c>
      <c r="V26" s="39">
        <v>68733</v>
      </c>
      <c r="W26" s="39">
        <v>66982</v>
      </c>
      <c r="X26" s="39">
        <v>62951</v>
      </c>
      <c r="Y26" s="39">
        <v>56398</v>
      </c>
      <c r="Z26" s="40">
        <v>50184</v>
      </c>
      <c r="AA26" s="41">
        <f t="shared" si="0"/>
        <v>1293794</v>
      </c>
      <c r="AB26" s="23">
        <v>4</v>
      </c>
      <c r="AC26" s="102"/>
      <c r="AD26" s="48"/>
    </row>
    <row r="27" spans="1:30" ht="15.75" thickBot="1" x14ac:dyDescent="0.3">
      <c r="A27" s="99">
        <v>48061</v>
      </c>
      <c r="B27" s="18" t="s">
        <v>5</v>
      </c>
      <c r="C27" s="33">
        <v>46019</v>
      </c>
      <c r="D27" s="33">
        <v>43566</v>
      </c>
      <c r="E27" s="33">
        <v>42213</v>
      </c>
      <c r="F27" s="33">
        <v>41411</v>
      </c>
      <c r="G27" s="33">
        <v>42137</v>
      </c>
      <c r="H27" s="33">
        <v>45058</v>
      </c>
      <c r="I27" s="33">
        <v>47661</v>
      </c>
      <c r="J27" s="33">
        <v>52081</v>
      </c>
      <c r="K27" s="33">
        <v>56707</v>
      </c>
      <c r="L27" s="33">
        <v>60248</v>
      </c>
      <c r="M27" s="33">
        <v>64000</v>
      </c>
      <c r="N27" s="33">
        <v>67288</v>
      </c>
      <c r="O27" s="33">
        <v>66131</v>
      </c>
      <c r="P27" s="33">
        <v>66654</v>
      </c>
      <c r="Q27" s="33">
        <v>68007</v>
      </c>
      <c r="R27" s="33">
        <v>68115</v>
      </c>
      <c r="S27" s="33">
        <v>67135</v>
      </c>
      <c r="T27" s="33">
        <v>65436</v>
      </c>
      <c r="U27" s="33">
        <v>70016</v>
      </c>
      <c r="V27" s="33">
        <v>74257</v>
      </c>
      <c r="W27" s="33">
        <v>71665</v>
      </c>
      <c r="X27" s="33">
        <v>66655</v>
      </c>
      <c r="Y27" s="33">
        <v>58714</v>
      </c>
      <c r="Z27" s="34">
        <v>51547</v>
      </c>
      <c r="AA27" s="35">
        <f t="shared" si="0"/>
        <v>1402721</v>
      </c>
      <c r="AB27" s="19">
        <v>19</v>
      </c>
      <c r="AC27" s="100">
        <f>+AA27*AB27+AA28*AB28+AA29*AB29</f>
        <v>42671591</v>
      </c>
    </row>
    <row r="28" spans="1:30" ht="15.75" thickBot="1" x14ac:dyDescent="0.3">
      <c r="A28" s="99"/>
      <c r="B28" s="20" t="s">
        <v>4</v>
      </c>
      <c r="C28" s="36">
        <v>47900</v>
      </c>
      <c r="D28" s="36">
        <v>45240</v>
      </c>
      <c r="E28" s="36">
        <v>43577</v>
      </c>
      <c r="F28" s="36">
        <v>42330</v>
      </c>
      <c r="G28" s="36">
        <v>42238</v>
      </c>
      <c r="H28" s="36">
        <v>43410</v>
      </c>
      <c r="I28" s="36">
        <v>44802</v>
      </c>
      <c r="J28" s="36">
        <v>50472</v>
      </c>
      <c r="K28" s="36">
        <v>56206</v>
      </c>
      <c r="L28" s="36">
        <v>60136</v>
      </c>
      <c r="M28" s="36">
        <v>63580</v>
      </c>
      <c r="N28" s="36">
        <v>66187</v>
      </c>
      <c r="O28" s="36">
        <v>66206</v>
      </c>
      <c r="P28" s="36">
        <v>65494</v>
      </c>
      <c r="Q28" s="36">
        <v>64810</v>
      </c>
      <c r="R28" s="36">
        <v>64415</v>
      </c>
      <c r="S28" s="36">
        <v>63552</v>
      </c>
      <c r="T28" s="36">
        <v>63433</v>
      </c>
      <c r="U28" s="36">
        <v>69103</v>
      </c>
      <c r="V28" s="36">
        <v>72847</v>
      </c>
      <c r="W28" s="36">
        <v>70091</v>
      </c>
      <c r="X28" s="36">
        <v>66087</v>
      </c>
      <c r="Y28" s="36">
        <v>60257</v>
      </c>
      <c r="Z28" s="37">
        <v>53984</v>
      </c>
      <c r="AA28" s="38">
        <f t="shared" si="0"/>
        <v>1386357</v>
      </c>
      <c r="AB28" s="21">
        <v>5</v>
      </c>
      <c r="AC28" s="101"/>
      <c r="AD28" s="47"/>
    </row>
    <row r="29" spans="1:30" x14ac:dyDescent="0.25">
      <c r="A29" s="99"/>
      <c r="B29" s="22" t="s">
        <v>3</v>
      </c>
      <c r="C29" s="39">
        <v>48795</v>
      </c>
      <c r="D29" s="39">
        <v>45769</v>
      </c>
      <c r="E29" s="39">
        <v>43774</v>
      </c>
      <c r="F29" s="39">
        <v>42504</v>
      </c>
      <c r="G29" s="39">
        <v>42091</v>
      </c>
      <c r="H29" s="39">
        <v>42231</v>
      </c>
      <c r="I29" s="39">
        <v>42224</v>
      </c>
      <c r="J29" s="39">
        <v>46202</v>
      </c>
      <c r="K29" s="39">
        <v>50694</v>
      </c>
      <c r="L29" s="39">
        <v>54398</v>
      </c>
      <c r="M29" s="39">
        <v>57020</v>
      </c>
      <c r="N29" s="39">
        <v>59737</v>
      </c>
      <c r="O29" s="39">
        <v>61140</v>
      </c>
      <c r="P29" s="39">
        <v>60592</v>
      </c>
      <c r="Q29" s="39">
        <v>59106</v>
      </c>
      <c r="R29" s="39">
        <v>58110</v>
      </c>
      <c r="S29" s="39">
        <v>57733</v>
      </c>
      <c r="T29" s="39">
        <v>57893</v>
      </c>
      <c r="U29" s="39">
        <v>63775</v>
      </c>
      <c r="V29" s="39">
        <v>68884</v>
      </c>
      <c r="W29" s="39">
        <v>66842</v>
      </c>
      <c r="X29" s="39">
        <v>62645</v>
      </c>
      <c r="Y29" s="39">
        <v>56252</v>
      </c>
      <c r="Z29" s="40">
        <v>49890</v>
      </c>
      <c r="AA29" s="41">
        <f t="shared" si="0"/>
        <v>1298301</v>
      </c>
      <c r="AB29" s="23">
        <v>7</v>
      </c>
      <c r="AC29" s="102"/>
      <c r="AD29" s="49"/>
    </row>
    <row r="30" spans="1:30" ht="15.75" thickBot="1" x14ac:dyDescent="0.3">
      <c r="A30" s="99">
        <v>48092</v>
      </c>
      <c r="B30" s="18" t="s">
        <v>5</v>
      </c>
      <c r="C30" s="33">
        <v>46842</v>
      </c>
      <c r="D30" s="33">
        <v>44262</v>
      </c>
      <c r="E30" s="33">
        <v>42650</v>
      </c>
      <c r="F30" s="33">
        <v>41944</v>
      </c>
      <c r="G30" s="33">
        <v>42626</v>
      </c>
      <c r="H30" s="33">
        <v>45419</v>
      </c>
      <c r="I30" s="33">
        <v>48110</v>
      </c>
      <c r="J30" s="33">
        <v>52672</v>
      </c>
      <c r="K30" s="33">
        <v>57257</v>
      </c>
      <c r="L30" s="33">
        <v>61067</v>
      </c>
      <c r="M30" s="33">
        <v>64851</v>
      </c>
      <c r="N30" s="33">
        <v>68318</v>
      </c>
      <c r="O30" s="33">
        <v>67127</v>
      </c>
      <c r="P30" s="33">
        <v>67613</v>
      </c>
      <c r="Q30" s="33">
        <v>69194</v>
      </c>
      <c r="R30" s="33">
        <v>69589</v>
      </c>
      <c r="S30" s="33">
        <v>68589</v>
      </c>
      <c r="T30" s="33">
        <v>67182</v>
      </c>
      <c r="U30" s="33">
        <v>73469</v>
      </c>
      <c r="V30" s="33">
        <v>75167</v>
      </c>
      <c r="W30" s="33">
        <v>72343</v>
      </c>
      <c r="X30" s="33">
        <v>67244</v>
      </c>
      <c r="Y30" s="33">
        <v>59139</v>
      </c>
      <c r="Z30" s="34">
        <v>51990</v>
      </c>
      <c r="AA30" s="35">
        <f t="shared" si="0"/>
        <v>1424664</v>
      </c>
      <c r="AB30" s="19">
        <v>22</v>
      </c>
      <c r="AC30" s="100">
        <f>+AA30*AB30+AA31*AB31+AA32*AB32</f>
        <v>42069540</v>
      </c>
    </row>
    <row r="31" spans="1:30" ht="15.75" thickBot="1" x14ac:dyDescent="0.3">
      <c r="A31" s="99"/>
      <c r="B31" s="20" t="s">
        <v>4</v>
      </c>
      <c r="C31" s="36">
        <v>48092</v>
      </c>
      <c r="D31" s="36">
        <v>45023</v>
      </c>
      <c r="E31" s="36">
        <v>43361</v>
      </c>
      <c r="F31" s="36">
        <v>42450</v>
      </c>
      <c r="G31" s="36">
        <v>42488</v>
      </c>
      <c r="H31" s="36">
        <v>42881</v>
      </c>
      <c r="I31" s="36">
        <v>45030</v>
      </c>
      <c r="J31" s="36">
        <v>51141</v>
      </c>
      <c r="K31" s="36">
        <v>56966</v>
      </c>
      <c r="L31" s="36">
        <v>61125</v>
      </c>
      <c r="M31" s="36">
        <v>64413</v>
      </c>
      <c r="N31" s="36">
        <v>67049</v>
      </c>
      <c r="O31" s="36">
        <v>66884</v>
      </c>
      <c r="P31" s="36">
        <v>66029</v>
      </c>
      <c r="Q31" s="36">
        <v>65236</v>
      </c>
      <c r="R31" s="36">
        <v>64663</v>
      </c>
      <c r="S31" s="36">
        <v>64107</v>
      </c>
      <c r="T31" s="36">
        <v>64584</v>
      </c>
      <c r="U31" s="36">
        <v>71480</v>
      </c>
      <c r="V31" s="36">
        <v>73022</v>
      </c>
      <c r="W31" s="36">
        <v>69817</v>
      </c>
      <c r="X31" s="36">
        <v>65721</v>
      </c>
      <c r="Y31" s="36">
        <v>59739</v>
      </c>
      <c r="Z31" s="37">
        <v>53628</v>
      </c>
      <c r="AA31" s="38">
        <f t="shared" si="0"/>
        <v>1394929</v>
      </c>
      <c r="AB31" s="21">
        <v>4</v>
      </c>
      <c r="AC31" s="101"/>
      <c r="AD31" s="47"/>
    </row>
    <row r="32" spans="1:30" x14ac:dyDescent="0.25">
      <c r="A32" s="99"/>
      <c r="B32" s="22" t="s">
        <v>3</v>
      </c>
      <c r="C32" s="39">
        <v>48966</v>
      </c>
      <c r="D32" s="39">
        <v>46027</v>
      </c>
      <c r="E32" s="39">
        <v>44097</v>
      </c>
      <c r="F32" s="39">
        <v>42603</v>
      </c>
      <c r="G32" s="39">
        <v>41926</v>
      </c>
      <c r="H32" s="39">
        <v>41414</v>
      </c>
      <c r="I32" s="39">
        <v>41730</v>
      </c>
      <c r="J32" s="39">
        <v>45635</v>
      </c>
      <c r="K32" s="39">
        <v>50038</v>
      </c>
      <c r="L32" s="39">
        <v>53650</v>
      </c>
      <c r="M32" s="39">
        <v>56167</v>
      </c>
      <c r="N32" s="39">
        <v>58571</v>
      </c>
      <c r="O32" s="39">
        <v>59962</v>
      </c>
      <c r="P32" s="39">
        <v>59537</v>
      </c>
      <c r="Q32" s="39">
        <v>58280</v>
      </c>
      <c r="R32" s="39">
        <v>57669</v>
      </c>
      <c r="S32" s="39">
        <v>57274</v>
      </c>
      <c r="T32" s="39">
        <v>57732</v>
      </c>
      <c r="U32" s="39">
        <v>65257</v>
      </c>
      <c r="V32" s="39">
        <v>67820</v>
      </c>
      <c r="W32" s="39">
        <v>65944</v>
      </c>
      <c r="X32" s="39">
        <v>61833</v>
      </c>
      <c r="Y32" s="39">
        <v>55414</v>
      </c>
      <c r="Z32" s="40">
        <v>49258</v>
      </c>
      <c r="AA32" s="41">
        <f t="shared" si="0"/>
        <v>1286804</v>
      </c>
      <c r="AB32" s="23">
        <v>4</v>
      </c>
      <c r="AC32" s="102"/>
      <c r="AD32" s="48"/>
    </row>
    <row r="33" spans="1:30" ht="15.75" thickBot="1" x14ac:dyDescent="0.3">
      <c r="A33" s="99">
        <v>48122</v>
      </c>
      <c r="B33" s="18" t="s">
        <v>5</v>
      </c>
      <c r="C33" s="33">
        <v>44388</v>
      </c>
      <c r="D33" s="33">
        <v>42010</v>
      </c>
      <c r="E33" s="33">
        <v>40687</v>
      </c>
      <c r="F33" s="33">
        <v>39978</v>
      </c>
      <c r="G33" s="33">
        <v>40763</v>
      </c>
      <c r="H33" s="33">
        <v>43013</v>
      </c>
      <c r="I33" s="33">
        <v>45879</v>
      </c>
      <c r="J33" s="33">
        <v>50175</v>
      </c>
      <c r="K33" s="33">
        <v>54489</v>
      </c>
      <c r="L33" s="33">
        <v>57891</v>
      </c>
      <c r="M33" s="33">
        <v>61417</v>
      </c>
      <c r="N33" s="33">
        <v>64685</v>
      </c>
      <c r="O33" s="33">
        <v>63549</v>
      </c>
      <c r="P33" s="33">
        <v>63898</v>
      </c>
      <c r="Q33" s="33">
        <v>65363</v>
      </c>
      <c r="R33" s="33">
        <v>65676</v>
      </c>
      <c r="S33" s="33">
        <v>64950</v>
      </c>
      <c r="T33" s="33">
        <v>65140</v>
      </c>
      <c r="U33" s="33">
        <v>72343</v>
      </c>
      <c r="V33" s="33">
        <v>71974</v>
      </c>
      <c r="W33" s="33">
        <v>68813</v>
      </c>
      <c r="X33" s="33">
        <v>63656</v>
      </c>
      <c r="Y33" s="33">
        <v>56082</v>
      </c>
      <c r="Z33" s="34">
        <v>49346</v>
      </c>
      <c r="AA33" s="35">
        <f t="shared" si="0"/>
        <v>1356165</v>
      </c>
      <c r="AB33" s="19">
        <v>22</v>
      </c>
      <c r="AC33" s="100">
        <f>+AA33*AB33+AA34*AB34+AA35*AB35</f>
        <v>41623686</v>
      </c>
    </row>
    <row r="34" spans="1:30" ht="15.75" thickBot="1" x14ac:dyDescent="0.3">
      <c r="A34" s="99"/>
      <c r="B34" s="20" t="s">
        <v>4</v>
      </c>
      <c r="C34" s="36">
        <v>46729</v>
      </c>
      <c r="D34" s="36">
        <v>44065</v>
      </c>
      <c r="E34" s="36">
        <v>42448</v>
      </c>
      <c r="F34" s="36">
        <v>41375</v>
      </c>
      <c r="G34" s="36">
        <v>41591</v>
      </c>
      <c r="H34" s="36">
        <v>42236</v>
      </c>
      <c r="I34" s="36">
        <v>44623</v>
      </c>
      <c r="J34" s="36">
        <v>50117</v>
      </c>
      <c r="K34" s="36">
        <v>55592</v>
      </c>
      <c r="L34" s="36">
        <v>59396</v>
      </c>
      <c r="M34" s="36">
        <v>62633</v>
      </c>
      <c r="N34" s="36">
        <v>65346</v>
      </c>
      <c r="O34" s="36">
        <v>65453</v>
      </c>
      <c r="P34" s="36">
        <v>64713</v>
      </c>
      <c r="Q34" s="36">
        <v>63927</v>
      </c>
      <c r="R34" s="36">
        <v>63438</v>
      </c>
      <c r="S34" s="36">
        <v>62867</v>
      </c>
      <c r="T34" s="36">
        <v>64848</v>
      </c>
      <c r="U34" s="36">
        <v>73080</v>
      </c>
      <c r="V34" s="36">
        <v>72951</v>
      </c>
      <c r="W34" s="36">
        <v>69861</v>
      </c>
      <c r="X34" s="36">
        <v>65182</v>
      </c>
      <c r="Y34" s="36">
        <v>59415</v>
      </c>
      <c r="Z34" s="37">
        <v>53143</v>
      </c>
      <c r="AA34" s="38">
        <f t="shared" si="0"/>
        <v>1375029</v>
      </c>
      <c r="AB34" s="21">
        <v>4</v>
      </c>
      <c r="AC34" s="101"/>
      <c r="AD34" s="47"/>
    </row>
    <row r="35" spans="1:30" x14ac:dyDescent="0.25">
      <c r="A35" s="99"/>
      <c r="B35" s="22" t="s">
        <v>3</v>
      </c>
      <c r="C35" s="39">
        <v>46887</v>
      </c>
      <c r="D35" s="39">
        <v>44049</v>
      </c>
      <c r="E35" s="39">
        <v>42091</v>
      </c>
      <c r="F35" s="39">
        <v>40723</v>
      </c>
      <c r="G35" s="39">
        <v>40287</v>
      </c>
      <c r="H35" s="39">
        <v>39720</v>
      </c>
      <c r="I35" s="39">
        <v>40479</v>
      </c>
      <c r="J35" s="39">
        <v>44196</v>
      </c>
      <c r="K35" s="39">
        <v>48410</v>
      </c>
      <c r="L35" s="39">
        <v>52113</v>
      </c>
      <c r="M35" s="39">
        <v>54737</v>
      </c>
      <c r="N35" s="39">
        <v>57320</v>
      </c>
      <c r="O35" s="39">
        <v>58768</v>
      </c>
      <c r="P35" s="39">
        <v>58286</v>
      </c>
      <c r="Q35" s="39">
        <v>57179</v>
      </c>
      <c r="R35" s="39">
        <v>56617</v>
      </c>
      <c r="S35" s="39">
        <v>56294</v>
      </c>
      <c r="T35" s="39">
        <v>58030</v>
      </c>
      <c r="U35" s="39">
        <v>66322</v>
      </c>
      <c r="V35" s="39">
        <v>67001</v>
      </c>
      <c r="W35" s="39">
        <v>64852</v>
      </c>
      <c r="X35" s="39">
        <v>60617</v>
      </c>
      <c r="Y35" s="39">
        <v>54329</v>
      </c>
      <c r="Z35" s="40">
        <v>48281</v>
      </c>
      <c r="AA35" s="41">
        <f t="shared" si="0"/>
        <v>1257588</v>
      </c>
      <c r="AB35" s="23">
        <v>5</v>
      </c>
      <c r="AC35" s="102"/>
      <c r="AD35" s="48"/>
    </row>
    <row r="36" spans="1:30" ht="15.75" thickBot="1" x14ac:dyDescent="0.3">
      <c r="A36" s="99">
        <v>48153</v>
      </c>
      <c r="B36" s="18" t="s">
        <v>5</v>
      </c>
      <c r="C36" s="33">
        <v>43569</v>
      </c>
      <c r="D36" s="33">
        <v>41194</v>
      </c>
      <c r="E36" s="33">
        <v>39878</v>
      </c>
      <c r="F36" s="33">
        <v>39261</v>
      </c>
      <c r="G36" s="33">
        <v>40174</v>
      </c>
      <c r="H36" s="33">
        <v>42741</v>
      </c>
      <c r="I36" s="33">
        <v>45790</v>
      </c>
      <c r="J36" s="33">
        <v>50154</v>
      </c>
      <c r="K36" s="33">
        <v>54389</v>
      </c>
      <c r="L36" s="33">
        <v>57665</v>
      </c>
      <c r="M36" s="33">
        <v>61172</v>
      </c>
      <c r="N36" s="33">
        <v>64533</v>
      </c>
      <c r="O36" s="33">
        <v>63215</v>
      </c>
      <c r="P36" s="33">
        <v>63252</v>
      </c>
      <c r="Q36" s="33">
        <v>64683</v>
      </c>
      <c r="R36" s="33">
        <v>64619</v>
      </c>
      <c r="S36" s="33">
        <v>64089</v>
      </c>
      <c r="T36" s="33">
        <v>64962</v>
      </c>
      <c r="U36" s="33">
        <v>72485</v>
      </c>
      <c r="V36" s="33">
        <v>72084</v>
      </c>
      <c r="W36" s="33">
        <v>68879</v>
      </c>
      <c r="X36" s="33">
        <v>63447</v>
      </c>
      <c r="Y36" s="33">
        <v>55648</v>
      </c>
      <c r="Z36" s="34">
        <v>48671</v>
      </c>
      <c r="AA36" s="35">
        <f t="shared" si="0"/>
        <v>1346554</v>
      </c>
      <c r="AB36" s="19">
        <v>18</v>
      </c>
      <c r="AC36" s="100">
        <f>+AA36*AB36+AA37*AB37+AA38*AB38</f>
        <v>39396304</v>
      </c>
    </row>
    <row r="37" spans="1:30" ht="15.75" thickBot="1" x14ac:dyDescent="0.3">
      <c r="A37" s="99"/>
      <c r="B37" s="20" t="s">
        <v>4</v>
      </c>
      <c r="C37" s="36">
        <v>44739</v>
      </c>
      <c r="D37" s="36">
        <v>42216</v>
      </c>
      <c r="E37" s="36">
        <v>40675</v>
      </c>
      <c r="F37" s="36">
        <v>39690</v>
      </c>
      <c r="G37" s="36">
        <v>39863</v>
      </c>
      <c r="H37" s="36">
        <v>40361</v>
      </c>
      <c r="I37" s="36">
        <v>42560</v>
      </c>
      <c r="J37" s="36">
        <v>47621</v>
      </c>
      <c r="K37" s="36">
        <v>52974</v>
      </c>
      <c r="L37" s="36">
        <v>56706</v>
      </c>
      <c r="M37" s="36">
        <v>59689</v>
      </c>
      <c r="N37" s="36">
        <v>62433</v>
      </c>
      <c r="O37" s="36">
        <v>62177</v>
      </c>
      <c r="P37" s="36">
        <v>61019</v>
      </c>
      <c r="Q37" s="36">
        <v>60679</v>
      </c>
      <c r="R37" s="36">
        <v>60485</v>
      </c>
      <c r="S37" s="36">
        <v>60131</v>
      </c>
      <c r="T37" s="36">
        <v>62285</v>
      </c>
      <c r="U37" s="36">
        <v>70659</v>
      </c>
      <c r="V37" s="36">
        <v>70449</v>
      </c>
      <c r="W37" s="36">
        <v>67221</v>
      </c>
      <c r="X37" s="36">
        <v>63095</v>
      </c>
      <c r="Y37" s="36">
        <v>56988</v>
      </c>
      <c r="Z37" s="37">
        <v>50851</v>
      </c>
      <c r="AA37" s="38">
        <f t="shared" si="0"/>
        <v>1315566</v>
      </c>
      <c r="AB37" s="21">
        <v>5</v>
      </c>
      <c r="AC37" s="101"/>
      <c r="AD37" s="47"/>
    </row>
    <row r="38" spans="1:30" x14ac:dyDescent="0.25">
      <c r="A38" s="99"/>
      <c r="B38" s="22" t="s">
        <v>3</v>
      </c>
      <c r="C38" s="39">
        <v>44921</v>
      </c>
      <c r="D38" s="39">
        <v>42217</v>
      </c>
      <c r="E38" s="39">
        <v>40385</v>
      </c>
      <c r="F38" s="39">
        <v>39043</v>
      </c>
      <c r="G38" s="39">
        <v>38863</v>
      </c>
      <c r="H38" s="39">
        <v>38384</v>
      </c>
      <c r="I38" s="39">
        <v>39297</v>
      </c>
      <c r="J38" s="39">
        <v>43169</v>
      </c>
      <c r="K38" s="39">
        <v>47392</v>
      </c>
      <c r="L38" s="39">
        <v>51020</v>
      </c>
      <c r="M38" s="39">
        <v>53658</v>
      </c>
      <c r="N38" s="39">
        <v>56339</v>
      </c>
      <c r="O38" s="39">
        <v>57667</v>
      </c>
      <c r="P38" s="39">
        <v>57141</v>
      </c>
      <c r="Q38" s="39">
        <v>55873</v>
      </c>
      <c r="R38" s="39">
        <v>54974</v>
      </c>
      <c r="S38" s="39">
        <v>54717</v>
      </c>
      <c r="T38" s="39">
        <v>56670</v>
      </c>
      <c r="U38" s="39">
        <v>65111</v>
      </c>
      <c r="V38" s="39">
        <v>65897</v>
      </c>
      <c r="W38" s="39">
        <v>63726</v>
      </c>
      <c r="X38" s="39">
        <v>59426</v>
      </c>
      <c r="Y38" s="39">
        <v>52993</v>
      </c>
      <c r="Z38" s="40">
        <v>46903</v>
      </c>
      <c r="AA38" s="41">
        <f t="shared" si="0"/>
        <v>1225786</v>
      </c>
      <c r="AB38" s="23">
        <v>7</v>
      </c>
      <c r="AC38" s="102"/>
      <c r="AD38" s="49"/>
    </row>
    <row r="39" spans="1:30" ht="15.75" thickBot="1" x14ac:dyDescent="0.3">
      <c r="A39" s="99">
        <v>48183</v>
      </c>
      <c r="B39" s="18" t="s">
        <v>5</v>
      </c>
      <c r="C39" s="33">
        <v>46678</v>
      </c>
      <c r="D39" s="33">
        <v>43854</v>
      </c>
      <c r="E39" s="33">
        <v>42222</v>
      </c>
      <c r="F39" s="33">
        <v>41384</v>
      </c>
      <c r="G39" s="33">
        <v>41961</v>
      </c>
      <c r="H39" s="33">
        <v>43800</v>
      </c>
      <c r="I39" s="33">
        <v>45849</v>
      </c>
      <c r="J39" s="33">
        <v>51244</v>
      </c>
      <c r="K39" s="33">
        <v>56282</v>
      </c>
      <c r="L39" s="33">
        <v>60007</v>
      </c>
      <c r="M39" s="33">
        <v>63404</v>
      </c>
      <c r="N39" s="33">
        <v>66850</v>
      </c>
      <c r="O39" s="33">
        <v>66191</v>
      </c>
      <c r="P39" s="33">
        <v>66138</v>
      </c>
      <c r="Q39" s="33">
        <v>67115</v>
      </c>
      <c r="R39" s="33">
        <v>67031</v>
      </c>
      <c r="S39" s="33">
        <v>66065</v>
      </c>
      <c r="T39" s="33">
        <v>65625</v>
      </c>
      <c r="U39" s="33">
        <v>72945</v>
      </c>
      <c r="V39" s="33">
        <v>74075</v>
      </c>
      <c r="W39" s="33">
        <v>71202</v>
      </c>
      <c r="X39" s="33">
        <v>66607</v>
      </c>
      <c r="Y39" s="33">
        <v>59559</v>
      </c>
      <c r="Z39" s="34">
        <v>52811</v>
      </c>
      <c r="AA39" s="35">
        <f t="shared" si="0"/>
        <v>1398899</v>
      </c>
      <c r="AB39" s="19">
        <v>21</v>
      </c>
      <c r="AC39" s="100">
        <f>+AA39*AB39+AA40*AB40+AA41*AB41</f>
        <v>42424899</v>
      </c>
    </row>
    <row r="40" spans="1:30" ht="15.75" thickBot="1" x14ac:dyDescent="0.3">
      <c r="A40" s="99"/>
      <c r="B40" s="20" t="s">
        <v>4</v>
      </c>
      <c r="C40" s="36">
        <v>47125</v>
      </c>
      <c r="D40" s="36">
        <v>44278</v>
      </c>
      <c r="E40" s="36">
        <v>42650</v>
      </c>
      <c r="F40" s="36">
        <v>41574</v>
      </c>
      <c r="G40" s="36">
        <v>41633</v>
      </c>
      <c r="H40" s="36">
        <v>42670</v>
      </c>
      <c r="I40" s="36">
        <v>43924</v>
      </c>
      <c r="J40" s="36">
        <v>48969</v>
      </c>
      <c r="K40" s="36">
        <v>54114</v>
      </c>
      <c r="L40" s="36">
        <v>57700</v>
      </c>
      <c r="M40" s="36">
        <v>60583</v>
      </c>
      <c r="N40" s="36">
        <v>62986</v>
      </c>
      <c r="O40" s="36">
        <v>62984</v>
      </c>
      <c r="P40" s="36">
        <v>62084</v>
      </c>
      <c r="Q40" s="36">
        <v>61505</v>
      </c>
      <c r="R40" s="36">
        <v>60864</v>
      </c>
      <c r="S40" s="36">
        <v>60408</v>
      </c>
      <c r="T40" s="36">
        <v>61490</v>
      </c>
      <c r="U40" s="36">
        <v>69663</v>
      </c>
      <c r="V40" s="36">
        <v>70621</v>
      </c>
      <c r="W40" s="36">
        <v>67795</v>
      </c>
      <c r="X40" s="36">
        <v>63756</v>
      </c>
      <c r="Y40" s="36">
        <v>57991</v>
      </c>
      <c r="Z40" s="37">
        <v>52421</v>
      </c>
      <c r="AA40" s="38">
        <f t="shared" si="0"/>
        <v>1339788</v>
      </c>
      <c r="AB40" s="21">
        <v>4</v>
      </c>
      <c r="AC40" s="101"/>
      <c r="AD40" s="47"/>
    </row>
    <row r="41" spans="1:30" x14ac:dyDescent="0.25">
      <c r="A41" s="99"/>
      <c r="B41" s="22" t="s">
        <v>3</v>
      </c>
      <c r="C41" s="39">
        <v>48684</v>
      </c>
      <c r="D41" s="39">
        <v>45717</v>
      </c>
      <c r="E41" s="39">
        <v>43646</v>
      </c>
      <c r="F41" s="39">
        <v>42176</v>
      </c>
      <c r="G41" s="39">
        <v>41599</v>
      </c>
      <c r="H41" s="39">
        <v>41390</v>
      </c>
      <c r="I41" s="39">
        <v>41323</v>
      </c>
      <c r="J41" s="39">
        <v>44668</v>
      </c>
      <c r="K41" s="39">
        <v>48826</v>
      </c>
      <c r="L41" s="39">
        <v>52480</v>
      </c>
      <c r="M41" s="39">
        <v>55215</v>
      </c>
      <c r="N41" s="39">
        <v>57785</v>
      </c>
      <c r="O41" s="39">
        <v>59169</v>
      </c>
      <c r="P41" s="39">
        <v>59095</v>
      </c>
      <c r="Q41" s="39">
        <v>58160</v>
      </c>
      <c r="R41" s="39">
        <v>57569</v>
      </c>
      <c r="S41" s="39">
        <v>57227</v>
      </c>
      <c r="T41" s="39">
        <v>58311</v>
      </c>
      <c r="U41" s="39">
        <v>66478</v>
      </c>
      <c r="V41" s="39">
        <v>68136</v>
      </c>
      <c r="W41" s="39">
        <v>65806</v>
      </c>
      <c r="X41" s="39">
        <v>61827</v>
      </c>
      <c r="Y41" s="39">
        <v>56010</v>
      </c>
      <c r="Z41" s="40">
        <v>50181</v>
      </c>
      <c r="AA41" s="41">
        <f t="shared" si="0"/>
        <v>1281478</v>
      </c>
      <c r="AB41" s="23">
        <v>6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1670919</v>
      </c>
      <c r="D42" s="31">
        <f t="shared" si="1"/>
        <v>1571632</v>
      </c>
      <c r="E42" s="31">
        <f t="shared" si="1"/>
        <v>1511758</v>
      </c>
      <c r="F42" s="31">
        <f t="shared" si="1"/>
        <v>1474752</v>
      </c>
      <c r="G42" s="31">
        <f t="shared" si="1"/>
        <v>1479340</v>
      </c>
      <c r="H42" s="31">
        <f t="shared" si="1"/>
        <v>1522315</v>
      </c>
      <c r="I42" s="31">
        <f t="shared" si="1"/>
        <v>1579885</v>
      </c>
      <c r="J42" s="31">
        <f t="shared" si="1"/>
        <v>1736656</v>
      </c>
      <c r="K42" s="31">
        <f t="shared" si="1"/>
        <v>1908636</v>
      </c>
      <c r="L42" s="31">
        <f t="shared" si="1"/>
        <v>2041181</v>
      </c>
      <c r="M42" s="31">
        <f t="shared" si="1"/>
        <v>2152322</v>
      </c>
      <c r="N42" s="31">
        <f t="shared" si="1"/>
        <v>2256604</v>
      </c>
      <c r="O42" s="31">
        <f t="shared" si="1"/>
        <v>2260733</v>
      </c>
      <c r="P42" s="31">
        <f t="shared" si="1"/>
        <v>2248160</v>
      </c>
      <c r="Q42" s="31">
        <f t="shared" si="1"/>
        <v>2240200</v>
      </c>
      <c r="R42" s="31">
        <f t="shared" si="1"/>
        <v>2230981</v>
      </c>
      <c r="S42" s="31">
        <f t="shared" si="1"/>
        <v>2209138</v>
      </c>
      <c r="T42" s="31">
        <f t="shared" si="1"/>
        <v>2213052</v>
      </c>
      <c r="U42" s="31">
        <f t="shared" si="1"/>
        <v>2435676</v>
      </c>
      <c r="V42" s="31">
        <f t="shared" si="1"/>
        <v>2550580</v>
      </c>
      <c r="W42" s="31">
        <f t="shared" si="1"/>
        <v>2458597</v>
      </c>
      <c r="X42" s="31">
        <f t="shared" si="1"/>
        <v>2299273</v>
      </c>
      <c r="Y42" s="31">
        <f t="shared" si="1"/>
        <v>2058865</v>
      </c>
      <c r="Z42" s="31">
        <f t="shared" si="1"/>
        <v>1824455</v>
      </c>
      <c r="AA42" s="31">
        <f t="shared" si="1"/>
        <v>47935710</v>
      </c>
      <c r="AB42" s="31">
        <f t="shared" si="1"/>
        <v>365</v>
      </c>
      <c r="AC42" s="46">
        <f t="shared" si="1"/>
        <v>492773014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DF8-B73D-4B08-91CE-CBF3686E8764}">
  <sheetPr>
    <tabColor theme="7" tint="-0.249977111117893"/>
  </sheetPr>
  <dimension ref="A1:AD46"/>
  <sheetViews>
    <sheetView showGridLines="0" zoomScale="115" zoomScaleNormal="115" zoomScaleSheetLayoutView="110" workbookViewId="0">
      <pane xSplit="2" ySplit="5" topLeftCell="C11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76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47849</v>
      </c>
      <c r="B6" s="18" t="s">
        <v>5</v>
      </c>
      <c r="C6" s="33">
        <f>+'Anexo 16'!C6*'Anexo 6'!$D$10</f>
        <v>0</v>
      </c>
      <c r="D6" s="33">
        <f>+'Anexo 16'!D6*'Anexo 6'!$D$10</f>
        <v>0</v>
      </c>
      <c r="E6" s="33">
        <f>+'Anexo 16'!E6*'Anexo 6'!$D$10</f>
        <v>0</v>
      </c>
      <c r="F6" s="33">
        <f>+'Anexo 16'!F6*'Anexo 6'!$D$10</f>
        <v>0</v>
      </c>
      <c r="G6" s="33">
        <f>+'Anexo 16'!G6*'Anexo 6'!$D$10</f>
        <v>0</v>
      </c>
      <c r="H6" s="33">
        <f>+'Anexo 16'!H6*'Anexo 6'!$D$10</f>
        <v>0</v>
      </c>
      <c r="I6" s="33">
        <f>+'Anexo 16'!I6*'Anexo 6'!$D$10</f>
        <v>0</v>
      </c>
      <c r="J6" s="33">
        <f>+'Anexo 16'!J6*'Anexo 6'!$D$10</f>
        <v>0</v>
      </c>
      <c r="K6" s="33">
        <f>+'Anexo 16'!K6*'Anexo 6'!$D$10</f>
        <v>0</v>
      </c>
      <c r="L6" s="33">
        <f>+'Anexo 16'!L6*'Anexo 6'!$D$10</f>
        <v>0</v>
      </c>
      <c r="M6" s="33">
        <f>+'Anexo 16'!M6*'Anexo 6'!$D$10</f>
        <v>0</v>
      </c>
      <c r="N6" s="33">
        <f>+'Anexo 16'!N6*'Anexo 6'!$D$10</f>
        <v>0</v>
      </c>
      <c r="O6" s="33">
        <f>+'Anexo 16'!O6*'Anexo 6'!$D$10</f>
        <v>0</v>
      </c>
      <c r="P6" s="33">
        <f>+'Anexo 16'!P6*'Anexo 6'!$D$10</f>
        <v>0</v>
      </c>
      <c r="Q6" s="33">
        <f>+'Anexo 16'!Q6*'Anexo 6'!$D$10</f>
        <v>0</v>
      </c>
      <c r="R6" s="33">
        <f>+'Anexo 16'!R6*'Anexo 6'!$D$10</f>
        <v>0</v>
      </c>
      <c r="S6" s="33">
        <f>+'Anexo 16'!S6*'Anexo 6'!$D$10</f>
        <v>0</v>
      </c>
      <c r="T6" s="33">
        <f>+'Anexo 16'!T6*'Anexo 6'!$D$10</f>
        <v>0</v>
      </c>
      <c r="U6" s="33">
        <f>+'Anexo 16'!U6*'Anexo 6'!$D$10</f>
        <v>0</v>
      </c>
      <c r="V6" s="33">
        <f>+'Anexo 16'!V6*'Anexo 6'!$D$10</f>
        <v>0</v>
      </c>
      <c r="W6" s="33">
        <f>+'Anexo 16'!W6*'Anexo 6'!$D$10</f>
        <v>0</v>
      </c>
      <c r="X6" s="33">
        <f>+'Anexo 16'!X6*'Anexo 6'!$D$10</f>
        <v>0</v>
      </c>
      <c r="Y6" s="33">
        <f>+'Anexo 16'!Y6*'Anexo 6'!$D$10</f>
        <v>0</v>
      </c>
      <c r="Z6" s="33">
        <f>+'Anexo 16'!Z6*'Anexo 6'!$D$10</f>
        <v>0</v>
      </c>
      <c r="AA6" s="35">
        <f>SUM(C6:Z6)</f>
        <v>0</v>
      </c>
      <c r="AB6" s="19">
        <v>21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+'Anexo 16'!C7*'Anexo 6'!$D$10</f>
        <v>0</v>
      </c>
      <c r="D7" s="33">
        <f>+'Anexo 16'!D7*'Anexo 6'!$D$10</f>
        <v>0</v>
      </c>
      <c r="E7" s="33">
        <f>+'Anexo 16'!E7*'Anexo 6'!$D$10</f>
        <v>0</v>
      </c>
      <c r="F7" s="33">
        <f>+'Anexo 16'!F7*'Anexo 6'!$D$10</f>
        <v>0</v>
      </c>
      <c r="G7" s="33">
        <f>+'Anexo 16'!G7*'Anexo 6'!$D$10</f>
        <v>0</v>
      </c>
      <c r="H7" s="33">
        <f>+'Anexo 16'!H7*'Anexo 6'!$D$10</f>
        <v>0</v>
      </c>
      <c r="I7" s="33">
        <f>+'Anexo 16'!I7*'Anexo 6'!$D$10</f>
        <v>0</v>
      </c>
      <c r="J7" s="33">
        <f>+'Anexo 16'!J7*'Anexo 6'!$D$10</f>
        <v>0</v>
      </c>
      <c r="K7" s="33">
        <f>+'Anexo 16'!K7*'Anexo 6'!$D$10</f>
        <v>0</v>
      </c>
      <c r="L7" s="33">
        <f>+'Anexo 16'!L7*'Anexo 6'!$D$10</f>
        <v>0</v>
      </c>
      <c r="M7" s="33">
        <f>+'Anexo 16'!M7*'Anexo 6'!$D$10</f>
        <v>0</v>
      </c>
      <c r="N7" s="33">
        <f>+'Anexo 16'!N7*'Anexo 6'!$D$10</f>
        <v>0</v>
      </c>
      <c r="O7" s="33">
        <f>+'Anexo 16'!O7*'Anexo 6'!$D$10</f>
        <v>0</v>
      </c>
      <c r="P7" s="33">
        <f>+'Anexo 16'!P7*'Anexo 6'!$D$10</f>
        <v>0</v>
      </c>
      <c r="Q7" s="33">
        <f>+'Anexo 16'!Q7*'Anexo 6'!$D$10</f>
        <v>0</v>
      </c>
      <c r="R7" s="33">
        <f>+'Anexo 16'!R7*'Anexo 6'!$D$10</f>
        <v>0</v>
      </c>
      <c r="S7" s="33">
        <f>+'Anexo 16'!S7*'Anexo 6'!$D$10</f>
        <v>0</v>
      </c>
      <c r="T7" s="33">
        <f>+'Anexo 16'!T7*'Anexo 6'!$D$10</f>
        <v>0</v>
      </c>
      <c r="U7" s="33">
        <f>+'Anexo 16'!U7*'Anexo 6'!$D$10</f>
        <v>0</v>
      </c>
      <c r="V7" s="33">
        <f>+'Anexo 16'!V7*'Anexo 6'!$D$10</f>
        <v>0</v>
      </c>
      <c r="W7" s="33">
        <f>+'Anexo 16'!W7*'Anexo 6'!$D$10</f>
        <v>0</v>
      </c>
      <c r="X7" s="33">
        <f>+'Anexo 16'!X7*'Anexo 6'!$D$10</f>
        <v>0</v>
      </c>
      <c r="Y7" s="33">
        <f>+'Anexo 16'!Y7*'Anexo 6'!$D$10</f>
        <v>0</v>
      </c>
      <c r="Z7" s="33">
        <f>+'Anexo 16'!Z7*'Anexo 6'!$D$10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+'Anexo 16'!C8*'Anexo 6'!$D$10</f>
        <v>0</v>
      </c>
      <c r="D8" s="33">
        <f>+'Anexo 16'!D8*'Anexo 6'!$D$10</f>
        <v>0</v>
      </c>
      <c r="E8" s="33">
        <f>+'Anexo 16'!E8*'Anexo 6'!$D$10</f>
        <v>0</v>
      </c>
      <c r="F8" s="33">
        <f>+'Anexo 16'!F8*'Anexo 6'!$D$10</f>
        <v>0</v>
      </c>
      <c r="G8" s="33">
        <f>+'Anexo 16'!G8*'Anexo 6'!$D$10</f>
        <v>0</v>
      </c>
      <c r="H8" s="33">
        <f>+'Anexo 16'!H8*'Anexo 6'!$D$10</f>
        <v>0</v>
      </c>
      <c r="I8" s="33">
        <f>+'Anexo 16'!I8*'Anexo 6'!$D$10</f>
        <v>0</v>
      </c>
      <c r="J8" s="33">
        <f>+'Anexo 16'!J8*'Anexo 6'!$D$10</f>
        <v>0</v>
      </c>
      <c r="K8" s="33">
        <f>+'Anexo 16'!K8*'Anexo 6'!$D$10</f>
        <v>0</v>
      </c>
      <c r="L8" s="33">
        <f>+'Anexo 16'!L8*'Anexo 6'!$D$10</f>
        <v>0</v>
      </c>
      <c r="M8" s="33">
        <f>+'Anexo 16'!M8*'Anexo 6'!$D$10</f>
        <v>0</v>
      </c>
      <c r="N8" s="33">
        <f>+'Anexo 16'!N8*'Anexo 6'!$D$10</f>
        <v>0</v>
      </c>
      <c r="O8" s="33">
        <f>+'Anexo 16'!O8*'Anexo 6'!$D$10</f>
        <v>0</v>
      </c>
      <c r="P8" s="33">
        <f>+'Anexo 16'!P8*'Anexo 6'!$D$10</f>
        <v>0</v>
      </c>
      <c r="Q8" s="33">
        <f>+'Anexo 16'!Q8*'Anexo 6'!$D$10</f>
        <v>0</v>
      </c>
      <c r="R8" s="33">
        <f>+'Anexo 16'!R8*'Anexo 6'!$D$10</f>
        <v>0</v>
      </c>
      <c r="S8" s="33">
        <f>+'Anexo 16'!S8*'Anexo 6'!$D$10</f>
        <v>0</v>
      </c>
      <c r="T8" s="33">
        <f>+'Anexo 16'!T8*'Anexo 6'!$D$10</f>
        <v>0</v>
      </c>
      <c r="U8" s="33">
        <f>+'Anexo 16'!U8*'Anexo 6'!$D$10</f>
        <v>0</v>
      </c>
      <c r="V8" s="33">
        <f>+'Anexo 16'!V8*'Anexo 6'!$D$10</f>
        <v>0</v>
      </c>
      <c r="W8" s="33">
        <f>+'Anexo 16'!W8*'Anexo 6'!$D$10</f>
        <v>0</v>
      </c>
      <c r="X8" s="33">
        <f>+'Anexo 16'!X8*'Anexo 6'!$D$10</f>
        <v>0</v>
      </c>
      <c r="Y8" s="33">
        <f>+'Anexo 16'!Y8*'Anexo 6'!$D$10</f>
        <v>0</v>
      </c>
      <c r="Z8" s="33">
        <f>+'Anexo 16'!Z8*'Anexo 6'!$D$10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47880</v>
      </c>
      <c r="B9" s="18" t="s">
        <v>5</v>
      </c>
      <c r="C9" s="33">
        <f>+'Anexo 16'!C9*'Anexo 6'!$D$10</f>
        <v>0</v>
      </c>
      <c r="D9" s="33">
        <f>+'Anexo 16'!D9*'Anexo 6'!$D$10</f>
        <v>0</v>
      </c>
      <c r="E9" s="33">
        <f>+'Anexo 16'!E9*'Anexo 6'!$D$10</f>
        <v>0</v>
      </c>
      <c r="F9" s="33">
        <f>+'Anexo 16'!F9*'Anexo 6'!$D$10</f>
        <v>0</v>
      </c>
      <c r="G9" s="33">
        <f>+'Anexo 16'!G9*'Anexo 6'!$D$10</f>
        <v>0</v>
      </c>
      <c r="H9" s="33">
        <f>+'Anexo 16'!H9*'Anexo 6'!$D$10</f>
        <v>0</v>
      </c>
      <c r="I9" s="33">
        <f>+'Anexo 16'!I9*'Anexo 6'!$D$10</f>
        <v>0</v>
      </c>
      <c r="J9" s="33">
        <f>+'Anexo 16'!J9*'Anexo 6'!$D$10</f>
        <v>0</v>
      </c>
      <c r="K9" s="33">
        <f>+'Anexo 16'!K9*'Anexo 6'!$D$10</f>
        <v>0</v>
      </c>
      <c r="L9" s="33">
        <f>+'Anexo 16'!L9*'Anexo 6'!$D$10</f>
        <v>0</v>
      </c>
      <c r="M9" s="33">
        <f>+'Anexo 16'!M9*'Anexo 6'!$D$10</f>
        <v>0</v>
      </c>
      <c r="N9" s="33">
        <f>+'Anexo 16'!N9*'Anexo 6'!$D$10</f>
        <v>0</v>
      </c>
      <c r="O9" s="33">
        <f>+'Anexo 16'!O9*'Anexo 6'!$D$10</f>
        <v>0</v>
      </c>
      <c r="P9" s="33">
        <f>+'Anexo 16'!P9*'Anexo 6'!$D$10</f>
        <v>0</v>
      </c>
      <c r="Q9" s="33">
        <f>+'Anexo 16'!Q9*'Anexo 6'!$D$10</f>
        <v>0</v>
      </c>
      <c r="R9" s="33">
        <f>+'Anexo 16'!R9*'Anexo 6'!$D$10</f>
        <v>0</v>
      </c>
      <c r="S9" s="33">
        <f>+'Anexo 16'!S9*'Anexo 6'!$D$10</f>
        <v>0</v>
      </c>
      <c r="T9" s="33">
        <f>+'Anexo 16'!T9*'Anexo 6'!$D$10</f>
        <v>0</v>
      </c>
      <c r="U9" s="33">
        <f>+'Anexo 16'!U9*'Anexo 6'!$D$10</f>
        <v>0</v>
      </c>
      <c r="V9" s="33">
        <f>+'Anexo 16'!V9*'Anexo 6'!$D$10</f>
        <v>0</v>
      </c>
      <c r="W9" s="33">
        <f>+'Anexo 16'!W9*'Anexo 6'!$D$10</f>
        <v>0</v>
      </c>
      <c r="X9" s="33">
        <f>+'Anexo 16'!X9*'Anexo 6'!$D$10</f>
        <v>0</v>
      </c>
      <c r="Y9" s="33">
        <f>+'Anexo 16'!Y9*'Anexo 6'!$D$10</f>
        <v>0</v>
      </c>
      <c r="Z9" s="33">
        <f>+'Anexo 16'!Z9*'Anexo 6'!$D$10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+'Anexo 16'!C10*'Anexo 6'!$D$10</f>
        <v>0</v>
      </c>
      <c r="D10" s="33">
        <f>+'Anexo 16'!D10*'Anexo 6'!$D$10</f>
        <v>0</v>
      </c>
      <c r="E10" s="33">
        <f>+'Anexo 16'!E10*'Anexo 6'!$D$10</f>
        <v>0</v>
      </c>
      <c r="F10" s="33">
        <f>+'Anexo 16'!F10*'Anexo 6'!$D$10</f>
        <v>0</v>
      </c>
      <c r="G10" s="33">
        <f>+'Anexo 16'!G10*'Anexo 6'!$D$10</f>
        <v>0</v>
      </c>
      <c r="H10" s="33">
        <f>+'Anexo 16'!H10*'Anexo 6'!$D$10</f>
        <v>0</v>
      </c>
      <c r="I10" s="33">
        <f>+'Anexo 16'!I10*'Anexo 6'!$D$10</f>
        <v>0</v>
      </c>
      <c r="J10" s="33">
        <f>+'Anexo 16'!J10*'Anexo 6'!$D$10</f>
        <v>0</v>
      </c>
      <c r="K10" s="33">
        <f>+'Anexo 16'!K10*'Anexo 6'!$D$10</f>
        <v>0</v>
      </c>
      <c r="L10" s="33">
        <f>+'Anexo 16'!L10*'Anexo 6'!$D$10</f>
        <v>0</v>
      </c>
      <c r="M10" s="33">
        <f>+'Anexo 16'!M10*'Anexo 6'!$D$10</f>
        <v>0</v>
      </c>
      <c r="N10" s="33">
        <f>+'Anexo 16'!N10*'Anexo 6'!$D$10</f>
        <v>0</v>
      </c>
      <c r="O10" s="33">
        <f>+'Anexo 16'!O10*'Anexo 6'!$D$10</f>
        <v>0</v>
      </c>
      <c r="P10" s="33">
        <f>+'Anexo 16'!P10*'Anexo 6'!$D$10</f>
        <v>0</v>
      </c>
      <c r="Q10" s="33">
        <f>+'Anexo 16'!Q10*'Anexo 6'!$D$10</f>
        <v>0</v>
      </c>
      <c r="R10" s="33">
        <f>+'Anexo 16'!R10*'Anexo 6'!$D$10</f>
        <v>0</v>
      </c>
      <c r="S10" s="33">
        <f>+'Anexo 16'!S10*'Anexo 6'!$D$10</f>
        <v>0</v>
      </c>
      <c r="T10" s="33">
        <f>+'Anexo 16'!T10*'Anexo 6'!$D$10</f>
        <v>0</v>
      </c>
      <c r="U10" s="33">
        <f>+'Anexo 16'!U10*'Anexo 6'!$D$10</f>
        <v>0</v>
      </c>
      <c r="V10" s="33">
        <f>+'Anexo 16'!V10*'Anexo 6'!$D$10</f>
        <v>0</v>
      </c>
      <c r="W10" s="33">
        <f>+'Anexo 16'!W10*'Anexo 6'!$D$10</f>
        <v>0</v>
      </c>
      <c r="X10" s="33">
        <f>+'Anexo 16'!X10*'Anexo 6'!$D$10</f>
        <v>0</v>
      </c>
      <c r="Y10" s="33">
        <f>+'Anexo 16'!Y10*'Anexo 6'!$D$10</f>
        <v>0</v>
      </c>
      <c r="Z10" s="33">
        <f>+'Anexo 16'!Z10*'Anexo 6'!$D$10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+'Anexo 16'!C11*'Anexo 6'!$D$10</f>
        <v>0</v>
      </c>
      <c r="D11" s="33">
        <f>+'Anexo 16'!D11*'Anexo 6'!$D$10</f>
        <v>0</v>
      </c>
      <c r="E11" s="33">
        <f>+'Anexo 16'!E11*'Anexo 6'!$D$10</f>
        <v>0</v>
      </c>
      <c r="F11" s="33">
        <f>+'Anexo 16'!F11*'Anexo 6'!$D$10</f>
        <v>0</v>
      </c>
      <c r="G11" s="33">
        <f>+'Anexo 16'!G11*'Anexo 6'!$D$10</f>
        <v>0</v>
      </c>
      <c r="H11" s="33">
        <f>+'Anexo 16'!H11*'Anexo 6'!$D$10</f>
        <v>0</v>
      </c>
      <c r="I11" s="33">
        <f>+'Anexo 16'!I11*'Anexo 6'!$D$10</f>
        <v>0</v>
      </c>
      <c r="J11" s="33">
        <f>+'Anexo 16'!J11*'Anexo 6'!$D$10</f>
        <v>0</v>
      </c>
      <c r="K11" s="33">
        <f>+'Anexo 16'!K11*'Anexo 6'!$D$10</f>
        <v>0</v>
      </c>
      <c r="L11" s="33">
        <f>+'Anexo 16'!L11*'Anexo 6'!$D$10</f>
        <v>0</v>
      </c>
      <c r="M11" s="33">
        <f>+'Anexo 16'!M11*'Anexo 6'!$D$10</f>
        <v>0</v>
      </c>
      <c r="N11" s="33">
        <f>+'Anexo 16'!N11*'Anexo 6'!$D$10</f>
        <v>0</v>
      </c>
      <c r="O11" s="33">
        <f>+'Anexo 16'!O11*'Anexo 6'!$D$10</f>
        <v>0</v>
      </c>
      <c r="P11" s="33">
        <f>+'Anexo 16'!P11*'Anexo 6'!$D$10</f>
        <v>0</v>
      </c>
      <c r="Q11" s="33">
        <f>+'Anexo 16'!Q11*'Anexo 6'!$D$10</f>
        <v>0</v>
      </c>
      <c r="R11" s="33">
        <f>+'Anexo 16'!R11*'Anexo 6'!$D$10</f>
        <v>0</v>
      </c>
      <c r="S11" s="33">
        <f>+'Anexo 16'!S11*'Anexo 6'!$D$10</f>
        <v>0</v>
      </c>
      <c r="T11" s="33">
        <f>+'Anexo 16'!T11*'Anexo 6'!$D$10</f>
        <v>0</v>
      </c>
      <c r="U11" s="33">
        <f>+'Anexo 16'!U11*'Anexo 6'!$D$10</f>
        <v>0</v>
      </c>
      <c r="V11" s="33">
        <f>+'Anexo 16'!V11*'Anexo 6'!$D$10</f>
        <v>0</v>
      </c>
      <c r="W11" s="33">
        <f>+'Anexo 16'!W11*'Anexo 6'!$D$10</f>
        <v>0</v>
      </c>
      <c r="X11" s="33">
        <f>+'Anexo 16'!X11*'Anexo 6'!$D$10</f>
        <v>0</v>
      </c>
      <c r="Y11" s="33">
        <f>+'Anexo 16'!Y11*'Anexo 6'!$D$10</f>
        <v>0</v>
      </c>
      <c r="Z11" s="33">
        <f>+'Anexo 16'!Z11*'Anexo 6'!$D$10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47908</v>
      </c>
      <c r="B12" s="18" t="s">
        <v>5</v>
      </c>
      <c r="C12" s="33">
        <f>+'Anexo 16'!C12*'Anexo 6'!$D$10</f>
        <v>0</v>
      </c>
      <c r="D12" s="33">
        <f>+'Anexo 16'!D12*'Anexo 6'!$D$10</f>
        <v>0</v>
      </c>
      <c r="E12" s="33">
        <f>+'Anexo 16'!E12*'Anexo 6'!$D$10</f>
        <v>0</v>
      </c>
      <c r="F12" s="33">
        <f>+'Anexo 16'!F12*'Anexo 6'!$D$10</f>
        <v>0</v>
      </c>
      <c r="G12" s="33">
        <f>+'Anexo 16'!G12*'Anexo 6'!$D$10</f>
        <v>0</v>
      </c>
      <c r="H12" s="33">
        <f>+'Anexo 16'!H12*'Anexo 6'!$D$10</f>
        <v>0</v>
      </c>
      <c r="I12" s="33">
        <f>+'Anexo 16'!I12*'Anexo 6'!$D$10</f>
        <v>0</v>
      </c>
      <c r="J12" s="33">
        <f>+'Anexo 16'!J12*'Anexo 6'!$D$10</f>
        <v>0</v>
      </c>
      <c r="K12" s="33">
        <f>+'Anexo 16'!K12*'Anexo 6'!$D$10</f>
        <v>0</v>
      </c>
      <c r="L12" s="33">
        <f>+'Anexo 16'!L12*'Anexo 6'!$D$10</f>
        <v>0</v>
      </c>
      <c r="M12" s="33">
        <f>+'Anexo 16'!M12*'Anexo 6'!$D$10</f>
        <v>0</v>
      </c>
      <c r="N12" s="33">
        <f>+'Anexo 16'!N12*'Anexo 6'!$D$10</f>
        <v>0</v>
      </c>
      <c r="O12" s="33">
        <f>+'Anexo 16'!O12*'Anexo 6'!$D$10</f>
        <v>0</v>
      </c>
      <c r="P12" s="33">
        <f>+'Anexo 16'!P12*'Anexo 6'!$D$10</f>
        <v>0</v>
      </c>
      <c r="Q12" s="33">
        <f>+'Anexo 16'!Q12*'Anexo 6'!$D$10</f>
        <v>0</v>
      </c>
      <c r="R12" s="33">
        <f>+'Anexo 16'!R12*'Anexo 6'!$D$10</f>
        <v>0</v>
      </c>
      <c r="S12" s="33">
        <f>+'Anexo 16'!S12*'Anexo 6'!$D$10</f>
        <v>0</v>
      </c>
      <c r="T12" s="33">
        <f>+'Anexo 16'!T12*'Anexo 6'!$D$10</f>
        <v>0</v>
      </c>
      <c r="U12" s="33">
        <f>+'Anexo 16'!U12*'Anexo 6'!$D$10</f>
        <v>0</v>
      </c>
      <c r="V12" s="33">
        <f>+'Anexo 16'!V12*'Anexo 6'!$D$10</f>
        <v>0</v>
      </c>
      <c r="W12" s="33">
        <f>+'Anexo 16'!W12*'Anexo 6'!$D$10</f>
        <v>0</v>
      </c>
      <c r="X12" s="33">
        <f>+'Anexo 16'!X12*'Anexo 6'!$D$10</f>
        <v>0</v>
      </c>
      <c r="Y12" s="33">
        <f>+'Anexo 16'!Y12*'Anexo 6'!$D$10</f>
        <v>0</v>
      </c>
      <c r="Z12" s="33">
        <f>+'Anexo 16'!Z12*'Anexo 6'!$D$10</f>
        <v>0</v>
      </c>
      <c r="AA12" s="35">
        <f t="shared" si="0"/>
        <v>0</v>
      </c>
      <c r="AB12" s="19">
        <v>20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+'Anexo 16'!C13*'Anexo 6'!$D$10</f>
        <v>0</v>
      </c>
      <c r="D13" s="33">
        <f>+'Anexo 16'!D13*'Anexo 6'!$D$10</f>
        <v>0</v>
      </c>
      <c r="E13" s="33">
        <f>+'Anexo 16'!E13*'Anexo 6'!$D$10</f>
        <v>0</v>
      </c>
      <c r="F13" s="33">
        <f>+'Anexo 16'!F13*'Anexo 6'!$D$10</f>
        <v>0</v>
      </c>
      <c r="G13" s="33">
        <f>+'Anexo 16'!G13*'Anexo 6'!$D$10</f>
        <v>0</v>
      </c>
      <c r="H13" s="33">
        <f>+'Anexo 16'!H13*'Anexo 6'!$D$10</f>
        <v>0</v>
      </c>
      <c r="I13" s="33">
        <f>+'Anexo 16'!I13*'Anexo 6'!$D$10</f>
        <v>0</v>
      </c>
      <c r="J13" s="33">
        <f>+'Anexo 16'!J13*'Anexo 6'!$D$10</f>
        <v>0</v>
      </c>
      <c r="K13" s="33">
        <f>+'Anexo 16'!K13*'Anexo 6'!$D$10</f>
        <v>0</v>
      </c>
      <c r="L13" s="33">
        <f>+'Anexo 16'!L13*'Anexo 6'!$D$10</f>
        <v>0</v>
      </c>
      <c r="M13" s="33">
        <f>+'Anexo 16'!M13*'Anexo 6'!$D$10</f>
        <v>0</v>
      </c>
      <c r="N13" s="33">
        <f>+'Anexo 16'!N13*'Anexo 6'!$D$10</f>
        <v>0</v>
      </c>
      <c r="O13" s="33">
        <f>+'Anexo 16'!O13*'Anexo 6'!$D$10</f>
        <v>0</v>
      </c>
      <c r="P13" s="33">
        <f>+'Anexo 16'!P13*'Anexo 6'!$D$10</f>
        <v>0</v>
      </c>
      <c r="Q13" s="33">
        <f>+'Anexo 16'!Q13*'Anexo 6'!$D$10</f>
        <v>0</v>
      </c>
      <c r="R13" s="33">
        <f>+'Anexo 16'!R13*'Anexo 6'!$D$10</f>
        <v>0</v>
      </c>
      <c r="S13" s="33">
        <f>+'Anexo 16'!S13*'Anexo 6'!$D$10</f>
        <v>0</v>
      </c>
      <c r="T13" s="33">
        <f>+'Anexo 16'!T13*'Anexo 6'!$D$10</f>
        <v>0</v>
      </c>
      <c r="U13" s="33">
        <f>+'Anexo 16'!U13*'Anexo 6'!$D$10</f>
        <v>0</v>
      </c>
      <c r="V13" s="33">
        <f>+'Anexo 16'!V13*'Anexo 6'!$D$10</f>
        <v>0</v>
      </c>
      <c r="W13" s="33">
        <f>+'Anexo 16'!W13*'Anexo 6'!$D$10</f>
        <v>0</v>
      </c>
      <c r="X13" s="33">
        <f>+'Anexo 16'!X13*'Anexo 6'!$D$10</f>
        <v>0</v>
      </c>
      <c r="Y13" s="33">
        <f>+'Anexo 16'!Y13*'Anexo 6'!$D$10</f>
        <v>0</v>
      </c>
      <c r="Z13" s="33">
        <f>+'Anexo 16'!Z13*'Anexo 6'!$D$10</f>
        <v>0</v>
      </c>
      <c r="AA13" s="38">
        <f t="shared" si="0"/>
        <v>0</v>
      </c>
      <c r="AB13" s="21">
        <v>5</v>
      </c>
      <c r="AC13" s="101"/>
      <c r="AD13" s="47"/>
    </row>
    <row r="14" spans="1:30" ht="15.75" thickBot="1" x14ac:dyDescent="0.3">
      <c r="A14" s="99"/>
      <c r="B14" s="22" t="s">
        <v>3</v>
      </c>
      <c r="C14" s="33">
        <f>+'Anexo 16'!C14*'Anexo 6'!$D$10</f>
        <v>0</v>
      </c>
      <c r="D14" s="33">
        <f>+'Anexo 16'!D14*'Anexo 6'!$D$10</f>
        <v>0</v>
      </c>
      <c r="E14" s="33">
        <f>+'Anexo 16'!E14*'Anexo 6'!$D$10</f>
        <v>0</v>
      </c>
      <c r="F14" s="33">
        <f>+'Anexo 16'!F14*'Anexo 6'!$D$10</f>
        <v>0</v>
      </c>
      <c r="G14" s="33">
        <f>+'Anexo 16'!G14*'Anexo 6'!$D$10</f>
        <v>0</v>
      </c>
      <c r="H14" s="33">
        <f>+'Anexo 16'!H14*'Anexo 6'!$D$10</f>
        <v>0</v>
      </c>
      <c r="I14" s="33">
        <f>+'Anexo 16'!I14*'Anexo 6'!$D$10</f>
        <v>0</v>
      </c>
      <c r="J14" s="33">
        <f>+'Anexo 16'!J14*'Anexo 6'!$D$10</f>
        <v>0</v>
      </c>
      <c r="K14" s="33">
        <f>+'Anexo 16'!K14*'Anexo 6'!$D$10</f>
        <v>0</v>
      </c>
      <c r="L14" s="33">
        <f>+'Anexo 16'!L14*'Anexo 6'!$D$10</f>
        <v>0</v>
      </c>
      <c r="M14" s="33">
        <f>+'Anexo 16'!M14*'Anexo 6'!$D$10</f>
        <v>0</v>
      </c>
      <c r="N14" s="33">
        <f>+'Anexo 16'!N14*'Anexo 6'!$D$10</f>
        <v>0</v>
      </c>
      <c r="O14" s="33">
        <f>+'Anexo 16'!O14*'Anexo 6'!$D$10</f>
        <v>0</v>
      </c>
      <c r="P14" s="33">
        <f>+'Anexo 16'!P14*'Anexo 6'!$D$10</f>
        <v>0</v>
      </c>
      <c r="Q14" s="33">
        <f>+'Anexo 16'!Q14*'Anexo 6'!$D$10</f>
        <v>0</v>
      </c>
      <c r="R14" s="33">
        <f>+'Anexo 16'!R14*'Anexo 6'!$D$10</f>
        <v>0</v>
      </c>
      <c r="S14" s="33">
        <f>+'Anexo 16'!S14*'Anexo 6'!$D$10</f>
        <v>0</v>
      </c>
      <c r="T14" s="33">
        <f>+'Anexo 16'!T14*'Anexo 6'!$D$10</f>
        <v>0</v>
      </c>
      <c r="U14" s="33">
        <f>+'Anexo 16'!U14*'Anexo 6'!$D$10</f>
        <v>0</v>
      </c>
      <c r="V14" s="33">
        <f>+'Anexo 16'!V14*'Anexo 6'!$D$10</f>
        <v>0</v>
      </c>
      <c r="W14" s="33">
        <f>+'Anexo 16'!W14*'Anexo 6'!$D$10</f>
        <v>0</v>
      </c>
      <c r="X14" s="33">
        <f>+'Anexo 16'!X14*'Anexo 6'!$D$10</f>
        <v>0</v>
      </c>
      <c r="Y14" s="33">
        <f>+'Anexo 16'!Y14*'Anexo 6'!$D$10</f>
        <v>0</v>
      </c>
      <c r="Z14" s="33">
        <f>+'Anexo 16'!Z14*'Anexo 6'!$D$10</f>
        <v>0</v>
      </c>
      <c r="AA14" s="41">
        <f t="shared" si="0"/>
        <v>0</v>
      </c>
      <c r="AB14" s="23">
        <v>6</v>
      </c>
      <c r="AC14" s="102"/>
      <c r="AD14" s="45"/>
    </row>
    <row r="15" spans="1:30" ht="15.75" thickBot="1" x14ac:dyDescent="0.3">
      <c r="A15" s="99">
        <v>47939</v>
      </c>
      <c r="B15" s="18" t="s">
        <v>5</v>
      </c>
      <c r="C15" s="33">
        <f>+'Anexo 16'!C15*'Anexo 6'!$D$10</f>
        <v>0</v>
      </c>
      <c r="D15" s="33">
        <f>+'Anexo 16'!D15*'Anexo 6'!$D$10</f>
        <v>0</v>
      </c>
      <c r="E15" s="33">
        <f>+'Anexo 16'!E15*'Anexo 6'!$D$10</f>
        <v>0</v>
      </c>
      <c r="F15" s="33">
        <f>+'Anexo 16'!F15*'Anexo 6'!$D$10</f>
        <v>0</v>
      </c>
      <c r="G15" s="33">
        <f>+'Anexo 16'!G15*'Anexo 6'!$D$10</f>
        <v>0</v>
      </c>
      <c r="H15" s="33">
        <f>+'Anexo 16'!H15*'Anexo 6'!$D$10</f>
        <v>0</v>
      </c>
      <c r="I15" s="33">
        <f>+'Anexo 16'!I15*'Anexo 6'!$D$10</f>
        <v>0</v>
      </c>
      <c r="J15" s="33">
        <f>+'Anexo 16'!J15*'Anexo 6'!$D$10</f>
        <v>0</v>
      </c>
      <c r="K15" s="33">
        <f>+'Anexo 16'!K15*'Anexo 6'!$D$10</f>
        <v>0</v>
      </c>
      <c r="L15" s="33">
        <f>+'Anexo 16'!L15*'Anexo 6'!$D$10</f>
        <v>0</v>
      </c>
      <c r="M15" s="33">
        <f>+'Anexo 16'!M15*'Anexo 6'!$D$10</f>
        <v>0</v>
      </c>
      <c r="N15" s="33">
        <f>+'Anexo 16'!N15*'Anexo 6'!$D$10</f>
        <v>0</v>
      </c>
      <c r="O15" s="33">
        <f>+'Anexo 16'!O15*'Anexo 6'!$D$10</f>
        <v>0</v>
      </c>
      <c r="P15" s="33">
        <f>+'Anexo 16'!P15*'Anexo 6'!$D$10</f>
        <v>0</v>
      </c>
      <c r="Q15" s="33">
        <f>+'Anexo 16'!Q15*'Anexo 6'!$D$10</f>
        <v>0</v>
      </c>
      <c r="R15" s="33">
        <f>+'Anexo 16'!R15*'Anexo 6'!$D$10</f>
        <v>0</v>
      </c>
      <c r="S15" s="33">
        <f>+'Anexo 16'!S15*'Anexo 6'!$D$10</f>
        <v>0</v>
      </c>
      <c r="T15" s="33">
        <f>+'Anexo 16'!T15*'Anexo 6'!$D$10</f>
        <v>0</v>
      </c>
      <c r="U15" s="33">
        <f>+'Anexo 16'!U15*'Anexo 6'!$D$10</f>
        <v>0</v>
      </c>
      <c r="V15" s="33">
        <f>+'Anexo 16'!V15*'Anexo 6'!$D$10</f>
        <v>0</v>
      </c>
      <c r="W15" s="33">
        <f>+'Anexo 16'!W15*'Anexo 6'!$D$10</f>
        <v>0</v>
      </c>
      <c r="X15" s="33">
        <f>+'Anexo 16'!X15*'Anexo 6'!$D$10</f>
        <v>0</v>
      </c>
      <c r="Y15" s="33">
        <f>+'Anexo 16'!Y15*'Anexo 6'!$D$10</f>
        <v>0</v>
      </c>
      <c r="Z15" s="33">
        <f>+'Anexo 16'!Z15*'Anexo 6'!$D$10</f>
        <v>0</v>
      </c>
      <c r="AA15" s="35">
        <f t="shared" si="0"/>
        <v>0</v>
      </c>
      <c r="AB15" s="19">
        <v>20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+'Anexo 16'!C16*'Anexo 6'!$D$10</f>
        <v>0</v>
      </c>
      <c r="D16" s="33">
        <f>+'Anexo 16'!D16*'Anexo 6'!$D$10</f>
        <v>0</v>
      </c>
      <c r="E16" s="33">
        <f>+'Anexo 16'!E16*'Anexo 6'!$D$10</f>
        <v>0</v>
      </c>
      <c r="F16" s="33">
        <f>+'Anexo 16'!F16*'Anexo 6'!$D$10</f>
        <v>0</v>
      </c>
      <c r="G16" s="33">
        <f>+'Anexo 16'!G16*'Anexo 6'!$D$10</f>
        <v>0</v>
      </c>
      <c r="H16" s="33">
        <f>+'Anexo 16'!H16*'Anexo 6'!$D$10</f>
        <v>0</v>
      </c>
      <c r="I16" s="33">
        <f>+'Anexo 16'!I16*'Anexo 6'!$D$10</f>
        <v>0</v>
      </c>
      <c r="J16" s="33">
        <f>+'Anexo 16'!J16*'Anexo 6'!$D$10</f>
        <v>0</v>
      </c>
      <c r="K16" s="33">
        <f>+'Anexo 16'!K16*'Anexo 6'!$D$10</f>
        <v>0</v>
      </c>
      <c r="L16" s="33">
        <f>+'Anexo 16'!L16*'Anexo 6'!$D$10</f>
        <v>0</v>
      </c>
      <c r="M16" s="33">
        <f>+'Anexo 16'!M16*'Anexo 6'!$D$10</f>
        <v>0</v>
      </c>
      <c r="N16" s="33">
        <f>+'Anexo 16'!N16*'Anexo 6'!$D$10</f>
        <v>0</v>
      </c>
      <c r="O16" s="33">
        <f>+'Anexo 16'!O16*'Anexo 6'!$D$10</f>
        <v>0</v>
      </c>
      <c r="P16" s="33">
        <f>+'Anexo 16'!P16*'Anexo 6'!$D$10</f>
        <v>0</v>
      </c>
      <c r="Q16" s="33">
        <f>+'Anexo 16'!Q16*'Anexo 6'!$D$10</f>
        <v>0</v>
      </c>
      <c r="R16" s="33">
        <f>+'Anexo 16'!R16*'Anexo 6'!$D$10</f>
        <v>0</v>
      </c>
      <c r="S16" s="33">
        <f>+'Anexo 16'!S16*'Anexo 6'!$D$10</f>
        <v>0</v>
      </c>
      <c r="T16" s="33">
        <f>+'Anexo 16'!T16*'Anexo 6'!$D$10</f>
        <v>0</v>
      </c>
      <c r="U16" s="33">
        <f>+'Anexo 16'!U16*'Anexo 6'!$D$10</f>
        <v>0</v>
      </c>
      <c r="V16" s="33">
        <f>+'Anexo 16'!V16*'Anexo 6'!$D$10</f>
        <v>0</v>
      </c>
      <c r="W16" s="33">
        <f>+'Anexo 16'!W16*'Anexo 6'!$D$10</f>
        <v>0</v>
      </c>
      <c r="X16" s="33">
        <f>+'Anexo 16'!X16*'Anexo 6'!$D$10</f>
        <v>0</v>
      </c>
      <c r="Y16" s="33">
        <f>+'Anexo 16'!Y16*'Anexo 6'!$D$10</f>
        <v>0</v>
      </c>
      <c r="Z16" s="33">
        <f>+'Anexo 16'!Z16*'Anexo 6'!$D$10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+'Anexo 16'!C17*'Anexo 6'!$D$10</f>
        <v>0</v>
      </c>
      <c r="D17" s="33">
        <f>+'Anexo 16'!D17*'Anexo 6'!$D$10</f>
        <v>0</v>
      </c>
      <c r="E17" s="33">
        <f>+'Anexo 16'!E17*'Anexo 6'!$D$10</f>
        <v>0</v>
      </c>
      <c r="F17" s="33">
        <f>+'Anexo 16'!F17*'Anexo 6'!$D$10</f>
        <v>0</v>
      </c>
      <c r="G17" s="33">
        <f>+'Anexo 16'!G17*'Anexo 6'!$D$10</f>
        <v>0</v>
      </c>
      <c r="H17" s="33">
        <f>+'Anexo 16'!H17*'Anexo 6'!$D$10</f>
        <v>0</v>
      </c>
      <c r="I17" s="33">
        <f>+'Anexo 16'!I17*'Anexo 6'!$D$10</f>
        <v>0</v>
      </c>
      <c r="J17" s="33">
        <f>+'Anexo 16'!J17*'Anexo 6'!$D$10</f>
        <v>0</v>
      </c>
      <c r="K17" s="33">
        <f>+'Anexo 16'!K17*'Anexo 6'!$D$10</f>
        <v>0</v>
      </c>
      <c r="L17" s="33">
        <f>+'Anexo 16'!L17*'Anexo 6'!$D$10</f>
        <v>0</v>
      </c>
      <c r="M17" s="33">
        <f>+'Anexo 16'!M17*'Anexo 6'!$D$10</f>
        <v>0</v>
      </c>
      <c r="N17" s="33">
        <f>+'Anexo 16'!N17*'Anexo 6'!$D$10</f>
        <v>0</v>
      </c>
      <c r="O17" s="33">
        <f>+'Anexo 16'!O17*'Anexo 6'!$D$10</f>
        <v>0</v>
      </c>
      <c r="P17" s="33">
        <f>+'Anexo 16'!P17*'Anexo 6'!$D$10</f>
        <v>0</v>
      </c>
      <c r="Q17" s="33">
        <f>+'Anexo 16'!Q17*'Anexo 6'!$D$10</f>
        <v>0</v>
      </c>
      <c r="R17" s="33">
        <f>+'Anexo 16'!R17*'Anexo 6'!$D$10</f>
        <v>0</v>
      </c>
      <c r="S17" s="33">
        <f>+'Anexo 16'!S17*'Anexo 6'!$D$10</f>
        <v>0</v>
      </c>
      <c r="T17" s="33">
        <f>+'Anexo 16'!T17*'Anexo 6'!$D$10</f>
        <v>0</v>
      </c>
      <c r="U17" s="33">
        <f>+'Anexo 16'!U17*'Anexo 6'!$D$10</f>
        <v>0</v>
      </c>
      <c r="V17" s="33">
        <f>+'Anexo 16'!V17*'Anexo 6'!$D$10</f>
        <v>0</v>
      </c>
      <c r="W17" s="33">
        <f>+'Anexo 16'!W17*'Anexo 6'!$D$10</f>
        <v>0</v>
      </c>
      <c r="X17" s="33">
        <f>+'Anexo 16'!X17*'Anexo 6'!$D$10</f>
        <v>0</v>
      </c>
      <c r="Y17" s="33">
        <f>+'Anexo 16'!Y17*'Anexo 6'!$D$10</f>
        <v>0</v>
      </c>
      <c r="Z17" s="33">
        <f>+'Anexo 16'!Z17*'Anexo 6'!$D$10</f>
        <v>0</v>
      </c>
      <c r="AA17" s="41">
        <f t="shared" si="0"/>
        <v>0</v>
      </c>
      <c r="AB17" s="23">
        <v>6</v>
      </c>
      <c r="AC17" s="102"/>
      <c r="AD17" s="48"/>
    </row>
    <row r="18" spans="1:30" ht="15.75" thickBot="1" x14ac:dyDescent="0.3">
      <c r="A18" s="99">
        <v>47969</v>
      </c>
      <c r="B18" s="18" t="s">
        <v>5</v>
      </c>
      <c r="C18" s="33">
        <f>+'Anexo 16'!C18*'Anexo 6'!$D$10</f>
        <v>0</v>
      </c>
      <c r="D18" s="33">
        <f>+'Anexo 16'!D18*'Anexo 6'!$D$10</f>
        <v>0</v>
      </c>
      <c r="E18" s="33">
        <f>+'Anexo 16'!E18*'Anexo 6'!$D$10</f>
        <v>0</v>
      </c>
      <c r="F18" s="33">
        <f>+'Anexo 16'!F18*'Anexo 6'!$D$10</f>
        <v>0</v>
      </c>
      <c r="G18" s="33">
        <f>+'Anexo 16'!G18*'Anexo 6'!$D$10</f>
        <v>0</v>
      </c>
      <c r="H18" s="33">
        <f>+'Anexo 16'!H18*'Anexo 6'!$D$10</f>
        <v>0</v>
      </c>
      <c r="I18" s="33">
        <f>+'Anexo 16'!I18*'Anexo 6'!$D$10</f>
        <v>0</v>
      </c>
      <c r="J18" s="33">
        <f>+'Anexo 16'!J18*'Anexo 6'!$D$10</f>
        <v>0</v>
      </c>
      <c r="K18" s="33">
        <f>+'Anexo 16'!K18*'Anexo 6'!$D$10</f>
        <v>0</v>
      </c>
      <c r="L18" s="33">
        <f>+'Anexo 16'!L18*'Anexo 6'!$D$10</f>
        <v>0</v>
      </c>
      <c r="M18" s="33">
        <f>+'Anexo 16'!M18*'Anexo 6'!$D$10</f>
        <v>0</v>
      </c>
      <c r="N18" s="33">
        <f>+'Anexo 16'!N18*'Anexo 6'!$D$10</f>
        <v>0</v>
      </c>
      <c r="O18" s="33">
        <f>+'Anexo 16'!O18*'Anexo 6'!$D$10</f>
        <v>0</v>
      </c>
      <c r="P18" s="33">
        <f>+'Anexo 16'!P18*'Anexo 6'!$D$10</f>
        <v>0</v>
      </c>
      <c r="Q18" s="33">
        <f>+'Anexo 16'!Q18*'Anexo 6'!$D$10</f>
        <v>0</v>
      </c>
      <c r="R18" s="33">
        <f>+'Anexo 16'!R18*'Anexo 6'!$D$10</f>
        <v>0</v>
      </c>
      <c r="S18" s="33">
        <f>+'Anexo 16'!S18*'Anexo 6'!$D$10</f>
        <v>0</v>
      </c>
      <c r="T18" s="33">
        <f>+'Anexo 16'!T18*'Anexo 6'!$D$10</f>
        <v>0</v>
      </c>
      <c r="U18" s="33">
        <f>+'Anexo 16'!U18*'Anexo 6'!$D$10</f>
        <v>0</v>
      </c>
      <c r="V18" s="33">
        <f>+'Anexo 16'!V18*'Anexo 6'!$D$10</f>
        <v>0</v>
      </c>
      <c r="W18" s="33">
        <f>+'Anexo 16'!W18*'Anexo 6'!$D$10</f>
        <v>0</v>
      </c>
      <c r="X18" s="33">
        <f>+'Anexo 16'!X18*'Anexo 6'!$D$10</f>
        <v>0</v>
      </c>
      <c r="Y18" s="33">
        <f>+'Anexo 16'!Y18*'Anexo 6'!$D$10</f>
        <v>0</v>
      </c>
      <c r="Z18" s="33">
        <f>+'Anexo 16'!Z18*'Anexo 6'!$D$10</f>
        <v>0</v>
      </c>
      <c r="AA18" s="35">
        <f t="shared" si="0"/>
        <v>0</v>
      </c>
      <c r="AB18" s="19">
        <v>20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+'Anexo 16'!C19*'Anexo 6'!$D$10</f>
        <v>0</v>
      </c>
      <c r="D19" s="33">
        <f>+'Anexo 16'!D19*'Anexo 6'!$D$10</f>
        <v>0</v>
      </c>
      <c r="E19" s="33">
        <f>+'Anexo 16'!E19*'Anexo 6'!$D$10</f>
        <v>0</v>
      </c>
      <c r="F19" s="33">
        <f>+'Anexo 16'!F19*'Anexo 6'!$D$10</f>
        <v>0</v>
      </c>
      <c r="G19" s="33">
        <f>+'Anexo 16'!G19*'Anexo 6'!$D$10</f>
        <v>0</v>
      </c>
      <c r="H19" s="33">
        <f>+'Anexo 16'!H19*'Anexo 6'!$D$10</f>
        <v>0</v>
      </c>
      <c r="I19" s="33">
        <f>+'Anexo 16'!I19*'Anexo 6'!$D$10</f>
        <v>0</v>
      </c>
      <c r="J19" s="33">
        <f>+'Anexo 16'!J19*'Anexo 6'!$D$10</f>
        <v>0</v>
      </c>
      <c r="K19" s="33">
        <f>+'Anexo 16'!K19*'Anexo 6'!$D$10</f>
        <v>0</v>
      </c>
      <c r="L19" s="33">
        <f>+'Anexo 16'!L19*'Anexo 6'!$D$10</f>
        <v>0</v>
      </c>
      <c r="M19" s="33">
        <f>+'Anexo 16'!M19*'Anexo 6'!$D$10</f>
        <v>0</v>
      </c>
      <c r="N19" s="33">
        <f>+'Anexo 16'!N19*'Anexo 6'!$D$10</f>
        <v>0</v>
      </c>
      <c r="O19" s="33">
        <f>+'Anexo 16'!O19*'Anexo 6'!$D$10</f>
        <v>0</v>
      </c>
      <c r="P19" s="33">
        <f>+'Anexo 16'!P19*'Anexo 6'!$D$10</f>
        <v>0</v>
      </c>
      <c r="Q19" s="33">
        <f>+'Anexo 16'!Q19*'Anexo 6'!$D$10</f>
        <v>0</v>
      </c>
      <c r="R19" s="33">
        <f>+'Anexo 16'!R19*'Anexo 6'!$D$10</f>
        <v>0</v>
      </c>
      <c r="S19" s="33">
        <f>+'Anexo 16'!S19*'Anexo 6'!$D$10</f>
        <v>0</v>
      </c>
      <c r="T19" s="33">
        <f>+'Anexo 16'!T19*'Anexo 6'!$D$10</f>
        <v>0</v>
      </c>
      <c r="U19" s="33">
        <f>+'Anexo 16'!U19*'Anexo 6'!$D$10</f>
        <v>0</v>
      </c>
      <c r="V19" s="33">
        <f>+'Anexo 16'!V19*'Anexo 6'!$D$10</f>
        <v>0</v>
      </c>
      <c r="W19" s="33">
        <f>+'Anexo 16'!W19*'Anexo 6'!$D$10</f>
        <v>0</v>
      </c>
      <c r="X19" s="33">
        <f>+'Anexo 16'!X19*'Anexo 6'!$D$10</f>
        <v>0</v>
      </c>
      <c r="Y19" s="33">
        <f>+'Anexo 16'!Y19*'Anexo 6'!$D$10</f>
        <v>0</v>
      </c>
      <c r="Z19" s="33">
        <f>+'Anexo 16'!Z19*'Anexo 6'!$D$10</f>
        <v>0</v>
      </c>
      <c r="AA19" s="38">
        <f t="shared" si="0"/>
        <v>0</v>
      </c>
      <c r="AB19" s="21">
        <v>5</v>
      </c>
      <c r="AC19" s="101"/>
      <c r="AD19" s="47"/>
    </row>
    <row r="20" spans="1:30" ht="15.75" thickBot="1" x14ac:dyDescent="0.3">
      <c r="A20" s="99"/>
      <c r="B20" s="22" t="s">
        <v>3</v>
      </c>
      <c r="C20" s="33">
        <f>+'Anexo 16'!C20*'Anexo 6'!$D$10</f>
        <v>0</v>
      </c>
      <c r="D20" s="33">
        <f>+'Anexo 16'!D20*'Anexo 6'!$D$10</f>
        <v>0</v>
      </c>
      <c r="E20" s="33">
        <f>+'Anexo 16'!E20*'Anexo 6'!$D$10</f>
        <v>0</v>
      </c>
      <c r="F20" s="33">
        <f>+'Anexo 16'!F20*'Anexo 6'!$D$10</f>
        <v>0</v>
      </c>
      <c r="G20" s="33">
        <f>+'Anexo 16'!G20*'Anexo 6'!$D$10</f>
        <v>0</v>
      </c>
      <c r="H20" s="33">
        <f>+'Anexo 16'!H20*'Anexo 6'!$D$10</f>
        <v>0</v>
      </c>
      <c r="I20" s="33">
        <f>+'Anexo 16'!I20*'Anexo 6'!$D$10</f>
        <v>0</v>
      </c>
      <c r="J20" s="33">
        <f>+'Anexo 16'!J20*'Anexo 6'!$D$10</f>
        <v>0</v>
      </c>
      <c r="K20" s="33">
        <f>+'Anexo 16'!K20*'Anexo 6'!$D$10</f>
        <v>0</v>
      </c>
      <c r="L20" s="33">
        <f>+'Anexo 16'!L20*'Anexo 6'!$D$10</f>
        <v>0</v>
      </c>
      <c r="M20" s="33">
        <f>+'Anexo 16'!M20*'Anexo 6'!$D$10</f>
        <v>0</v>
      </c>
      <c r="N20" s="33">
        <f>+'Anexo 16'!N20*'Anexo 6'!$D$10</f>
        <v>0</v>
      </c>
      <c r="O20" s="33">
        <f>+'Anexo 16'!O20*'Anexo 6'!$D$10</f>
        <v>0</v>
      </c>
      <c r="P20" s="33">
        <f>+'Anexo 16'!P20*'Anexo 6'!$D$10</f>
        <v>0</v>
      </c>
      <c r="Q20" s="33">
        <f>+'Anexo 16'!Q20*'Anexo 6'!$D$10</f>
        <v>0</v>
      </c>
      <c r="R20" s="33">
        <f>+'Anexo 16'!R20*'Anexo 6'!$D$10</f>
        <v>0</v>
      </c>
      <c r="S20" s="33">
        <f>+'Anexo 16'!S20*'Anexo 6'!$D$10</f>
        <v>0</v>
      </c>
      <c r="T20" s="33">
        <f>+'Anexo 16'!T20*'Anexo 6'!$D$10</f>
        <v>0</v>
      </c>
      <c r="U20" s="33">
        <f>+'Anexo 16'!U20*'Anexo 6'!$D$10</f>
        <v>0</v>
      </c>
      <c r="V20" s="33">
        <f>+'Anexo 16'!V20*'Anexo 6'!$D$10</f>
        <v>0</v>
      </c>
      <c r="W20" s="33">
        <f>+'Anexo 16'!W20*'Anexo 6'!$D$10</f>
        <v>0</v>
      </c>
      <c r="X20" s="33">
        <f>+'Anexo 16'!X20*'Anexo 6'!$D$10</f>
        <v>0</v>
      </c>
      <c r="Y20" s="33">
        <f>+'Anexo 16'!Y20*'Anexo 6'!$D$10</f>
        <v>0</v>
      </c>
      <c r="Z20" s="33">
        <f>+'Anexo 16'!Z20*'Anexo 6'!$D$10</f>
        <v>0</v>
      </c>
      <c r="AA20" s="41">
        <f t="shared" si="0"/>
        <v>0</v>
      </c>
      <c r="AB20" s="23">
        <v>6</v>
      </c>
      <c r="AC20" s="102"/>
      <c r="AD20" s="48"/>
    </row>
    <row r="21" spans="1:30" ht="15.75" thickBot="1" x14ac:dyDescent="0.3">
      <c r="A21" s="99">
        <v>48000</v>
      </c>
      <c r="B21" s="18" t="s">
        <v>5</v>
      </c>
      <c r="C21" s="33">
        <f>+'Anexo 16'!C21*'Anexo 6'!$D$10</f>
        <v>0</v>
      </c>
      <c r="D21" s="33">
        <f>+'Anexo 16'!D21*'Anexo 6'!$D$10</f>
        <v>0</v>
      </c>
      <c r="E21" s="33">
        <f>+'Anexo 16'!E21*'Anexo 6'!$D$10</f>
        <v>0</v>
      </c>
      <c r="F21" s="33">
        <f>+'Anexo 16'!F21*'Anexo 6'!$D$10</f>
        <v>0</v>
      </c>
      <c r="G21" s="33">
        <f>+'Anexo 16'!G21*'Anexo 6'!$D$10</f>
        <v>0</v>
      </c>
      <c r="H21" s="33">
        <f>+'Anexo 16'!H21*'Anexo 6'!$D$10</f>
        <v>0</v>
      </c>
      <c r="I21" s="33">
        <f>+'Anexo 16'!I21*'Anexo 6'!$D$10</f>
        <v>0</v>
      </c>
      <c r="J21" s="33">
        <f>+'Anexo 16'!J21*'Anexo 6'!$D$10</f>
        <v>0</v>
      </c>
      <c r="K21" s="33">
        <f>+'Anexo 16'!K21*'Anexo 6'!$D$10</f>
        <v>0</v>
      </c>
      <c r="L21" s="33">
        <f>+'Anexo 16'!L21*'Anexo 6'!$D$10</f>
        <v>0</v>
      </c>
      <c r="M21" s="33">
        <f>+'Anexo 16'!M21*'Anexo 6'!$D$10</f>
        <v>0</v>
      </c>
      <c r="N21" s="33">
        <f>+'Anexo 16'!N21*'Anexo 6'!$D$10</f>
        <v>0</v>
      </c>
      <c r="O21" s="33">
        <f>+'Anexo 16'!O21*'Anexo 6'!$D$10</f>
        <v>0</v>
      </c>
      <c r="P21" s="33">
        <f>+'Anexo 16'!P21*'Anexo 6'!$D$10</f>
        <v>0</v>
      </c>
      <c r="Q21" s="33">
        <f>+'Anexo 16'!Q21*'Anexo 6'!$D$10</f>
        <v>0</v>
      </c>
      <c r="R21" s="33">
        <f>+'Anexo 16'!R21*'Anexo 6'!$D$10</f>
        <v>0</v>
      </c>
      <c r="S21" s="33">
        <f>+'Anexo 16'!S21*'Anexo 6'!$D$10</f>
        <v>0</v>
      </c>
      <c r="T21" s="33">
        <f>+'Anexo 16'!T21*'Anexo 6'!$D$10</f>
        <v>0</v>
      </c>
      <c r="U21" s="33">
        <f>+'Anexo 16'!U21*'Anexo 6'!$D$10</f>
        <v>0</v>
      </c>
      <c r="V21" s="33">
        <f>+'Anexo 16'!V21*'Anexo 6'!$D$10</f>
        <v>0</v>
      </c>
      <c r="W21" s="33">
        <f>+'Anexo 16'!W21*'Anexo 6'!$D$10</f>
        <v>0</v>
      </c>
      <c r="X21" s="33">
        <f>+'Anexo 16'!X21*'Anexo 6'!$D$10</f>
        <v>0</v>
      </c>
      <c r="Y21" s="33">
        <f>+'Anexo 16'!Y21*'Anexo 6'!$D$10</f>
        <v>0</v>
      </c>
      <c r="Z21" s="33">
        <f>+'Anexo 16'!Z21*'Anexo 6'!$D$10</f>
        <v>0</v>
      </c>
      <c r="AA21" s="35">
        <f t="shared" si="0"/>
        <v>0</v>
      </c>
      <c r="AB21" s="19">
        <v>18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+'Anexo 16'!C22*'Anexo 6'!$D$10</f>
        <v>0</v>
      </c>
      <c r="D22" s="33">
        <f>+'Anexo 16'!D22*'Anexo 6'!$D$10</f>
        <v>0</v>
      </c>
      <c r="E22" s="33">
        <f>+'Anexo 16'!E22*'Anexo 6'!$D$10</f>
        <v>0</v>
      </c>
      <c r="F22" s="33">
        <f>+'Anexo 16'!F22*'Anexo 6'!$D$10</f>
        <v>0</v>
      </c>
      <c r="G22" s="33">
        <f>+'Anexo 16'!G22*'Anexo 6'!$D$10</f>
        <v>0</v>
      </c>
      <c r="H22" s="33">
        <f>+'Anexo 16'!H22*'Anexo 6'!$D$10</f>
        <v>0</v>
      </c>
      <c r="I22" s="33">
        <f>+'Anexo 16'!I22*'Anexo 6'!$D$10</f>
        <v>0</v>
      </c>
      <c r="J22" s="33">
        <f>+'Anexo 16'!J22*'Anexo 6'!$D$10</f>
        <v>0</v>
      </c>
      <c r="K22" s="33">
        <f>+'Anexo 16'!K22*'Anexo 6'!$D$10</f>
        <v>0</v>
      </c>
      <c r="L22" s="33">
        <f>+'Anexo 16'!L22*'Anexo 6'!$D$10</f>
        <v>0</v>
      </c>
      <c r="M22" s="33">
        <f>+'Anexo 16'!M22*'Anexo 6'!$D$10</f>
        <v>0</v>
      </c>
      <c r="N22" s="33">
        <f>+'Anexo 16'!N22*'Anexo 6'!$D$10</f>
        <v>0</v>
      </c>
      <c r="O22" s="33">
        <f>+'Anexo 16'!O22*'Anexo 6'!$D$10</f>
        <v>0</v>
      </c>
      <c r="P22" s="33">
        <f>+'Anexo 16'!P22*'Anexo 6'!$D$10</f>
        <v>0</v>
      </c>
      <c r="Q22" s="33">
        <f>+'Anexo 16'!Q22*'Anexo 6'!$D$10</f>
        <v>0</v>
      </c>
      <c r="R22" s="33">
        <f>+'Anexo 16'!R22*'Anexo 6'!$D$10</f>
        <v>0</v>
      </c>
      <c r="S22" s="33">
        <f>+'Anexo 16'!S22*'Anexo 6'!$D$10</f>
        <v>0</v>
      </c>
      <c r="T22" s="33">
        <f>+'Anexo 16'!T22*'Anexo 6'!$D$10</f>
        <v>0</v>
      </c>
      <c r="U22" s="33">
        <f>+'Anexo 16'!U22*'Anexo 6'!$D$10</f>
        <v>0</v>
      </c>
      <c r="V22" s="33">
        <f>+'Anexo 16'!V22*'Anexo 6'!$D$10</f>
        <v>0</v>
      </c>
      <c r="W22" s="33">
        <f>+'Anexo 16'!W22*'Anexo 6'!$D$10</f>
        <v>0</v>
      </c>
      <c r="X22" s="33">
        <f>+'Anexo 16'!X22*'Anexo 6'!$D$10</f>
        <v>0</v>
      </c>
      <c r="Y22" s="33">
        <f>+'Anexo 16'!Y22*'Anexo 6'!$D$10</f>
        <v>0</v>
      </c>
      <c r="Z22" s="33">
        <f>+'Anexo 16'!Z22*'Anexo 6'!$D$10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+'Anexo 16'!C23*'Anexo 6'!$D$10</f>
        <v>0</v>
      </c>
      <c r="D23" s="33">
        <f>+'Anexo 16'!D23*'Anexo 6'!$D$10</f>
        <v>0</v>
      </c>
      <c r="E23" s="33">
        <f>+'Anexo 16'!E23*'Anexo 6'!$D$10</f>
        <v>0</v>
      </c>
      <c r="F23" s="33">
        <f>+'Anexo 16'!F23*'Anexo 6'!$D$10</f>
        <v>0</v>
      </c>
      <c r="G23" s="33">
        <f>+'Anexo 16'!G23*'Anexo 6'!$D$10</f>
        <v>0</v>
      </c>
      <c r="H23" s="33">
        <f>+'Anexo 16'!H23*'Anexo 6'!$D$10</f>
        <v>0</v>
      </c>
      <c r="I23" s="33">
        <f>+'Anexo 16'!I23*'Anexo 6'!$D$10</f>
        <v>0</v>
      </c>
      <c r="J23" s="33">
        <f>+'Anexo 16'!J23*'Anexo 6'!$D$10</f>
        <v>0</v>
      </c>
      <c r="K23" s="33">
        <f>+'Anexo 16'!K23*'Anexo 6'!$D$10</f>
        <v>0</v>
      </c>
      <c r="L23" s="33">
        <f>+'Anexo 16'!L23*'Anexo 6'!$D$10</f>
        <v>0</v>
      </c>
      <c r="M23" s="33">
        <f>+'Anexo 16'!M23*'Anexo 6'!$D$10</f>
        <v>0</v>
      </c>
      <c r="N23" s="33">
        <f>+'Anexo 16'!N23*'Anexo 6'!$D$10</f>
        <v>0</v>
      </c>
      <c r="O23" s="33">
        <f>+'Anexo 16'!O23*'Anexo 6'!$D$10</f>
        <v>0</v>
      </c>
      <c r="P23" s="33">
        <f>+'Anexo 16'!P23*'Anexo 6'!$D$10</f>
        <v>0</v>
      </c>
      <c r="Q23" s="33">
        <f>+'Anexo 16'!Q23*'Anexo 6'!$D$10</f>
        <v>0</v>
      </c>
      <c r="R23" s="33">
        <f>+'Anexo 16'!R23*'Anexo 6'!$D$10</f>
        <v>0</v>
      </c>
      <c r="S23" s="33">
        <f>+'Anexo 16'!S23*'Anexo 6'!$D$10</f>
        <v>0</v>
      </c>
      <c r="T23" s="33">
        <f>+'Anexo 16'!T23*'Anexo 6'!$D$10</f>
        <v>0</v>
      </c>
      <c r="U23" s="33">
        <f>+'Anexo 16'!U23*'Anexo 6'!$D$10</f>
        <v>0</v>
      </c>
      <c r="V23" s="33">
        <f>+'Anexo 16'!V23*'Anexo 6'!$D$10</f>
        <v>0</v>
      </c>
      <c r="W23" s="33">
        <f>+'Anexo 16'!W23*'Anexo 6'!$D$10</f>
        <v>0</v>
      </c>
      <c r="X23" s="33">
        <f>+'Anexo 16'!X23*'Anexo 6'!$D$10</f>
        <v>0</v>
      </c>
      <c r="Y23" s="33">
        <f>+'Anexo 16'!Y23*'Anexo 6'!$D$10</f>
        <v>0</v>
      </c>
      <c r="Z23" s="33">
        <f>+'Anexo 16'!Z23*'Anexo 6'!$D$10</f>
        <v>0</v>
      </c>
      <c r="AA23" s="41">
        <f t="shared" si="0"/>
        <v>0</v>
      </c>
      <c r="AB23" s="23">
        <v>8</v>
      </c>
      <c r="AC23" s="102"/>
      <c r="AD23" s="48"/>
    </row>
    <row r="24" spans="1:30" ht="15.75" thickBot="1" x14ac:dyDescent="0.3">
      <c r="A24" s="99">
        <v>48030</v>
      </c>
      <c r="B24" s="18" t="s">
        <v>5</v>
      </c>
      <c r="C24" s="33">
        <f>+'Anexo 16'!C24*'Anexo 6'!$D$10</f>
        <v>0</v>
      </c>
      <c r="D24" s="33">
        <f>+'Anexo 16'!D24*'Anexo 6'!$D$10</f>
        <v>0</v>
      </c>
      <c r="E24" s="33">
        <f>+'Anexo 16'!E24*'Anexo 6'!$D$10</f>
        <v>0</v>
      </c>
      <c r="F24" s="33">
        <f>+'Anexo 16'!F24*'Anexo 6'!$D$10</f>
        <v>0</v>
      </c>
      <c r="G24" s="33">
        <f>+'Anexo 16'!G24*'Anexo 6'!$D$10</f>
        <v>0</v>
      </c>
      <c r="H24" s="33">
        <f>+'Anexo 16'!H24*'Anexo 6'!$D$10</f>
        <v>0</v>
      </c>
      <c r="I24" s="33">
        <f>+'Anexo 16'!I24*'Anexo 6'!$D$10</f>
        <v>0</v>
      </c>
      <c r="J24" s="33">
        <f>+'Anexo 16'!J24*'Anexo 6'!$D$10</f>
        <v>0</v>
      </c>
      <c r="K24" s="33">
        <f>+'Anexo 16'!K24*'Anexo 6'!$D$10</f>
        <v>0</v>
      </c>
      <c r="L24" s="33">
        <f>+'Anexo 16'!L24*'Anexo 6'!$D$10</f>
        <v>0</v>
      </c>
      <c r="M24" s="33">
        <f>+'Anexo 16'!M24*'Anexo 6'!$D$10</f>
        <v>0</v>
      </c>
      <c r="N24" s="33">
        <f>+'Anexo 16'!N24*'Anexo 6'!$D$10</f>
        <v>0</v>
      </c>
      <c r="O24" s="33">
        <f>+'Anexo 16'!O24*'Anexo 6'!$D$10</f>
        <v>0</v>
      </c>
      <c r="P24" s="33">
        <f>+'Anexo 16'!P24*'Anexo 6'!$D$10</f>
        <v>0</v>
      </c>
      <c r="Q24" s="33">
        <f>+'Anexo 16'!Q24*'Anexo 6'!$D$10</f>
        <v>0</v>
      </c>
      <c r="R24" s="33">
        <f>+'Anexo 16'!R24*'Anexo 6'!$D$10</f>
        <v>0</v>
      </c>
      <c r="S24" s="33">
        <f>+'Anexo 16'!S24*'Anexo 6'!$D$10</f>
        <v>0</v>
      </c>
      <c r="T24" s="33">
        <f>+'Anexo 16'!T24*'Anexo 6'!$D$10</f>
        <v>0</v>
      </c>
      <c r="U24" s="33">
        <f>+'Anexo 16'!U24*'Anexo 6'!$D$10</f>
        <v>0</v>
      </c>
      <c r="V24" s="33">
        <f>+'Anexo 16'!V24*'Anexo 6'!$D$10</f>
        <v>0</v>
      </c>
      <c r="W24" s="33">
        <f>+'Anexo 16'!W24*'Anexo 6'!$D$10</f>
        <v>0</v>
      </c>
      <c r="X24" s="33">
        <f>+'Anexo 16'!X24*'Anexo 6'!$D$10</f>
        <v>0</v>
      </c>
      <c r="Y24" s="33">
        <f>+'Anexo 16'!Y24*'Anexo 6'!$D$10</f>
        <v>0</v>
      </c>
      <c r="Z24" s="33">
        <f>+'Anexo 16'!Z24*'Anexo 6'!$D$10</f>
        <v>0</v>
      </c>
      <c r="AA24" s="35">
        <f t="shared" si="0"/>
        <v>0</v>
      </c>
      <c r="AB24" s="19">
        <v>23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+'Anexo 16'!C25*'Anexo 6'!$D$10</f>
        <v>0</v>
      </c>
      <c r="D25" s="33">
        <f>+'Anexo 16'!D25*'Anexo 6'!$D$10</f>
        <v>0</v>
      </c>
      <c r="E25" s="33">
        <f>+'Anexo 16'!E25*'Anexo 6'!$D$10</f>
        <v>0</v>
      </c>
      <c r="F25" s="33">
        <f>+'Anexo 16'!F25*'Anexo 6'!$D$10</f>
        <v>0</v>
      </c>
      <c r="G25" s="33">
        <f>+'Anexo 16'!G25*'Anexo 6'!$D$10</f>
        <v>0</v>
      </c>
      <c r="H25" s="33">
        <f>+'Anexo 16'!H25*'Anexo 6'!$D$10</f>
        <v>0</v>
      </c>
      <c r="I25" s="33">
        <f>+'Anexo 16'!I25*'Anexo 6'!$D$10</f>
        <v>0</v>
      </c>
      <c r="J25" s="33">
        <f>+'Anexo 16'!J25*'Anexo 6'!$D$10</f>
        <v>0</v>
      </c>
      <c r="K25" s="33">
        <f>+'Anexo 16'!K25*'Anexo 6'!$D$10</f>
        <v>0</v>
      </c>
      <c r="L25" s="33">
        <f>+'Anexo 16'!L25*'Anexo 6'!$D$10</f>
        <v>0</v>
      </c>
      <c r="M25" s="33">
        <f>+'Anexo 16'!M25*'Anexo 6'!$D$10</f>
        <v>0</v>
      </c>
      <c r="N25" s="33">
        <f>+'Anexo 16'!N25*'Anexo 6'!$D$10</f>
        <v>0</v>
      </c>
      <c r="O25" s="33">
        <f>+'Anexo 16'!O25*'Anexo 6'!$D$10</f>
        <v>0</v>
      </c>
      <c r="P25" s="33">
        <f>+'Anexo 16'!P25*'Anexo 6'!$D$10</f>
        <v>0</v>
      </c>
      <c r="Q25" s="33">
        <f>+'Anexo 16'!Q25*'Anexo 6'!$D$10</f>
        <v>0</v>
      </c>
      <c r="R25" s="33">
        <f>+'Anexo 16'!R25*'Anexo 6'!$D$10</f>
        <v>0</v>
      </c>
      <c r="S25" s="33">
        <f>+'Anexo 16'!S25*'Anexo 6'!$D$10</f>
        <v>0</v>
      </c>
      <c r="T25" s="33">
        <f>+'Anexo 16'!T25*'Anexo 6'!$D$10</f>
        <v>0</v>
      </c>
      <c r="U25" s="33">
        <f>+'Anexo 16'!U25*'Anexo 6'!$D$10</f>
        <v>0</v>
      </c>
      <c r="V25" s="33">
        <f>+'Anexo 16'!V25*'Anexo 6'!$D$10</f>
        <v>0</v>
      </c>
      <c r="W25" s="33">
        <f>+'Anexo 16'!W25*'Anexo 6'!$D$10</f>
        <v>0</v>
      </c>
      <c r="X25" s="33">
        <f>+'Anexo 16'!X25*'Anexo 6'!$D$10</f>
        <v>0</v>
      </c>
      <c r="Y25" s="33">
        <f>+'Anexo 16'!Y25*'Anexo 6'!$D$10</f>
        <v>0</v>
      </c>
      <c r="Z25" s="33">
        <f>+'Anexo 16'!Z25*'Anexo 6'!$D$10</f>
        <v>0</v>
      </c>
      <c r="AA25" s="38">
        <f t="shared" si="0"/>
        <v>0</v>
      </c>
      <c r="AB25" s="21">
        <v>4</v>
      </c>
      <c r="AC25" s="101"/>
      <c r="AD25" s="47"/>
    </row>
    <row r="26" spans="1:30" ht="15.75" thickBot="1" x14ac:dyDescent="0.3">
      <c r="A26" s="99"/>
      <c r="B26" s="22" t="s">
        <v>3</v>
      </c>
      <c r="C26" s="33">
        <f>+'Anexo 16'!C26*'Anexo 6'!$D$10</f>
        <v>0</v>
      </c>
      <c r="D26" s="33">
        <f>+'Anexo 16'!D26*'Anexo 6'!$D$10</f>
        <v>0</v>
      </c>
      <c r="E26" s="33">
        <f>+'Anexo 16'!E26*'Anexo 6'!$D$10</f>
        <v>0</v>
      </c>
      <c r="F26" s="33">
        <f>+'Anexo 16'!F26*'Anexo 6'!$D$10</f>
        <v>0</v>
      </c>
      <c r="G26" s="33">
        <f>+'Anexo 16'!G26*'Anexo 6'!$D$10</f>
        <v>0</v>
      </c>
      <c r="H26" s="33">
        <f>+'Anexo 16'!H26*'Anexo 6'!$D$10</f>
        <v>0</v>
      </c>
      <c r="I26" s="33">
        <f>+'Anexo 16'!I26*'Anexo 6'!$D$10</f>
        <v>0</v>
      </c>
      <c r="J26" s="33">
        <f>+'Anexo 16'!J26*'Anexo 6'!$D$10</f>
        <v>0</v>
      </c>
      <c r="K26" s="33">
        <f>+'Anexo 16'!K26*'Anexo 6'!$D$10</f>
        <v>0</v>
      </c>
      <c r="L26" s="33">
        <f>+'Anexo 16'!L26*'Anexo 6'!$D$10</f>
        <v>0</v>
      </c>
      <c r="M26" s="33">
        <f>+'Anexo 16'!M26*'Anexo 6'!$D$10</f>
        <v>0</v>
      </c>
      <c r="N26" s="33">
        <f>+'Anexo 16'!N26*'Anexo 6'!$D$10</f>
        <v>0</v>
      </c>
      <c r="O26" s="33">
        <f>+'Anexo 16'!O26*'Anexo 6'!$D$10</f>
        <v>0</v>
      </c>
      <c r="P26" s="33">
        <f>+'Anexo 16'!P26*'Anexo 6'!$D$10</f>
        <v>0</v>
      </c>
      <c r="Q26" s="33">
        <f>+'Anexo 16'!Q26*'Anexo 6'!$D$10</f>
        <v>0</v>
      </c>
      <c r="R26" s="33">
        <f>+'Anexo 16'!R26*'Anexo 6'!$D$10</f>
        <v>0</v>
      </c>
      <c r="S26" s="33">
        <f>+'Anexo 16'!S26*'Anexo 6'!$D$10</f>
        <v>0</v>
      </c>
      <c r="T26" s="33">
        <f>+'Anexo 16'!T26*'Anexo 6'!$D$10</f>
        <v>0</v>
      </c>
      <c r="U26" s="33">
        <f>+'Anexo 16'!U26*'Anexo 6'!$D$10</f>
        <v>0</v>
      </c>
      <c r="V26" s="33">
        <f>+'Anexo 16'!V26*'Anexo 6'!$D$10</f>
        <v>0</v>
      </c>
      <c r="W26" s="33">
        <f>+'Anexo 16'!W26*'Anexo 6'!$D$10</f>
        <v>0</v>
      </c>
      <c r="X26" s="33">
        <f>+'Anexo 16'!X26*'Anexo 6'!$D$10</f>
        <v>0</v>
      </c>
      <c r="Y26" s="33">
        <f>+'Anexo 16'!Y26*'Anexo 6'!$D$10</f>
        <v>0</v>
      </c>
      <c r="Z26" s="33">
        <f>+'Anexo 16'!Z26*'Anexo 6'!$D$10</f>
        <v>0</v>
      </c>
      <c r="AA26" s="41">
        <f t="shared" si="0"/>
        <v>0</v>
      </c>
      <c r="AB26" s="23">
        <v>4</v>
      </c>
      <c r="AC26" s="102"/>
      <c r="AD26" s="48"/>
    </row>
    <row r="27" spans="1:30" ht="15.75" thickBot="1" x14ac:dyDescent="0.3">
      <c r="A27" s="99">
        <v>48061</v>
      </c>
      <c r="B27" s="18" t="s">
        <v>5</v>
      </c>
      <c r="C27" s="33">
        <f>+'Anexo 16'!C27*'Anexo 6'!$D$10</f>
        <v>0</v>
      </c>
      <c r="D27" s="33">
        <f>+'Anexo 16'!D27*'Anexo 6'!$D$10</f>
        <v>0</v>
      </c>
      <c r="E27" s="33">
        <f>+'Anexo 16'!E27*'Anexo 6'!$D$10</f>
        <v>0</v>
      </c>
      <c r="F27" s="33">
        <f>+'Anexo 16'!F27*'Anexo 6'!$D$10</f>
        <v>0</v>
      </c>
      <c r="G27" s="33">
        <f>+'Anexo 16'!G27*'Anexo 6'!$D$10</f>
        <v>0</v>
      </c>
      <c r="H27" s="33">
        <f>+'Anexo 16'!H27*'Anexo 6'!$D$10</f>
        <v>0</v>
      </c>
      <c r="I27" s="33">
        <f>+'Anexo 16'!I27*'Anexo 6'!$D$10</f>
        <v>0</v>
      </c>
      <c r="J27" s="33">
        <f>+'Anexo 16'!J27*'Anexo 6'!$D$10</f>
        <v>0</v>
      </c>
      <c r="K27" s="33">
        <f>+'Anexo 16'!K27*'Anexo 6'!$D$10</f>
        <v>0</v>
      </c>
      <c r="L27" s="33">
        <f>+'Anexo 16'!L27*'Anexo 6'!$D$10</f>
        <v>0</v>
      </c>
      <c r="M27" s="33">
        <f>+'Anexo 16'!M27*'Anexo 6'!$D$10</f>
        <v>0</v>
      </c>
      <c r="N27" s="33">
        <f>+'Anexo 16'!N27*'Anexo 6'!$D$10</f>
        <v>0</v>
      </c>
      <c r="O27" s="33">
        <f>+'Anexo 16'!O27*'Anexo 6'!$D$10</f>
        <v>0</v>
      </c>
      <c r="P27" s="33">
        <f>+'Anexo 16'!P27*'Anexo 6'!$D$10</f>
        <v>0</v>
      </c>
      <c r="Q27" s="33">
        <f>+'Anexo 16'!Q27*'Anexo 6'!$D$10</f>
        <v>0</v>
      </c>
      <c r="R27" s="33">
        <f>+'Anexo 16'!R27*'Anexo 6'!$D$10</f>
        <v>0</v>
      </c>
      <c r="S27" s="33">
        <f>+'Anexo 16'!S27*'Anexo 6'!$D$10</f>
        <v>0</v>
      </c>
      <c r="T27" s="33">
        <f>+'Anexo 16'!T27*'Anexo 6'!$D$10</f>
        <v>0</v>
      </c>
      <c r="U27" s="33">
        <f>+'Anexo 16'!U27*'Anexo 6'!$D$10</f>
        <v>0</v>
      </c>
      <c r="V27" s="33">
        <f>+'Anexo 16'!V27*'Anexo 6'!$D$10</f>
        <v>0</v>
      </c>
      <c r="W27" s="33">
        <f>+'Anexo 16'!W27*'Anexo 6'!$D$10</f>
        <v>0</v>
      </c>
      <c r="X27" s="33">
        <f>+'Anexo 16'!X27*'Anexo 6'!$D$10</f>
        <v>0</v>
      </c>
      <c r="Y27" s="33">
        <f>+'Anexo 16'!Y27*'Anexo 6'!$D$10</f>
        <v>0</v>
      </c>
      <c r="Z27" s="33">
        <f>+'Anexo 16'!Z27*'Anexo 6'!$D$10</f>
        <v>0</v>
      </c>
      <c r="AA27" s="35">
        <f t="shared" si="0"/>
        <v>0</v>
      </c>
      <c r="AB27" s="19">
        <v>19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+'Anexo 16'!C28*'Anexo 6'!$D$10</f>
        <v>0</v>
      </c>
      <c r="D28" s="33">
        <f>+'Anexo 16'!D28*'Anexo 6'!$D$10</f>
        <v>0</v>
      </c>
      <c r="E28" s="33">
        <f>+'Anexo 16'!E28*'Anexo 6'!$D$10</f>
        <v>0</v>
      </c>
      <c r="F28" s="33">
        <f>+'Anexo 16'!F28*'Anexo 6'!$D$10</f>
        <v>0</v>
      </c>
      <c r="G28" s="33">
        <f>+'Anexo 16'!G28*'Anexo 6'!$D$10</f>
        <v>0</v>
      </c>
      <c r="H28" s="33">
        <f>+'Anexo 16'!H28*'Anexo 6'!$D$10</f>
        <v>0</v>
      </c>
      <c r="I28" s="33">
        <f>+'Anexo 16'!I28*'Anexo 6'!$D$10</f>
        <v>0</v>
      </c>
      <c r="J28" s="33">
        <f>+'Anexo 16'!J28*'Anexo 6'!$D$10</f>
        <v>0</v>
      </c>
      <c r="K28" s="33">
        <f>+'Anexo 16'!K28*'Anexo 6'!$D$10</f>
        <v>0</v>
      </c>
      <c r="L28" s="33">
        <f>+'Anexo 16'!L28*'Anexo 6'!$D$10</f>
        <v>0</v>
      </c>
      <c r="M28" s="33">
        <f>+'Anexo 16'!M28*'Anexo 6'!$D$10</f>
        <v>0</v>
      </c>
      <c r="N28" s="33">
        <f>+'Anexo 16'!N28*'Anexo 6'!$D$10</f>
        <v>0</v>
      </c>
      <c r="O28" s="33">
        <f>+'Anexo 16'!O28*'Anexo 6'!$D$10</f>
        <v>0</v>
      </c>
      <c r="P28" s="33">
        <f>+'Anexo 16'!P28*'Anexo 6'!$D$10</f>
        <v>0</v>
      </c>
      <c r="Q28" s="33">
        <f>+'Anexo 16'!Q28*'Anexo 6'!$D$10</f>
        <v>0</v>
      </c>
      <c r="R28" s="33">
        <f>+'Anexo 16'!R28*'Anexo 6'!$D$10</f>
        <v>0</v>
      </c>
      <c r="S28" s="33">
        <f>+'Anexo 16'!S28*'Anexo 6'!$D$10</f>
        <v>0</v>
      </c>
      <c r="T28" s="33">
        <f>+'Anexo 16'!T28*'Anexo 6'!$D$10</f>
        <v>0</v>
      </c>
      <c r="U28" s="33">
        <f>+'Anexo 16'!U28*'Anexo 6'!$D$10</f>
        <v>0</v>
      </c>
      <c r="V28" s="33">
        <f>+'Anexo 16'!V28*'Anexo 6'!$D$10</f>
        <v>0</v>
      </c>
      <c r="W28" s="33">
        <f>+'Anexo 16'!W28*'Anexo 6'!$D$10</f>
        <v>0</v>
      </c>
      <c r="X28" s="33">
        <f>+'Anexo 16'!X28*'Anexo 6'!$D$10</f>
        <v>0</v>
      </c>
      <c r="Y28" s="33">
        <f>+'Anexo 16'!Y28*'Anexo 6'!$D$10</f>
        <v>0</v>
      </c>
      <c r="Z28" s="33">
        <f>+'Anexo 16'!Z28*'Anexo 6'!$D$10</f>
        <v>0</v>
      </c>
      <c r="AA28" s="38">
        <f t="shared" si="0"/>
        <v>0</v>
      </c>
      <c r="AB28" s="21">
        <v>5</v>
      </c>
      <c r="AC28" s="101"/>
      <c r="AD28" s="47"/>
    </row>
    <row r="29" spans="1:30" ht="15.75" thickBot="1" x14ac:dyDescent="0.3">
      <c r="A29" s="99"/>
      <c r="B29" s="22" t="s">
        <v>3</v>
      </c>
      <c r="C29" s="33">
        <f>+'Anexo 16'!C29*'Anexo 6'!$D$10</f>
        <v>0</v>
      </c>
      <c r="D29" s="33">
        <f>+'Anexo 16'!D29*'Anexo 6'!$D$10</f>
        <v>0</v>
      </c>
      <c r="E29" s="33">
        <f>+'Anexo 16'!E29*'Anexo 6'!$D$10</f>
        <v>0</v>
      </c>
      <c r="F29" s="33">
        <f>+'Anexo 16'!F29*'Anexo 6'!$D$10</f>
        <v>0</v>
      </c>
      <c r="G29" s="33">
        <f>+'Anexo 16'!G29*'Anexo 6'!$D$10</f>
        <v>0</v>
      </c>
      <c r="H29" s="33">
        <f>+'Anexo 16'!H29*'Anexo 6'!$D$10</f>
        <v>0</v>
      </c>
      <c r="I29" s="33">
        <f>+'Anexo 16'!I29*'Anexo 6'!$D$10</f>
        <v>0</v>
      </c>
      <c r="J29" s="33">
        <f>+'Anexo 16'!J29*'Anexo 6'!$D$10</f>
        <v>0</v>
      </c>
      <c r="K29" s="33">
        <f>+'Anexo 16'!K29*'Anexo 6'!$D$10</f>
        <v>0</v>
      </c>
      <c r="L29" s="33">
        <f>+'Anexo 16'!L29*'Anexo 6'!$D$10</f>
        <v>0</v>
      </c>
      <c r="M29" s="33">
        <f>+'Anexo 16'!M29*'Anexo 6'!$D$10</f>
        <v>0</v>
      </c>
      <c r="N29" s="33">
        <f>+'Anexo 16'!N29*'Anexo 6'!$D$10</f>
        <v>0</v>
      </c>
      <c r="O29" s="33">
        <f>+'Anexo 16'!O29*'Anexo 6'!$D$10</f>
        <v>0</v>
      </c>
      <c r="P29" s="33">
        <f>+'Anexo 16'!P29*'Anexo 6'!$D$10</f>
        <v>0</v>
      </c>
      <c r="Q29" s="33">
        <f>+'Anexo 16'!Q29*'Anexo 6'!$D$10</f>
        <v>0</v>
      </c>
      <c r="R29" s="33">
        <f>+'Anexo 16'!R29*'Anexo 6'!$D$10</f>
        <v>0</v>
      </c>
      <c r="S29" s="33">
        <f>+'Anexo 16'!S29*'Anexo 6'!$D$10</f>
        <v>0</v>
      </c>
      <c r="T29" s="33">
        <f>+'Anexo 16'!T29*'Anexo 6'!$D$10</f>
        <v>0</v>
      </c>
      <c r="U29" s="33">
        <f>+'Anexo 16'!U29*'Anexo 6'!$D$10</f>
        <v>0</v>
      </c>
      <c r="V29" s="33">
        <f>+'Anexo 16'!V29*'Anexo 6'!$D$10</f>
        <v>0</v>
      </c>
      <c r="W29" s="33">
        <f>+'Anexo 16'!W29*'Anexo 6'!$D$10</f>
        <v>0</v>
      </c>
      <c r="X29" s="33">
        <f>+'Anexo 16'!X29*'Anexo 6'!$D$10</f>
        <v>0</v>
      </c>
      <c r="Y29" s="33">
        <f>+'Anexo 16'!Y29*'Anexo 6'!$D$10</f>
        <v>0</v>
      </c>
      <c r="Z29" s="33">
        <f>+'Anexo 16'!Z29*'Anexo 6'!$D$10</f>
        <v>0</v>
      </c>
      <c r="AA29" s="41">
        <f t="shared" si="0"/>
        <v>0</v>
      </c>
      <c r="AB29" s="23">
        <v>7</v>
      </c>
      <c r="AC29" s="102"/>
      <c r="AD29" s="49"/>
    </row>
    <row r="30" spans="1:30" ht="15.75" thickBot="1" x14ac:dyDescent="0.3">
      <c r="A30" s="99">
        <v>48092</v>
      </c>
      <c r="B30" s="18" t="s">
        <v>5</v>
      </c>
      <c r="C30" s="33">
        <f>+'Anexo 16'!C30*'Anexo 6'!$D$10</f>
        <v>0</v>
      </c>
      <c r="D30" s="33">
        <f>+'Anexo 16'!D30*'Anexo 6'!$D$10</f>
        <v>0</v>
      </c>
      <c r="E30" s="33">
        <f>+'Anexo 16'!E30*'Anexo 6'!$D$10</f>
        <v>0</v>
      </c>
      <c r="F30" s="33">
        <f>+'Anexo 16'!F30*'Anexo 6'!$D$10</f>
        <v>0</v>
      </c>
      <c r="G30" s="33">
        <f>+'Anexo 16'!G30*'Anexo 6'!$D$10</f>
        <v>0</v>
      </c>
      <c r="H30" s="33">
        <f>+'Anexo 16'!H30*'Anexo 6'!$D$10</f>
        <v>0</v>
      </c>
      <c r="I30" s="33">
        <f>+'Anexo 16'!I30*'Anexo 6'!$D$10</f>
        <v>0</v>
      </c>
      <c r="J30" s="33">
        <f>+'Anexo 16'!J30*'Anexo 6'!$D$10</f>
        <v>0</v>
      </c>
      <c r="K30" s="33">
        <f>+'Anexo 16'!K30*'Anexo 6'!$D$10</f>
        <v>0</v>
      </c>
      <c r="L30" s="33">
        <f>+'Anexo 16'!L30*'Anexo 6'!$D$10</f>
        <v>0</v>
      </c>
      <c r="M30" s="33">
        <f>+'Anexo 16'!M30*'Anexo 6'!$D$10</f>
        <v>0</v>
      </c>
      <c r="N30" s="33">
        <f>+'Anexo 16'!N30*'Anexo 6'!$D$10</f>
        <v>0</v>
      </c>
      <c r="O30" s="33">
        <f>+'Anexo 16'!O30*'Anexo 6'!$D$10</f>
        <v>0</v>
      </c>
      <c r="P30" s="33">
        <f>+'Anexo 16'!P30*'Anexo 6'!$D$10</f>
        <v>0</v>
      </c>
      <c r="Q30" s="33">
        <f>+'Anexo 16'!Q30*'Anexo 6'!$D$10</f>
        <v>0</v>
      </c>
      <c r="R30" s="33">
        <f>+'Anexo 16'!R30*'Anexo 6'!$D$10</f>
        <v>0</v>
      </c>
      <c r="S30" s="33">
        <f>+'Anexo 16'!S30*'Anexo 6'!$D$10</f>
        <v>0</v>
      </c>
      <c r="T30" s="33">
        <f>+'Anexo 16'!T30*'Anexo 6'!$D$10</f>
        <v>0</v>
      </c>
      <c r="U30" s="33">
        <f>+'Anexo 16'!U30*'Anexo 6'!$D$10</f>
        <v>0</v>
      </c>
      <c r="V30" s="33">
        <f>+'Anexo 16'!V30*'Anexo 6'!$D$10</f>
        <v>0</v>
      </c>
      <c r="W30" s="33">
        <f>+'Anexo 16'!W30*'Anexo 6'!$D$10</f>
        <v>0</v>
      </c>
      <c r="X30" s="33">
        <f>+'Anexo 16'!X30*'Anexo 6'!$D$10</f>
        <v>0</v>
      </c>
      <c r="Y30" s="33">
        <f>+'Anexo 16'!Y30*'Anexo 6'!$D$10</f>
        <v>0</v>
      </c>
      <c r="Z30" s="33">
        <f>+'Anexo 16'!Z30*'Anexo 6'!$D$10</f>
        <v>0</v>
      </c>
      <c r="AA30" s="35">
        <f t="shared" si="0"/>
        <v>0</v>
      </c>
      <c r="AB30" s="19">
        <v>22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+'Anexo 16'!C31*'Anexo 6'!$D$10</f>
        <v>0</v>
      </c>
      <c r="D31" s="33">
        <f>+'Anexo 16'!D31*'Anexo 6'!$D$10</f>
        <v>0</v>
      </c>
      <c r="E31" s="33">
        <f>+'Anexo 16'!E31*'Anexo 6'!$D$10</f>
        <v>0</v>
      </c>
      <c r="F31" s="33">
        <f>+'Anexo 16'!F31*'Anexo 6'!$D$10</f>
        <v>0</v>
      </c>
      <c r="G31" s="33">
        <f>+'Anexo 16'!G31*'Anexo 6'!$D$10</f>
        <v>0</v>
      </c>
      <c r="H31" s="33">
        <f>+'Anexo 16'!H31*'Anexo 6'!$D$10</f>
        <v>0</v>
      </c>
      <c r="I31" s="33">
        <f>+'Anexo 16'!I31*'Anexo 6'!$D$10</f>
        <v>0</v>
      </c>
      <c r="J31" s="33">
        <f>+'Anexo 16'!J31*'Anexo 6'!$D$10</f>
        <v>0</v>
      </c>
      <c r="K31" s="33">
        <f>+'Anexo 16'!K31*'Anexo 6'!$D$10</f>
        <v>0</v>
      </c>
      <c r="L31" s="33">
        <f>+'Anexo 16'!L31*'Anexo 6'!$D$10</f>
        <v>0</v>
      </c>
      <c r="M31" s="33">
        <f>+'Anexo 16'!M31*'Anexo 6'!$D$10</f>
        <v>0</v>
      </c>
      <c r="N31" s="33">
        <f>+'Anexo 16'!N31*'Anexo 6'!$D$10</f>
        <v>0</v>
      </c>
      <c r="O31" s="33">
        <f>+'Anexo 16'!O31*'Anexo 6'!$D$10</f>
        <v>0</v>
      </c>
      <c r="P31" s="33">
        <f>+'Anexo 16'!P31*'Anexo 6'!$D$10</f>
        <v>0</v>
      </c>
      <c r="Q31" s="33">
        <f>+'Anexo 16'!Q31*'Anexo 6'!$D$10</f>
        <v>0</v>
      </c>
      <c r="R31" s="33">
        <f>+'Anexo 16'!R31*'Anexo 6'!$D$10</f>
        <v>0</v>
      </c>
      <c r="S31" s="33">
        <f>+'Anexo 16'!S31*'Anexo 6'!$D$10</f>
        <v>0</v>
      </c>
      <c r="T31" s="33">
        <f>+'Anexo 16'!T31*'Anexo 6'!$D$10</f>
        <v>0</v>
      </c>
      <c r="U31" s="33">
        <f>+'Anexo 16'!U31*'Anexo 6'!$D$10</f>
        <v>0</v>
      </c>
      <c r="V31" s="33">
        <f>+'Anexo 16'!V31*'Anexo 6'!$D$10</f>
        <v>0</v>
      </c>
      <c r="W31" s="33">
        <f>+'Anexo 16'!W31*'Anexo 6'!$D$10</f>
        <v>0</v>
      </c>
      <c r="X31" s="33">
        <f>+'Anexo 16'!X31*'Anexo 6'!$D$10</f>
        <v>0</v>
      </c>
      <c r="Y31" s="33">
        <f>+'Anexo 16'!Y31*'Anexo 6'!$D$10</f>
        <v>0</v>
      </c>
      <c r="Z31" s="33">
        <f>+'Anexo 16'!Z31*'Anexo 6'!$D$10</f>
        <v>0</v>
      </c>
      <c r="AA31" s="38">
        <f t="shared" si="0"/>
        <v>0</v>
      </c>
      <c r="AB31" s="21">
        <v>4</v>
      </c>
      <c r="AC31" s="101"/>
      <c r="AD31" s="47"/>
    </row>
    <row r="32" spans="1:30" ht="15.75" thickBot="1" x14ac:dyDescent="0.3">
      <c r="A32" s="99"/>
      <c r="B32" s="22" t="s">
        <v>3</v>
      </c>
      <c r="C32" s="33">
        <f>+'Anexo 16'!C32*'Anexo 6'!$D$10</f>
        <v>0</v>
      </c>
      <c r="D32" s="33">
        <f>+'Anexo 16'!D32*'Anexo 6'!$D$10</f>
        <v>0</v>
      </c>
      <c r="E32" s="33">
        <f>+'Anexo 16'!E32*'Anexo 6'!$D$10</f>
        <v>0</v>
      </c>
      <c r="F32" s="33">
        <f>+'Anexo 16'!F32*'Anexo 6'!$D$10</f>
        <v>0</v>
      </c>
      <c r="G32" s="33">
        <f>+'Anexo 16'!G32*'Anexo 6'!$D$10</f>
        <v>0</v>
      </c>
      <c r="H32" s="33">
        <f>+'Anexo 16'!H32*'Anexo 6'!$D$10</f>
        <v>0</v>
      </c>
      <c r="I32" s="33">
        <f>+'Anexo 16'!I32*'Anexo 6'!$D$10</f>
        <v>0</v>
      </c>
      <c r="J32" s="33">
        <f>+'Anexo 16'!J32*'Anexo 6'!$D$10</f>
        <v>0</v>
      </c>
      <c r="K32" s="33">
        <f>+'Anexo 16'!K32*'Anexo 6'!$D$10</f>
        <v>0</v>
      </c>
      <c r="L32" s="33">
        <f>+'Anexo 16'!L32*'Anexo 6'!$D$10</f>
        <v>0</v>
      </c>
      <c r="M32" s="33">
        <f>+'Anexo 16'!M32*'Anexo 6'!$D$10</f>
        <v>0</v>
      </c>
      <c r="N32" s="33">
        <f>+'Anexo 16'!N32*'Anexo 6'!$D$10</f>
        <v>0</v>
      </c>
      <c r="O32" s="33">
        <f>+'Anexo 16'!O32*'Anexo 6'!$D$10</f>
        <v>0</v>
      </c>
      <c r="P32" s="33">
        <f>+'Anexo 16'!P32*'Anexo 6'!$D$10</f>
        <v>0</v>
      </c>
      <c r="Q32" s="33">
        <f>+'Anexo 16'!Q32*'Anexo 6'!$D$10</f>
        <v>0</v>
      </c>
      <c r="R32" s="33">
        <f>+'Anexo 16'!R32*'Anexo 6'!$D$10</f>
        <v>0</v>
      </c>
      <c r="S32" s="33">
        <f>+'Anexo 16'!S32*'Anexo 6'!$D$10</f>
        <v>0</v>
      </c>
      <c r="T32" s="33">
        <f>+'Anexo 16'!T32*'Anexo 6'!$D$10</f>
        <v>0</v>
      </c>
      <c r="U32" s="33">
        <f>+'Anexo 16'!U32*'Anexo 6'!$D$10</f>
        <v>0</v>
      </c>
      <c r="V32" s="33">
        <f>+'Anexo 16'!V32*'Anexo 6'!$D$10</f>
        <v>0</v>
      </c>
      <c r="W32" s="33">
        <f>+'Anexo 16'!W32*'Anexo 6'!$D$10</f>
        <v>0</v>
      </c>
      <c r="X32" s="33">
        <f>+'Anexo 16'!X32*'Anexo 6'!$D$10</f>
        <v>0</v>
      </c>
      <c r="Y32" s="33">
        <f>+'Anexo 16'!Y32*'Anexo 6'!$D$10</f>
        <v>0</v>
      </c>
      <c r="Z32" s="33">
        <f>+'Anexo 16'!Z32*'Anexo 6'!$D$10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48122</v>
      </c>
      <c r="B33" s="18" t="s">
        <v>5</v>
      </c>
      <c r="C33" s="33">
        <f>+'Anexo 16'!C33*'Anexo 6'!$D$10</f>
        <v>0</v>
      </c>
      <c r="D33" s="33">
        <f>+'Anexo 16'!D33*'Anexo 6'!$D$10</f>
        <v>0</v>
      </c>
      <c r="E33" s="33">
        <f>+'Anexo 16'!E33*'Anexo 6'!$D$10</f>
        <v>0</v>
      </c>
      <c r="F33" s="33">
        <f>+'Anexo 16'!F33*'Anexo 6'!$D$10</f>
        <v>0</v>
      </c>
      <c r="G33" s="33">
        <f>+'Anexo 16'!G33*'Anexo 6'!$D$10</f>
        <v>0</v>
      </c>
      <c r="H33" s="33">
        <f>+'Anexo 16'!H33*'Anexo 6'!$D$10</f>
        <v>0</v>
      </c>
      <c r="I33" s="33">
        <f>+'Anexo 16'!I33*'Anexo 6'!$D$10</f>
        <v>0</v>
      </c>
      <c r="J33" s="33">
        <f>+'Anexo 16'!J33*'Anexo 6'!$D$10</f>
        <v>0</v>
      </c>
      <c r="K33" s="33">
        <f>+'Anexo 16'!K33*'Anexo 6'!$D$10</f>
        <v>0</v>
      </c>
      <c r="L33" s="33">
        <f>+'Anexo 16'!L33*'Anexo 6'!$D$10</f>
        <v>0</v>
      </c>
      <c r="M33" s="33">
        <f>+'Anexo 16'!M33*'Anexo 6'!$D$10</f>
        <v>0</v>
      </c>
      <c r="N33" s="33">
        <f>+'Anexo 16'!N33*'Anexo 6'!$D$10</f>
        <v>0</v>
      </c>
      <c r="O33" s="33">
        <f>+'Anexo 16'!O33*'Anexo 6'!$D$10</f>
        <v>0</v>
      </c>
      <c r="P33" s="33">
        <f>+'Anexo 16'!P33*'Anexo 6'!$D$10</f>
        <v>0</v>
      </c>
      <c r="Q33" s="33">
        <f>+'Anexo 16'!Q33*'Anexo 6'!$D$10</f>
        <v>0</v>
      </c>
      <c r="R33" s="33">
        <f>+'Anexo 16'!R33*'Anexo 6'!$D$10</f>
        <v>0</v>
      </c>
      <c r="S33" s="33">
        <f>+'Anexo 16'!S33*'Anexo 6'!$D$10</f>
        <v>0</v>
      </c>
      <c r="T33" s="33">
        <f>+'Anexo 16'!T33*'Anexo 6'!$D$10</f>
        <v>0</v>
      </c>
      <c r="U33" s="33">
        <f>+'Anexo 16'!U33*'Anexo 6'!$D$10</f>
        <v>0</v>
      </c>
      <c r="V33" s="33">
        <f>+'Anexo 16'!V33*'Anexo 6'!$D$10</f>
        <v>0</v>
      </c>
      <c r="W33" s="33">
        <f>+'Anexo 16'!W33*'Anexo 6'!$D$10</f>
        <v>0</v>
      </c>
      <c r="X33" s="33">
        <f>+'Anexo 16'!X33*'Anexo 6'!$D$10</f>
        <v>0</v>
      </c>
      <c r="Y33" s="33">
        <f>+'Anexo 16'!Y33*'Anexo 6'!$D$10</f>
        <v>0</v>
      </c>
      <c r="Z33" s="33">
        <f>+'Anexo 16'!Z33*'Anexo 6'!$D$10</f>
        <v>0</v>
      </c>
      <c r="AA33" s="35">
        <f t="shared" si="0"/>
        <v>0</v>
      </c>
      <c r="AB33" s="19">
        <v>22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+'Anexo 16'!C34*'Anexo 6'!$D$10</f>
        <v>0</v>
      </c>
      <c r="D34" s="33">
        <f>+'Anexo 16'!D34*'Anexo 6'!$D$10</f>
        <v>0</v>
      </c>
      <c r="E34" s="33">
        <f>+'Anexo 16'!E34*'Anexo 6'!$D$10</f>
        <v>0</v>
      </c>
      <c r="F34" s="33">
        <f>+'Anexo 16'!F34*'Anexo 6'!$D$10</f>
        <v>0</v>
      </c>
      <c r="G34" s="33">
        <f>+'Anexo 16'!G34*'Anexo 6'!$D$10</f>
        <v>0</v>
      </c>
      <c r="H34" s="33">
        <f>+'Anexo 16'!H34*'Anexo 6'!$D$10</f>
        <v>0</v>
      </c>
      <c r="I34" s="33">
        <f>+'Anexo 16'!I34*'Anexo 6'!$D$10</f>
        <v>0</v>
      </c>
      <c r="J34" s="33">
        <f>+'Anexo 16'!J34*'Anexo 6'!$D$10</f>
        <v>0</v>
      </c>
      <c r="K34" s="33">
        <f>+'Anexo 16'!K34*'Anexo 6'!$D$10</f>
        <v>0</v>
      </c>
      <c r="L34" s="33">
        <f>+'Anexo 16'!L34*'Anexo 6'!$D$10</f>
        <v>0</v>
      </c>
      <c r="M34" s="33">
        <f>+'Anexo 16'!M34*'Anexo 6'!$D$10</f>
        <v>0</v>
      </c>
      <c r="N34" s="33">
        <f>+'Anexo 16'!N34*'Anexo 6'!$D$10</f>
        <v>0</v>
      </c>
      <c r="O34" s="33">
        <f>+'Anexo 16'!O34*'Anexo 6'!$D$10</f>
        <v>0</v>
      </c>
      <c r="P34" s="33">
        <f>+'Anexo 16'!P34*'Anexo 6'!$D$10</f>
        <v>0</v>
      </c>
      <c r="Q34" s="33">
        <f>+'Anexo 16'!Q34*'Anexo 6'!$D$10</f>
        <v>0</v>
      </c>
      <c r="R34" s="33">
        <f>+'Anexo 16'!R34*'Anexo 6'!$D$10</f>
        <v>0</v>
      </c>
      <c r="S34" s="33">
        <f>+'Anexo 16'!S34*'Anexo 6'!$D$10</f>
        <v>0</v>
      </c>
      <c r="T34" s="33">
        <f>+'Anexo 16'!T34*'Anexo 6'!$D$10</f>
        <v>0</v>
      </c>
      <c r="U34" s="33">
        <f>+'Anexo 16'!U34*'Anexo 6'!$D$10</f>
        <v>0</v>
      </c>
      <c r="V34" s="33">
        <f>+'Anexo 16'!V34*'Anexo 6'!$D$10</f>
        <v>0</v>
      </c>
      <c r="W34" s="33">
        <f>+'Anexo 16'!W34*'Anexo 6'!$D$10</f>
        <v>0</v>
      </c>
      <c r="X34" s="33">
        <f>+'Anexo 16'!X34*'Anexo 6'!$D$10</f>
        <v>0</v>
      </c>
      <c r="Y34" s="33">
        <f>+'Anexo 16'!Y34*'Anexo 6'!$D$10</f>
        <v>0</v>
      </c>
      <c r="Z34" s="33">
        <f>+'Anexo 16'!Z34*'Anexo 6'!$D$10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+'Anexo 16'!C35*'Anexo 6'!$D$10</f>
        <v>0</v>
      </c>
      <c r="D35" s="33">
        <f>+'Anexo 16'!D35*'Anexo 6'!$D$10</f>
        <v>0</v>
      </c>
      <c r="E35" s="33">
        <f>+'Anexo 16'!E35*'Anexo 6'!$D$10</f>
        <v>0</v>
      </c>
      <c r="F35" s="33">
        <f>+'Anexo 16'!F35*'Anexo 6'!$D$10</f>
        <v>0</v>
      </c>
      <c r="G35" s="33">
        <f>+'Anexo 16'!G35*'Anexo 6'!$D$10</f>
        <v>0</v>
      </c>
      <c r="H35" s="33">
        <f>+'Anexo 16'!H35*'Anexo 6'!$D$10</f>
        <v>0</v>
      </c>
      <c r="I35" s="33">
        <f>+'Anexo 16'!I35*'Anexo 6'!$D$10</f>
        <v>0</v>
      </c>
      <c r="J35" s="33">
        <f>+'Anexo 16'!J35*'Anexo 6'!$D$10</f>
        <v>0</v>
      </c>
      <c r="K35" s="33">
        <f>+'Anexo 16'!K35*'Anexo 6'!$D$10</f>
        <v>0</v>
      </c>
      <c r="L35" s="33">
        <f>+'Anexo 16'!L35*'Anexo 6'!$D$10</f>
        <v>0</v>
      </c>
      <c r="M35" s="33">
        <f>+'Anexo 16'!M35*'Anexo 6'!$D$10</f>
        <v>0</v>
      </c>
      <c r="N35" s="33">
        <f>+'Anexo 16'!N35*'Anexo 6'!$D$10</f>
        <v>0</v>
      </c>
      <c r="O35" s="33">
        <f>+'Anexo 16'!O35*'Anexo 6'!$D$10</f>
        <v>0</v>
      </c>
      <c r="P35" s="33">
        <f>+'Anexo 16'!P35*'Anexo 6'!$D$10</f>
        <v>0</v>
      </c>
      <c r="Q35" s="33">
        <f>+'Anexo 16'!Q35*'Anexo 6'!$D$10</f>
        <v>0</v>
      </c>
      <c r="R35" s="33">
        <f>+'Anexo 16'!R35*'Anexo 6'!$D$10</f>
        <v>0</v>
      </c>
      <c r="S35" s="33">
        <f>+'Anexo 16'!S35*'Anexo 6'!$D$10</f>
        <v>0</v>
      </c>
      <c r="T35" s="33">
        <f>+'Anexo 16'!T35*'Anexo 6'!$D$10</f>
        <v>0</v>
      </c>
      <c r="U35" s="33">
        <f>+'Anexo 16'!U35*'Anexo 6'!$D$10</f>
        <v>0</v>
      </c>
      <c r="V35" s="33">
        <f>+'Anexo 16'!V35*'Anexo 6'!$D$10</f>
        <v>0</v>
      </c>
      <c r="W35" s="33">
        <f>+'Anexo 16'!W35*'Anexo 6'!$D$10</f>
        <v>0</v>
      </c>
      <c r="X35" s="33">
        <f>+'Anexo 16'!X35*'Anexo 6'!$D$10</f>
        <v>0</v>
      </c>
      <c r="Y35" s="33">
        <f>+'Anexo 16'!Y35*'Anexo 6'!$D$10</f>
        <v>0</v>
      </c>
      <c r="Z35" s="33">
        <f>+'Anexo 16'!Z35*'Anexo 6'!$D$10</f>
        <v>0</v>
      </c>
      <c r="AA35" s="41">
        <f t="shared" si="0"/>
        <v>0</v>
      </c>
      <c r="AB35" s="23">
        <v>5</v>
      </c>
      <c r="AC35" s="102"/>
      <c r="AD35" s="48"/>
    </row>
    <row r="36" spans="1:30" ht="15.75" thickBot="1" x14ac:dyDescent="0.3">
      <c r="A36" s="99">
        <v>48153</v>
      </c>
      <c r="B36" s="18" t="s">
        <v>5</v>
      </c>
      <c r="C36" s="33">
        <f>+'Anexo 16'!C36*'Anexo 6'!$D$10</f>
        <v>0</v>
      </c>
      <c r="D36" s="33">
        <f>+'Anexo 16'!D36*'Anexo 6'!$D$10</f>
        <v>0</v>
      </c>
      <c r="E36" s="33">
        <f>+'Anexo 16'!E36*'Anexo 6'!$D$10</f>
        <v>0</v>
      </c>
      <c r="F36" s="33">
        <f>+'Anexo 16'!F36*'Anexo 6'!$D$10</f>
        <v>0</v>
      </c>
      <c r="G36" s="33">
        <f>+'Anexo 16'!G36*'Anexo 6'!$D$10</f>
        <v>0</v>
      </c>
      <c r="H36" s="33">
        <f>+'Anexo 16'!H36*'Anexo 6'!$D$10</f>
        <v>0</v>
      </c>
      <c r="I36" s="33">
        <f>+'Anexo 16'!I36*'Anexo 6'!$D$10</f>
        <v>0</v>
      </c>
      <c r="J36" s="33">
        <f>+'Anexo 16'!J36*'Anexo 6'!$D$10</f>
        <v>0</v>
      </c>
      <c r="K36" s="33">
        <f>+'Anexo 16'!K36*'Anexo 6'!$D$10</f>
        <v>0</v>
      </c>
      <c r="L36" s="33">
        <f>+'Anexo 16'!L36*'Anexo 6'!$D$10</f>
        <v>0</v>
      </c>
      <c r="M36" s="33">
        <f>+'Anexo 16'!M36*'Anexo 6'!$D$10</f>
        <v>0</v>
      </c>
      <c r="N36" s="33">
        <f>+'Anexo 16'!N36*'Anexo 6'!$D$10</f>
        <v>0</v>
      </c>
      <c r="O36" s="33">
        <f>+'Anexo 16'!O36*'Anexo 6'!$D$10</f>
        <v>0</v>
      </c>
      <c r="P36" s="33">
        <f>+'Anexo 16'!P36*'Anexo 6'!$D$10</f>
        <v>0</v>
      </c>
      <c r="Q36" s="33">
        <f>+'Anexo 16'!Q36*'Anexo 6'!$D$10</f>
        <v>0</v>
      </c>
      <c r="R36" s="33">
        <f>+'Anexo 16'!R36*'Anexo 6'!$D$10</f>
        <v>0</v>
      </c>
      <c r="S36" s="33">
        <f>+'Anexo 16'!S36*'Anexo 6'!$D$10</f>
        <v>0</v>
      </c>
      <c r="T36" s="33">
        <f>+'Anexo 16'!T36*'Anexo 6'!$D$10</f>
        <v>0</v>
      </c>
      <c r="U36" s="33">
        <f>+'Anexo 16'!U36*'Anexo 6'!$D$10</f>
        <v>0</v>
      </c>
      <c r="V36" s="33">
        <f>+'Anexo 16'!V36*'Anexo 6'!$D$10</f>
        <v>0</v>
      </c>
      <c r="W36" s="33">
        <f>+'Anexo 16'!W36*'Anexo 6'!$D$10</f>
        <v>0</v>
      </c>
      <c r="X36" s="33">
        <f>+'Anexo 16'!X36*'Anexo 6'!$D$10</f>
        <v>0</v>
      </c>
      <c r="Y36" s="33">
        <f>+'Anexo 16'!Y36*'Anexo 6'!$D$10</f>
        <v>0</v>
      </c>
      <c r="Z36" s="33">
        <f>+'Anexo 16'!Z36*'Anexo 6'!$D$10</f>
        <v>0</v>
      </c>
      <c r="AA36" s="35">
        <f t="shared" si="0"/>
        <v>0</v>
      </c>
      <c r="AB36" s="19">
        <v>18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+'Anexo 16'!C37*'Anexo 6'!$D$10</f>
        <v>0</v>
      </c>
      <c r="D37" s="33">
        <f>+'Anexo 16'!D37*'Anexo 6'!$D$10</f>
        <v>0</v>
      </c>
      <c r="E37" s="33">
        <f>+'Anexo 16'!E37*'Anexo 6'!$D$10</f>
        <v>0</v>
      </c>
      <c r="F37" s="33">
        <f>+'Anexo 16'!F37*'Anexo 6'!$D$10</f>
        <v>0</v>
      </c>
      <c r="G37" s="33">
        <f>+'Anexo 16'!G37*'Anexo 6'!$D$10</f>
        <v>0</v>
      </c>
      <c r="H37" s="33">
        <f>+'Anexo 16'!H37*'Anexo 6'!$D$10</f>
        <v>0</v>
      </c>
      <c r="I37" s="33">
        <f>+'Anexo 16'!I37*'Anexo 6'!$D$10</f>
        <v>0</v>
      </c>
      <c r="J37" s="33">
        <f>+'Anexo 16'!J37*'Anexo 6'!$D$10</f>
        <v>0</v>
      </c>
      <c r="K37" s="33">
        <f>+'Anexo 16'!K37*'Anexo 6'!$D$10</f>
        <v>0</v>
      </c>
      <c r="L37" s="33">
        <f>+'Anexo 16'!L37*'Anexo 6'!$D$10</f>
        <v>0</v>
      </c>
      <c r="M37" s="33">
        <f>+'Anexo 16'!M37*'Anexo 6'!$D$10</f>
        <v>0</v>
      </c>
      <c r="N37" s="33">
        <f>+'Anexo 16'!N37*'Anexo 6'!$D$10</f>
        <v>0</v>
      </c>
      <c r="O37" s="33">
        <f>+'Anexo 16'!O37*'Anexo 6'!$D$10</f>
        <v>0</v>
      </c>
      <c r="P37" s="33">
        <f>+'Anexo 16'!P37*'Anexo 6'!$D$10</f>
        <v>0</v>
      </c>
      <c r="Q37" s="33">
        <f>+'Anexo 16'!Q37*'Anexo 6'!$D$10</f>
        <v>0</v>
      </c>
      <c r="R37" s="33">
        <f>+'Anexo 16'!R37*'Anexo 6'!$D$10</f>
        <v>0</v>
      </c>
      <c r="S37" s="33">
        <f>+'Anexo 16'!S37*'Anexo 6'!$D$10</f>
        <v>0</v>
      </c>
      <c r="T37" s="33">
        <f>+'Anexo 16'!T37*'Anexo 6'!$D$10</f>
        <v>0</v>
      </c>
      <c r="U37" s="33">
        <f>+'Anexo 16'!U37*'Anexo 6'!$D$10</f>
        <v>0</v>
      </c>
      <c r="V37" s="33">
        <f>+'Anexo 16'!V37*'Anexo 6'!$D$10</f>
        <v>0</v>
      </c>
      <c r="W37" s="33">
        <f>+'Anexo 16'!W37*'Anexo 6'!$D$10</f>
        <v>0</v>
      </c>
      <c r="X37" s="33">
        <f>+'Anexo 16'!X37*'Anexo 6'!$D$10</f>
        <v>0</v>
      </c>
      <c r="Y37" s="33">
        <f>+'Anexo 16'!Y37*'Anexo 6'!$D$10</f>
        <v>0</v>
      </c>
      <c r="Z37" s="33">
        <f>+'Anexo 16'!Z37*'Anexo 6'!$D$10</f>
        <v>0</v>
      </c>
      <c r="AA37" s="38">
        <f t="shared" si="0"/>
        <v>0</v>
      </c>
      <c r="AB37" s="21">
        <v>5</v>
      </c>
      <c r="AC37" s="101"/>
      <c r="AD37" s="47"/>
    </row>
    <row r="38" spans="1:30" ht="15.75" thickBot="1" x14ac:dyDescent="0.3">
      <c r="A38" s="99"/>
      <c r="B38" s="22" t="s">
        <v>3</v>
      </c>
      <c r="C38" s="33">
        <f>+'Anexo 16'!C38*'Anexo 6'!$D$10</f>
        <v>0</v>
      </c>
      <c r="D38" s="33">
        <f>+'Anexo 16'!D38*'Anexo 6'!$D$10</f>
        <v>0</v>
      </c>
      <c r="E38" s="33">
        <f>+'Anexo 16'!E38*'Anexo 6'!$D$10</f>
        <v>0</v>
      </c>
      <c r="F38" s="33">
        <f>+'Anexo 16'!F38*'Anexo 6'!$D$10</f>
        <v>0</v>
      </c>
      <c r="G38" s="33">
        <f>+'Anexo 16'!G38*'Anexo 6'!$D$10</f>
        <v>0</v>
      </c>
      <c r="H38" s="33">
        <f>+'Anexo 16'!H38*'Anexo 6'!$D$10</f>
        <v>0</v>
      </c>
      <c r="I38" s="33">
        <f>+'Anexo 16'!I38*'Anexo 6'!$D$10</f>
        <v>0</v>
      </c>
      <c r="J38" s="33">
        <f>+'Anexo 16'!J38*'Anexo 6'!$D$10</f>
        <v>0</v>
      </c>
      <c r="K38" s="33">
        <f>+'Anexo 16'!K38*'Anexo 6'!$D$10</f>
        <v>0</v>
      </c>
      <c r="L38" s="33">
        <f>+'Anexo 16'!L38*'Anexo 6'!$D$10</f>
        <v>0</v>
      </c>
      <c r="M38" s="33">
        <f>+'Anexo 16'!M38*'Anexo 6'!$D$10</f>
        <v>0</v>
      </c>
      <c r="N38" s="33">
        <f>+'Anexo 16'!N38*'Anexo 6'!$D$10</f>
        <v>0</v>
      </c>
      <c r="O38" s="33">
        <f>+'Anexo 16'!O38*'Anexo 6'!$D$10</f>
        <v>0</v>
      </c>
      <c r="P38" s="33">
        <f>+'Anexo 16'!P38*'Anexo 6'!$D$10</f>
        <v>0</v>
      </c>
      <c r="Q38" s="33">
        <f>+'Anexo 16'!Q38*'Anexo 6'!$D$10</f>
        <v>0</v>
      </c>
      <c r="R38" s="33">
        <f>+'Anexo 16'!R38*'Anexo 6'!$D$10</f>
        <v>0</v>
      </c>
      <c r="S38" s="33">
        <f>+'Anexo 16'!S38*'Anexo 6'!$D$10</f>
        <v>0</v>
      </c>
      <c r="T38" s="33">
        <f>+'Anexo 16'!T38*'Anexo 6'!$D$10</f>
        <v>0</v>
      </c>
      <c r="U38" s="33">
        <f>+'Anexo 16'!U38*'Anexo 6'!$D$10</f>
        <v>0</v>
      </c>
      <c r="V38" s="33">
        <f>+'Anexo 16'!V38*'Anexo 6'!$D$10</f>
        <v>0</v>
      </c>
      <c r="W38" s="33">
        <f>+'Anexo 16'!W38*'Anexo 6'!$D$10</f>
        <v>0</v>
      </c>
      <c r="X38" s="33">
        <f>+'Anexo 16'!X38*'Anexo 6'!$D$10</f>
        <v>0</v>
      </c>
      <c r="Y38" s="33">
        <f>+'Anexo 16'!Y38*'Anexo 6'!$D$10</f>
        <v>0</v>
      </c>
      <c r="Z38" s="33">
        <f>+'Anexo 16'!Z38*'Anexo 6'!$D$10</f>
        <v>0</v>
      </c>
      <c r="AA38" s="41">
        <f t="shared" si="0"/>
        <v>0</v>
      </c>
      <c r="AB38" s="23">
        <v>7</v>
      </c>
      <c r="AC38" s="102"/>
      <c r="AD38" s="49"/>
    </row>
    <row r="39" spans="1:30" ht="15.75" thickBot="1" x14ac:dyDescent="0.3">
      <c r="A39" s="99">
        <v>48183</v>
      </c>
      <c r="B39" s="18" t="s">
        <v>5</v>
      </c>
      <c r="C39" s="33">
        <f>+'Anexo 16'!C39*'Anexo 6'!$D$10</f>
        <v>0</v>
      </c>
      <c r="D39" s="33">
        <f>+'Anexo 16'!D39*'Anexo 6'!$D$10</f>
        <v>0</v>
      </c>
      <c r="E39" s="33">
        <f>+'Anexo 16'!E39*'Anexo 6'!$D$10</f>
        <v>0</v>
      </c>
      <c r="F39" s="33">
        <f>+'Anexo 16'!F39*'Anexo 6'!$D$10</f>
        <v>0</v>
      </c>
      <c r="G39" s="33">
        <f>+'Anexo 16'!G39*'Anexo 6'!$D$10</f>
        <v>0</v>
      </c>
      <c r="H39" s="33">
        <f>+'Anexo 16'!H39*'Anexo 6'!$D$10</f>
        <v>0</v>
      </c>
      <c r="I39" s="33">
        <f>+'Anexo 16'!I39*'Anexo 6'!$D$10</f>
        <v>0</v>
      </c>
      <c r="J39" s="33">
        <f>+'Anexo 16'!J39*'Anexo 6'!$D$10</f>
        <v>0</v>
      </c>
      <c r="K39" s="33">
        <f>+'Anexo 16'!K39*'Anexo 6'!$D$10</f>
        <v>0</v>
      </c>
      <c r="L39" s="33">
        <f>+'Anexo 16'!L39*'Anexo 6'!$D$10</f>
        <v>0</v>
      </c>
      <c r="M39" s="33">
        <f>+'Anexo 16'!M39*'Anexo 6'!$D$10</f>
        <v>0</v>
      </c>
      <c r="N39" s="33">
        <f>+'Anexo 16'!N39*'Anexo 6'!$D$10</f>
        <v>0</v>
      </c>
      <c r="O39" s="33">
        <f>+'Anexo 16'!O39*'Anexo 6'!$D$10</f>
        <v>0</v>
      </c>
      <c r="P39" s="33">
        <f>+'Anexo 16'!P39*'Anexo 6'!$D$10</f>
        <v>0</v>
      </c>
      <c r="Q39" s="33">
        <f>+'Anexo 16'!Q39*'Anexo 6'!$D$10</f>
        <v>0</v>
      </c>
      <c r="R39" s="33">
        <f>+'Anexo 16'!R39*'Anexo 6'!$D$10</f>
        <v>0</v>
      </c>
      <c r="S39" s="33">
        <f>+'Anexo 16'!S39*'Anexo 6'!$D$10</f>
        <v>0</v>
      </c>
      <c r="T39" s="33">
        <f>+'Anexo 16'!T39*'Anexo 6'!$D$10</f>
        <v>0</v>
      </c>
      <c r="U39" s="33">
        <f>+'Anexo 16'!U39*'Anexo 6'!$D$10</f>
        <v>0</v>
      </c>
      <c r="V39" s="33">
        <f>+'Anexo 16'!V39*'Anexo 6'!$D$10</f>
        <v>0</v>
      </c>
      <c r="W39" s="33">
        <f>+'Anexo 16'!W39*'Anexo 6'!$D$10</f>
        <v>0</v>
      </c>
      <c r="X39" s="33">
        <f>+'Anexo 16'!X39*'Anexo 6'!$D$10</f>
        <v>0</v>
      </c>
      <c r="Y39" s="33">
        <f>+'Anexo 16'!Y39*'Anexo 6'!$D$10</f>
        <v>0</v>
      </c>
      <c r="Z39" s="33">
        <f>+'Anexo 16'!Z39*'Anexo 6'!$D$10</f>
        <v>0</v>
      </c>
      <c r="AA39" s="35">
        <f t="shared" si="0"/>
        <v>0</v>
      </c>
      <c r="AB39" s="19">
        <v>21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+'Anexo 16'!C40*'Anexo 6'!$D$10</f>
        <v>0</v>
      </c>
      <c r="D40" s="33">
        <f>+'Anexo 16'!D40*'Anexo 6'!$D$10</f>
        <v>0</v>
      </c>
      <c r="E40" s="33">
        <f>+'Anexo 16'!E40*'Anexo 6'!$D$10</f>
        <v>0</v>
      </c>
      <c r="F40" s="33">
        <f>+'Anexo 16'!F40*'Anexo 6'!$D$10</f>
        <v>0</v>
      </c>
      <c r="G40" s="33">
        <f>+'Anexo 16'!G40*'Anexo 6'!$D$10</f>
        <v>0</v>
      </c>
      <c r="H40" s="33">
        <f>+'Anexo 16'!H40*'Anexo 6'!$D$10</f>
        <v>0</v>
      </c>
      <c r="I40" s="33">
        <f>+'Anexo 16'!I40*'Anexo 6'!$D$10</f>
        <v>0</v>
      </c>
      <c r="J40" s="33">
        <f>+'Anexo 16'!J40*'Anexo 6'!$D$10</f>
        <v>0</v>
      </c>
      <c r="K40" s="33">
        <f>+'Anexo 16'!K40*'Anexo 6'!$D$10</f>
        <v>0</v>
      </c>
      <c r="L40" s="33">
        <f>+'Anexo 16'!L40*'Anexo 6'!$D$10</f>
        <v>0</v>
      </c>
      <c r="M40" s="33">
        <f>+'Anexo 16'!M40*'Anexo 6'!$D$10</f>
        <v>0</v>
      </c>
      <c r="N40" s="33">
        <f>+'Anexo 16'!N40*'Anexo 6'!$D$10</f>
        <v>0</v>
      </c>
      <c r="O40" s="33">
        <f>+'Anexo 16'!O40*'Anexo 6'!$D$10</f>
        <v>0</v>
      </c>
      <c r="P40" s="33">
        <f>+'Anexo 16'!P40*'Anexo 6'!$D$10</f>
        <v>0</v>
      </c>
      <c r="Q40" s="33">
        <f>+'Anexo 16'!Q40*'Anexo 6'!$D$10</f>
        <v>0</v>
      </c>
      <c r="R40" s="33">
        <f>+'Anexo 16'!R40*'Anexo 6'!$D$10</f>
        <v>0</v>
      </c>
      <c r="S40" s="33">
        <f>+'Anexo 16'!S40*'Anexo 6'!$D$10</f>
        <v>0</v>
      </c>
      <c r="T40" s="33">
        <f>+'Anexo 16'!T40*'Anexo 6'!$D$10</f>
        <v>0</v>
      </c>
      <c r="U40" s="33">
        <f>+'Anexo 16'!U40*'Anexo 6'!$D$10</f>
        <v>0</v>
      </c>
      <c r="V40" s="33">
        <f>+'Anexo 16'!V40*'Anexo 6'!$D$10</f>
        <v>0</v>
      </c>
      <c r="W40" s="33">
        <f>+'Anexo 16'!W40*'Anexo 6'!$D$10</f>
        <v>0</v>
      </c>
      <c r="X40" s="33">
        <f>+'Anexo 16'!X40*'Anexo 6'!$D$10</f>
        <v>0</v>
      </c>
      <c r="Y40" s="33">
        <f>+'Anexo 16'!Y40*'Anexo 6'!$D$10</f>
        <v>0</v>
      </c>
      <c r="Z40" s="33">
        <f>+'Anexo 16'!Z40*'Anexo 6'!$D$10</f>
        <v>0</v>
      </c>
      <c r="AA40" s="38">
        <f t="shared" si="0"/>
        <v>0</v>
      </c>
      <c r="AB40" s="21">
        <v>4</v>
      </c>
      <c r="AC40" s="101"/>
      <c r="AD40" s="47"/>
    </row>
    <row r="41" spans="1:30" ht="15.75" thickBot="1" x14ac:dyDescent="0.3">
      <c r="A41" s="99"/>
      <c r="B41" s="22" t="s">
        <v>3</v>
      </c>
      <c r="C41" s="33">
        <f>+'Anexo 16'!C41*'Anexo 6'!$D$10</f>
        <v>0</v>
      </c>
      <c r="D41" s="33">
        <f>+'Anexo 16'!D41*'Anexo 6'!$D$10</f>
        <v>0</v>
      </c>
      <c r="E41" s="33">
        <f>+'Anexo 16'!E41*'Anexo 6'!$D$10</f>
        <v>0</v>
      </c>
      <c r="F41" s="33">
        <f>+'Anexo 16'!F41*'Anexo 6'!$D$10</f>
        <v>0</v>
      </c>
      <c r="G41" s="33">
        <f>+'Anexo 16'!G41*'Anexo 6'!$D$10</f>
        <v>0</v>
      </c>
      <c r="H41" s="33">
        <f>+'Anexo 16'!H41*'Anexo 6'!$D$10</f>
        <v>0</v>
      </c>
      <c r="I41" s="33">
        <f>+'Anexo 16'!I41*'Anexo 6'!$D$10</f>
        <v>0</v>
      </c>
      <c r="J41" s="33">
        <f>+'Anexo 16'!J41*'Anexo 6'!$D$10</f>
        <v>0</v>
      </c>
      <c r="K41" s="33">
        <f>+'Anexo 16'!K41*'Anexo 6'!$D$10</f>
        <v>0</v>
      </c>
      <c r="L41" s="33">
        <f>+'Anexo 16'!L41*'Anexo 6'!$D$10</f>
        <v>0</v>
      </c>
      <c r="M41" s="33">
        <f>+'Anexo 16'!M41*'Anexo 6'!$D$10</f>
        <v>0</v>
      </c>
      <c r="N41" s="33">
        <f>+'Anexo 16'!N41*'Anexo 6'!$D$10</f>
        <v>0</v>
      </c>
      <c r="O41" s="33">
        <f>+'Anexo 16'!O41*'Anexo 6'!$D$10</f>
        <v>0</v>
      </c>
      <c r="P41" s="33">
        <f>+'Anexo 16'!P41*'Anexo 6'!$D$10</f>
        <v>0</v>
      </c>
      <c r="Q41" s="33">
        <f>+'Anexo 16'!Q41*'Anexo 6'!$D$10</f>
        <v>0</v>
      </c>
      <c r="R41" s="33">
        <f>+'Anexo 16'!R41*'Anexo 6'!$D$10</f>
        <v>0</v>
      </c>
      <c r="S41" s="33">
        <f>+'Anexo 16'!S41*'Anexo 6'!$D$10</f>
        <v>0</v>
      </c>
      <c r="T41" s="33">
        <f>+'Anexo 16'!T41*'Anexo 6'!$D$10</f>
        <v>0</v>
      </c>
      <c r="U41" s="33">
        <f>+'Anexo 16'!U41*'Anexo 6'!$D$10</f>
        <v>0</v>
      </c>
      <c r="V41" s="33">
        <f>+'Anexo 16'!V41*'Anexo 6'!$D$10</f>
        <v>0</v>
      </c>
      <c r="W41" s="33">
        <f>+'Anexo 16'!W41*'Anexo 6'!$D$10</f>
        <v>0</v>
      </c>
      <c r="X41" s="33">
        <f>+'Anexo 16'!X41*'Anexo 6'!$D$10</f>
        <v>0</v>
      </c>
      <c r="Y41" s="33">
        <f>+'Anexo 16'!Y41*'Anexo 6'!$D$10</f>
        <v>0</v>
      </c>
      <c r="Z41" s="33">
        <f>+'Anexo 16'!Z41*'Anexo 6'!$D$10</f>
        <v>0</v>
      </c>
      <c r="AA41" s="41">
        <f t="shared" si="0"/>
        <v>0</v>
      </c>
      <c r="AB41" s="23">
        <v>6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C02-EFE5-4A32-85C8-2423083F2E66}">
  <sheetPr>
    <tabColor theme="9" tint="-0.499984740745262"/>
  </sheetPr>
  <dimension ref="A1:XFC36"/>
  <sheetViews>
    <sheetView showGridLines="0" topLeftCell="A15" zoomScaleNormal="100" zoomScaleSheetLayoutView="140" workbookViewId="0">
      <selection activeCell="B30" sqref="B30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9" t="s">
        <v>82</v>
      </c>
      <c r="C3" s="79"/>
      <c r="D3" s="79"/>
      <c r="E3" s="79"/>
      <c r="F3" s="79"/>
      <c r="G3" s="29"/>
    </row>
    <row r="4" spans="1:8" x14ac:dyDescent="0.25">
      <c r="B4" s="79" t="s">
        <v>77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48214</v>
      </c>
      <c r="C10" s="43">
        <f>+'Anexo 17'!AC6</f>
        <v>43801489</v>
      </c>
      <c r="D10" s="76"/>
      <c r="E10" s="57">
        <f>+'Cantidades Ofertadas Prod 7'!AC6</f>
        <v>0</v>
      </c>
      <c r="F10" s="85"/>
      <c r="G10" s="32"/>
      <c r="H10" s="66"/>
    </row>
    <row r="11" spans="1:8" ht="15.75" thickBot="1" x14ac:dyDescent="0.3">
      <c r="A11" s="59">
        <v>29</v>
      </c>
      <c r="B11" s="8">
        <v>48245</v>
      </c>
      <c r="C11" s="43">
        <f>+'Anexo 17'!AC9</f>
        <v>41722486</v>
      </c>
      <c r="D11" s="77"/>
      <c r="E11" s="57">
        <f>+'Cantidades Ofertadas Prod 7'!AC9</f>
        <v>0</v>
      </c>
      <c r="F11" s="86"/>
      <c r="G11" s="32"/>
      <c r="H11" s="66"/>
    </row>
    <row r="12" spans="1:8" ht="15.75" thickBot="1" x14ac:dyDescent="0.3">
      <c r="A12" s="59">
        <v>31</v>
      </c>
      <c r="B12" s="8">
        <v>48274</v>
      </c>
      <c r="C12" s="43">
        <f>+'Anexo 17'!AC12</f>
        <v>43369723</v>
      </c>
      <c r="D12" s="77"/>
      <c r="E12" s="57">
        <f>+'Cantidades Ofertadas Prod 7'!AC12</f>
        <v>0</v>
      </c>
      <c r="F12" s="86"/>
      <c r="G12" s="32"/>
      <c r="H12" s="66"/>
    </row>
    <row r="13" spans="1:8" ht="15.75" thickBot="1" x14ac:dyDescent="0.3">
      <c r="A13" s="59">
        <v>30</v>
      </c>
      <c r="B13" s="8">
        <v>48305</v>
      </c>
      <c r="C13" s="43">
        <f>+'Anexo 17'!AC15</f>
        <v>41303354</v>
      </c>
      <c r="D13" s="77"/>
      <c r="E13" s="57">
        <f>+'Cantidades Ofertadas Prod 7'!AC15</f>
        <v>0</v>
      </c>
      <c r="F13" s="86"/>
      <c r="G13" s="32"/>
      <c r="H13" s="66"/>
    </row>
    <row r="14" spans="1:8" ht="15.75" thickBot="1" x14ac:dyDescent="0.3">
      <c r="A14" s="59">
        <v>31</v>
      </c>
      <c r="B14" s="8">
        <v>48335</v>
      </c>
      <c r="C14" s="43">
        <f>+'Anexo 17'!AC18</f>
        <v>42612242</v>
      </c>
      <c r="D14" s="77"/>
      <c r="E14" s="57">
        <f>+'Cantidades Ofertadas Prod 7'!AC18</f>
        <v>0</v>
      </c>
      <c r="F14" s="86"/>
      <c r="G14" s="32"/>
      <c r="H14" s="66"/>
    </row>
    <row r="15" spans="1:8" ht="15.75" thickBot="1" x14ac:dyDescent="0.3">
      <c r="A15" s="59">
        <v>30</v>
      </c>
      <c r="B15" s="8">
        <v>48366</v>
      </c>
      <c r="C15" s="43">
        <f>+'Anexo 17'!AC21</f>
        <v>41413935</v>
      </c>
      <c r="D15" s="77"/>
      <c r="E15" s="57">
        <f>+'Cantidades Ofertadas Prod 7'!AC21</f>
        <v>0</v>
      </c>
      <c r="F15" s="86"/>
      <c r="G15" s="32"/>
      <c r="H15" s="66"/>
    </row>
    <row r="16" spans="1:8" ht="15.75" thickBot="1" x14ac:dyDescent="0.3">
      <c r="A16" s="59">
        <v>31</v>
      </c>
      <c r="B16" s="8">
        <v>48396</v>
      </c>
      <c r="C16" s="43">
        <f>+'Anexo 17'!AC24</f>
        <v>43754659</v>
      </c>
      <c r="D16" s="77"/>
      <c r="E16" s="57">
        <f>+'Cantidades Ofertadas Prod 7'!AC24</f>
        <v>0</v>
      </c>
      <c r="F16" s="86"/>
      <c r="G16" s="32"/>
      <c r="H16" s="66"/>
    </row>
    <row r="17" spans="1:8" ht="15.75" thickBot="1" x14ac:dyDescent="0.3">
      <c r="A17" s="59">
        <v>31</v>
      </c>
      <c r="B17" s="8">
        <v>48427</v>
      </c>
      <c r="C17" s="43">
        <f>+'Anexo 17'!AC27</f>
        <v>44528869</v>
      </c>
      <c r="D17" s="77"/>
      <c r="E17" s="57">
        <f>+'Cantidades Ofertadas Prod 7'!AC27</f>
        <v>0</v>
      </c>
      <c r="F17" s="86"/>
      <c r="G17" s="32"/>
      <c r="H17" s="66"/>
    </row>
    <row r="18" spans="1:8" ht="15.75" thickBot="1" x14ac:dyDescent="0.3">
      <c r="A18" s="59">
        <v>30</v>
      </c>
      <c r="B18" s="8">
        <v>48458</v>
      </c>
      <c r="C18" s="43">
        <f>+'Anexo 17'!AC30</f>
        <v>43867000</v>
      </c>
      <c r="D18" s="77"/>
      <c r="E18" s="57">
        <f>+'Cantidades Ofertadas Prod 7'!AC30</f>
        <v>0</v>
      </c>
      <c r="F18" s="86"/>
      <c r="G18" s="32"/>
      <c r="H18" s="66"/>
    </row>
    <row r="19" spans="1:8" ht="15.75" thickBot="1" x14ac:dyDescent="0.3">
      <c r="A19" s="59">
        <v>31</v>
      </c>
      <c r="B19" s="8">
        <v>48488</v>
      </c>
      <c r="C19" s="43">
        <f>+'Anexo 17'!AC33</f>
        <v>43318954</v>
      </c>
      <c r="D19" s="77"/>
      <c r="E19" s="57">
        <f>+'Cantidades Ofertadas Prod 7'!AC33</f>
        <v>0</v>
      </c>
      <c r="F19" s="86"/>
      <c r="G19" s="32"/>
      <c r="H19" s="66"/>
    </row>
    <row r="20" spans="1:8" ht="15.75" thickBot="1" x14ac:dyDescent="0.3">
      <c r="A20" s="59">
        <v>30</v>
      </c>
      <c r="B20" s="8">
        <v>48519</v>
      </c>
      <c r="C20" s="43">
        <f>+'Anexo 17'!AC36</f>
        <v>41237820</v>
      </c>
      <c r="D20" s="77"/>
      <c r="E20" s="57">
        <f>+'Cantidades Ofertadas Prod 7'!AC36</f>
        <v>0</v>
      </c>
      <c r="F20" s="86"/>
      <c r="G20" s="32"/>
      <c r="H20" s="66"/>
    </row>
    <row r="21" spans="1:8" ht="15.75" thickBot="1" x14ac:dyDescent="0.3">
      <c r="A21" s="59">
        <v>31</v>
      </c>
      <c r="B21" s="8">
        <v>48549</v>
      </c>
      <c r="C21" s="43">
        <f>+'Anexo 17'!AC39</f>
        <v>44299175</v>
      </c>
      <c r="D21" s="78"/>
      <c r="E21" s="57">
        <f>+'Cantidades Ofertadas Prod 7'!AC39</f>
        <v>0</v>
      </c>
      <c r="F21" s="87"/>
      <c r="G21" s="32"/>
      <c r="H21" s="66"/>
    </row>
    <row r="22" spans="1:8" ht="28.5" customHeight="1" x14ac:dyDescent="0.25">
      <c r="B22" s="9" t="s">
        <v>0</v>
      </c>
      <c r="C22" s="10">
        <f>+SUM(C10:C21)</f>
        <v>515229706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72" t="s">
        <v>46</v>
      </c>
      <c r="C25" s="72"/>
      <c r="D25" s="72"/>
      <c r="E25" s="72"/>
      <c r="F25" s="72"/>
      <c r="G25" s="72"/>
      <c r="H25" s="42"/>
    </row>
    <row r="26" spans="1:8" x14ac:dyDescent="0.25">
      <c r="B26" s="7" t="s">
        <v>104</v>
      </c>
      <c r="C26" s="52"/>
      <c r="D26" s="52"/>
      <c r="E26" s="52"/>
      <c r="F26" s="52"/>
      <c r="G26" s="52"/>
      <c r="H26" s="42"/>
    </row>
    <row r="27" spans="1:8" x14ac:dyDescent="0.25">
      <c r="B27" s="7" t="s">
        <v>86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138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3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F4B5ED03-4EF3-45E6-8A22-61591D5894B4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75C5-0EB3-40DC-A9B6-73BB1E5BFFD1}">
  <sheetPr>
    <tabColor theme="9" tint="-0.499984740745262"/>
  </sheetPr>
  <dimension ref="A1:H33"/>
  <sheetViews>
    <sheetView showGridLines="0" topLeftCell="A6" zoomScaleNormal="100" zoomScaleSheetLayoutView="140" workbookViewId="0">
      <selection activeCell="A11" sqref="A11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9" t="s">
        <v>113</v>
      </c>
      <c r="C3" s="79"/>
      <c r="D3" s="79"/>
      <c r="E3" s="79"/>
      <c r="F3" s="79"/>
      <c r="G3" s="29"/>
    </row>
    <row r="4" spans="1:8" ht="15" x14ac:dyDescent="0.25">
      <c r="B4" s="79" t="s">
        <v>77</v>
      </c>
      <c r="C4" s="79"/>
      <c r="D4" s="79"/>
      <c r="E4" s="79"/>
      <c r="F4" s="79"/>
      <c r="G4" s="29"/>
    </row>
    <row r="5" spans="1:8" ht="15" x14ac:dyDescent="0.25">
      <c r="B5" s="79" t="s">
        <v>89</v>
      </c>
      <c r="C5" s="79"/>
      <c r="D5" s="79"/>
      <c r="E5" s="79"/>
      <c r="F5" s="79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58655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48214</v>
      </c>
      <c r="C10" s="43">
        <f>+$A$9*A10*24</f>
        <v>43639320</v>
      </c>
      <c r="D10" s="82"/>
      <c r="E10" s="57">
        <f>+$D$10*A10*24</f>
        <v>0</v>
      </c>
      <c r="F10" s="73"/>
      <c r="G10" s="32"/>
      <c r="H10" s="51"/>
    </row>
    <row r="11" spans="1:8" ht="15.75" thickBot="1" x14ac:dyDescent="0.3">
      <c r="A11" s="59">
        <v>29</v>
      </c>
      <c r="B11" s="8">
        <v>48245</v>
      </c>
      <c r="C11" s="43">
        <f t="shared" ref="C11:C21" si="0">+$A$9*A11*24</f>
        <v>40823880</v>
      </c>
      <c r="D11" s="83"/>
      <c r="E11" s="57">
        <f t="shared" ref="E11:E21" si="1">+$D$10*A11*24</f>
        <v>0</v>
      </c>
      <c r="F11" s="74"/>
      <c r="G11" s="32"/>
      <c r="H11" s="51"/>
    </row>
    <row r="12" spans="1:8" ht="15.75" thickBot="1" x14ac:dyDescent="0.3">
      <c r="A12" s="59">
        <v>31</v>
      </c>
      <c r="B12" s="8">
        <v>48274</v>
      </c>
      <c r="C12" s="43">
        <f t="shared" si="0"/>
        <v>43639320</v>
      </c>
      <c r="D12" s="83"/>
      <c r="E12" s="57">
        <f t="shared" si="1"/>
        <v>0</v>
      </c>
      <c r="F12" s="74"/>
      <c r="G12" s="32"/>
      <c r="H12" s="51"/>
    </row>
    <row r="13" spans="1:8" ht="15.75" thickBot="1" x14ac:dyDescent="0.3">
      <c r="A13" s="59">
        <v>30</v>
      </c>
      <c r="B13" s="8">
        <v>48305</v>
      </c>
      <c r="C13" s="43">
        <f t="shared" si="0"/>
        <v>42231600</v>
      </c>
      <c r="D13" s="83"/>
      <c r="E13" s="57">
        <f t="shared" si="1"/>
        <v>0</v>
      </c>
      <c r="F13" s="74"/>
      <c r="G13" s="32"/>
      <c r="H13" s="51"/>
    </row>
    <row r="14" spans="1:8" ht="15.75" thickBot="1" x14ac:dyDescent="0.3">
      <c r="A14" s="59">
        <v>31</v>
      </c>
      <c r="B14" s="8">
        <v>48335</v>
      </c>
      <c r="C14" s="43">
        <f t="shared" si="0"/>
        <v>43639320</v>
      </c>
      <c r="D14" s="83"/>
      <c r="E14" s="57">
        <f t="shared" si="1"/>
        <v>0</v>
      </c>
      <c r="F14" s="74"/>
      <c r="G14" s="32"/>
      <c r="H14" s="51"/>
    </row>
    <row r="15" spans="1:8" ht="15.75" thickBot="1" x14ac:dyDescent="0.3">
      <c r="A15" s="59">
        <v>30</v>
      </c>
      <c r="B15" s="8">
        <v>48366</v>
      </c>
      <c r="C15" s="43">
        <f t="shared" si="0"/>
        <v>42231600</v>
      </c>
      <c r="D15" s="83"/>
      <c r="E15" s="57">
        <f t="shared" si="1"/>
        <v>0</v>
      </c>
      <c r="F15" s="74"/>
      <c r="G15" s="32"/>
      <c r="H15" s="51"/>
    </row>
    <row r="16" spans="1:8" ht="15.75" thickBot="1" x14ac:dyDescent="0.3">
      <c r="A16" s="59">
        <v>31</v>
      </c>
      <c r="B16" s="8">
        <v>48396</v>
      </c>
      <c r="C16" s="43">
        <f t="shared" si="0"/>
        <v>43639320</v>
      </c>
      <c r="D16" s="83"/>
      <c r="E16" s="57">
        <f t="shared" si="1"/>
        <v>0</v>
      </c>
      <c r="F16" s="74"/>
      <c r="G16" s="32"/>
      <c r="H16" s="51"/>
    </row>
    <row r="17" spans="1:8" ht="15.75" thickBot="1" x14ac:dyDescent="0.3">
      <c r="A17" s="59">
        <v>31</v>
      </c>
      <c r="B17" s="8">
        <v>48427</v>
      </c>
      <c r="C17" s="43">
        <f t="shared" si="0"/>
        <v>43639320</v>
      </c>
      <c r="D17" s="83"/>
      <c r="E17" s="57">
        <f t="shared" si="1"/>
        <v>0</v>
      </c>
      <c r="F17" s="74"/>
      <c r="G17" s="32"/>
      <c r="H17" s="51"/>
    </row>
    <row r="18" spans="1:8" ht="15.75" thickBot="1" x14ac:dyDescent="0.3">
      <c r="A18" s="59">
        <v>30</v>
      </c>
      <c r="B18" s="8">
        <v>48458</v>
      </c>
      <c r="C18" s="43">
        <f t="shared" si="0"/>
        <v>42231600</v>
      </c>
      <c r="D18" s="83"/>
      <c r="E18" s="57">
        <f t="shared" si="1"/>
        <v>0</v>
      </c>
      <c r="F18" s="74"/>
      <c r="G18" s="32"/>
      <c r="H18" s="51"/>
    </row>
    <row r="19" spans="1:8" ht="15.75" thickBot="1" x14ac:dyDescent="0.3">
      <c r="A19" s="59">
        <v>31</v>
      </c>
      <c r="B19" s="8">
        <v>48488</v>
      </c>
      <c r="C19" s="43">
        <f t="shared" si="0"/>
        <v>43639320</v>
      </c>
      <c r="D19" s="83"/>
      <c r="E19" s="57">
        <f t="shared" si="1"/>
        <v>0</v>
      </c>
      <c r="F19" s="74"/>
      <c r="G19" s="32"/>
      <c r="H19" s="51"/>
    </row>
    <row r="20" spans="1:8" ht="15.75" thickBot="1" x14ac:dyDescent="0.3">
      <c r="A20" s="59">
        <v>30</v>
      </c>
      <c r="B20" s="8">
        <v>48519</v>
      </c>
      <c r="C20" s="43">
        <f t="shared" si="0"/>
        <v>42231600</v>
      </c>
      <c r="D20" s="83"/>
      <c r="E20" s="57">
        <f t="shared" si="1"/>
        <v>0</v>
      </c>
      <c r="F20" s="74"/>
      <c r="G20" s="32"/>
      <c r="H20" s="51"/>
    </row>
    <row r="21" spans="1:8" ht="15.75" thickBot="1" x14ac:dyDescent="0.3">
      <c r="A21" s="59">
        <v>31</v>
      </c>
      <c r="B21" s="8">
        <v>48549</v>
      </c>
      <c r="C21" s="43">
        <f t="shared" si="0"/>
        <v>43639320</v>
      </c>
      <c r="D21" s="84"/>
      <c r="E21" s="57">
        <f t="shared" si="1"/>
        <v>0</v>
      </c>
      <c r="F21" s="75"/>
      <c r="G21" s="32"/>
      <c r="H21" s="51"/>
    </row>
    <row r="22" spans="1:8" ht="28.5" customHeight="1" x14ac:dyDescent="0.25">
      <c r="B22" s="9" t="s">
        <v>0</v>
      </c>
      <c r="C22" s="10">
        <f>+SUM(C10:C21)</f>
        <v>515225520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137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72" t="s">
        <v>68</v>
      </c>
      <c r="C26" s="72"/>
      <c r="D26" s="72"/>
      <c r="E26" s="72"/>
      <c r="F26" s="72"/>
      <c r="G26" s="72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8.655" prompt="debe ofertar maximo 58.655 kWh" sqref="D10:D21" xr:uid="{4839B1F6-4FE5-4994-88F6-F0AE833A7970}">
      <formula1>0</formula1>
      <formula2>+A9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5CB-58BF-4DB4-AA0A-7B9250A38166}">
  <sheetPr>
    <tabColor theme="9" tint="-0.499984740745262"/>
  </sheetPr>
  <dimension ref="A1:AD45"/>
  <sheetViews>
    <sheetView showGridLines="0" zoomScale="115" zoomScaleNormal="115" zoomScaleSheetLayoutView="110" workbookViewId="0">
      <pane xSplit="2" ySplit="5" topLeftCell="C32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4" width="8.7109375" bestFit="1" customWidth="1"/>
    <col min="5" max="9" width="9" bestFit="1" customWidth="1"/>
    <col min="10" max="11" width="8.7109375" bestFit="1" customWidth="1"/>
    <col min="12" max="12" width="9" bestFit="1" customWidth="1"/>
    <col min="13" max="13" width="9.28515625" bestFit="1" customWidth="1"/>
    <col min="14" max="14" width="9" bestFit="1" customWidth="1"/>
    <col min="15" max="15" width="9.28515625" bestFit="1" customWidth="1"/>
    <col min="16" max="17" width="9" bestFit="1" customWidth="1"/>
    <col min="18" max="20" width="9.28515625" bestFit="1" customWidth="1"/>
    <col min="21" max="21" width="9" bestFit="1" customWidth="1"/>
    <col min="22" max="22" width="9.28515625" bestFit="1" customWidth="1"/>
    <col min="23" max="26" width="9" bestFit="1" customWidth="1"/>
    <col min="27" max="27" width="10.1406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73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48214</v>
      </c>
      <c r="B6" s="18" t="s">
        <v>5</v>
      </c>
      <c r="C6" s="33">
        <v>47590</v>
      </c>
      <c r="D6" s="33">
        <v>44839</v>
      </c>
      <c r="E6" s="33">
        <v>43184</v>
      </c>
      <c r="F6" s="33">
        <v>42329</v>
      </c>
      <c r="G6" s="33">
        <v>42920</v>
      </c>
      <c r="H6" s="33">
        <v>45477</v>
      </c>
      <c r="I6" s="33">
        <v>47907</v>
      </c>
      <c r="J6" s="33">
        <v>52457</v>
      </c>
      <c r="K6" s="33">
        <v>57576</v>
      </c>
      <c r="L6" s="33">
        <v>61453</v>
      </c>
      <c r="M6" s="33">
        <v>65401</v>
      </c>
      <c r="N6" s="33">
        <v>69126</v>
      </c>
      <c r="O6" s="33">
        <v>68494</v>
      </c>
      <c r="P6" s="33">
        <v>68575</v>
      </c>
      <c r="Q6" s="33">
        <v>69718</v>
      </c>
      <c r="R6" s="33">
        <v>69936</v>
      </c>
      <c r="S6" s="33">
        <v>69136</v>
      </c>
      <c r="T6" s="33">
        <v>67639</v>
      </c>
      <c r="U6" s="33">
        <v>72610</v>
      </c>
      <c r="V6" s="33">
        <v>76750</v>
      </c>
      <c r="W6" s="33">
        <v>73966</v>
      </c>
      <c r="X6" s="33">
        <v>69085</v>
      </c>
      <c r="Y6" s="33">
        <v>61240</v>
      </c>
      <c r="Z6" s="34">
        <v>53317</v>
      </c>
      <c r="AA6" s="35">
        <f>SUM(C6:Z6)</f>
        <v>1440725</v>
      </c>
      <c r="AB6" s="19">
        <v>20</v>
      </c>
      <c r="AC6" s="100">
        <f>+AA6*AB6+AA7*AB7+AA8*AB8</f>
        <v>43801489</v>
      </c>
    </row>
    <row r="7" spans="1:30" ht="15.75" thickBot="1" x14ac:dyDescent="0.3">
      <c r="A7" s="99"/>
      <c r="B7" s="20" t="s">
        <v>4</v>
      </c>
      <c r="C7" s="36">
        <v>48738</v>
      </c>
      <c r="D7" s="36">
        <v>45632</v>
      </c>
      <c r="E7" s="36">
        <v>43736</v>
      </c>
      <c r="F7" s="36">
        <v>42541</v>
      </c>
      <c r="G7" s="36">
        <v>42579</v>
      </c>
      <c r="H7" s="36">
        <v>44009</v>
      </c>
      <c r="I7" s="36">
        <v>45676</v>
      </c>
      <c r="J7" s="36">
        <v>50303</v>
      </c>
      <c r="K7" s="36">
        <v>56024</v>
      </c>
      <c r="L7" s="36">
        <v>60342</v>
      </c>
      <c r="M7" s="36">
        <v>63577</v>
      </c>
      <c r="N7" s="36">
        <v>66777</v>
      </c>
      <c r="O7" s="36">
        <v>67123</v>
      </c>
      <c r="P7" s="36">
        <v>66464</v>
      </c>
      <c r="Q7" s="36">
        <v>65741</v>
      </c>
      <c r="R7" s="36">
        <v>65389</v>
      </c>
      <c r="S7" s="36">
        <v>64896</v>
      </c>
      <c r="T7" s="36">
        <v>64834</v>
      </c>
      <c r="U7" s="36">
        <v>71066</v>
      </c>
      <c r="V7" s="36">
        <v>75504</v>
      </c>
      <c r="W7" s="36">
        <v>72469</v>
      </c>
      <c r="X7" s="36">
        <v>67944</v>
      </c>
      <c r="Y7" s="36">
        <v>61523</v>
      </c>
      <c r="Z7" s="37">
        <v>55088</v>
      </c>
      <c r="AA7" s="38">
        <f t="shared" ref="AA7:AA41" si="0">SUM(C7:Z7)</f>
        <v>1407975</v>
      </c>
      <c r="AB7" s="21">
        <v>5</v>
      </c>
      <c r="AC7" s="101"/>
      <c r="AD7" s="47"/>
    </row>
    <row r="8" spans="1:30" x14ac:dyDescent="0.25">
      <c r="A8" s="99"/>
      <c r="B8" s="22" t="s">
        <v>3</v>
      </c>
      <c r="C8" s="39">
        <v>51092</v>
      </c>
      <c r="D8" s="39">
        <v>47736</v>
      </c>
      <c r="E8" s="39">
        <v>45511</v>
      </c>
      <c r="F8" s="39">
        <v>43939</v>
      </c>
      <c r="G8" s="39">
        <v>43173</v>
      </c>
      <c r="H8" s="39">
        <v>43474</v>
      </c>
      <c r="I8" s="39">
        <v>43048</v>
      </c>
      <c r="J8" s="39">
        <v>45590</v>
      </c>
      <c r="K8" s="39">
        <v>49943</v>
      </c>
      <c r="L8" s="39">
        <v>53779</v>
      </c>
      <c r="M8" s="39">
        <v>56610</v>
      </c>
      <c r="N8" s="39">
        <v>59557</v>
      </c>
      <c r="O8" s="39">
        <v>61302</v>
      </c>
      <c r="P8" s="39">
        <v>61095</v>
      </c>
      <c r="Q8" s="39">
        <v>59985</v>
      </c>
      <c r="R8" s="39">
        <v>59346</v>
      </c>
      <c r="S8" s="39">
        <v>59024</v>
      </c>
      <c r="T8" s="39">
        <v>59345</v>
      </c>
      <c r="U8" s="39">
        <v>66142</v>
      </c>
      <c r="V8" s="39">
        <v>70996</v>
      </c>
      <c r="W8" s="39">
        <v>69016</v>
      </c>
      <c r="X8" s="39">
        <v>64785</v>
      </c>
      <c r="Y8" s="39">
        <v>58260</v>
      </c>
      <c r="Z8" s="40">
        <v>51771</v>
      </c>
      <c r="AA8" s="41">
        <f t="shared" si="0"/>
        <v>1324519</v>
      </c>
      <c r="AB8" s="23">
        <v>6</v>
      </c>
      <c r="AC8" s="102"/>
      <c r="AD8" s="48"/>
    </row>
    <row r="9" spans="1:30" ht="15.75" thickBot="1" x14ac:dyDescent="0.3">
      <c r="A9" s="99">
        <v>48245</v>
      </c>
      <c r="B9" s="18" t="s">
        <v>5</v>
      </c>
      <c r="C9" s="33">
        <v>47868</v>
      </c>
      <c r="D9" s="33">
        <v>45221</v>
      </c>
      <c r="E9" s="33">
        <v>43699</v>
      </c>
      <c r="F9" s="33">
        <v>42952</v>
      </c>
      <c r="G9" s="33">
        <v>43817</v>
      </c>
      <c r="H9" s="33">
        <v>47785</v>
      </c>
      <c r="I9" s="33">
        <v>50946</v>
      </c>
      <c r="J9" s="33">
        <v>54379</v>
      </c>
      <c r="K9" s="33">
        <v>58933</v>
      </c>
      <c r="L9" s="33">
        <v>62344</v>
      </c>
      <c r="M9" s="33">
        <v>66073</v>
      </c>
      <c r="N9" s="33">
        <v>69527</v>
      </c>
      <c r="O9" s="33">
        <v>68140</v>
      </c>
      <c r="P9" s="33">
        <v>68667</v>
      </c>
      <c r="Q9" s="33">
        <v>70272</v>
      </c>
      <c r="R9" s="33">
        <v>70561</v>
      </c>
      <c r="S9" s="33">
        <v>69774</v>
      </c>
      <c r="T9" s="33">
        <v>67952</v>
      </c>
      <c r="U9" s="33">
        <v>71746</v>
      </c>
      <c r="V9" s="33">
        <v>77178</v>
      </c>
      <c r="W9" s="33">
        <v>74502</v>
      </c>
      <c r="X9" s="33">
        <v>69392</v>
      </c>
      <c r="Y9" s="33">
        <v>61328</v>
      </c>
      <c r="Z9" s="34">
        <v>53305</v>
      </c>
      <c r="AA9" s="35">
        <f t="shared" si="0"/>
        <v>1456361</v>
      </c>
      <c r="AB9" s="19">
        <v>20</v>
      </c>
      <c r="AC9" s="100">
        <f>+AA9*AB9+AA10*AB10+AA11*AB11</f>
        <v>41722486</v>
      </c>
    </row>
    <row r="10" spans="1:30" ht="15.75" thickBot="1" x14ac:dyDescent="0.3">
      <c r="A10" s="99"/>
      <c r="B10" s="20" t="s">
        <v>4</v>
      </c>
      <c r="C10" s="36">
        <v>49640</v>
      </c>
      <c r="D10" s="36">
        <v>46705</v>
      </c>
      <c r="E10" s="36">
        <v>44818</v>
      </c>
      <c r="F10" s="36">
        <v>43734</v>
      </c>
      <c r="G10" s="36">
        <v>43863</v>
      </c>
      <c r="H10" s="36">
        <v>45400</v>
      </c>
      <c r="I10" s="36">
        <v>47862</v>
      </c>
      <c r="J10" s="36">
        <v>52486</v>
      </c>
      <c r="K10" s="36">
        <v>58429</v>
      </c>
      <c r="L10" s="36">
        <v>62567</v>
      </c>
      <c r="M10" s="36">
        <v>65857</v>
      </c>
      <c r="N10" s="36">
        <v>69051</v>
      </c>
      <c r="O10" s="36">
        <v>69140</v>
      </c>
      <c r="P10" s="36">
        <v>68253</v>
      </c>
      <c r="Q10" s="36">
        <v>67495</v>
      </c>
      <c r="R10" s="36">
        <v>67079</v>
      </c>
      <c r="S10" s="36">
        <v>66509</v>
      </c>
      <c r="T10" s="36">
        <v>66300</v>
      </c>
      <c r="U10" s="36">
        <v>71341</v>
      </c>
      <c r="V10" s="36">
        <v>76804</v>
      </c>
      <c r="W10" s="36">
        <v>73797</v>
      </c>
      <c r="X10" s="36">
        <v>69523</v>
      </c>
      <c r="Y10" s="36">
        <v>63413</v>
      </c>
      <c r="Z10" s="37">
        <v>56623</v>
      </c>
      <c r="AA10" s="38">
        <f t="shared" si="0"/>
        <v>1446689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51557</v>
      </c>
      <c r="D11" s="39">
        <v>48227</v>
      </c>
      <c r="E11" s="39">
        <v>46196</v>
      </c>
      <c r="F11" s="39">
        <v>44672</v>
      </c>
      <c r="G11" s="39">
        <v>44185</v>
      </c>
      <c r="H11" s="39">
        <v>44642</v>
      </c>
      <c r="I11" s="39">
        <v>45007</v>
      </c>
      <c r="J11" s="39">
        <v>47989</v>
      </c>
      <c r="K11" s="39">
        <v>52763</v>
      </c>
      <c r="L11" s="39">
        <v>56671</v>
      </c>
      <c r="M11" s="39">
        <v>59261</v>
      </c>
      <c r="N11" s="39">
        <v>62060</v>
      </c>
      <c r="O11" s="39">
        <v>63629</v>
      </c>
      <c r="P11" s="39">
        <v>63117</v>
      </c>
      <c r="Q11" s="39">
        <v>61868</v>
      </c>
      <c r="R11" s="39">
        <v>61110</v>
      </c>
      <c r="S11" s="39">
        <v>60728</v>
      </c>
      <c r="T11" s="39">
        <v>61049</v>
      </c>
      <c r="U11" s="39">
        <v>66470</v>
      </c>
      <c r="V11" s="39">
        <v>72504</v>
      </c>
      <c r="W11" s="39">
        <v>70663</v>
      </c>
      <c r="X11" s="39">
        <v>66278</v>
      </c>
      <c r="Y11" s="39">
        <v>59078</v>
      </c>
      <c r="Z11" s="40">
        <v>51978</v>
      </c>
      <c r="AA11" s="41">
        <f t="shared" si="0"/>
        <v>1361702</v>
      </c>
      <c r="AB11" s="23">
        <v>5</v>
      </c>
      <c r="AC11" s="102"/>
      <c r="AD11" s="48"/>
    </row>
    <row r="12" spans="1:30" ht="15.75" thickBot="1" x14ac:dyDescent="0.3">
      <c r="A12" s="99">
        <v>48274</v>
      </c>
      <c r="B12" s="18" t="s">
        <v>5</v>
      </c>
      <c r="C12" s="33">
        <v>46851</v>
      </c>
      <c r="D12" s="33">
        <v>44317</v>
      </c>
      <c r="E12" s="33">
        <v>42914</v>
      </c>
      <c r="F12" s="33">
        <v>42211</v>
      </c>
      <c r="G12" s="33">
        <v>43143</v>
      </c>
      <c r="H12" s="33">
        <v>47034</v>
      </c>
      <c r="I12" s="33">
        <v>49760</v>
      </c>
      <c r="J12" s="33">
        <v>53558</v>
      </c>
      <c r="K12" s="33">
        <v>57931</v>
      </c>
      <c r="L12" s="33">
        <v>61207</v>
      </c>
      <c r="M12" s="33">
        <v>64698</v>
      </c>
      <c r="N12" s="33">
        <v>67846</v>
      </c>
      <c r="O12" s="33">
        <v>66592</v>
      </c>
      <c r="P12" s="33">
        <v>66869</v>
      </c>
      <c r="Q12" s="33">
        <v>68249</v>
      </c>
      <c r="R12" s="33">
        <v>68474</v>
      </c>
      <c r="S12" s="33">
        <v>67874</v>
      </c>
      <c r="T12" s="33">
        <v>66592</v>
      </c>
      <c r="U12" s="33">
        <v>71327</v>
      </c>
      <c r="V12" s="33">
        <v>75961</v>
      </c>
      <c r="W12" s="33">
        <v>73201</v>
      </c>
      <c r="X12" s="33">
        <v>68005</v>
      </c>
      <c r="Y12" s="33">
        <v>60103</v>
      </c>
      <c r="Z12" s="34">
        <v>52302</v>
      </c>
      <c r="AA12" s="35">
        <f t="shared" si="0"/>
        <v>1427019</v>
      </c>
      <c r="AB12" s="19">
        <v>20</v>
      </c>
      <c r="AC12" s="100">
        <f>+AA12*AB12+AA13*AB13+AA14*AB14</f>
        <v>43369723</v>
      </c>
    </row>
    <row r="13" spans="1:30" ht="15.75" thickBot="1" x14ac:dyDescent="0.3">
      <c r="A13" s="99"/>
      <c r="B13" s="20" t="s">
        <v>4</v>
      </c>
      <c r="C13" s="36">
        <v>48327</v>
      </c>
      <c r="D13" s="36">
        <v>45400</v>
      </c>
      <c r="E13" s="36">
        <v>43844</v>
      </c>
      <c r="F13" s="36">
        <v>42955</v>
      </c>
      <c r="G13" s="36">
        <v>43008</v>
      </c>
      <c r="H13" s="36">
        <v>44641</v>
      </c>
      <c r="I13" s="36">
        <v>46066</v>
      </c>
      <c r="J13" s="36">
        <v>51137</v>
      </c>
      <c r="K13" s="36">
        <v>56651</v>
      </c>
      <c r="L13" s="36">
        <v>60647</v>
      </c>
      <c r="M13" s="36">
        <v>63821</v>
      </c>
      <c r="N13" s="36">
        <v>66467</v>
      </c>
      <c r="O13" s="36">
        <v>66414</v>
      </c>
      <c r="P13" s="36">
        <v>65471</v>
      </c>
      <c r="Q13" s="36">
        <v>64765</v>
      </c>
      <c r="R13" s="36">
        <v>64234</v>
      </c>
      <c r="S13" s="36">
        <v>63545</v>
      </c>
      <c r="T13" s="36">
        <v>63592</v>
      </c>
      <c r="U13" s="36">
        <v>69345</v>
      </c>
      <c r="V13" s="36">
        <v>73716</v>
      </c>
      <c r="W13" s="36">
        <v>70859</v>
      </c>
      <c r="X13" s="36">
        <v>66772</v>
      </c>
      <c r="Y13" s="36">
        <v>60693</v>
      </c>
      <c r="Z13" s="37">
        <v>54551</v>
      </c>
      <c r="AA13" s="38">
        <f t="shared" si="0"/>
        <v>1396921</v>
      </c>
      <c r="AB13" s="21">
        <v>4</v>
      </c>
      <c r="AC13" s="101"/>
      <c r="AD13" s="47"/>
    </row>
    <row r="14" spans="1:30" x14ac:dyDescent="0.25">
      <c r="A14" s="99"/>
      <c r="B14" s="22" t="s">
        <v>3</v>
      </c>
      <c r="C14" s="39">
        <v>49805</v>
      </c>
      <c r="D14" s="39">
        <v>46584</v>
      </c>
      <c r="E14" s="39">
        <v>44689</v>
      </c>
      <c r="F14" s="39">
        <v>43405</v>
      </c>
      <c r="G14" s="39">
        <v>42871</v>
      </c>
      <c r="H14" s="39">
        <v>43504</v>
      </c>
      <c r="I14" s="39">
        <v>43345</v>
      </c>
      <c r="J14" s="39">
        <v>46566</v>
      </c>
      <c r="K14" s="39">
        <v>50954</v>
      </c>
      <c r="L14" s="39">
        <v>54491</v>
      </c>
      <c r="M14" s="39">
        <v>56957</v>
      </c>
      <c r="N14" s="39">
        <v>59760</v>
      </c>
      <c r="O14" s="39">
        <v>61430</v>
      </c>
      <c r="P14" s="39">
        <v>60963</v>
      </c>
      <c r="Q14" s="39">
        <v>59682</v>
      </c>
      <c r="R14" s="39">
        <v>59110</v>
      </c>
      <c r="S14" s="39">
        <v>58739</v>
      </c>
      <c r="T14" s="39">
        <v>59198</v>
      </c>
      <c r="U14" s="39">
        <v>65409</v>
      </c>
      <c r="V14" s="39">
        <v>70559</v>
      </c>
      <c r="W14" s="39">
        <v>68574</v>
      </c>
      <c r="X14" s="39">
        <v>64463</v>
      </c>
      <c r="Y14" s="39">
        <v>57776</v>
      </c>
      <c r="Z14" s="40">
        <v>51403</v>
      </c>
      <c r="AA14" s="41">
        <f t="shared" si="0"/>
        <v>1320237</v>
      </c>
      <c r="AB14" s="23">
        <v>7</v>
      </c>
      <c r="AC14" s="102"/>
      <c r="AD14" s="45"/>
    </row>
    <row r="15" spans="1:30" ht="15.75" thickBot="1" x14ac:dyDescent="0.3">
      <c r="A15" s="99">
        <v>48305</v>
      </c>
      <c r="B15" s="18" t="s">
        <v>5</v>
      </c>
      <c r="C15" s="33">
        <v>45771</v>
      </c>
      <c r="D15" s="33">
        <v>43345</v>
      </c>
      <c r="E15" s="33">
        <v>41885</v>
      </c>
      <c r="F15" s="33">
        <v>41207</v>
      </c>
      <c r="G15" s="33">
        <v>42065</v>
      </c>
      <c r="H15" s="33">
        <v>45202</v>
      </c>
      <c r="I15" s="33">
        <v>47512</v>
      </c>
      <c r="J15" s="33">
        <v>51698</v>
      </c>
      <c r="K15" s="33">
        <v>56070</v>
      </c>
      <c r="L15" s="33">
        <v>59495</v>
      </c>
      <c r="M15" s="33">
        <v>63110</v>
      </c>
      <c r="N15" s="33">
        <v>66386</v>
      </c>
      <c r="O15" s="33">
        <v>65216</v>
      </c>
      <c r="P15" s="33">
        <v>65515</v>
      </c>
      <c r="Q15" s="33">
        <v>66812</v>
      </c>
      <c r="R15" s="33">
        <v>66945</v>
      </c>
      <c r="S15" s="33">
        <v>66271</v>
      </c>
      <c r="T15" s="33">
        <v>65291</v>
      </c>
      <c r="U15" s="33">
        <v>70991</v>
      </c>
      <c r="V15" s="33">
        <v>74381</v>
      </c>
      <c r="W15" s="33">
        <v>71763</v>
      </c>
      <c r="X15" s="33">
        <v>66517</v>
      </c>
      <c r="Y15" s="33">
        <v>58576</v>
      </c>
      <c r="Z15" s="34">
        <v>50981</v>
      </c>
      <c r="AA15" s="35">
        <f t="shared" si="0"/>
        <v>1393005</v>
      </c>
      <c r="AB15" s="19">
        <v>22</v>
      </c>
      <c r="AC15" s="100">
        <f>+AA15*AB15+AA16*AB16+AA17*AB17</f>
        <v>41303354</v>
      </c>
    </row>
    <row r="16" spans="1:30" ht="15.75" thickBot="1" x14ac:dyDescent="0.3">
      <c r="A16" s="99"/>
      <c r="B16" s="20" t="s">
        <v>4</v>
      </c>
      <c r="C16" s="36">
        <v>46747</v>
      </c>
      <c r="D16" s="36">
        <v>43977</v>
      </c>
      <c r="E16" s="36">
        <v>42197</v>
      </c>
      <c r="F16" s="36">
        <v>41146</v>
      </c>
      <c r="G16" s="36">
        <v>41339</v>
      </c>
      <c r="H16" s="36">
        <v>42526</v>
      </c>
      <c r="I16" s="36">
        <v>44020</v>
      </c>
      <c r="J16" s="36">
        <v>49314</v>
      </c>
      <c r="K16" s="36">
        <v>54743</v>
      </c>
      <c r="L16" s="36">
        <v>58863</v>
      </c>
      <c r="M16" s="36">
        <v>61840</v>
      </c>
      <c r="N16" s="36">
        <v>65218</v>
      </c>
      <c r="O16" s="36">
        <v>65425</v>
      </c>
      <c r="P16" s="36">
        <v>64638</v>
      </c>
      <c r="Q16" s="36">
        <v>63922</v>
      </c>
      <c r="R16" s="36">
        <v>63429</v>
      </c>
      <c r="S16" s="36">
        <v>63249</v>
      </c>
      <c r="T16" s="36">
        <v>63553</v>
      </c>
      <c r="U16" s="36">
        <v>70036</v>
      </c>
      <c r="V16" s="36">
        <v>73621</v>
      </c>
      <c r="W16" s="36">
        <v>70607</v>
      </c>
      <c r="X16" s="36">
        <v>66234</v>
      </c>
      <c r="Y16" s="36">
        <v>60076</v>
      </c>
      <c r="Z16" s="37">
        <v>53792</v>
      </c>
      <c r="AA16" s="38">
        <f t="shared" si="0"/>
        <v>1370512</v>
      </c>
      <c r="AB16" s="21">
        <v>4</v>
      </c>
      <c r="AC16" s="101"/>
      <c r="AD16" s="47"/>
    </row>
    <row r="17" spans="1:30" x14ac:dyDescent="0.25">
      <c r="A17" s="99"/>
      <c r="B17" s="22" t="s">
        <v>3</v>
      </c>
      <c r="C17" s="39">
        <v>48715</v>
      </c>
      <c r="D17" s="39">
        <v>45608</v>
      </c>
      <c r="E17" s="39">
        <v>43597</v>
      </c>
      <c r="F17" s="39">
        <v>42231</v>
      </c>
      <c r="G17" s="39">
        <v>41700</v>
      </c>
      <c r="H17" s="39">
        <v>41630</v>
      </c>
      <c r="I17" s="39">
        <v>41954</v>
      </c>
      <c r="J17" s="39">
        <v>45589</v>
      </c>
      <c r="K17" s="39">
        <v>49842</v>
      </c>
      <c r="L17" s="39">
        <v>53574</v>
      </c>
      <c r="M17" s="39">
        <v>56230</v>
      </c>
      <c r="N17" s="39">
        <v>58938</v>
      </c>
      <c r="O17" s="39">
        <v>60512</v>
      </c>
      <c r="P17" s="39">
        <v>60078</v>
      </c>
      <c r="Q17" s="39">
        <v>58718</v>
      </c>
      <c r="R17" s="39">
        <v>58077</v>
      </c>
      <c r="S17" s="39">
        <v>57709</v>
      </c>
      <c r="T17" s="39">
        <v>58232</v>
      </c>
      <c r="U17" s="39">
        <v>65154</v>
      </c>
      <c r="V17" s="39">
        <v>69298</v>
      </c>
      <c r="W17" s="39">
        <v>67128</v>
      </c>
      <c r="X17" s="39">
        <v>62898</v>
      </c>
      <c r="Y17" s="39">
        <v>56421</v>
      </c>
      <c r="Z17" s="40">
        <v>49966</v>
      </c>
      <c r="AA17" s="41">
        <f t="shared" si="0"/>
        <v>1293799</v>
      </c>
      <c r="AB17" s="23">
        <v>4</v>
      </c>
      <c r="AC17" s="102"/>
      <c r="AD17" s="48"/>
    </row>
    <row r="18" spans="1:30" ht="15.75" thickBot="1" x14ac:dyDescent="0.3">
      <c r="A18" s="99">
        <v>48335</v>
      </c>
      <c r="B18" s="18" t="s">
        <v>5</v>
      </c>
      <c r="C18" s="33">
        <v>45838</v>
      </c>
      <c r="D18" s="33">
        <v>43330</v>
      </c>
      <c r="E18" s="33">
        <v>41933</v>
      </c>
      <c r="F18" s="33">
        <v>41233</v>
      </c>
      <c r="G18" s="33">
        <v>42060</v>
      </c>
      <c r="H18" s="33">
        <v>44750</v>
      </c>
      <c r="I18" s="33">
        <v>47563</v>
      </c>
      <c r="J18" s="33">
        <v>51958</v>
      </c>
      <c r="K18" s="33">
        <v>56450</v>
      </c>
      <c r="L18" s="33">
        <v>59978</v>
      </c>
      <c r="M18" s="33">
        <v>63525</v>
      </c>
      <c r="N18" s="33">
        <v>66893</v>
      </c>
      <c r="O18" s="33">
        <v>65875</v>
      </c>
      <c r="P18" s="33">
        <v>65862</v>
      </c>
      <c r="Q18" s="33">
        <v>66878</v>
      </c>
      <c r="R18" s="33">
        <v>66997</v>
      </c>
      <c r="S18" s="33">
        <v>66312</v>
      </c>
      <c r="T18" s="33">
        <v>65512</v>
      </c>
      <c r="U18" s="33">
        <v>71463</v>
      </c>
      <c r="V18" s="33">
        <v>74836</v>
      </c>
      <c r="W18" s="33">
        <v>71910</v>
      </c>
      <c r="X18" s="33">
        <v>66648</v>
      </c>
      <c r="Y18" s="33">
        <v>58581</v>
      </c>
      <c r="Z18" s="34">
        <v>51109</v>
      </c>
      <c r="AA18" s="35">
        <f t="shared" si="0"/>
        <v>1397494</v>
      </c>
      <c r="AB18" s="19">
        <v>19</v>
      </c>
      <c r="AC18" s="100">
        <f>+AA18*AB18+AA19*AB19+AA20*AB20</f>
        <v>42612242</v>
      </c>
    </row>
    <row r="19" spans="1:30" ht="15.75" thickBot="1" x14ac:dyDescent="0.3">
      <c r="A19" s="99"/>
      <c r="B19" s="20" t="s">
        <v>4</v>
      </c>
      <c r="C19" s="36">
        <v>47536</v>
      </c>
      <c r="D19" s="36">
        <v>44787</v>
      </c>
      <c r="E19" s="36">
        <v>43127</v>
      </c>
      <c r="F19" s="36">
        <v>42148</v>
      </c>
      <c r="G19" s="36">
        <v>42318</v>
      </c>
      <c r="H19" s="36">
        <v>43010</v>
      </c>
      <c r="I19" s="36">
        <v>45264</v>
      </c>
      <c r="J19" s="36">
        <v>50586</v>
      </c>
      <c r="K19" s="36">
        <v>56139</v>
      </c>
      <c r="L19" s="36">
        <v>60430</v>
      </c>
      <c r="M19" s="36">
        <v>63371</v>
      </c>
      <c r="N19" s="36">
        <v>66054</v>
      </c>
      <c r="O19" s="36">
        <v>66063</v>
      </c>
      <c r="P19" s="36">
        <v>65012</v>
      </c>
      <c r="Q19" s="36">
        <v>63941</v>
      </c>
      <c r="R19" s="36">
        <v>63295</v>
      </c>
      <c r="S19" s="36">
        <v>62826</v>
      </c>
      <c r="T19" s="36">
        <v>63405</v>
      </c>
      <c r="U19" s="36">
        <v>70452</v>
      </c>
      <c r="V19" s="36">
        <v>73309</v>
      </c>
      <c r="W19" s="36">
        <v>70403</v>
      </c>
      <c r="X19" s="36">
        <v>65949</v>
      </c>
      <c r="Y19" s="36">
        <v>59753</v>
      </c>
      <c r="Z19" s="37">
        <v>53576</v>
      </c>
      <c r="AA19" s="38">
        <f t="shared" si="0"/>
        <v>1382754</v>
      </c>
      <c r="AB19" s="21">
        <v>4</v>
      </c>
      <c r="AC19" s="101"/>
      <c r="AD19" s="47"/>
    </row>
    <row r="20" spans="1:30" x14ac:dyDescent="0.25">
      <c r="A20" s="99"/>
      <c r="B20" s="22" t="s">
        <v>3</v>
      </c>
      <c r="C20" s="39">
        <v>48367</v>
      </c>
      <c r="D20" s="39">
        <v>45361</v>
      </c>
      <c r="E20" s="39">
        <v>43495</v>
      </c>
      <c r="F20" s="39">
        <v>42254</v>
      </c>
      <c r="G20" s="39">
        <v>41873</v>
      </c>
      <c r="H20" s="39">
        <v>41399</v>
      </c>
      <c r="I20" s="39">
        <v>42250</v>
      </c>
      <c r="J20" s="39">
        <v>46298</v>
      </c>
      <c r="K20" s="39">
        <v>50801</v>
      </c>
      <c r="L20" s="39">
        <v>54800</v>
      </c>
      <c r="M20" s="39">
        <v>57534</v>
      </c>
      <c r="N20" s="39">
        <v>60389</v>
      </c>
      <c r="O20" s="39">
        <v>61643</v>
      </c>
      <c r="P20" s="39">
        <v>61391</v>
      </c>
      <c r="Q20" s="39">
        <v>59903</v>
      </c>
      <c r="R20" s="39">
        <v>61575</v>
      </c>
      <c r="S20" s="39">
        <v>58855</v>
      </c>
      <c r="T20" s="39">
        <v>59504</v>
      </c>
      <c r="U20" s="39">
        <v>66659</v>
      </c>
      <c r="V20" s="39">
        <v>70816</v>
      </c>
      <c r="W20" s="39">
        <v>68582</v>
      </c>
      <c r="X20" s="39">
        <v>64087</v>
      </c>
      <c r="Y20" s="39">
        <v>57427</v>
      </c>
      <c r="Z20" s="40">
        <v>50842</v>
      </c>
      <c r="AA20" s="41">
        <f t="shared" si="0"/>
        <v>1316105</v>
      </c>
      <c r="AB20" s="23">
        <v>8</v>
      </c>
      <c r="AC20" s="102"/>
      <c r="AD20" s="48"/>
    </row>
    <row r="21" spans="1:30" ht="15.75" thickBot="1" x14ac:dyDescent="0.3">
      <c r="A21" s="99">
        <v>48366</v>
      </c>
      <c r="B21" s="18" t="s">
        <v>5</v>
      </c>
      <c r="C21" s="33">
        <v>45298</v>
      </c>
      <c r="D21" s="33">
        <v>42736</v>
      </c>
      <c r="E21" s="33">
        <v>41455</v>
      </c>
      <c r="F21" s="33">
        <v>40768</v>
      </c>
      <c r="G21" s="33">
        <v>41527</v>
      </c>
      <c r="H21" s="33">
        <v>43837</v>
      </c>
      <c r="I21" s="33">
        <v>46884</v>
      </c>
      <c r="J21" s="33">
        <v>51521</v>
      </c>
      <c r="K21" s="33">
        <v>56207</v>
      </c>
      <c r="L21" s="33">
        <v>59701</v>
      </c>
      <c r="M21" s="33">
        <v>63352</v>
      </c>
      <c r="N21" s="33">
        <v>66761</v>
      </c>
      <c r="O21" s="33">
        <v>65661</v>
      </c>
      <c r="P21" s="33">
        <v>65587</v>
      </c>
      <c r="Q21" s="33">
        <v>66841</v>
      </c>
      <c r="R21" s="33">
        <v>66911</v>
      </c>
      <c r="S21" s="33">
        <v>66229</v>
      </c>
      <c r="T21" s="33">
        <v>65203</v>
      </c>
      <c r="U21" s="33">
        <v>69948</v>
      </c>
      <c r="V21" s="33">
        <v>74377</v>
      </c>
      <c r="W21" s="33">
        <v>71602</v>
      </c>
      <c r="X21" s="33">
        <v>66387</v>
      </c>
      <c r="Y21" s="33">
        <v>58203</v>
      </c>
      <c r="Z21" s="34">
        <v>50616</v>
      </c>
      <c r="AA21" s="35">
        <f t="shared" si="0"/>
        <v>1387612</v>
      </c>
      <c r="AB21" s="19">
        <v>21</v>
      </c>
      <c r="AC21" s="100">
        <f>+AA21*AB21+AA22*AB22+AA23*AB23</f>
        <v>41413935</v>
      </c>
    </row>
    <row r="22" spans="1:30" ht="15.75" thickBot="1" x14ac:dyDescent="0.3">
      <c r="A22" s="99"/>
      <c r="B22" s="20" t="s">
        <v>4</v>
      </c>
      <c r="C22" s="36">
        <v>47488</v>
      </c>
      <c r="D22" s="36">
        <v>44531</v>
      </c>
      <c r="E22" s="36">
        <v>42837</v>
      </c>
      <c r="F22" s="36">
        <v>41880</v>
      </c>
      <c r="G22" s="36">
        <v>41964</v>
      </c>
      <c r="H22" s="36">
        <v>42645</v>
      </c>
      <c r="I22" s="36">
        <v>44872</v>
      </c>
      <c r="J22" s="36">
        <v>50135</v>
      </c>
      <c r="K22" s="36">
        <v>56075</v>
      </c>
      <c r="L22" s="36">
        <v>60151</v>
      </c>
      <c r="M22" s="36">
        <v>63335</v>
      </c>
      <c r="N22" s="36">
        <v>66094</v>
      </c>
      <c r="O22" s="36">
        <v>66275</v>
      </c>
      <c r="P22" s="36">
        <v>65597</v>
      </c>
      <c r="Q22" s="36">
        <v>64897</v>
      </c>
      <c r="R22" s="36">
        <v>64776</v>
      </c>
      <c r="S22" s="36">
        <v>64292</v>
      </c>
      <c r="T22" s="36">
        <v>64774</v>
      </c>
      <c r="U22" s="36">
        <v>70821</v>
      </c>
      <c r="V22" s="36">
        <v>74702</v>
      </c>
      <c r="W22" s="36">
        <v>71638</v>
      </c>
      <c r="X22" s="36">
        <v>67264</v>
      </c>
      <c r="Y22" s="36">
        <v>60787</v>
      </c>
      <c r="Z22" s="37">
        <v>54197</v>
      </c>
      <c r="AA22" s="38">
        <f t="shared" si="0"/>
        <v>1392027</v>
      </c>
      <c r="AB22" s="21">
        <v>4</v>
      </c>
      <c r="AC22" s="101"/>
      <c r="AD22" s="47"/>
    </row>
    <row r="23" spans="1:30" x14ac:dyDescent="0.25">
      <c r="A23" s="99"/>
      <c r="B23" s="22" t="s">
        <v>3</v>
      </c>
      <c r="C23" s="39">
        <v>49421</v>
      </c>
      <c r="D23" s="39">
        <v>46272</v>
      </c>
      <c r="E23" s="39">
        <v>44442</v>
      </c>
      <c r="F23" s="39">
        <v>43195</v>
      </c>
      <c r="G23" s="39">
        <v>42900</v>
      </c>
      <c r="H23" s="39">
        <v>42851</v>
      </c>
      <c r="I23" s="39">
        <v>43421</v>
      </c>
      <c r="J23" s="39">
        <v>47640</v>
      </c>
      <c r="K23" s="39">
        <v>52330</v>
      </c>
      <c r="L23" s="39">
        <v>55951</v>
      </c>
      <c r="M23" s="39">
        <v>58929</v>
      </c>
      <c r="N23" s="39">
        <v>61809</v>
      </c>
      <c r="O23" s="39">
        <v>62837</v>
      </c>
      <c r="P23" s="39">
        <v>62402</v>
      </c>
      <c r="Q23" s="39">
        <v>61195</v>
      </c>
      <c r="R23" s="39">
        <v>60626</v>
      </c>
      <c r="S23" s="39">
        <v>60316</v>
      </c>
      <c r="T23" s="39">
        <v>60810</v>
      </c>
      <c r="U23" s="39">
        <v>66943</v>
      </c>
      <c r="V23" s="39">
        <v>71866</v>
      </c>
      <c r="W23" s="39">
        <v>69748</v>
      </c>
      <c r="X23" s="39">
        <v>65196</v>
      </c>
      <c r="Y23" s="39">
        <v>58357</v>
      </c>
      <c r="Z23" s="40">
        <v>51738</v>
      </c>
      <c r="AA23" s="41">
        <f t="shared" si="0"/>
        <v>1341195</v>
      </c>
      <c r="AB23" s="23">
        <v>5</v>
      </c>
      <c r="AC23" s="102"/>
      <c r="AD23" s="48"/>
    </row>
    <row r="24" spans="1:30" ht="15.75" thickBot="1" x14ac:dyDescent="0.3">
      <c r="A24" s="99">
        <v>48396</v>
      </c>
      <c r="B24" s="18" t="s">
        <v>5</v>
      </c>
      <c r="C24" s="33">
        <v>47427</v>
      </c>
      <c r="D24" s="33">
        <v>44729</v>
      </c>
      <c r="E24" s="33">
        <v>43172</v>
      </c>
      <c r="F24" s="33">
        <v>42325</v>
      </c>
      <c r="G24" s="33">
        <v>43047</v>
      </c>
      <c r="H24" s="33">
        <v>45346</v>
      </c>
      <c r="I24" s="33">
        <v>47820</v>
      </c>
      <c r="J24" s="33">
        <v>52998</v>
      </c>
      <c r="K24" s="33">
        <v>58029</v>
      </c>
      <c r="L24" s="33">
        <v>61973</v>
      </c>
      <c r="M24" s="33">
        <v>65791</v>
      </c>
      <c r="N24" s="33">
        <v>69177</v>
      </c>
      <c r="O24" s="33">
        <v>67979</v>
      </c>
      <c r="P24" s="33">
        <v>68125</v>
      </c>
      <c r="Q24" s="33">
        <v>69375</v>
      </c>
      <c r="R24" s="33">
        <v>69514</v>
      </c>
      <c r="S24" s="33">
        <v>68530</v>
      </c>
      <c r="T24" s="33">
        <v>66817</v>
      </c>
      <c r="U24" s="33">
        <v>70738</v>
      </c>
      <c r="V24" s="33">
        <v>76001</v>
      </c>
      <c r="W24" s="33">
        <v>73542</v>
      </c>
      <c r="X24" s="33">
        <v>68586</v>
      </c>
      <c r="Y24" s="33">
        <v>60409</v>
      </c>
      <c r="Z24" s="34">
        <v>52883</v>
      </c>
      <c r="AA24" s="35">
        <f t="shared" si="0"/>
        <v>1434333</v>
      </c>
      <c r="AB24" s="19">
        <v>20</v>
      </c>
      <c r="AC24" s="100">
        <f>+AA24*AB24+AA25*AB25+AA26*AB26</f>
        <v>43754659</v>
      </c>
    </row>
    <row r="25" spans="1:30" ht="15.75" thickBot="1" x14ac:dyDescent="0.3">
      <c r="A25" s="99"/>
      <c r="B25" s="20" t="s">
        <v>4</v>
      </c>
      <c r="C25" s="36">
        <v>47533</v>
      </c>
      <c r="D25" s="36">
        <v>44435</v>
      </c>
      <c r="E25" s="36">
        <v>42858</v>
      </c>
      <c r="F25" s="36">
        <v>41802</v>
      </c>
      <c r="G25" s="36">
        <v>41904</v>
      </c>
      <c r="H25" s="36">
        <v>42784</v>
      </c>
      <c r="I25" s="36">
        <v>44912</v>
      </c>
      <c r="J25" s="36">
        <v>51180</v>
      </c>
      <c r="K25" s="36">
        <v>57148</v>
      </c>
      <c r="L25" s="36">
        <v>61233</v>
      </c>
      <c r="M25" s="36">
        <v>64444</v>
      </c>
      <c r="N25" s="36">
        <v>67159</v>
      </c>
      <c r="O25" s="36">
        <v>67034</v>
      </c>
      <c r="P25" s="36">
        <v>65984</v>
      </c>
      <c r="Q25" s="36">
        <v>65029</v>
      </c>
      <c r="R25" s="36">
        <v>64533</v>
      </c>
      <c r="S25" s="36">
        <v>63961</v>
      </c>
      <c r="T25" s="36">
        <v>64152</v>
      </c>
      <c r="U25" s="36">
        <v>68944</v>
      </c>
      <c r="V25" s="36">
        <v>74011</v>
      </c>
      <c r="W25" s="36">
        <v>71184</v>
      </c>
      <c r="X25" s="36">
        <v>67140</v>
      </c>
      <c r="Y25" s="36">
        <v>60807</v>
      </c>
      <c r="Z25" s="37">
        <v>54540</v>
      </c>
      <c r="AA25" s="38">
        <f t="shared" si="0"/>
        <v>1394711</v>
      </c>
      <c r="AB25" s="21">
        <v>5</v>
      </c>
      <c r="AC25" s="101"/>
      <c r="AD25" s="47"/>
    </row>
    <row r="26" spans="1:30" x14ac:dyDescent="0.25">
      <c r="A26" s="99"/>
      <c r="B26" s="22" t="s">
        <v>3</v>
      </c>
      <c r="C26" s="39">
        <v>50443</v>
      </c>
      <c r="D26" s="39">
        <v>47345</v>
      </c>
      <c r="E26" s="39">
        <v>45300</v>
      </c>
      <c r="F26" s="39">
        <v>43964</v>
      </c>
      <c r="G26" s="39">
        <v>43548</v>
      </c>
      <c r="H26" s="39">
        <v>43562</v>
      </c>
      <c r="I26" s="39">
        <v>43847</v>
      </c>
      <c r="J26" s="39">
        <v>47833</v>
      </c>
      <c r="K26" s="39">
        <v>52615</v>
      </c>
      <c r="L26" s="39">
        <v>56582</v>
      </c>
      <c r="M26" s="39">
        <v>59468</v>
      </c>
      <c r="N26" s="39">
        <v>62145</v>
      </c>
      <c r="O26" s="39">
        <v>63472</v>
      </c>
      <c r="P26" s="39">
        <v>62775</v>
      </c>
      <c r="Q26" s="39">
        <v>61387</v>
      </c>
      <c r="R26" s="39">
        <v>60651</v>
      </c>
      <c r="S26" s="39">
        <v>60081</v>
      </c>
      <c r="T26" s="39">
        <v>60343</v>
      </c>
      <c r="U26" s="39">
        <v>65423</v>
      </c>
      <c r="V26" s="39">
        <v>71670</v>
      </c>
      <c r="W26" s="39">
        <v>69844</v>
      </c>
      <c r="X26" s="39">
        <v>65640</v>
      </c>
      <c r="Y26" s="39">
        <v>58808</v>
      </c>
      <c r="Z26" s="40">
        <v>52328</v>
      </c>
      <c r="AA26" s="41">
        <f t="shared" si="0"/>
        <v>1349074</v>
      </c>
      <c r="AB26" s="23">
        <v>6</v>
      </c>
      <c r="AC26" s="102"/>
      <c r="AD26" s="48"/>
    </row>
    <row r="27" spans="1:30" ht="15.75" thickBot="1" x14ac:dyDescent="0.3">
      <c r="A27" s="99">
        <v>48427</v>
      </c>
      <c r="B27" s="18" t="s">
        <v>5</v>
      </c>
      <c r="C27" s="33">
        <v>47985</v>
      </c>
      <c r="D27" s="33">
        <v>45428</v>
      </c>
      <c r="E27" s="33">
        <v>44017</v>
      </c>
      <c r="F27" s="33">
        <v>43180</v>
      </c>
      <c r="G27" s="33">
        <v>43937</v>
      </c>
      <c r="H27" s="33">
        <v>46983</v>
      </c>
      <c r="I27" s="33">
        <v>49697</v>
      </c>
      <c r="J27" s="33">
        <v>54307</v>
      </c>
      <c r="K27" s="33">
        <v>59129</v>
      </c>
      <c r="L27" s="33">
        <v>62822</v>
      </c>
      <c r="M27" s="33">
        <v>66734</v>
      </c>
      <c r="N27" s="33">
        <v>70163</v>
      </c>
      <c r="O27" s="33">
        <v>68956</v>
      </c>
      <c r="P27" s="33">
        <v>69502</v>
      </c>
      <c r="Q27" s="33">
        <v>70913</v>
      </c>
      <c r="R27" s="33">
        <v>71025</v>
      </c>
      <c r="S27" s="33">
        <v>70003</v>
      </c>
      <c r="T27" s="33">
        <v>68232</v>
      </c>
      <c r="U27" s="33">
        <v>73008</v>
      </c>
      <c r="V27" s="33">
        <v>77430</v>
      </c>
      <c r="W27" s="33">
        <v>74727</v>
      </c>
      <c r="X27" s="33">
        <v>69503</v>
      </c>
      <c r="Y27" s="33">
        <v>61223</v>
      </c>
      <c r="Z27" s="34">
        <v>53749</v>
      </c>
      <c r="AA27" s="35">
        <f t="shared" si="0"/>
        <v>1462653</v>
      </c>
      <c r="AB27" s="19">
        <v>21</v>
      </c>
      <c r="AC27" s="100">
        <f>+AA27*AB27+AA28*AB28+AA29*AB29</f>
        <v>44528869</v>
      </c>
    </row>
    <row r="28" spans="1:30" ht="15.75" thickBot="1" x14ac:dyDescent="0.3">
      <c r="A28" s="99"/>
      <c r="B28" s="20" t="s">
        <v>4</v>
      </c>
      <c r="C28" s="36">
        <v>49947</v>
      </c>
      <c r="D28" s="36">
        <v>47173</v>
      </c>
      <c r="E28" s="36">
        <v>45438</v>
      </c>
      <c r="F28" s="36">
        <v>44139</v>
      </c>
      <c r="G28" s="36">
        <v>44042</v>
      </c>
      <c r="H28" s="36">
        <v>45265</v>
      </c>
      <c r="I28" s="36">
        <v>46716</v>
      </c>
      <c r="J28" s="36">
        <v>52628</v>
      </c>
      <c r="K28" s="36">
        <v>58608</v>
      </c>
      <c r="L28" s="36">
        <v>62706</v>
      </c>
      <c r="M28" s="36">
        <v>66297</v>
      </c>
      <c r="N28" s="36">
        <v>69015</v>
      </c>
      <c r="O28" s="36">
        <v>69035</v>
      </c>
      <c r="P28" s="36">
        <v>68293</v>
      </c>
      <c r="Q28" s="36">
        <v>67579</v>
      </c>
      <c r="R28" s="36">
        <v>67167</v>
      </c>
      <c r="S28" s="36">
        <v>66267</v>
      </c>
      <c r="T28" s="36">
        <v>66143</v>
      </c>
      <c r="U28" s="36">
        <v>72056</v>
      </c>
      <c r="V28" s="36">
        <v>75960</v>
      </c>
      <c r="W28" s="36">
        <v>73085</v>
      </c>
      <c r="X28" s="36">
        <v>68911</v>
      </c>
      <c r="Y28" s="36">
        <v>62831</v>
      </c>
      <c r="Z28" s="37">
        <v>56290</v>
      </c>
      <c r="AA28" s="38">
        <f t="shared" si="0"/>
        <v>1445591</v>
      </c>
      <c r="AB28" s="21">
        <v>3</v>
      </c>
      <c r="AC28" s="101"/>
      <c r="AD28" s="47"/>
    </row>
    <row r="29" spans="1:30" x14ac:dyDescent="0.25">
      <c r="A29" s="99"/>
      <c r="B29" s="22" t="s">
        <v>3</v>
      </c>
      <c r="C29" s="39">
        <v>50880</v>
      </c>
      <c r="D29" s="39">
        <v>47724</v>
      </c>
      <c r="E29" s="39">
        <v>45644</v>
      </c>
      <c r="F29" s="39">
        <v>44320</v>
      </c>
      <c r="G29" s="39">
        <v>43889</v>
      </c>
      <c r="H29" s="39">
        <v>44035</v>
      </c>
      <c r="I29" s="39">
        <v>44028</v>
      </c>
      <c r="J29" s="39">
        <v>48176</v>
      </c>
      <c r="K29" s="39">
        <v>52860</v>
      </c>
      <c r="L29" s="39">
        <v>56722</v>
      </c>
      <c r="M29" s="39">
        <v>59456</v>
      </c>
      <c r="N29" s="39">
        <v>62290</v>
      </c>
      <c r="O29" s="39">
        <v>63753</v>
      </c>
      <c r="P29" s="39">
        <v>63181</v>
      </c>
      <c r="Q29" s="39">
        <v>61631</v>
      </c>
      <c r="R29" s="39">
        <v>60592</v>
      </c>
      <c r="S29" s="39">
        <v>60199</v>
      </c>
      <c r="T29" s="39">
        <v>60367</v>
      </c>
      <c r="U29" s="39">
        <v>66500</v>
      </c>
      <c r="V29" s="39">
        <v>71827</v>
      </c>
      <c r="W29" s="39">
        <v>69697</v>
      </c>
      <c r="X29" s="39">
        <v>65322</v>
      </c>
      <c r="Y29" s="39">
        <v>58655</v>
      </c>
      <c r="Z29" s="40">
        <v>52021</v>
      </c>
      <c r="AA29" s="41">
        <f t="shared" si="0"/>
        <v>1353769</v>
      </c>
      <c r="AB29" s="23">
        <v>7</v>
      </c>
      <c r="AC29" s="102"/>
      <c r="AD29" s="49"/>
    </row>
    <row r="30" spans="1:30" ht="15.75" thickBot="1" x14ac:dyDescent="0.3">
      <c r="A30" s="99">
        <v>48458</v>
      </c>
      <c r="B30" s="18" t="s">
        <v>5</v>
      </c>
      <c r="C30" s="33">
        <v>48843</v>
      </c>
      <c r="D30" s="33">
        <v>46153</v>
      </c>
      <c r="E30" s="33">
        <v>44472</v>
      </c>
      <c r="F30" s="33">
        <v>43737</v>
      </c>
      <c r="G30" s="33">
        <v>44447</v>
      </c>
      <c r="H30" s="33">
        <v>47360</v>
      </c>
      <c r="I30" s="33">
        <v>50166</v>
      </c>
      <c r="J30" s="33">
        <v>54923</v>
      </c>
      <c r="K30" s="33">
        <v>59704</v>
      </c>
      <c r="L30" s="33">
        <v>63676</v>
      </c>
      <c r="M30" s="33">
        <v>67621</v>
      </c>
      <c r="N30" s="33">
        <v>71236</v>
      </c>
      <c r="O30" s="33">
        <v>69995</v>
      </c>
      <c r="P30" s="33">
        <v>70502</v>
      </c>
      <c r="Q30" s="33">
        <v>72151</v>
      </c>
      <c r="R30" s="33">
        <v>72562</v>
      </c>
      <c r="S30" s="33">
        <v>71520</v>
      </c>
      <c r="T30" s="33">
        <v>70053</v>
      </c>
      <c r="U30" s="33">
        <v>76608</v>
      </c>
      <c r="V30" s="33">
        <v>78378</v>
      </c>
      <c r="W30" s="33">
        <v>75434</v>
      </c>
      <c r="X30" s="33">
        <v>70116</v>
      </c>
      <c r="Y30" s="33">
        <v>61666</v>
      </c>
      <c r="Z30" s="34">
        <v>54211</v>
      </c>
      <c r="AA30" s="35">
        <f t="shared" si="0"/>
        <v>1485534</v>
      </c>
      <c r="AB30" s="19">
        <v>22</v>
      </c>
      <c r="AC30" s="100">
        <f>+AA30*AB30+AA31*AB31+AA32*AB32</f>
        <v>43867000</v>
      </c>
    </row>
    <row r="31" spans="1:30" ht="15.75" thickBot="1" x14ac:dyDescent="0.3">
      <c r="A31" s="99"/>
      <c r="B31" s="20" t="s">
        <v>4</v>
      </c>
      <c r="C31" s="36">
        <v>50147</v>
      </c>
      <c r="D31" s="36">
        <v>46946</v>
      </c>
      <c r="E31" s="36">
        <v>45214</v>
      </c>
      <c r="F31" s="36">
        <v>44264</v>
      </c>
      <c r="G31" s="36">
        <v>44303</v>
      </c>
      <c r="H31" s="36">
        <v>44713</v>
      </c>
      <c r="I31" s="36">
        <v>46954</v>
      </c>
      <c r="J31" s="36">
        <v>53326</v>
      </c>
      <c r="K31" s="36">
        <v>59400</v>
      </c>
      <c r="L31" s="36">
        <v>63737</v>
      </c>
      <c r="M31" s="36">
        <v>67166</v>
      </c>
      <c r="N31" s="36">
        <v>69913</v>
      </c>
      <c r="O31" s="36">
        <v>69741</v>
      </c>
      <c r="P31" s="36">
        <v>68850</v>
      </c>
      <c r="Q31" s="36">
        <v>68023</v>
      </c>
      <c r="R31" s="36">
        <v>67426</v>
      </c>
      <c r="S31" s="36">
        <v>66846</v>
      </c>
      <c r="T31" s="36">
        <v>67343</v>
      </c>
      <c r="U31" s="36">
        <v>74534</v>
      </c>
      <c r="V31" s="36">
        <v>76141</v>
      </c>
      <c r="W31" s="36">
        <v>72800</v>
      </c>
      <c r="X31" s="36">
        <v>68529</v>
      </c>
      <c r="Y31" s="36">
        <v>62292</v>
      </c>
      <c r="Z31" s="37">
        <v>55920</v>
      </c>
      <c r="AA31" s="38">
        <f t="shared" si="0"/>
        <v>1454528</v>
      </c>
      <c r="AB31" s="21">
        <v>4</v>
      </c>
      <c r="AC31" s="101"/>
      <c r="AD31" s="47"/>
    </row>
    <row r="32" spans="1:30" x14ac:dyDescent="0.25">
      <c r="A32" s="99"/>
      <c r="B32" s="22" t="s">
        <v>3</v>
      </c>
      <c r="C32" s="39">
        <v>51058</v>
      </c>
      <c r="D32" s="39">
        <v>47994</v>
      </c>
      <c r="E32" s="39">
        <v>45981</v>
      </c>
      <c r="F32" s="39">
        <v>44423</v>
      </c>
      <c r="G32" s="39">
        <v>43718</v>
      </c>
      <c r="H32" s="39">
        <v>43183</v>
      </c>
      <c r="I32" s="39">
        <v>43513</v>
      </c>
      <c r="J32" s="39">
        <v>47585</v>
      </c>
      <c r="K32" s="39">
        <v>52176</v>
      </c>
      <c r="L32" s="39">
        <v>55942</v>
      </c>
      <c r="M32" s="39">
        <v>58567</v>
      </c>
      <c r="N32" s="39">
        <v>61073</v>
      </c>
      <c r="O32" s="39">
        <v>62524</v>
      </c>
      <c r="P32" s="39">
        <v>62081</v>
      </c>
      <c r="Q32" s="39">
        <v>60771</v>
      </c>
      <c r="R32" s="39">
        <v>60133</v>
      </c>
      <c r="S32" s="39">
        <v>59721</v>
      </c>
      <c r="T32" s="39">
        <v>60199</v>
      </c>
      <c r="U32" s="39">
        <v>68045</v>
      </c>
      <c r="V32" s="39">
        <v>70718</v>
      </c>
      <c r="W32" s="39">
        <v>68761</v>
      </c>
      <c r="X32" s="39">
        <v>64475</v>
      </c>
      <c r="Y32" s="39">
        <v>57782</v>
      </c>
      <c r="Z32" s="40">
        <v>51362</v>
      </c>
      <c r="AA32" s="41">
        <f t="shared" si="0"/>
        <v>1341785</v>
      </c>
      <c r="AB32" s="23">
        <v>4</v>
      </c>
      <c r="AC32" s="102"/>
      <c r="AD32" s="48"/>
    </row>
    <row r="33" spans="1:30" ht="15.75" thickBot="1" x14ac:dyDescent="0.3">
      <c r="A33" s="99">
        <v>48488</v>
      </c>
      <c r="B33" s="18" t="s">
        <v>5</v>
      </c>
      <c r="C33" s="33">
        <v>46285</v>
      </c>
      <c r="D33" s="33">
        <v>43805</v>
      </c>
      <c r="E33" s="33">
        <v>42426</v>
      </c>
      <c r="F33" s="33">
        <v>41686</v>
      </c>
      <c r="G33" s="33">
        <v>42504</v>
      </c>
      <c r="H33" s="33">
        <v>44851</v>
      </c>
      <c r="I33" s="33">
        <v>47839</v>
      </c>
      <c r="J33" s="33">
        <v>52319</v>
      </c>
      <c r="K33" s="33">
        <v>56817</v>
      </c>
      <c r="L33" s="33">
        <v>60364</v>
      </c>
      <c r="M33" s="33">
        <v>64041</v>
      </c>
      <c r="N33" s="33">
        <v>67448</v>
      </c>
      <c r="O33" s="33">
        <v>66264</v>
      </c>
      <c r="P33" s="33">
        <v>66628</v>
      </c>
      <c r="Q33" s="33">
        <v>68156</v>
      </c>
      <c r="R33" s="33">
        <v>68482</v>
      </c>
      <c r="S33" s="33">
        <v>67725</v>
      </c>
      <c r="T33" s="33">
        <v>67923</v>
      </c>
      <c r="U33" s="33">
        <v>75434</v>
      </c>
      <c r="V33" s="33">
        <v>75049</v>
      </c>
      <c r="W33" s="33">
        <v>71753</v>
      </c>
      <c r="X33" s="33">
        <v>66376</v>
      </c>
      <c r="Y33" s="33">
        <v>58478</v>
      </c>
      <c r="Z33" s="34">
        <v>51454</v>
      </c>
      <c r="AA33" s="35">
        <f t="shared" si="0"/>
        <v>1414107</v>
      </c>
      <c r="AB33" s="19">
        <v>20</v>
      </c>
      <c r="AC33" s="100">
        <f>+AA33*AB33+AA34*AB34+AA35*AB35</f>
        <v>43318954</v>
      </c>
    </row>
    <row r="34" spans="1:30" ht="15.75" thickBot="1" x14ac:dyDescent="0.3">
      <c r="A34" s="99"/>
      <c r="B34" s="20" t="s">
        <v>4</v>
      </c>
      <c r="C34" s="36">
        <v>48726</v>
      </c>
      <c r="D34" s="36">
        <v>45948</v>
      </c>
      <c r="E34" s="36">
        <v>44262</v>
      </c>
      <c r="F34" s="36">
        <v>43143</v>
      </c>
      <c r="G34" s="36">
        <v>43368</v>
      </c>
      <c r="H34" s="36">
        <v>44041</v>
      </c>
      <c r="I34" s="36">
        <v>46530</v>
      </c>
      <c r="J34" s="36">
        <v>52259</v>
      </c>
      <c r="K34" s="36">
        <v>57968</v>
      </c>
      <c r="L34" s="36">
        <v>61934</v>
      </c>
      <c r="M34" s="36">
        <v>65309</v>
      </c>
      <c r="N34" s="36">
        <v>68138</v>
      </c>
      <c r="O34" s="36">
        <v>68250</v>
      </c>
      <c r="P34" s="36">
        <v>67478</v>
      </c>
      <c r="Q34" s="36">
        <v>66658</v>
      </c>
      <c r="R34" s="36">
        <v>66149</v>
      </c>
      <c r="S34" s="36">
        <v>65553</v>
      </c>
      <c r="T34" s="36">
        <v>67619</v>
      </c>
      <c r="U34" s="36">
        <v>76202</v>
      </c>
      <c r="V34" s="36">
        <v>76067</v>
      </c>
      <c r="W34" s="36">
        <v>72845</v>
      </c>
      <c r="X34" s="36">
        <v>67967</v>
      </c>
      <c r="Y34" s="36">
        <v>61953</v>
      </c>
      <c r="Z34" s="37">
        <v>55413</v>
      </c>
      <c r="AA34" s="38">
        <f t="shared" si="0"/>
        <v>1433780</v>
      </c>
      <c r="AB34" s="21">
        <v>5</v>
      </c>
      <c r="AC34" s="101"/>
      <c r="AD34" s="47"/>
    </row>
    <row r="35" spans="1:30" x14ac:dyDescent="0.25">
      <c r="A35" s="99"/>
      <c r="B35" s="22" t="s">
        <v>3</v>
      </c>
      <c r="C35" s="39">
        <v>48891</v>
      </c>
      <c r="D35" s="39">
        <v>45931</v>
      </c>
      <c r="E35" s="39">
        <v>43889</v>
      </c>
      <c r="F35" s="39">
        <v>42462</v>
      </c>
      <c r="G35" s="39">
        <v>42008</v>
      </c>
      <c r="H35" s="39">
        <v>41417</v>
      </c>
      <c r="I35" s="39">
        <v>42209</v>
      </c>
      <c r="J35" s="39">
        <v>46085</v>
      </c>
      <c r="K35" s="39">
        <v>50479</v>
      </c>
      <c r="L35" s="39">
        <v>54339</v>
      </c>
      <c r="M35" s="39">
        <v>57076</v>
      </c>
      <c r="N35" s="39">
        <v>59769</v>
      </c>
      <c r="O35" s="39">
        <v>61279</v>
      </c>
      <c r="P35" s="39">
        <v>60776</v>
      </c>
      <c r="Q35" s="39">
        <v>59622</v>
      </c>
      <c r="R35" s="39">
        <v>59036</v>
      </c>
      <c r="S35" s="39">
        <v>58699</v>
      </c>
      <c r="T35" s="39">
        <v>60509</v>
      </c>
      <c r="U35" s="39">
        <v>69155</v>
      </c>
      <c r="V35" s="39">
        <v>69864</v>
      </c>
      <c r="W35" s="39">
        <v>67623</v>
      </c>
      <c r="X35" s="39">
        <v>63207</v>
      </c>
      <c r="Y35" s="39">
        <v>56650</v>
      </c>
      <c r="Z35" s="40">
        <v>50344</v>
      </c>
      <c r="AA35" s="41">
        <f t="shared" si="0"/>
        <v>1311319</v>
      </c>
      <c r="AB35" s="23">
        <v>6</v>
      </c>
      <c r="AC35" s="102"/>
      <c r="AD35" s="48"/>
    </row>
    <row r="36" spans="1:30" ht="15.75" thickBot="1" x14ac:dyDescent="0.3">
      <c r="A36" s="99">
        <v>48519</v>
      </c>
      <c r="B36" s="18" t="s">
        <v>5</v>
      </c>
      <c r="C36" s="33">
        <v>45431</v>
      </c>
      <c r="D36" s="33">
        <v>42954</v>
      </c>
      <c r="E36" s="33">
        <v>41582</v>
      </c>
      <c r="F36" s="33">
        <v>40938</v>
      </c>
      <c r="G36" s="33">
        <v>41891</v>
      </c>
      <c r="H36" s="33">
        <v>44567</v>
      </c>
      <c r="I36" s="33">
        <v>47747</v>
      </c>
      <c r="J36" s="33">
        <v>52297</v>
      </c>
      <c r="K36" s="33">
        <v>56713</v>
      </c>
      <c r="L36" s="33">
        <v>60129</v>
      </c>
      <c r="M36" s="33">
        <v>63786</v>
      </c>
      <c r="N36" s="33">
        <v>67290</v>
      </c>
      <c r="O36" s="33">
        <v>65916</v>
      </c>
      <c r="P36" s="33">
        <v>65954</v>
      </c>
      <c r="Q36" s="33">
        <v>67446</v>
      </c>
      <c r="R36" s="33">
        <v>67380</v>
      </c>
      <c r="S36" s="33">
        <v>66827</v>
      </c>
      <c r="T36" s="33">
        <v>67738</v>
      </c>
      <c r="U36" s="33">
        <v>75582</v>
      </c>
      <c r="V36" s="33">
        <v>75164</v>
      </c>
      <c r="W36" s="33">
        <v>71822</v>
      </c>
      <c r="X36" s="33">
        <v>66158</v>
      </c>
      <c r="Y36" s="33">
        <v>58026</v>
      </c>
      <c r="Z36" s="34">
        <v>50751</v>
      </c>
      <c r="AA36" s="35">
        <f t="shared" si="0"/>
        <v>1404089</v>
      </c>
      <c r="AB36" s="19">
        <v>20</v>
      </c>
      <c r="AC36" s="100">
        <f>+AA36*AB36+AA37*AB37+AA38*AB38</f>
        <v>41237820</v>
      </c>
    </row>
    <row r="37" spans="1:30" ht="15.75" thickBot="1" x14ac:dyDescent="0.3">
      <c r="A37" s="99"/>
      <c r="B37" s="20" t="s">
        <v>4</v>
      </c>
      <c r="C37" s="36">
        <v>46651</v>
      </c>
      <c r="D37" s="36">
        <v>44020</v>
      </c>
      <c r="E37" s="36">
        <v>42412</v>
      </c>
      <c r="F37" s="36">
        <v>41386</v>
      </c>
      <c r="G37" s="36">
        <v>41566</v>
      </c>
      <c r="H37" s="36">
        <v>42085</v>
      </c>
      <c r="I37" s="36">
        <v>44378</v>
      </c>
      <c r="J37" s="36">
        <v>49655</v>
      </c>
      <c r="K37" s="36">
        <v>55237</v>
      </c>
      <c r="L37" s="36">
        <v>59128</v>
      </c>
      <c r="M37" s="36">
        <v>62239</v>
      </c>
      <c r="N37" s="36">
        <v>65100</v>
      </c>
      <c r="O37" s="36">
        <v>64833</v>
      </c>
      <c r="P37" s="36">
        <v>63626</v>
      </c>
      <c r="Q37" s="36">
        <v>63272</v>
      </c>
      <c r="R37" s="36">
        <v>63070</v>
      </c>
      <c r="S37" s="36">
        <v>62700</v>
      </c>
      <c r="T37" s="36">
        <v>64946</v>
      </c>
      <c r="U37" s="36">
        <v>73678</v>
      </c>
      <c r="V37" s="36">
        <v>73459</v>
      </c>
      <c r="W37" s="36">
        <v>70093</v>
      </c>
      <c r="X37" s="36">
        <v>65790</v>
      </c>
      <c r="Y37" s="36">
        <v>59423</v>
      </c>
      <c r="Z37" s="37">
        <v>53023</v>
      </c>
      <c r="AA37" s="38">
        <f t="shared" si="0"/>
        <v>1371770</v>
      </c>
      <c r="AB37" s="21">
        <v>4</v>
      </c>
      <c r="AC37" s="101"/>
      <c r="AD37" s="47"/>
    </row>
    <row r="38" spans="1:30" x14ac:dyDescent="0.25">
      <c r="A38" s="99"/>
      <c r="B38" s="22" t="s">
        <v>3</v>
      </c>
      <c r="C38" s="39">
        <v>46840</v>
      </c>
      <c r="D38" s="39">
        <v>44021</v>
      </c>
      <c r="E38" s="39">
        <v>42111</v>
      </c>
      <c r="F38" s="39">
        <v>40712</v>
      </c>
      <c r="G38" s="39">
        <v>40524</v>
      </c>
      <c r="H38" s="39">
        <v>40024</v>
      </c>
      <c r="I38" s="39">
        <v>40976</v>
      </c>
      <c r="J38" s="39">
        <v>45013</v>
      </c>
      <c r="K38" s="39">
        <v>49417</v>
      </c>
      <c r="L38" s="39">
        <v>53200</v>
      </c>
      <c r="M38" s="39">
        <v>55951</v>
      </c>
      <c r="N38" s="39">
        <v>58746</v>
      </c>
      <c r="O38" s="39">
        <v>60130</v>
      </c>
      <c r="P38" s="39">
        <v>59583</v>
      </c>
      <c r="Q38" s="39">
        <v>58260</v>
      </c>
      <c r="R38" s="39">
        <v>57323</v>
      </c>
      <c r="S38" s="39">
        <v>57055</v>
      </c>
      <c r="T38" s="39">
        <v>59091</v>
      </c>
      <c r="U38" s="39">
        <v>67893</v>
      </c>
      <c r="V38" s="39">
        <v>68712</v>
      </c>
      <c r="W38" s="39">
        <v>66449</v>
      </c>
      <c r="X38" s="39">
        <v>61965</v>
      </c>
      <c r="Y38" s="39">
        <v>55257</v>
      </c>
      <c r="Z38" s="40">
        <v>48907</v>
      </c>
      <c r="AA38" s="41">
        <f t="shared" si="0"/>
        <v>1278160</v>
      </c>
      <c r="AB38" s="23">
        <v>6</v>
      </c>
      <c r="AC38" s="102"/>
      <c r="AD38" s="49"/>
    </row>
    <row r="39" spans="1:30" ht="15.75" thickBot="1" x14ac:dyDescent="0.3">
      <c r="A39" s="99">
        <v>48549</v>
      </c>
      <c r="B39" s="18" t="s">
        <v>5</v>
      </c>
      <c r="C39" s="33">
        <v>48672</v>
      </c>
      <c r="D39" s="33">
        <v>45728</v>
      </c>
      <c r="E39" s="33">
        <v>44026</v>
      </c>
      <c r="F39" s="33">
        <v>43152</v>
      </c>
      <c r="G39" s="33">
        <v>43754</v>
      </c>
      <c r="H39" s="33">
        <v>45672</v>
      </c>
      <c r="I39" s="33">
        <v>47808</v>
      </c>
      <c r="J39" s="33">
        <v>53433</v>
      </c>
      <c r="K39" s="33">
        <v>58687</v>
      </c>
      <c r="L39" s="33">
        <v>62571</v>
      </c>
      <c r="M39" s="33">
        <v>66113</v>
      </c>
      <c r="N39" s="33">
        <v>69706</v>
      </c>
      <c r="O39" s="33">
        <v>69019</v>
      </c>
      <c r="P39" s="33">
        <v>68964</v>
      </c>
      <c r="Q39" s="33">
        <v>69983</v>
      </c>
      <c r="R39" s="33">
        <v>69895</v>
      </c>
      <c r="S39" s="33">
        <v>68888</v>
      </c>
      <c r="T39" s="33">
        <v>68429</v>
      </c>
      <c r="U39" s="33">
        <v>76061</v>
      </c>
      <c r="V39" s="33">
        <v>77240</v>
      </c>
      <c r="W39" s="33">
        <v>74244</v>
      </c>
      <c r="X39" s="33">
        <v>69453</v>
      </c>
      <c r="Y39" s="33">
        <v>62103</v>
      </c>
      <c r="Z39" s="34">
        <v>55067</v>
      </c>
      <c r="AA39" s="35">
        <f t="shared" si="0"/>
        <v>1458668</v>
      </c>
      <c r="AB39" s="19">
        <v>22</v>
      </c>
      <c r="AC39" s="100">
        <f>+AA39*AB39+AA40*AB40+AA41*AB41</f>
        <v>44299175</v>
      </c>
    </row>
    <row r="40" spans="1:30" ht="15.75" thickBot="1" x14ac:dyDescent="0.3">
      <c r="A40" s="99"/>
      <c r="B40" s="20" t="s">
        <v>4</v>
      </c>
      <c r="C40" s="36">
        <v>49138</v>
      </c>
      <c r="D40" s="36">
        <v>46169</v>
      </c>
      <c r="E40" s="36">
        <v>44473</v>
      </c>
      <c r="F40" s="36">
        <v>43351</v>
      </c>
      <c r="G40" s="36">
        <v>43412</v>
      </c>
      <c r="H40" s="36">
        <v>44493</v>
      </c>
      <c r="I40" s="36">
        <v>45801</v>
      </c>
      <c r="J40" s="36">
        <v>51062</v>
      </c>
      <c r="K40" s="36">
        <v>56426</v>
      </c>
      <c r="L40" s="36">
        <v>60166</v>
      </c>
      <c r="M40" s="36">
        <v>63172</v>
      </c>
      <c r="N40" s="36">
        <v>65678</v>
      </c>
      <c r="O40" s="36">
        <v>65675</v>
      </c>
      <c r="P40" s="36">
        <v>64737</v>
      </c>
      <c r="Q40" s="36">
        <v>64133</v>
      </c>
      <c r="R40" s="36">
        <v>63464</v>
      </c>
      <c r="S40" s="36">
        <v>62989</v>
      </c>
      <c r="T40" s="36">
        <v>64117</v>
      </c>
      <c r="U40" s="36">
        <v>72639</v>
      </c>
      <c r="V40" s="36">
        <v>73639</v>
      </c>
      <c r="W40" s="36">
        <v>70692</v>
      </c>
      <c r="X40" s="36">
        <v>66480</v>
      </c>
      <c r="Y40" s="36">
        <v>60468</v>
      </c>
      <c r="Z40" s="37">
        <v>54661</v>
      </c>
      <c r="AA40" s="38">
        <f t="shared" si="0"/>
        <v>1397035</v>
      </c>
      <c r="AB40" s="21">
        <v>3</v>
      </c>
      <c r="AC40" s="101"/>
      <c r="AD40" s="47"/>
    </row>
    <row r="41" spans="1:30" x14ac:dyDescent="0.25">
      <c r="A41" s="99"/>
      <c r="B41" s="22" t="s">
        <v>3</v>
      </c>
      <c r="C41" s="39">
        <v>50764</v>
      </c>
      <c r="D41" s="39">
        <v>47670</v>
      </c>
      <c r="E41" s="39">
        <v>45511</v>
      </c>
      <c r="F41" s="39">
        <v>43978</v>
      </c>
      <c r="G41" s="39">
        <v>43377</v>
      </c>
      <c r="H41" s="39">
        <v>43158</v>
      </c>
      <c r="I41" s="39">
        <v>43088</v>
      </c>
      <c r="J41" s="39">
        <v>46577</v>
      </c>
      <c r="K41" s="39">
        <v>50912</v>
      </c>
      <c r="L41" s="39">
        <v>54722</v>
      </c>
      <c r="M41" s="39">
        <v>57574</v>
      </c>
      <c r="N41" s="39">
        <v>60253</v>
      </c>
      <c r="O41" s="39">
        <v>61697</v>
      </c>
      <c r="P41" s="39">
        <v>61620</v>
      </c>
      <c r="Q41" s="39">
        <v>60645</v>
      </c>
      <c r="R41" s="39">
        <v>60028</v>
      </c>
      <c r="S41" s="39">
        <v>59672</v>
      </c>
      <c r="T41" s="39">
        <v>60803</v>
      </c>
      <c r="U41" s="39">
        <v>69318</v>
      </c>
      <c r="V41" s="39">
        <v>71047</v>
      </c>
      <c r="W41" s="39">
        <v>68618</v>
      </c>
      <c r="X41" s="39">
        <v>64469</v>
      </c>
      <c r="Y41" s="39">
        <v>58403</v>
      </c>
      <c r="Z41" s="40">
        <v>52325</v>
      </c>
      <c r="AA41" s="41">
        <f t="shared" si="0"/>
        <v>1336229</v>
      </c>
      <c r="AB41" s="23">
        <v>6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1742310</v>
      </c>
      <c r="D42" s="31">
        <f t="shared" si="1"/>
        <v>1638781</v>
      </c>
      <c r="E42" s="31">
        <f t="shared" si="1"/>
        <v>1576347</v>
      </c>
      <c r="F42" s="31">
        <f t="shared" si="1"/>
        <v>1537762</v>
      </c>
      <c r="G42" s="31">
        <f t="shared" si="1"/>
        <v>1542544</v>
      </c>
      <c r="H42" s="31">
        <f t="shared" si="1"/>
        <v>1587355</v>
      </c>
      <c r="I42" s="31">
        <f t="shared" si="1"/>
        <v>1647386</v>
      </c>
      <c r="J42" s="31">
        <f t="shared" si="1"/>
        <v>1810860</v>
      </c>
      <c r="K42" s="31">
        <f t="shared" si="1"/>
        <v>1990186</v>
      </c>
      <c r="L42" s="31">
        <f t="shared" si="1"/>
        <v>2128390</v>
      </c>
      <c r="M42" s="31">
        <f t="shared" si="1"/>
        <v>2244286</v>
      </c>
      <c r="N42" s="31">
        <f t="shared" si="1"/>
        <v>2353012</v>
      </c>
      <c r="O42" s="31">
        <f t="shared" si="1"/>
        <v>2357323</v>
      </c>
      <c r="P42" s="31">
        <f t="shared" si="1"/>
        <v>2344215</v>
      </c>
      <c r="Q42" s="31">
        <f t="shared" si="1"/>
        <v>2335916</v>
      </c>
      <c r="R42" s="31">
        <f t="shared" si="1"/>
        <v>2326300</v>
      </c>
      <c r="S42" s="31">
        <f t="shared" si="1"/>
        <v>2303520</v>
      </c>
      <c r="T42" s="31">
        <f t="shared" si="1"/>
        <v>2307609</v>
      </c>
      <c r="U42" s="31">
        <f t="shared" si="1"/>
        <v>2539741</v>
      </c>
      <c r="V42" s="31">
        <f t="shared" si="1"/>
        <v>2659555</v>
      </c>
      <c r="W42" s="31">
        <f t="shared" si="1"/>
        <v>2563641</v>
      </c>
      <c r="X42" s="31">
        <f t="shared" si="1"/>
        <v>2397514</v>
      </c>
      <c r="Y42" s="31">
        <f t="shared" si="1"/>
        <v>2146829</v>
      </c>
      <c r="Z42" s="31">
        <f t="shared" si="1"/>
        <v>1902404</v>
      </c>
      <c r="AA42" s="31">
        <f t="shared" si="1"/>
        <v>49983786</v>
      </c>
      <c r="AB42" s="31">
        <f t="shared" si="1"/>
        <v>366</v>
      </c>
      <c r="AC42" s="46">
        <f t="shared" si="1"/>
        <v>515229706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7A35-6482-4FAF-BE7B-A586066D4577}">
  <sheetPr>
    <tabColor theme="9" tint="-0.499984740745262"/>
  </sheetPr>
  <dimension ref="A1:AD46"/>
  <sheetViews>
    <sheetView showGridLines="0" zoomScale="115" zoomScaleNormal="115" zoomScaleSheetLayoutView="110" workbookViewId="0">
      <pane xSplit="2" ySplit="5" topLeftCell="N35" activePane="bottomRight" state="frozen"/>
      <selection pane="topRight" activeCell="C1" sqref="C1"/>
      <selection pane="bottomLeft" activeCell="A6" sqref="A6"/>
      <selection pane="bottomRight" activeCell="C6" sqref="C6:Z41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81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48214</v>
      </c>
      <c r="B6" s="18" t="s">
        <v>5</v>
      </c>
      <c r="C6" s="33">
        <f>+'Anexo 17'!C6*'Anexo 7'!$D$10</f>
        <v>0</v>
      </c>
      <c r="D6" s="33">
        <f>+'Anexo 17'!D6*'Anexo 7'!$D$10</f>
        <v>0</v>
      </c>
      <c r="E6" s="33">
        <f>+'Anexo 17'!E6*'Anexo 7'!$D$10</f>
        <v>0</v>
      </c>
      <c r="F6" s="33">
        <f>+'Anexo 17'!F6*'Anexo 7'!$D$10</f>
        <v>0</v>
      </c>
      <c r="G6" s="33">
        <f>+'Anexo 17'!G6*'Anexo 7'!$D$10</f>
        <v>0</v>
      </c>
      <c r="H6" s="33">
        <f>+'Anexo 17'!H6*'Anexo 7'!$D$10</f>
        <v>0</v>
      </c>
      <c r="I6" s="33">
        <f>+'Anexo 17'!I6*'Anexo 7'!$D$10</f>
        <v>0</v>
      </c>
      <c r="J6" s="33">
        <f>+'Anexo 17'!J6*'Anexo 7'!$D$10</f>
        <v>0</v>
      </c>
      <c r="K6" s="33">
        <f>+'Anexo 17'!K6*'Anexo 7'!$D$10</f>
        <v>0</v>
      </c>
      <c r="L6" s="33">
        <f>+'Anexo 17'!L6*'Anexo 7'!$D$10</f>
        <v>0</v>
      </c>
      <c r="M6" s="33">
        <f>+'Anexo 17'!M6*'Anexo 7'!$D$10</f>
        <v>0</v>
      </c>
      <c r="N6" s="33">
        <f>+'Anexo 17'!N6*'Anexo 7'!$D$10</f>
        <v>0</v>
      </c>
      <c r="O6" s="33">
        <f>+'Anexo 17'!O6*'Anexo 7'!$D$10</f>
        <v>0</v>
      </c>
      <c r="P6" s="33">
        <f>+'Anexo 17'!P6*'Anexo 7'!$D$10</f>
        <v>0</v>
      </c>
      <c r="Q6" s="33">
        <f>+'Anexo 17'!Q6*'Anexo 7'!$D$10</f>
        <v>0</v>
      </c>
      <c r="R6" s="33">
        <f>+'Anexo 17'!R6*'Anexo 7'!$D$10</f>
        <v>0</v>
      </c>
      <c r="S6" s="33">
        <f>+'Anexo 17'!S6*'Anexo 7'!$D$10</f>
        <v>0</v>
      </c>
      <c r="T6" s="33">
        <f>+'Anexo 17'!T6*'Anexo 7'!$D$10</f>
        <v>0</v>
      </c>
      <c r="U6" s="33">
        <f>+'Anexo 17'!U6*'Anexo 7'!$D$10</f>
        <v>0</v>
      </c>
      <c r="V6" s="33">
        <f>+'Anexo 17'!V6*'Anexo 7'!$D$10</f>
        <v>0</v>
      </c>
      <c r="W6" s="33">
        <f>+'Anexo 17'!W6*'Anexo 7'!$D$10</f>
        <v>0</v>
      </c>
      <c r="X6" s="33">
        <f>+'Anexo 17'!X6*'Anexo 7'!$D$10</f>
        <v>0</v>
      </c>
      <c r="Y6" s="33">
        <f>+'Anexo 17'!Y6*'Anexo 7'!$D$10</f>
        <v>0</v>
      </c>
      <c r="Z6" s="33">
        <f>+'Anexo 17'!Z6*'Anexo 7'!$D$10</f>
        <v>0</v>
      </c>
      <c r="AA6" s="35">
        <f>SUM(C6:Z6)</f>
        <v>0</v>
      </c>
      <c r="AB6" s="19">
        <v>20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+'Anexo 17'!C7*'Anexo 7'!$D$10</f>
        <v>0</v>
      </c>
      <c r="D7" s="33">
        <f>+'Anexo 17'!D7*'Anexo 7'!$D$10</f>
        <v>0</v>
      </c>
      <c r="E7" s="33">
        <f>+'Anexo 17'!E7*'Anexo 7'!$D$10</f>
        <v>0</v>
      </c>
      <c r="F7" s="33">
        <f>+'Anexo 17'!F7*'Anexo 7'!$D$10</f>
        <v>0</v>
      </c>
      <c r="G7" s="33">
        <f>+'Anexo 17'!G7*'Anexo 7'!$D$10</f>
        <v>0</v>
      </c>
      <c r="H7" s="33">
        <f>+'Anexo 17'!H7*'Anexo 7'!$D$10</f>
        <v>0</v>
      </c>
      <c r="I7" s="33">
        <f>+'Anexo 17'!I7*'Anexo 7'!$D$10</f>
        <v>0</v>
      </c>
      <c r="J7" s="33">
        <f>+'Anexo 17'!J7*'Anexo 7'!$D$10</f>
        <v>0</v>
      </c>
      <c r="K7" s="33">
        <f>+'Anexo 17'!K7*'Anexo 7'!$D$10</f>
        <v>0</v>
      </c>
      <c r="L7" s="33">
        <f>+'Anexo 17'!L7*'Anexo 7'!$D$10</f>
        <v>0</v>
      </c>
      <c r="M7" s="33">
        <f>+'Anexo 17'!M7*'Anexo 7'!$D$10</f>
        <v>0</v>
      </c>
      <c r="N7" s="33">
        <f>+'Anexo 17'!N7*'Anexo 7'!$D$10</f>
        <v>0</v>
      </c>
      <c r="O7" s="33">
        <f>+'Anexo 17'!O7*'Anexo 7'!$D$10</f>
        <v>0</v>
      </c>
      <c r="P7" s="33">
        <f>+'Anexo 17'!P7*'Anexo 7'!$D$10</f>
        <v>0</v>
      </c>
      <c r="Q7" s="33">
        <f>+'Anexo 17'!Q7*'Anexo 7'!$D$10</f>
        <v>0</v>
      </c>
      <c r="R7" s="33">
        <f>+'Anexo 17'!R7*'Anexo 7'!$D$10</f>
        <v>0</v>
      </c>
      <c r="S7" s="33">
        <f>+'Anexo 17'!S7*'Anexo 7'!$D$10</f>
        <v>0</v>
      </c>
      <c r="T7" s="33">
        <f>+'Anexo 17'!T7*'Anexo 7'!$D$10</f>
        <v>0</v>
      </c>
      <c r="U7" s="33">
        <f>+'Anexo 17'!U7*'Anexo 7'!$D$10</f>
        <v>0</v>
      </c>
      <c r="V7" s="33">
        <f>+'Anexo 17'!V7*'Anexo 7'!$D$10</f>
        <v>0</v>
      </c>
      <c r="W7" s="33">
        <f>+'Anexo 17'!W7*'Anexo 7'!$D$10</f>
        <v>0</v>
      </c>
      <c r="X7" s="33">
        <f>+'Anexo 17'!X7*'Anexo 7'!$D$10</f>
        <v>0</v>
      </c>
      <c r="Y7" s="33">
        <f>+'Anexo 17'!Y7*'Anexo 7'!$D$10</f>
        <v>0</v>
      </c>
      <c r="Z7" s="33">
        <f>+'Anexo 17'!Z7*'Anexo 7'!$D$10</f>
        <v>0</v>
      </c>
      <c r="AA7" s="38">
        <f t="shared" ref="AA7:AA41" si="0">SUM(C7:Z7)</f>
        <v>0</v>
      </c>
      <c r="AB7" s="21">
        <v>5</v>
      </c>
      <c r="AC7" s="101"/>
      <c r="AD7" s="47"/>
    </row>
    <row r="8" spans="1:30" ht="15.75" thickBot="1" x14ac:dyDescent="0.3">
      <c r="A8" s="99"/>
      <c r="B8" s="22" t="s">
        <v>3</v>
      </c>
      <c r="C8" s="33">
        <f>+'Anexo 17'!C8*'Anexo 7'!$D$10</f>
        <v>0</v>
      </c>
      <c r="D8" s="33">
        <f>+'Anexo 17'!D8*'Anexo 7'!$D$10</f>
        <v>0</v>
      </c>
      <c r="E8" s="33">
        <f>+'Anexo 17'!E8*'Anexo 7'!$D$10</f>
        <v>0</v>
      </c>
      <c r="F8" s="33">
        <f>+'Anexo 17'!F8*'Anexo 7'!$D$10</f>
        <v>0</v>
      </c>
      <c r="G8" s="33">
        <f>+'Anexo 17'!G8*'Anexo 7'!$D$10</f>
        <v>0</v>
      </c>
      <c r="H8" s="33">
        <f>+'Anexo 17'!H8*'Anexo 7'!$D$10</f>
        <v>0</v>
      </c>
      <c r="I8" s="33">
        <f>+'Anexo 17'!I8*'Anexo 7'!$D$10</f>
        <v>0</v>
      </c>
      <c r="J8" s="33">
        <f>+'Anexo 17'!J8*'Anexo 7'!$D$10</f>
        <v>0</v>
      </c>
      <c r="K8" s="33">
        <f>+'Anexo 17'!K8*'Anexo 7'!$D$10</f>
        <v>0</v>
      </c>
      <c r="L8" s="33">
        <f>+'Anexo 17'!L8*'Anexo 7'!$D$10</f>
        <v>0</v>
      </c>
      <c r="M8" s="33">
        <f>+'Anexo 17'!M8*'Anexo 7'!$D$10</f>
        <v>0</v>
      </c>
      <c r="N8" s="33">
        <f>+'Anexo 17'!N8*'Anexo 7'!$D$10</f>
        <v>0</v>
      </c>
      <c r="O8" s="33">
        <f>+'Anexo 17'!O8*'Anexo 7'!$D$10</f>
        <v>0</v>
      </c>
      <c r="P8" s="33">
        <f>+'Anexo 17'!P8*'Anexo 7'!$D$10</f>
        <v>0</v>
      </c>
      <c r="Q8" s="33">
        <f>+'Anexo 17'!Q8*'Anexo 7'!$D$10</f>
        <v>0</v>
      </c>
      <c r="R8" s="33">
        <f>+'Anexo 17'!R8*'Anexo 7'!$D$10</f>
        <v>0</v>
      </c>
      <c r="S8" s="33">
        <f>+'Anexo 17'!S8*'Anexo 7'!$D$10</f>
        <v>0</v>
      </c>
      <c r="T8" s="33">
        <f>+'Anexo 17'!T8*'Anexo 7'!$D$10</f>
        <v>0</v>
      </c>
      <c r="U8" s="33">
        <f>+'Anexo 17'!U8*'Anexo 7'!$D$10</f>
        <v>0</v>
      </c>
      <c r="V8" s="33">
        <f>+'Anexo 17'!V8*'Anexo 7'!$D$10</f>
        <v>0</v>
      </c>
      <c r="W8" s="33">
        <f>+'Anexo 17'!W8*'Anexo 7'!$D$10</f>
        <v>0</v>
      </c>
      <c r="X8" s="33">
        <f>+'Anexo 17'!X8*'Anexo 7'!$D$10</f>
        <v>0</v>
      </c>
      <c r="Y8" s="33">
        <f>+'Anexo 17'!Y8*'Anexo 7'!$D$10</f>
        <v>0</v>
      </c>
      <c r="Z8" s="33">
        <f>+'Anexo 17'!Z8*'Anexo 7'!$D$10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48245</v>
      </c>
      <c r="B9" s="18" t="s">
        <v>5</v>
      </c>
      <c r="C9" s="33">
        <f>+'Anexo 17'!C9*'Anexo 7'!$D$10</f>
        <v>0</v>
      </c>
      <c r="D9" s="33">
        <f>+'Anexo 17'!D9*'Anexo 7'!$D$10</f>
        <v>0</v>
      </c>
      <c r="E9" s="33">
        <f>+'Anexo 17'!E9*'Anexo 7'!$D$10</f>
        <v>0</v>
      </c>
      <c r="F9" s="33">
        <f>+'Anexo 17'!F9*'Anexo 7'!$D$10</f>
        <v>0</v>
      </c>
      <c r="G9" s="33">
        <f>+'Anexo 17'!G9*'Anexo 7'!$D$10</f>
        <v>0</v>
      </c>
      <c r="H9" s="33">
        <f>+'Anexo 17'!H9*'Anexo 7'!$D$10</f>
        <v>0</v>
      </c>
      <c r="I9" s="33">
        <f>+'Anexo 17'!I9*'Anexo 7'!$D$10</f>
        <v>0</v>
      </c>
      <c r="J9" s="33">
        <f>+'Anexo 17'!J9*'Anexo 7'!$D$10</f>
        <v>0</v>
      </c>
      <c r="K9" s="33">
        <f>+'Anexo 17'!K9*'Anexo 7'!$D$10</f>
        <v>0</v>
      </c>
      <c r="L9" s="33">
        <f>+'Anexo 17'!L9*'Anexo 7'!$D$10</f>
        <v>0</v>
      </c>
      <c r="M9" s="33">
        <f>+'Anexo 17'!M9*'Anexo 7'!$D$10</f>
        <v>0</v>
      </c>
      <c r="N9" s="33">
        <f>+'Anexo 17'!N9*'Anexo 7'!$D$10</f>
        <v>0</v>
      </c>
      <c r="O9" s="33">
        <f>+'Anexo 17'!O9*'Anexo 7'!$D$10</f>
        <v>0</v>
      </c>
      <c r="P9" s="33">
        <f>+'Anexo 17'!P9*'Anexo 7'!$D$10</f>
        <v>0</v>
      </c>
      <c r="Q9" s="33">
        <f>+'Anexo 17'!Q9*'Anexo 7'!$D$10</f>
        <v>0</v>
      </c>
      <c r="R9" s="33">
        <f>+'Anexo 17'!R9*'Anexo 7'!$D$10</f>
        <v>0</v>
      </c>
      <c r="S9" s="33">
        <f>+'Anexo 17'!S9*'Anexo 7'!$D$10</f>
        <v>0</v>
      </c>
      <c r="T9" s="33">
        <f>+'Anexo 17'!T9*'Anexo 7'!$D$10</f>
        <v>0</v>
      </c>
      <c r="U9" s="33">
        <f>+'Anexo 17'!U9*'Anexo 7'!$D$10</f>
        <v>0</v>
      </c>
      <c r="V9" s="33">
        <f>+'Anexo 17'!V9*'Anexo 7'!$D$10</f>
        <v>0</v>
      </c>
      <c r="W9" s="33">
        <f>+'Anexo 17'!W9*'Anexo 7'!$D$10</f>
        <v>0</v>
      </c>
      <c r="X9" s="33">
        <f>+'Anexo 17'!X9*'Anexo 7'!$D$10</f>
        <v>0</v>
      </c>
      <c r="Y9" s="33">
        <f>+'Anexo 17'!Y9*'Anexo 7'!$D$10</f>
        <v>0</v>
      </c>
      <c r="Z9" s="33">
        <f>+'Anexo 17'!Z9*'Anexo 7'!$D$10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+'Anexo 17'!C10*'Anexo 7'!$D$10</f>
        <v>0</v>
      </c>
      <c r="D10" s="33">
        <f>+'Anexo 17'!D10*'Anexo 7'!$D$10</f>
        <v>0</v>
      </c>
      <c r="E10" s="33">
        <f>+'Anexo 17'!E10*'Anexo 7'!$D$10</f>
        <v>0</v>
      </c>
      <c r="F10" s="33">
        <f>+'Anexo 17'!F10*'Anexo 7'!$D$10</f>
        <v>0</v>
      </c>
      <c r="G10" s="33">
        <f>+'Anexo 17'!G10*'Anexo 7'!$D$10</f>
        <v>0</v>
      </c>
      <c r="H10" s="33">
        <f>+'Anexo 17'!H10*'Anexo 7'!$D$10</f>
        <v>0</v>
      </c>
      <c r="I10" s="33">
        <f>+'Anexo 17'!I10*'Anexo 7'!$D$10</f>
        <v>0</v>
      </c>
      <c r="J10" s="33">
        <f>+'Anexo 17'!J10*'Anexo 7'!$D$10</f>
        <v>0</v>
      </c>
      <c r="K10" s="33">
        <f>+'Anexo 17'!K10*'Anexo 7'!$D$10</f>
        <v>0</v>
      </c>
      <c r="L10" s="33">
        <f>+'Anexo 17'!L10*'Anexo 7'!$D$10</f>
        <v>0</v>
      </c>
      <c r="M10" s="33">
        <f>+'Anexo 17'!M10*'Anexo 7'!$D$10</f>
        <v>0</v>
      </c>
      <c r="N10" s="33">
        <f>+'Anexo 17'!N10*'Anexo 7'!$D$10</f>
        <v>0</v>
      </c>
      <c r="O10" s="33">
        <f>+'Anexo 17'!O10*'Anexo 7'!$D$10</f>
        <v>0</v>
      </c>
      <c r="P10" s="33">
        <f>+'Anexo 17'!P10*'Anexo 7'!$D$10</f>
        <v>0</v>
      </c>
      <c r="Q10" s="33">
        <f>+'Anexo 17'!Q10*'Anexo 7'!$D$10</f>
        <v>0</v>
      </c>
      <c r="R10" s="33">
        <f>+'Anexo 17'!R10*'Anexo 7'!$D$10</f>
        <v>0</v>
      </c>
      <c r="S10" s="33">
        <f>+'Anexo 17'!S10*'Anexo 7'!$D$10</f>
        <v>0</v>
      </c>
      <c r="T10" s="33">
        <f>+'Anexo 17'!T10*'Anexo 7'!$D$10</f>
        <v>0</v>
      </c>
      <c r="U10" s="33">
        <f>+'Anexo 17'!U10*'Anexo 7'!$D$10</f>
        <v>0</v>
      </c>
      <c r="V10" s="33">
        <f>+'Anexo 17'!V10*'Anexo 7'!$D$10</f>
        <v>0</v>
      </c>
      <c r="W10" s="33">
        <f>+'Anexo 17'!W10*'Anexo 7'!$D$10</f>
        <v>0</v>
      </c>
      <c r="X10" s="33">
        <f>+'Anexo 17'!X10*'Anexo 7'!$D$10</f>
        <v>0</v>
      </c>
      <c r="Y10" s="33">
        <f>+'Anexo 17'!Y10*'Anexo 7'!$D$10</f>
        <v>0</v>
      </c>
      <c r="Z10" s="33">
        <f>+'Anexo 17'!Z10*'Anexo 7'!$D$10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+'Anexo 17'!C11*'Anexo 7'!$D$10</f>
        <v>0</v>
      </c>
      <c r="D11" s="33">
        <f>+'Anexo 17'!D11*'Anexo 7'!$D$10</f>
        <v>0</v>
      </c>
      <c r="E11" s="33">
        <f>+'Anexo 17'!E11*'Anexo 7'!$D$10</f>
        <v>0</v>
      </c>
      <c r="F11" s="33">
        <f>+'Anexo 17'!F11*'Anexo 7'!$D$10</f>
        <v>0</v>
      </c>
      <c r="G11" s="33">
        <f>+'Anexo 17'!G11*'Anexo 7'!$D$10</f>
        <v>0</v>
      </c>
      <c r="H11" s="33">
        <f>+'Anexo 17'!H11*'Anexo 7'!$D$10</f>
        <v>0</v>
      </c>
      <c r="I11" s="33">
        <f>+'Anexo 17'!I11*'Anexo 7'!$D$10</f>
        <v>0</v>
      </c>
      <c r="J11" s="33">
        <f>+'Anexo 17'!J11*'Anexo 7'!$D$10</f>
        <v>0</v>
      </c>
      <c r="K11" s="33">
        <f>+'Anexo 17'!K11*'Anexo 7'!$D$10</f>
        <v>0</v>
      </c>
      <c r="L11" s="33">
        <f>+'Anexo 17'!L11*'Anexo 7'!$D$10</f>
        <v>0</v>
      </c>
      <c r="M11" s="33">
        <f>+'Anexo 17'!M11*'Anexo 7'!$D$10</f>
        <v>0</v>
      </c>
      <c r="N11" s="33">
        <f>+'Anexo 17'!N11*'Anexo 7'!$D$10</f>
        <v>0</v>
      </c>
      <c r="O11" s="33">
        <f>+'Anexo 17'!O11*'Anexo 7'!$D$10</f>
        <v>0</v>
      </c>
      <c r="P11" s="33">
        <f>+'Anexo 17'!P11*'Anexo 7'!$D$10</f>
        <v>0</v>
      </c>
      <c r="Q11" s="33">
        <f>+'Anexo 17'!Q11*'Anexo 7'!$D$10</f>
        <v>0</v>
      </c>
      <c r="R11" s="33">
        <f>+'Anexo 17'!R11*'Anexo 7'!$D$10</f>
        <v>0</v>
      </c>
      <c r="S11" s="33">
        <f>+'Anexo 17'!S11*'Anexo 7'!$D$10</f>
        <v>0</v>
      </c>
      <c r="T11" s="33">
        <f>+'Anexo 17'!T11*'Anexo 7'!$D$10</f>
        <v>0</v>
      </c>
      <c r="U11" s="33">
        <f>+'Anexo 17'!U11*'Anexo 7'!$D$10</f>
        <v>0</v>
      </c>
      <c r="V11" s="33">
        <f>+'Anexo 17'!V11*'Anexo 7'!$D$10</f>
        <v>0</v>
      </c>
      <c r="W11" s="33">
        <f>+'Anexo 17'!W11*'Anexo 7'!$D$10</f>
        <v>0</v>
      </c>
      <c r="X11" s="33">
        <f>+'Anexo 17'!X11*'Anexo 7'!$D$10</f>
        <v>0</v>
      </c>
      <c r="Y11" s="33">
        <f>+'Anexo 17'!Y11*'Anexo 7'!$D$10</f>
        <v>0</v>
      </c>
      <c r="Z11" s="33">
        <f>+'Anexo 17'!Z11*'Anexo 7'!$D$10</f>
        <v>0</v>
      </c>
      <c r="AA11" s="41">
        <f t="shared" si="0"/>
        <v>0</v>
      </c>
      <c r="AB11" s="23">
        <v>5</v>
      </c>
      <c r="AC11" s="102"/>
      <c r="AD11" s="48"/>
    </row>
    <row r="12" spans="1:30" ht="15.75" thickBot="1" x14ac:dyDescent="0.3">
      <c r="A12" s="99">
        <v>48274</v>
      </c>
      <c r="B12" s="18" t="s">
        <v>5</v>
      </c>
      <c r="C12" s="33">
        <f>+'Anexo 17'!C12*'Anexo 7'!$D$10</f>
        <v>0</v>
      </c>
      <c r="D12" s="33">
        <f>+'Anexo 17'!D12*'Anexo 7'!$D$10</f>
        <v>0</v>
      </c>
      <c r="E12" s="33">
        <f>+'Anexo 17'!E12*'Anexo 7'!$D$10</f>
        <v>0</v>
      </c>
      <c r="F12" s="33">
        <f>+'Anexo 17'!F12*'Anexo 7'!$D$10</f>
        <v>0</v>
      </c>
      <c r="G12" s="33">
        <f>+'Anexo 17'!G12*'Anexo 7'!$D$10</f>
        <v>0</v>
      </c>
      <c r="H12" s="33">
        <f>+'Anexo 17'!H12*'Anexo 7'!$D$10</f>
        <v>0</v>
      </c>
      <c r="I12" s="33">
        <f>+'Anexo 17'!I12*'Anexo 7'!$D$10</f>
        <v>0</v>
      </c>
      <c r="J12" s="33">
        <f>+'Anexo 17'!J12*'Anexo 7'!$D$10</f>
        <v>0</v>
      </c>
      <c r="K12" s="33">
        <f>+'Anexo 17'!K12*'Anexo 7'!$D$10</f>
        <v>0</v>
      </c>
      <c r="L12" s="33">
        <f>+'Anexo 17'!L12*'Anexo 7'!$D$10</f>
        <v>0</v>
      </c>
      <c r="M12" s="33">
        <f>+'Anexo 17'!M12*'Anexo 7'!$D$10</f>
        <v>0</v>
      </c>
      <c r="N12" s="33">
        <f>+'Anexo 17'!N12*'Anexo 7'!$D$10</f>
        <v>0</v>
      </c>
      <c r="O12" s="33">
        <f>+'Anexo 17'!O12*'Anexo 7'!$D$10</f>
        <v>0</v>
      </c>
      <c r="P12" s="33">
        <f>+'Anexo 17'!P12*'Anexo 7'!$D$10</f>
        <v>0</v>
      </c>
      <c r="Q12" s="33">
        <f>+'Anexo 17'!Q12*'Anexo 7'!$D$10</f>
        <v>0</v>
      </c>
      <c r="R12" s="33">
        <f>+'Anexo 17'!R12*'Anexo 7'!$D$10</f>
        <v>0</v>
      </c>
      <c r="S12" s="33">
        <f>+'Anexo 17'!S12*'Anexo 7'!$D$10</f>
        <v>0</v>
      </c>
      <c r="T12" s="33">
        <f>+'Anexo 17'!T12*'Anexo 7'!$D$10</f>
        <v>0</v>
      </c>
      <c r="U12" s="33">
        <f>+'Anexo 17'!U12*'Anexo 7'!$D$10</f>
        <v>0</v>
      </c>
      <c r="V12" s="33">
        <f>+'Anexo 17'!V12*'Anexo 7'!$D$10</f>
        <v>0</v>
      </c>
      <c r="W12" s="33">
        <f>+'Anexo 17'!W12*'Anexo 7'!$D$10</f>
        <v>0</v>
      </c>
      <c r="X12" s="33">
        <f>+'Anexo 17'!X12*'Anexo 7'!$D$10</f>
        <v>0</v>
      </c>
      <c r="Y12" s="33">
        <f>+'Anexo 17'!Y12*'Anexo 7'!$D$10</f>
        <v>0</v>
      </c>
      <c r="Z12" s="33">
        <f>+'Anexo 17'!Z12*'Anexo 7'!$D$10</f>
        <v>0</v>
      </c>
      <c r="AA12" s="35">
        <f t="shared" si="0"/>
        <v>0</v>
      </c>
      <c r="AB12" s="19">
        <v>20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+'Anexo 17'!C13*'Anexo 7'!$D$10</f>
        <v>0</v>
      </c>
      <c r="D13" s="33">
        <f>+'Anexo 17'!D13*'Anexo 7'!$D$10</f>
        <v>0</v>
      </c>
      <c r="E13" s="33">
        <f>+'Anexo 17'!E13*'Anexo 7'!$D$10</f>
        <v>0</v>
      </c>
      <c r="F13" s="33">
        <f>+'Anexo 17'!F13*'Anexo 7'!$D$10</f>
        <v>0</v>
      </c>
      <c r="G13" s="33">
        <f>+'Anexo 17'!G13*'Anexo 7'!$D$10</f>
        <v>0</v>
      </c>
      <c r="H13" s="33">
        <f>+'Anexo 17'!H13*'Anexo 7'!$D$10</f>
        <v>0</v>
      </c>
      <c r="I13" s="33">
        <f>+'Anexo 17'!I13*'Anexo 7'!$D$10</f>
        <v>0</v>
      </c>
      <c r="J13" s="33">
        <f>+'Anexo 17'!J13*'Anexo 7'!$D$10</f>
        <v>0</v>
      </c>
      <c r="K13" s="33">
        <f>+'Anexo 17'!K13*'Anexo 7'!$D$10</f>
        <v>0</v>
      </c>
      <c r="L13" s="33">
        <f>+'Anexo 17'!L13*'Anexo 7'!$D$10</f>
        <v>0</v>
      </c>
      <c r="M13" s="33">
        <f>+'Anexo 17'!M13*'Anexo 7'!$D$10</f>
        <v>0</v>
      </c>
      <c r="N13" s="33">
        <f>+'Anexo 17'!N13*'Anexo 7'!$D$10</f>
        <v>0</v>
      </c>
      <c r="O13" s="33">
        <f>+'Anexo 17'!O13*'Anexo 7'!$D$10</f>
        <v>0</v>
      </c>
      <c r="P13" s="33">
        <f>+'Anexo 17'!P13*'Anexo 7'!$D$10</f>
        <v>0</v>
      </c>
      <c r="Q13" s="33">
        <f>+'Anexo 17'!Q13*'Anexo 7'!$D$10</f>
        <v>0</v>
      </c>
      <c r="R13" s="33">
        <f>+'Anexo 17'!R13*'Anexo 7'!$D$10</f>
        <v>0</v>
      </c>
      <c r="S13" s="33">
        <f>+'Anexo 17'!S13*'Anexo 7'!$D$10</f>
        <v>0</v>
      </c>
      <c r="T13" s="33">
        <f>+'Anexo 17'!T13*'Anexo 7'!$D$10</f>
        <v>0</v>
      </c>
      <c r="U13" s="33">
        <f>+'Anexo 17'!U13*'Anexo 7'!$D$10</f>
        <v>0</v>
      </c>
      <c r="V13" s="33">
        <f>+'Anexo 17'!V13*'Anexo 7'!$D$10</f>
        <v>0</v>
      </c>
      <c r="W13" s="33">
        <f>+'Anexo 17'!W13*'Anexo 7'!$D$10</f>
        <v>0</v>
      </c>
      <c r="X13" s="33">
        <f>+'Anexo 17'!X13*'Anexo 7'!$D$10</f>
        <v>0</v>
      </c>
      <c r="Y13" s="33">
        <f>+'Anexo 17'!Y13*'Anexo 7'!$D$10</f>
        <v>0</v>
      </c>
      <c r="Z13" s="33">
        <f>+'Anexo 17'!Z13*'Anexo 7'!$D$10</f>
        <v>0</v>
      </c>
      <c r="AA13" s="38">
        <f t="shared" si="0"/>
        <v>0</v>
      </c>
      <c r="AB13" s="21">
        <v>4</v>
      </c>
      <c r="AC13" s="101"/>
      <c r="AD13" s="47"/>
    </row>
    <row r="14" spans="1:30" ht="15.75" thickBot="1" x14ac:dyDescent="0.3">
      <c r="A14" s="99"/>
      <c r="B14" s="22" t="s">
        <v>3</v>
      </c>
      <c r="C14" s="33">
        <f>+'Anexo 17'!C14*'Anexo 7'!$D$10</f>
        <v>0</v>
      </c>
      <c r="D14" s="33">
        <f>+'Anexo 17'!D14*'Anexo 7'!$D$10</f>
        <v>0</v>
      </c>
      <c r="E14" s="33">
        <f>+'Anexo 17'!E14*'Anexo 7'!$D$10</f>
        <v>0</v>
      </c>
      <c r="F14" s="33">
        <f>+'Anexo 17'!F14*'Anexo 7'!$D$10</f>
        <v>0</v>
      </c>
      <c r="G14" s="33">
        <f>+'Anexo 17'!G14*'Anexo 7'!$D$10</f>
        <v>0</v>
      </c>
      <c r="H14" s="33">
        <f>+'Anexo 17'!H14*'Anexo 7'!$D$10</f>
        <v>0</v>
      </c>
      <c r="I14" s="33">
        <f>+'Anexo 17'!I14*'Anexo 7'!$D$10</f>
        <v>0</v>
      </c>
      <c r="J14" s="33">
        <f>+'Anexo 17'!J14*'Anexo 7'!$D$10</f>
        <v>0</v>
      </c>
      <c r="K14" s="33">
        <f>+'Anexo 17'!K14*'Anexo 7'!$D$10</f>
        <v>0</v>
      </c>
      <c r="L14" s="33">
        <f>+'Anexo 17'!L14*'Anexo 7'!$D$10</f>
        <v>0</v>
      </c>
      <c r="M14" s="33">
        <f>+'Anexo 17'!M14*'Anexo 7'!$D$10</f>
        <v>0</v>
      </c>
      <c r="N14" s="33">
        <f>+'Anexo 17'!N14*'Anexo 7'!$D$10</f>
        <v>0</v>
      </c>
      <c r="O14" s="33">
        <f>+'Anexo 17'!O14*'Anexo 7'!$D$10</f>
        <v>0</v>
      </c>
      <c r="P14" s="33">
        <f>+'Anexo 17'!P14*'Anexo 7'!$D$10</f>
        <v>0</v>
      </c>
      <c r="Q14" s="33">
        <f>+'Anexo 17'!Q14*'Anexo 7'!$D$10</f>
        <v>0</v>
      </c>
      <c r="R14" s="33">
        <f>+'Anexo 17'!R14*'Anexo 7'!$D$10</f>
        <v>0</v>
      </c>
      <c r="S14" s="33">
        <f>+'Anexo 17'!S14*'Anexo 7'!$D$10</f>
        <v>0</v>
      </c>
      <c r="T14" s="33">
        <f>+'Anexo 17'!T14*'Anexo 7'!$D$10</f>
        <v>0</v>
      </c>
      <c r="U14" s="33">
        <f>+'Anexo 17'!U14*'Anexo 7'!$D$10</f>
        <v>0</v>
      </c>
      <c r="V14" s="33">
        <f>+'Anexo 17'!V14*'Anexo 7'!$D$10</f>
        <v>0</v>
      </c>
      <c r="W14" s="33">
        <f>+'Anexo 17'!W14*'Anexo 7'!$D$10</f>
        <v>0</v>
      </c>
      <c r="X14" s="33">
        <f>+'Anexo 17'!X14*'Anexo 7'!$D$10</f>
        <v>0</v>
      </c>
      <c r="Y14" s="33">
        <f>+'Anexo 17'!Y14*'Anexo 7'!$D$10</f>
        <v>0</v>
      </c>
      <c r="Z14" s="33">
        <f>+'Anexo 17'!Z14*'Anexo 7'!$D$10</f>
        <v>0</v>
      </c>
      <c r="AA14" s="41">
        <f t="shared" si="0"/>
        <v>0</v>
      </c>
      <c r="AB14" s="23">
        <v>7</v>
      </c>
      <c r="AC14" s="102"/>
      <c r="AD14" s="45"/>
    </row>
    <row r="15" spans="1:30" ht="15.75" thickBot="1" x14ac:dyDescent="0.3">
      <c r="A15" s="99">
        <v>48305</v>
      </c>
      <c r="B15" s="18" t="s">
        <v>5</v>
      </c>
      <c r="C15" s="33">
        <f>+'Anexo 17'!C15*'Anexo 7'!$D$10</f>
        <v>0</v>
      </c>
      <c r="D15" s="33">
        <f>+'Anexo 17'!D15*'Anexo 7'!$D$10</f>
        <v>0</v>
      </c>
      <c r="E15" s="33">
        <f>+'Anexo 17'!E15*'Anexo 7'!$D$10</f>
        <v>0</v>
      </c>
      <c r="F15" s="33">
        <f>+'Anexo 17'!F15*'Anexo 7'!$D$10</f>
        <v>0</v>
      </c>
      <c r="G15" s="33">
        <f>+'Anexo 17'!G15*'Anexo 7'!$D$10</f>
        <v>0</v>
      </c>
      <c r="H15" s="33">
        <f>+'Anexo 17'!H15*'Anexo 7'!$D$10</f>
        <v>0</v>
      </c>
      <c r="I15" s="33">
        <f>+'Anexo 17'!I15*'Anexo 7'!$D$10</f>
        <v>0</v>
      </c>
      <c r="J15" s="33">
        <f>+'Anexo 17'!J15*'Anexo 7'!$D$10</f>
        <v>0</v>
      </c>
      <c r="K15" s="33">
        <f>+'Anexo 17'!K15*'Anexo 7'!$D$10</f>
        <v>0</v>
      </c>
      <c r="L15" s="33">
        <f>+'Anexo 17'!L15*'Anexo 7'!$D$10</f>
        <v>0</v>
      </c>
      <c r="M15" s="33">
        <f>+'Anexo 17'!M15*'Anexo 7'!$D$10</f>
        <v>0</v>
      </c>
      <c r="N15" s="33">
        <f>+'Anexo 17'!N15*'Anexo 7'!$D$10</f>
        <v>0</v>
      </c>
      <c r="O15" s="33">
        <f>+'Anexo 17'!O15*'Anexo 7'!$D$10</f>
        <v>0</v>
      </c>
      <c r="P15" s="33">
        <f>+'Anexo 17'!P15*'Anexo 7'!$D$10</f>
        <v>0</v>
      </c>
      <c r="Q15" s="33">
        <f>+'Anexo 17'!Q15*'Anexo 7'!$D$10</f>
        <v>0</v>
      </c>
      <c r="R15" s="33">
        <f>+'Anexo 17'!R15*'Anexo 7'!$D$10</f>
        <v>0</v>
      </c>
      <c r="S15" s="33">
        <f>+'Anexo 17'!S15*'Anexo 7'!$D$10</f>
        <v>0</v>
      </c>
      <c r="T15" s="33">
        <f>+'Anexo 17'!T15*'Anexo 7'!$D$10</f>
        <v>0</v>
      </c>
      <c r="U15" s="33">
        <f>+'Anexo 17'!U15*'Anexo 7'!$D$10</f>
        <v>0</v>
      </c>
      <c r="V15" s="33">
        <f>+'Anexo 17'!V15*'Anexo 7'!$D$10</f>
        <v>0</v>
      </c>
      <c r="W15" s="33">
        <f>+'Anexo 17'!W15*'Anexo 7'!$D$10</f>
        <v>0</v>
      </c>
      <c r="X15" s="33">
        <f>+'Anexo 17'!X15*'Anexo 7'!$D$10</f>
        <v>0</v>
      </c>
      <c r="Y15" s="33">
        <f>+'Anexo 17'!Y15*'Anexo 7'!$D$10</f>
        <v>0</v>
      </c>
      <c r="Z15" s="33">
        <f>+'Anexo 17'!Z15*'Anexo 7'!$D$10</f>
        <v>0</v>
      </c>
      <c r="AA15" s="35">
        <f t="shared" si="0"/>
        <v>0</v>
      </c>
      <c r="AB15" s="19">
        <v>22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+'Anexo 17'!C16*'Anexo 7'!$D$10</f>
        <v>0</v>
      </c>
      <c r="D16" s="33">
        <f>+'Anexo 17'!D16*'Anexo 7'!$D$10</f>
        <v>0</v>
      </c>
      <c r="E16" s="33">
        <f>+'Anexo 17'!E16*'Anexo 7'!$D$10</f>
        <v>0</v>
      </c>
      <c r="F16" s="33">
        <f>+'Anexo 17'!F16*'Anexo 7'!$D$10</f>
        <v>0</v>
      </c>
      <c r="G16" s="33">
        <f>+'Anexo 17'!G16*'Anexo 7'!$D$10</f>
        <v>0</v>
      </c>
      <c r="H16" s="33">
        <f>+'Anexo 17'!H16*'Anexo 7'!$D$10</f>
        <v>0</v>
      </c>
      <c r="I16" s="33">
        <f>+'Anexo 17'!I16*'Anexo 7'!$D$10</f>
        <v>0</v>
      </c>
      <c r="J16" s="33">
        <f>+'Anexo 17'!J16*'Anexo 7'!$D$10</f>
        <v>0</v>
      </c>
      <c r="K16" s="33">
        <f>+'Anexo 17'!K16*'Anexo 7'!$D$10</f>
        <v>0</v>
      </c>
      <c r="L16" s="33">
        <f>+'Anexo 17'!L16*'Anexo 7'!$D$10</f>
        <v>0</v>
      </c>
      <c r="M16" s="33">
        <f>+'Anexo 17'!M16*'Anexo 7'!$D$10</f>
        <v>0</v>
      </c>
      <c r="N16" s="33">
        <f>+'Anexo 17'!N16*'Anexo 7'!$D$10</f>
        <v>0</v>
      </c>
      <c r="O16" s="33">
        <f>+'Anexo 17'!O16*'Anexo 7'!$D$10</f>
        <v>0</v>
      </c>
      <c r="P16" s="33">
        <f>+'Anexo 17'!P16*'Anexo 7'!$D$10</f>
        <v>0</v>
      </c>
      <c r="Q16" s="33">
        <f>+'Anexo 17'!Q16*'Anexo 7'!$D$10</f>
        <v>0</v>
      </c>
      <c r="R16" s="33">
        <f>+'Anexo 17'!R16*'Anexo 7'!$D$10</f>
        <v>0</v>
      </c>
      <c r="S16" s="33">
        <f>+'Anexo 17'!S16*'Anexo 7'!$D$10</f>
        <v>0</v>
      </c>
      <c r="T16" s="33">
        <f>+'Anexo 17'!T16*'Anexo 7'!$D$10</f>
        <v>0</v>
      </c>
      <c r="U16" s="33">
        <f>+'Anexo 17'!U16*'Anexo 7'!$D$10</f>
        <v>0</v>
      </c>
      <c r="V16" s="33">
        <f>+'Anexo 17'!V16*'Anexo 7'!$D$10</f>
        <v>0</v>
      </c>
      <c r="W16" s="33">
        <f>+'Anexo 17'!W16*'Anexo 7'!$D$10</f>
        <v>0</v>
      </c>
      <c r="X16" s="33">
        <f>+'Anexo 17'!X16*'Anexo 7'!$D$10</f>
        <v>0</v>
      </c>
      <c r="Y16" s="33">
        <f>+'Anexo 17'!Y16*'Anexo 7'!$D$10</f>
        <v>0</v>
      </c>
      <c r="Z16" s="33">
        <f>+'Anexo 17'!Z16*'Anexo 7'!$D$10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+'Anexo 17'!C17*'Anexo 7'!$D$10</f>
        <v>0</v>
      </c>
      <c r="D17" s="33">
        <f>+'Anexo 17'!D17*'Anexo 7'!$D$10</f>
        <v>0</v>
      </c>
      <c r="E17" s="33">
        <f>+'Anexo 17'!E17*'Anexo 7'!$D$10</f>
        <v>0</v>
      </c>
      <c r="F17" s="33">
        <f>+'Anexo 17'!F17*'Anexo 7'!$D$10</f>
        <v>0</v>
      </c>
      <c r="G17" s="33">
        <f>+'Anexo 17'!G17*'Anexo 7'!$D$10</f>
        <v>0</v>
      </c>
      <c r="H17" s="33">
        <f>+'Anexo 17'!H17*'Anexo 7'!$D$10</f>
        <v>0</v>
      </c>
      <c r="I17" s="33">
        <f>+'Anexo 17'!I17*'Anexo 7'!$D$10</f>
        <v>0</v>
      </c>
      <c r="J17" s="33">
        <f>+'Anexo 17'!J17*'Anexo 7'!$D$10</f>
        <v>0</v>
      </c>
      <c r="K17" s="33">
        <f>+'Anexo 17'!K17*'Anexo 7'!$D$10</f>
        <v>0</v>
      </c>
      <c r="L17" s="33">
        <f>+'Anexo 17'!L17*'Anexo 7'!$D$10</f>
        <v>0</v>
      </c>
      <c r="M17" s="33">
        <f>+'Anexo 17'!M17*'Anexo 7'!$D$10</f>
        <v>0</v>
      </c>
      <c r="N17" s="33">
        <f>+'Anexo 17'!N17*'Anexo 7'!$D$10</f>
        <v>0</v>
      </c>
      <c r="O17" s="33">
        <f>+'Anexo 17'!O17*'Anexo 7'!$D$10</f>
        <v>0</v>
      </c>
      <c r="P17" s="33">
        <f>+'Anexo 17'!P17*'Anexo 7'!$D$10</f>
        <v>0</v>
      </c>
      <c r="Q17" s="33">
        <f>+'Anexo 17'!Q17*'Anexo 7'!$D$10</f>
        <v>0</v>
      </c>
      <c r="R17" s="33">
        <f>+'Anexo 17'!R17*'Anexo 7'!$D$10</f>
        <v>0</v>
      </c>
      <c r="S17" s="33">
        <f>+'Anexo 17'!S17*'Anexo 7'!$D$10</f>
        <v>0</v>
      </c>
      <c r="T17" s="33">
        <f>+'Anexo 17'!T17*'Anexo 7'!$D$10</f>
        <v>0</v>
      </c>
      <c r="U17" s="33">
        <f>+'Anexo 17'!U17*'Anexo 7'!$D$10</f>
        <v>0</v>
      </c>
      <c r="V17" s="33">
        <f>+'Anexo 17'!V17*'Anexo 7'!$D$10</f>
        <v>0</v>
      </c>
      <c r="W17" s="33">
        <f>+'Anexo 17'!W17*'Anexo 7'!$D$10</f>
        <v>0</v>
      </c>
      <c r="X17" s="33">
        <f>+'Anexo 17'!X17*'Anexo 7'!$D$10</f>
        <v>0</v>
      </c>
      <c r="Y17" s="33">
        <f>+'Anexo 17'!Y17*'Anexo 7'!$D$10</f>
        <v>0</v>
      </c>
      <c r="Z17" s="33">
        <f>+'Anexo 17'!Z17*'Anexo 7'!$D$10</f>
        <v>0</v>
      </c>
      <c r="AA17" s="41">
        <f t="shared" si="0"/>
        <v>0</v>
      </c>
      <c r="AB17" s="23">
        <v>4</v>
      </c>
      <c r="AC17" s="102"/>
      <c r="AD17" s="48"/>
    </row>
    <row r="18" spans="1:30" ht="15.75" thickBot="1" x14ac:dyDescent="0.3">
      <c r="A18" s="99">
        <v>48335</v>
      </c>
      <c r="B18" s="18" t="s">
        <v>5</v>
      </c>
      <c r="C18" s="33">
        <f>+'Anexo 17'!C18*'Anexo 7'!$D$10</f>
        <v>0</v>
      </c>
      <c r="D18" s="33">
        <f>+'Anexo 17'!D18*'Anexo 7'!$D$10</f>
        <v>0</v>
      </c>
      <c r="E18" s="33">
        <f>+'Anexo 17'!E18*'Anexo 7'!$D$10</f>
        <v>0</v>
      </c>
      <c r="F18" s="33">
        <f>+'Anexo 17'!F18*'Anexo 7'!$D$10</f>
        <v>0</v>
      </c>
      <c r="G18" s="33">
        <f>+'Anexo 17'!G18*'Anexo 7'!$D$10</f>
        <v>0</v>
      </c>
      <c r="H18" s="33">
        <f>+'Anexo 17'!H18*'Anexo 7'!$D$10</f>
        <v>0</v>
      </c>
      <c r="I18" s="33">
        <f>+'Anexo 17'!I18*'Anexo 7'!$D$10</f>
        <v>0</v>
      </c>
      <c r="J18" s="33">
        <f>+'Anexo 17'!J18*'Anexo 7'!$D$10</f>
        <v>0</v>
      </c>
      <c r="K18" s="33">
        <f>+'Anexo 17'!K18*'Anexo 7'!$D$10</f>
        <v>0</v>
      </c>
      <c r="L18" s="33">
        <f>+'Anexo 17'!L18*'Anexo 7'!$D$10</f>
        <v>0</v>
      </c>
      <c r="M18" s="33">
        <f>+'Anexo 17'!M18*'Anexo 7'!$D$10</f>
        <v>0</v>
      </c>
      <c r="N18" s="33">
        <f>+'Anexo 17'!N18*'Anexo 7'!$D$10</f>
        <v>0</v>
      </c>
      <c r="O18" s="33">
        <f>+'Anexo 17'!O18*'Anexo 7'!$D$10</f>
        <v>0</v>
      </c>
      <c r="P18" s="33">
        <f>+'Anexo 17'!P18*'Anexo 7'!$D$10</f>
        <v>0</v>
      </c>
      <c r="Q18" s="33">
        <f>+'Anexo 17'!Q18*'Anexo 7'!$D$10</f>
        <v>0</v>
      </c>
      <c r="R18" s="33">
        <f>+'Anexo 17'!R18*'Anexo 7'!$D$10</f>
        <v>0</v>
      </c>
      <c r="S18" s="33">
        <f>+'Anexo 17'!S18*'Anexo 7'!$D$10</f>
        <v>0</v>
      </c>
      <c r="T18" s="33">
        <f>+'Anexo 17'!T18*'Anexo 7'!$D$10</f>
        <v>0</v>
      </c>
      <c r="U18" s="33">
        <f>+'Anexo 17'!U18*'Anexo 7'!$D$10</f>
        <v>0</v>
      </c>
      <c r="V18" s="33">
        <f>+'Anexo 17'!V18*'Anexo 7'!$D$10</f>
        <v>0</v>
      </c>
      <c r="W18" s="33">
        <f>+'Anexo 17'!W18*'Anexo 7'!$D$10</f>
        <v>0</v>
      </c>
      <c r="X18" s="33">
        <f>+'Anexo 17'!X18*'Anexo 7'!$D$10</f>
        <v>0</v>
      </c>
      <c r="Y18" s="33">
        <f>+'Anexo 17'!Y18*'Anexo 7'!$D$10</f>
        <v>0</v>
      </c>
      <c r="Z18" s="33">
        <f>+'Anexo 17'!Z18*'Anexo 7'!$D$10</f>
        <v>0</v>
      </c>
      <c r="AA18" s="35">
        <f t="shared" si="0"/>
        <v>0</v>
      </c>
      <c r="AB18" s="19">
        <v>19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+'Anexo 17'!C19*'Anexo 7'!$D$10</f>
        <v>0</v>
      </c>
      <c r="D19" s="33">
        <f>+'Anexo 17'!D19*'Anexo 7'!$D$10</f>
        <v>0</v>
      </c>
      <c r="E19" s="33">
        <f>+'Anexo 17'!E19*'Anexo 7'!$D$10</f>
        <v>0</v>
      </c>
      <c r="F19" s="33">
        <f>+'Anexo 17'!F19*'Anexo 7'!$D$10</f>
        <v>0</v>
      </c>
      <c r="G19" s="33">
        <f>+'Anexo 17'!G19*'Anexo 7'!$D$10</f>
        <v>0</v>
      </c>
      <c r="H19" s="33">
        <f>+'Anexo 17'!H19*'Anexo 7'!$D$10</f>
        <v>0</v>
      </c>
      <c r="I19" s="33">
        <f>+'Anexo 17'!I19*'Anexo 7'!$D$10</f>
        <v>0</v>
      </c>
      <c r="J19" s="33">
        <f>+'Anexo 17'!J19*'Anexo 7'!$D$10</f>
        <v>0</v>
      </c>
      <c r="K19" s="33">
        <f>+'Anexo 17'!K19*'Anexo 7'!$D$10</f>
        <v>0</v>
      </c>
      <c r="L19" s="33">
        <f>+'Anexo 17'!L19*'Anexo 7'!$D$10</f>
        <v>0</v>
      </c>
      <c r="M19" s="33">
        <f>+'Anexo 17'!M19*'Anexo 7'!$D$10</f>
        <v>0</v>
      </c>
      <c r="N19" s="33">
        <f>+'Anexo 17'!N19*'Anexo 7'!$D$10</f>
        <v>0</v>
      </c>
      <c r="O19" s="33">
        <f>+'Anexo 17'!O19*'Anexo 7'!$D$10</f>
        <v>0</v>
      </c>
      <c r="P19" s="33">
        <f>+'Anexo 17'!P19*'Anexo 7'!$D$10</f>
        <v>0</v>
      </c>
      <c r="Q19" s="33">
        <f>+'Anexo 17'!Q19*'Anexo 7'!$D$10</f>
        <v>0</v>
      </c>
      <c r="R19" s="33">
        <f>+'Anexo 17'!R19*'Anexo 7'!$D$10</f>
        <v>0</v>
      </c>
      <c r="S19" s="33">
        <f>+'Anexo 17'!S19*'Anexo 7'!$D$10</f>
        <v>0</v>
      </c>
      <c r="T19" s="33">
        <f>+'Anexo 17'!T19*'Anexo 7'!$D$10</f>
        <v>0</v>
      </c>
      <c r="U19" s="33">
        <f>+'Anexo 17'!U19*'Anexo 7'!$D$10</f>
        <v>0</v>
      </c>
      <c r="V19" s="33">
        <f>+'Anexo 17'!V19*'Anexo 7'!$D$10</f>
        <v>0</v>
      </c>
      <c r="W19" s="33">
        <f>+'Anexo 17'!W19*'Anexo 7'!$D$10</f>
        <v>0</v>
      </c>
      <c r="X19" s="33">
        <f>+'Anexo 17'!X19*'Anexo 7'!$D$10</f>
        <v>0</v>
      </c>
      <c r="Y19" s="33">
        <f>+'Anexo 17'!Y19*'Anexo 7'!$D$10</f>
        <v>0</v>
      </c>
      <c r="Z19" s="33">
        <f>+'Anexo 17'!Z19*'Anexo 7'!$D$10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+'Anexo 17'!C20*'Anexo 7'!$D$10</f>
        <v>0</v>
      </c>
      <c r="D20" s="33">
        <f>+'Anexo 17'!D20*'Anexo 7'!$D$10</f>
        <v>0</v>
      </c>
      <c r="E20" s="33">
        <f>+'Anexo 17'!E20*'Anexo 7'!$D$10</f>
        <v>0</v>
      </c>
      <c r="F20" s="33">
        <f>+'Anexo 17'!F20*'Anexo 7'!$D$10</f>
        <v>0</v>
      </c>
      <c r="G20" s="33">
        <f>+'Anexo 17'!G20*'Anexo 7'!$D$10</f>
        <v>0</v>
      </c>
      <c r="H20" s="33">
        <f>+'Anexo 17'!H20*'Anexo 7'!$D$10</f>
        <v>0</v>
      </c>
      <c r="I20" s="33">
        <f>+'Anexo 17'!I20*'Anexo 7'!$D$10</f>
        <v>0</v>
      </c>
      <c r="J20" s="33">
        <f>+'Anexo 17'!J20*'Anexo 7'!$D$10</f>
        <v>0</v>
      </c>
      <c r="K20" s="33">
        <f>+'Anexo 17'!K20*'Anexo 7'!$D$10</f>
        <v>0</v>
      </c>
      <c r="L20" s="33">
        <f>+'Anexo 17'!L20*'Anexo 7'!$D$10</f>
        <v>0</v>
      </c>
      <c r="M20" s="33">
        <f>+'Anexo 17'!M20*'Anexo 7'!$D$10</f>
        <v>0</v>
      </c>
      <c r="N20" s="33">
        <f>+'Anexo 17'!N20*'Anexo 7'!$D$10</f>
        <v>0</v>
      </c>
      <c r="O20" s="33">
        <f>+'Anexo 17'!O20*'Anexo 7'!$D$10</f>
        <v>0</v>
      </c>
      <c r="P20" s="33">
        <f>+'Anexo 17'!P20*'Anexo 7'!$D$10</f>
        <v>0</v>
      </c>
      <c r="Q20" s="33">
        <f>+'Anexo 17'!Q20*'Anexo 7'!$D$10</f>
        <v>0</v>
      </c>
      <c r="R20" s="33">
        <f>+'Anexo 17'!R20*'Anexo 7'!$D$10</f>
        <v>0</v>
      </c>
      <c r="S20" s="33">
        <f>+'Anexo 17'!S20*'Anexo 7'!$D$10</f>
        <v>0</v>
      </c>
      <c r="T20" s="33">
        <f>+'Anexo 17'!T20*'Anexo 7'!$D$10</f>
        <v>0</v>
      </c>
      <c r="U20" s="33">
        <f>+'Anexo 17'!U20*'Anexo 7'!$D$10</f>
        <v>0</v>
      </c>
      <c r="V20" s="33">
        <f>+'Anexo 17'!V20*'Anexo 7'!$D$10</f>
        <v>0</v>
      </c>
      <c r="W20" s="33">
        <f>+'Anexo 17'!W20*'Anexo 7'!$D$10</f>
        <v>0</v>
      </c>
      <c r="X20" s="33">
        <f>+'Anexo 17'!X20*'Anexo 7'!$D$10</f>
        <v>0</v>
      </c>
      <c r="Y20" s="33">
        <f>+'Anexo 17'!Y20*'Anexo 7'!$D$10</f>
        <v>0</v>
      </c>
      <c r="Z20" s="33">
        <f>+'Anexo 17'!Z20*'Anexo 7'!$D$10</f>
        <v>0</v>
      </c>
      <c r="AA20" s="41">
        <f t="shared" si="0"/>
        <v>0</v>
      </c>
      <c r="AB20" s="23">
        <v>8</v>
      </c>
      <c r="AC20" s="102"/>
      <c r="AD20" s="48"/>
    </row>
    <row r="21" spans="1:30" ht="15.75" thickBot="1" x14ac:dyDescent="0.3">
      <c r="A21" s="99">
        <v>48366</v>
      </c>
      <c r="B21" s="18" t="s">
        <v>5</v>
      </c>
      <c r="C21" s="33">
        <f>+'Anexo 17'!C21*'Anexo 7'!$D$10</f>
        <v>0</v>
      </c>
      <c r="D21" s="33">
        <f>+'Anexo 17'!D21*'Anexo 7'!$D$10</f>
        <v>0</v>
      </c>
      <c r="E21" s="33">
        <f>+'Anexo 17'!E21*'Anexo 7'!$D$10</f>
        <v>0</v>
      </c>
      <c r="F21" s="33">
        <f>+'Anexo 17'!F21*'Anexo 7'!$D$10</f>
        <v>0</v>
      </c>
      <c r="G21" s="33">
        <f>+'Anexo 17'!G21*'Anexo 7'!$D$10</f>
        <v>0</v>
      </c>
      <c r="H21" s="33">
        <f>+'Anexo 17'!H21*'Anexo 7'!$D$10</f>
        <v>0</v>
      </c>
      <c r="I21" s="33">
        <f>+'Anexo 17'!I21*'Anexo 7'!$D$10</f>
        <v>0</v>
      </c>
      <c r="J21" s="33">
        <f>+'Anexo 17'!J21*'Anexo 7'!$D$10</f>
        <v>0</v>
      </c>
      <c r="K21" s="33">
        <f>+'Anexo 17'!K21*'Anexo 7'!$D$10</f>
        <v>0</v>
      </c>
      <c r="L21" s="33">
        <f>+'Anexo 17'!L21*'Anexo 7'!$D$10</f>
        <v>0</v>
      </c>
      <c r="M21" s="33">
        <f>+'Anexo 17'!M21*'Anexo 7'!$D$10</f>
        <v>0</v>
      </c>
      <c r="N21" s="33">
        <f>+'Anexo 17'!N21*'Anexo 7'!$D$10</f>
        <v>0</v>
      </c>
      <c r="O21" s="33">
        <f>+'Anexo 17'!O21*'Anexo 7'!$D$10</f>
        <v>0</v>
      </c>
      <c r="P21" s="33">
        <f>+'Anexo 17'!P21*'Anexo 7'!$D$10</f>
        <v>0</v>
      </c>
      <c r="Q21" s="33">
        <f>+'Anexo 17'!Q21*'Anexo 7'!$D$10</f>
        <v>0</v>
      </c>
      <c r="R21" s="33">
        <f>+'Anexo 17'!R21*'Anexo 7'!$D$10</f>
        <v>0</v>
      </c>
      <c r="S21" s="33">
        <f>+'Anexo 17'!S21*'Anexo 7'!$D$10</f>
        <v>0</v>
      </c>
      <c r="T21" s="33">
        <f>+'Anexo 17'!T21*'Anexo 7'!$D$10</f>
        <v>0</v>
      </c>
      <c r="U21" s="33">
        <f>+'Anexo 17'!U21*'Anexo 7'!$D$10</f>
        <v>0</v>
      </c>
      <c r="V21" s="33">
        <f>+'Anexo 17'!V21*'Anexo 7'!$D$10</f>
        <v>0</v>
      </c>
      <c r="W21" s="33">
        <f>+'Anexo 17'!W21*'Anexo 7'!$D$10</f>
        <v>0</v>
      </c>
      <c r="X21" s="33">
        <f>+'Anexo 17'!X21*'Anexo 7'!$D$10</f>
        <v>0</v>
      </c>
      <c r="Y21" s="33">
        <f>+'Anexo 17'!Y21*'Anexo 7'!$D$10</f>
        <v>0</v>
      </c>
      <c r="Z21" s="33">
        <f>+'Anexo 17'!Z21*'Anexo 7'!$D$10</f>
        <v>0</v>
      </c>
      <c r="AA21" s="35">
        <f t="shared" si="0"/>
        <v>0</v>
      </c>
      <c r="AB21" s="19">
        <v>21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+'Anexo 17'!C22*'Anexo 7'!$D$10</f>
        <v>0</v>
      </c>
      <c r="D22" s="33">
        <f>+'Anexo 17'!D22*'Anexo 7'!$D$10</f>
        <v>0</v>
      </c>
      <c r="E22" s="33">
        <f>+'Anexo 17'!E22*'Anexo 7'!$D$10</f>
        <v>0</v>
      </c>
      <c r="F22" s="33">
        <f>+'Anexo 17'!F22*'Anexo 7'!$D$10</f>
        <v>0</v>
      </c>
      <c r="G22" s="33">
        <f>+'Anexo 17'!G22*'Anexo 7'!$D$10</f>
        <v>0</v>
      </c>
      <c r="H22" s="33">
        <f>+'Anexo 17'!H22*'Anexo 7'!$D$10</f>
        <v>0</v>
      </c>
      <c r="I22" s="33">
        <f>+'Anexo 17'!I22*'Anexo 7'!$D$10</f>
        <v>0</v>
      </c>
      <c r="J22" s="33">
        <f>+'Anexo 17'!J22*'Anexo 7'!$D$10</f>
        <v>0</v>
      </c>
      <c r="K22" s="33">
        <f>+'Anexo 17'!K22*'Anexo 7'!$D$10</f>
        <v>0</v>
      </c>
      <c r="L22" s="33">
        <f>+'Anexo 17'!L22*'Anexo 7'!$D$10</f>
        <v>0</v>
      </c>
      <c r="M22" s="33">
        <f>+'Anexo 17'!M22*'Anexo 7'!$D$10</f>
        <v>0</v>
      </c>
      <c r="N22" s="33">
        <f>+'Anexo 17'!N22*'Anexo 7'!$D$10</f>
        <v>0</v>
      </c>
      <c r="O22" s="33">
        <f>+'Anexo 17'!O22*'Anexo 7'!$D$10</f>
        <v>0</v>
      </c>
      <c r="P22" s="33">
        <f>+'Anexo 17'!P22*'Anexo 7'!$D$10</f>
        <v>0</v>
      </c>
      <c r="Q22" s="33">
        <f>+'Anexo 17'!Q22*'Anexo 7'!$D$10</f>
        <v>0</v>
      </c>
      <c r="R22" s="33">
        <f>+'Anexo 17'!R22*'Anexo 7'!$D$10</f>
        <v>0</v>
      </c>
      <c r="S22" s="33">
        <f>+'Anexo 17'!S22*'Anexo 7'!$D$10</f>
        <v>0</v>
      </c>
      <c r="T22" s="33">
        <f>+'Anexo 17'!T22*'Anexo 7'!$D$10</f>
        <v>0</v>
      </c>
      <c r="U22" s="33">
        <f>+'Anexo 17'!U22*'Anexo 7'!$D$10</f>
        <v>0</v>
      </c>
      <c r="V22" s="33">
        <f>+'Anexo 17'!V22*'Anexo 7'!$D$10</f>
        <v>0</v>
      </c>
      <c r="W22" s="33">
        <f>+'Anexo 17'!W22*'Anexo 7'!$D$10</f>
        <v>0</v>
      </c>
      <c r="X22" s="33">
        <f>+'Anexo 17'!X22*'Anexo 7'!$D$10</f>
        <v>0</v>
      </c>
      <c r="Y22" s="33">
        <f>+'Anexo 17'!Y22*'Anexo 7'!$D$10</f>
        <v>0</v>
      </c>
      <c r="Z22" s="33">
        <f>+'Anexo 17'!Z22*'Anexo 7'!$D$10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+'Anexo 17'!C23*'Anexo 7'!$D$10</f>
        <v>0</v>
      </c>
      <c r="D23" s="33">
        <f>+'Anexo 17'!D23*'Anexo 7'!$D$10</f>
        <v>0</v>
      </c>
      <c r="E23" s="33">
        <f>+'Anexo 17'!E23*'Anexo 7'!$D$10</f>
        <v>0</v>
      </c>
      <c r="F23" s="33">
        <f>+'Anexo 17'!F23*'Anexo 7'!$D$10</f>
        <v>0</v>
      </c>
      <c r="G23" s="33">
        <f>+'Anexo 17'!G23*'Anexo 7'!$D$10</f>
        <v>0</v>
      </c>
      <c r="H23" s="33">
        <f>+'Anexo 17'!H23*'Anexo 7'!$D$10</f>
        <v>0</v>
      </c>
      <c r="I23" s="33">
        <f>+'Anexo 17'!I23*'Anexo 7'!$D$10</f>
        <v>0</v>
      </c>
      <c r="J23" s="33">
        <f>+'Anexo 17'!J23*'Anexo 7'!$D$10</f>
        <v>0</v>
      </c>
      <c r="K23" s="33">
        <f>+'Anexo 17'!K23*'Anexo 7'!$D$10</f>
        <v>0</v>
      </c>
      <c r="L23" s="33">
        <f>+'Anexo 17'!L23*'Anexo 7'!$D$10</f>
        <v>0</v>
      </c>
      <c r="M23" s="33">
        <f>+'Anexo 17'!M23*'Anexo 7'!$D$10</f>
        <v>0</v>
      </c>
      <c r="N23" s="33">
        <f>+'Anexo 17'!N23*'Anexo 7'!$D$10</f>
        <v>0</v>
      </c>
      <c r="O23" s="33">
        <f>+'Anexo 17'!O23*'Anexo 7'!$D$10</f>
        <v>0</v>
      </c>
      <c r="P23" s="33">
        <f>+'Anexo 17'!P23*'Anexo 7'!$D$10</f>
        <v>0</v>
      </c>
      <c r="Q23" s="33">
        <f>+'Anexo 17'!Q23*'Anexo 7'!$D$10</f>
        <v>0</v>
      </c>
      <c r="R23" s="33">
        <f>+'Anexo 17'!R23*'Anexo 7'!$D$10</f>
        <v>0</v>
      </c>
      <c r="S23" s="33">
        <f>+'Anexo 17'!S23*'Anexo 7'!$D$10</f>
        <v>0</v>
      </c>
      <c r="T23" s="33">
        <f>+'Anexo 17'!T23*'Anexo 7'!$D$10</f>
        <v>0</v>
      </c>
      <c r="U23" s="33">
        <f>+'Anexo 17'!U23*'Anexo 7'!$D$10</f>
        <v>0</v>
      </c>
      <c r="V23" s="33">
        <f>+'Anexo 17'!V23*'Anexo 7'!$D$10</f>
        <v>0</v>
      </c>
      <c r="W23" s="33">
        <f>+'Anexo 17'!W23*'Anexo 7'!$D$10</f>
        <v>0</v>
      </c>
      <c r="X23" s="33">
        <f>+'Anexo 17'!X23*'Anexo 7'!$D$10</f>
        <v>0</v>
      </c>
      <c r="Y23" s="33">
        <f>+'Anexo 17'!Y23*'Anexo 7'!$D$10</f>
        <v>0</v>
      </c>
      <c r="Z23" s="33">
        <f>+'Anexo 17'!Z23*'Anexo 7'!$D$10</f>
        <v>0</v>
      </c>
      <c r="AA23" s="41">
        <f t="shared" si="0"/>
        <v>0</v>
      </c>
      <c r="AB23" s="23">
        <v>5</v>
      </c>
      <c r="AC23" s="102"/>
      <c r="AD23" s="48"/>
    </row>
    <row r="24" spans="1:30" ht="15.75" thickBot="1" x14ac:dyDescent="0.3">
      <c r="A24" s="99">
        <v>48396</v>
      </c>
      <c r="B24" s="18" t="s">
        <v>5</v>
      </c>
      <c r="C24" s="33">
        <f>+'Anexo 17'!C24*'Anexo 7'!$D$10</f>
        <v>0</v>
      </c>
      <c r="D24" s="33">
        <f>+'Anexo 17'!D24*'Anexo 7'!$D$10</f>
        <v>0</v>
      </c>
      <c r="E24" s="33">
        <f>+'Anexo 17'!E24*'Anexo 7'!$D$10</f>
        <v>0</v>
      </c>
      <c r="F24" s="33">
        <f>+'Anexo 17'!F24*'Anexo 7'!$D$10</f>
        <v>0</v>
      </c>
      <c r="G24" s="33">
        <f>+'Anexo 17'!G24*'Anexo 7'!$D$10</f>
        <v>0</v>
      </c>
      <c r="H24" s="33">
        <f>+'Anexo 17'!H24*'Anexo 7'!$D$10</f>
        <v>0</v>
      </c>
      <c r="I24" s="33">
        <f>+'Anexo 17'!I24*'Anexo 7'!$D$10</f>
        <v>0</v>
      </c>
      <c r="J24" s="33">
        <f>+'Anexo 17'!J24*'Anexo 7'!$D$10</f>
        <v>0</v>
      </c>
      <c r="K24" s="33">
        <f>+'Anexo 17'!K24*'Anexo 7'!$D$10</f>
        <v>0</v>
      </c>
      <c r="L24" s="33">
        <f>+'Anexo 17'!L24*'Anexo 7'!$D$10</f>
        <v>0</v>
      </c>
      <c r="M24" s="33">
        <f>+'Anexo 17'!M24*'Anexo 7'!$D$10</f>
        <v>0</v>
      </c>
      <c r="N24" s="33">
        <f>+'Anexo 17'!N24*'Anexo 7'!$D$10</f>
        <v>0</v>
      </c>
      <c r="O24" s="33">
        <f>+'Anexo 17'!O24*'Anexo 7'!$D$10</f>
        <v>0</v>
      </c>
      <c r="P24" s="33">
        <f>+'Anexo 17'!P24*'Anexo 7'!$D$10</f>
        <v>0</v>
      </c>
      <c r="Q24" s="33">
        <f>+'Anexo 17'!Q24*'Anexo 7'!$D$10</f>
        <v>0</v>
      </c>
      <c r="R24" s="33">
        <f>+'Anexo 17'!R24*'Anexo 7'!$D$10</f>
        <v>0</v>
      </c>
      <c r="S24" s="33">
        <f>+'Anexo 17'!S24*'Anexo 7'!$D$10</f>
        <v>0</v>
      </c>
      <c r="T24" s="33">
        <f>+'Anexo 17'!T24*'Anexo 7'!$D$10</f>
        <v>0</v>
      </c>
      <c r="U24" s="33">
        <f>+'Anexo 17'!U24*'Anexo 7'!$D$10</f>
        <v>0</v>
      </c>
      <c r="V24" s="33">
        <f>+'Anexo 17'!V24*'Anexo 7'!$D$10</f>
        <v>0</v>
      </c>
      <c r="W24" s="33">
        <f>+'Anexo 17'!W24*'Anexo 7'!$D$10</f>
        <v>0</v>
      </c>
      <c r="X24" s="33">
        <f>+'Anexo 17'!X24*'Anexo 7'!$D$10</f>
        <v>0</v>
      </c>
      <c r="Y24" s="33">
        <f>+'Anexo 17'!Y24*'Anexo 7'!$D$10</f>
        <v>0</v>
      </c>
      <c r="Z24" s="33">
        <f>+'Anexo 17'!Z24*'Anexo 7'!$D$10</f>
        <v>0</v>
      </c>
      <c r="AA24" s="35">
        <f t="shared" si="0"/>
        <v>0</v>
      </c>
      <c r="AB24" s="19">
        <v>20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+'Anexo 17'!C25*'Anexo 7'!$D$10</f>
        <v>0</v>
      </c>
      <c r="D25" s="33">
        <f>+'Anexo 17'!D25*'Anexo 7'!$D$10</f>
        <v>0</v>
      </c>
      <c r="E25" s="33">
        <f>+'Anexo 17'!E25*'Anexo 7'!$D$10</f>
        <v>0</v>
      </c>
      <c r="F25" s="33">
        <f>+'Anexo 17'!F25*'Anexo 7'!$D$10</f>
        <v>0</v>
      </c>
      <c r="G25" s="33">
        <f>+'Anexo 17'!G25*'Anexo 7'!$D$10</f>
        <v>0</v>
      </c>
      <c r="H25" s="33">
        <f>+'Anexo 17'!H25*'Anexo 7'!$D$10</f>
        <v>0</v>
      </c>
      <c r="I25" s="33">
        <f>+'Anexo 17'!I25*'Anexo 7'!$D$10</f>
        <v>0</v>
      </c>
      <c r="J25" s="33">
        <f>+'Anexo 17'!J25*'Anexo 7'!$D$10</f>
        <v>0</v>
      </c>
      <c r="K25" s="33">
        <f>+'Anexo 17'!K25*'Anexo 7'!$D$10</f>
        <v>0</v>
      </c>
      <c r="L25" s="33">
        <f>+'Anexo 17'!L25*'Anexo 7'!$D$10</f>
        <v>0</v>
      </c>
      <c r="M25" s="33">
        <f>+'Anexo 17'!M25*'Anexo 7'!$D$10</f>
        <v>0</v>
      </c>
      <c r="N25" s="33">
        <f>+'Anexo 17'!N25*'Anexo 7'!$D$10</f>
        <v>0</v>
      </c>
      <c r="O25" s="33">
        <f>+'Anexo 17'!O25*'Anexo 7'!$D$10</f>
        <v>0</v>
      </c>
      <c r="P25" s="33">
        <f>+'Anexo 17'!P25*'Anexo 7'!$D$10</f>
        <v>0</v>
      </c>
      <c r="Q25" s="33">
        <f>+'Anexo 17'!Q25*'Anexo 7'!$D$10</f>
        <v>0</v>
      </c>
      <c r="R25" s="33">
        <f>+'Anexo 17'!R25*'Anexo 7'!$D$10</f>
        <v>0</v>
      </c>
      <c r="S25" s="33">
        <f>+'Anexo 17'!S25*'Anexo 7'!$D$10</f>
        <v>0</v>
      </c>
      <c r="T25" s="33">
        <f>+'Anexo 17'!T25*'Anexo 7'!$D$10</f>
        <v>0</v>
      </c>
      <c r="U25" s="33">
        <f>+'Anexo 17'!U25*'Anexo 7'!$D$10</f>
        <v>0</v>
      </c>
      <c r="V25" s="33">
        <f>+'Anexo 17'!V25*'Anexo 7'!$D$10</f>
        <v>0</v>
      </c>
      <c r="W25" s="33">
        <f>+'Anexo 17'!W25*'Anexo 7'!$D$10</f>
        <v>0</v>
      </c>
      <c r="X25" s="33">
        <f>+'Anexo 17'!X25*'Anexo 7'!$D$10</f>
        <v>0</v>
      </c>
      <c r="Y25" s="33">
        <f>+'Anexo 17'!Y25*'Anexo 7'!$D$10</f>
        <v>0</v>
      </c>
      <c r="Z25" s="33">
        <f>+'Anexo 17'!Z25*'Anexo 7'!$D$10</f>
        <v>0</v>
      </c>
      <c r="AA25" s="38">
        <f t="shared" si="0"/>
        <v>0</v>
      </c>
      <c r="AB25" s="21">
        <v>5</v>
      </c>
      <c r="AC25" s="101"/>
      <c r="AD25" s="47"/>
    </row>
    <row r="26" spans="1:30" ht="15.75" thickBot="1" x14ac:dyDescent="0.3">
      <c r="A26" s="99"/>
      <c r="B26" s="22" t="s">
        <v>3</v>
      </c>
      <c r="C26" s="33">
        <f>+'Anexo 17'!C26*'Anexo 7'!$D$10</f>
        <v>0</v>
      </c>
      <c r="D26" s="33">
        <f>+'Anexo 17'!D26*'Anexo 7'!$D$10</f>
        <v>0</v>
      </c>
      <c r="E26" s="33">
        <f>+'Anexo 17'!E26*'Anexo 7'!$D$10</f>
        <v>0</v>
      </c>
      <c r="F26" s="33">
        <f>+'Anexo 17'!F26*'Anexo 7'!$D$10</f>
        <v>0</v>
      </c>
      <c r="G26" s="33">
        <f>+'Anexo 17'!G26*'Anexo 7'!$D$10</f>
        <v>0</v>
      </c>
      <c r="H26" s="33">
        <f>+'Anexo 17'!H26*'Anexo 7'!$D$10</f>
        <v>0</v>
      </c>
      <c r="I26" s="33">
        <f>+'Anexo 17'!I26*'Anexo 7'!$D$10</f>
        <v>0</v>
      </c>
      <c r="J26" s="33">
        <f>+'Anexo 17'!J26*'Anexo 7'!$D$10</f>
        <v>0</v>
      </c>
      <c r="K26" s="33">
        <f>+'Anexo 17'!K26*'Anexo 7'!$D$10</f>
        <v>0</v>
      </c>
      <c r="L26" s="33">
        <f>+'Anexo 17'!L26*'Anexo 7'!$D$10</f>
        <v>0</v>
      </c>
      <c r="M26" s="33">
        <f>+'Anexo 17'!M26*'Anexo 7'!$D$10</f>
        <v>0</v>
      </c>
      <c r="N26" s="33">
        <f>+'Anexo 17'!N26*'Anexo 7'!$D$10</f>
        <v>0</v>
      </c>
      <c r="O26" s="33">
        <f>+'Anexo 17'!O26*'Anexo 7'!$D$10</f>
        <v>0</v>
      </c>
      <c r="P26" s="33">
        <f>+'Anexo 17'!P26*'Anexo 7'!$D$10</f>
        <v>0</v>
      </c>
      <c r="Q26" s="33">
        <f>+'Anexo 17'!Q26*'Anexo 7'!$D$10</f>
        <v>0</v>
      </c>
      <c r="R26" s="33">
        <f>+'Anexo 17'!R26*'Anexo 7'!$D$10</f>
        <v>0</v>
      </c>
      <c r="S26" s="33">
        <f>+'Anexo 17'!S26*'Anexo 7'!$D$10</f>
        <v>0</v>
      </c>
      <c r="T26" s="33">
        <f>+'Anexo 17'!T26*'Anexo 7'!$D$10</f>
        <v>0</v>
      </c>
      <c r="U26" s="33">
        <f>+'Anexo 17'!U26*'Anexo 7'!$D$10</f>
        <v>0</v>
      </c>
      <c r="V26" s="33">
        <f>+'Anexo 17'!V26*'Anexo 7'!$D$10</f>
        <v>0</v>
      </c>
      <c r="W26" s="33">
        <f>+'Anexo 17'!W26*'Anexo 7'!$D$10</f>
        <v>0</v>
      </c>
      <c r="X26" s="33">
        <f>+'Anexo 17'!X26*'Anexo 7'!$D$10</f>
        <v>0</v>
      </c>
      <c r="Y26" s="33">
        <f>+'Anexo 17'!Y26*'Anexo 7'!$D$10</f>
        <v>0</v>
      </c>
      <c r="Z26" s="33">
        <f>+'Anexo 17'!Z26*'Anexo 7'!$D$10</f>
        <v>0</v>
      </c>
      <c r="AA26" s="41">
        <f t="shared" si="0"/>
        <v>0</v>
      </c>
      <c r="AB26" s="23">
        <v>6</v>
      </c>
      <c r="AC26" s="102"/>
      <c r="AD26" s="48"/>
    </row>
    <row r="27" spans="1:30" ht="15.75" thickBot="1" x14ac:dyDescent="0.3">
      <c r="A27" s="99">
        <v>48427</v>
      </c>
      <c r="B27" s="18" t="s">
        <v>5</v>
      </c>
      <c r="C27" s="33">
        <f>+'Anexo 17'!C27*'Anexo 7'!$D$10</f>
        <v>0</v>
      </c>
      <c r="D27" s="33">
        <f>+'Anexo 17'!D27*'Anexo 7'!$D$10</f>
        <v>0</v>
      </c>
      <c r="E27" s="33">
        <f>+'Anexo 17'!E27*'Anexo 7'!$D$10</f>
        <v>0</v>
      </c>
      <c r="F27" s="33">
        <f>+'Anexo 17'!F27*'Anexo 7'!$D$10</f>
        <v>0</v>
      </c>
      <c r="G27" s="33">
        <f>+'Anexo 17'!G27*'Anexo 7'!$D$10</f>
        <v>0</v>
      </c>
      <c r="H27" s="33">
        <f>+'Anexo 17'!H27*'Anexo 7'!$D$10</f>
        <v>0</v>
      </c>
      <c r="I27" s="33">
        <f>+'Anexo 17'!I27*'Anexo 7'!$D$10</f>
        <v>0</v>
      </c>
      <c r="J27" s="33">
        <f>+'Anexo 17'!J27*'Anexo 7'!$D$10</f>
        <v>0</v>
      </c>
      <c r="K27" s="33">
        <f>+'Anexo 17'!K27*'Anexo 7'!$D$10</f>
        <v>0</v>
      </c>
      <c r="L27" s="33">
        <f>+'Anexo 17'!L27*'Anexo 7'!$D$10</f>
        <v>0</v>
      </c>
      <c r="M27" s="33">
        <f>+'Anexo 17'!M27*'Anexo 7'!$D$10</f>
        <v>0</v>
      </c>
      <c r="N27" s="33">
        <f>+'Anexo 17'!N27*'Anexo 7'!$D$10</f>
        <v>0</v>
      </c>
      <c r="O27" s="33">
        <f>+'Anexo 17'!O27*'Anexo 7'!$D$10</f>
        <v>0</v>
      </c>
      <c r="P27" s="33">
        <f>+'Anexo 17'!P27*'Anexo 7'!$D$10</f>
        <v>0</v>
      </c>
      <c r="Q27" s="33">
        <f>+'Anexo 17'!Q27*'Anexo 7'!$D$10</f>
        <v>0</v>
      </c>
      <c r="R27" s="33">
        <f>+'Anexo 17'!R27*'Anexo 7'!$D$10</f>
        <v>0</v>
      </c>
      <c r="S27" s="33">
        <f>+'Anexo 17'!S27*'Anexo 7'!$D$10</f>
        <v>0</v>
      </c>
      <c r="T27" s="33">
        <f>+'Anexo 17'!T27*'Anexo 7'!$D$10</f>
        <v>0</v>
      </c>
      <c r="U27" s="33">
        <f>+'Anexo 17'!U27*'Anexo 7'!$D$10</f>
        <v>0</v>
      </c>
      <c r="V27" s="33">
        <f>+'Anexo 17'!V27*'Anexo 7'!$D$10</f>
        <v>0</v>
      </c>
      <c r="W27" s="33">
        <f>+'Anexo 17'!W27*'Anexo 7'!$D$10</f>
        <v>0</v>
      </c>
      <c r="X27" s="33">
        <f>+'Anexo 17'!X27*'Anexo 7'!$D$10</f>
        <v>0</v>
      </c>
      <c r="Y27" s="33">
        <f>+'Anexo 17'!Y27*'Anexo 7'!$D$10</f>
        <v>0</v>
      </c>
      <c r="Z27" s="33">
        <f>+'Anexo 17'!Z27*'Anexo 7'!$D$10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+'Anexo 17'!C28*'Anexo 7'!$D$10</f>
        <v>0</v>
      </c>
      <c r="D28" s="33">
        <f>+'Anexo 17'!D28*'Anexo 7'!$D$10</f>
        <v>0</v>
      </c>
      <c r="E28" s="33">
        <f>+'Anexo 17'!E28*'Anexo 7'!$D$10</f>
        <v>0</v>
      </c>
      <c r="F28" s="33">
        <f>+'Anexo 17'!F28*'Anexo 7'!$D$10</f>
        <v>0</v>
      </c>
      <c r="G28" s="33">
        <f>+'Anexo 17'!G28*'Anexo 7'!$D$10</f>
        <v>0</v>
      </c>
      <c r="H28" s="33">
        <f>+'Anexo 17'!H28*'Anexo 7'!$D$10</f>
        <v>0</v>
      </c>
      <c r="I28" s="33">
        <f>+'Anexo 17'!I28*'Anexo 7'!$D$10</f>
        <v>0</v>
      </c>
      <c r="J28" s="33">
        <f>+'Anexo 17'!J28*'Anexo 7'!$D$10</f>
        <v>0</v>
      </c>
      <c r="K28" s="33">
        <f>+'Anexo 17'!K28*'Anexo 7'!$D$10</f>
        <v>0</v>
      </c>
      <c r="L28" s="33">
        <f>+'Anexo 17'!L28*'Anexo 7'!$D$10</f>
        <v>0</v>
      </c>
      <c r="M28" s="33">
        <f>+'Anexo 17'!M28*'Anexo 7'!$D$10</f>
        <v>0</v>
      </c>
      <c r="N28" s="33">
        <f>+'Anexo 17'!N28*'Anexo 7'!$D$10</f>
        <v>0</v>
      </c>
      <c r="O28" s="33">
        <f>+'Anexo 17'!O28*'Anexo 7'!$D$10</f>
        <v>0</v>
      </c>
      <c r="P28" s="33">
        <f>+'Anexo 17'!P28*'Anexo 7'!$D$10</f>
        <v>0</v>
      </c>
      <c r="Q28" s="33">
        <f>+'Anexo 17'!Q28*'Anexo 7'!$D$10</f>
        <v>0</v>
      </c>
      <c r="R28" s="33">
        <f>+'Anexo 17'!R28*'Anexo 7'!$D$10</f>
        <v>0</v>
      </c>
      <c r="S28" s="33">
        <f>+'Anexo 17'!S28*'Anexo 7'!$D$10</f>
        <v>0</v>
      </c>
      <c r="T28" s="33">
        <f>+'Anexo 17'!T28*'Anexo 7'!$D$10</f>
        <v>0</v>
      </c>
      <c r="U28" s="33">
        <f>+'Anexo 17'!U28*'Anexo 7'!$D$10</f>
        <v>0</v>
      </c>
      <c r="V28" s="33">
        <f>+'Anexo 17'!V28*'Anexo 7'!$D$10</f>
        <v>0</v>
      </c>
      <c r="W28" s="33">
        <f>+'Anexo 17'!W28*'Anexo 7'!$D$10</f>
        <v>0</v>
      </c>
      <c r="X28" s="33">
        <f>+'Anexo 17'!X28*'Anexo 7'!$D$10</f>
        <v>0</v>
      </c>
      <c r="Y28" s="33">
        <f>+'Anexo 17'!Y28*'Anexo 7'!$D$10</f>
        <v>0</v>
      </c>
      <c r="Z28" s="33">
        <f>+'Anexo 17'!Z28*'Anexo 7'!$D$10</f>
        <v>0</v>
      </c>
      <c r="AA28" s="38">
        <f t="shared" si="0"/>
        <v>0</v>
      </c>
      <c r="AB28" s="21">
        <v>3</v>
      </c>
      <c r="AC28" s="101"/>
      <c r="AD28" s="47"/>
    </row>
    <row r="29" spans="1:30" ht="15.75" thickBot="1" x14ac:dyDescent="0.3">
      <c r="A29" s="99"/>
      <c r="B29" s="22" t="s">
        <v>3</v>
      </c>
      <c r="C29" s="33">
        <f>+'Anexo 17'!C29*'Anexo 7'!$D$10</f>
        <v>0</v>
      </c>
      <c r="D29" s="33">
        <f>+'Anexo 17'!D29*'Anexo 7'!$D$10</f>
        <v>0</v>
      </c>
      <c r="E29" s="33">
        <f>+'Anexo 17'!E29*'Anexo 7'!$D$10</f>
        <v>0</v>
      </c>
      <c r="F29" s="33">
        <f>+'Anexo 17'!F29*'Anexo 7'!$D$10</f>
        <v>0</v>
      </c>
      <c r="G29" s="33">
        <f>+'Anexo 17'!G29*'Anexo 7'!$D$10</f>
        <v>0</v>
      </c>
      <c r="H29" s="33">
        <f>+'Anexo 17'!H29*'Anexo 7'!$D$10</f>
        <v>0</v>
      </c>
      <c r="I29" s="33">
        <f>+'Anexo 17'!I29*'Anexo 7'!$D$10</f>
        <v>0</v>
      </c>
      <c r="J29" s="33">
        <f>+'Anexo 17'!J29*'Anexo 7'!$D$10</f>
        <v>0</v>
      </c>
      <c r="K29" s="33">
        <f>+'Anexo 17'!K29*'Anexo 7'!$D$10</f>
        <v>0</v>
      </c>
      <c r="L29" s="33">
        <f>+'Anexo 17'!L29*'Anexo 7'!$D$10</f>
        <v>0</v>
      </c>
      <c r="M29" s="33">
        <f>+'Anexo 17'!M29*'Anexo 7'!$D$10</f>
        <v>0</v>
      </c>
      <c r="N29" s="33">
        <f>+'Anexo 17'!N29*'Anexo 7'!$D$10</f>
        <v>0</v>
      </c>
      <c r="O29" s="33">
        <f>+'Anexo 17'!O29*'Anexo 7'!$D$10</f>
        <v>0</v>
      </c>
      <c r="P29" s="33">
        <f>+'Anexo 17'!P29*'Anexo 7'!$D$10</f>
        <v>0</v>
      </c>
      <c r="Q29" s="33">
        <f>+'Anexo 17'!Q29*'Anexo 7'!$D$10</f>
        <v>0</v>
      </c>
      <c r="R29" s="33">
        <f>+'Anexo 17'!R29*'Anexo 7'!$D$10</f>
        <v>0</v>
      </c>
      <c r="S29" s="33">
        <f>+'Anexo 17'!S29*'Anexo 7'!$D$10</f>
        <v>0</v>
      </c>
      <c r="T29" s="33">
        <f>+'Anexo 17'!T29*'Anexo 7'!$D$10</f>
        <v>0</v>
      </c>
      <c r="U29" s="33">
        <f>+'Anexo 17'!U29*'Anexo 7'!$D$10</f>
        <v>0</v>
      </c>
      <c r="V29" s="33">
        <f>+'Anexo 17'!V29*'Anexo 7'!$D$10</f>
        <v>0</v>
      </c>
      <c r="W29" s="33">
        <f>+'Anexo 17'!W29*'Anexo 7'!$D$10</f>
        <v>0</v>
      </c>
      <c r="X29" s="33">
        <f>+'Anexo 17'!X29*'Anexo 7'!$D$10</f>
        <v>0</v>
      </c>
      <c r="Y29" s="33">
        <f>+'Anexo 17'!Y29*'Anexo 7'!$D$10</f>
        <v>0</v>
      </c>
      <c r="Z29" s="33">
        <f>+'Anexo 17'!Z29*'Anexo 7'!$D$10</f>
        <v>0</v>
      </c>
      <c r="AA29" s="41">
        <f t="shared" si="0"/>
        <v>0</v>
      </c>
      <c r="AB29" s="23">
        <v>7</v>
      </c>
      <c r="AC29" s="102"/>
      <c r="AD29" s="49"/>
    </row>
    <row r="30" spans="1:30" ht="15.75" thickBot="1" x14ac:dyDescent="0.3">
      <c r="A30" s="99">
        <v>48458</v>
      </c>
      <c r="B30" s="18" t="s">
        <v>5</v>
      </c>
      <c r="C30" s="33">
        <f>+'Anexo 17'!C30*'Anexo 7'!$D$10</f>
        <v>0</v>
      </c>
      <c r="D30" s="33">
        <f>+'Anexo 17'!D30*'Anexo 7'!$D$10</f>
        <v>0</v>
      </c>
      <c r="E30" s="33">
        <f>+'Anexo 17'!E30*'Anexo 7'!$D$10</f>
        <v>0</v>
      </c>
      <c r="F30" s="33">
        <f>+'Anexo 17'!F30*'Anexo 7'!$D$10</f>
        <v>0</v>
      </c>
      <c r="G30" s="33">
        <f>+'Anexo 17'!G30*'Anexo 7'!$D$10</f>
        <v>0</v>
      </c>
      <c r="H30" s="33">
        <f>+'Anexo 17'!H30*'Anexo 7'!$D$10</f>
        <v>0</v>
      </c>
      <c r="I30" s="33">
        <f>+'Anexo 17'!I30*'Anexo 7'!$D$10</f>
        <v>0</v>
      </c>
      <c r="J30" s="33">
        <f>+'Anexo 17'!J30*'Anexo 7'!$D$10</f>
        <v>0</v>
      </c>
      <c r="K30" s="33">
        <f>+'Anexo 17'!K30*'Anexo 7'!$D$10</f>
        <v>0</v>
      </c>
      <c r="L30" s="33">
        <f>+'Anexo 17'!L30*'Anexo 7'!$D$10</f>
        <v>0</v>
      </c>
      <c r="M30" s="33">
        <f>+'Anexo 17'!M30*'Anexo 7'!$D$10</f>
        <v>0</v>
      </c>
      <c r="N30" s="33">
        <f>+'Anexo 17'!N30*'Anexo 7'!$D$10</f>
        <v>0</v>
      </c>
      <c r="O30" s="33">
        <f>+'Anexo 17'!O30*'Anexo 7'!$D$10</f>
        <v>0</v>
      </c>
      <c r="P30" s="33">
        <f>+'Anexo 17'!P30*'Anexo 7'!$D$10</f>
        <v>0</v>
      </c>
      <c r="Q30" s="33">
        <f>+'Anexo 17'!Q30*'Anexo 7'!$D$10</f>
        <v>0</v>
      </c>
      <c r="R30" s="33">
        <f>+'Anexo 17'!R30*'Anexo 7'!$D$10</f>
        <v>0</v>
      </c>
      <c r="S30" s="33">
        <f>+'Anexo 17'!S30*'Anexo 7'!$D$10</f>
        <v>0</v>
      </c>
      <c r="T30" s="33">
        <f>+'Anexo 17'!T30*'Anexo 7'!$D$10</f>
        <v>0</v>
      </c>
      <c r="U30" s="33">
        <f>+'Anexo 17'!U30*'Anexo 7'!$D$10</f>
        <v>0</v>
      </c>
      <c r="V30" s="33">
        <f>+'Anexo 17'!V30*'Anexo 7'!$D$10</f>
        <v>0</v>
      </c>
      <c r="W30" s="33">
        <f>+'Anexo 17'!W30*'Anexo 7'!$D$10</f>
        <v>0</v>
      </c>
      <c r="X30" s="33">
        <f>+'Anexo 17'!X30*'Anexo 7'!$D$10</f>
        <v>0</v>
      </c>
      <c r="Y30" s="33">
        <f>+'Anexo 17'!Y30*'Anexo 7'!$D$10</f>
        <v>0</v>
      </c>
      <c r="Z30" s="33">
        <f>+'Anexo 17'!Z30*'Anexo 7'!$D$10</f>
        <v>0</v>
      </c>
      <c r="AA30" s="35">
        <f t="shared" si="0"/>
        <v>0</v>
      </c>
      <c r="AB30" s="19">
        <v>22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+'Anexo 17'!C31*'Anexo 7'!$D$10</f>
        <v>0</v>
      </c>
      <c r="D31" s="33">
        <f>+'Anexo 17'!D31*'Anexo 7'!$D$10</f>
        <v>0</v>
      </c>
      <c r="E31" s="33">
        <f>+'Anexo 17'!E31*'Anexo 7'!$D$10</f>
        <v>0</v>
      </c>
      <c r="F31" s="33">
        <f>+'Anexo 17'!F31*'Anexo 7'!$D$10</f>
        <v>0</v>
      </c>
      <c r="G31" s="33">
        <f>+'Anexo 17'!G31*'Anexo 7'!$D$10</f>
        <v>0</v>
      </c>
      <c r="H31" s="33">
        <f>+'Anexo 17'!H31*'Anexo 7'!$D$10</f>
        <v>0</v>
      </c>
      <c r="I31" s="33">
        <f>+'Anexo 17'!I31*'Anexo 7'!$D$10</f>
        <v>0</v>
      </c>
      <c r="J31" s="33">
        <f>+'Anexo 17'!J31*'Anexo 7'!$D$10</f>
        <v>0</v>
      </c>
      <c r="K31" s="33">
        <f>+'Anexo 17'!K31*'Anexo 7'!$D$10</f>
        <v>0</v>
      </c>
      <c r="L31" s="33">
        <f>+'Anexo 17'!L31*'Anexo 7'!$D$10</f>
        <v>0</v>
      </c>
      <c r="M31" s="33">
        <f>+'Anexo 17'!M31*'Anexo 7'!$D$10</f>
        <v>0</v>
      </c>
      <c r="N31" s="33">
        <f>+'Anexo 17'!N31*'Anexo 7'!$D$10</f>
        <v>0</v>
      </c>
      <c r="O31" s="33">
        <f>+'Anexo 17'!O31*'Anexo 7'!$D$10</f>
        <v>0</v>
      </c>
      <c r="P31" s="33">
        <f>+'Anexo 17'!P31*'Anexo 7'!$D$10</f>
        <v>0</v>
      </c>
      <c r="Q31" s="33">
        <f>+'Anexo 17'!Q31*'Anexo 7'!$D$10</f>
        <v>0</v>
      </c>
      <c r="R31" s="33">
        <f>+'Anexo 17'!R31*'Anexo 7'!$D$10</f>
        <v>0</v>
      </c>
      <c r="S31" s="33">
        <f>+'Anexo 17'!S31*'Anexo 7'!$D$10</f>
        <v>0</v>
      </c>
      <c r="T31" s="33">
        <f>+'Anexo 17'!T31*'Anexo 7'!$D$10</f>
        <v>0</v>
      </c>
      <c r="U31" s="33">
        <f>+'Anexo 17'!U31*'Anexo 7'!$D$10</f>
        <v>0</v>
      </c>
      <c r="V31" s="33">
        <f>+'Anexo 17'!V31*'Anexo 7'!$D$10</f>
        <v>0</v>
      </c>
      <c r="W31" s="33">
        <f>+'Anexo 17'!W31*'Anexo 7'!$D$10</f>
        <v>0</v>
      </c>
      <c r="X31" s="33">
        <f>+'Anexo 17'!X31*'Anexo 7'!$D$10</f>
        <v>0</v>
      </c>
      <c r="Y31" s="33">
        <f>+'Anexo 17'!Y31*'Anexo 7'!$D$10</f>
        <v>0</v>
      </c>
      <c r="Z31" s="33">
        <f>+'Anexo 17'!Z31*'Anexo 7'!$D$10</f>
        <v>0</v>
      </c>
      <c r="AA31" s="38">
        <f t="shared" si="0"/>
        <v>0</v>
      </c>
      <c r="AB31" s="21">
        <v>4</v>
      </c>
      <c r="AC31" s="101"/>
      <c r="AD31" s="47"/>
    </row>
    <row r="32" spans="1:30" ht="15.75" thickBot="1" x14ac:dyDescent="0.3">
      <c r="A32" s="99"/>
      <c r="B32" s="22" t="s">
        <v>3</v>
      </c>
      <c r="C32" s="33">
        <f>+'Anexo 17'!C32*'Anexo 7'!$D$10</f>
        <v>0</v>
      </c>
      <c r="D32" s="33">
        <f>+'Anexo 17'!D32*'Anexo 7'!$D$10</f>
        <v>0</v>
      </c>
      <c r="E32" s="33">
        <f>+'Anexo 17'!E32*'Anexo 7'!$D$10</f>
        <v>0</v>
      </c>
      <c r="F32" s="33">
        <f>+'Anexo 17'!F32*'Anexo 7'!$D$10</f>
        <v>0</v>
      </c>
      <c r="G32" s="33">
        <f>+'Anexo 17'!G32*'Anexo 7'!$D$10</f>
        <v>0</v>
      </c>
      <c r="H32" s="33">
        <f>+'Anexo 17'!H32*'Anexo 7'!$D$10</f>
        <v>0</v>
      </c>
      <c r="I32" s="33">
        <f>+'Anexo 17'!I32*'Anexo 7'!$D$10</f>
        <v>0</v>
      </c>
      <c r="J32" s="33">
        <f>+'Anexo 17'!J32*'Anexo 7'!$D$10</f>
        <v>0</v>
      </c>
      <c r="K32" s="33">
        <f>+'Anexo 17'!K32*'Anexo 7'!$D$10</f>
        <v>0</v>
      </c>
      <c r="L32" s="33">
        <f>+'Anexo 17'!L32*'Anexo 7'!$D$10</f>
        <v>0</v>
      </c>
      <c r="M32" s="33">
        <f>+'Anexo 17'!M32*'Anexo 7'!$D$10</f>
        <v>0</v>
      </c>
      <c r="N32" s="33">
        <f>+'Anexo 17'!N32*'Anexo 7'!$D$10</f>
        <v>0</v>
      </c>
      <c r="O32" s="33">
        <f>+'Anexo 17'!O32*'Anexo 7'!$D$10</f>
        <v>0</v>
      </c>
      <c r="P32" s="33">
        <f>+'Anexo 17'!P32*'Anexo 7'!$D$10</f>
        <v>0</v>
      </c>
      <c r="Q32" s="33">
        <f>+'Anexo 17'!Q32*'Anexo 7'!$D$10</f>
        <v>0</v>
      </c>
      <c r="R32" s="33">
        <f>+'Anexo 17'!R32*'Anexo 7'!$D$10</f>
        <v>0</v>
      </c>
      <c r="S32" s="33">
        <f>+'Anexo 17'!S32*'Anexo 7'!$D$10</f>
        <v>0</v>
      </c>
      <c r="T32" s="33">
        <f>+'Anexo 17'!T32*'Anexo 7'!$D$10</f>
        <v>0</v>
      </c>
      <c r="U32" s="33">
        <f>+'Anexo 17'!U32*'Anexo 7'!$D$10</f>
        <v>0</v>
      </c>
      <c r="V32" s="33">
        <f>+'Anexo 17'!V32*'Anexo 7'!$D$10</f>
        <v>0</v>
      </c>
      <c r="W32" s="33">
        <f>+'Anexo 17'!W32*'Anexo 7'!$D$10</f>
        <v>0</v>
      </c>
      <c r="X32" s="33">
        <f>+'Anexo 17'!X32*'Anexo 7'!$D$10</f>
        <v>0</v>
      </c>
      <c r="Y32" s="33">
        <f>+'Anexo 17'!Y32*'Anexo 7'!$D$10</f>
        <v>0</v>
      </c>
      <c r="Z32" s="33">
        <f>+'Anexo 17'!Z32*'Anexo 7'!$D$10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48488</v>
      </c>
      <c r="B33" s="18" t="s">
        <v>5</v>
      </c>
      <c r="C33" s="33">
        <f>+'Anexo 17'!C33*'Anexo 7'!$D$10</f>
        <v>0</v>
      </c>
      <c r="D33" s="33">
        <f>+'Anexo 17'!D33*'Anexo 7'!$D$10</f>
        <v>0</v>
      </c>
      <c r="E33" s="33">
        <f>+'Anexo 17'!E33*'Anexo 7'!$D$10</f>
        <v>0</v>
      </c>
      <c r="F33" s="33">
        <f>+'Anexo 17'!F33*'Anexo 7'!$D$10</f>
        <v>0</v>
      </c>
      <c r="G33" s="33">
        <f>+'Anexo 17'!G33*'Anexo 7'!$D$10</f>
        <v>0</v>
      </c>
      <c r="H33" s="33">
        <f>+'Anexo 17'!H33*'Anexo 7'!$D$10</f>
        <v>0</v>
      </c>
      <c r="I33" s="33">
        <f>+'Anexo 17'!I33*'Anexo 7'!$D$10</f>
        <v>0</v>
      </c>
      <c r="J33" s="33">
        <f>+'Anexo 17'!J33*'Anexo 7'!$D$10</f>
        <v>0</v>
      </c>
      <c r="K33" s="33">
        <f>+'Anexo 17'!K33*'Anexo 7'!$D$10</f>
        <v>0</v>
      </c>
      <c r="L33" s="33">
        <f>+'Anexo 17'!L33*'Anexo 7'!$D$10</f>
        <v>0</v>
      </c>
      <c r="M33" s="33">
        <f>+'Anexo 17'!M33*'Anexo 7'!$D$10</f>
        <v>0</v>
      </c>
      <c r="N33" s="33">
        <f>+'Anexo 17'!N33*'Anexo 7'!$D$10</f>
        <v>0</v>
      </c>
      <c r="O33" s="33">
        <f>+'Anexo 17'!O33*'Anexo 7'!$D$10</f>
        <v>0</v>
      </c>
      <c r="P33" s="33">
        <f>+'Anexo 17'!P33*'Anexo 7'!$D$10</f>
        <v>0</v>
      </c>
      <c r="Q33" s="33">
        <f>+'Anexo 17'!Q33*'Anexo 7'!$D$10</f>
        <v>0</v>
      </c>
      <c r="R33" s="33">
        <f>+'Anexo 17'!R33*'Anexo 7'!$D$10</f>
        <v>0</v>
      </c>
      <c r="S33" s="33">
        <f>+'Anexo 17'!S33*'Anexo 7'!$D$10</f>
        <v>0</v>
      </c>
      <c r="T33" s="33">
        <f>+'Anexo 17'!T33*'Anexo 7'!$D$10</f>
        <v>0</v>
      </c>
      <c r="U33" s="33">
        <f>+'Anexo 17'!U33*'Anexo 7'!$D$10</f>
        <v>0</v>
      </c>
      <c r="V33" s="33">
        <f>+'Anexo 17'!V33*'Anexo 7'!$D$10</f>
        <v>0</v>
      </c>
      <c r="W33" s="33">
        <f>+'Anexo 17'!W33*'Anexo 7'!$D$10</f>
        <v>0</v>
      </c>
      <c r="X33" s="33">
        <f>+'Anexo 17'!X33*'Anexo 7'!$D$10</f>
        <v>0</v>
      </c>
      <c r="Y33" s="33">
        <f>+'Anexo 17'!Y33*'Anexo 7'!$D$10</f>
        <v>0</v>
      </c>
      <c r="Z33" s="33">
        <f>+'Anexo 17'!Z33*'Anexo 7'!$D$10</f>
        <v>0</v>
      </c>
      <c r="AA33" s="35">
        <f t="shared" si="0"/>
        <v>0</v>
      </c>
      <c r="AB33" s="19">
        <v>20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+'Anexo 17'!C34*'Anexo 7'!$D$10</f>
        <v>0</v>
      </c>
      <c r="D34" s="33">
        <f>+'Anexo 17'!D34*'Anexo 7'!$D$10</f>
        <v>0</v>
      </c>
      <c r="E34" s="33">
        <f>+'Anexo 17'!E34*'Anexo 7'!$D$10</f>
        <v>0</v>
      </c>
      <c r="F34" s="33">
        <f>+'Anexo 17'!F34*'Anexo 7'!$D$10</f>
        <v>0</v>
      </c>
      <c r="G34" s="33">
        <f>+'Anexo 17'!G34*'Anexo 7'!$D$10</f>
        <v>0</v>
      </c>
      <c r="H34" s="33">
        <f>+'Anexo 17'!H34*'Anexo 7'!$D$10</f>
        <v>0</v>
      </c>
      <c r="I34" s="33">
        <f>+'Anexo 17'!I34*'Anexo 7'!$D$10</f>
        <v>0</v>
      </c>
      <c r="J34" s="33">
        <f>+'Anexo 17'!J34*'Anexo 7'!$D$10</f>
        <v>0</v>
      </c>
      <c r="K34" s="33">
        <f>+'Anexo 17'!K34*'Anexo 7'!$D$10</f>
        <v>0</v>
      </c>
      <c r="L34" s="33">
        <f>+'Anexo 17'!L34*'Anexo 7'!$D$10</f>
        <v>0</v>
      </c>
      <c r="M34" s="33">
        <f>+'Anexo 17'!M34*'Anexo 7'!$D$10</f>
        <v>0</v>
      </c>
      <c r="N34" s="33">
        <f>+'Anexo 17'!N34*'Anexo 7'!$D$10</f>
        <v>0</v>
      </c>
      <c r="O34" s="33">
        <f>+'Anexo 17'!O34*'Anexo 7'!$D$10</f>
        <v>0</v>
      </c>
      <c r="P34" s="33">
        <f>+'Anexo 17'!P34*'Anexo 7'!$D$10</f>
        <v>0</v>
      </c>
      <c r="Q34" s="33">
        <f>+'Anexo 17'!Q34*'Anexo 7'!$D$10</f>
        <v>0</v>
      </c>
      <c r="R34" s="33">
        <f>+'Anexo 17'!R34*'Anexo 7'!$D$10</f>
        <v>0</v>
      </c>
      <c r="S34" s="33">
        <f>+'Anexo 17'!S34*'Anexo 7'!$D$10</f>
        <v>0</v>
      </c>
      <c r="T34" s="33">
        <f>+'Anexo 17'!T34*'Anexo 7'!$D$10</f>
        <v>0</v>
      </c>
      <c r="U34" s="33">
        <f>+'Anexo 17'!U34*'Anexo 7'!$D$10</f>
        <v>0</v>
      </c>
      <c r="V34" s="33">
        <f>+'Anexo 17'!V34*'Anexo 7'!$D$10</f>
        <v>0</v>
      </c>
      <c r="W34" s="33">
        <f>+'Anexo 17'!W34*'Anexo 7'!$D$10</f>
        <v>0</v>
      </c>
      <c r="X34" s="33">
        <f>+'Anexo 17'!X34*'Anexo 7'!$D$10</f>
        <v>0</v>
      </c>
      <c r="Y34" s="33">
        <f>+'Anexo 17'!Y34*'Anexo 7'!$D$10</f>
        <v>0</v>
      </c>
      <c r="Z34" s="33">
        <f>+'Anexo 17'!Z34*'Anexo 7'!$D$10</f>
        <v>0</v>
      </c>
      <c r="AA34" s="38">
        <f t="shared" si="0"/>
        <v>0</v>
      </c>
      <c r="AB34" s="21">
        <v>5</v>
      </c>
      <c r="AC34" s="101"/>
      <c r="AD34" s="47"/>
    </row>
    <row r="35" spans="1:30" ht="15.75" thickBot="1" x14ac:dyDescent="0.3">
      <c r="A35" s="99"/>
      <c r="B35" s="22" t="s">
        <v>3</v>
      </c>
      <c r="C35" s="33">
        <f>+'Anexo 17'!C35*'Anexo 7'!$D$10</f>
        <v>0</v>
      </c>
      <c r="D35" s="33">
        <f>+'Anexo 17'!D35*'Anexo 7'!$D$10</f>
        <v>0</v>
      </c>
      <c r="E35" s="33">
        <f>+'Anexo 17'!E35*'Anexo 7'!$D$10</f>
        <v>0</v>
      </c>
      <c r="F35" s="33">
        <f>+'Anexo 17'!F35*'Anexo 7'!$D$10</f>
        <v>0</v>
      </c>
      <c r="G35" s="33">
        <f>+'Anexo 17'!G35*'Anexo 7'!$D$10</f>
        <v>0</v>
      </c>
      <c r="H35" s="33">
        <f>+'Anexo 17'!H35*'Anexo 7'!$D$10</f>
        <v>0</v>
      </c>
      <c r="I35" s="33">
        <f>+'Anexo 17'!I35*'Anexo 7'!$D$10</f>
        <v>0</v>
      </c>
      <c r="J35" s="33">
        <f>+'Anexo 17'!J35*'Anexo 7'!$D$10</f>
        <v>0</v>
      </c>
      <c r="K35" s="33">
        <f>+'Anexo 17'!K35*'Anexo 7'!$D$10</f>
        <v>0</v>
      </c>
      <c r="L35" s="33">
        <f>+'Anexo 17'!L35*'Anexo 7'!$D$10</f>
        <v>0</v>
      </c>
      <c r="M35" s="33">
        <f>+'Anexo 17'!M35*'Anexo 7'!$D$10</f>
        <v>0</v>
      </c>
      <c r="N35" s="33">
        <f>+'Anexo 17'!N35*'Anexo 7'!$D$10</f>
        <v>0</v>
      </c>
      <c r="O35" s="33">
        <f>+'Anexo 17'!O35*'Anexo 7'!$D$10</f>
        <v>0</v>
      </c>
      <c r="P35" s="33">
        <f>+'Anexo 17'!P35*'Anexo 7'!$D$10</f>
        <v>0</v>
      </c>
      <c r="Q35" s="33">
        <f>+'Anexo 17'!Q35*'Anexo 7'!$D$10</f>
        <v>0</v>
      </c>
      <c r="R35" s="33">
        <f>+'Anexo 17'!R35*'Anexo 7'!$D$10</f>
        <v>0</v>
      </c>
      <c r="S35" s="33">
        <f>+'Anexo 17'!S35*'Anexo 7'!$D$10</f>
        <v>0</v>
      </c>
      <c r="T35" s="33">
        <f>+'Anexo 17'!T35*'Anexo 7'!$D$10</f>
        <v>0</v>
      </c>
      <c r="U35" s="33">
        <f>+'Anexo 17'!U35*'Anexo 7'!$D$10</f>
        <v>0</v>
      </c>
      <c r="V35" s="33">
        <f>+'Anexo 17'!V35*'Anexo 7'!$D$10</f>
        <v>0</v>
      </c>
      <c r="W35" s="33">
        <f>+'Anexo 17'!W35*'Anexo 7'!$D$10</f>
        <v>0</v>
      </c>
      <c r="X35" s="33">
        <f>+'Anexo 17'!X35*'Anexo 7'!$D$10</f>
        <v>0</v>
      </c>
      <c r="Y35" s="33">
        <f>+'Anexo 17'!Y35*'Anexo 7'!$D$10</f>
        <v>0</v>
      </c>
      <c r="Z35" s="33">
        <f>+'Anexo 17'!Z35*'Anexo 7'!$D$10</f>
        <v>0</v>
      </c>
      <c r="AA35" s="41">
        <f t="shared" si="0"/>
        <v>0</v>
      </c>
      <c r="AB35" s="23">
        <v>6</v>
      </c>
      <c r="AC35" s="102"/>
      <c r="AD35" s="48"/>
    </row>
    <row r="36" spans="1:30" ht="15.75" thickBot="1" x14ac:dyDescent="0.3">
      <c r="A36" s="99">
        <v>48519</v>
      </c>
      <c r="B36" s="18" t="s">
        <v>5</v>
      </c>
      <c r="C36" s="33">
        <f>+'Anexo 17'!C36*'Anexo 7'!$D$10</f>
        <v>0</v>
      </c>
      <c r="D36" s="33">
        <f>+'Anexo 17'!D36*'Anexo 7'!$D$10</f>
        <v>0</v>
      </c>
      <c r="E36" s="33">
        <f>+'Anexo 17'!E36*'Anexo 7'!$D$10</f>
        <v>0</v>
      </c>
      <c r="F36" s="33">
        <f>+'Anexo 17'!F36*'Anexo 7'!$D$10</f>
        <v>0</v>
      </c>
      <c r="G36" s="33">
        <f>+'Anexo 17'!G36*'Anexo 7'!$D$10</f>
        <v>0</v>
      </c>
      <c r="H36" s="33">
        <f>+'Anexo 17'!H36*'Anexo 7'!$D$10</f>
        <v>0</v>
      </c>
      <c r="I36" s="33">
        <f>+'Anexo 17'!I36*'Anexo 7'!$D$10</f>
        <v>0</v>
      </c>
      <c r="J36" s="33">
        <f>+'Anexo 17'!J36*'Anexo 7'!$D$10</f>
        <v>0</v>
      </c>
      <c r="K36" s="33">
        <f>+'Anexo 17'!K36*'Anexo 7'!$D$10</f>
        <v>0</v>
      </c>
      <c r="L36" s="33">
        <f>+'Anexo 17'!L36*'Anexo 7'!$D$10</f>
        <v>0</v>
      </c>
      <c r="M36" s="33">
        <f>+'Anexo 17'!M36*'Anexo 7'!$D$10</f>
        <v>0</v>
      </c>
      <c r="N36" s="33">
        <f>+'Anexo 17'!N36*'Anexo 7'!$D$10</f>
        <v>0</v>
      </c>
      <c r="O36" s="33">
        <f>+'Anexo 17'!O36*'Anexo 7'!$D$10</f>
        <v>0</v>
      </c>
      <c r="P36" s="33">
        <f>+'Anexo 17'!P36*'Anexo 7'!$D$10</f>
        <v>0</v>
      </c>
      <c r="Q36" s="33">
        <f>+'Anexo 17'!Q36*'Anexo 7'!$D$10</f>
        <v>0</v>
      </c>
      <c r="R36" s="33">
        <f>+'Anexo 17'!R36*'Anexo 7'!$D$10</f>
        <v>0</v>
      </c>
      <c r="S36" s="33">
        <f>+'Anexo 17'!S36*'Anexo 7'!$D$10</f>
        <v>0</v>
      </c>
      <c r="T36" s="33">
        <f>+'Anexo 17'!T36*'Anexo 7'!$D$10</f>
        <v>0</v>
      </c>
      <c r="U36" s="33">
        <f>+'Anexo 17'!U36*'Anexo 7'!$D$10</f>
        <v>0</v>
      </c>
      <c r="V36" s="33">
        <f>+'Anexo 17'!V36*'Anexo 7'!$D$10</f>
        <v>0</v>
      </c>
      <c r="W36" s="33">
        <f>+'Anexo 17'!W36*'Anexo 7'!$D$10</f>
        <v>0</v>
      </c>
      <c r="X36" s="33">
        <f>+'Anexo 17'!X36*'Anexo 7'!$D$10</f>
        <v>0</v>
      </c>
      <c r="Y36" s="33">
        <f>+'Anexo 17'!Y36*'Anexo 7'!$D$10</f>
        <v>0</v>
      </c>
      <c r="Z36" s="33">
        <f>+'Anexo 17'!Z36*'Anexo 7'!$D$10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+'Anexo 17'!C37*'Anexo 7'!$D$10</f>
        <v>0</v>
      </c>
      <c r="D37" s="33">
        <f>+'Anexo 17'!D37*'Anexo 7'!$D$10</f>
        <v>0</v>
      </c>
      <c r="E37" s="33">
        <f>+'Anexo 17'!E37*'Anexo 7'!$D$10</f>
        <v>0</v>
      </c>
      <c r="F37" s="33">
        <f>+'Anexo 17'!F37*'Anexo 7'!$D$10</f>
        <v>0</v>
      </c>
      <c r="G37" s="33">
        <f>+'Anexo 17'!G37*'Anexo 7'!$D$10</f>
        <v>0</v>
      </c>
      <c r="H37" s="33">
        <f>+'Anexo 17'!H37*'Anexo 7'!$D$10</f>
        <v>0</v>
      </c>
      <c r="I37" s="33">
        <f>+'Anexo 17'!I37*'Anexo 7'!$D$10</f>
        <v>0</v>
      </c>
      <c r="J37" s="33">
        <f>+'Anexo 17'!J37*'Anexo 7'!$D$10</f>
        <v>0</v>
      </c>
      <c r="K37" s="33">
        <f>+'Anexo 17'!K37*'Anexo 7'!$D$10</f>
        <v>0</v>
      </c>
      <c r="L37" s="33">
        <f>+'Anexo 17'!L37*'Anexo 7'!$D$10</f>
        <v>0</v>
      </c>
      <c r="M37" s="33">
        <f>+'Anexo 17'!M37*'Anexo 7'!$D$10</f>
        <v>0</v>
      </c>
      <c r="N37" s="33">
        <f>+'Anexo 17'!N37*'Anexo 7'!$D$10</f>
        <v>0</v>
      </c>
      <c r="O37" s="33">
        <f>+'Anexo 17'!O37*'Anexo 7'!$D$10</f>
        <v>0</v>
      </c>
      <c r="P37" s="33">
        <f>+'Anexo 17'!P37*'Anexo 7'!$D$10</f>
        <v>0</v>
      </c>
      <c r="Q37" s="33">
        <f>+'Anexo 17'!Q37*'Anexo 7'!$D$10</f>
        <v>0</v>
      </c>
      <c r="R37" s="33">
        <f>+'Anexo 17'!R37*'Anexo 7'!$D$10</f>
        <v>0</v>
      </c>
      <c r="S37" s="33">
        <f>+'Anexo 17'!S37*'Anexo 7'!$D$10</f>
        <v>0</v>
      </c>
      <c r="T37" s="33">
        <f>+'Anexo 17'!T37*'Anexo 7'!$D$10</f>
        <v>0</v>
      </c>
      <c r="U37" s="33">
        <f>+'Anexo 17'!U37*'Anexo 7'!$D$10</f>
        <v>0</v>
      </c>
      <c r="V37" s="33">
        <f>+'Anexo 17'!V37*'Anexo 7'!$D$10</f>
        <v>0</v>
      </c>
      <c r="W37" s="33">
        <f>+'Anexo 17'!W37*'Anexo 7'!$D$10</f>
        <v>0</v>
      </c>
      <c r="X37" s="33">
        <f>+'Anexo 17'!X37*'Anexo 7'!$D$10</f>
        <v>0</v>
      </c>
      <c r="Y37" s="33">
        <f>+'Anexo 17'!Y37*'Anexo 7'!$D$10</f>
        <v>0</v>
      </c>
      <c r="Z37" s="33">
        <f>+'Anexo 17'!Z37*'Anexo 7'!$D$10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+'Anexo 17'!C38*'Anexo 7'!$D$10</f>
        <v>0</v>
      </c>
      <c r="D38" s="33">
        <f>+'Anexo 17'!D38*'Anexo 7'!$D$10</f>
        <v>0</v>
      </c>
      <c r="E38" s="33">
        <f>+'Anexo 17'!E38*'Anexo 7'!$D$10</f>
        <v>0</v>
      </c>
      <c r="F38" s="33">
        <f>+'Anexo 17'!F38*'Anexo 7'!$D$10</f>
        <v>0</v>
      </c>
      <c r="G38" s="33">
        <f>+'Anexo 17'!G38*'Anexo 7'!$D$10</f>
        <v>0</v>
      </c>
      <c r="H38" s="33">
        <f>+'Anexo 17'!H38*'Anexo 7'!$D$10</f>
        <v>0</v>
      </c>
      <c r="I38" s="33">
        <f>+'Anexo 17'!I38*'Anexo 7'!$D$10</f>
        <v>0</v>
      </c>
      <c r="J38" s="33">
        <f>+'Anexo 17'!J38*'Anexo 7'!$D$10</f>
        <v>0</v>
      </c>
      <c r="K38" s="33">
        <f>+'Anexo 17'!K38*'Anexo 7'!$D$10</f>
        <v>0</v>
      </c>
      <c r="L38" s="33">
        <f>+'Anexo 17'!L38*'Anexo 7'!$D$10</f>
        <v>0</v>
      </c>
      <c r="M38" s="33">
        <f>+'Anexo 17'!M38*'Anexo 7'!$D$10</f>
        <v>0</v>
      </c>
      <c r="N38" s="33">
        <f>+'Anexo 17'!N38*'Anexo 7'!$D$10</f>
        <v>0</v>
      </c>
      <c r="O38" s="33">
        <f>+'Anexo 17'!O38*'Anexo 7'!$D$10</f>
        <v>0</v>
      </c>
      <c r="P38" s="33">
        <f>+'Anexo 17'!P38*'Anexo 7'!$D$10</f>
        <v>0</v>
      </c>
      <c r="Q38" s="33">
        <f>+'Anexo 17'!Q38*'Anexo 7'!$D$10</f>
        <v>0</v>
      </c>
      <c r="R38" s="33">
        <f>+'Anexo 17'!R38*'Anexo 7'!$D$10</f>
        <v>0</v>
      </c>
      <c r="S38" s="33">
        <f>+'Anexo 17'!S38*'Anexo 7'!$D$10</f>
        <v>0</v>
      </c>
      <c r="T38" s="33">
        <f>+'Anexo 17'!T38*'Anexo 7'!$D$10</f>
        <v>0</v>
      </c>
      <c r="U38" s="33">
        <f>+'Anexo 17'!U38*'Anexo 7'!$D$10</f>
        <v>0</v>
      </c>
      <c r="V38" s="33">
        <f>+'Anexo 17'!V38*'Anexo 7'!$D$10</f>
        <v>0</v>
      </c>
      <c r="W38" s="33">
        <f>+'Anexo 17'!W38*'Anexo 7'!$D$10</f>
        <v>0</v>
      </c>
      <c r="X38" s="33">
        <f>+'Anexo 17'!X38*'Anexo 7'!$D$10</f>
        <v>0</v>
      </c>
      <c r="Y38" s="33">
        <f>+'Anexo 17'!Y38*'Anexo 7'!$D$10</f>
        <v>0</v>
      </c>
      <c r="Z38" s="33">
        <f>+'Anexo 17'!Z38*'Anexo 7'!$D$10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48549</v>
      </c>
      <c r="B39" s="18" t="s">
        <v>5</v>
      </c>
      <c r="C39" s="33">
        <f>+'Anexo 17'!C39*'Anexo 7'!$D$10</f>
        <v>0</v>
      </c>
      <c r="D39" s="33">
        <f>+'Anexo 17'!D39*'Anexo 7'!$D$10</f>
        <v>0</v>
      </c>
      <c r="E39" s="33">
        <f>+'Anexo 17'!E39*'Anexo 7'!$D$10</f>
        <v>0</v>
      </c>
      <c r="F39" s="33">
        <f>+'Anexo 17'!F39*'Anexo 7'!$D$10</f>
        <v>0</v>
      </c>
      <c r="G39" s="33">
        <f>+'Anexo 17'!G39*'Anexo 7'!$D$10</f>
        <v>0</v>
      </c>
      <c r="H39" s="33">
        <f>+'Anexo 17'!H39*'Anexo 7'!$D$10</f>
        <v>0</v>
      </c>
      <c r="I39" s="33">
        <f>+'Anexo 17'!I39*'Anexo 7'!$D$10</f>
        <v>0</v>
      </c>
      <c r="J39" s="33">
        <f>+'Anexo 17'!J39*'Anexo 7'!$D$10</f>
        <v>0</v>
      </c>
      <c r="K39" s="33">
        <f>+'Anexo 17'!K39*'Anexo 7'!$D$10</f>
        <v>0</v>
      </c>
      <c r="L39" s="33">
        <f>+'Anexo 17'!L39*'Anexo 7'!$D$10</f>
        <v>0</v>
      </c>
      <c r="M39" s="33">
        <f>+'Anexo 17'!M39*'Anexo 7'!$D$10</f>
        <v>0</v>
      </c>
      <c r="N39" s="33">
        <f>+'Anexo 17'!N39*'Anexo 7'!$D$10</f>
        <v>0</v>
      </c>
      <c r="O39" s="33">
        <f>+'Anexo 17'!O39*'Anexo 7'!$D$10</f>
        <v>0</v>
      </c>
      <c r="P39" s="33">
        <f>+'Anexo 17'!P39*'Anexo 7'!$D$10</f>
        <v>0</v>
      </c>
      <c r="Q39" s="33">
        <f>+'Anexo 17'!Q39*'Anexo 7'!$D$10</f>
        <v>0</v>
      </c>
      <c r="R39" s="33">
        <f>+'Anexo 17'!R39*'Anexo 7'!$D$10</f>
        <v>0</v>
      </c>
      <c r="S39" s="33">
        <f>+'Anexo 17'!S39*'Anexo 7'!$D$10</f>
        <v>0</v>
      </c>
      <c r="T39" s="33">
        <f>+'Anexo 17'!T39*'Anexo 7'!$D$10</f>
        <v>0</v>
      </c>
      <c r="U39" s="33">
        <f>+'Anexo 17'!U39*'Anexo 7'!$D$10</f>
        <v>0</v>
      </c>
      <c r="V39" s="33">
        <f>+'Anexo 17'!V39*'Anexo 7'!$D$10</f>
        <v>0</v>
      </c>
      <c r="W39" s="33">
        <f>+'Anexo 17'!W39*'Anexo 7'!$D$10</f>
        <v>0</v>
      </c>
      <c r="X39" s="33">
        <f>+'Anexo 17'!X39*'Anexo 7'!$D$10</f>
        <v>0</v>
      </c>
      <c r="Y39" s="33">
        <f>+'Anexo 17'!Y39*'Anexo 7'!$D$10</f>
        <v>0</v>
      </c>
      <c r="Z39" s="33">
        <f>+'Anexo 17'!Z39*'Anexo 7'!$D$10</f>
        <v>0</v>
      </c>
      <c r="AA39" s="35">
        <f t="shared" si="0"/>
        <v>0</v>
      </c>
      <c r="AB39" s="19">
        <v>22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+'Anexo 17'!C40*'Anexo 7'!$D$10</f>
        <v>0</v>
      </c>
      <c r="D40" s="33">
        <f>+'Anexo 17'!D40*'Anexo 7'!$D$10</f>
        <v>0</v>
      </c>
      <c r="E40" s="33">
        <f>+'Anexo 17'!E40*'Anexo 7'!$D$10</f>
        <v>0</v>
      </c>
      <c r="F40" s="33">
        <f>+'Anexo 17'!F40*'Anexo 7'!$D$10</f>
        <v>0</v>
      </c>
      <c r="G40" s="33">
        <f>+'Anexo 17'!G40*'Anexo 7'!$D$10</f>
        <v>0</v>
      </c>
      <c r="H40" s="33">
        <f>+'Anexo 17'!H40*'Anexo 7'!$D$10</f>
        <v>0</v>
      </c>
      <c r="I40" s="33">
        <f>+'Anexo 17'!I40*'Anexo 7'!$D$10</f>
        <v>0</v>
      </c>
      <c r="J40" s="33">
        <f>+'Anexo 17'!J40*'Anexo 7'!$D$10</f>
        <v>0</v>
      </c>
      <c r="K40" s="33">
        <f>+'Anexo 17'!K40*'Anexo 7'!$D$10</f>
        <v>0</v>
      </c>
      <c r="L40" s="33">
        <f>+'Anexo 17'!L40*'Anexo 7'!$D$10</f>
        <v>0</v>
      </c>
      <c r="M40" s="33">
        <f>+'Anexo 17'!M40*'Anexo 7'!$D$10</f>
        <v>0</v>
      </c>
      <c r="N40" s="33">
        <f>+'Anexo 17'!N40*'Anexo 7'!$D$10</f>
        <v>0</v>
      </c>
      <c r="O40" s="33">
        <f>+'Anexo 17'!O40*'Anexo 7'!$D$10</f>
        <v>0</v>
      </c>
      <c r="P40" s="33">
        <f>+'Anexo 17'!P40*'Anexo 7'!$D$10</f>
        <v>0</v>
      </c>
      <c r="Q40" s="33">
        <f>+'Anexo 17'!Q40*'Anexo 7'!$D$10</f>
        <v>0</v>
      </c>
      <c r="R40" s="33">
        <f>+'Anexo 17'!R40*'Anexo 7'!$D$10</f>
        <v>0</v>
      </c>
      <c r="S40" s="33">
        <f>+'Anexo 17'!S40*'Anexo 7'!$D$10</f>
        <v>0</v>
      </c>
      <c r="T40" s="33">
        <f>+'Anexo 17'!T40*'Anexo 7'!$D$10</f>
        <v>0</v>
      </c>
      <c r="U40" s="33">
        <f>+'Anexo 17'!U40*'Anexo 7'!$D$10</f>
        <v>0</v>
      </c>
      <c r="V40" s="33">
        <f>+'Anexo 17'!V40*'Anexo 7'!$D$10</f>
        <v>0</v>
      </c>
      <c r="W40" s="33">
        <f>+'Anexo 17'!W40*'Anexo 7'!$D$10</f>
        <v>0</v>
      </c>
      <c r="X40" s="33">
        <f>+'Anexo 17'!X40*'Anexo 7'!$D$10</f>
        <v>0</v>
      </c>
      <c r="Y40" s="33">
        <f>+'Anexo 17'!Y40*'Anexo 7'!$D$10</f>
        <v>0</v>
      </c>
      <c r="Z40" s="33">
        <f>+'Anexo 17'!Z40*'Anexo 7'!$D$10</f>
        <v>0</v>
      </c>
      <c r="AA40" s="38">
        <f t="shared" si="0"/>
        <v>0</v>
      </c>
      <c r="AB40" s="21">
        <v>3</v>
      </c>
      <c r="AC40" s="101"/>
      <c r="AD40" s="47"/>
    </row>
    <row r="41" spans="1:30" ht="15.75" thickBot="1" x14ac:dyDescent="0.3">
      <c r="A41" s="99"/>
      <c r="B41" s="22" t="s">
        <v>3</v>
      </c>
      <c r="C41" s="33">
        <f>+'Anexo 17'!C41*'Anexo 7'!$D$10</f>
        <v>0</v>
      </c>
      <c r="D41" s="33">
        <f>+'Anexo 17'!D41*'Anexo 7'!$D$10</f>
        <v>0</v>
      </c>
      <c r="E41" s="33">
        <f>+'Anexo 17'!E41*'Anexo 7'!$D$10</f>
        <v>0</v>
      </c>
      <c r="F41" s="33">
        <f>+'Anexo 17'!F41*'Anexo 7'!$D$10</f>
        <v>0</v>
      </c>
      <c r="G41" s="33">
        <f>+'Anexo 17'!G41*'Anexo 7'!$D$10</f>
        <v>0</v>
      </c>
      <c r="H41" s="33">
        <f>+'Anexo 17'!H41*'Anexo 7'!$D$10</f>
        <v>0</v>
      </c>
      <c r="I41" s="33">
        <f>+'Anexo 17'!I41*'Anexo 7'!$D$10</f>
        <v>0</v>
      </c>
      <c r="J41" s="33">
        <f>+'Anexo 17'!J41*'Anexo 7'!$D$10</f>
        <v>0</v>
      </c>
      <c r="K41" s="33">
        <f>+'Anexo 17'!K41*'Anexo 7'!$D$10</f>
        <v>0</v>
      </c>
      <c r="L41" s="33">
        <f>+'Anexo 17'!L41*'Anexo 7'!$D$10</f>
        <v>0</v>
      </c>
      <c r="M41" s="33">
        <f>+'Anexo 17'!M41*'Anexo 7'!$D$10</f>
        <v>0</v>
      </c>
      <c r="N41" s="33">
        <f>+'Anexo 17'!N41*'Anexo 7'!$D$10</f>
        <v>0</v>
      </c>
      <c r="O41" s="33">
        <f>+'Anexo 17'!O41*'Anexo 7'!$D$10</f>
        <v>0</v>
      </c>
      <c r="P41" s="33">
        <f>+'Anexo 17'!P41*'Anexo 7'!$D$10</f>
        <v>0</v>
      </c>
      <c r="Q41" s="33">
        <f>+'Anexo 17'!Q41*'Anexo 7'!$D$10</f>
        <v>0</v>
      </c>
      <c r="R41" s="33">
        <f>+'Anexo 17'!R41*'Anexo 7'!$D$10</f>
        <v>0</v>
      </c>
      <c r="S41" s="33">
        <f>+'Anexo 17'!S41*'Anexo 7'!$D$10</f>
        <v>0</v>
      </c>
      <c r="T41" s="33">
        <f>+'Anexo 17'!T41*'Anexo 7'!$D$10</f>
        <v>0</v>
      </c>
      <c r="U41" s="33">
        <f>+'Anexo 17'!U41*'Anexo 7'!$D$10</f>
        <v>0</v>
      </c>
      <c r="V41" s="33">
        <f>+'Anexo 17'!V41*'Anexo 7'!$D$10</f>
        <v>0</v>
      </c>
      <c r="W41" s="33">
        <f>+'Anexo 17'!W41*'Anexo 7'!$D$10</f>
        <v>0</v>
      </c>
      <c r="X41" s="33">
        <f>+'Anexo 17'!X41*'Anexo 7'!$D$10</f>
        <v>0</v>
      </c>
      <c r="Y41" s="33">
        <f>+'Anexo 17'!Y41*'Anexo 7'!$D$10</f>
        <v>0</v>
      </c>
      <c r="Z41" s="33">
        <f>+'Anexo 17'!Z41*'Anexo 7'!$D$10</f>
        <v>0</v>
      </c>
      <c r="AA41" s="41">
        <f t="shared" si="0"/>
        <v>0</v>
      </c>
      <c r="AB41" s="23">
        <v>6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93CC-73E3-420C-828C-40CB14B41EC2}">
  <sheetPr>
    <tabColor rgb="FFFFC000"/>
  </sheetPr>
  <dimension ref="A1:XFC36"/>
  <sheetViews>
    <sheetView showGridLines="0" topLeftCell="A15" zoomScaleNormal="100" zoomScaleSheetLayoutView="140" workbookViewId="0">
      <selection activeCell="G32" sqref="G3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9" t="s">
        <v>93</v>
      </c>
      <c r="C3" s="79"/>
      <c r="D3" s="79"/>
      <c r="E3" s="79"/>
      <c r="F3" s="79"/>
      <c r="G3" s="29"/>
    </row>
    <row r="4" spans="1:8" x14ac:dyDescent="0.25">
      <c r="B4" s="79" t="s">
        <v>94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48580</v>
      </c>
      <c r="C10" s="43">
        <f>+'Anexo 18'!AC6</f>
        <v>59848947</v>
      </c>
      <c r="D10" s="76"/>
      <c r="E10" s="57">
        <f>+'Cantidades Ofertadas Prod 8'!AC6</f>
        <v>0</v>
      </c>
      <c r="F10" s="85"/>
      <c r="G10" s="32"/>
      <c r="H10" s="66"/>
    </row>
    <row r="11" spans="1:8" ht="15.75" thickBot="1" x14ac:dyDescent="0.3">
      <c r="A11" s="59">
        <v>29</v>
      </c>
      <c r="B11" s="8">
        <v>48611</v>
      </c>
      <c r="C11" s="43">
        <f>+'Anexo 18'!AC9</f>
        <v>55238260</v>
      </c>
      <c r="D11" s="77"/>
      <c r="E11" s="57">
        <f>+'Cantidades Ofertadas Prod 8'!AC9</f>
        <v>0</v>
      </c>
      <c r="F11" s="86"/>
      <c r="G11" s="32"/>
      <c r="H11" s="66"/>
    </row>
    <row r="12" spans="1:8" ht="15.75" thickBot="1" x14ac:dyDescent="0.3">
      <c r="A12" s="59">
        <v>31</v>
      </c>
      <c r="B12" s="8">
        <v>48639</v>
      </c>
      <c r="C12" s="43">
        <f>+'Anexo 18'!AC12</f>
        <v>59665201</v>
      </c>
      <c r="D12" s="77"/>
      <c r="E12" s="57">
        <f>+'Cantidades Ofertadas Prod 8'!AC12</f>
        <v>0</v>
      </c>
      <c r="F12" s="86"/>
      <c r="G12" s="32"/>
      <c r="H12" s="66"/>
    </row>
    <row r="13" spans="1:8" ht="15.75" thickBot="1" x14ac:dyDescent="0.3">
      <c r="A13" s="59">
        <v>30</v>
      </c>
      <c r="B13" s="8">
        <v>48670</v>
      </c>
      <c r="C13" s="43">
        <f>+'Anexo 18'!AC15</f>
        <v>56201858</v>
      </c>
      <c r="D13" s="77"/>
      <c r="E13" s="57">
        <f>+'Cantidades Ofertadas Prod 8'!AC15</f>
        <v>0</v>
      </c>
      <c r="F13" s="86"/>
      <c r="G13" s="32"/>
      <c r="H13" s="66"/>
    </row>
    <row r="14" spans="1:8" ht="15.75" thickBot="1" x14ac:dyDescent="0.3">
      <c r="A14" s="59">
        <v>31</v>
      </c>
      <c r="B14" s="8">
        <v>48700</v>
      </c>
      <c r="C14" s="43">
        <f>+'Anexo 18'!AC18</f>
        <v>58557317</v>
      </c>
      <c r="D14" s="77"/>
      <c r="E14" s="57">
        <f>+'Cantidades Ofertadas Prod 8'!AC18</f>
        <v>0</v>
      </c>
      <c r="F14" s="86"/>
      <c r="G14" s="32"/>
      <c r="H14" s="66"/>
    </row>
    <row r="15" spans="1:8" ht="15.75" thickBot="1" x14ac:dyDescent="0.3">
      <c r="A15" s="59">
        <v>30</v>
      </c>
      <c r="B15" s="8">
        <v>48731</v>
      </c>
      <c r="C15" s="43">
        <f>+'Anexo 18'!AC21</f>
        <v>56625088</v>
      </c>
      <c r="D15" s="77"/>
      <c r="E15" s="57">
        <f>+'Cantidades Ofertadas Prod 8'!AC21</f>
        <v>0</v>
      </c>
      <c r="F15" s="86"/>
      <c r="G15" s="32"/>
      <c r="H15" s="66"/>
    </row>
    <row r="16" spans="1:8" ht="15.75" thickBot="1" x14ac:dyDescent="0.3">
      <c r="A16" s="59">
        <v>31</v>
      </c>
      <c r="B16" s="8">
        <v>48761</v>
      </c>
      <c r="C16" s="43">
        <f>+'Anexo 18'!AC24</f>
        <v>59748687</v>
      </c>
      <c r="D16" s="77"/>
      <c r="E16" s="57">
        <f>+'Cantidades Ofertadas Prod 8'!AC24</f>
        <v>0</v>
      </c>
      <c r="F16" s="86"/>
      <c r="G16" s="32"/>
      <c r="H16" s="66"/>
    </row>
    <row r="17" spans="1:8" ht="15.75" thickBot="1" x14ac:dyDescent="0.3">
      <c r="A17" s="59">
        <v>31</v>
      </c>
      <c r="B17" s="8">
        <v>48792</v>
      </c>
      <c r="C17" s="43">
        <f>+'Anexo 18'!AC27</f>
        <v>61233240</v>
      </c>
      <c r="D17" s="77"/>
      <c r="E17" s="57">
        <f>+'Cantidades Ofertadas Prod 8'!AC27</f>
        <v>0</v>
      </c>
      <c r="F17" s="86"/>
      <c r="G17" s="32"/>
      <c r="H17" s="66"/>
    </row>
    <row r="18" spans="1:8" ht="15.75" thickBot="1" x14ac:dyDescent="0.3">
      <c r="A18" s="59">
        <v>30</v>
      </c>
      <c r="B18" s="8">
        <v>48823</v>
      </c>
      <c r="C18" s="43">
        <f>+'Anexo 18'!AC30</f>
        <v>60048658</v>
      </c>
      <c r="D18" s="77"/>
      <c r="E18" s="57">
        <f>+'Cantidades Ofertadas Prod 8'!AC30</f>
        <v>0</v>
      </c>
      <c r="F18" s="86"/>
      <c r="G18" s="32"/>
      <c r="H18" s="66"/>
    </row>
    <row r="19" spans="1:8" ht="15.75" thickBot="1" x14ac:dyDescent="0.3">
      <c r="A19" s="59">
        <v>31</v>
      </c>
      <c r="B19" s="8">
        <v>48853</v>
      </c>
      <c r="C19" s="43">
        <f>+'Anexo 18'!AC33</f>
        <v>59262812</v>
      </c>
      <c r="D19" s="77"/>
      <c r="E19" s="57">
        <f>+'Cantidades Ofertadas Prod 8'!AC33</f>
        <v>0</v>
      </c>
      <c r="F19" s="86"/>
      <c r="G19" s="32"/>
      <c r="H19" s="66"/>
    </row>
    <row r="20" spans="1:8" ht="15.75" thickBot="1" x14ac:dyDescent="0.3">
      <c r="A20" s="59">
        <v>30</v>
      </c>
      <c r="B20" s="8">
        <v>48884</v>
      </c>
      <c r="C20" s="43">
        <f>+'Anexo 18'!AC36</f>
        <v>56449096</v>
      </c>
      <c r="D20" s="77"/>
      <c r="E20" s="57">
        <f>+'Cantidades Ofertadas Prod 8'!AC36</f>
        <v>0</v>
      </c>
      <c r="F20" s="86"/>
      <c r="G20" s="32"/>
      <c r="H20" s="66"/>
    </row>
    <row r="21" spans="1:8" ht="15.75" thickBot="1" x14ac:dyDescent="0.3">
      <c r="A21" s="59">
        <v>31</v>
      </c>
      <c r="B21" s="8">
        <v>48914</v>
      </c>
      <c r="C21" s="43">
        <f>+'Anexo 18'!AC39</f>
        <v>60611493</v>
      </c>
      <c r="D21" s="78"/>
      <c r="E21" s="57">
        <f>+'Cantidades Ofertadas Prod 8'!AC39</f>
        <v>0</v>
      </c>
      <c r="F21" s="87"/>
      <c r="G21" s="32"/>
      <c r="H21" s="66"/>
    </row>
    <row r="22" spans="1:8" ht="28.5" customHeight="1" x14ac:dyDescent="0.25">
      <c r="B22" s="9" t="s">
        <v>0</v>
      </c>
      <c r="C22" s="10">
        <f>+SUM(C10:C21)</f>
        <v>703490657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72" t="s">
        <v>46</v>
      </c>
      <c r="C25" s="72"/>
      <c r="D25" s="72"/>
      <c r="E25" s="72"/>
      <c r="F25" s="72"/>
      <c r="G25" s="72"/>
      <c r="H25" s="42"/>
    </row>
    <row r="26" spans="1:8" x14ac:dyDescent="0.25">
      <c r="B26" s="7" t="s">
        <v>105</v>
      </c>
      <c r="C26" s="52"/>
      <c r="D26" s="52"/>
      <c r="E26" s="52"/>
      <c r="F26" s="52"/>
      <c r="G26" s="52"/>
      <c r="H26" s="42"/>
    </row>
    <row r="27" spans="1:8" x14ac:dyDescent="0.25">
      <c r="B27" s="7" t="s">
        <v>106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129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G33" s="45"/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2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00B4EE97-8C8D-4978-9177-8498882DD199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A7D0-45F1-496E-B8EA-53914FB807C0}">
  <sheetPr>
    <tabColor rgb="FFFFC000"/>
  </sheetPr>
  <dimension ref="A1:H33"/>
  <sheetViews>
    <sheetView showGridLines="0" topLeftCell="A6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9" t="s">
        <v>114</v>
      </c>
      <c r="C3" s="79"/>
      <c r="D3" s="79"/>
      <c r="E3" s="79"/>
      <c r="F3" s="79"/>
      <c r="G3" s="29"/>
    </row>
    <row r="4" spans="1:8" ht="15" x14ac:dyDescent="0.25">
      <c r="B4" s="79" t="s">
        <v>94</v>
      </c>
      <c r="C4" s="79"/>
      <c r="D4" s="79"/>
      <c r="E4" s="79"/>
      <c r="F4" s="79"/>
      <c r="G4" s="29"/>
    </row>
    <row r="5" spans="1:8" ht="15" x14ac:dyDescent="0.25">
      <c r="B5" s="79" t="s">
        <v>89</v>
      </c>
      <c r="C5" s="79"/>
      <c r="D5" s="79"/>
      <c r="E5" s="79"/>
      <c r="F5" s="79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80307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48580</v>
      </c>
      <c r="C10" s="43">
        <f>+$A$9*A10*24</f>
        <v>59748408</v>
      </c>
      <c r="D10" s="82"/>
      <c r="E10" s="57">
        <f>+$D$10*A10*24</f>
        <v>0</v>
      </c>
      <c r="F10" s="73"/>
      <c r="G10" s="32"/>
      <c r="H10" s="51"/>
    </row>
    <row r="11" spans="1:8" ht="15.75" thickBot="1" x14ac:dyDescent="0.3">
      <c r="A11" s="59">
        <v>28</v>
      </c>
      <c r="B11" s="8">
        <v>48611</v>
      </c>
      <c r="C11" s="43">
        <f t="shared" ref="C11:C21" si="0">+$A$9*A11*24</f>
        <v>53966304</v>
      </c>
      <c r="D11" s="83"/>
      <c r="E11" s="57">
        <f t="shared" ref="E11:E21" si="1">+$D$10*A11*24</f>
        <v>0</v>
      </c>
      <c r="F11" s="74"/>
      <c r="G11" s="32"/>
      <c r="H11" s="51"/>
    </row>
    <row r="12" spans="1:8" ht="15.75" thickBot="1" x14ac:dyDescent="0.3">
      <c r="A12" s="59">
        <v>31</v>
      </c>
      <c r="B12" s="8">
        <v>48639</v>
      </c>
      <c r="C12" s="43">
        <f t="shared" si="0"/>
        <v>59748408</v>
      </c>
      <c r="D12" s="83"/>
      <c r="E12" s="57">
        <f t="shared" si="1"/>
        <v>0</v>
      </c>
      <c r="F12" s="74"/>
      <c r="G12" s="32"/>
      <c r="H12" s="51"/>
    </row>
    <row r="13" spans="1:8" ht="15.75" thickBot="1" x14ac:dyDescent="0.3">
      <c r="A13" s="59">
        <v>30</v>
      </c>
      <c r="B13" s="8">
        <v>48670</v>
      </c>
      <c r="C13" s="43">
        <f t="shared" si="0"/>
        <v>57821040</v>
      </c>
      <c r="D13" s="83"/>
      <c r="E13" s="57">
        <f t="shared" si="1"/>
        <v>0</v>
      </c>
      <c r="F13" s="74"/>
      <c r="G13" s="32"/>
      <c r="H13" s="51"/>
    </row>
    <row r="14" spans="1:8" ht="15.75" thickBot="1" x14ac:dyDescent="0.3">
      <c r="A14" s="59">
        <v>31</v>
      </c>
      <c r="B14" s="8">
        <v>48700</v>
      </c>
      <c r="C14" s="43">
        <f t="shared" si="0"/>
        <v>59748408</v>
      </c>
      <c r="D14" s="83"/>
      <c r="E14" s="57">
        <f t="shared" si="1"/>
        <v>0</v>
      </c>
      <c r="F14" s="74"/>
      <c r="G14" s="32"/>
      <c r="H14" s="51"/>
    </row>
    <row r="15" spans="1:8" ht="15.75" thickBot="1" x14ac:dyDescent="0.3">
      <c r="A15" s="59">
        <v>30</v>
      </c>
      <c r="B15" s="8">
        <v>48731</v>
      </c>
      <c r="C15" s="43">
        <f t="shared" si="0"/>
        <v>57821040</v>
      </c>
      <c r="D15" s="83"/>
      <c r="E15" s="57">
        <f t="shared" si="1"/>
        <v>0</v>
      </c>
      <c r="F15" s="74"/>
      <c r="G15" s="32"/>
      <c r="H15" s="51"/>
    </row>
    <row r="16" spans="1:8" ht="15.75" thickBot="1" x14ac:dyDescent="0.3">
      <c r="A16" s="59">
        <v>31</v>
      </c>
      <c r="B16" s="8">
        <v>48761</v>
      </c>
      <c r="C16" s="43">
        <f t="shared" si="0"/>
        <v>59748408</v>
      </c>
      <c r="D16" s="83"/>
      <c r="E16" s="57">
        <f t="shared" si="1"/>
        <v>0</v>
      </c>
      <c r="F16" s="74"/>
      <c r="G16" s="32"/>
      <c r="H16" s="51"/>
    </row>
    <row r="17" spans="1:8" ht="15.75" thickBot="1" x14ac:dyDescent="0.3">
      <c r="A17" s="59">
        <v>31</v>
      </c>
      <c r="B17" s="8">
        <v>48792</v>
      </c>
      <c r="C17" s="43">
        <f t="shared" si="0"/>
        <v>59748408</v>
      </c>
      <c r="D17" s="83"/>
      <c r="E17" s="57">
        <f t="shared" si="1"/>
        <v>0</v>
      </c>
      <c r="F17" s="74"/>
      <c r="G17" s="32"/>
      <c r="H17" s="51"/>
    </row>
    <row r="18" spans="1:8" ht="15.75" thickBot="1" x14ac:dyDescent="0.3">
      <c r="A18" s="59">
        <v>30</v>
      </c>
      <c r="B18" s="8">
        <v>48823</v>
      </c>
      <c r="C18" s="43">
        <f t="shared" si="0"/>
        <v>57821040</v>
      </c>
      <c r="D18" s="83"/>
      <c r="E18" s="57">
        <f t="shared" si="1"/>
        <v>0</v>
      </c>
      <c r="F18" s="74"/>
      <c r="G18" s="32"/>
      <c r="H18" s="51"/>
    </row>
    <row r="19" spans="1:8" ht="15.75" thickBot="1" x14ac:dyDescent="0.3">
      <c r="A19" s="59">
        <v>31</v>
      </c>
      <c r="B19" s="8">
        <v>48853</v>
      </c>
      <c r="C19" s="43">
        <f t="shared" si="0"/>
        <v>59748408</v>
      </c>
      <c r="D19" s="83"/>
      <c r="E19" s="57">
        <f t="shared" si="1"/>
        <v>0</v>
      </c>
      <c r="F19" s="74"/>
      <c r="G19" s="32"/>
      <c r="H19" s="51"/>
    </row>
    <row r="20" spans="1:8" ht="15.75" thickBot="1" x14ac:dyDescent="0.3">
      <c r="A20" s="59">
        <v>30</v>
      </c>
      <c r="B20" s="8">
        <v>48884</v>
      </c>
      <c r="C20" s="43">
        <f t="shared" si="0"/>
        <v>57821040</v>
      </c>
      <c r="D20" s="83"/>
      <c r="E20" s="57">
        <f t="shared" si="1"/>
        <v>0</v>
      </c>
      <c r="F20" s="74"/>
      <c r="G20" s="32"/>
      <c r="H20" s="51"/>
    </row>
    <row r="21" spans="1:8" ht="15.75" thickBot="1" x14ac:dyDescent="0.3">
      <c r="A21" s="59">
        <v>31</v>
      </c>
      <c r="B21" s="8">
        <v>48914</v>
      </c>
      <c r="C21" s="43">
        <f t="shared" si="0"/>
        <v>59748408</v>
      </c>
      <c r="D21" s="84"/>
      <c r="E21" s="57">
        <f t="shared" si="1"/>
        <v>0</v>
      </c>
      <c r="F21" s="75"/>
      <c r="G21" s="32"/>
      <c r="H21" s="51"/>
    </row>
    <row r="22" spans="1:8" ht="28.5" customHeight="1" x14ac:dyDescent="0.25">
      <c r="B22" s="9" t="s">
        <v>0</v>
      </c>
      <c r="C22" s="10">
        <f>+SUM(C10:C21)</f>
        <v>703489320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128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72" t="s">
        <v>68</v>
      </c>
      <c r="C26" s="72"/>
      <c r="D26" s="72"/>
      <c r="E26" s="72"/>
      <c r="F26" s="72"/>
      <c r="G26" s="72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80.307" prompt="debe ofertar maximo 80.307 kWh" sqref="D10:D21" xr:uid="{0970544F-A66F-416F-96DA-363A71EB75B7}">
      <formula1>0</formula1>
      <formula2>+A9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7113-D35E-4FC2-8050-6A3D1B76498A}">
  <sheetPr>
    <tabColor rgb="FFFFC000"/>
  </sheetPr>
  <dimension ref="A1:AD45"/>
  <sheetViews>
    <sheetView showGridLines="0" zoomScale="115" zoomScaleNormal="115" zoomScaleSheetLayoutView="110" workbookViewId="0">
      <pane xSplit="2" ySplit="5" topLeftCell="M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3" width="9.28515625" bestFit="1" customWidth="1"/>
    <col min="4" max="4" width="9" bestFit="1" customWidth="1"/>
    <col min="5" max="5" width="8.7109375" bestFit="1" customWidth="1"/>
    <col min="6" max="8" width="9" bestFit="1" customWidth="1"/>
    <col min="9" max="10" width="9.28515625" bestFit="1" customWidth="1"/>
    <col min="11" max="12" width="9" bestFit="1" customWidth="1"/>
    <col min="13" max="14" width="9.28515625" bestFit="1" customWidth="1"/>
    <col min="15" max="15" width="9" bestFit="1" customWidth="1"/>
    <col min="16" max="18" width="8.7109375" bestFit="1" customWidth="1"/>
    <col min="19" max="20" width="9" bestFit="1" customWidth="1"/>
    <col min="21" max="26" width="9.28515625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90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48580</v>
      </c>
      <c r="B6" s="18" t="s">
        <v>5</v>
      </c>
      <c r="C6" s="33">
        <v>65302</v>
      </c>
      <c r="D6" s="33">
        <v>61528</v>
      </c>
      <c r="E6" s="33">
        <v>59257</v>
      </c>
      <c r="F6" s="33">
        <v>58084</v>
      </c>
      <c r="G6" s="33">
        <v>58895</v>
      </c>
      <c r="H6" s="33">
        <v>62403</v>
      </c>
      <c r="I6" s="33">
        <v>65738</v>
      </c>
      <c r="J6" s="33">
        <v>71982</v>
      </c>
      <c r="K6" s="33">
        <v>79005</v>
      </c>
      <c r="L6" s="33">
        <v>84325</v>
      </c>
      <c r="M6" s="33">
        <v>89743</v>
      </c>
      <c r="N6" s="33">
        <v>94854</v>
      </c>
      <c r="O6" s="33">
        <v>93986</v>
      </c>
      <c r="P6" s="33">
        <v>94098</v>
      </c>
      <c r="Q6" s="33">
        <v>95666</v>
      </c>
      <c r="R6" s="33">
        <v>95966</v>
      </c>
      <c r="S6" s="33">
        <v>94867</v>
      </c>
      <c r="T6" s="33">
        <v>92813</v>
      </c>
      <c r="U6" s="33">
        <v>99634</v>
      </c>
      <c r="V6" s="33">
        <v>105315</v>
      </c>
      <c r="W6" s="33">
        <v>101496</v>
      </c>
      <c r="X6" s="33">
        <v>94798</v>
      </c>
      <c r="Y6" s="33">
        <v>84033</v>
      </c>
      <c r="Z6" s="34">
        <v>73161</v>
      </c>
      <c r="AA6" s="35">
        <f>SUM(C6:Z6)</f>
        <v>1976949</v>
      </c>
      <c r="AB6" s="19">
        <v>20</v>
      </c>
      <c r="AC6" s="100">
        <f>+AA6*AB6+AA7*AB7+AA8*AB8</f>
        <v>59848947</v>
      </c>
    </row>
    <row r="7" spans="1:30" ht="15.75" thickBot="1" x14ac:dyDescent="0.3">
      <c r="A7" s="99"/>
      <c r="B7" s="20" t="s">
        <v>4</v>
      </c>
      <c r="C7" s="36">
        <v>66878</v>
      </c>
      <c r="D7" s="36">
        <v>61436</v>
      </c>
      <c r="E7" s="36">
        <v>58883</v>
      </c>
      <c r="F7" s="36">
        <v>57275</v>
      </c>
      <c r="G7" s="36">
        <v>57326</v>
      </c>
      <c r="H7" s="36">
        <v>59251</v>
      </c>
      <c r="I7" s="36">
        <v>61496</v>
      </c>
      <c r="J7" s="36">
        <v>67725</v>
      </c>
      <c r="K7" s="36">
        <v>75427</v>
      </c>
      <c r="L7" s="36">
        <v>81241</v>
      </c>
      <c r="M7" s="36">
        <v>85597</v>
      </c>
      <c r="N7" s="36">
        <v>89905</v>
      </c>
      <c r="O7" s="36">
        <v>90371</v>
      </c>
      <c r="P7" s="36">
        <v>89484</v>
      </c>
      <c r="Q7" s="36">
        <v>88510</v>
      </c>
      <c r="R7" s="36">
        <v>88036</v>
      </c>
      <c r="S7" s="36">
        <v>87373</v>
      </c>
      <c r="T7" s="36">
        <v>87288</v>
      </c>
      <c r="U7" s="36">
        <v>95679</v>
      </c>
      <c r="V7" s="36">
        <v>101655</v>
      </c>
      <c r="W7" s="36">
        <v>97568</v>
      </c>
      <c r="X7" s="36">
        <v>91476</v>
      </c>
      <c r="Y7" s="36">
        <v>82831</v>
      </c>
      <c r="Z7" s="37">
        <v>74168</v>
      </c>
      <c r="AA7" s="38">
        <f t="shared" ref="AA7:AA41" si="0">SUM(C7:Z7)</f>
        <v>1896879</v>
      </c>
      <c r="AB7" s="21">
        <v>4</v>
      </c>
      <c r="AC7" s="101"/>
      <c r="AD7" s="47"/>
    </row>
    <row r="8" spans="1:30" x14ac:dyDescent="0.25">
      <c r="A8" s="99"/>
      <c r="B8" s="22" t="s">
        <v>3</v>
      </c>
      <c r="C8" s="39">
        <v>70108</v>
      </c>
      <c r="D8" s="39">
        <v>65503</v>
      </c>
      <c r="E8" s="39">
        <v>62449</v>
      </c>
      <c r="F8" s="39">
        <v>60293</v>
      </c>
      <c r="G8" s="39">
        <v>59242</v>
      </c>
      <c r="H8" s="39">
        <v>59655</v>
      </c>
      <c r="I8" s="39">
        <v>59070</v>
      </c>
      <c r="J8" s="39">
        <v>62558</v>
      </c>
      <c r="K8" s="39">
        <v>68531</v>
      </c>
      <c r="L8" s="39">
        <v>73795</v>
      </c>
      <c r="M8" s="39">
        <v>77680</v>
      </c>
      <c r="N8" s="39">
        <v>81723</v>
      </c>
      <c r="O8" s="39">
        <v>84119</v>
      </c>
      <c r="P8" s="39">
        <v>83834</v>
      </c>
      <c r="Q8" s="39">
        <v>82311</v>
      </c>
      <c r="R8" s="39">
        <v>81433</v>
      </c>
      <c r="S8" s="39">
        <v>80993</v>
      </c>
      <c r="T8" s="39">
        <v>81432</v>
      </c>
      <c r="U8" s="39">
        <v>90760</v>
      </c>
      <c r="V8" s="39">
        <v>97420</v>
      </c>
      <c r="W8" s="39">
        <v>94704</v>
      </c>
      <c r="X8" s="39">
        <v>88897</v>
      </c>
      <c r="Y8" s="39">
        <v>79944</v>
      </c>
      <c r="Z8" s="40">
        <v>71039</v>
      </c>
      <c r="AA8" s="41">
        <f t="shared" si="0"/>
        <v>1817493</v>
      </c>
      <c r="AB8" s="23">
        <v>7</v>
      </c>
      <c r="AC8" s="102"/>
      <c r="AD8" s="48"/>
    </row>
    <row r="9" spans="1:30" ht="15.75" thickBot="1" x14ac:dyDescent="0.3">
      <c r="A9" s="99">
        <v>48611</v>
      </c>
      <c r="B9" s="18" t="s">
        <v>5</v>
      </c>
      <c r="C9" s="33">
        <v>65685</v>
      </c>
      <c r="D9" s="33">
        <v>62052</v>
      </c>
      <c r="E9" s="33">
        <v>59964</v>
      </c>
      <c r="F9" s="33">
        <v>58938</v>
      </c>
      <c r="G9" s="33">
        <v>60126</v>
      </c>
      <c r="H9" s="33">
        <v>65570</v>
      </c>
      <c r="I9" s="33">
        <v>69908</v>
      </c>
      <c r="J9" s="33">
        <v>74618</v>
      </c>
      <c r="K9" s="33">
        <v>80867</v>
      </c>
      <c r="L9" s="33">
        <v>85548</v>
      </c>
      <c r="M9" s="33">
        <v>90664</v>
      </c>
      <c r="N9" s="33">
        <v>95405</v>
      </c>
      <c r="O9" s="33">
        <v>93501</v>
      </c>
      <c r="P9" s="33">
        <v>94225</v>
      </c>
      <c r="Q9" s="33">
        <v>96426</v>
      </c>
      <c r="R9" s="33">
        <v>96823</v>
      </c>
      <c r="S9" s="33">
        <v>95743</v>
      </c>
      <c r="T9" s="33">
        <v>93244</v>
      </c>
      <c r="U9" s="33">
        <v>98449</v>
      </c>
      <c r="V9" s="33">
        <v>105903</v>
      </c>
      <c r="W9" s="33">
        <v>102231</v>
      </c>
      <c r="X9" s="33">
        <v>95218</v>
      </c>
      <c r="Y9" s="33">
        <v>84154</v>
      </c>
      <c r="Z9" s="34">
        <v>73144</v>
      </c>
      <c r="AA9" s="35">
        <f t="shared" si="0"/>
        <v>1998406</v>
      </c>
      <c r="AB9" s="19">
        <v>20</v>
      </c>
      <c r="AC9" s="100">
        <f>+AA9*AB9+AA10*AB10+AA11*AB11</f>
        <v>55238260</v>
      </c>
    </row>
    <row r="10" spans="1:30" ht="15.75" thickBot="1" x14ac:dyDescent="0.3">
      <c r="A10" s="99"/>
      <c r="B10" s="20" t="s">
        <v>4</v>
      </c>
      <c r="C10" s="36">
        <v>68116</v>
      </c>
      <c r="D10" s="36">
        <v>62881</v>
      </c>
      <c r="E10" s="36">
        <v>60340</v>
      </c>
      <c r="F10" s="36">
        <v>58881</v>
      </c>
      <c r="G10" s="36">
        <v>59054</v>
      </c>
      <c r="H10" s="36">
        <v>61124</v>
      </c>
      <c r="I10" s="36">
        <v>64439</v>
      </c>
      <c r="J10" s="36">
        <v>70664</v>
      </c>
      <c r="K10" s="36">
        <v>78665</v>
      </c>
      <c r="L10" s="36">
        <v>84237</v>
      </c>
      <c r="M10" s="36">
        <v>88666</v>
      </c>
      <c r="N10" s="36">
        <v>92967</v>
      </c>
      <c r="O10" s="36">
        <v>93086</v>
      </c>
      <c r="P10" s="36">
        <v>91892</v>
      </c>
      <c r="Q10" s="36">
        <v>90871</v>
      </c>
      <c r="R10" s="36">
        <v>90311</v>
      </c>
      <c r="S10" s="36">
        <v>89543</v>
      </c>
      <c r="T10" s="36">
        <v>89263</v>
      </c>
      <c r="U10" s="36">
        <v>96050</v>
      </c>
      <c r="V10" s="36">
        <v>103405</v>
      </c>
      <c r="W10" s="36">
        <v>99356</v>
      </c>
      <c r="X10" s="36">
        <v>93601</v>
      </c>
      <c r="Y10" s="36">
        <v>85375</v>
      </c>
      <c r="Z10" s="37">
        <v>76234</v>
      </c>
      <c r="AA10" s="38">
        <f t="shared" si="0"/>
        <v>1949021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70746</v>
      </c>
      <c r="D11" s="39">
        <v>66176</v>
      </c>
      <c r="E11" s="39">
        <v>63390</v>
      </c>
      <c r="F11" s="39">
        <v>61298</v>
      </c>
      <c r="G11" s="39">
        <v>60630</v>
      </c>
      <c r="H11" s="39">
        <v>61257</v>
      </c>
      <c r="I11" s="39">
        <v>61758</v>
      </c>
      <c r="J11" s="39">
        <v>65850</v>
      </c>
      <c r="K11" s="39">
        <v>72401</v>
      </c>
      <c r="L11" s="39">
        <v>77764</v>
      </c>
      <c r="M11" s="39">
        <v>81318</v>
      </c>
      <c r="N11" s="39">
        <v>85159</v>
      </c>
      <c r="O11" s="39">
        <v>87311</v>
      </c>
      <c r="P11" s="39">
        <v>86609</v>
      </c>
      <c r="Q11" s="39">
        <v>84894</v>
      </c>
      <c r="R11" s="39">
        <v>83854</v>
      </c>
      <c r="S11" s="39">
        <v>83330</v>
      </c>
      <c r="T11" s="39">
        <v>83771</v>
      </c>
      <c r="U11" s="39">
        <v>91209</v>
      </c>
      <c r="V11" s="39">
        <v>99490</v>
      </c>
      <c r="W11" s="39">
        <v>96963</v>
      </c>
      <c r="X11" s="39">
        <v>90946</v>
      </c>
      <c r="Y11" s="39">
        <v>81066</v>
      </c>
      <c r="Z11" s="40">
        <v>71324</v>
      </c>
      <c r="AA11" s="41">
        <f t="shared" si="0"/>
        <v>1868514</v>
      </c>
      <c r="AB11" s="23">
        <v>4</v>
      </c>
      <c r="AC11" s="102"/>
      <c r="AD11" s="48"/>
    </row>
    <row r="12" spans="1:30" ht="15.75" thickBot="1" x14ac:dyDescent="0.3">
      <c r="A12" s="99">
        <v>48639</v>
      </c>
      <c r="B12" s="18" t="s">
        <v>5</v>
      </c>
      <c r="C12" s="33">
        <v>64289</v>
      </c>
      <c r="D12" s="33">
        <v>60811</v>
      </c>
      <c r="E12" s="33">
        <v>58886</v>
      </c>
      <c r="F12" s="33">
        <v>57921</v>
      </c>
      <c r="G12" s="33">
        <v>59201</v>
      </c>
      <c r="H12" s="33">
        <v>64540</v>
      </c>
      <c r="I12" s="33">
        <v>68280</v>
      </c>
      <c r="J12" s="33">
        <v>73492</v>
      </c>
      <c r="K12" s="33">
        <v>79492</v>
      </c>
      <c r="L12" s="33">
        <v>83988</v>
      </c>
      <c r="M12" s="33">
        <v>88778</v>
      </c>
      <c r="N12" s="33">
        <v>93098</v>
      </c>
      <c r="O12" s="33">
        <v>91377</v>
      </c>
      <c r="P12" s="33">
        <v>91758</v>
      </c>
      <c r="Q12" s="33">
        <v>93651</v>
      </c>
      <c r="R12" s="33">
        <v>93959</v>
      </c>
      <c r="S12" s="33">
        <v>93137</v>
      </c>
      <c r="T12" s="33">
        <v>91377</v>
      </c>
      <c r="U12" s="33">
        <v>97874</v>
      </c>
      <c r="V12" s="33">
        <v>104233</v>
      </c>
      <c r="W12" s="33">
        <v>100446</v>
      </c>
      <c r="X12" s="33">
        <v>93316</v>
      </c>
      <c r="Y12" s="33">
        <v>82473</v>
      </c>
      <c r="Z12" s="34">
        <v>71768</v>
      </c>
      <c r="AA12" s="35">
        <f t="shared" si="0"/>
        <v>1958145</v>
      </c>
      <c r="AB12" s="19">
        <v>22</v>
      </c>
      <c r="AC12" s="100">
        <f>+AA12*AB12+AA13*AB13+AA14*AB14</f>
        <v>59665201</v>
      </c>
    </row>
    <row r="13" spans="1:30" ht="15.75" thickBot="1" x14ac:dyDescent="0.3">
      <c r="A13" s="99"/>
      <c r="B13" s="20" t="s">
        <v>4</v>
      </c>
      <c r="C13" s="36">
        <v>66314</v>
      </c>
      <c r="D13" s="36">
        <v>61124</v>
      </c>
      <c r="E13" s="36">
        <v>59029</v>
      </c>
      <c r="F13" s="36">
        <v>57832</v>
      </c>
      <c r="G13" s="36">
        <v>57903</v>
      </c>
      <c r="H13" s="36">
        <v>60103</v>
      </c>
      <c r="I13" s="36">
        <v>62020</v>
      </c>
      <c r="J13" s="36">
        <v>68847</v>
      </c>
      <c r="K13" s="36">
        <v>76271</v>
      </c>
      <c r="L13" s="36">
        <v>81652</v>
      </c>
      <c r="M13" s="36">
        <v>85925</v>
      </c>
      <c r="N13" s="36">
        <v>89487</v>
      </c>
      <c r="O13" s="36">
        <v>89416</v>
      </c>
      <c r="P13" s="36">
        <v>88146</v>
      </c>
      <c r="Q13" s="36">
        <v>87196</v>
      </c>
      <c r="R13" s="36">
        <v>86481</v>
      </c>
      <c r="S13" s="36">
        <v>85553</v>
      </c>
      <c r="T13" s="36">
        <v>85616</v>
      </c>
      <c r="U13" s="36">
        <v>93363</v>
      </c>
      <c r="V13" s="36">
        <v>99246</v>
      </c>
      <c r="W13" s="36">
        <v>95400</v>
      </c>
      <c r="X13" s="36">
        <v>89898</v>
      </c>
      <c r="Y13" s="36">
        <v>81713</v>
      </c>
      <c r="Z13" s="37">
        <v>73444</v>
      </c>
      <c r="AA13" s="38">
        <f t="shared" si="0"/>
        <v>1881979</v>
      </c>
      <c r="AB13" s="21">
        <v>4</v>
      </c>
      <c r="AC13" s="101"/>
      <c r="AD13" s="47"/>
    </row>
    <row r="14" spans="1:30" x14ac:dyDescent="0.25">
      <c r="A14" s="99"/>
      <c r="B14" s="22" t="s">
        <v>3</v>
      </c>
      <c r="C14" s="39">
        <v>68341</v>
      </c>
      <c r="D14" s="39">
        <v>63922</v>
      </c>
      <c r="E14" s="39">
        <v>61322</v>
      </c>
      <c r="F14" s="39">
        <v>59559</v>
      </c>
      <c r="G14" s="39">
        <v>58828</v>
      </c>
      <c r="H14" s="39">
        <v>59695</v>
      </c>
      <c r="I14" s="39">
        <v>59478</v>
      </c>
      <c r="J14" s="39">
        <v>63898</v>
      </c>
      <c r="K14" s="39">
        <v>69919</v>
      </c>
      <c r="L14" s="39">
        <v>74772</v>
      </c>
      <c r="M14" s="39">
        <v>78156</v>
      </c>
      <c r="N14" s="39">
        <v>82003</v>
      </c>
      <c r="O14" s="39">
        <v>84293</v>
      </c>
      <c r="P14" s="39">
        <v>83653</v>
      </c>
      <c r="Q14" s="39">
        <v>81896</v>
      </c>
      <c r="R14" s="39">
        <v>81111</v>
      </c>
      <c r="S14" s="39">
        <v>80601</v>
      </c>
      <c r="T14" s="39">
        <v>81231</v>
      </c>
      <c r="U14" s="39">
        <v>89754</v>
      </c>
      <c r="V14" s="39">
        <v>96821</v>
      </c>
      <c r="W14" s="39">
        <v>94096</v>
      </c>
      <c r="X14" s="39">
        <v>88456</v>
      </c>
      <c r="Y14" s="39">
        <v>79280</v>
      </c>
      <c r="Z14" s="40">
        <v>70534</v>
      </c>
      <c r="AA14" s="41">
        <f t="shared" si="0"/>
        <v>1811619</v>
      </c>
      <c r="AB14" s="23">
        <v>5</v>
      </c>
      <c r="AC14" s="102"/>
      <c r="AD14" s="45"/>
    </row>
    <row r="15" spans="1:30" ht="15.75" thickBot="1" x14ac:dyDescent="0.3">
      <c r="A15" s="99">
        <v>48670</v>
      </c>
      <c r="B15" s="18" t="s">
        <v>5</v>
      </c>
      <c r="C15" s="33">
        <v>62807</v>
      </c>
      <c r="D15" s="33">
        <v>59477</v>
      </c>
      <c r="E15" s="33">
        <v>57474</v>
      </c>
      <c r="F15" s="33">
        <v>56544</v>
      </c>
      <c r="G15" s="33">
        <v>57721</v>
      </c>
      <c r="H15" s="33">
        <v>62026</v>
      </c>
      <c r="I15" s="33">
        <v>65196</v>
      </c>
      <c r="J15" s="33">
        <v>70939</v>
      </c>
      <c r="K15" s="33">
        <v>76939</v>
      </c>
      <c r="L15" s="33">
        <v>81639</v>
      </c>
      <c r="M15" s="33">
        <v>86599</v>
      </c>
      <c r="N15" s="33">
        <v>91094</v>
      </c>
      <c r="O15" s="33">
        <v>89488</v>
      </c>
      <c r="P15" s="33">
        <v>89900</v>
      </c>
      <c r="Q15" s="33">
        <v>91678</v>
      </c>
      <c r="R15" s="33">
        <v>91861</v>
      </c>
      <c r="S15" s="33">
        <v>90937</v>
      </c>
      <c r="T15" s="33">
        <v>89592</v>
      </c>
      <c r="U15" s="33">
        <v>97413</v>
      </c>
      <c r="V15" s="33">
        <v>102065</v>
      </c>
      <c r="W15" s="33">
        <v>98473</v>
      </c>
      <c r="X15" s="33">
        <v>91274</v>
      </c>
      <c r="Y15" s="33">
        <v>80377</v>
      </c>
      <c r="Z15" s="34">
        <v>69955</v>
      </c>
      <c r="AA15" s="35">
        <f t="shared" si="0"/>
        <v>1911468</v>
      </c>
      <c r="AB15" s="19">
        <v>19</v>
      </c>
      <c r="AC15" s="100">
        <f>+AA15*AB15+AA16*AB16+AA17*AB17</f>
        <v>56201858</v>
      </c>
    </row>
    <row r="16" spans="1:30" ht="15.75" thickBot="1" x14ac:dyDescent="0.3">
      <c r="A16" s="99"/>
      <c r="B16" s="20" t="s">
        <v>4</v>
      </c>
      <c r="C16" s="36">
        <v>64145</v>
      </c>
      <c r="D16" s="36">
        <v>59209</v>
      </c>
      <c r="E16" s="36">
        <v>56811</v>
      </c>
      <c r="F16" s="36">
        <v>55397</v>
      </c>
      <c r="G16" s="36">
        <v>55657</v>
      </c>
      <c r="H16" s="36">
        <v>57255</v>
      </c>
      <c r="I16" s="36">
        <v>59266</v>
      </c>
      <c r="J16" s="36">
        <v>66393</v>
      </c>
      <c r="K16" s="36">
        <v>73702</v>
      </c>
      <c r="L16" s="36">
        <v>79249</v>
      </c>
      <c r="M16" s="36">
        <v>83257</v>
      </c>
      <c r="N16" s="36">
        <v>87805</v>
      </c>
      <c r="O16" s="36">
        <v>88085</v>
      </c>
      <c r="P16" s="36">
        <v>87024</v>
      </c>
      <c r="Q16" s="36">
        <v>86061</v>
      </c>
      <c r="R16" s="36">
        <v>85397</v>
      </c>
      <c r="S16" s="36">
        <v>85155</v>
      </c>
      <c r="T16" s="36">
        <v>85564</v>
      </c>
      <c r="U16" s="36">
        <v>94292</v>
      </c>
      <c r="V16" s="36">
        <v>99119</v>
      </c>
      <c r="W16" s="36">
        <v>95061</v>
      </c>
      <c r="X16" s="36">
        <v>89174</v>
      </c>
      <c r="Y16" s="36">
        <v>80883</v>
      </c>
      <c r="Z16" s="37">
        <v>72423</v>
      </c>
      <c r="AA16" s="38">
        <f t="shared" si="0"/>
        <v>1846384</v>
      </c>
      <c r="AB16" s="21">
        <v>5</v>
      </c>
      <c r="AC16" s="101"/>
      <c r="AD16" s="47"/>
    </row>
    <row r="17" spans="1:30" x14ac:dyDescent="0.25">
      <c r="A17" s="99"/>
      <c r="B17" s="22" t="s">
        <v>3</v>
      </c>
      <c r="C17" s="39">
        <v>66847</v>
      </c>
      <c r="D17" s="39">
        <v>62582</v>
      </c>
      <c r="E17" s="39">
        <v>59824</v>
      </c>
      <c r="F17" s="39">
        <v>57948</v>
      </c>
      <c r="G17" s="39">
        <v>57221</v>
      </c>
      <c r="H17" s="39">
        <v>57125</v>
      </c>
      <c r="I17" s="39">
        <v>57569</v>
      </c>
      <c r="J17" s="39">
        <v>62557</v>
      </c>
      <c r="K17" s="39">
        <v>68392</v>
      </c>
      <c r="L17" s="39">
        <v>73514</v>
      </c>
      <c r="M17" s="39">
        <v>77159</v>
      </c>
      <c r="N17" s="39">
        <v>80874</v>
      </c>
      <c r="O17" s="39">
        <v>83034</v>
      </c>
      <c r="P17" s="39">
        <v>82438</v>
      </c>
      <c r="Q17" s="39">
        <v>80573</v>
      </c>
      <c r="R17" s="39">
        <v>79693</v>
      </c>
      <c r="S17" s="39">
        <v>79188</v>
      </c>
      <c r="T17" s="39">
        <v>79905</v>
      </c>
      <c r="U17" s="39">
        <v>89404</v>
      </c>
      <c r="V17" s="39">
        <v>95090</v>
      </c>
      <c r="W17" s="39">
        <v>92112</v>
      </c>
      <c r="X17" s="39">
        <v>86308</v>
      </c>
      <c r="Y17" s="39">
        <v>77421</v>
      </c>
      <c r="Z17" s="40">
        <v>68563</v>
      </c>
      <c r="AA17" s="41">
        <f t="shared" si="0"/>
        <v>1775341</v>
      </c>
      <c r="AB17" s="23">
        <v>6</v>
      </c>
      <c r="AC17" s="102"/>
      <c r="AD17" s="48"/>
    </row>
    <row r="18" spans="1:30" ht="15.75" thickBot="1" x14ac:dyDescent="0.3">
      <c r="A18" s="99">
        <v>48700</v>
      </c>
      <c r="B18" s="18" t="s">
        <v>5</v>
      </c>
      <c r="C18" s="33">
        <v>62899</v>
      </c>
      <c r="D18" s="33">
        <v>59456</v>
      </c>
      <c r="E18" s="33">
        <v>57540</v>
      </c>
      <c r="F18" s="33">
        <v>56580</v>
      </c>
      <c r="G18" s="33">
        <v>57714</v>
      </c>
      <c r="H18" s="33">
        <v>61406</v>
      </c>
      <c r="I18" s="33">
        <v>65265</v>
      </c>
      <c r="J18" s="33">
        <v>71296</v>
      </c>
      <c r="K18" s="33">
        <v>77460</v>
      </c>
      <c r="L18" s="33">
        <v>82301</v>
      </c>
      <c r="M18" s="33">
        <v>87168</v>
      </c>
      <c r="N18" s="33">
        <v>91790</v>
      </c>
      <c r="O18" s="33">
        <v>90393</v>
      </c>
      <c r="P18" s="33">
        <v>90375</v>
      </c>
      <c r="Q18" s="33">
        <v>91769</v>
      </c>
      <c r="R18" s="33">
        <v>91932</v>
      </c>
      <c r="S18" s="33">
        <v>90993</v>
      </c>
      <c r="T18" s="33">
        <v>89894</v>
      </c>
      <c r="U18" s="33">
        <v>98061</v>
      </c>
      <c r="V18" s="33">
        <v>102689</v>
      </c>
      <c r="W18" s="33">
        <v>98674</v>
      </c>
      <c r="X18" s="33">
        <v>91453</v>
      </c>
      <c r="Y18" s="33">
        <v>80384</v>
      </c>
      <c r="Z18" s="34">
        <v>70131</v>
      </c>
      <c r="AA18" s="35">
        <f t="shared" si="0"/>
        <v>1917623</v>
      </c>
      <c r="AB18" s="19">
        <v>21</v>
      </c>
      <c r="AC18" s="100">
        <f>+AA18*AB18+AA19*AB19+AA20*AB20</f>
        <v>58557317</v>
      </c>
    </row>
    <row r="19" spans="1:30" ht="15.75" thickBot="1" x14ac:dyDescent="0.3">
      <c r="A19" s="99"/>
      <c r="B19" s="20" t="s">
        <v>4</v>
      </c>
      <c r="C19" s="36">
        <v>65229</v>
      </c>
      <c r="D19" s="36">
        <v>60299</v>
      </c>
      <c r="E19" s="36">
        <v>58063</v>
      </c>
      <c r="F19" s="36">
        <v>56745</v>
      </c>
      <c r="G19" s="36">
        <v>56974</v>
      </c>
      <c r="H19" s="36">
        <v>57906</v>
      </c>
      <c r="I19" s="36">
        <v>60941</v>
      </c>
      <c r="J19" s="36">
        <v>68106</v>
      </c>
      <c r="K19" s="36">
        <v>75582</v>
      </c>
      <c r="L19" s="36">
        <v>81360</v>
      </c>
      <c r="M19" s="36">
        <v>85319</v>
      </c>
      <c r="N19" s="36">
        <v>88932</v>
      </c>
      <c r="O19" s="36">
        <v>88943</v>
      </c>
      <c r="P19" s="36">
        <v>87528</v>
      </c>
      <c r="Q19" s="36">
        <v>86087</v>
      </c>
      <c r="R19" s="36">
        <v>85217</v>
      </c>
      <c r="S19" s="36">
        <v>84586</v>
      </c>
      <c r="T19" s="36">
        <v>85365</v>
      </c>
      <c r="U19" s="36">
        <v>94852</v>
      </c>
      <c r="V19" s="36">
        <v>98699</v>
      </c>
      <c r="W19" s="36">
        <v>94786</v>
      </c>
      <c r="X19" s="36">
        <v>88789</v>
      </c>
      <c r="Y19" s="36">
        <v>80448</v>
      </c>
      <c r="Z19" s="37">
        <v>72132</v>
      </c>
      <c r="AA19" s="38">
        <f t="shared" si="0"/>
        <v>1862888</v>
      </c>
      <c r="AB19" s="21">
        <v>4</v>
      </c>
      <c r="AC19" s="101"/>
      <c r="AD19" s="47"/>
    </row>
    <row r="20" spans="1:30" x14ac:dyDescent="0.25">
      <c r="A20" s="99"/>
      <c r="B20" s="22" t="s">
        <v>3</v>
      </c>
      <c r="C20" s="39">
        <v>66368</v>
      </c>
      <c r="D20" s="39">
        <v>62244</v>
      </c>
      <c r="E20" s="39">
        <v>59684</v>
      </c>
      <c r="F20" s="39">
        <v>57980</v>
      </c>
      <c r="G20" s="39">
        <v>57457</v>
      </c>
      <c r="H20" s="39">
        <v>56808</v>
      </c>
      <c r="I20" s="39">
        <v>57975</v>
      </c>
      <c r="J20" s="39">
        <v>63530</v>
      </c>
      <c r="K20" s="39">
        <v>69709</v>
      </c>
      <c r="L20" s="39">
        <v>75196</v>
      </c>
      <c r="M20" s="39">
        <v>78947</v>
      </c>
      <c r="N20" s="39">
        <v>82866</v>
      </c>
      <c r="O20" s="39">
        <v>84585</v>
      </c>
      <c r="P20" s="39">
        <v>84240</v>
      </c>
      <c r="Q20" s="39">
        <v>82199</v>
      </c>
      <c r="R20" s="39">
        <v>84493</v>
      </c>
      <c r="S20" s="39">
        <v>80761</v>
      </c>
      <c r="T20" s="39">
        <v>81650</v>
      </c>
      <c r="U20" s="39">
        <v>91469</v>
      </c>
      <c r="V20" s="39">
        <v>97173</v>
      </c>
      <c r="W20" s="39">
        <v>94108</v>
      </c>
      <c r="X20" s="39">
        <v>87939</v>
      </c>
      <c r="Y20" s="39">
        <v>78801</v>
      </c>
      <c r="Z20" s="40">
        <v>69765</v>
      </c>
      <c r="AA20" s="41">
        <f t="shared" si="0"/>
        <v>1805947</v>
      </c>
      <c r="AB20" s="23">
        <v>6</v>
      </c>
      <c r="AC20" s="102"/>
      <c r="AD20" s="48"/>
    </row>
    <row r="21" spans="1:30" ht="15.75" thickBot="1" x14ac:dyDescent="0.3">
      <c r="A21" s="99">
        <v>48731</v>
      </c>
      <c r="B21" s="18" t="s">
        <v>5</v>
      </c>
      <c r="C21" s="33">
        <v>62158</v>
      </c>
      <c r="D21" s="33">
        <v>58642</v>
      </c>
      <c r="E21" s="33">
        <v>56885</v>
      </c>
      <c r="F21" s="33">
        <v>55942</v>
      </c>
      <c r="G21" s="33">
        <v>56983</v>
      </c>
      <c r="H21" s="33">
        <v>60153</v>
      </c>
      <c r="I21" s="33">
        <v>64333</v>
      </c>
      <c r="J21" s="33">
        <v>70697</v>
      </c>
      <c r="K21" s="33">
        <v>77127</v>
      </c>
      <c r="L21" s="33">
        <v>81921</v>
      </c>
      <c r="M21" s="33">
        <v>86931</v>
      </c>
      <c r="N21" s="33">
        <v>91609</v>
      </c>
      <c r="O21" s="33">
        <v>90100</v>
      </c>
      <c r="P21" s="33">
        <v>89998</v>
      </c>
      <c r="Q21" s="33">
        <v>91718</v>
      </c>
      <c r="R21" s="33">
        <v>91814</v>
      </c>
      <c r="S21" s="33">
        <v>90878</v>
      </c>
      <c r="T21" s="33">
        <v>89471</v>
      </c>
      <c r="U21" s="33">
        <v>95982</v>
      </c>
      <c r="V21" s="33">
        <v>102059</v>
      </c>
      <c r="W21" s="33">
        <v>98252</v>
      </c>
      <c r="X21" s="33">
        <v>91096</v>
      </c>
      <c r="Y21" s="33">
        <v>79865</v>
      </c>
      <c r="Z21" s="34">
        <v>69455</v>
      </c>
      <c r="AA21" s="35">
        <f t="shared" si="0"/>
        <v>1904069</v>
      </c>
      <c r="AB21" s="19">
        <v>20</v>
      </c>
      <c r="AC21" s="100">
        <f>+AA21*AB21+AA22*AB22+AA23*AB23</f>
        <v>56625088</v>
      </c>
    </row>
    <row r="22" spans="1:30" ht="15.75" thickBot="1" x14ac:dyDescent="0.3">
      <c r="A22" s="99"/>
      <c r="B22" s="20" t="s">
        <v>4</v>
      </c>
      <c r="C22" s="36">
        <v>65162</v>
      </c>
      <c r="D22" s="36">
        <v>59954</v>
      </c>
      <c r="E22" s="36">
        <v>57673</v>
      </c>
      <c r="F22" s="36">
        <v>56384</v>
      </c>
      <c r="G22" s="36">
        <v>56498</v>
      </c>
      <c r="H22" s="36">
        <v>57414</v>
      </c>
      <c r="I22" s="36">
        <v>60413</v>
      </c>
      <c r="J22" s="36">
        <v>67499</v>
      </c>
      <c r="K22" s="36">
        <v>75496</v>
      </c>
      <c r="L22" s="36">
        <v>80984</v>
      </c>
      <c r="M22" s="36">
        <v>85270</v>
      </c>
      <c r="N22" s="36">
        <v>88985</v>
      </c>
      <c r="O22" s="36">
        <v>89229</v>
      </c>
      <c r="P22" s="36">
        <v>88316</v>
      </c>
      <c r="Q22" s="36">
        <v>87374</v>
      </c>
      <c r="R22" s="36">
        <v>87210</v>
      </c>
      <c r="S22" s="36">
        <v>86559</v>
      </c>
      <c r="T22" s="36">
        <v>87208</v>
      </c>
      <c r="U22" s="36">
        <v>95349</v>
      </c>
      <c r="V22" s="36">
        <v>100574</v>
      </c>
      <c r="W22" s="36">
        <v>96450</v>
      </c>
      <c r="X22" s="36">
        <v>90561</v>
      </c>
      <c r="Y22" s="36">
        <v>81840</v>
      </c>
      <c r="Z22" s="37">
        <v>72967</v>
      </c>
      <c r="AA22" s="38">
        <f t="shared" si="0"/>
        <v>1875369</v>
      </c>
      <c r="AB22" s="21">
        <v>4</v>
      </c>
      <c r="AC22" s="101"/>
      <c r="AD22" s="47"/>
    </row>
    <row r="23" spans="1:30" x14ac:dyDescent="0.25">
      <c r="A23" s="99"/>
      <c r="B23" s="22" t="s">
        <v>3</v>
      </c>
      <c r="C23" s="39">
        <v>67815</v>
      </c>
      <c r="D23" s="39">
        <v>63494</v>
      </c>
      <c r="E23" s="39">
        <v>60983</v>
      </c>
      <c r="F23" s="39">
        <v>59271</v>
      </c>
      <c r="G23" s="39">
        <v>58867</v>
      </c>
      <c r="H23" s="39">
        <v>58799</v>
      </c>
      <c r="I23" s="39">
        <v>59582</v>
      </c>
      <c r="J23" s="39">
        <v>65372</v>
      </c>
      <c r="K23" s="39">
        <v>71807</v>
      </c>
      <c r="L23" s="39">
        <v>76775</v>
      </c>
      <c r="M23" s="39">
        <v>80862</v>
      </c>
      <c r="N23" s="39">
        <v>84814</v>
      </c>
      <c r="O23" s="39">
        <v>86224</v>
      </c>
      <c r="P23" s="39">
        <v>85627</v>
      </c>
      <c r="Q23" s="39">
        <v>83972</v>
      </c>
      <c r="R23" s="39">
        <v>83190</v>
      </c>
      <c r="S23" s="39">
        <v>82765</v>
      </c>
      <c r="T23" s="39">
        <v>83443</v>
      </c>
      <c r="U23" s="39">
        <v>91858</v>
      </c>
      <c r="V23" s="39">
        <v>98613</v>
      </c>
      <c r="W23" s="39">
        <v>95707</v>
      </c>
      <c r="X23" s="39">
        <v>89461</v>
      </c>
      <c r="Y23" s="39">
        <v>80077</v>
      </c>
      <c r="Z23" s="40">
        <v>70994</v>
      </c>
      <c r="AA23" s="41">
        <f t="shared" si="0"/>
        <v>1840372</v>
      </c>
      <c r="AB23" s="23">
        <v>6</v>
      </c>
      <c r="AC23" s="102"/>
      <c r="AD23" s="48"/>
    </row>
    <row r="24" spans="1:30" ht="15.75" thickBot="1" x14ac:dyDescent="0.3">
      <c r="A24" s="99">
        <v>48761</v>
      </c>
      <c r="B24" s="18" t="s">
        <v>5</v>
      </c>
      <c r="C24" s="33">
        <v>65079</v>
      </c>
      <c r="D24" s="33">
        <v>61376</v>
      </c>
      <c r="E24" s="33">
        <v>59241</v>
      </c>
      <c r="F24" s="33">
        <v>58078</v>
      </c>
      <c r="G24" s="33">
        <v>59069</v>
      </c>
      <c r="H24" s="33">
        <v>62224</v>
      </c>
      <c r="I24" s="33">
        <v>65618</v>
      </c>
      <c r="J24" s="33">
        <v>72723</v>
      </c>
      <c r="K24" s="33">
        <v>79627</v>
      </c>
      <c r="L24" s="33">
        <v>85039</v>
      </c>
      <c r="M24" s="33">
        <v>90278</v>
      </c>
      <c r="N24" s="33">
        <v>94925</v>
      </c>
      <c r="O24" s="33">
        <v>93281</v>
      </c>
      <c r="P24" s="33">
        <v>93481</v>
      </c>
      <c r="Q24" s="33">
        <v>95195</v>
      </c>
      <c r="R24" s="33">
        <v>95386</v>
      </c>
      <c r="S24" s="33">
        <v>94036</v>
      </c>
      <c r="T24" s="33">
        <v>91686</v>
      </c>
      <c r="U24" s="33">
        <v>97067</v>
      </c>
      <c r="V24" s="33">
        <v>104288</v>
      </c>
      <c r="W24" s="33">
        <v>100913</v>
      </c>
      <c r="X24" s="33">
        <v>94113</v>
      </c>
      <c r="Y24" s="33">
        <v>82893</v>
      </c>
      <c r="Z24" s="34">
        <v>72566</v>
      </c>
      <c r="AA24" s="35">
        <f t="shared" si="0"/>
        <v>1968182</v>
      </c>
      <c r="AB24" s="19">
        <v>19</v>
      </c>
      <c r="AC24" s="100">
        <f>+AA24*AB24+AA25*AB25+AA26*AB26</f>
        <v>59748687</v>
      </c>
    </row>
    <row r="25" spans="1:30" ht="15.75" thickBot="1" x14ac:dyDescent="0.3">
      <c r="A25" s="99"/>
      <c r="B25" s="20" t="s">
        <v>4</v>
      </c>
      <c r="C25" s="36">
        <v>65225</v>
      </c>
      <c r="D25" s="36">
        <v>59825</v>
      </c>
      <c r="E25" s="36">
        <v>57701</v>
      </c>
      <c r="F25" s="36">
        <v>56280</v>
      </c>
      <c r="G25" s="36">
        <v>56416</v>
      </c>
      <c r="H25" s="36">
        <v>57602</v>
      </c>
      <c r="I25" s="36">
        <v>60467</v>
      </c>
      <c r="J25" s="36">
        <v>68906</v>
      </c>
      <c r="K25" s="36">
        <v>76940</v>
      </c>
      <c r="L25" s="36">
        <v>82440</v>
      </c>
      <c r="M25" s="36">
        <v>86763</v>
      </c>
      <c r="N25" s="36">
        <v>90419</v>
      </c>
      <c r="O25" s="36">
        <v>90250</v>
      </c>
      <c r="P25" s="36">
        <v>88837</v>
      </c>
      <c r="Q25" s="36">
        <v>87551</v>
      </c>
      <c r="R25" s="36">
        <v>86883</v>
      </c>
      <c r="S25" s="36">
        <v>86114</v>
      </c>
      <c r="T25" s="36">
        <v>86371</v>
      </c>
      <c r="U25" s="36">
        <v>92822</v>
      </c>
      <c r="V25" s="36">
        <v>99644</v>
      </c>
      <c r="W25" s="36">
        <v>95838</v>
      </c>
      <c r="X25" s="36">
        <v>90393</v>
      </c>
      <c r="Y25" s="36">
        <v>81867</v>
      </c>
      <c r="Z25" s="37">
        <v>73430</v>
      </c>
      <c r="AA25" s="38">
        <f t="shared" si="0"/>
        <v>1878984</v>
      </c>
      <c r="AB25" s="21">
        <v>5</v>
      </c>
      <c r="AC25" s="101"/>
      <c r="AD25" s="47"/>
    </row>
    <row r="26" spans="1:30" x14ac:dyDescent="0.25">
      <c r="A26" s="99"/>
      <c r="B26" s="22" t="s">
        <v>3</v>
      </c>
      <c r="C26" s="39">
        <v>69217</v>
      </c>
      <c r="D26" s="39">
        <v>64966</v>
      </c>
      <c r="E26" s="39">
        <v>62161</v>
      </c>
      <c r="F26" s="39">
        <v>60327</v>
      </c>
      <c r="G26" s="39">
        <v>59756</v>
      </c>
      <c r="H26" s="39">
        <v>59775</v>
      </c>
      <c r="I26" s="39">
        <v>60167</v>
      </c>
      <c r="J26" s="39">
        <v>65636</v>
      </c>
      <c r="K26" s="39">
        <v>72198</v>
      </c>
      <c r="L26" s="39">
        <v>77641</v>
      </c>
      <c r="M26" s="39">
        <v>81602</v>
      </c>
      <c r="N26" s="39">
        <v>85275</v>
      </c>
      <c r="O26" s="39">
        <v>87095</v>
      </c>
      <c r="P26" s="39">
        <v>86139</v>
      </c>
      <c r="Q26" s="39">
        <v>84234</v>
      </c>
      <c r="R26" s="39">
        <v>83225</v>
      </c>
      <c r="S26" s="39">
        <v>82442</v>
      </c>
      <c r="T26" s="39">
        <v>82803</v>
      </c>
      <c r="U26" s="39">
        <v>89773</v>
      </c>
      <c r="V26" s="39">
        <v>98345</v>
      </c>
      <c r="W26" s="39">
        <v>95839</v>
      </c>
      <c r="X26" s="39">
        <v>90071</v>
      </c>
      <c r="Y26" s="39">
        <v>80696</v>
      </c>
      <c r="Z26" s="40">
        <v>71804</v>
      </c>
      <c r="AA26" s="41">
        <f t="shared" si="0"/>
        <v>1851187</v>
      </c>
      <c r="AB26" s="23">
        <v>7</v>
      </c>
      <c r="AC26" s="102"/>
      <c r="AD26" s="48"/>
    </row>
    <row r="27" spans="1:30" ht="15.75" thickBot="1" x14ac:dyDescent="0.3">
      <c r="A27" s="99">
        <v>48792</v>
      </c>
      <c r="B27" s="18" t="s">
        <v>5</v>
      </c>
      <c r="C27" s="33">
        <v>65845</v>
      </c>
      <c r="D27" s="33">
        <v>62335</v>
      </c>
      <c r="E27" s="33">
        <v>60399</v>
      </c>
      <c r="F27" s="33">
        <v>59252</v>
      </c>
      <c r="G27" s="33">
        <v>60290</v>
      </c>
      <c r="H27" s="33">
        <v>64470</v>
      </c>
      <c r="I27" s="33">
        <v>68194</v>
      </c>
      <c r="J27" s="33">
        <v>74519</v>
      </c>
      <c r="K27" s="33">
        <v>81137</v>
      </c>
      <c r="L27" s="33">
        <v>86204</v>
      </c>
      <c r="M27" s="33">
        <v>91572</v>
      </c>
      <c r="N27" s="33">
        <v>96277</v>
      </c>
      <c r="O27" s="33">
        <v>94621</v>
      </c>
      <c r="P27" s="33">
        <v>95370</v>
      </c>
      <c r="Q27" s="33">
        <v>97306</v>
      </c>
      <c r="R27" s="33">
        <v>97460</v>
      </c>
      <c r="S27" s="33">
        <v>96057</v>
      </c>
      <c r="T27" s="33">
        <v>93628</v>
      </c>
      <c r="U27" s="33">
        <v>100180</v>
      </c>
      <c r="V27" s="33">
        <v>106249</v>
      </c>
      <c r="W27" s="33">
        <v>102540</v>
      </c>
      <c r="X27" s="33">
        <v>95371</v>
      </c>
      <c r="Y27" s="33">
        <v>84010</v>
      </c>
      <c r="Z27" s="34">
        <v>73754</v>
      </c>
      <c r="AA27" s="35">
        <f t="shared" si="0"/>
        <v>2007040</v>
      </c>
      <c r="AB27" s="19">
        <v>22</v>
      </c>
      <c r="AC27" s="100">
        <f>+AA27*AB27+AA28*AB28+AA29*AB29</f>
        <v>61233240</v>
      </c>
    </row>
    <row r="28" spans="1:30" ht="15.75" thickBot="1" x14ac:dyDescent="0.3">
      <c r="A28" s="99"/>
      <c r="B28" s="20" t="s">
        <v>4</v>
      </c>
      <c r="C28" s="36">
        <v>68537</v>
      </c>
      <c r="D28" s="36">
        <v>63511</v>
      </c>
      <c r="E28" s="36">
        <v>61176</v>
      </c>
      <c r="F28" s="36">
        <v>59426</v>
      </c>
      <c r="G28" s="36">
        <v>59296</v>
      </c>
      <c r="H28" s="36">
        <v>60942</v>
      </c>
      <c r="I28" s="36">
        <v>62895</v>
      </c>
      <c r="J28" s="36">
        <v>70856</v>
      </c>
      <c r="K28" s="36">
        <v>78906</v>
      </c>
      <c r="L28" s="36">
        <v>84423</v>
      </c>
      <c r="M28" s="36">
        <v>89258</v>
      </c>
      <c r="N28" s="36">
        <v>92918</v>
      </c>
      <c r="O28" s="36">
        <v>92944</v>
      </c>
      <c r="P28" s="36">
        <v>91945</v>
      </c>
      <c r="Q28" s="36">
        <v>90984</v>
      </c>
      <c r="R28" s="36">
        <v>90430</v>
      </c>
      <c r="S28" s="36">
        <v>89218</v>
      </c>
      <c r="T28" s="36">
        <v>89051</v>
      </c>
      <c r="U28" s="36">
        <v>97012</v>
      </c>
      <c r="V28" s="36">
        <v>102268</v>
      </c>
      <c r="W28" s="36">
        <v>98398</v>
      </c>
      <c r="X28" s="36">
        <v>92777</v>
      </c>
      <c r="Y28" s="36">
        <v>84593</v>
      </c>
      <c r="Z28" s="37">
        <v>75786</v>
      </c>
      <c r="AA28" s="38">
        <f t="shared" si="0"/>
        <v>1947550</v>
      </c>
      <c r="AB28" s="21">
        <v>4</v>
      </c>
      <c r="AC28" s="101"/>
      <c r="AD28" s="47"/>
    </row>
    <row r="29" spans="1:30" x14ac:dyDescent="0.25">
      <c r="A29" s="99"/>
      <c r="B29" s="22" t="s">
        <v>3</v>
      </c>
      <c r="C29" s="39">
        <v>69817</v>
      </c>
      <c r="D29" s="39">
        <v>65487</v>
      </c>
      <c r="E29" s="39">
        <v>62633</v>
      </c>
      <c r="F29" s="39">
        <v>60816</v>
      </c>
      <c r="G29" s="39">
        <v>60225</v>
      </c>
      <c r="H29" s="39">
        <v>60424</v>
      </c>
      <c r="I29" s="39">
        <v>60415</v>
      </c>
      <c r="J29" s="39">
        <v>66107</v>
      </c>
      <c r="K29" s="39">
        <v>72534</v>
      </c>
      <c r="L29" s="39">
        <v>77833</v>
      </c>
      <c r="M29" s="39">
        <v>81585</v>
      </c>
      <c r="N29" s="39">
        <v>85473</v>
      </c>
      <c r="O29" s="39">
        <v>87481</v>
      </c>
      <c r="P29" s="39">
        <v>86696</v>
      </c>
      <c r="Q29" s="39">
        <v>84569</v>
      </c>
      <c r="R29" s="39">
        <v>83144</v>
      </c>
      <c r="S29" s="39">
        <v>82605</v>
      </c>
      <c r="T29" s="39">
        <v>82835</v>
      </c>
      <c r="U29" s="39">
        <v>91251</v>
      </c>
      <c r="V29" s="39">
        <v>98561</v>
      </c>
      <c r="W29" s="39">
        <v>95638</v>
      </c>
      <c r="X29" s="39">
        <v>89634</v>
      </c>
      <c r="Y29" s="39">
        <v>80486</v>
      </c>
      <c r="Z29" s="40">
        <v>71383</v>
      </c>
      <c r="AA29" s="41">
        <f t="shared" si="0"/>
        <v>1857632</v>
      </c>
      <c r="AB29" s="23">
        <v>5</v>
      </c>
      <c r="AC29" s="102"/>
      <c r="AD29" s="49"/>
    </row>
    <row r="30" spans="1:30" ht="15.75" thickBot="1" x14ac:dyDescent="0.3">
      <c r="A30" s="99">
        <v>48823</v>
      </c>
      <c r="B30" s="18" t="s">
        <v>5</v>
      </c>
      <c r="C30" s="33">
        <v>67022</v>
      </c>
      <c r="D30" s="33">
        <v>63330</v>
      </c>
      <c r="E30" s="33">
        <v>61024</v>
      </c>
      <c r="F30" s="33">
        <v>60015</v>
      </c>
      <c r="G30" s="33">
        <v>60990</v>
      </c>
      <c r="H30" s="33">
        <v>64986</v>
      </c>
      <c r="I30" s="33">
        <v>68837</v>
      </c>
      <c r="J30" s="33">
        <v>75364</v>
      </c>
      <c r="K30" s="33">
        <v>81925</v>
      </c>
      <c r="L30" s="33">
        <v>87376</v>
      </c>
      <c r="M30" s="33">
        <v>92789</v>
      </c>
      <c r="N30" s="33">
        <v>97750</v>
      </c>
      <c r="O30" s="33">
        <v>96047</v>
      </c>
      <c r="P30" s="33">
        <v>96742</v>
      </c>
      <c r="Q30" s="33">
        <v>99004</v>
      </c>
      <c r="R30" s="33">
        <v>99570</v>
      </c>
      <c r="S30" s="33">
        <v>98139</v>
      </c>
      <c r="T30" s="33">
        <v>96126</v>
      </c>
      <c r="U30" s="33">
        <v>105121</v>
      </c>
      <c r="V30" s="33">
        <v>107550</v>
      </c>
      <c r="W30" s="33">
        <v>103509</v>
      </c>
      <c r="X30" s="33">
        <v>96213</v>
      </c>
      <c r="Y30" s="33">
        <v>84618</v>
      </c>
      <c r="Z30" s="34">
        <v>74388</v>
      </c>
      <c r="AA30" s="35">
        <f t="shared" si="0"/>
        <v>2038435</v>
      </c>
      <c r="AB30" s="19">
        <v>22</v>
      </c>
      <c r="AC30" s="100">
        <f>+AA30*AB30+AA31*AB31+AA32*AB32</f>
        <v>60048658</v>
      </c>
    </row>
    <row r="31" spans="1:30" ht="15.75" thickBot="1" x14ac:dyDescent="0.3">
      <c r="A31" s="99"/>
      <c r="B31" s="20" t="s">
        <v>4</v>
      </c>
      <c r="C31" s="36">
        <v>68812</v>
      </c>
      <c r="D31" s="36">
        <v>63206</v>
      </c>
      <c r="E31" s="36">
        <v>60873</v>
      </c>
      <c r="F31" s="36">
        <v>59594</v>
      </c>
      <c r="G31" s="36">
        <v>59647</v>
      </c>
      <c r="H31" s="36">
        <v>60199</v>
      </c>
      <c r="I31" s="36">
        <v>63216</v>
      </c>
      <c r="J31" s="36">
        <v>71795</v>
      </c>
      <c r="K31" s="36">
        <v>79973</v>
      </c>
      <c r="L31" s="36">
        <v>85811</v>
      </c>
      <c r="M31" s="36">
        <v>90428</v>
      </c>
      <c r="N31" s="36">
        <v>94127</v>
      </c>
      <c r="O31" s="36">
        <v>93896</v>
      </c>
      <c r="P31" s="36">
        <v>92696</v>
      </c>
      <c r="Q31" s="36">
        <v>91583</v>
      </c>
      <c r="R31" s="36">
        <v>90778</v>
      </c>
      <c r="S31" s="36">
        <v>89998</v>
      </c>
      <c r="T31" s="36">
        <v>90667</v>
      </c>
      <c r="U31" s="36">
        <v>100348</v>
      </c>
      <c r="V31" s="36">
        <v>102512</v>
      </c>
      <c r="W31" s="36">
        <v>98014</v>
      </c>
      <c r="X31" s="36">
        <v>92264</v>
      </c>
      <c r="Y31" s="36">
        <v>83866</v>
      </c>
      <c r="Z31" s="37">
        <v>75287</v>
      </c>
      <c r="AA31" s="38">
        <f t="shared" si="0"/>
        <v>1959590</v>
      </c>
      <c r="AB31" s="21">
        <v>4</v>
      </c>
      <c r="AC31" s="101"/>
      <c r="AD31" s="47"/>
    </row>
    <row r="32" spans="1:30" x14ac:dyDescent="0.25">
      <c r="A32" s="99"/>
      <c r="B32" s="22" t="s">
        <v>3</v>
      </c>
      <c r="C32" s="39">
        <v>70061</v>
      </c>
      <c r="D32" s="39">
        <v>65856</v>
      </c>
      <c r="E32" s="39">
        <v>63094</v>
      </c>
      <c r="F32" s="39">
        <v>60957</v>
      </c>
      <c r="G32" s="39">
        <v>59989</v>
      </c>
      <c r="H32" s="39">
        <v>59256</v>
      </c>
      <c r="I32" s="39">
        <v>59708</v>
      </c>
      <c r="J32" s="39">
        <v>65295</v>
      </c>
      <c r="K32" s="39">
        <v>71595</v>
      </c>
      <c r="L32" s="39">
        <v>76763</v>
      </c>
      <c r="M32" s="39">
        <v>80365</v>
      </c>
      <c r="N32" s="39">
        <v>83804</v>
      </c>
      <c r="O32" s="39">
        <v>85794</v>
      </c>
      <c r="P32" s="39">
        <v>85187</v>
      </c>
      <c r="Q32" s="39">
        <v>83389</v>
      </c>
      <c r="R32" s="39">
        <v>82514</v>
      </c>
      <c r="S32" s="39">
        <v>81949</v>
      </c>
      <c r="T32" s="39">
        <v>82604</v>
      </c>
      <c r="U32" s="39">
        <v>93371</v>
      </c>
      <c r="V32" s="39">
        <v>97039</v>
      </c>
      <c r="W32" s="39">
        <v>94354</v>
      </c>
      <c r="X32" s="39">
        <v>88472</v>
      </c>
      <c r="Y32" s="39">
        <v>79287</v>
      </c>
      <c r="Z32" s="40">
        <v>70479</v>
      </c>
      <c r="AA32" s="41">
        <f t="shared" si="0"/>
        <v>1841182</v>
      </c>
      <c r="AB32" s="23">
        <v>4</v>
      </c>
      <c r="AC32" s="102"/>
      <c r="AD32" s="48"/>
    </row>
    <row r="33" spans="1:30" ht="15.75" thickBot="1" x14ac:dyDescent="0.3">
      <c r="A33" s="99">
        <v>48853</v>
      </c>
      <c r="B33" s="18" t="s">
        <v>5</v>
      </c>
      <c r="C33" s="33">
        <v>63512</v>
      </c>
      <c r="D33" s="33">
        <v>60108</v>
      </c>
      <c r="E33" s="33">
        <v>58216</v>
      </c>
      <c r="F33" s="33">
        <v>57202</v>
      </c>
      <c r="G33" s="33">
        <v>58324</v>
      </c>
      <c r="H33" s="33">
        <v>61544</v>
      </c>
      <c r="I33" s="33">
        <v>65644</v>
      </c>
      <c r="J33" s="33">
        <v>71792</v>
      </c>
      <c r="K33" s="33">
        <v>77963</v>
      </c>
      <c r="L33" s="33">
        <v>82832</v>
      </c>
      <c r="M33" s="33">
        <v>87876</v>
      </c>
      <c r="N33" s="33">
        <v>92552</v>
      </c>
      <c r="O33" s="33">
        <v>90927</v>
      </c>
      <c r="P33" s="33">
        <v>91427</v>
      </c>
      <c r="Q33" s="33">
        <v>93522</v>
      </c>
      <c r="R33" s="33">
        <v>93971</v>
      </c>
      <c r="S33" s="33">
        <v>92931</v>
      </c>
      <c r="T33" s="33">
        <v>93203</v>
      </c>
      <c r="U33" s="33">
        <v>103510</v>
      </c>
      <c r="V33" s="33">
        <v>102981</v>
      </c>
      <c r="W33" s="33">
        <v>98459</v>
      </c>
      <c r="X33" s="33">
        <v>91080</v>
      </c>
      <c r="Y33" s="33">
        <v>80243</v>
      </c>
      <c r="Z33" s="34">
        <v>70605</v>
      </c>
      <c r="AA33" s="35">
        <f t="shared" si="0"/>
        <v>1940424</v>
      </c>
      <c r="AB33" s="19">
        <v>20</v>
      </c>
      <c r="AC33" s="100">
        <f>+AA33*AB33+AA34*AB34+AA35*AB35</f>
        <v>59262812</v>
      </c>
    </row>
    <row r="34" spans="1:30" ht="15.75" thickBot="1" x14ac:dyDescent="0.3">
      <c r="A34" s="99"/>
      <c r="B34" s="20" t="s">
        <v>4</v>
      </c>
      <c r="C34" s="36">
        <v>66861</v>
      </c>
      <c r="D34" s="36">
        <v>61862</v>
      </c>
      <c r="E34" s="36">
        <v>59591</v>
      </c>
      <c r="F34" s="36">
        <v>58085</v>
      </c>
      <c r="G34" s="36">
        <v>58388</v>
      </c>
      <c r="H34" s="36">
        <v>59294</v>
      </c>
      <c r="I34" s="36">
        <v>62645</v>
      </c>
      <c r="J34" s="36">
        <v>70358</v>
      </c>
      <c r="K34" s="36">
        <v>78044</v>
      </c>
      <c r="L34" s="36">
        <v>83384</v>
      </c>
      <c r="M34" s="36">
        <v>87928</v>
      </c>
      <c r="N34" s="36">
        <v>91737</v>
      </c>
      <c r="O34" s="36">
        <v>91887</v>
      </c>
      <c r="P34" s="36">
        <v>90848</v>
      </c>
      <c r="Q34" s="36">
        <v>89744</v>
      </c>
      <c r="R34" s="36">
        <v>89059</v>
      </c>
      <c r="S34" s="36">
        <v>88257</v>
      </c>
      <c r="T34" s="36">
        <v>91038</v>
      </c>
      <c r="U34" s="36">
        <v>102594</v>
      </c>
      <c r="V34" s="36">
        <v>102413</v>
      </c>
      <c r="W34" s="36">
        <v>98075</v>
      </c>
      <c r="X34" s="36">
        <v>91507</v>
      </c>
      <c r="Y34" s="36">
        <v>83410</v>
      </c>
      <c r="Z34" s="37">
        <v>74605</v>
      </c>
      <c r="AA34" s="38">
        <f t="shared" si="0"/>
        <v>1931614</v>
      </c>
      <c r="AB34" s="21">
        <v>5</v>
      </c>
      <c r="AC34" s="101"/>
      <c r="AD34" s="47"/>
    </row>
    <row r="35" spans="1:30" x14ac:dyDescent="0.25">
      <c r="A35" s="99"/>
      <c r="B35" s="22" t="s">
        <v>3</v>
      </c>
      <c r="C35" s="39">
        <v>67087</v>
      </c>
      <c r="D35" s="39">
        <v>63026</v>
      </c>
      <c r="E35" s="39">
        <v>60225</v>
      </c>
      <c r="F35" s="39">
        <v>58266</v>
      </c>
      <c r="G35" s="39">
        <v>57643</v>
      </c>
      <c r="H35" s="39">
        <v>56832</v>
      </c>
      <c r="I35" s="39">
        <v>57918</v>
      </c>
      <c r="J35" s="39">
        <v>63237</v>
      </c>
      <c r="K35" s="39">
        <v>69266</v>
      </c>
      <c r="L35" s="39">
        <v>74564</v>
      </c>
      <c r="M35" s="39">
        <v>78319</v>
      </c>
      <c r="N35" s="39">
        <v>82015</v>
      </c>
      <c r="O35" s="39">
        <v>84086</v>
      </c>
      <c r="P35" s="39">
        <v>83396</v>
      </c>
      <c r="Q35" s="39">
        <v>81812</v>
      </c>
      <c r="R35" s="39">
        <v>81009</v>
      </c>
      <c r="S35" s="39">
        <v>80546</v>
      </c>
      <c r="T35" s="39">
        <v>83030</v>
      </c>
      <c r="U35" s="39">
        <v>94894</v>
      </c>
      <c r="V35" s="39">
        <v>95866</v>
      </c>
      <c r="W35" s="39">
        <v>92792</v>
      </c>
      <c r="X35" s="39">
        <v>86732</v>
      </c>
      <c r="Y35" s="39">
        <v>77735</v>
      </c>
      <c r="Z35" s="40">
        <v>69081</v>
      </c>
      <c r="AA35" s="41">
        <f t="shared" si="0"/>
        <v>1799377</v>
      </c>
      <c r="AB35" s="23">
        <v>6</v>
      </c>
      <c r="AC35" s="102"/>
      <c r="AD35" s="48"/>
    </row>
    <row r="36" spans="1:30" ht="15.75" thickBot="1" x14ac:dyDescent="0.3">
      <c r="A36" s="99">
        <v>48884</v>
      </c>
      <c r="B36" s="18" t="s">
        <v>5</v>
      </c>
      <c r="C36" s="33">
        <v>62340</v>
      </c>
      <c r="D36" s="33">
        <v>58942</v>
      </c>
      <c r="E36" s="33">
        <v>57058</v>
      </c>
      <c r="F36" s="33">
        <v>56175</v>
      </c>
      <c r="G36" s="33">
        <v>57482</v>
      </c>
      <c r="H36" s="33">
        <v>61154</v>
      </c>
      <c r="I36" s="33">
        <v>65518</v>
      </c>
      <c r="J36" s="33">
        <v>71761</v>
      </c>
      <c r="K36" s="33">
        <v>77821</v>
      </c>
      <c r="L36" s="33">
        <v>82508</v>
      </c>
      <c r="M36" s="33">
        <v>87526</v>
      </c>
      <c r="N36" s="33">
        <v>92335</v>
      </c>
      <c r="O36" s="33">
        <v>90449</v>
      </c>
      <c r="P36" s="33">
        <v>90502</v>
      </c>
      <c r="Q36" s="33">
        <v>92549</v>
      </c>
      <c r="R36" s="33">
        <v>92458</v>
      </c>
      <c r="S36" s="33">
        <v>91699</v>
      </c>
      <c r="T36" s="33">
        <v>92949</v>
      </c>
      <c r="U36" s="33">
        <v>103713</v>
      </c>
      <c r="V36" s="33">
        <v>103140</v>
      </c>
      <c r="W36" s="33">
        <v>98553</v>
      </c>
      <c r="X36" s="33">
        <v>90782</v>
      </c>
      <c r="Y36" s="33">
        <v>79623</v>
      </c>
      <c r="Z36" s="34">
        <v>69639</v>
      </c>
      <c r="AA36" s="35">
        <f t="shared" si="0"/>
        <v>1926676</v>
      </c>
      <c r="AB36" s="19">
        <v>20</v>
      </c>
      <c r="AC36" s="100">
        <f>+AA36*AB36+AA37*AB37+AA38*AB38</f>
        <v>56449096</v>
      </c>
    </row>
    <row r="37" spans="1:30" ht="15.75" thickBot="1" x14ac:dyDescent="0.3">
      <c r="A37" s="99"/>
      <c r="B37" s="20" t="s">
        <v>4</v>
      </c>
      <c r="C37" s="36">
        <v>64014</v>
      </c>
      <c r="D37" s="36">
        <v>59265</v>
      </c>
      <c r="E37" s="36">
        <v>57102</v>
      </c>
      <c r="F37" s="36">
        <v>55719</v>
      </c>
      <c r="G37" s="36">
        <v>55962</v>
      </c>
      <c r="H37" s="36">
        <v>56661</v>
      </c>
      <c r="I37" s="36">
        <v>59748</v>
      </c>
      <c r="J37" s="36">
        <v>66853</v>
      </c>
      <c r="K37" s="36">
        <v>74368</v>
      </c>
      <c r="L37" s="36">
        <v>79607</v>
      </c>
      <c r="M37" s="36">
        <v>83795</v>
      </c>
      <c r="N37" s="36">
        <v>87647</v>
      </c>
      <c r="O37" s="36">
        <v>87288</v>
      </c>
      <c r="P37" s="36">
        <v>85662</v>
      </c>
      <c r="Q37" s="36">
        <v>85186</v>
      </c>
      <c r="R37" s="36">
        <v>84913</v>
      </c>
      <c r="S37" s="36">
        <v>84415</v>
      </c>
      <c r="T37" s="36">
        <v>87440</v>
      </c>
      <c r="U37" s="36">
        <v>99196</v>
      </c>
      <c r="V37" s="36">
        <v>98900</v>
      </c>
      <c r="W37" s="36">
        <v>94369</v>
      </c>
      <c r="X37" s="36">
        <v>88576</v>
      </c>
      <c r="Y37" s="36">
        <v>80004</v>
      </c>
      <c r="Z37" s="37">
        <v>71387</v>
      </c>
      <c r="AA37" s="38">
        <f t="shared" si="0"/>
        <v>1848077</v>
      </c>
      <c r="AB37" s="21">
        <v>4</v>
      </c>
      <c r="AC37" s="101"/>
      <c r="AD37" s="47"/>
    </row>
    <row r="38" spans="1:30" x14ac:dyDescent="0.25">
      <c r="A38" s="99"/>
      <c r="B38" s="22" t="s">
        <v>3</v>
      </c>
      <c r="C38" s="39">
        <v>64274</v>
      </c>
      <c r="D38" s="39">
        <v>60405</v>
      </c>
      <c r="E38" s="39">
        <v>57784</v>
      </c>
      <c r="F38" s="39">
        <v>55864</v>
      </c>
      <c r="G38" s="39">
        <v>55607</v>
      </c>
      <c r="H38" s="39">
        <v>54920</v>
      </c>
      <c r="I38" s="39">
        <v>56226</v>
      </c>
      <c r="J38" s="39">
        <v>61766</v>
      </c>
      <c r="K38" s="39">
        <v>67809</v>
      </c>
      <c r="L38" s="39">
        <v>73000</v>
      </c>
      <c r="M38" s="39">
        <v>76775</v>
      </c>
      <c r="N38" s="39">
        <v>80611</v>
      </c>
      <c r="O38" s="39">
        <v>82510</v>
      </c>
      <c r="P38" s="39">
        <v>81759</v>
      </c>
      <c r="Q38" s="39">
        <v>79944</v>
      </c>
      <c r="R38" s="39">
        <v>78658</v>
      </c>
      <c r="S38" s="39">
        <v>78291</v>
      </c>
      <c r="T38" s="39">
        <v>81084</v>
      </c>
      <c r="U38" s="39">
        <v>93163</v>
      </c>
      <c r="V38" s="39">
        <v>94286</v>
      </c>
      <c r="W38" s="39">
        <v>91181</v>
      </c>
      <c r="X38" s="39">
        <v>85027</v>
      </c>
      <c r="Y38" s="39">
        <v>75824</v>
      </c>
      <c r="Z38" s="40">
        <v>67110</v>
      </c>
      <c r="AA38" s="41">
        <f t="shared" si="0"/>
        <v>1753878</v>
      </c>
      <c r="AB38" s="23">
        <v>6</v>
      </c>
      <c r="AC38" s="102"/>
      <c r="AD38" s="49"/>
    </row>
    <row r="39" spans="1:30" ht="15.75" thickBot="1" x14ac:dyDescent="0.3">
      <c r="A39" s="99">
        <v>48914</v>
      </c>
      <c r="B39" s="18" t="s">
        <v>5</v>
      </c>
      <c r="C39" s="33">
        <v>66787</v>
      </c>
      <c r="D39" s="33">
        <v>62747</v>
      </c>
      <c r="E39" s="33">
        <v>60412</v>
      </c>
      <c r="F39" s="33">
        <v>59212</v>
      </c>
      <c r="G39" s="33">
        <v>60038</v>
      </c>
      <c r="H39" s="33">
        <v>62670</v>
      </c>
      <c r="I39" s="33">
        <v>65601</v>
      </c>
      <c r="J39" s="33">
        <v>73320</v>
      </c>
      <c r="K39" s="33">
        <v>80529</v>
      </c>
      <c r="L39" s="33">
        <v>85859</v>
      </c>
      <c r="M39" s="33">
        <v>90720</v>
      </c>
      <c r="N39" s="33">
        <v>95650</v>
      </c>
      <c r="O39" s="33">
        <v>94708</v>
      </c>
      <c r="P39" s="33">
        <v>94632</v>
      </c>
      <c r="Q39" s="33">
        <v>96029</v>
      </c>
      <c r="R39" s="33">
        <v>95909</v>
      </c>
      <c r="S39" s="33">
        <v>94528</v>
      </c>
      <c r="T39" s="33">
        <v>93898</v>
      </c>
      <c r="U39" s="33">
        <v>104370</v>
      </c>
      <c r="V39" s="33">
        <v>105988</v>
      </c>
      <c r="W39" s="33">
        <v>101877</v>
      </c>
      <c r="X39" s="33">
        <v>95303</v>
      </c>
      <c r="Y39" s="33">
        <v>85218</v>
      </c>
      <c r="Z39" s="34">
        <v>75563</v>
      </c>
      <c r="AA39" s="35">
        <f t="shared" si="0"/>
        <v>2001568</v>
      </c>
      <c r="AB39" s="19">
        <v>21</v>
      </c>
      <c r="AC39" s="100">
        <f>+AA39*AB39+AA40*AB40+AA41*AB41</f>
        <v>60611493</v>
      </c>
    </row>
    <row r="40" spans="1:30" ht="15.75" thickBot="1" x14ac:dyDescent="0.3">
      <c r="A40" s="99"/>
      <c r="B40" s="20" t="s">
        <v>4</v>
      </c>
      <c r="C40" s="36">
        <v>67427</v>
      </c>
      <c r="D40" s="36">
        <v>62160</v>
      </c>
      <c r="E40" s="36">
        <v>59875</v>
      </c>
      <c r="F40" s="36">
        <v>58365</v>
      </c>
      <c r="G40" s="36">
        <v>58447</v>
      </c>
      <c r="H40" s="36">
        <v>59903</v>
      </c>
      <c r="I40" s="36">
        <v>61664</v>
      </c>
      <c r="J40" s="36">
        <v>68746</v>
      </c>
      <c r="K40" s="36">
        <v>75968</v>
      </c>
      <c r="L40" s="36">
        <v>81003</v>
      </c>
      <c r="M40" s="36">
        <v>85051</v>
      </c>
      <c r="N40" s="36">
        <v>88424</v>
      </c>
      <c r="O40" s="36">
        <v>88421</v>
      </c>
      <c r="P40" s="36">
        <v>87158</v>
      </c>
      <c r="Q40" s="36">
        <v>86345</v>
      </c>
      <c r="R40" s="36">
        <v>85445</v>
      </c>
      <c r="S40" s="36">
        <v>84804</v>
      </c>
      <c r="T40" s="36">
        <v>86323</v>
      </c>
      <c r="U40" s="36">
        <v>97797</v>
      </c>
      <c r="V40" s="36">
        <v>99143</v>
      </c>
      <c r="W40" s="36">
        <v>95175</v>
      </c>
      <c r="X40" s="36">
        <v>89505</v>
      </c>
      <c r="Y40" s="36">
        <v>81411</v>
      </c>
      <c r="Z40" s="37">
        <v>73592</v>
      </c>
      <c r="AA40" s="38">
        <f t="shared" si="0"/>
        <v>1882152</v>
      </c>
      <c r="AB40" s="21">
        <v>5</v>
      </c>
      <c r="AC40" s="101"/>
      <c r="AD40" s="47"/>
    </row>
    <row r="41" spans="1:30" x14ac:dyDescent="0.25">
      <c r="A41" s="99"/>
      <c r="B41" s="22" t="s">
        <v>3</v>
      </c>
      <c r="C41" s="39">
        <v>69658</v>
      </c>
      <c r="D41" s="39">
        <v>65413</v>
      </c>
      <c r="E41" s="39">
        <v>62449</v>
      </c>
      <c r="F41" s="39">
        <v>60346</v>
      </c>
      <c r="G41" s="39">
        <v>59521</v>
      </c>
      <c r="H41" s="39">
        <v>59221</v>
      </c>
      <c r="I41" s="39">
        <v>59125</v>
      </c>
      <c r="J41" s="39">
        <v>63912</v>
      </c>
      <c r="K41" s="39">
        <v>69861</v>
      </c>
      <c r="L41" s="39">
        <v>75089</v>
      </c>
      <c r="M41" s="39">
        <v>79003</v>
      </c>
      <c r="N41" s="39">
        <v>82679</v>
      </c>
      <c r="O41" s="39">
        <v>84660</v>
      </c>
      <c r="P41" s="39">
        <v>84554</v>
      </c>
      <c r="Q41" s="39">
        <v>83216</v>
      </c>
      <c r="R41" s="39">
        <v>82370</v>
      </c>
      <c r="S41" s="39">
        <v>81882</v>
      </c>
      <c r="T41" s="39">
        <v>83433</v>
      </c>
      <c r="U41" s="39">
        <v>95118</v>
      </c>
      <c r="V41" s="39">
        <v>97490</v>
      </c>
      <c r="W41" s="39">
        <v>94157</v>
      </c>
      <c r="X41" s="39">
        <v>88464</v>
      </c>
      <c r="Y41" s="39">
        <v>80140</v>
      </c>
      <c r="Z41" s="40">
        <v>71800</v>
      </c>
      <c r="AA41" s="41">
        <f t="shared" si="0"/>
        <v>1833561</v>
      </c>
      <c r="AB41" s="23">
        <v>5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2390784</v>
      </c>
      <c r="D42" s="31">
        <f t="shared" si="1"/>
        <v>2234610</v>
      </c>
      <c r="E42" s="31">
        <f t="shared" si="1"/>
        <v>2149471</v>
      </c>
      <c r="F42" s="31">
        <f t="shared" si="1"/>
        <v>2096851</v>
      </c>
      <c r="G42" s="31">
        <f t="shared" si="1"/>
        <v>2103387</v>
      </c>
      <c r="H42" s="31">
        <f t="shared" si="1"/>
        <v>2164567</v>
      </c>
      <c r="I42" s="31">
        <f t="shared" si="1"/>
        <v>2246333</v>
      </c>
      <c r="J42" s="31">
        <f t="shared" si="1"/>
        <v>2468969</v>
      </c>
      <c r="K42" s="31">
        <f t="shared" si="1"/>
        <v>2713256</v>
      </c>
      <c r="L42" s="31">
        <f t="shared" si="1"/>
        <v>2901637</v>
      </c>
      <c r="M42" s="31">
        <f t="shared" si="1"/>
        <v>3059672</v>
      </c>
      <c r="N42" s="31">
        <f t="shared" si="1"/>
        <v>3207988</v>
      </c>
      <c r="O42" s="31">
        <f t="shared" si="1"/>
        <v>3213886</v>
      </c>
      <c r="P42" s="31">
        <f t="shared" si="1"/>
        <v>3196176</v>
      </c>
      <c r="Q42" s="31">
        <f t="shared" si="1"/>
        <v>3185014</v>
      </c>
      <c r="R42" s="31">
        <f t="shared" si="1"/>
        <v>3171963</v>
      </c>
      <c r="S42" s="31">
        <f t="shared" si="1"/>
        <v>3140873</v>
      </c>
      <c r="T42" s="31">
        <f t="shared" si="1"/>
        <v>3146296</v>
      </c>
      <c r="U42" s="31">
        <f t="shared" si="1"/>
        <v>3462752</v>
      </c>
      <c r="V42" s="31">
        <f t="shared" si="1"/>
        <v>3626232</v>
      </c>
      <c r="W42" s="31">
        <f t="shared" si="1"/>
        <v>3495564</v>
      </c>
      <c r="X42" s="31">
        <f t="shared" si="1"/>
        <v>3268945</v>
      </c>
      <c r="Y42" s="31">
        <f t="shared" si="1"/>
        <v>2926889</v>
      </c>
      <c r="Z42" s="31">
        <f t="shared" si="1"/>
        <v>2593460</v>
      </c>
      <c r="AA42" s="31">
        <f t="shared" si="1"/>
        <v>68165575</v>
      </c>
      <c r="AB42" s="31">
        <f t="shared" si="1"/>
        <v>365</v>
      </c>
      <c r="AC42" s="46">
        <f t="shared" si="1"/>
        <v>703490657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DFBB-E234-4288-9DA0-2616779E40E8}">
  <sheetPr>
    <tabColor rgb="FFFFC000"/>
  </sheetPr>
  <dimension ref="A1:AD46"/>
  <sheetViews>
    <sheetView showGridLines="0" zoomScale="115" zoomScaleNormal="115" zoomScaleSheetLayoutView="110" workbookViewId="0">
      <pane xSplit="2" ySplit="5" topLeftCell="N4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97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48580</v>
      </c>
      <c r="B6" s="18" t="s">
        <v>5</v>
      </c>
      <c r="C6" s="33">
        <f>+'Anexo 18'!C6*'Anexo 8'!$D$10</f>
        <v>0</v>
      </c>
      <c r="D6" s="33">
        <f>+'Anexo 18'!D6*'Anexo 8'!$D$10</f>
        <v>0</v>
      </c>
      <c r="E6" s="33">
        <f>+'Anexo 18'!E6*'Anexo 8'!$D$10</f>
        <v>0</v>
      </c>
      <c r="F6" s="33">
        <f>+'Anexo 18'!F6*'Anexo 8'!$D$10</f>
        <v>0</v>
      </c>
      <c r="G6" s="33">
        <f>+'Anexo 18'!G6*'Anexo 8'!$D$10</f>
        <v>0</v>
      </c>
      <c r="H6" s="33">
        <f>+'Anexo 18'!H6*'Anexo 8'!$D$10</f>
        <v>0</v>
      </c>
      <c r="I6" s="33">
        <f>+'Anexo 18'!I6*'Anexo 8'!$D$10</f>
        <v>0</v>
      </c>
      <c r="J6" s="33">
        <f>+'Anexo 18'!J6*'Anexo 8'!$D$10</f>
        <v>0</v>
      </c>
      <c r="K6" s="33">
        <f>+'Anexo 18'!K6*'Anexo 8'!$D$10</f>
        <v>0</v>
      </c>
      <c r="L6" s="33">
        <f>+'Anexo 18'!L6*'Anexo 8'!$D$10</f>
        <v>0</v>
      </c>
      <c r="M6" s="33">
        <f>+'Anexo 18'!M6*'Anexo 8'!$D$10</f>
        <v>0</v>
      </c>
      <c r="N6" s="33">
        <f>+'Anexo 18'!N6*'Anexo 8'!$D$10</f>
        <v>0</v>
      </c>
      <c r="O6" s="33">
        <f>+'Anexo 18'!O6*'Anexo 8'!$D$10</f>
        <v>0</v>
      </c>
      <c r="P6" s="33">
        <f>+'Anexo 18'!P6*'Anexo 8'!$D$10</f>
        <v>0</v>
      </c>
      <c r="Q6" s="33">
        <f>+'Anexo 18'!Q6*'Anexo 8'!$D$10</f>
        <v>0</v>
      </c>
      <c r="R6" s="33">
        <f>+'Anexo 18'!R6*'Anexo 8'!$D$10</f>
        <v>0</v>
      </c>
      <c r="S6" s="33">
        <f>+'Anexo 18'!S6*'Anexo 8'!$D$10</f>
        <v>0</v>
      </c>
      <c r="T6" s="33">
        <f>+'Anexo 18'!T6*'Anexo 8'!$D$10</f>
        <v>0</v>
      </c>
      <c r="U6" s="33">
        <f>+'Anexo 18'!U6*'Anexo 8'!$D$10</f>
        <v>0</v>
      </c>
      <c r="V6" s="33">
        <f>+'Anexo 18'!V6*'Anexo 8'!$D$10</f>
        <v>0</v>
      </c>
      <c r="W6" s="33">
        <f>+'Anexo 18'!W6*'Anexo 8'!$D$10</f>
        <v>0</v>
      </c>
      <c r="X6" s="33">
        <f>+'Anexo 18'!X6*'Anexo 8'!$D$10</f>
        <v>0</v>
      </c>
      <c r="Y6" s="33">
        <f>+'Anexo 18'!Y6*'Anexo 8'!$D$10</f>
        <v>0</v>
      </c>
      <c r="Z6" s="33">
        <f>+'Anexo 18'!Z6*'Anexo 8'!$D$10</f>
        <v>0</v>
      </c>
      <c r="AA6" s="35">
        <f>SUM(C6:Z6)</f>
        <v>0</v>
      </c>
      <c r="AB6" s="19">
        <v>20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+'Anexo 18'!C7*'Anexo 8'!$D$10</f>
        <v>0</v>
      </c>
      <c r="D7" s="33">
        <f>+'Anexo 18'!D7*'Anexo 8'!$D$10</f>
        <v>0</v>
      </c>
      <c r="E7" s="33">
        <f>+'Anexo 18'!E7*'Anexo 8'!$D$10</f>
        <v>0</v>
      </c>
      <c r="F7" s="33">
        <f>+'Anexo 18'!F7*'Anexo 8'!$D$10</f>
        <v>0</v>
      </c>
      <c r="G7" s="33">
        <f>+'Anexo 18'!G7*'Anexo 8'!$D$10</f>
        <v>0</v>
      </c>
      <c r="H7" s="33">
        <f>+'Anexo 18'!H7*'Anexo 8'!$D$10</f>
        <v>0</v>
      </c>
      <c r="I7" s="33">
        <f>+'Anexo 18'!I7*'Anexo 8'!$D$10</f>
        <v>0</v>
      </c>
      <c r="J7" s="33">
        <f>+'Anexo 18'!J7*'Anexo 8'!$D$10</f>
        <v>0</v>
      </c>
      <c r="K7" s="33">
        <f>+'Anexo 18'!K7*'Anexo 8'!$D$10</f>
        <v>0</v>
      </c>
      <c r="L7" s="33">
        <f>+'Anexo 18'!L7*'Anexo 8'!$D$10</f>
        <v>0</v>
      </c>
      <c r="M7" s="33">
        <f>+'Anexo 18'!M7*'Anexo 8'!$D$10</f>
        <v>0</v>
      </c>
      <c r="N7" s="33">
        <f>+'Anexo 18'!N7*'Anexo 8'!$D$10</f>
        <v>0</v>
      </c>
      <c r="O7" s="33">
        <f>+'Anexo 18'!O7*'Anexo 8'!$D$10</f>
        <v>0</v>
      </c>
      <c r="P7" s="33">
        <f>+'Anexo 18'!P7*'Anexo 8'!$D$10</f>
        <v>0</v>
      </c>
      <c r="Q7" s="33">
        <f>+'Anexo 18'!Q7*'Anexo 8'!$D$10</f>
        <v>0</v>
      </c>
      <c r="R7" s="33">
        <f>+'Anexo 18'!R7*'Anexo 8'!$D$10</f>
        <v>0</v>
      </c>
      <c r="S7" s="33">
        <f>+'Anexo 18'!S7*'Anexo 8'!$D$10</f>
        <v>0</v>
      </c>
      <c r="T7" s="33">
        <f>+'Anexo 18'!T7*'Anexo 8'!$D$10</f>
        <v>0</v>
      </c>
      <c r="U7" s="33">
        <f>+'Anexo 18'!U7*'Anexo 8'!$D$10</f>
        <v>0</v>
      </c>
      <c r="V7" s="33">
        <f>+'Anexo 18'!V7*'Anexo 8'!$D$10</f>
        <v>0</v>
      </c>
      <c r="W7" s="33">
        <f>+'Anexo 18'!W7*'Anexo 8'!$D$10</f>
        <v>0</v>
      </c>
      <c r="X7" s="33">
        <f>+'Anexo 18'!X7*'Anexo 8'!$D$10</f>
        <v>0</v>
      </c>
      <c r="Y7" s="33">
        <f>+'Anexo 18'!Y7*'Anexo 8'!$D$10</f>
        <v>0</v>
      </c>
      <c r="Z7" s="33">
        <f>+'Anexo 18'!Z7*'Anexo 8'!$D$10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+'Anexo 18'!C8*'Anexo 8'!$D$10</f>
        <v>0</v>
      </c>
      <c r="D8" s="33">
        <f>+'Anexo 18'!D8*'Anexo 8'!$D$10</f>
        <v>0</v>
      </c>
      <c r="E8" s="33">
        <f>+'Anexo 18'!E8*'Anexo 8'!$D$10</f>
        <v>0</v>
      </c>
      <c r="F8" s="33">
        <f>+'Anexo 18'!F8*'Anexo 8'!$D$10</f>
        <v>0</v>
      </c>
      <c r="G8" s="33">
        <f>+'Anexo 18'!G8*'Anexo 8'!$D$10</f>
        <v>0</v>
      </c>
      <c r="H8" s="33">
        <f>+'Anexo 18'!H8*'Anexo 8'!$D$10</f>
        <v>0</v>
      </c>
      <c r="I8" s="33">
        <f>+'Anexo 18'!I8*'Anexo 8'!$D$10</f>
        <v>0</v>
      </c>
      <c r="J8" s="33">
        <f>+'Anexo 18'!J8*'Anexo 8'!$D$10</f>
        <v>0</v>
      </c>
      <c r="K8" s="33">
        <f>+'Anexo 18'!K8*'Anexo 8'!$D$10</f>
        <v>0</v>
      </c>
      <c r="L8" s="33">
        <f>+'Anexo 18'!L8*'Anexo 8'!$D$10</f>
        <v>0</v>
      </c>
      <c r="M8" s="33">
        <f>+'Anexo 18'!M8*'Anexo 8'!$D$10</f>
        <v>0</v>
      </c>
      <c r="N8" s="33">
        <f>+'Anexo 18'!N8*'Anexo 8'!$D$10</f>
        <v>0</v>
      </c>
      <c r="O8" s="33">
        <f>+'Anexo 18'!O8*'Anexo 8'!$D$10</f>
        <v>0</v>
      </c>
      <c r="P8" s="33">
        <f>+'Anexo 18'!P8*'Anexo 8'!$D$10</f>
        <v>0</v>
      </c>
      <c r="Q8" s="33">
        <f>+'Anexo 18'!Q8*'Anexo 8'!$D$10</f>
        <v>0</v>
      </c>
      <c r="R8" s="33">
        <f>+'Anexo 18'!R8*'Anexo 8'!$D$10</f>
        <v>0</v>
      </c>
      <c r="S8" s="33">
        <f>+'Anexo 18'!S8*'Anexo 8'!$D$10</f>
        <v>0</v>
      </c>
      <c r="T8" s="33">
        <f>+'Anexo 18'!T8*'Anexo 8'!$D$10</f>
        <v>0</v>
      </c>
      <c r="U8" s="33">
        <f>+'Anexo 18'!U8*'Anexo 8'!$D$10</f>
        <v>0</v>
      </c>
      <c r="V8" s="33">
        <f>+'Anexo 18'!V8*'Anexo 8'!$D$10</f>
        <v>0</v>
      </c>
      <c r="W8" s="33">
        <f>+'Anexo 18'!W8*'Anexo 8'!$D$10</f>
        <v>0</v>
      </c>
      <c r="X8" s="33">
        <f>+'Anexo 18'!X8*'Anexo 8'!$D$10</f>
        <v>0</v>
      </c>
      <c r="Y8" s="33">
        <f>+'Anexo 18'!Y8*'Anexo 8'!$D$10</f>
        <v>0</v>
      </c>
      <c r="Z8" s="33">
        <f>+'Anexo 18'!Z8*'Anexo 8'!$D$10</f>
        <v>0</v>
      </c>
      <c r="AA8" s="41">
        <f t="shared" si="0"/>
        <v>0</v>
      </c>
      <c r="AB8" s="23">
        <v>7</v>
      </c>
      <c r="AC8" s="102"/>
      <c r="AD8" s="48"/>
    </row>
    <row r="9" spans="1:30" ht="15.75" thickBot="1" x14ac:dyDescent="0.3">
      <c r="A9" s="99">
        <v>48611</v>
      </c>
      <c r="B9" s="18" t="s">
        <v>5</v>
      </c>
      <c r="C9" s="33">
        <f>+'Anexo 18'!C9*'Anexo 8'!$D$10</f>
        <v>0</v>
      </c>
      <c r="D9" s="33">
        <f>+'Anexo 18'!D9*'Anexo 8'!$D$10</f>
        <v>0</v>
      </c>
      <c r="E9" s="33">
        <f>+'Anexo 18'!E9*'Anexo 8'!$D$10</f>
        <v>0</v>
      </c>
      <c r="F9" s="33">
        <f>+'Anexo 18'!F9*'Anexo 8'!$D$10</f>
        <v>0</v>
      </c>
      <c r="G9" s="33">
        <f>+'Anexo 18'!G9*'Anexo 8'!$D$10</f>
        <v>0</v>
      </c>
      <c r="H9" s="33">
        <f>+'Anexo 18'!H9*'Anexo 8'!$D$10</f>
        <v>0</v>
      </c>
      <c r="I9" s="33">
        <f>+'Anexo 18'!I9*'Anexo 8'!$D$10</f>
        <v>0</v>
      </c>
      <c r="J9" s="33">
        <f>+'Anexo 18'!J9*'Anexo 8'!$D$10</f>
        <v>0</v>
      </c>
      <c r="K9" s="33">
        <f>+'Anexo 18'!K9*'Anexo 8'!$D$10</f>
        <v>0</v>
      </c>
      <c r="L9" s="33">
        <f>+'Anexo 18'!L9*'Anexo 8'!$D$10</f>
        <v>0</v>
      </c>
      <c r="M9" s="33">
        <f>+'Anexo 18'!M9*'Anexo 8'!$D$10</f>
        <v>0</v>
      </c>
      <c r="N9" s="33">
        <f>+'Anexo 18'!N9*'Anexo 8'!$D$10</f>
        <v>0</v>
      </c>
      <c r="O9" s="33">
        <f>+'Anexo 18'!O9*'Anexo 8'!$D$10</f>
        <v>0</v>
      </c>
      <c r="P9" s="33">
        <f>+'Anexo 18'!P9*'Anexo 8'!$D$10</f>
        <v>0</v>
      </c>
      <c r="Q9" s="33">
        <f>+'Anexo 18'!Q9*'Anexo 8'!$D$10</f>
        <v>0</v>
      </c>
      <c r="R9" s="33">
        <f>+'Anexo 18'!R9*'Anexo 8'!$D$10</f>
        <v>0</v>
      </c>
      <c r="S9" s="33">
        <f>+'Anexo 18'!S9*'Anexo 8'!$D$10</f>
        <v>0</v>
      </c>
      <c r="T9" s="33">
        <f>+'Anexo 18'!T9*'Anexo 8'!$D$10</f>
        <v>0</v>
      </c>
      <c r="U9" s="33">
        <f>+'Anexo 18'!U9*'Anexo 8'!$D$10</f>
        <v>0</v>
      </c>
      <c r="V9" s="33">
        <f>+'Anexo 18'!V9*'Anexo 8'!$D$10</f>
        <v>0</v>
      </c>
      <c r="W9" s="33">
        <f>+'Anexo 18'!W9*'Anexo 8'!$D$10</f>
        <v>0</v>
      </c>
      <c r="X9" s="33">
        <f>+'Anexo 18'!X9*'Anexo 8'!$D$10</f>
        <v>0</v>
      </c>
      <c r="Y9" s="33">
        <f>+'Anexo 18'!Y9*'Anexo 8'!$D$10</f>
        <v>0</v>
      </c>
      <c r="Z9" s="33">
        <f>+'Anexo 18'!Z9*'Anexo 8'!$D$10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+'Anexo 18'!C10*'Anexo 8'!$D$10</f>
        <v>0</v>
      </c>
      <c r="D10" s="33">
        <f>+'Anexo 18'!D10*'Anexo 8'!$D$10</f>
        <v>0</v>
      </c>
      <c r="E10" s="33">
        <f>+'Anexo 18'!E10*'Anexo 8'!$D$10</f>
        <v>0</v>
      </c>
      <c r="F10" s="33">
        <f>+'Anexo 18'!F10*'Anexo 8'!$D$10</f>
        <v>0</v>
      </c>
      <c r="G10" s="33">
        <f>+'Anexo 18'!G10*'Anexo 8'!$D$10</f>
        <v>0</v>
      </c>
      <c r="H10" s="33">
        <f>+'Anexo 18'!H10*'Anexo 8'!$D$10</f>
        <v>0</v>
      </c>
      <c r="I10" s="33">
        <f>+'Anexo 18'!I10*'Anexo 8'!$D$10</f>
        <v>0</v>
      </c>
      <c r="J10" s="33">
        <f>+'Anexo 18'!J10*'Anexo 8'!$D$10</f>
        <v>0</v>
      </c>
      <c r="K10" s="33">
        <f>+'Anexo 18'!K10*'Anexo 8'!$D$10</f>
        <v>0</v>
      </c>
      <c r="L10" s="33">
        <f>+'Anexo 18'!L10*'Anexo 8'!$D$10</f>
        <v>0</v>
      </c>
      <c r="M10" s="33">
        <f>+'Anexo 18'!M10*'Anexo 8'!$D$10</f>
        <v>0</v>
      </c>
      <c r="N10" s="33">
        <f>+'Anexo 18'!N10*'Anexo 8'!$D$10</f>
        <v>0</v>
      </c>
      <c r="O10" s="33">
        <f>+'Anexo 18'!O10*'Anexo 8'!$D$10</f>
        <v>0</v>
      </c>
      <c r="P10" s="33">
        <f>+'Anexo 18'!P10*'Anexo 8'!$D$10</f>
        <v>0</v>
      </c>
      <c r="Q10" s="33">
        <f>+'Anexo 18'!Q10*'Anexo 8'!$D$10</f>
        <v>0</v>
      </c>
      <c r="R10" s="33">
        <f>+'Anexo 18'!R10*'Anexo 8'!$D$10</f>
        <v>0</v>
      </c>
      <c r="S10" s="33">
        <f>+'Anexo 18'!S10*'Anexo 8'!$D$10</f>
        <v>0</v>
      </c>
      <c r="T10" s="33">
        <f>+'Anexo 18'!T10*'Anexo 8'!$D$10</f>
        <v>0</v>
      </c>
      <c r="U10" s="33">
        <f>+'Anexo 18'!U10*'Anexo 8'!$D$10</f>
        <v>0</v>
      </c>
      <c r="V10" s="33">
        <f>+'Anexo 18'!V10*'Anexo 8'!$D$10</f>
        <v>0</v>
      </c>
      <c r="W10" s="33">
        <f>+'Anexo 18'!W10*'Anexo 8'!$D$10</f>
        <v>0</v>
      </c>
      <c r="X10" s="33">
        <f>+'Anexo 18'!X10*'Anexo 8'!$D$10</f>
        <v>0</v>
      </c>
      <c r="Y10" s="33">
        <f>+'Anexo 18'!Y10*'Anexo 8'!$D$10</f>
        <v>0</v>
      </c>
      <c r="Z10" s="33">
        <f>+'Anexo 18'!Z10*'Anexo 8'!$D$10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+'Anexo 18'!C11*'Anexo 8'!$D$10</f>
        <v>0</v>
      </c>
      <c r="D11" s="33">
        <f>+'Anexo 18'!D11*'Anexo 8'!$D$10</f>
        <v>0</v>
      </c>
      <c r="E11" s="33">
        <f>+'Anexo 18'!E11*'Anexo 8'!$D$10</f>
        <v>0</v>
      </c>
      <c r="F11" s="33">
        <f>+'Anexo 18'!F11*'Anexo 8'!$D$10</f>
        <v>0</v>
      </c>
      <c r="G11" s="33">
        <f>+'Anexo 18'!G11*'Anexo 8'!$D$10</f>
        <v>0</v>
      </c>
      <c r="H11" s="33">
        <f>+'Anexo 18'!H11*'Anexo 8'!$D$10</f>
        <v>0</v>
      </c>
      <c r="I11" s="33">
        <f>+'Anexo 18'!I11*'Anexo 8'!$D$10</f>
        <v>0</v>
      </c>
      <c r="J11" s="33">
        <f>+'Anexo 18'!J11*'Anexo 8'!$D$10</f>
        <v>0</v>
      </c>
      <c r="K11" s="33">
        <f>+'Anexo 18'!K11*'Anexo 8'!$D$10</f>
        <v>0</v>
      </c>
      <c r="L11" s="33">
        <f>+'Anexo 18'!L11*'Anexo 8'!$D$10</f>
        <v>0</v>
      </c>
      <c r="M11" s="33">
        <f>+'Anexo 18'!M11*'Anexo 8'!$D$10</f>
        <v>0</v>
      </c>
      <c r="N11" s="33">
        <f>+'Anexo 18'!N11*'Anexo 8'!$D$10</f>
        <v>0</v>
      </c>
      <c r="O11" s="33">
        <f>+'Anexo 18'!O11*'Anexo 8'!$D$10</f>
        <v>0</v>
      </c>
      <c r="P11" s="33">
        <f>+'Anexo 18'!P11*'Anexo 8'!$D$10</f>
        <v>0</v>
      </c>
      <c r="Q11" s="33">
        <f>+'Anexo 18'!Q11*'Anexo 8'!$D$10</f>
        <v>0</v>
      </c>
      <c r="R11" s="33">
        <f>+'Anexo 18'!R11*'Anexo 8'!$D$10</f>
        <v>0</v>
      </c>
      <c r="S11" s="33">
        <f>+'Anexo 18'!S11*'Anexo 8'!$D$10</f>
        <v>0</v>
      </c>
      <c r="T11" s="33">
        <f>+'Anexo 18'!T11*'Anexo 8'!$D$10</f>
        <v>0</v>
      </c>
      <c r="U11" s="33">
        <f>+'Anexo 18'!U11*'Anexo 8'!$D$10</f>
        <v>0</v>
      </c>
      <c r="V11" s="33">
        <f>+'Anexo 18'!V11*'Anexo 8'!$D$10</f>
        <v>0</v>
      </c>
      <c r="W11" s="33">
        <f>+'Anexo 18'!W11*'Anexo 8'!$D$10</f>
        <v>0</v>
      </c>
      <c r="X11" s="33">
        <f>+'Anexo 18'!X11*'Anexo 8'!$D$10</f>
        <v>0</v>
      </c>
      <c r="Y11" s="33">
        <f>+'Anexo 18'!Y11*'Anexo 8'!$D$10</f>
        <v>0</v>
      </c>
      <c r="Z11" s="33">
        <f>+'Anexo 18'!Z11*'Anexo 8'!$D$10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48639</v>
      </c>
      <c r="B12" s="18" t="s">
        <v>5</v>
      </c>
      <c r="C12" s="33">
        <f>+'Anexo 18'!C12*'Anexo 8'!$D$10</f>
        <v>0</v>
      </c>
      <c r="D12" s="33">
        <f>+'Anexo 18'!D12*'Anexo 8'!$D$10</f>
        <v>0</v>
      </c>
      <c r="E12" s="33">
        <f>+'Anexo 18'!E12*'Anexo 8'!$D$10</f>
        <v>0</v>
      </c>
      <c r="F12" s="33">
        <f>+'Anexo 18'!F12*'Anexo 8'!$D$10</f>
        <v>0</v>
      </c>
      <c r="G12" s="33">
        <f>+'Anexo 18'!G12*'Anexo 8'!$D$10</f>
        <v>0</v>
      </c>
      <c r="H12" s="33">
        <f>+'Anexo 18'!H12*'Anexo 8'!$D$10</f>
        <v>0</v>
      </c>
      <c r="I12" s="33">
        <f>+'Anexo 18'!I12*'Anexo 8'!$D$10</f>
        <v>0</v>
      </c>
      <c r="J12" s="33">
        <f>+'Anexo 18'!J12*'Anexo 8'!$D$10</f>
        <v>0</v>
      </c>
      <c r="K12" s="33">
        <f>+'Anexo 18'!K12*'Anexo 8'!$D$10</f>
        <v>0</v>
      </c>
      <c r="L12" s="33">
        <f>+'Anexo 18'!L12*'Anexo 8'!$D$10</f>
        <v>0</v>
      </c>
      <c r="M12" s="33">
        <f>+'Anexo 18'!M12*'Anexo 8'!$D$10</f>
        <v>0</v>
      </c>
      <c r="N12" s="33">
        <f>+'Anexo 18'!N12*'Anexo 8'!$D$10</f>
        <v>0</v>
      </c>
      <c r="O12" s="33">
        <f>+'Anexo 18'!O12*'Anexo 8'!$D$10</f>
        <v>0</v>
      </c>
      <c r="P12" s="33">
        <f>+'Anexo 18'!P12*'Anexo 8'!$D$10</f>
        <v>0</v>
      </c>
      <c r="Q12" s="33">
        <f>+'Anexo 18'!Q12*'Anexo 8'!$D$10</f>
        <v>0</v>
      </c>
      <c r="R12" s="33">
        <f>+'Anexo 18'!R12*'Anexo 8'!$D$10</f>
        <v>0</v>
      </c>
      <c r="S12" s="33">
        <f>+'Anexo 18'!S12*'Anexo 8'!$D$10</f>
        <v>0</v>
      </c>
      <c r="T12" s="33">
        <f>+'Anexo 18'!T12*'Anexo 8'!$D$10</f>
        <v>0</v>
      </c>
      <c r="U12" s="33">
        <f>+'Anexo 18'!U12*'Anexo 8'!$D$10</f>
        <v>0</v>
      </c>
      <c r="V12" s="33">
        <f>+'Anexo 18'!V12*'Anexo 8'!$D$10</f>
        <v>0</v>
      </c>
      <c r="W12" s="33">
        <f>+'Anexo 18'!W12*'Anexo 8'!$D$10</f>
        <v>0</v>
      </c>
      <c r="X12" s="33">
        <f>+'Anexo 18'!X12*'Anexo 8'!$D$10</f>
        <v>0</v>
      </c>
      <c r="Y12" s="33">
        <f>+'Anexo 18'!Y12*'Anexo 8'!$D$10</f>
        <v>0</v>
      </c>
      <c r="Z12" s="33">
        <f>+'Anexo 18'!Z12*'Anexo 8'!$D$10</f>
        <v>0</v>
      </c>
      <c r="AA12" s="35">
        <f t="shared" si="0"/>
        <v>0</v>
      </c>
      <c r="AB12" s="19">
        <v>22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+'Anexo 18'!C13*'Anexo 8'!$D$10</f>
        <v>0</v>
      </c>
      <c r="D13" s="33">
        <f>+'Anexo 18'!D13*'Anexo 8'!$D$10</f>
        <v>0</v>
      </c>
      <c r="E13" s="33">
        <f>+'Anexo 18'!E13*'Anexo 8'!$D$10</f>
        <v>0</v>
      </c>
      <c r="F13" s="33">
        <f>+'Anexo 18'!F13*'Anexo 8'!$D$10</f>
        <v>0</v>
      </c>
      <c r="G13" s="33">
        <f>+'Anexo 18'!G13*'Anexo 8'!$D$10</f>
        <v>0</v>
      </c>
      <c r="H13" s="33">
        <f>+'Anexo 18'!H13*'Anexo 8'!$D$10</f>
        <v>0</v>
      </c>
      <c r="I13" s="33">
        <f>+'Anexo 18'!I13*'Anexo 8'!$D$10</f>
        <v>0</v>
      </c>
      <c r="J13" s="33">
        <f>+'Anexo 18'!J13*'Anexo 8'!$D$10</f>
        <v>0</v>
      </c>
      <c r="K13" s="33">
        <f>+'Anexo 18'!K13*'Anexo 8'!$D$10</f>
        <v>0</v>
      </c>
      <c r="L13" s="33">
        <f>+'Anexo 18'!L13*'Anexo 8'!$D$10</f>
        <v>0</v>
      </c>
      <c r="M13" s="33">
        <f>+'Anexo 18'!M13*'Anexo 8'!$D$10</f>
        <v>0</v>
      </c>
      <c r="N13" s="33">
        <f>+'Anexo 18'!N13*'Anexo 8'!$D$10</f>
        <v>0</v>
      </c>
      <c r="O13" s="33">
        <f>+'Anexo 18'!O13*'Anexo 8'!$D$10</f>
        <v>0</v>
      </c>
      <c r="P13" s="33">
        <f>+'Anexo 18'!P13*'Anexo 8'!$D$10</f>
        <v>0</v>
      </c>
      <c r="Q13" s="33">
        <f>+'Anexo 18'!Q13*'Anexo 8'!$D$10</f>
        <v>0</v>
      </c>
      <c r="R13" s="33">
        <f>+'Anexo 18'!R13*'Anexo 8'!$D$10</f>
        <v>0</v>
      </c>
      <c r="S13" s="33">
        <f>+'Anexo 18'!S13*'Anexo 8'!$D$10</f>
        <v>0</v>
      </c>
      <c r="T13" s="33">
        <f>+'Anexo 18'!T13*'Anexo 8'!$D$10</f>
        <v>0</v>
      </c>
      <c r="U13" s="33">
        <f>+'Anexo 18'!U13*'Anexo 8'!$D$10</f>
        <v>0</v>
      </c>
      <c r="V13" s="33">
        <f>+'Anexo 18'!V13*'Anexo 8'!$D$10</f>
        <v>0</v>
      </c>
      <c r="W13" s="33">
        <f>+'Anexo 18'!W13*'Anexo 8'!$D$10</f>
        <v>0</v>
      </c>
      <c r="X13" s="33">
        <f>+'Anexo 18'!X13*'Anexo 8'!$D$10</f>
        <v>0</v>
      </c>
      <c r="Y13" s="33">
        <f>+'Anexo 18'!Y13*'Anexo 8'!$D$10</f>
        <v>0</v>
      </c>
      <c r="Z13" s="33">
        <f>+'Anexo 18'!Z13*'Anexo 8'!$D$10</f>
        <v>0</v>
      </c>
      <c r="AA13" s="38">
        <f t="shared" si="0"/>
        <v>0</v>
      </c>
      <c r="AB13" s="21">
        <v>4</v>
      </c>
      <c r="AC13" s="101"/>
      <c r="AD13" s="47"/>
    </row>
    <row r="14" spans="1:30" ht="15.75" thickBot="1" x14ac:dyDescent="0.3">
      <c r="A14" s="99"/>
      <c r="B14" s="22" t="s">
        <v>3</v>
      </c>
      <c r="C14" s="33">
        <f>+'Anexo 18'!C14*'Anexo 8'!$D$10</f>
        <v>0</v>
      </c>
      <c r="D14" s="33">
        <f>+'Anexo 18'!D14*'Anexo 8'!$D$10</f>
        <v>0</v>
      </c>
      <c r="E14" s="33">
        <f>+'Anexo 18'!E14*'Anexo 8'!$D$10</f>
        <v>0</v>
      </c>
      <c r="F14" s="33">
        <f>+'Anexo 18'!F14*'Anexo 8'!$D$10</f>
        <v>0</v>
      </c>
      <c r="G14" s="33">
        <f>+'Anexo 18'!G14*'Anexo 8'!$D$10</f>
        <v>0</v>
      </c>
      <c r="H14" s="33">
        <f>+'Anexo 18'!H14*'Anexo 8'!$D$10</f>
        <v>0</v>
      </c>
      <c r="I14" s="33">
        <f>+'Anexo 18'!I14*'Anexo 8'!$D$10</f>
        <v>0</v>
      </c>
      <c r="J14" s="33">
        <f>+'Anexo 18'!J14*'Anexo 8'!$D$10</f>
        <v>0</v>
      </c>
      <c r="K14" s="33">
        <f>+'Anexo 18'!K14*'Anexo 8'!$D$10</f>
        <v>0</v>
      </c>
      <c r="L14" s="33">
        <f>+'Anexo 18'!L14*'Anexo 8'!$D$10</f>
        <v>0</v>
      </c>
      <c r="M14" s="33">
        <f>+'Anexo 18'!M14*'Anexo 8'!$D$10</f>
        <v>0</v>
      </c>
      <c r="N14" s="33">
        <f>+'Anexo 18'!N14*'Anexo 8'!$D$10</f>
        <v>0</v>
      </c>
      <c r="O14" s="33">
        <f>+'Anexo 18'!O14*'Anexo 8'!$D$10</f>
        <v>0</v>
      </c>
      <c r="P14" s="33">
        <f>+'Anexo 18'!P14*'Anexo 8'!$D$10</f>
        <v>0</v>
      </c>
      <c r="Q14" s="33">
        <f>+'Anexo 18'!Q14*'Anexo 8'!$D$10</f>
        <v>0</v>
      </c>
      <c r="R14" s="33">
        <f>+'Anexo 18'!R14*'Anexo 8'!$D$10</f>
        <v>0</v>
      </c>
      <c r="S14" s="33">
        <f>+'Anexo 18'!S14*'Anexo 8'!$D$10</f>
        <v>0</v>
      </c>
      <c r="T14" s="33">
        <f>+'Anexo 18'!T14*'Anexo 8'!$D$10</f>
        <v>0</v>
      </c>
      <c r="U14" s="33">
        <f>+'Anexo 18'!U14*'Anexo 8'!$D$10</f>
        <v>0</v>
      </c>
      <c r="V14" s="33">
        <f>+'Anexo 18'!V14*'Anexo 8'!$D$10</f>
        <v>0</v>
      </c>
      <c r="W14" s="33">
        <f>+'Anexo 18'!W14*'Anexo 8'!$D$10</f>
        <v>0</v>
      </c>
      <c r="X14" s="33">
        <f>+'Anexo 18'!X14*'Anexo 8'!$D$10</f>
        <v>0</v>
      </c>
      <c r="Y14" s="33">
        <f>+'Anexo 18'!Y14*'Anexo 8'!$D$10</f>
        <v>0</v>
      </c>
      <c r="Z14" s="33">
        <f>+'Anexo 18'!Z14*'Anexo 8'!$D$10</f>
        <v>0</v>
      </c>
      <c r="AA14" s="41">
        <f t="shared" si="0"/>
        <v>0</v>
      </c>
      <c r="AB14" s="23">
        <v>5</v>
      </c>
      <c r="AC14" s="102"/>
      <c r="AD14" s="45"/>
    </row>
    <row r="15" spans="1:30" ht="15.75" thickBot="1" x14ac:dyDescent="0.3">
      <c r="A15" s="99">
        <v>48670</v>
      </c>
      <c r="B15" s="18" t="s">
        <v>5</v>
      </c>
      <c r="C15" s="33">
        <f>+'Anexo 18'!C15*'Anexo 8'!$D$10</f>
        <v>0</v>
      </c>
      <c r="D15" s="33">
        <f>+'Anexo 18'!D15*'Anexo 8'!$D$10</f>
        <v>0</v>
      </c>
      <c r="E15" s="33">
        <f>+'Anexo 18'!E15*'Anexo 8'!$D$10</f>
        <v>0</v>
      </c>
      <c r="F15" s="33">
        <f>+'Anexo 18'!F15*'Anexo 8'!$D$10</f>
        <v>0</v>
      </c>
      <c r="G15" s="33">
        <f>+'Anexo 18'!G15*'Anexo 8'!$D$10</f>
        <v>0</v>
      </c>
      <c r="H15" s="33">
        <f>+'Anexo 18'!H15*'Anexo 8'!$D$10</f>
        <v>0</v>
      </c>
      <c r="I15" s="33">
        <f>+'Anexo 18'!I15*'Anexo 8'!$D$10</f>
        <v>0</v>
      </c>
      <c r="J15" s="33">
        <f>+'Anexo 18'!J15*'Anexo 8'!$D$10</f>
        <v>0</v>
      </c>
      <c r="K15" s="33">
        <f>+'Anexo 18'!K15*'Anexo 8'!$D$10</f>
        <v>0</v>
      </c>
      <c r="L15" s="33">
        <f>+'Anexo 18'!L15*'Anexo 8'!$D$10</f>
        <v>0</v>
      </c>
      <c r="M15" s="33">
        <f>+'Anexo 18'!M15*'Anexo 8'!$D$10</f>
        <v>0</v>
      </c>
      <c r="N15" s="33">
        <f>+'Anexo 18'!N15*'Anexo 8'!$D$10</f>
        <v>0</v>
      </c>
      <c r="O15" s="33">
        <f>+'Anexo 18'!O15*'Anexo 8'!$D$10</f>
        <v>0</v>
      </c>
      <c r="P15" s="33">
        <f>+'Anexo 18'!P15*'Anexo 8'!$D$10</f>
        <v>0</v>
      </c>
      <c r="Q15" s="33">
        <f>+'Anexo 18'!Q15*'Anexo 8'!$D$10</f>
        <v>0</v>
      </c>
      <c r="R15" s="33">
        <f>+'Anexo 18'!R15*'Anexo 8'!$D$10</f>
        <v>0</v>
      </c>
      <c r="S15" s="33">
        <f>+'Anexo 18'!S15*'Anexo 8'!$D$10</f>
        <v>0</v>
      </c>
      <c r="T15" s="33">
        <f>+'Anexo 18'!T15*'Anexo 8'!$D$10</f>
        <v>0</v>
      </c>
      <c r="U15" s="33">
        <f>+'Anexo 18'!U15*'Anexo 8'!$D$10</f>
        <v>0</v>
      </c>
      <c r="V15" s="33">
        <f>+'Anexo 18'!V15*'Anexo 8'!$D$10</f>
        <v>0</v>
      </c>
      <c r="W15" s="33">
        <f>+'Anexo 18'!W15*'Anexo 8'!$D$10</f>
        <v>0</v>
      </c>
      <c r="X15" s="33">
        <f>+'Anexo 18'!X15*'Anexo 8'!$D$10</f>
        <v>0</v>
      </c>
      <c r="Y15" s="33">
        <f>+'Anexo 18'!Y15*'Anexo 8'!$D$10</f>
        <v>0</v>
      </c>
      <c r="Z15" s="33">
        <f>+'Anexo 18'!Z15*'Anexo 8'!$D$10</f>
        <v>0</v>
      </c>
      <c r="AA15" s="35">
        <f t="shared" si="0"/>
        <v>0</v>
      </c>
      <c r="AB15" s="19">
        <v>19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+'Anexo 18'!C16*'Anexo 8'!$D$10</f>
        <v>0</v>
      </c>
      <c r="D16" s="33">
        <f>+'Anexo 18'!D16*'Anexo 8'!$D$10</f>
        <v>0</v>
      </c>
      <c r="E16" s="33">
        <f>+'Anexo 18'!E16*'Anexo 8'!$D$10</f>
        <v>0</v>
      </c>
      <c r="F16" s="33">
        <f>+'Anexo 18'!F16*'Anexo 8'!$D$10</f>
        <v>0</v>
      </c>
      <c r="G16" s="33">
        <f>+'Anexo 18'!G16*'Anexo 8'!$D$10</f>
        <v>0</v>
      </c>
      <c r="H16" s="33">
        <f>+'Anexo 18'!H16*'Anexo 8'!$D$10</f>
        <v>0</v>
      </c>
      <c r="I16" s="33">
        <f>+'Anexo 18'!I16*'Anexo 8'!$D$10</f>
        <v>0</v>
      </c>
      <c r="J16" s="33">
        <f>+'Anexo 18'!J16*'Anexo 8'!$D$10</f>
        <v>0</v>
      </c>
      <c r="K16" s="33">
        <f>+'Anexo 18'!K16*'Anexo 8'!$D$10</f>
        <v>0</v>
      </c>
      <c r="L16" s="33">
        <f>+'Anexo 18'!L16*'Anexo 8'!$D$10</f>
        <v>0</v>
      </c>
      <c r="M16" s="33">
        <f>+'Anexo 18'!M16*'Anexo 8'!$D$10</f>
        <v>0</v>
      </c>
      <c r="N16" s="33">
        <f>+'Anexo 18'!N16*'Anexo 8'!$D$10</f>
        <v>0</v>
      </c>
      <c r="O16" s="33">
        <f>+'Anexo 18'!O16*'Anexo 8'!$D$10</f>
        <v>0</v>
      </c>
      <c r="P16" s="33">
        <f>+'Anexo 18'!P16*'Anexo 8'!$D$10</f>
        <v>0</v>
      </c>
      <c r="Q16" s="33">
        <f>+'Anexo 18'!Q16*'Anexo 8'!$D$10</f>
        <v>0</v>
      </c>
      <c r="R16" s="33">
        <f>+'Anexo 18'!R16*'Anexo 8'!$D$10</f>
        <v>0</v>
      </c>
      <c r="S16" s="33">
        <f>+'Anexo 18'!S16*'Anexo 8'!$D$10</f>
        <v>0</v>
      </c>
      <c r="T16" s="33">
        <f>+'Anexo 18'!T16*'Anexo 8'!$D$10</f>
        <v>0</v>
      </c>
      <c r="U16" s="33">
        <f>+'Anexo 18'!U16*'Anexo 8'!$D$10</f>
        <v>0</v>
      </c>
      <c r="V16" s="33">
        <f>+'Anexo 18'!V16*'Anexo 8'!$D$10</f>
        <v>0</v>
      </c>
      <c r="W16" s="33">
        <f>+'Anexo 18'!W16*'Anexo 8'!$D$10</f>
        <v>0</v>
      </c>
      <c r="X16" s="33">
        <f>+'Anexo 18'!X16*'Anexo 8'!$D$10</f>
        <v>0</v>
      </c>
      <c r="Y16" s="33">
        <f>+'Anexo 18'!Y16*'Anexo 8'!$D$10</f>
        <v>0</v>
      </c>
      <c r="Z16" s="33">
        <f>+'Anexo 18'!Z16*'Anexo 8'!$D$10</f>
        <v>0</v>
      </c>
      <c r="AA16" s="38">
        <f t="shared" si="0"/>
        <v>0</v>
      </c>
      <c r="AB16" s="21">
        <v>5</v>
      </c>
      <c r="AC16" s="101"/>
      <c r="AD16" s="47"/>
    </row>
    <row r="17" spans="1:30" ht="15.75" thickBot="1" x14ac:dyDescent="0.3">
      <c r="A17" s="99"/>
      <c r="B17" s="22" t="s">
        <v>3</v>
      </c>
      <c r="C17" s="33">
        <f>+'Anexo 18'!C17*'Anexo 8'!$D$10</f>
        <v>0</v>
      </c>
      <c r="D17" s="33">
        <f>+'Anexo 18'!D17*'Anexo 8'!$D$10</f>
        <v>0</v>
      </c>
      <c r="E17" s="33">
        <f>+'Anexo 18'!E17*'Anexo 8'!$D$10</f>
        <v>0</v>
      </c>
      <c r="F17" s="33">
        <f>+'Anexo 18'!F17*'Anexo 8'!$D$10</f>
        <v>0</v>
      </c>
      <c r="G17" s="33">
        <f>+'Anexo 18'!G17*'Anexo 8'!$D$10</f>
        <v>0</v>
      </c>
      <c r="H17" s="33">
        <f>+'Anexo 18'!H17*'Anexo 8'!$D$10</f>
        <v>0</v>
      </c>
      <c r="I17" s="33">
        <f>+'Anexo 18'!I17*'Anexo 8'!$D$10</f>
        <v>0</v>
      </c>
      <c r="J17" s="33">
        <f>+'Anexo 18'!J17*'Anexo 8'!$D$10</f>
        <v>0</v>
      </c>
      <c r="K17" s="33">
        <f>+'Anexo 18'!K17*'Anexo 8'!$D$10</f>
        <v>0</v>
      </c>
      <c r="L17" s="33">
        <f>+'Anexo 18'!L17*'Anexo 8'!$D$10</f>
        <v>0</v>
      </c>
      <c r="M17" s="33">
        <f>+'Anexo 18'!M17*'Anexo 8'!$D$10</f>
        <v>0</v>
      </c>
      <c r="N17" s="33">
        <f>+'Anexo 18'!N17*'Anexo 8'!$D$10</f>
        <v>0</v>
      </c>
      <c r="O17" s="33">
        <f>+'Anexo 18'!O17*'Anexo 8'!$D$10</f>
        <v>0</v>
      </c>
      <c r="P17" s="33">
        <f>+'Anexo 18'!P17*'Anexo 8'!$D$10</f>
        <v>0</v>
      </c>
      <c r="Q17" s="33">
        <f>+'Anexo 18'!Q17*'Anexo 8'!$D$10</f>
        <v>0</v>
      </c>
      <c r="R17" s="33">
        <f>+'Anexo 18'!R17*'Anexo 8'!$D$10</f>
        <v>0</v>
      </c>
      <c r="S17" s="33">
        <f>+'Anexo 18'!S17*'Anexo 8'!$D$10</f>
        <v>0</v>
      </c>
      <c r="T17" s="33">
        <f>+'Anexo 18'!T17*'Anexo 8'!$D$10</f>
        <v>0</v>
      </c>
      <c r="U17" s="33">
        <f>+'Anexo 18'!U17*'Anexo 8'!$D$10</f>
        <v>0</v>
      </c>
      <c r="V17" s="33">
        <f>+'Anexo 18'!V17*'Anexo 8'!$D$10</f>
        <v>0</v>
      </c>
      <c r="W17" s="33">
        <f>+'Anexo 18'!W17*'Anexo 8'!$D$10</f>
        <v>0</v>
      </c>
      <c r="X17" s="33">
        <f>+'Anexo 18'!X17*'Anexo 8'!$D$10</f>
        <v>0</v>
      </c>
      <c r="Y17" s="33">
        <f>+'Anexo 18'!Y17*'Anexo 8'!$D$10</f>
        <v>0</v>
      </c>
      <c r="Z17" s="33">
        <f>+'Anexo 18'!Z17*'Anexo 8'!$D$10</f>
        <v>0</v>
      </c>
      <c r="AA17" s="41">
        <f t="shared" si="0"/>
        <v>0</v>
      </c>
      <c r="AB17" s="23">
        <v>6</v>
      </c>
      <c r="AC17" s="102"/>
      <c r="AD17" s="48"/>
    </row>
    <row r="18" spans="1:30" ht="15.75" thickBot="1" x14ac:dyDescent="0.3">
      <c r="A18" s="99">
        <v>48700</v>
      </c>
      <c r="B18" s="18" t="s">
        <v>5</v>
      </c>
      <c r="C18" s="33">
        <f>+'Anexo 18'!C18*'Anexo 8'!$D$10</f>
        <v>0</v>
      </c>
      <c r="D18" s="33">
        <f>+'Anexo 18'!D18*'Anexo 8'!$D$10</f>
        <v>0</v>
      </c>
      <c r="E18" s="33">
        <f>+'Anexo 18'!E18*'Anexo 8'!$D$10</f>
        <v>0</v>
      </c>
      <c r="F18" s="33">
        <f>+'Anexo 18'!F18*'Anexo 8'!$D$10</f>
        <v>0</v>
      </c>
      <c r="G18" s="33">
        <f>+'Anexo 18'!G18*'Anexo 8'!$D$10</f>
        <v>0</v>
      </c>
      <c r="H18" s="33">
        <f>+'Anexo 18'!H18*'Anexo 8'!$D$10</f>
        <v>0</v>
      </c>
      <c r="I18" s="33">
        <f>+'Anexo 18'!I18*'Anexo 8'!$D$10</f>
        <v>0</v>
      </c>
      <c r="J18" s="33">
        <f>+'Anexo 18'!J18*'Anexo 8'!$D$10</f>
        <v>0</v>
      </c>
      <c r="K18" s="33">
        <f>+'Anexo 18'!K18*'Anexo 8'!$D$10</f>
        <v>0</v>
      </c>
      <c r="L18" s="33">
        <f>+'Anexo 18'!L18*'Anexo 8'!$D$10</f>
        <v>0</v>
      </c>
      <c r="M18" s="33">
        <f>+'Anexo 18'!M18*'Anexo 8'!$D$10</f>
        <v>0</v>
      </c>
      <c r="N18" s="33">
        <f>+'Anexo 18'!N18*'Anexo 8'!$D$10</f>
        <v>0</v>
      </c>
      <c r="O18" s="33">
        <f>+'Anexo 18'!O18*'Anexo 8'!$D$10</f>
        <v>0</v>
      </c>
      <c r="P18" s="33">
        <f>+'Anexo 18'!P18*'Anexo 8'!$D$10</f>
        <v>0</v>
      </c>
      <c r="Q18" s="33">
        <f>+'Anexo 18'!Q18*'Anexo 8'!$D$10</f>
        <v>0</v>
      </c>
      <c r="R18" s="33">
        <f>+'Anexo 18'!R18*'Anexo 8'!$D$10</f>
        <v>0</v>
      </c>
      <c r="S18" s="33">
        <f>+'Anexo 18'!S18*'Anexo 8'!$D$10</f>
        <v>0</v>
      </c>
      <c r="T18" s="33">
        <f>+'Anexo 18'!T18*'Anexo 8'!$D$10</f>
        <v>0</v>
      </c>
      <c r="U18" s="33">
        <f>+'Anexo 18'!U18*'Anexo 8'!$D$10</f>
        <v>0</v>
      </c>
      <c r="V18" s="33">
        <f>+'Anexo 18'!V18*'Anexo 8'!$D$10</f>
        <v>0</v>
      </c>
      <c r="W18" s="33">
        <f>+'Anexo 18'!W18*'Anexo 8'!$D$10</f>
        <v>0</v>
      </c>
      <c r="X18" s="33">
        <f>+'Anexo 18'!X18*'Anexo 8'!$D$10</f>
        <v>0</v>
      </c>
      <c r="Y18" s="33">
        <f>+'Anexo 18'!Y18*'Anexo 8'!$D$10</f>
        <v>0</v>
      </c>
      <c r="Z18" s="33">
        <f>+'Anexo 18'!Z18*'Anexo 8'!$D$10</f>
        <v>0</v>
      </c>
      <c r="AA18" s="35">
        <f t="shared" si="0"/>
        <v>0</v>
      </c>
      <c r="AB18" s="19">
        <v>21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+'Anexo 18'!C19*'Anexo 8'!$D$10</f>
        <v>0</v>
      </c>
      <c r="D19" s="33">
        <f>+'Anexo 18'!D19*'Anexo 8'!$D$10</f>
        <v>0</v>
      </c>
      <c r="E19" s="33">
        <f>+'Anexo 18'!E19*'Anexo 8'!$D$10</f>
        <v>0</v>
      </c>
      <c r="F19" s="33">
        <f>+'Anexo 18'!F19*'Anexo 8'!$D$10</f>
        <v>0</v>
      </c>
      <c r="G19" s="33">
        <f>+'Anexo 18'!G19*'Anexo 8'!$D$10</f>
        <v>0</v>
      </c>
      <c r="H19" s="33">
        <f>+'Anexo 18'!H19*'Anexo 8'!$D$10</f>
        <v>0</v>
      </c>
      <c r="I19" s="33">
        <f>+'Anexo 18'!I19*'Anexo 8'!$D$10</f>
        <v>0</v>
      </c>
      <c r="J19" s="33">
        <f>+'Anexo 18'!J19*'Anexo 8'!$D$10</f>
        <v>0</v>
      </c>
      <c r="K19" s="33">
        <f>+'Anexo 18'!K19*'Anexo 8'!$D$10</f>
        <v>0</v>
      </c>
      <c r="L19" s="33">
        <f>+'Anexo 18'!L19*'Anexo 8'!$D$10</f>
        <v>0</v>
      </c>
      <c r="M19" s="33">
        <f>+'Anexo 18'!M19*'Anexo 8'!$D$10</f>
        <v>0</v>
      </c>
      <c r="N19" s="33">
        <f>+'Anexo 18'!N19*'Anexo 8'!$D$10</f>
        <v>0</v>
      </c>
      <c r="O19" s="33">
        <f>+'Anexo 18'!O19*'Anexo 8'!$D$10</f>
        <v>0</v>
      </c>
      <c r="P19" s="33">
        <f>+'Anexo 18'!P19*'Anexo 8'!$D$10</f>
        <v>0</v>
      </c>
      <c r="Q19" s="33">
        <f>+'Anexo 18'!Q19*'Anexo 8'!$D$10</f>
        <v>0</v>
      </c>
      <c r="R19" s="33">
        <f>+'Anexo 18'!R19*'Anexo 8'!$D$10</f>
        <v>0</v>
      </c>
      <c r="S19" s="33">
        <f>+'Anexo 18'!S19*'Anexo 8'!$D$10</f>
        <v>0</v>
      </c>
      <c r="T19" s="33">
        <f>+'Anexo 18'!T19*'Anexo 8'!$D$10</f>
        <v>0</v>
      </c>
      <c r="U19" s="33">
        <f>+'Anexo 18'!U19*'Anexo 8'!$D$10</f>
        <v>0</v>
      </c>
      <c r="V19" s="33">
        <f>+'Anexo 18'!V19*'Anexo 8'!$D$10</f>
        <v>0</v>
      </c>
      <c r="W19" s="33">
        <f>+'Anexo 18'!W19*'Anexo 8'!$D$10</f>
        <v>0</v>
      </c>
      <c r="X19" s="33">
        <f>+'Anexo 18'!X19*'Anexo 8'!$D$10</f>
        <v>0</v>
      </c>
      <c r="Y19" s="33">
        <f>+'Anexo 18'!Y19*'Anexo 8'!$D$10</f>
        <v>0</v>
      </c>
      <c r="Z19" s="33">
        <f>+'Anexo 18'!Z19*'Anexo 8'!$D$10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+'Anexo 18'!C20*'Anexo 8'!$D$10</f>
        <v>0</v>
      </c>
      <c r="D20" s="33">
        <f>+'Anexo 18'!D20*'Anexo 8'!$D$10</f>
        <v>0</v>
      </c>
      <c r="E20" s="33">
        <f>+'Anexo 18'!E20*'Anexo 8'!$D$10</f>
        <v>0</v>
      </c>
      <c r="F20" s="33">
        <f>+'Anexo 18'!F20*'Anexo 8'!$D$10</f>
        <v>0</v>
      </c>
      <c r="G20" s="33">
        <f>+'Anexo 18'!G20*'Anexo 8'!$D$10</f>
        <v>0</v>
      </c>
      <c r="H20" s="33">
        <f>+'Anexo 18'!H20*'Anexo 8'!$D$10</f>
        <v>0</v>
      </c>
      <c r="I20" s="33">
        <f>+'Anexo 18'!I20*'Anexo 8'!$D$10</f>
        <v>0</v>
      </c>
      <c r="J20" s="33">
        <f>+'Anexo 18'!J20*'Anexo 8'!$D$10</f>
        <v>0</v>
      </c>
      <c r="K20" s="33">
        <f>+'Anexo 18'!K20*'Anexo 8'!$D$10</f>
        <v>0</v>
      </c>
      <c r="L20" s="33">
        <f>+'Anexo 18'!L20*'Anexo 8'!$D$10</f>
        <v>0</v>
      </c>
      <c r="M20" s="33">
        <f>+'Anexo 18'!M20*'Anexo 8'!$D$10</f>
        <v>0</v>
      </c>
      <c r="N20" s="33">
        <f>+'Anexo 18'!N20*'Anexo 8'!$D$10</f>
        <v>0</v>
      </c>
      <c r="O20" s="33">
        <f>+'Anexo 18'!O20*'Anexo 8'!$D$10</f>
        <v>0</v>
      </c>
      <c r="P20" s="33">
        <f>+'Anexo 18'!P20*'Anexo 8'!$D$10</f>
        <v>0</v>
      </c>
      <c r="Q20" s="33">
        <f>+'Anexo 18'!Q20*'Anexo 8'!$D$10</f>
        <v>0</v>
      </c>
      <c r="R20" s="33">
        <f>+'Anexo 18'!R20*'Anexo 8'!$D$10</f>
        <v>0</v>
      </c>
      <c r="S20" s="33">
        <f>+'Anexo 18'!S20*'Anexo 8'!$D$10</f>
        <v>0</v>
      </c>
      <c r="T20" s="33">
        <f>+'Anexo 18'!T20*'Anexo 8'!$D$10</f>
        <v>0</v>
      </c>
      <c r="U20" s="33">
        <f>+'Anexo 18'!U20*'Anexo 8'!$D$10</f>
        <v>0</v>
      </c>
      <c r="V20" s="33">
        <f>+'Anexo 18'!V20*'Anexo 8'!$D$10</f>
        <v>0</v>
      </c>
      <c r="W20" s="33">
        <f>+'Anexo 18'!W20*'Anexo 8'!$D$10</f>
        <v>0</v>
      </c>
      <c r="X20" s="33">
        <f>+'Anexo 18'!X20*'Anexo 8'!$D$10</f>
        <v>0</v>
      </c>
      <c r="Y20" s="33">
        <f>+'Anexo 18'!Y20*'Anexo 8'!$D$10</f>
        <v>0</v>
      </c>
      <c r="Z20" s="33">
        <f>+'Anexo 18'!Z20*'Anexo 8'!$D$10</f>
        <v>0</v>
      </c>
      <c r="AA20" s="41">
        <f t="shared" si="0"/>
        <v>0</v>
      </c>
      <c r="AB20" s="23">
        <v>6</v>
      </c>
      <c r="AC20" s="102"/>
      <c r="AD20" s="48"/>
    </row>
    <row r="21" spans="1:30" ht="15.75" thickBot="1" x14ac:dyDescent="0.3">
      <c r="A21" s="99">
        <v>48731</v>
      </c>
      <c r="B21" s="18" t="s">
        <v>5</v>
      </c>
      <c r="C21" s="33">
        <f>+'Anexo 18'!C21*'Anexo 8'!$D$10</f>
        <v>0</v>
      </c>
      <c r="D21" s="33">
        <f>+'Anexo 18'!D21*'Anexo 8'!$D$10</f>
        <v>0</v>
      </c>
      <c r="E21" s="33">
        <f>+'Anexo 18'!E21*'Anexo 8'!$D$10</f>
        <v>0</v>
      </c>
      <c r="F21" s="33">
        <f>+'Anexo 18'!F21*'Anexo 8'!$D$10</f>
        <v>0</v>
      </c>
      <c r="G21" s="33">
        <f>+'Anexo 18'!G21*'Anexo 8'!$D$10</f>
        <v>0</v>
      </c>
      <c r="H21" s="33">
        <f>+'Anexo 18'!H21*'Anexo 8'!$D$10</f>
        <v>0</v>
      </c>
      <c r="I21" s="33">
        <f>+'Anexo 18'!I21*'Anexo 8'!$D$10</f>
        <v>0</v>
      </c>
      <c r="J21" s="33">
        <f>+'Anexo 18'!J21*'Anexo 8'!$D$10</f>
        <v>0</v>
      </c>
      <c r="K21" s="33">
        <f>+'Anexo 18'!K21*'Anexo 8'!$D$10</f>
        <v>0</v>
      </c>
      <c r="L21" s="33">
        <f>+'Anexo 18'!L21*'Anexo 8'!$D$10</f>
        <v>0</v>
      </c>
      <c r="M21" s="33">
        <f>+'Anexo 18'!M21*'Anexo 8'!$D$10</f>
        <v>0</v>
      </c>
      <c r="N21" s="33">
        <f>+'Anexo 18'!N21*'Anexo 8'!$D$10</f>
        <v>0</v>
      </c>
      <c r="O21" s="33">
        <f>+'Anexo 18'!O21*'Anexo 8'!$D$10</f>
        <v>0</v>
      </c>
      <c r="P21" s="33">
        <f>+'Anexo 18'!P21*'Anexo 8'!$D$10</f>
        <v>0</v>
      </c>
      <c r="Q21" s="33">
        <f>+'Anexo 18'!Q21*'Anexo 8'!$D$10</f>
        <v>0</v>
      </c>
      <c r="R21" s="33">
        <f>+'Anexo 18'!R21*'Anexo 8'!$D$10</f>
        <v>0</v>
      </c>
      <c r="S21" s="33">
        <f>+'Anexo 18'!S21*'Anexo 8'!$D$10</f>
        <v>0</v>
      </c>
      <c r="T21" s="33">
        <f>+'Anexo 18'!T21*'Anexo 8'!$D$10</f>
        <v>0</v>
      </c>
      <c r="U21" s="33">
        <f>+'Anexo 18'!U21*'Anexo 8'!$D$10</f>
        <v>0</v>
      </c>
      <c r="V21" s="33">
        <f>+'Anexo 18'!V21*'Anexo 8'!$D$10</f>
        <v>0</v>
      </c>
      <c r="W21" s="33">
        <f>+'Anexo 18'!W21*'Anexo 8'!$D$10</f>
        <v>0</v>
      </c>
      <c r="X21" s="33">
        <f>+'Anexo 18'!X21*'Anexo 8'!$D$10</f>
        <v>0</v>
      </c>
      <c r="Y21" s="33">
        <f>+'Anexo 18'!Y21*'Anexo 8'!$D$10</f>
        <v>0</v>
      </c>
      <c r="Z21" s="33">
        <f>+'Anexo 18'!Z21*'Anexo 8'!$D$10</f>
        <v>0</v>
      </c>
      <c r="AA21" s="35">
        <f t="shared" si="0"/>
        <v>0</v>
      </c>
      <c r="AB21" s="19">
        <v>20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+'Anexo 18'!C22*'Anexo 8'!$D$10</f>
        <v>0</v>
      </c>
      <c r="D22" s="33">
        <f>+'Anexo 18'!D22*'Anexo 8'!$D$10</f>
        <v>0</v>
      </c>
      <c r="E22" s="33">
        <f>+'Anexo 18'!E22*'Anexo 8'!$D$10</f>
        <v>0</v>
      </c>
      <c r="F22" s="33">
        <f>+'Anexo 18'!F22*'Anexo 8'!$D$10</f>
        <v>0</v>
      </c>
      <c r="G22" s="33">
        <f>+'Anexo 18'!G22*'Anexo 8'!$D$10</f>
        <v>0</v>
      </c>
      <c r="H22" s="33">
        <f>+'Anexo 18'!H22*'Anexo 8'!$D$10</f>
        <v>0</v>
      </c>
      <c r="I22" s="33">
        <f>+'Anexo 18'!I22*'Anexo 8'!$D$10</f>
        <v>0</v>
      </c>
      <c r="J22" s="33">
        <f>+'Anexo 18'!J22*'Anexo 8'!$D$10</f>
        <v>0</v>
      </c>
      <c r="K22" s="33">
        <f>+'Anexo 18'!K22*'Anexo 8'!$D$10</f>
        <v>0</v>
      </c>
      <c r="L22" s="33">
        <f>+'Anexo 18'!L22*'Anexo 8'!$D$10</f>
        <v>0</v>
      </c>
      <c r="M22" s="33">
        <f>+'Anexo 18'!M22*'Anexo 8'!$D$10</f>
        <v>0</v>
      </c>
      <c r="N22" s="33">
        <f>+'Anexo 18'!N22*'Anexo 8'!$D$10</f>
        <v>0</v>
      </c>
      <c r="O22" s="33">
        <f>+'Anexo 18'!O22*'Anexo 8'!$D$10</f>
        <v>0</v>
      </c>
      <c r="P22" s="33">
        <f>+'Anexo 18'!P22*'Anexo 8'!$D$10</f>
        <v>0</v>
      </c>
      <c r="Q22" s="33">
        <f>+'Anexo 18'!Q22*'Anexo 8'!$D$10</f>
        <v>0</v>
      </c>
      <c r="R22" s="33">
        <f>+'Anexo 18'!R22*'Anexo 8'!$D$10</f>
        <v>0</v>
      </c>
      <c r="S22" s="33">
        <f>+'Anexo 18'!S22*'Anexo 8'!$D$10</f>
        <v>0</v>
      </c>
      <c r="T22" s="33">
        <f>+'Anexo 18'!T22*'Anexo 8'!$D$10</f>
        <v>0</v>
      </c>
      <c r="U22" s="33">
        <f>+'Anexo 18'!U22*'Anexo 8'!$D$10</f>
        <v>0</v>
      </c>
      <c r="V22" s="33">
        <f>+'Anexo 18'!V22*'Anexo 8'!$D$10</f>
        <v>0</v>
      </c>
      <c r="W22" s="33">
        <f>+'Anexo 18'!W22*'Anexo 8'!$D$10</f>
        <v>0</v>
      </c>
      <c r="X22" s="33">
        <f>+'Anexo 18'!X22*'Anexo 8'!$D$10</f>
        <v>0</v>
      </c>
      <c r="Y22" s="33">
        <f>+'Anexo 18'!Y22*'Anexo 8'!$D$10</f>
        <v>0</v>
      </c>
      <c r="Z22" s="33">
        <f>+'Anexo 18'!Z22*'Anexo 8'!$D$10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+'Anexo 18'!C23*'Anexo 8'!$D$10</f>
        <v>0</v>
      </c>
      <c r="D23" s="33">
        <f>+'Anexo 18'!D23*'Anexo 8'!$D$10</f>
        <v>0</v>
      </c>
      <c r="E23" s="33">
        <f>+'Anexo 18'!E23*'Anexo 8'!$D$10</f>
        <v>0</v>
      </c>
      <c r="F23" s="33">
        <f>+'Anexo 18'!F23*'Anexo 8'!$D$10</f>
        <v>0</v>
      </c>
      <c r="G23" s="33">
        <f>+'Anexo 18'!G23*'Anexo 8'!$D$10</f>
        <v>0</v>
      </c>
      <c r="H23" s="33">
        <f>+'Anexo 18'!H23*'Anexo 8'!$D$10</f>
        <v>0</v>
      </c>
      <c r="I23" s="33">
        <f>+'Anexo 18'!I23*'Anexo 8'!$D$10</f>
        <v>0</v>
      </c>
      <c r="J23" s="33">
        <f>+'Anexo 18'!J23*'Anexo 8'!$D$10</f>
        <v>0</v>
      </c>
      <c r="K23" s="33">
        <f>+'Anexo 18'!K23*'Anexo 8'!$D$10</f>
        <v>0</v>
      </c>
      <c r="L23" s="33">
        <f>+'Anexo 18'!L23*'Anexo 8'!$D$10</f>
        <v>0</v>
      </c>
      <c r="M23" s="33">
        <f>+'Anexo 18'!M23*'Anexo 8'!$D$10</f>
        <v>0</v>
      </c>
      <c r="N23" s="33">
        <f>+'Anexo 18'!N23*'Anexo 8'!$D$10</f>
        <v>0</v>
      </c>
      <c r="O23" s="33">
        <f>+'Anexo 18'!O23*'Anexo 8'!$D$10</f>
        <v>0</v>
      </c>
      <c r="P23" s="33">
        <f>+'Anexo 18'!P23*'Anexo 8'!$D$10</f>
        <v>0</v>
      </c>
      <c r="Q23" s="33">
        <f>+'Anexo 18'!Q23*'Anexo 8'!$D$10</f>
        <v>0</v>
      </c>
      <c r="R23" s="33">
        <f>+'Anexo 18'!R23*'Anexo 8'!$D$10</f>
        <v>0</v>
      </c>
      <c r="S23" s="33">
        <f>+'Anexo 18'!S23*'Anexo 8'!$D$10</f>
        <v>0</v>
      </c>
      <c r="T23" s="33">
        <f>+'Anexo 18'!T23*'Anexo 8'!$D$10</f>
        <v>0</v>
      </c>
      <c r="U23" s="33">
        <f>+'Anexo 18'!U23*'Anexo 8'!$D$10</f>
        <v>0</v>
      </c>
      <c r="V23" s="33">
        <f>+'Anexo 18'!V23*'Anexo 8'!$D$10</f>
        <v>0</v>
      </c>
      <c r="W23" s="33">
        <f>+'Anexo 18'!W23*'Anexo 8'!$D$10</f>
        <v>0</v>
      </c>
      <c r="X23" s="33">
        <f>+'Anexo 18'!X23*'Anexo 8'!$D$10</f>
        <v>0</v>
      </c>
      <c r="Y23" s="33">
        <f>+'Anexo 18'!Y23*'Anexo 8'!$D$10</f>
        <v>0</v>
      </c>
      <c r="Z23" s="33">
        <f>+'Anexo 18'!Z23*'Anexo 8'!$D$10</f>
        <v>0</v>
      </c>
      <c r="AA23" s="41">
        <f t="shared" si="0"/>
        <v>0</v>
      </c>
      <c r="AB23" s="23">
        <v>6</v>
      </c>
      <c r="AC23" s="102"/>
      <c r="AD23" s="48"/>
    </row>
    <row r="24" spans="1:30" ht="15.75" thickBot="1" x14ac:dyDescent="0.3">
      <c r="A24" s="99">
        <v>48761</v>
      </c>
      <c r="B24" s="18" t="s">
        <v>5</v>
      </c>
      <c r="C24" s="33">
        <f>+'Anexo 18'!C24*'Anexo 8'!$D$10</f>
        <v>0</v>
      </c>
      <c r="D24" s="33">
        <f>+'Anexo 18'!D24*'Anexo 8'!$D$10</f>
        <v>0</v>
      </c>
      <c r="E24" s="33">
        <f>+'Anexo 18'!E24*'Anexo 8'!$D$10</f>
        <v>0</v>
      </c>
      <c r="F24" s="33">
        <f>+'Anexo 18'!F24*'Anexo 8'!$D$10</f>
        <v>0</v>
      </c>
      <c r="G24" s="33">
        <f>+'Anexo 18'!G24*'Anexo 8'!$D$10</f>
        <v>0</v>
      </c>
      <c r="H24" s="33">
        <f>+'Anexo 18'!H24*'Anexo 8'!$D$10</f>
        <v>0</v>
      </c>
      <c r="I24" s="33">
        <f>+'Anexo 18'!I24*'Anexo 8'!$D$10</f>
        <v>0</v>
      </c>
      <c r="J24" s="33">
        <f>+'Anexo 18'!J24*'Anexo 8'!$D$10</f>
        <v>0</v>
      </c>
      <c r="K24" s="33">
        <f>+'Anexo 18'!K24*'Anexo 8'!$D$10</f>
        <v>0</v>
      </c>
      <c r="L24" s="33">
        <f>+'Anexo 18'!L24*'Anexo 8'!$D$10</f>
        <v>0</v>
      </c>
      <c r="M24" s="33">
        <f>+'Anexo 18'!M24*'Anexo 8'!$D$10</f>
        <v>0</v>
      </c>
      <c r="N24" s="33">
        <f>+'Anexo 18'!N24*'Anexo 8'!$D$10</f>
        <v>0</v>
      </c>
      <c r="O24" s="33">
        <f>+'Anexo 18'!O24*'Anexo 8'!$D$10</f>
        <v>0</v>
      </c>
      <c r="P24" s="33">
        <f>+'Anexo 18'!P24*'Anexo 8'!$D$10</f>
        <v>0</v>
      </c>
      <c r="Q24" s="33">
        <f>+'Anexo 18'!Q24*'Anexo 8'!$D$10</f>
        <v>0</v>
      </c>
      <c r="R24" s="33">
        <f>+'Anexo 18'!R24*'Anexo 8'!$D$10</f>
        <v>0</v>
      </c>
      <c r="S24" s="33">
        <f>+'Anexo 18'!S24*'Anexo 8'!$D$10</f>
        <v>0</v>
      </c>
      <c r="T24" s="33">
        <f>+'Anexo 18'!T24*'Anexo 8'!$D$10</f>
        <v>0</v>
      </c>
      <c r="U24" s="33">
        <f>+'Anexo 18'!U24*'Anexo 8'!$D$10</f>
        <v>0</v>
      </c>
      <c r="V24" s="33">
        <f>+'Anexo 18'!V24*'Anexo 8'!$D$10</f>
        <v>0</v>
      </c>
      <c r="W24" s="33">
        <f>+'Anexo 18'!W24*'Anexo 8'!$D$10</f>
        <v>0</v>
      </c>
      <c r="X24" s="33">
        <f>+'Anexo 18'!X24*'Anexo 8'!$D$10</f>
        <v>0</v>
      </c>
      <c r="Y24" s="33">
        <f>+'Anexo 18'!Y24*'Anexo 8'!$D$10</f>
        <v>0</v>
      </c>
      <c r="Z24" s="33">
        <f>+'Anexo 18'!Z24*'Anexo 8'!$D$10</f>
        <v>0</v>
      </c>
      <c r="AA24" s="35">
        <f t="shared" si="0"/>
        <v>0</v>
      </c>
      <c r="AB24" s="19">
        <v>19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+'Anexo 18'!C25*'Anexo 8'!$D$10</f>
        <v>0</v>
      </c>
      <c r="D25" s="33">
        <f>+'Anexo 18'!D25*'Anexo 8'!$D$10</f>
        <v>0</v>
      </c>
      <c r="E25" s="33">
        <f>+'Anexo 18'!E25*'Anexo 8'!$D$10</f>
        <v>0</v>
      </c>
      <c r="F25" s="33">
        <f>+'Anexo 18'!F25*'Anexo 8'!$D$10</f>
        <v>0</v>
      </c>
      <c r="G25" s="33">
        <f>+'Anexo 18'!G25*'Anexo 8'!$D$10</f>
        <v>0</v>
      </c>
      <c r="H25" s="33">
        <f>+'Anexo 18'!H25*'Anexo 8'!$D$10</f>
        <v>0</v>
      </c>
      <c r="I25" s="33">
        <f>+'Anexo 18'!I25*'Anexo 8'!$D$10</f>
        <v>0</v>
      </c>
      <c r="J25" s="33">
        <f>+'Anexo 18'!J25*'Anexo 8'!$D$10</f>
        <v>0</v>
      </c>
      <c r="K25" s="33">
        <f>+'Anexo 18'!K25*'Anexo 8'!$D$10</f>
        <v>0</v>
      </c>
      <c r="L25" s="33">
        <f>+'Anexo 18'!L25*'Anexo 8'!$D$10</f>
        <v>0</v>
      </c>
      <c r="M25" s="33">
        <f>+'Anexo 18'!M25*'Anexo 8'!$D$10</f>
        <v>0</v>
      </c>
      <c r="N25" s="33">
        <f>+'Anexo 18'!N25*'Anexo 8'!$D$10</f>
        <v>0</v>
      </c>
      <c r="O25" s="33">
        <f>+'Anexo 18'!O25*'Anexo 8'!$D$10</f>
        <v>0</v>
      </c>
      <c r="P25" s="33">
        <f>+'Anexo 18'!P25*'Anexo 8'!$D$10</f>
        <v>0</v>
      </c>
      <c r="Q25" s="33">
        <f>+'Anexo 18'!Q25*'Anexo 8'!$D$10</f>
        <v>0</v>
      </c>
      <c r="R25" s="33">
        <f>+'Anexo 18'!R25*'Anexo 8'!$D$10</f>
        <v>0</v>
      </c>
      <c r="S25" s="33">
        <f>+'Anexo 18'!S25*'Anexo 8'!$D$10</f>
        <v>0</v>
      </c>
      <c r="T25" s="33">
        <f>+'Anexo 18'!T25*'Anexo 8'!$D$10</f>
        <v>0</v>
      </c>
      <c r="U25" s="33">
        <f>+'Anexo 18'!U25*'Anexo 8'!$D$10</f>
        <v>0</v>
      </c>
      <c r="V25" s="33">
        <f>+'Anexo 18'!V25*'Anexo 8'!$D$10</f>
        <v>0</v>
      </c>
      <c r="W25" s="33">
        <f>+'Anexo 18'!W25*'Anexo 8'!$D$10</f>
        <v>0</v>
      </c>
      <c r="X25" s="33">
        <f>+'Anexo 18'!X25*'Anexo 8'!$D$10</f>
        <v>0</v>
      </c>
      <c r="Y25" s="33">
        <f>+'Anexo 18'!Y25*'Anexo 8'!$D$10</f>
        <v>0</v>
      </c>
      <c r="Z25" s="33">
        <f>+'Anexo 18'!Z25*'Anexo 8'!$D$10</f>
        <v>0</v>
      </c>
      <c r="AA25" s="38">
        <f t="shared" si="0"/>
        <v>0</v>
      </c>
      <c r="AB25" s="21">
        <v>5</v>
      </c>
      <c r="AC25" s="101"/>
      <c r="AD25" s="47"/>
    </row>
    <row r="26" spans="1:30" ht="15.75" thickBot="1" x14ac:dyDescent="0.3">
      <c r="A26" s="99"/>
      <c r="B26" s="22" t="s">
        <v>3</v>
      </c>
      <c r="C26" s="33">
        <f>+'Anexo 18'!C26*'Anexo 8'!$D$10</f>
        <v>0</v>
      </c>
      <c r="D26" s="33">
        <f>+'Anexo 18'!D26*'Anexo 8'!$D$10</f>
        <v>0</v>
      </c>
      <c r="E26" s="33">
        <f>+'Anexo 18'!E26*'Anexo 8'!$D$10</f>
        <v>0</v>
      </c>
      <c r="F26" s="33">
        <f>+'Anexo 18'!F26*'Anexo 8'!$D$10</f>
        <v>0</v>
      </c>
      <c r="G26" s="33">
        <f>+'Anexo 18'!G26*'Anexo 8'!$D$10</f>
        <v>0</v>
      </c>
      <c r="H26" s="33">
        <f>+'Anexo 18'!H26*'Anexo 8'!$D$10</f>
        <v>0</v>
      </c>
      <c r="I26" s="33">
        <f>+'Anexo 18'!I26*'Anexo 8'!$D$10</f>
        <v>0</v>
      </c>
      <c r="J26" s="33">
        <f>+'Anexo 18'!J26*'Anexo 8'!$D$10</f>
        <v>0</v>
      </c>
      <c r="K26" s="33">
        <f>+'Anexo 18'!K26*'Anexo 8'!$D$10</f>
        <v>0</v>
      </c>
      <c r="L26" s="33">
        <f>+'Anexo 18'!L26*'Anexo 8'!$D$10</f>
        <v>0</v>
      </c>
      <c r="M26" s="33">
        <f>+'Anexo 18'!M26*'Anexo 8'!$D$10</f>
        <v>0</v>
      </c>
      <c r="N26" s="33">
        <f>+'Anexo 18'!N26*'Anexo 8'!$D$10</f>
        <v>0</v>
      </c>
      <c r="O26" s="33">
        <f>+'Anexo 18'!O26*'Anexo 8'!$D$10</f>
        <v>0</v>
      </c>
      <c r="P26" s="33">
        <f>+'Anexo 18'!P26*'Anexo 8'!$D$10</f>
        <v>0</v>
      </c>
      <c r="Q26" s="33">
        <f>+'Anexo 18'!Q26*'Anexo 8'!$D$10</f>
        <v>0</v>
      </c>
      <c r="R26" s="33">
        <f>+'Anexo 18'!R26*'Anexo 8'!$D$10</f>
        <v>0</v>
      </c>
      <c r="S26" s="33">
        <f>+'Anexo 18'!S26*'Anexo 8'!$D$10</f>
        <v>0</v>
      </c>
      <c r="T26" s="33">
        <f>+'Anexo 18'!T26*'Anexo 8'!$D$10</f>
        <v>0</v>
      </c>
      <c r="U26" s="33">
        <f>+'Anexo 18'!U26*'Anexo 8'!$D$10</f>
        <v>0</v>
      </c>
      <c r="V26" s="33">
        <f>+'Anexo 18'!V26*'Anexo 8'!$D$10</f>
        <v>0</v>
      </c>
      <c r="W26" s="33">
        <f>+'Anexo 18'!W26*'Anexo 8'!$D$10</f>
        <v>0</v>
      </c>
      <c r="X26" s="33">
        <f>+'Anexo 18'!X26*'Anexo 8'!$D$10</f>
        <v>0</v>
      </c>
      <c r="Y26" s="33">
        <f>+'Anexo 18'!Y26*'Anexo 8'!$D$10</f>
        <v>0</v>
      </c>
      <c r="Z26" s="33">
        <f>+'Anexo 18'!Z26*'Anexo 8'!$D$10</f>
        <v>0</v>
      </c>
      <c r="AA26" s="41">
        <f t="shared" si="0"/>
        <v>0</v>
      </c>
      <c r="AB26" s="23">
        <v>7</v>
      </c>
      <c r="AC26" s="102"/>
      <c r="AD26" s="48"/>
    </row>
    <row r="27" spans="1:30" ht="15.75" thickBot="1" x14ac:dyDescent="0.3">
      <c r="A27" s="99">
        <v>48792</v>
      </c>
      <c r="B27" s="18" t="s">
        <v>5</v>
      </c>
      <c r="C27" s="33">
        <f>+'Anexo 18'!C27*'Anexo 8'!$D$10</f>
        <v>0</v>
      </c>
      <c r="D27" s="33">
        <f>+'Anexo 18'!D27*'Anexo 8'!$D$10</f>
        <v>0</v>
      </c>
      <c r="E27" s="33">
        <f>+'Anexo 18'!E27*'Anexo 8'!$D$10</f>
        <v>0</v>
      </c>
      <c r="F27" s="33">
        <f>+'Anexo 18'!F27*'Anexo 8'!$D$10</f>
        <v>0</v>
      </c>
      <c r="G27" s="33">
        <f>+'Anexo 18'!G27*'Anexo 8'!$D$10</f>
        <v>0</v>
      </c>
      <c r="H27" s="33">
        <f>+'Anexo 18'!H27*'Anexo 8'!$D$10</f>
        <v>0</v>
      </c>
      <c r="I27" s="33">
        <f>+'Anexo 18'!I27*'Anexo 8'!$D$10</f>
        <v>0</v>
      </c>
      <c r="J27" s="33">
        <f>+'Anexo 18'!J27*'Anexo 8'!$D$10</f>
        <v>0</v>
      </c>
      <c r="K27" s="33">
        <f>+'Anexo 18'!K27*'Anexo 8'!$D$10</f>
        <v>0</v>
      </c>
      <c r="L27" s="33">
        <f>+'Anexo 18'!L27*'Anexo 8'!$D$10</f>
        <v>0</v>
      </c>
      <c r="M27" s="33">
        <f>+'Anexo 18'!M27*'Anexo 8'!$D$10</f>
        <v>0</v>
      </c>
      <c r="N27" s="33">
        <f>+'Anexo 18'!N27*'Anexo 8'!$D$10</f>
        <v>0</v>
      </c>
      <c r="O27" s="33">
        <f>+'Anexo 18'!O27*'Anexo 8'!$D$10</f>
        <v>0</v>
      </c>
      <c r="P27" s="33">
        <f>+'Anexo 18'!P27*'Anexo 8'!$D$10</f>
        <v>0</v>
      </c>
      <c r="Q27" s="33">
        <f>+'Anexo 18'!Q27*'Anexo 8'!$D$10</f>
        <v>0</v>
      </c>
      <c r="R27" s="33">
        <f>+'Anexo 18'!R27*'Anexo 8'!$D$10</f>
        <v>0</v>
      </c>
      <c r="S27" s="33">
        <f>+'Anexo 18'!S27*'Anexo 8'!$D$10</f>
        <v>0</v>
      </c>
      <c r="T27" s="33">
        <f>+'Anexo 18'!T27*'Anexo 8'!$D$10</f>
        <v>0</v>
      </c>
      <c r="U27" s="33">
        <f>+'Anexo 18'!U27*'Anexo 8'!$D$10</f>
        <v>0</v>
      </c>
      <c r="V27" s="33">
        <f>+'Anexo 18'!V27*'Anexo 8'!$D$10</f>
        <v>0</v>
      </c>
      <c r="W27" s="33">
        <f>+'Anexo 18'!W27*'Anexo 8'!$D$10</f>
        <v>0</v>
      </c>
      <c r="X27" s="33">
        <f>+'Anexo 18'!X27*'Anexo 8'!$D$10</f>
        <v>0</v>
      </c>
      <c r="Y27" s="33">
        <f>+'Anexo 18'!Y27*'Anexo 8'!$D$10</f>
        <v>0</v>
      </c>
      <c r="Z27" s="33">
        <f>+'Anexo 18'!Z27*'Anexo 8'!$D$10</f>
        <v>0</v>
      </c>
      <c r="AA27" s="35">
        <f t="shared" si="0"/>
        <v>0</v>
      </c>
      <c r="AB27" s="19">
        <v>22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+'Anexo 18'!C28*'Anexo 8'!$D$10</f>
        <v>0</v>
      </c>
      <c r="D28" s="33">
        <f>+'Anexo 18'!D28*'Anexo 8'!$D$10</f>
        <v>0</v>
      </c>
      <c r="E28" s="33">
        <f>+'Anexo 18'!E28*'Anexo 8'!$D$10</f>
        <v>0</v>
      </c>
      <c r="F28" s="33">
        <f>+'Anexo 18'!F28*'Anexo 8'!$D$10</f>
        <v>0</v>
      </c>
      <c r="G28" s="33">
        <f>+'Anexo 18'!G28*'Anexo 8'!$D$10</f>
        <v>0</v>
      </c>
      <c r="H28" s="33">
        <f>+'Anexo 18'!H28*'Anexo 8'!$D$10</f>
        <v>0</v>
      </c>
      <c r="I28" s="33">
        <f>+'Anexo 18'!I28*'Anexo 8'!$D$10</f>
        <v>0</v>
      </c>
      <c r="J28" s="33">
        <f>+'Anexo 18'!J28*'Anexo 8'!$D$10</f>
        <v>0</v>
      </c>
      <c r="K28" s="33">
        <f>+'Anexo 18'!K28*'Anexo 8'!$D$10</f>
        <v>0</v>
      </c>
      <c r="L28" s="33">
        <f>+'Anexo 18'!L28*'Anexo 8'!$D$10</f>
        <v>0</v>
      </c>
      <c r="M28" s="33">
        <f>+'Anexo 18'!M28*'Anexo 8'!$D$10</f>
        <v>0</v>
      </c>
      <c r="N28" s="33">
        <f>+'Anexo 18'!N28*'Anexo 8'!$D$10</f>
        <v>0</v>
      </c>
      <c r="O28" s="33">
        <f>+'Anexo 18'!O28*'Anexo 8'!$D$10</f>
        <v>0</v>
      </c>
      <c r="P28" s="33">
        <f>+'Anexo 18'!P28*'Anexo 8'!$D$10</f>
        <v>0</v>
      </c>
      <c r="Q28" s="33">
        <f>+'Anexo 18'!Q28*'Anexo 8'!$D$10</f>
        <v>0</v>
      </c>
      <c r="R28" s="33">
        <f>+'Anexo 18'!R28*'Anexo 8'!$D$10</f>
        <v>0</v>
      </c>
      <c r="S28" s="33">
        <f>+'Anexo 18'!S28*'Anexo 8'!$D$10</f>
        <v>0</v>
      </c>
      <c r="T28" s="33">
        <f>+'Anexo 18'!T28*'Anexo 8'!$D$10</f>
        <v>0</v>
      </c>
      <c r="U28" s="33">
        <f>+'Anexo 18'!U28*'Anexo 8'!$D$10</f>
        <v>0</v>
      </c>
      <c r="V28" s="33">
        <f>+'Anexo 18'!V28*'Anexo 8'!$D$10</f>
        <v>0</v>
      </c>
      <c r="W28" s="33">
        <f>+'Anexo 18'!W28*'Anexo 8'!$D$10</f>
        <v>0</v>
      </c>
      <c r="X28" s="33">
        <f>+'Anexo 18'!X28*'Anexo 8'!$D$10</f>
        <v>0</v>
      </c>
      <c r="Y28" s="33">
        <f>+'Anexo 18'!Y28*'Anexo 8'!$D$10</f>
        <v>0</v>
      </c>
      <c r="Z28" s="33">
        <f>+'Anexo 18'!Z28*'Anexo 8'!$D$10</f>
        <v>0</v>
      </c>
      <c r="AA28" s="38">
        <f t="shared" si="0"/>
        <v>0</v>
      </c>
      <c r="AB28" s="21">
        <v>4</v>
      </c>
      <c r="AC28" s="101"/>
      <c r="AD28" s="47"/>
    </row>
    <row r="29" spans="1:30" ht="15.75" thickBot="1" x14ac:dyDescent="0.3">
      <c r="A29" s="99"/>
      <c r="B29" s="22" t="s">
        <v>3</v>
      </c>
      <c r="C29" s="33">
        <f>+'Anexo 18'!C29*'Anexo 8'!$D$10</f>
        <v>0</v>
      </c>
      <c r="D29" s="33">
        <f>+'Anexo 18'!D29*'Anexo 8'!$D$10</f>
        <v>0</v>
      </c>
      <c r="E29" s="33">
        <f>+'Anexo 18'!E29*'Anexo 8'!$D$10</f>
        <v>0</v>
      </c>
      <c r="F29" s="33">
        <f>+'Anexo 18'!F29*'Anexo 8'!$D$10</f>
        <v>0</v>
      </c>
      <c r="G29" s="33">
        <f>+'Anexo 18'!G29*'Anexo 8'!$D$10</f>
        <v>0</v>
      </c>
      <c r="H29" s="33">
        <f>+'Anexo 18'!H29*'Anexo 8'!$D$10</f>
        <v>0</v>
      </c>
      <c r="I29" s="33">
        <f>+'Anexo 18'!I29*'Anexo 8'!$D$10</f>
        <v>0</v>
      </c>
      <c r="J29" s="33">
        <f>+'Anexo 18'!J29*'Anexo 8'!$D$10</f>
        <v>0</v>
      </c>
      <c r="K29" s="33">
        <f>+'Anexo 18'!K29*'Anexo 8'!$D$10</f>
        <v>0</v>
      </c>
      <c r="L29" s="33">
        <f>+'Anexo 18'!L29*'Anexo 8'!$D$10</f>
        <v>0</v>
      </c>
      <c r="M29" s="33">
        <f>+'Anexo 18'!M29*'Anexo 8'!$D$10</f>
        <v>0</v>
      </c>
      <c r="N29" s="33">
        <f>+'Anexo 18'!N29*'Anexo 8'!$D$10</f>
        <v>0</v>
      </c>
      <c r="O29" s="33">
        <f>+'Anexo 18'!O29*'Anexo 8'!$D$10</f>
        <v>0</v>
      </c>
      <c r="P29" s="33">
        <f>+'Anexo 18'!P29*'Anexo 8'!$D$10</f>
        <v>0</v>
      </c>
      <c r="Q29" s="33">
        <f>+'Anexo 18'!Q29*'Anexo 8'!$D$10</f>
        <v>0</v>
      </c>
      <c r="R29" s="33">
        <f>+'Anexo 18'!R29*'Anexo 8'!$D$10</f>
        <v>0</v>
      </c>
      <c r="S29" s="33">
        <f>+'Anexo 18'!S29*'Anexo 8'!$D$10</f>
        <v>0</v>
      </c>
      <c r="T29" s="33">
        <f>+'Anexo 18'!T29*'Anexo 8'!$D$10</f>
        <v>0</v>
      </c>
      <c r="U29" s="33">
        <f>+'Anexo 18'!U29*'Anexo 8'!$D$10</f>
        <v>0</v>
      </c>
      <c r="V29" s="33">
        <f>+'Anexo 18'!V29*'Anexo 8'!$D$10</f>
        <v>0</v>
      </c>
      <c r="W29" s="33">
        <f>+'Anexo 18'!W29*'Anexo 8'!$D$10</f>
        <v>0</v>
      </c>
      <c r="X29" s="33">
        <f>+'Anexo 18'!X29*'Anexo 8'!$D$10</f>
        <v>0</v>
      </c>
      <c r="Y29" s="33">
        <f>+'Anexo 18'!Y29*'Anexo 8'!$D$10</f>
        <v>0</v>
      </c>
      <c r="Z29" s="33">
        <f>+'Anexo 18'!Z29*'Anexo 8'!$D$10</f>
        <v>0</v>
      </c>
      <c r="AA29" s="41">
        <f t="shared" si="0"/>
        <v>0</v>
      </c>
      <c r="AB29" s="23">
        <v>5</v>
      </c>
      <c r="AC29" s="102"/>
      <c r="AD29" s="49"/>
    </row>
    <row r="30" spans="1:30" ht="15.75" thickBot="1" x14ac:dyDescent="0.3">
      <c r="A30" s="99">
        <v>48823</v>
      </c>
      <c r="B30" s="18" t="s">
        <v>5</v>
      </c>
      <c r="C30" s="33">
        <f>+'Anexo 18'!C30*'Anexo 8'!$D$10</f>
        <v>0</v>
      </c>
      <c r="D30" s="33">
        <f>+'Anexo 18'!D30*'Anexo 8'!$D$10</f>
        <v>0</v>
      </c>
      <c r="E30" s="33">
        <f>+'Anexo 18'!E30*'Anexo 8'!$D$10</f>
        <v>0</v>
      </c>
      <c r="F30" s="33">
        <f>+'Anexo 18'!F30*'Anexo 8'!$D$10</f>
        <v>0</v>
      </c>
      <c r="G30" s="33">
        <f>+'Anexo 18'!G30*'Anexo 8'!$D$10</f>
        <v>0</v>
      </c>
      <c r="H30" s="33">
        <f>+'Anexo 18'!H30*'Anexo 8'!$D$10</f>
        <v>0</v>
      </c>
      <c r="I30" s="33">
        <f>+'Anexo 18'!I30*'Anexo 8'!$D$10</f>
        <v>0</v>
      </c>
      <c r="J30" s="33">
        <f>+'Anexo 18'!J30*'Anexo 8'!$D$10</f>
        <v>0</v>
      </c>
      <c r="K30" s="33">
        <f>+'Anexo 18'!K30*'Anexo 8'!$D$10</f>
        <v>0</v>
      </c>
      <c r="L30" s="33">
        <f>+'Anexo 18'!L30*'Anexo 8'!$D$10</f>
        <v>0</v>
      </c>
      <c r="M30" s="33">
        <f>+'Anexo 18'!M30*'Anexo 8'!$D$10</f>
        <v>0</v>
      </c>
      <c r="N30" s="33">
        <f>+'Anexo 18'!N30*'Anexo 8'!$D$10</f>
        <v>0</v>
      </c>
      <c r="O30" s="33">
        <f>+'Anexo 18'!O30*'Anexo 8'!$D$10</f>
        <v>0</v>
      </c>
      <c r="P30" s="33">
        <f>+'Anexo 18'!P30*'Anexo 8'!$D$10</f>
        <v>0</v>
      </c>
      <c r="Q30" s="33">
        <f>+'Anexo 18'!Q30*'Anexo 8'!$D$10</f>
        <v>0</v>
      </c>
      <c r="R30" s="33">
        <f>+'Anexo 18'!R30*'Anexo 8'!$D$10</f>
        <v>0</v>
      </c>
      <c r="S30" s="33">
        <f>+'Anexo 18'!S30*'Anexo 8'!$D$10</f>
        <v>0</v>
      </c>
      <c r="T30" s="33">
        <f>+'Anexo 18'!T30*'Anexo 8'!$D$10</f>
        <v>0</v>
      </c>
      <c r="U30" s="33">
        <f>+'Anexo 18'!U30*'Anexo 8'!$D$10</f>
        <v>0</v>
      </c>
      <c r="V30" s="33">
        <f>+'Anexo 18'!V30*'Anexo 8'!$D$10</f>
        <v>0</v>
      </c>
      <c r="W30" s="33">
        <f>+'Anexo 18'!W30*'Anexo 8'!$D$10</f>
        <v>0</v>
      </c>
      <c r="X30" s="33">
        <f>+'Anexo 18'!X30*'Anexo 8'!$D$10</f>
        <v>0</v>
      </c>
      <c r="Y30" s="33">
        <f>+'Anexo 18'!Y30*'Anexo 8'!$D$10</f>
        <v>0</v>
      </c>
      <c r="Z30" s="33">
        <f>+'Anexo 18'!Z30*'Anexo 8'!$D$10</f>
        <v>0</v>
      </c>
      <c r="AA30" s="35">
        <f t="shared" si="0"/>
        <v>0</v>
      </c>
      <c r="AB30" s="19">
        <v>22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+'Anexo 18'!C31*'Anexo 8'!$D$10</f>
        <v>0</v>
      </c>
      <c r="D31" s="33">
        <f>+'Anexo 18'!D31*'Anexo 8'!$D$10</f>
        <v>0</v>
      </c>
      <c r="E31" s="33">
        <f>+'Anexo 18'!E31*'Anexo 8'!$D$10</f>
        <v>0</v>
      </c>
      <c r="F31" s="33">
        <f>+'Anexo 18'!F31*'Anexo 8'!$D$10</f>
        <v>0</v>
      </c>
      <c r="G31" s="33">
        <f>+'Anexo 18'!G31*'Anexo 8'!$D$10</f>
        <v>0</v>
      </c>
      <c r="H31" s="33">
        <f>+'Anexo 18'!H31*'Anexo 8'!$D$10</f>
        <v>0</v>
      </c>
      <c r="I31" s="33">
        <f>+'Anexo 18'!I31*'Anexo 8'!$D$10</f>
        <v>0</v>
      </c>
      <c r="J31" s="33">
        <f>+'Anexo 18'!J31*'Anexo 8'!$D$10</f>
        <v>0</v>
      </c>
      <c r="K31" s="33">
        <f>+'Anexo 18'!K31*'Anexo 8'!$D$10</f>
        <v>0</v>
      </c>
      <c r="L31" s="33">
        <f>+'Anexo 18'!L31*'Anexo 8'!$D$10</f>
        <v>0</v>
      </c>
      <c r="M31" s="33">
        <f>+'Anexo 18'!M31*'Anexo 8'!$D$10</f>
        <v>0</v>
      </c>
      <c r="N31" s="33">
        <f>+'Anexo 18'!N31*'Anexo 8'!$D$10</f>
        <v>0</v>
      </c>
      <c r="O31" s="33">
        <f>+'Anexo 18'!O31*'Anexo 8'!$D$10</f>
        <v>0</v>
      </c>
      <c r="P31" s="33">
        <f>+'Anexo 18'!P31*'Anexo 8'!$D$10</f>
        <v>0</v>
      </c>
      <c r="Q31" s="33">
        <f>+'Anexo 18'!Q31*'Anexo 8'!$D$10</f>
        <v>0</v>
      </c>
      <c r="R31" s="33">
        <f>+'Anexo 18'!R31*'Anexo 8'!$D$10</f>
        <v>0</v>
      </c>
      <c r="S31" s="33">
        <f>+'Anexo 18'!S31*'Anexo 8'!$D$10</f>
        <v>0</v>
      </c>
      <c r="T31" s="33">
        <f>+'Anexo 18'!T31*'Anexo 8'!$D$10</f>
        <v>0</v>
      </c>
      <c r="U31" s="33">
        <f>+'Anexo 18'!U31*'Anexo 8'!$D$10</f>
        <v>0</v>
      </c>
      <c r="V31" s="33">
        <f>+'Anexo 18'!V31*'Anexo 8'!$D$10</f>
        <v>0</v>
      </c>
      <c r="W31" s="33">
        <f>+'Anexo 18'!W31*'Anexo 8'!$D$10</f>
        <v>0</v>
      </c>
      <c r="X31" s="33">
        <f>+'Anexo 18'!X31*'Anexo 8'!$D$10</f>
        <v>0</v>
      </c>
      <c r="Y31" s="33">
        <f>+'Anexo 18'!Y31*'Anexo 8'!$D$10</f>
        <v>0</v>
      </c>
      <c r="Z31" s="33">
        <f>+'Anexo 18'!Z31*'Anexo 8'!$D$10</f>
        <v>0</v>
      </c>
      <c r="AA31" s="38">
        <f t="shared" si="0"/>
        <v>0</v>
      </c>
      <c r="AB31" s="21">
        <v>4</v>
      </c>
      <c r="AC31" s="101"/>
      <c r="AD31" s="47"/>
    </row>
    <row r="32" spans="1:30" ht="15.75" thickBot="1" x14ac:dyDescent="0.3">
      <c r="A32" s="99"/>
      <c r="B32" s="22" t="s">
        <v>3</v>
      </c>
      <c r="C32" s="33">
        <f>+'Anexo 18'!C32*'Anexo 8'!$D$10</f>
        <v>0</v>
      </c>
      <c r="D32" s="33">
        <f>+'Anexo 18'!D32*'Anexo 8'!$D$10</f>
        <v>0</v>
      </c>
      <c r="E32" s="33">
        <f>+'Anexo 18'!E32*'Anexo 8'!$D$10</f>
        <v>0</v>
      </c>
      <c r="F32" s="33">
        <f>+'Anexo 18'!F32*'Anexo 8'!$D$10</f>
        <v>0</v>
      </c>
      <c r="G32" s="33">
        <f>+'Anexo 18'!G32*'Anexo 8'!$D$10</f>
        <v>0</v>
      </c>
      <c r="H32" s="33">
        <f>+'Anexo 18'!H32*'Anexo 8'!$D$10</f>
        <v>0</v>
      </c>
      <c r="I32" s="33">
        <f>+'Anexo 18'!I32*'Anexo 8'!$D$10</f>
        <v>0</v>
      </c>
      <c r="J32" s="33">
        <f>+'Anexo 18'!J32*'Anexo 8'!$D$10</f>
        <v>0</v>
      </c>
      <c r="K32" s="33">
        <f>+'Anexo 18'!K32*'Anexo 8'!$D$10</f>
        <v>0</v>
      </c>
      <c r="L32" s="33">
        <f>+'Anexo 18'!L32*'Anexo 8'!$D$10</f>
        <v>0</v>
      </c>
      <c r="M32" s="33">
        <f>+'Anexo 18'!M32*'Anexo 8'!$D$10</f>
        <v>0</v>
      </c>
      <c r="N32" s="33">
        <f>+'Anexo 18'!N32*'Anexo 8'!$D$10</f>
        <v>0</v>
      </c>
      <c r="O32" s="33">
        <f>+'Anexo 18'!O32*'Anexo 8'!$D$10</f>
        <v>0</v>
      </c>
      <c r="P32" s="33">
        <f>+'Anexo 18'!P32*'Anexo 8'!$D$10</f>
        <v>0</v>
      </c>
      <c r="Q32" s="33">
        <f>+'Anexo 18'!Q32*'Anexo 8'!$D$10</f>
        <v>0</v>
      </c>
      <c r="R32" s="33">
        <f>+'Anexo 18'!R32*'Anexo 8'!$D$10</f>
        <v>0</v>
      </c>
      <c r="S32" s="33">
        <f>+'Anexo 18'!S32*'Anexo 8'!$D$10</f>
        <v>0</v>
      </c>
      <c r="T32" s="33">
        <f>+'Anexo 18'!T32*'Anexo 8'!$D$10</f>
        <v>0</v>
      </c>
      <c r="U32" s="33">
        <f>+'Anexo 18'!U32*'Anexo 8'!$D$10</f>
        <v>0</v>
      </c>
      <c r="V32" s="33">
        <f>+'Anexo 18'!V32*'Anexo 8'!$D$10</f>
        <v>0</v>
      </c>
      <c r="W32" s="33">
        <f>+'Anexo 18'!W32*'Anexo 8'!$D$10</f>
        <v>0</v>
      </c>
      <c r="X32" s="33">
        <f>+'Anexo 18'!X32*'Anexo 8'!$D$10</f>
        <v>0</v>
      </c>
      <c r="Y32" s="33">
        <f>+'Anexo 18'!Y32*'Anexo 8'!$D$10</f>
        <v>0</v>
      </c>
      <c r="Z32" s="33">
        <f>+'Anexo 18'!Z32*'Anexo 8'!$D$10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48853</v>
      </c>
      <c r="B33" s="18" t="s">
        <v>5</v>
      </c>
      <c r="C33" s="33">
        <f>+'Anexo 18'!C33*'Anexo 8'!$D$10</f>
        <v>0</v>
      </c>
      <c r="D33" s="33">
        <f>+'Anexo 18'!D33*'Anexo 8'!$D$10</f>
        <v>0</v>
      </c>
      <c r="E33" s="33">
        <f>+'Anexo 18'!E33*'Anexo 8'!$D$10</f>
        <v>0</v>
      </c>
      <c r="F33" s="33">
        <f>+'Anexo 18'!F33*'Anexo 8'!$D$10</f>
        <v>0</v>
      </c>
      <c r="G33" s="33">
        <f>+'Anexo 18'!G33*'Anexo 8'!$D$10</f>
        <v>0</v>
      </c>
      <c r="H33" s="33">
        <f>+'Anexo 18'!H33*'Anexo 8'!$D$10</f>
        <v>0</v>
      </c>
      <c r="I33" s="33">
        <f>+'Anexo 18'!I33*'Anexo 8'!$D$10</f>
        <v>0</v>
      </c>
      <c r="J33" s="33">
        <f>+'Anexo 18'!J33*'Anexo 8'!$D$10</f>
        <v>0</v>
      </c>
      <c r="K33" s="33">
        <f>+'Anexo 18'!K33*'Anexo 8'!$D$10</f>
        <v>0</v>
      </c>
      <c r="L33" s="33">
        <f>+'Anexo 18'!L33*'Anexo 8'!$D$10</f>
        <v>0</v>
      </c>
      <c r="M33" s="33">
        <f>+'Anexo 18'!M33*'Anexo 8'!$D$10</f>
        <v>0</v>
      </c>
      <c r="N33" s="33">
        <f>+'Anexo 18'!N33*'Anexo 8'!$D$10</f>
        <v>0</v>
      </c>
      <c r="O33" s="33">
        <f>+'Anexo 18'!O33*'Anexo 8'!$D$10</f>
        <v>0</v>
      </c>
      <c r="P33" s="33">
        <f>+'Anexo 18'!P33*'Anexo 8'!$D$10</f>
        <v>0</v>
      </c>
      <c r="Q33" s="33">
        <f>+'Anexo 18'!Q33*'Anexo 8'!$D$10</f>
        <v>0</v>
      </c>
      <c r="R33" s="33">
        <f>+'Anexo 18'!R33*'Anexo 8'!$D$10</f>
        <v>0</v>
      </c>
      <c r="S33" s="33">
        <f>+'Anexo 18'!S33*'Anexo 8'!$D$10</f>
        <v>0</v>
      </c>
      <c r="T33" s="33">
        <f>+'Anexo 18'!T33*'Anexo 8'!$D$10</f>
        <v>0</v>
      </c>
      <c r="U33" s="33">
        <f>+'Anexo 18'!U33*'Anexo 8'!$D$10</f>
        <v>0</v>
      </c>
      <c r="V33" s="33">
        <f>+'Anexo 18'!V33*'Anexo 8'!$D$10</f>
        <v>0</v>
      </c>
      <c r="W33" s="33">
        <f>+'Anexo 18'!W33*'Anexo 8'!$D$10</f>
        <v>0</v>
      </c>
      <c r="X33" s="33">
        <f>+'Anexo 18'!X33*'Anexo 8'!$D$10</f>
        <v>0</v>
      </c>
      <c r="Y33" s="33">
        <f>+'Anexo 18'!Y33*'Anexo 8'!$D$10</f>
        <v>0</v>
      </c>
      <c r="Z33" s="33">
        <f>+'Anexo 18'!Z33*'Anexo 8'!$D$10</f>
        <v>0</v>
      </c>
      <c r="AA33" s="35">
        <f t="shared" si="0"/>
        <v>0</v>
      </c>
      <c r="AB33" s="19">
        <v>20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+'Anexo 18'!C34*'Anexo 8'!$D$10</f>
        <v>0</v>
      </c>
      <c r="D34" s="33">
        <f>+'Anexo 18'!D34*'Anexo 8'!$D$10</f>
        <v>0</v>
      </c>
      <c r="E34" s="33">
        <f>+'Anexo 18'!E34*'Anexo 8'!$D$10</f>
        <v>0</v>
      </c>
      <c r="F34" s="33">
        <f>+'Anexo 18'!F34*'Anexo 8'!$D$10</f>
        <v>0</v>
      </c>
      <c r="G34" s="33">
        <f>+'Anexo 18'!G34*'Anexo 8'!$D$10</f>
        <v>0</v>
      </c>
      <c r="H34" s="33">
        <f>+'Anexo 18'!H34*'Anexo 8'!$D$10</f>
        <v>0</v>
      </c>
      <c r="I34" s="33">
        <f>+'Anexo 18'!I34*'Anexo 8'!$D$10</f>
        <v>0</v>
      </c>
      <c r="J34" s="33">
        <f>+'Anexo 18'!J34*'Anexo 8'!$D$10</f>
        <v>0</v>
      </c>
      <c r="K34" s="33">
        <f>+'Anexo 18'!K34*'Anexo 8'!$D$10</f>
        <v>0</v>
      </c>
      <c r="L34" s="33">
        <f>+'Anexo 18'!L34*'Anexo 8'!$D$10</f>
        <v>0</v>
      </c>
      <c r="M34" s="33">
        <f>+'Anexo 18'!M34*'Anexo 8'!$D$10</f>
        <v>0</v>
      </c>
      <c r="N34" s="33">
        <f>+'Anexo 18'!N34*'Anexo 8'!$D$10</f>
        <v>0</v>
      </c>
      <c r="O34" s="33">
        <f>+'Anexo 18'!O34*'Anexo 8'!$D$10</f>
        <v>0</v>
      </c>
      <c r="P34" s="33">
        <f>+'Anexo 18'!P34*'Anexo 8'!$D$10</f>
        <v>0</v>
      </c>
      <c r="Q34" s="33">
        <f>+'Anexo 18'!Q34*'Anexo 8'!$D$10</f>
        <v>0</v>
      </c>
      <c r="R34" s="33">
        <f>+'Anexo 18'!R34*'Anexo 8'!$D$10</f>
        <v>0</v>
      </c>
      <c r="S34" s="33">
        <f>+'Anexo 18'!S34*'Anexo 8'!$D$10</f>
        <v>0</v>
      </c>
      <c r="T34" s="33">
        <f>+'Anexo 18'!T34*'Anexo 8'!$D$10</f>
        <v>0</v>
      </c>
      <c r="U34" s="33">
        <f>+'Anexo 18'!U34*'Anexo 8'!$D$10</f>
        <v>0</v>
      </c>
      <c r="V34" s="33">
        <f>+'Anexo 18'!V34*'Anexo 8'!$D$10</f>
        <v>0</v>
      </c>
      <c r="W34" s="33">
        <f>+'Anexo 18'!W34*'Anexo 8'!$D$10</f>
        <v>0</v>
      </c>
      <c r="X34" s="33">
        <f>+'Anexo 18'!X34*'Anexo 8'!$D$10</f>
        <v>0</v>
      </c>
      <c r="Y34" s="33">
        <f>+'Anexo 18'!Y34*'Anexo 8'!$D$10</f>
        <v>0</v>
      </c>
      <c r="Z34" s="33">
        <f>+'Anexo 18'!Z34*'Anexo 8'!$D$10</f>
        <v>0</v>
      </c>
      <c r="AA34" s="38">
        <f t="shared" si="0"/>
        <v>0</v>
      </c>
      <c r="AB34" s="21">
        <v>5</v>
      </c>
      <c r="AC34" s="101"/>
      <c r="AD34" s="47"/>
    </row>
    <row r="35" spans="1:30" ht="15.75" thickBot="1" x14ac:dyDescent="0.3">
      <c r="A35" s="99"/>
      <c r="B35" s="22" t="s">
        <v>3</v>
      </c>
      <c r="C35" s="33">
        <f>+'Anexo 18'!C35*'Anexo 8'!$D$10</f>
        <v>0</v>
      </c>
      <c r="D35" s="33">
        <f>+'Anexo 18'!D35*'Anexo 8'!$D$10</f>
        <v>0</v>
      </c>
      <c r="E35" s="33">
        <f>+'Anexo 18'!E35*'Anexo 8'!$D$10</f>
        <v>0</v>
      </c>
      <c r="F35" s="33">
        <f>+'Anexo 18'!F35*'Anexo 8'!$D$10</f>
        <v>0</v>
      </c>
      <c r="G35" s="33">
        <f>+'Anexo 18'!G35*'Anexo 8'!$D$10</f>
        <v>0</v>
      </c>
      <c r="H35" s="33">
        <f>+'Anexo 18'!H35*'Anexo 8'!$D$10</f>
        <v>0</v>
      </c>
      <c r="I35" s="33">
        <f>+'Anexo 18'!I35*'Anexo 8'!$D$10</f>
        <v>0</v>
      </c>
      <c r="J35" s="33">
        <f>+'Anexo 18'!J35*'Anexo 8'!$D$10</f>
        <v>0</v>
      </c>
      <c r="K35" s="33">
        <f>+'Anexo 18'!K35*'Anexo 8'!$D$10</f>
        <v>0</v>
      </c>
      <c r="L35" s="33">
        <f>+'Anexo 18'!L35*'Anexo 8'!$D$10</f>
        <v>0</v>
      </c>
      <c r="M35" s="33">
        <f>+'Anexo 18'!M35*'Anexo 8'!$D$10</f>
        <v>0</v>
      </c>
      <c r="N35" s="33">
        <f>+'Anexo 18'!N35*'Anexo 8'!$D$10</f>
        <v>0</v>
      </c>
      <c r="O35" s="33">
        <f>+'Anexo 18'!O35*'Anexo 8'!$D$10</f>
        <v>0</v>
      </c>
      <c r="P35" s="33">
        <f>+'Anexo 18'!P35*'Anexo 8'!$D$10</f>
        <v>0</v>
      </c>
      <c r="Q35" s="33">
        <f>+'Anexo 18'!Q35*'Anexo 8'!$D$10</f>
        <v>0</v>
      </c>
      <c r="R35" s="33">
        <f>+'Anexo 18'!R35*'Anexo 8'!$D$10</f>
        <v>0</v>
      </c>
      <c r="S35" s="33">
        <f>+'Anexo 18'!S35*'Anexo 8'!$D$10</f>
        <v>0</v>
      </c>
      <c r="T35" s="33">
        <f>+'Anexo 18'!T35*'Anexo 8'!$D$10</f>
        <v>0</v>
      </c>
      <c r="U35" s="33">
        <f>+'Anexo 18'!U35*'Anexo 8'!$D$10</f>
        <v>0</v>
      </c>
      <c r="V35" s="33">
        <f>+'Anexo 18'!V35*'Anexo 8'!$D$10</f>
        <v>0</v>
      </c>
      <c r="W35" s="33">
        <f>+'Anexo 18'!W35*'Anexo 8'!$D$10</f>
        <v>0</v>
      </c>
      <c r="X35" s="33">
        <f>+'Anexo 18'!X35*'Anexo 8'!$D$10</f>
        <v>0</v>
      </c>
      <c r="Y35" s="33">
        <f>+'Anexo 18'!Y35*'Anexo 8'!$D$10</f>
        <v>0</v>
      </c>
      <c r="Z35" s="33">
        <f>+'Anexo 18'!Z35*'Anexo 8'!$D$10</f>
        <v>0</v>
      </c>
      <c r="AA35" s="41">
        <f t="shared" si="0"/>
        <v>0</v>
      </c>
      <c r="AB35" s="23">
        <v>6</v>
      </c>
      <c r="AC35" s="102"/>
      <c r="AD35" s="48"/>
    </row>
    <row r="36" spans="1:30" ht="15.75" thickBot="1" x14ac:dyDescent="0.3">
      <c r="A36" s="99">
        <v>48884</v>
      </c>
      <c r="B36" s="18" t="s">
        <v>5</v>
      </c>
      <c r="C36" s="33">
        <f>+'Anexo 18'!C36*'Anexo 8'!$D$10</f>
        <v>0</v>
      </c>
      <c r="D36" s="33">
        <f>+'Anexo 18'!D36*'Anexo 8'!$D$10</f>
        <v>0</v>
      </c>
      <c r="E36" s="33">
        <f>+'Anexo 18'!E36*'Anexo 8'!$D$10</f>
        <v>0</v>
      </c>
      <c r="F36" s="33">
        <f>+'Anexo 18'!F36*'Anexo 8'!$D$10</f>
        <v>0</v>
      </c>
      <c r="G36" s="33">
        <f>+'Anexo 18'!G36*'Anexo 8'!$D$10</f>
        <v>0</v>
      </c>
      <c r="H36" s="33">
        <f>+'Anexo 18'!H36*'Anexo 8'!$D$10</f>
        <v>0</v>
      </c>
      <c r="I36" s="33">
        <f>+'Anexo 18'!I36*'Anexo 8'!$D$10</f>
        <v>0</v>
      </c>
      <c r="J36" s="33">
        <f>+'Anexo 18'!J36*'Anexo 8'!$D$10</f>
        <v>0</v>
      </c>
      <c r="K36" s="33">
        <f>+'Anexo 18'!K36*'Anexo 8'!$D$10</f>
        <v>0</v>
      </c>
      <c r="L36" s="33">
        <f>+'Anexo 18'!L36*'Anexo 8'!$D$10</f>
        <v>0</v>
      </c>
      <c r="M36" s="33">
        <f>+'Anexo 18'!M36*'Anexo 8'!$D$10</f>
        <v>0</v>
      </c>
      <c r="N36" s="33">
        <f>+'Anexo 18'!N36*'Anexo 8'!$D$10</f>
        <v>0</v>
      </c>
      <c r="O36" s="33">
        <f>+'Anexo 18'!O36*'Anexo 8'!$D$10</f>
        <v>0</v>
      </c>
      <c r="P36" s="33">
        <f>+'Anexo 18'!P36*'Anexo 8'!$D$10</f>
        <v>0</v>
      </c>
      <c r="Q36" s="33">
        <f>+'Anexo 18'!Q36*'Anexo 8'!$D$10</f>
        <v>0</v>
      </c>
      <c r="R36" s="33">
        <f>+'Anexo 18'!R36*'Anexo 8'!$D$10</f>
        <v>0</v>
      </c>
      <c r="S36" s="33">
        <f>+'Anexo 18'!S36*'Anexo 8'!$D$10</f>
        <v>0</v>
      </c>
      <c r="T36" s="33">
        <f>+'Anexo 18'!T36*'Anexo 8'!$D$10</f>
        <v>0</v>
      </c>
      <c r="U36" s="33">
        <f>+'Anexo 18'!U36*'Anexo 8'!$D$10</f>
        <v>0</v>
      </c>
      <c r="V36" s="33">
        <f>+'Anexo 18'!V36*'Anexo 8'!$D$10</f>
        <v>0</v>
      </c>
      <c r="W36" s="33">
        <f>+'Anexo 18'!W36*'Anexo 8'!$D$10</f>
        <v>0</v>
      </c>
      <c r="X36" s="33">
        <f>+'Anexo 18'!X36*'Anexo 8'!$D$10</f>
        <v>0</v>
      </c>
      <c r="Y36" s="33">
        <f>+'Anexo 18'!Y36*'Anexo 8'!$D$10</f>
        <v>0</v>
      </c>
      <c r="Z36" s="33">
        <f>+'Anexo 18'!Z36*'Anexo 8'!$D$10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+'Anexo 18'!C37*'Anexo 8'!$D$10</f>
        <v>0</v>
      </c>
      <c r="D37" s="33">
        <f>+'Anexo 18'!D37*'Anexo 8'!$D$10</f>
        <v>0</v>
      </c>
      <c r="E37" s="33">
        <f>+'Anexo 18'!E37*'Anexo 8'!$D$10</f>
        <v>0</v>
      </c>
      <c r="F37" s="33">
        <f>+'Anexo 18'!F37*'Anexo 8'!$D$10</f>
        <v>0</v>
      </c>
      <c r="G37" s="33">
        <f>+'Anexo 18'!G37*'Anexo 8'!$D$10</f>
        <v>0</v>
      </c>
      <c r="H37" s="33">
        <f>+'Anexo 18'!H37*'Anexo 8'!$D$10</f>
        <v>0</v>
      </c>
      <c r="I37" s="33">
        <f>+'Anexo 18'!I37*'Anexo 8'!$D$10</f>
        <v>0</v>
      </c>
      <c r="J37" s="33">
        <f>+'Anexo 18'!J37*'Anexo 8'!$D$10</f>
        <v>0</v>
      </c>
      <c r="K37" s="33">
        <f>+'Anexo 18'!K37*'Anexo 8'!$D$10</f>
        <v>0</v>
      </c>
      <c r="L37" s="33">
        <f>+'Anexo 18'!L37*'Anexo 8'!$D$10</f>
        <v>0</v>
      </c>
      <c r="M37" s="33">
        <f>+'Anexo 18'!M37*'Anexo 8'!$D$10</f>
        <v>0</v>
      </c>
      <c r="N37" s="33">
        <f>+'Anexo 18'!N37*'Anexo 8'!$D$10</f>
        <v>0</v>
      </c>
      <c r="O37" s="33">
        <f>+'Anexo 18'!O37*'Anexo 8'!$D$10</f>
        <v>0</v>
      </c>
      <c r="P37" s="33">
        <f>+'Anexo 18'!P37*'Anexo 8'!$D$10</f>
        <v>0</v>
      </c>
      <c r="Q37" s="33">
        <f>+'Anexo 18'!Q37*'Anexo 8'!$D$10</f>
        <v>0</v>
      </c>
      <c r="R37" s="33">
        <f>+'Anexo 18'!R37*'Anexo 8'!$D$10</f>
        <v>0</v>
      </c>
      <c r="S37" s="33">
        <f>+'Anexo 18'!S37*'Anexo 8'!$D$10</f>
        <v>0</v>
      </c>
      <c r="T37" s="33">
        <f>+'Anexo 18'!T37*'Anexo 8'!$D$10</f>
        <v>0</v>
      </c>
      <c r="U37" s="33">
        <f>+'Anexo 18'!U37*'Anexo 8'!$D$10</f>
        <v>0</v>
      </c>
      <c r="V37" s="33">
        <f>+'Anexo 18'!V37*'Anexo 8'!$D$10</f>
        <v>0</v>
      </c>
      <c r="W37" s="33">
        <f>+'Anexo 18'!W37*'Anexo 8'!$D$10</f>
        <v>0</v>
      </c>
      <c r="X37" s="33">
        <f>+'Anexo 18'!X37*'Anexo 8'!$D$10</f>
        <v>0</v>
      </c>
      <c r="Y37" s="33">
        <f>+'Anexo 18'!Y37*'Anexo 8'!$D$10</f>
        <v>0</v>
      </c>
      <c r="Z37" s="33">
        <f>+'Anexo 18'!Z37*'Anexo 8'!$D$10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+'Anexo 18'!C38*'Anexo 8'!$D$10</f>
        <v>0</v>
      </c>
      <c r="D38" s="33">
        <f>+'Anexo 18'!D38*'Anexo 8'!$D$10</f>
        <v>0</v>
      </c>
      <c r="E38" s="33">
        <f>+'Anexo 18'!E38*'Anexo 8'!$D$10</f>
        <v>0</v>
      </c>
      <c r="F38" s="33">
        <f>+'Anexo 18'!F38*'Anexo 8'!$D$10</f>
        <v>0</v>
      </c>
      <c r="G38" s="33">
        <f>+'Anexo 18'!G38*'Anexo 8'!$D$10</f>
        <v>0</v>
      </c>
      <c r="H38" s="33">
        <f>+'Anexo 18'!H38*'Anexo 8'!$D$10</f>
        <v>0</v>
      </c>
      <c r="I38" s="33">
        <f>+'Anexo 18'!I38*'Anexo 8'!$D$10</f>
        <v>0</v>
      </c>
      <c r="J38" s="33">
        <f>+'Anexo 18'!J38*'Anexo 8'!$D$10</f>
        <v>0</v>
      </c>
      <c r="K38" s="33">
        <f>+'Anexo 18'!K38*'Anexo 8'!$D$10</f>
        <v>0</v>
      </c>
      <c r="L38" s="33">
        <f>+'Anexo 18'!L38*'Anexo 8'!$D$10</f>
        <v>0</v>
      </c>
      <c r="M38" s="33">
        <f>+'Anexo 18'!M38*'Anexo 8'!$D$10</f>
        <v>0</v>
      </c>
      <c r="N38" s="33">
        <f>+'Anexo 18'!N38*'Anexo 8'!$D$10</f>
        <v>0</v>
      </c>
      <c r="O38" s="33">
        <f>+'Anexo 18'!O38*'Anexo 8'!$D$10</f>
        <v>0</v>
      </c>
      <c r="P38" s="33">
        <f>+'Anexo 18'!P38*'Anexo 8'!$D$10</f>
        <v>0</v>
      </c>
      <c r="Q38" s="33">
        <f>+'Anexo 18'!Q38*'Anexo 8'!$D$10</f>
        <v>0</v>
      </c>
      <c r="R38" s="33">
        <f>+'Anexo 18'!R38*'Anexo 8'!$D$10</f>
        <v>0</v>
      </c>
      <c r="S38" s="33">
        <f>+'Anexo 18'!S38*'Anexo 8'!$D$10</f>
        <v>0</v>
      </c>
      <c r="T38" s="33">
        <f>+'Anexo 18'!T38*'Anexo 8'!$D$10</f>
        <v>0</v>
      </c>
      <c r="U38" s="33">
        <f>+'Anexo 18'!U38*'Anexo 8'!$D$10</f>
        <v>0</v>
      </c>
      <c r="V38" s="33">
        <f>+'Anexo 18'!V38*'Anexo 8'!$D$10</f>
        <v>0</v>
      </c>
      <c r="W38" s="33">
        <f>+'Anexo 18'!W38*'Anexo 8'!$D$10</f>
        <v>0</v>
      </c>
      <c r="X38" s="33">
        <f>+'Anexo 18'!X38*'Anexo 8'!$D$10</f>
        <v>0</v>
      </c>
      <c r="Y38" s="33">
        <f>+'Anexo 18'!Y38*'Anexo 8'!$D$10</f>
        <v>0</v>
      </c>
      <c r="Z38" s="33">
        <f>+'Anexo 18'!Z38*'Anexo 8'!$D$10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48914</v>
      </c>
      <c r="B39" s="18" t="s">
        <v>5</v>
      </c>
      <c r="C39" s="33">
        <f>+'Anexo 18'!C39*'Anexo 8'!$D$10</f>
        <v>0</v>
      </c>
      <c r="D39" s="33">
        <f>+'Anexo 18'!D39*'Anexo 8'!$D$10</f>
        <v>0</v>
      </c>
      <c r="E39" s="33">
        <f>+'Anexo 18'!E39*'Anexo 8'!$D$10</f>
        <v>0</v>
      </c>
      <c r="F39" s="33">
        <f>+'Anexo 18'!F39*'Anexo 8'!$D$10</f>
        <v>0</v>
      </c>
      <c r="G39" s="33">
        <f>+'Anexo 18'!G39*'Anexo 8'!$D$10</f>
        <v>0</v>
      </c>
      <c r="H39" s="33">
        <f>+'Anexo 18'!H39*'Anexo 8'!$D$10</f>
        <v>0</v>
      </c>
      <c r="I39" s="33">
        <f>+'Anexo 18'!I39*'Anexo 8'!$D$10</f>
        <v>0</v>
      </c>
      <c r="J39" s="33">
        <f>+'Anexo 18'!J39*'Anexo 8'!$D$10</f>
        <v>0</v>
      </c>
      <c r="K39" s="33">
        <f>+'Anexo 18'!K39*'Anexo 8'!$D$10</f>
        <v>0</v>
      </c>
      <c r="L39" s="33">
        <f>+'Anexo 18'!L39*'Anexo 8'!$D$10</f>
        <v>0</v>
      </c>
      <c r="M39" s="33">
        <f>+'Anexo 18'!M39*'Anexo 8'!$D$10</f>
        <v>0</v>
      </c>
      <c r="N39" s="33">
        <f>+'Anexo 18'!N39*'Anexo 8'!$D$10</f>
        <v>0</v>
      </c>
      <c r="O39" s="33">
        <f>+'Anexo 18'!O39*'Anexo 8'!$D$10</f>
        <v>0</v>
      </c>
      <c r="P39" s="33">
        <f>+'Anexo 18'!P39*'Anexo 8'!$D$10</f>
        <v>0</v>
      </c>
      <c r="Q39" s="33">
        <f>+'Anexo 18'!Q39*'Anexo 8'!$D$10</f>
        <v>0</v>
      </c>
      <c r="R39" s="33">
        <f>+'Anexo 18'!R39*'Anexo 8'!$D$10</f>
        <v>0</v>
      </c>
      <c r="S39" s="33">
        <f>+'Anexo 18'!S39*'Anexo 8'!$D$10</f>
        <v>0</v>
      </c>
      <c r="T39" s="33">
        <f>+'Anexo 18'!T39*'Anexo 8'!$D$10</f>
        <v>0</v>
      </c>
      <c r="U39" s="33">
        <f>+'Anexo 18'!U39*'Anexo 8'!$D$10</f>
        <v>0</v>
      </c>
      <c r="V39" s="33">
        <f>+'Anexo 18'!V39*'Anexo 8'!$D$10</f>
        <v>0</v>
      </c>
      <c r="W39" s="33">
        <f>+'Anexo 18'!W39*'Anexo 8'!$D$10</f>
        <v>0</v>
      </c>
      <c r="X39" s="33">
        <f>+'Anexo 18'!X39*'Anexo 8'!$D$10</f>
        <v>0</v>
      </c>
      <c r="Y39" s="33">
        <f>+'Anexo 18'!Y39*'Anexo 8'!$D$10</f>
        <v>0</v>
      </c>
      <c r="Z39" s="33">
        <f>+'Anexo 18'!Z39*'Anexo 8'!$D$10</f>
        <v>0</v>
      </c>
      <c r="AA39" s="35">
        <f t="shared" si="0"/>
        <v>0</v>
      </c>
      <c r="AB39" s="19">
        <v>21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+'Anexo 18'!C40*'Anexo 8'!$D$10</f>
        <v>0</v>
      </c>
      <c r="D40" s="33">
        <f>+'Anexo 18'!D40*'Anexo 8'!$D$10</f>
        <v>0</v>
      </c>
      <c r="E40" s="33">
        <f>+'Anexo 18'!E40*'Anexo 8'!$D$10</f>
        <v>0</v>
      </c>
      <c r="F40" s="33">
        <f>+'Anexo 18'!F40*'Anexo 8'!$D$10</f>
        <v>0</v>
      </c>
      <c r="G40" s="33">
        <f>+'Anexo 18'!G40*'Anexo 8'!$D$10</f>
        <v>0</v>
      </c>
      <c r="H40" s="33">
        <f>+'Anexo 18'!H40*'Anexo 8'!$D$10</f>
        <v>0</v>
      </c>
      <c r="I40" s="33">
        <f>+'Anexo 18'!I40*'Anexo 8'!$D$10</f>
        <v>0</v>
      </c>
      <c r="J40" s="33">
        <f>+'Anexo 18'!J40*'Anexo 8'!$D$10</f>
        <v>0</v>
      </c>
      <c r="K40" s="33">
        <f>+'Anexo 18'!K40*'Anexo 8'!$D$10</f>
        <v>0</v>
      </c>
      <c r="L40" s="33">
        <f>+'Anexo 18'!L40*'Anexo 8'!$D$10</f>
        <v>0</v>
      </c>
      <c r="M40" s="33">
        <f>+'Anexo 18'!M40*'Anexo 8'!$D$10</f>
        <v>0</v>
      </c>
      <c r="N40" s="33">
        <f>+'Anexo 18'!N40*'Anexo 8'!$D$10</f>
        <v>0</v>
      </c>
      <c r="O40" s="33">
        <f>+'Anexo 18'!O40*'Anexo 8'!$D$10</f>
        <v>0</v>
      </c>
      <c r="P40" s="33">
        <f>+'Anexo 18'!P40*'Anexo 8'!$D$10</f>
        <v>0</v>
      </c>
      <c r="Q40" s="33">
        <f>+'Anexo 18'!Q40*'Anexo 8'!$D$10</f>
        <v>0</v>
      </c>
      <c r="R40" s="33">
        <f>+'Anexo 18'!R40*'Anexo 8'!$D$10</f>
        <v>0</v>
      </c>
      <c r="S40" s="33">
        <f>+'Anexo 18'!S40*'Anexo 8'!$D$10</f>
        <v>0</v>
      </c>
      <c r="T40" s="33">
        <f>+'Anexo 18'!T40*'Anexo 8'!$D$10</f>
        <v>0</v>
      </c>
      <c r="U40" s="33">
        <f>+'Anexo 18'!U40*'Anexo 8'!$D$10</f>
        <v>0</v>
      </c>
      <c r="V40" s="33">
        <f>+'Anexo 18'!V40*'Anexo 8'!$D$10</f>
        <v>0</v>
      </c>
      <c r="W40" s="33">
        <f>+'Anexo 18'!W40*'Anexo 8'!$D$10</f>
        <v>0</v>
      </c>
      <c r="X40" s="33">
        <f>+'Anexo 18'!X40*'Anexo 8'!$D$10</f>
        <v>0</v>
      </c>
      <c r="Y40" s="33">
        <f>+'Anexo 18'!Y40*'Anexo 8'!$D$10</f>
        <v>0</v>
      </c>
      <c r="Z40" s="33">
        <f>+'Anexo 18'!Z40*'Anexo 8'!$D$10</f>
        <v>0</v>
      </c>
      <c r="AA40" s="38">
        <f t="shared" si="0"/>
        <v>0</v>
      </c>
      <c r="AB40" s="21">
        <v>5</v>
      </c>
      <c r="AC40" s="101"/>
      <c r="AD40" s="47"/>
    </row>
    <row r="41" spans="1:30" ht="15.75" thickBot="1" x14ac:dyDescent="0.3">
      <c r="A41" s="99"/>
      <c r="B41" s="22" t="s">
        <v>3</v>
      </c>
      <c r="C41" s="33">
        <f>+'Anexo 18'!C41*'Anexo 8'!$D$10</f>
        <v>0</v>
      </c>
      <c r="D41" s="33">
        <f>+'Anexo 18'!D41*'Anexo 8'!$D$10</f>
        <v>0</v>
      </c>
      <c r="E41" s="33">
        <f>+'Anexo 18'!E41*'Anexo 8'!$D$10</f>
        <v>0</v>
      </c>
      <c r="F41" s="33">
        <f>+'Anexo 18'!F41*'Anexo 8'!$D$10</f>
        <v>0</v>
      </c>
      <c r="G41" s="33">
        <f>+'Anexo 18'!G41*'Anexo 8'!$D$10</f>
        <v>0</v>
      </c>
      <c r="H41" s="33">
        <f>+'Anexo 18'!H41*'Anexo 8'!$D$10</f>
        <v>0</v>
      </c>
      <c r="I41" s="33">
        <f>+'Anexo 18'!I41*'Anexo 8'!$D$10</f>
        <v>0</v>
      </c>
      <c r="J41" s="33">
        <f>+'Anexo 18'!J41*'Anexo 8'!$D$10</f>
        <v>0</v>
      </c>
      <c r="K41" s="33">
        <f>+'Anexo 18'!K41*'Anexo 8'!$D$10</f>
        <v>0</v>
      </c>
      <c r="L41" s="33">
        <f>+'Anexo 18'!L41*'Anexo 8'!$D$10</f>
        <v>0</v>
      </c>
      <c r="M41" s="33">
        <f>+'Anexo 18'!M41*'Anexo 8'!$D$10</f>
        <v>0</v>
      </c>
      <c r="N41" s="33">
        <f>+'Anexo 18'!N41*'Anexo 8'!$D$10</f>
        <v>0</v>
      </c>
      <c r="O41" s="33">
        <f>+'Anexo 18'!O41*'Anexo 8'!$D$10</f>
        <v>0</v>
      </c>
      <c r="P41" s="33">
        <f>+'Anexo 18'!P41*'Anexo 8'!$D$10</f>
        <v>0</v>
      </c>
      <c r="Q41" s="33">
        <f>+'Anexo 18'!Q41*'Anexo 8'!$D$10</f>
        <v>0</v>
      </c>
      <c r="R41" s="33">
        <f>+'Anexo 18'!R41*'Anexo 8'!$D$10</f>
        <v>0</v>
      </c>
      <c r="S41" s="33">
        <f>+'Anexo 18'!S41*'Anexo 8'!$D$10</f>
        <v>0</v>
      </c>
      <c r="T41" s="33">
        <f>+'Anexo 18'!T41*'Anexo 8'!$D$10</f>
        <v>0</v>
      </c>
      <c r="U41" s="33">
        <f>+'Anexo 18'!U41*'Anexo 8'!$D$10</f>
        <v>0</v>
      </c>
      <c r="V41" s="33">
        <f>+'Anexo 18'!V41*'Anexo 8'!$D$10</f>
        <v>0</v>
      </c>
      <c r="W41" s="33">
        <f>+'Anexo 18'!W41*'Anexo 8'!$D$10</f>
        <v>0</v>
      </c>
      <c r="X41" s="33">
        <f>+'Anexo 18'!X41*'Anexo 8'!$D$10</f>
        <v>0</v>
      </c>
      <c r="Y41" s="33">
        <f>+'Anexo 18'!Y41*'Anexo 8'!$D$10</f>
        <v>0</v>
      </c>
      <c r="Z41" s="33">
        <f>+'Anexo 18'!Z41*'Anexo 8'!$D$10</f>
        <v>0</v>
      </c>
      <c r="AA41" s="41">
        <f t="shared" si="0"/>
        <v>0</v>
      </c>
      <c r="AB41" s="23">
        <v>5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9D99-C6D0-41E6-BFD4-B5FBC053E452}">
  <sheetPr>
    <tabColor rgb="FFFF0000"/>
  </sheetPr>
  <dimension ref="A1:XFC36"/>
  <sheetViews>
    <sheetView showGridLines="0" topLeftCell="A10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9" t="s">
        <v>95</v>
      </c>
      <c r="C3" s="79"/>
      <c r="D3" s="79"/>
      <c r="E3" s="79"/>
      <c r="F3" s="79"/>
      <c r="G3" s="29"/>
    </row>
    <row r="4" spans="1:8" x14ac:dyDescent="0.25">
      <c r="B4" s="79" t="s">
        <v>96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48945</v>
      </c>
      <c r="C10" s="43">
        <f>+'Anexo 19'!AC6</f>
        <v>61548321</v>
      </c>
      <c r="D10" s="76"/>
      <c r="E10" s="57">
        <f>+'Cantidades Ofertadas Prod 9'!AC6</f>
        <v>0</v>
      </c>
      <c r="F10" s="85"/>
      <c r="G10" s="32"/>
      <c r="H10" s="66"/>
    </row>
    <row r="11" spans="1:8" ht="15.75" thickBot="1" x14ac:dyDescent="0.3">
      <c r="A11" s="59">
        <v>29</v>
      </c>
      <c r="B11" s="8">
        <v>48976</v>
      </c>
      <c r="C11" s="43">
        <f>+'Anexo 19'!AC9</f>
        <v>56655828</v>
      </c>
      <c r="D11" s="77"/>
      <c r="E11" s="57">
        <f>+'Cantidades Ofertadas Prod 9'!AC9</f>
        <v>0</v>
      </c>
      <c r="F11" s="86"/>
      <c r="G11" s="32"/>
      <c r="H11" s="66"/>
    </row>
    <row r="12" spans="1:8" ht="15.75" thickBot="1" x14ac:dyDescent="0.3">
      <c r="A12" s="59">
        <v>31</v>
      </c>
      <c r="B12" s="8">
        <v>49004</v>
      </c>
      <c r="C12" s="43">
        <f>+'Anexo 19'!AC12</f>
        <v>61196307</v>
      </c>
      <c r="D12" s="77"/>
      <c r="E12" s="57">
        <f>+'Cantidades Ofertadas Prod 9'!AC12</f>
        <v>0</v>
      </c>
      <c r="F12" s="86"/>
      <c r="G12" s="32"/>
      <c r="H12" s="66"/>
    </row>
    <row r="13" spans="1:8" ht="15.75" thickBot="1" x14ac:dyDescent="0.3">
      <c r="A13" s="59">
        <v>30</v>
      </c>
      <c r="B13" s="8">
        <v>49035</v>
      </c>
      <c r="C13" s="43">
        <f>+'Anexo 19'!AC15</f>
        <v>57504467</v>
      </c>
      <c r="D13" s="77"/>
      <c r="E13" s="57">
        <f>+'Cantidades Ofertadas Prod 9'!AC15</f>
        <v>0</v>
      </c>
      <c r="F13" s="86"/>
      <c r="G13" s="32"/>
      <c r="H13" s="66"/>
    </row>
    <row r="14" spans="1:8" ht="15.75" thickBot="1" x14ac:dyDescent="0.3">
      <c r="A14" s="59">
        <v>31</v>
      </c>
      <c r="B14" s="8">
        <v>49065</v>
      </c>
      <c r="C14" s="43">
        <f>+'Anexo 19'!AC18</f>
        <v>60060004</v>
      </c>
      <c r="D14" s="77"/>
      <c r="E14" s="57">
        <f>+'Cantidades Ofertadas Prod 9'!AC18</f>
        <v>0</v>
      </c>
      <c r="F14" s="86"/>
      <c r="G14" s="32"/>
      <c r="H14" s="66"/>
    </row>
    <row r="15" spans="1:8" ht="15.75" thickBot="1" x14ac:dyDescent="0.3">
      <c r="A15" s="59">
        <v>30</v>
      </c>
      <c r="B15" s="8">
        <v>49096</v>
      </c>
      <c r="C15" s="43">
        <f>+'Anexo 19'!AC21</f>
        <v>58078242</v>
      </c>
      <c r="D15" s="77"/>
      <c r="E15" s="57">
        <f>+'Cantidades Ofertadas Prod 9'!AC21</f>
        <v>0</v>
      </c>
      <c r="F15" s="86"/>
      <c r="G15" s="32"/>
      <c r="H15" s="66"/>
    </row>
    <row r="16" spans="1:8" ht="15.75" thickBot="1" x14ac:dyDescent="0.3">
      <c r="A16" s="59">
        <v>31</v>
      </c>
      <c r="B16" s="8">
        <v>49126</v>
      </c>
      <c r="C16" s="43">
        <f>+'Anexo 19'!AC24</f>
        <v>61281974</v>
      </c>
      <c r="D16" s="77"/>
      <c r="E16" s="57">
        <f>+'Cantidades Ofertadas Prod 9'!AC24</f>
        <v>0</v>
      </c>
      <c r="F16" s="86"/>
      <c r="G16" s="32"/>
      <c r="H16" s="66"/>
    </row>
    <row r="17" spans="1:8" ht="15.75" thickBot="1" x14ac:dyDescent="0.3">
      <c r="A17" s="59">
        <v>31</v>
      </c>
      <c r="B17" s="8">
        <v>49157</v>
      </c>
      <c r="C17" s="43">
        <f>+'Anexo 19'!AC27</f>
        <v>62651300</v>
      </c>
      <c r="D17" s="77"/>
      <c r="E17" s="57">
        <f>+'Cantidades Ofertadas Prod 9'!AC27</f>
        <v>0</v>
      </c>
      <c r="F17" s="86"/>
      <c r="G17" s="32"/>
      <c r="H17" s="66"/>
    </row>
    <row r="18" spans="1:8" ht="15.75" thickBot="1" x14ac:dyDescent="0.3">
      <c r="A18" s="59">
        <v>30</v>
      </c>
      <c r="B18" s="8">
        <v>49188</v>
      </c>
      <c r="C18" s="43">
        <f>+'Anexo 19'!AC30</f>
        <v>61508765</v>
      </c>
      <c r="D18" s="77"/>
      <c r="E18" s="57">
        <f>+'Cantidades Ofertadas Prod 9'!AC30</f>
        <v>0</v>
      </c>
      <c r="F18" s="86"/>
      <c r="G18" s="32"/>
      <c r="H18" s="66"/>
    </row>
    <row r="19" spans="1:8" ht="15.75" thickBot="1" x14ac:dyDescent="0.3">
      <c r="A19" s="59">
        <v>31</v>
      </c>
      <c r="B19" s="8">
        <v>49218</v>
      </c>
      <c r="C19" s="43">
        <f>+'Anexo 19'!AC33</f>
        <v>60792678</v>
      </c>
      <c r="D19" s="77"/>
      <c r="E19" s="57">
        <f>+'Cantidades Ofertadas Prod 9'!AC33</f>
        <v>0</v>
      </c>
      <c r="F19" s="86"/>
      <c r="G19" s="32"/>
      <c r="H19" s="66"/>
    </row>
    <row r="20" spans="1:8" ht="15.75" thickBot="1" x14ac:dyDescent="0.3">
      <c r="A20" s="59">
        <v>30</v>
      </c>
      <c r="B20" s="8">
        <v>49249</v>
      </c>
      <c r="C20" s="43">
        <f>+'Anexo 19'!AC36</f>
        <v>57897610</v>
      </c>
      <c r="D20" s="77"/>
      <c r="E20" s="57">
        <f>+'Cantidades Ofertadas Prod 9'!AC36</f>
        <v>0</v>
      </c>
      <c r="F20" s="86"/>
      <c r="G20" s="32"/>
      <c r="H20" s="66"/>
    </row>
    <row r="21" spans="1:8" ht="15.75" thickBot="1" x14ac:dyDescent="0.3">
      <c r="A21" s="59">
        <v>31</v>
      </c>
      <c r="B21" s="8">
        <v>49279</v>
      </c>
      <c r="C21" s="43">
        <f>+'Anexo 19'!AC39</f>
        <v>61822305</v>
      </c>
      <c r="D21" s="78"/>
      <c r="E21" s="57">
        <f>+'Cantidades Ofertadas Prod 9'!AC39</f>
        <v>0</v>
      </c>
      <c r="F21" s="87"/>
      <c r="G21" s="32"/>
      <c r="H21" s="66"/>
    </row>
    <row r="22" spans="1:8" ht="28.5" customHeight="1" x14ac:dyDescent="0.25">
      <c r="B22" s="9" t="s">
        <v>0</v>
      </c>
      <c r="C22" s="10">
        <f>+SUM(C10:C21)</f>
        <v>720997801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72" t="s">
        <v>46</v>
      </c>
      <c r="C25" s="72"/>
      <c r="D25" s="72"/>
      <c r="E25" s="72"/>
      <c r="F25" s="72"/>
      <c r="G25" s="72"/>
      <c r="H25" s="42"/>
    </row>
    <row r="26" spans="1:8" x14ac:dyDescent="0.25">
      <c r="B26" s="7" t="s">
        <v>107</v>
      </c>
      <c r="C26" s="52"/>
      <c r="D26" s="52"/>
      <c r="E26" s="52"/>
      <c r="F26" s="52"/>
      <c r="G26" s="52"/>
      <c r="H26" s="42"/>
    </row>
    <row r="27" spans="1:8" x14ac:dyDescent="0.25">
      <c r="B27" s="7" t="s">
        <v>108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139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1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2620857E-C02F-4839-9BF1-F72D4555919B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073C-FA79-4C0F-861A-0A86754EEA1F}">
  <sheetPr>
    <tabColor rgb="FFFF0000"/>
  </sheetPr>
  <dimension ref="A1:H33"/>
  <sheetViews>
    <sheetView showGridLines="0" topLeftCell="A8" zoomScaleNormal="100" zoomScaleSheetLayoutView="140" workbookViewId="0">
      <selection activeCell="D10" sqref="D10:D21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9" t="s">
        <v>116</v>
      </c>
      <c r="C3" s="79"/>
      <c r="D3" s="79"/>
      <c r="E3" s="79"/>
      <c r="F3" s="79"/>
      <c r="G3" s="29"/>
    </row>
    <row r="4" spans="1:8" ht="15" x14ac:dyDescent="0.25">
      <c r="B4" s="79" t="s">
        <v>96</v>
      </c>
      <c r="C4" s="79"/>
      <c r="D4" s="79"/>
      <c r="E4" s="79"/>
      <c r="F4" s="79"/>
      <c r="G4" s="29"/>
    </row>
    <row r="5" spans="1:8" ht="15" x14ac:dyDescent="0.25">
      <c r="B5" s="79" t="s">
        <v>89</v>
      </c>
      <c r="C5" s="79"/>
      <c r="D5" s="79"/>
      <c r="E5" s="79"/>
      <c r="F5" s="79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82305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48945</v>
      </c>
      <c r="C10" s="43">
        <f>+$A$9*A10*24</f>
        <v>61234920</v>
      </c>
      <c r="D10" s="82"/>
      <c r="E10" s="57">
        <f>+$D$10*A10*24</f>
        <v>0</v>
      </c>
      <c r="F10" s="73"/>
      <c r="G10" s="32"/>
      <c r="H10" s="51"/>
    </row>
    <row r="11" spans="1:8" ht="15.75" thickBot="1" x14ac:dyDescent="0.3">
      <c r="A11" s="59">
        <v>28</v>
      </c>
      <c r="B11" s="8">
        <v>48976</v>
      </c>
      <c r="C11" s="43">
        <f t="shared" ref="C11:C21" si="0">+$A$9*A11*24</f>
        <v>55308960</v>
      </c>
      <c r="D11" s="83"/>
      <c r="E11" s="57">
        <f t="shared" ref="E11:E21" si="1">+$D$10*A11*24</f>
        <v>0</v>
      </c>
      <c r="F11" s="74"/>
      <c r="G11" s="32"/>
      <c r="H11" s="51"/>
    </row>
    <row r="12" spans="1:8" ht="15.75" thickBot="1" x14ac:dyDescent="0.3">
      <c r="A12" s="59">
        <v>31</v>
      </c>
      <c r="B12" s="8">
        <v>49004</v>
      </c>
      <c r="C12" s="43">
        <f t="shared" si="0"/>
        <v>61234920</v>
      </c>
      <c r="D12" s="83"/>
      <c r="E12" s="57">
        <f t="shared" si="1"/>
        <v>0</v>
      </c>
      <c r="F12" s="74"/>
      <c r="G12" s="32"/>
      <c r="H12" s="51"/>
    </row>
    <row r="13" spans="1:8" ht="15.75" thickBot="1" x14ac:dyDescent="0.3">
      <c r="A13" s="59">
        <v>30</v>
      </c>
      <c r="B13" s="8">
        <v>49035</v>
      </c>
      <c r="C13" s="43">
        <f t="shared" si="0"/>
        <v>59259600</v>
      </c>
      <c r="D13" s="83"/>
      <c r="E13" s="57">
        <f t="shared" si="1"/>
        <v>0</v>
      </c>
      <c r="F13" s="74"/>
      <c r="G13" s="32"/>
      <c r="H13" s="51"/>
    </row>
    <row r="14" spans="1:8" ht="15.75" thickBot="1" x14ac:dyDescent="0.3">
      <c r="A14" s="59">
        <v>31</v>
      </c>
      <c r="B14" s="8">
        <v>49065</v>
      </c>
      <c r="C14" s="43">
        <f t="shared" si="0"/>
        <v>61234920</v>
      </c>
      <c r="D14" s="83"/>
      <c r="E14" s="57">
        <f t="shared" si="1"/>
        <v>0</v>
      </c>
      <c r="F14" s="74"/>
      <c r="G14" s="32"/>
      <c r="H14" s="51"/>
    </row>
    <row r="15" spans="1:8" ht="15.75" thickBot="1" x14ac:dyDescent="0.3">
      <c r="A15" s="59">
        <v>30</v>
      </c>
      <c r="B15" s="8">
        <v>49096</v>
      </c>
      <c r="C15" s="43">
        <f t="shared" si="0"/>
        <v>59259600</v>
      </c>
      <c r="D15" s="83"/>
      <c r="E15" s="57">
        <f t="shared" si="1"/>
        <v>0</v>
      </c>
      <c r="F15" s="74"/>
      <c r="G15" s="32"/>
      <c r="H15" s="51"/>
    </row>
    <row r="16" spans="1:8" ht="15.75" thickBot="1" x14ac:dyDescent="0.3">
      <c r="A16" s="59">
        <v>31</v>
      </c>
      <c r="B16" s="8">
        <v>49126</v>
      </c>
      <c r="C16" s="43">
        <f t="shared" si="0"/>
        <v>61234920</v>
      </c>
      <c r="D16" s="83"/>
      <c r="E16" s="57">
        <f t="shared" si="1"/>
        <v>0</v>
      </c>
      <c r="F16" s="74"/>
      <c r="G16" s="32"/>
      <c r="H16" s="51"/>
    </row>
    <row r="17" spans="1:8" ht="15.75" thickBot="1" x14ac:dyDescent="0.3">
      <c r="A17" s="59">
        <v>31</v>
      </c>
      <c r="B17" s="8">
        <v>49157</v>
      </c>
      <c r="C17" s="43">
        <f t="shared" si="0"/>
        <v>61234920</v>
      </c>
      <c r="D17" s="83"/>
      <c r="E17" s="57">
        <f t="shared" si="1"/>
        <v>0</v>
      </c>
      <c r="F17" s="74"/>
      <c r="G17" s="32"/>
      <c r="H17" s="51"/>
    </row>
    <row r="18" spans="1:8" ht="15.75" thickBot="1" x14ac:dyDescent="0.3">
      <c r="A18" s="59">
        <v>30</v>
      </c>
      <c r="B18" s="8">
        <v>49188</v>
      </c>
      <c r="C18" s="43">
        <f t="shared" si="0"/>
        <v>59259600</v>
      </c>
      <c r="D18" s="83"/>
      <c r="E18" s="57">
        <f t="shared" si="1"/>
        <v>0</v>
      </c>
      <c r="F18" s="74"/>
      <c r="G18" s="32"/>
      <c r="H18" s="51"/>
    </row>
    <row r="19" spans="1:8" ht="15.75" thickBot="1" x14ac:dyDescent="0.3">
      <c r="A19" s="59">
        <v>31</v>
      </c>
      <c r="B19" s="8">
        <v>49218</v>
      </c>
      <c r="C19" s="43">
        <f t="shared" si="0"/>
        <v>61234920</v>
      </c>
      <c r="D19" s="83"/>
      <c r="E19" s="57">
        <f t="shared" si="1"/>
        <v>0</v>
      </c>
      <c r="F19" s="74"/>
      <c r="G19" s="32"/>
      <c r="H19" s="51"/>
    </row>
    <row r="20" spans="1:8" ht="15.75" thickBot="1" x14ac:dyDescent="0.3">
      <c r="A20" s="59">
        <v>30</v>
      </c>
      <c r="B20" s="8">
        <v>49249</v>
      </c>
      <c r="C20" s="43">
        <f t="shared" si="0"/>
        <v>59259600</v>
      </c>
      <c r="D20" s="83"/>
      <c r="E20" s="57">
        <f t="shared" si="1"/>
        <v>0</v>
      </c>
      <c r="F20" s="74"/>
      <c r="G20" s="32"/>
      <c r="H20" s="51"/>
    </row>
    <row r="21" spans="1:8" ht="15.75" thickBot="1" x14ac:dyDescent="0.3">
      <c r="A21" s="59">
        <v>31</v>
      </c>
      <c r="B21" s="8">
        <v>49279</v>
      </c>
      <c r="C21" s="43">
        <f t="shared" si="0"/>
        <v>61234920</v>
      </c>
      <c r="D21" s="84"/>
      <c r="E21" s="57">
        <f t="shared" si="1"/>
        <v>0</v>
      </c>
      <c r="F21" s="75"/>
      <c r="G21" s="32"/>
      <c r="H21" s="51"/>
    </row>
    <row r="22" spans="1:8" ht="28.5" customHeight="1" x14ac:dyDescent="0.25">
      <c r="B22" s="9" t="s">
        <v>0</v>
      </c>
      <c r="C22" s="10">
        <f>+SUM(C10:C21)</f>
        <v>720991800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130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72" t="s">
        <v>68</v>
      </c>
      <c r="C26" s="72"/>
      <c r="D26" s="72"/>
      <c r="E26" s="72"/>
      <c r="F26" s="72"/>
      <c r="G26" s="72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operator="lessThanOrEqual" allowBlank="1" showInputMessage="1" showErrorMessage="1" errorTitle="Dato no valido" error="Debe ingresar un valor entre 0 y 82.305" prompt="debe ofertar maximo 82.305 kWh" sqref="D10:D21" xr:uid="{D64F6567-59F9-4712-8C13-10BA76C1A612}">
      <formula1>+A9</formula1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C969-B867-4E69-8FD5-ADE9AA7F63F0}">
  <sheetPr>
    <tabColor rgb="FFFF0000"/>
  </sheetPr>
  <dimension ref="A1:AD45"/>
  <sheetViews>
    <sheetView showGridLines="0" zoomScale="115" zoomScaleNormal="115" zoomScaleSheetLayoutView="110" workbookViewId="0">
      <pane xSplit="2" ySplit="5" topLeftCell="M32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7" width="9" bestFit="1" customWidth="1"/>
    <col min="8" max="8" width="8.7109375" bestFit="1" customWidth="1"/>
    <col min="9" max="11" width="9.28515625" bestFit="1" customWidth="1"/>
    <col min="12" max="12" width="9" bestFit="1" customWidth="1"/>
    <col min="13" max="13" width="8.7109375" bestFit="1" customWidth="1"/>
    <col min="14" max="14" width="9" bestFit="1" customWidth="1"/>
    <col min="15" max="15" width="9.28515625" bestFit="1" customWidth="1"/>
    <col min="16" max="16" width="9" bestFit="1" customWidth="1"/>
    <col min="17" max="18" width="9.28515625" bestFit="1" customWidth="1"/>
    <col min="19" max="19" width="9" bestFit="1" customWidth="1"/>
    <col min="20" max="20" width="9.28515625" bestFit="1" customWidth="1"/>
    <col min="21" max="21" width="8.42578125" bestFit="1" customWidth="1"/>
    <col min="22" max="22" width="9" bestFit="1" customWidth="1"/>
    <col min="23" max="24" width="9.28515625" bestFit="1" customWidth="1"/>
    <col min="25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91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48945</v>
      </c>
      <c r="B6" s="18" t="s">
        <v>5</v>
      </c>
      <c r="C6" s="33">
        <v>66978</v>
      </c>
      <c r="D6" s="33">
        <v>63107</v>
      </c>
      <c r="E6" s="33">
        <v>60778</v>
      </c>
      <c r="F6" s="33">
        <v>59574</v>
      </c>
      <c r="G6" s="33">
        <v>60406</v>
      </c>
      <c r="H6" s="33">
        <v>64004</v>
      </c>
      <c r="I6" s="33">
        <v>67425</v>
      </c>
      <c r="J6" s="33">
        <v>73829</v>
      </c>
      <c r="K6" s="33">
        <v>81032</v>
      </c>
      <c r="L6" s="33">
        <v>86489</v>
      </c>
      <c r="M6" s="33">
        <v>92046</v>
      </c>
      <c r="N6" s="33">
        <v>97288</v>
      </c>
      <c r="O6" s="33">
        <v>96398</v>
      </c>
      <c r="P6" s="33">
        <v>96513</v>
      </c>
      <c r="Q6" s="33">
        <v>98121</v>
      </c>
      <c r="R6" s="33">
        <v>98428</v>
      </c>
      <c r="S6" s="33">
        <v>97302</v>
      </c>
      <c r="T6" s="33">
        <v>95195</v>
      </c>
      <c r="U6" s="33">
        <v>102191</v>
      </c>
      <c r="V6" s="33">
        <v>108018</v>
      </c>
      <c r="W6" s="33">
        <v>104100</v>
      </c>
      <c r="X6" s="33">
        <v>97231</v>
      </c>
      <c r="Y6" s="33">
        <v>86190</v>
      </c>
      <c r="Z6" s="34">
        <v>75038</v>
      </c>
      <c r="AA6" s="35">
        <f>SUM(C6:Z6)</f>
        <v>2027681</v>
      </c>
      <c r="AB6" s="19">
        <v>21</v>
      </c>
      <c r="AC6" s="100">
        <f>+AA6*AB6+AA7*AB7+AA8*AB8</f>
        <v>61548321</v>
      </c>
    </row>
    <row r="7" spans="1:30" ht="15.75" thickBot="1" x14ac:dyDescent="0.3">
      <c r="A7" s="99"/>
      <c r="B7" s="20" t="s">
        <v>4</v>
      </c>
      <c r="C7" s="36">
        <v>68594</v>
      </c>
      <c r="D7" s="36">
        <v>63012</v>
      </c>
      <c r="E7" s="36">
        <v>60395</v>
      </c>
      <c r="F7" s="36">
        <v>58744</v>
      </c>
      <c r="G7" s="36">
        <v>58797</v>
      </c>
      <c r="H7" s="36">
        <v>60772</v>
      </c>
      <c r="I7" s="36">
        <v>63074</v>
      </c>
      <c r="J7" s="36">
        <v>69463</v>
      </c>
      <c r="K7" s="36">
        <v>77363</v>
      </c>
      <c r="L7" s="36">
        <v>83326</v>
      </c>
      <c r="M7" s="36">
        <v>87793</v>
      </c>
      <c r="N7" s="36">
        <v>92212</v>
      </c>
      <c r="O7" s="36">
        <v>92690</v>
      </c>
      <c r="P7" s="36">
        <v>91780</v>
      </c>
      <c r="Q7" s="36">
        <v>90782</v>
      </c>
      <c r="R7" s="36">
        <v>90296</v>
      </c>
      <c r="S7" s="36">
        <v>89615</v>
      </c>
      <c r="T7" s="36">
        <v>89528</v>
      </c>
      <c r="U7" s="36">
        <v>98134</v>
      </c>
      <c r="V7" s="36">
        <v>104263</v>
      </c>
      <c r="W7" s="36">
        <v>100071</v>
      </c>
      <c r="X7" s="36">
        <v>93823</v>
      </c>
      <c r="Y7" s="36">
        <v>84956</v>
      </c>
      <c r="Z7" s="37">
        <v>76071</v>
      </c>
      <c r="AA7" s="38">
        <f t="shared" ref="AA7:AA41" si="0">SUM(C7:Z7)</f>
        <v>1945554</v>
      </c>
      <c r="AB7" s="21">
        <v>4</v>
      </c>
      <c r="AC7" s="101"/>
      <c r="AD7" s="47"/>
    </row>
    <row r="8" spans="1:30" x14ac:dyDescent="0.25">
      <c r="A8" s="99"/>
      <c r="B8" s="22" t="s">
        <v>3</v>
      </c>
      <c r="C8" s="39">
        <v>71908</v>
      </c>
      <c r="D8" s="39">
        <v>67184</v>
      </c>
      <c r="E8" s="39">
        <v>64052</v>
      </c>
      <c r="F8" s="39">
        <v>61840</v>
      </c>
      <c r="G8" s="39">
        <v>60762</v>
      </c>
      <c r="H8" s="39">
        <v>61186</v>
      </c>
      <c r="I8" s="39">
        <v>60586</v>
      </c>
      <c r="J8" s="39">
        <v>64164</v>
      </c>
      <c r="K8" s="39">
        <v>70290</v>
      </c>
      <c r="L8" s="39">
        <v>75689</v>
      </c>
      <c r="M8" s="39">
        <v>79673</v>
      </c>
      <c r="N8" s="39">
        <v>83821</v>
      </c>
      <c r="O8" s="39">
        <v>86277</v>
      </c>
      <c r="P8" s="39">
        <v>85985</v>
      </c>
      <c r="Q8" s="39">
        <v>84423</v>
      </c>
      <c r="R8" s="39">
        <v>83523</v>
      </c>
      <c r="S8" s="39">
        <v>83071</v>
      </c>
      <c r="T8" s="39">
        <v>83522</v>
      </c>
      <c r="U8" s="39">
        <v>93089</v>
      </c>
      <c r="V8" s="39">
        <v>99920</v>
      </c>
      <c r="W8" s="39">
        <v>97134</v>
      </c>
      <c r="X8" s="39">
        <v>91178</v>
      </c>
      <c r="Y8" s="39">
        <v>81995</v>
      </c>
      <c r="Z8" s="40">
        <v>72862</v>
      </c>
      <c r="AA8" s="41">
        <f t="shared" si="0"/>
        <v>1864134</v>
      </c>
      <c r="AB8" s="23">
        <v>6</v>
      </c>
      <c r="AC8" s="102"/>
      <c r="AD8" s="48"/>
    </row>
    <row r="9" spans="1:30" ht="15.75" thickBot="1" x14ac:dyDescent="0.3">
      <c r="A9" s="99">
        <v>48976</v>
      </c>
      <c r="B9" s="18" t="s">
        <v>5</v>
      </c>
      <c r="C9" s="33">
        <v>67370</v>
      </c>
      <c r="D9" s="33">
        <v>63645</v>
      </c>
      <c r="E9" s="33">
        <v>61503</v>
      </c>
      <c r="F9" s="33">
        <v>60450</v>
      </c>
      <c r="G9" s="33">
        <v>61669</v>
      </c>
      <c r="H9" s="33">
        <v>67253</v>
      </c>
      <c r="I9" s="33">
        <v>71702</v>
      </c>
      <c r="J9" s="33">
        <v>76533</v>
      </c>
      <c r="K9" s="33">
        <v>82942</v>
      </c>
      <c r="L9" s="33">
        <v>87744</v>
      </c>
      <c r="M9" s="33">
        <v>92991</v>
      </c>
      <c r="N9" s="33">
        <v>97853</v>
      </c>
      <c r="O9" s="33">
        <v>95900</v>
      </c>
      <c r="P9" s="33">
        <v>96643</v>
      </c>
      <c r="Q9" s="33">
        <v>98901</v>
      </c>
      <c r="R9" s="33">
        <v>99308</v>
      </c>
      <c r="S9" s="33">
        <v>98200</v>
      </c>
      <c r="T9" s="33">
        <v>95637</v>
      </c>
      <c r="U9" s="33">
        <v>100975</v>
      </c>
      <c r="V9" s="33">
        <v>108621</v>
      </c>
      <c r="W9" s="33">
        <v>104855</v>
      </c>
      <c r="X9" s="33">
        <v>97662</v>
      </c>
      <c r="Y9" s="33">
        <v>86313</v>
      </c>
      <c r="Z9" s="34">
        <v>75021</v>
      </c>
      <c r="AA9" s="35">
        <f t="shared" si="0"/>
        <v>2049691</v>
      </c>
      <c r="AB9" s="19">
        <v>20</v>
      </c>
      <c r="AC9" s="100">
        <f>+AA9*AB9+AA10*AB10+AA11*AB11</f>
        <v>56655828</v>
      </c>
    </row>
    <row r="10" spans="1:30" ht="15.75" thickBot="1" x14ac:dyDescent="0.3">
      <c r="A10" s="99"/>
      <c r="B10" s="20" t="s">
        <v>4</v>
      </c>
      <c r="C10" s="36">
        <v>69864</v>
      </c>
      <c r="D10" s="36">
        <v>64495</v>
      </c>
      <c r="E10" s="36">
        <v>61889</v>
      </c>
      <c r="F10" s="36">
        <v>60392</v>
      </c>
      <c r="G10" s="36">
        <v>60569</v>
      </c>
      <c r="H10" s="36">
        <v>62693</v>
      </c>
      <c r="I10" s="36">
        <v>66093</v>
      </c>
      <c r="J10" s="36">
        <v>72477</v>
      </c>
      <c r="K10" s="36">
        <v>80684</v>
      </c>
      <c r="L10" s="36">
        <v>86398</v>
      </c>
      <c r="M10" s="36">
        <v>90941</v>
      </c>
      <c r="N10" s="36">
        <v>95352</v>
      </c>
      <c r="O10" s="36">
        <v>95474</v>
      </c>
      <c r="P10" s="36">
        <v>94250</v>
      </c>
      <c r="Q10" s="36">
        <v>93203</v>
      </c>
      <c r="R10" s="36">
        <v>92629</v>
      </c>
      <c r="S10" s="36">
        <v>91841</v>
      </c>
      <c r="T10" s="36">
        <v>91554</v>
      </c>
      <c r="U10" s="36">
        <v>98515</v>
      </c>
      <c r="V10" s="36">
        <v>106059</v>
      </c>
      <c r="W10" s="36">
        <v>101905</v>
      </c>
      <c r="X10" s="36">
        <v>96003</v>
      </c>
      <c r="Y10" s="36">
        <v>87566</v>
      </c>
      <c r="Z10" s="37">
        <v>78191</v>
      </c>
      <c r="AA10" s="38">
        <f t="shared" si="0"/>
        <v>1999037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72562</v>
      </c>
      <c r="D11" s="39">
        <v>67874</v>
      </c>
      <c r="E11" s="39">
        <v>65017</v>
      </c>
      <c r="F11" s="39">
        <v>62871</v>
      </c>
      <c r="G11" s="39">
        <v>62186</v>
      </c>
      <c r="H11" s="39">
        <v>62829</v>
      </c>
      <c r="I11" s="39">
        <v>63343</v>
      </c>
      <c r="J11" s="39">
        <v>67540</v>
      </c>
      <c r="K11" s="39">
        <v>74259</v>
      </c>
      <c r="L11" s="39">
        <v>79760</v>
      </c>
      <c r="M11" s="39">
        <v>83404</v>
      </c>
      <c r="N11" s="39">
        <v>87344</v>
      </c>
      <c r="O11" s="39">
        <v>89552</v>
      </c>
      <c r="P11" s="39">
        <v>88831</v>
      </c>
      <c r="Q11" s="39">
        <v>87073</v>
      </c>
      <c r="R11" s="39">
        <v>86006</v>
      </c>
      <c r="S11" s="39">
        <v>85469</v>
      </c>
      <c r="T11" s="39">
        <v>85921</v>
      </c>
      <c r="U11" s="39">
        <v>93550</v>
      </c>
      <c r="V11" s="39">
        <v>102043</v>
      </c>
      <c r="W11" s="39">
        <v>99451</v>
      </c>
      <c r="X11" s="39">
        <v>93280</v>
      </c>
      <c r="Y11" s="39">
        <v>83146</v>
      </c>
      <c r="Z11" s="40">
        <v>73154</v>
      </c>
      <c r="AA11" s="41">
        <f t="shared" si="0"/>
        <v>1916465</v>
      </c>
      <c r="AB11" s="23">
        <v>4</v>
      </c>
      <c r="AC11" s="102"/>
      <c r="AD11" s="48"/>
    </row>
    <row r="12" spans="1:30" ht="15.75" thickBot="1" x14ac:dyDescent="0.3">
      <c r="A12" s="99">
        <v>49004</v>
      </c>
      <c r="B12" s="18" t="s">
        <v>5</v>
      </c>
      <c r="C12" s="33">
        <v>65938</v>
      </c>
      <c r="D12" s="33">
        <v>62372</v>
      </c>
      <c r="E12" s="33">
        <v>60397</v>
      </c>
      <c r="F12" s="33">
        <v>59408</v>
      </c>
      <c r="G12" s="33">
        <v>60720</v>
      </c>
      <c r="H12" s="33">
        <v>66196</v>
      </c>
      <c r="I12" s="33">
        <v>70032</v>
      </c>
      <c r="J12" s="33">
        <v>75378</v>
      </c>
      <c r="K12" s="33">
        <v>81532</v>
      </c>
      <c r="L12" s="33">
        <v>86144</v>
      </c>
      <c r="M12" s="33">
        <v>91056</v>
      </c>
      <c r="N12" s="33">
        <v>95487</v>
      </c>
      <c r="O12" s="33">
        <v>93722</v>
      </c>
      <c r="P12" s="33">
        <v>94112</v>
      </c>
      <c r="Q12" s="33">
        <v>96054</v>
      </c>
      <c r="R12" s="33">
        <v>96370</v>
      </c>
      <c r="S12" s="33">
        <v>95527</v>
      </c>
      <c r="T12" s="33">
        <v>93722</v>
      </c>
      <c r="U12" s="33">
        <v>100385</v>
      </c>
      <c r="V12" s="33">
        <v>106908</v>
      </c>
      <c r="W12" s="33">
        <v>103024</v>
      </c>
      <c r="X12" s="33">
        <v>95710</v>
      </c>
      <c r="Y12" s="33">
        <v>84589</v>
      </c>
      <c r="Z12" s="34">
        <v>73610</v>
      </c>
      <c r="AA12" s="35">
        <f t="shared" si="0"/>
        <v>2008393</v>
      </c>
      <c r="AB12" s="19">
        <v>22</v>
      </c>
      <c r="AC12" s="100">
        <f>+AA12*AB12+AA13*AB13+AA14*AB14</f>
        <v>61196307</v>
      </c>
    </row>
    <row r="13" spans="1:30" ht="15.75" thickBot="1" x14ac:dyDescent="0.3">
      <c r="A13" s="99"/>
      <c r="B13" s="20" t="s">
        <v>4</v>
      </c>
      <c r="C13" s="36">
        <v>68016</v>
      </c>
      <c r="D13" s="36">
        <v>62693</v>
      </c>
      <c r="E13" s="36">
        <v>60544</v>
      </c>
      <c r="F13" s="36">
        <v>59316</v>
      </c>
      <c r="G13" s="36">
        <v>59389</v>
      </c>
      <c r="H13" s="36">
        <v>61645</v>
      </c>
      <c r="I13" s="36">
        <v>63612</v>
      </c>
      <c r="J13" s="36">
        <v>70614</v>
      </c>
      <c r="K13" s="36">
        <v>78229</v>
      </c>
      <c r="L13" s="36">
        <v>83747</v>
      </c>
      <c r="M13" s="36">
        <v>88130</v>
      </c>
      <c r="N13" s="36">
        <v>91783</v>
      </c>
      <c r="O13" s="36">
        <v>91710</v>
      </c>
      <c r="P13" s="36">
        <v>90409</v>
      </c>
      <c r="Q13" s="36">
        <v>89434</v>
      </c>
      <c r="R13" s="36">
        <v>88700</v>
      </c>
      <c r="S13" s="36">
        <v>87749</v>
      </c>
      <c r="T13" s="36">
        <v>87814</v>
      </c>
      <c r="U13" s="36">
        <v>95758</v>
      </c>
      <c r="V13" s="36">
        <v>101793</v>
      </c>
      <c r="W13" s="36">
        <v>97849</v>
      </c>
      <c r="X13" s="36">
        <v>92206</v>
      </c>
      <c r="Y13" s="36">
        <v>83810</v>
      </c>
      <c r="Z13" s="37">
        <v>75329</v>
      </c>
      <c r="AA13" s="38">
        <f t="shared" si="0"/>
        <v>1930279</v>
      </c>
      <c r="AB13" s="21">
        <v>4</v>
      </c>
      <c r="AC13" s="101"/>
      <c r="AD13" s="47"/>
    </row>
    <row r="14" spans="1:30" x14ac:dyDescent="0.25">
      <c r="A14" s="99"/>
      <c r="B14" s="22" t="s">
        <v>3</v>
      </c>
      <c r="C14" s="39">
        <v>70095</v>
      </c>
      <c r="D14" s="39">
        <v>65562</v>
      </c>
      <c r="E14" s="39">
        <v>62896</v>
      </c>
      <c r="F14" s="39">
        <v>61088</v>
      </c>
      <c r="G14" s="39">
        <v>60338</v>
      </c>
      <c r="H14" s="39">
        <v>61227</v>
      </c>
      <c r="I14" s="39">
        <v>61004</v>
      </c>
      <c r="J14" s="39">
        <v>65538</v>
      </c>
      <c r="K14" s="39">
        <v>71713</v>
      </c>
      <c r="L14" s="39">
        <v>76691</v>
      </c>
      <c r="M14" s="39">
        <v>80162</v>
      </c>
      <c r="N14" s="39">
        <v>84107</v>
      </c>
      <c r="O14" s="39">
        <v>86456</v>
      </c>
      <c r="P14" s="39">
        <v>85800</v>
      </c>
      <c r="Q14" s="39">
        <v>83997</v>
      </c>
      <c r="R14" s="39">
        <v>83192</v>
      </c>
      <c r="S14" s="39">
        <v>82669</v>
      </c>
      <c r="T14" s="39">
        <v>83315</v>
      </c>
      <c r="U14" s="39">
        <v>92058</v>
      </c>
      <c r="V14" s="39">
        <v>99306</v>
      </c>
      <c r="W14" s="39">
        <v>96511</v>
      </c>
      <c r="X14" s="39">
        <v>90726</v>
      </c>
      <c r="Y14" s="39">
        <v>81314</v>
      </c>
      <c r="Z14" s="40">
        <v>72344</v>
      </c>
      <c r="AA14" s="41">
        <f t="shared" si="0"/>
        <v>1858109</v>
      </c>
      <c r="AB14" s="23">
        <v>5</v>
      </c>
      <c r="AC14" s="102"/>
      <c r="AD14" s="45"/>
    </row>
    <row r="15" spans="1:30" ht="15.75" thickBot="1" x14ac:dyDescent="0.3">
      <c r="A15" s="99">
        <v>49035</v>
      </c>
      <c r="B15" s="18" t="s">
        <v>5</v>
      </c>
      <c r="C15" s="33">
        <v>64418</v>
      </c>
      <c r="D15" s="33">
        <v>61003</v>
      </c>
      <c r="E15" s="33">
        <v>58949</v>
      </c>
      <c r="F15" s="33">
        <v>57995</v>
      </c>
      <c r="G15" s="33">
        <v>59202</v>
      </c>
      <c r="H15" s="33">
        <v>63618</v>
      </c>
      <c r="I15" s="33">
        <v>66869</v>
      </c>
      <c r="J15" s="33">
        <v>72760</v>
      </c>
      <c r="K15" s="33">
        <v>78914</v>
      </c>
      <c r="L15" s="33">
        <v>83734</v>
      </c>
      <c r="M15" s="33">
        <v>88821</v>
      </c>
      <c r="N15" s="33">
        <v>93432</v>
      </c>
      <c r="O15" s="33">
        <v>91785</v>
      </c>
      <c r="P15" s="33">
        <v>92207</v>
      </c>
      <c r="Q15" s="33">
        <v>94031</v>
      </c>
      <c r="R15" s="33">
        <v>94218</v>
      </c>
      <c r="S15" s="33">
        <v>93270</v>
      </c>
      <c r="T15" s="33">
        <v>91891</v>
      </c>
      <c r="U15" s="33">
        <v>99913</v>
      </c>
      <c r="V15" s="33">
        <v>104684</v>
      </c>
      <c r="W15" s="33">
        <v>101000</v>
      </c>
      <c r="X15" s="33">
        <v>93616</v>
      </c>
      <c r="Y15" s="33">
        <v>82440</v>
      </c>
      <c r="Z15" s="34">
        <v>71750</v>
      </c>
      <c r="AA15" s="35">
        <f t="shared" si="0"/>
        <v>1960520</v>
      </c>
      <c r="AB15" s="19">
        <v>18</v>
      </c>
      <c r="AC15" s="100">
        <f>+AA15*AB15+AA16*AB16+AA17*AB17</f>
        <v>57504467</v>
      </c>
    </row>
    <row r="16" spans="1:30" ht="15.75" thickBot="1" x14ac:dyDescent="0.3">
      <c r="A16" s="99"/>
      <c r="B16" s="20" t="s">
        <v>4</v>
      </c>
      <c r="C16" s="36">
        <v>65791</v>
      </c>
      <c r="D16" s="36">
        <v>60728</v>
      </c>
      <c r="E16" s="36">
        <v>58269</v>
      </c>
      <c r="F16" s="36">
        <v>56818</v>
      </c>
      <c r="G16" s="36">
        <v>57085</v>
      </c>
      <c r="H16" s="36">
        <v>58724</v>
      </c>
      <c r="I16" s="36">
        <v>60787</v>
      </c>
      <c r="J16" s="36">
        <v>68097</v>
      </c>
      <c r="K16" s="36">
        <v>75594</v>
      </c>
      <c r="L16" s="36">
        <v>81283</v>
      </c>
      <c r="M16" s="36">
        <v>85394</v>
      </c>
      <c r="N16" s="36">
        <v>90059</v>
      </c>
      <c r="O16" s="36">
        <v>90345</v>
      </c>
      <c r="P16" s="36">
        <v>89258</v>
      </c>
      <c r="Q16" s="36">
        <v>88270</v>
      </c>
      <c r="R16" s="36">
        <v>87588</v>
      </c>
      <c r="S16" s="36">
        <v>87341</v>
      </c>
      <c r="T16" s="36">
        <v>87759</v>
      </c>
      <c r="U16" s="36">
        <v>96712</v>
      </c>
      <c r="V16" s="36">
        <v>101662</v>
      </c>
      <c r="W16" s="36">
        <v>97500</v>
      </c>
      <c r="X16" s="36">
        <v>91463</v>
      </c>
      <c r="Y16" s="36">
        <v>82959</v>
      </c>
      <c r="Z16" s="37">
        <v>74281</v>
      </c>
      <c r="AA16" s="38">
        <f t="shared" si="0"/>
        <v>1893767</v>
      </c>
      <c r="AB16" s="21">
        <v>5</v>
      </c>
      <c r="AC16" s="101"/>
      <c r="AD16" s="47"/>
    </row>
    <row r="17" spans="1:30" x14ac:dyDescent="0.25">
      <c r="A17" s="99"/>
      <c r="B17" s="22" t="s">
        <v>3</v>
      </c>
      <c r="C17" s="39">
        <v>68562</v>
      </c>
      <c r="D17" s="39">
        <v>64188</v>
      </c>
      <c r="E17" s="39">
        <v>61359</v>
      </c>
      <c r="F17" s="39">
        <v>59435</v>
      </c>
      <c r="G17" s="39">
        <v>58689</v>
      </c>
      <c r="H17" s="39">
        <v>58590</v>
      </c>
      <c r="I17" s="39">
        <v>59046</v>
      </c>
      <c r="J17" s="39">
        <v>64162</v>
      </c>
      <c r="K17" s="39">
        <v>70147</v>
      </c>
      <c r="L17" s="39">
        <v>75401</v>
      </c>
      <c r="M17" s="39">
        <v>79139</v>
      </c>
      <c r="N17" s="39">
        <v>82949</v>
      </c>
      <c r="O17" s="39">
        <v>85165</v>
      </c>
      <c r="P17" s="39">
        <v>84553</v>
      </c>
      <c r="Q17" s="39">
        <v>82640</v>
      </c>
      <c r="R17" s="39">
        <v>81738</v>
      </c>
      <c r="S17" s="39">
        <v>81221</v>
      </c>
      <c r="T17" s="39">
        <v>81955</v>
      </c>
      <c r="U17" s="39">
        <v>91698</v>
      </c>
      <c r="V17" s="39">
        <v>97530</v>
      </c>
      <c r="W17" s="39">
        <v>94476</v>
      </c>
      <c r="X17" s="39">
        <v>88523</v>
      </c>
      <c r="Y17" s="39">
        <v>79408</v>
      </c>
      <c r="Z17" s="40">
        <v>70322</v>
      </c>
      <c r="AA17" s="41">
        <f t="shared" si="0"/>
        <v>1820896</v>
      </c>
      <c r="AB17" s="23">
        <v>7</v>
      </c>
      <c r="AC17" s="102"/>
      <c r="AD17" s="48"/>
    </row>
    <row r="18" spans="1:30" ht="15.75" thickBot="1" x14ac:dyDescent="0.3">
      <c r="A18" s="99">
        <v>49065</v>
      </c>
      <c r="B18" s="18" t="s">
        <v>5</v>
      </c>
      <c r="C18" s="33">
        <v>64513</v>
      </c>
      <c r="D18" s="33">
        <v>60982</v>
      </c>
      <c r="E18" s="33">
        <v>59016</v>
      </c>
      <c r="F18" s="33">
        <v>58032</v>
      </c>
      <c r="G18" s="33">
        <v>59195</v>
      </c>
      <c r="H18" s="33">
        <v>62982</v>
      </c>
      <c r="I18" s="33">
        <v>66940</v>
      </c>
      <c r="J18" s="33">
        <v>73126</v>
      </c>
      <c r="K18" s="33">
        <v>79448</v>
      </c>
      <c r="L18" s="33">
        <v>84413</v>
      </c>
      <c r="M18" s="33">
        <v>89405</v>
      </c>
      <c r="N18" s="33">
        <v>94145</v>
      </c>
      <c r="O18" s="33">
        <v>92713</v>
      </c>
      <c r="P18" s="33">
        <v>92694</v>
      </c>
      <c r="Q18" s="33">
        <v>94124</v>
      </c>
      <c r="R18" s="33">
        <v>94291</v>
      </c>
      <c r="S18" s="33">
        <v>93328</v>
      </c>
      <c r="T18" s="33">
        <v>92201</v>
      </c>
      <c r="U18" s="33">
        <v>100577</v>
      </c>
      <c r="V18" s="33">
        <v>105324</v>
      </c>
      <c r="W18" s="33">
        <v>101206</v>
      </c>
      <c r="X18" s="33">
        <v>93800</v>
      </c>
      <c r="Y18" s="33">
        <v>82447</v>
      </c>
      <c r="Z18" s="34">
        <v>71930</v>
      </c>
      <c r="AA18" s="35">
        <f t="shared" si="0"/>
        <v>1966832</v>
      </c>
      <c r="AB18" s="19">
        <v>21</v>
      </c>
      <c r="AC18" s="100">
        <f>+AA18*AB18+AA19*AB19+AA20*AB20</f>
        <v>60060004</v>
      </c>
    </row>
    <row r="19" spans="1:30" ht="15.75" thickBot="1" x14ac:dyDescent="0.3">
      <c r="A19" s="99"/>
      <c r="B19" s="20" t="s">
        <v>4</v>
      </c>
      <c r="C19" s="36">
        <v>66903</v>
      </c>
      <c r="D19" s="36">
        <v>61846</v>
      </c>
      <c r="E19" s="36">
        <v>59553</v>
      </c>
      <c r="F19" s="36">
        <v>58202</v>
      </c>
      <c r="G19" s="36">
        <v>58436</v>
      </c>
      <c r="H19" s="36">
        <v>59392</v>
      </c>
      <c r="I19" s="36">
        <v>62505</v>
      </c>
      <c r="J19" s="36">
        <v>69854</v>
      </c>
      <c r="K19" s="36">
        <v>77522</v>
      </c>
      <c r="L19" s="36">
        <v>83448</v>
      </c>
      <c r="M19" s="36">
        <v>87508</v>
      </c>
      <c r="N19" s="36">
        <v>91214</v>
      </c>
      <c r="O19" s="36">
        <v>91226</v>
      </c>
      <c r="P19" s="36">
        <v>89774</v>
      </c>
      <c r="Q19" s="36">
        <v>88296</v>
      </c>
      <c r="R19" s="36">
        <v>87404</v>
      </c>
      <c r="S19" s="36">
        <v>86756</v>
      </c>
      <c r="T19" s="36">
        <v>87556</v>
      </c>
      <c r="U19" s="36">
        <v>97286</v>
      </c>
      <c r="V19" s="36">
        <v>101232</v>
      </c>
      <c r="W19" s="36">
        <v>97218</v>
      </c>
      <c r="X19" s="36">
        <v>91068</v>
      </c>
      <c r="Y19" s="36">
        <v>82513</v>
      </c>
      <c r="Z19" s="37">
        <v>73983</v>
      </c>
      <c r="AA19" s="38">
        <f t="shared" si="0"/>
        <v>1910695</v>
      </c>
      <c r="AB19" s="21">
        <v>4</v>
      </c>
      <c r="AC19" s="101"/>
      <c r="AD19" s="47"/>
    </row>
    <row r="20" spans="1:30" x14ac:dyDescent="0.25">
      <c r="A20" s="99"/>
      <c r="B20" s="22" t="s">
        <v>3</v>
      </c>
      <c r="C20" s="39">
        <v>68072</v>
      </c>
      <c r="D20" s="39">
        <v>63841</v>
      </c>
      <c r="E20" s="39">
        <v>61215</v>
      </c>
      <c r="F20" s="39">
        <v>59468</v>
      </c>
      <c r="G20" s="39">
        <v>58932</v>
      </c>
      <c r="H20" s="39">
        <v>58266</v>
      </c>
      <c r="I20" s="39">
        <v>59462</v>
      </c>
      <c r="J20" s="39">
        <v>65160</v>
      </c>
      <c r="K20" s="39">
        <v>71498</v>
      </c>
      <c r="L20" s="39">
        <v>77126</v>
      </c>
      <c r="M20" s="39">
        <v>80973</v>
      </c>
      <c r="N20" s="39">
        <v>84992</v>
      </c>
      <c r="O20" s="39">
        <v>86756</v>
      </c>
      <c r="P20" s="39">
        <v>86402</v>
      </c>
      <c r="Q20" s="39">
        <v>84308</v>
      </c>
      <c r="R20" s="39">
        <v>86661</v>
      </c>
      <c r="S20" s="39">
        <v>82833</v>
      </c>
      <c r="T20" s="39">
        <v>83746</v>
      </c>
      <c r="U20" s="39">
        <v>93816</v>
      </c>
      <c r="V20" s="39">
        <v>99667</v>
      </c>
      <c r="W20" s="39">
        <v>96523</v>
      </c>
      <c r="X20" s="39">
        <v>90196</v>
      </c>
      <c r="Y20" s="39">
        <v>80824</v>
      </c>
      <c r="Z20" s="40">
        <v>71555</v>
      </c>
      <c r="AA20" s="41">
        <f t="shared" si="0"/>
        <v>1852292</v>
      </c>
      <c r="AB20" s="23">
        <v>6</v>
      </c>
      <c r="AC20" s="102"/>
      <c r="AD20" s="48"/>
    </row>
    <row r="21" spans="1:30" ht="15.75" thickBot="1" x14ac:dyDescent="0.3">
      <c r="A21" s="99">
        <v>49096</v>
      </c>
      <c r="B21" s="18" t="s">
        <v>5</v>
      </c>
      <c r="C21" s="33">
        <v>63753</v>
      </c>
      <c r="D21" s="33">
        <v>60147</v>
      </c>
      <c r="E21" s="33">
        <v>58344</v>
      </c>
      <c r="F21" s="33">
        <v>57377</v>
      </c>
      <c r="G21" s="33">
        <v>58446</v>
      </c>
      <c r="H21" s="33">
        <v>61696</v>
      </c>
      <c r="I21" s="33">
        <v>65984</v>
      </c>
      <c r="J21" s="33">
        <v>72512</v>
      </c>
      <c r="K21" s="33">
        <v>79106</v>
      </c>
      <c r="L21" s="33">
        <v>84024</v>
      </c>
      <c r="M21" s="33">
        <v>89162</v>
      </c>
      <c r="N21" s="33">
        <v>93960</v>
      </c>
      <c r="O21" s="33">
        <v>92412</v>
      </c>
      <c r="P21" s="33">
        <v>92308</v>
      </c>
      <c r="Q21" s="33">
        <v>94072</v>
      </c>
      <c r="R21" s="33">
        <v>94170</v>
      </c>
      <c r="S21" s="33">
        <v>93211</v>
      </c>
      <c r="T21" s="33">
        <v>91767</v>
      </c>
      <c r="U21" s="33">
        <v>98445</v>
      </c>
      <c r="V21" s="33">
        <v>104678</v>
      </c>
      <c r="W21" s="33">
        <v>100773</v>
      </c>
      <c r="X21" s="33">
        <v>93433</v>
      </c>
      <c r="Y21" s="33">
        <v>81915</v>
      </c>
      <c r="Z21" s="34">
        <v>71237</v>
      </c>
      <c r="AA21" s="35">
        <f t="shared" si="0"/>
        <v>1952932</v>
      </c>
      <c r="AB21" s="19">
        <v>20</v>
      </c>
      <c r="AC21" s="100">
        <f>+AA21*AB21+AA22*AB22+AA23*AB23</f>
        <v>58078242</v>
      </c>
    </row>
    <row r="22" spans="1:30" ht="15.75" thickBot="1" x14ac:dyDescent="0.3">
      <c r="A22" s="99"/>
      <c r="B22" s="20" t="s">
        <v>4</v>
      </c>
      <c r="C22" s="36">
        <v>66835</v>
      </c>
      <c r="D22" s="36">
        <v>61492</v>
      </c>
      <c r="E22" s="36">
        <v>59153</v>
      </c>
      <c r="F22" s="36">
        <v>57831</v>
      </c>
      <c r="G22" s="36">
        <v>57948</v>
      </c>
      <c r="H22" s="36">
        <v>58888</v>
      </c>
      <c r="I22" s="36">
        <v>61964</v>
      </c>
      <c r="J22" s="36">
        <v>69231</v>
      </c>
      <c r="K22" s="36">
        <v>77433</v>
      </c>
      <c r="L22" s="36">
        <v>83063</v>
      </c>
      <c r="M22" s="36">
        <v>87459</v>
      </c>
      <c r="N22" s="36">
        <v>91269</v>
      </c>
      <c r="O22" s="36">
        <v>91519</v>
      </c>
      <c r="P22" s="36">
        <v>90582</v>
      </c>
      <c r="Q22" s="36">
        <v>89616</v>
      </c>
      <c r="R22" s="36">
        <v>89448</v>
      </c>
      <c r="S22" s="36">
        <v>88781</v>
      </c>
      <c r="T22" s="36">
        <v>89446</v>
      </c>
      <c r="U22" s="36">
        <v>97796</v>
      </c>
      <c r="V22" s="36">
        <v>103155</v>
      </c>
      <c r="W22" s="36">
        <v>98925</v>
      </c>
      <c r="X22" s="36">
        <v>92885</v>
      </c>
      <c r="Y22" s="36">
        <v>83940</v>
      </c>
      <c r="Z22" s="37">
        <v>74840</v>
      </c>
      <c r="AA22" s="38">
        <f t="shared" si="0"/>
        <v>1923499</v>
      </c>
      <c r="AB22" s="21">
        <v>4</v>
      </c>
      <c r="AC22" s="101"/>
      <c r="AD22" s="47"/>
    </row>
    <row r="23" spans="1:30" x14ac:dyDescent="0.25">
      <c r="A23" s="99"/>
      <c r="B23" s="22" t="s">
        <v>3</v>
      </c>
      <c r="C23" s="39">
        <v>69556</v>
      </c>
      <c r="D23" s="39">
        <v>65123</v>
      </c>
      <c r="E23" s="39">
        <v>62548</v>
      </c>
      <c r="F23" s="39">
        <v>60792</v>
      </c>
      <c r="G23" s="39">
        <v>60378</v>
      </c>
      <c r="H23" s="39">
        <v>60308</v>
      </c>
      <c r="I23" s="39">
        <v>61111</v>
      </c>
      <c r="J23" s="39">
        <v>67049</v>
      </c>
      <c r="K23" s="39">
        <v>73650</v>
      </c>
      <c r="L23" s="39">
        <v>78745</v>
      </c>
      <c r="M23" s="39">
        <v>82937</v>
      </c>
      <c r="N23" s="39">
        <v>86991</v>
      </c>
      <c r="O23" s="39">
        <v>88437</v>
      </c>
      <c r="P23" s="39">
        <v>87824</v>
      </c>
      <c r="Q23" s="39">
        <v>86127</v>
      </c>
      <c r="R23" s="39">
        <v>85325</v>
      </c>
      <c r="S23" s="39">
        <v>84889</v>
      </c>
      <c r="T23" s="39">
        <v>85584</v>
      </c>
      <c r="U23" s="39">
        <v>94215</v>
      </c>
      <c r="V23" s="39">
        <v>101144</v>
      </c>
      <c r="W23" s="39">
        <v>98163</v>
      </c>
      <c r="X23" s="39">
        <v>91757</v>
      </c>
      <c r="Y23" s="39">
        <v>82132</v>
      </c>
      <c r="Z23" s="40">
        <v>72816</v>
      </c>
      <c r="AA23" s="41">
        <f t="shared" si="0"/>
        <v>1887601</v>
      </c>
      <c r="AB23" s="23">
        <v>6</v>
      </c>
      <c r="AC23" s="102"/>
      <c r="AD23" s="48"/>
    </row>
    <row r="24" spans="1:30" ht="15.75" thickBot="1" x14ac:dyDescent="0.3">
      <c r="A24" s="99">
        <v>49126</v>
      </c>
      <c r="B24" s="18" t="s">
        <v>5</v>
      </c>
      <c r="C24" s="33">
        <v>66749</v>
      </c>
      <c r="D24" s="33">
        <v>62951</v>
      </c>
      <c r="E24" s="33">
        <v>60761</v>
      </c>
      <c r="F24" s="33">
        <v>59568</v>
      </c>
      <c r="G24" s="33">
        <v>60585</v>
      </c>
      <c r="H24" s="33">
        <v>63821</v>
      </c>
      <c r="I24" s="33">
        <v>67302</v>
      </c>
      <c r="J24" s="33">
        <v>74589</v>
      </c>
      <c r="K24" s="33">
        <v>81670</v>
      </c>
      <c r="L24" s="33">
        <v>87222</v>
      </c>
      <c r="M24" s="33">
        <v>92595</v>
      </c>
      <c r="N24" s="33">
        <v>97360</v>
      </c>
      <c r="O24" s="33">
        <v>95674</v>
      </c>
      <c r="P24" s="33">
        <v>95880</v>
      </c>
      <c r="Q24" s="33">
        <v>97638</v>
      </c>
      <c r="R24" s="33">
        <v>97834</v>
      </c>
      <c r="S24" s="33">
        <v>96449</v>
      </c>
      <c r="T24" s="33">
        <v>94039</v>
      </c>
      <c r="U24" s="33">
        <v>99558</v>
      </c>
      <c r="V24" s="33">
        <v>106965</v>
      </c>
      <c r="W24" s="33">
        <v>103503</v>
      </c>
      <c r="X24" s="33">
        <v>96528</v>
      </c>
      <c r="Y24" s="33">
        <v>85020</v>
      </c>
      <c r="Z24" s="34">
        <v>74428</v>
      </c>
      <c r="AA24" s="35">
        <f t="shared" si="0"/>
        <v>2018689</v>
      </c>
      <c r="AB24" s="19">
        <v>19</v>
      </c>
      <c r="AC24" s="100">
        <f>+AA24*AB24+AA25*AB25+AA26*AB26</f>
        <v>61281974</v>
      </c>
    </row>
    <row r="25" spans="1:30" ht="15.75" thickBot="1" x14ac:dyDescent="0.3">
      <c r="A25" s="99"/>
      <c r="B25" s="20" t="s">
        <v>4</v>
      </c>
      <c r="C25" s="36">
        <v>66898</v>
      </c>
      <c r="D25" s="36">
        <v>61360</v>
      </c>
      <c r="E25" s="36">
        <v>59182</v>
      </c>
      <c r="F25" s="36">
        <v>57725</v>
      </c>
      <c r="G25" s="36">
        <v>57864</v>
      </c>
      <c r="H25" s="36">
        <v>59080</v>
      </c>
      <c r="I25" s="36">
        <v>62019</v>
      </c>
      <c r="J25" s="36">
        <v>70675</v>
      </c>
      <c r="K25" s="36">
        <v>78915</v>
      </c>
      <c r="L25" s="36">
        <v>84556</v>
      </c>
      <c r="M25" s="36">
        <v>88990</v>
      </c>
      <c r="N25" s="36">
        <v>92740</v>
      </c>
      <c r="O25" s="36">
        <v>92566</v>
      </c>
      <c r="P25" s="36">
        <v>91117</v>
      </c>
      <c r="Q25" s="36">
        <v>89797</v>
      </c>
      <c r="R25" s="36">
        <v>89113</v>
      </c>
      <c r="S25" s="36">
        <v>88323</v>
      </c>
      <c r="T25" s="36">
        <v>88587</v>
      </c>
      <c r="U25" s="36">
        <v>95204</v>
      </c>
      <c r="V25" s="36">
        <v>102202</v>
      </c>
      <c r="W25" s="36">
        <v>98297</v>
      </c>
      <c r="X25" s="36">
        <v>92713</v>
      </c>
      <c r="Y25" s="36">
        <v>83968</v>
      </c>
      <c r="Z25" s="37">
        <v>75314</v>
      </c>
      <c r="AA25" s="38">
        <f t="shared" si="0"/>
        <v>1927205</v>
      </c>
      <c r="AB25" s="21">
        <v>5</v>
      </c>
      <c r="AC25" s="101"/>
      <c r="AD25" s="47"/>
    </row>
    <row r="26" spans="1:30" x14ac:dyDescent="0.25">
      <c r="A26" s="99"/>
      <c r="B26" s="22" t="s">
        <v>3</v>
      </c>
      <c r="C26" s="39">
        <v>70993</v>
      </c>
      <c r="D26" s="39">
        <v>66634</v>
      </c>
      <c r="E26" s="39">
        <v>63756</v>
      </c>
      <c r="F26" s="39">
        <v>61875</v>
      </c>
      <c r="G26" s="39">
        <v>61289</v>
      </c>
      <c r="H26" s="39">
        <v>61309</v>
      </c>
      <c r="I26" s="39">
        <v>61711</v>
      </c>
      <c r="J26" s="39">
        <v>67321</v>
      </c>
      <c r="K26" s="39">
        <v>74051</v>
      </c>
      <c r="L26" s="39">
        <v>79634</v>
      </c>
      <c r="M26" s="39">
        <v>83696</v>
      </c>
      <c r="N26" s="39">
        <v>87463</v>
      </c>
      <c r="O26" s="39">
        <v>89330</v>
      </c>
      <c r="P26" s="39">
        <v>88349</v>
      </c>
      <c r="Q26" s="39">
        <v>86396</v>
      </c>
      <c r="R26" s="39">
        <v>85360</v>
      </c>
      <c r="S26" s="39">
        <v>84558</v>
      </c>
      <c r="T26" s="39">
        <v>84928</v>
      </c>
      <c r="U26" s="39">
        <v>92077</v>
      </c>
      <c r="V26" s="39">
        <v>100869</v>
      </c>
      <c r="W26" s="39">
        <v>98299</v>
      </c>
      <c r="X26" s="39">
        <v>92383</v>
      </c>
      <c r="Y26" s="39">
        <v>82767</v>
      </c>
      <c r="Z26" s="40">
        <v>73646</v>
      </c>
      <c r="AA26" s="41">
        <f t="shared" si="0"/>
        <v>1898694</v>
      </c>
      <c r="AB26" s="23">
        <v>7</v>
      </c>
      <c r="AC26" s="102"/>
      <c r="AD26" s="48"/>
    </row>
    <row r="27" spans="1:30" ht="15.75" thickBot="1" x14ac:dyDescent="0.3">
      <c r="A27" s="99">
        <v>49157</v>
      </c>
      <c r="B27" s="18" t="s">
        <v>5</v>
      </c>
      <c r="C27" s="33">
        <v>67535</v>
      </c>
      <c r="D27" s="33">
        <v>63935</v>
      </c>
      <c r="E27" s="33">
        <v>61949</v>
      </c>
      <c r="F27" s="33">
        <v>60772</v>
      </c>
      <c r="G27" s="33">
        <v>61837</v>
      </c>
      <c r="H27" s="33">
        <v>66124</v>
      </c>
      <c r="I27" s="33">
        <v>69944</v>
      </c>
      <c r="J27" s="33">
        <v>76431</v>
      </c>
      <c r="K27" s="33">
        <v>83219</v>
      </c>
      <c r="L27" s="33">
        <v>88416</v>
      </c>
      <c r="M27" s="33">
        <v>93922</v>
      </c>
      <c r="N27" s="33">
        <v>98747</v>
      </c>
      <c r="O27" s="33">
        <v>97049</v>
      </c>
      <c r="P27" s="33">
        <v>97818</v>
      </c>
      <c r="Q27" s="33">
        <v>99803</v>
      </c>
      <c r="R27" s="33">
        <v>99961</v>
      </c>
      <c r="S27" s="33">
        <v>98523</v>
      </c>
      <c r="T27" s="33">
        <v>96030</v>
      </c>
      <c r="U27" s="33">
        <v>102751</v>
      </c>
      <c r="V27" s="33">
        <v>108975</v>
      </c>
      <c r="W27" s="33">
        <v>105171</v>
      </c>
      <c r="X27" s="33">
        <v>97819</v>
      </c>
      <c r="Y27" s="33">
        <v>86165</v>
      </c>
      <c r="Z27" s="34">
        <v>75646</v>
      </c>
      <c r="AA27" s="35">
        <f t="shared" si="0"/>
        <v>2058542</v>
      </c>
      <c r="AB27" s="19">
        <v>21</v>
      </c>
      <c r="AC27" s="100">
        <f>+AA27*AB27+AA28*AB28+AA29*AB29</f>
        <v>62651300</v>
      </c>
    </row>
    <row r="28" spans="1:30" ht="15.75" thickBot="1" x14ac:dyDescent="0.3">
      <c r="A28" s="99"/>
      <c r="B28" s="20" t="s">
        <v>4</v>
      </c>
      <c r="C28" s="36">
        <v>70295</v>
      </c>
      <c r="D28" s="36">
        <v>65141</v>
      </c>
      <c r="E28" s="36">
        <v>62746</v>
      </c>
      <c r="F28" s="36">
        <v>60951</v>
      </c>
      <c r="G28" s="36">
        <v>60817</v>
      </c>
      <c r="H28" s="36">
        <v>62506</v>
      </c>
      <c r="I28" s="36">
        <v>64509</v>
      </c>
      <c r="J28" s="36">
        <v>72674</v>
      </c>
      <c r="K28" s="36">
        <v>80931</v>
      </c>
      <c r="L28" s="36">
        <v>86590</v>
      </c>
      <c r="M28" s="36">
        <v>91549</v>
      </c>
      <c r="N28" s="36">
        <v>95302</v>
      </c>
      <c r="O28" s="36">
        <v>95329</v>
      </c>
      <c r="P28" s="36">
        <v>94305</v>
      </c>
      <c r="Q28" s="36">
        <v>93319</v>
      </c>
      <c r="R28" s="36">
        <v>92751</v>
      </c>
      <c r="S28" s="36">
        <v>91507</v>
      </c>
      <c r="T28" s="36">
        <v>91336</v>
      </c>
      <c r="U28" s="36">
        <v>99501</v>
      </c>
      <c r="V28" s="36">
        <v>104892</v>
      </c>
      <c r="W28" s="36">
        <v>100923</v>
      </c>
      <c r="X28" s="36">
        <v>95158</v>
      </c>
      <c r="Y28" s="36">
        <v>86763</v>
      </c>
      <c r="Z28" s="37">
        <v>77730</v>
      </c>
      <c r="AA28" s="38">
        <f t="shared" si="0"/>
        <v>1997525</v>
      </c>
      <c r="AB28" s="21">
        <v>4</v>
      </c>
      <c r="AC28" s="101"/>
      <c r="AD28" s="47"/>
    </row>
    <row r="29" spans="1:30" x14ac:dyDescent="0.25">
      <c r="A29" s="99"/>
      <c r="B29" s="22" t="s">
        <v>3</v>
      </c>
      <c r="C29" s="39">
        <v>71608</v>
      </c>
      <c r="D29" s="39">
        <v>67167</v>
      </c>
      <c r="E29" s="39">
        <v>64240</v>
      </c>
      <c r="F29" s="39">
        <v>62377</v>
      </c>
      <c r="G29" s="39">
        <v>61770</v>
      </c>
      <c r="H29" s="39">
        <v>61975</v>
      </c>
      <c r="I29" s="39">
        <v>61966</v>
      </c>
      <c r="J29" s="39">
        <v>67804</v>
      </c>
      <c r="K29" s="39">
        <v>74395</v>
      </c>
      <c r="L29" s="39">
        <v>79831</v>
      </c>
      <c r="M29" s="39">
        <v>83679</v>
      </c>
      <c r="N29" s="39">
        <v>87667</v>
      </c>
      <c r="O29" s="39">
        <v>89726</v>
      </c>
      <c r="P29" s="39">
        <v>88921</v>
      </c>
      <c r="Q29" s="39">
        <v>86739</v>
      </c>
      <c r="R29" s="39">
        <v>85278</v>
      </c>
      <c r="S29" s="39">
        <v>84725</v>
      </c>
      <c r="T29" s="39">
        <v>84960</v>
      </c>
      <c r="U29" s="39">
        <v>93592</v>
      </c>
      <c r="V29" s="39">
        <v>101090</v>
      </c>
      <c r="W29" s="39">
        <v>98093</v>
      </c>
      <c r="X29" s="39">
        <v>91934</v>
      </c>
      <c r="Y29" s="39">
        <v>82551</v>
      </c>
      <c r="Z29" s="40">
        <v>73215</v>
      </c>
      <c r="AA29" s="41">
        <f t="shared" si="0"/>
        <v>1905303</v>
      </c>
      <c r="AB29" s="23">
        <v>6</v>
      </c>
      <c r="AC29" s="102"/>
      <c r="AD29" s="49"/>
    </row>
    <row r="30" spans="1:30" ht="15.75" thickBot="1" x14ac:dyDescent="0.3">
      <c r="A30" s="99">
        <v>49188</v>
      </c>
      <c r="B30" s="18" t="s">
        <v>5</v>
      </c>
      <c r="C30" s="33">
        <v>68742</v>
      </c>
      <c r="D30" s="33">
        <v>64955</v>
      </c>
      <c r="E30" s="33">
        <v>62590</v>
      </c>
      <c r="F30" s="33">
        <v>61555</v>
      </c>
      <c r="G30" s="33">
        <v>62555</v>
      </c>
      <c r="H30" s="33">
        <v>66654</v>
      </c>
      <c r="I30" s="33">
        <v>70604</v>
      </c>
      <c r="J30" s="33">
        <v>77298</v>
      </c>
      <c r="K30" s="33">
        <v>84027</v>
      </c>
      <c r="L30" s="33">
        <v>89619</v>
      </c>
      <c r="M30" s="33">
        <v>95171</v>
      </c>
      <c r="N30" s="33">
        <v>100259</v>
      </c>
      <c r="O30" s="33">
        <v>98511</v>
      </c>
      <c r="P30" s="33">
        <v>99225</v>
      </c>
      <c r="Q30" s="33">
        <v>101545</v>
      </c>
      <c r="R30" s="33">
        <v>102125</v>
      </c>
      <c r="S30" s="33">
        <v>100657</v>
      </c>
      <c r="T30" s="33">
        <v>98592</v>
      </c>
      <c r="U30" s="33">
        <v>107818</v>
      </c>
      <c r="V30" s="33">
        <v>110310</v>
      </c>
      <c r="W30" s="33">
        <v>106166</v>
      </c>
      <c r="X30" s="33">
        <v>98682</v>
      </c>
      <c r="Y30" s="33">
        <v>86789</v>
      </c>
      <c r="Z30" s="34">
        <v>76297</v>
      </c>
      <c r="AA30" s="35">
        <f t="shared" si="0"/>
        <v>2090746</v>
      </c>
      <c r="AB30" s="19">
        <v>21</v>
      </c>
      <c r="AC30" s="100">
        <f>+AA30*AB30+AA31*AB31+AA32*AB32</f>
        <v>61508765</v>
      </c>
    </row>
    <row r="31" spans="1:30" ht="15.75" thickBot="1" x14ac:dyDescent="0.3">
      <c r="A31" s="99"/>
      <c r="B31" s="20" t="s">
        <v>4</v>
      </c>
      <c r="C31" s="36">
        <v>70577</v>
      </c>
      <c r="D31" s="36">
        <v>64828</v>
      </c>
      <c r="E31" s="36">
        <v>62435</v>
      </c>
      <c r="F31" s="36">
        <v>61124</v>
      </c>
      <c r="G31" s="36">
        <v>61178</v>
      </c>
      <c r="H31" s="36">
        <v>61743</v>
      </c>
      <c r="I31" s="36">
        <v>64838</v>
      </c>
      <c r="J31" s="36">
        <v>73637</v>
      </c>
      <c r="K31" s="36">
        <v>82025</v>
      </c>
      <c r="L31" s="36">
        <v>88013</v>
      </c>
      <c r="M31" s="36">
        <v>92748</v>
      </c>
      <c r="N31" s="36">
        <v>96543</v>
      </c>
      <c r="O31" s="36">
        <v>96305</v>
      </c>
      <c r="P31" s="36">
        <v>95075</v>
      </c>
      <c r="Q31" s="36">
        <v>93933</v>
      </c>
      <c r="R31" s="36">
        <v>93108</v>
      </c>
      <c r="S31" s="36">
        <v>92307</v>
      </c>
      <c r="T31" s="36">
        <v>92994</v>
      </c>
      <c r="U31" s="36">
        <v>102924</v>
      </c>
      <c r="V31" s="36">
        <v>105143</v>
      </c>
      <c r="W31" s="36">
        <v>100529</v>
      </c>
      <c r="X31" s="36">
        <v>94631</v>
      </c>
      <c r="Y31" s="36">
        <v>86018</v>
      </c>
      <c r="Z31" s="37">
        <v>77219</v>
      </c>
      <c r="AA31" s="38">
        <f t="shared" si="0"/>
        <v>2009875</v>
      </c>
      <c r="AB31" s="21">
        <v>5</v>
      </c>
      <c r="AC31" s="101"/>
      <c r="AD31" s="47"/>
    </row>
    <row r="32" spans="1:30" x14ac:dyDescent="0.25">
      <c r="A32" s="99"/>
      <c r="B32" s="22" t="s">
        <v>3</v>
      </c>
      <c r="C32" s="39">
        <v>71859</v>
      </c>
      <c r="D32" s="39">
        <v>67546</v>
      </c>
      <c r="E32" s="39">
        <v>64713</v>
      </c>
      <c r="F32" s="39">
        <v>62521</v>
      </c>
      <c r="G32" s="39">
        <v>61528</v>
      </c>
      <c r="H32" s="39">
        <v>60776</v>
      </c>
      <c r="I32" s="39">
        <v>61240</v>
      </c>
      <c r="J32" s="39">
        <v>66971</v>
      </c>
      <c r="K32" s="39">
        <v>73433</v>
      </c>
      <c r="L32" s="39">
        <v>78733</v>
      </c>
      <c r="M32" s="39">
        <v>82427</v>
      </c>
      <c r="N32" s="39">
        <v>85955</v>
      </c>
      <c r="O32" s="39">
        <v>87996</v>
      </c>
      <c r="P32" s="39">
        <v>87373</v>
      </c>
      <c r="Q32" s="39">
        <v>85529</v>
      </c>
      <c r="R32" s="39">
        <v>84632</v>
      </c>
      <c r="S32" s="39">
        <v>84052</v>
      </c>
      <c r="T32" s="39">
        <v>84724</v>
      </c>
      <c r="U32" s="39">
        <v>95767</v>
      </c>
      <c r="V32" s="39">
        <v>99529</v>
      </c>
      <c r="W32" s="39">
        <v>96775</v>
      </c>
      <c r="X32" s="39">
        <v>90742</v>
      </c>
      <c r="Y32" s="39">
        <v>81322</v>
      </c>
      <c r="Z32" s="40">
        <v>72288</v>
      </c>
      <c r="AA32" s="41">
        <f t="shared" si="0"/>
        <v>1888431</v>
      </c>
      <c r="AB32" s="23">
        <v>4</v>
      </c>
      <c r="AC32" s="102"/>
      <c r="AD32" s="48"/>
    </row>
    <row r="33" spans="1:30" ht="15.75" thickBot="1" x14ac:dyDescent="0.3">
      <c r="A33" s="99">
        <v>49218</v>
      </c>
      <c r="B33" s="18" t="s">
        <v>5</v>
      </c>
      <c r="C33" s="33">
        <v>65142</v>
      </c>
      <c r="D33" s="33">
        <v>61651</v>
      </c>
      <c r="E33" s="33">
        <v>59710</v>
      </c>
      <c r="F33" s="33">
        <v>58669</v>
      </c>
      <c r="G33" s="33">
        <v>59821</v>
      </c>
      <c r="H33" s="33">
        <v>63123</v>
      </c>
      <c r="I33" s="33">
        <v>67329</v>
      </c>
      <c r="J33" s="33">
        <v>73634</v>
      </c>
      <c r="K33" s="33">
        <v>79964</v>
      </c>
      <c r="L33" s="33">
        <v>84957</v>
      </c>
      <c r="M33" s="33">
        <v>90131</v>
      </c>
      <c r="N33" s="33">
        <v>94927</v>
      </c>
      <c r="O33" s="33">
        <v>93261</v>
      </c>
      <c r="P33" s="33">
        <v>93773</v>
      </c>
      <c r="Q33" s="33">
        <v>95922</v>
      </c>
      <c r="R33" s="33">
        <v>96382</v>
      </c>
      <c r="S33" s="33">
        <v>95316</v>
      </c>
      <c r="T33" s="33">
        <v>95595</v>
      </c>
      <c r="U33" s="33">
        <v>106166</v>
      </c>
      <c r="V33" s="33">
        <v>105624</v>
      </c>
      <c r="W33" s="33">
        <v>100986</v>
      </c>
      <c r="X33" s="33">
        <v>93418</v>
      </c>
      <c r="Y33" s="33">
        <v>82302</v>
      </c>
      <c r="Z33" s="34">
        <v>72417</v>
      </c>
      <c r="AA33" s="35">
        <f t="shared" si="0"/>
        <v>1990220</v>
      </c>
      <c r="AB33" s="19">
        <v>21</v>
      </c>
      <c r="AC33" s="100">
        <f>+AA33*AB33+AA34*AB34+AA35*AB35</f>
        <v>60792678</v>
      </c>
    </row>
    <row r="34" spans="1:30" ht="15.75" thickBot="1" x14ac:dyDescent="0.3">
      <c r="A34" s="99"/>
      <c r="B34" s="20" t="s">
        <v>4</v>
      </c>
      <c r="C34" s="36">
        <v>68577</v>
      </c>
      <c r="D34" s="36">
        <v>63449</v>
      </c>
      <c r="E34" s="36">
        <v>61120</v>
      </c>
      <c r="F34" s="36">
        <v>59575</v>
      </c>
      <c r="G34" s="36">
        <v>59886</v>
      </c>
      <c r="H34" s="36">
        <v>60816</v>
      </c>
      <c r="I34" s="36">
        <v>64253</v>
      </c>
      <c r="J34" s="36">
        <v>72163</v>
      </c>
      <c r="K34" s="36">
        <v>80047</v>
      </c>
      <c r="L34" s="36">
        <v>85524</v>
      </c>
      <c r="M34" s="36">
        <v>90184</v>
      </c>
      <c r="N34" s="36">
        <v>94091</v>
      </c>
      <c r="O34" s="36">
        <v>94245</v>
      </c>
      <c r="P34" s="36">
        <v>93180</v>
      </c>
      <c r="Q34" s="36">
        <v>92047</v>
      </c>
      <c r="R34" s="36">
        <v>91344</v>
      </c>
      <c r="S34" s="36">
        <v>90522</v>
      </c>
      <c r="T34" s="36">
        <v>93374</v>
      </c>
      <c r="U34" s="36">
        <v>105227</v>
      </c>
      <c r="V34" s="36">
        <v>105041</v>
      </c>
      <c r="W34" s="36">
        <v>100591</v>
      </c>
      <c r="X34" s="36">
        <v>93855</v>
      </c>
      <c r="Y34" s="36">
        <v>85551</v>
      </c>
      <c r="Z34" s="37">
        <v>76520</v>
      </c>
      <c r="AA34" s="38">
        <f t="shared" si="0"/>
        <v>1981182</v>
      </c>
      <c r="AB34" s="21">
        <v>4</v>
      </c>
      <c r="AC34" s="101"/>
      <c r="AD34" s="47"/>
    </row>
    <row r="35" spans="1:30" x14ac:dyDescent="0.25">
      <c r="A35" s="99"/>
      <c r="B35" s="22" t="s">
        <v>3</v>
      </c>
      <c r="C35" s="39">
        <v>68809</v>
      </c>
      <c r="D35" s="39">
        <v>64644</v>
      </c>
      <c r="E35" s="39">
        <v>61770</v>
      </c>
      <c r="F35" s="39">
        <v>59762</v>
      </c>
      <c r="G35" s="39">
        <v>59122</v>
      </c>
      <c r="H35" s="39">
        <v>58290</v>
      </c>
      <c r="I35" s="39">
        <v>59405</v>
      </c>
      <c r="J35" s="39">
        <v>64860</v>
      </c>
      <c r="K35" s="39">
        <v>71044</v>
      </c>
      <c r="L35" s="39">
        <v>76477</v>
      </c>
      <c r="M35" s="39">
        <v>80329</v>
      </c>
      <c r="N35" s="39">
        <v>84119</v>
      </c>
      <c r="O35" s="39">
        <v>86244</v>
      </c>
      <c r="P35" s="39">
        <v>85536</v>
      </c>
      <c r="Q35" s="39">
        <v>83912</v>
      </c>
      <c r="R35" s="39">
        <v>83088</v>
      </c>
      <c r="S35" s="39">
        <v>82613</v>
      </c>
      <c r="T35" s="39">
        <v>85161</v>
      </c>
      <c r="U35" s="39">
        <v>97329</v>
      </c>
      <c r="V35" s="39">
        <v>98326</v>
      </c>
      <c r="W35" s="39">
        <v>95173</v>
      </c>
      <c r="X35" s="39">
        <v>88958</v>
      </c>
      <c r="Y35" s="39">
        <v>79730</v>
      </c>
      <c r="Z35" s="40">
        <v>70854</v>
      </c>
      <c r="AA35" s="41">
        <f t="shared" si="0"/>
        <v>1845555</v>
      </c>
      <c r="AB35" s="23">
        <v>6</v>
      </c>
      <c r="AC35" s="102"/>
      <c r="AD35" s="48"/>
    </row>
    <row r="36" spans="1:30" ht="15.75" thickBot="1" x14ac:dyDescent="0.3">
      <c r="A36" s="99">
        <v>49249</v>
      </c>
      <c r="B36" s="18" t="s">
        <v>5</v>
      </c>
      <c r="C36" s="33">
        <v>63939</v>
      </c>
      <c r="D36" s="33">
        <v>60454</v>
      </c>
      <c r="E36" s="33">
        <v>58522</v>
      </c>
      <c r="F36" s="33">
        <v>57616</v>
      </c>
      <c r="G36" s="33">
        <v>58957</v>
      </c>
      <c r="H36" s="33">
        <v>62723</v>
      </c>
      <c r="I36" s="33">
        <v>67199</v>
      </c>
      <c r="J36" s="33">
        <v>73603</v>
      </c>
      <c r="K36" s="33">
        <v>79818</v>
      </c>
      <c r="L36" s="33">
        <v>84625</v>
      </c>
      <c r="M36" s="33">
        <v>89772</v>
      </c>
      <c r="N36" s="33">
        <v>94704</v>
      </c>
      <c r="O36" s="33">
        <v>92771</v>
      </c>
      <c r="P36" s="33">
        <v>92824</v>
      </c>
      <c r="Q36" s="33">
        <v>94924</v>
      </c>
      <c r="R36" s="33">
        <v>94831</v>
      </c>
      <c r="S36" s="33">
        <v>94052</v>
      </c>
      <c r="T36" s="33">
        <v>95334</v>
      </c>
      <c r="U36" s="33">
        <v>106374</v>
      </c>
      <c r="V36" s="33">
        <v>105786</v>
      </c>
      <c r="W36" s="33">
        <v>101082</v>
      </c>
      <c r="X36" s="33">
        <v>93111</v>
      </c>
      <c r="Y36" s="33">
        <v>81666</v>
      </c>
      <c r="Z36" s="34">
        <v>71427</v>
      </c>
      <c r="AA36" s="35">
        <f t="shared" si="0"/>
        <v>1976114</v>
      </c>
      <c r="AB36" s="19">
        <v>20</v>
      </c>
      <c r="AC36" s="100">
        <f>+AA36*AB36+AA37*AB37+AA38*AB38</f>
        <v>57897610</v>
      </c>
    </row>
    <row r="37" spans="1:30" ht="15.75" thickBot="1" x14ac:dyDescent="0.3">
      <c r="A37" s="99"/>
      <c r="B37" s="20" t="s">
        <v>4</v>
      </c>
      <c r="C37" s="36">
        <v>65656</v>
      </c>
      <c r="D37" s="36">
        <v>60786</v>
      </c>
      <c r="E37" s="36">
        <v>58567</v>
      </c>
      <c r="F37" s="36">
        <v>57149</v>
      </c>
      <c r="G37" s="36">
        <v>57398</v>
      </c>
      <c r="H37" s="36">
        <v>58115</v>
      </c>
      <c r="I37" s="36">
        <v>61281</v>
      </c>
      <c r="J37" s="36">
        <v>68569</v>
      </c>
      <c r="K37" s="36">
        <v>76276</v>
      </c>
      <c r="L37" s="36">
        <v>81650</v>
      </c>
      <c r="M37" s="36">
        <v>85945</v>
      </c>
      <c r="N37" s="36">
        <v>89896</v>
      </c>
      <c r="O37" s="36">
        <v>89528</v>
      </c>
      <c r="P37" s="36">
        <v>87860</v>
      </c>
      <c r="Q37" s="36">
        <v>87372</v>
      </c>
      <c r="R37" s="36">
        <v>87092</v>
      </c>
      <c r="S37" s="36">
        <v>86582</v>
      </c>
      <c r="T37" s="36">
        <v>89684</v>
      </c>
      <c r="U37" s="36">
        <v>101742</v>
      </c>
      <c r="V37" s="36">
        <v>101438</v>
      </c>
      <c r="W37" s="36">
        <v>96791</v>
      </c>
      <c r="X37" s="36">
        <v>90849</v>
      </c>
      <c r="Y37" s="36">
        <v>82057</v>
      </c>
      <c r="Z37" s="37">
        <v>73219</v>
      </c>
      <c r="AA37" s="38">
        <f t="shared" si="0"/>
        <v>1895502</v>
      </c>
      <c r="AB37" s="21">
        <v>4</v>
      </c>
      <c r="AC37" s="101"/>
      <c r="AD37" s="47"/>
    </row>
    <row r="38" spans="1:30" x14ac:dyDescent="0.25">
      <c r="A38" s="99"/>
      <c r="B38" s="22" t="s">
        <v>3</v>
      </c>
      <c r="C38" s="39">
        <v>65923</v>
      </c>
      <c r="D38" s="39">
        <v>61955</v>
      </c>
      <c r="E38" s="39">
        <v>59267</v>
      </c>
      <c r="F38" s="39">
        <v>57298</v>
      </c>
      <c r="G38" s="39">
        <v>57034</v>
      </c>
      <c r="H38" s="39">
        <v>56329</v>
      </c>
      <c r="I38" s="39">
        <v>57669</v>
      </c>
      <c r="J38" s="39">
        <v>63351</v>
      </c>
      <c r="K38" s="39">
        <v>69549</v>
      </c>
      <c r="L38" s="39">
        <v>74874</v>
      </c>
      <c r="M38" s="39">
        <v>78745</v>
      </c>
      <c r="N38" s="39">
        <v>82680</v>
      </c>
      <c r="O38" s="39">
        <v>84628</v>
      </c>
      <c r="P38" s="39">
        <v>83857</v>
      </c>
      <c r="Q38" s="39">
        <v>81996</v>
      </c>
      <c r="R38" s="39">
        <v>80677</v>
      </c>
      <c r="S38" s="39">
        <v>80300</v>
      </c>
      <c r="T38" s="39">
        <v>83165</v>
      </c>
      <c r="U38" s="39">
        <v>95553</v>
      </c>
      <c r="V38" s="39">
        <v>96706</v>
      </c>
      <c r="W38" s="39">
        <v>93521</v>
      </c>
      <c r="X38" s="39">
        <v>87209</v>
      </c>
      <c r="Y38" s="39">
        <v>77769</v>
      </c>
      <c r="Z38" s="40">
        <v>68832</v>
      </c>
      <c r="AA38" s="41">
        <f t="shared" si="0"/>
        <v>1798887</v>
      </c>
      <c r="AB38" s="23">
        <v>6</v>
      </c>
      <c r="AC38" s="102"/>
      <c r="AD38" s="49"/>
    </row>
    <row r="39" spans="1:30" ht="15.75" thickBot="1" x14ac:dyDescent="0.3">
      <c r="A39" s="99">
        <v>49279</v>
      </c>
      <c r="B39" s="18" t="s">
        <v>5</v>
      </c>
      <c r="C39" s="33">
        <v>68501</v>
      </c>
      <c r="D39" s="33">
        <v>64357</v>
      </c>
      <c r="E39" s="33">
        <v>61962</v>
      </c>
      <c r="F39" s="33">
        <v>60732</v>
      </c>
      <c r="G39" s="33">
        <v>61579</v>
      </c>
      <c r="H39" s="33">
        <v>64279</v>
      </c>
      <c r="I39" s="33">
        <v>67285</v>
      </c>
      <c r="J39" s="33">
        <v>75202</v>
      </c>
      <c r="K39" s="33">
        <v>82596</v>
      </c>
      <c r="L39" s="33">
        <v>88062</v>
      </c>
      <c r="M39" s="33">
        <v>93048</v>
      </c>
      <c r="N39" s="33">
        <v>98104</v>
      </c>
      <c r="O39" s="33">
        <v>97138</v>
      </c>
      <c r="P39" s="33">
        <v>97060</v>
      </c>
      <c r="Q39" s="33">
        <v>98494</v>
      </c>
      <c r="R39" s="33">
        <v>98371</v>
      </c>
      <c r="S39" s="33">
        <v>96953</v>
      </c>
      <c r="T39" s="33">
        <v>96307</v>
      </c>
      <c r="U39" s="33">
        <v>107049</v>
      </c>
      <c r="V39" s="33">
        <v>108708</v>
      </c>
      <c r="W39" s="33">
        <v>104491</v>
      </c>
      <c r="X39" s="33">
        <v>97749</v>
      </c>
      <c r="Y39" s="33">
        <v>87404</v>
      </c>
      <c r="Z39" s="34">
        <v>77502</v>
      </c>
      <c r="AA39" s="35">
        <f t="shared" si="0"/>
        <v>2052933</v>
      </c>
      <c r="AB39" s="19">
        <v>19</v>
      </c>
      <c r="AC39" s="100">
        <f>+AA39*AB39+AA40*AB40+AA41*AB41</f>
        <v>61822305</v>
      </c>
    </row>
    <row r="40" spans="1:30" ht="15.75" thickBot="1" x14ac:dyDescent="0.3">
      <c r="A40" s="99"/>
      <c r="B40" s="20" t="s">
        <v>4</v>
      </c>
      <c r="C40" s="36">
        <v>69157</v>
      </c>
      <c r="D40" s="36">
        <v>63755</v>
      </c>
      <c r="E40" s="36">
        <v>61412</v>
      </c>
      <c r="F40" s="36">
        <v>59863</v>
      </c>
      <c r="G40" s="36">
        <v>59947</v>
      </c>
      <c r="H40" s="36">
        <v>61440</v>
      </c>
      <c r="I40" s="36">
        <v>63246</v>
      </c>
      <c r="J40" s="36">
        <v>70511</v>
      </c>
      <c r="K40" s="36">
        <v>77918</v>
      </c>
      <c r="L40" s="36">
        <v>83082</v>
      </c>
      <c r="M40" s="36">
        <v>87233</v>
      </c>
      <c r="N40" s="36">
        <v>90694</v>
      </c>
      <c r="O40" s="36">
        <v>90690</v>
      </c>
      <c r="P40" s="36">
        <v>89395</v>
      </c>
      <c r="Q40" s="36">
        <v>88561</v>
      </c>
      <c r="R40" s="36">
        <v>87637</v>
      </c>
      <c r="S40" s="36">
        <v>86981</v>
      </c>
      <c r="T40" s="36">
        <v>88539</v>
      </c>
      <c r="U40" s="36">
        <v>100307</v>
      </c>
      <c r="V40" s="36">
        <v>101687</v>
      </c>
      <c r="W40" s="36">
        <v>97618</v>
      </c>
      <c r="X40" s="36">
        <v>91802</v>
      </c>
      <c r="Y40" s="36">
        <v>83500</v>
      </c>
      <c r="Z40" s="37">
        <v>75481</v>
      </c>
      <c r="AA40" s="38">
        <f t="shared" si="0"/>
        <v>1930456</v>
      </c>
      <c r="AB40" s="21">
        <v>5</v>
      </c>
      <c r="AC40" s="101"/>
      <c r="AD40" s="47"/>
    </row>
    <row r="41" spans="1:30" x14ac:dyDescent="0.25">
      <c r="A41" s="99"/>
      <c r="B41" s="22" t="s">
        <v>3</v>
      </c>
      <c r="C41" s="39">
        <v>71446</v>
      </c>
      <c r="D41" s="39">
        <v>67092</v>
      </c>
      <c r="E41" s="39">
        <v>64052</v>
      </c>
      <c r="F41" s="39">
        <v>61894</v>
      </c>
      <c r="G41" s="39">
        <v>61048</v>
      </c>
      <c r="H41" s="39">
        <v>60741</v>
      </c>
      <c r="I41" s="39">
        <v>60643</v>
      </c>
      <c r="J41" s="39">
        <v>65552</v>
      </c>
      <c r="K41" s="39">
        <v>71654</v>
      </c>
      <c r="L41" s="39">
        <v>77016</v>
      </c>
      <c r="M41" s="39">
        <v>81030</v>
      </c>
      <c r="N41" s="39">
        <v>84801</v>
      </c>
      <c r="O41" s="39">
        <v>86832</v>
      </c>
      <c r="P41" s="39">
        <v>86724</v>
      </c>
      <c r="Q41" s="39">
        <v>85351</v>
      </c>
      <c r="R41" s="39">
        <v>84484</v>
      </c>
      <c r="S41" s="39">
        <v>83983</v>
      </c>
      <c r="T41" s="39">
        <v>85574</v>
      </c>
      <c r="U41" s="39">
        <v>97559</v>
      </c>
      <c r="V41" s="39">
        <v>99991</v>
      </c>
      <c r="W41" s="39">
        <v>96573</v>
      </c>
      <c r="X41" s="39">
        <v>90734</v>
      </c>
      <c r="Y41" s="39">
        <v>82197</v>
      </c>
      <c r="Z41" s="40">
        <v>73643</v>
      </c>
      <c r="AA41" s="41">
        <f t="shared" si="0"/>
        <v>1880614</v>
      </c>
      <c r="AB41" s="23">
        <v>7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2452134</v>
      </c>
      <c r="D42" s="31">
        <f t="shared" si="1"/>
        <v>2291954</v>
      </c>
      <c r="E42" s="31">
        <f t="shared" si="1"/>
        <v>2204631</v>
      </c>
      <c r="F42" s="31">
        <f t="shared" si="1"/>
        <v>2150659</v>
      </c>
      <c r="G42" s="31">
        <f t="shared" si="1"/>
        <v>2157362</v>
      </c>
      <c r="H42" s="31">
        <f t="shared" si="1"/>
        <v>2220113</v>
      </c>
      <c r="I42" s="31">
        <f t="shared" si="1"/>
        <v>2303982</v>
      </c>
      <c r="J42" s="31">
        <f t="shared" si="1"/>
        <v>2532332</v>
      </c>
      <c r="K42" s="31">
        <f t="shared" si="1"/>
        <v>2782888</v>
      </c>
      <c r="L42" s="31">
        <f t="shared" si="1"/>
        <v>2976106</v>
      </c>
      <c r="M42" s="31">
        <f t="shared" si="1"/>
        <v>3138188</v>
      </c>
      <c r="N42" s="31">
        <f t="shared" si="1"/>
        <v>3290310</v>
      </c>
      <c r="O42" s="31">
        <f t="shared" si="1"/>
        <v>3296360</v>
      </c>
      <c r="P42" s="31">
        <f t="shared" si="1"/>
        <v>3278197</v>
      </c>
      <c r="Q42" s="31">
        <f t="shared" si="1"/>
        <v>3266750</v>
      </c>
      <c r="R42" s="31">
        <f t="shared" si="1"/>
        <v>3253363</v>
      </c>
      <c r="S42" s="31">
        <f t="shared" si="1"/>
        <v>3221476</v>
      </c>
      <c r="T42" s="31">
        <f t="shared" si="1"/>
        <v>3227036</v>
      </c>
      <c r="U42" s="31">
        <f t="shared" si="1"/>
        <v>3551611</v>
      </c>
      <c r="V42" s="31">
        <f t="shared" si="1"/>
        <v>3719289</v>
      </c>
      <c r="W42" s="31">
        <f t="shared" si="1"/>
        <v>3585266</v>
      </c>
      <c r="X42" s="31">
        <f t="shared" si="1"/>
        <v>3352835</v>
      </c>
      <c r="Y42" s="31">
        <f t="shared" si="1"/>
        <v>3001996</v>
      </c>
      <c r="Z42" s="31">
        <f t="shared" si="1"/>
        <v>2660012</v>
      </c>
      <c r="AA42" s="31">
        <f t="shared" si="1"/>
        <v>69914850</v>
      </c>
      <c r="AB42" s="31">
        <f t="shared" si="1"/>
        <v>365</v>
      </c>
      <c r="AC42" s="46">
        <f t="shared" si="1"/>
        <v>720997801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8CB6-A035-48DB-A964-9E643B666D60}">
  <sheetPr>
    <tabColor rgb="FFFF0000"/>
  </sheetPr>
  <dimension ref="A1:AD46"/>
  <sheetViews>
    <sheetView showGridLines="0" zoomScale="115" zoomScaleNormal="115" zoomScaleSheetLayoutView="110" workbookViewId="0">
      <pane xSplit="2" ySplit="5" topLeftCell="N3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98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48945</v>
      </c>
      <c r="B6" s="18" t="s">
        <v>5</v>
      </c>
      <c r="C6" s="33">
        <f>+'Anexo 19'!C6*'Anexo 9'!$D$10</f>
        <v>0</v>
      </c>
      <c r="D6" s="33">
        <f>+'Anexo 19'!D6*'Anexo 9'!$D$10</f>
        <v>0</v>
      </c>
      <c r="E6" s="33">
        <f>+'Anexo 19'!E6*'Anexo 9'!$D$10</f>
        <v>0</v>
      </c>
      <c r="F6" s="33">
        <f>+'Anexo 19'!F6*'Anexo 9'!$D$10</f>
        <v>0</v>
      </c>
      <c r="G6" s="33">
        <f>+'Anexo 19'!G6*'Anexo 9'!$D$10</f>
        <v>0</v>
      </c>
      <c r="H6" s="33">
        <f>+'Anexo 19'!H6*'Anexo 9'!$D$10</f>
        <v>0</v>
      </c>
      <c r="I6" s="33">
        <f>+'Anexo 19'!I6*'Anexo 9'!$D$10</f>
        <v>0</v>
      </c>
      <c r="J6" s="33">
        <f>+'Anexo 19'!J6*'Anexo 9'!$D$10</f>
        <v>0</v>
      </c>
      <c r="K6" s="33">
        <f>+'Anexo 19'!K6*'Anexo 9'!$D$10</f>
        <v>0</v>
      </c>
      <c r="L6" s="33">
        <f>+'Anexo 19'!L6*'Anexo 9'!$D$10</f>
        <v>0</v>
      </c>
      <c r="M6" s="33">
        <f>+'Anexo 19'!M6*'Anexo 9'!$D$10</f>
        <v>0</v>
      </c>
      <c r="N6" s="33">
        <f>+'Anexo 19'!N6*'Anexo 9'!$D$10</f>
        <v>0</v>
      </c>
      <c r="O6" s="33">
        <f>+'Anexo 19'!O6*'Anexo 9'!$D$10</f>
        <v>0</v>
      </c>
      <c r="P6" s="33">
        <f>+'Anexo 19'!P6*'Anexo 9'!$D$10</f>
        <v>0</v>
      </c>
      <c r="Q6" s="33">
        <f>+'Anexo 19'!Q6*'Anexo 9'!$D$10</f>
        <v>0</v>
      </c>
      <c r="R6" s="33">
        <f>+'Anexo 19'!R6*'Anexo 9'!$D$10</f>
        <v>0</v>
      </c>
      <c r="S6" s="33">
        <f>+'Anexo 19'!S6*'Anexo 9'!$D$10</f>
        <v>0</v>
      </c>
      <c r="T6" s="33">
        <f>+'Anexo 19'!T6*'Anexo 9'!$D$10</f>
        <v>0</v>
      </c>
      <c r="U6" s="33">
        <f>+'Anexo 19'!U6*'Anexo 9'!$D$10</f>
        <v>0</v>
      </c>
      <c r="V6" s="33">
        <f>+'Anexo 19'!V6*'Anexo 9'!$D$10</f>
        <v>0</v>
      </c>
      <c r="W6" s="33">
        <f>+'Anexo 19'!W6*'Anexo 9'!$D$10</f>
        <v>0</v>
      </c>
      <c r="X6" s="33">
        <f>+'Anexo 19'!X6*'Anexo 9'!$D$10</f>
        <v>0</v>
      </c>
      <c r="Y6" s="33">
        <f>+'Anexo 19'!Y6*'Anexo 9'!$D$10</f>
        <v>0</v>
      </c>
      <c r="Z6" s="33">
        <f>+'Anexo 19'!Z6*'Anexo 9'!$D$10</f>
        <v>0</v>
      </c>
      <c r="AA6" s="35">
        <f>SUM(C6:Z6)</f>
        <v>0</v>
      </c>
      <c r="AB6" s="19">
        <v>21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+'Anexo 19'!C7*'Anexo 9'!$D$10</f>
        <v>0</v>
      </c>
      <c r="D7" s="33">
        <f>+'Anexo 19'!D7*'Anexo 9'!$D$10</f>
        <v>0</v>
      </c>
      <c r="E7" s="33">
        <f>+'Anexo 19'!E7*'Anexo 9'!$D$10</f>
        <v>0</v>
      </c>
      <c r="F7" s="33">
        <f>+'Anexo 19'!F7*'Anexo 9'!$D$10</f>
        <v>0</v>
      </c>
      <c r="G7" s="33">
        <f>+'Anexo 19'!G7*'Anexo 9'!$D$10</f>
        <v>0</v>
      </c>
      <c r="H7" s="33">
        <f>+'Anexo 19'!H7*'Anexo 9'!$D$10</f>
        <v>0</v>
      </c>
      <c r="I7" s="33">
        <f>+'Anexo 19'!I7*'Anexo 9'!$D$10</f>
        <v>0</v>
      </c>
      <c r="J7" s="33">
        <f>+'Anexo 19'!J7*'Anexo 9'!$D$10</f>
        <v>0</v>
      </c>
      <c r="K7" s="33">
        <f>+'Anexo 19'!K7*'Anexo 9'!$D$10</f>
        <v>0</v>
      </c>
      <c r="L7" s="33">
        <f>+'Anexo 19'!L7*'Anexo 9'!$D$10</f>
        <v>0</v>
      </c>
      <c r="M7" s="33">
        <f>+'Anexo 19'!M7*'Anexo 9'!$D$10</f>
        <v>0</v>
      </c>
      <c r="N7" s="33">
        <f>+'Anexo 19'!N7*'Anexo 9'!$D$10</f>
        <v>0</v>
      </c>
      <c r="O7" s="33">
        <f>+'Anexo 19'!O7*'Anexo 9'!$D$10</f>
        <v>0</v>
      </c>
      <c r="P7" s="33">
        <f>+'Anexo 19'!P7*'Anexo 9'!$D$10</f>
        <v>0</v>
      </c>
      <c r="Q7" s="33">
        <f>+'Anexo 19'!Q7*'Anexo 9'!$D$10</f>
        <v>0</v>
      </c>
      <c r="R7" s="33">
        <f>+'Anexo 19'!R7*'Anexo 9'!$D$10</f>
        <v>0</v>
      </c>
      <c r="S7" s="33">
        <f>+'Anexo 19'!S7*'Anexo 9'!$D$10</f>
        <v>0</v>
      </c>
      <c r="T7" s="33">
        <f>+'Anexo 19'!T7*'Anexo 9'!$D$10</f>
        <v>0</v>
      </c>
      <c r="U7" s="33">
        <f>+'Anexo 19'!U7*'Anexo 9'!$D$10</f>
        <v>0</v>
      </c>
      <c r="V7" s="33">
        <f>+'Anexo 19'!V7*'Anexo 9'!$D$10</f>
        <v>0</v>
      </c>
      <c r="W7" s="33">
        <f>+'Anexo 19'!W7*'Anexo 9'!$D$10</f>
        <v>0</v>
      </c>
      <c r="X7" s="33">
        <f>+'Anexo 19'!X7*'Anexo 9'!$D$10</f>
        <v>0</v>
      </c>
      <c r="Y7" s="33">
        <f>+'Anexo 19'!Y7*'Anexo 9'!$D$10</f>
        <v>0</v>
      </c>
      <c r="Z7" s="33">
        <f>+'Anexo 19'!Z7*'Anexo 9'!$D$10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+'Anexo 19'!C8*'Anexo 9'!$D$10</f>
        <v>0</v>
      </c>
      <c r="D8" s="33">
        <f>+'Anexo 19'!D8*'Anexo 9'!$D$10</f>
        <v>0</v>
      </c>
      <c r="E8" s="33">
        <f>+'Anexo 19'!E8*'Anexo 9'!$D$10</f>
        <v>0</v>
      </c>
      <c r="F8" s="33">
        <f>+'Anexo 19'!F8*'Anexo 9'!$D$10</f>
        <v>0</v>
      </c>
      <c r="G8" s="33">
        <f>+'Anexo 19'!G8*'Anexo 9'!$D$10</f>
        <v>0</v>
      </c>
      <c r="H8" s="33">
        <f>+'Anexo 19'!H8*'Anexo 9'!$D$10</f>
        <v>0</v>
      </c>
      <c r="I8" s="33">
        <f>+'Anexo 19'!I8*'Anexo 9'!$D$10</f>
        <v>0</v>
      </c>
      <c r="J8" s="33">
        <f>+'Anexo 19'!J8*'Anexo 9'!$D$10</f>
        <v>0</v>
      </c>
      <c r="K8" s="33">
        <f>+'Anexo 19'!K8*'Anexo 9'!$D$10</f>
        <v>0</v>
      </c>
      <c r="L8" s="33">
        <f>+'Anexo 19'!L8*'Anexo 9'!$D$10</f>
        <v>0</v>
      </c>
      <c r="M8" s="33">
        <f>+'Anexo 19'!M8*'Anexo 9'!$D$10</f>
        <v>0</v>
      </c>
      <c r="N8" s="33">
        <f>+'Anexo 19'!N8*'Anexo 9'!$D$10</f>
        <v>0</v>
      </c>
      <c r="O8" s="33">
        <f>+'Anexo 19'!O8*'Anexo 9'!$D$10</f>
        <v>0</v>
      </c>
      <c r="P8" s="33">
        <f>+'Anexo 19'!P8*'Anexo 9'!$D$10</f>
        <v>0</v>
      </c>
      <c r="Q8" s="33">
        <f>+'Anexo 19'!Q8*'Anexo 9'!$D$10</f>
        <v>0</v>
      </c>
      <c r="R8" s="33">
        <f>+'Anexo 19'!R8*'Anexo 9'!$D$10</f>
        <v>0</v>
      </c>
      <c r="S8" s="33">
        <f>+'Anexo 19'!S8*'Anexo 9'!$D$10</f>
        <v>0</v>
      </c>
      <c r="T8" s="33">
        <f>+'Anexo 19'!T8*'Anexo 9'!$D$10</f>
        <v>0</v>
      </c>
      <c r="U8" s="33">
        <f>+'Anexo 19'!U8*'Anexo 9'!$D$10</f>
        <v>0</v>
      </c>
      <c r="V8" s="33">
        <f>+'Anexo 19'!V8*'Anexo 9'!$D$10</f>
        <v>0</v>
      </c>
      <c r="W8" s="33">
        <f>+'Anexo 19'!W8*'Anexo 9'!$D$10</f>
        <v>0</v>
      </c>
      <c r="X8" s="33">
        <f>+'Anexo 19'!X8*'Anexo 9'!$D$10</f>
        <v>0</v>
      </c>
      <c r="Y8" s="33">
        <f>+'Anexo 19'!Y8*'Anexo 9'!$D$10</f>
        <v>0</v>
      </c>
      <c r="Z8" s="33">
        <f>+'Anexo 19'!Z8*'Anexo 9'!$D$10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48976</v>
      </c>
      <c r="B9" s="18" t="s">
        <v>5</v>
      </c>
      <c r="C9" s="33">
        <f>+'Anexo 19'!C9*'Anexo 9'!$D$10</f>
        <v>0</v>
      </c>
      <c r="D9" s="33">
        <f>+'Anexo 19'!D9*'Anexo 9'!$D$10</f>
        <v>0</v>
      </c>
      <c r="E9" s="33">
        <f>+'Anexo 19'!E9*'Anexo 9'!$D$10</f>
        <v>0</v>
      </c>
      <c r="F9" s="33">
        <f>+'Anexo 19'!F9*'Anexo 9'!$D$10</f>
        <v>0</v>
      </c>
      <c r="G9" s="33">
        <f>+'Anexo 19'!G9*'Anexo 9'!$D$10</f>
        <v>0</v>
      </c>
      <c r="H9" s="33">
        <f>+'Anexo 19'!H9*'Anexo 9'!$D$10</f>
        <v>0</v>
      </c>
      <c r="I9" s="33">
        <f>+'Anexo 19'!I9*'Anexo 9'!$D$10</f>
        <v>0</v>
      </c>
      <c r="J9" s="33">
        <f>+'Anexo 19'!J9*'Anexo 9'!$D$10</f>
        <v>0</v>
      </c>
      <c r="K9" s="33">
        <f>+'Anexo 19'!K9*'Anexo 9'!$D$10</f>
        <v>0</v>
      </c>
      <c r="L9" s="33">
        <f>+'Anexo 19'!L9*'Anexo 9'!$D$10</f>
        <v>0</v>
      </c>
      <c r="M9" s="33">
        <f>+'Anexo 19'!M9*'Anexo 9'!$D$10</f>
        <v>0</v>
      </c>
      <c r="N9" s="33">
        <f>+'Anexo 19'!N9*'Anexo 9'!$D$10</f>
        <v>0</v>
      </c>
      <c r="O9" s="33">
        <f>+'Anexo 19'!O9*'Anexo 9'!$D$10</f>
        <v>0</v>
      </c>
      <c r="P9" s="33">
        <f>+'Anexo 19'!P9*'Anexo 9'!$D$10</f>
        <v>0</v>
      </c>
      <c r="Q9" s="33">
        <f>+'Anexo 19'!Q9*'Anexo 9'!$D$10</f>
        <v>0</v>
      </c>
      <c r="R9" s="33">
        <f>+'Anexo 19'!R9*'Anexo 9'!$D$10</f>
        <v>0</v>
      </c>
      <c r="S9" s="33">
        <f>+'Anexo 19'!S9*'Anexo 9'!$D$10</f>
        <v>0</v>
      </c>
      <c r="T9" s="33">
        <f>+'Anexo 19'!T9*'Anexo 9'!$D$10</f>
        <v>0</v>
      </c>
      <c r="U9" s="33">
        <f>+'Anexo 19'!U9*'Anexo 9'!$D$10</f>
        <v>0</v>
      </c>
      <c r="V9" s="33">
        <f>+'Anexo 19'!V9*'Anexo 9'!$D$10</f>
        <v>0</v>
      </c>
      <c r="W9" s="33">
        <f>+'Anexo 19'!W9*'Anexo 9'!$D$10</f>
        <v>0</v>
      </c>
      <c r="X9" s="33">
        <f>+'Anexo 19'!X9*'Anexo 9'!$D$10</f>
        <v>0</v>
      </c>
      <c r="Y9" s="33">
        <f>+'Anexo 19'!Y9*'Anexo 9'!$D$10</f>
        <v>0</v>
      </c>
      <c r="Z9" s="33">
        <f>+'Anexo 19'!Z9*'Anexo 9'!$D$10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+'Anexo 19'!C10*'Anexo 9'!$D$10</f>
        <v>0</v>
      </c>
      <c r="D10" s="33">
        <f>+'Anexo 19'!D10*'Anexo 9'!$D$10</f>
        <v>0</v>
      </c>
      <c r="E10" s="33">
        <f>+'Anexo 19'!E10*'Anexo 9'!$D$10</f>
        <v>0</v>
      </c>
      <c r="F10" s="33">
        <f>+'Anexo 19'!F10*'Anexo 9'!$D$10</f>
        <v>0</v>
      </c>
      <c r="G10" s="33">
        <f>+'Anexo 19'!G10*'Anexo 9'!$D$10</f>
        <v>0</v>
      </c>
      <c r="H10" s="33">
        <f>+'Anexo 19'!H10*'Anexo 9'!$D$10</f>
        <v>0</v>
      </c>
      <c r="I10" s="33">
        <f>+'Anexo 19'!I10*'Anexo 9'!$D$10</f>
        <v>0</v>
      </c>
      <c r="J10" s="33">
        <f>+'Anexo 19'!J10*'Anexo 9'!$D$10</f>
        <v>0</v>
      </c>
      <c r="K10" s="33">
        <f>+'Anexo 19'!K10*'Anexo 9'!$D$10</f>
        <v>0</v>
      </c>
      <c r="L10" s="33">
        <f>+'Anexo 19'!L10*'Anexo 9'!$D$10</f>
        <v>0</v>
      </c>
      <c r="M10" s="33">
        <f>+'Anexo 19'!M10*'Anexo 9'!$D$10</f>
        <v>0</v>
      </c>
      <c r="N10" s="33">
        <f>+'Anexo 19'!N10*'Anexo 9'!$D$10</f>
        <v>0</v>
      </c>
      <c r="O10" s="33">
        <f>+'Anexo 19'!O10*'Anexo 9'!$D$10</f>
        <v>0</v>
      </c>
      <c r="P10" s="33">
        <f>+'Anexo 19'!P10*'Anexo 9'!$D$10</f>
        <v>0</v>
      </c>
      <c r="Q10" s="33">
        <f>+'Anexo 19'!Q10*'Anexo 9'!$D$10</f>
        <v>0</v>
      </c>
      <c r="R10" s="33">
        <f>+'Anexo 19'!R10*'Anexo 9'!$D$10</f>
        <v>0</v>
      </c>
      <c r="S10" s="33">
        <f>+'Anexo 19'!S10*'Anexo 9'!$D$10</f>
        <v>0</v>
      </c>
      <c r="T10" s="33">
        <f>+'Anexo 19'!T10*'Anexo 9'!$D$10</f>
        <v>0</v>
      </c>
      <c r="U10" s="33">
        <f>+'Anexo 19'!U10*'Anexo 9'!$D$10</f>
        <v>0</v>
      </c>
      <c r="V10" s="33">
        <f>+'Anexo 19'!V10*'Anexo 9'!$D$10</f>
        <v>0</v>
      </c>
      <c r="W10" s="33">
        <f>+'Anexo 19'!W10*'Anexo 9'!$D$10</f>
        <v>0</v>
      </c>
      <c r="X10" s="33">
        <f>+'Anexo 19'!X10*'Anexo 9'!$D$10</f>
        <v>0</v>
      </c>
      <c r="Y10" s="33">
        <f>+'Anexo 19'!Y10*'Anexo 9'!$D$10</f>
        <v>0</v>
      </c>
      <c r="Z10" s="33">
        <f>+'Anexo 19'!Z10*'Anexo 9'!$D$10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+'Anexo 19'!C11*'Anexo 9'!$D$10</f>
        <v>0</v>
      </c>
      <c r="D11" s="33">
        <f>+'Anexo 19'!D11*'Anexo 9'!$D$10</f>
        <v>0</v>
      </c>
      <c r="E11" s="33">
        <f>+'Anexo 19'!E11*'Anexo 9'!$D$10</f>
        <v>0</v>
      </c>
      <c r="F11" s="33">
        <f>+'Anexo 19'!F11*'Anexo 9'!$D$10</f>
        <v>0</v>
      </c>
      <c r="G11" s="33">
        <f>+'Anexo 19'!G11*'Anexo 9'!$D$10</f>
        <v>0</v>
      </c>
      <c r="H11" s="33">
        <f>+'Anexo 19'!H11*'Anexo 9'!$D$10</f>
        <v>0</v>
      </c>
      <c r="I11" s="33">
        <f>+'Anexo 19'!I11*'Anexo 9'!$D$10</f>
        <v>0</v>
      </c>
      <c r="J11" s="33">
        <f>+'Anexo 19'!J11*'Anexo 9'!$D$10</f>
        <v>0</v>
      </c>
      <c r="K11" s="33">
        <f>+'Anexo 19'!K11*'Anexo 9'!$D$10</f>
        <v>0</v>
      </c>
      <c r="L11" s="33">
        <f>+'Anexo 19'!L11*'Anexo 9'!$D$10</f>
        <v>0</v>
      </c>
      <c r="M11" s="33">
        <f>+'Anexo 19'!M11*'Anexo 9'!$D$10</f>
        <v>0</v>
      </c>
      <c r="N11" s="33">
        <f>+'Anexo 19'!N11*'Anexo 9'!$D$10</f>
        <v>0</v>
      </c>
      <c r="O11" s="33">
        <f>+'Anexo 19'!O11*'Anexo 9'!$D$10</f>
        <v>0</v>
      </c>
      <c r="P11" s="33">
        <f>+'Anexo 19'!P11*'Anexo 9'!$D$10</f>
        <v>0</v>
      </c>
      <c r="Q11" s="33">
        <f>+'Anexo 19'!Q11*'Anexo 9'!$D$10</f>
        <v>0</v>
      </c>
      <c r="R11" s="33">
        <f>+'Anexo 19'!R11*'Anexo 9'!$D$10</f>
        <v>0</v>
      </c>
      <c r="S11" s="33">
        <f>+'Anexo 19'!S11*'Anexo 9'!$D$10</f>
        <v>0</v>
      </c>
      <c r="T11" s="33">
        <f>+'Anexo 19'!T11*'Anexo 9'!$D$10</f>
        <v>0</v>
      </c>
      <c r="U11" s="33">
        <f>+'Anexo 19'!U11*'Anexo 9'!$D$10</f>
        <v>0</v>
      </c>
      <c r="V11" s="33">
        <f>+'Anexo 19'!V11*'Anexo 9'!$D$10</f>
        <v>0</v>
      </c>
      <c r="W11" s="33">
        <f>+'Anexo 19'!W11*'Anexo 9'!$D$10</f>
        <v>0</v>
      </c>
      <c r="X11" s="33">
        <f>+'Anexo 19'!X11*'Anexo 9'!$D$10</f>
        <v>0</v>
      </c>
      <c r="Y11" s="33">
        <f>+'Anexo 19'!Y11*'Anexo 9'!$D$10</f>
        <v>0</v>
      </c>
      <c r="Z11" s="33">
        <f>+'Anexo 19'!Z11*'Anexo 9'!$D$10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49004</v>
      </c>
      <c r="B12" s="18" t="s">
        <v>5</v>
      </c>
      <c r="C12" s="33">
        <f>+'Anexo 19'!C12*'Anexo 9'!$D$10</f>
        <v>0</v>
      </c>
      <c r="D12" s="33">
        <f>+'Anexo 19'!D12*'Anexo 9'!$D$10</f>
        <v>0</v>
      </c>
      <c r="E12" s="33">
        <f>+'Anexo 19'!E12*'Anexo 9'!$D$10</f>
        <v>0</v>
      </c>
      <c r="F12" s="33">
        <f>+'Anexo 19'!F12*'Anexo 9'!$D$10</f>
        <v>0</v>
      </c>
      <c r="G12" s="33">
        <f>+'Anexo 19'!G12*'Anexo 9'!$D$10</f>
        <v>0</v>
      </c>
      <c r="H12" s="33">
        <f>+'Anexo 19'!H12*'Anexo 9'!$D$10</f>
        <v>0</v>
      </c>
      <c r="I12" s="33">
        <f>+'Anexo 19'!I12*'Anexo 9'!$D$10</f>
        <v>0</v>
      </c>
      <c r="J12" s="33">
        <f>+'Anexo 19'!J12*'Anexo 9'!$D$10</f>
        <v>0</v>
      </c>
      <c r="K12" s="33">
        <f>+'Anexo 19'!K12*'Anexo 9'!$D$10</f>
        <v>0</v>
      </c>
      <c r="L12" s="33">
        <f>+'Anexo 19'!L12*'Anexo 9'!$D$10</f>
        <v>0</v>
      </c>
      <c r="M12" s="33">
        <f>+'Anexo 19'!M12*'Anexo 9'!$D$10</f>
        <v>0</v>
      </c>
      <c r="N12" s="33">
        <f>+'Anexo 19'!N12*'Anexo 9'!$D$10</f>
        <v>0</v>
      </c>
      <c r="O12" s="33">
        <f>+'Anexo 19'!O12*'Anexo 9'!$D$10</f>
        <v>0</v>
      </c>
      <c r="P12" s="33">
        <f>+'Anexo 19'!P12*'Anexo 9'!$D$10</f>
        <v>0</v>
      </c>
      <c r="Q12" s="33">
        <f>+'Anexo 19'!Q12*'Anexo 9'!$D$10</f>
        <v>0</v>
      </c>
      <c r="R12" s="33">
        <f>+'Anexo 19'!R12*'Anexo 9'!$D$10</f>
        <v>0</v>
      </c>
      <c r="S12" s="33">
        <f>+'Anexo 19'!S12*'Anexo 9'!$D$10</f>
        <v>0</v>
      </c>
      <c r="T12" s="33">
        <f>+'Anexo 19'!T12*'Anexo 9'!$D$10</f>
        <v>0</v>
      </c>
      <c r="U12" s="33">
        <f>+'Anexo 19'!U12*'Anexo 9'!$D$10</f>
        <v>0</v>
      </c>
      <c r="V12" s="33">
        <f>+'Anexo 19'!V12*'Anexo 9'!$D$10</f>
        <v>0</v>
      </c>
      <c r="W12" s="33">
        <f>+'Anexo 19'!W12*'Anexo 9'!$D$10</f>
        <v>0</v>
      </c>
      <c r="X12" s="33">
        <f>+'Anexo 19'!X12*'Anexo 9'!$D$10</f>
        <v>0</v>
      </c>
      <c r="Y12" s="33">
        <f>+'Anexo 19'!Y12*'Anexo 9'!$D$10</f>
        <v>0</v>
      </c>
      <c r="Z12" s="33">
        <f>+'Anexo 19'!Z12*'Anexo 9'!$D$10</f>
        <v>0</v>
      </c>
      <c r="AA12" s="35">
        <f t="shared" si="0"/>
        <v>0</v>
      </c>
      <c r="AB12" s="19">
        <v>22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+'Anexo 19'!C13*'Anexo 9'!$D$10</f>
        <v>0</v>
      </c>
      <c r="D13" s="33">
        <f>+'Anexo 19'!D13*'Anexo 9'!$D$10</f>
        <v>0</v>
      </c>
      <c r="E13" s="33">
        <f>+'Anexo 19'!E13*'Anexo 9'!$D$10</f>
        <v>0</v>
      </c>
      <c r="F13" s="33">
        <f>+'Anexo 19'!F13*'Anexo 9'!$D$10</f>
        <v>0</v>
      </c>
      <c r="G13" s="33">
        <f>+'Anexo 19'!G13*'Anexo 9'!$D$10</f>
        <v>0</v>
      </c>
      <c r="H13" s="33">
        <f>+'Anexo 19'!H13*'Anexo 9'!$D$10</f>
        <v>0</v>
      </c>
      <c r="I13" s="33">
        <f>+'Anexo 19'!I13*'Anexo 9'!$D$10</f>
        <v>0</v>
      </c>
      <c r="J13" s="33">
        <f>+'Anexo 19'!J13*'Anexo 9'!$D$10</f>
        <v>0</v>
      </c>
      <c r="K13" s="33">
        <f>+'Anexo 19'!K13*'Anexo 9'!$D$10</f>
        <v>0</v>
      </c>
      <c r="L13" s="33">
        <f>+'Anexo 19'!L13*'Anexo 9'!$D$10</f>
        <v>0</v>
      </c>
      <c r="M13" s="33">
        <f>+'Anexo 19'!M13*'Anexo 9'!$D$10</f>
        <v>0</v>
      </c>
      <c r="N13" s="33">
        <f>+'Anexo 19'!N13*'Anexo 9'!$D$10</f>
        <v>0</v>
      </c>
      <c r="O13" s="33">
        <f>+'Anexo 19'!O13*'Anexo 9'!$D$10</f>
        <v>0</v>
      </c>
      <c r="P13" s="33">
        <f>+'Anexo 19'!P13*'Anexo 9'!$D$10</f>
        <v>0</v>
      </c>
      <c r="Q13" s="33">
        <f>+'Anexo 19'!Q13*'Anexo 9'!$D$10</f>
        <v>0</v>
      </c>
      <c r="R13" s="33">
        <f>+'Anexo 19'!R13*'Anexo 9'!$D$10</f>
        <v>0</v>
      </c>
      <c r="S13" s="33">
        <f>+'Anexo 19'!S13*'Anexo 9'!$D$10</f>
        <v>0</v>
      </c>
      <c r="T13" s="33">
        <f>+'Anexo 19'!T13*'Anexo 9'!$D$10</f>
        <v>0</v>
      </c>
      <c r="U13" s="33">
        <f>+'Anexo 19'!U13*'Anexo 9'!$D$10</f>
        <v>0</v>
      </c>
      <c r="V13" s="33">
        <f>+'Anexo 19'!V13*'Anexo 9'!$D$10</f>
        <v>0</v>
      </c>
      <c r="W13" s="33">
        <f>+'Anexo 19'!W13*'Anexo 9'!$D$10</f>
        <v>0</v>
      </c>
      <c r="X13" s="33">
        <f>+'Anexo 19'!X13*'Anexo 9'!$D$10</f>
        <v>0</v>
      </c>
      <c r="Y13" s="33">
        <f>+'Anexo 19'!Y13*'Anexo 9'!$D$10</f>
        <v>0</v>
      </c>
      <c r="Z13" s="33">
        <f>+'Anexo 19'!Z13*'Anexo 9'!$D$10</f>
        <v>0</v>
      </c>
      <c r="AA13" s="38">
        <f t="shared" si="0"/>
        <v>0</v>
      </c>
      <c r="AB13" s="21">
        <v>4</v>
      </c>
      <c r="AC13" s="101"/>
      <c r="AD13" s="47"/>
    </row>
    <row r="14" spans="1:30" ht="15.75" thickBot="1" x14ac:dyDescent="0.3">
      <c r="A14" s="99"/>
      <c r="B14" s="22" t="s">
        <v>3</v>
      </c>
      <c r="C14" s="33">
        <f>+'Anexo 19'!C14*'Anexo 9'!$D$10</f>
        <v>0</v>
      </c>
      <c r="D14" s="33">
        <f>+'Anexo 19'!D14*'Anexo 9'!$D$10</f>
        <v>0</v>
      </c>
      <c r="E14" s="33">
        <f>+'Anexo 19'!E14*'Anexo 9'!$D$10</f>
        <v>0</v>
      </c>
      <c r="F14" s="33">
        <f>+'Anexo 19'!F14*'Anexo 9'!$D$10</f>
        <v>0</v>
      </c>
      <c r="G14" s="33">
        <f>+'Anexo 19'!G14*'Anexo 9'!$D$10</f>
        <v>0</v>
      </c>
      <c r="H14" s="33">
        <f>+'Anexo 19'!H14*'Anexo 9'!$D$10</f>
        <v>0</v>
      </c>
      <c r="I14" s="33">
        <f>+'Anexo 19'!I14*'Anexo 9'!$D$10</f>
        <v>0</v>
      </c>
      <c r="J14" s="33">
        <f>+'Anexo 19'!J14*'Anexo 9'!$D$10</f>
        <v>0</v>
      </c>
      <c r="K14" s="33">
        <f>+'Anexo 19'!K14*'Anexo 9'!$D$10</f>
        <v>0</v>
      </c>
      <c r="L14" s="33">
        <f>+'Anexo 19'!L14*'Anexo 9'!$D$10</f>
        <v>0</v>
      </c>
      <c r="M14" s="33">
        <f>+'Anexo 19'!M14*'Anexo 9'!$D$10</f>
        <v>0</v>
      </c>
      <c r="N14" s="33">
        <f>+'Anexo 19'!N14*'Anexo 9'!$D$10</f>
        <v>0</v>
      </c>
      <c r="O14" s="33">
        <f>+'Anexo 19'!O14*'Anexo 9'!$D$10</f>
        <v>0</v>
      </c>
      <c r="P14" s="33">
        <f>+'Anexo 19'!P14*'Anexo 9'!$D$10</f>
        <v>0</v>
      </c>
      <c r="Q14" s="33">
        <f>+'Anexo 19'!Q14*'Anexo 9'!$D$10</f>
        <v>0</v>
      </c>
      <c r="R14" s="33">
        <f>+'Anexo 19'!R14*'Anexo 9'!$D$10</f>
        <v>0</v>
      </c>
      <c r="S14" s="33">
        <f>+'Anexo 19'!S14*'Anexo 9'!$D$10</f>
        <v>0</v>
      </c>
      <c r="T14" s="33">
        <f>+'Anexo 19'!T14*'Anexo 9'!$D$10</f>
        <v>0</v>
      </c>
      <c r="U14" s="33">
        <f>+'Anexo 19'!U14*'Anexo 9'!$D$10</f>
        <v>0</v>
      </c>
      <c r="V14" s="33">
        <f>+'Anexo 19'!V14*'Anexo 9'!$D$10</f>
        <v>0</v>
      </c>
      <c r="W14" s="33">
        <f>+'Anexo 19'!W14*'Anexo 9'!$D$10</f>
        <v>0</v>
      </c>
      <c r="X14" s="33">
        <f>+'Anexo 19'!X14*'Anexo 9'!$D$10</f>
        <v>0</v>
      </c>
      <c r="Y14" s="33">
        <f>+'Anexo 19'!Y14*'Anexo 9'!$D$10</f>
        <v>0</v>
      </c>
      <c r="Z14" s="33">
        <f>+'Anexo 19'!Z14*'Anexo 9'!$D$10</f>
        <v>0</v>
      </c>
      <c r="AA14" s="41">
        <f t="shared" si="0"/>
        <v>0</v>
      </c>
      <c r="AB14" s="23">
        <v>5</v>
      </c>
      <c r="AC14" s="102"/>
      <c r="AD14" s="45"/>
    </row>
    <row r="15" spans="1:30" ht="15.75" thickBot="1" x14ac:dyDescent="0.3">
      <c r="A15" s="99">
        <v>49035</v>
      </c>
      <c r="B15" s="18" t="s">
        <v>5</v>
      </c>
      <c r="C15" s="33">
        <f>+'Anexo 19'!C15*'Anexo 9'!$D$10</f>
        <v>0</v>
      </c>
      <c r="D15" s="33">
        <f>+'Anexo 19'!D15*'Anexo 9'!$D$10</f>
        <v>0</v>
      </c>
      <c r="E15" s="33">
        <f>+'Anexo 19'!E15*'Anexo 9'!$D$10</f>
        <v>0</v>
      </c>
      <c r="F15" s="33">
        <f>+'Anexo 19'!F15*'Anexo 9'!$D$10</f>
        <v>0</v>
      </c>
      <c r="G15" s="33">
        <f>+'Anexo 19'!G15*'Anexo 9'!$D$10</f>
        <v>0</v>
      </c>
      <c r="H15" s="33">
        <f>+'Anexo 19'!H15*'Anexo 9'!$D$10</f>
        <v>0</v>
      </c>
      <c r="I15" s="33">
        <f>+'Anexo 19'!I15*'Anexo 9'!$D$10</f>
        <v>0</v>
      </c>
      <c r="J15" s="33">
        <f>+'Anexo 19'!J15*'Anexo 9'!$D$10</f>
        <v>0</v>
      </c>
      <c r="K15" s="33">
        <f>+'Anexo 19'!K15*'Anexo 9'!$D$10</f>
        <v>0</v>
      </c>
      <c r="L15" s="33">
        <f>+'Anexo 19'!L15*'Anexo 9'!$D$10</f>
        <v>0</v>
      </c>
      <c r="M15" s="33">
        <f>+'Anexo 19'!M15*'Anexo 9'!$D$10</f>
        <v>0</v>
      </c>
      <c r="N15" s="33">
        <f>+'Anexo 19'!N15*'Anexo 9'!$D$10</f>
        <v>0</v>
      </c>
      <c r="O15" s="33">
        <f>+'Anexo 19'!O15*'Anexo 9'!$D$10</f>
        <v>0</v>
      </c>
      <c r="P15" s="33">
        <f>+'Anexo 19'!P15*'Anexo 9'!$D$10</f>
        <v>0</v>
      </c>
      <c r="Q15" s="33">
        <f>+'Anexo 19'!Q15*'Anexo 9'!$D$10</f>
        <v>0</v>
      </c>
      <c r="R15" s="33">
        <f>+'Anexo 19'!R15*'Anexo 9'!$D$10</f>
        <v>0</v>
      </c>
      <c r="S15" s="33">
        <f>+'Anexo 19'!S15*'Anexo 9'!$D$10</f>
        <v>0</v>
      </c>
      <c r="T15" s="33">
        <f>+'Anexo 19'!T15*'Anexo 9'!$D$10</f>
        <v>0</v>
      </c>
      <c r="U15" s="33">
        <f>+'Anexo 19'!U15*'Anexo 9'!$D$10</f>
        <v>0</v>
      </c>
      <c r="V15" s="33">
        <f>+'Anexo 19'!V15*'Anexo 9'!$D$10</f>
        <v>0</v>
      </c>
      <c r="W15" s="33">
        <f>+'Anexo 19'!W15*'Anexo 9'!$D$10</f>
        <v>0</v>
      </c>
      <c r="X15" s="33">
        <f>+'Anexo 19'!X15*'Anexo 9'!$D$10</f>
        <v>0</v>
      </c>
      <c r="Y15" s="33">
        <f>+'Anexo 19'!Y15*'Anexo 9'!$D$10</f>
        <v>0</v>
      </c>
      <c r="Z15" s="33">
        <f>+'Anexo 19'!Z15*'Anexo 9'!$D$10</f>
        <v>0</v>
      </c>
      <c r="AA15" s="35">
        <f t="shared" si="0"/>
        <v>0</v>
      </c>
      <c r="AB15" s="19">
        <v>18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+'Anexo 19'!C16*'Anexo 9'!$D$10</f>
        <v>0</v>
      </c>
      <c r="D16" s="33">
        <f>+'Anexo 19'!D16*'Anexo 9'!$D$10</f>
        <v>0</v>
      </c>
      <c r="E16" s="33">
        <f>+'Anexo 19'!E16*'Anexo 9'!$D$10</f>
        <v>0</v>
      </c>
      <c r="F16" s="33">
        <f>+'Anexo 19'!F16*'Anexo 9'!$D$10</f>
        <v>0</v>
      </c>
      <c r="G16" s="33">
        <f>+'Anexo 19'!G16*'Anexo 9'!$D$10</f>
        <v>0</v>
      </c>
      <c r="H16" s="33">
        <f>+'Anexo 19'!H16*'Anexo 9'!$D$10</f>
        <v>0</v>
      </c>
      <c r="I16" s="33">
        <f>+'Anexo 19'!I16*'Anexo 9'!$D$10</f>
        <v>0</v>
      </c>
      <c r="J16" s="33">
        <f>+'Anexo 19'!J16*'Anexo 9'!$D$10</f>
        <v>0</v>
      </c>
      <c r="K16" s="33">
        <f>+'Anexo 19'!K16*'Anexo 9'!$D$10</f>
        <v>0</v>
      </c>
      <c r="L16" s="33">
        <f>+'Anexo 19'!L16*'Anexo 9'!$D$10</f>
        <v>0</v>
      </c>
      <c r="M16" s="33">
        <f>+'Anexo 19'!M16*'Anexo 9'!$D$10</f>
        <v>0</v>
      </c>
      <c r="N16" s="33">
        <f>+'Anexo 19'!N16*'Anexo 9'!$D$10</f>
        <v>0</v>
      </c>
      <c r="O16" s="33">
        <f>+'Anexo 19'!O16*'Anexo 9'!$D$10</f>
        <v>0</v>
      </c>
      <c r="P16" s="33">
        <f>+'Anexo 19'!P16*'Anexo 9'!$D$10</f>
        <v>0</v>
      </c>
      <c r="Q16" s="33">
        <f>+'Anexo 19'!Q16*'Anexo 9'!$D$10</f>
        <v>0</v>
      </c>
      <c r="R16" s="33">
        <f>+'Anexo 19'!R16*'Anexo 9'!$D$10</f>
        <v>0</v>
      </c>
      <c r="S16" s="33">
        <f>+'Anexo 19'!S16*'Anexo 9'!$D$10</f>
        <v>0</v>
      </c>
      <c r="T16" s="33">
        <f>+'Anexo 19'!T16*'Anexo 9'!$D$10</f>
        <v>0</v>
      </c>
      <c r="U16" s="33">
        <f>+'Anexo 19'!U16*'Anexo 9'!$D$10</f>
        <v>0</v>
      </c>
      <c r="V16" s="33">
        <f>+'Anexo 19'!V16*'Anexo 9'!$D$10</f>
        <v>0</v>
      </c>
      <c r="W16" s="33">
        <f>+'Anexo 19'!W16*'Anexo 9'!$D$10</f>
        <v>0</v>
      </c>
      <c r="X16" s="33">
        <f>+'Anexo 19'!X16*'Anexo 9'!$D$10</f>
        <v>0</v>
      </c>
      <c r="Y16" s="33">
        <f>+'Anexo 19'!Y16*'Anexo 9'!$D$10</f>
        <v>0</v>
      </c>
      <c r="Z16" s="33">
        <f>+'Anexo 19'!Z16*'Anexo 9'!$D$10</f>
        <v>0</v>
      </c>
      <c r="AA16" s="38">
        <f t="shared" si="0"/>
        <v>0</v>
      </c>
      <c r="AB16" s="21">
        <v>5</v>
      </c>
      <c r="AC16" s="101"/>
      <c r="AD16" s="47"/>
    </row>
    <row r="17" spans="1:30" ht="15.75" thickBot="1" x14ac:dyDescent="0.3">
      <c r="A17" s="99"/>
      <c r="B17" s="22" t="s">
        <v>3</v>
      </c>
      <c r="C17" s="33">
        <f>+'Anexo 19'!C17*'Anexo 9'!$D$10</f>
        <v>0</v>
      </c>
      <c r="D17" s="33">
        <f>+'Anexo 19'!D17*'Anexo 9'!$D$10</f>
        <v>0</v>
      </c>
      <c r="E17" s="33">
        <f>+'Anexo 19'!E17*'Anexo 9'!$D$10</f>
        <v>0</v>
      </c>
      <c r="F17" s="33">
        <f>+'Anexo 19'!F17*'Anexo 9'!$D$10</f>
        <v>0</v>
      </c>
      <c r="G17" s="33">
        <f>+'Anexo 19'!G17*'Anexo 9'!$D$10</f>
        <v>0</v>
      </c>
      <c r="H17" s="33">
        <f>+'Anexo 19'!H17*'Anexo 9'!$D$10</f>
        <v>0</v>
      </c>
      <c r="I17" s="33">
        <f>+'Anexo 19'!I17*'Anexo 9'!$D$10</f>
        <v>0</v>
      </c>
      <c r="J17" s="33">
        <f>+'Anexo 19'!J17*'Anexo 9'!$D$10</f>
        <v>0</v>
      </c>
      <c r="K17" s="33">
        <f>+'Anexo 19'!K17*'Anexo 9'!$D$10</f>
        <v>0</v>
      </c>
      <c r="L17" s="33">
        <f>+'Anexo 19'!L17*'Anexo 9'!$D$10</f>
        <v>0</v>
      </c>
      <c r="M17" s="33">
        <f>+'Anexo 19'!M17*'Anexo 9'!$D$10</f>
        <v>0</v>
      </c>
      <c r="N17" s="33">
        <f>+'Anexo 19'!N17*'Anexo 9'!$D$10</f>
        <v>0</v>
      </c>
      <c r="O17" s="33">
        <f>+'Anexo 19'!O17*'Anexo 9'!$D$10</f>
        <v>0</v>
      </c>
      <c r="P17" s="33">
        <f>+'Anexo 19'!P17*'Anexo 9'!$D$10</f>
        <v>0</v>
      </c>
      <c r="Q17" s="33">
        <f>+'Anexo 19'!Q17*'Anexo 9'!$D$10</f>
        <v>0</v>
      </c>
      <c r="R17" s="33">
        <f>+'Anexo 19'!R17*'Anexo 9'!$D$10</f>
        <v>0</v>
      </c>
      <c r="S17" s="33">
        <f>+'Anexo 19'!S17*'Anexo 9'!$D$10</f>
        <v>0</v>
      </c>
      <c r="T17" s="33">
        <f>+'Anexo 19'!T17*'Anexo 9'!$D$10</f>
        <v>0</v>
      </c>
      <c r="U17" s="33">
        <f>+'Anexo 19'!U17*'Anexo 9'!$D$10</f>
        <v>0</v>
      </c>
      <c r="V17" s="33">
        <f>+'Anexo 19'!V17*'Anexo 9'!$D$10</f>
        <v>0</v>
      </c>
      <c r="W17" s="33">
        <f>+'Anexo 19'!W17*'Anexo 9'!$D$10</f>
        <v>0</v>
      </c>
      <c r="X17" s="33">
        <f>+'Anexo 19'!X17*'Anexo 9'!$D$10</f>
        <v>0</v>
      </c>
      <c r="Y17" s="33">
        <f>+'Anexo 19'!Y17*'Anexo 9'!$D$10</f>
        <v>0</v>
      </c>
      <c r="Z17" s="33">
        <f>+'Anexo 19'!Z17*'Anexo 9'!$D$10</f>
        <v>0</v>
      </c>
      <c r="AA17" s="41">
        <f t="shared" si="0"/>
        <v>0</v>
      </c>
      <c r="AB17" s="23">
        <v>7</v>
      </c>
      <c r="AC17" s="102"/>
      <c r="AD17" s="48"/>
    </row>
    <row r="18" spans="1:30" ht="15.75" thickBot="1" x14ac:dyDescent="0.3">
      <c r="A18" s="99">
        <v>49065</v>
      </c>
      <c r="B18" s="18" t="s">
        <v>5</v>
      </c>
      <c r="C18" s="33">
        <f>+'Anexo 19'!C18*'Anexo 9'!$D$10</f>
        <v>0</v>
      </c>
      <c r="D18" s="33">
        <f>+'Anexo 19'!D18*'Anexo 9'!$D$10</f>
        <v>0</v>
      </c>
      <c r="E18" s="33">
        <f>+'Anexo 19'!E18*'Anexo 9'!$D$10</f>
        <v>0</v>
      </c>
      <c r="F18" s="33">
        <f>+'Anexo 19'!F18*'Anexo 9'!$D$10</f>
        <v>0</v>
      </c>
      <c r="G18" s="33">
        <f>+'Anexo 19'!G18*'Anexo 9'!$D$10</f>
        <v>0</v>
      </c>
      <c r="H18" s="33">
        <f>+'Anexo 19'!H18*'Anexo 9'!$D$10</f>
        <v>0</v>
      </c>
      <c r="I18" s="33">
        <f>+'Anexo 19'!I18*'Anexo 9'!$D$10</f>
        <v>0</v>
      </c>
      <c r="J18" s="33">
        <f>+'Anexo 19'!J18*'Anexo 9'!$D$10</f>
        <v>0</v>
      </c>
      <c r="K18" s="33">
        <f>+'Anexo 19'!K18*'Anexo 9'!$D$10</f>
        <v>0</v>
      </c>
      <c r="L18" s="33">
        <f>+'Anexo 19'!L18*'Anexo 9'!$D$10</f>
        <v>0</v>
      </c>
      <c r="M18" s="33">
        <f>+'Anexo 19'!M18*'Anexo 9'!$D$10</f>
        <v>0</v>
      </c>
      <c r="N18" s="33">
        <f>+'Anexo 19'!N18*'Anexo 9'!$D$10</f>
        <v>0</v>
      </c>
      <c r="O18" s="33">
        <f>+'Anexo 19'!O18*'Anexo 9'!$D$10</f>
        <v>0</v>
      </c>
      <c r="P18" s="33">
        <f>+'Anexo 19'!P18*'Anexo 9'!$D$10</f>
        <v>0</v>
      </c>
      <c r="Q18" s="33">
        <f>+'Anexo 19'!Q18*'Anexo 9'!$D$10</f>
        <v>0</v>
      </c>
      <c r="R18" s="33">
        <f>+'Anexo 19'!R18*'Anexo 9'!$D$10</f>
        <v>0</v>
      </c>
      <c r="S18" s="33">
        <f>+'Anexo 19'!S18*'Anexo 9'!$D$10</f>
        <v>0</v>
      </c>
      <c r="T18" s="33">
        <f>+'Anexo 19'!T18*'Anexo 9'!$D$10</f>
        <v>0</v>
      </c>
      <c r="U18" s="33">
        <f>+'Anexo 19'!U18*'Anexo 9'!$D$10</f>
        <v>0</v>
      </c>
      <c r="V18" s="33">
        <f>+'Anexo 19'!V18*'Anexo 9'!$D$10</f>
        <v>0</v>
      </c>
      <c r="W18" s="33">
        <f>+'Anexo 19'!W18*'Anexo 9'!$D$10</f>
        <v>0</v>
      </c>
      <c r="X18" s="33">
        <f>+'Anexo 19'!X18*'Anexo 9'!$D$10</f>
        <v>0</v>
      </c>
      <c r="Y18" s="33">
        <f>+'Anexo 19'!Y18*'Anexo 9'!$D$10</f>
        <v>0</v>
      </c>
      <c r="Z18" s="33">
        <f>+'Anexo 19'!Z18*'Anexo 9'!$D$10</f>
        <v>0</v>
      </c>
      <c r="AA18" s="35">
        <f t="shared" si="0"/>
        <v>0</v>
      </c>
      <c r="AB18" s="19">
        <v>21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+'Anexo 19'!C19*'Anexo 9'!$D$10</f>
        <v>0</v>
      </c>
      <c r="D19" s="33">
        <f>+'Anexo 19'!D19*'Anexo 9'!$D$10</f>
        <v>0</v>
      </c>
      <c r="E19" s="33">
        <f>+'Anexo 19'!E19*'Anexo 9'!$D$10</f>
        <v>0</v>
      </c>
      <c r="F19" s="33">
        <f>+'Anexo 19'!F19*'Anexo 9'!$D$10</f>
        <v>0</v>
      </c>
      <c r="G19" s="33">
        <f>+'Anexo 19'!G19*'Anexo 9'!$D$10</f>
        <v>0</v>
      </c>
      <c r="H19" s="33">
        <f>+'Anexo 19'!H19*'Anexo 9'!$D$10</f>
        <v>0</v>
      </c>
      <c r="I19" s="33">
        <f>+'Anexo 19'!I19*'Anexo 9'!$D$10</f>
        <v>0</v>
      </c>
      <c r="J19" s="33">
        <f>+'Anexo 19'!J19*'Anexo 9'!$D$10</f>
        <v>0</v>
      </c>
      <c r="K19" s="33">
        <f>+'Anexo 19'!K19*'Anexo 9'!$D$10</f>
        <v>0</v>
      </c>
      <c r="L19" s="33">
        <f>+'Anexo 19'!L19*'Anexo 9'!$D$10</f>
        <v>0</v>
      </c>
      <c r="M19" s="33">
        <f>+'Anexo 19'!M19*'Anexo 9'!$D$10</f>
        <v>0</v>
      </c>
      <c r="N19" s="33">
        <f>+'Anexo 19'!N19*'Anexo 9'!$D$10</f>
        <v>0</v>
      </c>
      <c r="O19" s="33">
        <f>+'Anexo 19'!O19*'Anexo 9'!$D$10</f>
        <v>0</v>
      </c>
      <c r="P19" s="33">
        <f>+'Anexo 19'!P19*'Anexo 9'!$D$10</f>
        <v>0</v>
      </c>
      <c r="Q19" s="33">
        <f>+'Anexo 19'!Q19*'Anexo 9'!$D$10</f>
        <v>0</v>
      </c>
      <c r="R19" s="33">
        <f>+'Anexo 19'!R19*'Anexo 9'!$D$10</f>
        <v>0</v>
      </c>
      <c r="S19" s="33">
        <f>+'Anexo 19'!S19*'Anexo 9'!$D$10</f>
        <v>0</v>
      </c>
      <c r="T19" s="33">
        <f>+'Anexo 19'!T19*'Anexo 9'!$D$10</f>
        <v>0</v>
      </c>
      <c r="U19" s="33">
        <f>+'Anexo 19'!U19*'Anexo 9'!$D$10</f>
        <v>0</v>
      </c>
      <c r="V19" s="33">
        <f>+'Anexo 19'!V19*'Anexo 9'!$D$10</f>
        <v>0</v>
      </c>
      <c r="W19" s="33">
        <f>+'Anexo 19'!W19*'Anexo 9'!$D$10</f>
        <v>0</v>
      </c>
      <c r="X19" s="33">
        <f>+'Anexo 19'!X19*'Anexo 9'!$D$10</f>
        <v>0</v>
      </c>
      <c r="Y19" s="33">
        <f>+'Anexo 19'!Y19*'Anexo 9'!$D$10</f>
        <v>0</v>
      </c>
      <c r="Z19" s="33">
        <f>+'Anexo 19'!Z19*'Anexo 9'!$D$10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+'Anexo 19'!C20*'Anexo 9'!$D$10</f>
        <v>0</v>
      </c>
      <c r="D20" s="33">
        <f>+'Anexo 19'!D20*'Anexo 9'!$D$10</f>
        <v>0</v>
      </c>
      <c r="E20" s="33">
        <f>+'Anexo 19'!E20*'Anexo 9'!$D$10</f>
        <v>0</v>
      </c>
      <c r="F20" s="33">
        <f>+'Anexo 19'!F20*'Anexo 9'!$D$10</f>
        <v>0</v>
      </c>
      <c r="G20" s="33">
        <f>+'Anexo 19'!G20*'Anexo 9'!$D$10</f>
        <v>0</v>
      </c>
      <c r="H20" s="33">
        <f>+'Anexo 19'!H20*'Anexo 9'!$D$10</f>
        <v>0</v>
      </c>
      <c r="I20" s="33">
        <f>+'Anexo 19'!I20*'Anexo 9'!$D$10</f>
        <v>0</v>
      </c>
      <c r="J20" s="33">
        <f>+'Anexo 19'!J20*'Anexo 9'!$D$10</f>
        <v>0</v>
      </c>
      <c r="K20" s="33">
        <f>+'Anexo 19'!K20*'Anexo 9'!$D$10</f>
        <v>0</v>
      </c>
      <c r="L20" s="33">
        <f>+'Anexo 19'!L20*'Anexo 9'!$D$10</f>
        <v>0</v>
      </c>
      <c r="M20" s="33">
        <f>+'Anexo 19'!M20*'Anexo 9'!$D$10</f>
        <v>0</v>
      </c>
      <c r="N20" s="33">
        <f>+'Anexo 19'!N20*'Anexo 9'!$D$10</f>
        <v>0</v>
      </c>
      <c r="O20" s="33">
        <f>+'Anexo 19'!O20*'Anexo 9'!$D$10</f>
        <v>0</v>
      </c>
      <c r="P20" s="33">
        <f>+'Anexo 19'!P20*'Anexo 9'!$D$10</f>
        <v>0</v>
      </c>
      <c r="Q20" s="33">
        <f>+'Anexo 19'!Q20*'Anexo 9'!$D$10</f>
        <v>0</v>
      </c>
      <c r="R20" s="33">
        <f>+'Anexo 19'!R20*'Anexo 9'!$D$10</f>
        <v>0</v>
      </c>
      <c r="S20" s="33">
        <f>+'Anexo 19'!S20*'Anexo 9'!$D$10</f>
        <v>0</v>
      </c>
      <c r="T20" s="33">
        <f>+'Anexo 19'!T20*'Anexo 9'!$D$10</f>
        <v>0</v>
      </c>
      <c r="U20" s="33">
        <f>+'Anexo 19'!U20*'Anexo 9'!$D$10</f>
        <v>0</v>
      </c>
      <c r="V20" s="33">
        <f>+'Anexo 19'!V20*'Anexo 9'!$D$10</f>
        <v>0</v>
      </c>
      <c r="W20" s="33">
        <f>+'Anexo 19'!W20*'Anexo 9'!$D$10</f>
        <v>0</v>
      </c>
      <c r="X20" s="33">
        <f>+'Anexo 19'!X20*'Anexo 9'!$D$10</f>
        <v>0</v>
      </c>
      <c r="Y20" s="33">
        <f>+'Anexo 19'!Y20*'Anexo 9'!$D$10</f>
        <v>0</v>
      </c>
      <c r="Z20" s="33">
        <f>+'Anexo 19'!Z20*'Anexo 9'!$D$10</f>
        <v>0</v>
      </c>
      <c r="AA20" s="41">
        <f t="shared" si="0"/>
        <v>0</v>
      </c>
      <c r="AB20" s="23">
        <v>6</v>
      </c>
      <c r="AC20" s="102"/>
      <c r="AD20" s="48"/>
    </row>
    <row r="21" spans="1:30" ht="15.75" thickBot="1" x14ac:dyDescent="0.3">
      <c r="A21" s="99">
        <v>49096</v>
      </c>
      <c r="B21" s="18" t="s">
        <v>5</v>
      </c>
      <c r="C21" s="33">
        <f>+'Anexo 19'!C21*'Anexo 9'!$D$10</f>
        <v>0</v>
      </c>
      <c r="D21" s="33">
        <f>+'Anexo 19'!D21*'Anexo 9'!$D$10</f>
        <v>0</v>
      </c>
      <c r="E21" s="33">
        <f>+'Anexo 19'!E21*'Anexo 9'!$D$10</f>
        <v>0</v>
      </c>
      <c r="F21" s="33">
        <f>+'Anexo 19'!F21*'Anexo 9'!$D$10</f>
        <v>0</v>
      </c>
      <c r="G21" s="33">
        <f>+'Anexo 19'!G21*'Anexo 9'!$D$10</f>
        <v>0</v>
      </c>
      <c r="H21" s="33">
        <f>+'Anexo 19'!H21*'Anexo 9'!$D$10</f>
        <v>0</v>
      </c>
      <c r="I21" s="33">
        <f>+'Anexo 19'!I21*'Anexo 9'!$D$10</f>
        <v>0</v>
      </c>
      <c r="J21" s="33">
        <f>+'Anexo 19'!J21*'Anexo 9'!$D$10</f>
        <v>0</v>
      </c>
      <c r="K21" s="33">
        <f>+'Anexo 19'!K21*'Anexo 9'!$D$10</f>
        <v>0</v>
      </c>
      <c r="L21" s="33">
        <f>+'Anexo 19'!L21*'Anexo 9'!$D$10</f>
        <v>0</v>
      </c>
      <c r="M21" s="33">
        <f>+'Anexo 19'!M21*'Anexo 9'!$D$10</f>
        <v>0</v>
      </c>
      <c r="N21" s="33">
        <f>+'Anexo 19'!N21*'Anexo 9'!$D$10</f>
        <v>0</v>
      </c>
      <c r="O21" s="33">
        <f>+'Anexo 19'!O21*'Anexo 9'!$D$10</f>
        <v>0</v>
      </c>
      <c r="P21" s="33">
        <f>+'Anexo 19'!P21*'Anexo 9'!$D$10</f>
        <v>0</v>
      </c>
      <c r="Q21" s="33">
        <f>+'Anexo 19'!Q21*'Anexo 9'!$D$10</f>
        <v>0</v>
      </c>
      <c r="R21" s="33">
        <f>+'Anexo 19'!R21*'Anexo 9'!$D$10</f>
        <v>0</v>
      </c>
      <c r="S21" s="33">
        <f>+'Anexo 19'!S21*'Anexo 9'!$D$10</f>
        <v>0</v>
      </c>
      <c r="T21" s="33">
        <f>+'Anexo 19'!T21*'Anexo 9'!$D$10</f>
        <v>0</v>
      </c>
      <c r="U21" s="33">
        <f>+'Anexo 19'!U21*'Anexo 9'!$D$10</f>
        <v>0</v>
      </c>
      <c r="V21" s="33">
        <f>+'Anexo 19'!V21*'Anexo 9'!$D$10</f>
        <v>0</v>
      </c>
      <c r="W21" s="33">
        <f>+'Anexo 19'!W21*'Anexo 9'!$D$10</f>
        <v>0</v>
      </c>
      <c r="X21" s="33">
        <f>+'Anexo 19'!X21*'Anexo 9'!$D$10</f>
        <v>0</v>
      </c>
      <c r="Y21" s="33">
        <f>+'Anexo 19'!Y21*'Anexo 9'!$D$10</f>
        <v>0</v>
      </c>
      <c r="Z21" s="33">
        <f>+'Anexo 19'!Z21*'Anexo 9'!$D$10</f>
        <v>0</v>
      </c>
      <c r="AA21" s="35">
        <f t="shared" si="0"/>
        <v>0</v>
      </c>
      <c r="AB21" s="19">
        <v>20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+'Anexo 19'!C22*'Anexo 9'!$D$10</f>
        <v>0</v>
      </c>
      <c r="D22" s="33">
        <f>+'Anexo 19'!D22*'Anexo 9'!$D$10</f>
        <v>0</v>
      </c>
      <c r="E22" s="33">
        <f>+'Anexo 19'!E22*'Anexo 9'!$D$10</f>
        <v>0</v>
      </c>
      <c r="F22" s="33">
        <f>+'Anexo 19'!F22*'Anexo 9'!$D$10</f>
        <v>0</v>
      </c>
      <c r="G22" s="33">
        <f>+'Anexo 19'!G22*'Anexo 9'!$D$10</f>
        <v>0</v>
      </c>
      <c r="H22" s="33">
        <f>+'Anexo 19'!H22*'Anexo 9'!$D$10</f>
        <v>0</v>
      </c>
      <c r="I22" s="33">
        <f>+'Anexo 19'!I22*'Anexo 9'!$D$10</f>
        <v>0</v>
      </c>
      <c r="J22" s="33">
        <f>+'Anexo 19'!J22*'Anexo 9'!$D$10</f>
        <v>0</v>
      </c>
      <c r="K22" s="33">
        <f>+'Anexo 19'!K22*'Anexo 9'!$D$10</f>
        <v>0</v>
      </c>
      <c r="L22" s="33">
        <f>+'Anexo 19'!L22*'Anexo 9'!$D$10</f>
        <v>0</v>
      </c>
      <c r="M22" s="33">
        <f>+'Anexo 19'!M22*'Anexo 9'!$D$10</f>
        <v>0</v>
      </c>
      <c r="N22" s="33">
        <f>+'Anexo 19'!N22*'Anexo 9'!$D$10</f>
        <v>0</v>
      </c>
      <c r="O22" s="33">
        <f>+'Anexo 19'!O22*'Anexo 9'!$D$10</f>
        <v>0</v>
      </c>
      <c r="P22" s="33">
        <f>+'Anexo 19'!P22*'Anexo 9'!$D$10</f>
        <v>0</v>
      </c>
      <c r="Q22" s="33">
        <f>+'Anexo 19'!Q22*'Anexo 9'!$D$10</f>
        <v>0</v>
      </c>
      <c r="R22" s="33">
        <f>+'Anexo 19'!R22*'Anexo 9'!$D$10</f>
        <v>0</v>
      </c>
      <c r="S22" s="33">
        <f>+'Anexo 19'!S22*'Anexo 9'!$D$10</f>
        <v>0</v>
      </c>
      <c r="T22" s="33">
        <f>+'Anexo 19'!T22*'Anexo 9'!$D$10</f>
        <v>0</v>
      </c>
      <c r="U22" s="33">
        <f>+'Anexo 19'!U22*'Anexo 9'!$D$10</f>
        <v>0</v>
      </c>
      <c r="V22" s="33">
        <f>+'Anexo 19'!V22*'Anexo 9'!$D$10</f>
        <v>0</v>
      </c>
      <c r="W22" s="33">
        <f>+'Anexo 19'!W22*'Anexo 9'!$D$10</f>
        <v>0</v>
      </c>
      <c r="X22" s="33">
        <f>+'Anexo 19'!X22*'Anexo 9'!$D$10</f>
        <v>0</v>
      </c>
      <c r="Y22" s="33">
        <f>+'Anexo 19'!Y22*'Anexo 9'!$D$10</f>
        <v>0</v>
      </c>
      <c r="Z22" s="33">
        <f>+'Anexo 19'!Z22*'Anexo 9'!$D$10</f>
        <v>0</v>
      </c>
      <c r="AA22" s="38">
        <f t="shared" si="0"/>
        <v>0</v>
      </c>
      <c r="AB22" s="21">
        <v>4</v>
      </c>
      <c r="AC22" s="101"/>
      <c r="AD22" s="47"/>
    </row>
    <row r="23" spans="1:30" ht="15.75" thickBot="1" x14ac:dyDescent="0.3">
      <c r="A23" s="99"/>
      <c r="B23" s="22" t="s">
        <v>3</v>
      </c>
      <c r="C23" s="33">
        <f>+'Anexo 19'!C23*'Anexo 9'!$D$10</f>
        <v>0</v>
      </c>
      <c r="D23" s="33">
        <f>+'Anexo 19'!D23*'Anexo 9'!$D$10</f>
        <v>0</v>
      </c>
      <c r="E23" s="33">
        <f>+'Anexo 19'!E23*'Anexo 9'!$D$10</f>
        <v>0</v>
      </c>
      <c r="F23" s="33">
        <f>+'Anexo 19'!F23*'Anexo 9'!$D$10</f>
        <v>0</v>
      </c>
      <c r="G23" s="33">
        <f>+'Anexo 19'!G23*'Anexo 9'!$D$10</f>
        <v>0</v>
      </c>
      <c r="H23" s="33">
        <f>+'Anexo 19'!H23*'Anexo 9'!$D$10</f>
        <v>0</v>
      </c>
      <c r="I23" s="33">
        <f>+'Anexo 19'!I23*'Anexo 9'!$D$10</f>
        <v>0</v>
      </c>
      <c r="J23" s="33">
        <f>+'Anexo 19'!J23*'Anexo 9'!$D$10</f>
        <v>0</v>
      </c>
      <c r="K23" s="33">
        <f>+'Anexo 19'!K23*'Anexo 9'!$D$10</f>
        <v>0</v>
      </c>
      <c r="L23" s="33">
        <f>+'Anexo 19'!L23*'Anexo 9'!$D$10</f>
        <v>0</v>
      </c>
      <c r="M23" s="33">
        <f>+'Anexo 19'!M23*'Anexo 9'!$D$10</f>
        <v>0</v>
      </c>
      <c r="N23" s="33">
        <f>+'Anexo 19'!N23*'Anexo 9'!$D$10</f>
        <v>0</v>
      </c>
      <c r="O23" s="33">
        <f>+'Anexo 19'!O23*'Anexo 9'!$D$10</f>
        <v>0</v>
      </c>
      <c r="P23" s="33">
        <f>+'Anexo 19'!P23*'Anexo 9'!$D$10</f>
        <v>0</v>
      </c>
      <c r="Q23" s="33">
        <f>+'Anexo 19'!Q23*'Anexo 9'!$D$10</f>
        <v>0</v>
      </c>
      <c r="R23" s="33">
        <f>+'Anexo 19'!R23*'Anexo 9'!$D$10</f>
        <v>0</v>
      </c>
      <c r="S23" s="33">
        <f>+'Anexo 19'!S23*'Anexo 9'!$D$10</f>
        <v>0</v>
      </c>
      <c r="T23" s="33">
        <f>+'Anexo 19'!T23*'Anexo 9'!$D$10</f>
        <v>0</v>
      </c>
      <c r="U23" s="33">
        <f>+'Anexo 19'!U23*'Anexo 9'!$D$10</f>
        <v>0</v>
      </c>
      <c r="V23" s="33">
        <f>+'Anexo 19'!V23*'Anexo 9'!$D$10</f>
        <v>0</v>
      </c>
      <c r="W23" s="33">
        <f>+'Anexo 19'!W23*'Anexo 9'!$D$10</f>
        <v>0</v>
      </c>
      <c r="X23" s="33">
        <f>+'Anexo 19'!X23*'Anexo 9'!$D$10</f>
        <v>0</v>
      </c>
      <c r="Y23" s="33">
        <f>+'Anexo 19'!Y23*'Anexo 9'!$D$10</f>
        <v>0</v>
      </c>
      <c r="Z23" s="33">
        <f>+'Anexo 19'!Z23*'Anexo 9'!$D$10</f>
        <v>0</v>
      </c>
      <c r="AA23" s="41">
        <f t="shared" si="0"/>
        <v>0</v>
      </c>
      <c r="AB23" s="23">
        <v>6</v>
      </c>
      <c r="AC23" s="102"/>
      <c r="AD23" s="48"/>
    </row>
    <row r="24" spans="1:30" ht="15.75" thickBot="1" x14ac:dyDescent="0.3">
      <c r="A24" s="99">
        <v>49126</v>
      </c>
      <c r="B24" s="18" t="s">
        <v>5</v>
      </c>
      <c r="C24" s="33">
        <f>+'Anexo 19'!C24*'Anexo 9'!$D$10</f>
        <v>0</v>
      </c>
      <c r="D24" s="33">
        <f>+'Anexo 19'!D24*'Anexo 9'!$D$10</f>
        <v>0</v>
      </c>
      <c r="E24" s="33">
        <f>+'Anexo 19'!E24*'Anexo 9'!$D$10</f>
        <v>0</v>
      </c>
      <c r="F24" s="33">
        <f>+'Anexo 19'!F24*'Anexo 9'!$D$10</f>
        <v>0</v>
      </c>
      <c r="G24" s="33">
        <f>+'Anexo 19'!G24*'Anexo 9'!$D$10</f>
        <v>0</v>
      </c>
      <c r="H24" s="33">
        <f>+'Anexo 19'!H24*'Anexo 9'!$D$10</f>
        <v>0</v>
      </c>
      <c r="I24" s="33">
        <f>+'Anexo 19'!I24*'Anexo 9'!$D$10</f>
        <v>0</v>
      </c>
      <c r="J24" s="33">
        <f>+'Anexo 19'!J24*'Anexo 9'!$D$10</f>
        <v>0</v>
      </c>
      <c r="K24" s="33">
        <f>+'Anexo 19'!K24*'Anexo 9'!$D$10</f>
        <v>0</v>
      </c>
      <c r="L24" s="33">
        <f>+'Anexo 19'!L24*'Anexo 9'!$D$10</f>
        <v>0</v>
      </c>
      <c r="M24" s="33">
        <f>+'Anexo 19'!M24*'Anexo 9'!$D$10</f>
        <v>0</v>
      </c>
      <c r="N24" s="33">
        <f>+'Anexo 19'!N24*'Anexo 9'!$D$10</f>
        <v>0</v>
      </c>
      <c r="O24" s="33">
        <f>+'Anexo 19'!O24*'Anexo 9'!$D$10</f>
        <v>0</v>
      </c>
      <c r="P24" s="33">
        <f>+'Anexo 19'!P24*'Anexo 9'!$D$10</f>
        <v>0</v>
      </c>
      <c r="Q24" s="33">
        <f>+'Anexo 19'!Q24*'Anexo 9'!$D$10</f>
        <v>0</v>
      </c>
      <c r="R24" s="33">
        <f>+'Anexo 19'!R24*'Anexo 9'!$D$10</f>
        <v>0</v>
      </c>
      <c r="S24" s="33">
        <f>+'Anexo 19'!S24*'Anexo 9'!$D$10</f>
        <v>0</v>
      </c>
      <c r="T24" s="33">
        <f>+'Anexo 19'!T24*'Anexo 9'!$D$10</f>
        <v>0</v>
      </c>
      <c r="U24" s="33">
        <f>+'Anexo 19'!U24*'Anexo 9'!$D$10</f>
        <v>0</v>
      </c>
      <c r="V24" s="33">
        <f>+'Anexo 19'!V24*'Anexo 9'!$D$10</f>
        <v>0</v>
      </c>
      <c r="W24" s="33">
        <f>+'Anexo 19'!W24*'Anexo 9'!$D$10</f>
        <v>0</v>
      </c>
      <c r="X24" s="33">
        <f>+'Anexo 19'!X24*'Anexo 9'!$D$10</f>
        <v>0</v>
      </c>
      <c r="Y24" s="33">
        <f>+'Anexo 19'!Y24*'Anexo 9'!$D$10</f>
        <v>0</v>
      </c>
      <c r="Z24" s="33">
        <f>+'Anexo 19'!Z24*'Anexo 9'!$D$10</f>
        <v>0</v>
      </c>
      <c r="AA24" s="35">
        <f t="shared" si="0"/>
        <v>0</v>
      </c>
      <c r="AB24" s="19">
        <v>19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+'Anexo 19'!C25*'Anexo 9'!$D$10</f>
        <v>0</v>
      </c>
      <c r="D25" s="33">
        <f>+'Anexo 19'!D25*'Anexo 9'!$D$10</f>
        <v>0</v>
      </c>
      <c r="E25" s="33">
        <f>+'Anexo 19'!E25*'Anexo 9'!$D$10</f>
        <v>0</v>
      </c>
      <c r="F25" s="33">
        <f>+'Anexo 19'!F25*'Anexo 9'!$D$10</f>
        <v>0</v>
      </c>
      <c r="G25" s="33">
        <f>+'Anexo 19'!G25*'Anexo 9'!$D$10</f>
        <v>0</v>
      </c>
      <c r="H25" s="33">
        <f>+'Anexo 19'!H25*'Anexo 9'!$D$10</f>
        <v>0</v>
      </c>
      <c r="I25" s="33">
        <f>+'Anexo 19'!I25*'Anexo 9'!$D$10</f>
        <v>0</v>
      </c>
      <c r="J25" s="33">
        <f>+'Anexo 19'!J25*'Anexo 9'!$D$10</f>
        <v>0</v>
      </c>
      <c r="K25" s="33">
        <f>+'Anexo 19'!K25*'Anexo 9'!$D$10</f>
        <v>0</v>
      </c>
      <c r="L25" s="33">
        <f>+'Anexo 19'!L25*'Anexo 9'!$D$10</f>
        <v>0</v>
      </c>
      <c r="M25" s="33">
        <f>+'Anexo 19'!M25*'Anexo 9'!$D$10</f>
        <v>0</v>
      </c>
      <c r="N25" s="33">
        <f>+'Anexo 19'!N25*'Anexo 9'!$D$10</f>
        <v>0</v>
      </c>
      <c r="O25" s="33">
        <f>+'Anexo 19'!O25*'Anexo 9'!$D$10</f>
        <v>0</v>
      </c>
      <c r="P25" s="33">
        <f>+'Anexo 19'!P25*'Anexo 9'!$D$10</f>
        <v>0</v>
      </c>
      <c r="Q25" s="33">
        <f>+'Anexo 19'!Q25*'Anexo 9'!$D$10</f>
        <v>0</v>
      </c>
      <c r="R25" s="33">
        <f>+'Anexo 19'!R25*'Anexo 9'!$D$10</f>
        <v>0</v>
      </c>
      <c r="S25" s="33">
        <f>+'Anexo 19'!S25*'Anexo 9'!$D$10</f>
        <v>0</v>
      </c>
      <c r="T25" s="33">
        <f>+'Anexo 19'!T25*'Anexo 9'!$D$10</f>
        <v>0</v>
      </c>
      <c r="U25" s="33">
        <f>+'Anexo 19'!U25*'Anexo 9'!$D$10</f>
        <v>0</v>
      </c>
      <c r="V25" s="33">
        <f>+'Anexo 19'!V25*'Anexo 9'!$D$10</f>
        <v>0</v>
      </c>
      <c r="W25" s="33">
        <f>+'Anexo 19'!W25*'Anexo 9'!$D$10</f>
        <v>0</v>
      </c>
      <c r="X25" s="33">
        <f>+'Anexo 19'!X25*'Anexo 9'!$D$10</f>
        <v>0</v>
      </c>
      <c r="Y25" s="33">
        <f>+'Anexo 19'!Y25*'Anexo 9'!$D$10</f>
        <v>0</v>
      </c>
      <c r="Z25" s="33">
        <f>+'Anexo 19'!Z25*'Anexo 9'!$D$10</f>
        <v>0</v>
      </c>
      <c r="AA25" s="38">
        <f t="shared" si="0"/>
        <v>0</v>
      </c>
      <c r="AB25" s="21">
        <v>5</v>
      </c>
      <c r="AC25" s="101"/>
      <c r="AD25" s="47"/>
    </row>
    <row r="26" spans="1:30" ht="15.75" thickBot="1" x14ac:dyDescent="0.3">
      <c r="A26" s="99"/>
      <c r="B26" s="22" t="s">
        <v>3</v>
      </c>
      <c r="C26" s="33">
        <f>+'Anexo 19'!C26*'Anexo 9'!$D$10</f>
        <v>0</v>
      </c>
      <c r="D26" s="33">
        <f>+'Anexo 19'!D26*'Anexo 9'!$D$10</f>
        <v>0</v>
      </c>
      <c r="E26" s="33">
        <f>+'Anexo 19'!E26*'Anexo 9'!$D$10</f>
        <v>0</v>
      </c>
      <c r="F26" s="33">
        <f>+'Anexo 19'!F26*'Anexo 9'!$D$10</f>
        <v>0</v>
      </c>
      <c r="G26" s="33">
        <f>+'Anexo 19'!G26*'Anexo 9'!$D$10</f>
        <v>0</v>
      </c>
      <c r="H26" s="33">
        <f>+'Anexo 19'!H26*'Anexo 9'!$D$10</f>
        <v>0</v>
      </c>
      <c r="I26" s="33">
        <f>+'Anexo 19'!I26*'Anexo 9'!$D$10</f>
        <v>0</v>
      </c>
      <c r="J26" s="33">
        <f>+'Anexo 19'!J26*'Anexo 9'!$D$10</f>
        <v>0</v>
      </c>
      <c r="K26" s="33">
        <f>+'Anexo 19'!K26*'Anexo 9'!$D$10</f>
        <v>0</v>
      </c>
      <c r="L26" s="33">
        <f>+'Anexo 19'!L26*'Anexo 9'!$D$10</f>
        <v>0</v>
      </c>
      <c r="M26" s="33">
        <f>+'Anexo 19'!M26*'Anexo 9'!$D$10</f>
        <v>0</v>
      </c>
      <c r="N26" s="33">
        <f>+'Anexo 19'!N26*'Anexo 9'!$D$10</f>
        <v>0</v>
      </c>
      <c r="O26" s="33">
        <f>+'Anexo 19'!O26*'Anexo 9'!$D$10</f>
        <v>0</v>
      </c>
      <c r="P26" s="33">
        <f>+'Anexo 19'!P26*'Anexo 9'!$D$10</f>
        <v>0</v>
      </c>
      <c r="Q26" s="33">
        <f>+'Anexo 19'!Q26*'Anexo 9'!$D$10</f>
        <v>0</v>
      </c>
      <c r="R26" s="33">
        <f>+'Anexo 19'!R26*'Anexo 9'!$D$10</f>
        <v>0</v>
      </c>
      <c r="S26" s="33">
        <f>+'Anexo 19'!S26*'Anexo 9'!$D$10</f>
        <v>0</v>
      </c>
      <c r="T26" s="33">
        <f>+'Anexo 19'!T26*'Anexo 9'!$D$10</f>
        <v>0</v>
      </c>
      <c r="U26" s="33">
        <f>+'Anexo 19'!U26*'Anexo 9'!$D$10</f>
        <v>0</v>
      </c>
      <c r="V26" s="33">
        <f>+'Anexo 19'!V26*'Anexo 9'!$D$10</f>
        <v>0</v>
      </c>
      <c r="W26" s="33">
        <f>+'Anexo 19'!W26*'Anexo 9'!$D$10</f>
        <v>0</v>
      </c>
      <c r="X26" s="33">
        <f>+'Anexo 19'!X26*'Anexo 9'!$D$10</f>
        <v>0</v>
      </c>
      <c r="Y26" s="33">
        <f>+'Anexo 19'!Y26*'Anexo 9'!$D$10</f>
        <v>0</v>
      </c>
      <c r="Z26" s="33">
        <f>+'Anexo 19'!Z26*'Anexo 9'!$D$10</f>
        <v>0</v>
      </c>
      <c r="AA26" s="41">
        <f t="shared" si="0"/>
        <v>0</v>
      </c>
      <c r="AB26" s="23">
        <v>7</v>
      </c>
      <c r="AC26" s="102"/>
      <c r="AD26" s="48"/>
    </row>
    <row r="27" spans="1:30" ht="15.75" thickBot="1" x14ac:dyDescent="0.3">
      <c r="A27" s="99">
        <v>49157</v>
      </c>
      <c r="B27" s="18" t="s">
        <v>5</v>
      </c>
      <c r="C27" s="33">
        <f>+'Anexo 19'!C27*'Anexo 9'!$D$10</f>
        <v>0</v>
      </c>
      <c r="D27" s="33">
        <f>+'Anexo 19'!D27*'Anexo 9'!$D$10</f>
        <v>0</v>
      </c>
      <c r="E27" s="33">
        <f>+'Anexo 19'!E27*'Anexo 9'!$D$10</f>
        <v>0</v>
      </c>
      <c r="F27" s="33">
        <f>+'Anexo 19'!F27*'Anexo 9'!$D$10</f>
        <v>0</v>
      </c>
      <c r="G27" s="33">
        <f>+'Anexo 19'!G27*'Anexo 9'!$D$10</f>
        <v>0</v>
      </c>
      <c r="H27" s="33">
        <f>+'Anexo 19'!H27*'Anexo 9'!$D$10</f>
        <v>0</v>
      </c>
      <c r="I27" s="33">
        <f>+'Anexo 19'!I27*'Anexo 9'!$D$10</f>
        <v>0</v>
      </c>
      <c r="J27" s="33">
        <f>+'Anexo 19'!J27*'Anexo 9'!$D$10</f>
        <v>0</v>
      </c>
      <c r="K27" s="33">
        <f>+'Anexo 19'!K27*'Anexo 9'!$D$10</f>
        <v>0</v>
      </c>
      <c r="L27" s="33">
        <f>+'Anexo 19'!L27*'Anexo 9'!$D$10</f>
        <v>0</v>
      </c>
      <c r="M27" s="33">
        <f>+'Anexo 19'!M27*'Anexo 9'!$D$10</f>
        <v>0</v>
      </c>
      <c r="N27" s="33">
        <f>+'Anexo 19'!N27*'Anexo 9'!$D$10</f>
        <v>0</v>
      </c>
      <c r="O27" s="33">
        <f>+'Anexo 19'!O27*'Anexo 9'!$D$10</f>
        <v>0</v>
      </c>
      <c r="P27" s="33">
        <f>+'Anexo 19'!P27*'Anexo 9'!$D$10</f>
        <v>0</v>
      </c>
      <c r="Q27" s="33">
        <f>+'Anexo 19'!Q27*'Anexo 9'!$D$10</f>
        <v>0</v>
      </c>
      <c r="R27" s="33">
        <f>+'Anexo 19'!R27*'Anexo 9'!$D$10</f>
        <v>0</v>
      </c>
      <c r="S27" s="33">
        <f>+'Anexo 19'!S27*'Anexo 9'!$D$10</f>
        <v>0</v>
      </c>
      <c r="T27" s="33">
        <f>+'Anexo 19'!T27*'Anexo 9'!$D$10</f>
        <v>0</v>
      </c>
      <c r="U27" s="33">
        <f>+'Anexo 19'!U27*'Anexo 9'!$D$10</f>
        <v>0</v>
      </c>
      <c r="V27" s="33">
        <f>+'Anexo 19'!V27*'Anexo 9'!$D$10</f>
        <v>0</v>
      </c>
      <c r="W27" s="33">
        <f>+'Anexo 19'!W27*'Anexo 9'!$D$10</f>
        <v>0</v>
      </c>
      <c r="X27" s="33">
        <f>+'Anexo 19'!X27*'Anexo 9'!$D$10</f>
        <v>0</v>
      </c>
      <c r="Y27" s="33">
        <f>+'Anexo 19'!Y27*'Anexo 9'!$D$10</f>
        <v>0</v>
      </c>
      <c r="Z27" s="33">
        <f>+'Anexo 19'!Z27*'Anexo 9'!$D$10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+'Anexo 19'!C28*'Anexo 9'!$D$10</f>
        <v>0</v>
      </c>
      <c r="D28" s="33">
        <f>+'Anexo 19'!D28*'Anexo 9'!$D$10</f>
        <v>0</v>
      </c>
      <c r="E28" s="33">
        <f>+'Anexo 19'!E28*'Anexo 9'!$D$10</f>
        <v>0</v>
      </c>
      <c r="F28" s="33">
        <f>+'Anexo 19'!F28*'Anexo 9'!$D$10</f>
        <v>0</v>
      </c>
      <c r="G28" s="33">
        <f>+'Anexo 19'!G28*'Anexo 9'!$D$10</f>
        <v>0</v>
      </c>
      <c r="H28" s="33">
        <f>+'Anexo 19'!H28*'Anexo 9'!$D$10</f>
        <v>0</v>
      </c>
      <c r="I28" s="33">
        <f>+'Anexo 19'!I28*'Anexo 9'!$D$10</f>
        <v>0</v>
      </c>
      <c r="J28" s="33">
        <f>+'Anexo 19'!J28*'Anexo 9'!$D$10</f>
        <v>0</v>
      </c>
      <c r="K28" s="33">
        <f>+'Anexo 19'!K28*'Anexo 9'!$D$10</f>
        <v>0</v>
      </c>
      <c r="L28" s="33">
        <f>+'Anexo 19'!L28*'Anexo 9'!$D$10</f>
        <v>0</v>
      </c>
      <c r="M28" s="33">
        <f>+'Anexo 19'!M28*'Anexo 9'!$D$10</f>
        <v>0</v>
      </c>
      <c r="N28" s="33">
        <f>+'Anexo 19'!N28*'Anexo 9'!$D$10</f>
        <v>0</v>
      </c>
      <c r="O28" s="33">
        <f>+'Anexo 19'!O28*'Anexo 9'!$D$10</f>
        <v>0</v>
      </c>
      <c r="P28" s="33">
        <f>+'Anexo 19'!P28*'Anexo 9'!$D$10</f>
        <v>0</v>
      </c>
      <c r="Q28" s="33">
        <f>+'Anexo 19'!Q28*'Anexo 9'!$D$10</f>
        <v>0</v>
      </c>
      <c r="R28" s="33">
        <f>+'Anexo 19'!R28*'Anexo 9'!$D$10</f>
        <v>0</v>
      </c>
      <c r="S28" s="33">
        <f>+'Anexo 19'!S28*'Anexo 9'!$D$10</f>
        <v>0</v>
      </c>
      <c r="T28" s="33">
        <f>+'Anexo 19'!T28*'Anexo 9'!$D$10</f>
        <v>0</v>
      </c>
      <c r="U28" s="33">
        <f>+'Anexo 19'!U28*'Anexo 9'!$D$10</f>
        <v>0</v>
      </c>
      <c r="V28" s="33">
        <f>+'Anexo 19'!V28*'Anexo 9'!$D$10</f>
        <v>0</v>
      </c>
      <c r="W28" s="33">
        <f>+'Anexo 19'!W28*'Anexo 9'!$D$10</f>
        <v>0</v>
      </c>
      <c r="X28" s="33">
        <f>+'Anexo 19'!X28*'Anexo 9'!$D$10</f>
        <v>0</v>
      </c>
      <c r="Y28" s="33">
        <f>+'Anexo 19'!Y28*'Anexo 9'!$D$10</f>
        <v>0</v>
      </c>
      <c r="Z28" s="33">
        <f>+'Anexo 19'!Z28*'Anexo 9'!$D$10</f>
        <v>0</v>
      </c>
      <c r="AA28" s="38">
        <f t="shared" si="0"/>
        <v>0</v>
      </c>
      <c r="AB28" s="21">
        <v>4</v>
      </c>
      <c r="AC28" s="101"/>
      <c r="AD28" s="47"/>
    </row>
    <row r="29" spans="1:30" ht="15.75" thickBot="1" x14ac:dyDescent="0.3">
      <c r="A29" s="99"/>
      <c r="B29" s="22" t="s">
        <v>3</v>
      </c>
      <c r="C29" s="33">
        <f>+'Anexo 19'!C29*'Anexo 9'!$D$10</f>
        <v>0</v>
      </c>
      <c r="D29" s="33">
        <f>+'Anexo 19'!D29*'Anexo 9'!$D$10</f>
        <v>0</v>
      </c>
      <c r="E29" s="33">
        <f>+'Anexo 19'!E29*'Anexo 9'!$D$10</f>
        <v>0</v>
      </c>
      <c r="F29" s="33">
        <f>+'Anexo 19'!F29*'Anexo 9'!$D$10</f>
        <v>0</v>
      </c>
      <c r="G29" s="33">
        <f>+'Anexo 19'!G29*'Anexo 9'!$D$10</f>
        <v>0</v>
      </c>
      <c r="H29" s="33">
        <f>+'Anexo 19'!H29*'Anexo 9'!$D$10</f>
        <v>0</v>
      </c>
      <c r="I29" s="33">
        <f>+'Anexo 19'!I29*'Anexo 9'!$D$10</f>
        <v>0</v>
      </c>
      <c r="J29" s="33">
        <f>+'Anexo 19'!J29*'Anexo 9'!$D$10</f>
        <v>0</v>
      </c>
      <c r="K29" s="33">
        <f>+'Anexo 19'!K29*'Anexo 9'!$D$10</f>
        <v>0</v>
      </c>
      <c r="L29" s="33">
        <f>+'Anexo 19'!L29*'Anexo 9'!$D$10</f>
        <v>0</v>
      </c>
      <c r="M29" s="33">
        <f>+'Anexo 19'!M29*'Anexo 9'!$D$10</f>
        <v>0</v>
      </c>
      <c r="N29" s="33">
        <f>+'Anexo 19'!N29*'Anexo 9'!$D$10</f>
        <v>0</v>
      </c>
      <c r="O29" s="33">
        <f>+'Anexo 19'!O29*'Anexo 9'!$D$10</f>
        <v>0</v>
      </c>
      <c r="P29" s="33">
        <f>+'Anexo 19'!P29*'Anexo 9'!$D$10</f>
        <v>0</v>
      </c>
      <c r="Q29" s="33">
        <f>+'Anexo 19'!Q29*'Anexo 9'!$D$10</f>
        <v>0</v>
      </c>
      <c r="R29" s="33">
        <f>+'Anexo 19'!R29*'Anexo 9'!$D$10</f>
        <v>0</v>
      </c>
      <c r="S29" s="33">
        <f>+'Anexo 19'!S29*'Anexo 9'!$D$10</f>
        <v>0</v>
      </c>
      <c r="T29" s="33">
        <f>+'Anexo 19'!T29*'Anexo 9'!$D$10</f>
        <v>0</v>
      </c>
      <c r="U29" s="33">
        <f>+'Anexo 19'!U29*'Anexo 9'!$D$10</f>
        <v>0</v>
      </c>
      <c r="V29" s="33">
        <f>+'Anexo 19'!V29*'Anexo 9'!$D$10</f>
        <v>0</v>
      </c>
      <c r="W29" s="33">
        <f>+'Anexo 19'!W29*'Anexo 9'!$D$10</f>
        <v>0</v>
      </c>
      <c r="X29" s="33">
        <f>+'Anexo 19'!X29*'Anexo 9'!$D$10</f>
        <v>0</v>
      </c>
      <c r="Y29" s="33">
        <f>+'Anexo 19'!Y29*'Anexo 9'!$D$10</f>
        <v>0</v>
      </c>
      <c r="Z29" s="33">
        <f>+'Anexo 19'!Z29*'Anexo 9'!$D$10</f>
        <v>0</v>
      </c>
      <c r="AA29" s="41">
        <f t="shared" si="0"/>
        <v>0</v>
      </c>
      <c r="AB29" s="23">
        <v>6</v>
      </c>
      <c r="AC29" s="102"/>
      <c r="AD29" s="49"/>
    </row>
    <row r="30" spans="1:30" ht="15.75" thickBot="1" x14ac:dyDescent="0.3">
      <c r="A30" s="99">
        <v>49188</v>
      </c>
      <c r="B30" s="18" t="s">
        <v>5</v>
      </c>
      <c r="C30" s="33">
        <f>+'Anexo 19'!C30*'Anexo 9'!$D$10</f>
        <v>0</v>
      </c>
      <c r="D30" s="33">
        <f>+'Anexo 19'!D30*'Anexo 9'!$D$10</f>
        <v>0</v>
      </c>
      <c r="E30" s="33">
        <f>+'Anexo 19'!E30*'Anexo 9'!$D$10</f>
        <v>0</v>
      </c>
      <c r="F30" s="33">
        <f>+'Anexo 19'!F30*'Anexo 9'!$D$10</f>
        <v>0</v>
      </c>
      <c r="G30" s="33">
        <f>+'Anexo 19'!G30*'Anexo 9'!$D$10</f>
        <v>0</v>
      </c>
      <c r="H30" s="33">
        <f>+'Anexo 19'!H30*'Anexo 9'!$D$10</f>
        <v>0</v>
      </c>
      <c r="I30" s="33">
        <f>+'Anexo 19'!I30*'Anexo 9'!$D$10</f>
        <v>0</v>
      </c>
      <c r="J30" s="33">
        <f>+'Anexo 19'!J30*'Anexo 9'!$D$10</f>
        <v>0</v>
      </c>
      <c r="K30" s="33">
        <f>+'Anexo 19'!K30*'Anexo 9'!$D$10</f>
        <v>0</v>
      </c>
      <c r="L30" s="33">
        <f>+'Anexo 19'!L30*'Anexo 9'!$D$10</f>
        <v>0</v>
      </c>
      <c r="M30" s="33">
        <f>+'Anexo 19'!M30*'Anexo 9'!$D$10</f>
        <v>0</v>
      </c>
      <c r="N30" s="33">
        <f>+'Anexo 19'!N30*'Anexo 9'!$D$10</f>
        <v>0</v>
      </c>
      <c r="O30" s="33">
        <f>+'Anexo 19'!O30*'Anexo 9'!$D$10</f>
        <v>0</v>
      </c>
      <c r="P30" s="33">
        <f>+'Anexo 19'!P30*'Anexo 9'!$D$10</f>
        <v>0</v>
      </c>
      <c r="Q30" s="33">
        <f>+'Anexo 19'!Q30*'Anexo 9'!$D$10</f>
        <v>0</v>
      </c>
      <c r="R30" s="33">
        <f>+'Anexo 19'!R30*'Anexo 9'!$D$10</f>
        <v>0</v>
      </c>
      <c r="S30" s="33">
        <f>+'Anexo 19'!S30*'Anexo 9'!$D$10</f>
        <v>0</v>
      </c>
      <c r="T30" s="33">
        <f>+'Anexo 19'!T30*'Anexo 9'!$D$10</f>
        <v>0</v>
      </c>
      <c r="U30" s="33">
        <f>+'Anexo 19'!U30*'Anexo 9'!$D$10</f>
        <v>0</v>
      </c>
      <c r="V30" s="33">
        <f>+'Anexo 19'!V30*'Anexo 9'!$D$10</f>
        <v>0</v>
      </c>
      <c r="W30" s="33">
        <f>+'Anexo 19'!W30*'Anexo 9'!$D$10</f>
        <v>0</v>
      </c>
      <c r="X30" s="33">
        <f>+'Anexo 19'!X30*'Anexo 9'!$D$10</f>
        <v>0</v>
      </c>
      <c r="Y30" s="33">
        <f>+'Anexo 19'!Y30*'Anexo 9'!$D$10</f>
        <v>0</v>
      </c>
      <c r="Z30" s="33">
        <f>+'Anexo 19'!Z30*'Anexo 9'!$D$10</f>
        <v>0</v>
      </c>
      <c r="AA30" s="35">
        <f t="shared" si="0"/>
        <v>0</v>
      </c>
      <c r="AB30" s="19">
        <v>21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+'Anexo 19'!C31*'Anexo 9'!$D$10</f>
        <v>0</v>
      </c>
      <c r="D31" s="33">
        <f>+'Anexo 19'!D31*'Anexo 9'!$D$10</f>
        <v>0</v>
      </c>
      <c r="E31" s="33">
        <f>+'Anexo 19'!E31*'Anexo 9'!$D$10</f>
        <v>0</v>
      </c>
      <c r="F31" s="33">
        <f>+'Anexo 19'!F31*'Anexo 9'!$D$10</f>
        <v>0</v>
      </c>
      <c r="G31" s="33">
        <f>+'Anexo 19'!G31*'Anexo 9'!$D$10</f>
        <v>0</v>
      </c>
      <c r="H31" s="33">
        <f>+'Anexo 19'!H31*'Anexo 9'!$D$10</f>
        <v>0</v>
      </c>
      <c r="I31" s="33">
        <f>+'Anexo 19'!I31*'Anexo 9'!$D$10</f>
        <v>0</v>
      </c>
      <c r="J31" s="33">
        <f>+'Anexo 19'!J31*'Anexo 9'!$D$10</f>
        <v>0</v>
      </c>
      <c r="K31" s="33">
        <f>+'Anexo 19'!K31*'Anexo 9'!$D$10</f>
        <v>0</v>
      </c>
      <c r="L31" s="33">
        <f>+'Anexo 19'!L31*'Anexo 9'!$D$10</f>
        <v>0</v>
      </c>
      <c r="M31" s="33">
        <f>+'Anexo 19'!M31*'Anexo 9'!$D$10</f>
        <v>0</v>
      </c>
      <c r="N31" s="33">
        <f>+'Anexo 19'!N31*'Anexo 9'!$D$10</f>
        <v>0</v>
      </c>
      <c r="O31" s="33">
        <f>+'Anexo 19'!O31*'Anexo 9'!$D$10</f>
        <v>0</v>
      </c>
      <c r="P31" s="33">
        <f>+'Anexo 19'!P31*'Anexo 9'!$D$10</f>
        <v>0</v>
      </c>
      <c r="Q31" s="33">
        <f>+'Anexo 19'!Q31*'Anexo 9'!$D$10</f>
        <v>0</v>
      </c>
      <c r="R31" s="33">
        <f>+'Anexo 19'!R31*'Anexo 9'!$D$10</f>
        <v>0</v>
      </c>
      <c r="S31" s="33">
        <f>+'Anexo 19'!S31*'Anexo 9'!$D$10</f>
        <v>0</v>
      </c>
      <c r="T31" s="33">
        <f>+'Anexo 19'!T31*'Anexo 9'!$D$10</f>
        <v>0</v>
      </c>
      <c r="U31" s="33">
        <f>+'Anexo 19'!U31*'Anexo 9'!$D$10</f>
        <v>0</v>
      </c>
      <c r="V31" s="33">
        <f>+'Anexo 19'!V31*'Anexo 9'!$D$10</f>
        <v>0</v>
      </c>
      <c r="W31" s="33">
        <f>+'Anexo 19'!W31*'Anexo 9'!$D$10</f>
        <v>0</v>
      </c>
      <c r="X31" s="33">
        <f>+'Anexo 19'!X31*'Anexo 9'!$D$10</f>
        <v>0</v>
      </c>
      <c r="Y31" s="33">
        <f>+'Anexo 19'!Y31*'Anexo 9'!$D$10</f>
        <v>0</v>
      </c>
      <c r="Z31" s="33">
        <f>+'Anexo 19'!Z31*'Anexo 9'!$D$10</f>
        <v>0</v>
      </c>
      <c r="AA31" s="38">
        <f t="shared" si="0"/>
        <v>0</v>
      </c>
      <c r="AB31" s="21">
        <v>5</v>
      </c>
      <c r="AC31" s="101"/>
      <c r="AD31" s="47"/>
    </row>
    <row r="32" spans="1:30" ht="15.75" thickBot="1" x14ac:dyDescent="0.3">
      <c r="A32" s="99"/>
      <c r="B32" s="22" t="s">
        <v>3</v>
      </c>
      <c r="C32" s="33">
        <f>+'Anexo 19'!C32*'Anexo 9'!$D$10</f>
        <v>0</v>
      </c>
      <c r="D32" s="33">
        <f>+'Anexo 19'!D32*'Anexo 9'!$D$10</f>
        <v>0</v>
      </c>
      <c r="E32" s="33">
        <f>+'Anexo 19'!E32*'Anexo 9'!$D$10</f>
        <v>0</v>
      </c>
      <c r="F32" s="33">
        <f>+'Anexo 19'!F32*'Anexo 9'!$D$10</f>
        <v>0</v>
      </c>
      <c r="G32" s="33">
        <f>+'Anexo 19'!G32*'Anexo 9'!$D$10</f>
        <v>0</v>
      </c>
      <c r="H32" s="33">
        <f>+'Anexo 19'!H32*'Anexo 9'!$D$10</f>
        <v>0</v>
      </c>
      <c r="I32" s="33">
        <f>+'Anexo 19'!I32*'Anexo 9'!$D$10</f>
        <v>0</v>
      </c>
      <c r="J32" s="33">
        <f>+'Anexo 19'!J32*'Anexo 9'!$D$10</f>
        <v>0</v>
      </c>
      <c r="K32" s="33">
        <f>+'Anexo 19'!K32*'Anexo 9'!$D$10</f>
        <v>0</v>
      </c>
      <c r="L32" s="33">
        <f>+'Anexo 19'!L32*'Anexo 9'!$D$10</f>
        <v>0</v>
      </c>
      <c r="M32" s="33">
        <f>+'Anexo 19'!M32*'Anexo 9'!$D$10</f>
        <v>0</v>
      </c>
      <c r="N32" s="33">
        <f>+'Anexo 19'!N32*'Anexo 9'!$D$10</f>
        <v>0</v>
      </c>
      <c r="O32" s="33">
        <f>+'Anexo 19'!O32*'Anexo 9'!$D$10</f>
        <v>0</v>
      </c>
      <c r="P32" s="33">
        <f>+'Anexo 19'!P32*'Anexo 9'!$D$10</f>
        <v>0</v>
      </c>
      <c r="Q32" s="33">
        <f>+'Anexo 19'!Q32*'Anexo 9'!$D$10</f>
        <v>0</v>
      </c>
      <c r="R32" s="33">
        <f>+'Anexo 19'!R32*'Anexo 9'!$D$10</f>
        <v>0</v>
      </c>
      <c r="S32" s="33">
        <f>+'Anexo 19'!S32*'Anexo 9'!$D$10</f>
        <v>0</v>
      </c>
      <c r="T32" s="33">
        <f>+'Anexo 19'!T32*'Anexo 9'!$D$10</f>
        <v>0</v>
      </c>
      <c r="U32" s="33">
        <f>+'Anexo 19'!U32*'Anexo 9'!$D$10</f>
        <v>0</v>
      </c>
      <c r="V32" s="33">
        <f>+'Anexo 19'!V32*'Anexo 9'!$D$10</f>
        <v>0</v>
      </c>
      <c r="W32" s="33">
        <f>+'Anexo 19'!W32*'Anexo 9'!$D$10</f>
        <v>0</v>
      </c>
      <c r="X32" s="33">
        <f>+'Anexo 19'!X32*'Anexo 9'!$D$10</f>
        <v>0</v>
      </c>
      <c r="Y32" s="33">
        <f>+'Anexo 19'!Y32*'Anexo 9'!$D$10</f>
        <v>0</v>
      </c>
      <c r="Z32" s="33">
        <f>+'Anexo 19'!Z32*'Anexo 9'!$D$10</f>
        <v>0</v>
      </c>
      <c r="AA32" s="41">
        <f t="shared" si="0"/>
        <v>0</v>
      </c>
      <c r="AB32" s="23">
        <v>4</v>
      </c>
      <c r="AC32" s="102"/>
      <c r="AD32" s="48"/>
    </row>
    <row r="33" spans="1:30" ht="15.75" thickBot="1" x14ac:dyDescent="0.3">
      <c r="A33" s="99">
        <v>49218</v>
      </c>
      <c r="B33" s="18" t="s">
        <v>5</v>
      </c>
      <c r="C33" s="33">
        <f>+'Anexo 19'!C33*'Anexo 9'!$D$10</f>
        <v>0</v>
      </c>
      <c r="D33" s="33">
        <f>+'Anexo 19'!D33*'Anexo 9'!$D$10</f>
        <v>0</v>
      </c>
      <c r="E33" s="33">
        <f>+'Anexo 19'!E33*'Anexo 9'!$D$10</f>
        <v>0</v>
      </c>
      <c r="F33" s="33">
        <f>+'Anexo 19'!F33*'Anexo 9'!$D$10</f>
        <v>0</v>
      </c>
      <c r="G33" s="33">
        <f>+'Anexo 19'!G33*'Anexo 9'!$D$10</f>
        <v>0</v>
      </c>
      <c r="H33" s="33">
        <f>+'Anexo 19'!H33*'Anexo 9'!$D$10</f>
        <v>0</v>
      </c>
      <c r="I33" s="33">
        <f>+'Anexo 19'!I33*'Anexo 9'!$D$10</f>
        <v>0</v>
      </c>
      <c r="J33" s="33">
        <f>+'Anexo 19'!J33*'Anexo 9'!$D$10</f>
        <v>0</v>
      </c>
      <c r="K33" s="33">
        <f>+'Anexo 19'!K33*'Anexo 9'!$D$10</f>
        <v>0</v>
      </c>
      <c r="L33" s="33">
        <f>+'Anexo 19'!L33*'Anexo 9'!$D$10</f>
        <v>0</v>
      </c>
      <c r="M33" s="33">
        <f>+'Anexo 19'!M33*'Anexo 9'!$D$10</f>
        <v>0</v>
      </c>
      <c r="N33" s="33">
        <f>+'Anexo 19'!N33*'Anexo 9'!$D$10</f>
        <v>0</v>
      </c>
      <c r="O33" s="33">
        <f>+'Anexo 19'!O33*'Anexo 9'!$D$10</f>
        <v>0</v>
      </c>
      <c r="P33" s="33">
        <f>+'Anexo 19'!P33*'Anexo 9'!$D$10</f>
        <v>0</v>
      </c>
      <c r="Q33" s="33">
        <f>+'Anexo 19'!Q33*'Anexo 9'!$D$10</f>
        <v>0</v>
      </c>
      <c r="R33" s="33">
        <f>+'Anexo 19'!R33*'Anexo 9'!$D$10</f>
        <v>0</v>
      </c>
      <c r="S33" s="33">
        <f>+'Anexo 19'!S33*'Anexo 9'!$D$10</f>
        <v>0</v>
      </c>
      <c r="T33" s="33">
        <f>+'Anexo 19'!T33*'Anexo 9'!$D$10</f>
        <v>0</v>
      </c>
      <c r="U33" s="33">
        <f>+'Anexo 19'!U33*'Anexo 9'!$D$10</f>
        <v>0</v>
      </c>
      <c r="V33" s="33">
        <f>+'Anexo 19'!V33*'Anexo 9'!$D$10</f>
        <v>0</v>
      </c>
      <c r="W33" s="33">
        <f>+'Anexo 19'!W33*'Anexo 9'!$D$10</f>
        <v>0</v>
      </c>
      <c r="X33" s="33">
        <f>+'Anexo 19'!X33*'Anexo 9'!$D$10</f>
        <v>0</v>
      </c>
      <c r="Y33" s="33">
        <f>+'Anexo 19'!Y33*'Anexo 9'!$D$10</f>
        <v>0</v>
      </c>
      <c r="Z33" s="33">
        <f>+'Anexo 19'!Z33*'Anexo 9'!$D$10</f>
        <v>0</v>
      </c>
      <c r="AA33" s="35">
        <f t="shared" si="0"/>
        <v>0</v>
      </c>
      <c r="AB33" s="19">
        <v>21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+'Anexo 19'!C34*'Anexo 9'!$D$10</f>
        <v>0</v>
      </c>
      <c r="D34" s="33">
        <f>+'Anexo 19'!D34*'Anexo 9'!$D$10</f>
        <v>0</v>
      </c>
      <c r="E34" s="33">
        <f>+'Anexo 19'!E34*'Anexo 9'!$D$10</f>
        <v>0</v>
      </c>
      <c r="F34" s="33">
        <f>+'Anexo 19'!F34*'Anexo 9'!$D$10</f>
        <v>0</v>
      </c>
      <c r="G34" s="33">
        <f>+'Anexo 19'!G34*'Anexo 9'!$D$10</f>
        <v>0</v>
      </c>
      <c r="H34" s="33">
        <f>+'Anexo 19'!H34*'Anexo 9'!$D$10</f>
        <v>0</v>
      </c>
      <c r="I34" s="33">
        <f>+'Anexo 19'!I34*'Anexo 9'!$D$10</f>
        <v>0</v>
      </c>
      <c r="J34" s="33">
        <f>+'Anexo 19'!J34*'Anexo 9'!$D$10</f>
        <v>0</v>
      </c>
      <c r="K34" s="33">
        <f>+'Anexo 19'!K34*'Anexo 9'!$D$10</f>
        <v>0</v>
      </c>
      <c r="L34" s="33">
        <f>+'Anexo 19'!L34*'Anexo 9'!$D$10</f>
        <v>0</v>
      </c>
      <c r="M34" s="33">
        <f>+'Anexo 19'!M34*'Anexo 9'!$D$10</f>
        <v>0</v>
      </c>
      <c r="N34" s="33">
        <f>+'Anexo 19'!N34*'Anexo 9'!$D$10</f>
        <v>0</v>
      </c>
      <c r="O34" s="33">
        <f>+'Anexo 19'!O34*'Anexo 9'!$D$10</f>
        <v>0</v>
      </c>
      <c r="P34" s="33">
        <f>+'Anexo 19'!P34*'Anexo 9'!$D$10</f>
        <v>0</v>
      </c>
      <c r="Q34" s="33">
        <f>+'Anexo 19'!Q34*'Anexo 9'!$D$10</f>
        <v>0</v>
      </c>
      <c r="R34" s="33">
        <f>+'Anexo 19'!R34*'Anexo 9'!$D$10</f>
        <v>0</v>
      </c>
      <c r="S34" s="33">
        <f>+'Anexo 19'!S34*'Anexo 9'!$D$10</f>
        <v>0</v>
      </c>
      <c r="T34" s="33">
        <f>+'Anexo 19'!T34*'Anexo 9'!$D$10</f>
        <v>0</v>
      </c>
      <c r="U34" s="33">
        <f>+'Anexo 19'!U34*'Anexo 9'!$D$10</f>
        <v>0</v>
      </c>
      <c r="V34" s="33">
        <f>+'Anexo 19'!V34*'Anexo 9'!$D$10</f>
        <v>0</v>
      </c>
      <c r="W34" s="33">
        <f>+'Anexo 19'!W34*'Anexo 9'!$D$10</f>
        <v>0</v>
      </c>
      <c r="X34" s="33">
        <f>+'Anexo 19'!X34*'Anexo 9'!$D$10</f>
        <v>0</v>
      </c>
      <c r="Y34" s="33">
        <f>+'Anexo 19'!Y34*'Anexo 9'!$D$10</f>
        <v>0</v>
      </c>
      <c r="Z34" s="33">
        <f>+'Anexo 19'!Z34*'Anexo 9'!$D$10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+'Anexo 19'!C35*'Anexo 9'!$D$10</f>
        <v>0</v>
      </c>
      <c r="D35" s="33">
        <f>+'Anexo 19'!D35*'Anexo 9'!$D$10</f>
        <v>0</v>
      </c>
      <c r="E35" s="33">
        <f>+'Anexo 19'!E35*'Anexo 9'!$D$10</f>
        <v>0</v>
      </c>
      <c r="F35" s="33">
        <f>+'Anexo 19'!F35*'Anexo 9'!$D$10</f>
        <v>0</v>
      </c>
      <c r="G35" s="33">
        <f>+'Anexo 19'!G35*'Anexo 9'!$D$10</f>
        <v>0</v>
      </c>
      <c r="H35" s="33">
        <f>+'Anexo 19'!H35*'Anexo 9'!$D$10</f>
        <v>0</v>
      </c>
      <c r="I35" s="33">
        <f>+'Anexo 19'!I35*'Anexo 9'!$D$10</f>
        <v>0</v>
      </c>
      <c r="J35" s="33">
        <f>+'Anexo 19'!J35*'Anexo 9'!$D$10</f>
        <v>0</v>
      </c>
      <c r="K35" s="33">
        <f>+'Anexo 19'!K35*'Anexo 9'!$D$10</f>
        <v>0</v>
      </c>
      <c r="L35" s="33">
        <f>+'Anexo 19'!L35*'Anexo 9'!$D$10</f>
        <v>0</v>
      </c>
      <c r="M35" s="33">
        <f>+'Anexo 19'!M35*'Anexo 9'!$D$10</f>
        <v>0</v>
      </c>
      <c r="N35" s="33">
        <f>+'Anexo 19'!N35*'Anexo 9'!$D$10</f>
        <v>0</v>
      </c>
      <c r="O35" s="33">
        <f>+'Anexo 19'!O35*'Anexo 9'!$D$10</f>
        <v>0</v>
      </c>
      <c r="P35" s="33">
        <f>+'Anexo 19'!P35*'Anexo 9'!$D$10</f>
        <v>0</v>
      </c>
      <c r="Q35" s="33">
        <f>+'Anexo 19'!Q35*'Anexo 9'!$D$10</f>
        <v>0</v>
      </c>
      <c r="R35" s="33">
        <f>+'Anexo 19'!R35*'Anexo 9'!$D$10</f>
        <v>0</v>
      </c>
      <c r="S35" s="33">
        <f>+'Anexo 19'!S35*'Anexo 9'!$D$10</f>
        <v>0</v>
      </c>
      <c r="T35" s="33">
        <f>+'Anexo 19'!T35*'Anexo 9'!$D$10</f>
        <v>0</v>
      </c>
      <c r="U35" s="33">
        <f>+'Anexo 19'!U35*'Anexo 9'!$D$10</f>
        <v>0</v>
      </c>
      <c r="V35" s="33">
        <f>+'Anexo 19'!V35*'Anexo 9'!$D$10</f>
        <v>0</v>
      </c>
      <c r="W35" s="33">
        <f>+'Anexo 19'!W35*'Anexo 9'!$D$10</f>
        <v>0</v>
      </c>
      <c r="X35" s="33">
        <f>+'Anexo 19'!X35*'Anexo 9'!$D$10</f>
        <v>0</v>
      </c>
      <c r="Y35" s="33">
        <f>+'Anexo 19'!Y35*'Anexo 9'!$D$10</f>
        <v>0</v>
      </c>
      <c r="Z35" s="33">
        <f>+'Anexo 19'!Z35*'Anexo 9'!$D$10</f>
        <v>0</v>
      </c>
      <c r="AA35" s="41">
        <f t="shared" si="0"/>
        <v>0</v>
      </c>
      <c r="AB35" s="23">
        <v>6</v>
      </c>
      <c r="AC35" s="102"/>
      <c r="AD35" s="48"/>
    </row>
    <row r="36" spans="1:30" ht="15.75" thickBot="1" x14ac:dyDescent="0.3">
      <c r="A36" s="99">
        <v>49249</v>
      </c>
      <c r="B36" s="18" t="s">
        <v>5</v>
      </c>
      <c r="C36" s="33">
        <f>+'Anexo 19'!C36*'Anexo 9'!$D$10</f>
        <v>0</v>
      </c>
      <c r="D36" s="33">
        <f>+'Anexo 19'!D36*'Anexo 9'!$D$10</f>
        <v>0</v>
      </c>
      <c r="E36" s="33">
        <f>+'Anexo 19'!E36*'Anexo 9'!$D$10</f>
        <v>0</v>
      </c>
      <c r="F36" s="33">
        <f>+'Anexo 19'!F36*'Anexo 9'!$D$10</f>
        <v>0</v>
      </c>
      <c r="G36" s="33">
        <f>+'Anexo 19'!G36*'Anexo 9'!$D$10</f>
        <v>0</v>
      </c>
      <c r="H36" s="33">
        <f>+'Anexo 19'!H36*'Anexo 9'!$D$10</f>
        <v>0</v>
      </c>
      <c r="I36" s="33">
        <f>+'Anexo 19'!I36*'Anexo 9'!$D$10</f>
        <v>0</v>
      </c>
      <c r="J36" s="33">
        <f>+'Anexo 19'!J36*'Anexo 9'!$D$10</f>
        <v>0</v>
      </c>
      <c r="K36" s="33">
        <f>+'Anexo 19'!K36*'Anexo 9'!$D$10</f>
        <v>0</v>
      </c>
      <c r="L36" s="33">
        <f>+'Anexo 19'!L36*'Anexo 9'!$D$10</f>
        <v>0</v>
      </c>
      <c r="M36" s="33">
        <f>+'Anexo 19'!M36*'Anexo 9'!$D$10</f>
        <v>0</v>
      </c>
      <c r="N36" s="33">
        <f>+'Anexo 19'!N36*'Anexo 9'!$D$10</f>
        <v>0</v>
      </c>
      <c r="O36" s="33">
        <f>+'Anexo 19'!O36*'Anexo 9'!$D$10</f>
        <v>0</v>
      </c>
      <c r="P36" s="33">
        <f>+'Anexo 19'!P36*'Anexo 9'!$D$10</f>
        <v>0</v>
      </c>
      <c r="Q36" s="33">
        <f>+'Anexo 19'!Q36*'Anexo 9'!$D$10</f>
        <v>0</v>
      </c>
      <c r="R36" s="33">
        <f>+'Anexo 19'!R36*'Anexo 9'!$D$10</f>
        <v>0</v>
      </c>
      <c r="S36" s="33">
        <f>+'Anexo 19'!S36*'Anexo 9'!$D$10</f>
        <v>0</v>
      </c>
      <c r="T36" s="33">
        <f>+'Anexo 19'!T36*'Anexo 9'!$D$10</f>
        <v>0</v>
      </c>
      <c r="U36" s="33">
        <f>+'Anexo 19'!U36*'Anexo 9'!$D$10</f>
        <v>0</v>
      </c>
      <c r="V36" s="33">
        <f>+'Anexo 19'!V36*'Anexo 9'!$D$10</f>
        <v>0</v>
      </c>
      <c r="W36" s="33">
        <f>+'Anexo 19'!W36*'Anexo 9'!$D$10</f>
        <v>0</v>
      </c>
      <c r="X36" s="33">
        <f>+'Anexo 19'!X36*'Anexo 9'!$D$10</f>
        <v>0</v>
      </c>
      <c r="Y36" s="33">
        <f>+'Anexo 19'!Y36*'Anexo 9'!$D$10</f>
        <v>0</v>
      </c>
      <c r="Z36" s="33">
        <f>+'Anexo 19'!Z36*'Anexo 9'!$D$10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+'Anexo 19'!C37*'Anexo 9'!$D$10</f>
        <v>0</v>
      </c>
      <c r="D37" s="33">
        <f>+'Anexo 19'!D37*'Anexo 9'!$D$10</f>
        <v>0</v>
      </c>
      <c r="E37" s="33">
        <f>+'Anexo 19'!E37*'Anexo 9'!$D$10</f>
        <v>0</v>
      </c>
      <c r="F37" s="33">
        <f>+'Anexo 19'!F37*'Anexo 9'!$D$10</f>
        <v>0</v>
      </c>
      <c r="G37" s="33">
        <f>+'Anexo 19'!G37*'Anexo 9'!$D$10</f>
        <v>0</v>
      </c>
      <c r="H37" s="33">
        <f>+'Anexo 19'!H37*'Anexo 9'!$D$10</f>
        <v>0</v>
      </c>
      <c r="I37" s="33">
        <f>+'Anexo 19'!I37*'Anexo 9'!$D$10</f>
        <v>0</v>
      </c>
      <c r="J37" s="33">
        <f>+'Anexo 19'!J37*'Anexo 9'!$D$10</f>
        <v>0</v>
      </c>
      <c r="K37" s="33">
        <f>+'Anexo 19'!K37*'Anexo 9'!$D$10</f>
        <v>0</v>
      </c>
      <c r="L37" s="33">
        <f>+'Anexo 19'!L37*'Anexo 9'!$D$10</f>
        <v>0</v>
      </c>
      <c r="M37" s="33">
        <f>+'Anexo 19'!M37*'Anexo 9'!$D$10</f>
        <v>0</v>
      </c>
      <c r="N37" s="33">
        <f>+'Anexo 19'!N37*'Anexo 9'!$D$10</f>
        <v>0</v>
      </c>
      <c r="O37" s="33">
        <f>+'Anexo 19'!O37*'Anexo 9'!$D$10</f>
        <v>0</v>
      </c>
      <c r="P37" s="33">
        <f>+'Anexo 19'!P37*'Anexo 9'!$D$10</f>
        <v>0</v>
      </c>
      <c r="Q37" s="33">
        <f>+'Anexo 19'!Q37*'Anexo 9'!$D$10</f>
        <v>0</v>
      </c>
      <c r="R37" s="33">
        <f>+'Anexo 19'!R37*'Anexo 9'!$D$10</f>
        <v>0</v>
      </c>
      <c r="S37" s="33">
        <f>+'Anexo 19'!S37*'Anexo 9'!$D$10</f>
        <v>0</v>
      </c>
      <c r="T37" s="33">
        <f>+'Anexo 19'!T37*'Anexo 9'!$D$10</f>
        <v>0</v>
      </c>
      <c r="U37" s="33">
        <f>+'Anexo 19'!U37*'Anexo 9'!$D$10</f>
        <v>0</v>
      </c>
      <c r="V37" s="33">
        <f>+'Anexo 19'!V37*'Anexo 9'!$D$10</f>
        <v>0</v>
      </c>
      <c r="W37" s="33">
        <f>+'Anexo 19'!W37*'Anexo 9'!$D$10</f>
        <v>0</v>
      </c>
      <c r="X37" s="33">
        <f>+'Anexo 19'!X37*'Anexo 9'!$D$10</f>
        <v>0</v>
      </c>
      <c r="Y37" s="33">
        <f>+'Anexo 19'!Y37*'Anexo 9'!$D$10</f>
        <v>0</v>
      </c>
      <c r="Z37" s="33">
        <f>+'Anexo 19'!Z37*'Anexo 9'!$D$10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+'Anexo 19'!C38*'Anexo 9'!$D$10</f>
        <v>0</v>
      </c>
      <c r="D38" s="33">
        <f>+'Anexo 19'!D38*'Anexo 9'!$D$10</f>
        <v>0</v>
      </c>
      <c r="E38" s="33">
        <f>+'Anexo 19'!E38*'Anexo 9'!$D$10</f>
        <v>0</v>
      </c>
      <c r="F38" s="33">
        <f>+'Anexo 19'!F38*'Anexo 9'!$D$10</f>
        <v>0</v>
      </c>
      <c r="G38" s="33">
        <f>+'Anexo 19'!G38*'Anexo 9'!$D$10</f>
        <v>0</v>
      </c>
      <c r="H38" s="33">
        <f>+'Anexo 19'!H38*'Anexo 9'!$D$10</f>
        <v>0</v>
      </c>
      <c r="I38" s="33">
        <f>+'Anexo 19'!I38*'Anexo 9'!$D$10</f>
        <v>0</v>
      </c>
      <c r="J38" s="33">
        <f>+'Anexo 19'!J38*'Anexo 9'!$D$10</f>
        <v>0</v>
      </c>
      <c r="K38" s="33">
        <f>+'Anexo 19'!K38*'Anexo 9'!$D$10</f>
        <v>0</v>
      </c>
      <c r="L38" s="33">
        <f>+'Anexo 19'!L38*'Anexo 9'!$D$10</f>
        <v>0</v>
      </c>
      <c r="M38" s="33">
        <f>+'Anexo 19'!M38*'Anexo 9'!$D$10</f>
        <v>0</v>
      </c>
      <c r="N38" s="33">
        <f>+'Anexo 19'!N38*'Anexo 9'!$D$10</f>
        <v>0</v>
      </c>
      <c r="O38" s="33">
        <f>+'Anexo 19'!O38*'Anexo 9'!$D$10</f>
        <v>0</v>
      </c>
      <c r="P38" s="33">
        <f>+'Anexo 19'!P38*'Anexo 9'!$D$10</f>
        <v>0</v>
      </c>
      <c r="Q38" s="33">
        <f>+'Anexo 19'!Q38*'Anexo 9'!$D$10</f>
        <v>0</v>
      </c>
      <c r="R38" s="33">
        <f>+'Anexo 19'!R38*'Anexo 9'!$D$10</f>
        <v>0</v>
      </c>
      <c r="S38" s="33">
        <f>+'Anexo 19'!S38*'Anexo 9'!$D$10</f>
        <v>0</v>
      </c>
      <c r="T38" s="33">
        <f>+'Anexo 19'!T38*'Anexo 9'!$D$10</f>
        <v>0</v>
      </c>
      <c r="U38" s="33">
        <f>+'Anexo 19'!U38*'Anexo 9'!$D$10</f>
        <v>0</v>
      </c>
      <c r="V38" s="33">
        <f>+'Anexo 19'!V38*'Anexo 9'!$D$10</f>
        <v>0</v>
      </c>
      <c r="W38" s="33">
        <f>+'Anexo 19'!W38*'Anexo 9'!$D$10</f>
        <v>0</v>
      </c>
      <c r="X38" s="33">
        <f>+'Anexo 19'!X38*'Anexo 9'!$D$10</f>
        <v>0</v>
      </c>
      <c r="Y38" s="33">
        <f>+'Anexo 19'!Y38*'Anexo 9'!$D$10</f>
        <v>0</v>
      </c>
      <c r="Z38" s="33">
        <f>+'Anexo 19'!Z38*'Anexo 9'!$D$10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49279</v>
      </c>
      <c r="B39" s="18" t="s">
        <v>5</v>
      </c>
      <c r="C39" s="33">
        <f>+'Anexo 19'!C39*'Anexo 9'!$D$10</f>
        <v>0</v>
      </c>
      <c r="D39" s="33">
        <f>+'Anexo 19'!D39*'Anexo 9'!$D$10</f>
        <v>0</v>
      </c>
      <c r="E39" s="33">
        <f>+'Anexo 19'!E39*'Anexo 9'!$D$10</f>
        <v>0</v>
      </c>
      <c r="F39" s="33">
        <f>+'Anexo 19'!F39*'Anexo 9'!$D$10</f>
        <v>0</v>
      </c>
      <c r="G39" s="33">
        <f>+'Anexo 19'!G39*'Anexo 9'!$D$10</f>
        <v>0</v>
      </c>
      <c r="H39" s="33">
        <f>+'Anexo 19'!H39*'Anexo 9'!$D$10</f>
        <v>0</v>
      </c>
      <c r="I39" s="33">
        <f>+'Anexo 19'!I39*'Anexo 9'!$D$10</f>
        <v>0</v>
      </c>
      <c r="J39" s="33">
        <f>+'Anexo 19'!J39*'Anexo 9'!$D$10</f>
        <v>0</v>
      </c>
      <c r="K39" s="33">
        <f>+'Anexo 19'!K39*'Anexo 9'!$D$10</f>
        <v>0</v>
      </c>
      <c r="L39" s="33">
        <f>+'Anexo 19'!L39*'Anexo 9'!$D$10</f>
        <v>0</v>
      </c>
      <c r="M39" s="33">
        <f>+'Anexo 19'!M39*'Anexo 9'!$D$10</f>
        <v>0</v>
      </c>
      <c r="N39" s="33">
        <f>+'Anexo 19'!N39*'Anexo 9'!$D$10</f>
        <v>0</v>
      </c>
      <c r="O39" s="33">
        <f>+'Anexo 19'!O39*'Anexo 9'!$D$10</f>
        <v>0</v>
      </c>
      <c r="P39" s="33">
        <f>+'Anexo 19'!P39*'Anexo 9'!$D$10</f>
        <v>0</v>
      </c>
      <c r="Q39" s="33">
        <f>+'Anexo 19'!Q39*'Anexo 9'!$D$10</f>
        <v>0</v>
      </c>
      <c r="R39" s="33">
        <f>+'Anexo 19'!R39*'Anexo 9'!$D$10</f>
        <v>0</v>
      </c>
      <c r="S39" s="33">
        <f>+'Anexo 19'!S39*'Anexo 9'!$D$10</f>
        <v>0</v>
      </c>
      <c r="T39" s="33">
        <f>+'Anexo 19'!T39*'Anexo 9'!$D$10</f>
        <v>0</v>
      </c>
      <c r="U39" s="33">
        <f>+'Anexo 19'!U39*'Anexo 9'!$D$10</f>
        <v>0</v>
      </c>
      <c r="V39" s="33">
        <f>+'Anexo 19'!V39*'Anexo 9'!$D$10</f>
        <v>0</v>
      </c>
      <c r="W39" s="33">
        <f>+'Anexo 19'!W39*'Anexo 9'!$D$10</f>
        <v>0</v>
      </c>
      <c r="X39" s="33">
        <f>+'Anexo 19'!X39*'Anexo 9'!$D$10</f>
        <v>0</v>
      </c>
      <c r="Y39" s="33">
        <f>+'Anexo 19'!Y39*'Anexo 9'!$D$10</f>
        <v>0</v>
      </c>
      <c r="Z39" s="33">
        <f>+'Anexo 19'!Z39*'Anexo 9'!$D$10</f>
        <v>0</v>
      </c>
      <c r="AA39" s="35">
        <f t="shared" si="0"/>
        <v>0</v>
      </c>
      <c r="AB39" s="19">
        <v>19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+'Anexo 19'!C40*'Anexo 9'!$D$10</f>
        <v>0</v>
      </c>
      <c r="D40" s="33">
        <f>+'Anexo 19'!D40*'Anexo 9'!$D$10</f>
        <v>0</v>
      </c>
      <c r="E40" s="33">
        <f>+'Anexo 19'!E40*'Anexo 9'!$D$10</f>
        <v>0</v>
      </c>
      <c r="F40" s="33">
        <f>+'Anexo 19'!F40*'Anexo 9'!$D$10</f>
        <v>0</v>
      </c>
      <c r="G40" s="33">
        <f>+'Anexo 19'!G40*'Anexo 9'!$D$10</f>
        <v>0</v>
      </c>
      <c r="H40" s="33">
        <f>+'Anexo 19'!H40*'Anexo 9'!$D$10</f>
        <v>0</v>
      </c>
      <c r="I40" s="33">
        <f>+'Anexo 19'!I40*'Anexo 9'!$D$10</f>
        <v>0</v>
      </c>
      <c r="J40" s="33">
        <f>+'Anexo 19'!J40*'Anexo 9'!$D$10</f>
        <v>0</v>
      </c>
      <c r="K40" s="33">
        <f>+'Anexo 19'!K40*'Anexo 9'!$D$10</f>
        <v>0</v>
      </c>
      <c r="L40" s="33">
        <f>+'Anexo 19'!L40*'Anexo 9'!$D$10</f>
        <v>0</v>
      </c>
      <c r="M40" s="33">
        <f>+'Anexo 19'!M40*'Anexo 9'!$D$10</f>
        <v>0</v>
      </c>
      <c r="N40" s="33">
        <f>+'Anexo 19'!N40*'Anexo 9'!$D$10</f>
        <v>0</v>
      </c>
      <c r="O40" s="33">
        <f>+'Anexo 19'!O40*'Anexo 9'!$D$10</f>
        <v>0</v>
      </c>
      <c r="P40" s="33">
        <f>+'Anexo 19'!P40*'Anexo 9'!$D$10</f>
        <v>0</v>
      </c>
      <c r="Q40" s="33">
        <f>+'Anexo 19'!Q40*'Anexo 9'!$D$10</f>
        <v>0</v>
      </c>
      <c r="R40" s="33">
        <f>+'Anexo 19'!R40*'Anexo 9'!$D$10</f>
        <v>0</v>
      </c>
      <c r="S40" s="33">
        <f>+'Anexo 19'!S40*'Anexo 9'!$D$10</f>
        <v>0</v>
      </c>
      <c r="T40" s="33">
        <f>+'Anexo 19'!T40*'Anexo 9'!$D$10</f>
        <v>0</v>
      </c>
      <c r="U40" s="33">
        <f>+'Anexo 19'!U40*'Anexo 9'!$D$10</f>
        <v>0</v>
      </c>
      <c r="V40" s="33">
        <f>+'Anexo 19'!V40*'Anexo 9'!$D$10</f>
        <v>0</v>
      </c>
      <c r="W40" s="33">
        <f>+'Anexo 19'!W40*'Anexo 9'!$D$10</f>
        <v>0</v>
      </c>
      <c r="X40" s="33">
        <f>+'Anexo 19'!X40*'Anexo 9'!$D$10</f>
        <v>0</v>
      </c>
      <c r="Y40" s="33">
        <f>+'Anexo 19'!Y40*'Anexo 9'!$D$10</f>
        <v>0</v>
      </c>
      <c r="Z40" s="33">
        <f>+'Anexo 19'!Z40*'Anexo 9'!$D$10</f>
        <v>0</v>
      </c>
      <c r="AA40" s="38">
        <f t="shared" si="0"/>
        <v>0</v>
      </c>
      <c r="AB40" s="21">
        <v>5</v>
      </c>
      <c r="AC40" s="101"/>
      <c r="AD40" s="47"/>
    </row>
    <row r="41" spans="1:30" ht="15.75" thickBot="1" x14ac:dyDescent="0.3">
      <c r="A41" s="99"/>
      <c r="B41" s="22" t="s">
        <v>3</v>
      </c>
      <c r="C41" s="33">
        <f>+'Anexo 19'!C41*'Anexo 9'!$D$10</f>
        <v>0</v>
      </c>
      <c r="D41" s="33">
        <f>+'Anexo 19'!D41*'Anexo 9'!$D$10</f>
        <v>0</v>
      </c>
      <c r="E41" s="33">
        <f>+'Anexo 19'!E41*'Anexo 9'!$D$10</f>
        <v>0</v>
      </c>
      <c r="F41" s="33">
        <f>+'Anexo 19'!F41*'Anexo 9'!$D$10</f>
        <v>0</v>
      </c>
      <c r="G41" s="33">
        <f>+'Anexo 19'!G41*'Anexo 9'!$D$10</f>
        <v>0</v>
      </c>
      <c r="H41" s="33">
        <f>+'Anexo 19'!H41*'Anexo 9'!$D$10</f>
        <v>0</v>
      </c>
      <c r="I41" s="33">
        <f>+'Anexo 19'!I41*'Anexo 9'!$D$10</f>
        <v>0</v>
      </c>
      <c r="J41" s="33">
        <f>+'Anexo 19'!J41*'Anexo 9'!$D$10</f>
        <v>0</v>
      </c>
      <c r="K41" s="33">
        <f>+'Anexo 19'!K41*'Anexo 9'!$D$10</f>
        <v>0</v>
      </c>
      <c r="L41" s="33">
        <f>+'Anexo 19'!L41*'Anexo 9'!$D$10</f>
        <v>0</v>
      </c>
      <c r="M41" s="33">
        <f>+'Anexo 19'!M41*'Anexo 9'!$D$10</f>
        <v>0</v>
      </c>
      <c r="N41" s="33">
        <f>+'Anexo 19'!N41*'Anexo 9'!$D$10</f>
        <v>0</v>
      </c>
      <c r="O41" s="33">
        <f>+'Anexo 19'!O41*'Anexo 9'!$D$10</f>
        <v>0</v>
      </c>
      <c r="P41" s="33">
        <f>+'Anexo 19'!P41*'Anexo 9'!$D$10</f>
        <v>0</v>
      </c>
      <c r="Q41" s="33">
        <f>+'Anexo 19'!Q41*'Anexo 9'!$D$10</f>
        <v>0</v>
      </c>
      <c r="R41" s="33">
        <f>+'Anexo 19'!R41*'Anexo 9'!$D$10</f>
        <v>0</v>
      </c>
      <c r="S41" s="33">
        <f>+'Anexo 19'!S41*'Anexo 9'!$D$10</f>
        <v>0</v>
      </c>
      <c r="T41" s="33">
        <f>+'Anexo 19'!T41*'Anexo 9'!$D$10</f>
        <v>0</v>
      </c>
      <c r="U41" s="33">
        <f>+'Anexo 19'!U41*'Anexo 9'!$D$10</f>
        <v>0</v>
      </c>
      <c r="V41" s="33">
        <f>+'Anexo 19'!V41*'Anexo 9'!$D$10</f>
        <v>0</v>
      </c>
      <c r="W41" s="33">
        <f>+'Anexo 19'!W41*'Anexo 9'!$D$10</f>
        <v>0</v>
      </c>
      <c r="X41" s="33">
        <f>+'Anexo 19'!X41*'Anexo 9'!$D$10</f>
        <v>0</v>
      </c>
      <c r="Y41" s="33">
        <f>+'Anexo 19'!Y41*'Anexo 9'!$D$10</f>
        <v>0</v>
      </c>
      <c r="Z41" s="33">
        <f>+'Anexo 19'!Z41*'Anexo 9'!$D$10</f>
        <v>0</v>
      </c>
      <c r="AA41" s="41">
        <f t="shared" si="0"/>
        <v>0</v>
      </c>
      <c r="AB41" s="23">
        <v>7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68E0-25FC-45C5-A81E-6DEBA23547B7}">
  <sheetPr>
    <tabColor rgb="FF0070C0"/>
  </sheetPr>
  <dimension ref="A1:XFC36"/>
  <sheetViews>
    <sheetView showGridLines="0" topLeftCell="A16" zoomScaleNormal="100" zoomScaleSheetLayoutView="140" workbookViewId="0">
      <selection activeCell="B8" sqref="B8:F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9" t="s">
        <v>99</v>
      </c>
      <c r="C3" s="79"/>
      <c r="D3" s="79"/>
      <c r="E3" s="79"/>
      <c r="F3" s="79"/>
      <c r="G3" s="29"/>
    </row>
    <row r="4" spans="1:8" x14ac:dyDescent="0.25">
      <c r="B4" s="79" t="s">
        <v>100</v>
      </c>
      <c r="C4" s="79"/>
      <c r="D4" s="79"/>
      <c r="E4" s="79"/>
      <c r="F4" s="79"/>
      <c r="G4" s="29"/>
    </row>
    <row r="5" spans="1:8" x14ac:dyDescent="0.25">
      <c r="B5" s="79" t="s">
        <v>89</v>
      </c>
      <c r="C5" s="79"/>
      <c r="D5" s="79"/>
      <c r="E5" s="79"/>
      <c r="F5" s="79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80" t="s">
        <v>1</v>
      </c>
      <c r="C8" s="80" t="s">
        <v>36</v>
      </c>
      <c r="D8" s="80" t="s">
        <v>40</v>
      </c>
      <c r="E8" s="80" t="s">
        <v>37</v>
      </c>
      <c r="F8" s="80" t="s">
        <v>42</v>
      </c>
      <c r="G8" s="28"/>
    </row>
    <row r="9" spans="1:8" ht="23.25" customHeight="1" x14ac:dyDescent="0.25"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49310</v>
      </c>
      <c r="C10" s="43">
        <f>+'Anexo 20'!AC6</f>
        <v>63153566</v>
      </c>
      <c r="D10" s="76"/>
      <c r="E10" s="57">
        <f>+'Cantidades Ofertadas Prod 10'!AC6</f>
        <v>0</v>
      </c>
      <c r="F10" s="85"/>
      <c r="G10" s="32"/>
      <c r="H10" s="66"/>
    </row>
    <row r="11" spans="1:8" ht="15.75" thickBot="1" x14ac:dyDescent="0.3">
      <c r="A11" s="59">
        <v>29</v>
      </c>
      <c r="B11" s="8">
        <v>49341</v>
      </c>
      <c r="C11" s="43">
        <f>+'Anexo 20'!AC9</f>
        <v>58133400</v>
      </c>
      <c r="D11" s="77"/>
      <c r="E11" s="57">
        <f>+'Cantidades Ofertadas Prod 10'!AC9</f>
        <v>0</v>
      </c>
      <c r="F11" s="86"/>
      <c r="G11" s="32"/>
      <c r="H11" s="66"/>
    </row>
    <row r="12" spans="1:8" ht="15.75" thickBot="1" x14ac:dyDescent="0.3">
      <c r="A12" s="59">
        <v>31</v>
      </c>
      <c r="B12" s="8">
        <v>49369</v>
      </c>
      <c r="C12" s="43">
        <f>+'Anexo 20'!AC12</f>
        <v>62403701</v>
      </c>
      <c r="D12" s="77"/>
      <c r="E12" s="57">
        <f>+'Cantidades Ofertadas Prod 10'!AC12</f>
        <v>0</v>
      </c>
      <c r="F12" s="86"/>
      <c r="G12" s="32"/>
      <c r="H12" s="66"/>
    </row>
    <row r="13" spans="1:8" ht="15.75" thickBot="1" x14ac:dyDescent="0.3">
      <c r="A13" s="59">
        <v>30</v>
      </c>
      <c r="B13" s="8">
        <v>49400</v>
      </c>
      <c r="C13" s="43">
        <f>+'Anexo 20'!AC15</f>
        <v>59359338</v>
      </c>
      <c r="D13" s="77"/>
      <c r="E13" s="57">
        <f>+'Cantidades Ofertadas Prod 10'!AC15</f>
        <v>0</v>
      </c>
      <c r="F13" s="86"/>
      <c r="G13" s="32"/>
      <c r="H13" s="66"/>
    </row>
    <row r="14" spans="1:8" ht="15.75" thickBot="1" x14ac:dyDescent="0.3">
      <c r="A14" s="59">
        <v>31</v>
      </c>
      <c r="B14" s="8">
        <v>49430</v>
      </c>
      <c r="C14" s="43">
        <f>+'Anexo 20'!AC18</f>
        <v>61508910</v>
      </c>
      <c r="D14" s="77"/>
      <c r="E14" s="57">
        <f>+'Cantidades Ofertadas Prod 10'!AC18</f>
        <v>0</v>
      </c>
      <c r="F14" s="86"/>
      <c r="G14" s="32"/>
      <c r="H14" s="66"/>
    </row>
    <row r="15" spans="1:8" ht="15.75" thickBot="1" x14ac:dyDescent="0.3">
      <c r="A15" s="59">
        <v>30</v>
      </c>
      <c r="B15" s="8">
        <v>49461</v>
      </c>
      <c r="C15" s="43">
        <f>+'Anexo 20'!AC21</f>
        <v>59629775</v>
      </c>
      <c r="D15" s="77"/>
      <c r="E15" s="57">
        <f>+'Cantidades Ofertadas Prod 10'!AC21</f>
        <v>0</v>
      </c>
      <c r="F15" s="86"/>
      <c r="G15" s="32"/>
      <c r="H15" s="66"/>
    </row>
    <row r="16" spans="1:8" ht="15.75" thickBot="1" x14ac:dyDescent="0.3">
      <c r="A16" s="59">
        <v>31</v>
      </c>
      <c r="B16" s="8">
        <v>49491</v>
      </c>
      <c r="C16" s="43">
        <f>+'Anexo 20'!AC24</f>
        <v>62974035</v>
      </c>
      <c r="D16" s="77"/>
      <c r="E16" s="57">
        <f>+'Cantidades Ofertadas Prod 10'!AC24</f>
        <v>0</v>
      </c>
      <c r="F16" s="86"/>
      <c r="G16" s="32"/>
      <c r="H16" s="66"/>
    </row>
    <row r="17" spans="1:8" ht="15.75" thickBot="1" x14ac:dyDescent="0.3">
      <c r="A17" s="59">
        <v>31</v>
      </c>
      <c r="B17" s="8">
        <v>49522</v>
      </c>
      <c r="C17" s="43">
        <f>+'Anexo 20'!AC27</f>
        <v>64285369</v>
      </c>
      <c r="D17" s="77"/>
      <c r="E17" s="57">
        <f>+'Cantidades Ofertadas Prod 10'!AC27</f>
        <v>0</v>
      </c>
      <c r="F17" s="86"/>
      <c r="G17" s="32"/>
      <c r="H17" s="66"/>
    </row>
    <row r="18" spans="1:8" ht="15.75" thickBot="1" x14ac:dyDescent="0.3">
      <c r="A18" s="59">
        <v>30</v>
      </c>
      <c r="B18" s="8">
        <v>49553</v>
      </c>
      <c r="C18" s="43">
        <f>+'Anexo 20'!AC30</f>
        <v>62905330</v>
      </c>
      <c r="D18" s="77"/>
      <c r="E18" s="57">
        <f>+'Cantidades Ofertadas Prod 10'!AC30</f>
        <v>0</v>
      </c>
      <c r="F18" s="86"/>
      <c r="G18" s="32"/>
      <c r="H18" s="66"/>
    </row>
    <row r="19" spans="1:8" ht="15.75" thickBot="1" x14ac:dyDescent="0.3">
      <c r="A19" s="59">
        <v>31</v>
      </c>
      <c r="B19" s="8">
        <v>49583</v>
      </c>
      <c r="C19" s="43">
        <f>+'Anexo 20'!AC33</f>
        <v>62526664</v>
      </c>
      <c r="D19" s="77"/>
      <c r="E19" s="57">
        <f>+'Cantidades Ofertadas Prod 10'!AC33</f>
        <v>0</v>
      </c>
      <c r="F19" s="86"/>
      <c r="G19" s="32"/>
      <c r="H19" s="66"/>
    </row>
    <row r="20" spans="1:8" ht="15.75" thickBot="1" x14ac:dyDescent="0.3">
      <c r="A20" s="59">
        <v>30</v>
      </c>
      <c r="B20" s="8">
        <v>49614</v>
      </c>
      <c r="C20" s="43">
        <f>+'Anexo 20'!AC36</f>
        <v>59407656</v>
      </c>
      <c r="D20" s="77"/>
      <c r="E20" s="57">
        <f>+'Cantidades Ofertadas Prod 10'!AC36</f>
        <v>0</v>
      </c>
      <c r="F20" s="86"/>
      <c r="G20" s="32"/>
      <c r="H20" s="66"/>
    </row>
    <row r="21" spans="1:8" ht="15.75" thickBot="1" x14ac:dyDescent="0.3">
      <c r="A21" s="59">
        <v>31</v>
      </c>
      <c r="B21" s="8">
        <v>49644</v>
      </c>
      <c r="C21" s="43">
        <f>+'Anexo 20'!AC39</f>
        <v>63560349</v>
      </c>
      <c r="D21" s="78"/>
      <c r="E21" s="57">
        <f>+'Cantidades Ofertadas Prod 10'!AC39</f>
        <v>0</v>
      </c>
      <c r="F21" s="87"/>
      <c r="G21" s="32"/>
      <c r="H21" s="66"/>
    </row>
    <row r="22" spans="1:8" ht="28.5" customHeight="1" x14ac:dyDescent="0.25">
      <c r="B22" s="9" t="s">
        <v>0</v>
      </c>
      <c r="C22" s="10">
        <f>+SUM(C10:C21)</f>
        <v>739848093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72" t="s">
        <v>46</v>
      </c>
      <c r="C25" s="72"/>
      <c r="D25" s="72"/>
      <c r="E25" s="72"/>
      <c r="F25" s="72"/>
      <c r="G25" s="72"/>
      <c r="H25" s="42"/>
    </row>
    <row r="26" spans="1:8" x14ac:dyDescent="0.25">
      <c r="B26" s="7" t="s">
        <v>109</v>
      </c>
      <c r="C26" s="52"/>
      <c r="D26" s="52"/>
      <c r="E26" s="52"/>
      <c r="F26" s="52"/>
      <c r="G26" s="52"/>
      <c r="H26" s="42"/>
    </row>
    <row r="27" spans="1:8" x14ac:dyDescent="0.25">
      <c r="B27" s="7" t="s">
        <v>110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132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0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8E3B6D6F-8BD6-4ACD-98EE-73A677749F3E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15D0-D070-46A4-BE8C-BB84DA548FA2}">
  <sheetPr>
    <tabColor rgb="FF0070C0"/>
  </sheetPr>
  <dimension ref="A1:H33"/>
  <sheetViews>
    <sheetView showGridLines="0" topLeftCell="A15" zoomScaleNormal="100" zoomScaleSheetLayoutView="140" workbookViewId="0">
      <selection activeCell="G27" sqref="G27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9" t="s">
        <v>115</v>
      </c>
      <c r="C3" s="79"/>
      <c r="D3" s="79"/>
      <c r="E3" s="79"/>
      <c r="F3" s="79"/>
      <c r="G3" s="29"/>
    </row>
    <row r="4" spans="1:8" ht="15" x14ac:dyDescent="0.25">
      <c r="B4" s="79" t="s">
        <v>100</v>
      </c>
      <c r="C4" s="79"/>
      <c r="D4" s="79"/>
      <c r="E4" s="79"/>
      <c r="F4" s="79"/>
      <c r="G4" s="29"/>
    </row>
    <row r="5" spans="1:8" ht="15" x14ac:dyDescent="0.25">
      <c r="B5" s="79" t="s">
        <v>89</v>
      </c>
      <c r="C5" s="79"/>
      <c r="D5" s="79"/>
      <c r="E5" s="79"/>
      <c r="F5" s="79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80" t="s">
        <v>1</v>
      </c>
      <c r="C8" s="80" t="s">
        <v>56</v>
      </c>
      <c r="D8" s="80" t="s">
        <v>66</v>
      </c>
      <c r="E8" s="80" t="s">
        <v>37</v>
      </c>
      <c r="F8" s="80" t="s">
        <v>42</v>
      </c>
      <c r="G8" s="28"/>
    </row>
    <row r="9" spans="1:8" ht="23.25" customHeight="1" x14ac:dyDescent="0.25">
      <c r="A9" s="63">
        <v>84457</v>
      </c>
      <c r="B9" s="81"/>
      <c r="C9" s="81"/>
      <c r="D9" s="81"/>
      <c r="E9" s="81"/>
      <c r="F9" s="81"/>
      <c r="G9" s="28"/>
    </row>
    <row r="10" spans="1:8" ht="15.75" thickBot="1" x14ac:dyDescent="0.3">
      <c r="A10" s="59">
        <v>31</v>
      </c>
      <c r="B10" s="8">
        <v>49310</v>
      </c>
      <c r="C10" s="43">
        <f>+$A$9*A10*24</f>
        <v>62836008</v>
      </c>
      <c r="D10" s="82"/>
      <c r="E10" s="57">
        <f>+$D$10*A10*24</f>
        <v>0</v>
      </c>
      <c r="F10" s="73"/>
      <c r="G10" s="32"/>
      <c r="H10" s="51"/>
    </row>
    <row r="11" spans="1:8" ht="15.75" thickBot="1" x14ac:dyDescent="0.3">
      <c r="A11" s="59">
        <v>28</v>
      </c>
      <c r="B11" s="8">
        <v>49341</v>
      </c>
      <c r="C11" s="43">
        <f t="shared" ref="C11:C21" si="0">+$A$9*A11*24</f>
        <v>56755104</v>
      </c>
      <c r="D11" s="83"/>
      <c r="E11" s="57">
        <f t="shared" ref="E11:E21" si="1">+$D$10*A11*24</f>
        <v>0</v>
      </c>
      <c r="F11" s="74"/>
      <c r="G11" s="32"/>
      <c r="H11" s="51"/>
    </row>
    <row r="12" spans="1:8" ht="15.75" thickBot="1" x14ac:dyDescent="0.3">
      <c r="A12" s="59">
        <v>31</v>
      </c>
      <c r="B12" s="8">
        <v>49369</v>
      </c>
      <c r="C12" s="43">
        <f t="shared" si="0"/>
        <v>62836008</v>
      </c>
      <c r="D12" s="83"/>
      <c r="E12" s="57">
        <f t="shared" si="1"/>
        <v>0</v>
      </c>
      <c r="F12" s="74"/>
      <c r="G12" s="32"/>
      <c r="H12" s="51"/>
    </row>
    <row r="13" spans="1:8" ht="15.75" thickBot="1" x14ac:dyDescent="0.3">
      <c r="A13" s="59">
        <v>30</v>
      </c>
      <c r="B13" s="8">
        <v>49400</v>
      </c>
      <c r="C13" s="43">
        <f t="shared" si="0"/>
        <v>60809040</v>
      </c>
      <c r="D13" s="83"/>
      <c r="E13" s="57">
        <f t="shared" si="1"/>
        <v>0</v>
      </c>
      <c r="F13" s="74"/>
      <c r="G13" s="32"/>
      <c r="H13" s="51"/>
    </row>
    <row r="14" spans="1:8" ht="15.75" thickBot="1" x14ac:dyDescent="0.3">
      <c r="A14" s="59">
        <v>31</v>
      </c>
      <c r="B14" s="8">
        <v>49430</v>
      </c>
      <c r="C14" s="43">
        <f t="shared" si="0"/>
        <v>62836008</v>
      </c>
      <c r="D14" s="83"/>
      <c r="E14" s="57">
        <f t="shared" si="1"/>
        <v>0</v>
      </c>
      <c r="F14" s="74"/>
      <c r="G14" s="32"/>
      <c r="H14" s="51"/>
    </row>
    <row r="15" spans="1:8" ht="15.75" thickBot="1" x14ac:dyDescent="0.3">
      <c r="A15" s="59">
        <v>30</v>
      </c>
      <c r="B15" s="8">
        <v>49461</v>
      </c>
      <c r="C15" s="43">
        <f t="shared" si="0"/>
        <v>60809040</v>
      </c>
      <c r="D15" s="83"/>
      <c r="E15" s="57">
        <f t="shared" si="1"/>
        <v>0</v>
      </c>
      <c r="F15" s="74"/>
      <c r="G15" s="32"/>
      <c r="H15" s="51"/>
    </row>
    <row r="16" spans="1:8" ht="15.75" thickBot="1" x14ac:dyDescent="0.3">
      <c r="A16" s="59">
        <v>31</v>
      </c>
      <c r="B16" s="8">
        <v>49491</v>
      </c>
      <c r="C16" s="43">
        <f t="shared" si="0"/>
        <v>62836008</v>
      </c>
      <c r="D16" s="83"/>
      <c r="E16" s="57">
        <f t="shared" si="1"/>
        <v>0</v>
      </c>
      <c r="F16" s="74"/>
      <c r="G16" s="32"/>
      <c r="H16" s="51"/>
    </row>
    <row r="17" spans="1:8" ht="15.75" thickBot="1" x14ac:dyDescent="0.3">
      <c r="A17" s="59">
        <v>31</v>
      </c>
      <c r="B17" s="8">
        <v>49522</v>
      </c>
      <c r="C17" s="43">
        <f t="shared" si="0"/>
        <v>62836008</v>
      </c>
      <c r="D17" s="83"/>
      <c r="E17" s="57">
        <f t="shared" si="1"/>
        <v>0</v>
      </c>
      <c r="F17" s="74"/>
      <c r="G17" s="32"/>
      <c r="H17" s="51"/>
    </row>
    <row r="18" spans="1:8" ht="15.75" thickBot="1" x14ac:dyDescent="0.3">
      <c r="A18" s="59">
        <v>30</v>
      </c>
      <c r="B18" s="8">
        <v>49553</v>
      </c>
      <c r="C18" s="43">
        <f t="shared" si="0"/>
        <v>60809040</v>
      </c>
      <c r="D18" s="83"/>
      <c r="E18" s="57">
        <f t="shared" si="1"/>
        <v>0</v>
      </c>
      <c r="F18" s="74"/>
      <c r="G18" s="32"/>
      <c r="H18" s="51"/>
    </row>
    <row r="19" spans="1:8" ht="15.75" thickBot="1" x14ac:dyDescent="0.3">
      <c r="A19" s="59">
        <v>31</v>
      </c>
      <c r="B19" s="8">
        <v>49583</v>
      </c>
      <c r="C19" s="43">
        <f t="shared" si="0"/>
        <v>62836008</v>
      </c>
      <c r="D19" s="83"/>
      <c r="E19" s="57">
        <f t="shared" si="1"/>
        <v>0</v>
      </c>
      <c r="F19" s="74"/>
      <c r="G19" s="32"/>
      <c r="H19" s="51"/>
    </row>
    <row r="20" spans="1:8" ht="15.75" thickBot="1" x14ac:dyDescent="0.3">
      <c r="A20" s="59">
        <v>30</v>
      </c>
      <c r="B20" s="8">
        <v>49614</v>
      </c>
      <c r="C20" s="43">
        <f t="shared" si="0"/>
        <v>60809040</v>
      </c>
      <c r="D20" s="83"/>
      <c r="E20" s="57">
        <f t="shared" si="1"/>
        <v>0</v>
      </c>
      <c r="F20" s="74"/>
      <c r="G20" s="32"/>
      <c r="H20" s="51"/>
    </row>
    <row r="21" spans="1:8" ht="15.75" thickBot="1" x14ac:dyDescent="0.3">
      <c r="A21" s="59">
        <v>31</v>
      </c>
      <c r="B21" s="8">
        <v>49644</v>
      </c>
      <c r="C21" s="43">
        <f t="shared" si="0"/>
        <v>62836008</v>
      </c>
      <c r="D21" s="84"/>
      <c r="E21" s="57">
        <f t="shared" si="1"/>
        <v>0</v>
      </c>
      <c r="F21" s="75"/>
      <c r="G21" s="32"/>
      <c r="H21" s="51"/>
    </row>
    <row r="22" spans="1:8" ht="28.5" customHeight="1" x14ac:dyDescent="0.25">
      <c r="B22" s="9" t="s">
        <v>0</v>
      </c>
      <c r="C22" s="10">
        <f>+SUM(C10:C21)</f>
        <v>739843320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131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72" t="s">
        <v>68</v>
      </c>
      <c r="C26" s="72"/>
      <c r="D26" s="72"/>
      <c r="E26" s="72"/>
      <c r="F26" s="72"/>
      <c r="G26" s="72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84.457" prompt="debe ofertar maximo 84.457 kWh" sqref="D10:D21" xr:uid="{75A4E227-509B-4666-BF6C-AC6FB6615D77}">
      <formula1>0</formula1>
      <formula2>+A9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1297-D504-44BC-AF1F-6B900F89873F}">
  <sheetPr>
    <tabColor rgb="FF0070C0"/>
  </sheetPr>
  <dimension ref="A1:AD45"/>
  <sheetViews>
    <sheetView showGridLines="0" zoomScale="115" zoomScaleNormal="115" zoomScaleSheetLayoutView="110" workbookViewId="0">
      <pane xSplit="2" ySplit="5" topLeftCell="L44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3" width="8.7109375" bestFit="1" customWidth="1"/>
    <col min="4" max="5" width="9" bestFit="1" customWidth="1"/>
    <col min="6" max="6" width="9.28515625" bestFit="1" customWidth="1"/>
    <col min="7" max="8" width="9" bestFit="1" customWidth="1"/>
    <col min="9" max="13" width="9.28515625" bestFit="1" customWidth="1"/>
    <col min="14" max="14" width="9" bestFit="1" customWidth="1"/>
    <col min="15" max="16" width="9.28515625" bestFit="1" customWidth="1"/>
    <col min="17" max="18" width="9" bestFit="1" customWidth="1"/>
    <col min="19" max="19" width="9.28515625" bestFit="1" customWidth="1"/>
    <col min="20" max="20" width="8.7109375" bestFit="1" customWidth="1"/>
    <col min="21" max="22" width="9" bestFit="1" customWidth="1"/>
    <col min="23" max="24" width="9.28515625" bestFit="1" customWidth="1"/>
    <col min="25" max="25" width="9" bestFit="1" customWidth="1"/>
    <col min="26" max="26" width="9.28515625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90" t="s">
        <v>92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49310</v>
      </c>
      <c r="B6" s="18" t="s">
        <v>5</v>
      </c>
      <c r="C6" s="33">
        <v>68725</v>
      </c>
      <c r="D6" s="33">
        <v>64753</v>
      </c>
      <c r="E6" s="33">
        <v>62363</v>
      </c>
      <c r="F6" s="33">
        <v>61128</v>
      </c>
      <c r="G6" s="33">
        <v>61982</v>
      </c>
      <c r="H6" s="33">
        <v>65674</v>
      </c>
      <c r="I6" s="33">
        <v>69184</v>
      </c>
      <c r="J6" s="33">
        <v>75754</v>
      </c>
      <c r="K6" s="33">
        <v>83146</v>
      </c>
      <c r="L6" s="33">
        <v>88745</v>
      </c>
      <c r="M6" s="33">
        <v>94447</v>
      </c>
      <c r="N6" s="33">
        <v>99825</v>
      </c>
      <c r="O6" s="33">
        <v>98912</v>
      </c>
      <c r="P6" s="33">
        <v>99030</v>
      </c>
      <c r="Q6" s="33">
        <v>100680</v>
      </c>
      <c r="R6" s="33">
        <v>100995</v>
      </c>
      <c r="S6" s="33">
        <v>99840</v>
      </c>
      <c r="T6" s="33">
        <v>97678</v>
      </c>
      <c r="U6" s="33">
        <v>104856</v>
      </c>
      <c r="V6" s="33">
        <v>110835</v>
      </c>
      <c r="W6" s="33">
        <v>106815</v>
      </c>
      <c r="X6" s="33">
        <v>99766</v>
      </c>
      <c r="Y6" s="33">
        <v>88438</v>
      </c>
      <c r="Z6" s="34">
        <v>76995</v>
      </c>
      <c r="AA6" s="35">
        <f>SUM(C6:Z6)</f>
        <v>2080566</v>
      </c>
      <c r="AB6" s="19">
        <v>21</v>
      </c>
      <c r="AC6" s="100">
        <f>+AA6*AB6+AA7*AB7+AA8*AB8</f>
        <v>63153566</v>
      </c>
    </row>
    <row r="7" spans="1:30" ht="15.75" thickBot="1" x14ac:dyDescent="0.3">
      <c r="A7" s="99"/>
      <c r="B7" s="20" t="s">
        <v>4</v>
      </c>
      <c r="C7" s="36">
        <v>70383</v>
      </c>
      <c r="D7" s="36">
        <v>64656</v>
      </c>
      <c r="E7" s="36">
        <v>61970</v>
      </c>
      <c r="F7" s="36">
        <v>60276</v>
      </c>
      <c r="G7" s="36">
        <v>60330</v>
      </c>
      <c r="H7" s="36">
        <v>62357</v>
      </c>
      <c r="I7" s="36">
        <v>64719</v>
      </c>
      <c r="J7" s="36">
        <v>71274</v>
      </c>
      <c r="K7" s="36">
        <v>79380</v>
      </c>
      <c r="L7" s="36">
        <v>85499</v>
      </c>
      <c r="M7" s="36">
        <v>90083</v>
      </c>
      <c r="N7" s="36">
        <v>94617</v>
      </c>
      <c r="O7" s="36">
        <v>95107</v>
      </c>
      <c r="P7" s="36">
        <v>94174</v>
      </c>
      <c r="Q7" s="36">
        <v>93149</v>
      </c>
      <c r="R7" s="36">
        <v>92651</v>
      </c>
      <c r="S7" s="36">
        <v>91952</v>
      </c>
      <c r="T7" s="36">
        <v>91863</v>
      </c>
      <c r="U7" s="36">
        <v>100694</v>
      </c>
      <c r="V7" s="36">
        <v>106983</v>
      </c>
      <c r="W7" s="36">
        <v>102681</v>
      </c>
      <c r="X7" s="36">
        <v>96270</v>
      </c>
      <c r="Y7" s="36">
        <v>87172</v>
      </c>
      <c r="Z7" s="37">
        <v>78055</v>
      </c>
      <c r="AA7" s="38">
        <f t="shared" ref="AA7:AA41" si="0">SUM(C7:Z7)</f>
        <v>1996295</v>
      </c>
      <c r="AB7" s="21">
        <v>4</v>
      </c>
      <c r="AC7" s="101"/>
      <c r="AD7" s="47"/>
    </row>
    <row r="8" spans="1:30" x14ac:dyDescent="0.25">
      <c r="A8" s="99"/>
      <c r="B8" s="22" t="s">
        <v>3</v>
      </c>
      <c r="C8" s="39">
        <v>73783</v>
      </c>
      <c r="D8" s="39">
        <v>68936</v>
      </c>
      <c r="E8" s="39">
        <v>65722</v>
      </c>
      <c r="F8" s="39">
        <v>63453</v>
      </c>
      <c r="G8" s="39">
        <v>62347</v>
      </c>
      <c r="H8" s="39">
        <v>62781</v>
      </c>
      <c r="I8" s="39">
        <v>62166</v>
      </c>
      <c r="J8" s="39">
        <v>65837</v>
      </c>
      <c r="K8" s="39">
        <v>72123</v>
      </c>
      <c r="L8" s="39">
        <v>77663</v>
      </c>
      <c r="M8" s="39">
        <v>81751</v>
      </c>
      <c r="N8" s="39">
        <v>86007</v>
      </c>
      <c r="O8" s="39">
        <v>88527</v>
      </c>
      <c r="P8" s="39">
        <v>88227</v>
      </c>
      <c r="Q8" s="39">
        <v>86625</v>
      </c>
      <c r="R8" s="39">
        <v>85701</v>
      </c>
      <c r="S8" s="39">
        <v>85238</v>
      </c>
      <c r="T8" s="39">
        <v>85700</v>
      </c>
      <c r="U8" s="39">
        <v>95517</v>
      </c>
      <c r="V8" s="39">
        <v>102526</v>
      </c>
      <c r="W8" s="39">
        <v>99667</v>
      </c>
      <c r="X8" s="39">
        <v>93556</v>
      </c>
      <c r="Y8" s="39">
        <v>84134</v>
      </c>
      <c r="Z8" s="40">
        <v>74763</v>
      </c>
      <c r="AA8" s="41">
        <f t="shared" si="0"/>
        <v>1912750</v>
      </c>
      <c r="AB8" s="23">
        <v>6</v>
      </c>
      <c r="AC8" s="102"/>
      <c r="AD8" s="48"/>
    </row>
    <row r="9" spans="1:30" ht="15.75" thickBot="1" x14ac:dyDescent="0.3">
      <c r="A9" s="99">
        <v>49341</v>
      </c>
      <c r="B9" s="18" t="s">
        <v>5</v>
      </c>
      <c r="C9" s="33">
        <v>69127</v>
      </c>
      <c r="D9" s="33">
        <v>65304</v>
      </c>
      <c r="E9" s="33">
        <v>63107</v>
      </c>
      <c r="F9" s="33">
        <v>62027</v>
      </c>
      <c r="G9" s="33">
        <v>63277</v>
      </c>
      <c r="H9" s="33">
        <v>69007</v>
      </c>
      <c r="I9" s="33">
        <v>73572</v>
      </c>
      <c r="J9" s="33">
        <v>78529</v>
      </c>
      <c r="K9" s="33">
        <v>85105</v>
      </c>
      <c r="L9" s="33">
        <v>90032</v>
      </c>
      <c r="M9" s="33">
        <v>95416</v>
      </c>
      <c r="N9" s="33">
        <v>100405</v>
      </c>
      <c r="O9" s="33">
        <v>98401</v>
      </c>
      <c r="P9" s="33">
        <v>99163</v>
      </c>
      <c r="Q9" s="33">
        <v>101480</v>
      </c>
      <c r="R9" s="33">
        <v>101898</v>
      </c>
      <c r="S9" s="33">
        <v>100761</v>
      </c>
      <c r="T9" s="33">
        <v>98131</v>
      </c>
      <c r="U9" s="33">
        <v>103609</v>
      </c>
      <c r="V9" s="33">
        <v>111454</v>
      </c>
      <c r="W9" s="33">
        <v>107589</v>
      </c>
      <c r="X9" s="33">
        <v>100209</v>
      </c>
      <c r="Y9" s="33">
        <v>88565</v>
      </c>
      <c r="Z9" s="34">
        <v>76978</v>
      </c>
      <c r="AA9" s="35">
        <f t="shared" si="0"/>
        <v>2103146</v>
      </c>
      <c r="AB9" s="19">
        <v>20</v>
      </c>
      <c r="AC9" s="100">
        <f>+AA9*AB9+AA10*AB10+AA11*AB11</f>
        <v>58133400</v>
      </c>
    </row>
    <row r="10" spans="1:30" ht="15.75" thickBot="1" x14ac:dyDescent="0.3">
      <c r="A10" s="99"/>
      <c r="B10" s="20" t="s">
        <v>4</v>
      </c>
      <c r="C10" s="36">
        <v>71686</v>
      </c>
      <c r="D10" s="36">
        <v>66177</v>
      </c>
      <c r="E10" s="36">
        <v>63503</v>
      </c>
      <c r="F10" s="36">
        <v>61967</v>
      </c>
      <c r="G10" s="36">
        <v>62149</v>
      </c>
      <c r="H10" s="36">
        <v>64328</v>
      </c>
      <c r="I10" s="36">
        <v>67816</v>
      </c>
      <c r="J10" s="36">
        <v>74368</v>
      </c>
      <c r="K10" s="36">
        <v>82788</v>
      </c>
      <c r="L10" s="36">
        <v>88652</v>
      </c>
      <c r="M10" s="36">
        <v>93313</v>
      </c>
      <c r="N10" s="36">
        <v>97839</v>
      </c>
      <c r="O10" s="36">
        <v>97964</v>
      </c>
      <c r="P10" s="36">
        <v>96708</v>
      </c>
      <c r="Q10" s="36">
        <v>95633</v>
      </c>
      <c r="R10" s="36">
        <v>95045</v>
      </c>
      <c r="S10" s="36">
        <v>94237</v>
      </c>
      <c r="T10" s="36">
        <v>93941</v>
      </c>
      <c r="U10" s="36">
        <v>101084</v>
      </c>
      <c r="V10" s="36">
        <v>108825</v>
      </c>
      <c r="W10" s="36">
        <v>104563</v>
      </c>
      <c r="X10" s="36">
        <v>98507</v>
      </c>
      <c r="Y10" s="36">
        <v>89850</v>
      </c>
      <c r="Z10" s="37">
        <v>80230</v>
      </c>
      <c r="AA10" s="38">
        <f t="shared" si="0"/>
        <v>2051173</v>
      </c>
      <c r="AB10" s="21">
        <v>4</v>
      </c>
      <c r="AC10" s="101"/>
      <c r="AD10" s="47"/>
    </row>
    <row r="11" spans="1:30" x14ac:dyDescent="0.25">
      <c r="A11" s="99"/>
      <c r="B11" s="22" t="s">
        <v>3</v>
      </c>
      <c r="C11" s="39">
        <v>74454</v>
      </c>
      <c r="D11" s="39">
        <v>69645</v>
      </c>
      <c r="E11" s="39">
        <v>66713</v>
      </c>
      <c r="F11" s="39">
        <v>64511</v>
      </c>
      <c r="G11" s="39">
        <v>63808</v>
      </c>
      <c r="H11" s="39">
        <v>64468</v>
      </c>
      <c r="I11" s="39">
        <v>64995</v>
      </c>
      <c r="J11" s="39">
        <v>69301</v>
      </c>
      <c r="K11" s="39">
        <v>76195</v>
      </c>
      <c r="L11" s="39">
        <v>81840</v>
      </c>
      <c r="M11" s="39">
        <v>85580</v>
      </c>
      <c r="N11" s="39">
        <v>89622</v>
      </c>
      <c r="O11" s="39">
        <v>91887</v>
      </c>
      <c r="P11" s="39">
        <v>91148</v>
      </c>
      <c r="Q11" s="39">
        <v>89344</v>
      </c>
      <c r="R11" s="39">
        <v>88249</v>
      </c>
      <c r="S11" s="39">
        <v>87698</v>
      </c>
      <c r="T11" s="39">
        <v>88161</v>
      </c>
      <c r="U11" s="39">
        <v>95990</v>
      </c>
      <c r="V11" s="39">
        <v>104704</v>
      </c>
      <c r="W11" s="39">
        <v>102045</v>
      </c>
      <c r="X11" s="39">
        <v>95713</v>
      </c>
      <c r="Y11" s="39">
        <v>85314</v>
      </c>
      <c r="Z11" s="40">
        <v>75062</v>
      </c>
      <c r="AA11" s="41">
        <f t="shared" si="0"/>
        <v>1966447</v>
      </c>
      <c r="AB11" s="23">
        <v>4</v>
      </c>
      <c r="AC11" s="102"/>
      <c r="AD11" s="48"/>
    </row>
    <row r="12" spans="1:30" ht="15.75" thickBot="1" x14ac:dyDescent="0.3">
      <c r="A12" s="99">
        <v>49369</v>
      </c>
      <c r="B12" s="18" t="s">
        <v>5</v>
      </c>
      <c r="C12" s="33">
        <v>67658</v>
      </c>
      <c r="D12" s="33">
        <v>63998</v>
      </c>
      <c r="E12" s="33">
        <v>61972</v>
      </c>
      <c r="F12" s="33">
        <v>60957</v>
      </c>
      <c r="G12" s="33">
        <v>62303</v>
      </c>
      <c r="H12" s="33">
        <v>67922</v>
      </c>
      <c r="I12" s="33">
        <v>71859</v>
      </c>
      <c r="J12" s="33">
        <v>77343</v>
      </c>
      <c r="K12" s="33">
        <v>83659</v>
      </c>
      <c r="L12" s="33">
        <v>88390</v>
      </c>
      <c r="M12" s="33">
        <v>93431</v>
      </c>
      <c r="N12" s="33">
        <v>97978</v>
      </c>
      <c r="O12" s="33">
        <v>96166</v>
      </c>
      <c r="P12" s="33">
        <v>96567</v>
      </c>
      <c r="Q12" s="33">
        <v>98559</v>
      </c>
      <c r="R12" s="33">
        <v>98884</v>
      </c>
      <c r="S12" s="33">
        <v>98018</v>
      </c>
      <c r="T12" s="33">
        <v>96166</v>
      </c>
      <c r="U12" s="33">
        <v>103003</v>
      </c>
      <c r="V12" s="33">
        <v>109696</v>
      </c>
      <c r="W12" s="33">
        <v>105711</v>
      </c>
      <c r="X12" s="33">
        <v>98206</v>
      </c>
      <c r="Y12" s="33">
        <v>86795</v>
      </c>
      <c r="Z12" s="34">
        <v>75529</v>
      </c>
      <c r="AA12" s="35">
        <f t="shared" si="0"/>
        <v>2060770</v>
      </c>
      <c r="AB12" s="19">
        <v>19</v>
      </c>
      <c r="AC12" s="100">
        <f>+AA12*AB12+AA13*AB13+AA14*AB14</f>
        <v>62403701</v>
      </c>
    </row>
    <row r="13" spans="1:30" ht="15.75" thickBot="1" x14ac:dyDescent="0.3">
      <c r="A13" s="99"/>
      <c r="B13" s="20" t="s">
        <v>4</v>
      </c>
      <c r="C13" s="36">
        <v>69790</v>
      </c>
      <c r="D13" s="36">
        <v>64328</v>
      </c>
      <c r="E13" s="36">
        <v>62123</v>
      </c>
      <c r="F13" s="36">
        <v>60863</v>
      </c>
      <c r="G13" s="36">
        <v>60938</v>
      </c>
      <c r="H13" s="36">
        <v>63253</v>
      </c>
      <c r="I13" s="36">
        <v>65271</v>
      </c>
      <c r="J13" s="36">
        <v>72456</v>
      </c>
      <c r="K13" s="36">
        <v>80269</v>
      </c>
      <c r="L13" s="36">
        <v>85931</v>
      </c>
      <c r="M13" s="36">
        <v>90428</v>
      </c>
      <c r="N13" s="36">
        <v>94177</v>
      </c>
      <c r="O13" s="36">
        <v>94102</v>
      </c>
      <c r="P13" s="36">
        <v>92766</v>
      </c>
      <c r="Q13" s="36">
        <v>91766</v>
      </c>
      <c r="R13" s="36">
        <v>91013</v>
      </c>
      <c r="S13" s="36">
        <v>90037</v>
      </c>
      <c r="T13" s="36">
        <v>90104</v>
      </c>
      <c r="U13" s="36">
        <v>98256</v>
      </c>
      <c r="V13" s="36">
        <v>104448</v>
      </c>
      <c r="W13" s="36">
        <v>100400</v>
      </c>
      <c r="X13" s="36">
        <v>94610</v>
      </c>
      <c r="Y13" s="36">
        <v>85996</v>
      </c>
      <c r="Z13" s="37">
        <v>77294</v>
      </c>
      <c r="AA13" s="38">
        <f t="shared" si="0"/>
        <v>1980619</v>
      </c>
      <c r="AB13" s="21">
        <v>5</v>
      </c>
      <c r="AC13" s="101"/>
      <c r="AD13" s="47"/>
    </row>
    <row r="14" spans="1:30" x14ac:dyDescent="0.25">
      <c r="A14" s="99"/>
      <c r="B14" s="22" t="s">
        <v>3</v>
      </c>
      <c r="C14" s="39">
        <v>71923</v>
      </c>
      <c r="D14" s="39">
        <v>67272</v>
      </c>
      <c r="E14" s="39">
        <v>64536</v>
      </c>
      <c r="F14" s="39">
        <v>62681</v>
      </c>
      <c r="G14" s="39">
        <v>61911</v>
      </c>
      <c r="H14" s="39">
        <v>62824</v>
      </c>
      <c r="I14" s="39">
        <v>62595</v>
      </c>
      <c r="J14" s="39">
        <v>67247</v>
      </c>
      <c r="K14" s="39">
        <v>73583</v>
      </c>
      <c r="L14" s="39">
        <v>78691</v>
      </c>
      <c r="M14" s="39">
        <v>82252</v>
      </c>
      <c r="N14" s="39">
        <v>86300</v>
      </c>
      <c r="O14" s="39">
        <v>88711</v>
      </c>
      <c r="P14" s="39">
        <v>88038</v>
      </c>
      <c r="Q14" s="39">
        <v>86188</v>
      </c>
      <c r="R14" s="39">
        <v>85362</v>
      </c>
      <c r="S14" s="39">
        <v>84825</v>
      </c>
      <c r="T14" s="39">
        <v>85488</v>
      </c>
      <c r="U14" s="39">
        <v>94459</v>
      </c>
      <c r="V14" s="39">
        <v>101896</v>
      </c>
      <c r="W14" s="39">
        <v>99028</v>
      </c>
      <c r="X14" s="39">
        <v>93092</v>
      </c>
      <c r="Y14" s="39">
        <v>83435</v>
      </c>
      <c r="Z14" s="40">
        <v>74231</v>
      </c>
      <c r="AA14" s="41">
        <f t="shared" si="0"/>
        <v>1906568</v>
      </c>
      <c r="AB14" s="23">
        <v>7</v>
      </c>
      <c r="AC14" s="102"/>
      <c r="AD14" s="45"/>
    </row>
    <row r="15" spans="1:30" ht="15.75" thickBot="1" x14ac:dyDescent="0.3">
      <c r="A15" s="99">
        <v>49400</v>
      </c>
      <c r="B15" s="18" t="s">
        <v>5</v>
      </c>
      <c r="C15" s="33">
        <v>66098</v>
      </c>
      <c r="D15" s="33">
        <v>62594</v>
      </c>
      <c r="E15" s="33">
        <v>60487</v>
      </c>
      <c r="F15" s="33">
        <v>59508</v>
      </c>
      <c r="G15" s="33">
        <v>60746</v>
      </c>
      <c r="H15" s="33">
        <v>65277</v>
      </c>
      <c r="I15" s="33">
        <v>68613</v>
      </c>
      <c r="J15" s="33">
        <v>74657</v>
      </c>
      <c r="K15" s="33">
        <v>80972</v>
      </c>
      <c r="L15" s="33">
        <v>85918</v>
      </c>
      <c r="M15" s="33">
        <v>91138</v>
      </c>
      <c r="N15" s="33">
        <v>95869</v>
      </c>
      <c r="O15" s="33">
        <v>94179</v>
      </c>
      <c r="P15" s="33">
        <v>94612</v>
      </c>
      <c r="Q15" s="33">
        <v>96483</v>
      </c>
      <c r="R15" s="33">
        <v>96676</v>
      </c>
      <c r="S15" s="33">
        <v>95703</v>
      </c>
      <c r="T15" s="33">
        <v>94288</v>
      </c>
      <c r="U15" s="33">
        <v>102519</v>
      </c>
      <c r="V15" s="33">
        <v>107414</v>
      </c>
      <c r="W15" s="33">
        <v>103634</v>
      </c>
      <c r="X15" s="33">
        <v>96058</v>
      </c>
      <c r="Y15" s="33">
        <v>84590</v>
      </c>
      <c r="Z15" s="34">
        <v>73622</v>
      </c>
      <c r="AA15" s="35">
        <f t="shared" si="0"/>
        <v>2011655</v>
      </c>
      <c r="AB15" s="19">
        <v>21</v>
      </c>
      <c r="AC15" s="100">
        <f>+AA15*AB15+AA16*AB16+AA17*AB17</f>
        <v>59359338</v>
      </c>
    </row>
    <row r="16" spans="1:30" ht="15.75" thickBot="1" x14ac:dyDescent="0.3">
      <c r="A16" s="99"/>
      <c r="B16" s="20" t="s">
        <v>4</v>
      </c>
      <c r="C16" s="36">
        <v>67507</v>
      </c>
      <c r="D16" s="36">
        <v>62312</v>
      </c>
      <c r="E16" s="36">
        <v>59789</v>
      </c>
      <c r="F16" s="36">
        <v>58300</v>
      </c>
      <c r="G16" s="36">
        <v>58574</v>
      </c>
      <c r="H16" s="36">
        <v>60256</v>
      </c>
      <c r="I16" s="36">
        <v>62372</v>
      </c>
      <c r="J16" s="36">
        <v>69873</v>
      </c>
      <c r="K16" s="36">
        <v>77565</v>
      </c>
      <c r="L16" s="36">
        <v>83403</v>
      </c>
      <c r="M16" s="36">
        <v>87621</v>
      </c>
      <c r="N16" s="36">
        <v>92407</v>
      </c>
      <c r="O16" s="36">
        <v>92701</v>
      </c>
      <c r="P16" s="36">
        <v>91586</v>
      </c>
      <c r="Q16" s="36">
        <v>90572</v>
      </c>
      <c r="R16" s="36">
        <v>89873</v>
      </c>
      <c r="S16" s="36">
        <v>89618</v>
      </c>
      <c r="T16" s="36">
        <v>90048</v>
      </c>
      <c r="U16" s="36">
        <v>99234</v>
      </c>
      <c r="V16" s="36">
        <v>104314</v>
      </c>
      <c r="W16" s="36">
        <v>100043</v>
      </c>
      <c r="X16" s="36">
        <v>93848</v>
      </c>
      <c r="Y16" s="36">
        <v>85122</v>
      </c>
      <c r="Z16" s="37">
        <v>76219</v>
      </c>
      <c r="AA16" s="38">
        <f t="shared" si="0"/>
        <v>1943157</v>
      </c>
      <c r="AB16" s="21">
        <v>4</v>
      </c>
      <c r="AC16" s="101"/>
      <c r="AD16" s="47"/>
    </row>
    <row r="17" spans="1:30" x14ac:dyDescent="0.25">
      <c r="A17" s="99"/>
      <c r="B17" s="22" t="s">
        <v>3</v>
      </c>
      <c r="C17" s="39">
        <v>70351</v>
      </c>
      <c r="D17" s="39">
        <v>65862</v>
      </c>
      <c r="E17" s="39">
        <v>62960</v>
      </c>
      <c r="F17" s="39">
        <v>60986</v>
      </c>
      <c r="G17" s="39">
        <v>60220</v>
      </c>
      <c r="H17" s="39">
        <v>60119</v>
      </c>
      <c r="I17" s="39">
        <v>60586</v>
      </c>
      <c r="J17" s="39">
        <v>65835</v>
      </c>
      <c r="K17" s="39">
        <v>71977</v>
      </c>
      <c r="L17" s="39">
        <v>77367</v>
      </c>
      <c r="M17" s="39">
        <v>81203</v>
      </c>
      <c r="N17" s="39">
        <v>85112</v>
      </c>
      <c r="O17" s="39">
        <v>87386</v>
      </c>
      <c r="P17" s="39">
        <v>86759</v>
      </c>
      <c r="Q17" s="39">
        <v>84796</v>
      </c>
      <c r="R17" s="39">
        <v>83869</v>
      </c>
      <c r="S17" s="39">
        <v>83339</v>
      </c>
      <c r="T17" s="39">
        <v>84093</v>
      </c>
      <c r="U17" s="39">
        <v>94090</v>
      </c>
      <c r="V17" s="39">
        <v>100074</v>
      </c>
      <c r="W17" s="39">
        <v>96940</v>
      </c>
      <c r="X17" s="39">
        <v>90832</v>
      </c>
      <c r="Y17" s="39">
        <v>81479</v>
      </c>
      <c r="Z17" s="40">
        <v>72156</v>
      </c>
      <c r="AA17" s="41">
        <f t="shared" si="0"/>
        <v>1868391</v>
      </c>
      <c r="AB17" s="23">
        <v>5</v>
      </c>
      <c r="AC17" s="102"/>
      <c r="AD17" s="48"/>
    </row>
    <row r="18" spans="1:30" ht="15.75" thickBot="1" x14ac:dyDescent="0.3">
      <c r="A18" s="99">
        <v>49430</v>
      </c>
      <c r="B18" s="18" t="s">
        <v>5</v>
      </c>
      <c r="C18" s="33">
        <v>66196</v>
      </c>
      <c r="D18" s="33">
        <v>62573</v>
      </c>
      <c r="E18" s="33">
        <v>60556</v>
      </c>
      <c r="F18" s="33">
        <v>59545</v>
      </c>
      <c r="G18" s="33">
        <v>60739</v>
      </c>
      <c r="H18" s="33">
        <v>64624</v>
      </c>
      <c r="I18" s="33">
        <v>68686</v>
      </c>
      <c r="J18" s="33">
        <v>75033</v>
      </c>
      <c r="K18" s="33">
        <v>81520</v>
      </c>
      <c r="L18" s="33">
        <v>86614</v>
      </c>
      <c r="M18" s="33">
        <v>91737</v>
      </c>
      <c r="N18" s="33">
        <v>96600</v>
      </c>
      <c r="O18" s="33">
        <v>95131</v>
      </c>
      <c r="P18" s="33">
        <v>95112</v>
      </c>
      <c r="Q18" s="33">
        <v>96579</v>
      </c>
      <c r="R18" s="33">
        <v>96751</v>
      </c>
      <c r="S18" s="33">
        <v>95762</v>
      </c>
      <c r="T18" s="33">
        <v>94606</v>
      </c>
      <c r="U18" s="33">
        <v>103201</v>
      </c>
      <c r="V18" s="33">
        <v>108071</v>
      </c>
      <c r="W18" s="33">
        <v>103845</v>
      </c>
      <c r="X18" s="33">
        <v>96246</v>
      </c>
      <c r="Y18" s="33">
        <v>84597</v>
      </c>
      <c r="Z18" s="34">
        <v>73806</v>
      </c>
      <c r="AA18" s="35">
        <f t="shared" si="0"/>
        <v>2018130</v>
      </c>
      <c r="AB18" s="19">
        <v>20</v>
      </c>
      <c r="AC18" s="100">
        <f>+AA18*AB18+AA19*AB19+AA20*AB20</f>
        <v>61508910</v>
      </c>
    </row>
    <row r="19" spans="1:30" ht="15.75" thickBot="1" x14ac:dyDescent="0.3">
      <c r="A19" s="99"/>
      <c r="B19" s="20" t="s">
        <v>4</v>
      </c>
      <c r="C19" s="36">
        <v>68648</v>
      </c>
      <c r="D19" s="36">
        <v>63459</v>
      </c>
      <c r="E19" s="36">
        <v>61106</v>
      </c>
      <c r="F19" s="36">
        <v>59720</v>
      </c>
      <c r="G19" s="36">
        <v>59960</v>
      </c>
      <c r="H19" s="36">
        <v>60941</v>
      </c>
      <c r="I19" s="36">
        <v>64135</v>
      </c>
      <c r="J19" s="36">
        <v>71675</v>
      </c>
      <c r="K19" s="36">
        <v>79543</v>
      </c>
      <c r="L19" s="36">
        <v>85624</v>
      </c>
      <c r="M19" s="36">
        <v>89790</v>
      </c>
      <c r="N19" s="36">
        <v>93593</v>
      </c>
      <c r="O19" s="36">
        <v>93605</v>
      </c>
      <c r="P19" s="36">
        <v>92115</v>
      </c>
      <c r="Q19" s="36">
        <v>90599</v>
      </c>
      <c r="R19" s="36">
        <v>89683</v>
      </c>
      <c r="S19" s="36">
        <v>89019</v>
      </c>
      <c r="T19" s="36">
        <v>89839</v>
      </c>
      <c r="U19" s="36">
        <v>99823</v>
      </c>
      <c r="V19" s="36">
        <v>103872</v>
      </c>
      <c r="W19" s="36">
        <v>99754</v>
      </c>
      <c r="X19" s="36">
        <v>93443</v>
      </c>
      <c r="Y19" s="36">
        <v>84665</v>
      </c>
      <c r="Z19" s="37">
        <v>75913</v>
      </c>
      <c r="AA19" s="38">
        <f t="shared" si="0"/>
        <v>1960524</v>
      </c>
      <c r="AB19" s="21">
        <v>4</v>
      </c>
      <c r="AC19" s="101"/>
      <c r="AD19" s="47"/>
    </row>
    <row r="20" spans="1:30" x14ac:dyDescent="0.25">
      <c r="A20" s="99"/>
      <c r="B20" s="22" t="s">
        <v>3</v>
      </c>
      <c r="C20" s="39">
        <v>69847</v>
      </c>
      <c r="D20" s="39">
        <v>65506</v>
      </c>
      <c r="E20" s="39">
        <v>62812</v>
      </c>
      <c r="F20" s="39">
        <v>61019</v>
      </c>
      <c r="G20" s="39">
        <v>60469</v>
      </c>
      <c r="H20" s="39">
        <v>59785</v>
      </c>
      <c r="I20" s="39">
        <v>61013</v>
      </c>
      <c r="J20" s="39">
        <v>66860</v>
      </c>
      <c r="K20" s="39">
        <v>73363</v>
      </c>
      <c r="L20" s="39">
        <v>79138</v>
      </c>
      <c r="M20" s="39">
        <v>83085</v>
      </c>
      <c r="N20" s="39">
        <v>87209</v>
      </c>
      <c r="O20" s="39">
        <v>89019</v>
      </c>
      <c r="P20" s="39">
        <v>88656</v>
      </c>
      <c r="Q20" s="39">
        <v>86507</v>
      </c>
      <c r="R20" s="39">
        <v>88921</v>
      </c>
      <c r="S20" s="39">
        <v>84994</v>
      </c>
      <c r="T20" s="39">
        <v>85930</v>
      </c>
      <c r="U20" s="39">
        <v>96263</v>
      </c>
      <c r="V20" s="39">
        <v>102266</v>
      </c>
      <c r="W20" s="39">
        <v>99040</v>
      </c>
      <c r="X20" s="39">
        <v>92548</v>
      </c>
      <c r="Y20" s="39">
        <v>82931</v>
      </c>
      <c r="Z20" s="40">
        <v>73421</v>
      </c>
      <c r="AA20" s="41">
        <f t="shared" si="0"/>
        <v>1900602</v>
      </c>
      <c r="AB20" s="23">
        <v>7</v>
      </c>
      <c r="AC20" s="102"/>
      <c r="AD20" s="48"/>
    </row>
    <row r="21" spans="1:30" ht="15.75" thickBot="1" x14ac:dyDescent="0.3">
      <c r="A21" s="99">
        <v>49461</v>
      </c>
      <c r="B21" s="18" t="s">
        <v>5</v>
      </c>
      <c r="C21" s="33">
        <v>65416</v>
      </c>
      <c r="D21" s="33">
        <v>61716</v>
      </c>
      <c r="E21" s="33">
        <v>59866</v>
      </c>
      <c r="F21" s="33">
        <v>58874</v>
      </c>
      <c r="G21" s="33">
        <v>59970</v>
      </c>
      <c r="H21" s="33">
        <v>63305</v>
      </c>
      <c r="I21" s="33">
        <v>67705</v>
      </c>
      <c r="J21" s="33">
        <v>74403</v>
      </c>
      <c r="K21" s="33">
        <v>81169</v>
      </c>
      <c r="L21" s="33">
        <v>86215</v>
      </c>
      <c r="M21" s="33">
        <v>91487</v>
      </c>
      <c r="N21" s="33">
        <v>96410</v>
      </c>
      <c r="O21" s="33">
        <v>94822</v>
      </c>
      <c r="P21" s="33">
        <v>94715</v>
      </c>
      <c r="Q21" s="33">
        <v>96525</v>
      </c>
      <c r="R21" s="33">
        <v>96626</v>
      </c>
      <c r="S21" s="33">
        <v>95642</v>
      </c>
      <c r="T21" s="33">
        <v>94161</v>
      </c>
      <c r="U21" s="33">
        <v>101013</v>
      </c>
      <c r="V21" s="33">
        <v>107408</v>
      </c>
      <c r="W21" s="33">
        <v>103401</v>
      </c>
      <c r="X21" s="33">
        <v>95870</v>
      </c>
      <c r="Y21" s="33">
        <v>84051</v>
      </c>
      <c r="Z21" s="34">
        <v>73095</v>
      </c>
      <c r="AA21" s="35">
        <f t="shared" si="0"/>
        <v>2003865</v>
      </c>
      <c r="AB21" s="19">
        <v>20</v>
      </c>
      <c r="AC21" s="100">
        <f>+AA21*AB21+AA22*AB22+AA23*AB23</f>
        <v>59629775</v>
      </c>
    </row>
    <row r="22" spans="1:30" ht="15.75" thickBot="1" x14ac:dyDescent="0.3">
      <c r="A22" s="99"/>
      <c r="B22" s="20" t="s">
        <v>4</v>
      </c>
      <c r="C22" s="36">
        <v>68578</v>
      </c>
      <c r="D22" s="36">
        <v>63096</v>
      </c>
      <c r="E22" s="36">
        <v>60695</v>
      </c>
      <c r="F22" s="36">
        <v>59339</v>
      </c>
      <c r="G22" s="36">
        <v>59459</v>
      </c>
      <c r="H22" s="36">
        <v>60424</v>
      </c>
      <c r="I22" s="36">
        <v>63580</v>
      </c>
      <c r="J22" s="36">
        <v>71037</v>
      </c>
      <c r="K22" s="36">
        <v>79453</v>
      </c>
      <c r="L22" s="36">
        <v>85229</v>
      </c>
      <c r="M22" s="36">
        <v>89739</v>
      </c>
      <c r="N22" s="36">
        <v>93649</v>
      </c>
      <c r="O22" s="36">
        <v>93906</v>
      </c>
      <c r="P22" s="36">
        <v>92945</v>
      </c>
      <c r="Q22" s="36">
        <v>91953</v>
      </c>
      <c r="R22" s="36">
        <v>91781</v>
      </c>
      <c r="S22" s="36">
        <v>91096</v>
      </c>
      <c r="T22" s="36">
        <v>91778</v>
      </c>
      <c r="U22" s="36">
        <v>100346</v>
      </c>
      <c r="V22" s="36">
        <v>105846</v>
      </c>
      <c r="W22" s="36">
        <v>101505</v>
      </c>
      <c r="X22" s="36">
        <v>95307</v>
      </c>
      <c r="Y22" s="36">
        <v>86130</v>
      </c>
      <c r="Z22" s="37">
        <v>76792</v>
      </c>
      <c r="AA22" s="38">
        <f t="shared" si="0"/>
        <v>1973663</v>
      </c>
      <c r="AB22" s="21">
        <v>5</v>
      </c>
      <c r="AC22" s="101"/>
      <c r="AD22" s="47"/>
    </row>
    <row r="23" spans="1:30" x14ac:dyDescent="0.25">
      <c r="A23" s="99"/>
      <c r="B23" s="22" t="s">
        <v>3</v>
      </c>
      <c r="C23" s="39">
        <v>71370</v>
      </c>
      <c r="D23" s="39">
        <v>66821</v>
      </c>
      <c r="E23" s="39">
        <v>64179</v>
      </c>
      <c r="F23" s="39">
        <v>62378</v>
      </c>
      <c r="G23" s="39">
        <v>61952</v>
      </c>
      <c r="H23" s="39">
        <v>61881</v>
      </c>
      <c r="I23" s="39">
        <v>62705</v>
      </c>
      <c r="J23" s="39">
        <v>68798</v>
      </c>
      <c r="K23" s="39">
        <v>75570</v>
      </c>
      <c r="L23" s="39">
        <v>80799</v>
      </c>
      <c r="M23" s="39">
        <v>85100</v>
      </c>
      <c r="N23" s="39">
        <v>89260</v>
      </c>
      <c r="O23" s="39">
        <v>90744</v>
      </c>
      <c r="P23" s="39">
        <v>90115</v>
      </c>
      <c r="Q23" s="39">
        <v>88373</v>
      </c>
      <c r="R23" s="39">
        <v>87551</v>
      </c>
      <c r="S23" s="39">
        <v>87103</v>
      </c>
      <c r="T23" s="39">
        <v>87816</v>
      </c>
      <c r="U23" s="39">
        <v>96673</v>
      </c>
      <c r="V23" s="39">
        <v>103782</v>
      </c>
      <c r="W23" s="39">
        <v>100723</v>
      </c>
      <c r="X23" s="39">
        <v>94150</v>
      </c>
      <c r="Y23" s="39">
        <v>84274</v>
      </c>
      <c r="Z23" s="40">
        <v>74715</v>
      </c>
      <c r="AA23" s="41">
        <f t="shared" si="0"/>
        <v>1936832</v>
      </c>
      <c r="AB23" s="23">
        <v>5</v>
      </c>
      <c r="AC23" s="102"/>
      <c r="AD23" s="48"/>
    </row>
    <row r="24" spans="1:30" ht="15.75" thickBot="1" x14ac:dyDescent="0.3">
      <c r="A24" s="99">
        <v>49491</v>
      </c>
      <c r="B24" s="18" t="s">
        <v>5</v>
      </c>
      <c r="C24" s="33">
        <v>68490</v>
      </c>
      <c r="D24" s="33">
        <v>64593</v>
      </c>
      <c r="E24" s="33">
        <v>62345</v>
      </c>
      <c r="F24" s="33">
        <v>61122</v>
      </c>
      <c r="G24" s="33">
        <v>62165</v>
      </c>
      <c r="H24" s="33">
        <v>65485</v>
      </c>
      <c r="I24" s="33">
        <v>69057</v>
      </c>
      <c r="J24" s="33">
        <v>76535</v>
      </c>
      <c r="K24" s="33">
        <v>83800</v>
      </c>
      <c r="L24" s="33">
        <v>89496</v>
      </c>
      <c r="M24" s="33">
        <v>95010</v>
      </c>
      <c r="N24" s="33">
        <v>99900</v>
      </c>
      <c r="O24" s="33">
        <v>98170</v>
      </c>
      <c r="P24" s="33">
        <v>98380</v>
      </c>
      <c r="Q24" s="33">
        <v>100185</v>
      </c>
      <c r="R24" s="33">
        <v>100385</v>
      </c>
      <c r="S24" s="33">
        <v>98965</v>
      </c>
      <c r="T24" s="33">
        <v>96491</v>
      </c>
      <c r="U24" s="33">
        <v>102154</v>
      </c>
      <c r="V24" s="33">
        <v>109754</v>
      </c>
      <c r="W24" s="33">
        <v>106202</v>
      </c>
      <c r="X24" s="33">
        <v>99045</v>
      </c>
      <c r="Y24" s="33">
        <v>87237</v>
      </c>
      <c r="Z24" s="34">
        <v>76369</v>
      </c>
      <c r="AA24" s="35">
        <f t="shared" si="0"/>
        <v>2071335</v>
      </c>
      <c r="AB24" s="19">
        <v>20</v>
      </c>
      <c r="AC24" s="100">
        <f>+AA24*AB24+AA25*AB25+AA26*AB26</f>
        <v>62974035</v>
      </c>
    </row>
    <row r="25" spans="1:30" ht="15.75" thickBot="1" x14ac:dyDescent="0.3">
      <c r="A25" s="99"/>
      <c r="B25" s="20" t="s">
        <v>4</v>
      </c>
      <c r="C25" s="36">
        <v>68643</v>
      </c>
      <c r="D25" s="36">
        <v>62961</v>
      </c>
      <c r="E25" s="36">
        <v>60725</v>
      </c>
      <c r="F25" s="36">
        <v>59230</v>
      </c>
      <c r="G25" s="36">
        <v>59373</v>
      </c>
      <c r="H25" s="36">
        <v>60621</v>
      </c>
      <c r="I25" s="36">
        <v>63637</v>
      </c>
      <c r="J25" s="36">
        <v>72518</v>
      </c>
      <c r="K25" s="36">
        <v>80973</v>
      </c>
      <c r="L25" s="36">
        <v>86761</v>
      </c>
      <c r="M25" s="36">
        <v>91311</v>
      </c>
      <c r="N25" s="36">
        <v>95158</v>
      </c>
      <c r="O25" s="36">
        <v>94981</v>
      </c>
      <c r="P25" s="36">
        <v>93493</v>
      </c>
      <c r="Q25" s="36">
        <v>92139</v>
      </c>
      <c r="R25" s="36">
        <v>91437</v>
      </c>
      <c r="S25" s="36">
        <v>90627</v>
      </c>
      <c r="T25" s="36">
        <v>90898</v>
      </c>
      <c r="U25" s="36">
        <v>97687</v>
      </c>
      <c r="V25" s="36">
        <v>104867</v>
      </c>
      <c r="W25" s="36">
        <v>100861</v>
      </c>
      <c r="X25" s="36">
        <v>95131</v>
      </c>
      <c r="Y25" s="36">
        <v>86157</v>
      </c>
      <c r="Z25" s="37">
        <v>77279</v>
      </c>
      <c r="AA25" s="38">
        <f t="shared" si="0"/>
        <v>1977468</v>
      </c>
      <c r="AB25" s="21">
        <v>4</v>
      </c>
      <c r="AC25" s="101"/>
      <c r="AD25" s="47"/>
    </row>
    <row r="26" spans="1:30" x14ac:dyDescent="0.25">
      <c r="A26" s="99"/>
      <c r="B26" s="22" t="s">
        <v>3</v>
      </c>
      <c r="C26" s="39">
        <v>72845</v>
      </c>
      <c r="D26" s="39">
        <v>68371</v>
      </c>
      <c r="E26" s="39">
        <v>65419</v>
      </c>
      <c r="F26" s="39">
        <v>63489</v>
      </c>
      <c r="G26" s="39">
        <v>62888</v>
      </c>
      <c r="H26" s="39">
        <v>62908</v>
      </c>
      <c r="I26" s="39">
        <v>63320</v>
      </c>
      <c r="J26" s="39">
        <v>69077</v>
      </c>
      <c r="K26" s="39">
        <v>75982</v>
      </c>
      <c r="L26" s="39">
        <v>81710</v>
      </c>
      <c r="M26" s="39">
        <v>85879</v>
      </c>
      <c r="N26" s="39">
        <v>89744</v>
      </c>
      <c r="O26" s="39">
        <v>91660</v>
      </c>
      <c r="P26" s="39">
        <v>90653</v>
      </c>
      <c r="Q26" s="39">
        <v>88649</v>
      </c>
      <c r="R26" s="39">
        <v>87586</v>
      </c>
      <c r="S26" s="39">
        <v>86763</v>
      </c>
      <c r="T26" s="39">
        <v>87143</v>
      </c>
      <c r="U26" s="39">
        <v>94478</v>
      </c>
      <c r="V26" s="39">
        <v>103499</v>
      </c>
      <c r="W26" s="39">
        <v>100862</v>
      </c>
      <c r="X26" s="39">
        <v>94792</v>
      </c>
      <c r="Y26" s="39">
        <v>84925</v>
      </c>
      <c r="Z26" s="40">
        <v>75567</v>
      </c>
      <c r="AA26" s="41">
        <f t="shared" si="0"/>
        <v>1948209</v>
      </c>
      <c r="AB26" s="23">
        <v>7</v>
      </c>
      <c r="AC26" s="102"/>
      <c r="AD26" s="48"/>
    </row>
    <row r="27" spans="1:30" ht="15.75" thickBot="1" x14ac:dyDescent="0.3">
      <c r="A27" s="99">
        <v>49522</v>
      </c>
      <c r="B27" s="18" t="s">
        <v>5</v>
      </c>
      <c r="C27" s="33">
        <v>69296</v>
      </c>
      <c r="D27" s="33">
        <v>65602</v>
      </c>
      <c r="E27" s="33">
        <v>63565</v>
      </c>
      <c r="F27" s="33">
        <v>62357</v>
      </c>
      <c r="G27" s="33">
        <v>63450</v>
      </c>
      <c r="H27" s="33">
        <v>67849</v>
      </c>
      <c r="I27" s="33">
        <v>71768</v>
      </c>
      <c r="J27" s="33">
        <v>78425</v>
      </c>
      <c r="K27" s="33">
        <v>85389</v>
      </c>
      <c r="L27" s="33">
        <v>90722</v>
      </c>
      <c r="M27" s="33">
        <v>96372</v>
      </c>
      <c r="N27" s="33">
        <v>101323</v>
      </c>
      <c r="O27" s="33">
        <v>99580</v>
      </c>
      <c r="P27" s="33">
        <v>100369</v>
      </c>
      <c r="Q27" s="33">
        <v>102406</v>
      </c>
      <c r="R27" s="33">
        <v>102568</v>
      </c>
      <c r="S27" s="33">
        <v>101092</v>
      </c>
      <c r="T27" s="33">
        <v>98535</v>
      </c>
      <c r="U27" s="33">
        <v>105431</v>
      </c>
      <c r="V27" s="33">
        <v>111818</v>
      </c>
      <c r="W27" s="33">
        <v>107914</v>
      </c>
      <c r="X27" s="33">
        <v>100370</v>
      </c>
      <c r="Y27" s="33">
        <v>88413</v>
      </c>
      <c r="Z27" s="34">
        <v>77619</v>
      </c>
      <c r="AA27" s="35">
        <f t="shared" si="0"/>
        <v>2112233</v>
      </c>
      <c r="AB27" s="19">
        <v>21</v>
      </c>
      <c r="AC27" s="100">
        <f>+AA27*AB27+AA28*AB28+AA29*AB29</f>
        <v>64285369</v>
      </c>
    </row>
    <row r="28" spans="1:30" ht="15.75" thickBot="1" x14ac:dyDescent="0.3">
      <c r="A28" s="99"/>
      <c r="B28" s="20" t="s">
        <v>4</v>
      </c>
      <c r="C28" s="36">
        <v>72129</v>
      </c>
      <c r="D28" s="36">
        <v>66840</v>
      </c>
      <c r="E28" s="36">
        <v>64382</v>
      </c>
      <c r="F28" s="36">
        <v>62541</v>
      </c>
      <c r="G28" s="36">
        <v>62404</v>
      </c>
      <c r="H28" s="36">
        <v>64136</v>
      </c>
      <c r="I28" s="36">
        <v>66192</v>
      </c>
      <c r="J28" s="36">
        <v>74569</v>
      </c>
      <c r="K28" s="36">
        <v>83042</v>
      </c>
      <c r="L28" s="36">
        <v>88848</v>
      </c>
      <c r="M28" s="36">
        <v>93936</v>
      </c>
      <c r="N28" s="36">
        <v>97788</v>
      </c>
      <c r="O28" s="36">
        <v>97816</v>
      </c>
      <c r="P28" s="36">
        <v>96764</v>
      </c>
      <c r="Q28" s="36">
        <v>95753</v>
      </c>
      <c r="R28" s="36">
        <v>95170</v>
      </c>
      <c r="S28" s="36">
        <v>93894</v>
      </c>
      <c r="T28" s="36">
        <v>93718</v>
      </c>
      <c r="U28" s="36">
        <v>102096</v>
      </c>
      <c r="V28" s="36">
        <v>107628</v>
      </c>
      <c r="W28" s="36">
        <v>103555</v>
      </c>
      <c r="X28" s="36">
        <v>97640</v>
      </c>
      <c r="Y28" s="36">
        <v>89026</v>
      </c>
      <c r="Z28" s="37">
        <v>79758</v>
      </c>
      <c r="AA28" s="38">
        <f t="shared" si="0"/>
        <v>2049625</v>
      </c>
      <c r="AB28" s="21">
        <v>4</v>
      </c>
      <c r="AC28" s="101"/>
      <c r="AD28" s="47"/>
    </row>
    <row r="29" spans="1:30" x14ac:dyDescent="0.25">
      <c r="A29" s="99"/>
      <c r="B29" s="22" t="s">
        <v>3</v>
      </c>
      <c r="C29" s="39">
        <v>73476</v>
      </c>
      <c r="D29" s="39">
        <v>68919</v>
      </c>
      <c r="E29" s="39">
        <v>65916</v>
      </c>
      <c r="F29" s="39">
        <v>64004</v>
      </c>
      <c r="G29" s="39">
        <v>63381</v>
      </c>
      <c r="H29" s="39">
        <v>63591</v>
      </c>
      <c r="I29" s="39">
        <v>63582</v>
      </c>
      <c r="J29" s="39">
        <v>69572</v>
      </c>
      <c r="K29" s="39">
        <v>76336</v>
      </c>
      <c r="L29" s="39">
        <v>81913</v>
      </c>
      <c r="M29" s="39">
        <v>85861</v>
      </c>
      <c r="N29" s="39">
        <v>89953</v>
      </c>
      <c r="O29" s="39">
        <v>92066</v>
      </c>
      <c r="P29" s="39">
        <v>91240</v>
      </c>
      <c r="Q29" s="39">
        <v>89002</v>
      </c>
      <c r="R29" s="39">
        <v>87502</v>
      </c>
      <c r="S29" s="39">
        <v>86934</v>
      </c>
      <c r="T29" s="39">
        <v>87176</v>
      </c>
      <c r="U29" s="39">
        <v>96033</v>
      </c>
      <c r="V29" s="39">
        <v>103727</v>
      </c>
      <c r="W29" s="39">
        <v>100651</v>
      </c>
      <c r="X29" s="39">
        <v>94332</v>
      </c>
      <c r="Y29" s="39">
        <v>84704</v>
      </c>
      <c r="Z29" s="40">
        <v>75125</v>
      </c>
      <c r="AA29" s="41">
        <f t="shared" si="0"/>
        <v>1954996</v>
      </c>
      <c r="AB29" s="23">
        <v>6</v>
      </c>
      <c r="AC29" s="102"/>
      <c r="AD29" s="49"/>
    </row>
    <row r="30" spans="1:30" ht="15.75" thickBot="1" x14ac:dyDescent="0.3">
      <c r="A30" s="99">
        <v>49553</v>
      </c>
      <c r="B30" s="18" t="s">
        <v>5</v>
      </c>
      <c r="C30" s="33">
        <v>70535</v>
      </c>
      <c r="D30" s="33">
        <v>66649</v>
      </c>
      <c r="E30" s="33">
        <v>64222</v>
      </c>
      <c r="F30" s="33">
        <v>63160</v>
      </c>
      <c r="G30" s="33">
        <v>64187</v>
      </c>
      <c r="H30" s="33">
        <v>68392</v>
      </c>
      <c r="I30" s="33">
        <v>72445</v>
      </c>
      <c r="J30" s="33">
        <v>79314</v>
      </c>
      <c r="K30" s="33">
        <v>86218</v>
      </c>
      <c r="L30" s="33">
        <v>91956</v>
      </c>
      <c r="M30" s="33">
        <v>97653</v>
      </c>
      <c r="N30" s="33">
        <v>102873</v>
      </c>
      <c r="O30" s="33">
        <v>101081</v>
      </c>
      <c r="P30" s="33">
        <v>101813</v>
      </c>
      <c r="Q30" s="33">
        <v>104193</v>
      </c>
      <c r="R30" s="33">
        <v>104788</v>
      </c>
      <c r="S30" s="33">
        <v>103283</v>
      </c>
      <c r="T30" s="33">
        <v>101164</v>
      </c>
      <c r="U30" s="33">
        <v>110630</v>
      </c>
      <c r="V30" s="33">
        <v>113187</v>
      </c>
      <c r="W30" s="33">
        <v>108934</v>
      </c>
      <c r="X30" s="33">
        <v>101256</v>
      </c>
      <c r="Y30" s="33">
        <v>89053</v>
      </c>
      <c r="Z30" s="34">
        <v>78287</v>
      </c>
      <c r="AA30" s="35">
        <f t="shared" si="0"/>
        <v>2145273</v>
      </c>
      <c r="AB30" s="19">
        <v>20</v>
      </c>
      <c r="AC30" s="100">
        <f>+AA30*AB30+AA31*AB31+AA32*AB32</f>
        <v>62905330</v>
      </c>
    </row>
    <row r="31" spans="1:30" ht="15.75" thickBot="1" x14ac:dyDescent="0.3">
      <c r="A31" s="99"/>
      <c r="B31" s="20" t="s">
        <v>4</v>
      </c>
      <c r="C31" s="36">
        <v>72418</v>
      </c>
      <c r="D31" s="36">
        <v>66518</v>
      </c>
      <c r="E31" s="36">
        <v>64063</v>
      </c>
      <c r="F31" s="36">
        <v>62718</v>
      </c>
      <c r="G31" s="36">
        <v>62773</v>
      </c>
      <c r="H31" s="36">
        <v>63354</v>
      </c>
      <c r="I31" s="36">
        <v>66529</v>
      </c>
      <c r="J31" s="36">
        <v>75558</v>
      </c>
      <c r="K31" s="36">
        <v>84165</v>
      </c>
      <c r="L31" s="36">
        <v>90309</v>
      </c>
      <c r="M31" s="36">
        <v>95167</v>
      </c>
      <c r="N31" s="36">
        <v>99060</v>
      </c>
      <c r="O31" s="36">
        <v>98817</v>
      </c>
      <c r="P31" s="36">
        <v>97554</v>
      </c>
      <c r="Q31" s="36">
        <v>96383</v>
      </c>
      <c r="R31" s="36">
        <v>95536</v>
      </c>
      <c r="S31" s="36">
        <v>94714</v>
      </c>
      <c r="T31" s="36">
        <v>95419</v>
      </c>
      <c r="U31" s="36">
        <v>105608</v>
      </c>
      <c r="V31" s="36">
        <v>107885</v>
      </c>
      <c r="W31" s="36">
        <v>103151</v>
      </c>
      <c r="X31" s="36">
        <v>97099</v>
      </c>
      <c r="Y31" s="36">
        <v>88261</v>
      </c>
      <c r="Z31" s="37">
        <v>79233</v>
      </c>
      <c r="AA31" s="38">
        <f t="shared" si="0"/>
        <v>2062292</v>
      </c>
      <c r="AB31" s="21">
        <v>5</v>
      </c>
      <c r="AC31" s="101"/>
      <c r="AD31" s="47"/>
    </row>
    <row r="32" spans="1:30" x14ac:dyDescent="0.25">
      <c r="A32" s="99"/>
      <c r="B32" s="22" t="s">
        <v>3</v>
      </c>
      <c r="C32" s="39">
        <v>73733</v>
      </c>
      <c r="D32" s="39">
        <v>69308</v>
      </c>
      <c r="E32" s="39">
        <v>66401</v>
      </c>
      <c r="F32" s="39">
        <v>64151</v>
      </c>
      <c r="G32" s="39">
        <v>63133</v>
      </c>
      <c r="H32" s="39">
        <v>62362</v>
      </c>
      <c r="I32" s="39">
        <v>62837</v>
      </c>
      <c r="J32" s="39">
        <v>68717</v>
      </c>
      <c r="K32" s="39">
        <v>75348</v>
      </c>
      <c r="L32" s="39">
        <v>80786</v>
      </c>
      <c r="M32" s="39">
        <v>84577</v>
      </c>
      <c r="N32" s="39">
        <v>88196</v>
      </c>
      <c r="O32" s="39">
        <v>90291</v>
      </c>
      <c r="P32" s="39">
        <v>89652</v>
      </c>
      <c r="Q32" s="39">
        <v>87759</v>
      </c>
      <c r="R32" s="39">
        <v>86839</v>
      </c>
      <c r="S32" s="39">
        <v>86244</v>
      </c>
      <c r="T32" s="39">
        <v>86934</v>
      </c>
      <c r="U32" s="39">
        <v>98265</v>
      </c>
      <c r="V32" s="39">
        <v>102125</v>
      </c>
      <c r="W32" s="39">
        <v>99299</v>
      </c>
      <c r="X32" s="39">
        <v>93109</v>
      </c>
      <c r="Y32" s="39">
        <v>83443</v>
      </c>
      <c r="Z32" s="40">
        <v>74173</v>
      </c>
      <c r="AA32" s="41">
        <f t="shared" si="0"/>
        <v>1937682</v>
      </c>
      <c r="AB32" s="23">
        <v>5</v>
      </c>
      <c r="AC32" s="102"/>
      <c r="AD32" s="48"/>
    </row>
    <row r="33" spans="1:30" ht="15.75" thickBot="1" x14ac:dyDescent="0.3">
      <c r="A33" s="99">
        <v>49583</v>
      </c>
      <c r="B33" s="18" t="s">
        <v>5</v>
      </c>
      <c r="C33" s="33">
        <v>66840</v>
      </c>
      <c r="D33" s="33">
        <v>63259</v>
      </c>
      <c r="E33" s="33">
        <v>61268</v>
      </c>
      <c r="F33" s="33">
        <v>60200</v>
      </c>
      <c r="G33" s="33">
        <v>61381</v>
      </c>
      <c r="H33" s="33">
        <v>64769</v>
      </c>
      <c r="I33" s="33">
        <v>69085</v>
      </c>
      <c r="J33" s="33">
        <v>75554</v>
      </c>
      <c r="K33" s="33">
        <v>82050</v>
      </c>
      <c r="L33" s="33">
        <v>87173</v>
      </c>
      <c r="M33" s="33">
        <v>92482</v>
      </c>
      <c r="N33" s="33">
        <v>97403</v>
      </c>
      <c r="O33" s="33">
        <v>95693</v>
      </c>
      <c r="P33" s="33">
        <v>96219</v>
      </c>
      <c r="Q33" s="33">
        <v>98424</v>
      </c>
      <c r="R33" s="33">
        <v>98896</v>
      </c>
      <c r="S33" s="33">
        <v>97802</v>
      </c>
      <c r="T33" s="33">
        <v>98088</v>
      </c>
      <c r="U33" s="33">
        <v>108935</v>
      </c>
      <c r="V33" s="33">
        <v>108379</v>
      </c>
      <c r="W33" s="33">
        <v>103620</v>
      </c>
      <c r="X33" s="33">
        <v>95854</v>
      </c>
      <c r="Y33" s="33">
        <v>84448</v>
      </c>
      <c r="Z33" s="34">
        <v>74305</v>
      </c>
      <c r="AA33" s="35">
        <f t="shared" si="0"/>
        <v>2042127</v>
      </c>
      <c r="AB33" s="19">
        <v>22</v>
      </c>
      <c r="AC33" s="100">
        <f>+AA33*AB33+AA34*AB34+AA35*AB35</f>
        <v>62526664</v>
      </c>
    </row>
    <row r="34" spans="1:30" ht="15.75" thickBot="1" x14ac:dyDescent="0.3">
      <c r="A34" s="99"/>
      <c r="B34" s="20" t="s">
        <v>4</v>
      </c>
      <c r="C34" s="36">
        <v>70366</v>
      </c>
      <c r="D34" s="36">
        <v>65104</v>
      </c>
      <c r="E34" s="36">
        <v>62714</v>
      </c>
      <c r="F34" s="36">
        <v>61129</v>
      </c>
      <c r="G34" s="36">
        <v>61448</v>
      </c>
      <c r="H34" s="36">
        <v>62402</v>
      </c>
      <c r="I34" s="36">
        <v>65928</v>
      </c>
      <c r="J34" s="36">
        <v>74046</v>
      </c>
      <c r="K34" s="36">
        <v>82135</v>
      </c>
      <c r="L34" s="36">
        <v>87754</v>
      </c>
      <c r="M34" s="36">
        <v>92536</v>
      </c>
      <c r="N34" s="36">
        <v>96545</v>
      </c>
      <c r="O34" s="36">
        <v>96703</v>
      </c>
      <c r="P34" s="36">
        <v>95610</v>
      </c>
      <c r="Q34" s="36">
        <v>94448</v>
      </c>
      <c r="R34" s="36">
        <v>93727</v>
      </c>
      <c r="S34" s="36">
        <v>92883</v>
      </c>
      <c r="T34" s="36">
        <v>95810</v>
      </c>
      <c r="U34" s="36">
        <v>107971</v>
      </c>
      <c r="V34" s="36">
        <v>107780</v>
      </c>
      <c r="W34" s="36">
        <v>103215</v>
      </c>
      <c r="X34" s="36">
        <v>96303</v>
      </c>
      <c r="Y34" s="36">
        <v>87782</v>
      </c>
      <c r="Z34" s="37">
        <v>78516</v>
      </c>
      <c r="AA34" s="38">
        <f t="shared" si="0"/>
        <v>2032855</v>
      </c>
      <c r="AB34" s="21">
        <v>4</v>
      </c>
      <c r="AC34" s="101"/>
      <c r="AD34" s="47"/>
    </row>
    <row r="35" spans="1:30" x14ac:dyDescent="0.25">
      <c r="A35" s="99"/>
      <c r="B35" s="22" t="s">
        <v>3</v>
      </c>
      <c r="C35" s="39">
        <v>70603</v>
      </c>
      <c r="D35" s="39">
        <v>66330</v>
      </c>
      <c r="E35" s="39">
        <v>63381</v>
      </c>
      <c r="F35" s="39">
        <v>61320</v>
      </c>
      <c r="G35" s="39">
        <v>60664</v>
      </c>
      <c r="H35" s="39">
        <v>59811</v>
      </c>
      <c r="I35" s="39">
        <v>60954</v>
      </c>
      <c r="J35" s="39">
        <v>66551</v>
      </c>
      <c r="K35" s="39">
        <v>72897</v>
      </c>
      <c r="L35" s="39">
        <v>78472</v>
      </c>
      <c r="M35" s="39">
        <v>82424</v>
      </c>
      <c r="N35" s="39">
        <v>86313</v>
      </c>
      <c r="O35" s="39">
        <v>88494</v>
      </c>
      <c r="P35" s="39">
        <v>87767</v>
      </c>
      <c r="Q35" s="39">
        <v>86100</v>
      </c>
      <c r="R35" s="39">
        <v>85255</v>
      </c>
      <c r="S35" s="39">
        <v>84768</v>
      </c>
      <c r="T35" s="39">
        <v>87382</v>
      </c>
      <c r="U35" s="39">
        <v>99868</v>
      </c>
      <c r="V35" s="39">
        <v>100891</v>
      </c>
      <c r="W35" s="39">
        <v>97655</v>
      </c>
      <c r="X35" s="39">
        <v>91278</v>
      </c>
      <c r="Y35" s="39">
        <v>81810</v>
      </c>
      <c r="Z35" s="40">
        <v>72702</v>
      </c>
      <c r="AA35" s="41">
        <f t="shared" si="0"/>
        <v>1893690</v>
      </c>
      <c r="AB35" s="23">
        <v>5</v>
      </c>
      <c r="AC35" s="102"/>
      <c r="AD35" s="48"/>
    </row>
    <row r="36" spans="1:30" ht="15.75" thickBot="1" x14ac:dyDescent="0.3">
      <c r="A36" s="99">
        <v>49614</v>
      </c>
      <c r="B36" s="18" t="s">
        <v>5</v>
      </c>
      <c r="C36" s="33">
        <v>65607</v>
      </c>
      <c r="D36" s="33">
        <v>62031</v>
      </c>
      <c r="E36" s="33">
        <v>60049</v>
      </c>
      <c r="F36" s="33">
        <v>59119</v>
      </c>
      <c r="G36" s="33">
        <v>60495</v>
      </c>
      <c r="H36" s="33">
        <v>64359</v>
      </c>
      <c r="I36" s="33">
        <v>68952</v>
      </c>
      <c r="J36" s="33">
        <v>75522</v>
      </c>
      <c r="K36" s="33">
        <v>81899</v>
      </c>
      <c r="L36" s="33">
        <v>86832</v>
      </c>
      <c r="M36" s="33">
        <v>92113</v>
      </c>
      <c r="N36" s="33">
        <v>97174</v>
      </c>
      <c r="O36" s="33">
        <v>95190</v>
      </c>
      <c r="P36" s="33">
        <v>95245</v>
      </c>
      <c r="Q36" s="33">
        <v>97400</v>
      </c>
      <c r="R36" s="33">
        <v>97304</v>
      </c>
      <c r="S36" s="33">
        <v>96505</v>
      </c>
      <c r="T36" s="33">
        <v>97821</v>
      </c>
      <c r="U36" s="33">
        <v>109148</v>
      </c>
      <c r="V36" s="33">
        <v>108545</v>
      </c>
      <c r="W36" s="33">
        <v>103719</v>
      </c>
      <c r="X36" s="33">
        <v>95540</v>
      </c>
      <c r="Y36" s="33">
        <v>83796</v>
      </c>
      <c r="Z36" s="34">
        <v>73289</v>
      </c>
      <c r="AA36" s="35">
        <f t="shared" si="0"/>
        <v>2027654</v>
      </c>
      <c r="AB36" s="19">
        <v>20</v>
      </c>
      <c r="AC36" s="100">
        <f>+AA36*AB36+AA37*AB37+AA38*AB38</f>
        <v>59407656</v>
      </c>
    </row>
    <row r="37" spans="1:30" ht="15.75" thickBot="1" x14ac:dyDescent="0.3">
      <c r="A37" s="99"/>
      <c r="B37" s="20" t="s">
        <v>4</v>
      </c>
      <c r="C37" s="36">
        <v>67369</v>
      </c>
      <c r="D37" s="36">
        <v>62372</v>
      </c>
      <c r="E37" s="36">
        <v>60094</v>
      </c>
      <c r="F37" s="36">
        <v>58640</v>
      </c>
      <c r="G37" s="36">
        <v>58895</v>
      </c>
      <c r="H37" s="36">
        <v>59631</v>
      </c>
      <c r="I37" s="36">
        <v>62879</v>
      </c>
      <c r="J37" s="36">
        <v>70357</v>
      </c>
      <c r="K37" s="36">
        <v>78266</v>
      </c>
      <c r="L37" s="36">
        <v>83779</v>
      </c>
      <c r="M37" s="36">
        <v>88187</v>
      </c>
      <c r="N37" s="36">
        <v>92241</v>
      </c>
      <c r="O37" s="36">
        <v>91863</v>
      </c>
      <c r="P37" s="36">
        <v>90152</v>
      </c>
      <c r="Q37" s="36">
        <v>89650</v>
      </c>
      <c r="R37" s="36">
        <v>89364</v>
      </c>
      <c r="S37" s="36">
        <v>88840</v>
      </c>
      <c r="T37" s="36">
        <v>92023</v>
      </c>
      <c r="U37" s="36">
        <v>104395</v>
      </c>
      <c r="V37" s="36">
        <v>104084</v>
      </c>
      <c r="W37" s="36">
        <v>99315</v>
      </c>
      <c r="X37" s="36">
        <v>93219</v>
      </c>
      <c r="Y37" s="36">
        <v>84197</v>
      </c>
      <c r="Z37" s="37">
        <v>75129</v>
      </c>
      <c r="AA37" s="38">
        <f t="shared" si="0"/>
        <v>1944941</v>
      </c>
      <c r="AB37" s="21">
        <v>4</v>
      </c>
      <c r="AC37" s="101"/>
      <c r="AD37" s="47"/>
    </row>
    <row r="38" spans="1:30" x14ac:dyDescent="0.25">
      <c r="A38" s="99"/>
      <c r="B38" s="22" t="s">
        <v>3</v>
      </c>
      <c r="C38" s="39">
        <v>67643</v>
      </c>
      <c r="D38" s="39">
        <v>63570</v>
      </c>
      <c r="E38" s="39">
        <v>60813</v>
      </c>
      <c r="F38" s="39">
        <v>58792</v>
      </c>
      <c r="G38" s="39">
        <v>58521</v>
      </c>
      <c r="H38" s="39">
        <v>57798</v>
      </c>
      <c r="I38" s="39">
        <v>59173</v>
      </c>
      <c r="J38" s="39">
        <v>65004</v>
      </c>
      <c r="K38" s="39">
        <v>71363</v>
      </c>
      <c r="L38" s="39">
        <v>76826</v>
      </c>
      <c r="M38" s="39">
        <v>80799</v>
      </c>
      <c r="N38" s="39">
        <v>84836</v>
      </c>
      <c r="O38" s="39">
        <v>86835</v>
      </c>
      <c r="P38" s="39">
        <v>86044</v>
      </c>
      <c r="Q38" s="39">
        <v>84134</v>
      </c>
      <c r="R38" s="39">
        <v>82781</v>
      </c>
      <c r="S38" s="39">
        <v>82394</v>
      </c>
      <c r="T38" s="39">
        <v>85334</v>
      </c>
      <c r="U38" s="39">
        <v>98045</v>
      </c>
      <c r="V38" s="39">
        <v>99228</v>
      </c>
      <c r="W38" s="39">
        <v>95960</v>
      </c>
      <c r="X38" s="39">
        <v>89484</v>
      </c>
      <c r="Y38" s="39">
        <v>79798</v>
      </c>
      <c r="Z38" s="40">
        <v>70627</v>
      </c>
      <c r="AA38" s="41">
        <f t="shared" si="0"/>
        <v>1845802</v>
      </c>
      <c r="AB38" s="23">
        <v>6</v>
      </c>
      <c r="AC38" s="102"/>
      <c r="AD38" s="49"/>
    </row>
    <row r="39" spans="1:30" ht="15.75" thickBot="1" x14ac:dyDescent="0.3">
      <c r="A39" s="99">
        <v>49644</v>
      </c>
      <c r="B39" s="18" t="s">
        <v>5</v>
      </c>
      <c r="C39" s="33">
        <v>70288</v>
      </c>
      <c r="D39" s="33">
        <v>66036</v>
      </c>
      <c r="E39" s="33">
        <v>63578</v>
      </c>
      <c r="F39" s="33">
        <v>62316</v>
      </c>
      <c r="G39" s="33">
        <v>63185</v>
      </c>
      <c r="H39" s="33">
        <v>65955</v>
      </c>
      <c r="I39" s="33">
        <v>69040</v>
      </c>
      <c r="J39" s="33">
        <v>77163</v>
      </c>
      <c r="K39" s="33">
        <v>84750</v>
      </c>
      <c r="L39" s="33">
        <v>90359</v>
      </c>
      <c r="M39" s="33">
        <v>95475</v>
      </c>
      <c r="N39" s="33">
        <v>100663</v>
      </c>
      <c r="O39" s="33">
        <v>99672</v>
      </c>
      <c r="P39" s="33">
        <v>99592</v>
      </c>
      <c r="Q39" s="33">
        <v>101062</v>
      </c>
      <c r="R39" s="33">
        <v>100936</v>
      </c>
      <c r="S39" s="33">
        <v>99482</v>
      </c>
      <c r="T39" s="33">
        <v>98819</v>
      </c>
      <c r="U39" s="33">
        <v>109841</v>
      </c>
      <c r="V39" s="33">
        <v>111543</v>
      </c>
      <c r="W39" s="33">
        <v>107217</v>
      </c>
      <c r="X39" s="33">
        <v>100298</v>
      </c>
      <c r="Y39" s="33">
        <v>89684</v>
      </c>
      <c r="Z39" s="34">
        <v>79523</v>
      </c>
      <c r="AA39" s="35">
        <f t="shared" si="0"/>
        <v>2106477</v>
      </c>
      <c r="AB39" s="19">
        <v>20</v>
      </c>
      <c r="AC39" s="100">
        <f>+AA39*AB39+AA40*AB40+AA41*AB41</f>
        <v>63560349</v>
      </c>
    </row>
    <row r="40" spans="1:30" ht="15.75" thickBot="1" x14ac:dyDescent="0.3">
      <c r="A40" s="99"/>
      <c r="B40" s="20" t="s">
        <v>4</v>
      </c>
      <c r="C40" s="36">
        <v>70961</v>
      </c>
      <c r="D40" s="36">
        <v>65418</v>
      </c>
      <c r="E40" s="36">
        <v>63013</v>
      </c>
      <c r="F40" s="36">
        <v>61424</v>
      </c>
      <c r="G40" s="36">
        <v>61510</v>
      </c>
      <c r="H40" s="36">
        <v>63042</v>
      </c>
      <c r="I40" s="36">
        <v>64896</v>
      </c>
      <c r="J40" s="36">
        <v>72349</v>
      </c>
      <c r="K40" s="36">
        <v>79950</v>
      </c>
      <c r="L40" s="36">
        <v>85249</v>
      </c>
      <c r="M40" s="36">
        <v>89508</v>
      </c>
      <c r="N40" s="36">
        <v>93059</v>
      </c>
      <c r="O40" s="36">
        <v>93055</v>
      </c>
      <c r="P40" s="36">
        <v>91726</v>
      </c>
      <c r="Q40" s="36">
        <v>90871</v>
      </c>
      <c r="R40" s="36">
        <v>89923</v>
      </c>
      <c r="S40" s="36">
        <v>89249</v>
      </c>
      <c r="T40" s="36">
        <v>90848</v>
      </c>
      <c r="U40" s="36">
        <v>102923</v>
      </c>
      <c r="V40" s="36">
        <v>104339</v>
      </c>
      <c r="W40" s="36">
        <v>100163</v>
      </c>
      <c r="X40" s="36">
        <v>94196</v>
      </c>
      <c r="Y40" s="36">
        <v>85678</v>
      </c>
      <c r="Z40" s="37">
        <v>77449</v>
      </c>
      <c r="AA40" s="38">
        <f t="shared" si="0"/>
        <v>1980799</v>
      </c>
      <c r="AB40" s="21">
        <v>4</v>
      </c>
      <c r="AC40" s="101"/>
      <c r="AD40" s="47"/>
    </row>
    <row r="41" spans="1:30" x14ac:dyDescent="0.25">
      <c r="A41" s="99"/>
      <c r="B41" s="22" t="s">
        <v>3</v>
      </c>
      <c r="C41" s="39">
        <v>73309</v>
      </c>
      <c r="D41" s="39">
        <v>68841</v>
      </c>
      <c r="E41" s="39">
        <v>65722</v>
      </c>
      <c r="F41" s="39">
        <v>63508</v>
      </c>
      <c r="G41" s="39">
        <v>62641</v>
      </c>
      <c r="H41" s="39">
        <v>62325</v>
      </c>
      <c r="I41" s="39">
        <v>62224</v>
      </c>
      <c r="J41" s="39">
        <v>67262</v>
      </c>
      <c r="K41" s="39">
        <v>73522</v>
      </c>
      <c r="L41" s="39">
        <v>79025</v>
      </c>
      <c r="M41" s="39">
        <v>83143</v>
      </c>
      <c r="N41" s="39">
        <v>87012</v>
      </c>
      <c r="O41" s="39">
        <v>89097</v>
      </c>
      <c r="P41" s="39">
        <v>88986</v>
      </c>
      <c r="Q41" s="39">
        <v>87577</v>
      </c>
      <c r="R41" s="39">
        <v>86687</v>
      </c>
      <c r="S41" s="39">
        <v>86174</v>
      </c>
      <c r="T41" s="39">
        <v>87806</v>
      </c>
      <c r="U41" s="39">
        <v>100103</v>
      </c>
      <c r="V41" s="39">
        <v>102599</v>
      </c>
      <c r="W41" s="39">
        <v>99092</v>
      </c>
      <c r="X41" s="39">
        <v>93100</v>
      </c>
      <c r="Y41" s="39">
        <v>84341</v>
      </c>
      <c r="Z41" s="40">
        <v>75563</v>
      </c>
      <c r="AA41" s="41">
        <f t="shared" si="0"/>
        <v>1929659</v>
      </c>
      <c r="AB41" s="23">
        <v>7</v>
      </c>
      <c r="AC41" s="102"/>
      <c r="AD41" s="42"/>
    </row>
    <row r="42" spans="1:30" x14ac:dyDescent="0.25">
      <c r="A42" s="103" t="s">
        <v>2</v>
      </c>
      <c r="B42" s="104"/>
      <c r="C42" s="31">
        <f t="shared" ref="C42:AC42" si="1">+SUM(C6:C41)</f>
        <v>2516091</v>
      </c>
      <c r="D42" s="31">
        <f t="shared" si="1"/>
        <v>2351730</v>
      </c>
      <c r="E42" s="31">
        <f t="shared" si="1"/>
        <v>2262129</v>
      </c>
      <c r="F42" s="31">
        <f t="shared" si="1"/>
        <v>2206752</v>
      </c>
      <c r="G42" s="31">
        <f t="shared" si="1"/>
        <v>2213628</v>
      </c>
      <c r="H42" s="31">
        <f t="shared" si="1"/>
        <v>2278016</v>
      </c>
      <c r="I42" s="31">
        <f t="shared" si="1"/>
        <v>2364070</v>
      </c>
      <c r="J42" s="31">
        <f t="shared" si="1"/>
        <v>2598373</v>
      </c>
      <c r="K42" s="31">
        <f t="shared" si="1"/>
        <v>2855465</v>
      </c>
      <c r="L42" s="31">
        <f t="shared" si="1"/>
        <v>3053720</v>
      </c>
      <c r="M42" s="31">
        <f t="shared" si="1"/>
        <v>3220034</v>
      </c>
      <c r="N42" s="31">
        <f t="shared" si="1"/>
        <v>3376120</v>
      </c>
      <c r="O42" s="31">
        <f t="shared" si="1"/>
        <v>3382334</v>
      </c>
      <c r="P42" s="31">
        <f t="shared" si="1"/>
        <v>3363695</v>
      </c>
      <c r="Q42" s="31">
        <f t="shared" si="1"/>
        <v>3351946</v>
      </c>
      <c r="R42" s="31">
        <f t="shared" si="1"/>
        <v>3338213</v>
      </c>
      <c r="S42" s="31">
        <f t="shared" si="1"/>
        <v>3305495</v>
      </c>
      <c r="T42" s="31">
        <f t="shared" si="1"/>
        <v>3311200</v>
      </c>
      <c r="U42" s="31">
        <f t="shared" si="1"/>
        <v>3644241</v>
      </c>
      <c r="V42" s="31">
        <f t="shared" si="1"/>
        <v>3816292</v>
      </c>
      <c r="W42" s="31">
        <f t="shared" si="1"/>
        <v>3678769</v>
      </c>
      <c r="X42" s="31">
        <f t="shared" si="1"/>
        <v>3440277</v>
      </c>
      <c r="Y42" s="31">
        <f t="shared" si="1"/>
        <v>3080291</v>
      </c>
      <c r="Z42" s="31">
        <f t="shared" si="1"/>
        <v>2729389</v>
      </c>
      <c r="AA42" s="31">
        <f t="shared" si="1"/>
        <v>71738270</v>
      </c>
      <c r="AB42" s="31">
        <f t="shared" si="1"/>
        <v>365</v>
      </c>
      <c r="AC42" s="46">
        <f t="shared" si="1"/>
        <v>739848093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335-1EDD-4585-9C5B-CFEC095259DE}">
  <sheetPr>
    <tabColor rgb="FF0070C0"/>
  </sheetPr>
  <dimension ref="A1:AD46"/>
  <sheetViews>
    <sheetView showGridLines="0" zoomScale="115" zoomScaleNormal="115" zoomScaleSheetLayoutView="110" workbookViewId="0">
      <pane xSplit="2" ySplit="5" topLeftCell="N33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90" t="s">
        <v>101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0" ht="15" x14ac:dyDescent="0.25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6" t="s">
        <v>35</v>
      </c>
      <c r="B4" s="96" t="s">
        <v>34</v>
      </c>
      <c r="C4" s="88" t="s">
        <v>33</v>
      </c>
      <c r="D4" s="88" t="s">
        <v>32</v>
      </c>
      <c r="E4" s="88" t="s">
        <v>31</v>
      </c>
      <c r="F4" s="88" t="s">
        <v>30</v>
      </c>
      <c r="G4" s="88" t="s">
        <v>29</v>
      </c>
      <c r="H4" s="88" t="s">
        <v>28</v>
      </c>
      <c r="I4" s="88" t="s">
        <v>27</v>
      </c>
      <c r="J4" s="88" t="s">
        <v>26</v>
      </c>
      <c r="K4" s="88" t="s">
        <v>25</v>
      </c>
      <c r="L4" s="88" t="s">
        <v>24</v>
      </c>
      <c r="M4" s="88" t="s">
        <v>23</v>
      </c>
      <c r="N4" s="88" t="s">
        <v>22</v>
      </c>
      <c r="O4" s="88" t="s">
        <v>21</v>
      </c>
      <c r="P4" s="88" t="s">
        <v>20</v>
      </c>
      <c r="Q4" s="88" t="s">
        <v>19</v>
      </c>
      <c r="R4" s="88" t="s">
        <v>18</v>
      </c>
      <c r="S4" s="88" t="s">
        <v>17</v>
      </c>
      <c r="T4" s="88" t="s">
        <v>16</v>
      </c>
      <c r="U4" s="88" t="s">
        <v>15</v>
      </c>
      <c r="V4" s="88" t="s">
        <v>14</v>
      </c>
      <c r="W4" s="88" t="s">
        <v>13</v>
      </c>
      <c r="X4" s="88" t="s">
        <v>12</v>
      </c>
      <c r="Y4" s="88" t="s">
        <v>11</v>
      </c>
      <c r="Z4" s="88" t="s">
        <v>10</v>
      </c>
      <c r="AA4" s="14" t="s">
        <v>9</v>
      </c>
      <c r="AB4" s="15" t="s">
        <v>8</v>
      </c>
      <c r="AC4" s="97" t="s">
        <v>7</v>
      </c>
    </row>
    <row r="5" spans="1:30" ht="15" x14ac:dyDescent="0.25">
      <c r="A5" s="96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16"/>
      <c r="AB5" s="17" t="s">
        <v>6</v>
      </c>
      <c r="AC5" s="98"/>
    </row>
    <row r="6" spans="1:30" ht="15.75" thickBot="1" x14ac:dyDescent="0.3">
      <c r="A6" s="99">
        <v>49310</v>
      </c>
      <c r="B6" s="18" t="s">
        <v>5</v>
      </c>
      <c r="C6" s="33">
        <f>+'Anexo 20'!C6*'Anexo 10'!$D$10</f>
        <v>0</v>
      </c>
      <c r="D6" s="33">
        <f>+'Anexo 20'!D6*'Anexo 10'!$D$10</f>
        <v>0</v>
      </c>
      <c r="E6" s="33">
        <f>+'Anexo 20'!E6*'Anexo 10'!$D$10</f>
        <v>0</v>
      </c>
      <c r="F6" s="33">
        <f>+'Anexo 20'!F6*'Anexo 10'!$D$10</f>
        <v>0</v>
      </c>
      <c r="G6" s="33">
        <f>+'Anexo 20'!G6*'Anexo 10'!$D$10</f>
        <v>0</v>
      </c>
      <c r="H6" s="33">
        <f>+'Anexo 20'!H6*'Anexo 10'!$D$10</f>
        <v>0</v>
      </c>
      <c r="I6" s="33">
        <f>+'Anexo 20'!I6*'Anexo 10'!$D$10</f>
        <v>0</v>
      </c>
      <c r="J6" s="33">
        <f>+'Anexo 20'!J6*'Anexo 10'!$D$10</f>
        <v>0</v>
      </c>
      <c r="K6" s="33">
        <f>+'Anexo 20'!K6*'Anexo 10'!$D$10</f>
        <v>0</v>
      </c>
      <c r="L6" s="33">
        <f>+'Anexo 20'!L6*'Anexo 10'!$D$10</f>
        <v>0</v>
      </c>
      <c r="M6" s="33">
        <f>+'Anexo 20'!M6*'Anexo 10'!$D$10</f>
        <v>0</v>
      </c>
      <c r="N6" s="33">
        <f>+'Anexo 20'!N6*'Anexo 10'!$D$10</f>
        <v>0</v>
      </c>
      <c r="O6" s="33">
        <f>+'Anexo 20'!O6*'Anexo 10'!$D$10</f>
        <v>0</v>
      </c>
      <c r="P6" s="33">
        <f>+'Anexo 20'!P6*'Anexo 10'!$D$10</f>
        <v>0</v>
      </c>
      <c r="Q6" s="33">
        <f>+'Anexo 20'!Q6*'Anexo 10'!$D$10</f>
        <v>0</v>
      </c>
      <c r="R6" s="33">
        <f>+'Anexo 20'!R6*'Anexo 10'!$D$10</f>
        <v>0</v>
      </c>
      <c r="S6" s="33">
        <f>+'Anexo 20'!S6*'Anexo 10'!$D$10</f>
        <v>0</v>
      </c>
      <c r="T6" s="33">
        <f>+'Anexo 20'!T6*'Anexo 10'!$D$10</f>
        <v>0</v>
      </c>
      <c r="U6" s="33">
        <f>+'Anexo 20'!U6*'Anexo 10'!$D$10</f>
        <v>0</v>
      </c>
      <c r="V6" s="33">
        <f>+'Anexo 20'!V6*'Anexo 10'!$D$10</f>
        <v>0</v>
      </c>
      <c r="W6" s="33">
        <f>+'Anexo 20'!W6*'Anexo 10'!$D$10</f>
        <v>0</v>
      </c>
      <c r="X6" s="33">
        <f>+'Anexo 20'!X6*'Anexo 10'!$D$10</f>
        <v>0</v>
      </c>
      <c r="Y6" s="33">
        <f>+'Anexo 20'!Y6*'Anexo 10'!$D$10</f>
        <v>0</v>
      </c>
      <c r="Z6" s="33">
        <f>+'Anexo 20'!Z6*'Anexo 10'!$D$10</f>
        <v>0</v>
      </c>
      <c r="AA6" s="35">
        <f>SUM(C6:Z6)</f>
        <v>0</v>
      </c>
      <c r="AB6" s="19">
        <v>21</v>
      </c>
      <c r="AC6" s="100">
        <f>+AA6*AB6+AA7*AB7+AA8*AB8</f>
        <v>0</v>
      </c>
    </row>
    <row r="7" spans="1:30" ht="15.75" thickBot="1" x14ac:dyDescent="0.3">
      <c r="A7" s="99"/>
      <c r="B7" s="20" t="s">
        <v>4</v>
      </c>
      <c r="C7" s="33">
        <f>+'Anexo 20'!C7*'Anexo 10'!$D$10</f>
        <v>0</v>
      </c>
      <c r="D7" s="33">
        <f>+'Anexo 20'!D7*'Anexo 10'!$D$10</f>
        <v>0</v>
      </c>
      <c r="E7" s="33">
        <f>+'Anexo 20'!E7*'Anexo 10'!$D$10</f>
        <v>0</v>
      </c>
      <c r="F7" s="33">
        <f>+'Anexo 20'!F7*'Anexo 10'!$D$10</f>
        <v>0</v>
      </c>
      <c r="G7" s="33">
        <f>+'Anexo 20'!G7*'Anexo 10'!$D$10</f>
        <v>0</v>
      </c>
      <c r="H7" s="33">
        <f>+'Anexo 20'!H7*'Anexo 10'!$D$10</f>
        <v>0</v>
      </c>
      <c r="I7" s="33">
        <f>+'Anexo 20'!I7*'Anexo 10'!$D$10</f>
        <v>0</v>
      </c>
      <c r="J7" s="33">
        <f>+'Anexo 20'!J7*'Anexo 10'!$D$10</f>
        <v>0</v>
      </c>
      <c r="K7" s="33">
        <f>+'Anexo 20'!K7*'Anexo 10'!$D$10</f>
        <v>0</v>
      </c>
      <c r="L7" s="33">
        <f>+'Anexo 20'!L7*'Anexo 10'!$D$10</f>
        <v>0</v>
      </c>
      <c r="M7" s="33">
        <f>+'Anexo 20'!M7*'Anexo 10'!$D$10</f>
        <v>0</v>
      </c>
      <c r="N7" s="33">
        <f>+'Anexo 20'!N7*'Anexo 10'!$D$10</f>
        <v>0</v>
      </c>
      <c r="O7" s="33">
        <f>+'Anexo 20'!O7*'Anexo 10'!$D$10</f>
        <v>0</v>
      </c>
      <c r="P7" s="33">
        <f>+'Anexo 20'!P7*'Anexo 10'!$D$10</f>
        <v>0</v>
      </c>
      <c r="Q7" s="33">
        <f>+'Anexo 20'!Q7*'Anexo 10'!$D$10</f>
        <v>0</v>
      </c>
      <c r="R7" s="33">
        <f>+'Anexo 20'!R7*'Anexo 10'!$D$10</f>
        <v>0</v>
      </c>
      <c r="S7" s="33">
        <f>+'Anexo 20'!S7*'Anexo 10'!$D$10</f>
        <v>0</v>
      </c>
      <c r="T7" s="33">
        <f>+'Anexo 20'!T7*'Anexo 10'!$D$10</f>
        <v>0</v>
      </c>
      <c r="U7" s="33">
        <f>+'Anexo 20'!U7*'Anexo 10'!$D$10</f>
        <v>0</v>
      </c>
      <c r="V7" s="33">
        <f>+'Anexo 20'!V7*'Anexo 10'!$D$10</f>
        <v>0</v>
      </c>
      <c r="W7" s="33">
        <f>+'Anexo 20'!W7*'Anexo 10'!$D$10</f>
        <v>0</v>
      </c>
      <c r="X7" s="33">
        <f>+'Anexo 20'!X7*'Anexo 10'!$D$10</f>
        <v>0</v>
      </c>
      <c r="Y7" s="33">
        <f>+'Anexo 20'!Y7*'Anexo 10'!$D$10</f>
        <v>0</v>
      </c>
      <c r="Z7" s="33">
        <f>+'Anexo 20'!Z7*'Anexo 10'!$D$10</f>
        <v>0</v>
      </c>
      <c r="AA7" s="38">
        <f t="shared" ref="AA7:AA41" si="0">SUM(C7:Z7)</f>
        <v>0</v>
      </c>
      <c r="AB7" s="21">
        <v>4</v>
      </c>
      <c r="AC7" s="101"/>
      <c r="AD7" s="47"/>
    </row>
    <row r="8" spans="1:30" ht="15.75" thickBot="1" x14ac:dyDescent="0.3">
      <c r="A8" s="99"/>
      <c r="B8" s="22" t="s">
        <v>3</v>
      </c>
      <c r="C8" s="33">
        <f>+'Anexo 20'!C8*'Anexo 10'!$D$10</f>
        <v>0</v>
      </c>
      <c r="D8" s="33">
        <f>+'Anexo 20'!D8*'Anexo 10'!$D$10</f>
        <v>0</v>
      </c>
      <c r="E8" s="33">
        <f>+'Anexo 20'!E8*'Anexo 10'!$D$10</f>
        <v>0</v>
      </c>
      <c r="F8" s="33">
        <f>+'Anexo 20'!F8*'Anexo 10'!$D$10</f>
        <v>0</v>
      </c>
      <c r="G8" s="33">
        <f>+'Anexo 20'!G8*'Anexo 10'!$D$10</f>
        <v>0</v>
      </c>
      <c r="H8" s="33">
        <f>+'Anexo 20'!H8*'Anexo 10'!$D$10</f>
        <v>0</v>
      </c>
      <c r="I8" s="33">
        <f>+'Anexo 20'!I8*'Anexo 10'!$D$10</f>
        <v>0</v>
      </c>
      <c r="J8" s="33">
        <f>+'Anexo 20'!J8*'Anexo 10'!$D$10</f>
        <v>0</v>
      </c>
      <c r="K8" s="33">
        <f>+'Anexo 20'!K8*'Anexo 10'!$D$10</f>
        <v>0</v>
      </c>
      <c r="L8" s="33">
        <f>+'Anexo 20'!L8*'Anexo 10'!$D$10</f>
        <v>0</v>
      </c>
      <c r="M8" s="33">
        <f>+'Anexo 20'!M8*'Anexo 10'!$D$10</f>
        <v>0</v>
      </c>
      <c r="N8" s="33">
        <f>+'Anexo 20'!N8*'Anexo 10'!$D$10</f>
        <v>0</v>
      </c>
      <c r="O8" s="33">
        <f>+'Anexo 20'!O8*'Anexo 10'!$D$10</f>
        <v>0</v>
      </c>
      <c r="P8" s="33">
        <f>+'Anexo 20'!P8*'Anexo 10'!$D$10</f>
        <v>0</v>
      </c>
      <c r="Q8" s="33">
        <f>+'Anexo 20'!Q8*'Anexo 10'!$D$10</f>
        <v>0</v>
      </c>
      <c r="R8" s="33">
        <f>+'Anexo 20'!R8*'Anexo 10'!$D$10</f>
        <v>0</v>
      </c>
      <c r="S8" s="33">
        <f>+'Anexo 20'!S8*'Anexo 10'!$D$10</f>
        <v>0</v>
      </c>
      <c r="T8" s="33">
        <f>+'Anexo 20'!T8*'Anexo 10'!$D$10</f>
        <v>0</v>
      </c>
      <c r="U8" s="33">
        <f>+'Anexo 20'!U8*'Anexo 10'!$D$10</f>
        <v>0</v>
      </c>
      <c r="V8" s="33">
        <f>+'Anexo 20'!V8*'Anexo 10'!$D$10</f>
        <v>0</v>
      </c>
      <c r="W8" s="33">
        <f>+'Anexo 20'!W8*'Anexo 10'!$D$10</f>
        <v>0</v>
      </c>
      <c r="X8" s="33">
        <f>+'Anexo 20'!X8*'Anexo 10'!$D$10</f>
        <v>0</v>
      </c>
      <c r="Y8" s="33">
        <f>+'Anexo 20'!Y8*'Anexo 10'!$D$10</f>
        <v>0</v>
      </c>
      <c r="Z8" s="33">
        <f>+'Anexo 20'!Z8*'Anexo 10'!$D$10</f>
        <v>0</v>
      </c>
      <c r="AA8" s="41">
        <f t="shared" si="0"/>
        <v>0</v>
      </c>
      <c r="AB8" s="23">
        <v>6</v>
      </c>
      <c r="AC8" s="102"/>
      <c r="AD8" s="48"/>
    </row>
    <row r="9" spans="1:30" ht="15.75" thickBot="1" x14ac:dyDescent="0.3">
      <c r="A9" s="99">
        <v>49341</v>
      </c>
      <c r="B9" s="18" t="s">
        <v>5</v>
      </c>
      <c r="C9" s="33">
        <f>+'Anexo 20'!C9*'Anexo 10'!$D$10</f>
        <v>0</v>
      </c>
      <c r="D9" s="33">
        <f>+'Anexo 20'!D9*'Anexo 10'!$D$10</f>
        <v>0</v>
      </c>
      <c r="E9" s="33">
        <f>+'Anexo 20'!E9*'Anexo 10'!$D$10</f>
        <v>0</v>
      </c>
      <c r="F9" s="33">
        <f>+'Anexo 20'!F9*'Anexo 10'!$D$10</f>
        <v>0</v>
      </c>
      <c r="G9" s="33">
        <f>+'Anexo 20'!G9*'Anexo 10'!$D$10</f>
        <v>0</v>
      </c>
      <c r="H9" s="33">
        <f>+'Anexo 20'!H9*'Anexo 10'!$D$10</f>
        <v>0</v>
      </c>
      <c r="I9" s="33">
        <f>+'Anexo 20'!I9*'Anexo 10'!$D$10</f>
        <v>0</v>
      </c>
      <c r="J9" s="33">
        <f>+'Anexo 20'!J9*'Anexo 10'!$D$10</f>
        <v>0</v>
      </c>
      <c r="K9" s="33">
        <f>+'Anexo 20'!K9*'Anexo 10'!$D$10</f>
        <v>0</v>
      </c>
      <c r="L9" s="33">
        <f>+'Anexo 20'!L9*'Anexo 10'!$D$10</f>
        <v>0</v>
      </c>
      <c r="M9" s="33">
        <f>+'Anexo 20'!M9*'Anexo 10'!$D$10</f>
        <v>0</v>
      </c>
      <c r="N9" s="33">
        <f>+'Anexo 20'!N9*'Anexo 10'!$D$10</f>
        <v>0</v>
      </c>
      <c r="O9" s="33">
        <f>+'Anexo 20'!O9*'Anexo 10'!$D$10</f>
        <v>0</v>
      </c>
      <c r="P9" s="33">
        <f>+'Anexo 20'!P9*'Anexo 10'!$D$10</f>
        <v>0</v>
      </c>
      <c r="Q9" s="33">
        <f>+'Anexo 20'!Q9*'Anexo 10'!$D$10</f>
        <v>0</v>
      </c>
      <c r="R9" s="33">
        <f>+'Anexo 20'!R9*'Anexo 10'!$D$10</f>
        <v>0</v>
      </c>
      <c r="S9" s="33">
        <f>+'Anexo 20'!S9*'Anexo 10'!$D$10</f>
        <v>0</v>
      </c>
      <c r="T9" s="33">
        <f>+'Anexo 20'!T9*'Anexo 10'!$D$10</f>
        <v>0</v>
      </c>
      <c r="U9" s="33">
        <f>+'Anexo 20'!U9*'Anexo 10'!$D$10</f>
        <v>0</v>
      </c>
      <c r="V9" s="33">
        <f>+'Anexo 20'!V9*'Anexo 10'!$D$10</f>
        <v>0</v>
      </c>
      <c r="W9" s="33">
        <f>+'Anexo 20'!W9*'Anexo 10'!$D$10</f>
        <v>0</v>
      </c>
      <c r="X9" s="33">
        <f>+'Anexo 20'!X9*'Anexo 10'!$D$10</f>
        <v>0</v>
      </c>
      <c r="Y9" s="33">
        <f>+'Anexo 20'!Y9*'Anexo 10'!$D$10</f>
        <v>0</v>
      </c>
      <c r="Z9" s="33">
        <f>+'Anexo 20'!Z9*'Anexo 10'!$D$10</f>
        <v>0</v>
      </c>
      <c r="AA9" s="35">
        <f t="shared" si="0"/>
        <v>0</v>
      </c>
      <c r="AB9" s="19">
        <v>20</v>
      </c>
      <c r="AC9" s="100">
        <f>+AA9*AB9+AA10*AB10+AA11*AB11</f>
        <v>0</v>
      </c>
    </row>
    <row r="10" spans="1:30" ht="15.75" thickBot="1" x14ac:dyDescent="0.3">
      <c r="A10" s="99"/>
      <c r="B10" s="20" t="s">
        <v>4</v>
      </c>
      <c r="C10" s="33">
        <f>+'Anexo 20'!C10*'Anexo 10'!$D$10</f>
        <v>0</v>
      </c>
      <c r="D10" s="33">
        <f>+'Anexo 20'!D10*'Anexo 10'!$D$10</f>
        <v>0</v>
      </c>
      <c r="E10" s="33">
        <f>+'Anexo 20'!E10*'Anexo 10'!$D$10</f>
        <v>0</v>
      </c>
      <c r="F10" s="33">
        <f>+'Anexo 20'!F10*'Anexo 10'!$D$10</f>
        <v>0</v>
      </c>
      <c r="G10" s="33">
        <f>+'Anexo 20'!G10*'Anexo 10'!$D$10</f>
        <v>0</v>
      </c>
      <c r="H10" s="33">
        <f>+'Anexo 20'!H10*'Anexo 10'!$D$10</f>
        <v>0</v>
      </c>
      <c r="I10" s="33">
        <f>+'Anexo 20'!I10*'Anexo 10'!$D$10</f>
        <v>0</v>
      </c>
      <c r="J10" s="33">
        <f>+'Anexo 20'!J10*'Anexo 10'!$D$10</f>
        <v>0</v>
      </c>
      <c r="K10" s="33">
        <f>+'Anexo 20'!K10*'Anexo 10'!$D$10</f>
        <v>0</v>
      </c>
      <c r="L10" s="33">
        <f>+'Anexo 20'!L10*'Anexo 10'!$D$10</f>
        <v>0</v>
      </c>
      <c r="M10" s="33">
        <f>+'Anexo 20'!M10*'Anexo 10'!$D$10</f>
        <v>0</v>
      </c>
      <c r="N10" s="33">
        <f>+'Anexo 20'!N10*'Anexo 10'!$D$10</f>
        <v>0</v>
      </c>
      <c r="O10" s="33">
        <f>+'Anexo 20'!O10*'Anexo 10'!$D$10</f>
        <v>0</v>
      </c>
      <c r="P10" s="33">
        <f>+'Anexo 20'!P10*'Anexo 10'!$D$10</f>
        <v>0</v>
      </c>
      <c r="Q10" s="33">
        <f>+'Anexo 20'!Q10*'Anexo 10'!$D$10</f>
        <v>0</v>
      </c>
      <c r="R10" s="33">
        <f>+'Anexo 20'!R10*'Anexo 10'!$D$10</f>
        <v>0</v>
      </c>
      <c r="S10" s="33">
        <f>+'Anexo 20'!S10*'Anexo 10'!$D$10</f>
        <v>0</v>
      </c>
      <c r="T10" s="33">
        <f>+'Anexo 20'!T10*'Anexo 10'!$D$10</f>
        <v>0</v>
      </c>
      <c r="U10" s="33">
        <f>+'Anexo 20'!U10*'Anexo 10'!$D$10</f>
        <v>0</v>
      </c>
      <c r="V10" s="33">
        <f>+'Anexo 20'!V10*'Anexo 10'!$D$10</f>
        <v>0</v>
      </c>
      <c r="W10" s="33">
        <f>+'Anexo 20'!W10*'Anexo 10'!$D$10</f>
        <v>0</v>
      </c>
      <c r="X10" s="33">
        <f>+'Anexo 20'!X10*'Anexo 10'!$D$10</f>
        <v>0</v>
      </c>
      <c r="Y10" s="33">
        <f>+'Anexo 20'!Y10*'Anexo 10'!$D$10</f>
        <v>0</v>
      </c>
      <c r="Z10" s="33">
        <f>+'Anexo 20'!Z10*'Anexo 10'!$D$10</f>
        <v>0</v>
      </c>
      <c r="AA10" s="38">
        <f t="shared" si="0"/>
        <v>0</v>
      </c>
      <c r="AB10" s="21">
        <v>4</v>
      </c>
      <c r="AC10" s="101"/>
      <c r="AD10" s="47"/>
    </row>
    <row r="11" spans="1:30" ht="15.75" thickBot="1" x14ac:dyDescent="0.3">
      <c r="A11" s="99"/>
      <c r="B11" s="22" t="s">
        <v>3</v>
      </c>
      <c r="C11" s="33">
        <f>+'Anexo 20'!C11*'Anexo 10'!$D$10</f>
        <v>0</v>
      </c>
      <c r="D11" s="33">
        <f>+'Anexo 20'!D11*'Anexo 10'!$D$10</f>
        <v>0</v>
      </c>
      <c r="E11" s="33">
        <f>+'Anexo 20'!E11*'Anexo 10'!$D$10</f>
        <v>0</v>
      </c>
      <c r="F11" s="33">
        <f>+'Anexo 20'!F11*'Anexo 10'!$D$10</f>
        <v>0</v>
      </c>
      <c r="G11" s="33">
        <f>+'Anexo 20'!G11*'Anexo 10'!$D$10</f>
        <v>0</v>
      </c>
      <c r="H11" s="33">
        <f>+'Anexo 20'!H11*'Anexo 10'!$D$10</f>
        <v>0</v>
      </c>
      <c r="I11" s="33">
        <f>+'Anexo 20'!I11*'Anexo 10'!$D$10</f>
        <v>0</v>
      </c>
      <c r="J11" s="33">
        <f>+'Anexo 20'!J11*'Anexo 10'!$D$10</f>
        <v>0</v>
      </c>
      <c r="K11" s="33">
        <f>+'Anexo 20'!K11*'Anexo 10'!$D$10</f>
        <v>0</v>
      </c>
      <c r="L11" s="33">
        <f>+'Anexo 20'!L11*'Anexo 10'!$D$10</f>
        <v>0</v>
      </c>
      <c r="M11" s="33">
        <f>+'Anexo 20'!M11*'Anexo 10'!$D$10</f>
        <v>0</v>
      </c>
      <c r="N11" s="33">
        <f>+'Anexo 20'!N11*'Anexo 10'!$D$10</f>
        <v>0</v>
      </c>
      <c r="O11" s="33">
        <f>+'Anexo 20'!O11*'Anexo 10'!$D$10</f>
        <v>0</v>
      </c>
      <c r="P11" s="33">
        <f>+'Anexo 20'!P11*'Anexo 10'!$D$10</f>
        <v>0</v>
      </c>
      <c r="Q11" s="33">
        <f>+'Anexo 20'!Q11*'Anexo 10'!$D$10</f>
        <v>0</v>
      </c>
      <c r="R11" s="33">
        <f>+'Anexo 20'!R11*'Anexo 10'!$D$10</f>
        <v>0</v>
      </c>
      <c r="S11" s="33">
        <f>+'Anexo 20'!S11*'Anexo 10'!$D$10</f>
        <v>0</v>
      </c>
      <c r="T11" s="33">
        <f>+'Anexo 20'!T11*'Anexo 10'!$D$10</f>
        <v>0</v>
      </c>
      <c r="U11" s="33">
        <f>+'Anexo 20'!U11*'Anexo 10'!$D$10</f>
        <v>0</v>
      </c>
      <c r="V11" s="33">
        <f>+'Anexo 20'!V11*'Anexo 10'!$D$10</f>
        <v>0</v>
      </c>
      <c r="W11" s="33">
        <f>+'Anexo 20'!W11*'Anexo 10'!$D$10</f>
        <v>0</v>
      </c>
      <c r="X11" s="33">
        <f>+'Anexo 20'!X11*'Anexo 10'!$D$10</f>
        <v>0</v>
      </c>
      <c r="Y11" s="33">
        <f>+'Anexo 20'!Y11*'Anexo 10'!$D$10</f>
        <v>0</v>
      </c>
      <c r="Z11" s="33">
        <f>+'Anexo 20'!Z11*'Anexo 10'!$D$10</f>
        <v>0</v>
      </c>
      <c r="AA11" s="41">
        <f t="shared" si="0"/>
        <v>0</v>
      </c>
      <c r="AB11" s="23">
        <v>4</v>
      </c>
      <c r="AC11" s="102"/>
      <c r="AD11" s="48"/>
    </row>
    <row r="12" spans="1:30" ht="15.75" thickBot="1" x14ac:dyDescent="0.3">
      <c r="A12" s="99">
        <v>49369</v>
      </c>
      <c r="B12" s="18" t="s">
        <v>5</v>
      </c>
      <c r="C12" s="33">
        <f>+'Anexo 20'!C12*'Anexo 10'!$D$10</f>
        <v>0</v>
      </c>
      <c r="D12" s="33">
        <f>+'Anexo 20'!D12*'Anexo 10'!$D$10</f>
        <v>0</v>
      </c>
      <c r="E12" s="33">
        <f>+'Anexo 20'!E12*'Anexo 10'!$D$10</f>
        <v>0</v>
      </c>
      <c r="F12" s="33">
        <f>+'Anexo 20'!F12*'Anexo 10'!$D$10</f>
        <v>0</v>
      </c>
      <c r="G12" s="33">
        <f>+'Anexo 20'!G12*'Anexo 10'!$D$10</f>
        <v>0</v>
      </c>
      <c r="H12" s="33">
        <f>+'Anexo 20'!H12*'Anexo 10'!$D$10</f>
        <v>0</v>
      </c>
      <c r="I12" s="33">
        <f>+'Anexo 20'!I12*'Anexo 10'!$D$10</f>
        <v>0</v>
      </c>
      <c r="J12" s="33">
        <f>+'Anexo 20'!J12*'Anexo 10'!$D$10</f>
        <v>0</v>
      </c>
      <c r="K12" s="33">
        <f>+'Anexo 20'!K12*'Anexo 10'!$D$10</f>
        <v>0</v>
      </c>
      <c r="L12" s="33">
        <f>+'Anexo 20'!L12*'Anexo 10'!$D$10</f>
        <v>0</v>
      </c>
      <c r="M12" s="33">
        <f>+'Anexo 20'!M12*'Anexo 10'!$D$10</f>
        <v>0</v>
      </c>
      <c r="N12" s="33">
        <f>+'Anexo 20'!N12*'Anexo 10'!$D$10</f>
        <v>0</v>
      </c>
      <c r="O12" s="33">
        <f>+'Anexo 20'!O12*'Anexo 10'!$D$10</f>
        <v>0</v>
      </c>
      <c r="P12" s="33">
        <f>+'Anexo 20'!P12*'Anexo 10'!$D$10</f>
        <v>0</v>
      </c>
      <c r="Q12" s="33">
        <f>+'Anexo 20'!Q12*'Anexo 10'!$D$10</f>
        <v>0</v>
      </c>
      <c r="R12" s="33">
        <f>+'Anexo 20'!R12*'Anexo 10'!$D$10</f>
        <v>0</v>
      </c>
      <c r="S12" s="33">
        <f>+'Anexo 20'!S12*'Anexo 10'!$D$10</f>
        <v>0</v>
      </c>
      <c r="T12" s="33">
        <f>+'Anexo 20'!T12*'Anexo 10'!$D$10</f>
        <v>0</v>
      </c>
      <c r="U12" s="33">
        <f>+'Anexo 20'!U12*'Anexo 10'!$D$10</f>
        <v>0</v>
      </c>
      <c r="V12" s="33">
        <f>+'Anexo 20'!V12*'Anexo 10'!$D$10</f>
        <v>0</v>
      </c>
      <c r="W12" s="33">
        <f>+'Anexo 20'!W12*'Anexo 10'!$D$10</f>
        <v>0</v>
      </c>
      <c r="X12" s="33">
        <f>+'Anexo 20'!X12*'Anexo 10'!$D$10</f>
        <v>0</v>
      </c>
      <c r="Y12" s="33">
        <f>+'Anexo 20'!Y12*'Anexo 10'!$D$10</f>
        <v>0</v>
      </c>
      <c r="Z12" s="33">
        <f>+'Anexo 20'!Z12*'Anexo 10'!$D$10</f>
        <v>0</v>
      </c>
      <c r="AA12" s="35">
        <f t="shared" si="0"/>
        <v>0</v>
      </c>
      <c r="AB12" s="19">
        <v>19</v>
      </c>
      <c r="AC12" s="100">
        <f>+AA12*AB12+AA13*AB13+AA14*AB14</f>
        <v>0</v>
      </c>
    </row>
    <row r="13" spans="1:30" ht="15.75" thickBot="1" x14ac:dyDescent="0.3">
      <c r="A13" s="99"/>
      <c r="B13" s="20" t="s">
        <v>4</v>
      </c>
      <c r="C13" s="33">
        <f>+'Anexo 20'!C13*'Anexo 10'!$D$10</f>
        <v>0</v>
      </c>
      <c r="D13" s="33">
        <f>+'Anexo 20'!D13*'Anexo 10'!$D$10</f>
        <v>0</v>
      </c>
      <c r="E13" s="33">
        <f>+'Anexo 20'!E13*'Anexo 10'!$D$10</f>
        <v>0</v>
      </c>
      <c r="F13" s="33">
        <f>+'Anexo 20'!F13*'Anexo 10'!$D$10</f>
        <v>0</v>
      </c>
      <c r="G13" s="33">
        <f>+'Anexo 20'!G13*'Anexo 10'!$D$10</f>
        <v>0</v>
      </c>
      <c r="H13" s="33">
        <f>+'Anexo 20'!H13*'Anexo 10'!$D$10</f>
        <v>0</v>
      </c>
      <c r="I13" s="33">
        <f>+'Anexo 20'!I13*'Anexo 10'!$D$10</f>
        <v>0</v>
      </c>
      <c r="J13" s="33">
        <f>+'Anexo 20'!J13*'Anexo 10'!$D$10</f>
        <v>0</v>
      </c>
      <c r="K13" s="33">
        <f>+'Anexo 20'!K13*'Anexo 10'!$D$10</f>
        <v>0</v>
      </c>
      <c r="L13" s="33">
        <f>+'Anexo 20'!L13*'Anexo 10'!$D$10</f>
        <v>0</v>
      </c>
      <c r="M13" s="33">
        <f>+'Anexo 20'!M13*'Anexo 10'!$D$10</f>
        <v>0</v>
      </c>
      <c r="N13" s="33">
        <f>+'Anexo 20'!N13*'Anexo 10'!$D$10</f>
        <v>0</v>
      </c>
      <c r="O13" s="33">
        <f>+'Anexo 20'!O13*'Anexo 10'!$D$10</f>
        <v>0</v>
      </c>
      <c r="P13" s="33">
        <f>+'Anexo 20'!P13*'Anexo 10'!$D$10</f>
        <v>0</v>
      </c>
      <c r="Q13" s="33">
        <f>+'Anexo 20'!Q13*'Anexo 10'!$D$10</f>
        <v>0</v>
      </c>
      <c r="R13" s="33">
        <f>+'Anexo 20'!R13*'Anexo 10'!$D$10</f>
        <v>0</v>
      </c>
      <c r="S13" s="33">
        <f>+'Anexo 20'!S13*'Anexo 10'!$D$10</f>
        <v>0</v>
      </c>
      <c r="T13" s="33">
        <f>+'Anexo 20'!T13*'Anexo 10'!$D$10</f>
        <v>0</v>
      </c>
      <c r="U13" s="33">
        <f>+'Anexo 20'!U13*'Anexo 10'!$D$10</f>
        <v>0</v>
      </c>
      <c r="V13" s="33">
        <f>+'Anexo 20'!V13*'Anexo 10'!$D$10</f>
        <v>0</v>
      </c>
      <c r="W13" s="33">
        <f>+'Anexo 20'!W13*'Anexo 10'!$D$10</f>
        <v>0</v>
      </c>
      <c r="X13" s="33">
        <f>+'Anexo 20'!X13*'Anexo 10'!$D$10</f>
        <v>0</v>
      </c>
      <c r="Y13" s="33">
        <f>+'Anexo 20'!Y13*'Anexo 10'!$D$10</f>
        <v>0</v>
      </c>
      <c r="Z13" s="33">
        <f>+'Anexo 20'!Z13*'Anexo 10'!$D$10</f>
        <v>0</v>
      </c>
      <c r="AA13" s="38">
        <f t="shared" si="0"/>
        <v>0</v>
      </c>
      <c r="AB13" s="21">
        <v>5</v>
      </c>
      <c r="AC13" s="101"/>
      <c r="AD13" s="47"/>
    </row>
    <row r="14" spans="1:30" ht="15.75" thickBot="1" x14ac:dyDescent="0.3">
      <c r="A14" s="99"/>
      <c r="B14" s="22" t="s">
        <v>3</v>
      </c>
      <c r="C14" s="33">
        <f>+'Anexo 20'!C14*'Anexo 10'!$D$10</f>
        <v>0</v>
      </c>
      <c r="D14" s="33">
        <f>+'Anexo 20'!D14*'Anexo 10'!$D$10</f>
        <v>0</v>
      </c>
      <c r="E14" s="33">
        <f>+'Anexo 20'!E14*'Anexo 10'!$D$10</f>
        <v>0</v>
      </c>
      <c r="F14" s="33">
        <f>+'Anexo 20'!F14*'Anexo 10'!$D$10</f>
        <v>0</v>
      </c>
      <c r="G14" s="33">
        <f>+'Anexo 20'!G14*'Anexo 10'!$D$10</f>
        <v>0</v>
      </c>
      <c r="H14" s="33">
        <f>+'Anexo 20'!H14*'Anexo 10'!$D$10</f>
        <v>0</v>
      </c>
      <c r="I14" s="33">
        <f>+'Anexo 20'!I14*'Anexo 10'!$D$10</f>
        <v>0</v>
      </c>
      <c r="J14" s="33">
        <f>+'Anexo 20'!J14*'Anexo 10'!$D$10</f>
        <v>0</v>
      </c>
      <c r="K14" s="33">
        <f>+'Anexo 20'!K14*'Anexo 10'!$D$10</f>
        <v>0</v>
      </c>
      <c r="L14" s="33">
        <f>+'Anexo 20'!L14*'Anexo 10'!$D$10</f>
        <v>0</v>
      </c>
      <c r="M14" s="33">
        <f>+'Anexo 20'!M14*'Anexo 10'!$D$10</f>
        <v>0</v>
      </c>
      <c r="N14" s="33">
        <f>+'Anexo 20'!N14*'Anexo 10'!$D$10</f>
        <v>0</v>
      </c>
      <c r="O14" s="33">
        <f>+'Anexo 20'!O14*'Anexo 10'!$D$10</f>
        <v>0</v>
      </c>
      <c r="P14" s="33">
        <f>+'Anexo 20'!P14*'Anexo 10'!$D$10</f>
        <v>0</v>
      </c>
      <c r="Q14" s="33">
        <f>+'Anexo 20'!Q14*'Anexo 10'!$D$10</f>
        <v>0</v>
      </c>
      <c r="R14" s="33">
        <f>+'Anexo 20'!R14*'Anexo 10'!$D$10</f>
        <v>0</v>
      </c>
      <c r="S14" s="33">
        <f>+'Anexo 20'!S14*'Anexo 10'!$D$10</f>
        <v>0</v>
      </c>
      <c r="T14" s="33">
        <f>+'Anexo 20'!T14*'Anexo 10'!$D$10</f>
        <v>0</v>
      </c>
      <c r="U14" s="33">
        <f>+'Anexo 20'!U14*'Anexo 10'!$D$10</f>
        <v>0</v>
      </c>
      <c r="V14" s="33">
        <f>+'Anexo 20'!V14*'Anexo 10'!$D$10</f>
        <v>0</v>
      </c>
      <c r="W14" s="33">
        <f>+'Anexo 20'!W14*'Anexo 10'!$D$10</f>
        <v>0</v>
      </c>
      <c r="X14" s="33">
        <f>+'Anexo 20'!X14*'Anexo 10'!$D$10</f>
        <v>0</v>
      </c>
      <c r="Y14" s="33">
        <f>+'Anexo 20'!Y14*'Anexo 10'!$D$10</f>
        <v>0</v>
      </c>
      <c r="Z14" s="33">
        <f>+'Anexo 20'!Z14*'Anexo 10'!$D$10</f>
        <v>0</v>
      </c>
      <c r="AA14" s="41">
        <f t="shared" si="0"/>
        <v>0</v>
      </c>
      <c r="AB14" s="23">
        <v>7</v>
      </c>
      <c r="AC14" s="102"/>
      <c r="AD14" s="45"/>
    </row>
    <row r="15" spans="1:30" ht="15.75" thickBot="1" x14ac:dyDescent="0.3">
      <c r="A15" s="99">
        <v>49400</v>
      </c>
      <c r="B15" s="18" t="s">
        <v>5</v>
      </c>
      <c r="C15" s="33">
        <f>+'Anexo 20'!C15*'Anexo 10'!$D$10</f>
        <v>0</v>
      </c>
      <c r="D15" s="33">
        <f>+'Anexo 20'!D15*'Anexo 10'!$D$10</f>
        <v>0</v>
      </c>
      <c r="E15" s="33">
        <f>+'Anexo 20'!E15*'Anexo 10'!$D$10</f>
        <v>0</v>
      </c>
      <c r="F15" s="33">
        <f>+'Anexo 20'!F15*'Anexo 10'!$D$10</f>
        <v>0</v>
      </c>
      <c r="G15" s="33">
        <f>+'Anexo 20'!G15*'Anexo 10'!$D$10</f>
        <v>0</v>
      </c>
      <c r="H15" s="33">
        <f>+'Anexo 20'!H15*'Anexo 10'!$D$10</f>
        <v>0</v>
      </c>
      <c r="I15" s="33">
        <f>+'Anexo 20'!I15*'Anexo 10'!$D$10</f>
        <v>0</v>
      </c>
      <c r="J15" s="33">
        <f>+'Anexo 20'!J15*'Anexo 10'!$D$10</f>
        <v>0</v>
      </c>
      <c r="K15" s="33">
        <f>+'Anexo 20'!K15*'Anexo 10'!$D$10</f>
        <v>0</v>
      </c>
      <c r="L15" s="33">
        <f>+'Anexo 20'!L15*'Anexo 10'!$D$10</f>
        <v>0</v>
      </c>
      <c r="M15" s="33">
        <f>+'Anexo 20'!M15*'Anexo 10'!$D$10</f>
        <v>0</v>
      </c>
      <c r="N15" s="33">
        <f>+'Anexo 20'!N15*'Anexo 10'!$D$10</f>
        <v>0</v>
      </c>
      <c r="O15" s="33">
        <f>+'Anexo 20'!O15*'Anexo 10'!$D$10</f>
        <v>0</v>
      </c>
      <c r="P15" s="33">
        <f>+'Anexo 20'!P15*'Anexo 10'!$D$10</f>
        <v>0</v>
      </c>
      <c r="Q15" s="33">
        <f>+'Anexo 20'!Q15*'Anexo 10'!$D$10</f>
        <v>0</v>
      </c>
      <c r="R15" s="33">
        <f>+'Anexo 20'!R15*'Anexo 10'!$D$10</f>
        <v>0</v>
      </c>
      <c r="S15" s="33">
        <f>+'Anexo 20'!S15*'Anexo 10'!$D$10</f>
        <v>0</v>
      </c>
      <c r="T15" s="33">
        <f>+'Anexo 20'!T15*'Anexo 10'!$D$10</f>
        <v>0</v>
      </c>
      <c r="U15" s="33">
        <f>+'Anexo 20'!U15*'Anexo 10'!$D$10</f>
        <v>0</v>
      </c>
      <c r="V15" s="33">
        <f>+'Anexo 20'!V15*'Anexo 10'!$D$10</f>
        <v>0</v>
      </c>
      <c r="W15" s="33">
        <f>+'Anexo 20'!W15*'Anexo 10'!$D$10</f>
        <v>0</v>
      </c>
      <c r="X15" s="33">
        <f>+'Anexo 20'!X15*'Anexo 10'!$D$10</f>
        <v>0</v>
      </c>
      <c r="Y15" s="33">
        <f>+'Anexo 20'!Y15*'Anexo 10'!$D$10</f>
        <v>0</v>
      </c>
      <c r="Z15" s="33">
        <f>+'Anexo 20'!Z15*'Anexo 10'!$D$10</f>
        <v>0</v>
      </c>
      <c r="AA15" s="35">
        <f t="shared" si="0"/>
        <v>0</v>
      </c>
      <c r="AB15" s="19">
        <v>21</v>
      </c>
      <c r="AC15" s="100">
        <f>+AA15*AB15+AA16*AB16+AA17*AB17</f>
        <v>0</v>
      </c>
    </row>
    <row r="16" spans="1:30" ht="15.75" thickBot="1" x14ac:dyDescent="0.3">
      <c r="A16" s="99"/>
      <c r="B16" s="20" t="s">
        <v>4</v>
      </c>
      <c r="C16" s="33">
        <f>+'Anexo 20'!C16*'Anexo 10'!$D$10</f>
        <v>0</v>
      </c>
      <c r="D16" s="33">
        <f>+'Anexo 20'!D16*'Anexo 10'!$D$10</f>
        <v>0</v>
      </c>
      <c r="E16" s="33">
        <f>+'Anexo 20'!E16*'Anexo 10'!$D$10</f>
        <v>0</v>
      </c>
      <c r="F16" s="33">
        <f>+'Anexo 20'!F16*'Anexo 10'!$D$10</f>
        <v>0</v>
      </c>
      <c r="G16" s="33">
        <f>+'Anexo 20'!G16*'Anexo 10'!$D$10</f>
        <v>0</v>
      </c>
      <c r="H16" s="33">
        <f>+'Anexo 20'!H16*'Anexo 10'!$D$10</f>
        <v>0</v>
      </c>
      <c r="I16" s="33">
        <f>+'Anexo 20'!I16*'Anexo 10'!$D$10</f>
        <v>0</v>
      </c>
      <c r="J16" s="33">
        <f>+'Anexo 20'!J16*'Anexo 10'!$D$10</f>
        <v>0</v>
      </c>
      <c r="K16" s="33">
        <f>+'Anexo 20'!K16*'Anexo 10'!$D$10</f>
        <v>0</v>
      </c>
      <c r="L16" s="33">
        <f>+'Anexo 20'!L16*'Anexo 10'!$D$10</f>
        <v>0</v>
      </c>
      <c r="M16" s="33">
        <f>+'Anexo 20'!M16*'Anexo 10'!$D$10</f>
        <v>0</v>
      </c>
      <c r="N16" s="33">
        <f>+'Anexo 20'!N16*'Anexo 10'!$D$10</f>
        <v>0</v>
      </c>
      <c r="O16" s="33">
        <f>+'Anexo 20'!O16*'Anexo 10'!$D$10</f>
        <v>0</v>
      </c>
      <c r="P16" s="33">
        <f>+'Anexo 20'!P16*'Anexo 10'!$D$10</f>
        <v>0</v>
      </c>
      <c r="Q16" s="33">
        <f>+'Anexo 20'!Q16*'Anexo 10'!$D$10</f>
        <v>0</v>
      </c>
      <c r="R16" s="33">
        <f>+'Anexo 20'!R16*'Anexo 10'!$D$10</f>
        <v>0</v>
      </c>
      <c r="S16" s="33">
        <f>+'Anexo 20'!S16*'Anexo 10'!$D$10</f>
        <v>0</v>
      </c>
      <c r="T16" s="33">
        <f>+'Anexo 20'!T16*'Anexo 10'!$D$10</f>
        <v>0</v>
      </c>
      <c r="U16" s="33">
        <f>+'Anexo 20'!U16*'Anexo 10'!$D$10</f>
        <v>0</v>
      </c>
      <c r="V16" s="33">
        <f>+'Anexo 20'!V16*'Anexo 10'!$D$10</f>
        <v>0</v>
      </c>
      <c r="W16" s="33">
        <f>+'Anexo 20'!W16*'Anexo 10'!$D$10</f>
        <v>0</v>
      </c>
      <c r="X16" s="33">
        <f>+'Anexo 20'!X16*'Anexo 10'!$D$10</f>
        <v>0</v>
      </c>
      <c r="Y16" s="33">
        <f>+'Anexo 20'!Y16*'Anexo 10'!$D$10</f>
        <v>0</v>
      </c>
      <c r="Z16" s="33">
        <f>+'Anexo 20'!Z16*'Anexo 10'!$D$10</f>
        <v>0</v>
      </c>
      <c r="AA16" s="38">
        <f t="shared" si="0"/>
        <v>0</v>
      </c>
      <c r="AB16" s="21">
        <v>4</v>
      </c>
      <c r="AC16" s="101"/>
      <c r="AD16" s="47"/>
    </row>
    <row r="17" spans="1:30" ht="15.75" thickBot="1" x14ac:dyDescent="0.3">
      <c r="A17" s="99"/>
      <c r="B17" s="22" t="s">
        <v>3</v>
      </c>
      <c r="C17" s="33">
        <f>+'Anexo 20'!C17*'Anexo 10'!$D$10</f>
        <v>0</v>
      </c>
      <c r="D17" s="33">
        <f>+'Anexo 20'!D17*'Anexo 10'!$D$10</f>
        <v>0</v>
      </c>
      <c r="E17" s="33">
        <f>+'Anexo 20'!E17*'Anexo 10'!$D$10</f>
        <v>0</v>
      </c>
      <c r="F17" s="33">
        <f>+'Anexo 20'!F17*'Anexo 10'!$D$10</f>
        <v>0</v>
      </c>
      <c r="G17" s="33">
        <f>+'Anexo 20'!G17*'Anexo 10'!$D$10</f>
        <v>0</v>
      </c>
      <c r="H17" s="33">
        <f>+'Anexo 20'!H17*'Anexo 10'!$D$10</f>
        <v>0</v>
      </c>
      <c r="I17" s="33">
        <f>+'Anexo 20'!I17*'Anexo 10'!$D$10</f>
        <v>0</v>
      </c>
      <c r="J17" s="33">
        <f>+'Anexo 20'!J17*'Anexo 10'!$D$10</f>
        <v>0</v>
      </c>
      <c r="K17" s="33">
        <f>+'Anexo 20'!K17*'Anexo 10'!$D$10</f>
        <v>0</v>
      </c>
      <c r="L17" s="33">
        <f>+'Anexo 20'!L17*'Anexo 10'!$D$10</f>
        <v>0</v>
      </c>
      <c r="M17" s="33">
        <f>+'Anexo 20'!M17*'Anexo 10'!$D$10</f>
        <v>0</v>
      </c>
      <c r="N17" s="33">
        <f>+'Anexo 20'!N17*'Anexo 10'!$D$10</f>
        <v>0</v>
      </c>
      <c r="O17" s="33">
        <f>+'Anexo 20'!O17*'Anexo 10'!$D$10</f>
        <v>0</v>
      </c>
      <c r="P17" s="33">
        <f>+'Anexo 20'!P17*'Anexo 10'!$D$10</f>
        <v>0</v>
      </c>
      <c r="Q17" s="33">
        <f>+'Anexo 20'!Q17*'Anexo 10'!$D$10</f>
        <v>0</v>
      </c>
      <c r="R17" s="33">
        <f>+'Anexo 20'!R17*'Anexo 10'!$D$10</f>
        <v>0</v>
      </c>
      <c r="S17" s="33">
        <f>+'Anexo 20'!S17*'Anexo 10'!$D$10</f>
        <v>0</v>
      </c>
      <c r="T17" s="33">
        <f>+'Anexo 20'!T17*'Anexo 10'!$D$10</f>
        <v>0</v>
      </c>
      <c r="U17" s="33">
        <f>+'Anexo 20'!U17*'Anexo 10'!$D$10</f>
        <v>0</v>
      </c>
      <c r="V17" s="33">
        <f>+'Anexo 20'!V17*'Anexo 10'!$D$10</f>
        <v>0</v>
      </c>
      <c r="W17" s="33">
        <f>+'Anexo 20'!W17*'Anexo 10'!$D$10</f>
        <v>0</v>
      </c>
      <c r="X17" s="33">
        <f>+'Anexo 20'!X17*'Anexo 10'!$D$10</f>
        <v>0</v>
      </c>
      <c r="Y17" s="33">
        <f>+'Anexo 20'!Y17*'Anexo 10'!$D$10</f>
        <v>0</v>
      </c>
      <c r="Z17" s="33">
        <f>+'Anexo 20'!Z17*'Anexo 10'!$D$10</f>
        <v>0</v>
      </c>
      <c r="AA17" s="41">
        <f t="shared" si="0"/>
        <v>0</v>
      </c>
      <c r="AB17" s="23">
        <v>5</v>
      </c>
      <c r="AC17" s="102"/>
      <c r="AD17" s="48"/>
    </row>
    <row r="18" spans="1:30" ht="15.75" thickBot="1" x14ac:dyDescent="0.3">
      <c r="A18" s="99">
        <v>49430</v>
      </c>
      <c r="B18" s="18" t="s">
        <v>5</v>
      </c>
      <c r="C18" s="33">
        <f>+'Anexo 20'!C18*'Anexo 10'!$D$10</f>
        <v>0</v>
      </c>
      <c r="D18" s="33">
        <f>+'Anexo 20'!D18*'Anexo 10'!$D$10</f>
        <v>0</v>
      </c>
      <c r="E18" s="33">
        <f>+'Anexo 20'!E18*'Anexo 10'!$D$10</f>
        <v>0</v>
      </c>
      <c r="F18" s="33">
        <f>+'Anexo 20'!F18*'Anexo 10'!$D$10</f>
        <v>0</v>
      </c>
      <c r="G18" s="33">
        <f>+'Anexo 20'!G18*'Anexo 10'!$D$10</f>
        <v>0</v>
      </c>
      <c r="H18" s="33">
        <f>+'Anexo 20'!H18*'Anexo 10'!$D$10</f>
        <v>0</v>
      </c>
      <c r="I18" s="33">
        <f>+'Anexo 20'!I18*'Anexo 10'!$D$10</f>
        <v>0</v>
      </c>
      <c r="J18" s="33">
        <f>+'Anexo 20'!J18*'Anexo 10'!$D$10</f>
        <v>0</v>
      </c>
      <c r="K18" s="33">
        <f>+'Anexo 20'!K18*'Anexo 10'!$D$10</f>
        <v>0</v>
      </c>
      <c r="L18" s="33">
        <f>+'Anexo 20'!L18*'Anexo 10'!$D$10</f>
        <v>0</v>
      </c>
      <c r="M18" s="33">
        <f>+'Anexo 20'!M18*'Anexo 10'!$D$10</f>
        <v>0</v>
      </c>
      <c r="N18" s="33">
        <f>+'Anexo 20'!N18*'Anexo 10'!$D$10</f>
        <v>0</v>
      </c>
      <c r="O18" s="33">
        <f>+'Anexo 20'!O18*'Anexo 10'!$D$10</f>
        <v>0</v>
      </c>
      <c r="P18" s="33">
        <f>+'Anexo 20'!P18*'Anexo 10'!$D$10</f>
        <v>0</v>
      </c>
      <c r="Q18" s="33">
        <f>+'Anexo 20'!Q18*'Anexo 10'!$D$10</f>
        <v>0</v>
      </c>
      <c r="R18" s="33">
        <f>+'Anexo 20'!R18*'Anexo 10'!$D$10</f>
        <v>0</v>
      </c>
      <c r="S18" s="33">
        <f>+'Anexo 20'!S18*'Anexo 10'!$D$10</f>
        <v>0</v>
      </c>
      <c r="T18" s="33">
        <f>+'Anexo 20'!T18*'Anexo 10'!$D$10</f>
        <v>0</v>
      </c>
      <c r="U18" s="33">
        <f>+'Anexo 20'!U18*'Anexo 10'!$D$10</f>
        <v>0</v>
      </c>
      <c r="V18" s="33">
        <f>+'Anexo 20'!V18*'Anexo 10'!$D$10</f>
        <v>0</v>
      </c>
      <c r="W18" s="33">
        <f>+'Anexo 20'!W18*'Anexo 10'!$D$10</f>
        <v>0</v>
      </c>
      <c r="X18" s="33">
        <f>+'Anexo 20'!X18*'Anexo 10'!$D$10</f>
        <v>0</v>
      </c>
      <c r="Y18" s="33">
        <f>+'Anexo 20'!Y18*'Anexo 10'!$D$10</f>
        <v>0</v>
      </c>
      <c r="Z18" s="33">
        <f>+'Anexo 20'!Z18*'Anexo 10'!$D$10</f>
        <v>0</v>
      </c>
      <c r="AA18" s="35">
        <f t="shared" si="0"/>
        <v>0</v>
      </c>
      <c r="AB18" s="19">
        <v>20</v>
      </c>
      <c r="AC18" s="100">
        <f>+AA18*AB18+AA19*AB19+AA20*AB20</f>
        <v>0</v>
      </c>
    </row>
    <row r="19" spans="1:30" ht="15.75" thickBot="1" x14ac:dyDescent="0.3">
      <c r="A19" s="99"/>
      <c r="B19" s="20" t="s">
        <v>4</v>
      </c>
      <c r="C19" s="33">
        <f>+'Anexo 20'!C19*'Anexo 10'!$D$10</f>
        <v>0</v>
      </c>
      <c r="D19" s="33">
        <f>+'Anexo 20'!D19*'Anexo 10'!$D$10</f>
        <v>0</v>
      </c>
      <c r="E19" s="33">
        <f>+'Anexo 20'!E19*'Anexo 10'!$D$10</f>
        <v>0</v>
      </c>
      <c r="F19" s="33">
        <f>+'Anexo 20'!F19*'Anexo 10'!$D$10</f>
        <v>0</v>
      </c>
      <c r="G19" s="33">
        <f>+'Anexo 20'!G19*'Anexo 10'!$D$10</f>
        <v>0</v>
      </c>
      <c r="H19" s="33">
        <f>+'Anexo 20'!H19*'Anexo 10'!$D$10</f>
        <v>0</v>
      </c>
      <c r="I19" s="33">
        <f>+'Anexo 20'!I19*'Anexo 10'!$D$10</f>
        <v>0</v>
      </c>
      <c r="J19" s="33">
        <f>+'Anexo 20'!J19*'Anexo 10'!$D$10</f>
        <v>0</v>
      </c>
      <c r="K19" s="33">
        <f>+'Anexo 20'!K19*'Anexo 10'!$D$10</f>
        <v>0</v>
      </c>
      <c r="L19" s="33">
        <f>+'Anexo 20'!L19*'Anexo 10'!$D$10</f>
        <v>0</v>
      </c>
      <c r="M19" s="33">
        <f>+'Anexo 20'!M19*'Anexo 10'!$D$10</f>
        <v>0</v>
      </c>
      <c r="N19" s="33">
        <f>+'Anexo 20'!N19*'Anexo 10'!$D$10</f>
        <v>0</v>
      </c>
      <c r="O19" s="33">
        <f>+'Anexo 20'!O19*'Anexo 10'!$D$10</f>
        <v>0</v>
      </c>
      <c r="P19" s="33">
        <f>+'Anexo 20'!P19*'Anexo 10'!$D$10</f>
        <v>0</v>
      </c>
      <c r="Q19" s="33">
        <f>+'Anexo 20'!Q19*'Anexo 10'!$D$10</f>
        <v>0</v>
      </c>
      <c r="R19" s="33">
        <f>+'Anexo 20'!R19*'Anexo 10'!$D$10</f>
        <v>0</v>
      </c>
      <c r="S19" s="33">
        <f>+'Anexo 20'!S19*'Anexo 10'!$D$10</f>
        <v>0</v>
      </c>
      <c r="T19" s="33">
        <f>+'Anexo 20'!T19*'Anexo 10'!$D$10</f>
        <v>0</v>
      </c>
      <c r="U19" s="33">
        <f>+'Anexo 20'!U19*'Anexo 10'!$D$10</f>
        <v>0</v>
      </c>
      <c r="V19" s="33">
        <f>+'Anexo 20'!V19*'Anexo 10'!$D$10</f>
        <v>0</v>
      </c>
      <c r="W19" s="33">
        <f>+'Anexo 20'!W19*'Anexo 10'!$D$10</f>
        <v>0</v>
      </c>
      <c r="X19" s="33">
        <f>+'Anexo 20'!X19*'Anexo 10'!$D$10</f>
        <v>0</v>
      </c>
      <c r="Y19" s="33">
        <f>+'Anexo 20'!Y19*'Anexo 10'!$D$10</f>
        <v>0</v>
      </c>
      <c r="Z19" s="33">
        <f>+'Anexo 20'!Z19*'Anexo 10'!$D$10</f>
        <v>0</v>
      </c>
      <c r="AA19" s="38">
        <f t="shared" si="0"/>
        <v>0</v>
      </c>
      <c r="AB19" s="21">
        <v>4</v>
      </c>
      <c r="AC19" s="101"/>
      <c r="AD19" s="47"/>
    </row>
    <row r="20" spans="1:30" ht="15.75" thickBot="1" x14ac:dyDescent="0.3">
      <c r="A20" s="99"/>
      <c r="B20" s="22" t="s">
        <v>3</v>
      </c>
      <c r="C20" s="33">
        <f>+'Anexo 20'!C20*'Anexo 10'!$D$10</f>
        <v>0</v>
      </c>
      <c r="D20" s="33">
        <f>+'Anexo 20'!D20*'Anexo 10'!$D$10</f>
        <v>0</v>
      </c>
      <c r="E20" s="33">
        <f>+'Anexo 20'!E20*'Anexo 10'!$D$10</f>
        <v>0</v>
      </c>
      <c r="F20" s="33">
        <f>+'Anexo 20'!F20*'Anexo 10'!$D$10</f>
        <v>0</v>
      </c>
      <c r="G20" s="33">
        <f>+'Anexo 20'!G20*'Anexo 10'!$D$10</f>
        <v>0</v>
      </c>
      <c r="H20" s="33">
        <f>+'Anexo 20'!H20*'Anexo 10'!$D$10</f>
        <v>0</v>
      </c>
      <c r="I20" s="33">
        <f>+'Anexo 20'!I20*'Anexo 10'!$D$10</f>
        <v>0</v>
      </c>
      <c r="J20" s="33">
        <f>+'Anexo 20'!J20*'Anexo 10'!$D$10</f>
        <v>0</v>
      </c>
      <c r="K20" s="33">
        <f>+'Anexo 20'!K20*'Anexo 10'!$D$10</f>
        <v>0</v>
      </c>
      <c r="L20" s="33">
        <f>+'Anexo 20'!L20*'Anexo 10'!$D$10</f>
        <v>0</v>
      </c>
      <c r="M20" s="33">
        <f>+'Anexo 20'!M20*'Anexo 10'!$D$10</f>
        <v>0</v>
      </c>
      <c r="N20" s="33">
        <f>+'Anexo 20'!N20*'Anexo 10'!$D$10</f>
        <v>0</v>
      </c>
      <c r="O20" s="33">
        <f>+'Anexo 20'!O20*'Anexo 10'!$D$10</f>
        <v>0</v>
      </c>
      <c r="P20" s="33">
        <f>+'Anexo 20'!P20*'Anexo 10'!$D$10</f>
        <v>0</v>
      </c>
      <c r="Q20" s="33">
        <f>+'Anexo 20'!Q20*'Anexo 10'!$D$10</f>
        <v>0</v>
      </c>
      <c r="R20" s="33">
        <f>+'Anexo 20'!R20*'Anexo 10'!$D$10</f>
        <v>0</v>
      </c>
      <c r="S20" s="33">
        <f>+'Anexo 20'!S20*'Anexo 10'!$D$10</f>
        <v>0</v>
      </c>
      <c r="T20" s="33">
        <f>+'Anexo 20'!T20*'Anexo 10'!$D$10</f>
        <v>0</v>
      </c>
      <c r="U20" s="33">
        <f>+'Anexo 20'!U20*'Anexo 10'!$D$10</f>
        <v>0</v>
      </c>
      <c r="V20" s="33">
        <f>+'Anexo 20'!V20*'Anexo 10'!$D$10</f>
        <v>0</v>
      </c>
      <c r="W20" s="33">
        <f>+'Anexo 20'!W20*'Anexo 10'!$D$10</f>
        <v>0</v>
      </c>
      <c r="X20" s="33">
        <f>+'Anexo 20'!X20*'Anexo 10'!$D$10</f>
        <v>0</v>
      </c>
      <c r="Y20" s="33">
        <f>+'Anexo 20'!Y20*'Anexo 10'!$D$10</f>
        <v>0</v>
      </c>
      <c r="Z20" s="33">
        <f>+'Anexo 20'!Z20*'Anexo 10'!$D$10</f>
        <v>0</v>
      </c>
      <c r="AA20" s="41">
        <f t="shared" si="0"/>
        <v>0</v>
      </c>
      <c r="AB20" s="23">
        <v>7</v>
      </c>
      <c r="AC20" s="102"/>
      <c r="AD20" s="48"/>
    </row>
    <row r="21" spans="1:30" ht="15.75" thickBot="1" x14ac:dyDescent="0.3">
      <c r="A21" s="99">
        <v>49461</v>
      </c>
      <c r="B21" s="18" t="s">
        <v>5</v>
      </c>
      <c r="C21" s="33">
        <f>+'Anexo 20'!C21*'Anexo 10'!$D$10</f>
        <v>0</v>
      </c>
      <c r="D21" s="33">
        <f>+'Anexo 20'!D21*'Anexo 10'!$D$10</f>
        <v>0</v>
      </c>
      <c r="E21" s="33">
        <f>+'Anexo 20'!E21*'Anexo 10'!$D$10</f>
        <v>0</v>
      </c>
      <c r="F21" s="33">
        <f>+'Anexo 20'!F21*'Anexo 10'!$D$10</f>
        <v>0</v>
      </c>
      <c r="G21" s="33">
        <f>+'Anexo 20'!G21*'Anexo 10'!$D$10</f>
        <v>0</v>
      </c>
      <c r="H21" s="33">
        <f>+'Anexo 20'!H21*'Anexo 10'!$D$10</f>
        <v>0</v>
      </c>
      <c r="I21" s="33">
        <f>+'Anexo 20'!I21*'Anexo 10'!$D$10</f>
        <v>0</v>
      </c>
      <c r="J21" s="33">
        <f>+'Anexo 20'!J21*'Anexo 10'!$D$10</f>
        <v>0</v>
      </c>
      <c r="K21" s="33">
        <f>+'Anexo 20'!K21*'Anexo 10'!$D$10</f>
        <v>0</v>
      </c>
      <c r="L21" s="33">
        <f>+'Anexo 20'!L21*'Anexo 10'!$D$10</f>
        <v>0</v>
      </c>
      <c r="M21" s="33">
        <f>+'Anexo 20'!M21*'Anexo 10'!$D$10</f>
        <v>0</v>
      </c>
      <c r="N21" s="33">
        <f>+'Anexo 20'!N21*'Anexo 10'!$D$10</f>
        <v>0</v>
      </c>
      <c r="O21" s="33">
        <f>+'Anexo 20'!O21*'Anexo 10'!$D$10</f>
        <v>0</v>
      </c>
      <c r="P21" s="33">
        <f>+'Anexo 20'!P21*'Anexo 10'!$D$10</f>
        <v>0</v>
      </c>
      <c r="Q21" s="33">
        <f>+'Anexo 20'!Q21*'Anexo 10'!$D$10</f>
        <v>0</v>
      </c>
      <c r="R21" s="33">
        <f>+'Anexo 20'!R21*'Anexo 10'!$D$10</f>
        <v>0</v>
      </c>
      <c r="S21" s="33">
        <f>+'Anexo 20'!S21*'Anexo 10'!$D$10</f>
        <v>0</v>
      </c>
      <c r="T21" s="33">
        <f>+'Anexo 20'!T21*'Anexo 10'!$D$10</f>
        <v>0</v>
      </c>
      <c r="U21" s="33">
        <f>+'Anexo 20'!U21*'Anexo 10'!$D$10</f>
        <v>0</v>
      </c>
      <c r="V21" s="33">
        <f>+'Anexo 20'!V21*'Anexo 10'!$D$10</f>
        <v>0</v>
      </c>
      <c r="W21" s="33">
        <f>+'Anexo 20'!W21*'Anexo 10'!$D$10</f>
        <v>0</v>
      </c>
      <c r="X21" s="33">
        <f>+'Anexo 20'!X21*'Anexo 10'!$D$10</f>
        <v>0</v>
      </c>
      <c r="Y21" s="33">
        <f>+'Anexo 20'!Y21*'Anexo 10'!$D$10</f>
        <v>0</v>
      </c>
      <c r="Z21" s="33">
        <f>+'Anexo 20'!Z21*'Anexo 10'!$D$10</f>
        <v>0</v>
      </c>
      <c r="AA21" s="35">
        <f t="shared" si="0"/>
        <v>0</v>
      </c>
      <c r="AB21" s="19">
        <v>20</v>
      </c>
      <c r="AC21" s="100">
        <f>+AA21*AB21+AA22*AB22+AA23*AB23</f>
        <v>0</v>
      </c>
    </row>
    <row r="22" spans="1:30" ht="15.75" thickBot="1" x14ac:dyDescent="0.3">
      <c r="A22" s="99"/>
      <c r="B22" s="20" t="s">
        <v>4</v>
      </c>
      <c r="C22" s="33">
        <f>+'Anexo 20'!C22*'Anexo 10'!$D$10</f>
        <v>0</v>
      </c>
      <c r="D22" s="33">
        <f>+'Anexo 20'!D22*'Anexo 10'!$D$10</f>
        <v>0</v>
      </c>
      <c r="E22" s="33">
        <f>+'Anexo 20'!E22*'Anexo 10'!$D$10</f>
        <v>0</v>
      </c>
      <c r="F22" s="33">
        <f>+'Anexo 20'!F22*'Anexo 10'!$D$10</f>
        <v>0</v>
      </c>
      <c r="G22" s="33">
        <f>+'Anexo 20'!G22*'Anexo 10'!$D$10</f>
        <v>0</v>
      </c>
      <c r="H22" s="33">
        <f>+'Anexo 20'!H22*'Anexo 10'!$D$10</f>
        <v>0</v>
      </c>
      <c r="I22" s="33">
        <f>+'Anexo 20'!I22*'Anexo 10'!$D$10</f>
        <v>0</v>
      </c>
      <c r="J22" s="33">
        <f>+'Anexo 20'!J22*'Anexo 10'!$D$10</f>
        <v>0</v>
      </c>
      <c r="K22" s="33">
        <f>+'Anexo 20'!K22*'Anexo 10'!$D$10</f>
        <v>0</v>
      </c>
      <c r="L22" s="33">
        <f>+'Anexo 20'!L22*'Anexo 10'!$D$10</f>
        <v>0</v>
      </c>
      <c r="M22" s="33">
        <f>+'Anexo 20'!M22*'Anexo 10'!$D$10</f>
        <v>0</v>
      </c>
      <c r="N22" s="33">
        <f>+'Anexo 20'!N22*'Anexo 10'!$D$10</f>
        <v>0</v>
      </c>
      <c r="O22" s="33">
        <f>+'Anexo 20'!O22*'Anexo 10'!$D$10</f>
        <v>0</v>
      </c>
      <c r="P22" s="33">
        <f>+'Anexo 20'!P22*'Anexo 10'!$D$10</f>
        <v>0</v>
      </c>
      <c r="Q22" s="33">
        <f>+'Anexo 20'!Q22*'Anexo 10'!$D$10</f>
        <v>0</v>
      </c>
      <c r="R22" s="33">
        <f>+'Anexo 20'!R22*'Anexo 10'!$D$10</f>
        <v>0</v>
      </c>
      <c r="S22" s="33">
        <f>+'Anexo 20'!S22*'Anexo 10'!$D$10</f>
        <v>0</v>
      </c>
      <c r="T22" s="33">
        <f>+'Anexo 20'!T22*'Anexo 10'!$D$10</f>
        <v>0</v>
      </c>
      <c r="U22" s="33">
        <f>+'Anexo 20'!U22*'Anexo 10'!$D$10</f>
        <v>0</v>
      </c>
      <c r="V22" s="33">
        <f>+'Anexo 20'!V22*'Anexo 10'!$D$10</f>
        <v>0</v>
      </c>
      <c r="W22" s="33">
        <f>+'Anexo 20'!W22*'Anexo 10'!$D$10</f>
        <v>0</v>
      </c>
      <c r="X22" s="33">
        <f>+'Anexo 20'!X22*'Anexo 10'!$D$10</f>
        <v>0</v>
      </c>
      <c r="Y22" s="33">
        <f>+'Anexo 20'!Y22*'Anexo 10'!$D$10</f>
        <v>0</v>
      </c>
      <c r="Z22" s="33">
        <f>+'Anexo 20'!Z22*'Anexo 10'!$D$10</f>
        <v>0</v>
      </c>
      <c r="AA22" s="38">
        <f t="shared" si="0"/>
        <v>0</v>
      </c>
      <c r="AB22" s="21">
        <v>5</v>
      </c>
      <c r="AC22" s="101"/>
      <c r="AD22" s="47"/>
    </row>
    <row r="23" spans="1:30" ht="15.75" thickBot="1" x14ac:dyDescent="0.3">
      <c r="A23" s="99"/>
      <c r="B23" s="22" t="s">
        <v>3</v>
      </c>
      <c r="C23" s="33">
        <f>+'Anexo 20'!C23*'Anexo 10'!$D$10</f>
        <v>0</v>
      </c>
      <c r="D23" s="33">
        <f>+'Anexo 20'!D23*'Anexo 10'!$D$10</f>
        <v>0</v>
      </c>
      <c r="E23" s="33">
        <f>+'Anexo 20'!E23*'Anexo 10'!$D$10</f>
        <v>0</v>
      </c>
      <c r="F23" s="33">
        <f>+'Anexo 20'!F23*'Anexo 10'!$D$10</f>
        <v>0</v>
      </c>
      <c r="G23" s="33">
        <f>+'Anexo 20'!G23*'Anexo 10'!$D$10</f>
        <v>0</v>
      </c>
      <c r="H23" s="33">
        <f>+'Anexo 20'!H23*'Anexo 10'!$D$10</f>
        <v>0</v>
      </c>
      <c r="I23" s="33">
        <f>+'Anexo 20'!I23*'Anexo 10'!$D$10</f>
        <v>0</v>
      </c>
      <c r="J23" s="33">
        <f>+'Anexo 20'!J23*'Anexo 10'!$D$10</f>
        <v>0</v>
      </c>
      <c r="K23" s="33">
        <f>+'Anexo 20'!K23*'Anexo 10'!$D$10</f>
        <v>0</v>
      </c>
      <c r="L23" s="33">
        <f>+'Anexo 20'!L23*'Anexo 10'!$D$10</f>
        <v>0</v>
      </c>
      <c r="M23" s="33">
        <f>+'Anexo 20'!M23*'Anexo 10'!$D$10</f>
        <v>0</v>
      </c>
      <c r="N23" s="33">
        <f>+'Anexo 20'!N23*'Anexo 10'!$D$10</f>
        <v>0</v>
      </c>
      <c r="O23" s="33">
        <f>+'Anexo 20'!O23*'Anexo 10'!$D$10</f>
        <v>0</v>
      </c>
      <c r="P23" s="33">
        <f>+'Anexo 20'!P23*'Anexo 10'!$D$10</f>
        <v>0</v>
      </c>
      <c r="Q23" s="33">
        <f>+'Anexo 20'!Q23*'Anexo 10'!$D$10</f>
        <v>0</v>
      </c>
      <c r="R23" s="33">
        <f>+'Anexo 20'!R23*'Anexo 10'!$D$10</f>
        <v>0</v>
      </c>
      <c r="S23" s="33">
        <f>+'Anexo 20'!S23*'Anexo 10'!$D$10</f>
        <v>0</v>
      </c>
      <c r="T23" s="33">
        <f>+'Anexo 20'!T23*'Anexo 10'!$D$10</f>
        <v>0</v>
      </c>
      <c r="U23" s="33">
        <f>+'Anexo 20'!U23*'Anexo 10'!$D$10</f>
        <v>0</v>
      </c>
      <c r="V23" s="33">
        <f>+'Anexo 20'!V23*'Anexo 10'!$D$10</f>
        <v>0</v>
      </c>
      <c r="W23" s="33">
        <f>+'Anexo 20'!W23*'Anexo 10'!$D$10</f>
        <v>0</v>
      </c>
      <c r="X23" s="33">
        <f>+'Anexo 20'!X23*'Anexo 10'!$D$10</f>
        <v>0</v>
      </c>
      <c r="Y23" s="33">
        <f>+'Anexo 20'!Y23*'Anexo 10'!$D$10</f>
        <v>0</v>
      </c>
      <c r="Z23" s="33">
        <f>+'Anexo 20'!Z23*'Anexo 10'!$D$10</f>
        <v>0</v>
      </c>
      <c r="AA23" s="41">
        <f t="shared" si="0"/>
        <v>0</v>
      </c>
      <c r="AB23" s="23">
        <v>5</v>
      </c>
      <c r="AC23" s="102"/>
      <c r="AD23" s="48"/>
    </row>
    <row r="24" spans="1:30" ht="15.75" thickBot="1" x14ac:dyDescent="0.3">
      <c r="A24" s="99">
        <v>49491</v>
      </c>
      <c r="B24" s="18" t="s">
        <v>5</v>
      </c>
      <c r="C24" s="33">
        <f>+'Anexo 20'!C24*'Anexo 10'!$D$10</f>
        <v>0</v>
      </c>
      <c r="D24" s="33">
        <f>+'Anexo 20'!D24*'Anexo 10'!$D$10</f>
        <v>0</v>
      </c>
      <c r="E24" s="33">
        <f>+'Anexo 20'!E24*'Anexo 10'!$D$10</f>
        <v>0</v>
      </c>
      <c r="F24" s="33">
        <f>+'Anexo 20'!F24*'Anexo 10'!$D$10</f>
        <v>0</v>
      </c>
      <c r="G24" s="33">
        <f>+'Anexo 20'!G24*'Anexo 10'!$D$10</f>
        <v>0</v>
      </c>
      <c r="H24" s="33">
        <f>+'Anexo 20'!H24*'Anexo 10'!$D$10</f>
        <v>0</v>
      </c>
      <c r="I24" s="33">
        <f>+'Anexo 20'!I24*'Anexo 10'!$D$10</f>
        <v>0</v>
      </c>
      <c r="J24" s="33">
        <f>+'Anexo 20'!J24*'Anexo 10'!$D$10</f>
        <v>0</v>
      </c>
      <c r="K24" s="33">
        <f>+'Anexo 20'!K24*'Anexo 10'!$D$10</f>
        <v>0</v>
      </c>
      <c r="L24" s="33">
        <f>+'Anexo 20'!L24*'Anexo 10'!$D$10</f>
        <v>0</v>
      </c>
      <c r="M24" s="33">
        <f>+'Anexo 20'!M24*'Anexo 10'!$D$10</f>
        <v>0</v>
      </c>
      <c r="N24" s="33">
        <f>+'Anexo 20'!N24*'Anexo 10'!$D$10</f>
        <v>0</v>
      </c>
      <c r="O24" s="33">
        <f>+'Anexo 20'!O24*'Anexo 10'!$D$10</f>
        <v>0</v>
      </c>
      <c r="P24" s="33">
        <f>+'Anexo 20'!P24*'Anexo 10'!$D$10</f>
        <v>0</v>
      </c>
      <c r="Q24" s="33">
        <f>+'Anexo 20'!Q24*'Anexo 10'!$D$10</f>
        <v>0</v>
      </c>
      <c r="R24" s="33">
        <f>+'Anexo 20'!R24*'Anexo 10'!$D$10</f>
        <v>0</v>
      </c>
      <c r="S24" s="33">
        <f>+'Anexo 20'!S24*'Anexo 10'!$D$10</f>
        <v>0</v>
      </c>
      <c r="T24" s="33">
        <f>+'Anexo 20'!T24*'Anexo 10'!$D$10</f>
        <v>0</v>
      </c>
      <c r="U24" s="33">
        <f>+'Anexo 20'!U24*'Anexo 10'!$D$10</f>
        <v>0</v>
      </c>
      <c r="V24" s="33">
        <f>+'Anexo 20'!V24*'Anexo 10'!$D$10</f>
        <v>0</v>
      </c>
      <c r="W24" s="33">
        <f>+'Anexo 20'!W24*'Anexo 10'!$D$10</f>
        <v>0</v>
      </c>
      <c r="X24" s="33">
        <f>+'Anexo 20'!X24*'Anexo 10'!$D$10</f>
        <v>0</v>
      </c>
      <c r="Y24" s="33">
        <f>+'Anexo 20'!Y24*'Anexo 10'!$D$10</f>
        <v>0</v>
      </c>
      <c r="Z24" s="33">
        <f>+'Anexo 20'!Z24*'Anexo 10'!$D$10</f>
        <v>0</v>
      </c>
      <c r="AA24" s="35">
        <f t="shared" si="0"/>
        <v>0</v>
      </c>
      <c r="AB24" s="19">
        <v>20</v>
      </c>
      <c r="AC24" s="100">
        <f>+AA24*AB24+AA25*AB25+AA26*AB26</f>
        <v>0</v>
      </c>
    </row>
    <row r="25" spans="1:30" ht="15.75" thickBot="1" x14ac:dyDescent="0.3">
      <c r="A25" s="99"/>
      <c r="B25" s="20" t="s">
        <v>4</v>
      </c>
      <c r="C25" s="33">
        <f>+'Anexo 20'!C25*'Anexo 10'!$D$10</f>
        <v>0</v>
      </c>
      <c r="D25" s="33">
        <f>+'Anexo 20'!D25*'Anexo 10'!$D$10</f>
        <v>0</v>
      </c>
      <c r="E25" s="33">
        <f>+'Anexo 20'!E25*'Anexo 10'!$D$10</f>
        <v>0</v>
      </c>
      <c r="F25" s="33">
        <f>+'Anexo 20'!F25*'Anexo 10'!$D$10</f>
        <v>0</v>
      </c>
      <c r="G25" s="33">
        <f>+'Anexo 20'!G25*'Anexo 10'!$D$10</f>
        <v>0</v>
      </c>
      <c r="H25" s="33">
        <f>+'Anexo 20'!H25*'Anexo 10'!$D$10</f>
        <v>0</v>
      </c>
      <c r="I25" s="33">
        <f>+'Anexo 20'!I25*'Anexo 10'!$D$10</f>
        <v>0</v>
      </c>
      <c r="J25" s="33">
        <f>+'Anexo 20'!J25*'Anexo 10'!$D$10</f>
        <v>0</v>
      </c>
      <c r="K25" s="33">
        <f>+'Anexo 20'!K25*'Anexo 10'!$D$10</f>
        <v>0</v>
      </c>
      <c r="L25" s="33">
        <f>+'Anexo 20'!L25*'Anexo 10'!$D$10</f>
        <v>0</v>
      </c>
      <c r="M25" s="33">
        <f>+'Anexo 20'!M25*'Anexo 10'!$D$10</f>
        <v>0</v>
      </c>
      <c r="N25" s="33">
        <f>+'Anexo 20'!N25*'Anexo 10'!$D$10</f>
        <v>0</v>
      </c>
      <c r="O25" s="33">
        <f>+'Anexo 20'!O25*'Anexo 10'!$D$10</f>
        <v>0</v>
      </c>
      <c r="P25" s="33">
        <f>+'Anexo 20'!P25*'Anexo 10'!$D$10</f>
        <v>0</v>
      </c>
      <c r="Q25" s="33">
        <f>+'Anexo 20'!Q25*'Anexo 10'!$D$10</f>
        <v>0</v>
      </c>
      <c r="R25" s="33">
        <f>+'Anexo 20'!R25*'Anexo 10'!$D$10</f>
        <v>0</v>
      </c>
      <c r="S25" s="33">
        <f>+'Anexo 20'!S25*'Anexo 10'!$D$10</f>
        <v>0</v>
      </c>
      <c r="T25" s="33">
        <f>+'Anexo 20'!T25*'Anexo 10'!$D$10</f>
        <v>0</v>
      </c>
      <c r="U25" s="33">
        <f>+'Anexo 20'!U25*'Anexo 10'!$D$10</f>
        <v>0</v>
      </c>
      <c r="V25" s="33">
        <f>+'Anexo 20'!V25*'Anexo 10'!$D$10</f>
        <v>0</v>
      </c>
      <c r="W25" s="33">
        <f>+'Anexo 20'!W25*'Anexo 10'!$D$10</f>
        <v>0</v>
      </c>
      <c r="X25" s="33">
        <f>+'Anexo 20'!X25*'Anexo 10'!$D$10</f>
        <v>0</v>
      </c>
      <c r="Y25" s="33">
        <f>+'Anexo 20'!Y25*'Anexo 10'!$D$10</f>
        <v>0</v>
      </c>
      <c r="Z25" s="33">
        <f>+'Anexo 20'!Z25*'Anexo 10'!$D$10</f>
        <v>0</v>
      </c>
      <c r="AA25" s="38">
        <f t="shared" si="0"/>
        <v>0</v>
      </c>
      <c r="AB25" s="21">
        <v>4</v>
      </c>
      <c r="AC25" s="101"/>
      <c r="AD25" s="47"/>
    </row>
    <row r="26" spans="1:30" ht="15.75" thickBot="1" x14ac:dyDescent="0.3">
      <c r="A26" s="99"/>
      <c r="B26" s="22" t="s">
        <v>3</v>
      </c>
      <c r="C26" s="33">
        <f>+'Anexo 20'!C26*'Anexo 10'!$D$10</f>
        <v>0</v>
      </c>
      <c r="D26" s="33">
        <f>+'Anexo 20'!D26*'Anexo 10'!$D$10</f>
        <v>0</v>
      </c>
      <c r="E26" s="33">
        <f>+'Anexo 20'!E26*'Anexo 10'!$D$10</f>
        <v>0</v>
      </c>
      <c r="F26" s="33">
        <f>+'Anexo 20'!F26*'Anexo 10'!$D$10</f>
        <v>0</v>
      </c>
      <c r="G26" s="33">
        <f>+'Anexo 20'!G26*'Anexo 10'!$D$10</f>
        <v>0</v>
      </c>
      <c r="H26" s="33">
        <f>+'Anexo 20'!H26*'Anexo 10'!$D$10</f>
        <v>0</v>
      </c>
      <c r="I26" s="33">
        <f>+'Anexo 20'!I26*'Anexo 10'!$D$10</f>
        <v>0</v>
      </c>
      <c r="J26" s="33">
        <f>+'Anexo 20'!J26*'Anexo 10'!$D$10</f>
        <v>0</v>
      </c>
      <c r="K26" s="33">
        <f>+'Anexo 20'!K26*'Anexo 10'!$D$10</f>
        <v>0</v>
      </c>
      <c r="L26" s="33">
        <f>+'Anexo 20'!L26*'Anexo 10'!$D$10</f>
        <v>0</v>
      </c>
      <c r="M26" s="33">
        <f>+'Anexo 20'!M26*'Anexo 10'!$D$10</f>
        <v>0</v>
      </c>
      <c r="N26" s="33">
        <f>+'Anexo 20'!N26*'Anexo 10'!$D$10</f>
        <v>0</v>
      </c>
      <c r="O26" s="33">
        <f>+'Anexo 20'!O26*'Anexo 10'!$D$10</f>
        <v>0</v>
      </c>
      <c r="P26" s="33">
        <f>+'Anexo 20'!P26*'Anexo 10'!$D$10</f>
        <v>0</v>
      </c>
      <c r="Q26" s="33">
        <f>+'Anexo 20'!Q26*'Anexo 10'!$D$10</f>
        <v>0</v>
      </c>
      <c r="R26" s="33">
        <f>+'Anexo 20'!R26*'Anexo 10'!$D$10</f>
        <v>0</v>
      </c>
      <c r="S26" s="33">
        <f>+'Anexo 20'!S26*'Anexo 10'!$D$10</f>
        <v>0</v>
      </c>
      <c r="T26" s="33">
        <f>+'Anexo 20'!T26*'Anexo 10'!$D$10</f>
        <v>0</v>
      </c>
      <c r="U26" s="33">
        <f>+'Anexo 20'!U26*'Anexo 10'!$D$10</f>
        <v>0</v>
      </c>
      <c r="V26" s="33">
        <f>+'Anexo 20'!V26*'Anexo 10'!$D$10</f>
        <v>0</v>
      </c>
      <c r="W26" s="33">
        <f>+'Anexo 20'!W26*'Anexo 10'!$D$10</f>
        <v>0</v>
      </c>
      <c r="X26" s="33">
        <f>+'Anexo 20'!X26*'Anexo 10'!$D$10</f>
        <v>0</v>
      </c>
      <c r="Y26" s="33">
        <f>+'Anexo 20'!Y26*'Anexo 10'!$D$10</f>
        <v>0</v>
      </c>
      <c r="Z26" s="33">
        <f>+'Anexo 20'!Z26*'Anexo 10'!$D$10</f>
        <v>0</v>
      </c>
      <c r="AA26" s="41">
        <f t="shared" si="0"/>
        <v>0</v>
      </c>
      <c r="AB26" s="23">
        <v>7</v>
      </c>
      <c r="AC26" s="102"/>
      <c r="AD26" s="48"/>
    </row>
    <row r="27" spans="1:30" ht="15.75" thickBot="1" x14ac:dyDescent="0.3">
      <c r="A27" s="99">
        <v>49522</v>
      </c>
      <c r="B27" s="18" t="s">
        <v>5</v>
      </c>
      <c r="C27" s="33">
        <f>+'Anexo 20'!C27*'Anexo 10'!$D$10</f>
        <v>0</v>
      </c>
      <c r="D27" s="33">
        <f>+'Anexo 20'!D27*'Anexo 10'!$D$10</f>
        <v>0</v>
      </c>
      <c r="E27" s="33">
        <f>+'Anexo 20'!E27*'Anexo 10'!$D$10</f>
        <v>0</v>
      </c>
      <c r="F27" s="33">
        <f>+'Anexo 20'!F27*'Anexo 10'!$D$10</f>
        <v>0</v>
      </c>
      <c r="G27" s="33">
        <f>+'Anexo 20'!G27*'Anexo 10'!$D$10</f>
        <v>0</v>
      </c>
      <c r="H27" s="33">
        <f>+'Anexo 20'!H27*'Anexo 10'!$D$10</f>
        <v>0</v>
      </c>
      <c r="I27" s="33">
        <f>+'Anexo 20'!I27*'Anexo 10'!$D$10</f>
        <v>0</v>
      </c>
      <c r="J27" s="33">
        <f>+'Anexo 20'!J27*'Anexo 10'!$D$10</f>
        <v>0</v>
      </c>
      <c r="K27" s="33">
        <f>+'Anexo 20'!K27*'Anexo 10'!$D$10</f>
        <v>0</v>
      </c>
      <c r="L27" s="33">
        <f>+'Anexo 20'!L27*'Anexo 10'!$D$10</f>
        <v>0</v>
      </c>
      <c r="M27" s="33">
        <f>+'Anexo 20'!M27*'Anexo 10'!$D$10</f>
        <v>0</v>
      </c>
      <c r="N27" s="33">
        <f>+'Anexo 20'!N27*'Anexo 10'!$D$10</f>
        <v>0</v>
      </c>
      <c r="O27" s="33">
        <f>+'Anexo 20'!O27*'Anexo 10'!$D$10</f>
        <v>0</v>
      </c>
      <c r="P27" s="33">
        <f>+'Anexo 20'!P27*'Anexo 10'!$D$10</f>
        <v>0</v>
      </c>
      <c r="Q27" s="33">
        <f>+'Anexo 20'!Q27*'Anexo 10'!$D$10</f>
        <v>0</v>
      </c>
      <c r="R27" s="33">
        <f>+'Anexo 20'!R27*'Anexo 10'!$D$10</f>
        <v>0</v>
      </c>
      <c r="S27" s="33">
        <f>+'Anexo 20'!S27*'Anexo 10'!$D$10</f>
        <v>0</v>
      </c>
      <c r="T27" s="33">
        <f>+'Anexo 20'!T27*'Anexo 10'!$D$10</f>
        <v>0</v>
      </c>
      <c r="U27" s="33">
        <f>+'Anexo 20'!U27*'Anexo 10'!$D$10</f>
        <v>0</v>
      </c>
      <c r="V27" s="33">
        <f>+'Anexo 20'!V27*'Anexo 10'!$D$10</f>
        <v>0</v>
      </c>
      <c r="W27" s="33">
        <f>+'Anexo 20'!W27*'Anexo 10'!$D$10</f>
        <v>0</v>
      </c>
      <c r="X27" s="33">
        <f>+'Anexo 20'!X27*'Anexo 10'!$D$10</f>
        <v>0</v>
      </c>
      <c r="Y27" s="33">
        <f>+'Anexo 20'!Y27*'Anexo 10'!$D$10</f>
        <v>0</v>
      </c>
      <c r="Z27" s="33">
        <f>+'Anexo 20'!Z27*'Anexo 10'!$D$10</f>
        <v>0</v>
      </c>
      <c r="AA27" s="35">
        <f t="shared" si="0"/>
        <v>0</v>
      </c>
      <c r="AB27" s="19">
        <v>21</v>
      </c>
      <c r="AC27" s="100">
        <f>+AA27*AB27+AA28*AB28+AA29*AB29</f>
        <v>0</v>
      </c>
    </row>
    <row r="28" spans="1:30" ht="15.75" thickBot="1" x14ac:dyDescent="0.3">
      <c r="A28" s="99"/>
      <c r="B28" s="20" t="s">
        <v>4</v>
      </c>
      <c r="C28" s="33">
        <f>+'Anexo 20'!C28*'Anexo 10'!$D$10</f>
        <v>0</v>
      </c>
      <c r="D28" s="33">
        <f>+'Anexo 20'!D28*'Anexo 10'!$D$10</f>
        <v>0</v>
      </c>
      <c r="E28" s="33">
        <f>+'Anexo 20'!E28*'Anexo 10'!$D$10</f>
        <v>0</v>
      </c>
      <c r="F28" s="33">
        <f>+'Anexo 20'!F28*'Anexo 10'!$D$10</f>
        <v>0</v>
      </c>
      <c r="G28" s="33">
        <f>+'Anexo 20'!G28*'Anexo 10'!$D$10</f>
        <v>0</v>
      </c>
      <c r="H28" s="33">
        <f>+'Anexo 20'!H28*'Anexo 10'!$D$10</f>
        <v>0</v>
      </c>
      <c r="I28" s="33">
        <f>+'Anexo 20'!I28*'Anexo 10'!$D$10</f>
        <v>0</v>
      </c>
      <c r="J28" s="33">
        <f>+'Anexo 20'!J28*'Anexo 10'!$D$10</f>
        <v>0</v>
      </c>
      <c r="K28" s="33">
        <f>+'Anexo 20'!K28*'Anexo 10'!$D$10</f>
        <v>0</v>
      </c>
      <c r="L28" s="33">
        <f>+'Anexo 20'!L28*'Anexo 10'!$D$10</f>
        <v>0</v>
      </c>
      <c r="M28" s="33">
        <f>+'Anexo 20'!M28*'Anexo 10'!$D$10</f>
        <v>0</v>
      </c>
      <c r="N28" s="33">
        <f>+'Anexo 20'!N28*'Anexo 10'!$D$10</f>
        <v>0</v>
      </c>
      <c r="O28" s="33">
        <f>+'Anexo 20'!O28*'Anexo 10'!$D$10</f>
        <v>0</v>
      </c>
      <c r="P28" s="33">
        <f>+'Anexo 20'!P28*'Anexo 10'!$D$10</f>
        <v>0</v>
      </c>
      <c r="Q28" s="33">
        <f>+'Anexo 20'!Q28*'Anexo 10'!$D$10</f>
        <v>0</v>
      </c>
      <c r="R28" s="33">
        <f>+'Anexo 20'!R28*'Anexo 10'!$D$10</f>
        <v>0</v>
      </c>
      <c r="S28" s="33">
        <f>+'Anexo 20'!S28*'Anexo 10'!$D$10</f>
        <v>0</v>
      </c>
      <c r="T28" s="33">
        <f>+'Anexo 20'!T28*'Anexo 10'!$D$10</f>
        <v>0</v>
      </c>
      <c r="U28" s="33">
        <f>+'Anexo 20'!U28*'Anexo 10'!$D$10</f>
        <v>0</v>
      </c>
      <c r="V28" s="33">
        <f>+'Anexo 20'!V28*'Anexo 10'!$D$10</f>
        <v>0</v>
      </c>
      <c r="W28" s="33">
        <f>+'Anexo 20'!W28*'Anexo 10'!$D$10</f>
        <v>0</v>
      </c>
      <c r="X28" s="33">
        <f>+'Anexo 20'!X28*'Anexo 10'!$D$10</f>
        <v>0</v>
      </c>
      <c r="Y28" s="33">
        <f>+'Anexo 20'!Y28*'Anexo 10'!$D$10</f>
        <v>0</v>
      </c>
      <c r="Z28" s="33">
        <f>+'Anexo 20'!Z28*'Anexo 10'!$D$10</f>
        <v>0</v>
      </c>
      <c r="AA28" s="38">
        <f t="shared" si="0"/>
        <v>0</v>
      </c>
      <c r="AB28" s="21">
        <v>4</v>
      </c>
      <c r="AC28" s="101"/>
      <c r="AD28" s="47"/>
    </row>
    <row r="29" spans="1:30" ht="15.75" thickBot="1" x14ac:dyDescent="0.3">
      <c r="A29" s="99"/>
      <c r="B29" s="22" t="s">
        <v>3</v>
      </c>
      <c r="C29" s="33">
        <f>+'Anexo 20'!C29*'Anexo 10'!$D$10</f>
        <v>0</v>
      </c>
      <c r="D29" s="33">
        <f>+'Anexo 20'!D29*'Anexo 10'!$D$10</f>
        <v>0</v>
      </c>
      <c r="E29" s="33">
        <f>+'Anexo 20'!E29*'Anexo 10'!$D$10</f>
        <v>0</v>
      </c>
      <c r="F29" s="33">
        <f>+'Anexo 20'!F29*'Anexo 10'!$D$10</f>
        <v>0</v>
      </c>
      <c r="G29" s="33">
        <f>+'Anexo 20'!G29*'Anexo 10'!$D$10</f>
        <v>0</v>
      </c>
      <c r="H29" s="33">
        <f>+'Anexo 20'!H29*'Anexo 10'!$D$10</f>
        <v>0</v>
      </c>
      <c r="I29" s="33">
        <f>+'Anexo 20'!I29*'Anexo 10'!$D$10</f>
        <v>0</v>
      </c>
      <c r="J29" s="33">
        <f>+'Anexo 20'!J29*'Anexo 10'!$D$10</f>
        <v>0</v>
      </c>
      <c r="K29" s="33">
        <f>+'Anexo 20'!K29*'Anexo 10'!$D$10</f>
        <v>0</v>
      </c>
      <c r="L29" s="33">
        <f>+'Anexo 20'!L29*'Anexo 10'!$D$10</f>
        <v>0</v>
      </c>
      <c r="M29" s="33">
        <f>+'Anexo 20'!M29*'Anexo 10'!$D$10</f>
        <v>0</v>
      </c>
      <c r="N29" s="33">
        <f>+'Anexo 20'!N29*'Anexo 10'!$D$10</f>
        <v>0</v>
      </c>
      <c r="O29" s="33">
        <f>+'Anexo 20'!O29*'Anexo 10'!$D$10</f>
        <v>0</v>
      </c>
      <c r="P29" s="33">
        <f>+'Anexo 20'!P29*'Anexo 10'!$D$10</f>
        <v>0</v>
      </c>
      <c r="Q29" s="33">
        <f>+'Anexo 20'!Q29*'Anexo 10'!$D$10</f>
        <v>0</v>
      </c>
      <c r="R29" s="33">
        <f>+'Anexo 20'!R29*'Anexo 10'!$D$10</f>
        <v>0</v>
      </c>
      <c r="S29" s="33">
        <f>+'Anexo 20'!S29*'Anexo 10'!$D$10</f>
        <v>0</v>
      </c>
      <c r="T29" s="33">
        <f>+'Anexo 20'!T29*'Anexo 10'!$D$10</f>
        <v>0</v>
      </c>
      <c r="U29" s="33">
        <f>+'Anexo 20'!U29*'Anexo 10'!$D$10</f>
        <v>0</v>
      </c>
      <c r="V29" s="33">
        <f>+'Anexo 20'!V29*'Anexo 10'!$D$10</f>
        <v>0</v>
      </c>
      <c r="W29" s="33">
        <f>+'Anexo 20'!W29*'Anexo 10'!$D$10</f>
        <v>0</v>
      </c>
      <c r="X29" s="33">
        <f>+'Anexo 20'!X29*'Anexo 10'!$D$10</f>
        <v>0</v>
      </c>
      <c r="Y29" s="33">
        <f>+'Anexo 20'!Y29*'Anexo 10'!$D$10</f>
        <v>0</v>
      </c>
      <c r="Z29" s="33">
        <f>+'Anexo 20'!Z29*'Anexo 10'!$D$10</f>
        <v>0</v>
      </c>
      <c r="AA29" s="41">
        <f t="shared" si="0"/>
        <v>0</v>
      </c>
      <c r="AB29" s="23">
        <v>6</v>
      </c>
      <c r="AC29" s="102"/>
      <c r="AD29" s="49"/>
    </row>
    <row r="30" spans="1:30" ht="15.75" thickBot="1" x14ac:dyDescent="0.3">
      <c r="A30" s="99">
        <v>49553</v>
      </c>
      <c r="B30" s="18" t="s">
        <v>5</v>
      </c>
      <c r="C30" s="33">
        <f>+'Anexo 20'!C30*'Anexo 10'!$D$10</f>
        <v>0</v>
      </c>
      <c r="D30" s="33">
        <f>+'Anexo 20'!D30*'Anexo 10'!$D$10</f>
        <v>0</v>
      </c>
      <c r="E30" s="33">
        <f>+'Anexo 20'!E30*'Anexo 10'!$D$10</f>
        <v>0</v>
      </c>
      <c r="F30" s="33">
        <f>+'Anexo 20'!F30*'Anexo 10'!$D$10</f>
        <v>0</v>
      </c>
      <c r="G30" s="33">
        <f>+'Anexo 20'!G30*'Anexo 10'!$D$10</f>
        <v>0</v>
      </c>
      <c r="H30" s="33">
        <f>+'Anexo 20'!H30*'Anexo 10'!$D$10</f>
        <v>0</v>
      </c>
      <c r="I30" s="33">
        <f>+'Anexo 20'!I30*'Anexo 10'!$D$10</f>
        <v>0</v>
      </c>
      <c r="J30" s="33">
        <f>+'Anexo 20'!J30*'Anexo 10'!$D$10</f>
        <v>0</v>
      </c>
      <c r="K30" s="33">
        <f>+'Anexo 20'!K30*'Anexo 10'!$D$10</f>
        <v>0</v>
      </c>
      <c r="L30" s="33">
        <f>+'Anexo 20'!L30*'Anexo 10'!$D$10</f>
        <v>0</v>
      </c>
      <c r="M30" s="33">
        <f>+'Anexo 20'!M30*'Anexo 10'!$D$10</f>
        <v>0</v>
      </c>
      <c r="N30" s="33">
        <f>+'Anexo 20'!N30*'Anexo 10'!$D$10</f>
        <v>0</v>
      </c>
      <c r="O30" s="33">
        <f>+'Anexo 20'!O30*'Anexo 10'!$D$10</f>
        <v>0</v>
      </c>
      <c r="P30" s="33">
        <f>+'Anexo 20'!P30*'Anexo 10'!$D$10</f>
        <v>0</v>
      </c>
      <c r="Q30" s="33">
        <f>+'Anexo 20'!Q30*'Anexo 10'!$D$10</f>
        <v>0</v>
      </c>
      <c r="R30" s="33">
        <f>+'Anexo 20'!R30*'Anexo 10'!$D$10</f>
        <v>0</v>
      </c>
      <c r="S30" s="33">
        <f>+'Anexo 20'!S30*'Anexo 10'!$D$10</f>
        <v>0</v>
      </c>
      <c r="T30" s="33">
        <f>+'Anexo 20'!T30*'Anexo 10'!$D$10</f>
        <v>0</v>
      </c>
      <c r="U30" s="33">
        <f>+'Anexo 20'!U30*'Anexo 10'!$D$10</f>
        <v>0</v>
      </c>
      <c r="V30" s="33">
        <f>+'Anexo 20'!V30*'Anexo 10'!$D$10</f>
        <v>0</v>
      </c>
      <c r="W30" s="33">
        <f>+'Anexo 20'!W30*'Anexo 10'!$D$10</f>
        <v>0</v>
      </c>
      <c r="X30" s="33">
        <f>+'Anexo 20'!X30*'Anexo 10'!$D$10</f>
        <v>0</v>
      </c>
      <c r="Y30" s="33">
        <f>+'Anexo 20'!Y30*'Anexo 10'!$D$10</f>
        <v>0</v>
      </c>
      <c r="Z30" s="33">
        <f>+'Anexo 20'!Z30*'Anexo 10'!$D$10</f>
        <v>0</v>
      </c>
      <c r="AA30" s="35">
        <f t="shared" si="0"/>
        <v>0</v>
      </c>
      <c r="AB30" s="19">
        <v>20</v>
      </c>
      <c r="AC30" s="100">
        <f>+AA30*AB30+AA31*AB31+AA32*AB32</f>
        <v>0</v>
      </c>
    </row>
    <row r="31" spans="1:30" ht="15.75" thickBot="1" x14ac:dyDescent="0.3">
      <c r="A31" s="99"/>
      <c r="B31" s="20" t="s">
        <v>4</v>
      </c>
      <c r="C31" s="33">
        <f>+'Anexo 20'!C31*'Anexo 10'!$D$10</f>
        <v>0</v>
      </c>
      <c r="D31" s="33">
        <f>+'Anexo 20'!D31*'Anexo 10'!$D$10</f>
        <v>0</v>
      </c>
      <c r="E31" s="33">
        <f>+'Anexo 20'!E31*'Anexo 10'!$D$10</f>
        <v>0</v>
      </c>
      <c r="F31" s="33">
        <f>+'Anexo 20'!F31*'Anexo 10'!$D$10</f>
        <v>0</v>
      </c>
      <c r="G31" s="33">
        <f>+'Anexo 20'!G31*'Anexo 10'!$D$10</f>
        <v>0</v>
      </c>
      <c r="H31" s="33">
        <f>+'Anexo 20'!H31*'Anexo 10'!$D$10</f>
        <v>0</v>
      </c>
      <c r="I31" s="33">
        <f>+'Anexo 20'!I31*'Anexo 10'!$D$10</f>
        <v>0</v>
      </c>
      <c r="J31" s="33">
        <f>+'Anexo 20'!J31*'Anexo 10'!$D$10</f>
        <v>0</v>
      </c>
      <c r="K31" s="33">
        <f>+'Anexo 20'!K31*'Anexo 10'!$D$10</f>
        <v>0</v>
      </c>
      <c r="L31" s="33">
        <f>+'Anexo 20'!L31*'Anexo 10'!$D$10</f>
        <v>0</v>
      </c>
      <c r="M31" s="33">
        <f>+'Anexo 20'!M31*'Anexo 10'!$D$10</f>
        <v>0</v>
      </c>
      <c r="N31" s="33">
        <f>+'Anexo 20'!N31*'Anexo 10'!$D$10</f>
        <v>0</v>
      </c>
      <c r="O31" s="33">
        <f>+'Anexo 20'!O31*'Anexo 10'!$D$10</f>
        <v>0</v>
      </c>
      <c r="P31" s="33">
        <f>+'Anexo 20'!P31*'Anexo 10'!$D$10</f>
        <v>0</v>
      </c>
      <c r="Q31" s="33">
        <f>+'Anexo 20'!Q31*'Anexo 10'!$D$10</f>
        <v>0</v>
      </c>
      <c r="R31" s="33">
        <f>+'Anexo 20'!R31*'Anexo 10'!$D$10</f>
        <v>0</v>
      </c>
      <c r="S31" s="33">
        <f>+'Anexo 20'!S31*'Anexo 10'!$D$10</f>
        <v>0</v>
      </c>
      <c r="T31" s="33">
        <f>+'Anexo 20'!T31*'Anexo 10'!$D$10</f>
        <v>0</v>
      </c>
      <c r="U31" s="33">
        <f>+'Anexo 20'!U31*'Anexo 10'!$D$10</f>
        <v>0</v>
      </c>
      <c r="V31" s="33">
        <f>+'Anexo 20'!V31*'Anexo 10'!$D$10</f>
        <v>0</v>
      </c>
      <c r="W31" s="33">
        <f>+'Anexo 20'!W31*'Anexo 10'!$D$10</f>
        <v>0</v>
      </c>
      <c r="X31" s="33">
        <f>+'Anexo 20'!X31*'Anexo 10'!$D$10</f>
        <v>0</v>
      </c>
      <c r="Y31" s="33">
        <f>+'Anexo 20'!Y31*'Anexo 10'!$D$10</f>
        <v>0</v>
      </c>
      <c r="Z31" s="33">
        <f>+'Anexo 20'!Z31*'Anexo 10'!$D$10</f>
        <v>0</v>
      </c>
      <c r="AA31" s="38">
        <f t="shared" si="0"/>
        <v>0</v>
      </c>
      <c r="AB31" s="21">
        <v>5</v>
      </c>
      <c r="AC31" s="101"/>
      <c r="AD31" s="47"/>
    </row>
    <row r="32" spans="1:30" ht="15.75" thickBot="1" x14ac:dyDescent="0.3">
      <c r="A32" s="99"/>
      <c r="B32" s="22" t="s">
        <v>3</v>
      </c>
      <c r="C32" s="33">
        <f>+'Anexo 20'!C32*'Anexo 10'!$D$10</f>
        <v>0</v>
      </c>
      <c r="D32" s="33">
        <f>+'Anexo 20'!D32*'Anexo 10'!$D$10</f>
        <v>0</v>
      </c>
      <c r="E32" s="33">
        <f>+'Anexo 20'!E32*'Anexo 10'!$D$10</f>
        <v>0</v>
      </c>
      <c r="F32" s="33">
        <f>+'Anexo 20'!F32*'Anexo 10'!$D$10</f>
        <v>0</v>
      </c>
      <c r="G32" s="33">
        <f>+'Anexo 20'!G32*'Anexo 10'!$D$10</f>
        <v>0</v>
      </c>
      <c r="H32" s="33">
        <f>+'Anexo 20'!H32*'Anexo 10'!$D$10</f>
        <v>0</v>
      </c>
      <c r="I32" s="33">
        <f>+'Anexo 20'!I32*'Anexo 10'!$D$10</f>
        <v>0</v>
      </c>
      <c r="J32" s="33">
        <f>+'Anexo 20'!J32*'Anexo 10'!$D$10</f>
        <v>0</v>
      </c>
      <c r="K32" s="33">
        <f>+'Anexo 20'!K32*'Anexo 10'!$D$10</f>
        <v>0</v>
      </c>
      <c r="L32" s="33">
        <f>+'Anexo 20'!L32*'Anexo 10'!$D$10</f>
        <v>0</v>
      </c>
      <c r="M32" s="33">
        <f>+'Anexo 20'!M32*'Anexo 10'!$D$10</f>
        <v>0</v>
      </c>
      <c r="N32" s="33">
        <f>+'Anexo 20'!N32*'Anexo 10'!$D$10</f>
        <v>0</v>
      </c>
      <c r="O32" s="33">
        <f>+'Anexo 20'!O32*'Anexo 10'!$D$10</f>
        <v>0</v>
      </c>
      <c r="P32" s="33">
        <f>+'Anexo 20'!P32*'Anexo 10'!$D$10</f>
        <v>0</v>
      </c>
      <c r="Q32" s="33">
        <f>+'Anexo 20'!Q32*'Anexo 10'!$D$10</f>
        <v>0</v>
      </c>
      <c r="R32" s="33">
        <f>+'Anexo 20'!R32*'Anexo 10'!$D$10</f>
        <v>0</v>
      </c>
      <c r="S32" s="33">
        <f>+'Anexo 20'!S32*'Anexo 10'!$D$10</f>
        <v>0</v>
      </c>
      <c r="T32" s="33">
        <f>+'Anexo 20'!T32*'Anexo 10'!$D$10</f>
        <v>0</v>
      </c>
      <c r="U32" s="33">
        <f>+'Anexo 20'!U32*'Anexo 10'!$D$10</f>
        <v>0</v>
      </c>
      <c r="V32" s="33">
        <f>+'Anexo 20'!V32*'Anexo 10'!$D$10</f>
        <v>0</v>
      </c>
      <c r="W32" s="33">
        <f>+'Anexo 20'!W32*'Anexo 10'!$D$10</f>
        <v>0</v>
      </c>
      <c r="X32" s="33">
        <f>+'Anexo 20'!X32*'Anexo 10'!$D$10</f>
        <v>0</v>
      </c>
      <c r="Y32" s="33">
        <f>+'Anexo 20'!Y32*'Anexo 10'!$D$10</f>
        <v>0</v>
      </c>
      <c r="Z32" s="33">
        <f>+'Anexo 20'!Z32*'Anexo 10'!$D$10</f>
        <v>0</v>
      </c>
      <c r="AA32" s="41">
        <f t="shared" si="0"/>
        <v>0</v>
      </c>
      <c r="AB32" s="23">
        <v>5</v>
      </c>
      <c r="AC32" s="102"/>
      <c r="AD32" s="48"/>
    </row>
    <row r="33" spans="1:30" ht="15.75" thickBot="1" x14ac:dyDescent="0.3">
      <c r="A33" s="99">
        <v>49583</v>
      </c>
      <c r="B33" s="18" t="s">
        <v>5</v>
      </c>
      <c r="C33" s="33">
        <f>+'Anexo 20'!C33*'Anexo 10'!$D$10</f>
        <v>0</v>
      </c>
      <c r="D33" s="33">
        <f>+'Anexo 20'!D33*'Anexo 10'!$D$10</f>
        <v>0</v>
      </c>
      <c r="E33" s="33">
        <f>+'Anexo 20'!E33*'Anexo 10'!$D$10</f>
        <v>0</v>
      </c>
      <c r="F33" s="33">
        <f>+'Anexo 20'!F33*'Anexo 10'!$D$10</f>
        <v>0</v>
      </c>
      <c r="G33" s="33">
        <f>+'Anexo 20'!G33*'Anexo 10'!$D$10</f>
        <v>0</v>
      </c>
      <c r="H33" s="33">
        <f>+'Anexo 20'!H33*'Anexo 10'!$D$10</f>
        <v>0</v>
      </c>
      <c r="I33" s="33">
        <f>+'Anexo 20'!I33*'Anexo 10'!$D$10</f>
        <v>0</v>
      </c>
      <c r="J33" s="33">
        <f>+'Anexo 20'!J33*'Anexo 10'!$D$10</f>
        <v>0</v>
      </c>
      <c r="K33" s="33">
        <f>+'Anexo 20'!K33*'Anexo 10'!$D$10</f>
        <v>0</v>
      </c>
      <c r="L33" s="33">
        <f>+'Anexo 20'!L33*'Anexo 10'!$D$10</f>
        <v>0</v>
      </c>
      <c r="M33" s="33">
        <f>+'Anexo 20'!M33*'Anexo 10'!$D$10</f>
        <v>0</v>
      </c>
      <c r="N33" s="33">
        <f>+'Anexo 20'!N33*'Anexo 10'!$D$10</f>
        <v>0</v>
      </c>
      <c r="O33" s="33">
        <f>+'Anexo 20'!O33*'Anexo 10'!$D$10</f>
        <v>0</v>
      </c>
      <c r="P33" s="33">
        <f>+'Anexo 20'!P33*'Anexo 10'!$D$10</f>
        <v>0</v>
      </c>
      <c r="Q33" s="33">
        <f>+'Anexo 20'!Q33*'Anexo 10'!$D$10</f>
        <v>0</v>
      </c>
      <c r="R33" s="33">
        <f>+'Anexo 20'!R33*'Anexo 10'!$D$10</f>
        <v>0</v>
      </c>
      <c r="S33" s="33">
        <f>+'Anexo 20'!S33*'Anexo 10'!$D$10</f>
        <v>0</v>
      </c>
      <c r="T33" s="33">
        <f>+'Anexo 20'!T33*'Anexo 10'!$D$10</f>
        <v>0</v>
      </c>
      <c r="U33" s="33">
        <f>+'Anexo 20'!U33*'Anexo 10'!$D$10</f>
        <v>0</v>
      </c>
      <c r="V33" s="33">
        <f>+'Anexo 20'!V33*'Anexo 10'!$D$10</f>
        <v>0</v>
      </c>
      <c r="W33" s="33">
        <f>+'Anexo 20'!W33*'Anexo 10'!$D$10</f>
        <v>0</v>
      </c>
      <c r="X33" s="33">
        <f>+'Anexo 20'!X33*'Anexo 10'!$D$10</f>
        <v>0</v>
      </c>
      <c r="Y33" s="33">
        <f>+'Anexo 20'!Y33*'Anexo 10'!$D$10</f>
        <v>0</v>
      </c>
      <c r="Z33" s="33">
        <f>+'Anexo 20'!Z33*'Anexo 10'!$D$10</f>
        <v>0</v>
      </c>
      <c r="AA33" s="35">
        <f t="shared" si="0"/>
        <v>0</v>
      </c>
      <c r="AB33" s="19">
        <v>22</v>
      </c>
      <c r="AC33" s="100">
        <f>+AA33*AB33+AA34*AB34+AA35*AB35</f>
        <v>0</v>
      </c>
    </row>
    <row r="34" spans="1:30" ht="15.75" thickBot="1" x14ac:dyDescent="0.3">
      <c r="A34" s="99"/>
      <c r="B34" s="20" t="s">
        <v>4</v>
      </c>
      <c r="C34" s="33">
        <f>+'Anexo 20'!C34*'Anexo 10'!$D$10</f>
        <v>0</v>
      </c>
      <c r="D34" s="33">
        <f>+'Anexo 20'!D34*'Anexo 10'!$D$10</f>
        <v>0</v>
      </c>
      <c r="E34" s="33">
        <f>+'Anexo 20'!E34*'Anexo 10'!$D$10</f>
        <v>0</v>
      </c>
      <c r="F34" s="33">
        <f>+'Anexo 20'!F34*'Anexo 10'!$D$10</f>
        <v>0</v>
      </c>
      <c r="G34" s="33">
        <f>+'Anexo 20'!G34*'Anexo 10'!$D$10</f>
        <v>0</v>
      </c>
      <c r="H34" s="33">
        <f>+'Anexo 20'!H34*'Anexo 10'!$D$10</f>
        <v>0</v>
      </c>
      <c r="I34" s="33">
        <f>+'Anexo 20'!I34*'Anexo 10'!$D$10</f>
        <v>0</v>
      </c>
      <c r="J34" s="33">
        <f>+'Anexo 20'!J34*'Anexo 10'!$D$10</f>
        <v>0</v>
      </c>
      <c r="K34" s="33">
        <f>+'Anexo 20'!K34*'Anexo 10'!$D$10</f>
        <v>0</v>
      </c>
      <c r="L34" s="33">
        <f>+'Anexo 20'!L34*'Anexo 10'!$D$10</f>
        <v>0</v>
      </c>
      <c r="M34" s="33">
        <f>+'Anexo 20'!M34*'Anexo 10'!$D$10</f>
        <v>0</v>
      </c>
      <c r="N34" s="33">
        <f>+'Anexo 20'!N34*'Anexo 10'!$D$10</f>
        <v>0</v>
      </c>
      <c r="O34" s="33">
        <f>+'Anexo 20'!O34*'Anexo 10'!$D$10</f>
        <v>0</v>
      </c>
      <c r="P34" s="33">
        <f>+'Anexo 20'!P34*'Anexo 10'!$D$10</f>
        <v>0</v>
      </c>
      <c r="Q34" s="33">
        <f>+'Anexo 20'!Q34*'Anexo 10'!$D$10</f>
        <v>0</v>
      </c>
      <c r="R34" s="33">
        <f>+'Anexo 20'!R34*'Anexo 10'!$D$10</f>
        <v>0</v>
      </c>
      <c r="S34" s="33">
        <f>+'Anexo 20'!S34*'Anexo 10'!$D$10</f>
        <v>0</v>
      </c>
      <c r="T34" s="33">
        <f>+'Anexo 20'!T34*'Anexo 10'!$D$10</f>
        <v>0</v>
      </c>
      <c r="U34" s="33">
        <f>+'Anexo 20'!U34*'Anexo 10'!$D$10</f>
        <v>0</v>
      </c>
      <c r="V34" s="33">
        <f>+'Anexo 20'!V34*'Anexo 10'!$D$10</f>
        <v>0</v>
      </c>
      <c r="W34" s="33">
        <f>+'Anexo 20'!W34*'Anexo 10'!$D$10</f>
        <v>0</v>
      </c>
      <c r="X34" s="33">
        <f>+'Anexo 20'!X34*'Anexo 10'!$D$10</f>
        <v>0</v>
      </c>
      <c r="Y34" s="33">
        <f>+'Anexo 20'!Y34*'Anexo 10'!$D$10</f>
        <v>0</v>
      </c>
      <c r="Z34" s="33">
        <f>+'Anexo 20'!Z34*'Anexo 10'!$D$10</f>
        <v>0</v>
      </c>
      <c r="AA34" s="38">
        <f t="shared" si="0"/>
        <v>0</v>
      </c>
      <c r="AB34" s="21">
        <v>4</v>
      </c>
      <c r="AC34" s="101"/>
      <c r="AD34" s="47"/>
    </row>
    <row r="35" spans="1:30" ht="15.75" thickBot="1" x14ac:dyDescent="0.3">
      <c r="A35" s="99"/>
      <c r="B35" s="22" t="s">
        <v>3</v>
      </c>
      <c r="C35" s="33">
        <f>+'Anexo 20'!C35*'Anexo 10'!$D$10</f>
        <v>0</v>
      </c>
      <c r="D35" s="33">
        <f>+'Anexo 20'!D35*'Anexo 10'!$D$10</f>
        <v>0</v>
      </c>
      <c r="E35" s="33">
        <f>+'Anexo 20'!E35*'Anexo 10'!$D$10</f>
        <v>0</v>
      </c>
      <c r="F35" s="33">
        <f>+'Anexo 20'!F35*'Anexo 10'!$D$10</f>
        <v>0</v>
      </c>
      <c r="G35" s="33">
        <f>+'Anexo 20'!G35*'Anexo 10'!$D$10</f>
        <v>0</v>
      </c>
      <c r="H35" s="33">
        <f>+'Anexo 20'!H35*'Anexo 10'!$D$10</f>
        <v>0</v>
      </c>
      <c r="I35" s="33">
        <f>+'Anexo 20'!I35*'Anexo 10'!$D$10</f>
        <v>0</v>
      </c>
      <c r="J35" s="33">
        <f>+'Anexo 20'!J35*'Anexo 10'!$D$10</f>
        <v>0</v>
      </c>
      <c r="K35" s="33">
        <f>+'Anexo 20'!K35*'Anexo 10'!$D$10</f>
        <v>0</v>
      </c>
      <c r="L35" s="33">
        <f>+'Anexo 20'!L35*'Anexo 10'!$D$10</f>
        <v>0</v>
      </c>
      <c r="M35" s="33">
        <f>+'Anexo 20'!M35*'Anexo 10'!$D$10</f>
        <v>0</v>
      </c>
      <c r="N35" s="33">
        <f>+'Anexo 20'!N35*'Anexo 10'!$D$10</f>
        <v>0</v>
      </c>
      <c r="O35" s="33">
        <f>+'Anexo 20'!O35*'Anexo 10'!$D$10</f>
        <v>0</v>
      </c>
      <c r="P35" s="33">
        <f>+'Anexo 20'!P35*'Anexo 10'!$D$10</f>
        <v>0</v>
      </c>
      <c r="Q35" s="33">
        <f>+'Anexo 20'!Q35*'Anexo 10'!$D$10</f>
        <v>0</v>
      </c>
      <c r="R35" s="33">
        <f>+'Anexo 20'!R35*'Anexo 10'!$D$10</f>
        <v>0</v>
      </c>
      <c r="S35" s="33">
        <f>+'Anexo 20'!S35*'Anexo 10'!$D$10</f>
        <v>0</v>
      </c>
      <c r="T35" s="33">
        <f>+'Anexo 20'!T35*'Anexo 10'!$D$10</f>
        <v>0</v>
      </c>
      <c r="U35" s="33">
        <f>+'Anexo 20'!U35*'Anexo 10'!$D$10</f>
        <v>0</v>
      </c>
      <c r="V35" s="33">
        <f>+'Anexo 20'!V35*'Anexo 10'!$D$10</f>
        <v>0</v>
      </c>
      <c r="W35" s="33">
        <f>+'Anexo 20'!W35*'Anexo 10'!$D$10</f>
        <v>0</v>
      </c>
      <c r="X35" s="33">
        <f>+'Anexo 20'!X35*'Anexo 10'!$D$10</f>
        <v>0</v>
      </c>
      <c r="Y35" s="33">
        <f>+'Anexo 20'!Y35*'Anexo 10'!$D$10</f>
        <v>0</v>
      </c>
      <c r="Z35" s="33">
        <f>+'Anexo 20'!Z35*'Anexo 10'!$D$10</f>
        <v>0</v>
      </c>
      <c r="AA35" s="41">
        <f t="shared" si="0"/>
        <v>0</v>
      </c>
      <c r="AB35" s="23">
        <v>5</v>
      </c>
      <c r="AC35" s="102"/>
      <c r="AD35" s="48"/>
    </row>
    <row r="36" spans="1:30" ht="15.75" thickBot="1" x14ac:dyDescent="0.3">
      <c r="A36" s="99">
        <v>49614</v>
      </c>
      <c r="B36" s="18" t="s">
        <v>5</v>
      </c>
      <c r="C36" s="33">
        <f>+'Anexo 20'!C36*'Anexo 10'!$D$10</f>
        <v>0</v>
      </c>
      <c r="D36" s="33">
        <f>+'Anexo 20'!D36*'Anexo 10'!$D$10</f>
        <v>0</v>
      </c>
      <c r="E36" s="33">
        <f>+'Anexo 20'!E36*'Anexo 10'!$D$10</f>
        <v>0</v>
      </c>
      <c r="F36" s="33">
        <f>+'Anexo 20'!F36*'Anexo 10'!$D$10</f>
        <v>0</v>
      </c>
      <c r="G36" s="33">
        <f>+'Anexo 20'!G36*'Anexo 10'!$D$10</f>
        <v>0</v>
      </c>
      <c r="H36" s="33">
        <f>+'Anexo 20'!H36*'Anexo 10'!$D$10</f>
        <v>0</v>
      </c>
      <c r="I36" s="33">
        <f>+'Anexo 20'!I36*'Anexo 10'!$D$10</f>
        <v>0</v>
      </c>
      <c r="J36" s="33">
        <f>+'Anexo 20'!J36*'Anexo 10'!$D$10</f>
        <v>0</v>
      </c>
      <c r="K36" s="33">
        <f>+'Anexo 20'!K36*'Anexo 10'!$D$10</f>
        <v>0</v>
      </c>
      <c r="L36" s="33">
        <f>+'Anexo 20'!L36*'Anexo 10'!$D$10</f>
        <v>0</v>
      </c>
      <c r="M36" s="33">
        <f>+'Anexo 20'!M36*'Anexo 10'!$D$10</f>
        <v>0</v>
      </c>
      <c r="N36" s="33">
        <f>+'Anexo 20'!N36*'Anexo 10'!$D$10</f>
        <v>0</v>
      </c>
      <c r="O36" s="33">
        <f>+'Anexo 20'!O36*'Anexo 10'!$D$10</f>
        <v>0</v>
      </c>
      <c r="P36" s="33">
        <f>+'Anexo 20'!P36*'Anexo 10'!$D$10</f>
        <v>0</v>
      </c>
      <c r="Q36" s="33">
        <f>+'Anexo 20'!Q36*'Anexo 10'!$D$10</f>
        <v>0</v>
      </c>
      <c r="R36" s="33">
        <f>+'Anexo 20'!R36*'Anexo 10'!$D$10</f>
        <v>0</v>
      </c>
      <c r="S36" s="33">
        <f>+'Anexo 20'!S36*'Anexo 10'!$D$10</f>
        <v>0</v>
      </c>
      <c r="T36" s="33">
        <f>+'Anexo 20'!T36*'Anexo 10'!$D$10</f>
        <v>0</v>
      </c>
      <c r="U36" s="33">
        <f>+'Anexo 20'!U36*'Anexo 10'!$D$10</f>
        <v>0</v>
      </c>
      <c r="V36" s="33">
        <f>+'Anexo 20'!V36*'Anexo 10'!$D$10</f>
        <v>0</v>
      </c>
      <c r="W36" s="33">
        <f>+'Anexo 20'!W36*'Anexo 10'!$D$10</f>
        <v>0</v>
      </c>
      <c r="X36" s="33">
        <f>+'Anexo 20'!X36*'Anexo 10'!$D$10</f>
        <v>0</v>
      </c>
      <c r="Y36" s="33">
        <f>+'Anexo 20'!Y36*'Anexo 10'!$D$10</f>
        <v>0</v>
      </c>
      <c r="Z36" s="33">
        <f>+'Anexo 20'!Z36*'Anexo 10'!$D$10</f>
        <v>0</v>
      </c>
      <c r="AA36" s="35">
        <f t="shared" si="0"/>
        <v>0</v>
      </c>
      <c r="AB36" s="19">
        <v>20</v>
      </c>
      <c r="AC36" s="100">
        <f>+AA36*AB36+AA37*AB37+AA38*AB38</f>
        <v>0</v>
      </c>
    </row>
    <row r="37" spans="1:30" ht="15.75" thickBot="1" x14ac:dyDescent="0.3">
      <c r="A37" s="99"/>
      <c r="B37" s="20" t="s">
        <v>4</v>
      </c>
      <c r="C37" s="33">
        <f>+'Anexo 20'!C37*'Anexo 10'!$D$10</f>
        <v>0</v>
      </c>
      <c r="D37" s="33">
        <f>+'Anexo 20'!D37*'Anexo 10'!$D$10</f>
        <v>0</v>
      </c>
      <c r="E37" s="33">
        <f>+'Anexo 20'!E37*'Anexo 10'!$D$10</f>
        <v>0</v>
      </c>
      <c r="F37" s="33">
        <f>+'Anexo 20'!F37*'Anexo 10'!$D$10</f>
        <v>0</v>
      </c>
      <c r="G37" s="33">
        <f>+'Anexo 20'!G37*'Anexo 10'!$D$10</f>
        <v>0</v>
      </c>
      <c r="H37" s="33">
        <f>+'Anexo 20'!H37*'Anexo 10'!$D$10</f>
        <v>0</v>
      </c>
      <c r="I37" s="33">
        <f>+'Anexo 20'!I37*'Anexo 10'!$D$10</f>
        <v>0</v>
      </c>
      <c r="J37" s="33">
        <f>+'Anexo 20'!J37*'Anexo 10'!$D$10</f>
        <v>0</v>
      </c>
      <c r="K37" s="33">
        <f>+'Anexo 20'!K37*'Anexo 10'!$D$10</f>
        <v>0</v>
      </c>
      <c r="L37" s="33">
        <f>+'Anexo 20'!L37*'Anexo 10'!$D$10</f>
        <v>0</v>
      </c>
      <c r="M37" s="33">
        <f>+'Anexo 20'!M37*'Anexo 10'!$D$10</f>
        <v>0</v>
      </c>
      <c r="N37" s="33">
        <f>+'Anexo 20'!N37*'Anexo 10'!$D$10</f>
        <v>0</v>
      </c>
      <c r="O37" s="33">
        <f>+'Anexo 20'!O37*'Anexo 10'!$D$10</f>
        <v>0</v>
      </c>
      <c r="P37" s="33">
        <f>+'Anexo 20'!P37*'Anexo 10'!$D$10</f>
        <v>0</v>
      </c>
      <c r="Q37" s="33">
        <f>+'Anexo 20'!Q37*'Anexo 10'!$D$10</f>
        <v>0</v>
      </c>
      <c r="R37" s="33">
        <f>+'Anexo 20'!R37*'Anexo 10'!$D$10</f>
        <v>0</v>
      </c>
      <c r="S37" s="33">
        <f>+'Anexo 20'!S37*'Anexo 10'!$D$10</f>
        <v>0</v>
      </c>
      <c r="T37" s="33">
        <f>+'Anexo 20'!T37*'Anexo 10'!$D$10</f>
        <v>0</v>
      </c>
      <c r="U37" s="33">
        <f>+'Anexo 20'!U37*'Anexo 10'!$D$10</f>
        <v>0</v>
      </c>
      <c r="V37" s="33">
        <f>+'Anexo 20'!V37*'Anexo 10'!$D$10</f>
        <v>0</v>
      </c>
      <c r="W37" s="33">
        <f>+'Anexo 20'!W37*'Anexo 10'!$D$10</f>
        <v>0</v>
      </c>
      <c r="X37" s="33">
        <f>+'Anexo 20'!X37*'Anexo 10'!$D$10</f>
        <v>0</v>
      </c>
      <c r="Y37" s="33">
        <f>+'Anexo 20'!Y37*'Anexo 10'!$D$10</f>
        <v>0</v>
      </c>
      <c r="Z37" s="33">
        <f>+'Anexo 20'!Z37*'Anexo 10'!$D$10</f>
        <v>0</v>
      </c>
      <c r="AA37" s="38">
        <f t="shared" si="0"/>
        <v>0</v>
      </c>
      <c r="AB37" s="21">
        <v>4</v>
      </c>
      <c r="AC37" s="101"/>
      <c r="AD37" s="47"/>
    </row>
    <row r="38" spans="1:30" ht="15.75" thickBot="1" x14ac:dyDescent="0.3">
      <c r="A38" s="99"/>
      <c r="B38" s="22" t="s">
        <v>3</v>
      </c>
      <c r="C38" s="33">
        <f>+'Anexo 20'!C38*'Anexo 10'!$D$10</f>
        <v>0</v>
      </c>
      <c r="D38" s="33">
        <f>+'Anexo 20'!D38*'Anexo 10'!$D$10</f>
        <v>0</v>
      </c>
      <c r="E38" s="33">
        <f>+'Anexo 20'!E38*'Anexo 10'!$D$10</f>
        <v>0</v>
      </c>
      <c r="F38" s="33">
        <f>+'Anexo 20'!F38*'Anexo 10'!$D$10</f>
        <v>0</v>
      </c>
      <c r="G38" s="33">
        <f>+'Anexo 20'!G38*'Anexo 10'!$D$10</f>
        <v>0</v>
      </c>
      <c r="H38" s="33">
        <f>+'Anexo 20'!H38*'Anexo 10'!$D$10</f>
        <v>0</v>
      </c>
      <c r="I38" s="33">
        <f>+'Anexo 20'!I38*'Anexo 10'!$D$10</f>
        <v>0</v>
      </c>
      <c r="J38" s="33">
        <f>+'Anexo 20'!J38*'Anexo 10'!$D$10</f>
        <v>0</v>
      </c>
      <c r="K38" s="33">
        <f>+'Anexo 20'!K38*'Anexo 10'!$D$10</f>
        <v>0</v>
      </c>
      <c r="L38" s="33">
        <f>+'Anexo 20'!L38*'Anexo 10'!$D$10</f>
        <v>0</v>
      </c>
      <c r="M38" s="33">
        <f>+'Anexo 20'!M38*'Anexo 10'!$D$10</f>
        <v>0</v>
      </c>
      <c r="N38" s="33">
        <f>+'Anexo 20'!N38*'Anexo 10'!$D$10</f>
        <v>0</v>
      </c>
      <c r="O38" s="33">
        <f>+'Anexo 20'!O38*'Anexo 10'!$D$10</f>
        <v>0</v>
      </c>
      <c r="P38" s="33">
        <f>+'Anexo 20'!P38*'Anexo 10'!$D$10</f>
        <v>0</v>
      </c>
      <c r="Q38" s="33">
        <f>+'Anexo 20'!Q38*'Anexo 10'!$D$10</f>
        <v>0</v>
      </c>
      <c r="R38" s="33">
        <f>+'Anexo 20'!R38*'Anexo 10'!$D$10</f>
        <v>0</v>
      </c>
      <c r="S38" s="33">
        <f>+'Anexo 20'!S38*'Anexo 10'!$D$10</f>
        <v>0</v>
      </c>
      <c r="T38" s="33">
        <f>+'Anexo 20'!T38*'Anexo 10'!$D$10</f>
        <v>0</v>
      </c>
      <c r="U38" s="33">
        <f>+'Anexo 20'!U38*'Anexo 10'!$D$10</f>
        <v>0</v>
      </c>
      <c r="V38" s="33">
        <f>+'Anexo 20'!V38*'Anexo 10'!$D$10</f>
        <v>0</v>
      </c>
      <c r="W38" s="33">
        <f>+'Anexo 20'!W38*'Anexo 10'!$D$10</f>
        <v>0</v>
      </c>
      <c r="X38" s="33">
        <f>+'Anexo 20'!X38*'Anexo 10'!$D$10</f>
        <v>0</v>
      </c>
      <c r="Y38" s="33">
        <f>+'Anexo 20'!Y38*'Anexo 10'!$D$10</f>
        <v>0</v>
      </c>
      <c r="Z38" s="33">
        <f>+'Anexo 20'!Z38*'Anexo 10'!$D$10</f>
        <v>0</v>
      </c>
      <c r="AA38" s="41">
        <f t="shared" si="0"/>
        <v>0</v>
      </c>
      <c r="AB38" s="23">
        <v>6</v>
      </c>
      <c r="AC38" s="102"/>
      <c r="AD38" s="49"/>
    </row>
    <row r="39" spans="1:30" ht="15.75" thickBot="1" x14ac:dyDescent="0.3">
      <c r="A39" s="99">
        <v>49644</v>
      </c>
      <c r="B39" s="18" t="s">
        <v>5</v>
      </c>
      <c r="C39" s="33">
        <f>+'Anexo 20'!C39*'Anexo 10'!$D$10</f>
        <v>0</v>
      </c>
      <c r="D39" s="33">
        <f>+'Anexo 20'!D39*'Anexo 10'!$D$10</f>
        <v>0</v>
      </c>
      <c r="E39" s="33">
        <f>+'Anexo 20'!E39*'Anexo 10'!$D$10</f>
        <v>0</v>
      </c>
      <c r="F39" s="33">
        <f>+'Anexo 20'!F39*'Anexo 10'!$D$10</f>
        <v>0</v>
      </c>
      <c r="G39" s="33">
        <f>+'Anexo 20'!G39*'Anexo 10'!$D$10</f>
        <v>0</v>
      </c>
      <c r="H39" s="33">
        <f>+'Anexo 20'!H39*'Anexo 10'!$D$10</f>
        <v>0</v>
      </c>
      <c r="I39" s="33">
        <f>+'Anexo 20'!I39*'Anexo 10'!$D$10</f>
        <v>0</v>
      </c>
      <c r="J39" s="33">
        <f>+'Anexo 20'!J39*'Anexo 10'!$D$10</f>
        <v>0</v>
      </c>
      <c r="K39" s="33">
        <f>+'Anexo 20'!K39*'Anexo 10'!$D$10</f>
        <v>0</v>
      </c>
      <c r="L39" s="33">
        <f>+'Anexo 20'!L39*'Anexo 10'!$D$10</f>
        <v>0</v>
      </c>
      <c r="M39" s="33">
        <f>+'Anexo 20'!M39*'Anexo 10'!$D$10</f>
        <v>0</v>
      </c>
      <c r="N39" s="33">
        <f>+'Anexo 20'!N39*'Anexo 10'!$D$10</f>
        <v>0</v>
      </c>
      <c r="O39" s="33">
        <f>+'Anexo 20'!O39*'Anexo 10'!$D$10</f>
        <v>0</v>
      </c>
      <c r="P39" s="33">
        <f>+'Anexo 20'!P39*'Anexo 10'!$D$10</f>
        <v>0</v>
      </c>
      <c r="Q39" s="33">
        <f>+'Anexo 20'!Q39*'Anexo 10'!$D$10</f>
        <v>0</v>
      </c>
      <c r="R39" s="33">
        <f>+'Anexo 20'!R39*'Anexo 10'!$D$10</f>
        <v>0</v>
      </c>
      <c r="S39" s="33">
        <f>+'Anexo 20'!S39*'Anexo 10'!$D$10</f>
        <v>0</v>
      </c>
      <c r="T39" s="33">
        <f>+'Anexo 20'!T39*'Anexo 10'!$D$10</f>
        <v>0</v>
      </c>
      <c r="U39" s="33">
        <f>+'Anexo 20'!U39*'Anexo 10'!$D$10</f>
        <v>0</v>
      </c>
      <c r="V39" s="33">
        <f>+'Anexo 20'!V39*'Anexo 10'!$D$10</f>
        <v>0</v>
      </c>
      <c r="W39" s="33">
        <f>+'Anexo 20'!W39*'Anexo 10'!$D$10</f>
        <v>0</v>
      </c>
      <c r="X39" s="33">
        <f>+'Anexo 20'!X39*'Anexo 10'!$D$10</f>
        <v>0</v>
      </c>
      <c r="Y39" s="33">
        <f>+'Anexo 20'!Y39*'Anexo 10'!$D$10</f>
        <v>0</v>
      </c>
      <c r="Z39" s="33">
        <f>+'Anexo 20'!Z39*'Anexo 10'!$D$10</f>
        <v>0</v>
      </c>
      <c r="AA39" s="35">
        <f t="shared" si="0"/>
        <v>0</v>
      </c>
      <c r="AB39" s="19">
        <v>20</v>
      </c>
      <c r="AC39" s="100">
        <f>+AA39*AB39+AA40*AB40+AA41*AB41</f>
        <v>0</v>
      </c>
    </row>
    <row r="40" spans="1:30" ht="15.75" thickBot="1" x14ac:dyDescent="0.3">
      <c r="A40" s="99"/>
      <c r="B40" s="20" t="s">
        <v>4</v>
      </c>
      <c r="C40" s="33">
        <f>+'Anexo 20'!C40*'Anexo 10'!$D$10</f>
        <v>0</v>
      </c>
      <c r="D40" s="33">
        <f>+'Anexo 20'!D40*'Anexo 10'!$D$10</f>
        <v>0</v>
      </c>
      <c r="E40" s="33">
        <f>+'Anexo 20'!E40*'Anexo 10'!$D$10</f>
        <v>0</v>
      </c>
      <c r="F40" s="33">
        <f>+'Anexo 20'!F40*'Anexo 10'!$D$10</f>
        <v>0</v>
      </c>
      <c r="G40" s="33">
        <f>+'Anexo 20'!G40*'Anexo 10'!$D$10</f>
        <v>0</v>
      </c>
      <c r="H40" s="33">
        <f>+'Anexo 20'!H40*'Anexo 10'!$D$10</f>
        <v>0</v>
      </c>
      <c r="I40" s="33">
        <f>+'Anexo 20'!I40*'Anexo 10'!$D$10</f>
        <v>0</v>
      </c>
      <c r="J40" s="33">
        <f>+'Anexo 20'!J40*'Anexo 10'!$D$10</f>
        <v>0</v>
      </c>
      <c r="K40" s="33">
        <f>+'Anexo 20'!K40*'Anexo 10'!$D$10</f>
        <v>0</v>
      </c>
      <c r="L40" s="33">
        <f>+'Anexo 20'!L40*'Anexo 10'!$D$10</f>
        <v>0</v>
      </c>
      <c r="M40" s="33">
        <f>+'Anexo 20'!M40*'Anexo 10'!$D$10</f>
        <v>0</v>
      </c>
      <c r="N40" s="33">
        <f>+'Anexo 20'!N40*'Anexo 10'!$D$10</f>
        <v>0</v>
      </c>
      <c r="O40" s="33">
        <f>+'Anexo 20'!O40*'Anexo 10'!$D$10</f>
        <v>0</v>
      </c>
      <c r="P40" s="33">
        <f>+'Anexo 20'!P40*'Anexo 10'!$D$10</f>
        <v>0</v>
      </c>
      <c r="Q40" s="33">
        <f>+'Anexo 20'!Q40*'Anexo 10'!$D$10</f>
        <v>0</v>
      </c>
      <c r="R40" s="33">
        <f>+'Anexo 20'!R40*'Anexo 10'!$D$10</f>
        <v>0</v>
      </c>
      <c r="S40" s="33">
        <f>+'Anexo 20'!S40*'Anexo 10'!$D$10</f>
        <v>0</v>
      </c>
      <c r="T40" s="33">
        <f>+'Anexo 20'!T40*'Anexo 10'!$D$10</f>
        <v>0</v>
      </c>
      <c r="U40" s="33">
        <f>+'Anexo 20'!U40*'Anexo 10'!$D$10</f>
        <v>0</v>
      </c>
      <c r="V40" s="33">
        <f>+'Anexo 20'!V40*'Anexo 10'!$D$10</f>
        <v>0</v>
      </c>
      <c r="W40" s="33">
        <f>+'Anexo 20'!W40*'Anexo 10'!$D$10</f>
        <v>0</v>
      </c>
      <c r="X40" s="33">
        <f>+'Anexo 20'!X40*'Anexo 10'!$D$10</f>
        <v>0</v>
      </c>
      <c r="Y40" s="33">
        <f>+'Anexo 20'!Y40*'Anexo 10'!$D$10</f>
        <v>0</v>
      </c>
      <c r="Z40" s="33">
        <f>+'Anexo 20'!Z40*'Anexo 10'!$D$10</f>
        <v>0</v>
      </c>
      <c r="AA40" s="38">
        <f t="shared" si="0"/>
        <v>0</v>
      </c>
      <c r="AB40" s="21">
        <v>4</v>
      </c>
      <c r="AC40" s="101"/>
      <c r="AD40" s="47"/>
    </row>
    <row r="41" spans="1:30" ht="15.75" thickBot="1" x14ac:dyDescent="0.3">
      <c r="A41" s="99"/>
      <c r="B41" s="22" t="s">
        <v>3</v>
      </c>
      <c r="C41" s="33">
        <f>+'Anexo 20'!C41*'Anexo 10'!$D$10</f>
        <v>0</v>
      </c>
      <c r="D41" s="33">
        <f>+'Anexo 20'!D41*'Anexo 10'!$D$10</f>
        <v>0</v>
      </c>
      <c r="E41" s="33">
        <f>+'Anexo 20'!E41*'Anexo 10'!$D$10</f>
        <v>0</v>
      </c>
      <c r="F41" s="33">
        <f>+'Anexo 20'!F41*'Anexo 10'!$D$10</f>
        <v>0</v>
      </c>
      <c r="G41" s="33">
        <f>+'Anexo 20'!G41*'Anexo 10'!$D$10</f>
        <v>0</v>
      </c>
      <c r="H41" s="33">
        <f>+'Anexo 20'!H41*'Anexo 10'!$D$10</f>
        <v>0</v>
      </c>
      <c r="I41" s="33">
        <f>+'Anexo 20'!I41*'Anexo 10'!$D$10</f>
        <v>0</v>
      </c>
      <c r="J41" s="33">
        <f>+'Anexo 20'!J41*'Anexo 10'!$D$10</f>
        <v>0</v>
      </c>
      <c r="K41" s="33">
        <f>+'Anexo 20'!K41*'Anexo 10'!$D$10</f>
        <v>0</v>
      </c>
      <c r="L41" s="33">
        <f>+'Anexo 20'!L41*'Anexo 10'!$D$10</f>
        <v>0</v>
      </c>
      <c r="M41" s="33">
        <f>+'Anexo 20'!M41*'Anexo 10'!$D$10</f>
        <v>0</v>
      </c>
      <c r="N41" s="33">
        <f>+'Anexo 20'!N41*'Anexo 10'!$D$10</f>
        <v>0</v>
      </c>
      <c r="O41" s="33">
        <f>+'Anexo 20'!O41*'Anexo 10'!$D$10</f>
        <v>0</v>
      </c>
      <c r="P41" s="33">
        <f>+'Anexo 20'!P41*'Anexo 10'!$D$10</f>
        <v>0</v>
      </c>
      <c r="Q41" s="33">
        <f>+'Anexo 20'!Q41*'Anexo 10'!$D$10</f>
        <v>0</v>
      </c>
      <c r="R41" s="33">
        <f>+'Anexo 20'!R41*'Anexo 10'!$D$10</f>
        <v>0</v>
      </c>
      <c r="S41" s="33">
        <f>+'Anexo 20'!S41*'Anexo 10'!$D$10</f>
        <v>0</v>
      </c>
      <c r="T41" s="33">
        <f>+'Anexo 20'!T41*'Anexo 10'!$D$10</f>
        <v>0</v>
      </c>
      <c r="U41" s="33">
        <f>+'Anexo 20'!U41*'Anexo 10'!$D$10</f>
        <v>0</v>
      </c>
      <c r="V41" s="33">
        <f>+'Anexo 20'!V41*'Anexo 10'!$D$10</f>
        <v>0</v>
      </c>
      <c r="W41" s="33">
        <f>+'Anexo 20'!W41*'Anexo 10'!$D$10</f>
        <v>0</v>
      </c>
      <c r="X41" s="33">
        <f>+'Anexo 20'!X41*'Anexo 10'!$D$10</f>
        <v>0</v>
      </c>
      <c r="Y41" s="33">
        <f>+'Anexo 20'!Y41*'Anexo 10'!$D$10</f>
        <v>0</v>
      </c>
      <c r="Z41" s="33">
        <f>+'Anexo 20'!Z41*'Anexo 10'!$D$10</f>
        <v>0</v>
      </c>
      <c r="AA41" s="41">
        <f t="shared" si="0"/>
        <v>0</v>
      </c>
      <c r="AB41" s="23">
        <v>7</v>
      </c>
      <c r="AC41" s="102"/>
      <c r="AD41" s="42"/>
    </row>
    <row r="42" spans="1:30" ht="15" x14ac:dyDescent="0.25">
      <c r="A42" s="103" t="s">
        <v>2</v>
      </c>
      <c r="B42" s="104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4" ma:contentTypeDescription="Crear nuevo documento." ma:contentTypeScope="" ma:versionID="0d568d63776b3296d279a2710bae19ff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57f1b09d93d2b158516f9eeb8d48c009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customXml/itemProps3.xml><?xml version="1.0" encoding="utf-8"?>
<ds:datastoreItem xmlns:ds="http://schemas.openxmlformats.org/officeDocument/2006/customXml" ds:itemID="{A82C6250-BA99-4307-9F0E-E796BDB37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9708-8d05-44bf-aa29-bb25ddc26887"/>
    <ds:schemaRef ds:uri="19e65c24-12eb-4ae4-9f0f-cdc0d0399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40</vt:i4>
      </vt:variant>
    </vt:vector>
  </HeadingPairs>
  <TitlesOfParts>
    <vt:vector size="40" baseType="lpstr">
      <vt:lpstr>Anexo 1</vt:lpstr>
      <vt:lpstr>Anexo 1A</vt:lpstr>
      <vt:lpstr>Anexo 11</vt:lpstr>
      <vt:lpstr>Cantidades Ofertadas Prod 1</vt:lpstr>
      <vt:lpstr>Anexo 2</vt:lpstr>
      <vt:lpstr>Anexo 2A</vt:lpstr>
      <vt:lpstr>Anexo 12</vt:lpstr>
      <vt:lpstr>Cantidades Ofertadas Prod 2</vt:lpstr>
      <vt:lpstr>Anexo 3</vt:lpstr>
      <vt:lpstr>Anexo 3A</vt:lpstr>
      <vt:lpstr>Anexo 13</vt:lpstr>
      <vt:lpstr>Cantidades Ofertadas Prod 3</vt:lpstr>
      <vt:lpstr>Anexo 4</vt:lpstr>
      <vt:lpstr>Anexo 4A</vt:lpstr>
      <vt:lpstr>Anexo 14</vt:lpstr>
      <vt:lpstr>Cantidades Ofertadas Prod 4</vt:lpstr>
      <vt:lpstr>Anexo 5</vt:lpstr>
      <vt:lpstr>Anexo 5A</vt:lpstr>
      <vt:lpstr>Anexo 15</vt:lpstr>
      <vt:lpstr>Cantidades Ofertadas Prod 5</vt:lpstr>
      <vt:lpstr>Anexo 6</vt:lpstr>
      <vt:lpstr>Anexo 6A</vt:lpstr>
      <vt:lpstr>Anexo 16</vt:lpstr>
      <vt:lpstr>Cantidades Ofertadas Prod 6</vt:lpstr>
      <vt:lpstr>Anexo 7</vt:lpstr>
      <vt:lpstr>Anexo 7A</vt:lpstr>
      <vt:lpstr>Anexo 17</vt:lpstr>
      <vt:lpstr>Cantidades Ofertadas Prod 7</vt:lpstr>
      <vt:lpstr>Anexo 8</vt:lpstr>
      <vt:lpstr>Anexo 8A</vt:lpstr>
      <vt:lpstr>Anexo 18</vt:lpstr>
      <vt:lpstr>Cantidades Ofertadas Prod 8</vt:lpstr>
      <vt:lpstr>Anexo 9</vt:lpstr>
      <vt:lpstr>Anexo 9A</vt:lpstr>
      <vt:lpstr>Anexo 19</vt:lpstr>
      <vt:lpstr>Cantidades Ofertadas Prod 9</vt:lpstr>
      <vt:lpstr>Anexo 10</vt:lpstr>
      <vt:lpstr>Anexo 10A</vt:lpstr>
      <vt:lpstr>Anexo 20</vt:lpstr>
      <vt:lpstr>Cantidades Ofertadas Prod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2025-05-22T22:57:01Z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