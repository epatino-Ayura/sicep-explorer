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Unidades compartidas\9. COMERCIALIZADORA\2. DOCUMENTOS OPERATIVOS\6. PLANEACIÓN\5. MEM\1. COMPRA ENERGÍA\0. SICEP\CP-SCEC2026-001\"/>
    </mc:Choice>
  </mc:AlternateContent>
  <xr:revisionPtr revIDLastSave="0" documentId="13_ncr:1_{49952AD5-4042-4306-BE5B-76E8A6EF6963}" xr6:coauthVersionLast="47" xr6:coauthVersionMax="47" xr10:uidLastSave="{00000000-0000-0000-0000-000000000000}"/>
  <bookViews>
    <workbookView xWindow="-120" yWindow="-120" windowWidth="29040" windowHeight="15720" tabRatio="923" xr2:uid="{00000000-000D-0000-FFFF-FFFF00000000}"/>
  </bookViews>
  <sheets>
    <sheet name="R-Producto 1" sheetId="45" r:id="rId1"/>
    <sheet name="Producto 1" sheetId="44" r:id="rId2"/>
  </sheets>
  <definedNames>
    <definedName name="_xlnm.Print_Area" localSheetId="1">'Producto 1'!$B$1:$AB$5</definedName>
    <definedName name="_xlnm.Print_Area" localSheetId="0">'R-Producto 1'!$A$2:$I$143</definedName>
    <definedName name="Cuad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45" l="1"/>
  <c r="B52" i="45"/>
  <c r="B53" i="45"/>
  <c r="B54" i="45"/>
  <c r="B55" i="45"/>
  <c r="B56" i="45"/>
  <c r="B57" i="45"/>
  <c r="B58" i="45"/>
  <c r="B59" i="45"/>
  <c r="B60" i="45"/>
  <c r="B61" i="45"/>
  <c r="B62" i="45"/>
  <c r="B63" i="45"/>
  <c r="B64" i="45"/>
  <c r="B65" i="45"/>
  <c r="B66" i="45"/>
  <c r="B67" i="45"/>
  <c r="B68" i="45"/>
  <c r="B69" i="45"/>
  <c r="B70" i="45"/>
  <c r="B71" i="45"/>
  <c r="B72" i="45"/>
  <c r="B73" i="45"/>
  <c r="B74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B88" i="45"/>
  <c r="B89" i="45"/>
  <c r="B90" i="45"/>
  <c r="B91" i="45"/>
  <c r="B92" i="45"/>
  <c r="B93" i="45"/>
  <c r="B94" i="45"/>
  <c r="B95" i="45"/>
  <c r="B96" i="45"/>
  <c r="B97" i="45"/>
  <c r="B98" i="45"/>
  <c r="B99" i="45"/>
  <c r="B100" i="45"/>
  <c r="B101" i="45"/>
  <c r="B102" i="45"/>
  <c r="B103" i="45"/>
  <c r="B104" i="45"/>
  <c r="B105" i="45"/>
  <c r="B106" i="45"/>
  <c r="B107" i="45"/>
  <c r="B108" i="45"/>
  <c r="B109" i="45"/>
  <c r="B110" i="45"/>
  <c r="B111" i="45"/>
  <c r="B112" i="45"/>
  <c r="B113" i="45"/>
  <c r="B114" i="45"/>
  <c r="B115" i="45"/>
  <c r="B116" i="45"/>
  <c r="B117" i="45"/>
  <c r="B118" i="45"/>
  <c r="B119" i="45"/>
  <c r="B120" i="45"/>
  <c r="B121" i="45"/>
  <c r="B122" i="45"/>
  <c r="B123" i="45"/>
  <c r="B124" i="45"/>
  <c r="B125" i="45"/>
  <c r="B126" i="45"/>
  <c r="B127" i="45"/>
  <c r="B128" i="45"/>
  <c r="B129" i="45"/>
  <c r="B130" i="45"/>
  <c r="B131" i="45"/>
  <c r="B132" i="45"/>
  <c r="B133" i="45"/>
  <c r="B134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17" i="45"/>
  <c r="B18" i="45"/>
  <c r="B19" i="45"/>
  <c r="B20" i="45"/>
  <c r="B21" i="45"/>
  <c r="B22" i="45"/>
  <c r="B23" i="45"/>
  <c r="B24" i="45"/>
  <c r="B25" i="45"/>
  <c r="B26" i="45"/>
  <c r="B27" i="45"/>
  <c r="B11" i="45"/>
  <c r="B12" i="45"/>
  <c r="B13" i="45"/>
  <c r="B14" i="45"/>
  <c r="B15" i="45"/>
  <c r="B16" i="45"/>
  <c r="B10" i="45"/>
  <c r="AC7" i="44"/>
  <c r="AC8" i="44"/>
  <c r="AC9" i="44"/>
  <c r="AC10" i="44"/>
  <c r="AC11" i="44"/>
  <c r="AC12" i="44"/>
  <c r="AC13" i="44"/>
  <c r="AC14" i="44"/>
  <c r="AC15" i="44"/>
  <c r="AC16" i="44"/>
  <c r="AC17" i="44"/>
  <c r="AC18" i="44"/>
  <c r="AC19" i="44"/>
  <c r="AC20" i="44"/>
  <c r="AC21" i="44"/>
  <c r="D15" i="45" s="1"/>
  <c r="F15" i="45" s="1"/>
  <c r="AC22" i="44"/>
  <c r="AC23" i="44"/>
  <c r="AC24" i="44"/>
  <c r="AC25" i="44"/>
  <c r="AC26" i="44"/>
  <c r="AC27" i="44"/>
  <c r="D17" i="45" s="1"/>
  <c r="F17" i="45" s="1"/>
  <c r="AC28" i="44"/>
  <c r="AC29" i="44"/>
  <c r="AC30" i="44"/>
  <c r="D18" i="45" s="1"/>
  <c r="F18" i="45" s="1"/>
  <c r="AC31" i="44"/>
  <c r="AC32" i="44"/>
  <c r="AC33" i="44"/>
  <c r="D19" i="45" s="1"/>
  <c r="F19" i="45" s="1"/>
  <c r="AC34" i="44"/>
  <c r="AC35" i="44"/>
  <c r="AC36" i="44"/>
  <c r="AC37" i="44"/>
  <c r="AC38" i="44"/>
  <c r="AC39" i="44"/>
  <c r="AC40" i="44"/>
  <c r="AC41" i="44"/>
  <c r="AC42" i="44"/>
  <c r="AC43" i="44"/>
  <c r="AC44" i="44"/>
  <c r="AC45" i="44"/>
  <c r="AC46" i="44"/>
  <c r="AC47" i="44"/>
  <c r="AC48" i="44"/>
  <c r="AC49" i="44"/>
  <c r="AC50" i="44"/>
  <c r="AC51" i="44"/>
  <c r="AC52" i="44"/>
  <c r="AC53" i="44"/>
  <c r="AC54" i="44"/>
  <c r="D26" i="45" s="1"/>
  <c r="F26" i="45" s="1"/>
  <c r="AC55" i="44"/>
  <c r="AC56" i="44"/>
  <c r="AC57" i="44"/>
  <c r="AC58" i="44"/>
  <c r="AC59" i="44"/>
  <c r="AC60" i="44"/>
  <c r="AC61" i="44"/>
  <c r="AC62" i="44"/>
  <c r="AC63" i="44"/>
  <c r="AC64" i="44"/>
  <c r="AC65" i="44"/>
  <c r="AC66" i="44"/>
  <c r="AC67" i="44"/>
  <c r="AC68" i="44"/>
  <c r="AC69" i="44"/>
  <c r="AC70" i="44"/>
  <c r="AC71" i="44"/>
  <c r="AC72" i="44"/>
  <c r="D32" i="45" s="1"/>
  <c r="F32" i="45" s="1"/>
  <c r="AC73" i="44"/>
  <c r="AC74" i="44"/>
  <c r="AC75" i="44"/>
  <c r="D33" i="45" s="1"/>
  <c r="F33" i="45" s="1"/>
  <c r="AC76" i="44"/>
  <c r="AC77" i="44"/>
  <c r="AC78" i="44"/>
  <c r="D34" i="45" s="1"/>
  <c r="F34" i="45" s="1"/>
  <c r="AC79" i="44"/>
  <c r="AC80" i="44"/>
  <c r="AC81" i="44"/>
  <c r="D35" i="45" s="1"/>
  <c r="F35" i="45" s="1"/>
  <c r="AC82" i="44"/>
  <c r="AC83" i="44"/>
  <c r="AC84" i="44"/>
  <c r="AC85" i="44"/>
  <c r="AC86" i="44"/>
  <c r="AC87" i="44"/>
  <c r="AC88" i="44"/>
  <c r="AC89" i="44"/>
  <c r="AC90" i="44"/>
  <c r="AC91" i="44"/>
  <c r="AC92" i="44"/>
  <c r="AC93" i="44"/>
  <c r="AC94" i="44"/>
  <c r="AC95" i="44"/>
  <c r="AC96" i="44"/>
  <c r="AC97" i="44"/>
  <c r="AC98" i="44"/>
  <c r="AC99" i="44"/>
  <c r="AC100" i="44"/>
  <c r="AC101" i="44"/>
  <c r="AC102" i="44"/>
  <c r="AC103" i="44"/>
  <c r="AC104" i="44"/>
  <c r="AC105" i="44"/>
  <c r="AC106" i="44"/>
  <c r="AC107" i="44"/>
  <c r="AC108" i="44"/>
  <c r="AC109" i="44"/>
  <c r="AC110" i="44"/>
  <c r="AC111" i="44"/>
  <c r="AC112" i="44"/>
  <c r="AC113" i="44"/>
  <c r="AC114" i="44"/>
  <c r="AC115" i="44"/>
  <c r="AC116" i="44"/>
  <c r="AC117" i="44"/>
  <c r="AC118" i="44"/>
  <c r="AC119" i="44"/>
  <c r="AC120" i="44"/>
  <c r="D48" i="45" s="1"/>
  <c r="F48" i="45" s="1"/>
  <c r="AC121" i="44"/>
  <c r="AC122" i="44"/>
  <c r="AC123" i="44"/>
  <c r="D49" i="45" s="1"/>
  <c r="F49" i="45" s="1"/>
  <c r="AC124" i="44"/>
  <c r="AC125" i="44"/>
  <c r="AC126" i="44"/>
  <c r="D50" i="45" s="1"/>
  <c r="F50" i="45" s="1"/>
  <c r="AC127" i="44"/>
  <c r="AC128" i="44"/>
  <c r="AC129" i="44"/>
  <c r="D51" i="45" s="1"/>
  <c r="F51" i="45" s="1"/>
  <c r="AC130" i="44"/>
  <c r="AC131" i="44"/>
  <c r="AC132" i="44"/>
  <c r="AC133" i="44"/>
  <c r="AC134" i="44"/>
  <c r="AC135" i="44"/>
  <c r="AC136" i="44"/>
  <c r="AC137" i="44"/>
  <c r="AC138" i="44"/>
  <c r="AC139" i="44"/>
  <c r="AC140" i="44"/>
  <c r="AC141" i="44"/>
  <c r="AC142" i="44"/>
  <c r="AC143" i="44"/>
  <c r="AC144" i="44"/>
  <c r="AC145" i="44"/>
  <c r="AC146" i="44"/>
  <c r="AC147" i="44"/>
  <c r="AC148" i="44"/>
  <c r="AC149" i="44"/>
  <c r="AC150" i="44"/>
  <c r="AC151" i="44"/>
  <c r="AC152" i="44"/>
  <c r="AC153" i="44"/>
  <c r="AC154" i="44"/>
  <c r="AC155" i="44"/>
  <c r="AC156" i="44"/>
  <c r="AC157" i="44"/>
  <c r="AC158" i="44"/>
  <c r="AC159" i="44"/>
  <c r="AC160" i="44"/>
  <c r="AC161" i="44"/>
  <c r="AC162" i="44"/>
  <c r="AC163" i="44"/>
  <c r="AC164" i="44"/>
  <c r="AC165" i="44"/>
  <c r="AC166" i="44"/>
  <c r="AC167" i="44"/>
  <c r="AC168" i="44"/>
  <c r="D64" i="45" s="1"/>
  <c r="F64" i="45" s="1"/>
  <c r="AC169" i="44"/>
  <c r="AC170" i="44"/>
  <c r="AC171" i="44"/>
  <c r="D65" i="45" s="1"/>
  <c r="F65" i="45" s="1"/>
  <c r="AC172" i="44"/>
  <c r="AC173" i="44"/>
  <c r="AC174" i="44"/>
  <c r="D66" i="45" s="1"/>
  <c r="F66" i="45" s="1"/>
  <c r="AC175" i="44"/>
  <c r="AC176" i="44"/>
  <c r="AC177" i="44"/>
  <c r="D67" i="45" s="1"/>
  <c r="F67" i="45" s="1"/>
  <c r="AC178" i="44"/>
  <c r="AC179" i="44"/>
  <c r="AC180" i="44"/>
  <c r="AC181" i="44"/>
  <c r="AC182" i="44"/>
  <c r="AC183" i="44"/>
  <c r="AC184" i="44"/>
  <c r="AC185" i="44"/>
  <c r="AC186" i="44"/>
  <c r="AC187" i="44"/>
  <c r="AC188" i="44"/>
  <c r="AC189" i="44"/>
  <c r="AC190" i="44"/>
  <c r="AC191" i="44"/>
  <c r="AC192" i="44"/>
  <c r="AC193" i="44"/>
  <c r="AC194" i="44"/>
  <c r="AC195" i="44"/>
  <c r="AC196" i="44"/>
  <c r="AC197" i="44"/>
  <c r="AC198" i="44"/>
  <c r="AC199" i="44"/>
  <c r="AC200" i="44"/>
  <c r="AC201" i="44"/>
  <c r="AC202" i="44"/>
  <c r="AC203" i="44"/>
  <c r="AC204" i="44"/>
  <c r="AC205" i="44"/>
  <c r="AC206" i="44"/>
  <c r="AC207" i="44"/>
  <c r="AC208" i="44"/>
  <c r="AC209" i="44"/>
  <c r="AC210" i="44"/>
  <c r="AC211" i="44"/>
  <c r="AC212" i="44"/>
  <c r="AC213" i="44"/>
  <c r="AC214" i="44"/>
  <c r="AC215" i="44"/>
  <c r="AC216" i="44"/>
  <c r="D80" i="45" s="1"/>
  <c r="F80" i="45" s="1"/>
  <c r="AC217" i="44"/>
  <c r="AC218" i="44"/>
  <c r="AC219" i="44"/>
  <c r="D81" i="45" s="1"/>
  <c r="F81" i="45" s="1"/>
  <c r="AC220" i="44"/>
  <c r="AC221" i="44"/>
  <c r="AC222" i="44"/>
  <c r="D82" i="45" s="1"/>
  <c r="F82" i="45" s="1"/>
  <c r="AC223" i="44"/>
  <c r="AC224" i="44"/>
  <c r="AC225" i="44"/>
  <c r="D83" i="45" s="1"/>
  <c r="F83" i="45" s="1"/>
  <c r="AC226" i="44"/>
  <c r="AC227" i="44"/>
  <c r="AC228" i="44"/>
  <c r="AC229" i="44"/>
  <c r="AC230" i="44"/>
  <c r="AC231" i="44"/>
  <c r="AC232" i="44"/>
  <c r="AC233" i="44"/>
  <c r="AC234" i="44"/>
  <c r="AC235" i="44"/>
  <c r="AC236" i="44"/>
  <c r="AC237" i="44"/>
  <c r="AC238" i="44"/>
  <c r="AC239" i="44"/>
  <c r="AC240" i="44"/>
  <c r="AC241" i="44"/>
  <c r="AC242" i="44"/>
  <c r="AC243" i="44"/>
  <c r="AC244" i="44"/>
  <c r="AC245" i="44"/>
  <c r="AC246" i="44"/>
  <c r="AC247" i="44"/>
  <c r="AC248" i="44"/>
  <c r="AC249" i="44"/>
  <c r="AC250" i="44"/>
  <c r="AC251" i="44"/>
  <c r="AC252" i="44"/>
  <c r="AC253" i="44"/>
  <c r="AC254" i="44"/>
  <c r="AC255" i="44"/>
  <c r="AC256" i="44"/>
  <c r="AC257" i="44"/>
  <c r="AC258" i="44"/>
  <c r="AC259" i="44"/>
  <c r="AC260" i="44"/>
  <c r="AC261" i="44"/>
  <c r="AC262" i="44"/>
  <c r="AC263" i="44"/>
  <c r="AC264" i="44"/>
  <c r="D96" i="45" s="1"/>
  <c r="F96" i="45" s="1"/>
  <c r="AC265" i="44"/>
  <c r="AC266" i="44"/>
  <c r="AC267" i="44"/>
  <c r="D97" i="45" s="1"/>
  <c r="F97" i="45" s="1"/>
  <c r="AC268" i="44"/>
  <c r="AC269" i="44"/>
  <c r="AC270" i="44"/>
  <c r="D98" i="45" s="1"/>
  <c r="F98" i="45" s="1"/>
  <c r="AC271" i="44"/>
  <c r="AC272" i="44"/>
  <c r="AC273" i="44"/>
  <c r="D99" i="45" s="1"/>
  <c r="F99" i="45" s="1"/>
  <c r="AC274" i="44"/>
  <c r="AC275" i="44"/>
  <c r="AC276" i="44"/>
  <c r="AC277" i="44"/>
  <c r="AC278" i="44"/>
  <c r="AC279" i="44"/>
  <c r="AC280" i="44"/>
  <c r="AC281" i="44"/>
  <c r="AC282" i="44"/>
  <c r="AC283" i="44"/>
  <c r="AC284" i="44"/>
  <c r="AC285" i="44"/>
  <c r="AC286" i="44"/>
  <c r="AC287" i="44"/>
  <c r="AC288" i="44"/>
  <c r="AC289" i="44"/>
  <c r="AC290" i="44"/>
  <c r="AC291" i="44"/>
  <c r="AC292" i="44"/>
  <c r="AC293" i="44"/>
  <c r="AC294" i="44"/>
  <c r="AC295" i="44"/>
  <c r="AC296" i="44"/>
  <c r="AC297" i="44"/>
  <c r="AC298" i="44"/>
  <c r="AC299" i="44"/>
  <c r="AC300" i="44"/>
  <c r="AC301" i="44"/>
  <c r="AC302" i="44"/>
  <c r="AC303" i="44"/>
  <c r="AC304" i="44"/>
  <c r="AC305" i="44"/>
  <c r="AC306" i="44"/>
  <c r="D110" i="45" s="1"/>
  <c r="F110" i="45" s="1"/>
  <c r="AC307" i="44"/>
  <c r="AC308" i="44"/>
  <c r="AC309" i="44"/>
  <c r="AC310" i="44"/>
  <c r="AC311" i="44"/>
  <c r="AC312" i="44"/>
  <c r="D112" i="45" s="1"/>
  <c r="F112" i="45" s="1"/>
  <c r="AC313" i="44"/>
  <c r="AC314" i="44"/>
  <c r="AC315" i="44"/>
  <c r="D113" i="45" s="1"/>
  <c r="F113" i="45" s="1"/>
  <c r="AC316" i="44"/>
  <c r="AC317" i="44"/>
  <c r="AC318" i="44"/>
  <c r="D114" i="45" s="1"/>
  <c r="F114" i="45" s="1"/>
  <c r="AC319" i="44"/>
  <c r="AC320" i="44"/>
  <c r="AC321" i="44"/>
  <c r="D115" i="45" s="1"/>
  <c r="F115" i="45" s="1"/>
  <c r="AC322" i="44"/>
  <c r="AC323" i="44"/>
  <c r="AC324" i="44"/>
  <c r="AC325" i="44"/>
  <c r="AC326" i="44"/>
  <c r="AC327" i="44"/>
  <c r="AC328" i="44"/>
  <c r="AC329" i="44"/>
  <c r="AC330" i="44"/>
  <c r="AC331" i="44"/>
  <c r="AC332" i="44"/>
  <c r="AC333" i="44"/>
  <c r="AC334" i="44"/>
  <c r="AC335" i="44"/>
  <c r="AC336" i="44"/>
  <c r="AC337" i="44"/>
  <c r="AC338" i="44"/>
  <c r="AC339" i="44"/>
  <c r="AC340" i="44"/>
  <c r="AC341" i="44"/>
  <c r="AC342" i="44"/>
  <c r="AC343" i="44"/>
  <c r="AC344" i="44"/>
  <c r="AC345" i="44"/>
  <c r="AC346" i="44"/>
  <c r="AC347" i="44"/>
  <c r="AC348" i="44"/>
  <c r="AC349" i="44"/>
  <c r="AC350" i="44"/>
  <c r="AC351" i="44"/>
  <c r="AC352" i="44"/>
  <c r="AC353" i="44"/>
  <c r="AC354" i="44"/>
  <c r="D126" i="45" s="1"/>
  <c r="F126" i="45" s="1"/>
  <c r="AC355" i="44"/>
  <c r="AC356" i="44"/>
  <c r="AC357" i="44"/>
  <c r="AC358" i="44"/>
  <c r="AC359" i="44"/>
  <c r="AC360" i="44"/>
  <c r="D128" i="45" s="1"/>
  <c r="F128" i="45" s="1"/>
  <c r="AC361" i="44"/>
  <c r="AC362" i="44"/>
  <c r="AC363" i="44"/>
  <c r="D129" i="45" s="1"/>
  <c r="F129" i="45" s="1"/>
  <c r="AC364" i="44"/>
  <c r="AC365" i="44"/>
  <c r="AC366" i="44"/>
  <c r="D130" i="45" s="1"/>
  <c r="F130" i="45" s="1"/>
  <c r="AC367" i="44"/>
  <c r="AC368" i="44"/>
  <c r="AC369" i="44"/>
  <c r="D131" i="45" s="1"/>
  <c r="F131" i="45" s="1"/>
  <c r="AC370" i="44"/>
  <c r="AC371" i="44"/>
  <c r="AC372" i="44"/>
  <c r="AC373" i="44"/>
  <c r="AC374" i="44"/>
  <c r="AC375" i="44"/>
  <c r="AC376" i="44"/>
  <c r="AC377" i="44"/>
  <c r="AC378" i="44"/>
  <c r="AC379" i="44"/>
  <c r="AC380" i="44"/>
  <c r="D117" i="45" l="1"/>
  <c r="F117" i="45" s="1"/>
  <c r="D133" i="45"/>
  <c r="F133" i="45" s="1"/>
  <c r="D123" i="45"/>
  <c r="F123" i="45" s="1"/>
  <c r="D107" i="45"/>
  <c r="F107" i="45" s="1"/>
  <c r="D101" i="45"/>
  <c r="F101" i="45" s="1"/>
  <c r="D85" i="45"/>
  <c r="F85" i="45" s="1"/>
  <c r="D69" i="45"/>
  <c r="F69" i="45" s="1"/>
  <c r="D106" i="45"/>
  <c r="F106" i="45" s="1"/>
  <c r="D90" i="45"/>
  <c r="F90" i="45" s="1"/>
  <c r="D122" i="45"/>
  <c r="F122" i="45" s="1"/>
  <c r="D58" i="45"/>
  <c r="F58" i="45" s="1"/>
  <c r="D31" i="45"/>
  <c r="F31" i="45" s="1"/>
  <c r="D74" i="45"/>
  <c r="F74" i="45" s="1"/>
  <c r="D42" i="45"/>
  <c r="F42" i="45" s="1"/>
  <c r="D47" i="45"/>
  <c r="F47" i="45" s="1"/>
  <c r="D38" i="45"/>
  <c r="F38" i="45" s="1"/>
  <c r="D91" i="45"/>
  <c r="F91" i="45" s="1"/>
  <c r="D75" i="45"/>
  <c r="F75" i="45" s="1"/>
  <c r="D59" i="45"/>
  <c r="F59" i="45" s="1"/>
  <c r="D43" i="45"/>
  <c r="F43" i="45" s="1"/>
  <c r="D27" i="45"/>
  <c r="F27" i="45" s="1"/>
  <c r="D22" i="45"/>
  <c r="F22" i="45" s="1"/>
  <c r="D134" i="45"/>
  <c r="F134" i="45" s="1"/>
  <c r="D102" i="45"/>
  <c r="F102" i="45" s="1"/>
  <c r="D70" i="45"/>
  <c r="F70" i="45" s="1"/>
  <c r="D54" i="45"/>
  <c r="F54" i="45" s="1"/>
  <c r="D11" i="45"/>
  <c r="F11" i="45" s="1"/>
  <c r="D118" i="45"/>
  <c r="F118" i="45" s="1"/>
  <c r="D86" i="45"/>
  <c r="F86" i="45" s="1"/>
  <c r="D16" i="45"/>
  <c r="F16" i="45" s="1"/>
  <c r="D53" i="45"/>
  <c r="F53" i="45" s="1"/>
  <c r="D37" i="45"/>
  <c r="F37" i="45" s="1"/>
  <c r="D21" i="45"/>
  <c r="F21" i="45" s="1"/>
  <c r="D111" i="45"/>
  <c r="F111" i="45" s="1"/>
  <c r="D79" i="45"/>
  <c r="F79" i="45" s="1"/>
  <c r="D63" i="45"/>
  <c r="F63" i="45" s="1"/>
  <c r="D95" i="45"/>
  <c r="F95" i="45" s="1"/>
  <c r="D116" i="45"/>
  <c r="F116" i="45" s="1"/>
  <c r="D100" i="45"/>
  <c r="F100" i="45" s="1"/>
  <c r="D84" i="45"/>
  <c r="F84" i="45" s="1"/>
  <c r="D68" i="45"/>
  <c r="F68" i="45" s="1"/>
  <c r="D52" i="45"/>
  <c r="F52" i="45" s="1"/>
  <c r="D36" i="45"/>
  <c r="F36" i="45" s="1"/>
  <c r="D20" i="45"/>
  <c r="F20" i="45" s="1"/>
  <c r="D127" i="45"/>
  <c r="F127" i="45" s="1"/>
  <c r="D132" i="45"/>
  <c r="F132" i="45" s="1"/>
  <c r="D121" i="45"/>
  <c r="F121" i="45" s="1"/>
  <c r="D105" i="45"/>
  <c r="F105" i="45" s="1"/>
  <c r="D89" i="45"/>
  <c r="F89" i="45" s="1"/>
  <c r="D73" i="45"/>
  <c r="F73" i="45" s="1"/>
  <c r="D57" i="45"/>
  <c r="F57" i="45" s="1"/>
  <c r="D41" i="45"/>
  <c r="F41" i="45" s="1"/>
  <c r="D25" i="45"/>
  <c r="F25" i="45" s="1"/>
  <c r="D94" i="45"/>
  <c r="F94" i="45" s="1"/>
  <c r="D78" i="45"/>
  <c r="F78" i="45" s="1"/>
  <c r="D62" i="45"/>
  <c r="F62" i="45" s="1"/>
  <c r="D46" i="45"/>
  <c r="F46" i="45" s="1"/>
  <c r="D30" i="45"/>
  <c r="F30" i="45" s="1"/>
  <c r="D14" i="45"/>
  <c r="F14" i="45" s="1"/>
  <c r="D120" i="45"/>
  <c r="F120" i="45" s="1"/>
  <c r="D104" i="45"/>
  <c r="F104" i="45" s="1"/>
  <c r="D88" i="45"/>
  <c r="F88" i="45" s="1"/>
  <c r="D72" i="45"/>
  <c r="F72" i="45" s="1"/>
  <c r="D56" i="45"/>
  <c r="F56" i="45" s="1"/>
  <c r="D40" i="45"/>
  <c r="F40" i="45" s="1"/>
  <c r="D24" i="45"/>
  <c r="F24" i="45" s="1"/>
  <c r="D125" i="45"/>
  <c r="F125" i="45" s="1"/>
  <c r="D109" i="45"/>
  <c r="F109" i="45" s="1"/>
  <c r="D93" i="45"/>
  <c r="F93" i="45" s="1"/>
  <c r="D77" i="45"/>
  <c r="F77" i="45" s="1"/>
  <c r="D61" i="45"/>
  <c r="F61" i="45" s="1"/>
  <c r="D45" i="45"/>
  <c r="F45" i="45" s="1"/>
  <c r="D29" i="45"/>
  <c r="F29" i="45" s="1"/>
  <c r="D13" i="45"/>
  <c r="F13" i="45" s="1"/>
  <c r="D119" i="45"/>
  <c r="F119" i="45" s="1"/>
  <c r="D103" i="45"/>
  <c r="F103" i="45" s="1"/>
  <c r="D87" i="45"/>
  <c r="F87" i="45" s="1"/>
  <c r="D71" i="45"/>
  <c r="F71" i="45" s="1"/>
  <c r="D55" i="45"/>
  <c r="F55" i="45" s="1"/>
  <c r="D39" i="45"/>
  <c r="F39" i="45" s="1"/>
  <c r="D23" i="45"/>
  <c r="F23" i="45" s="1"/>
  <c r="D124" i="45"/>
  <c r="F124" i="45" s="1"/>
  <c r="D108" i="45"/>
  <c r="F108" i="45" s="1"/>
  <c r="D92" i="45"/>
  <c r="F92" i="45" s="1"/>
  <c r="D76" i="45"/>
  <c r="F76" i="45" s="1"/>
  <c r="D60" i="45"/>
  <c r="F60" i="45" s="1"/>
  <c r="D44" i="45"/>
  <c r="F44" i="45" s="1"/>
  <c r="D28" i="45"/>
  <c r="F28" i="45" s="1"/>
  <c r="D12" i="45"/>
  <c r="F12" i="45" s="1"/>
  <c r="A364" i="44"/>
  <c r="B364" i="44"/>
  <c r="C364" i="44"/>
  <c r="A365" i="44"/>
  <c r="B365" i="44" s="1"/>
  <c r="C365" i="44"/>
  <c r="A366" i="44"/>
  <c r="B366" i="44" s="1"/>
  <c r="C366" i="44"/>
  <c r="A367" i="44"/>
  <c r="B367" i="44"/>
  <c r="C367" i="44"/>
  <c r="A368" i="44"/>
  <c r="B368" i="44"/>
  <c r="C368" i="44"/>
  <c r="A369" i="44"/>
  <c r="B369" i="44" s="1"/>
  <c r="C369" i="44"/>
  <c r="A370" i="44"/>
  <c r="B370" i="44" s="1"/>
  <c r="C370" i="44"/>
  <c r="A371" i="44"/>
  <c r="B371" i="44" s="1"/>
  <c r="C371" i="44"/>
  <c r="A372" i="44"/>
  <c r="B372" i="44" s="1"/>
  <c r="C372" i="44"/>
  <c r="A373" i="44"/>
  <c r="B373" i="44" s="1"/>
  <c r="C373" i="44"/>
  <c r="A374" i="44"/>
  <c r="B374" i="44" s="1"/>
  <c r="C374" i="44"/>
  <c r="A375" i="44"/>
  <c r="B375" i="44" s="1"/>
  <c r="C375" i="44"/>
  <c r="A376" i="44"/>
  <c r="B376" i="44" s="1"/>
  <c r="C376" i="44"/>
  <c r="A377" i="44"/>
  <c r="B377" i="44" s="1"/>
  <c r="C377" i="44"/>
  <c r="A378" i="44"/>
  <c r="B378" i="44" s="1"/>
  <c r="C378" i="44"/>
  <c r="A379" i="44"/>
  <c r="B379" i="44" s="1"/>
  <c r="C379" i="44"/>
  <c r="A380" i="44"/>
  <c r="B380" i="44" s="1"/>
  <c r="C380" i="44"/>
  <c r="A330" i="44"/>
  <c r="B330" i="44" s="1"/>
  <c r="C330" i="44"/>
  <c r="A331" i="44"/>
  <c r="B331" i="44" s="1"/>
  <c r="C331" i="44"/>
  <c r="A332" i="44"/>
  <c r="B332" i="44" s="1"/>
  <c r="C332" i="44"/>
  <c r="A333" i="44"/>
  <c r="B333" i="44" s="1"/>
  <c r="C333" i="44"/>
  <c r="A334" i="44"/>
  <c r="B334" i="44" s="1"/>
  <c r="C334" i="44"/>
  <c r="A335" i="44"/>
  <c r="B335" i="44" s="1"/>
  <c r="C335" i="44"/>
  <c r="A336" i="44"/>
  <c r="B336" i="44" s="1"/>
  <c r="C336" i="44"/>
  <c r="A337" i="44"/>
  <c r="B337" i="44" s="1"/>
  <c r="C337" i="44"/>
  <c r="A338" i="44"/>
  <c r="B338" i="44" s="1"/>
  <c r="C338" i="44"/>
  <c r="A339" i="44"/>
  <c r="B339" i="44" s="1"/>
  <c r="C339" i="44"/>
  <c r="A340" i="44"/>
  <c r="B340" i="44" s="1"/>
  <c r="C340" i="44"/>
  <c r="A341" i="44"/>
  <c r="B341" i="44" s="1"/>
  <c r="C341" i="44"/>
  <c r="A342" i="44"/>
  <c r="B342" i="44" s="1"/>
  <c r="C342" i="44"/>
  <c r="A343" i="44"/>
  <c r="B343" i="44" s="1"/>
  <c r="C343" i="44"/>
  <c r="A344" i="44"/>
  <c r="B344" i="44" s="1"/>
  <c r="C344" i="44"/>
  <c r="A345" i="44"/>
  <c r="B345" i="44" s="1"/>
  <c r="C345" i="44"/>
  <c r="A346" i="44"/>
  <c r="B346" i="44" s="1"/>
  <c r="C346" i="44"/>
  <c r="A347" i="44"/>
  <c r="B347" i="44" s="1"/>
  <c r="C347" i="44"/>
  <c r="A348" i="44"/>
  <c r="B348" i="44" s="1"/>
  <c r="C348" i="44"/>
  <c r="A349" i="44"/>
  <c r="B349" i="44" s="1"/>
  <c r="C349" i="44"/>
  <c r="A350" i="44"/>
  <c r="B350" i="44" s="1"/>
  <c r="C350" i="44"/>
  <c r="A351" i="44"/>
  <c r="B351" i="44" s="1"/>
  <c r="C351" i="44"/>
  <c r="A352" i="44"/>
  <c r="B352" i="44" s="1"/>
  <c r="C352" i="44"/>
  <c r="A353" i="44"/>
  <c r="B353" i="44" s="1"/>
  <c r="C353" i="44"/>
  <c r="A354" i="44"/>
  <c r="B354" i="44" s="1"/>
  <c r="C354" i="44"/>
  <c r="A355" i="44"/>
  <c r="B355" i="44"/>
  <c r="C355" i="44"/>
  <c r="A356" i="44"/>
  <c r="B356" i="44" s="1"/>
  <c r="C356" i="44"/>
  <c r="A357" i="44"/>
  <c r="B357" i="44" s="1"/>
  <c r="C357" i="44"/>
  <c r="A358" i="44"/>
  <c r="B358" i="44" s="1"/>
  <c r="C358" i="44"/>
  <c r="A359" i="44"/>
  <c r="B359" i="44" s="1"/>
  <c r="C359" i="44"/>
  <c r="A360" i="44"/>
  <c r="B360" i="44" s="1"/>
  <c r="C360" i="44"/>
  <c r="A361" i="44"/>
  <c r="B361" i="44" s="1"/>
  <c r="C361" i="44"/>
  <c r="A362" i="44"/>
  <c r="B362" i="44" s="1"/>
  <c r="C362" i="44"/>
  <c r="A363" i="44"/>
  <c r="B363" i="44" s="1"/>
  <c r="C363" i="44"/>
  <c r="A168" i="44"/>
  <c r="B168" i="44" s="1"/>
  <c r="C168" i="44"/>
  <c r="A169" i="44"/>
  <c r="B169" i="44"/>
  <c r="C169" i="44"/>
  <c r="A170" i="44"/>
  <c r="B170" i="44" s="1"/>
  <c r="C170" i="44"/>
  <c r="A171" i="44"/>
  <c r="B171" i="44" s="1"/>
  <c r="C171" i="44"/>
  <c r="A172" i="44"/>
  <c r="B172" i="44" s="1"/>
  <c r="C172" i="44"/>
  <c r="A173" i="44"/>
  <c r="B173" i="44" s="1"/>
  <c r="C173" i="44"/>
  <c r="A174" i="44"/>
  <c r="B174" i="44" s="1"/>
  <c r="C174" i="44"/>
  <c r="A175" i="44"/>
  <c r="B175" i="44" s="1"/>
  <c r="C175" i="44"/>
  <c r="A176" i="44"/>
  <c r="B176" i="44" s="1"/>
  <c r="C176" i="44"/>
  <c r="A177" i="44"/>
  <c r="B177" i="44" s="1"/>
  <c r="C177" i="44"/>
  <c r="A178" i="44"/>
  <c r="B178" i="44" s="1"/>
  <c r="C178" i="44"/>
  <c r="A179" i="44"/>
  <c r="B179" i="44" s="1"/>
  <c r="C179" i="44"/>
  <c r="A180" i="44"/>
  <c r="B180" i="44" s="1"/>
  <c r="C180" i="44"/>
  <c r="A181" i="44"/>
  <c r="B181" i="44" s="1"/>
  <c r="C181" i="44"/>
  <c r="A182" i="44"/>
  <c r="B182" i="44" s="1"/>
  <c r="C182" i="44"/>
  <c r="A183" i="44"/>
  <c r="B183" i="44" s="1"/>
  <c r="C183" i="44"/>
  <c r="A184" i="44"/>
  <c r="B184" i="44" s="1"/>
  <c r="C184" i="44"/>
  <c r="A185" i="44"/>
  <c r="B185" i="44" s="1"/>
  <c r="C185" i="44"/>
  <c r="A186" i="44"/>
  <c r="B186" i="44" s="1"/>
  <c r="C186" i="44"/>
  <c r="A187" i="44"/>
  <c r="B187" i="44" s="1"/>
  <c r="C187" i="44"/>
  <c r="A188" i="44"/>
  <c r="B188" i="44" s="1"/>
  <c r="C188" i="44"/>
  <c r="A189" i="44"/>
  <c r="B189" i="44" s="1"/>
  <c r="C189" i="44"/>
  <c r="A190" i="44"/>
  <c r="B190" i="44" s="1"/>
  <c r="C190" i="44"/>
  <c r="A191" i="44"/>
  <c r="B191" i="44" s="1"/>
  <c r="C191" i="44"/>
  <c r="A192" i="44"/>
  <c r="B192" i="44" s="1"/>
  <c r="C192" i="44"/>
  <c r="A193" i="44"/>
  <c r="B193" i="44" s="1"/>
  <c r="C193" i="44"/>
  <c r="A194" i="44"/>
  <c r="B194" i="44" s="1"/>
  <c r="C194" i="44"/>
  <c r="A195" i="44"/>
  <c r="B195" i="44" s="1"/>
  <c r="C195" i="44"/>
  <c r="A196" i="44"/>
  <c r="B196" i="44" s="1"/>
  <c r="C196" i="44"/>
  <c r="A197" i="44"/>
  <c r="B197" i="44" s="1"/>
  <c r="C197" i="44"/>
  <c r="A198" i="44"/>
  <c r="B198" i="44" s="1"/>
  <c r="C198" i="44"/>
  <c r="A199" i="44"/>
  <c r="B199" i="44" s="1"/>
  <c r="C199" i="44"/>
  <c r="A200" i="44"/>
  <c r="B200" i="44" s="1"/>
  <c r="C200" i="44"/>
  <c r="A201" i="44"/>
  <c r="B201" i="44" s="1"/>
  <c r="C201" i="44"/>
  <c r="A202" i="44"/>
  <c r="B202" i="44" s="1"/>
  <c r="C202" i="44"/>
  <c r="A203" i="44"/>
  <c r="B203" i="44" s="1"/>
  <c r="C203" i="44"/>
  <c r="A204" i="44"/>
  <c r="B204" i="44" s="1"/>
  <c r="C204" i="44"/>
  <c r="A205" i="44"/>
  <c r="B205" i="44" s="1"/>
  <c r="C205" i="44"/>
  <c r="A206" i="44"/>
  <c r="B206" i="44" s="1"/>
  <c r="C206" i="44"/>
  <c r="A207" i="44"/>
  <c r="B207" i="44" s="1"/>
  <c r="C207" i="44"/>
  <c r="A208" i="44"/>
  <c r="B208" i="44" s="1"/>
  <c r="C208" i="44"/>
  <c r="A209" i="44"/>
  <c r="B209" i="44" s="1"/>
  <c r="C209" i="44"/>
  <c r="A210" i="44"/>
  <c r="B210" i="44" s="1"/>
  <c r="C210" i="44"/>
  <c r="A211" i="44"/>
  <c r="B211" i="44" s="1"/>
  <c r="C211" i="44"/>
  <c r="A212" i="44"/>
  <c r="B212" i="44" s="1"/>
  <c r="C212" i="44"/>
  <c r="A213" i="44"/>
  <c r="B213" i="44" s="1"/>
  <c r="C213" i="44"/>
  <c r="A214" i="44"/>
  <c r="B214" i="44" s="1"/>
  <c r="C214" i="44"/>
  <c r="A215" i="44"/>
  <c r="B215" i="44" s="1"/>
  <c r="C215" i="44"/>
  <c r="A216" i="44"/>
  <c r="B216" i="44" s="1"/>
  <c r="C216" i="44"/>
  <c r="A217" i="44"/>
  <c r="B217" i="44" s="1"/>
  <c r="C217" i="44"/>
  <c r="A218" i="44"/>
  <c r="B218" i="44" s="1"/>
  <c r="C218" i="44"/>
  <c r="A219" i="44"/>
  <c r="B219" i="44" s="1"/>
  <c r="C219" i="44"/>
  <c r="A220" i="44"/>
  <c r="B220" i="44" s="1"/>
  <c r="C220" i="44"/>
  <c r="A221" i="44"/>
  <c r="B221" i="44" s="1"/>
  <c r="C221" i="44"/>
  <c r="A222" i="44"/>
  <c r="B222" i="44" s="1"/>
  <c r="C222" i="44"/>
  <c r="A223" i="44"/>
  <c r="B223" i="44" s="1"/>
  <c r="C223" i="44"/>
  <c r="A224" i="44"/>
  <c r="B224" i="44" s="1"/>
  <c r="C224" i="44"/>
  <c r="A225" i="44"/>
  <c r="B225" i="44" s="1"/>
  <c r="C225" i="44"/>
  <c r="A226" i="44"/>
  <c r="B226" i="44" s="1"/>
  <c r="C226" i="44"/>
  <c r="A227" i="44"/>
  <c r="B227" i="44" s="1"/>
  <c r="C227" i="44"/>
  <c r="A228" i="44"/>
  <c r="B228" i="44" s="1"/>
  <c r="C228" i="44"/>
  <c r="A229" i="44"/>
  <c r="B229" i="44" s="1"/>
  <c r="C229" i="44"/>
  <c r="A230" i="44"/>
  <c r="B230" i="44" s="1"/>
  <c r="C230" i="44"/>
  <c r="A231" i="44"/>
  <c r="B231" i="44" s="1"/>
  <c r="C231" i="44"/>
  <c r="A232" i="44"/>
  <c r="B232" i="44" s="1"/>
  <c r="C232" i="44"/>
  <c r="A233" i="44"/>
  <c r="B233" i="44" s="1"/>
  <c r="C233" i="44"/>
  <c r="A234" i="44"/>
  <c r="B234" i="44" s="1"/>
  <c r="C234" i="44"/>
  <c r="A235" i="44"/>
  <c r="B235" i="44" s="1"/>
  <c r="C235" i="44"/>
  <c r="A236" i="44"/>
  <c r="B236" i="44" s="1"/>
  <c r="C236" i="44"/>
  <c r="A237" i="44"/>
  <c r="B237" i="44" s="1"/>
  <c r="C237" i="44"/>
  <c r="A238" i="44"/>
  <c r="B238" i="44" s="1"/>
  <c r="C238" i="44"/>
  <c r="A239" i="44"/>
  <c r="B239" i="44" s="1"/>
  <c r="C239" i="44"/>
  <c r="A240" i="44"/>
  <c r="B240" i="44" s="1"/>
  <c r="C240" i="44"/>
  <c r="A241" i="44"/>
  <c r="B241" i="44" s="1"/>
  <c r="C241" i="44"/>
  <c r="A242" i="44"/>
  <c r="B242" i="44" s="1"/>
  <c r="C242" i="44"/>
  <c r="A243" i="44"/>
  <c r="B243" i="44" s="1"/>
  <c r="C243" i="44"/>
  <c r="A244" i="44"/>
  <c r="B244" i="44" s="1"/>
  <c r="C244" i="44"/>
  <c r="A245" i="44"/>
  <c r="B245" i="44" s="1"/>
  <c r="C245" i="44"/>
  <c r="A246" i="44"/>
  <c r="B246" i="44" s="1"/>
  <c r="C246" i="44"/>
  <c r="A247" i="44"/>
  <c r="B247" i="44" s="1"/>
  <c r="C247" i="44"/>
  <c r="A248" i="44"/>
  <c r="B248" i="44" s="1"/>
  <c r="C248" i="44"/>
  <c r="A249" i="44"/>
  <c r="B249" i="44" s="1"/>
  <c r="C249" i="44"/>
  <c r="A250" i="44"/>
  <c r="B250" i="44" s="1"/>
  <c r="C250" i="44"/>
  <c r="A251" i="44"/>
  <c r="B251" i="44" s="1"/>
  <c r="C251" i="44"/>
  <c r="A252" i="44"/>
  <c r="B252" i="44" s="1"/>
  <c r="C252" i="44"/>
  <c r="A253" i="44"/>
  <c r="B253" i="44" s="1"/>
  <c r="C253" i="44"/>
  <c r="A254" i="44"/>
  <c r="B254" i="44" s="1"/>
  <c r="C254" i="44"/>
  <c r="A255" i="44"/>
  <c r="B255" i="44" s="1"/>
  <c r="C255" i="44"/>
  <c r="A256" i="44"/>
  <c r="B256" i="44" s="1"/>
  <c r="C256" i="44"/>
  <c r="A257" i="44"/>
  <c r="B257" i="44" s="1"/>
  <c r="C257" i="44"/>
  <c r="A258" i="44"/>
  <c r="B258" i="44" s="1"/>
  <c r="C258" i="44"/>
  <c r="A259" i="44"/>
  <c r="B259" i="44" s="1"/>
  <c r="C259" i="44"/>
  <c r="A260" i="44"/>
  <c r="B260" i="44" s="1"/>
  <c r="C260" i="44"/>
  <c r="A261" i="44"/>
  <c r="B261" i="44" s="1"/>
  <c r="C261" i="44"/>
  <c r="A262" i="44"/>
  <c r="B262" i="44" s="1"/>
  <c r="C262" i="44"/>
  <c r="A263" i="44"/>
  <c r="B263" i="44" s="1"/>
  <c r="C263" i="44"/>
  <c r="A264" i="44"/>
  <c r="B264" i="44" s="1"/>
  <c r="C264" i="44"/>
  <c r="A265" i="44"/>
  <c r="B265" i="44" s="1"/>
  <c r="C265" i="44"/>
  <c r="A266" i="44"/>
  <c r="B266" i="44" s="1"/>
  <c r="C266" i="44"/>
  <c r="A267" i="44"/>
  <c r="B267" i="44" s="1"/>
  <c r="C267" i="44"/>
  <c r="A268" i="44"/>
  <c r="B268" i="44" s="1"/>
  <c r="C268" i="44"/>
  <c r="A269" i="44"/>
  <c r="B269" i="44" s="1"/>
  <c r="C269" i="44"/>
  <c r="A270" i="44"/>
  <c r="B270" i="44" s="1"/>
  <c r="C270" i="44"/>
  <c r="A271" i="44"/>
  <c r="B271" i="44" s="1"/>
  <c r="C271" i="44"/>
  <c r="A272" i="44"/>
  <c r="B272" i="44" s="1"/>
  <c r="C272" i="44"/>
  <c r="A273" i="44"/>
  <c r="B273" i="44" s="1"/>
  <c r="C273" i="44"/>
  <c r="A274" i="44"/>
  <c r="B274" i="44" s="1"/>
  <c r="C274" i="44"/>
  <c r="A275" i="44"/>
  <c r="B275" i="44" s="1"/>
  <c r="C275" i="44"/>
  <c r="A276" i="44"/>
  <c r="B276" i="44" s="1"/>
  <c r="C276" i="44"/>
  <c r="A277" i="44"/>
  <c r="B277" i="44" s="1"/>
  <c r="C277" i="44"/>
  <c r="A278" i="44"/>
  <c r="B278" i="44" s="1"/>
  <c r="C278" i="44"/>
  <c r="A279" i="44"/>
  <c r="B279" i="44" s="1"/>
  <c r="C279" i="44"/>
  <c r="A280" i="44"/>
  <c r="B280" i="44" s="1"/>
  <c r="C280" i="44"/>
  <c r="A281" i="44"/>
  <c r="B281" i="44" s="1"/>
  <c r="C281" i="44"/>
  <c r="A282" i="44"/>
  <c r="B282" i="44" s="1"/>
  <c r="C282" i="44"/>
  <c r="A283" i="44"/>
  <c r="B283" i="44" s="1"/>
  <c r="C283" i="44"/>
  <c r="A284" i="44"/>
  <c r="B284" i="44" s="1"/>
  <c r="C284" i="44"/>
  <c r="A285" i="44"/>
  <c r="B285" i="44" s="1"/>
  <c r="C285" i="44"/>
  <c r="A286" i="44"/>
  <c r="B286" i="44" s="1"/>
  <c r="C286" i="44"/>
  <c r="A287" i="44"/>
  <c r="B287" i="44" s="1"/>
  <c r="C287" i="44"/>
  <c r="A288" i="44"/>
  <c r="B288" i="44" s="1"/>
  <c r="C288" i="44"/>
  <c r="A289" i="44"/>
  <c r="B289" i="44" s="1"/>
  <c r="C289" i="44"/>
  <c r="A290" i="44"/>
  <c r="B290" i="44" s="1"/>
  <c r="C290" i="44"/>
  <c r="A291" i="44"/>
  <c r="B291" i="44" s="1"/>
  <c r="C291" i="44"/>
  <c r="A292" i="44"/>
  <c r="B292" i="44" s="1"/>
  <c r="C292" i="44"/>
  <c r="A293" i="44"/>
  <c r="B293" i="44" s="1"/>
  <c r="C293" i="44"/>
  <c r="A294" i="44"/>
  <c r="B294" i="44" s="1"/>
  <c r="C294" i="44"/>
  <c r="A295" i="44"/>
  <c r="B295" i="44" s="1"/>
  <c r="C295" i="44"/>
  <c r="A296" i="44"/>
  <c r="B296" i="44" s="1"/>
  <c r="C296" i="44"/>
  <c r="A297" i="44"/>
  <c r="B297" i="44" s="1"/>
  <c r="C297" i="44"/>
  <c r="A298" i="44"/>
  <c r="B298" i="44" s="1"/>
  <c r="C298" i="44"/>
  <c r="A299" i="44"/>
  <c r="B299" i="44" s="1"/>
  <c r="C299" i="44"/>
  <c r="A300" i="44"/>
  <c r="B300" i="44" s="1"/>
  <c r="C300" i="44"/>
  <c r="A301" i="44"/>
  <c r="B301" i="44" s="1"/>
  <c r="C301" i="44"/>
  <c r="A302" i="44"/>
  <c r="B302" i="44" s="1"/>
  <c r="C302" i="44"/>
  <c r="A303" i="44"/>
  <c r="B303" i="44" s="1"/>
  <c r="C303" i="44"/>
  <c r="A304" i="44"/>
  <c r="B304" i="44" s="1"/>
  <c r="C304" i="44"/>
  <c r="A305" i="44"/>
  <c r="B305" i="44" s="1"/>
  <c r="C305" i="44"/>
  <c r="A306" i="44"/>
  <c r="B306" i="44" s="1"/>
  <c r="C306" i="44"/>
  <c r="A307" i="44"/>
  <c r="B307" i="44" s="1"/>
  <c r="C307" i="44"/>
  <c r="A308" i="44"/>
  <c r="B308" i="44" s="1"/>
  <c r="C308" i="44"/>
  <c r="A309" i="44"/>
  <c r="B309" i="44" s="1"/>
  <c r="C309" i="44"/>
  <c r="A310" i="44"/>
  <c r="B310" i="44" s="1"/>
  <c r="C310" i="44"/>
  <c r="A311" i="44"/>
  <c r="B311" i="44" s="1"/>
  <c r="C311" i="44"/>
  <c r="A312" i="44"/>
  <c r="B312" i="44" s="1"/>
  <c r="C312" i="44"/>
  <c r="A313" i="44"/>
  <c r="B313" i="44" s="1"/>
  <c r="C313" i="44"/>
  <c r="A314" i="44"/>
  <c r="B314" i="44" s="1"/>
  <c r="C314" i="44"/>
  <c r="A315" i="44"/>
  <c r="B315" i="44" s="1"/>
  <c r="C315" i="44"/>
  <c r="A316" i="44"/>
  <c r="B316" i="44" s="1"/>
  <c r="C316" i="44"/>
  <c r="A317" i="44"/>
  <c r="B317" i="44" s="1"/>
  <c r="C317" i="44"/>
  <c r="A318" i="44"/>
  <c r="B318" i="44" s="1"/>
  <c r="C318" i="44"/>
  <c r="A319" i="44"/>
  <c r="B319" i="44" s="1"/>
  <c r="C319" i="44"/>
  <c r="A320" i="44"/>
  <c r="B320" i="44" s="1"/>
  <c r="C320" i="44"/>
  <c r="A321" i="44"/>
  <c r="B321" i="44" s="1"/>
  <c r="C321" i="44"/>
  <c r="A322" i="44"/>
  <c r="B322" i="44" s="1"/>
  <c r="C322" i="44"/>
  <c r="A323" i="44"/>
  <c r="B323" i="44" s="1"/>
  <c r="C323" i="44"/>
  <c r="A324" i="44"/>
  <c r="B324" i="44" s="1"/>
  <c r="C324" i="44"/>
  <c r="A325" i="44"/>
  <c r="B325" i="44" s="1"/>
  <c r="C325" i="44"/>
  <c r="A326" i="44"/>
  <c r="B326" i="44" s="1"/>
  <c r="C326" i="44"/>
  <c r="A327" i="44"/>
  <c r="B327" i="44" s="1"/>
  <c r="C327" i="44"/>
  <c r="A328" i="44"/>
  <c r="B328" i="44" s="1"/>
  <c r="C328" i="44"/>
  <c r="A329" i="44"/>
  <c r="B329" i="44" s="1"/>
  <c r="C329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C71" i="44"/>
  <c r="C72" i="44"/>
  <c r="C73" i="44"/>
  <c r="C74" i="44"/>
  <c r="C75" i="44"/>
  <c r="C76" i="44"/>
  <c r="C77" i="44"/>
  <c r="C78" i="44"/>
  <c r="C79" i="44"/>
  <c r="C80" i="44"/>
  <c r="C81" i="44"/>
  <c r="C82" i="44"/>
  <c r="C83" i="44"/>
  <c r="C84" i="44"/>
  <c r="C85" i="44"/>
  <c r="C86" i="44"/>
  <c r="C87" i="44"/>
  <c r="C88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A93" i="44"/>
  <c r="B93" i="44" s="1"/>
  <c r="A94" i="44"/>
  <c r="B94" i="44" s="1"/>
  <c r="A95" i="44"/>
  <c r="B95" i="44" s="1"/>
  <c r="A96" i="44"/>
  <c r="B96" i="44" s="1"/>
  <c r="A97" i="44"/>
  <c r="B97" i="44" s="1"/>
  <c r="A98" i="44"/>
  <c r="B98" i="44" s="1"/>
  <c r="A99" i="44"/>
  <c r="B99" i="44" s="1"/>
  <c r="A100" i="44"/>
  <c r="B100" i="44" s="1"/>
  <c r="A101" i="44"/>
  <c r="B101" i="44" s="1"/>
  <c r="A102" i="44"/>
  <c r="B102" i="44" s="1"/>
  <c r="A103" i="44"/>
  <c r="B103" i="44" s="1"/>
  <c r="A104" i="44"/>
  <c r="B104" i="44" s="1"/>
  <c r="A105" i="44"/>
  <c r="B105" i="44" s="1"/>
  <c r="A106" i="44"/>
  <c r="B106" i="44" s="1"/>
  <c r="A107" i="44"/>
  <c r="B107" i="44" s="1"/>
  <c r="A108" i="44"/>
  <c r="B108" i="44" s="1"/>
  <c r="A109" i="44"/>
  <c r="B109" i="44" s="1"/>
  <c r="A110" i="44"/>
  <c r="B110" i="44" s="1"/>
  <c r="A111" i="44"/>
  <c r="B111" i="44" s="1"/>
  <c r="A112" i="44"/>
  <c r="B112" i="44" s="1"/>
  <c r="A113" i="44"/>
  <c r="B113" i="44" s="1"/>
  <c r="A114" i="44"/>
  <c r="B114" i="44" s="1"/>
  <c r="A115" i="44"/>
  <c r="B115" i="44" s="1"/>
  <c r="A116" i="44"/>
  <c r="B116" i="44" s="1"/>
  <c r="A117" i="44"/>
  <c r="B117" i="44" s="1"/>
  <c r="A118" i="44"/>
  <c r="B118" i="44" s="1"/>
  <c r="A119" i="44"/>
  <c r="B119" i="44" s="1"/>
  <c r="A120" i="44"/>
  <c r="B120" i="44" s="1"/>
  <c r="A121" i="44"/>
  <c r="B121" i="44" s="1"/>
  <c r="A122" i="44"/>
  <c r="B122" i="44" s="1"/>
  <c r="A123" i="44"/>
  <c r="B123" i="44" s="1"/>
  <c r="A124" i="44"/>
  <c r="B124" i="44" s="1"/>
  <c r="A125" i="44"/>
  <c r="B125" i="44" s="1"/>
  <c r="A126" i="44"/>
  <c r="B126" i="44" s="1"/>
  <c r="A127" i="44"/>
  <c r="B127" i="44" s="1"/>
  <c r="A128" i="44"/>
  <c r="B128" i="44" s="1"/>
  <c r="A129" i="44"/>
  <c r="B129" i="44" s="1"/>
  <c r="A130" i="44"/>
  <c r="B130" i="44" s="1"/>
  <c r="A131" i="44"/>
  <c r="B131" i="44" s="1"/>
  <c r="A132" i="44"/>
  <c r="B132" i="44" s="1"/>
  <c r="A133" i="44"/>
  <c r="B133" i="44" s="1"/>
  <c r="A134" i="44"/>
  <c r="B134" i="44" s="1"/>
  <c r="A135" i="44"/>
  <c r="B135" i="44" s="1"/>
  <c r="A136" i="44"/>
  <c r="B136" i="44" s="1"/>
  <c r="A137" i="44"/>
  <c r="B137" i="44" s="1"/>
  <c r="A138" i="44"/>
  <c r="B138" i="44" s="1"/>
  <c r="A139" i="44"/>
  <c r="B139" i="44" s="1"/>
  <c r="A140" i="44"/>
  <c r="B140" i="44" s="1"/>
  <c r="A141" i="44"/>
  <c r="B141" i="44" s="1"/>
  <c r="A142" i="44"/>
  <c r="B142" i="44" s="1"/>
  <c r="A143" i="44"/>
  <c r="B143" i="44" s="1"/>
  <c r="A144" i="44"/>
  <c r="B144" i="44" s="1"/>
  <c r="A145" i="44"/>
  <c r="B145" i="44" s="1"/>
  <c r="A146" i="44"/>
  <c r="B146" i="44" s="1"/>
  <c r="A147" i="44"/>
  <c r="B147" i="44" s="1"/>
  <c r="A148" i="44"/>
  <c r="B148" i="44" s="1"/>
  <c r="A149" i="44"/>
  <c r="B149" i="44" s="1"/>
  <c r="A150" i="44"/>
  <c r="B150" i="44" s="1"/>
  <c r="A151" i="44"/>
  <c r="B151" i="44" s="1"/>
  <c r="A152" i="44"/>
  <c r="B152" i="44" s="1"/>
  <c r="A153" i="44"/>
  <c r="B153" i="44" s="1"/>
  <c r="A154" i="44"/>
  <c r="B154" i="44" s="1"/>
  <c r="A155" i="44"/>
  <c r="B155" i="44" s="1"/>
  <c r="A156" i="44"/>
  <c r="B156" i="44" s="1"/>
  <c r="A157" i="44"/>
  <c r="B157" i="44" s="1"/>
  <c r="A158" i="44"/>
  <c r="B158" i="44" s="1"/>
  <c r="A159" i="44"/>
  <c r="B159" i="44" s="1"/>
  <c r="A160" i="44"/>
  <c r="B160" i="44" s="1"/>
  <c r="A161" i="44"/>
  <c r="B161" i="44" s="1"/>
  <c r="A162" i="44"/>
  <c r="B162" i="44" s="1"/>
  <c r="A163" i="44"/>
  <c r="B163" i="44" s="1"/>
  <c r="A164" i="44"/>
  <c r="B164" i="44" s="1"/>
  <c r="A165" i="44"/>
  <c r="B165" i="44" s="1"/>
  <c r="A166" i="44"/>
  <c r="B166" i="44" s="1"/>
  <c r="A167" i="44"/>
  <c r="B167" i="44" s="1"/>
  <c r="A6" i="44"/>
  <c r="A7" i="44"/>
  <c r="B7" i="44" s="1"/>
  <c r="A8" i="44"/>
  <c r="B8" i="44" s="1"/>
  <c r="A9" i="44"/>
  <c r="B9" i="44" s="1"/>
  <c r="A10" i="44"/>
  <c r="B10" i="44" s="1"/>
  <c r="A11" i="44"/>
  <c r="B11" i="44" s="1"/>
  <c r="A12" i="44"/>
  <c r="B12" i="44" s="1"/>
  <c r="A13" i="44"/>
  <c r="B13" i="44" s="1"/>
  <c r="A14" i="44"/>
  <c r="B14" i="44" s="1"/>
  <c r="A15" i="44"/>
  <c r="B15" i="44" s="1"/>
  <c r="A16" i="44"/>
  <c r="B16" i="44" s="1"/>
  <c r="A17" i="44"/>
  <c r="B17" i="44" s="1"/>
  <c r="A18" i="44"/>
  <c r="B18" i="44" s="1"/>
  <c r="A19" i="44"/>
  <c r="B19" i="44" s="1"/>
  <c r="A20" i="44"/>
  <c r="B20" i="44" s="1"/>
  <c r="A21" i="44"/>
  <c r="B21" i="44" s="1"/>
  <c r="A22" i="44"/>
  <c r="B22" i="44" s="1"/>
  <c r="A23" i="44"/>
  <c r="B23" i="44" s="1"/>
  <c r="A24" i="44"/>
  <c r="B24" i="44" s="1"/>
  <c r="A25" i="44"/>
  <c r="B25" i="44" s="1"/>
  <c r="A26" i="44"/>
  <c r="B26" i="44" s="1"/>
  <c r="A27" i="44"/>
  <c r="B27" i="44" s="1"/>
  <c r="A28" i="44"/>
  <c r="B28" i="44" s="1"/>
  <c r="A29" i="44"/>
  <c r="B29" i="44" s="1"/>
  <c r="A30" i="44"/>
  <c r="B30" i="44" s="1"/>
  <c r="A31" i="44"/>
  <c r="B31" i="44" s="1"/>
  <c r="A32" i="44"/>
  <c r="B32" i="44" s="1"/>
  <c r="A33" i="44"/>
  <c r="B33" i="44" s="1"/>
  <c r="A34" i="44"/>
  <c r="B34" i="44" s="1"/>
  <c r="A35" i="44"/>
  <c r="B35" i="44" s="1"/>
  <c r="A36" i="44"/>
  <c r="B36" i="44" s="1"/>
  <c r="A37" i="44"/>
  <c r="B37" i="44" s="1"/>
  <c r="A38" i="44"/>
  <c r="B38" i="44" s="1"/>
  <c r="A39" i="44"/>
  <c r="B39" i="44" s="1"/>
  <c r="A40" i="44"/>
  <c r="B40" i="44" s="1"/>
  <c r="A41" i="44"/>
  <c r="B41" i="44" s="1"/>
  <c r="A42" i="44"/>
  <c r="B42" i="44" s="1"/>
  <c r="A43" i="44"/>
  <c r="B43" i="44" s="1"/>
  <c r="A44" i="44"/>
  <c r="B44" i="44" s="1"/>
  <c r="A45" i="44"/>
  <c r="B45" i="44" s="1"/>
  <c r="A46" i="44"/>
  <c r="B46" i="44" s="1"/>
  <c r="A47" i="44"/>
  <c r="B47" i="44" s="1"/>
  <c r="A48" i="44"/>
  <c r="B48" i="44" s="1"/>
  <c r="A49" i="44"/>
  <c r="B49" i="44" s="1"/>
  <c r="A50" i="44"/>
  <c r="B50" i="44" s="1"/>
  <c r="A51" i="44"/>
  <c r="B51" i="44" s="1"/>
  <c r="A52" i="44"/>
  <c r="B52" i="44" s="1"/>
  <c r="A53" i="44"/>
  <c r="B53" i="44" s="1"/>
  <c r="A54" i="44"/>
  <c r="B54" i="44" s="1"/>
  <c r="A55" i="44"/>
  <c r="B55" i="44" s="1"/>
  <c r="A56" i="44"/>
  <c r="B56" i="44" s="1"/>
  <c r="A57" i="44"/>
  <c r="B57" i="44" s="1"/>
  <c r="A58" i="44"/>
  <c r="B58" i="44" s="1"/>
  <c r="A59" i="44"/>
  <c r="B59" i="44" s="1"/>
  <c r="A60" i="44"/>
  <c r="B60" i="44" s="1"/>
  <c r="A61" i="44"/>
  <c r="B61" i="44" s="1"/>
  <c r="A62" i="44"/>
  <c r="B62" i="44" s="1"/>
  <c r="A63" i="44"/>
  <c r="B63" i="44" s="1"/>
  <c r="A64" i="44"/>
  <c r="B64" i="44" s="1"/>
  <c r="A65" i="44"/>
  <c r="B65" i="44" s="1"/>
  <c r="A66" i="44"/>
  <c r="B66" i="44" s="1"/>
  <c r="A67" i="44"/>
  <c r="B67" i="44" s="1"/>
  <c r="A68" i="44"/>
  <c r="B68" i="44" s="1"/>
  <c r="A69" i="44"/>
  <c r="B69" i="44" s="1"/>
  <c r="A70" i="44"/>
  <c r="B70" i="44" s="1"/>
  <c r="A71" i="44"/>
  <c r="B71" i="44" s="1"/>
  <c r="A72" i="44"/>
  <c r="B72" i="44" s="1"/>
  <c r="A73" i="44"/>
  <c r="B73" i="44" s="1"/>
  <c r="A74" i="44"/>
  <c r="B74" i="44" s="1"/>
  <c r="A75" i="44"/>
  <c r="B75" i="44" s="1"/>
  <c r="A76" i="44"/>
  <c r="B76" i="44" s="1"/>
  <c r="A77" i="44"/>
  <c r="B77" i="44" s="1"/>
  <c r="A78" i="44"/>
  <c r="B78" i="44" s="1"/>
  <c r="A79" i="44"/>
  <c r="B79" i="44" s="1"/>
  <c r="A80" i="44"/>
  <c r="B80" i="44" s="1"/>
  <c r="A81" i="44"/>
  <c r="B81" i="44" s="1"/>
  <c r="A82" i="44"/>
  <c r="B82" i="44" s="1"/>
  <c r="A83" i="44"/>
  <c r="B83" i="44" s="1"/>
  <c r="A84" i="44"/>
  <c r="B84" i="44" s="1"/>
  <c r="A85" i="44"/>
  <c r="B85" i="44" s="1"/>
  <c r="A86" i="44"/>
  <c r="B86" i="44" s="1"/>
  <c r="A87" i="44"/>
  <c r="B87" i="44" s="1"/>
  <c r="A88" i="44"/>
  <c r="B88" i="44" s="1"/>
  <c r="A89" i="44"/>
  <c r="B89" i="44" s="1"/>
  <c r="A90" i="44"/>
  <c r="B90" i="44" s="1"/>
  <c r="A91" i="44"/>
  <c r="B91" i="44" s="1"/>
  <c r="A92" i="44"/>
  <c r="B92" i="44" s="1"/>
  <c r="AC6" i="44"/>
  <c r="B6" i="44" l="1"/>
  <c r="D10" i="45" s="1"/>
  <c r="F10" i="45" s="1"/>
  <c r="D135" i="45" l="1"/>
  <c r="F135" i="45" s="1"/>
</calcChain>
</file>

<file path=xl/sharedStrings.xml><?xml version="1.0" encoding="utf-8"?>
<sst xmlns="http://schemas.openxmlformats.org/spreadsheetml/2006/main" count="172" uniqueCount="59">
  <si>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</si>
  <si>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</si>
  <si>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</si>
  <si>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</si>
  <si>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</si>
  <si>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</si>
  <si>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</si>
  <si>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</si>
  <si>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</si>
  <si>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</si>
  <si>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</si>
  <si>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</si>
  <si>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</si>
  <si>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</si>
  <si>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</si>
  <si>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</si>
  <si>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</si>
  <si>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</si>
  <si>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</si>
  <si>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</si>
  <si>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</si>
  <si>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</si>
  <si>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</si>
  <si>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</si>
  <si>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</si>
  <si>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May</t>
  </si>
  <si>
    <t>Jun</t>
  </si>
  <si>
    <t>Jul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</si>
  <si>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</si>
  <si>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</si>
  <si>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</si>
  <si>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</si>
  <si>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</si>
  <si>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</si>
  <si>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</si>
  <si>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</si>
  <si>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</si>
  <si>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</si>
  <si>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</si>
  <si>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</si>
  <si>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Total</t>
  </si>
  <si>
    <t>N. Días</t>
  </si>
  <si>
    <t>TOTAL PRODUCTO</t>
  </si>
  <si>
    <t>SOL &amp; CIELO ENERGÍA SAS ESP</t>
  </si>
  <si>
    <t>HO1</t>
  </si>
  <si>
    <t>ANEXO 4 - CANTIDADES DE  ENERGÍA ESTIMADAS EN kWh</t>
  </si>
  <si>
    <t>Abr</t>
  </si>
  <si>
    <t>Feb</t>
  </si>
  <si>
    <t>Mar</t>
  </si>
  <si>
    <t>ANEXO 4 - OFERTAS PRODUCTO 1</t>
  </si>
  <si>
    <t xml:space="preserve"> - Por favor complete los campos naranja</t>
  </si>
  <si>
    <t>Ago</t>
  </si>
  <si>
    <t>Sep</t>
  </si>
  <si>
    <t>Oct</t>
  </si>
  <si>
    <t>Nov</t>
  </si>
  <si>
    <t>Dic</t>
  </si>
  <si>
    <t>Ene</t>
  </si>
  <si>
    <t>PERIODO 2026-08-01 A 2036-12-31</t>
  </si>
  <si>
    <t>PERIODO:  DE 1 AGOSTO 2026 A 31 DICIEMBRE 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</si>
</sst>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6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  <xf numFmtId="0" fontId="10" fillId="3" borderId="0">
      <alignment horizontal="center" vertical="center"/>
    </xf>
    <xf numFmtId="0" fontId="10" fillId="3" borderId="0"/>
  </cellStyleXfs>
  <cellXfs count="45">
    <xf numFmtId="0" fontId="0" fillId="0" borderId="0" xfId="0"/>
    <xf numFmtId="167" fontId="6" fillId="0" borderId="0" xfId="1" applyNumberFormat="1" applyFont="1" applyFill="1" applyBorder="1" applyAlignment="1">
      <alignment horizontal="center"/>
    </xf>
    <xf numFmtId="0" fontId="6" fillId="0" borderId="0" xfId="3" applyFont="1"/>
    <xf numFmtId="0" fontId="6" fillId="0" borderId="0" xfId="0" applyFont="1"/>
    <xf numFmtId="166" fontId="6" fillId="0" borderId="0" xfId="1" applyFont="1" applyFill="1" applyBorder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" fontId="9" fillId="0" borderId="6" xfId="0" applyNumberFormat="1" applyFont="1" applyBorder="1" applyAlignment="1">
      <alignment horizontal="center" vertical="center"/>
    </xf>
    <xf numFmtId="165" fontId="6" fillId="0" borderId="7" xfId="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/>
    <xf numFmtId="0" fontId="6" fillId="0" borderId="0" xfId="0" quotePrefix="1" applyFont="1"/>
    <xf numFmtId="165" fontId="6" fillId="0" borderId="0" xfId="0" applyNumberFormat="1" applyFont="1"/>
    <xf numFmtId="0" fontId="9" fillId="0" borderId="14" xfId="0" applyFont="1" applyBorder="1" applyAlignment="1">
      <alignment horizontal="center" vertical="center"/>
    </xf>
    <xf numFmtId="17" fontId="9" fillId="0" borderId="11" xfId="0" applyNumberFormat="1" applyFont="1" applyBorder="1" applyAlignment="1">
      <alignment horizontal="center" vertical="center"/>
    </xf>
    <xf numFmtId="165" fontId="6" fillId="0" borderId="12" xfId="0" applyNumberFormat="1" applyFont="1" applyBorder="1"/>
    <xf numFmtId="165" fontId="6" fillId="0" borderId="11" xfId="2" applyFont="1" applyFill="1" applyBorder="1" applyAlignment="1">
      <alignment horizontal="center" vertical="center"/>
    </xf>
    <xf numFmtId="9" fontId="6" fillId="0" borderId="10" xfId="4" applyFont="1" applyFill="1" applyBorder="1" applyAlignment="1" applyProtection="1">
      <alignment horizontal="center" vertical="center"/>
      <protection locked="0"/>
    </xf>
    <xf numFmtId="2" fontId="6" fillId="0" borderId="12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0" xfId="3" applyNumberFormat="1" applyFont="1"/>
    <xf numFmtId="165" fontId="6" fillId="0" borderId="16" xfId="2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6" fontId="6" fillId="2" borderId="2" xfId="1" applyFont="1" applyFill="1" applyBorder="1" applyAlignment="1" applyProtection="1">
      <alignment horizontal="center" vertical="center"/>
      <protection locked="0"/>
    </xf>
    <xf numFmtId="166" fontId="6" fillId="2" borderId="17" xfId="1" applyFont="1" applyFill="1" applyBorder="1" applyAlignment="1" applyProtection="1">
      <alignment horizontal="center" vertical="center"/>
      <protection locked="0"/>
    </xf>
    <xf numFmtId="166" fontId="6" fillId="2" borderId="9" xfId="1" applyFont="1" applyFill="1" applyBorder="1" applyAlignment="1" applyProtection="1">
      <alignment horizontal="center" vertical="center"/>
      <protection locked="0"/>
    </xf>
    <xf numFmtId="9" fontId="6" fillId="2" borderId="1" xfId="4" applyFont="1" applyFill="1" applyBorder="1" applyAlignment="1" applyProtection="1">
      <alignment horizontal="center" vertical="center"/>
      <protection locked="0"/>
    </xf>
    <xf numFmtId="9" fontId="6" fillId="2" borderId="13" xfId="4" applyFont="1" applyFill="1" applyBorder="1" applyAlignment="1" applyProtection="1">
      <alignment horizontal="center" vertical="center"/>
      <protection locked="0"/>
    </xf>
  </cellXfs>
  <cellStyles count="16">
    <cellStyle name="EstiloLabel" xfId="14" xr:uid="{2C7BB463-02AA-496E-A847-06CD13D84712}"/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  <cellStyle name="SinEstilo" xfId="15" xr:uid="{7267CCE8-AE0D-4551-9D6A-1AD6FC2BA574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380" totalsRowShown="0" headerRowDxfId="30" dataDxfId="29" dataCellStyle="Millares">
  <autoFilter ref="A5:AC380" xr:uid="{623B8226-A19B-4A49-BA1D-E2B90CEAFCDE}"/>
  <tableColumns count="29">
    <tableColumn id="1" xr3:uid="{258FC7B1-AB2C-41E9-A4DA-A22C0F76CE93}" name="Año" dataDxfId="28" dataCellStyle="Normal 2">
      <calculatedColumnFormula>ROUNDDOWN((ROW()-6+3*7)/(12*3),0)+2026</calculatedColumnFormula>
    </tableColumn>
    <tableColumn id="2" xr3:uid="{2CFE93B2-E9F0-40B3-9CCD-741BDAA0874C}" name="Mes" dataDxfId="27">
      <calculatedColumnFormula>PROPER(TEXT(DATEVALUE("1/"&amp;MOD(ROUNDDOWN((ROW()-6+7*3)/3,0),12)+1&amp;"/"&amp;Tabla1[[#This Row],[Año]]),"mmm"))</calculatedColumnFormula>
    </tableColumn>
    <tableColumn id="3" xr3:uid="{1DF17EEE-269F-4ACD-9D0D-FC60933DE82B}" name="Dias\Horas" dataDxfId="26">
      <calculatedColumnFormula>CHOOSE(MOD(ROW()-6,3)+1,"Hábil","Sábado","Domingo y Festivo")</calculatedColumnFormula>
    </tableColumn>
    <tableColumn id="4" xr3:uid="{707697F8-85C2-425A-BE80-FD1CB5DE8B72}" name="HO1" dataDxfId="25" dataCellStyle="Millares"/>
    <tableColumn id="5" xr3:uid="{7C3DBE8F-9144-4ABE-A782-F1DADD14A57D}" name="HO2" dataDxfId="24" dataCellStyle="Millares"/>
    <tableColumn id="6" xr3:uid="{DC7A1BE4-942D-4028-A791-AFFB3557B890}" name="HO3" dataDxfId="23" dataCellStyle="Millares"/>
    <tableColumn id="7" xr3:uid="{05840084-9C8D-40A2-BF0D-745725769AF7}" name="HO4" dataDxfId="22" dataCellStyle="Millares"/>
    <tableColumn id="8" xr3:uid="{476F1D24-2E1C-4362-8D75-95E46A3A2D33}" name="HO5" dataDxfId="21" dataCellStyle="Millares"/>
    <tableColumn id="9" xr3:uid="{3BB499EE-3583-40F8-9F65-998958A70E32}" name="HO6" dataDxfId="20" dataCellStyle="Millares"/>
    <tableColumn id="10" xr3:uid="{D60A03BA-156A-48A3-8980-D9BA1B3EF120}" name="HO7" dataDxfId="19" dataCellStyle="Millares"/>
    <tableColumn id="11" xr3:uid="{F8F076C4-25CA-452E-8047-3659C4FAD26F}" name="HO8" dataDxfId="18" dataCellStyle="Millares"/>
    <tableColumn id="12" xr3:uid="{0FB7A36B-4B9B-43A6-8AF2-4886F888D32F}" name="HO9" dataDxfId="17" dataCellStyle="Millares"/>
    <tableColumn id="13" xr3:uid="{7A540E58-AA37-4C1B-88BD-BDEAA76B27CA}" name="H10" dataDxfId="16" dataCellStyle="Millares"/>
    <tableColumn id="14" xr3:uid="{9C4E1837-4D81-4890-B611-89CA84F202BE}" name="H11" dataDxfId="15" dataCellStyle="Millares"/>
    <tableColumn id="15" xr3:uid="{E2A592E3-3D92-4920-BE15-B3346115244D}" name="H12" dataDxfId="14" dataCellStyle="Millares"/>
    <tableColumn id="16" xr3:uid="{4D6B59C0-4646-4E66-A96F-6FDC070B829B}" name="H13" dataDxfId="13" dataCellStyle="Millares"/>
    <tableColumn id="17" xr3:uid="{F071DE44-637F-4744-B382-4E1444E479DE}" name="H14" dataDxfId="12" dataCellStyle="Millares"/>
    <tableColumn id="18" xr3:uid="{50D7028A-6057-4636-9612-C53729934B5E}" name="H15" dataDxfId="11" dataCellStyle="Millares"/>
    <tableColumn id="19" xr3:uid="{A01D35F9-A947-4D26-A92D-F864B52732A9}" name="H16" dataDxfId="10" dataCellStyle="Millares"/>
    <tableColumn id="20" xr3:uid="{79F6CB1F-0146-432F-83EF-BAF9DB2FD289}" name="H17" dataDxfId="9" dataCellStyle="Millares"/>
    <tableColumn id="21" xr3:uid="{CC508A62-EF3E-4686-B86B-F031627D9142}" name="H18" dataDxfId="8" dataCellStyle="Millares"/>
    <tableColumn id="22" xr3:uid="{2F6E929D-CE44-44B3-95DF-92412FAF3013}" name="H19" dataDxfId="7" dataCellStyle="Millares"/>
    <tableColumn id="23" xr3:uid="{AC79BE4C-94C7-44D1-BA95-949C6A4637F1}" name="H20" dataDxfId="6" dataCellStyle="Millares"/>
    <tableColumn id="24" xr3:uid="{FF587CCF-6B2E-4491-B88D-95E97D43BFDE}" name="H21" dataDxfId="5" dataCellStyle="Millares"/>
    <tableColumn id="25" xr3:uid="{FDBBB00F-B638-4DD4-AD11-447BC4227883}" name="H22" dataDxfId="4" dataCellStyle="Millares"/>
    <tableColumn id="26" xr3:uid="{D596B851-B005-48EB-AA3E-E6774E8E1A3B}" name="H23" dataDxfId="3" dataCellStyle="Millares"/>
    <tableColumn id="27" xr3:uid="{09883F07-BBE2-4693-8766-1F8C0694B6F5}" name="H24" dataDxfId="2" dataCellStyle="Millares"/>
    <tableColumn id="28" xr3:uid="{68465093-3698-4221-B23C-85C48A645668}" name="N. Días" dataDxfId="1"/>
    <tableColumn id="29" xr3:uid="{164E94B5-8FC1-41A8-97C2-57A01D3D4044}" name="Total" dataDxfId="0">
      <calculatedColumnFormula>AB6*SUM(D6:AA6)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259"/>
  <sheetViews>
    <sheetView showGridLines="0" tabSelected="1" topLeftCell="A111" zoomScaleNormal="100" workbookViewId="0">
      <selection activeCell="F116" sqref="F116"/>
    </sheetView>
  </sheetViews>
  <sheetFormatPr baseColWidth="10" defaultColWidth="11.42578125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9" width="9.42578125" style="3" customWidth="1"/>
    <col min="10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35" t="s">
        <v>49</v>
      </c>
      <c r="C2" s="35"/>
      <c r="D2" s="35"/>
      <c r="E2" s="35"/>
      <c r="F2" s="35"/>
      <c r="G2" s="35"/>
      <c r="H2" s="10"/>
    </row>
    <row r="3" spans="2:21" ht="15" customHeight="1" x14ac:dyDescent="0.25">
      <c r="B3" s="36" t="s">
        <v>29</v>
      </c>
      <c r="C3" s="36"/>
      <c r="D3" s="36"/>
      <c r="E3" s="36"/>
      <c r="F3" s="36"/>
      <c r="G3" s="36"/>
      <c r="H3" s="10"/>
    </row>
    <row r="4" spans="2:21" ht="15" customHeight="1" x14ac:dyDescent="0.25">
      <c r="B4" s="35" t="s">
        <v>37</v>
      </c>
      <c r="C4" s="35"/>
      <c r="D4" s="35"/>
      <c r="E4" s="35"/>
      <c r="F4" s="35"/>
      <c r="G4" s="35"/>
      <c r="H4" s="10"/>
    </row>
    <row r="5" spans="2:21" ht="15" customHeight="1" x14ac:dyDescent="0.25">
      <c r="B5" s="35"/>
      <c r="C5" s="35"/>
      <c r="D5" s="35"/>
      <c r="E5" s="35"/>
      <c r="F5" s="35"/>
      <c r="G5" s="35"/>
      <c r="H5" s="10"/>
    </row>
    <row r="6" spans="2:21" ht="15" customHeight="1" thickBot="1" x14ac:dyDescent="0.3">
      <c r="B6" s="9"/>
      <c r="C6" s="9"/>
      <c r="D6" s="9"/>
      <c r="E6" s="9"/>
      <c r="F6" s="9"/>
      <c r="G6" s="9"/>
      <c r="H6" s="9"/>
      <c r="U6" s="9"/>
    </row>
    <row r="7" spans="2:21" ht="15" customHeight="1" thickBot="1" x14ac:dyDescent="0.3">
      <c r="B7" s="37" t="s">
        <v>33</v>
      </c>
      <c r="C7" s="38"/>
      <c r="D7" s="38"/>
      <c r="E7" s="38"/>
      <c r="F7" s="38"/>
      <c r="G7" s="39"/>
      <c r="H7" s="9"/>
      <c r="U7" s="9"/>
    </row>
    <row r="8" spans="2:21" ht="15" customHeight="1" thickBot="1" x14ac:dyDescent="0.3">
      <c r="B8" s="30" t="s">
        <v>32</v>
      </c>
      <c r="C8" s="30" t="s">
        <v>28</v>
      </c>
      <c r="D8" s="32" t="s">
        <v>57</v>
      </c>
      <c r="E8" s="33"/>
      <c r="F8" s="33"/>
      <c r="G8" s="34"/>
      <c r="H8" s="9"/>
      <c r="U8" s="9"/>
    </row>
    <row r="9" spans="2:21" ht="30.75" thickBot="1" x14ac:dyDescent="0.3">
      <c r="B9" s="31"/>
      <c r="C9" s="31"/>
      <c r="D9" s="11" t="s">
        <v>34</v>
      </c>
      <c r="E9" s="12" t="s">
        <v>30</v>
      </c>
      <c r="F9" s="12" t="s">
        <v>35</v>
      </c>
      <c r="G9" s="28" t="s">
        <v>31</v>
      </c>
      <c r="H9" s="13"/>
      <c r="U9" s="9"/>
    </row>
    <row r="10" spans="2:21" ht="15" customHeight="1" x14ac:dyDescent="0.25">
      <c r="B10" s="16">
        <f>ROUNDDOWN((ROW()-10+7)/12,0)+2026</f>
        <v>2026</v>
      </c>
      <c r="C10" s="14" t="s">
        <v>51</v>
      </c>
      <c r="D10" s="15">
        <f>SUMIFS('Producto 1'!$AC:$AC,'Producto 1'!$A:$A,'R-Producto 1'!$B10,'Producto 1'!$B:$B,'R-Producto 1'!$C10)</f>
        <v>448068.43416666664</v>
      </c>
      <c r="E10" s="43"/>
      <c r="F10" s="27">
        <f>D10*$E$10</f>
        <v>0</v>
      </c>
      <c r="G10" s="40"/>
      <c r="H10" s="13"/>
      <c r="U10" s="9"/>
    </row>
    <row r="11" spans="2:21" ht="15" customHeight="1" x14ac:dyDescent="0.25">
      <c r="B11" s="16">
        <f t="shared" ref="B11:B74" si="0">ROUNDDOWN((ROW()-10+7)/12,0)+2026</f>
        <v>2026</v>
      </c>
      <c r="C11" s="14" t="s">
        <v>52</v>
      </c>
      <c r="D11" s="15">
        <f>SUMIFS('Producto 1'!$AC:$AC,'Producto 1'!$A:$A,'R-Producto 1'!$B11,'Producto 1'!$B:$B,'R-Producto 1'!$C11)</f>
        <v>441176.54047619045</v>
      </c>
      <c r="E11" s="44"/>
      <c r="F11" s="27">
        <f t="shared" ref="F11:F74" si="1">D11*$E$10</f>
        <v>0</v>
      </c>
      <c r="G11" s="41"/>
      <c r="H11" s="13"/>
      <c r="U11" s="9"/>
    </row>
    <row r="12" spans="2:21" ht="15" customHeight="1" x14ac:dyDescent="0.25">
      <c r="B12" s="16">
        <f t="shared" si="0"/>
        <v>2026</v>
      </c>
      <c r="C12" s="14" t="s">
        <v>53</v>
      </c>
      <c r="D12" s="15">
        <f>SUMIFS('Producto 1'!$AC:$AC,'Producto 1'!$A:$A,'R-Producto 1'!$B12,'Producto 1'!$B:$B,'R-Producto 1'!$C12)</f>
        <v>453325.11047619046</v>
      </c>
      <c r="E12" s="44"/>
      <c r="F12" s="27">
        <f t="shared" si="1"/>
        <v>0</v>
      </c>
      <c r="G12" s="41"/>
      <c r="H12" s="13"/>
      <c r="U12" s="9"/>
    </row>
    <row r="13" spans="2:21" ht="15" customHeight="1" x14ac:dyDescent="0.25">
      <c r="B13" s="16">
        <f t="shared" si="0"/>
        <v>2026</v>
      </c>
      <c r="C13" s="14" t="s">
        <v>54</v>
      </c>
      <c r="D13" s="15">
        <f>SUMIFS('Producto 1'!$AC:$AC,'Producto 1'!$A:$A,'R-Producto 1'!$B13,'Producto 1'!$B:$B,'R-Producto 1'!$C13)</f>
        <v>435919.8641666667</v>
      </c>
      <c r="E13" s="44"/>
      <c r="F13" s="27">
        <f t="shared" si="1"/>
        <v>0</v>
      </c>
      <c r="G13" s="41"/>
      <c r="H13" s="13"/>
      <c r="U13" s="9"/>
    </row>
    <row r="14" spans="2:21" ht="15" customHeight="1" thickBot="1" x14ac:dyDescent="0.3">
      <c r="B14" s="16">
        <f t="shared" si="0"/>
        <v>2026</v>
      </c>
      <c r="C14" s="14" t="s">
        <v>55</v>
      </c>
      <c r="D14" s="15">
        <f>SUMIFS('Producto 1'!$AC:$AC,'Producto 1'!$A:$A,'R-Producto 1'!$B14,'Producto 1'!$B:$B,'R-Producto 1'!$C14)</f>
        <v>457084.57761904766</v>
      </c>
      <c r="E14" s="44"/>
      <c r="F14" s="27">
        <f t="shared" si="1"/>
        <v>0</v>
      </c>
      <c r="G14" s="42"/>
      <c r="H14" s="13"/>
      <c r="U14" s="9"/>
    </row>
    <row r="15" spans="2:21" ht="15" customHeight="1" x14ac:dyDescent="0.25">
      <c r="B15" s="16">
        <f t="shared" si="0"/>
        <v>2027</v>
      </c>
      <c r="C15" s="14" t="s">
        <v>56</v>
      </c>
      <c r="D15" s="15">
        <f>SUMIFS('Producto 1'!$AC:$AC,'Producto 1'!$A:$A,'R-Producto 1'!$B15,'Producto 1'!$B:$B,'R-Producto 1'!$C15)</f>
        <v>448068.43416666664</v>
      </c>
      <c r="E15" s="44"/>
      <c r="F15" s="27">
        <f t="shared" si="1"/>
        <v>0</v>
      </c>
      <c r="G15" s="40"/>
      <c r="H15" s="13"/>
      <c r="U15" s="9"/>
    </row>
    <row r="16" spans="2:21" ht="15" customHeight="1" x14ac:dyDescent="0.25">
      <c r="B16" s="16">
        <f t="shared" si="0"/>
        <v>2027</v>
      </c>
      <c r="C16" s="14" t="s">
        <v>47</v>
      </c>
      <c r="D16" s="15">
        <f>SUMIFS('Producto 1'!$AC:$AC,'Producto 1'!$A:$A,'R-Producto 1'!$B16,'Producto 1'!$B:$B,'R-Producto 1'!$C16)</f>
        <v>409360.46619047626</v>
      </c>
      <c r="E16" s="44"/>
      <c r="F16" s="27">
        <f t="shared" si="1"/>
        <v>0</v>
      </c>
      <c r="G16" s="41"/>
      <c r="H16" s="13"/>
      <c r="U16" s="9"/>
    </row>
    <row r="17" spans="2:21" ht="15" customHeight="1" x14ac:dyDescent="0.25">
      <c r="B17" s="16">
        <f t="shared" si="0"/>
        <v>2027</v>
      </c>
      <c r="C17" s="14" t="s">
        <v>48</v>
      </c>
      <c r="D17" s="15">
        <f>SUMIFS('Producto 1'!$AC:$AC,'Producto 1'!$A:$A,'R-Producto 1'!$B17,'Producto 1'!$B:$B,'R-Producto 1'!$C17)</f>
        <v>457084.57761904766</v>
      </c>
      <c r="E17" s="44"/>
      <c r="F17" s="27">
        <f t="shared" si="1"/>
        <v>0</v>
      </c>
      <c r="G17" s="41"/>
      <c r="H17" s="13"/>
      <c r="U17" s="9"/>
    </row>
    <row r="18" spans="2:21" ht="15" customHeight="1" x14ac:dyDescent="0.25">
      <c r="B18" s="16">
        <f t="shared" si="0"/>
        <v>2027</v>
      </c>
      <c r="C18" s="14" t="s">
        <v>46</v>
      </c>
      <c r="D18" s="15">
        <f>SUMIFS('Producto 1'!$AC:$AC,'Producto 1'!$A:$A,'R-Producto 1'!$B18,'Producto 1'!$B:$B,'R-Producto 1'!$C18)</f>
        <v>441176.54047619045</v>
      </c>
      <c r="E18" s="44"/>
      <c r="F18" s="27">
        <f t="shared" si="1"/>
        <v>0</v>
      </c>
      <c r="G18" s="41"/>
      <c r="H18" s="13"/>
      <c r="U18" s="9"/>
    </row>
    <row r="19" spans="2:21" ht="15" customHeight="1" x14ac:dyDescent="0.25">
      <c r="B19" s="16">
        <f t="shared" si="0"/>
        <v>2027</v>
      </c>
      <c r="C19" s="14" t="s">
        <v>25</v>
      </c>
      <c r="D19" s="15">
        <f>SUMIFS('Producto 1'!$AC:$AC,'Producto 1'!$A:$A,'R-Producto 1'!$B19,'Producto 1'!$B:$B,'R-Producto 1'!$C19)</f>
        <v>448068.43416666664</v>
      </c>
      <c r="E19" s="44"/>
      <c r="F19" s="27">
        <f t="shared" si="1"/>
        <v>0</v>
      </c>
      <c r="G19" s="41"/>
      <c r="H19" s="13"/>
      <c r="U19" s="9"/>
    </row>
    <row r="20" spans="2:21" ht="15" customHeight="1" x14ac:dyDescent="0.25">
      <c r="B20" s="16">
        <f t="shared" si="0"/>
        <v>2027</v>
      </c>
      <c r="C20" s="14" t="s">
        <v>26</v>
      </c>
      <c r="D20" s="15">
        <f>SUMIFS('Producto 1'!$AC:$AC,'Producto 1'!$A:$A,'R-Producto 1'!$B20,'Producto 1'!$B:$B,'R-Producto 1'!$C20)</f>
        <v>441176.54047619045</v>
      </c>
      <c r="E20" s="44"/>
      <c r="F20" s="27">
        <f t="shared" si="1"/>
        <v>0</v>
      </c>
      <c r="G20" s="41"/>
      <c r="H20" s="13"/>
      <c r="U20" s="9"/>
    </row>
    <row r="21" spans="2:21" ht="15" customHeight="1" x14ac:dyDescent="0.25">
      <c r="B21" s="16">
        <f t="shared" si="0"/>
        <v>2027</v>
      </c>
      <c r="C21" s="14" t="s">
        <v>27</v>
      </c>
      <c r="D21" s="15">
        <f>SUMIFS('Producto 1'!$AC:$AC,'Producto 1'!$A:$A,'R-Producto 1'!$B21,'Producto 1'!$B:$B,'R-Producto 1'!$C21)</f>
        <v>453325.11047619046</v>
      </c>
      <c r="E21" s="44"/>
      <c r="F21" s="27">
        <f t="shared" si="1"/>
        <v>0</v>
      </c>
      <c r="G21" s="41"/>
      <c r="H21" s="13"/>
      <c r="U21" s="9"/>
    </row>
    <row r="22" spans="2:21" ht="15" customHeight="1" x14ac:dyDescent="0.25">
      <c r="B22" s="16">
        <f t="shared" si="0"/>
        <v>2027</v>
      </c>
      <c r="C22" s="14" t="s">
        <v>51</v>
      </c>
      <c r="D22" s="15">
        <f>SUMIFS('Producto 1'!$AC:$AC,'Producto 1'!$A:$A,'R-Producto 1'!$B22,'Producto 1'!$B:$B,'R-Producto 1'!$C22)</f>
        <v>451827.90130952379</v>
      </c>
      <c r="E22" s="44"/>
      <c r="F22" s="27">
        <f t="shared" si="1"/>
        <v>0</v>
      </c>
      <c r="G22" s="41"/>
      <c r="H22" s="13"/>
      <c r="U22" s="9"/>
    </row>
    <row r="23" spans="2:21" ht="15" customHeight="1" x14ac:dyDescent="0.25">
      <c r="B23" s="16">
        <f t="shared" si="0"/>
        <v>2027</v>
      </c>
      <c r="C23" s="14" t="s">
        <v>52</v>
      </c>
      <c r="D23" s="15">
        <f>SUMIFS('Producto 1'!$AC:$AC,'Producto 1'!$A:$A,'R-Producto 1'!$B23,'Producto 1'!$B:$B,'R-Producto 1'!$C23)</f>
        <v>441176.54047619045</v>
      </c>
      <c r="E23" s="44"/>
      <c r="F23" s="27">
        <f t="shared" si="1"/>
        <v>0</v>
      </c>
      <c r="G23" s="41"/>
      <c r="H23" s="13"/>
      <c r="U23" s="9"/>
    </row>
    <row r="24" spans="2:21" ht="15" customHeight="1" x14ac:dyDescent="0.25">
      <c r="B24" s="16">
        <f t="shared" si="0"/>
        <v>2027</v>
      </c>
      <c r="C24" s="14" t="s">
        <v>53</v>
      </c>
      <c r="D24" s="15">
        <f>SUMIFS('Producto 1'!$AC:$AC,'Producto 1'!$A:$A,'R-Producto 1'!$B24,'Producto 1'!$B:$B,'R-Producto 1'!$C24)</f>
        <v>448068.43416666664</v>
      </c>
      <c r="E24" s="44"/>
      <c r="F24" s="27">
        <f t="shared" si="1"/>
        <v>0</v>
      </c>
      <c r="G24" s="41"/>
      <c r="H24" s="13"/>
      <c r="U24" s="9"/>
    </row>
    <row r="25" spans="2:21" ht="15" customHeight="1" x14ac:dyDescent="0.25">
      <c r="B25" s="16">
        <f t="shared" si="0"/>
        <v>2027</v>
      </c>
      <c r="C25" s="14" t="s">
        <v>54</v>
      </c>
      <c r="D25" s="15">
        <f>SUMIFS('Producto 1'!$AC:$AC,'Producto 1'!$A:$A,'R-Producto 1'!$B25,'Producto 1'!$B:$B,'R-Producto 1'!$C25)</f>
        <v>441176.54047619045</v>
      </c>
      <c r="E25" s="44"/>
      <c r="F25" s="27">
        <f t="shared" si="1"/>
        <v>0</v>
      </c>
      <c r="G25" s="41"/>
      <c r="H25" s="13"/>
      <c r="U25" s="9"/>
    </row>
    <row r="26" spans="2:21" ht="15" customHeight="1" thickBot="1" x14ac:dyDescent="0.3">
      <c r="B26" s="16">
        <f t="shared" si="0"/>
        <v>2027</v>
      </c>
      <c r="C26" s="14" t="s">
        <v>55</v>
      </c>
      <c r="D26" s="15">
        <f>SUMIFS('Producto 1'!$AC:$AC,'Producto 1'!$A:$A,'R-Producto 1'!$B26,'Producto 1'!$B:$B,'R-Producto 1'!$C26)</f>
        <v>457084.57761904766</v>
      </c>
      <c r="E26" s="44"/>
      <c r="F26" s="27">
        <f t="shared" si="1"/>
        <v>0</v>
      </c>
      <c r="G26" s="42"/>
      <c r="H26" s="13"/>
      <c r="U26" s="9"/>
    </row>
    <row r="27" spans="2:21" ht="15" customHeight="1" x14ac:dyDescent="0.25">
      <c r="B27" s="16">
        <f t="shared" si="0"/>
        <v>2028</v>
      </c>
      <c r="C27" s="14" t="s">
        <v>56</v>
      </c>
      <c r="D27" s="15">
        <f>SUMIFS('Producto 1'!$AC:$AC,'Producto 1'!$A:$A,'R-Producto 1'!$B27,'Producto 1'!$B:$B,'R-Producto 1'!$C27)</f>
        <v>448068.43416666664</v>
      </c>
      <c r="E27" s="44"/>
      <c r="F27" s="27">
        <f t="shared" si="1"/>
        <v>0</v>
      </c>
      <c r="G27" s="40"/>
      <c r="H27" s="13"/>
      <c r="U27" s="9"/>
    </row>
    <row r="28" spans="2:21" ht="15" customHeight="1" x14ac:dyDescent="0.25">
      <c r="B28" s="16">
        <f t="shared" si="0"/>
        <v>2028</v>
      </c>
      <c r="C28" s="14" t="s">
        <v>47</v>
      </c>
      <c r="D28" s="15">
        <f>SUMIFS('Producto 1'!$AC:$AC,'Producto 1'!$A:$A,'R-Producto 1'!$B28,'Producto 1'!$B:$B,'R-Producto 1'!$C28)</f>
        <v>425268.50333333336</v>
      </c>
      <c r="E28" s="44"/>
      <c r="F28" s="27">
        <f t="shared" si="1"/>
        <v>0</v>
      </c>
      <c r="G28" s="41"/>
      <c r="H28" s="13"/>
      <c r="U28" s="9"/>
    </row>
    <row r="29" spans="2:21" ht="15" customHeight="1" x14ac:dyDescent="0.25">
      <c r="B29" s="16">
        <f t="shared" si="0"/>
        <v>2028</v>
      </c>
      <c r="C29" s="14" t="s">
        <v>48</v>
      </c>
      <c r="D29" s="15">
        <f>SUMIFS('Producto 1'!$AC:$AC,'Producto 1'!$A:$A,'R-Producto 1'!$B29,'Producto 1'!$B:$B,'R-Producto 1'!$C29)</f>
        <v>457084.57761904766</v>
      </c>
      <c r="E29" s="44"/>
      <c r="F29" s="27">
        <f t="shared" si="1"/>
        <v>0</v>
      </c>
      <c r="G29" s="41"/>
      <c r="H29" s="13"/>
      <c r="U29" s="9"/>
    </row>
    <row r="30" spans="2:21" ht="15" customHeight="1" x14ac:dyDescent="0.25">
      <c r="B30" s="16">
        <f t="shared" si="0"/>
        <v>2028</v>
      </c>
      <c r="C30" s="14" t="s">
        <v>46</v>
      </c>
      <c r="D30" s="15">
        <f>SUMIFS('Producto 1'!$AC:$AC,'Producto 1'!$A:$A,'R-Producto 1'!$B30,'Producto 1'!$B:$B,'R-Producto 1'!$C30)</f>
        <v>432160.39702380955</v>
      </c>
      <c r="E30" s="44"/>
      <c r="F30" s="27">
        <f t="shared" si="1"/>
        <v>0</v>
      </c>
      <c r="G30" s="41"/>
      <c r="H30" s="13"/>
      <c r="U30" s="9"/>
    </row>
    <row r="31" spans="2:21" ht="15" customHeight="1" x14ac:dyDescent="0.25">
      <c r="B31" s="16">
        <f t="shared" si="0"/>
        <v>2028</v>
      </c>
      <c r="C31" s="14" t="s">
        <v>25</v>
      </c>
      <c r="D31" s="15">
        <f>SUMIFS('Producto 1'!$AC:$AC,'Producto 1'!$A:$A,'R-Producto 1'!$B31,'Producto 1'!$B:$B,'R-Producto 1'!$C31)</f>
        <v>457084.57761904766</v>
      </c>
      <c r="E31" s="44"/>
      <c r="F31" s="27">
        <f t="shared" si="1"/>
        <v>0</v>
      </c>
      <c r="G31" s="41"/>
      <c r="H31" s="13"/>
      <c r="U31" s="9"/>
    </row>
    <row r="32" spans="2:21" ht="15" customHeight="1" x14ac:dyDescent="0.25">
      <c r="B32" s="16">
        <f t="shared" si="0"/>
        <v>2028</v>
      </c>
      <c r="C32" s="14" t="s">
        <v>26</v>
      </c>
      <c r="D32" s="15">
        <f>SUMIFS('Producto 1'!$AC:$AC,'Producto 1'!$A:$A,'R-Producto 1'!$B32,'Producto 1'!$B:$B,'R-Producto 1'!$C32)</f>
        <v>441176.54047619045</v>
      </c>
      <c r="E32" s="44"/>
      <c r="F32" s="27">
        <f t="shared" si="1"/>
        <v>0</v>
      </c>
      <c r="G32" s="41"/>
      <c r="H32" s="13"/>
      <c r="U32" s="9"/>
    </row>
    <row r="33" spans="2:21" ht="15" customHeight="1" x14ac:dyDescent="0.25">
      <c r="B33" s="16">
        <f t="shared" si="0"/>
        <v>2028</v>
      </c>
      <c r="C33" s="14" t="s">
        <v>27</v>
      </c>
      <c r="D33" s="15">
        <f>SUMIFS('Producto 1'!$AC:$AC,'Producto 1'!$A:$A,'R-Producto 1'!$B33,'Producto 1'!$B:$B,'R-Producto 1'!$C33)</f>
        <v>448068.43416666664</v>
      </c>
      <c r="E33" s="44"/>
      <c r="F33" s="27">
        <f t="shared" si="1"/>
        <v>0</v>
      </c>
      <c r="G33" s="41"/>
      <c r="H33" s="13"/>
      <c r="U33" s="9"/>
    </row>
    <row r="34" spans="2:21" ht="15" customHeight="1" x14ac:dyDescent="0.25">
      <c r="B34" s="16">
        <f t="shared" si="0"/>
        <v>2028</v>
      </c>
      <c r="C34" s="14" t="s">
        <v>51</v>
      </c>
      <c r="D34" s="15">
        <f>SUMIFS('Producto 1'!$AC:$AC,'Producto 1'!$A:$A,'R-Producto 1'!$B34,'Producto 1'!$B:$B,'R-Producto 1'!$C34)</f>
        <v>457084.57761904766</v>
      </c>
      <c r="E34" s="44"/>
      <c r="F34" s="27">
        <f t="shared" si="1"/>
        <v>0</v>
      </c>
      <c r="G34" s="41"/>
      <c r="H34" s="13"/>
      <c r="U34" s="9"/>
    </row>
    <row r="35" spans="2:21" ht="15" customHeight="1" x14ac:dyDescent="0.25">
      <c r="B35" s="16">
        <f t="shared" si="0"/>
        <v>2028</v>
      </c>
      <c r="C35" s="14" t="s">
        <v>52</v>
      </c>
      <c r="D35" s="15">
        <f>SUMIFS('Producto 1'!$AC:$AC,'Producto 1'!$A:$A,'R-Producto 1'!$B35,'Producto 1'!$B:$B,'R-Producto 1'!$C35)</f>
        <v>437417.0733333333</v>
      </c>
      <c r="E35" s="44"/>
      <c r="F35" s="27">
        <f t="shared" si="1"/>
        <v>0</v>
      </c>
      <c r="G35" s="41"/>
      <c r="H35" s="13"/>
      <c r="U35" s="9"/>
    </row>
    <row r="36" spans="2:21" ht="15" customHeight="1" x14ac:dyDescent="0.25">
      <c r="B36" s="16">
        <f t="shared" si="0"/>
        <v>2028</v>
      </c>
      <c r="C36" s="14" t="s">
        <v>53</v>
      </c>
      <c r="D36" s="15">
        <f>SUMIFS('Producto 1'!$AC:$AC,'Producto 1'!$A:$A,'R-Producto 1'!$B36,'Producto 1'!$B:$B,'R-Producto 1'!$C36)</f>
        <v>451827.90130952379</v>
      </c>
      <c r="E36" s="44"/>
      <c r="F36" s="27">
        <f t="shared" si="1"/>
        <v>0</v>
      </c>
      <c r="G36" s="41"/>
      <c r="H36" s="13"/>
      <c r="U36" s="9"/>
    </row>
    <row r="37" spans="2:21" ht="15" customHeight="1" x14ac:dyDescent="0.25">
      <c r="B37" s="16">
        <f t="shared" si="0"/>
        <v>2028</v>
      </c>
      <c r="C37" s="14" t="s">
        <v>54</v>
      </c>
      <c r="D37" s="15">
        <f>SUMIFS('Producto 1'!$AC:$AC,'Producto 1'!$A:$A,'R-Producto 1'!$B37,'Producto 1'!$B:$B,'R-Producto 1'!$C37)</f>
        <v>441176.54047619045</v>
      </c>
      <c r="E37" s="44"/>
      <c r="F37" s="27">
        <f t="shared" si="1"/>
        <v>0</v>
      </c>
      <c r="G37" s="41"/>
      <c r="H37" s="13"/>
      <c r="U37" s="9"/>
    </row>
    <row r="38" spans="2:21" ht="15" customHeight="1" thickBot="1" x14ac:dyDescent="0.3">
      <c r="B38" s="16">
        <f t="shared" si="0"/>
        <v>2028</v>
      </c>
      <c r="C38" s="14" t="s">
        <v>55</v>
      </c>
      <c r="D38" s="15">
        <f>SUMIFS('Producto 1'!$AC:$AC,'Producto 1'!$A:$A,'R-Producto 1'!$B38,'Producto 1'!$B:$B,'R-Producto 1'!$C38)</f>
        <v>448068.43416666664</v>
      </c>
      <c r="E38" s="44"/>
      <c r="F38" s="27">
        <f t="shared" si="1"/>
        <v>0</v>
      </c>
      <c r="G38" s="42"/>
      <c r="H38" s="13"/>
      <c r="U38" s="9"/>
    </row>
    <row r="39" spans="2:21" ht="15" customHeight="1" x14ac:dyDescent="0.25">
      <c r="B39" s="16">
        <f t="shared" si="0"/>
        <v>2029</v>
      </c>
      <c r="C39" s="14" t="s">
        <v>56</v>
      </c>
      <c r="D39" s="15">
        <f>SUMIFS('Producto 1'!$AC:$AC,'Producto 1'!$A:$A,'R-Producto 1'!$B39,'Producto 1'!$B:$B,'R-Producto 1'!$C39)</f>
        <v>457084.57761904766</v>
      </c>
      <c r="E39" s="44"/>
      <c r="F39" s="27">
        <f t="shared" si="1"/>
        <v>0</v>
      </c>
      <c r="G39" s="40"/>
      <c r="H39" s="13"/>
      <c r="U39" s="9"/>
    </row>
    <row r="40" spans="2:21" ht="15" customHeight="1" x14ac:dyDescent="0.25">
      <c r="B40" s="16">
        <f t="shared" si="0"/>
        <v>2029</v>
      </c>
      <c r="C40" s="14" t="s">
        <v>47</v>
      </c>
      <c r="D40" s="15">
        <f>SUMIFS('Producto 1'!$AC:$AC,'Producto 1'!$A:$A,'R-Producto 1'!$B40,'Producto 1'!$B:$B,'R-Producto 1'!$C40)</f>
        <v>409360.46619047626</v>
      </c>
      <c r="E40" s="44"/>
      <c r="F40" s="27">
        <f t="shared" si="1"/>
        <v>0</v>
      </c>
      <c r="G40" s="41"/>
      <c r="H40" s="13"/>
      <c r="U40" s="9"/>
    </row>
    <row r="41" spans="2:21" ht="15" customHeight="1" x14ac:dyDescent="0.25">
      <c r="B41" s="16">
        <f t="shared" si="0"/>
        <v>2029</v>
      </c>
      <c r="C41" s="14" t="s">
        <v>48</v>
      </c>
      <c r="D41" s="15">
        <f>SUMIFS('Producto 1'!$AC:$AC,'Producto 1'!$A:$A,'R-Producto 1'!$B41,'Producto 1'!$B:$B,'R-Producto 1'!$C41)</f>
        <v>453325.11047619046</v>
      </c>
      <c r="E41" s="44"/>
      <c r="F41" s="27">
        <f t="shared" si="1"/>
        <v>0</v>
      </c>
      <c r="G41" s="41"/>
      <c r="H41" s="13"/>
      <c r="U41" s="9"/>
    </row>
    <row r="42" spans="2:21" ht="15" customHeight="1" x14ac:dyDescent="0.25">
      <c r="B42" s="16">
        <f t="shared" si="0"/>
        <v>2029</v>
      </c>
      <c r="C42" s="14" t="s">
        <v>46</v>
      </c>
      <c r="D42" s="15">
        <f>SUMIFS('Producto 1'!$AC:$AC,'Producto 1'!$A:$A,'R-Producto 1'!$B42,'Producto 1'!$B:$B,'R-Producto 1'!$C42)</f>
        <v>435919.8641666667</v>
      </c>
      <c r="E42" s="44"/>
      <c r="F42" s="27">
        <f t="shared" si="1"/>
        <v>0</v>
      </c>
      <c r="G42" s="41"/>
      <c r="H42" s="13"/>
      <c r="U42" s="9"/>
    </row>
    <row r="43" spans="2:21" ht="15" customHeight="1" x14ac:dyDescent="0.25">
      <c r="B43" s="16">
        <f t="shared" si="0"/>
        <v>2029</v>
      </c>
      <c r="C43" s="14" t="s">
        <v>25</v>
      </c>
      <c r="D43" s="15">
        <f>SUMIFS('Producto 1'!$AC:$AC,'Producto 1'!$A:$A,'R-Producto 1'!$B43,'Producto 1'!$B:$B,'R-Producto 1'!$C43)</f>
        <v>457084.57761904766</v>
      </c>
      <c r="E43" s="44"/>
      <c r="F43" s="27">
        <f t="shared" si="1"/>
        <v>0</v>
      </c>
      <c r="G43" s="41"/>
      <c r="H43" s="13"/>
      <c r="U43" s="9"/>
    </row>
    <row r="44" spans="2:21" ht="15" customHeight="1" x14ac:dyDescent="0.25">
      <c r="B44" s="16">
        <f t="shared" si="0"/>
        <v>2029</v>
      </c>
      <c r="C44" s="14" t="s">
        <v>26</v>
      </c>
      <c r="D44" s="15">
        <f>SUMIFS('Producto 1'!$AC:$AC,'Producto 1'!$A:$A,'R-Producto 1'!$B44,'Producto 1'!$B:$B,'R-Producto 1'!$C44)</f>
        <v>437417.0733333333</v>
      </c>
      <c r="E44" s="44"/>
      <c r="F44" s="27">
        <f t="shared" si="1"/>
        <v>0</v>
      </c>
      <c r="G44" s="41"/>
      <c r="H44" s="13"/>
      <c r="U44" s="9"/>
    </row>
    <row r="45" spans="2:21" ht="15" customHeight="1" x14ac:dyDescent="0.25">
      <c r="B45" s="16">
        <f t="shared" si="0"/>
        <v>2029</v>
      </c>
      <c r="C45" s="14" t="s">
        <v>27</v>
      </c>
      <c r="D45" s="15">
        <f>SUMIFS('Producto 1'!$AC:$AC,'Producto 1'!$A:$A,'R-Producto 1'!$B45,'Producto 1'!$B:$B,'R-Producto 1'!$C45)</f>
        <v>451827.90130952379</v>
      </c>
      <c r="E45" s="44"/>
      <c r="F45" s="27">
        <f t="shared" si="1"/>
        <v>0</v>
      </c>
      <c r="G45" s="41"/>
      <c r="H45" s="13"/>
      <c r="U45" s="9"/>
    </row>
    <row r="46" spans="2:21" ht="15" customHeight="1" x14ac:dyDescent="0.25">
      <c r="B46" s="16">
        <f t="shared" si="0"/>
        <v>2029</v>
      </c>
      <c r="C46" s="14" t="s">
        <v>51</v>
      </c>
      <c r="D46" s="15">
        <f>SUMIFS('Producto 1'!$AC:$AC,'Producto 1'!$A:$A,'R-Producto 1'!$B46,'Producto 1'!$B:$B,'R-Producto 1'!$C46)</f>
        <v>457084.57761904766</v>
      </c>
      <c r="E46" s="44"/>
      <c r="F46" s="27">
        <f t="shared" si="1"/>
        <v>0</v>
      </c>
      <c r="G46" s="41"/>
      <c r="H46" s="13"/>
      <c r="U46" s="9"/>
    </row>
    <row r="47" spans="2:21" ht="15" customHeight="1" x14ac:dyDescent="0.25">
      <c r="B47" s="16">
        <f t="shared" si="0"/>
        <v>2029</v>
      </c>
      <c r="C47" s="14" t="s">
        <v>52</v>
      </c>
      <c r="D47" s="15">
        <f>SUMIFS('Producto 1'!$AC:$AC,'Producto 1'!$A:$A,'R-Producto 1'!$B47,'Producto 1'!$B:$B,'R-Producto 1'!$C47)</f>
        <v>432160.39702380955</v>
      </c>
      <c r="E47" s="44"/>
      <c r="F47" s="27">
        <f t="shared" si="1"/>
        <v>0</v>
      </c>
      <c r="G47" s="41"/>
      <c r="H47" s="13"/>
      <c r="U47" s="9"/>
    </row>
    <row r="48" spans="2:21" ht="15" customHeight="1" x14ac:dyDescent="0.25">
      <c r="B48" s="16">
        <f t="shared" si="0"/>
        <v>2029</v>
      </c>
      <c r="C48" s="14" t="s">
        <v>53</v>
      </c>
      <c r="D48" s="15">
        <f>SUMIFS('Producto 1'!$AC:$AC,'Producto 1'!$A:$A,'R-Producto 1'!$B48,'Producto 1'!$B:$B,'R-Producto 1'!$C48)</f>
        <v>457084.57761904766</v>
      </c>
      <c r="E48" s="44"/>
      <c r="F48" s="27">
        <f t="shared" si="1"/>
        <v>0</v>
      </c>
      <c r="G48" s="41"/>
      <c r="H48" s="13"/>
      <c r="U48" s="9"/>
    </row>
    <row r="49" spans="2:21" ht="15" customHeight="1" x14ac:dyDescent="0.25">
      <c r="B49" s="16">
        <f t="shared" si="0"/>
        <v>2029</v>
      </c>
      <c r="C49" s="14" t="s">
        <v>54</v>
      </c>
      <c r="D49" s="15">
        <f>SUMIFS('Producto 1'!$AC:$AC,'Producto 1'!$A:$A,'R-Producto 1'!$B49,'Producto 1'!$B:$B,'R-Producto 1'!$C49)</f>
        <v>441176.54047619045</v>
      </c>
      <c r="E49" s="44"/>
      <c r="F49" s="27">
        <f t="shared" si="1"/>
        <v>0</v>
      </c>
      <c r="G49" s="41"/>
      <c r="H49" s="13"/>
      <c r="U49" s="9"/>
    </row>
    <row r="50" spans="2:21" ht="15" customHeight="1" thickBot="1" x14ac:dyDescent="0.3">
      <c r="B50" s="16">
        <f t="shared" si="0"/>
        <v>2029</v>
      </c>
      <c r="C50" s="14" t="s">
        <v>55</v>
      </c>
      <c r="D50" s="15">
        <f>SUMIFS('Producto 1'!$AC:$AC,'Producto 1'!$A:$A,'R-Producto 1'!$B50,'Producto 1'!$B:$B,'R-Producto 1'!$C50)</f>
        <v>448068.43416666664</v>
      </c>
      <c r="E50" s="44"/>
      <c r="F50" s="27">
        <f t="shared" si="1"/>
        <v>0</v>
      </c>
      <c r="G50" s="42"/>
      <c r="H50" s="13"/>
      <c r="U50" s="9"/>
    </row>
    <row r="51" spans="2:21" ht="15" customHeight="1" x14ac:dyDescent="0.25">
      <c r="B51" s="16">
        <f t="shared" si="0"/>
        <v>2030</v>
      </c>
      <c r="C51" s="14" t="s">
        <v>56</v>
      </c>
      <c r="D51" s="15">
        <f>SUMIFS('Producto 1'!$AC:$AC,'Producto 1'!$A:$A,'R-Producto 1'!$B51,'Producto 1'!$B:$B,'R-Producto 1'!$C51)</f>
        <v>457084.57761904766</v>
      </c>
      <c r="E51" s="44"/>
      <c r="F51" s="27">
        <f t="shared" si="1"/>
        <v>0</v>
      </c>
      <c r="G51" s="40"/>
      <c r="H51" s="13"/>
      <c r="U51" s="9"/>
    </row>
    <row r="52" spans="2:21" ht="15" customHeight="1" x14ac:dyDescent="0.25">
      <c r="B52" s="16">
        <f t="shared" si="0"/>
        <v>2030</v>
      </c>
      <c r="C52" s="14" t="s">
        <v>47</v>
      </c>
      <c r="D52" s="15">
        <f>SUMIFS('Producto 1'!$AC:$AC,'Producto 1'!$A:$A,'R-Producto 1'!$B52,'Producto 1'!$B:$B,'R-Producto 1'!$C52)</f>
        <v>409360.46619047626</v>
      </c>
      <c r="E52" s="44"/>
      <c r="F52" s="27">
        <f t="shared" si="1"/>
        <v>0</v>
      </c>
      <c r="G52" s="41"/>
      <c r="H52" s="13"/>
      <c r="U52" s="9"/>
    </row>
    <row r="53" spans="2:21" ht="15" customHeight="1" x14ac:dyDescent="0.25">
      <c r="B53" s="16">
        <f t="shared" si="0"/>
        <v>2030</v>
      </c>
      <c r="C53" s="14" t="s">
        <v>48</v>
      </c>
      <c r="D53" s="15">
        <f>SUMIFS('Producto 1'!$AC:$AC,'Producto 1'!$A:$A,'R-Producto 1'!$B53,'Producto 1'!$B:$B,'R-Producto 1'!$C53)</f>
        <v>448068.43416666664</v>
      </c>
      <c r="E53" s="44"/>
      <c r="F53" s="27">
        <f t="shared" si="1"/>
        <v>0</v>
      </c>
      <c r="G53" s="41"/>
      <c r="H53" s="13"/>
      <c r="U53" s="9"/>
    </row>
    <row r="54" spans="2:21" ht="15" customHeight="1" x14ac:dyDescent="0.25">
      <c r="B54" s="16">
        <f t="shared" si="0"/>
        <v>2030</v>
      </c>
      <c r="C54" s="14" t="s">
        <v>46</v>
      </c>
      <c r="D54" s="15">
        <f>SUMIFS('Producto 1'!$AC:$AC,'Producto 1'!$A:$A,'R-Producto 1'!$B54,'Producto 1'!$B:$B,'R-Producto 1'!$C54)</f>
        <v>441176.54047619045</v>
      </c>
      <c r="E54" s="44"/>
      <c r="F54" s="27">
        <f t="shared" si="1"/>
        <v>0</v>
      </c>
      <c r="G54" s="41"/>
      <c r="H54" s="13"/>
      <c r="U54" s="9"/>
    </row>
    <row r="55" spans="2:21" ht="15" customHeight="1" x14ac:dyDescent="0.25">
      <c r="B55" s="16">
        <f t="shared" si="0"/>
        <v>2030</v>
      </c>
      <c r="C55" s="14" t="s">
        <v>25</v>
      </c>
      <c r="D55" s="15">
        <f>SUMIFS('Producto 1'!$AC:$AC,'Producto 1'!$A:$A,'R-Producto 1'!$B55,'Producto 1'!$B:$B,'R-Producto 1'!$C55)</f>
        <v>457084.57761904766</v>
      </c>
      <c r="E55" s="44"/>
      <c r="F55" s="27">
        <f t="shared" si="1"/>
        <v>0</v>
      </c>
      <c r="G55" s="41"/>
      <c r="H55" s="13"/>
      <c r="U55" s="9"/>
    </row>
    <row r="56" spans="2:21" ht="15" customHeight="1" x14ac:dyDescent="0.25">
      <c r="B56" s="16">
        <f t="shared" si="0"/>
        <v>2030</v>
      </c>
      <c r="C56" s="14" t="s">
        <v>26</v>
      </c>
      <c r="D56" s="15">
        <f>SUMIFS('Producto 1'!$AC:$AC,'Producto 1'!$A:$A,'R-Producto 1'!$B56,'Producto 1'!$B:$B,'R-Producto 1'!$C56)</f>
        <v>432160.39702380955</v>
      </c>
      <c r="E56" s="44"/>
      <c r="F56" s="27">
        <f t="shared" si="1"/>
        <v>0</v>
      </c>
      <c r="G56" s="41"/>
      <c r="H56" s="13"/>
      <c r="U56" s="9"/>
    </row>
    <row r="57" spans="2:21" ht="15" customHeight="1" x14ac:dyDescent="0.25">
      <c r="B57" s="16">
        <f t="shared" si="0"/>
        <v>2030</v>
      </c>
      <c r="C57" s="14" t="s">
        <v>27</v>
      </c>
      <c r="D57" s="15">
        <f>SUMIFS('Producto 1'!$AC:$AC,'Producto 1'!$A:$A,'R-Producto 1'!$B57,'Producto 1'!$B:$B,'R-Producto 1'!$C57)</f>
        <v>457084.57761904766</v>
      </c>
      <c r="E57" s="44"/>
      <c r="F57" s="27">
        <f t="shared" si="1"/>
        <v>0</v>
      </c>
      <c r="G57" s="41"/>
      <c r="H57" s="13"/>
      <c r="U57" s="9"/>
    </row>
    <row r="58" spans="2:21" ht="15" customHeight="1" x14ac:dyDescent="0.25">
      <c r="B58" s="16">
        <f t="shared" si="0"/>
        <v>2030</v>
      </c>
      <c r="C58" s="14" t="s">
        <v>51</v>
      </c>
      <c r="D58" s="15">
        <f>SUMIFS('Producto 1'!$AC:$AC,'Producto 1'!$A:$A,'R-Producto 1'!$B58,'Producto 1'!$B:$B,'R-Producto 1'!$C58)</f>
        <v>453325.11047619046</v>
      </c>
      <c r="E58" s="44"/>
      <c r="F58" s="27">
        <f t="shared" si="1"/>
        <v>0</v>
      </c>
      <c r="G58" s="41"/>
      <c r="H58" s="13"/>
      <c r="U58" s="9"/>
    </row>
    <row r="59" spans="2:21" ht="15" customHeight="1" x14ac:dyDescent="0.25">
      <c r="B59" s="16">
        <f t="shared" si="0"/>
        <v>2030</v>
      </c>
      <c r="C59" s="14" t="s">
        <v>52</v>
      </c>
      <c r="D59" s="15">
        <f>SUMIFS('Producto 1'!$AC:$AC,'Producto 1'!$A:$A,'R-Producto 1'!$B59,'Producto 1'!$B:$B,'R-Producto 1'!$C59)</f>
        <v>435919.8641666667</v>
      </c>
      <c r="E59" s="44"/>
      <c r="F59" s="27">
        <f t="shared" si="1"/>
        <v>0</v>
      </c>
      <c r="G59" s="41"/>
      <c r="H59" s="13"/>
      <c r="U59" s="9"/>
    </row>
    <row r="60" spans="2:21" ht="15" customHeight="1" x14ac:dyDescent="0.25">
      <c r="B60" s="16">
        <f t="shared" si="0"/>
        <v>2030</v>
      </c>
      <c r="C60" s="14" t="s">
        <v>53</v>
      </c>
      <c r="D60" s="15">
        <f>SUMIFS('Producto 1'!$AC:$AC,'Producto 1'!$A:$A,'R-Producto 1'!$B60,'Producto 1'!$B:$B,'R-Producto 1'!$C60)</f>
        <v>457084.57761904766</v>
      </c>
      <c r="E60" s="44"/>
      <c r="F60" s="27">
        <f t="shared" si="1"/>
        <v>0</v>
      </c>
      <c r="G60" s="41"/>
      <c r="H60" s="13"/>
      <c r="U60" s="9"/>
    </row>
    <row r="61" spans="2:21" ht="15" customHeight="1" x14ac:dyDescent="0.25">
      <c r="B61" s="16">
        <f t="shared" si="0"/>
        <v>2030</v>
      </c>
      <c r="C61" s="14" t="s">
        <v>54</v>
      </c>
      <c r="D61" s="15">
        <f>SUMIFS('Producto 1'!$AC:$AC,'Producto 1'!$A:$A,'R-Producto 1'!$B61,'Producto 1'!$B:$B,'R-Producto 1'!$C61)</f>
        <v>437417.0733333333</v>
      </c>
      <c r="E61" s="44"/>
      <c r="F61" s="27">
        <f t="shared" si="1"/>
        <v>0</v>
      </c>
      <c r="G61" s="41"/>
      <c r="H61" s="13"/>
      <c r="U61" s="9"/>
    </row>
    <row r="62" spans="2:21" ht="15" customHeight="1" thickBot="1" x14ac:dyDescent="0.3">
      <c r="B62" s="16">
        <f t="shared" si="0"/>
        <v>2030</v>
      </c>
      <c r="C62" s="14" t="s">
        <v>55</v>
      </c>
      <c r="D62" s="15">
        <f>SUMIFS('Producto 1'!$AC:$AC,'Producto 1'!$A:$A,'R-Producto 1'!$B62,'Producto 1'!$B:$B,'R-Producto 1'!$C62)</f>
        <v>451827.90130952379</v>
      </c>
      <c r="E62" s="44"/>
      <c r="F62" s="27">
        <f t="shared" si="1"/>
        <v>0</v>
      </c>
      <c r="G62" s="42"/>
      <c r="H62" s="13"/>
      <c r="U62" s="9"/>
    </row>
    <row r="63" spans="2:21" ht="15" customHeight="1" x14ac:dyDescent="0.25">
      <c r="B63" s="16">
        <f t="shared" si="0"/>
        <v>2031</v>
      </c>
      <c r="C63" s="14" t="s">
        <v>56</v>
      </c>
      <c r="D63" s="15">
        <f>SUMIFS('Producto 1'!$AC:$AC,'Producto 1'!$A:$A,'R-Producto 1'!$B63,'Producto 1'!$B:$B,'R-Producto 1'!$C63)</f>
        <v>457084.57761904766</v>
      </c>
      <c r="E63" s="44"/>
      <c r="F63" s="27">
        <f t="shared" si="1"/>
        <v>0</v>
      </c>
      <c r="G63" s="40"/>
      <c r="H63" s="13"/>
      <c r="U63" s="9"/>
    </row>
    <row r="64" spans="2:21" ht="15" customHeight="1" x14ac:dyDescent="0.25">
      <c r="B64" s="16">
        <f t="shared" si="0"/>
        <v>2031</v>
      </c>
      <c r="C64" s="14" t="s">
        <v>47</v>
      </c>
      <c r="D64" s="15">
        <f>SUMIFS('Producto 1'!$AC:$AC,'Producto 1'!$A:$A,'R-Producto 1'!$B64,'Producto 1'!$B:$B,'R-Producto 1'!$C64)</f>
        <v>409360.46619047626</v>
      </c>
      <c r="E64" s="44"/>
      <c r="F64" s="27">
        <f t="shared" si="1"/>
        <v>0</v>
      </c>
      <c r="G64" s="41"/>
      <c r="H64" s="13"/>
      <c r="U64" s="9"/>
    </row>
    <row r="65" spans="2:21" ht="15" customHeight="1" x14ac:dyDescent="0.25">
      <c r="B65" s="16">
        <f t="shared" si="0"/>
        <v>2031</v>
      </c>
      <c r="C65" s="14" t="s">
        <v>48</v>
      </c>
      <c r="D65" s="15">
        <f>SUMIFS('Producto 1'!$AC:$AC,'Producto 1'!$A:$A,'R-Producto 1'!$B65,'Producto 1'!$B:$B,'R-Producto 1'!$C65)</f>
        <v>448068.43416666664</v>
      </c>
      <c r="E65" s="44"/>
      <c r="F65" s="27">
        <f t="shared" si="1"/>
        <v>0</v>
      </c>
      <c r="G65" s="41"/>
      <c r="H65" s="13"/>
      <c r="U65" s="9"/>
    </row>
    <row r="66" spans="2:21" ht="15" customHeight="1" x14ac:dyDescent="0.25">
      <c r="B66" s="16">
        <f t="shared" si="0"/>
        <v>2031</v>
      </c>
      <c r="C66" s="14" t="s">
        <v>46</v>
      </c>
      <c r="D66" s="15">
        <f>SUMIFS('Producto 1'!$AC:$AC,'Producto 1'!$A:$A,'R-Producto 1'!$B66,'Producto 1'!$B:$B,'R-Producto 1'!$C66)</f>
        <v>441176.54047619045</v>
      </c>
      <c r="E66" s="44"/>
      <c r="F66" s="27">
        <f t="shared" si="1"/>
        <v>0</v>
      </c>
      <c r="G66" s="41"/>
      <c r="H66" s="13"/>
      <c r="U66" s="9"/>
    </row>
    <row r="67" spans="2:21" ht="15" customHeight="1" x14ac:dyDescent="0.25">
      <c r="B67" s="16">
        <f t="shared" si="0"/>
        <v>2031</v>
      </c>
      <c r="C67" s="14" t="s">
        <v>25</v>
      </c>
      <c r="D67" s="15">
        <f>SUMIFS('Producto 1'!$AC:$AC,'Producto 1'!$A:$A,'R-Producto 1'!$B67,'Producto 1'!$B:$B,'R-Producto 1'!$C67)</f>
        <v>453325.11047619046</v>
      </c>
      <c r="E67" s="44"/>
      <c r="F67" s="27">
        <f t="shared" si="1"/>
        <v>0</v>
      </c>
      <c r="G67" s="41"/>
      <c r="H67" s="13"/>
      <c r="U67" s="9"/>
    </row>
    <row r="68" spans="2:21" ht="15" customHeight="1" x14ac:dyDescent="0.25">
      <c r="B68" s="16">
        <f t="shared" si="0"/>
        <v>2031</v>
      </c>
      <c r="C68" s="14" t="s">
        <v>26</v>
      </c>
      <c r="D68" s="15">
        <f>SUMIFS('Producto 1'!$AC:$AC,'Producto 1'!$A:$A,'R-Producto 1'!$B68,'Producto 1'!$B:$B,'R-Producto 1'!$C68)</f>
        <v>435919.8641666667</v>
      </c>
      <c r="E68" s="44"/>
      <c r="F68" s="27">
        <f t="shared" si="1"/>
        <v>0</v>
      </c>
      <c r="G68" s="41"/>
      <c r="H68" s="13"/>
      <c r="U68" s="9"/>
    </row>
    <row r="69" spans="2:21" ht="15" customHeight="1" x14ac:dyDescent="0.25">
      <c r="B69" s="16">
        <f t="shared" si="0"/>
        <v>2031</v>
      </c>
      <c r="C69" s="14" t="s">
        <v>27</v>
      </c>
      <c r="D69" s="15">
        <f>SUMIFS('Producto 1'!$AC:$AC,'Producto 1'!$A:$A,'R-Producto 1'!$B69,'Producto 1'!$B:$B,'R-Producto 1'!$C69)</f>
        <v>457084.57761904766</v>
      </c>
      <c r="E69" s="44"/>
      <c r="F69" s="27">
        <f t="shared" si="1"/>
        <v>0</v>
      </c>
      <c r="G69" s="41"/>
      <c r="H69" s="13"/>
      <c r="U69" s="9"/>
    </row>
    <row r="70" spans="2:21" ht="15" customHeight="1" x14ac:dyDescent="0.25">
      <c r="B70" s="16">
        <f t="shared" si="0"/>
        <v>2031</v>
      </c>
      <c r="C70" s="14" t="s">
        <v>51</v>
      </c>
      <c r="D70" s="15">
        <f>SUMIFS('Producto 1'!$AC:$AC,'Producto 1'!$A:$A,'R-Producto 1'!$B70,'Producto 1'!$B:$B,'R-Producto 1'!$C70)</f>
        <v>448068.43416666664</v>
      </c>
      <c r="E70" s="44"/>
      <c r="F70" s="27">
        <f t="shared" si="1"/>
        <v>0</v>
      </c>
      <c r="G70" s="41"/>
      <c r="H70" s="13"/>
      <c r="U70" s="9"/>
    </row>
    <row r="71" spans="2:21" ht="15" customHeight="1" x14ac:dyDescent="0.25">
      <c r="B71" s="16">
        <f t="shared" si="0"/>
        <v>2031</v>
      </c>
      <c r="C71" s="14" t="s">
        <v>52</v>
      </c>
      <c r="D71" s="15">
        <f>SUMIFS('Producto 1'!$AC:$AC,'Producto 1'!$A:$A,'R-Producto 1'!$B71,'Producto 1'!$B:$B,'R-Producto 1'!$C71)</f>
        <v>441176.54047619045</v>
      </c>
      <c r="E71" s="44"/>
      <c r="F71" s="27">
        <f t="shared" si="1"/>
        <v>0</v>
      </c>
      <c r="G71" s="41"/>
      <c r="H71" s="13"/>
      <c r="U71" s="9"/>
    </row>
    <row r="72" spans="2:21" ht="15" customHeight="1" x14ac:dyDescent="0.25">
      <c r="B72" s="16">
        <f t="shared" si="0"/>
        <v>2031</v>
      </c>
      <c r="C72" s="14" t="s">
        <v>53</v>
      </c>
      <c r="D72" s="15">
        <f>SUMIFS('Producto 1'!$AC:$AC,'Producto 1'!$A:$A,'R-Producto 1'!$B72,'Producto 1'!$B:$B,'R-Producto 1'!$C72)</f>
        <v>457084.57761904766</v>
      </c>
      <c r="E72" s="44"/>
      <c r="F72" s="27">
        <f t="shared" si="1"/>
        <v>0</v>
      </c>
      <c r="G72" s="41"/>
      <c r="H72" s="13"/>
      <c r="U72" s="9"/>
    </row>
    <row r="73" spans="2:21" ht="15" customHeight="1" x14ac:dyDescent="0.25">
      <c r="B73" s="16">
        <f t="shared" si="0"/>
        <v>2031</v>
      </c>
      <c r="C73" s="14" t="s">
        <v>54</v>
      </c>
      <c r="D73" s="15">
        <f>SUMIFS('Producto 1'!$AC:$AC,'Producto 1'!$A:$A,'R-Producto 1'!$B73,'Producto 1'!$B:$B,'R-Producto 1'!$C73)</f>
        <v>432160.39702380955</v>
      </c>
      <c r="E73" s="44"/>
      <c r="F73" s="27">
        <f t="shared" si="1"/>
        <v>0</v>
      </c>
      <c r="G73" s="41"/>
      <c r="H73" s="13"/>
      <c r="U73" s="9"/>
    </row>
    <row r="74" spans="2:21" ht="15" customHeight="1" thickBot="1" x14ac:dyDescent="0.3">
      <c r="B74" s="16">
        <f t="shared" si="0"/>
        <v>2031</v>
      </c>
      <c r="C74" s="14" t="s">
        <v>55</v>
      </c>
      <c r="D74" s="15">
        <f>SUMIFS('Producto 1'!$AC:$AC,'Producto 1'!$A:$A,'R-Producto 1'!$B74,'Producto 1'!$B:$B,'R-Producto 1'!$C74)</f>
        <v>457084.57761904766</v>
      </c>
      <c r="E74" s="44"/>
      <c r="F74" s="27">
        <f t="shared" si="1"/>
        <v>0</v>
      </c>
      <c r="G74" s="42"/>
      <c r="H74" s="13"/>
      <c r="U74" s="9"/>
    </row>
    <row r="75" spans="2:21" ht="15" customHeight="1" x14ac:dyDescent="0.25">
      <c r="B75" s="16">
        <f t="shared" ref="B75:B134" si="2">ROUNDDOWN((ROW()-10+7)/12,0)+2026</f>
        <v>2032</v>
      </c>
      <c r="C75" s="14" t="s">
        <v>56</v>
      </c>
      <c r="D75" s="15">
        <f>SUMIFS('Producto 1'!$AC:$AC,'Producto 1'!$A:$A,'R-Producto 1'!$B75,'Producto 1'!$B:$B,'R-Producto 1'!$C75)</f>
        <v>453325.11047619046</v>
      </c>
      <c r="E75" s="44"/>
      <c r="F75" s="27">
        <f t="shared" ref="F75:F134" si="3">D75*$E$10</f>
        <v>0</v>
      </c>
      <c r="G75" s="40"/>
      <c r="H75" s="13"/>
      <c r="U75" s="9"/>
    </row>
    <row r="76" spans="2:21" ht="15" customHeight="1" x14ac:dyDescent="0.25">
      <c r="B76" s="16">
        <f t="shared" si="2"/>
        <v>2032</v>
      </c>
      <c r="C76" s="14" t="s">
        <v>47</v>
      </c>
      <c r="D76" s="15">
        <f>SUMIFS('Producto 1'!$AC:$AC,'Producto 1'!$A:$A,'R-Producto 1'!$B76,'Producto 1'!$B:$B,'R-Producto 1'!$C76)</f>
        <v>420011.8270238096</v>
      </c>
      <c r="E76" s="44"/>
      <c r="F76" s="27">
        <f t="shared" si="3"/>
        <v>0</v>
      </c>
      <c r="G76" s="41"/>
      <c r="H76" s="13"/>
      <c r="U76" s="9"/>
    </row>
    <row r="77" spans="2:21" ht="15" customHeight="1" x14ac:dyDescent="0.25">
      <c r="B77" s="16">
        <f t="shared" si="2"/>
        <v>2032</v>
      </c>
      <c r="C77" s="14" t="s">
        <v>48</v>
      </c>
      <c r="D77" s="15">
        <f>SUMIFS('Producto 1'!$AC:$AC,'Producto 1'!$A:$A,'R-Producto 1'!$B77,'Producto 1'!$B:$B,'R-Producto 1'!$C77)</f>
        <v>457084.57761904766</v>
      </c>
      <c r="E77" s="44"/>
      <c r="F77" s="27">
        <f t="shared" si="3"/>
        <v>0</v>
      </c>
      <c r="G77" s="41"/>
      <c r="H77" s="13"/>
      <c r="U77" s="9"/>
    </row>
    <row r="78" spans="2:21" ht="15" customHeight="1" x14ac:dyDescent="0.25">
      <c r="B78" s="16">
        <f t="shared" si="2"/>
        <v>2032</v>
      </c>
      <c r="C78" s="14" t="s">
        <v>46</v>
      </c>
      <c r="D78" s="15">
        <f>SUMIFS('Producto 1'!$AC:$AC,'Producto 1'!$A:$A,'R-Producto 1'!$B78,'Producto 1'!$B:$B,'R-Producto 1'!$C78)</f>
        <v>441176.54047619045</v>
      </c>
      <c r="E78" s="44"/>
      <c r="F78" s="27">
        <f t="shared" si="3"/>
        <v>0</v>
      </c>
      <c r="G78" s="41"/>
      <c r="H78" s="13"/>
      <c r="U78" s="9"/>
    </row>
    <row r="79" spans="2:21" ht="15" customHeight="1" x14ac:dyDescent="0.25">
      <c r="B79" s="16">
        <f t="shared" si="2"/>
        <v>2032</v>
      </c>
      <c r="C79" s="14" t="s">
        <v>25</v>
      </c>
      <c r="D79" s="15">
        <f>SUMIFS('Producto 1'!$AC:$AC,'Producto 1'!$A:$A,'R-Producto 1'!$B79,'Producto 1'!$B:$B,'R-Producto 1'!$C79)</f>
        <v>448068.43416666664</v>
      </c>
      <c r="E79" s="44"/>
      <c r="F79" s="27">
        <f t="shared" si="3"/>
        <v>0</v>
      </c>
      <c r="G79" s="41"/>
      <c r="H79" s="13"/>
      <c r="U79" s="9"/>
    </row>
    <row r="80" spans="2:21" ht="15" customHeight="1" x14ac:dyDescent="0.25">
      <c r="B80" s="16">
        <f t="shared" si="2"/>
        <v>2032</v>
      </c>
      <c r="C80" s="14" t="s">
        <v>26</v>
      </c>
      <c r="D80" s="15">
        <f>SUMIFS('Producto 1'!$AC:$AC,'Producto 1'!$A:$A,'R-Producto 1'!$B80,'Producto 1'!$B:$B,'R-Producto 1'!$C80)</f>
        <v>441176.54047619045</v>
      </c>
      <c r="E80" s="44"/>
      <c r="F80" s="27">
        <f t="shared" si="3"/>
        <v>0</v>
      </c>
      <c r="G80" s="41"/>
      <c r="H80" s="13"/>
      <c r="U80" s="9"/>
    </row>
    <row r="81" spans="2:21" ht="15" customHeight="1" x14ac:dyDescent="0.25">
      <c r="B81" s="16">
        <f t="shared" si="2"/>
        <v>2032</v>
      </c>
      <c r="C81" s="14" t="s">
        <v>27</v>
      </c>
      <c r="D81" s="15">
        <f>SUMIFS('Producto 1'!$AC:$AC,'Producto 1'!$A:$A,'R-Producto 1'!$B81,'Producto 1'!$B:$B,'R-Producto 1'!$C81)</f>
        <v>453325.11047619046</v>
      </c>
      <c r="E81" s="44"/>
      <c r="F81" s="27">
        <f t="shared" si="3"/>
        <v>0</v>
      </c>
      <c r="G81" s="41"/>
      <c r="H81" s="13"/>
      <c r="U81" s="9"/>
    </row>
    <row r="82" spans="2:21" ht="15" customHeight="1" x14ac:dyDescent="0.25">
      <c r="B82" s="16">
        <f t="shared" si="2"/>
        <v>2032</v>
      </c>
      <c r="C82" s="14" t="s">
        <v>51</v>
      </c>
      <c r="D82" s="15">
        <f>SUMIFS('Producto 1'!$AC:$AC,'Producto 1'!$A:$A,'R-Producto 1'!$B82,'Producto 1'!$B:$B,'R-Producto 1'!$C82)</f>
        <v>451827.90130952379</v>
      </c>
      <c r="E82" s="44"/>
      <c r="F82" s="27">
        <f t="shared" si="3"/>
        <v>0</v>
      </c>
      <c r="G82" s="41"/>
      <c r="H82" s="13"/>
      <c r="U82" s="9"/>
    </row>
    <row r="83" spans="2:21" ht="15" customHeight="1" x14ac:dyDescent="0.25">
      <c r="B83" s="16">
        <f t="shared" si="2"/>
        <v>2032</v>
      </c>
      <c r="C83" s="14" t="s">
        <v>52</v>
      </c>
      <c r="D83" s="15">
        <f>SUMIFS('Producto 1'!$AC:$AC,'Producto 1'!$A:$A,'R-Producto 1'!$B83,'Producto 1'!$B:$B,'R-Producto 1'!$C83)</f>
        <v>441176.54047619045</v>
      </c>
      <c r="E83" s="44"/>
      <c r="F83" s="27">
        <f t="shared" si="3"/>
        <v>0</v>
      </c>
      <c r="G83" s="41"/>
      <c r="H83" s="13"/>
      <c r="U83" s="9"/>
    </row>
    <row r="84" spans="2:21" ht="15" customHeight="1" x14ac:dyDescent="0.25">
      <c r="B84" s="16">
        <f t="shared" si="2"/>
        <v>2032</v>
      </c>
      <c r="C84" s="14" t="s">
        <v>53</v>
      </c>
      <c r="D84" s="15">
        <f>SUMIFS('Producto 1'!$AC:$AC,'Producto 1'!$A:$A,'R-Producto 1'!$B84,'Producto 1'!$B:$B,'R-Producto 1'!$C84)</f>
        <v>448068.43416666664</v>
      </c>
      <c r="E84" s="44"/>
      <c r="F84" s="27">
        <f t="shared" si="3"/>
        <v>0</v>
      </c>
      <c r="G84" s="41"/>
      <c r="H84" s="13"/>
      <c r="U84" s="9"/>
    </row>
    <row r="85" spans="2:21" ht="15" customHeight="1" x14ac:dyDescent="0.25">
      <c r="B85" s="16">
        <f t="shared" si="2"/>
        <v>2032</v>
      </c>
      <c r="C85" s="14" t="s">
        <v>54</v>
      </c>
      <c r="D85" s="15">
        <f>SUMIFS('Producto 1'!$AC:$AC,'Producto 1'!$A:$A,'R-Producto 1'!$B85,'Producto 1'!$B:$B,'R-Producto 1'!$C85)</f>
        <v>441176.54047619045</v>
      </c>
      <c r="E85" s="44"/>
      <c r="F85" s="27">
        <f t="shared" si="3"/>
        <v>0</v>
      </c>
      <c r="G85" s="41"/>
      <c r="H85" s="13"/>
      <c r="U85" s="9"/>
    </row>
    <row r="86" spans="2:21" ht="15" customHeight="1" thickBot="1" x14ac:dyDescent="0.3">
      <c r="B86" s="16">
        <f t="shared" si="2"/>
        <v>2032</v>
      </c>
      <c r="C86" s="14" t="s">
        <v>55</v>
      </c>
      <c r="D86" s="15">
        <f>SUMIFS('Producto 1'!$AC:$AC,'Producto 1'!$A:$A,'R-Producto 1'!$B86,'Producto 1'!$B:$B,'R-Producto 1'!$C86)</f>
        <v>457084.57761904766</v>
      </c>
      <c r="E86" s="44"/>
      <c r="F86" s="27">
        <f t="shared" si="3"/>
        <v>0</v>
      </c>
      <c r="G86" s="42"/>
      <c r="H86" s="13"/>
      <c r="U86" s="9"/>
    </row>
    <row r="87" spans="2:21" ht="15" customHeight="1" x14ac:dyDescent="0.25">
      <c r="B87" s="16">
        <f t="shared" si="2"/>
        <v>2033</v>
      </c>
      <c r="C87" s="14" t="s">
        <v>56</v>
      </c>
      <c r="D87" s="15">
        <f>SUMIFS('Producto 1'!$AC:$AC,'Producto 1'!$A:$A,'R-Producto 1'!$B87,'Producto 1'!$B:$B,'R-Producto 1'!$C87)</f>
        <v>448068.43416666664</v>
      </c>
      <c r="E87" s="44"/>
      <c r="F87" s="27">
        <f t="shared" si="3"/>
        <v>0</v>
      </c>
      <c r="G87" s="40"/>
      <c r="H87" s="13"/>
      <c r="U87" s="9"/>
    </row>
    <row r="88" spans="2:21" ht="15" customHeight="1" x14ac:dyDescent="0.25">
      <c r="B88" s="16">
        <f t="shared" si="2"/>
        <v>2033</v>
      </c>
      <c r="C88" s="14" t="s">
        <v>47</v>
      </c>
      <c r="D88" s="15">
        <f>SUMIFS('Producto 1'!$AC:$AC,'Producto 1'!$A:$A,'R-Producto 1'!$B88,'Producto 1'!$B:$B,'R-Producto 1'!$C88)</f>
        <v>409360.46619047626</v>
      </c>
      <c r="E88" s="44"/>
      <c r="F88" s="27">
        <f t="shared" si="3"/>
        <v>0</v>
      </c>
      <c r="G88" s="41"/>
      <c r="H88" s="13"/>
      <c r="U88" s="9"/>
    </row>
    <row r="89" spans="2:21" ht="15" customHeight="1" x14ac:dyDescent="0.25">
      <c r="B89" s="16">
        <f t="shared" si="2"/>
        <v>2033</v>
      </c>
      <c r="C89" s="14" t="s">
        <v>48</v>
      </c>
      <c r="D89" s="15">
        <f>SUMIFS('Producto 1'!$AC:$AC,'Producto 1'!$A:$A,'R-Producto 1'!$B89,'Producto 1'!$B:$B,'R-Producto 1'!$C89)</f>
        <v>457084.57761904766</v>
      </c>
      <c r="E89" s="44"/>
      <c r="F89" s="27">
        <f t="shared" si="3"/>
        <v>0</v>
      </c>
      <c r="G89" s="41"/>
      <c r="H89" s="13"/>
      <c r="U89" s="9"/>
    </row>
    <row r="90" spans="2:21" ht="15" customHeight="1" x14ac:dyDescent="0.25">
      <c r="B90" s="16">
        <f t="shared" si="2"/>
        <v>2033</v>
      </c>
      <c r="C90" s="14" t="s">
        <v>46</v>
      </c>
      <c r="D90" s="15">
        <f>SUMIFS('Producto 1'!$AC:$AC,'Producto 1'!$A:$A,'R-Producto 1'!$B90,'Producto 1'!$B:$B,'R-Producto 1'!$C90)</f>
        <v>437417.0733333333</v>
      </c>
      <c r="E90" s="44"/>
      <c r="F90" s="27">
        <f t="shared" si="3"/>
        <v>0</v>
      </c>
      <c r="G90" s="41"/>
      <c r="H90" s="13"/>
      <c r="U90" s="9"/>
    </row>
    <row r="91" spans="2:21" ht="15" customHeight="1" x14ac:dyDescent="0.25">
      <c r="B91" s="16">
        <f t="shared" si="2"/>
        <v>2033</v>
      </c>
      <c r="C91" s="14" t="s">
        <v>25</v>
      </c>
      <c r="D91" s="15">
        <f>SUMIFS('Producto 1'!$AC:$AC,'Producto 1'!$A:$A,'R-Producto 1'!$B91,'Producto 1'!$B:$B,'R-Producto 1'!$C91)</f>
        <v>451827.90130952379</v>
      </c>
      <c r="E91" s="44"/>
      <c r="F91" s="27">
        <f t="shared" si="3"/>
        <v>0</v>
      </c>
      <c r="G91" s="41"/>
      <c r="H91" s="13"/>
      <c r="U91" s="9"/>
    </row>
    <row r="92" spans="2:21" ht="15" customHeight="1" x14ac:dyDescent="0.25">
      <c r="B92" s="16">
        <f t="shared" si="2"/>
        <v>2033</v>
      </c>
      <c r="C92" s="14" t="s">
        <v>26</v>
      </c>
      <c r="D92" s="15">
        <f>SUMIFS('Producto 1'!$AC:$AC,'Producto 1'!$A:$A,'R-Producto 1'!$B92,'Producto 1'!$B:$B,'R-Producto 1'!$C92)</f>
        <v>441176.54047619045</v>
      </c>
      <c r="E92" s="44"/>
      <c r="F92" s="27">
        <f t="shared" si="3"/>
        <v>0</v>
      </c>
      <c r="G92" s="41"/>
      <c r="H92" s="13"/>
      <c r="U92" s="9"/>
    </row>
    <row r="93" spans="2:21" ht="15" customHeight="1" x14ac:dyDescent="0.25">
      <c r="B93" s="16">
        <f t="shared" si="2"/>
        <v>2033</v>
      </c>
      <c r="C93" s="14" t="s">
        <v>27</v>
      </c>
      <c r="D93" s="15">
        <f>SUMIFS('Producto 1'!$AC:$AC,'Producto 1'!$A:$A,'R-Producto 1'!$B93,'Producto 1'!$B:$B,'R-Producto 1'!$C93)</f>
        <v>448068.43416666664</v>
      </c>
      <c r="E93" s="44"/>
      <c r="F93" s="27">
        <f t="shared" si="3"/>
        <v>0</v>
      </c>
      <c r="G93" s="41"/>
      <c r="H93" s="13"/>
      <c r="U93" s="9"/>
    </row>
    <row r="94" spans="2:21" ht="15" customHeight="1" x14ac:dyDescent="0.25">
      <c r="B94" s="16">
        <f t="shared" si="2"/>
        <v>2033</v>
      </c>
      <c r="C94" s="14" t="s">
        <v>51</v>
      </c>
      <c r="D94" s="15">
        <f>SUMIFS('Producto 1'!$AC:$AC,'Producto 1'!$A:$A,'R-Producto 1'!$B94,'Producto 1'!$B:$B,'R-Producto 1'!$C94)</f>
        <v>457084.57761904766</v>
      </c>
      <c r="E94" s="44"/>
      <c r="F94" s="27">
        <f t="shared" si="3"/>
        <v>0</v>
      </c>
      <c r="G94" s="41"/>
      <c r="H94" s="13"/>
      <c r="U94" s="9"/>
    </row>
    <row r="95" spans="2:21" ht="15" customHeight="1" x14ac:dyDescent="0.25">
      <c r="B95" s="16">
        <f t="shared" si="2"/>
        <v>2033</v>
      </c>
      <c r="C95" s="14" t="s">
        <v>52</v>
      </c>
      <c r="D95" s="15">
        <f>SUMIFS('Producto 1'!$AC:$AC,'Producto 1'!$A:$A,'R-Producto 1'!$B95,'Producto 1'!$B:$B,'R-Producto 1'!$C95)</f>
        <v>441176.54047619045</v>
      </c>
      <c r="E95" s="44"/>
      <c r="F95" s="27">
        <f t="shared" si="3"/>
        <v>0</v>
      </c>
      <c r="G95" s="41"/>
      <c r="H95" s="13"/>
      <c r="U95" s="9"/>
    </row>
    <row r="96" spans="2:21" ht="15" customHeight="1" x14ac:dyDescent="0.25">
      <c r="B96" s="16">
        <f t="shared" si="2"/>
        <v>2033</v>
      </c>
      <c r="C96" s="14" t="s">
        <v>53</v>
      </c>
      <c r="D96" s="15">
        <f>SUMIFS('Producto 1'!$AC:$AC,'Producto 1'!$A:$A,'R-Producto 1'!$B96,'Producto 1'!$B:$B,'R-Producto 1'!$C96)</f>
        <v>448068.43416666664</v>
      </c>
      <c r="E96" s="44"/>
      <c r="F96" s="27">
        <f t="shared" si="3"/>
        <v>0</v>
      </c>
      <c r="G96" s="41"/>
      <c r="H96" s="13"/>
      <c r="U96" s="9"/>
    </row>
    <row r="97" spans="2:21" ht="15" customHeight="1" x14ac:dyDescent="0.25">
      <c r="B97" s="16">
        <f t="shared" si="2"/>
        <v>2033</v>
      </c>
      <c r="C97" s="14" t="s">
        <v>54</v>
      </c>
      <c r="D97" s="15">
        <f>SUMIFS('Producto 1'!$AC:$AC,'Producto 1'!$A:$A,'R-Producto 1'!$B97,'Producto 1'!$B:$B,'R-Producto 1'!$C97)</f>
        <v>441176.54047619045</v>
      </c>
      <c r="E97" s="44"/>
      <c r="F97" s="27">
        <f t="shared" si="3"/>
        <v>0</v>
      </c>
      <c r="G97" s="41"/>
      <c r="H97" s="13"/>
      <c r="U97" s="9"/>
    </row>
    <row r="98" spans="2:21" ht="15" customHeight="1" thickBot="1" x14ac:dyDescent="0.3">
      <c r="B98" s="16">
        <f t="shared" si="2"/>
        <v>2033</v>
      </c>
      <c r="C98" s="14" t="s">
        <v>55</v>
      </c>
      <c r="D98" s="15">
        <f>SUMIFS('Producto 1'!$AC:$AC,'Producto 1'!$A:$A,'R-Producto 1'!$B98,'Producto 1'!$B:$B,'R-Producto 1'!$C98)</f>
        <v>453325.11047619046</v>
      </c>
      <c r="E98" s="44"/>
      <c r="F98" s="27">
        <f t="shared" si="3"/>
        <v>0</v>
      </c>
      <c r="G98" s="42"/>
      <c r="H98" s="13"/>
      <c r="U98" s="9"/>
    </row>
    <row r="99" spans="2:21" ht="15" customHeight="1" x14ac:dyDescent="0.25">
      <c r="B99" s="16">
        <f t="shared" si="2"/>
        <v>2034</v>
      </c>
      <c r="C99" s="14" t="s">
        <v>56</v>
      </c>
      <c r="D99" s="15">
        <f>SUMIFS('Producto 1'!$AC:$AC,'Producto 1'!$A:$A,'R-Producto 1'!$B99,'Producto 1'!$B:$B,'R-Producto 1'!$C99)</f>
        <v>451827.90130952379</v>
      </c>
      <c r="E99" s="44"/>
      <c r="F99" s="27">
        <f t="shared" si="3"/>
        <v>0</v>
      </c>
      <c r="G99" s="40"/>
      <c r="H99" s="13"/>
      <c r="U99" s="9"/>
    </row>
    <row r="100" spans="2:21" ht="15" customHeight="1" x14ac:dyDescent="0.25">
      <c r="B100" s="16">
        <f t="shared" si="2"/>
        <v>2034</v>
      </c>
      <c r="C100" s="14" t="s">
        <v>47</v>
      </c>
      <c r="D100" s="15">
        <f>SUMIFS('Producto 1'!$AC:$AC,'Producto 1'!$A:$A,'R-Producto 1'!$B100,'Producto 1'!$B:$B,'R-Producto 1'!$C100)</f>
        <v>409360.46619047626</v>
      </c>
      <c r="E100" s="44"/>
      <c r="F100" s="27">
        <f t="shared" si="3"/>
        <v>0</v>
      </c>
      <c r="G100" s="41"/>
      <c r="H100" s="13"/>
      <c r="U100" s="9"/>
    </row>
    <row r="101" spans="2:21" ht="15" customHeight="1" x14ac:dyDescent="0.25">
      <c r="B101" s="16">
        <f t="shared" si="2"/>
        <v>2034</v>
      </c>
      <c r="C101" s="14" t="s">
        <v>48</v>
      </c>
      <c r="D101" s="15">
        <f>SUMIFS('Producto 1'!$AC:$AC,'Producto 1'!$A:$A,'R-Producto 1'!$B101,'Producto 1'!$B:$B,'R-Producto 1'!$C101)</f>
        <v>457084.57761904766</v>
      </c>
      <c r="E101" s="44"/>
      <c r="F101" s="27">
        <f t="shared" si="3"/>
        <v>0</v>
      </c>
      <c r="G101" s="41"/>
      <c r="H101" s="13"/>
      <c r="U101" s="9"/>
    </row>
    <row r="102" spans="2:21" ht="15" customHeight="1" x14ac:dyDescent="0.25">
      <c r="B102" s="16">
        <f t="shared" si="2"/>
        <v>2034</v>
      </c>
      <c r="C102" s="14" t="s">
        <v>46</v>
      </c>
      <c r="D102" s="15">
        <f>SUMIFS('Producto 1'!$AC:$AC,'Producto 1'!$A:$A,'R-Producto 1'!$B102,'Producto 1'!$B:$B,'R-Producto 1'!$C102)</f>
        <v>432160.39702380955</v>
      </c>
      <c r="E102" s="44"/>
      <c r="F102" s="27">
        <f t="shared" si="3"/>
        <v>0</v>
      </c>
      <c r="G102" s="41"/>
      <c r="H102" s="13"/>
      <c r="U102" s="9"/>
    </row>
    <row r="103" spans="2:21" ht="15" customHeight="1" x14ac:dyDescent="0.25">
      <c r="B103" s="16">
        <f t="shared" si="2"/>
        <v>2034</v>
      </c>
      <c r="C103" s="14" t="s">
        <v>25</v>
      </c>
      <c r="D103" s="15">
        <f>SUMIFS('Producto 1'!$AC:$AC,'Producto 1'!$A:$A,'R-Producto 1'!$B103,'Producto 1'!$B:$B,'R-Producto 1'!$C103)</f>
        <v>457084.57761904766</v>
      </c>
      <c r="E103" s="44"/>
      <c r="F103" s="27">
        <f t="shared" si="3"/>
        <v>0</v>
      </c>
      <c r="G103" s="41"/>
      <c r="H103" s="13"/>
      <c r="U103" s="9"/>
    </row>
    <row r="104" spans="2:21" ht="15" customHeight="1" x14ac:dyDescent="0.25">
      <c r="B104" s="16">
        <f t="shared" si="2"/>
        <v>2034</v>
      </c>
      <c r="C104" s="14" t="s">
        <v>26</v>
      </c>
      <c r="D104" s="15">
        <f>SUMIFS('Producto 1'!$AC:$AC,'Producto 1'!$A:$A,'R-Producto 1'!$B104,'Producto 1'!$B:$B,'R-Producto 1'!$C104)</f>
        <v>441176.54047619045</v>
      </c>
      <c r="E104" s="44"/>
      <c r="F104" s="27">
        <f t="shared" si="3"/>
        <v>0</v>
      </c>
      <c r="G104" s="41"/>
      <c r="H104" s="13"/>
      <c r="U104" s="9"/>
    </row>
    <row r="105" spans="2:21" ht="15" customHeight="1" x14ac:dyDescent="0.25">
      <c r="B105" s="16">
        <f t="shared" si="2"/>
        <v>2034</v>
      </c>
      <c r="C105" s="14" t="s">
        <v>27</v>
      </c>
      <c r="D105" s="15">
        <f>SUMIFS('Producto 1'!$AC:$AC,'Producto 1'!$A:$A,'R-Producto 1'!$B105,'Producto 1'!$B:$B,'R-Producto 1'!$C105)</f>
        <v>448068.43416666664</v>
      </c>
      <c r="E105" s="44"/>
      <c r="F105" s="27">
        <f t="shared" si="3"/>
        <v>0</v>
      </c>
      <c r="G105" s="41"/>
      <c r="H105" s="13"/>
      <c r="U105" s="9"/>
    </row>
    <row r="106" spans="2:21" ht="15" customHeight="1" x14ac:dyDescent="0.25">
      <c r="B106" s="16">
        <f t="shared" si="2"/>
        <v>2034</v>
      </c>
      <c r="C106" s="14" t="s">
        <v>51</v>
      </c>
      <c r="D106" s="15">
        <f>SUMIFS('Producto 1'!$AC:$AC,'Producto 1'!$A:$A,'R-Producto 1'!$B106,'Producto 1'!$B:$B,'R-Producto 1'!$C106)</f>
        <v>457084.57761904766</v>
      </c>
      <c r="E106" s="44"/>
      <c r="F106" s="27">
        <f t="shared" si="3"/>
        <v>0</v>
      </c>
      <c r="G106" s="41"/>
      <c r="H106" s="13"/>
      <c r="U106" s="9"/>
    </row>
    <row r="107" spans="2:21" ht="15" customHeight="1" x14ac:dyDescent="0.25">
      <c r="B107" s="16">
        <f t="shared" si="2"/>
        <v>2034</v>
      </c>
      <c r="C107" s="14" t="s">
        <v>52</v>
      </c>
      <c r="D107" s="15">
        <f>SUMIFS('Producto 1'!$AC:$AC,'Producto 1'!$A:$A,'R-Producto 1'!$B107,'Producto 1'!$B:$B,'R-Producto 1'!$C107)</f>
        <v>437417.0733333333</v>
      </c>
      <c r="E107" s="44"/>
      <c r="F107" s="27">
        <f t="shared" si="3"/>
        <v>0</v>
      </c>
      <c r="G107" s="41"/>
      <c r="H107" s="13"/>
      <c r="U107" s="9"/>
    </row>
    <row r="108" spans="2:21" ht="15" customHeight="1" x14ac:dyDescent="0.25">
      <c r="B108" s="16">
        <f t="shared" si="2"/>
        <v>2034</v>
      </c>
      <c r="C108" s="14" t="s">
        <v>53</v>
      </c>
      <c r="D108" s="15">
        <f>SUMIFS('Producto 1'!$AC:$AC,'Producto 1'!$A:$A,'R-Producto 1'!$B108,'Producto 1'!$B:$B,'R-Producto 1'!$C108)</f>
        <v>451827.90130952379</v>
      </c>
      <c r="E108" s="44"/>
      <c r="F108" s="27">
        <f t="shared" si="3"/>
        <v>0</v>
      </c>
      <c r="G108" s="41"/>
      <c r="H108" s="13"/>
      <c r="U108" s="9"/>
    </row>
    <row r="109" spans="2:21" ht="15" customHeight="1" x14ac:dyDescent="0.25">
      <c r="B109" s="16">
        <f t="shared" si="2"/>
        <v>2034</v>
      </c>
      <c r="C109" s="14" t="s">
        <v>54</v>
      </c>
      <c r="D109" s="15">
        <f>SUMIFS('Producto 1'!$AC:$AC,'Producto 1'!$A:$A,'R-Producto 1'!$B109,'Producto 1'!$B:$B,'R-Producto 1'!$C109)</f>
        <v>441176.54047619045</v>
      </c>
      <c r="E109" s="44"/>
      <c r="F109" s="27">
        <f t="shared" si="3"/>
        <v>0</v>
      </c>
      <c r="G109" s="41"/>
      <c r="H109" s="13"/>
      <c r="U109" s="9"/>
    </row>
    <row r="110" spans="2:21" ht="15" customHeight="1" thickBot="1" x14ac:dyDescent="0.3">
      <c r="B110" s="16">
        <f t="shared" si="2"/>
        <v>2034</v>
      </c>
      <c r="C110" s="14" t="s">
        <v>55</v>
      </c>
      <c r="D110" s="15">
        <f>SUMIFS('Producto 1'!$AC:$AC,'Producto 1'!$A:$A,'R-Producto 1'!$B110,'Producto 1'!$B:$B,'R-Producto 1'!$C110)</f>
        <v>448068.43416666664</v>
      </c>
      <c r="E110" s="44"/>
      <c r="F110" s="27">
        <f t="shared" si="3"/>
        <v>0</v>
      </c>
      <c r="G110" s="42"/>
      <c r="H110" s="13"/>
      <c r="U110" s="9"/>
    </row>
    <row r="111" spans="2:21" ht="15" customHeight="1" x14ac:dyDescent="0.25">
      <c r="B111" s="16">
        <f t="shared" si="2"/>
        <v>2035</v>
      </c>
      <c r="C111" s="14" t="s">
        <v>56</v>
      </c>
      <c r="D111" s="15">
        <f>SUMIFS('Producto 1'!$AC:$AC,'Producto 1'!$A:$A,'R-Producto 1'!$B111,'Producto 1'!$B:$B,'R-Producto 1'!$C111)</f>
        <v>457084.57761904766</v>
      </c>
      <c r="E111" s="44"/>
      <c r="F111" s="27">
        <f t="shared" si="3"/>
        <v>0</v>
      </c>
      <c r="G111" s="40"/>
      <c r="H111" s="13"/>
      <c r="U111" s="9"/>
    </row>
    <row r="112" spans="2:21" ht="15" customHeight="1" x14ac:dyDescent="0.25">
      <c r="B112" s="16">
        <f t="shared" si="2"/>
        <v>2035</v>
      </c>
      <c r="C112" s="14" t="s">
        <v>47</v>
      </c>
      <c r="D112" s="15">
        <f>SUMIFS('Producto 1'!$AC:$AC,'Producto 1'!$A:$A,'R-Producto 1'!$B112,'Producto 1'!$B:$B,'R-Producto 1'!$C112)</f>
        <v>409360.46619047626</v>
      </c>
      <c r="E112" s="44"/>
      <c r="F112" s="27">
        <f t="shared" si="3"/>
        <v>0</v>
      </c>
      <c r="G112" s="41"/>
      <c r="H112" s="13"/>
      <c r="U112" s="9"/>
    </row>
    <row r="113" spans="2:21" ht="15" customHeight="1" x14ac:dyDescent="0.25">
      <c r="B113" s="16">
        <f t="shared" si="2"/>
        <v>2035</v>
      </c>
      <c r="C113" s="14" t="s">
        <v>48</v>
      </c>
      <c r="D113" s="15">
        <f>SUMIFS('Producto 1'!$AC:$AC,'Producto 1'!$A:$A,'R-Producto 1'!$B113,'Producto 1'!$B:$B,'R-Producto 1'!$C113)</f>
        <v>453325.11047619046</v>
      </c>
      <c r="E113" s="44"/>
      <c r="F113" s="27">
        <f t="shared" si="3"/>
        <v>0</v>
      </c>
      <c r="G113" s="41"/>
      <c r="H113" s="13"/>
      <c r="U113" s="9"/>
    </row>
    <row r="114" spans="2:21" ht="15" customHeight="1" x14ac:dyDescent="0.25">
      <c r="B114" s="16">
        <f t="shared" si="2"/>
        <v>2035</v>
      </c>
      <c r="C114" s="14" t="s">
        <v>46</v>
      </c>
      <c r="D114" s="15">
        <f>SUMIFS('Producto 1'!$AC:$AC,'Producto 1'!$A:$A,'R-Producto 1'!$B114,'Producto 1'!$B:$B,'R-Producto 1'!$C114)</f>
        <v>435919.8641666667</v>
      </c>
      <c r="E114" s="44"/>
      <c r="F114" s="27">
        <f t="shared" si="3"/>
        <v>0</v>
      </c>
      <c r="G114" s="41"/>
      <c r="H114" s="13"/>
      <c r="U114" s="9"/>
    </row>
    <row r="115" spans="2:21" ht="15" customHeight="1" x14ac:dyDescent="0.25">
      <c r="B115" s="16">
        <f t="shared" si="2"/>
        <v>2035</v>
      </c>
      <c r="C115" s="14" t="s">
        <v>25</v>
      </c>
      <c r="D115" s="15">
        <f>SUMIFS('Producto 1'!$AC:$AC,'Producto 1'!$A:$A,'R-Producto 1'!$B115,'Producto 1'!$B:$B,'R-Producto 1'!$C115)</f>
        <v>457084.57761904766</v>
      </c>
      <c r="E115" s="44"/>
      <c r="F115" s="27">
        <f t="shared" si="3"/>
        <v>0</v>
      </c>
      <c r="G115" s="41"/>
      <c r="H115" s="13"/>
      <c r="U115" s="9"/>
    </row>
    <row r="116" spans="2:21" ht="15" customHeight="1" x14ac:dyDescent="0.25">
      <c r="B116" s="16">
        <f t="shared" si="2"/>
        <v>2035</v>
      </c>
      <c r="C116" s="14" t="s">
        <v>26</v>
      </c>
      <c r="D116" s="15">
        <f>SUMIFS('Producto 1'!$AC:$AC,'Producto 1'!$A:$A,'R-Producto 1'!$B116,'Producto 1'!$B:$B,'R-Producto 1'!$C116)</f>
        <v>437417.0733333333</v>
      </c>
      <c r="E116" s="44"/>
      <c r="F116" s="27">
        <f t="shared" si="3"/>
        <v>0</v>
      </c>
      <c r="G116" s="41"/>
      <c r="H116" s="13"/>
      <c r="U116" s="9"/>
    </row>
    <row r="117" spans="2:21" ht="15" customHeight="1" x14ac:dyDescent="0.25">
      <c r="B117" s="16">
        <f t="shared" si="2"/>
        <v>2035</v>
      </c>
      <c r="C117" s="14" t="s">
        <v>27</v>
      </c>
      <c r="D117" s="15">
        <f>SUMIFS('Producto 1'!$AC:$AC,'Producto 1'!$A:$A,'R-Producto 1'!$B117,'Producto 1'!$B:$B,'R-Producto 1'!$C117)</f>
        <v>451827.90130952379</v>
      </c>
      <c r="E117" s="44"/>
      <c r="F117" s="27">
        <f t="shared" si="3"/>
        <v>0</v>
      </c>
      <c r="G117" s="41"/>
      <c r="H117" s="13"/>
      <c r="U117" s="9"/>
    </row>
    <row r="118" spans="2:21" ht="15" customHeight="1" x14ac:dyDescent="0.25">
      <c r="B118" s="16">
        <f t="shared" si="2"/>
        <v>2035</v>
      </c>
      <c r="C118" s="14" t="s">
        <v>51</v>
      </c>
      <c r="D118" s="15">
        <f>SUMIFS('Producto 1'!$AC:$AC,'Producto 1'!$A:$A,'R-Producto 1'!$B118,'Producto 1'!$B:$B,'R-Producto 1'!$C118)</f>
        <v>457084.57761904766</v>
      </c>
      <c r="E118" s="44"/>
      <c r="F118" s="27">
        <f t="shared" si="3"/>
        <v>0</v>
      </c>
      <c r="G118" s="41"/>
      <c r="H118" s="13"/>
      <c r="U118" s="9"/>
    </row>
    <row r="119" spans="2:21" ht="15" customHeight="1" x14ac:dyDescent="0.25">
      <c r="B119" s="16">
        <f t="shared" si="2"/>
        <v>2035</v>
      </c>
      <c r="C119" s="14" t="s">
        <v>52</v>
      </c>
      <c r="D119" s="15">
        <f>SUMIFS('Producto 1'!$AC:$AC,'Producto 1'!$A:$A,'R-Producto 1'!$B119,'Producto 1'!$B:$B,'R-Producto 1'!$C119)</f>
        <v>432160.39702380955</v>
      </c>
      <c r="E119" s="44"/>
      <c r="F119" s="27">
        <f t="shared" si="3"/>
        <v>0</v>
      </c>
      <c r="G119" s="41"/>
      <c r="H119" s="13"/>
      <c r="U119" s="9"/>
    </row>
    <row r="120" spans="2:21" ht="15" customHeight="1" x14ac:dyDescent="0.25">
      <c r="B120" s="16">
        <f t="shared" si="2"/>
        <v>2035</v>
      </c>
      <c r="C120" s="14" t="s">
        <v>53</v>
      </c>
      <c r="D120" s="15">
        <f>SUMIFS('Producto 1'!$AC:$AC,'Producto 1'!$A:$A,'R-Producto 1'!$B120,'Producto 1'!$B:$B,'R-Producto 1'!$C120)</f>
        <v>457084.57761904766</v>
      </c>
      <c r="E120" s="44"/>
      <c r="F120" s="27">
        <f t="shared" si="3"/>
        <v>0</v>
      </c>
      <c r="G120" s="41"/>
      <c r="H120" s="13"/>
      <c r="U120" s="9"/>
    </row>
    <row r="121" spans="2:21" ht="15" customHeight="1" x14ac:dyDescent="0.25">
      <c r="B121" s="16">
        <f t="shared" si="2"/>
        <v>2035</v>
      </c>
      <c r="C121" s="14" t="s">
        <v>54</v>
      </c>
      <c r="D121" s="15">
        <f>SUMIFS('Producto 1'!$AC:$AC,'Producto 1'!$A:$A,'R-Producto 1'!$B121,'Producto 1'!$B:$B,'R-Producto 1'!$C121)</f>
        <v>441176.54047619045</v>
      </c>
      <c r="E121" s="44"/>
      <c r="F121" s="27">
        <f t="shared" si="3"/>
        <v>0</v>
      </c>
      <c r="G121" s="41"/>
      <c r="H121" s="13"/>
      <c r="U121" s="9"/>
    </row>
    <row r="122" spans="2:21" ht="15" customHeight="1" thickBot="1" x14ac:dyDescent="0.3">
      <c r="B122" s="16">
        <f t="shared" si="2"/>
        <v>2035</v>
      </c>
      <c r="C122" s="14" t="s">
        <v>55</v>
      </c>
      <c r="D122" s="15">
        <f>SUMIFS('Producto 1'!$AC:$AC,'Producto 1'!$A:$A,'R-Producto 1'!$B122,'Producto 1'!$B:$B,'R-Producto 1'!$C122)</f>
        <v>448068.43416666664</v>
      </c>
      <c r="E122" s="44"/>
      <c r="F122" s="27">
        <f t="shared" si="3"/>
        <v>0</v>
      </c>
      <c r="G122" s="42"/>
      <c r="H122" s="13"/>
      <c r="U122" s="9"/>
    </row>
    <row r="123" spans="2:21" ht="15" customHeight="1" x14ac:dyDescent="0.25">
      <c r="B123" s="16">
        <f t="shared" si="2"/>
        <v>2036</v>
      </c>
      <c r="C123" s="14" t="s">
        <v>56</v>
      </c>
      <c r="D123" s="15">
        <f>SUMIFS('Producto 1'!$AC:$AC,'Producto 1'!$A:$A,'R-Producto 1'!$B123,'Producto 1'!$B:$B,'R-Producto 1'!$C123)</f>
        <v>457084.57761904766</v>
      </c>
      <c r="E123" s="44"/>
      <c r="F123" s="27">
        <f t="shared" si="3"/>
        <v>0</v>
      </c>
      <c r="G123" s="40"/>
      <c r="H123" s="13"/>
      <c r="U123" s="9"/>
    </row>
    <row r="124" spans="2:21" ht="15" customHeight="1" x14ac:dyDescent="0.25">
      <c r="B124" s="16">
        <f t="shared" si="2"/>
        <v>2036</v>
      </c>
      <c r="C124" s="14" t="s">
        <v>47</v>
      </c>
      <c r="D124" s="15">
        <f>SUMIFS('Producto 1'!$AC:$AC,'Producto 1'!$A:$A,'R-Producto 1'!$B124,'Producto 1'!$B:$B,'R-Producto 1'!$C124)</f>
        <v>425268.50333333336</v>
      </c>
      <c r="E124" s="44"/>
      <c r="F124" s="27">
        <f t="shared" si="3"/>
        <v>0</v>
      </c>
      <c r="G124" s="41"/>
      <c r="H124" s="13"/>
      <c r="U124" s="9"/>
    </row>
    <row r="125" spans="2:21" ht="15" customHeight="1" x14ac:dyDescent="0.25">
      <c r="B125" s="16">
        <f t="shared" si="2"/>
        <v>2036</v>
      </c>
      <c r="C125" s="14" t="s">
        <v>48</v>
      </c>
      <c r="D125" s="15">
        <f>SUMIFS('Producto 1'!$AC:$AC,'Producto 1'!$A:$A,'R-Producto 1'!$B125,'Producto 1'!$B:$B,'R-Producto 1'!$C125)</f>
        <v>448068.43416666664</v>
      </c>
      <c r="E125" s="44"/>
      <c r="F125" s="27">
        <f t="shared" si="3"/>
        <v>0</v>
      </c>
      <c r="G125" s="41"/>
      <c r="H125" s="13"/>
      <c r="U125" s="9"/>
    </row>
    <row r="126" spans="2:21" ht="15" customHeight="1" x14ac:dyDescent="0.25">
      <c r="B126" s="16">
        <f t="shared" si="2"/>
        <v>2036</v>
      </c>
      <c r="C126" s="14" t="s">
        <v>46</v>
      </c>
      <c r="D126" s="15">
        <f>SUMIFS('Producto 1'!$AC:$AC,'Producto 1'!$A:$A,'R-Producto 1'!$B126,'Producto 1'!$B:$B,'R-Producto 1'!$C126)</f>
        <v>441176.54047619045</v>
      </c>
      <c r="E126" s="44"/>
      <c r="F126" s="27">
        <f t="shared" si="3"/>
        <v>0</v>
      </c>
      <c r="G126" s="41"/>
      <c r="H126" s="13"/>
      <c r="U126" s="9"/>
    </row>
    <row r="127" spans="2:21" ht="15" customHeight="1" x14ac:dyDescent="0.25">
      <c r="B127" s="16">
        <f t="shared" si="2"/>
        <v>2036</v>
      </c>
      <c r="C127" s="14" t="s">
        <v>25</v>
      </c>
      <c r="D127" s="15">
        <f>SUMIFS('Producto 1'!$AC:$AC,'Producto 1'!$A:$A,'R-Producto 1'!$B127,'Producto 1'!$B:$B,'R-Producto 1'!$C127)</f>
        <v>453325.11047619046</v>
      </c>
      <c r="E127" s="44"/>
      <c r="F127" s="27">
        <f t="shared" si="3"/>
        <v>0</v>
      </c>
      <c r="G127" s="41"/>
      <c r="H127" s="13"/>
      <c r="U127" s="9"/>
    </row>
    <row r="128" spans="2:21" ht="15" customHeight="1" x14ac:dyDescent="0.25">
      <c r="B128" s="16">
        <f t="shared" si="2"/>
        <v>2036</v>
      </c>
      <c r="C128" s="14" t="s">
        <v>26</v>
      </c>
      <c r="D128" s="15">
        <f>SUMIFS('Producto 1'!$AC:$AC,'Producto 1'!$A:$A,'R-Producto 1'!$B128,'Producto 1'!$B:$B,'R-Producto 1'!$C128)</f>
        <v>435919.8641666667</v>
      </c>
      <c r="E128" s="44"/>
      <c r="F128" s="27">
        <f t="shared" si="3"/>
        <v>0</v>
      </c>
      <c r="G128" s="41"/>
      <c r="H128" s="13"/>
      <c r="U128" s="9"/>
    </row>
    <row r="129" spans="1:21" ht="15" customHeight="1" x14ac:dyDescent="0.25">
      <c r="B129" s="16">
        <f t="shared" si="2"/>
        <v>2036</v>
      </c>
      <c r="C129" s="14" t="s">
        <v>27</v>
      </c>
      <c r="D129" s="15">
        <f>SUMIFS('Producto 1'!$AC:$AC,'Producto 1'!$A:$A,'R-Producto 1'!$B129,'Producto 1'!$B:$B,'R-Producto 1'!$C129)</f>
        <v>457084.57761904766</v>
      </c>
      <c r="E129" s="44"/>
      <c r="F129" s="27">
        <f t="shared" si="3"/>
        <v>0</v>
      </c>
      <c r="G129" s="41"/>
      <c r="H129" s="13"/>
      <c r="U129" s="9"/>
    </row>
    <row r="130" spans="1:21" ht="15" customHeight="1" x14ac:dyDescent="0.25">
      <c r="B130" s="16">
        <f t="shared" si="2"/>
        <v>2036</v>
      </c>
      <c r="C130" s="14" t="s">
        <v>51</v>
      </c>
      <c r="D130" s="15">
        <f>SUMIFS('Producto 1'!$AC:$AC,'Producto 1'!$A:$A,'R-Producto 1'!$B130,'Producto 1'!$B:$B,'R-Producto 1'!$C130)</f>
        <v>448068.43416666664</v>
      </c>
      <c r="E130" s="44"/>
      <c r="F130" s="27">
        <f t="shared" si="3"/>
        <v>0</v>
      </c>
      <c r="G130" s="41"/>
      <c r="H130" s="13"/>
      <c r="U130" s="9"/>
    </row>
    <row r="131" spans="1:21" ht="15" customHeight="1" x14ac:dyDescent="0.25">
      <c r="B131" s="16">
        <f t="shared" si="2"/>
        <v>2036</v>
      </c>
      <c r="C131" s="14" t="s">
        <v>52</v>
      </c>
      <c r="D131" s="15">
        <f>SUMIFS('Producto 1'!$AC:$AC,'Producto 1'!$A:$A,'R-Producto 1'!$B131,'Producto 1'!$B:$B,'R-Producto 1'!$C131)</f>
        <v>441176.54047619045</v>
      </c>
      <c r="E131" s="44"/>
      <c r="F131" s="27">
        <f t="shared" si="3"/>
        <v>0</v>
      </c>
      <c r="G131" s="41"/>
      <c r="H131" s="13"/>
      <c r="U131" s="9"/>
    </row>
    <row r="132" spans="1:21" ht="15" customHeight="1" x14ac:dyDescent="0.25">
      <c r="B132" s="16">
        <f t="shared" si="2"/>
        <v>2036</v>
      </c>
      <c r="C132" s="14" t="s">
        <v>53</v>
      </c>
      <c r="D132" s="15">
        <f>SUMIFS('Producto 1'!$AC:$AC,'Producto 1'!$A:$A,'R-Producto 1'!$B132,'Producto 1'!$B:$B,'R-Producto 1'!$C132)</f>
        <v>457084.57761904766</v>
      </c>
      <c r="E132" s="44"/>
      <c r="F132" s="27">
        <f t="shared" si="3"/>
        <v>0</v>
      </c>
      <c r="G132" s="41"/>
      <c r="H132" s="13"/>
      <c r="U132" s="9"/>
    </row>
    <row r="133" spans="1:21" ht="15" customHeight="1" x14ac:dyDescent="0.25">
      <c r="B133" s="16">
        <f t="shared" si="2"/>
        <v>2036</v>
      </c>
      <c r="C133" s="14" t="s">
        <v>54</v>
      </c>
      <c r="D133" s="15">
        <f>SUMIFS('Producto 1'!$AC:$AC,'Producto 1'!$A:$A,'R-Producto 1'!$B133,'Producto 1'!$B:$B,'R-Producto 1'!$C133)</f>
        <v>432160.39702380955</v>
      </c>
      <c r="E133" s="44"/>
      <c r="F133" s="27">
        <f t="shared" si="3"/>
        <v>0</v>
      </c>
      <c r="G133" s="41"/>
      <c r="H133" s="13"/>
      <c r="U133" s="9"/>
    </row>
    <row r="134" spans="1:21" ht="15" customHeight="1" thickBot="1" x14ac:dyDescent="0.3">
      <c r="B134" s="16">
        <f t="shared" si="2"/>
        <v>2036</v>
      </c>
      <c r="C134" s="14" t="s">
        <v>55</v>
      </c>
      <c r="D134" s="15">
        <f>SUMIFS('Producto 1'!$AC:$AC,'Producto 1'!$A:$A,'R-Producto 1'!$B134,'Producto 1'!$B:$B,'R-Producto 1'!$C134)</f>
        <v>457084.57761904766</v>
      </c>
      <c r="E134" s="44"/>
      <c r="F134" s="27">
        <f t="shared" si="3"/>
        <v>0</v>
      </c>
      <c r="G134" s="42"/>
      <c r="H134" s="13"/>
      <c r="U134" s="9"/>
    </row>
    <row r="135" spans="1:21" ht="15" customHeight="1" thickBot="1" x14ac:dyDescent="0.3">
      <c r="A135" s="17"/>
      <c r="B135" s="20"/>
      <c r="C135" s="21" t="s">
        <v>42</v>
      </c>
      <c r="D135" s="22">
        <f>SUM(D10:D134)</f>
        <v>55641207.327619046</v>
      </c>
      <c r="E135" s="24"/>
      <c r="F135" s="23">
        <f>D135*$E$10</f>
        <v>0</v>
      </c>
      <c r="G135" s="25"/>
      <c r="H135" s="13"/>
    </row>
    <row r="136" spans="1:21" ht="15" customHeight="1" x14ac:dyDescent="0.25">
      <c r="A136" s="17"/>
      <c r="H136" s="13"/>
    </row>
    <row r="137" spans="1:21" ht="15" customHeight="1" x14ac:dyDescent="0.25">
      <c r="A137" s="17"/>
      <c r="B137" s="18" t="s">
        <v>50</v>
      </c>
      <c r="H137" s="13"/>
    </row>
    <row r="138" spans="1:21" ht="15" customHeight="1" x14ac:dyDescent="0.25">
      <c r="A138" s="17"/>
      <c r="B138" s="3" t="s">
        <v>39</v>
      </c>
      <c r="H138" s="13"/>
    </row>
    <row r="139" spans="1:21" ht="15" customHeight="1" x14ac:dyDescent="0.25">
      <c r="A139" s="17"/>
      <c r="B139" s="3" t="s">
        <v>36</v>
      </c>
      <c r="E139" s="19"/>
      <c r="H139" s="13"/>
    </row>
    <row r="140" spans="1:21" ht="15" customHeight="1" x14ac:dyDescent="0.25">
      <c r="A140" s="17"/>
      <c r="E140" s="19"/>
      <c r="H140" s="13"/>
    </row>
    <row r="141" spans="1:21" ht="15" customHeight="1" x14ac:dyDescent="0.25">
      <c r="A141" s="17"/>
      <c r="H141" s="13"/>
    </row>
    <row r="142" spans="1:21" ht="15" customHeight="1" x14ac:dyDescent="0.25">
      <c r="A142" s="17"/>
      <c r="H142" s="13"/>
    </row>
    <row r="143" spans="1:21" ht="15" customHeight="1" x14ac:dyDescent="0.25">
      <c r="A143" s="17"/>
      <c r="H143" s="13"/>
    </row>
    <row r="144" spans="1:21" ht="15" customHeight="1" x14ac:dyDescent="0.25">
      <c r="A144" s="17"/>
      <c r="H144" s="13"/>
    </row>
    <row r="145" spans="1:8" ht="15" customHeight="1" x14ac:dyDescent="0.25">
      <c r="A145" s="17"/>
      <c r="H145" s="13"/>
    </row>
    <row r="146" spans="1:8" ht="15" customHeight="1" x14ac:dyDescent="0.25">
      <c r="A146" s="17"/>
      <c r="H146" s="13"/>
    </row>
    <row r="147" spans="1:8" ht="15" customHeight="1" x14ac:dyDescent="0.25">
      <c r="A147" s="17"/>
      <c r="H147" s="13"/>
    </row>
    <row r="148" spans="1:8" ht="15" customHeight="1" x14ac:dyDescent="0.25">
      <c r="A148" s="17"/>
      <c r="H148" s="13"/>
    </row>
    <row r="149" spans="1:8" ht="15" customHeight="1" x14ac:dyDescent="0.25">
      <c r="A149" s="17"/>
      <c r="H149" s="13"/>
    </row>
    <row r="150" spans="1:8" ht="15" customHeight="1" x14ac:dyDescent="0.25">
      <c r="A150" s="17"/>
      <c r="H150" s="13"/>
    </row>
    <row r="151" spans="1:8" ht="15" customHeight="1" x14ac:dyDescent="0.25">
      <c r="A151" s="17"/>
      <c r="H151" s="13"/>
    </row>
    <row r="152" spans="1:8" ht="15" customHeight="1" x14ac:dyDescent="0.25">
      <c r="A152" s="17"/>
      <c r="H152" s="13"/>
    </row>
    <row r="153" spans="1:8" ht="15" customHeight="1" x14ac:dyDescent="0.25">
      <c r="A153" s="17"/>
      <c r="H153" s="13"/>
    </row>
    <row r="154" spans="1:8" ht="15" customHeight="1" x14ac:dyDescent="0.25">
      <c r="A154" s="17"/>
      <c r="H154" s="13"/>
    </row>
    <row r="155" spans="1:8" ht="15" customHeight="1" x14ac:dyDescent="0.25">
      <c r="A155" s="17"/>
      <c r="H155" s="13"/>
    </row>
    <row r="156" spans="1:8" ht="15" customHeight="1" x14ac:dyDescent="0.25">
      <c r="A156" s="17"/>
      <c r="H156" s="13"/>
    </row>
    <row r="157" spans="1:8" ht="15" customHeight="1" x14ac:dyDescent="0.25">
      <c r="A157" s="17"/>
      <c r="H157" s="13"/>
    </row>
    <row r="158" spans="1:8" ht="15" customHeight="1" x14ac:dyDescent="0.25">
      <c r="A158" s="17"/>
      <c r="H158" s="13"/>
    </row>
    <row r="159" spans="1:8" ht="15" customHeight="1" x14ac:dyDescent="0.25">
      <c r="A159" s="17"/>
      <c r="H159" s="13"/>
    </row>
    <row r="160" spans="1:8" ht="15" customHeight="1" x14ac:dyDescent="0.25">
      <c r="A160" s="17"/>
      <c r="H160" s="13"/>
    </row>
    <row r="161" spans="1:8" ht="15" customHeight="1" x14ac:dyDescent="0.25">
      <c r="A161" s="17"/>
      <c r="H161" s="13"/>
    </row>
    <row r="162" spans="1:8" ht="15" customHeight="1" x14ac:dyDescent="0.25">
      <c r="A162" s="17"/>
      <c r="H162" s="13"/>
    </row>
    <row r="163" spans="1:8" ht="15" customHeight="1" x14ac:dyDescent="0.25">
      <c r="A163" s="17"/>
      <c r="H163" s="13"/>
    </row>
    <row r="164" spans="1:8" ht="15" customHeight="1" x14ac:dyDescent="0.25">
      <c r="A164" s="17"/>
      <c r="H164" s="13"/>
    </row>
    <row r="165" spans="1:8" ht="15" customHeight="1" x14ac:dyDescent="0.25">
      <c r="A165" s="17"/>
      <c r="H165" s="13"/>
    </row>
    <row r="166" spans="1:8" ht="15" customHeight="1" x14ac:dyDescent="0.25">
      <c r="A166" s="17"/>
      <c r="H166" s="13"/>
    </row>
    <row r="167" spans="1:8" ht="15" customHeight="1" x14ac:dyDescent="0.25">
      <c r="A167" s="17"/>
      <c r="H167" s="13"/>
    </row>
    <row r="168" spans="1:8" ht="15" customHeight="1" x14ac:dyDescent="0.25">
      <c r="A168" s="17"/>
      <c r="H168" s="13"/>
    </row>
    <row r="169" spans="1:8" ht="15" customHeight="1" x14ac:dyDescent="0.25">
      <c r="A169" s="17"/>
      <c r="H169" s="13"/>
    </row>
    <row r="170" spans="1:8" ht="15" customHeight="1" x14ac:dyDescent="0.25">
      <c r="A170" s="17"/>
      <c r="H170" s="13"/>
    </row>
    <row r="171" spans="1:8" ht="15" customHeight="1" x14ac:dyDescent="0.25">
      <c r="A171" s="17"/>
      <c r="H171" s="13"/>
    </row>
    <row r="172" spans="1:8" ht="15" customHeight="1" x14ac:dyDescent="0.25">
      <c r="A172" s="17"/>
      <c r="H172" s="13"/>
    </row>
    <row r="173" spans="1:8" ht="15" customHeight="1" x14ac:dyDescent="0.25">
      <c r="A173" s="17"/>
      <c r="H173" s="13"/>
    </row>
    <row r="174" spans="1:8" ht="15" customHeight="1" x14ac:dyDescent="0.25">
      <c r="A174" s="17"/>
      <c r="H174" s="13"/>
    </row>
    <row r="175" spans="1:8" ht="15" customHeight="1" x14ac:dyDescent="0.25">
      <c r="A175" s="17"/>
      <c r="H175" s="13"/>
    </row>
    <row r="176" spans="1:8" ht="15" customHeight="1" x14ac:dyDescent="0.25">
      <c r="A176" s="17"/>
      <c r="H176" s="13"/>
    </row>
    <row r="177" spans="1:8" ht="15" customHeight="1" x14ac:dyDescent="0.25">
      <c r="A177" s="17"/>
      <c r="H177" s="13"/>
    </row>
    <row r="178" spans="1:8" ht="15" customHeight="1" x14ac:dyDescent="0.25">
      <c r="A178" s="17"/>
      <c r="H178" s="13"/>
    </row>
    <row r="179" spans="1:8" ht="15" customHeight="1" x14ac:dyDescent="0.25">
      <c r="A179" s="17"/>
      <c r="H179" s="13"/>
    </row>
    <row r="180" spans="1:8" ht="15" customHeight="1" x14ac:dyDescent="0.25">
      <c r="A180" s="17"/>
      <c r="H180" s="13"/>
    </row>
    <row r="181" spans="1:8" ht="15" customHeight="1" x14ac:dyDescent="0.25">
      <c r="A181" s="17"/>
      <c r="H181" s="13"/>
    </row>
    <row r="182" spans="1:8" ht="15" customHeight="1" x14ac:dyDescent="0.25">
      <c r="A182" s="17"/>
      <c r="H182" s="13"/>
    </row>
    <row r="183" spans="1:8" ht="15" customHeight="1" x14ac:dyDescent="0.25">
      <c r="A183" s="17"/>
      <c r="H183" s="13"/>
    </row>
    <row r="184" spans="1:8" ht="15" customHeight="1" x14ac:dyDescent="0.25">
      <c r="A184" s="17"/>
      <c r="H184" s="13"/>
    </row>
    <row r="185" spans="1:8" ht="15" customHeight="1" x14ac:dyDescent="0.25">
      <c r="A185" s="17"/>
      <c r="H185" s="13"/>
    </row>
    <row r="186" spans="1:8" ht="15" customHeight="1" x14ac:dyDescent="0.25">
      <c r="A186" s="17"/>
      <c r="H186" s="13"/>
    </row>
    <row r="187" spans="1:8" ht="15" customHeight="1" x14ac:dyDescent="0.25">
      <c r="A187" s="17"/>
      <c r="H187" s="13"/>
    </row>
    <row r="188" spans="1:8" ht="15" customHeight="1" x14ac:dyDescent="0.25">
      <c r="A188" s="17"/>
      <c r="H188" s="13"/>
    </row>
    <row r="189" spans="1:8" ht="15" customHeight="1" x14ac:dyDescent="0.25">
      <c r="A189" s="17"/>
      <c r="H189" s="13"/>
    </row>
    <row r="190" spans="1:8" ht="15" customHeight="1" x14ac:dyDescent="0.25">
      <c r="A190" s="17"/>
      <c r="H190" s="13"/>
    </row>
    <row r="191" spans="1:8" ht="15" customHeight="1" x14ac:dyDescent="0.25">
      <c r="A191" s="17"/>
      <c r="H191" s="13"/>
    </row>
    <row r="192" spans="1:8" ht="15" customHeight="1" x14ac:dyDescent="0.25">
      <c r="A192" s="17"/>
      <c r="H192" s="13"/>
    </row>
    <row r="193" spans="1:8" ht="15" customHeight="1" x14ac:dyDescent="0.25">
      <c r="A193" s="17"/>
      <c r="H193" s="13"/>
    </row>
    <row r="194" spans="1:8" ht="15" customHeight="1" x14ac:dyDescent="0.25">
      <c r="A194" s="17"/>
      <c r="H194" s="13"/>
    </row>
    <row r="195" spans="1:8" ht="15" customHeight="1" x14ac:dyDescent="0.25">
      <c r="A195" s="17"/>
      <c r="H195" s="13"/>
    </row>
    <row r="196" spans="1:8" ht="15" customHeight="1" x14ac:dyDescent="0.25">
      <c r="A196" s="17"/>
      <c r="H196" s="13"/>
    </row>
    <row r="197" spans="1:8" ht="15" customHeight="1" x14ac:dyDescent="0.25">
      <c r="A197" s="17"/>
      <c r="H197" s="13"/>
    </row>
    <row r="198" spans="1:8" ht="15" customHeight="1" x14ac:dyDescent="0.25">
      <c r="A198" s="17"/>
      <c r="H198" s="13"/>
    </row>
    <row r="199" spans="1:8" ht="15" customHeight="1" x14ac:dyDescent="0.25">
      <c r="A199" s="17"/>
      <c r="H199" s="13"/>
    </row>
    <row r="200" spans="1:8" ht="15" customHeight="1" x14ac:dyDescent="0.25">
      <c r="A200" s="17"/>
      <c r="H200" s="13"/>
    </row>
    <row r="201" spans="1:8" ht="15" customHeight="1" x14ac:dyDescent="0.25">
      <c r="A201" s="17"/>
      <c r="H201" s="13"/>
    </row>
    <row r="202" spans="1:8" ht="15" customHeight="1" x14ac:dyDescent="0.25">
      <c r="A202" s="17"/>
      <c r="H202" s="13"/>
    </row>
    <row r="203" spans="1:8" ht="15" customHeight="1" x14ac:dyDescent="0.25">
      <c r="A203" s="17"/>
      <c r="H203" s="13"/>
    </row>
    <row r="204" spans="1:8" ht="15" customHeight="1" x14ac:dyDescent="0.25">
      <c r="A204" s="17"/>
      <c r="H204" s="13"/>
    </row>
    <row r="205" spans="1:8" ht="15" customHeight="1" x14ac:dyDescent="0.25">
      <c r="A205" s="17"/>
      <c r="H205" s="13"/>
    </row>
    <row r="206" spans="1:8" ht="15" customHeight="1" x14ac:dyDescent="0.25">
      <c r="A206" s="17"/>
      <c r="H206" s="13"/>
    </row>
    <row r="207" spans="1:8" ht="15" customHeight="1" x14ac:dyDescent="0.25">
      <c r="A207" s="17"/>
      <c r="H207" s="13"/>
    </row>
    <row r="208" spans="1:8" ht="15" customHeight="1" x14ac:dyDescent="0.25">
      <c r="A208" s="17"/>
      <c r="H208" s="13"/>
    </row>
    <row r="209" spans="1:8" ht="15" customHeight="1" x14ac:dyDescent="0.25">
      <c r="A209" s="17"/>
      <c r="H209" s="13"/>
    </row>
    <row r="210" spans="1:8" ht="15" customHeight="1" x14ac:dyDescent="0.25">
      <c r="A210" s="17"/>
      <c r="H210" s="13"/>
    </row>
    <row r="211" spans="1:8" ht="15" customHeight="1" x14ac:dyDescent="0.25">
      <c r="A211" s="17"/>
      <c r="H211" s="13"/>
    </row>
    <row r="212" spans="1:8" ht="15" customHeight="1" x14ac:dyDescent="0.25">
      <c r="A212" s="17"/>
      <c r="H212" s="13"/>
    </row>
    <row r="213" spans="1:8" ht="15" customHeight="1" x14ac:dyDescent="0.25">
      <c r="A213" s="17"/>
      <c r="H213" s="13"/>
    </row>
    <row r="214" spans="1:8" ht="15" customHeight="1" x14ac:dyDescent="0.25">
      <c r="A214" s="17"/>
      <c r="H214" s="13"/>
    </row>
    <row r="215" spans="1:8" ht="15" customHeight="1" x14ac:dyDescent="0.25">
      <c r="A215" s="17"/>
      <c r="H215" s="13"/>
    </row>
    <row r="216" spans="1:8" ht="15" customHeight="1" x14ac:dyDescent="0.25">
      <c r="A216" s="17"/>
      <c r="H216" s="13"/>
    </row>
    <row r="217" spans="1:8" ht="15" customHeight="1" x14ac:dyDescent="0.25">
      <c r="A217" s="17"/>
      <c r="H217" s="13"/>
    </row>
    <row r="218" spans="1:8" ht="15" customHeight="1" x14ac:dyDescent="0.25">
      <c r="A218" s="17"/>
      <c r="H218" s="13"/>
    </row>
    <row r="219" spans="1:8" ht="15" customHeight="1" x14ac:dyDescent="0.25">
      <c r="A219" s="17"/>
      <c r="H219" s="13"/>
    </row>
    <row r="220" spans="1:8" ht="15" customHeight="1" x14ac:dyDescent="0.25">
      <c r="A220" s="17"/>
      <c r="H220" s="13"/>
    </row>
    <row r="221" spans="1:8" ht="15" customHeight="1" x14ac:dyDescent="0.25">
      <c r="A221" s="17"/>
      <c r="H221" s="13"/>
    </row>
    <row r="222" spans="1:8" ht="15" customHeight="1" x14ac:dyDescent="0.25">
      <c r="A222" s="17"/>
      <c r="H222" s="13"/>
    </row>
    <row r="223" spans="1:8" ht="15" customHeight="1" x14ac:dyDescent="0.25">
      <c r="A223" s="17"/>
      <c r="H223" s="13"/>
    </row>
    <row r="224" spans="1:8" ht="15" customHeight="1" x14ac:dyDescent="0.25">
      <c r="A224" s="17"/>
      <c r="H224" s="13"/>
    </row>
    <row r="225" spans="1:8" ht="15" customHeight="1" x14ac:dyDescent="0.25">
      <c r="A225" s="17"/>
      <c r="H225" s="13"/>
    </row>
    <row r="226" spans="1:8" ht="15" customHeight="1" x14ac:dyDescent="0.25">
      <c r="A226" s="17"/>
      <c r="H226" s="13"/>
    </row>
    <row r="227" spans="1:8" ht="15" customHeight="1" x14ac:dyDescent="0.25">
      <c r="A227" s="17"/>
      <c r="H227" s="13"/>
    </row>
    <row r="228" spans="1:8" ht="15" customHeight="1" x14ac:dyDescent="0.25">
      <c r="A228" s="17"/>
      <c r="H228" s="13"/>
    </row>
    <row r="229" spans="1:8" ht="15" customHeight="1" x14ac:dyDescent="0.25">
      <c r="A229" s="17"/>
      <c r="H229" s="13"/>
    </row>
    <row r="230" spans="1:8" ht="15" customHeight="1" x14ac:dyDescent="0.25">
      <c r="A230" s="17"/>
      <c r="H230" s="13"/>
    </row>
    <row r="231" spans="1:8" ht="15" customHeight="1" x14ac:dyDescent="0.25">
      <c r="A231" s="17"/>
      <c r="H231" s="13"/>
    </row>
    <row r="232" spans="1:8" ht="15" customHeight="1" x14ac:dyDescent="0.25">
      <c r="A232" s="17"/>
      <c r="H232" s="13"/>
    </row>
    <row r="233" spans="1:8" ht="15" customHeight="1" x14ac:dyDescent="0.25">
      <c r="A233" s="17"/>
      <c r="H233" s="13"/>
    </row>
    <row r="234" spans="1:8" ht="15" customHeight="1" x14ac:dyDescent="0.25">
      <c r="A234" s="17"/>
      <c r="H234" s="13"/>
    </row>
    <row r="235" spans="1:8" ht="15" customHeight="1" x14ac:dyDescent="0.25">
      <c r="A235" s="17"/>
      <c r="H235" s="13"/>
    </row>
    <row r="236" spans="1:8" ht="15" customHeight="1" x14ac:dyDescent="0.25">
      <c r="A236" s="17"/>
      <c r="H236" s="13"/>
    </row>
    <row r="237" spans="1:8" ht="15" customHeight="1" x14ac:dyDescent="0.25">
      <c r="A237" s="17"/>
      <c r="H237" s="13"/>
    </row>
    <row r="238" spans="1:8" ht="15" customHeight="1" x14ac:dyDescent="0.25">
      <c r="A238" s="17"/>
      <c r="H238" s="13"/>
    </row>
    <row r="239" spans="1:8" ht="15" customHeight="1" x14ac:dyDescent="0.25">
      <c r="A239" s="17"/>
      <c r="H239" s="13"/>
    </row>
    <row r="240" spans="1:8" ht="15" customHeight="1" x14ac:dyDescent="0.25">
      <c r="A240" s="17"/>
      <c r="H240" s="13"/>
    </row>
    <row r="241" spans="1:8" ht="15" customHeight="1" x14ac:dyDescent="0.25">
      <c r="A241" s="17"/>
      <c r="H241" s="13"/>
    </row>
    <row r="242" spans="1:8" ht="15" customHeight="1" x14ac:dyDescent="0.25">
      <c r="A242" s="17"/>
      <c r="H242" s="13"/>
    </row>
    <row r="243" spans="1:8" ht="15" customHeight="1" x14ac:dyDescent="0.25">
      <c r="A243" s="17"/>
      <c r="H243" s="13"/>
    </row>
    <row r="244" spans="1:8" ht="15" customHeight="1" x14ac:dyDescent="0.25">
      <c r="A244" s="17"/>
      <c r="H244" s="13"/>
    </row>
    <row r="245" spans="1:8" ht="15" customHeight="1" x14ac:dyDescent="0.25">
      <c r="A245" s="17"/>
      <c r="H245" s="13"/>
    </row>
    <row r="246" spans="1:8" ht="15" customHeight="1" x14ac:dyDescent="0.25">
      <c r="A246" s="17"/>
      <c r="H246" s="13"/>
    </row>
    <row r="247" spans="1:8" ht="15" customHeight="1" x14ac:dyDescent="0.25">
      <c r="A247" s="17"/>
      <c r="H247" s="13"/>
    </row>
    <row r="248" spans="1:8" ht="15" customHeight="1" x14ac:dyDescent="0.25">
      <c r="A248" s="17"/>
      <c r="H248" s="13"/>
    </row>
    <row r="249" spans="1:8" ht="15" customHeight="1" x14ac:dyDescent="0.25">
      <c r="A249" s="17"/>
      <c r="H249" s="13"/>
    </row>
    <row r="250" spans="1:8" ht="15" customHeight="1" x14ac:dyDescent="0.25">
      <c r="A250" s="17"/>
      <c r="H250" s="13"/>
    </row>
    <row r="251" spans="1:8" ht="15" customHeight="1" x14ac:dyDescent="0.25">
      <c r="A251" s="17"/>
      <c r="H251" s="13"/>
    </row>
    <row r="252" spans="1:8" ht="15" customHeight="1" x14ac:dyDescent="0.25">
      <c r="A252" s="17"/>
      <c r="H252" s="13"/>
    </row>
    <row r="253" spans="1:8" ht="15" customHeight="1" x14ac:dyDescent="0.25">
      <c r="A253" s="17"/>
      <c r="H253" s="13"/>
    </row>
    <row r="254" spans="1:8" ht="15" customHeight="1" x14ac:dyDescent="0.25">
      <c r="A254" s="17"/>
      <c r="H254" s="13"/>
    </row>
    <row r="255" spans="1:8" ht="15" customHeight="1" x14ac:dyDescent="0.25">
      <c r="A255" s="17"/>
      <c r="H255" s="13"/>
    </row>
    <row r="256" spans="1:8" ht="15" customHeight="1" x14ac:dyDescent="0.25">
      <c r="A256" s="17"/>
      <c r="H256" s="13"/>
    </row>
    <row r="257" spans="1:8" ht="15" customHeight="1" x14ac:dyDescent="0.25">
      <c r="A257" s="17"/>
      <c r="H257" s="13"/>
    </row>
    <row r="258" spans="1:8" ht="15" customHeight="1" x14ac:dyDescent="0.25">
      <c r="A258" s="17"/>
      <c r="H258" s="13"/>
    </row>
    <row r="259" spans="1:8" ht="15" customHeight="1" x14ac:dyDescent="0.25">
      <c r="A259" s="17"/>
      <c r="H259" s="13"/>
    </row>
  </sheetData>
  <mergeCells count="20">
    <mergeCell ref="G87:G98"/>
    <mergeCell ref="G99:G110"/>
    <mergeCell ref="G111:G122"/>
    <mergeCell ref="G123:G134"/>
    <mergeCell ref="E10:E134"/>
    <mergeCell ref="G10:G14"/>
    <mergeCell ref="G15:G26"/>
    <mergeCell ref="G27:G38"/>
    <mergeCell ref="G39:G50"/>
    <mergeCell ref="G51:G62"/>
    <mergeCell ref="G63:G74"/>
    <mergeCell ref="G75:G86"/>
    <mergeCell ref="B8:B9"/>
    <mergeCell ref="C8:C9"/>
    <mergeCell ref="D8:G8"/>
    <mergeCell ref="B2:G2"/>
    <mergeCell ref="B3:G3"/>
    <mergeCell ref="B4:G4"/>
    <mergeCell ref="B5:G5"/>
    <mergeCell ref="B7:G7"/>
  </mergeCells>
  <phoneticPr fontId="5" type="noConversion"/>
  <printOptions horizontalCentered="1"/>
  <pageMargins left="0.35433070866141736" right="0.35433070866141736" top="1.5748031496062993" bottom="0.19685039370078741" header="0" footer="0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814"/>
  <sheetViews>
    <sheetView showGridLines="0" zoomScale="80" zoomScaleNormal="80" workbookViewId="0">
      <pane xSplit="3" ySplit="5" topLeftCell="D348" activePane="bottomRight" state="frozen"/>
      <selection activeCell="A32" sqref="A32"/>
      <selection pane="topRight" activeCell="A32" sqref="A32"/>
      <selection pane="bottomLeft" activeCell="A32" sqref="A32"/>
      <selection pane="bottomRight" activeCell="D6" sqref="D6:AA380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7" max="37" width="12.140625" bestFit="1" customWidth="1"/>
    <col min="38" max="38" width="11.42578125" style="3"/>
    <col min="39" max="39" width="19.42578125" style="3" bestFit="1" customWidth="1"/>
    <col min="40" max="40" width="14.140625" style="3" bestFit="1" customWidth="1"/>
    <col min="41" max="49" width="11.42578125" style="3"/>
    <col min="50" max="16384" width="11.42578125" style="2"/>
  </cols>
  <sheetData>
    <row r="1" spans="1:40" ht="18.75" x14ac:dyDescent="0.3">
      <c r="B1" s="29" t="s">
        <v>45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40" ht="18.75" x14ac:dyDescent="0.3">
      <c r="B2" s="29" t="s">
        <v>43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40" ht="18.75" x14ac:dyDescent="0.3">
      <c r="B3" s="29" t="s">
        <v>58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5" spans="1:40" x14ac:dyDescent="0.25">
      <c r="A5" s="5" t="s">
        <v>38</v>
      </c>
      <c r="B5" s="5" t="s">
        <v>0</v>
      </c>
      <c r="C5" s="3" t="s">
        <v>1</v>
      </c>
      <c r="D5" s="6" t="s">
        <v>44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41</v>
      </c>
      <c r="AC5" s="6" t="s">
        <v>40</v>
      </c>
    </row>
    <row r="6" spans="1:40" x14ac:dyDescent="0.25">
      <c r="A6" s="3">
        <f t="shared" ref="A6:A37" si="0">ROUNDDOWN((ROW()-6+3*7)/(12*3),0)+2026</f>
        <v>2026</v>
      </c>
      <c r="B6" s="5" t="str">
        <f>PROPER(TEXT(DATEVALUE("1/"&amp;MOD(ROUNDDOWN((ROW()-6+7*3)/3,0),12)+1&amp;"/"&amp;Tabla1[[#This Row],[Año]]),"mmm"))</f>
        <v>Ago</v>
      </c>
      <c r="C6" s="7" t="str">
        <f t="shared" ref="C6:C37" si="1">CHOOSE(MOD(ROW()-6,3)+1,"Hábil","Sábado","Domingo y Festivo")</f>
        <v>Hábil</v>
      </c>
      <c r="D6" s="1">
        <v>777.23380952380955</v>
      </c>
      <c r="E6" s="1">
        <v>747.8097619047619</v>
      </c>
      <c r="F6" s="1">
        <v>722.91357142857146</v>
      </c>
      <c r="G6" s="1">
        <v>698.02428571428572</v>
      </c>
      <c r="H6" s="1">
        <v>691.64547619047619</v>
      </c>
      <c r="I6" s="1">
        <v>710.39976190476193</v>
      </c>
      <c r="J6" s="1">
        <v>735.91809523809525</v>
      </c>
      <c r="K6" s="1">
        <v>722.64095238095229</v>
      </c>
      <c r="L6" s="1">
        <v>637.61285714285714</v>
      </c>
      <c r="M6" s="1">
        <v>406.39833333333331</v>
      </c>
      <c r="N6" s="1">
        <v>277.80166666666668</v>
      </c>
      <c r="O6" s="1">
        <v>285.09047619047618</v>
      </c>
      <c r="P6" s="1">
        <v>123.77285714285715</v>
      </c>
      <c r="Q6" s="1">
        <v>92.608333333333334</v>
      </c>
      <c r="R6" s="1">
        <v>299.13642857142855</v>
      </c>
      <c r="S6" s="1">
        <v>455.46952380952382</v>
      </c>
      <c r="T6" s="1">
        <v>747.55857142857144</v>
      </c>
      <c r="U6" s="1">
        <v>1079.5923809523808</v>
      </c>
      <c r="V6" s="1">
        <v>1066.6104761904762</v>
      </c>
      <c r="W6" s="1">
        <v>976.52190476190469</v>
      </c>
      <c r="X6" s="1">
        <v>970.79452380952387</v>
      </c>
      <c r="Y6" s="1">
        <v>956.94904761904763</v>
      </c>
      <c r="Z6" s="1">
        <v>895.17119047619053</v>
      </c>
      <c r="AA6" s="1">
        <v>830.36285714285714</v>
      </c>
      <c r="AB6" s="8">
        <v>21</v>
      </c>
      <c r="AC6" s="8">
        <f t="shared" ref="AC6:AC69" si="2">AB6*SUM(D6:AA6)</f>
        <v>334068.78000000003</v>
      </c>
      <c r="AM6"/>
      <c r="AN6"/>
    </row>
    <row r="7" spans="1:40" x14ac:dyDescent="0.25">
      <c r="A7" s="3">
        <f t="shared" si="0"/>
        <v>2026</v>
      </c>
      <c r="B7" s="5" t="str">
        <f>PROPER(TEXT(DATEVALUE("1/"&amp;MOD(ROUNDDOWN((ROW()-6+7*3)/3,0),12)+1&amp;"/"&amp;Tabla1[[#This Row],[Año]]),"mmm"))</f>
        <v>Ago</v>
      </c>
      <c r="C7" s="7" t="str">
        <f t="shared" si="1"/>
        <v>Sábado</v>
      </c>
      <c r="D7" s="1">
        <v>813.79875000000004</v>
      </c>
      <c r="E7" s="1">
        <v>785.57749999999999</v>
      </c>
      <c r="F7" s="1">
        <v>753.28625</v>
      </c>
      <c r="G7" s="1">
        <v>734.60500000000002</v>
      </c>
      <c r="H7" s="1">
        <v>726.27</v>
      </c>
      <c r="I7" s="1">
        <v>712.55624999999998</v>
      </c>
      <c r="J7" s="1">
        <v>640.93624999999997</v>
      </c>
      <c r="K7" s="1">
        <v>409.88249999999999</v>
      </c>
      <c r="L7" s="1">
        <v>287.99250000000001</v>
      </c>
      <c r="M7" s="1">
        <v>105.765</v>
      </c>
      <c r="N7" s="1">
        <v>101.39749999999999</v>
      </c>
      <c r="O7" s="1">
        <v>0</v>
      </c>
      <c r="P7" s="1">
        <v>0</v>
      </c>
      <c r="Q7" s="1">
        <v>0</v>
      </c>
      <c r="R7" s="1">
        <v>0</v>
      </c>
      <c r="S7" s="1">
        <v>40.316249999999997</v>
      </c>
      <c r="T7" s="1">
        <v>258.25125000000003</v>
      </c>
      <c r="U7" s="1">
        <v>607.15125</v>
      </c>
      <c r="V7" s="1">
        <v>858.05624999999998</v>
      </c>
      <c r="W7" s="1">
        <v>898.06375000000003</v>
      </c>
      <c r="X7" s="1">
        <v>894.5625</v>
      </c>
      <c r="Y7" s="1">
        <v>881.21</v>
      </c>
      <c r="Z7" s="1">
        <v>841.66875000000005</v>
      </c>
      <c r="AA7" s="1">
        <v>797.22249999999997</v>
      </c>
      <c r="AB7" s="8">
        <v>5</v>
      </c>
      <c r="AC7" s="8">
        <f t="shared" si="2"/>
        <v>60742.85</v>
      </c>
      <c r="AM7"/>
      <c r="AN7"/>
    </row>
    <row r="8" spans="1:40" x14ac:dyDescent="0.25">
      <c r="A8" s="3">
        <f t="shared" si="0"/>
        <v>2026</v>
      </c>
      <c r="B8" s="5" t="str">
        <f>PROPER(TEXT(DATEVALUE("1/"&amp;MOD(ROUNDDOWN((ROW()-6+7*3)/3,0),12)+1&amp;"/"&amp;Tabla1[[#This Row],[Año]]),"mmm"))</f>
        <v>Ago</v>
      </c>
      <c r="C8" s="7" t="str">
        <f t="shared" si="1"/>
        <v>Domingo y Festivo</v>
      </c>
      <c r="D8" s="1">
        <v>767.40749999999991</v>
      </c>
      <c r="E8" s="1">
        <v>745.98</v>
      </c>
      <c r="F8" s="1">
        <v>728.80916666666656</v>
      </c>
      <c r="G8" s="1">
        <v>709.74749999999995</v>
      </c>
      <c r="H8" s="1">
        <v>701.0866666666667</v>
      </c>
      <c r="I8" s="1">
        <v>679.61749999999995</v>
      </c>
      <c r="J8" s="1">
        <v>568.16166666666663</v>
      </c>
      <c r="K8" s="1">
        <v>161.14000000000001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5.3475000000000001</v>
      </c>
      <c r="T8" s="1">
        <v>162.04416666666665</v>
      </c>
      <c r="U8" s="1">
        <v>516.50249999999994</v>
      </c>
      <c r="V8" s="1">
        <v>769.26166666666666</v>
      </c>
      <c r="W8" s="1">
        <v>839.73333333333323</v>
      </c>
      <c r="X8" s="1">
        <v>863.92333333333329</v>
      </c>
      <c r="Y8" s="1">
        <v>861.94500000000005</v>
      </c>
      <c r="Z8" s="1">
        <v>812.42500000000007</v>
      </c>
      <c r="AA8" s="1">
        <v>758.22833333333335</v>
      </c>
      <c r="AB8" s="8">
        <v>5</v>
      </c>
      <c r="AC8" s="8">
        <f t="shared" si="2"/>
        <v>53256.804166666654</v>
      </c>
      <c r="AM8"/>
      <c r="AN8"/>
    </row>
    <row r="9" spans="1:40" x14ac:dyDescent="0.25">
      <c r="A9" s="3">
        <f t="shared" si="0"/>
        <v>2026</v>
      </c>
      <c r="B9" s="5" t="str">
        <f>PROPER(TEXT(DATEVALUE("1/"&amp;MOD(ROUNDDOWN((ROW()-6+7*3)/3,0),12)+1&amp;"/"&amp;Tabla1[[#This Row],[Año]]),"mmm"))</f>
        <v>Sep</v>
      </c>
      <c r="C9" s="7" t="str">
        <f t="shared" si="1"/>
        <v>Hábil</v>
      </c>
      <c r="D9" s="1">
        <v>777.23380952380955</v>
      </c>
      <c r="E9" s="1">
        <v>747.8097619047619</v>
      </c>
      <c r="F9" s="1">
        <v>722.91357142857146</v>
      </c>
      <c r="G9" s="1">
        <v>698.02428571428572</v>
      </c>
      <c r="H9" s="1">
        <v>691.64547619047619</v>
      </c>
      <c r="I9" s="1">
        <v>710.39976190476193</v>
      </c>
      <c r="J9" s="1">
        <v>735.91809523809525</v>
      </c>
      <c r="K9" s="1">
        <v>722.64095238095229</v>
      </c>
      <c r="L9" s="1">
        <v>637.61285714285714</v>
      </c>
      <c r="M9" s="1">
        <v>406.39833333333331</v>
      </c>
      <c r="N9" s="1">
        <v>277.80166666666668</v>
      </c>
      <c r="O9" s="1">
        <v>285.09047619047618</v>
      </c>
      <c r="P9" s="1">
        <v>123.77285714285715</v>
      </c>
      <c r="Q9" s="1">
        <v>92.608333333333334</v>
      </c>
      <c r="R9" s="1">
        <v>299.13642857142855</v>
      </c>
      <c r="S9" s="1">
        <v>455.46952380952382</v>
      </c>
      <c r="T9" s="1">
        <v>747.55857142857144</v>
      </c>
      <c r="U9" s="1">
        <v>1079.5923809523808</v>
      </c>
      <c r="V9" s="1">
        <v>1066.6104761904762</v>
      </c>
      <c r="W9" s="1">
        <v>976.52190476190469</v>
      </c>
      <c r="X9" s="1">
        <v>970.79452380952387</v>
      </c>
      <c r="Y9" s="1">
        <v>956.94904761904763</v>
      </c>
      <c r="Z9" s="1">
        <v>895.17119047619053</v>
      </c>
      <c r="AA9" s="1">
        <v>830.36285714285714</v>
      </c>
      <c r="AB9" s="8">
        <v>22</v>
      </c>
      <c r="AC9" s="8">
        <f t="shared" si="2"/>
        <v>349976.81714285718</v>
      </c>
      <c r="AM9"/>
      <c r="AN9"/>
    </row>
    <row r="10" spans="1:40" x14ac:dyDescent="0.25">
      <c r="A10" s="3">
        <f t="shared" si="0"/>
        <v>2026</v>
      </c>
      <c r="B10" s="5" t="str">
        <f>PROPER(TEXT(DATEVALUE("1/"&amp;MOD(ROUNDDOWN((ROW()-6+7*3)/3,0),12)+1&amp;"/"&amp;Tabla1[[#This Row],[Año]]),"mmm"))</f>
        <v>Sep</v>
      </c>
      <c r="C10" s="7" t="str">
        <f t="shared" si="1"/>
        <v>Sábado</v>
      </c>
      <c r="D10" s="1">
        <v>813.79875000000004</v>
      </c>
      <c r="E10" s="1">
        <v>785.57749999999999</v>
      </c>
      <c r="F10" s="1">
        <v>753.28625</v>
      </c>
      <c r="G10" s="1">
        <v>734.60500000000002</v>
      </c>
      <c r="H10" s="1">
        <v>726.27</v>
      </c>
      <c r="I10" s="1">
        <v>712.55624999999998</v>
      </c>
      <c r="J10" s="1">
        <v>640.93624999999997</v>
      </c>
      <c r="K10" s="1">
        <v>409.88249999999999</v>
      </c>
      <c r="L10" s="1">
        <v>287.99250000000001</v>
      </c>
      <c r="M10" s="1">
        <v>105.765</v>
      </c>
      <c r="N10" s="1">
        <v>101.39749999999999</v>
      </c>
      <c r="O10" s="1">
        <v>0</v>
      </c>
      <c r="P10" s="1">
        <v>0</v>
      </c>
      <c r="Q10" s="1">
        <v>0</v>
      </c>
      <c r="R10" s="1">
        <v>0</v>
      </c>
      <c r="S10" s="1">
        <v>40.316249999999997</v>
      </c>
      <c r="T10" s="1">
        <v>258.25125000000003</v>
      </c>
      <c r="U10" s="1">
        <v>607.15125</v>
      </c>
      <c r="V10" s="1">
        <v>858.05624999999998</v>
      </c>
      <c r="W10" s="1">
        <v>898.06375000000003</v>
      </c>
      <c r="X10" s="1">
        <v>894.5625</v>
      </c>
      <c r="Y10" s="1">
        <v>881.21</v>
      </c>
      <c r="Z10" s="1">
        <v>841.66875000000005</v>
      </c>
      <c r="AA10" s="1">
        <v>797.22249999999997</v>
      </c>
      <c r="AB10" s="8">
        <v>4</v>
      </c>
      <c r="AC10" s="8">
        <f t="shared" si="2"/>
        <v>48594.28</v>
      </c>
      <c r="AM10"/>
      <c r="AN10"/>
    </row>
    <row r="11" spans="1:40" x14ac:dyDescent="0.25">
      <c r="A11" s="3">
        <f t="shared" si="0"/>
        <v>2026</v>
      </c>
      <c r="B11" s="5" t="str">
        <f>PROPER(TEXT(DATEVALUE("1/"&amp;MOD(ROUNDDOWN((ROW()-6+7*3)/3,0),12)+1&amp;"/"&amp;Tabla1[[#This Row],[Año]]),"mmm"))</f>
        <v>Sep</v>
      </c>
      <c r="C11" s="7" t="str">
        <f t="shared" si="1"/>
        <v>Domingo y Festivo</v>
      </c>
      <c r="D11" s="1">
        <v>767.40749999999991</v>
      </c>
      <c r="E11" s="1">
        <v>745.98</v>
      </c>
      <c r="F11" s="1">
        <v>728.80916666666656</v>
      </c>
      <c r="G11" s="1">
        <v>709.74749999999995</v>
      </c>
      <c r="H11" s="1">
        <v>701.0866666666667</v>
      </c>
      <c r="I11" s="1">
        <v>679.61749999999995</v>
      </c>
      <c r="J11" s="1">
        <v>568.16166666666663</v>
      </c>
      <c r="K11" s="1">
        <v>161.14000000000001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5.3475000000000001</v>
      </c>
      <c r="T11" s="1">
        <v>162.04416666666665</v>
      </c>
      <c r="U11" s="1">
        <v>516.50249999999994</v>
      </c>
      <c r="V11" s="1">
        <v>769.26166666666666</v>
      </c>
      <c r="W11" s="1">
        <v>839.73333333333323</v>
      </c>
      <c r="X11" s="1">
        <v>863.92333333333329</v>
      </c>
      <c r="Y11" s="1">
        <v>861.94500000000005</v>
      </c>
      <c r="Z11" s="1">
        <v>812.42500000000007</v>
      </c>
      <c r="AA11" s="1">
        <v>758.22833333333335</v>
      </c>
      <c r="AB11" s="8">
        <v>4</v>
      </c>
      <c r="AC11" s="8">
        <f t="shared" si="2"/>
        <v>42605.443333333322</v>
      </c>
      <c r="AM11"/>
      <c r="AN11"/>
    </row>
    <row r="12" spans="1:40" x14ac:dyDescent="0.25">
      <c r="A12" s="3">
        <f t="shared" si="0"/>
        <v>2026</v>
      </c>
      <c r="B12" s="5" t="str">
        <f>PROPER(TEXT(DATEVALUE("1/"&amp;MOD(ROUNDDOWN((ROW()-6+7*3)/3,0),12)+1&amp;"/"&amp;Tabla1[[#This Row],[Año]]),"mmm"))</f>
        <v>Oct</v>
      </c>
      <c r="C12" s="7" t="str">
        <f t="shared" si="1"/>
        <v>Hábil</v>
      </c>
      <c r="D12" s="1">
        <v>777.23380952380955</v>
      </c>
      <c r="E12" s="1">
        <v>747.8097619047619</v>
      </c>
      <c r="F12" s="1">
        <v>722.91357142857146</v>
      </c>
      <c r="G12" s="1">
        <v>698.02428571428572</v>
      </c>
      <c r="H12" s="1">
        <v>691.64547619047619</v>
      </c>
      <c r="I12" s="1">
        <v>710.39976190476193</v>
      </c>
      <c r="J12" s="1">
        <v>735.91809523809525</v>
      </c>
      <c r="K12" s="1">
        <v>722.64095238095229</v>
      </c>
      <c r="L12" s="1">
        <v>637.61285714285714</v>
      </c>
      <c r="M12" s="1">
        <v>406.39833333333331</v>
      </c>
      <c r="N12" s="1">
        <v>277.80166666666668</v>
      </c>
      <c r="O12" s="1">
        <v>285.09047619047618</v>
      </c>
      <c r="P12" s="1">
        <v>123.77285714285715</v>
      </c>
      <c r="Q12" s="1">
        <v>92.608333333333334</v>
      </c>
      <c r="R12" s="1">
        <v>299.13642857142855</v>
      </c>
      <c r="S12" s="1">
        <v>455.46952380952382</v>
      </c>
      <c r="T12" s="1">
        <v>747.55857142857144</v>
      </c>
      <c r="U12" s="1">
        <v>1079.5923809523808</v>
      </c>
      <c r="V12" s="1">
        <v>1066.6104761904762</v>
      </c>
      <c r="W12" s="1">
        <v>976.52190476190469</v>
      </c>
      <c r="X12" s="1">
        <v>970.79452380952387</v>
      </c>
      <c r="Y12" s="1">
        <v>956.94904761904763</v>
      </c>
      <c r="Z12" s="1">
        <v>895.17119047619053</v>
      </c>
      <c r="AA12" s="1">
        <v>830.36285714285714</v>
      </c>
      <c r="AB12" s="8">
        <v>22</v>
      </c>
      <c r="AC12" s="8">
        <f t="shared" si="2"/>
        <v>349976.81714285718</v>
      </c>
      <c r="AM12"/>
      <c r="AN12"/>
    </row>
    <row r="13" spans="1:40" x14ac:dyDescent="0.25">
      <c r="A13" s="3">
        <f t="shared" si="0"/>
        <v>2026</v>
      </c>
      <c r="B13" s="5" t="str">
        <f>PROPER(TEXT(DATEVALUE("1/"&amp;MOD(ROUNDDOWN((ROW()-6+7*3)/3,0),12)+1&amp;"/"&amp;Tabla1[[#This Row],[Año]]),"mmm"))</f>
        <v>Oct</v>
      </c>
      <c r="C13" s="7" t="str">
        <f t="shared" si="1"/>
        <v>Sábado</v>
      </c>
      <c r="D13" s="1">
        <v>813.79875000000004</v>
      </c>
      <c r="E13" s="1">
        <v>785.57749999999999</v>
      </c>
      <c r="F13" s="1">
        <v>753.28625</v>
      </c>
      <c r="G13" s="1">
        <v>734.60500000000002</v>
      </c>
      <c r="H13" s="1">
        <v>726.27</v>
      </c>
      <c r="I13" s="1">
        <v>712.55624999999998</v>
      </c>
      <c r="J13" s="1">
        <v>640.93624999999997</v>
      </c>
      <c r="K13" s="1">
        <v>409.88249999999999</v>
      </c>
      <c r="L13" s="1">
        <v>287.99250000000001</v>
      </c>
      <c r="M13" s="1">
        <v>105.765</v>
      </c>
      <c r="N13" s="1">
        <v>101.39749999999999</v>
      </c>
      <c r="O13" s="1">
        <v>0</v>
      </c>
      <c r="P13" s="1">
        <v>0</v>
      </c>
      <c r="Q13" s="1">
        <v>0</v>
      </c>
      <c r="R13" s="1">
        <v>0</v>
      </c>
      <c r="S13" s="1">
        <v>40.316249999999997</v>
      </c>
      <c r="T13" s="1">
        <v>258.25125000000003</v>
      </c>
      <c r="U13" s="1">
        <v>607.15125</v>
      </c>
      <c r="V13" s="1">
        <v>858.05624999999998</v>
      </c>
      <c r="W13" s="1">
        <v>898.06375000000003</v>
      </c>
      <c r="X13" s="1">
        <v>894.5625</v>
      </c>
      <c r="Y13" s="1">
        <v>881.21</v>
      </c>
      <c r="Z13" s="1">
        <v>841.66875000000005</v>
      </c>
      <c r="AA13" s="1">
        <v>797.22249999999997</v>
      </c>
      <c r="AB13" s="8">
        <v>5</v>
      </c>
      <c r="AC13" s="8">
        <f t="shared" si="2"/>
        <v>60742.85</v>
      </c>
      <c r="AM13"/>
      <c r="AN13"/>
    </row>
    <row r="14" spans="1:40" x14ac:dyDescent="0.25">
      <c r="A14" s="3">
        <f t="shared" si="0"/>
        <v>2026</v>
      </c>
      <c r="B14" s="5" t="str">
        <f>PROPER(TEXT(DATEVALUE("1/"&amp;MOD(ROUNDDOWN((ROW()-6+7*3)/3,0),12)+1&amp;"/"&amp;Tabla1[[#This Row],[Año]]),"mmm"))</f>
        <v>Oct</v>
      </c>
      <c r="C14" s="7" t="str">
        <f t="shared" si="1"/>
        <v>Domingo y Festivo</v>
      </c>
      <c r="D14" s="1">
        <v>767.40749999999991</v>
      </c>
      <c r="E14" s="1">
        <v>745.98</v>
      </c>
      <c r="F14" s="1">
        <v>728.80916666666656</v>
      </c>
      <c r="G14" s="1">
        <v>709.74749999999995</v>
      </c>
      <c r="H14" s="1">
        <v>701.0866666666667</v>
      </c>
      <c r="I14" s="1">
        <v>679.61749999999995</v>
      </c>
      <c r="J14" s="1">
        <v>568.16166666666663</v>
      </c>
      <c r="K14" s="1">
        <v>161.14000000000001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5.3475000000000001</v>
      </c>
      <c r="T14" s="1">
        <v>162.04416666666665</v>
      </c>
      <c r="U14" s="1">
        <v>516.50249999999994</v>
      </c>
      <c r="V14" s="1">
        <v>769.26166666666666</v>
      </c>
      <c r="W14" s="1">
        <v>839.73333333333323</v>
      </c>
      <c r="X14" s="1">
        <v>863.92333333333329</v>
      </c>
      <c r="Y14" s="1">
        <v>861.94500000000005</v>
      </c>
      <c r="Z14" s="1">
        <v>812.42500000000007</v>
      </c>
      <c r="AA14" s="1">
        <v>758.22833333333335</v>
      </c>
      <c r="AB14" s="8">
        <v>4</v>
      </c>
      <c r="AC14" s="8">
        <f t="shared" si="2"/>
        <v>42605.443333333322</v>
      </c>
      <c r="AM14"/>
      <c r="AN14"/>
    </row>
    <row r="15" spans="1:40" x14ac:dyDescent="0.25">
      <c r="A15" s="3">
        <f t="shared" si="0"/>
        <v>2026</v>
      </c>
      <c r="B15" s="5" t="str">
        <f>PROPER(TEXT(DATEVALUE("1/"&amp;MOD(ROUNDDOWN((ROW()-6+7*3)/3,0),12)+1&amp;"/"&amp;Tabla1[[#This Row],[Año]]),"mmm"))</f>
        <v>Nov</v>
      </c>
      <c r="C15" s="7" t="str">
        <f t="shared" si="1"/>
        <v>Hábil</v>
      </c>
      <c r="D15" s="1">
        <v>777.23380952380955</v>
      </c>
      <c r="E15" s="1">
        <v>747.8097619047619</v>
      </c>
      <c r="F15" s="1">
        <v>722.91357142857146</v>
      </c>
      <c r="G15" s="1">
        <v>698.02428571428572</v>
      </c>
      <c r="H15" s="1">
        <v>691.64547619047619</v>
      </c>
      <c r="I15" s="1">
        <v>710.39976190476193</v>
      </c>
      <c r="J15" s="1">
        <v>735.91809523809525</v>
      </c>
      <c r="K15" s="1">
        <v>722.64095238095229</v>
      </c>
      <c r="L15" s="1">
        <v>637.61285714285714</v>
      </c>
      <c r="M15" s="1">
        <v>406.39833333333331</v>
      </c>
      <c r="N15" s="1">
        <v>277.80166666666668</v>
      </c>
      <c r="O15" s="1">
        <v>285.09047619047618</v>
      </c>
      <c r="P15" s="1">
        <v>123.77285714285715</v>
      </c>
      <c r="Q15" s="1">
        <v>92.608333333333334</v>
      </c>
      <c r="R15" s="1">
        <v>299.13642857142855</v>
      </c>
      <c r="S15" s="1">
        <v>455.46952380952382</v>
      </c>
      <c r="T15" s="1">
        <v>747.55857142857144</v>
      </c>
      <c r="U15" s="1">
        <v>1079.5923809523808</v>
      </c>
      <c r="V15" s="1">
        <v>1066.6104761904762</v>
      </c>
      <c r="W15" s="1">
        <v>976.52190476190469</v>
      </c>
      <c r="X15" s="1">
        <v>970.79452380952387</v>
      </c>
      <c r="Y15" s="1">
        <v>956.94904761904763</v>
      </c>
      <c r="Z15" s="1">
        <v>895.17119047619053</v>
      </c>
      <c r="AA15" s="1">
        <v>830.36285714285714</v>
      </c>
      <c r="AB15" s="8">
        <v>21</v>
      </c>
      <c r="AC15" s="8">
        <f t="shared" si="2"/>
        <v>334068.78000000003</v>
      </c>
      <c r="AM15"/>
      <c r="AN15"/>
    </row>
    <row r="16" spans="1:40" x14ac:dyDescent="0.25">
      <c r="A16" s="3">
        <f t="shared" si="0"/>
        <v>2026</v>
      </c>
      <c r="B16" s="5" t="str">
        <f>PROPER(TEXT(DATEVALUE("1/"&amp;MOD(ROUNDDOWN((ROW()-6+7*3)/3,0),12)+1&amp;"/"&amp;Tabla1[[#This Row],[Año]]),"mmm"))</f>
        <v>Nov</v>
      </c>
      <c r="C16" s="7" t="str">
        <f t="shared" si="1"/>
        <v>Sábado</v>
      </c>
      <c r="D16" s="1">
        <v>813.79875000000004</v>
      </c>
      <c r="E16" s="1">
        <v>785.57749999999999</v>
      </c>
      <c r="F16" s="1">
        <v>753.28625</v>
      </c>
      <c r="G16" s="1">
        <v>734.60500000000002</v>
      </c>
      <c r="H16" s="1">
        <v>726.27</v>
      </c>
      <c r="I16" s="1">
        <v>712.55624999999998</v>
      </c>
      <c r="J16" s="1">
        <v>640.93624999999997</v>
      </c>
      <c r="K16" s="1">
        <v>409.88249999999999</v>
      </c>
      <c r="L16" s="1">
        <v>287.99250000000001</v>
      </c>
      <c r="M16" s="1">
        <v>105.765</v>
      </c>
      <c r="N16" s="1">
        <v>101.39749999999999</v>
      </c>
      <c r="O16" s="1">
        <v>0</v>
      </c>
      <c r="P16" s="1">
        <v>0</v>
      </c>
      <c r="Q16" s="1">
        <v>0</v>
      </c>
      <c r="R16" s="1">
        <v>0</v>
      </c>
      <c r="S16" s="1">
        <v>40.316249999999997</v>
      </c>
      <c r="T16" s="1">
        <v>258.25125000000003</v>
      </c>
      <c r="U16" s="1">
        <v>607.15125</v>
      </c>
      <c r="V16" s="1">
        <v>858.05624999999998</v>
      </c>
      <c r="W16" s="1">
        <v>898.06375000000003</v>
      </c>
      <c r="X16" s="1">
        <v>894.5625</v>
      </c>
      <c r="Y16" s="1">
        <v>881.21</v>
      </c>
      <c r="Z16" s="1">
        <v>841.66875000000005</v>
      </c>
      <c r="AA16" s="1">
        <v>797.22249999999997</v>
      </c>
      <c r="AB16" s="8">
        <v>4</v>
      </c>
      <c r="AC16" s="8">
        <f t="shared" si="2"/>
        <v>48594.28</v>
      </c>
      <c r="AM16"/>
      <c r="AN16"/>
    </row>
    <row r="17" spans="1:40" x14ac:dyDescent="0.25">
      <c r="A17" s="3">
        <f t="shared" si="0"/>
        <v>2026</v>
      </c>
      <c r="B17" s="5" t="str">
        <f>PROPER(TEXT(DATEVALUE("1/"&amp;MOD(ROUNDDOWN((ROW()-6+7*3)/3,0),12)+1&amp;"/"&amp;Tabla1[[#This Row],[Año]]),"mmm"))</f>
        <v>Nov</v>
      </c>
      <c r="C17" s="7" t="str">
        <f t="shared" si="1"/>
        <v>Domingo y Festivo</v>
      </c>
      <c r="D17" s="1">
        <v>767.40749999999991</v>
      </c>
      <c r="E17" s="1">
        <v>745.98</v>
      </c>
      <c r="F17" s="1">
        <v>728.80916666666656</v>
      </c>
      <c r="G17" s="1">
        <v>709.74749999999995</v>
      </c>
      <c r="H17" s="1">
        <v>701.0866666666667</v>
      </c>
      <c r="I17" s="1">
        <v>679.61749999999995</v>
      </c>
      <c r="J17" s="1">
        <v>568.16166666666663</v>
      </c>
      <c r="K17" s="1">
        <v>161.14000000000001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5.3475000000000001</v>
      </c>
      <c r="T17" s="1">
        <v>162.04416666666665</v>
      </c>
      <c r="U17" s="1">
        <v>516.50249999999994</v>
      </c>
      <c r="V17" s="1">
        <v>769.26166666666666</v>
      </c>
      <c r="W17" s="1">
        <v>839.73333333333323</v>
      </c>
      <c r="X17" s="1">
        <v>863.92333333333329</v>
      </c>
      <c r="Y17" s="1">
        <v>861.94500000000005</v>
      </c>
      <c r="Z17" s="1">
        <v>812.42500000000007</v>
      </c>
      <c r="AA17" s="1">
        <v>758.22833333333335</v>
      </c>
      <c r="AB17" s="8">
        <v>5</v>
      </c>
      <c r="AC17" s="8">
        <f t="shared" si="2"/>
        <v>53256.804166666654</v>
      </c>
      <c r="AM17"/>
      <c r="AN17"/>
    </row>
    <row r="18" spans="1:40" x14ac:dyDescent="0.25">
      <c r="A18" s="3">
        <f t="shared" si="0"/>
        <v>2026</v>
      </c>
      <c r="B18" s="5" t="str">
        <f>PROPER(TEXT(DATEVALUE("1/"&amp;MOD(ROUNDDOWN((ROW()-6+7*3)/3,0),12)+1&amp;"/"&amp;Tabla1[[#This Row],[Año]]),"mmm"))</f>
        <v>Dic</v>
      </c>
      <c r="C18" s="7" t="str">
        <f t="shared" si="1"/>
        <v>Hábil</v>
      </c>
      <c r="D18" s="1">
        <v>777.23380952380955</v>
      </c>
      <c r="E18" s="1">
        <v>747.8097619047619</v>
      </c>
      <c r="F18" s="1">
        <v>722.91357142857146</v>
      </c>
      <c r="G18" s="1">
        <v>698.02428571428572</v>
      </c>
      <c r="H18" s="1">
        <v>691.64547619047619</v>
      </c>
      <c r="I18" s="1">
        <v>710.39976190476193</v>
      </c>
      <c r="J18" s="1">
        <v>735.91809523809525</v>
      </c>
      <c r="K18" s="1">
        <v>722.64095238095229</v>
      </c>
      <c r="L18" s="1">
        <v>637.61285714285714</v>
      </c>
      <c r="M18" s="1">
        <v>406.39833333333331</v>
      </c>
      <c r="N18" s="1">
        <v>277.80166666666668</v>
      </c>
      <c r="O18" s="1">
        <v>285.09047619047618</v>
      </c>
      <c r="P18" s="1">
        <v>123.77285714285715</v>
      </c>
      <c r="Q18" s="1">
        <v>92.608333333333334</v>
      </c>
      <c r="R18" s="1">
        <v>299.13642857142855</v>
      </c>
      <c r="S18" s="1">
        <v>455.46952380952382</v>
      </c>
      <c r="T18" s="1">
        <v>747.55857142857144</v>
      </c>
      <c r="U18" s="1">
        <v>1079.5923809523808</v>
      </c>
      <c r="V18" s="1">
        <v>1066.6104761904762</v>
      </c>
      <c r="W18" s="1">
        <v>976.52190476190469</v>
      </c>
      <c r="X18" s="1">
        <v>970.79452380952387</v>
      </c>
      <c r="Y18" s="1">
        <v>956.94904761904763</v>
      </c>
      <c r="Z18" s="1">
        <v>895.17119047619053</v>
      </c>
      <c r="AA18" s="1">
        <v>830.36285714285714</v>
      </c>
      <c r="AB18" s="8">
        <v>23</v>
      </c>
      <c r="AC18" s="8">
        <f t="shared" si="2"/>
        <v>365884.85428571433</v>
      </c>
      <c r="AM18"/>
      <c r="AN18"/>
    </row>
    <row r="19" spans="1:40" x14ac:dyDescent="0.25">
      <c r="A19" s="3">
        <f t="shared" si="0"/>
        <v>2026</v>
      </c>
      <c r="B19" s="5" t="str">
        <f>PROPER(TEXT(DATEVALUE("1/"&amp;MOD(ROUNDDOWN((ROW()-6+7*3)/3,0),12)+1&amp;"/"&amp;Tabla1[[#This Row],[Año]]),"mmm"))</f>
        <v>Dic</v>
      </c>
      <c r="C19" s="7" t="str">
        <f t="shared" si="1"/>
        <v>Sábado</v>
      </c>
      <c r="D19" s="1">
        <v>813.79875000000004</v>
      </c>
      <c r="E19" s="1">
        <v>785.57749999999999</v>
      </c>
      <c r="F19" s="1">
        <v>753.28625</v>
      </c>
      <c r="G19" s="1">
        <v>734.60500000000002</v>
      </c>
      <c r="H19" s="1">
        <v>726.27</v>
      </c>
      <c r="I19" s="1">
        <v>712.55624999999998</v>
      </c>
      <c r="J19" s="1">
        <v>640.93624999999997</v>
      </c>
      <c r="K19" s="1">
        <v>409.88249999999999</v>
      </c>
      <c r="L19" s="1">
        <v>287.99250000000001</v>
      </c>
      <c r="M19" s="1">
        <v>105.765</v>
      </c>
      <c r="N19" s="1">
        <v>101.39749999999999</v>
      </c>
      <c r="O19" s="1">
        <v>0</v>
      </c>
      <c r="P19" s="1">
        <v>0</v>
      </c>
      <c r="Q19" s="1">
        <v>0</v>
      </c>
      <c r="R19" s="1">
        <v>0</v>
      </c>
      <c r="S19" s="1">
        <v>40.316249999999997</v>
      </c>
      <c r="T19" s="1">
        <v>258.25125000000003</v>
      </c>
      <c r="U19" s="1">
        <v>607.15125</v>
      </c>
      <c r="V19" s="1">
        <v>858.05624999999998</v>
      </c>
      <c r="W19" s="1">
        <v>898.06375000000003</v>
      </c>
      <c r="X19" s="1">
        <v>894.5625</v>
      </c>
      <c r="Y19" s="1">
        <v>881.21</v>
      </c>
      <c r="Z19" s="1">
        <v>841.66875000000005</v>
      </c>
      <c r="AA19" s="1">
        <v>797.22249999999997</v>
      </c>
      <c r="AB19" s="8">
        <v>4</v>
      </c>
      <c r="AC19" s="8">
        <f t="shared" si="2"/>
        <v>48594.28</v>
      </c>
      <c r="AM19"/>
      <c r="AN19"/>
    </row>
    <row r="20" spans="1:40" x14ac:dyDescent="0.25">
      <c r="A20" s="3">
        <f t="shared" si="0"/>
        <v>2026</v>
      </c>
      <c r="B20" s="5" t="str">
        <f>PROPER(TEXT(DATEVALUE("1/"&amp;MOD(ROUNDDOWN((ROW()-6+7*3)/3,0),12)+1&amp;"/"&amp;Tabla1[[#This Row],[Año]]),"mmm"))</f>
        <v>Dic</v>
      </c>
      <c r="C20" s="7" t="str">
        <f t="shared" si="1"/>
        <v>Domingo y Festivo</v>
      </c>
      <c r="D20" s="1">
        <v>767.40749999999991</v>
      </c>
      <c r="E20" s="1">
        <v>745.98</v>
      </c>
      <c r="F20" s="1">
        <v>728.80916666666656</v>
      </c>
      <c r="G20" s="1">
        <v>709.74749999999995</v>
      </c>
      <c r="H20" s="1">
        <v>701.0866666666667</v>
      </c>
      <c r="I20" s="1">
        <v>679.61749999999995</v>
      </c>
      <c r="J20" s="1">
        <v>568.16166666666663</v>
      </c>
      <c r="K20" s="1">
        <v>161.14000000000001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5.3475000000000001</v>
      </c>
      <c r="T20" s="1">
        <v>162.04416666666665</v>
      </c>
      <c r="U20" s="1">
        <v>516.50249999999994</v>
      </c>
      <c r="V20" s="1">
        <v>769.26166666666666</v>
      </c>
      <c r="W20" s="1">
        <v>839.73333333333323</v>
      </c>
      <c r="X20" s="1">
        <v>863.92333333333329</v>
      </c>
      <c r="Y20" s="1">
        <v>861.94500000000005</v>
      </c>
      <c r="Z20" s="1">
        <v>812.42500000000007</v>
      </c>
      <c r="AA20" s="1">
        <v>758.22833333333335</v>
      </c>
      <c r="AB20" s="8">
        <v>4</v>
      </c>
      <c r="AC20" s="8">
        <f t="shared" si="2"/>
        <v>42605.443333333322</v>
      </c>
      <c r="AM20"/>
      <c r="AN20"/>
    </row>
    <row r="21" spans="1:40" x14ac:dyDescent="0.25">
      <c r="A21" s="3">
        <f t="shared" si="0"/>
        <v>2027</v>
      </c>
      <c r="B21" s="5" t="str">
        <f>PROPER(TEXT(DATEVALUE("1/"&amp;MOD(ROUNDDOWN((ROW()-6+7*3)/3,0),12)+1&amp;"/"&amp;Tabla1[[#This Row],[Año]]),"mmm"))</f>
        <v>Ene</v>
      </c>
      <c r="C21" s="7" t="str">
        <f t="shared" si="1"/>
        <v>Hábil</v>
      </c>
      <c r="D21" s="1">
        <v>777.23380952380955</v>
      </c>
      <c r="E21" s="1">
        <v>747.8097619047619</v>
      </c>
      <c r="F21" s="1">
        <v>722.91357142857146</v>
      </c>
      <c r="G21" s="1">
        <v>698.02428571428572</v>
      </c>
      <c r="H21" s="1">
        <v>691.64547619047619</v>
      </c>
      <c r="I21" s="1">
        <v>710.39976190476193</v>
      </c>
      <c r="J21" s="1">
        <v>735.91809523809525</v>
      </c>
      <c r="K21" s="1">
        <v>722.64095238095229</v>
      </c>
      <c r="L21" s="1">
        <v>637.61285714285714</v>
      </c>
      <c r="M21" s="1">
        <v>406.39833333333331</v>
      </c>
      <c r="N21" s="1">
        <v>277.80166666666668</v>
      </c>
      <c r="O21" s="1">
        <v>285.09047619047618</v>
      </c>
      <c r="P21" s="1">
        <v>123.77285714285715</v>
      </c>
      <c r="Q21" s="1">
        <v>92.608333333333334</v>
      </c>
      <c r="R21" s="1">
        <v>299.13642857142855</v>
      </c>
      <c r="S21" s="1">
        <v>455.46952380952382</v>
      </c>
      <c r="T21" s="1">
        <v>747.55857142857144</v>
      </c>
      <c r="U21" s="1">
        <v>1079.5923809523808</v>
      </c>
      <c r="V21" s="1">
        <v>1066.6104761904762</v>
      </c>
      <c r="W21" s="1">
        <v>976.52190476190469</v>
      </c>
      <c r="X21" s="1">
        <v>970.79452380952387</v>
      </c>
      <c r="Y21" s="1">
        <v>956.94904761904763</v>
      </c>
      <c r="Z21" s="1">
        <v>895.17119047619053</v>
      </c>
      <c r="AA21" s="1">
        <v>830.36285714285714</v>
      </c>
      <c r="AB21" s="8">
        <v>21</v>
      </c>
      <c r="AC21" s="8">
        <f t="shared" si="2"/>
        <v>334068.78000000003</v>
      </c>
      <c r="AM21"/>
      <c r="AN21"/>
    </row>
    <row r="22" spans="1:40" x14ac:dyDescent="0.25">
      <c r="A22" s="3">
        <f t="shared" si="0"/>
        <v>2027</v>
      </c>
      <c r="B22" s="5" t="str">
        <f>PROPER(TEXT(DATEVALUE("1/"&amp;MOD(ROUNDDOWN((ROW()-6+7*3)/3,0),12)+1&amp;"/"&amp;Tabla1[[#This Row],[Año]]),"mmm"))</f>
        <v>Ene</v>
      </c>
      <c r="C22" s="7" t="str">
        <f t="shared" si="1"/>
        <v>Sábado</v>
      </c>
      <c r="D22" s="1">
        <v>813.79875000000004</v>
      </c>
      <c r="E22" s="1">
        <v>785.57749999999999</v>
      </c>
      <c r="F22" s="1">
        <v>753.28625</v>
      </c>
      <c r="G22" s="1">
        <v>734.60500000000002</v>
      </c>
      <c r="H22" s="1">
        <v>726.27</v>
      </c>
      <c r="I22" s="1">
        <v>712.55624999999998</v>
      </c>
      <c r="J22" s="1">
        <v>640.93624999999997</v>
      </c>
      <c r="K22" s="1">
        <v>409.88249999999999</v>
      </c>
      <c r="L22" s="1">
        <v>287.99250000000001</v>
      </c>
      <c r="M22" s="1">
        <v>105.765</v>
      </c>
      <c r="N22" s="1">
        <v>101.39749999999999</v>
      </c>
      <c r="O22" s="1">
        <v>0</v>
      </c>
      <c r="P22" s="1">
        <v>0</v>
      </c>
      <c r="Q22" s="1">
        <v>0</v>
      </c>
      <c r="R22" s="1">
        <v>0</v>
      </c>
      <c r="S22" s="1">
        <v>40.316249999999997</v>
      </c>
      <c r="T22" s="1">
        <v>258.25125000000003</v>
      </c>
      <c r="U22" s="1">
        <v>607.15125</v>
      </c>
      <c r="V22" s="1">
        <v>858.05624999999998</v>
      </c>
      <c r="W22" s="1">
        <v>898.06375000000003</v>
      </c>
      <c r="X22" s="1">
        <v>894.5625</v>
      </c>
      <c r="Y22" s="1">
        <v>881.21</v>
      </c>
      <c r="Z22" s="1">
        <v>841.66875000000005</v>
      </c>
      <c r="AA22" s="1">
        <v>797.22249999999997</v>
      </c>
      <c r="AB22" s="8">
        <v>5</v>
      </c>
      <c r="AC22" s="8">
        <f t="shared" si="2"/>
        <v>60742.85</v>
      </c>
      <c r="AM22"/>
      <c r="AN22"/>
    </row>
    <row r="23" spans="1:40" x14ac:dyDescent="0.25">
      <c r="A23" s="3">
        <f t="shared" si="0"/>
        <v>2027</v>
      </c>
      <c r="B23" s="5" t="str">
        <f>PROPER(TEXT(DATEVALUE("1/"&amp;MOD(ROUNDDOWN((ROW()-6+7*3)/3,0),12)+1&amp;"/"&amp;Tabla1[[#This Row],[Año]]),"mmm"))</f>
        <v>Ene</v>
      </c>
      <c r="C23" s="7" t="str">
        <f t="shared" si="1"/>
        <v>Domingo y Festivo</v>
      </c>
      <c r="D23" s="1">
        <v>767.40749999999991</v>
      </c>
      <c r="E23" s="1">
        <v>745.98</v>
      </c>
      <c r="F23" s="1">
        <v>728.80916666666656</v>
      </c>
      <c r="G23" s="1">
        <v>709.74749999999995</v>
      </c>
      <c r="H23" s="1">
        <v>701.0866666666667</v>
      </c>
      <c r="I23" s="1">
        <v>679.61749999999995</v>
      </c>
      <c r="J23" s="1">
        <v>568.16166666666663</v>
      </c>
      <c r="K23" s="1">
        <v>161.14000000000001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5.3475000000000001</v>
      </c>
      <c r="T23" s="1">
        <v>162.04416666666665</v>
      </c>
      <c r="U23" s="1">
        <v>516.50249999999994</v>
      </c>
      <c r="V23" s="1">
        <v>769.26166666666666</v>
      </c>
      <c r="W23" s="1">
        <v>839.73333333333323</v>
      </c>
      <c r="X23" s="1">
        <v>863.92333333333329</v>
      </c>
      <c r="Y23" s="1">
        <v>861.94500000000005</v>
      </c>
      <c r="Z23" s="1">
        <v>812.42500000000007</v>
      </c>
      <c r="AA23" s="1">
        <v>758.22833333333335</v>
      </c>
      <c r="AB23" s="8">
        <v>5</v>
      </c>
      <c r="AC23" s="8">
        <f t="shared" si="2"/>
        <v>53256.804166666654</v>
      </c>
      <c r="AM23"/>
      <c r="AN23"/>
    </row>
    <row r="24" spans="1:40" x14ac:dyDescent="0.25">
      <c r="A24" s="3">
        <f t="shared" si="0"/>
        <v>2027</v>
      </c>
      <c r="B24" s="5" t="str">
        <f>PROPER(TEXT(DATEVALUE("1/"&amp;MOD(ROUNDDOWN((ROW()-6+7*3)/3,0),12)+1&amp;"/"&amp;Tabla1[[#This Row],[Año]]),"mmm"))</f>
        <v>Feb</v>
      </c>
      <c r="C24" s="7" t="str">
        <f t="shared" si="1"/>
        <v>Hábil</v>
      </c>
      <c r="D24" s="1">
        <v>777.23380952380955</v>
      </c>
      <c r="E24" s="1">
        <v>747.8097619047619</v>
      </c>
      <c r="F24" s="1">
        <v>722.91357142857146</v>
      </c>
      <c r="G24" s="1">
        <v>698.02428571428572</v>
      </c>
      <c r="H24" s="1">
        <v>691.64547619047619</v>
      </c>
      <c r="I24" s="1">
        <v>710.39976190476193</v>
      </c>
      <c r="J24" s="1">
        <v>735.91809523809525</v>
      </c>
      <c r="K24" s="1">
        <v>722.64095238095229</v>
      </c>
      <c r="L24" s="1">
        <v>637.61285714285714</v>
      </c>
      <c r="M24" s="1">
        <v>406.39833333333331</v>
      </c>
      <c r="N24" s="1">
        <v>277.80166666666668</v>
      </c>
      <c r="O24" s="1">
        <v>285.09047619047618</v>
      </c>
      <c r="P24" s="1">
        <v>123.77285714285715</v>
      </c>
      <c r="Q24" s="1">
        <v>92.608333333333334</v>
      </c>
      <c r="R24" s="1">
        <v>299.13642857142855</v>
      </c>
      <c r="S24" s="1">
        <v>455.46952380952382</v>
      </c>
      <c r="T24" s="1">
        <v>747.55857142857144</v>
      </c>
      <c r="U24" s="1">
        <v>1079.5923809523808</v>
      </c>
      <c r="V24" s="1">
        <v>1066.6104761904762</v>
      </c>
      <c r="W24" s="1">
        <v>976.52190476190469</v>
      </c>
      <c r="X24" s="1">
        <v>970.79452380952387</v>
      </c>
      <c r="Y24" s="1">
        <v>956.94904761904763</v>
      </c>
      <c r="Z24" s="1">
        <v>895.17119047619053</v>
      </c>
      <c r="AA24" s="1">
        <v>830.36285714285714</v>
      </c>
      <c r="AB24" s="8">
        <v>20</v>
      </c>
      <c r="AC24" s="8">
        <f t="shared" si="2"/>
        <v>318160.74285714293</v>
      </c>
      <c r="AM24"/>
      <c r="AN24"/>
    </row>
    <row r="25" spans="1:40" x14ac:dyDescent="0.25">
      <c r="A25" s="3">
        <f t="shared" si="0"/>
        <v>2027</v>
      </c>
      <c r="B25" s="5" t="str">
        <f>PROPER(TEXT(DATEVALUE("1/"&amp;MOD(ROUNDDOWN((ROW()-6+7*3)/3,0),12)+1&amp;"/"&amp;Tabla1[[#This Row],[Año]]),"mmm"))</f>
        <v>Feb</v>
      </c>
      <c r="C25" s="7" t="str">
        <f t="shared" si="1"/>
        <v>Sábado</v>
      </c>
      <c r="D25" s="1">
        <v>813.79875000000004</v>
      </c>
      <c r="E25" s="1">
        <v>785.57749999999999</v>
      </c>
      <c r="F25" s="1">
        <v>753.28625</v>
      </c>
      <c r="G25" s="1">
        <v>734.60500000000002</v>
      </c>
      <c r="H25" s="1">
        <v>726.27</v>
      </c>
      <c r="I25" s="1">
        <v>712.55624999999998</v>
      </c>
      <c r="J25" s="1">
        <v>640.93624999999997</v>
      </c>
      <c r="K25" s="1">
        <v>409.88249999999999</v>
      </c>
      <c r="L25" s="1">
        <v>287.99250000000001</v>
      </c>
      <c r="M25" s="1">
        <v>105.765</v>
      </c>
      <c r="N25" s="1">
        <v>101.39749999999999</v>
      </c>
      <c r="O25" s="1">
        <v>0</v>
      </c>
      <c r="P25" s="1">
        <v>0</v>
      </c>
      <c r="Q25" s="1">
        <v>0</v>
      </c>
      <c r="R25" s="1">
        <v>0</v>
      </c>
      <c r="S25" s="1">
        <v>40.316249999999997</v>
      </c>
      <c r="T25" s="1">
        <v>258.25125000000003</v>
      </c>
      <c r="U25" s="1">
        <v>607.15125</v>
      </c>
      <c r="V25" s="1">
        <v>858.05624999999998</v>
      </c>
      <c r="W25" s="1">
        <v>898.06375000000003</v>
      </c>
      <c r="X25" s="1">
        <v>894.5625</v>
      </c>
      <c r="Y25" s="1">
        <v>881.21</v>
      </c>
      <c r="Z25" s="1">
        <v>841.66875000000005</v>
      </c>
      <c r="AA25" s="1">
        <v>797.22249999999997</v>
      </c>
      <c r="AB25" s="8">
        <v>4</v>
      </c>
      <c r="AC25" s="8">
        <f t="shared" si="2"/>
        <v>48594.28</v>
      </c>
      <c r="AM25"/>
      <c r="AN25"/>
    </row>
    <row r="26" spans="1:40" x14ac:dyDescent="0.25">
      <c r="A26" s="3">
        <f t="shared" si="0"/>
        <v>2027</v>
      </c>
      <c r="B26" s="5" t="str">
        <f>PROPER(TEXT(DATEVALUE("1/"&amp;MOD(ROUNDDOWN((ROW()-6+7*3)/3,0),12)+1&amp;"/"&amp;Tabla1[[#This Row],[Año]]),"mmm"))</f>
        <v>Feb</v>
      </c>
      <c r="C26" s="7" t="str">
        <f t="shared" si="1"/>
        <v>Domingo y Festivo</v>
      </c>
      <c r="D26" s="1">
        <v>767.40749999999991</v>
      </c>
      <c r="E26" s="1">
        <v>745.98</v>
      </c>
      <c r="F26" s="1">
        <v>728.80916666666656</v>
      </c>
      <c r="G26" s="1">
        <v>709.74749999999995</v>
      </c>
      <c r="H26" s="1">
        <v>701.0866666666667</v>
      </c>
      <c r="I26" s="1">
        <v>679.61749999999995</v>
      </c>
      <c r="J26" s="1">
        <v>568.16166666666663</v>
      </c>
      <c r="K26" s="1">
        <v>161.14000000000001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5.3475000000000001</v>
      </c>
      <c r="T26" s="1">
        <v>162.04416666666665</v>
      </c>
      <c r="U26" s="1">
        <v>516.50249999999994</v>
      </c>
      <c r="V26" s="1">
        <v>769.26166666666666</v>
      </c>
      <c r="W26" s="1">
        <v>839.73333333333323</v>
      </c>
      <c r="X26" s="1">
        <v>863.92333333333329</v>
      </c>
      <c r="Y26" s="1">
        <v>861.94500000000005</v>
      </c>
      <c r="Z26" s="1">
        <v>812.42500000000007</v>
      </c>
      <c r="AA26" s="1">
        <v>758.22833333333335</v>
      </c>
      <c r="AB26" s="8">
        <v>4</v>
      </c>
      <c r="AC26" s="8">
        <f t="shared" si="2"/>
        <v>42605.443333333322</v>
      </c>
      <c r="AM26"/>
      <c r="AN26"/>
    </row>
    <row r="27" spans="1:40" x14ac:dyDescent="0.25">
      <c r="A27" s="3">
        <f t="shared" si="0"/>
        <v>2027</v>
      </c>
      <c r="B27" s="5" t="str">
        <f>PROPER(TEXT(DATEVALUE("1/"&amp;MOD(ROUNDDOWN((ROW()-6+7*3)/3,0),12)+1&amp;"/"&amp;Tabla1[[#This Row],[Año]]),"mmm"))</f>
        <v>Mar</v>
      </c>
      <c r="C27" s="7" t="str">
        <f t="shared" si="1"/>
        <v>Hábil</v>
      </c>
      <c r="D27" s="1">
        <v>777.23380952380955</v>
      </c>
      <c r="E27" s="1">
        <v>747.8097619047619</v>
      </c>
      <c r="F27" s="1">
        <v>722.91357142857146</v>
      </c>
      <c r="G27" s="1">
        <v>698.02428571428572</v>
      </c>
      <c r="H27" s="1">
        <v>691.64547619047619</v>
      </c>
      <c r="I27" s="1">
        <v>710.39976190476193</v>
      </c>
      <c r="J27" s="1">
        <v>735.91809523809525</v>
      </c>
      <c r="K27" s="1">
        <v>722.64095238095229</v>
      </c>
      <c r="L27" s="1">
        <v>637.61285714285714</v>
      </c>
      <c r="M27" s="1">
        <v>406.39833333333331</v>
      </c>
      <c r="N27" s="1">
        <v>277.80166666666668</v>
      </c>
      <c r="O27" s="1">
        <v>285.09047619047618</v>
      </c>
      <c r="P27" s="1">
        <v>123.77285714285715</v>
      </c>
      <c r="Q27" s="1">
        <v>92.608333333333334</v>
      </c>
      <c r="R27" s="1">
        <v>299.13642857142855</v>
      </c>
      <c r="S27" s="1">
        <v>455.46952380952382</v>
      </c>
      <c r="T27" s="1">
        <v>747.55857142857144</v>
      </c>
      <c r="U27" s="1">
        <v>1079.5923809523808</v>
      </c>
      <c r="V27" s="1">
        <v>1066.6104761904762</v>
      </c>
      <c r="W27" s="1">
        <v>976.52190476190469</v>
      </c>
      <c r="X27" s="1">
        <v>970.79452380952387</v>
      </c>
      <c r="Y27" s="1">
        <v>956.94904761904763</v>
      </c>
      <c r="Z27" s="1">
        <v>895.17119047619053</v>
      </c>
      <c r="AA27" s="1">
        <v>830.36285714285714</v>
      </c>
      <c r="AB27" s="8">
        <v>23</v>
      </c>
      <c r="AC27" s="8">
        <f t="shared" si="2"/>
        <v>365884.85428571433</v>
      </c>
      <c r="AM27"/>
      <c r="AN27"/>
    </row>
    <row r="28" spans="1:40" x14ac:dyDescent="0.25">
      <c r="A28" s="3">
        <f t="shared" si="0"/>
        <v>2027</v>
      </c>
      <c r="B28" s="5" t="str">
        <f>PROPER(TEXT(DATEVALUE("1/"&amp;MOD(ROUNDDOWN((ROW()-6+7*3)/3,0),12)+1&amp;"/"&amp;Tabla1[[#This Row],[Año]]),"mmm"))</f>
        <v>Mar</v>
      </c>
      <c r="C28" s="7" t="str">
        <f t="shared" si="1"/>
        <v>Sábado</v>
      </c>
      <c r="D28" s="1">
        <v>813.79875000000004</v>
      </c>
      <c r="E28" s="1">
        <v>785.57749999999999</v>
      </c>
      <c r="F28" s="1">
        <v>753.28625</v>
      </c>
      <c r="G28" s="1">
        <v>734.60500000000002</v>
      </c>
      <c r="H28" s="1">
        <v>726.27</v>
      </c>
      <c r="I28" s="1">
        <v>712.55624999999998</v>
      </c>
      <c r="J28" s="1">
        <v>640.93624999999997</v>
      </c>
      <c r="K28" s="1">
        <v>409.88249999999999</v>
      </c>
      <c r="L28" s="1">
        <v>287.99250000000001</v>
      </c>
      <c r="M28" s="1">
        <v>105.765</v>
      </c>
      <c r="N28" s="1">
        <v>101.39749999999999</v>
      </c>
      <c r="O28" s="1">
        <v>0</v>
      </c>
      <c r="P28" s="1">
        <v>0</v>
      </c>
      <c r="Q28" s="1">
        <v>0</v>
      </c>
      <c r="R28" s="1">
        <v>0</v>
      </c>
      <c r="S28" s="1">
        <v>40.316249999999997</v>
      </c>
      <c r="T28" s="1">
        <v>258.25125000000003</v>
      </c>
      <c r="U28" s="1">
        <v>607.15125</v>
      </c>
      <c r="V28" s="1">
        <v>858.05624999999998</v>
      </c>
      <c r="W28" s="1">
        <v>898.06375000000003</v>
      </c>
      <c r="X28" s="1">
        <v>894.5625</v>
      </c>
      <c r="Y28" s="1">
        <v>881.21</v>
      </c>
      <c r="Z28" s="1">
        <v>841.66875000000005</v>
      </c>
      <c r="AA28" s="1">
        <v>797.22249999999997</v>
      </c>
      <c r="AB28" s="8">
        <v>4</v>
      </c>
      <c r="AC28" s="8">
        <f t="shared" si="2"/>
        <v>48594.28</v>
      </c>
      <c r="AM28"/>
      <c r="AN28"/>
    </row>
    <row r="29" spans="1:40" x14ac:dyDescent="0.25">
      <c r="A29" s="3">
        <f t="shared" si="0"/>
        <v>2027</v>
      </c>
      <c r="B29" s="5" t="str">
        <f>PROPER(TEXT(DATEVALUE("1/"&amp;MOD(ROUNDDOWN((ROW()-6+7*3)/3,0),12)+1&amp;"/"&amp;Tabla1[[#This Row],[Año]]),"mmm"))</f>
        <v>Mar</v>
      </c>
      <c r="C29" s="7" t="str">
        <f t="shared" si="1"/>
        <v>Domingo y Festivo</v>
      </c>
      <c r="D29" s="1">
        <v>767.40749999999991</v>
      </c>
      <c r="E29" s="1">
        <v>745.98</v>
      </c>
      <c r="F29" s="1">
        <v>728.80916666666656</v>
      </c>
      <c r="G29" s="1">
        <v>709.74749999999995</v>
      </c>
      <c r="H29" s="1">
        <v>701.0866666666667</v>
      </c>
      <c r="I29" s="1">
        <v>679.61749999999995</v>
      </c>
      <c r="J29" s="1">
        <v>568.16166666666663</v>
      </c>
      <c r="K29" s="1">
        <v>161.14000000000001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5.3475000000000001</v>
      </c>
      <c r="T29" s="1">
        <v>162.04416666666665</v>
      </c>
      <c r="U29" s="1">
        <v>516.50249999999994</v>
      </c>
      <c r="V29" s="1">
        <v>769.26166666666666</v>
      </c>
      <c r="W29" s="1">
        <v>839.73333333333323</v>
      </c>
      <c r="X29" s="1">
        <v>863.92333333333329</v>
      </c>
      <c r="Y29" s="1">
        <v>861.94500000000005</v>
      </c>
      <c r="Z29" s="1">
        <v>812.42500000000007</v>
      </c>
      <c r="AA29" s="1">
        <v>758.22833333333335</v>
      </c>
      <c r="AB29" s="8">
        <v>4</v>
      </c>
      <c r="AC29" s="8">
        <f t="shared" si="2"/>
        <v>42605.443333333322</v>
      </c>
      <c r="AM29"/>
      <c r="AN29"/>
    </row>
    <row r="30" spans="1:40" x14ac:dyDescent="0.25">
      <c r="A30" s="3">
        <f t="shared" si="0"/>
        <v>2027</v>
      </c>
      <c r="B30" s="5" t="str">
        <f>PROPER(TEXT(DATEVALUE("1/"&amp;MOD(ROUNDDOWN((ROW()-6+7*3)/3,0),12)+1&amp;"/"&amp;Tabla1[[#This Row],[Año]]),"mmm"))</f>
        <v>Abr</v>
      </c>
      <c r="C30" s="7" t="str">
        <f t="shared" si="1"/>
        <v>Hábil</v>
      </c>
      <c r="D30" s="1">
        <v>777.23380952380955</v>
      </c>
      <c r="E30" s="1">
        <v>747.8097619047619</v>
      </c>
      <c r="F30" s="1">
        <v>722.91357142857146</v>
      </c>
      <c r="G30" s="1">
        <v>698.02428571428572</v>
      </c>
      <c r="H30" s="1">
        <v>691.64547619047619</v>
      </c>
      <c r="I30" s="1">
        <v>710.39976190476193</v>
      </c>
      <c r="J30" s="1">
        <v>735.91809523809525</v>
      </c>
      <c r="K30" s="1">
        <v>722.64095238095229</v>
      </c>
      <c r="L30" s="1">
        <v>637.61285714285714</v>
      </c>
      <c r="M30" s="1">
        <v>406.39833333333331</v>
      </c>
      <c r="N30" s="1">
        <v>277.80166666666668</v>
      </c>
      <c r="O30" s="1">
        <v>285.09047619047618</v>
      </c>
      <c r="P30" s="1">
        <v>123.77285714285715</v>
      </c>
      <c r="Q30" s="1">
        <v>92.608333333333334</v>
      </c>
      <c r="R30" s="1">
        <v>299.13642857142855</v>
      </c>
      <c r="S30" s="1">
        <v>455.46952380952382</v>
      </c>
      <c r="T30" s="1">
        <v>747.55857142857144</v>
      </c>
      <c r="U30" s="1">
        <v>1079.5923809523808</v>
      </c>
      <c r="V30" s="1">
        <v>1066.6104761904762</v>
      </c>
      <c r="W30" s="1">
        <v>976.52190476190469</v>
      </c>
      <c r="X30" s="1">
        <v>970.79452380952387</v>
      </c>
      <c r="Y30" s="1">
        <v>956.94904761904763</v>
      </c>
      <c r="Z30" s="1">
        <v>895.17119047619053</v>
      </c>
      <c r="AA30" s="1">
        <v>830.36285714285714</v>
      </c>
      <c r="AB30" s="8">
        <v>22</v>
      </c>
      <c r="AC30" s="8">
        <f t="shared" si="2"/>
        <v>349976.81714285718</v>
      </c>
      <c r="AM30"/>
      <c r="AN30"/>
    </row>
    <row r="31" spans="1:40" x14ac:dyDescent="0.25">
      <c r="A31" s="3">
        <f t="shared" si="0"/>
        <v>2027</v>
      </c>
      <c r="B31" s="5" t="str">
        <f>PROPER(TEXT(DATEVALUE("1/"&amp;MOD(ROUNDDOWN((ROW()-6+7*3)/3,0),12)+1&amp;"/"&amp;Tabla1[[#This Row],[Año]]),"mmm"))</f>
        <v>Abr</v>
      </c>
      <c r="C31" s="7" t="str">
        <f t="shared" si="1"/>
        <v>Sábado</v>
      </c>
      <c r="D31" s="1">
        <v>813.79875000000004</v>
      </c>
      <c r="E31" s="1">
        <v>785.57749999999999</v>
      </c>
      <c r="F31" s="1">
        <v>753.28625</v>
      </c>
      <c r="G31" s="1">
        <v>734.60500000000002</v>
      </c>
      <c r="H31" s="1">
        <v>726.27</v>
      </c>
      <c r="I31" s="1">
        <v>712.55624999999998</v>
      </c>
      <c r="J31" s="1">
        <v>640.93624999999997</v>
      </c>
      <c r="K31" s="1">
        <v>409.88249999999999</v>
      </c>
      <c r="L31" s="1">
        <v>287.99250000000001</v>
      </c>
      <c r="M31" s="1">
        <v>105.765</v>
      </c>
      <c r="N31" s="1">
        <v>101.39749999999999</v>
      </c>
      <c r="O31" s="1">
        <v>0</v>
      </c>
      <c r="P31" s="1">
        <v>0</v>
      </c>
      <c r="Q31" s="1">
        <v>0</v>
      </c>
      <c r="R31" s="1">
        <v>0</v>
      </c>
      <c r="S31" s="1">
        <v>40.316249999999997</v>
      </c>
      <c r="T31" s="1">
        <v>258.25125000000003</v>
      </c>
      <c r="U31" s="1">
        <v>607.15125</v>
      </c>
      <c r="V31" s="1">
        <v>858.05624999999998</v>
      </c>
      <c r="W31" s="1">
        <v>898.06375000000003</v>
      </c>
      <c r="X31" s="1">
        <v>894.5625</v>
      </c>
      <c r="Y31" s="1">
        <v>881.21</v>
      </c>
      <c r="Z31" s="1">
        <v>841.66875000000005</v>
      </c>
      <c r="AA31" s="1">
        <v>797.22249999999997</v>
      </c>
      <c r="AB31" s="8">
        <v>4</v>
      </c>
      <c r="AC31" s="8">
        <f t="shared" si="2"/>
        <v>48594.28</v>
      </c>
      <c r="AM31"/>
      <c r="AN31"/>
    </row>
    <row r="32" spans="1:40" x14ac:dyDescent="0.25">
      <c r="A32" s="3">
        <f t="shared" si="0"/>
        <v>2027</v>
      </c>
      <c r="B32" s="5" t="str">
        <f>PROPER(TEXT(DATEVALUE("1/"&amp;MOD(ROUNDDOWN((ROW()-6+7*3)/3,0),12)+1&amp;"/"&amp;Tabla1[[#This Row],[Año]]),"mmm"))</f>
        <v>Abr</v>
      </c>
      <c r="C32" s="7" t="str">
        <f t="shared" si="1"/>
        <v>Domingo y Festivo</v>
      </c>
      <c r="D32" s="1">
        <v>767.40749999999991</v>
      </c>
      <c r="E32" s="1">
        <v>745.98</v>
      </c>
      <c r="F32" s="1">
        <v>728.80916666666656</v>
      </c>
      <c r="G32" s="1">
        <v>709.74749999999995</v>
      </c>
      <c r="H32" s="1">
        <v>701.0866666666667</v>
      </c>
      <c r="I32" s="1">
        <v>679.61749999999995</v>
      </c>
      <c r="J32" s="1">
        <v>568.16166666666663</v>
      </c>
      <c r="K32" s="1">
        <v>161.14000000000001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5.3475000000000001</v>
      </c>
      <c r="T32" s="1">
        <v>162.04416666666665</v>
      </c>
      <c r="U32" s="1">
        <v>516.50249999999994</v>
      </c>
      <c r="V32" s="1">
        <v>769.26166666666666</v>
      </c>
      <c r="W32" s="1">
        <v>839.73333333333323</v>
      </c>
      <c r="X32" s="1">
        <v>863.92333333333329</v>
      </c>
      <c r="Y32" s="1">
        <v>861.94500000000005</v>
      </c>
      <c r="Z32" s="1">
        <v>812.42500000000007</v>
      </c>
      <c r="AA32" s="1">
        <v>758.22833333333335</v>
      </c>
      <c r="AB32" s="8">
        <v>4</v>
      </c>
      <c r="AC32" s="8">
        <f t="shared" si="2"/>
        <v>42605.443333333322</v>
      </c>
      <c r="AM32"/>
      <c r="AN32"/>
    </row>
    <row r="33" spans="1:40" x14ac:dyDescent="0.25">
      <c r="A33" s="3">
        <f t="shared" si="0"/>
        <v>2027</v>
      </c>
      <c r="B33" s="5" t="str">
        <f>PROPER(TEXT(DATEVALUE("1/"&amp;MOD(ROUNDDOWN((ROW()-6+7*3)/3,0),12)+1&amp;"/"&amp;Tabla1[[#This Row],[Año]]),"mmm"))</f>
        <v>May</v>
      </c>
      <c r="C33" s="7" t="str">
        <f t="shared" si="1"/>
        <v>Hábil</v>
      </c>
      <c r="D33" s="1">
        <v>777.23380952380955</v>
      </c>
      <c r="E33" s="1">
        <v>747.8097619047619</v>
      </c>
      <c r="F33" s="1">
        <v>722.91357142857146</v>
      </c>
      <c r="G33" s="1">
        <v>698.02428571428572</v>
      </c>
      <c r="H33" s="1">
        <v>691.64547619047619</v>
      </c>
      <c r="I33" s="1">
        <v>710.39976190476193</v>
      </c>
      <c r="J33" s="1">
        <v>735.91809523809525</v>
      </c>
      <c r="K33" s="1">
        <v>722.64095238095229</v>
      </c>
      <c r="L33" s="1">
        <v>637.61285714285714</v>
      </c>
      <c r="M33" s="1">
        <v>406.39833333333331</v>
      </c>
      <c r="N33" s="1">
        <v>277.80166666666668</v>
      </c>
      <c r="O33" s="1">
        <v>285.09047619047618</v>
      </c>
      <c r="P33" s="1">
        <v>123.77285714285715</v>
      </c>
      <c r="Q33" s="1">
        <v>92.608333333333334</v>
      </c>
      <c r="R33" s="1">
        <v>299.13642857142855</v>
      </c>
      <c r="S33" s="1">
        <v>455.46952380952382</v>
      </c>
      <c r="T33" s="1">
        <v>747.55857142857144</v>
      </c>
      <c r="U33" s="1">
        <v>1079.5923809523808</v>
      </c>
      <c r="V33" s="1">
        <v>1066.6104761904762</v>
      </c>
      <c r="W33" s="1">
        <v>976.52190476190469</v>
      </c>
      <c r="X33" s="1">
        <v>970.79452380952387</v>
      </c>
      <c r="Y33" s="1">
        <v>956.94904761904763</v>
      </c>
      <c r="Z33" s="1">
        <v>895.17119047619053</v>
      </c>
      <c r="AA33" s="1">
        <v>830.36285714285714</v>
      </c>
      <c r="AB33" s="8">
        <v>21</v>
      </c>
      <c r="AC33" s="8">
        <f t="shared" si="2"/>
        <v>334068.78000000003</v>
      </c>
      <c r="AM33"/>
      <c r="AN33"/>
    </row>
    <row r="34" spans="1:40" x14ac:dyDescent="0.25">
      <c r="A34" s="3">
        <f t="shared" si="0"/>
        <v>2027</v>
      </c>
      <c r="B34" s="5" t="str">
        <f>PROPER(TEXT(DATEVALUE("1/"&amp;MOD(ROUNDDOWN((ROW()-6+7*3)/3,0),12)+1&amp;"/"&amp;Tabla1[[#This Row],[Año]]),"mmm"))</f>
        <v>May</v>
      </c>
      <c r="C34" s="7" t="str">
        <f t="shared" si="1"/>
        <v>Sábado</v>
      </c>
      <c r="D34" s="1">
        <v>813.79875000000004</v>
      </c>
      <c r="E34" s="1">
        <v>785.57749999999999</v>
      </c>
      <c r="F34" s="1">
        <v>753.28625</v>
      </c>
      <c r="G34" s="1">
        <v>734.60500000000002</v>
      </c>
      <c r="H34" s="1">
        <v>726.27</v>
      </c>
      <c r="I34" s="1">
        <v>712.55624999999998</v>
      </c>
      <c r="J34" s="1">
        <v>640.93624999999997</v>
      </c>
      <c r="K34" s="1">
        <v>409.88249999999999</v>
      </c>
      <c r="L34" s="1">
        <v>287.99250000000001</v>
      </c>
      <c r="M34" s="1">
        <v>105.765</v>
      </c>
      <c r="N34" s="1">
        <v>101.39749999999999</v>
      </c>
      <c r="O34" s="1">
        <v>0</v>
      </c>
      <c r="P34" s="1">
        <v>0</v>
      </c>
      <c r="Q34" s="1">
        <v>0</v>
      </c>
      <c r="R34" s="1">
        <v>0</v>
      </c>
      <c r="S34" s="1">
        <v>40.316249999999997</v>
      </c>
      <c r="T34" s="1">
        <v>258.25125000000003</v>
      </c>
      <c r="U34" s="1">
        <v>607.15125</v>
      </c>
      <c r="V34" s="1">
        <v>858.05624999999998</v>
      </c>
      <c r="W34" s="1">
        <v>898.06375000000003</v>
      </c>
      <c r="X34" s="1">
        <v>894.5625</v>
      </c>
      <c r="Y34" s="1">
        <v>881.21</v>
      </c>
      <c r="Z34" s="1">
        <v>841.66875000000005</v>
      </c>
      <c r="AA34" s="1">
        <v>797.22249999999997</v>
      </c>
      <c r="AB34" s="8">
        <v>5</v>
      </c>
      <c r="AC34" s="8">
        <f t="shared" si="2"/>
        <v>60742.85</v>
      </c>
      <c r="AM34"/>
      <c r="AN34"/>
    </row>
    <row r="35" spans="1:40" x14ac:dyDescent="0.25">
      <c r="A35" s="3">
        <f t="shared" si="0"/>
        <v>2027</v>
      </c>
      <c r="B35" s="5" t="str">
        <f>PROPER(TEXT(DATEVALUE("1/"&amp;MOD(ROUNDDOWN((ROW()-6+7*3)/3,0),12)+1&amp;"/"&amp;Tabla1[[#This Row],[Año]]),"mmm"))</f>
        <v>May</v>
      </c>
      <c r="C35" s="7" t="str">
        <f t="shared" si="1"/>
        <v>Domingo y Festivo</v>
      </c>
      <c r="D35" s="1">
        <v>767.40749999999991</v>
      </c>
      <c r="E35" s="1">
        <v>745.98</v>
      </c>
      <c r="F35" s="1">
        <v>728.80916666666656</v>
      </c>
      <c r="G35" s="1">
        <v>709.74749999999995</v>
      </c>
      <c r="H35" s="1">
        <v>701.0866666666667</v>
      </c>
      <c r="I35" s="1">
        <v>679.61749999999995</v>
      </c>
      <c r="J35" s="1">
        <v>568.16166666666663</v>
      </c>
      <c r="K35" s="1">
        <v>161.14000000000001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5.3475000000000001</v>
      </c>
      <c r="T35" s="1">
        <v>162.04416666666665</v>
      </c>
      <c r="U35" s="1">
        <v>516.50249999999994</v>
      </c>
      <c r="V35" s="1">
        <v>769.26166666666666</v>
      </c>
      <c r="W35" s="1">
        <v>839.73333333333323</v>
      </c>
      <c r="X35" s="1">
        <v>863.92333333333329</v>
      </c>
      <c r="Y35" s="1">
        <v>861.94500000000005</v>
      </c>
      <c r="Z35" s="1">
        <v>812.42500000000007</v>
      </c>
      <c r="AA35" s="1">
        <v>758.22833333333335</v>
      </c>
      <c r="AB35" s="8">
        <v>5</v>
      </c>
      <c r="AC35" s="8">
        <f t="shared" si="2"/>
        <v>53256.804166666654</v>
      </c>
      <c r="AM35"/>
      <c r="AN35"/>
    </row>
    <row r="36" spans="1:40" x14ac:dyDescent="0.25">
      <c r="A36" s="3">
        <f t="shared" si="0"/>
        <v>2027</v>
      </c>
      <c r="B36" s="5" t="str">
        <f>PROPER(TEXT(DATEVALUE("1/"&amp;MOD(ROUNDDOWN((ROW()-6+7*3)/3,0),12)+1&amp;"/"&amp;Tabla1[[#This Row],[Año]]),"mmm"))</f>
        <v>Jun</v>
      </c>
      <c r="C36" s="7" t="str">
        <f t="shared" si="1"/>
        <v>Hábil</v>
      </c>
      <c r="D36" s="1">
        <v>777.23380952380955</v>
      </c>
      <c r="E36" s="1">
        <v>747.8097619047619</v>
      </c>
      <c r="F36" s="1">
        <v>722.91357142857146</v>
      </c>
      <c r="G36" s="1">
        <v>698.02428571428572</v>
      </c>
      <c r="H36" s="1">
        <v>691.64547619047619</v>
      </c>
      <c r="I36" s="1">
        <v>710.39976190476193</v>
      </c>
      <c r="J36" s="1">
        <v>735.91809523809525</v>
      </c>
      <c r="K36" s="1">
        <v>722.64095238095229</v>
      </c>
      <c r="L36" s="1">
        <v>637.61285714285714</v>
      </c>
      <c r="M36" s="1">
        <v>406.39833333333331</v>
      </c>
      <c r="N36" s="1">
        <v>277.80166666666668</v>
      </c>
      <c r="O36" s="1">
        <v>285.09047619047618</v>
      </c>
      <c r="P36" s="1">
        <v>123.77285714285715</v>
      </c>
      <c r="Q36" s="1">
        <v>92.608333333333334</v>
      </c>
      <c r="R36" s="1">
        <v>299.13642857142855</v>
      </c>
      <c r="S36" s="1">
        <v>455.46952380952382</v>
      </c>
      <c r="T36" s="1">
        <v>747.55857142857144</v>
      </c>
      <c r="U36" s="1">
        <v>1079.5923809523808</v>
      </c>
      <c r="V36" s="1">
        <v>1066.6104761904762</v>
      </c>
      <c r="W36" s="1">
        <v>976.52190476190469</v>
      </c>
      <c r="X36" s="1">
        <v>970.79452380952387</v>
      </c>
      <c r="Y36" s="1">
        <v>956.94904761904763</v>
      </c>
      <c r="Z36" s="1">
        <v>895.17119047619053</v>
      </c>
      <c r="AA36" s="1">
        <v>830.36285714285714</v>
      </c>
      <c r="AB36" s="8">
        <v>22</v>
      </c>
      <c r="AC36" s="8">
        <f t="shared" si="2"/>
        <v>349976.81714285718</v>
      </c>
      <c r="AM36"/>
      <c r="AN36"/>
    </row>
    <row r="37" spans="1:40" x14ac:dyDescent="0.25">
      <c r="A37" s="3">
        <f t="shared" si="0"/>
        <v>2027</v>
      </c>
      <c r="B37" s="5" t="str">
        <f>PROPER(TEXT(DATEVALUE("1/"&amp;MOD(ROUNDDOWN((ROW()-6+7*3)/3,0),12)+1&amp;"/"&amp;Tabla1[[#This Row],[Año]]),"mmm"))</f>
        <v>Jun</v>
      </c>
      <c r="C37" s="7" t="str">
        <f t="shared" si="1"/>
        <v>Sábado</v>
      </c>
      <c r="D37" s="1">
        <v>813.79875000000004</v>
      </c>
      <c r="E37" s="1">
        <v>785.57749999999999</v>
      </c>
      <c r="F37" s="1">
        <v>753.28625</v>
      </c>
      <c r="G37" s="1">
        <v>734.60500000000002</v>
      </c>
      <c r="H37" s="1">
        <v>726.27</v>
      </c>
      <c r="I37" s="1">
        <v>712.55624999999998</v>
      </c>
      <c r="J37" s="1">
        <v>640.93624999999997</v>
      </c>
      <c r="K37" s="1">
        <v>409.88249999999999</v>
      </c>
      <c r="L37" s="1">
        <v>287.99250000000001</v>
      </c>
      <c r="M37" s="1">
        <v>105.765</v>
      </c>
      <c r="N37" s="1">
        <v>101.39749999999999</v>
      </c>
      <c r="O37" s="1">
        <v>0</v>
      </c>
      <c r="P37" s="1">
        <v>0</v>
      </c>
      <c r="Q37" s="1">
        <v>0</v>
      </c>
      <c r="R37" s="1">
        <v>0</v>
      </c>
      <c r="S37" s="1">
        <v>40.316249999999997</v>
      </c>
      <c r="T37" s="1">
        <v>258.25125000000003</v>
      </c>
      <c r="U37" s="1">
        <v>607.15125</v>
      </c>
      <c r="V37" s="1">
        <v>858.05624999999998</v>
      </c>
      <c r="W37" s="1">
        <v>898.06375000000003</v>
      </c>
      <c r="X37" s="1">
        <v>894.5625</v>
      </c>
      <c r="Y37" s="1">
        <v>881.21</v>
      </c>
      <c r="Z37" s="1">
        <v>841.66875000000005</v>
      </c>
      <c r="AA37" s="1">
        <v>797.22249999999997</v>
      </c>
      <c r="AB37" s="8">
        <v>4</v>
      </c>
      <c r="AC37" s="8">
        <f t="shared" si="2"/>
        <v>48594.28</v>
      </c>
      <c r="AM37"/>
      <c r="AN37"/>
    </row>
    <row r="38" spans="1:40" x14ac:dyDescent="0.25">
      <c r="A38" s="3">
        <f t="shared" ref="A38:A69" si="3">ROUNDDOWN((ROW()-6+3*7)/(12*3),0)+2026</f>
        <v>2027</v>
      </c>
      <c r="B38" s="5" t="str">
        <f>PROPER(TEXT(DATEVALUE("1/"&amp;MOD(ROUNDDOWN((ROW()-6+7*3)/3,0),12)+1&amp;"/"&amp;Tabla1[[#This Row],[Año]]),"mmm"))</f>
        <v>Jun</v>
      </c>
      <c r="C38" s="7" t="str">
        <f t="shared" ref="C38:C69" si="4">CHOOSE(MOD(ROW()-6,3)+1,"Hábil","Sábado","Domingo y Festivo")</f>
        <v>Domingo y Festivo</v>
      </c>
      <c r="D38" s="1">
        <v>767.40749999999991</v>
      </c>
      <c r="E38" s="1">
        <v>745.98</v>
      </c>
      <c r="F38" s="1">
        <v>728.80916666666656</v>
      </c>
      <c r="G38" s="1">
        <v>709.74749999999995</v>
      </c>
      <c r="H38" s="1">
        <v>701.0866666666667</v>
      </c>
      <c r="I38" s="1">
        <v>679.61749999999995</v>
      </c>
      <c r="J38" s="1">
        <v>568.16166666666663</v>
      </c>
      <c r="K38" s="1">
        <v>161.14000000000001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5.3475000000000001</v>
      </c>
      <c r="T38" s="1">
        <v>162.04416666666665</v>
      </c>
      <c r="U38" s="1">
        <v>516.50249999999994</v>
      </c>
      <c r="V38" s="1">
        <v>769.26166666666666</v>
      </c>
      <c r="W38" s="1">
        <v>839.73333333333323</v>
      </c>
      <c r="X38" s="1">
        <v>863.92333333333329</v>
      </c>
      <c r="Y38" s="1">
        <v>861.94500000000005</v>
      </c>
      <c r="Z38" s="1">
        <v>812.42500000000007</v>
      </c>
      <c r="AA38" s="1">
        <v>758.22833333333335</v>
      </c>
      <c r="AB38" s="8">
        <v>4</v>
      </c>
      <c r="AC38" s="8">
        <f t="shared" si="2"/>
        <v>42605.443333333322</v>
      </c>
      <c r="AM38"/>
      <c r="AN38"/>
    </row>
    <row r="39" spans="1:40" x14ac:dyDescent="0.25">
      <c r="A39" s="3">
        <f t="shared" si="3"/>
        <v>2027</v>
      </c>
      <c r="B39" s="5" t="str">
        <f>PROPER(TEXT(DATEVALUE("1/"&amp;MOD(ROUNDDOWN((ROW()-6+7*3)/3,0),12)+1&amp;"/"&amp;Tabla1[[#This Row],[Año]]),"mmm"))</f>
        <v>Jul</v>
      </c>
      <c r="C39" s="7" t="str">
        <f t="shared" si="4"/>
        <v>Hábil</v>
      </c>
      <c r="D39" s="1">
        <v>777.23380952380955</v>
      </c>
      <c r="E39" s="1">
        <v>747.8097619047619</v>
      </c>
      <c r="F39" s="1">
        <v>722.91357142857146</v>
      </c>
      <c r="G39" s="1">
        <v>698.02428571428572</v>
      </c>
      <c r="H39" s="1">
        <v>691.64547619047619</v>
      </c>
      <c r="I39" s="1">
        <v>710.39976190476193</v>
      </c>
      <c r="J39" s="1">
        <v>735.91809523809525</v>
      </c>
      <c r="K39" s="1">
        <v>722.64095238095229</v>
      </c>
      <c r="L39" s="1">
        <v>637.61285714285714</v>
      </c>
      <c r="M39" s="1">
        <v>406.39833333333331</v>
      </c>
      <c r="N39" s="1">
        <v>277.80166666666668</v>
      </c>
      <c r="O39" s="1">
        <v>285.09047619047618</v>
      </c>
      <c r="P39" s="1">
        <v>123.77285714285715</v>
      </c>
      <c r="Q39" s="1">
        <v>92.608333333333334</v>
      </c>
      <c r="R39" s="1">
        <v>299.13642857142855</v>
      </c>
      <c r="S39" s="1">
        <v>455.46952380952382</v>
      </c>
      <c r="T39" s="1">
        <v>747.55857142857144</v>
      </c>
      <c r="U39" s="1">
        <v>1079.5923809523808</v>
      </c>
      <c r="V39" s="1">
        <v>1066.6104761904762</v>
      </c>
      <c r="W39" s="1">
        <v>976.52190476190469</v>
      </c>
      <c r="X39" s="1">
        <v>970.79452380952387</v>
      </c>
      <c r="Y39" s="1">
        <v>956.94904761904763</v>
      </c>
      <c r="Z39" s="1">
        <v>895.17119047619053</v>
      </c>
      <c r="AA39" s="1">
        <v>830.36285714285714</v>
      </c>
      <c r="AB39" s="8">
        <v>22</v>
      </c>
      <c r="AC39" s="8">
        <f t="shared" si="2"/>
        <v>349976.81714285718</v>
      </c>
      <c r="AM39"/>
      <c r="AN39"/>
    </row>
    <row r="40" spans="1:40" x14ac:dyDescent="0.25">
      <c r="A40" s="3">
        <f t="shared" si="3"/>
        <v>2027</v>
      </c>
      <c r="B40" s="5" t="str">
        <f>PROPER(TEXT(DATEVALUE("1/"&amp;MOD(ROUNDDOWN((ROW()-6+7*3)/3,0),12)+1&amp;"/"&amp;Tabla1[[#This Row],[Año]]),"mmm"))</f>
        <v>Jul</v>
      </c>
      <c r="C40" s="7" t="str">
        <f t="shared" si="4"/>
        <v>Sábado</v>
      </c>
      <c r="D40" s="1">
        <v>813.79875000000004</v>
      </c>
      <c r="E40" s="1">
        <v>785.57749999999999</v>
      </c>
      <c r="F40" s="1">
        <v>753.28625</v>
      </c>
      <c r="G40" s="1">
        <v>734.60500000000002</v>
      </c>
      <c r="H40" s="1">
        <v>726.27</v>
      </c>
      <c r="I40" s="1">
        <v>712.55624999999998</v>
      </c>
      <c r="J40" s="1">
        <v>640.93624999999997</v>
      </c>
      <c r="K40" s="1">
        <v>409.88249999999999</v>
      </c>
      <c r="L40" s="1">
        <v>287.99250000000001</v>
      </c>
      <c r="M40" s="1">
        <v>105.765</v>
      </c>
      <c r="N40" s="1">
        <v>101.39749999999999</v>
      </c>
      <c r="O40" s="1">
        <v>0</v>
      </c>
      <c r="P40" s="1">
        <v>0</v>
      </c>
      <c r="Q40" s="1">
        <v>0</v>
      </c>
      <c r="R40" s="1">
        <v>0</v>
      </c>
      <c r="S40" s="1">
        <v>40.316249999999997</v>
      </c>
      <c r="T40" s="1">
        <v>258.25125000000003</v>
      </c>
      <c r="U40" s="1">
        <v>607.15125</v>
      </c>
      <c r="V40" s="1">
        <v>858.05624999999998</v>
      </c>
      <c r="W40" s="1">
        <v>898.06375000000003</v>
      </c>
      <c r="X40" s="1">
        <v>894.5625</v>
      </c>
      <c r="Y40" s="1">
        <v>881.21</v>
      </c>
      <c r="Z40" s="1">
        <v>841.66875000000005</v>
      </c>
      <c r="AA40" s="1">
        <v>797.22249999999997</v>
      </c>
      <c r="AB40" s="8">
        <v>5</v>
      </c>
      <c r="AC40" s="8">
        <f t="shared" si="2"/>
        <v>60742.85</v>
      </c>
      <c r="AM40"/>
      <c r="AN40"/>
    </row>
    <row r="41" spans="1:40" x14ac:dyDescent="0.25">
      <c r="A41" s="3">
        <f t="shared" si="3"/>
        <v>2027</v>
      </c>
      <c r="B41" s="5" t="str">
        <f>PROPER(TEXT(DATEVALUE("1/"&amp;MOD(ROUNDDOWN((ROW()-6+7*3)/3,0),12)+1&amp;"/"&amp;Tabla1[[#This Row],[Año]]),"mmm"))</f>
        <v>Jul</v>
      </c>
      <c r="C41" s="7" t="str">
        <f t="shared" si="4"/>
        <v>Domingo y Festivo</v>
      </c>
      <c r="D41" s="1">
        <v>767.40749999999991</v>
      </c>
      <c r="E41" s="1">
        <v>745.98</v>
      </c>
      <c r="F41" s="1">
        <v>728.80916666666656</v>
      </c>
      <c r="G41" s="1">
        <v>709.74749999999995</v>
      </c>
      <c r="H41" s="1">
        <v>701.0866666666667</v>
      </c>
      <c r="I41" s="1">
        <v>679.61749999999995</v>
      </c>
      <c r="J41" s="1">
        <v>568.16166666666663</v>
      </c>
      <c r="K41" s="1">
        <v>161.14000000000001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5.3475000000000001</v>
      </c>
      <c r="T41" s="1">
        <v>162.04416666666665</v>
      </c>
      <c r="U41" s="1">
        <v>516.50249999999994</v>
      </c>
      <c r="V41" s="1">
        <v>769.26166666666666</v>
      </c>
      <c r="W41" s="1">
        <v>839.73333333333323</v>
      </c>
      <c r="X41" s="1">
        <v>863.92333333333329</v>
      </c>
      <c r="Y41" s="1">
        <v>861.94500000000005</v>
      </c>
      <c r="Z41" s="1">
        <v>812.42500000000007</v>
      </c>
      <c r="AA41" s="1">
        <v>758.22833333333335</v>
      </c>
      <c r="AB41" s="8">
        <v>4</v>
      </c>
      <c r="AC41" s="8">
        <f t="shared" si="2"/>
        <v>42605.443333333322</v>
      </c>
      <c r="AM41"/>
      <c r="AN41"/>
    </row>
    <row r="42" spans="1:40" x14ac:dyDescent="0.25">
      <c r="A42" s="3">
        <f t="shared" si="3"/>
        <v>2027</v>
      </c>
      <c r="B42" s="5" t="str">
        <f>PROPER(TEXT(DATEVALUE("1/"&amp;MOD(ROUNDDOWN((ROW()-6+7*3)/3,0),12)+1&amp;"/"&amp;Tabla1[[#This Row],[Año]]),"mmm"))</f>
        <v>Ago</v>
      </c>
      <c r="C42" s="7" t="str">
        <f t="shared" si="4"/>
        <v>Hábil</v>
      </c>
      <c r="D42" s="1">
        <v>777.23380952380955</v>
      </c>
      <c r="E42" s="1">
        <v>747.8097619047619</v>
      </c>
      <c r="F42" s="1">
        <v>722.91357142857146</v>
      </c>
      <c r="G42" s="1">
        <v>698.02428571428572</v>
      </c>
      <c r="H42" s="1">
        <v>691.64547619047619</v>
      </c>
      <c r="I42" s="1">
        <v>710.39976190476193</v>
      </c>
      <c r="J42" s="1">
        <v>735.91809523809525</v>
      </c>
      <c r="K42" s="1">
        <v>722.64095238095229</v>
      </c>
      <c r="L42" s="1">
        <v>637.61285714285714</v>
      </c>
      <c r="M42" s="1">
        <v>406.39833333333331</v>
      </c>
      <c r="N42" s="1">
        <v>277.80166666666668</v>
      </c>
      <c r="O42" s="1">
        <v>285.09047619047618</v>
      </c>
      <c r="P42" s="1">
        <v>123.77285714285715</v>
      </c>
      <c r="Q42" s="1">
        <v>92.608333333333334</v>
      </c>
      <c r="R42" s="1">
        <v>299.13642857142855</v>
      </c>
      <c r="S42" s="1">
        <v>455.46952380952382</v>
      </c>
      <c r="T42" s="1">
        <v>747.55857142857144</v>
      </c>
      <c r="U42" s="1">
        <v>1079.5923809523808</v>
      </c>
      <c r="V42" s="1">
        <v>1066.6104761904762</v>
      </c>
      <c r="W42" s="1">
        <v>976.52190476190469</v>
      </c>
      <c r="X42" s="1">
        <v>970.79452380952387</v>
      </c>
      <c r="Y42" s="1">
        <v>956.94904761904763</v>
      </c>
      <c r="Z42" s="1">
        <v>895.17119047619053</v>
      </c>
      <c r="AA42" s="1">
        <v>830.36285714285714</v>
      </c>
      <c r="AB42" s="8">
        <v>22</v>
      </c>
      <c r="AC42" s="8">
        <f t="shared" si="2"/>
        <v>349976.81714285718</v>
      </c>
      <c r="AM42"/>
      <c r="AN42"/>
    </row>
    <row r="43" spans="1:40" x14ac:dyDescent="0.25">
      <c r="A43" s="3">
        <f t="shared" si="3"/>
        <v>2027</v>
      </c>
      <c r="B43" s="5" t="str">
        <f>PROPER(TEXT(DATEVALUE("1/"&amp;MOD(ROUNDDOWN((ROW()-6+7*3)/3,0),12)+1&amp;"/"&amp;Tabla1[[#This Row],[Año]]),"mmm"))</f>
        <v>Ago</v>
      </c>
      <c r="C43" s="7" t="str">
        <f t="shared" si="4"/>
        <v>Sábado</v>
      </c>
      <c r="D43" s="1">
        <v>813.79875000000004</v>
      </c>
      <c r="E43" s="1">
        <v>785.57749999999999</v>
      </c>
      <c r="F43" s="1">
        <v>753.28625</v>
      </c>
      <c r="G43" s="1">
        <v>734.60500000000002</v>
      </c>
      <c r="H43" s="1">
        <v>726.27</v>
      </c>
      <c r="I43" s="1">
        <v>712.55624999999998</v>
      </c>
      <c r="J43" s="1">
        <v>640.93624999999997</v>
      </c>
      <c r="K43" s="1">
        <v>409.88249999999999</v>
      </c>
      <c r="L43" s="1">
        <v>287.99250000000001</v>
      </c>
      <c r="M43" s="1">
        <v>105.765</v>
      </c>
      <c r="N43" s="1">
        <v>101.39749999999999</v>
      </c>
      <c r="O43" s="1">
        <v>0</v>
      </c>
      <c r="P43" s="1">
        <v>0</v>
      </c>
      <c r="Q43" s="1">
        <v>0</v>
      </c>
      <c r="R43" s="1">
        <v>0</v>
      </c>
      <c r="S43" s="1">
        <v>40.316249999999997</v>
      </c>
      <c r="T43" s="1">
        <v>258.25125000000003</v>
      </c>
      <c r="U43" s="1">
        <v>607.15125</v>
      </c>
      <c r="V43" s="1">
        <v>858.05624999999998</v>
      </c>
      <c r="W43" s="1">
        <v>898.06375000000003</v>
      </c>
      <c r="X43" s="1">
        <v>894.5625</v>
      </c>
      <c r="Y43" s="1">
        <v>881.21</v>
      </c>
      <c r="Z43" s="1">
        <v>841.66875000000005</v>
      </c>
      <c r="AA43" s="1">
        <v>797.22249999999997</v>
      </c>
      <c r="AB43" s="8">
        <v>4</v>
      </c>
      <c r="AC43" s="8">
        <f t="shared" si="2"/>
        <v>48594.28</v>
      </c>
      <c r="AM43"/>
      <c r="AN43"/>
    </row>
    <row r="44" spans="1:40" x14ac:dyDescent="0.25">
      <c r="A44" s="3">
        <f t="shared" si="3"/>
        <v>2027</v>
      </c>
      <c r="B44" s="5" t="str">
        <f>PROPER(TEXT(DATEVALUE("1/"&amp;MOD(ROUNDDOWN((ROW()-6+7*3)/3,0),12)+1&amp;"/"&amp;Tabla1[[#This Row],[Año]]),"mmm"))</f>
        <v>Ago</v>
      </c>
      <c r="C44" s="7" t="str">
        <f t="shared" si="4"/>
        <v>Domingo y Festivo</v>
      </c>
      <c r="D44" s="1">
        <v>767.40749999999991</v>
      </c>
      <c r="E44" s="1">
        <v>745.98</v>
      </c>
      <c r="F44" s="1">
        <v>728.80916666666656</v>
      </c>
      <c r="G44" s="1">
        <v>709.74749999999995</v>
      </c>
      <c r="H44" s="1">
        <v>701.0866666666667</v>
      </c>
      <c r="I44" s="1">
        <v>679.61749999999995</v>
      </c>
      <c r="J44" s="1">
        <v>568.16166666666663</v>
      </c>
      <c r="K44" s="1">
        <v>161.14000000000001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5.3475000000000001</v>
      </c>
      <c r="T44" s="1">
        <v>162.04416666666665</v>
      </c>
      <c r="U44" s="1">
        <v>516.50249999999994</v>
      </c>
      <c r="V44" s="1">
        <v>769.26166666666666</v>
      </c>
      <c r="W44" s="1">
        <v>839.73333333333323</v>
      </c>
      <c r="X44" s="1">
        <v>863.92333333333329</v>
      </c>
      <c r="Y44" s="1">
        <v>861.94500000000005</v>
      </c>
      <c r="Z44" s="1">
        <v>812.42500000000007</v>
      </c>
      <c r="AA44" s="1">
        <v>758.22833333333335</v>
      </c>
      <c r="AB44" s="8">
        <v>5</v>
      </c>
      <c r="AC44" s="8">
        <f t="shared" si="2"/>
        <v>53256.804166666654</v>
      </c>
      <c r="AM44"/>
      <c r="AN44"/>
    </row>
    <row r="45" spans="1:40" x14ac:dyDescent="0.25">
      <c r="A45" s="3">
        <f t="shared" si="3"/>
        <v>2027</v>
      </c>
      <c r="B45" s="5" t="str">
        <f>PROPER(TEXT(DATEVALUE("1/"&amp;MOD(ROUNDDOWN((ROW()-6+7*3)/3,0),12)+1&amp;"/"&amp;Tabla1[[#This Row],[Año]]),"mmm"))</f>
        <v>Sep</v>
      </c>
      <c r="C45" s="7" t="str">
        <f t="shared" si="4"/>
        <v>Hábil</v>
      </c>
      <c r="D45" s="1">
        <v>777.23380952380955</v>
      </c>
      <c r="E45" s="1">
        <v>747.8097619047619</v>
      </c>
      <c r="F45" s="1">
        <v>722.91357142857146</v>
      </c>
      <c r="G45" s="1">
        <v>698.02428571428572</v>
      </c>
      <c r="H45" s="1">
        <v>691.64547619047619</v>
      </c>
      <c r="I45" s="1">
        <v>710.39976190476193</v>
      </c>
      <c r="J45" s="1">
        <v>735.91809523809525</v>
      </c>
      <c r="K45" s="1">
        <v>722.64095238095229</v>
      </c>
      <c r="L45" s="1">
        <v>637.61285714285714</v>
      </c>
      <c r="M45" s="1">
        <v>406.39833333333331</v>
      </c>
      <c r="N45" s="1">
        <v>277.80166666666668</v>
      </c>
      <c r="O45" s="1">
        <v>285.09047619047618</v>
      </c>
      <c r="P45" s="1">
        <v>123.77285714285715</v>
      </c>
      <c r="Q45" s="1">
        <v>92.608333333333334</v>
      </c>
      <c r="R45" s="1">
        <v>299.13642857142855</v>
      </c>
      <c r="S45" s="1">
        <v>455.46952380952382</v>
      </c>
      <c r="T45" s="1">
        <v>747.55857142857144</v>
      </c>
      <c r="U45" s="1">
        <v>1079.5923809523808</v>
      </c>
      <c r="V45" s="1">
        <v>1066.6104761904762</v>
      </c>
      <c r="W45" s="1">
        <v>976.52190476190469</v>
      </c>
      <c r="X45" s="1">
        <v>970.79452380952387</v>
      </c>
      <c r="Y45" s="1">
        <v>956.94904761904763</v>
      </c>
      <c r="Z45" s="1">
        <v>895.17119047619053</v>
      </c>
      <c r="AA45" s="1">
        <v>830.36285714285714</v>
      </c>
      <c r="AB45" s="8">
        <v>22</v>
      </c>
      <c r="AC45" s="8">
        <f t="shared" si="2"/>
        <v>349976.81714285718</v>
      </c>
      <c r="AM45"/>
      <c r="AN45"/>
    </row>
    <row r="46" spans="1:40" x14ac:dyDescent="0.25">
      <c r="A46" s="3">
        <f t="shared" si="3"/>
        <v>2027</v>
      </c>
      <c r="B46" s="5" t="str">
        <f>PROPER(TEXT(DATEVALUE("1/"&amp;MOD(ROUNDDOWN((ROW()-6+7*3)/3,0),12)+1&amp;"/"&amp;Tabla1[[#This Row],[Año]]),"mmm"))</f>
        <v>Sep</v>
      </c>
      <c r="C46" s="7" t="str">
        <f t="shared" si="4"/>
        <v>Sábado</v>
      </c>
      <c r="D46" s="1">
        <v>813.79875000000004</v>
      </c>
      <c r="E46" s="1">
        <v>785.57749999999999</v>
      </c>
      <c r="F46" s="1">
        <v>753.28625</v>
      </c>
      <c r="G46" s="1">
        <v>734.60500000000002</v>
      </c>
      <c r="H46" s="1">
        <v>726.27</v>
      </c>
      <c r="I46" s="1">
        <v>712.55624999999998</v>
      </c>
      <c r="J46" s="1">
        <v>640.93624999999997</v>
      </c>
      <c r="K46" s="1">
        <v>409.88249999999999</v>
      </c>
      <c r="L46" s="1">
        <v>287.99250000000001</v>
      </c>
      <c r="M46" s="1">
        <v>105.765</v>
      </c>
      <c r="N46" s="1">
        <v>101.39749999999999</v>
      </c>
      <c r="O46" s="1">
        <v>0</v>
      </c>
      <c r="P46" s="1">
        <v>0</v>
      </c>
      <c r="Q46" s="1">
        <v>0</v>
      </c>
      <c r="R46" s="1">
        <v>0</v>
      </c>
      <c r="S46" s="1">
        <v>40.316249999999997</v>
      </c>
      <c r="T46" s="1">
        <v>258.25125000000003</v>
      </c>
      <c r="U46" s="1">
        <v>607.15125</v>
      </c>
      <c r="V46" s="1">
        <v>858.05624999999998</v>
      </c>
      <c r="W46" s="1">
        <v>898.06375000000003</v>
      </c>
      <c r="X46" s="1">
        <v>894.5625</v>
      </c>
      <c r="Y46" s="1">
        <v>881.21</v>
      </c>
      <c r="Z46" s="1">
        <v>841.66875000000005</v>
      </c>
      <c r="AA46" s="1">
        <v>797.22249999999997</v>
      </c>
      <c r="AB46" s="8">
        <v>4</v>
      </c>
      <c r="AC46" s="8">
        <f t="shared" si="2"/>
        <v>48594.28</v>
      </c>
      <c r="AM46"/>
      <c r="AN46"/>
    </row>
    <row r="47" spans="1:40" x14ac:dyDescent="0.25">
      <c r="A47" s="3">
        <f t="shared" si="3"/>
        <v>2027</v>
      </c>
      <c r="B47" s="5" t="str">
        <f>PROPER(TEXT(DATEVALUE("1/"&amp;MOD(ROUNDDOWN((ROW()-6+7*3)/3,0),12)+1&amp;"/"&amp;Tabla1[[#This Row],[Año]]),"mmm"))</f>
        <v>Sep</v>
      </c>
      <c r="C47" s="7" t="str">
        <f t="shared" si="4"/>
        <v>Domingo y Festivo</v>
      </c>
      <c r="D47" s="1">
        <v>767.40749999999991</v>
      </c>
      <c r="E47" s="1">
        <v>745.98</v>
      </c>
      <c r="F47" s="1">
        <v>728.80916666666656</v>
      </c>
      <c r="G47" s="1">
        <v>709.74749999999995</v>
      </c>
      <c r="H47" s="1">
        <v>701.0866666666667</v>
      </c>
      <c r="I47" s="1">
        <v>679.61749999999995</v>
      </c>
      <c r="J47" s="1">
        <v>568.16166666666663</v>
      </c>
      <c r="K47" s="1">
        <v>161.14000000000001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5.3475000000000001</v>
      </c>
      <c r="T47" s="1">
        <v>162.04416666666665</v>
      </c>
      <c r="U47" s="1">
        <v>516.50249999999994</v>
      </c>
      <c r="V47" s="1">
        <v>769.26166666666666</v>
      </c>
      <c r="W47" s="1">
        <v>839.73333333333323</v>
      </c>
      <c r="X47" s="1">
        <v>863.92333333333329</v>
      </c>
      <c r="Y47" s="1">
        <v>861.94500000000005</v>
      </c>
      <c r="Z47" s="1">
        <v>812.42500000000007</v>
      </c>
      <c r="AA47" s="1">
        <v>758.22833333333335</v>
      </c>
      <c r="AB47" s="8">
        <v>4</v>
      </c>
      <c r="AC47" s="8">
        <f t="shared" si="2"/>
        <v>42605.443333333322</v>
      </c>
      <c r="AM47"/>
      <c r="AN47"/>
    </row>
    <row r="48" spans="1:40" x14ac:dyDescent="0.25">
      <c r="A48" s="3">
        <f t="shared" si="3"/>
        <v>2027</v>
      </c>
      <c r="B48" s="5" t="str">
        <f>PROPER(TEXT(DATEVALUE("1/"&amp;MOD(ROUNDDOWN((ROW()-6+7*3)/3,0),12)+1&amp;"/"&amp;Tabla1[[#This Row],[Año]]),"mmm"))</f>
        <v>Oct</v>
      </c>
      <c r="C48" s="7" t="str">
        <f t="shared" si="4"/>
        <v>Hábil</v>
      </c>
      <c r="D48" s="1">
        <v>777.23380952380955</v>
      </c>
      <c r="E48" s="1">
        <v>747.8097619047619</v>
      </c>
      <c r="F48" s="1">
        <v>722.91357142857146</v>
      </c>
      <c r="G48" s="1">
        <v>698.02428571428572</v>
      </c>
      <c r="H48" s="1">
        <v>691.64547619047619</v>
      </c>
      <c r="I48" s="1">
        <v>710.39976190476193</v>
      </c>
      <c r="J48" s="1">
        <v>735.91809523809525</v>
      </c>
      <c r="K48" s="1">
        <v>722.64095238095229</v>
      </c>
      <c r="L48" s="1">
        <v>637.61285714285714</v>
      </c>
      <c r="M48" s="1">
        <v>406.39833333333331</v>
      </c>
      <c r="N48" s="1">
        <v>277.80166666666668</v>
      </c>
      <c r="O48" s="1">
        <v>285.09047619047618</v>
      </c>
      <c r="P48" s="1">
        <v>123.77285714285715</v>
      </c>
      <c r="Q48" s="1">
        <v>92.608333333333334</v>
      </c>
      <c r="R48" s="1">
        <v>299.13642857142855</v>
      </c>
      <c r="S48" s="1">
        <v>455.46952380952382</v>
      </c>
      <c r="T48" s="1">
        <v>747.55857142857144</v>
      </c>
      <c r="U48" s="1">
        <v>1079.5923809523808</v>
      </c>
      <c r="V48" s="1">
        <v>1066.6104761904762</v>
      </c>
      <c r="W48" s="1">
        <v>976.52190476190469</v>
      </c>
      <c r="X48" s="1">
        <v>970.79452380952387</v>
      </c>
      <c r="Y48" s="1">
        <v>956.94904761904763</v>
      </c>
      <c r="Z48" s="1">
        <v>895.17119047619053</v>
      </c>
      <c r="AA48" s="1">
        <v>830.36285714285714</v>
      </c>
      <c r="AB48" s="8">
        <v>21</v>
      </c>
      <c r="AC48" s="8">
        <f t="shared" si="2"/>
        <v>334068.78000000003</v>
      </c>
      <c r="AM48"/>
      <c r="AN48"/>
    </row>
    <row r="49" spans="1:40" x14ac:dyDescent="0.25">
      <c r="A49" s="3">
        <f t="shared" si="3"/>
        <v>2027</v>
      </c>
      <c r="B49" s="5" t="str">
        <f>PROPER(TEXT(DATEVALUE("1/"&amp;MOD(ROUNDDOWN((ROW()-6+7*3)/3,0),12)+1&amp;"/"&amp;Tabla1[[#This Row],[Año]]),"mmm"))</f>
        <v>Oct</v>
      </c>
      <c r="C49" s="7" t="str">
        <f t="shared" si="4"/>
        <v>Sábado</v>
      </c>
      <c r="D49" s="1">
        <v>813.79875000000004</v>
      </c>
      <c r="E49" s="1">
        <v>785.57749999999999</v>
      </c>
      <c r="F49" s="1">
        <v>753.28625</v>
      </c>
      <c r="G49" s="1">
        <v>734.60500000000002</v>
      </c>
      <c r="H49" s="1">
        <v>726.27</v>
      </c>
      <c r="I49" s="1">
        <v>712.55624999999998</v>
      </c>
      <c r="J49" s="1">
        <v>640.93624999999997</v>
      </c>
      <c r="K49" s="1">
        <v>409.88249999999999</v>
      </c>
      <c r="L49" s="1">
        <v>287.99250000000001</v>
      </c>
      <c r="M49" s="1">
        <v>105.765</v>
      </c>
      <c r="N49" s="1">
        <v>101.39749999999999</v>
      </c>
      <c r="O49" s="1">
        <v>0</v>
      </c>
      <c r="P49" s="1">
        <v>0</v>
      </c>
      <c r="Q49" s="1">
        <v>0</v>
      </c>
      <c r="R49" s="1">
        <v>0</v>
      </c>
      <c r="S49" s="1">
        <v>40.316249999999997</v>
      </c>
      <c r="T49" s="1">
        <v>258.25125000000003</v>
      </c>
      <c r="U49" s="1">
        <v>607.15125</v>
      </c>
      <c r="V49" s="1">
        <v>858.05624999999998</v>
      </c>
      <c r="W49" s="1">
        <v>898.06375000000003</v>
      </c>
      <c r="X49" s="1">
        <v>894.5625</v>
      </c>
      <c r="Y49" s="1">
        <v>881.21</v>
      </c>
      <c r="Z49" s="1">
        <v>841.66875000000005</v>
      </c>
      <c r="AA49" s="1">
        <v>797.22249999999997</v>
      </c>
      <c r="AB49" s="8">
        <v>5</v>
      </c>
      <c r="AC49" s="8">
        <f t="shared" si="2"/>
        <v>60742.85</v>
      </c>
      <c r="AM49"/>
      <c r="AN49"/>
    </row>
    <row r="50" spans="1:40" x14ac:dyDescent="0.25">
      <c r="A50" s="3">
        <f t="shared" si="3"/>
        <v>2027</v>
      </c>
      <c r="B50" s="5" t="str">
        <f>PROPER(TEXT(DATEVALUE("1/"&amp;MOD(ROUNDDOWN((ROW()-6+7*3)/3,0),12)+1&amp;"/"&amp;Tabla1[[#This Row],[Año]]),"mmm"))</f>
        <v>Oct</v>
      </c>
      <c r="C50" s="7" t="str">
        <f t="shared" si="4"/>
        <v>Domingo y Festivo</v>
      </c>
      <c r="D50" s="1">
        <v>767.40749999999991</v>
      </c>
      <c r="E50" s="1">
        <v>745.98</v>
      </c>
      <c r="F50" s="1">
        <v>728.80916666666656</v>
      </c>
      <c r="G50" s="1">
        <v>709.74749999999995</v>
      </c>
      <c r="H50" s="1">
        <v>701.0866666666667</v>
      </c>
      <c r="I50" s="1">
        <v>679.61749999999995</v>
      </c>
      <c r="J50" s="1">
        <v>568.16166666666663</v>
      </c>
      <c r="K50" s="1">
        <v>161.14000000000001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5.3475000000000001</v>
      </c>
      <c r="T50" s="1">
        <v>162.04416666666665</v>
      </c>
      <c r="U50" s="1">
        <v>516.50249999999994</v>
      </c>
      <c r="V50" s="1">
        <v>769.26166666666666</v>
      </c>
      <c r="W50" s="1">
        <v>839.73333333333323</v>
      </c>
      <c r="X50" s="1">
        <v>863.92333333333329</v>
      </c>
      <c r="Y50" s="1">
        <v>861.94500000000005</v>
      </c>
      <c r="Z50" s="1">
        <v>812.42500000000007</v>
      </c>
      <c r="AA50" s="1">
        <v>758.22833333333335</v>
      </c>
      <c r="AB50" s="8">
        <v>5</v>
      </c>
      <c r="AC50" s="8">
        <f t="shared" si="2"/>
        <v>53256.804166666654</v>
      </c>
      <c r="AM50"/>
      <c r="AN50"/>
    </row>
    <row r="51" spans="1:40" x14ac:dyDescent="0.25">
      <c r="A51" s="3">
        <f t="shared" si="3"/>
        <v>2027</v>
      </c>
      <c r="B51" s="5" t="str">
        <f>PROPER(TEXT(DATEVALUE("1/"&amp;MOD(ROUNDDOWN((ROW()-6+7*3)/3,0),12)+1&amp;"/"&amp;Tabla1[[#This Row],[Año]]),"mmm"))</f>
        <v>Nov</v>
      </c>
      <c r="C51" s="7" t="str">
        <f t="shared" si="4"/>
        <v>Hábil</v>
      </c>
      <c r="D51" s="1">
        <v>777.23380952380955</v>
      </c>
      <c r="E51" s="1">
        <v>747.8097619047619</v>
      </c>
      <c r="F51" s="1">
        <v>722.91357142857146</v>
      </c>
      <c r="G51" s="1">
        <v>698.02428571428572</v>
      </c>
      <c r="H51" s="1">
        <v>691.64547619047619</v>
      </c>
      <c r="I51" s="1">
        <v>710.39976190476193</v>
      </c>
      <c r="J51" s="1">
        <v>735.91809523809525</v>
      </c>
      <c r="K51" s="1">
        <v>722.64095238095229</v>
      </c>
      <c r="L51" s="1">
        <v>637.61285714285714</v>
      </c>
      <c r="M51" s="1">
        <v>406.39833333333331</v>
      </c>
      <c r="N51" s="1">
        <v>277.80166666666668</v>
      </c>
      <c r="O51" s="1">
        <v>285.09047619047618</v>
      </c>
      <c r="P51" s="1">
        <v>123.77285714285715</v>
      </c>
      <c r="Q51" s="1">
        <v>92.608333333333334</v>
      </c>
      <c r="R51" s="1">
        <v>299.13642857142855</v>
      </c>
      <c r="S51" s="1">
        <v>455.46952380952382</v>
      </c>
      <c r="T51" s="1">
        <v>747.55857142857144</v>
      </c>
      <c r="U51" s="1">
        <v>1079.5923809523808</v>
      </c>
      <c r="V51" s="1">
        <v>1066.6104761904762</v>
      </c>
      <c r="W51" s="1">
        <v>976.52190476190469</v>
      </c>
      <c r="X51" s="1">
        <v>970.79452380952387</v>
      </c>
      <c r="Y51" s="1">
        <v>956.94904761904763</v>
      </c>
      <c r="Z51" s="1">
        <v>895.17119047619053</v>
      </c>
      <c r="AA51" s="1">
        <v>830.36285714285714</v>
      </c>
      <c r="AB51" s="8">
        <v>22</v>
      </c>
      <c r="AC51" s="8">
        <f t="shared" si="2"/>
        <v>349976.81714285718</v>
      </c>
      <c r="AM51"/>
      <c r="AN51"/>
    </row>
    <row r="52" spans="1:40" x14ac:dyDescent="0.25">
      <c r="A52" s="3">
        <f t="shared" si="3"/>
        <v>2027</v>
      </c>
      <c r="B52" s="5" t="str">
        <f>PROPER(TEXT(DATEVALUE("1/"&amp;MOD(ROUNDDOWN((ROW()-6+7*3)/3,0),12)+1&amp;"/"&amp;Tabla1[[#This Row],[Año]]),"mmm"))</f>
        <v>Nov</v>
      </c>
      <c r="C52" s="7" t="str">
        <f t="shared" si="4"/>
        <v>Sábado</v>
      </c>
      <c r="D52" s="1">
        <v>813.79875000000004</v>
      </c>
      <c r="E52" s="1">
        <v>785.57749999999999</v>
      </c>
      <c r="F52" s="1">
        <v>753.28625</v>
      </c>
      <c r="G52" s="1">
        <v>734.60500000000002</v>
      </c>
      <c r="H52" s="1">
        <v>726.27</v>
      </c>
      <c r="I52" s="1">
        <v>712.55624999999998</v>
      </c>
      <c r="J52" s="1">
        <v>640.93624999999997</v>
      </c>
      <c r="K52" s="1">
        <v>409.88249999999999</v>
      </c>
      <c r="L52" s="1">
        <v>287.99250000000001</v>
      </c>
      <c r="M52" s="1">
        <v>105.765</v>
      </c>
      <c r="N52" s="1">
        <v>101.39749999999999</v>
      </c>
      <c r="O52" s="1">
        <v>0</v>
      </c>
      <c r="P52" s="1">
        <v>0</v>
      </c>
      <c r="Q52" s="1">
        <v>0</v>
      </c>
      <c r="R52" s="1">
        <v>0</v>
      </c>
      <c r="S52" s="1">
        <v>40.316249999999997</v>
      </c>
      <c r="T52" s="1">
        <v>258.25125000000003</v>
      </c>
      <c r="U52" s="1">
        <v>607.15125</v>
      </c>
      <c r="V52" s="1">
        <v>858.05624999999998</v>
      </c>
      <c r="W52" s="1">
        <v>898.06375000000003</v>
      </c>
      <c r="X52" s="1">
        <v>894.5625</v>
      </c>
      <c r="Y52" s="1">
        <v>881.21</v>
      </c>
      <c r="Z52" s="1">
        <v>841.66875000000005</v>
      </c>
      <c r="AA52" s="1">
        <v>797.22249999999997</v>
      </c>
      <c r="AB52" s="8">
        <v>4</v>
      </c>
      <c r="AC52" s="8">
        <f t="shared" si="2"/>
        <v>48594.28</v>
      </c>
      <c r="AM52"/>
      <c r="AN52"/>
    </row>
    <row r="53" spans="1:40" x14ac:dyDescent="0.25">
      <c r="A53" s="3">
        <f t="shared" si="3"/>
        <v>2027</v>
      </c>
      <c r="B53" s="5" t="str">
        <f>PROPER(TEXT(DATEVALUE("1/"&amp;MOD(ROUNDDOWN((ROW()-6+7*3)/3,0),12)+1&amp;"/"&amp;Tabla1[[#This Row],[Año]]),"mmm"))</f>
        <v>Nov</v>
      </c>
      <c r="C53" s="7" t="str">
        <f t="shared" si="4"/>
        <v>Domingo y Festivo</v>
      </c>
      <c r="D53" s="1">
        <v>767.40749999999991</v>
      </c>
      <c r="E53" s="1">
        <v>745.98</v>
      </c>
      <c r="F53" s="1">
        <v>728.80916666666656</v>
      </c>
      <c r="G53" s="1">
        <v>709.74749999999995</v>
      </c>
      <c r="H53" s="1">
        <v>701.0866666666667</v>
      </c>
      <c r="I53" s="1">
        <v>679.61749999999995</v>
      </c>
      <c r="J53" s="1">
        <v>568.16166666666663</v>
      </c>
      <c r="K53" s="1">
        <v>161.14000000000001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5.3475000000000001</v>
      </c>
      <c r="T53" s="1">
        <v>162.04416666666665</v>
      </c>
      <c r="U53" s="1">
        <v>516.50249999999994</v>
      </c>
      <c r="V53" s="1">
        <v>769.26166666666666</v>
      </c>
      <c r="W53" s="1">
        <v>839.73333333333323</v>
      </c>
      <c r="X53" s="1">
        <v>863.92333333333329</v>
      </c>
      <c r="Y53" s="1">
        <v>861.94500000000005</v>
      </c>
      <c r="Z53" s="1">
        <v>812.42500000000007</v>
      </c>
      <c r="AA53" s="1">
        <v>758.22833333333335</v>
      </c>
      <c r="AB53" s="8">
        <v>4</v>
      </c>
      <c r="AC53" s="8">
        <f t="shared" si="2"/>
        <v>42605.443333333322</v>
      </c>
      <c r="AM53"/>
      <c r="AN53"/>
    </row>
    <row r="54" spans="1:40" x14ac:dyDescent="0.25">
      <c r="A54" s="3">
        <f t="shared" si="3"/>
        <v>2027</v>
      </c>
      <c r="B54" s="5" t="str">
        <f>PROPER(TEXT(DATEVALUE("1/"&amp;MOD(ROUNDDOWN((ROW()-6+7*3)/3,0),12)+1&amp;"/"&amp;Tabla1[[#This Row],[Año]]),"mmm"))</f>
        <v>Dic</v>
      </c>
      <c r="C54" s="7" t="str">
        <f t="shared" si="4"/>
        <v>Hábil</v>
      </c>
      <c r="D54" s="1">
        <v>777.23380952380955</v>
      </c>
      <c r="E54" s="1">
        <v>747.8097619047619</v>
      </c>
      <c r="F54" s="1">
        <v>722.91357142857146</v>
      </c>
      <c r="G54" s="1">
        <v>698.02428571428572</v>
      </c>
      <c r="H54" s="1">
        <v>691.64547619047619</v>
      </c>
      <c r="I54" s="1">
        <v>710.39976190476193</v>
      </c>
      <c r="J54" s="1">
        <v>735.91809523809525</v>
      </c>
      <c r="K54" s="1">
        <v>722.64095238095229</v>
      </c>
      <c r="L54" s="1">
        <v>637.61285714285714</v>
      </c>
      <c r="M54" s="1">
        <v>406.39833333333331</v>
      </c>
      <c r="N54" s="1">
        <v>277.80166666666668</v>
      </c>
      <c r="O54" s="1">
        <v>285.09047619047618</v>
      </c>
      <c r="P54" s="1">
        <v>123.77285714285715</v>
      </c>
      <c r="Q54" s="1">
        <v>92.608333333333334</v>
      </c>
      <c r="R54" s="1">
        <v>299.13642857142855</v>
      </c>
      <c r="S54" s="1">
        <v>455.46952380952382</v>
      </c>
      <c r="T54" s="1">
        <v>747.55857142857144</v>
      </c>
      <c r="U54" s="1">
        <v>1079.5923809523808</v>
      </c>
      <c r="V54" s="1">
        <v>1066.6104761904762</v>
      </c>
      <c r="W54" s="1">
        <v>976.52190476190469</v>
      </c>
      <c r="X54" s="1">
        <v>970.79452380952387</v>
      </c>
      <c r="Y54" s="1">
        <v>956.94904761904763</v>
      </c>
      <c r="Z54" s="1">
        <v>895.17119047619053</v>
      </c>
      <c r="AA54" s="1">
        <v>830.36285714285714</v>
      </c>
      <c r="AB54" s="8">
        <v>23</v>
      </c>
      <c r="AC54" s="8">
        <f t="shared" si="2"/>
        <v>365884.85428571433</v>
      </c>
      <c r="AM54"/>
      <c r="AN54"/>
    </row>
    <row r="55" spans="1:40" x14ac:dyDescent="0.25">
      <c r="A55" s="3">
        <f t="shared" si="3"/>
        <v>2027</v>
      </c>
      <c r="B55" s="5" t="str">
        <f>PROPER(TEXT(DATEVALUE("1/"&amp;MOD(ROUNDDOWN((ROW()-6+7*3)/3,0),12)+1&amp;"/"&amp;Tabla1[[#This Row],[Año]]),"mmm"))</f>
        <v>Dic</v>
      </c>
      <c r="C55" s="7" t="str">
        <f t="shared" si="4"/>
        <v>Sábado</v>
      </c>
      <c r="D55" s="1">
        <v>813.79875000000004</v>
      </c>
      <c r="E55" s="1">
        <v>785.57749999999999</v>
      </c>
      <c r="F55" s="1">
        <v>753.28625</v>
      </c>
      <c r="G55" s="1">
        <v>734.60500000000002</v>
      </c>
      <c r="H55" s="1">
        <v>726.27</v>
      </c>
      <c r="I55" s="1">
        <v>712.55624999999998</v>
      </c>
      <c r="J55" s="1">
        <v>640.93624999999997</v>
      </c>
      <c r="K55" s="1">
        <v>409.88249999999999</v>
      </c>
      <c r="L55" s="1">
        <v>287.99250000000001</v>
      </c>
      <c r="M55" s="1">
        <v>105.765</v>
      </c>
      <c r="N55" s="1">
        <v>101.39749999999999</v>
      </c>
      <c r="O55" s="1">
        <v>0</v>
      </c>
      <c r="P55" s="1">
        <v>0</v>
      </c>
      <c r="Q55" s="1">
        <v>0</v>
      </c>
      <c r="R55" s="1">
        <v>0</v>
      </c>
      <c r="S55" s="1">
        <v>40.316249999999997</v>
      </c>
      <c r="T55" s="1">
        <v>258.25125000000003</v>
      </c>
      <c r="U55" s="1">
        <v>607.15125</v>
      </c>
      <c r="V55" s="1">
        <v>858.05624999999998</v>
      </c>
      <c r="W55" s="1">
        <v>898.06375000000003</v>
      </c>
      <c r="X55" s="1">
        <v>894.5625</v>
      </c>
      <c r="Y55" s="1">
        <v>881.21</v>
      </c>
      <c r="Z55" s="1">
        <v>841.66875000000005</v>
      </c>
      <c r="AA55" s="1">
        <v>797.22249999999997</v>
      </c>
      <c r="AB55" s="8">
        <v>4</v>
      </c>
      <c r="AC55" s="8">
        <f t="shared" si="2"/>
        <v>48594.28</v>
      </c>
      <c r="AM55"/>
      <c r="AN55"/>
    </row>
    <row r="56" spans="1:40" x14ac:dyDescent="0.25">
      <c r="A56" s="3">
        <f t="shared" si="3"/>
        <v>2027</v>
      </c>
      <c r="B56" s="5" t="str">
        <f>PROPER(TEXT(DATEVALUE("1/"&amp;MOD(ROUNDDOWN((ROW()-6+7*3)/3,0),12)+1&amp;"/"&amp;Tabla1[[#This Row],[Año]]),"mmm"))</f>
        <v>Dic</v>
      </c>
      <c r="C56" s="7" t="str">
        <f t="shared" si="4"/>
        <v>Domingo y Festivo</v>
      </c>
      <c r="D56" s="1">
        <v>767.40749999999991</v>
      </c>
      <c r="E56" s="1">
        <v>745.98</v>
      </c>
      <c r="F56" s="1">
        <v>728.80916666666656</v>
      </c>
      <c r="G56" s="1">
        <v>709.74749999999995</v>
      </c>
      <c r="H56" s="1">
        <v>701.0866666666667</v>
      </c>
      <c r="I56" s="1">
        <v>679.61749999999995</v>
      </c>
      <c r="J56" s="1">
        <v>568.16166666666663</v>
      </c>
      <c r="K56" s="1">
        <v>161.14000000000001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5.3475000000000001</v>
      </c>
      <c r="T56" s="1">
        <v>162.04416666666665</v>
      </c>
      <c r="U56" s="1">
        <v>516.50249999999994</v>
      </c>
      <c r="V56" s="1">
        <v>769.26166666666666</v>
      </c>
      <c r="W56" s="1">
        <v>839.73333333333323</v>
      </c>
      <c r="X56" s="1">
        <v>863.92333333333329</v>
      </c>
      <c r="Y56" s="1">
        <v>861.94500000000005</v>
      </c>
      <c r="Z56" s="1">
        <v>812.42500000000007</v>
      </c>
      <c r="AA56" s="1">
        <v>758.22833333333335</v>
      </c>
      <c r="AB56" s="8">
        <v>4</v>
      </c>
      <c r="AC56" s="8">
        <f t="shared" si="2"/>
        <v>42605.443333333322</v>
      </c>
      <c r="AM56"/>
      <c r="AN56"/>
    </row>
    <row r="57" spans="1:40" x14ac:dyDescent="0.25">
      <c r="A57" s="3">
        <f t="shared" si="3"/>
        <v>2028</v>
      </c>
      <c r="B57" s="5" t="str">
        <f>PROPER(TEXT(DATEVALUE("1/"&amp;MOD(ROUNDDOWN((ROW()-6+7*3)/3,0),12)+1&amp;"/"&amp;Tabla1[[#This Row],[Año]]),"mmm"))</f>
        <v>Ene</v>
      </c>
      <c r="C57" s="7" t="str">
        <f t="shared" si="4"/>
        <v>Hábil</v>
      </c>
      <c r="D57" s="1">
        <v>777.23380952380955</v>
      </c>
      <c r="E57" s="1">
        <v>747.8097619047619</v>
      </c>
      <c r="F57" s="1">
        <v>722.91357142857146</v>
      </c>
      <c r="G57" s="1">
        <v>698.02428571428572</v>
      </c>
      <c r="H57" s="1">
        <v>691.64547619047619</v>
      </c>
      <c r="I57" s="1">
        <v>710.39976190476193</v>
      </c>
      <c r="J57" s="1">
        <v>735.91809523809525</v>
      </c>
      <c r="K57" s="1">
        <v>722.64095238095229</v>
      </c>
      <c r="L57" s="1">
        <v>637.61285714285714</v>
      </c>
      <c r="M57" s="1">
        <v>406.39833333333331</v>
      </c>
      <c r="N57" s="1">
        <v>277.80166666666668</v>
      </c>
      <c r="O57" s="1">
        <v>285.09047619047618</v>
      </c>
      <c r="P57" s="1">
        <v>123.77285714285715</v>
      </c>
      <c r="Q57" s="1">
        <v>92.608333333333334</v>
      </c>
      <c r="R57" s="1">
        <v>299.13642857142855</v>
      </c>
      <c r="S57" s="1">
        <v>455.46952380952382</v>
      </c>
      <c r="T57" s="1">
        <v>747.55857142857144</v>
      </c>
      <c r="U57" s="1">
        <v>1079.5923809523808</v>
      </c>
      <c r="V57" s="1">
        <v>1066.6104761904762</v>
      </c>
      <c r="W57" s="1">
        <v>976.52190476190469</v>
      </c>
      <c r="X57" s="1">
        <v>970.79452380952387</v>
      </c>
      <c r="Y57" s="1">
        <v>956.94904761904763</v>
      </c>
      <c r="Z57" s="1">
        <v>895.17119047619053</v>
      </c>
      <c r="AA57" s="1">
        <v>830.36285714285714</v>
      </c>
      <c r="AB57" s="8">
        <v>21</v>
      </c>
      <c r="AC57" s="8">
        <f t="shared" si="2"/>
        <v>334068.78000000003</v>
      </c>
      <c r="AM57"/>
      <c r="AN57"/>
    </row>
    <row r="58" spans="1:40" x14ac:dyDescent="0.25">
      <c r="A58" s="3">
        <f t="shared" si="3"/>
        <v>2028</v>
      </c>
      <c r="B58" s="5" t="str">
        <f>PROPER(TEXT(DATEVALUE("1/"&amp;MOD(ROUNDDOWN((ROW()-6+7*3)/3,0),12)+1&amp;"/"&amp;Tabla1[[#This Row],[Año]]),"mmm"))</f>
        <v>Ene</v>
      </c>
      <c r="C58" s="7" t="str">
        <f t="shared" si="4"/>
        <v>Sábado</v>
      </c>
      <c r="D58" s="1">
        <v>813.79875000000004</v>
      </c>
      <c r="E58" s="1">
        <v>785.57749999999999</v>
      </c>
      <c r="F58" s="1">
        <v>753.28625</v>
      </c>
      <c r="G58" s="1">
        <v>734.60500000000002</v>
      </c>
      <c r="H58" s="1">
        <v>726.27</v>
      </c>
      <c r="I58" s="1">
        <v>712.55624999999998</v>
      </c>
      <c r="J58" s="1">
        <v>640.93624999999997</v>
      </c>
      <c r="K58" s="1">
        <v>409.88249999999999</v>
      </c>
      <c r="L58" s="1">
        <v>287.99250000000001</v>
      </c>
      <c r="M58" s="1">
        <v>105.765</v>
      </c>
      <c r="N58" s="1">
        <v>101.39749999999999</v>
      </c>
      <c r="O58" s="1">
        <v>0</v>
      </c>
      <c r="P58" s="1">
        <v>0</v>
      </c>
      <c r="Q58" s="1">
        <v>0</v>
      </c>
      <c r="R58" s="1">
        <v>0</v>
      </c>
      <c r="S58" s="1">
        <v>40.316249999999997</v>
      </c>
      <c r="T58" s="1">
        <v>258.25125000000003</v>
      </c>
      <c r="U58" s="1">
        <v>607.15125</v>
      </c>
      <c r="V58" s="1">
        <v>858.05624999999998</v>
      </c>
      <c r="W58" s="1">
        <v>898.06375000000003</v>
      </c>
      <c r="X58" s="1">
        <v>894.5625</v>
      </c>
      <c r="Y58" s="1">
        <v>881.21</v>
      </c>
      <c r="Z58" s="1">
        <v>841.66875000000005</v>
      </c>
      <c r="AA58" s="1">
        <v>797.22249999999997</v>
      </c>
      <c r="AB58" s="8">
        <v>5</v>
      </c>
      <c r="AC58" s="8">
        <f t="shared" si="2"/>
        <v>60742.85</v>
      </c>
      <c r="AM58"/>
      <c r="AN58"/>
    </row>
    <row r="59" spans="1:40" x14ac:dyDescent="0.25">
      <c r="A59" s="3">
        <f t="shared" si="3"/>
        <v>2028</v>
      </c>
      <c r="B59" s="5" t="str">
        <f>PROPER(TEXT(DATEVALUE("1/"&amp;MOD(ROUNDDOWN((ROW()-6+7*3)/3,0),12)+1&amp;"/"&amp;Tabla1[[#This Row],[Año]]),"mmm"))</f>
        <v>Ene</v>
      </c>
      <c r="C59" s="7" t="str">
        <f t="shared" si="4"/>
        <v>Domingo y Festivo</v>
      </c>
      <c r="D59" s="1">
        <v>767.40749999999991</v>
      </c>
      <c r="E59" s="1">
        <v>745.98</v>
      </c>
      <c r="F59" s="1">
        <v>728.80916666666656</v>
      </c>
      <c r="G59" s="1">
        <v>709.74749999999995</v>
      </c>
      <c r="H59" s="1">
        <v>701.0866666666667</v>
      </c>
      <c r="I59" s="1">
        <v>679.61749999999995</v>
      </c>
      <c r="J59" s="1">
        <v>568.16166666666663</v>
      </c>
      <c r="K59" s="1">
        <v>161.14000000000001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5.3475000000000001</v>
      </c>
      <c r="T59" s="1">
        <v>162.04416666666665</v>
      </c>
      <c r="U59" s="1">
        <v>516.50249999999994</v>
      </c>
      <c r="V59" s="1">
        <v>769.26166666666666</v>
      </c>
      <c r="W59" s="1">
        <v>839.73333333333323</v>
      </c>
      <c r="X59" s="1">
        <v>863.92333333333329</v>
      </c>
      <c r="Y59" s="1">
        <v>861.94500000000005</v>
      </c>
      <c r="Z59" s="1">
        <v>812.42500000000007</v>
      </c>
      <c r="AA59" s="1">
        <v>758.22833333333335</v>
      </c>
      <c r="AB59" s="8">
        <v>5</v>
      </c>
      <c r="AC59" s="8">
        <f t="shared" si="2"/>
        <v>53256.804166666654</v>
      </c>
      <c r="AM59"/>
      <c r="AN59"/>
    </row>
    <row r="60" spans="1:40" x14ac:dyDescent="0.25">
      <c r="A60" s="3">
        <f t="shared" si="3"/>
        <v>2028</v>
      </c>
      <c r="B60" s="5" t="str">
        <f>PROPER(TEXT(DATEVALUE("1/"&amp;MOD(ROUNDDOWN((ROW()-6+7*3)/3,0),12)+1&amp;"/"&amp;Tabla1[[#This Row],[Año]]),"mmm"))</f>
        <v>Feb</v>
      </c>
      <c r="C60" s="7" t="str">
        <f t="shared" si="4"/>
        <v>Hábil</v>
      </c>
      <c r="D60" s="1">
        <v>777.23380952380955</v>
      </c>
      <c r="E60" s="1">
        <v>747.8097619047619</v>
      </c>
      <c r="F60" s="1">
        <v>722.91357142857146</v>
      </c>
      <c r="G60" s="1">
        <v>698.02428571428572</v>
      </c>
      <c r="H60" s="1">
        <v>691.64547619047619</v>
      </c>
      <c r="I60" s="1">
        <v>710.39976190476193</v>
      </c>
      <c r="J60" s="1">
        <v>735.91809523809525</v>
      </c>
      <c r="K60" s="1">
        <v>722.64095238095229</v>
      </c>
      <c r="L60" s="1">
        <v>637.61285714285714</v>
      </c>
      <c r="M60" s="1">
        <v>406.39833333333331</v>
      </c>
      <c r="N60" s="1">
        <v>277.80166666666668</v>
      </c>
      <c r="O60" s="1">
        <v>285.09047619047618</v>
      </c>
      <c r="P60" s="1">
        <v>123.77285714285715</v>
      </c>
      <c r="Q60" s="1">
        <v>92.608333333333334</v>
      </c>
      <c r="R60" s="1">
        <v>299.13642857142855</v>
      </c>
      <c r="S60" s="1">
        <v>455.46952380952382</v>
      </c>
      <c r="T60" s="1">
        <v>747.55857142857144</v>
      </c>
      <c r="U60" s="1">
        <v>1079.5923809523808</v>
      </c>
      <c r="V60" s="1">
        <v>1066.6104761904762</v>
      </c>
      <c r="W60" s="1">
        <v>976.52190476190469</v>
      </c>
      <c r="X60" s="1">
        <v>970.79452380952387</v>
      </c>
      <c r="Y60" s="1">
        <v>956.94904761904763</v>
      </c>
      <c r="Z60" s="1">
        <v>895.17119047619053</v>
      </c>
      <c r="AA60" s="1">
        <v>830.36285714285714</v>
      </c>
      <c r="AB60" s="8">
        <v>21</v>
      </c>
      <c r="AC60" s="8">
        <f t="shared" si="2"/>
        <v>334068.78000000003</v>
      </c>
      <c r="AM60"/>
      <c r="AN60"/>
    </row>
    <row r="61" spans="1:40" x14ac:dyDescent="0.25">
      <c r="A61" s="3">
        <f t="shared" si="3"/>
        <v>2028</v>
      </c>
      <c r="B61" s="5" t="str">
        <f>PROPER(TEXT(DATEVALUE("1/"&amp;MOD(ROUNDDOWN((ROW()-6+7*3)/3,0),12)+1&amp;"/"&amp;Tabla1[[#This Row],[Año]]),"mmm"))</f>
        <v>Feb</v>
      </c>
      <c r="C61" s="7" t="str">
        <f t="shared" si="4"/>
        <v>Sábado</v>
      </c>
      <c r="D61" s="1">
        <v>813.79875000000004</v>
      </c>
      <c r="E61" s="1">
        <v>785.57749999999999</v>
      </c>
      <c r="F61" s="1">
        <v>753.28625</v>
      </c>
      <c r="G61" s="1">
        <v>734.60500000000002</v>
      </c>
      <c r="H61" s="1">
        <v>726.27</v>
      </c>
      <c r="I61" s="1">
        <v>712.55624999999998</v>
      </c>
      <c r="J61" s="1">
        <v>640.93624999999997</v>
      </c>
      <c r="K61" s="1">
        <v>409.88249999999999</v>
      </c>
      <c r="L61" s="1">
        <v>287.99250000000001</v>
      </c>
      <c r="M61" s="1">
        <v>105.765</v>
      </c>
      <c r="N61" s="1">
        <v>101.39749999999999</v>
      </c>
      <c r="O61" s="1">
        <v>0</v>
      </c>
      <c r="P61" s="1">
        <v>0</v>
      </c>
      <c r="Q61" s="1">
        <v>0</v>
      </c>
      <c r="R61" s="1">
        <v>0</v>
      </c>
      <c r="S61" s="1">
        <v>40.316249999999997</v>
      </c>
      <c r="T61" s="1">
        <v>258.25125000000003</v>
      </c>
      <c r="U61" s="1">
        <v>607.15125</v>
      </c>
      <c r="V61" s="1">
        <v>858.05624999999998</v>
      </c>
      <c r="W61" s="1">
        <v>898.06375000000003</v>
      </c>
      <c r="X61" s="1">
        <v>894.5625</v>
      </c>
      <c r="Y61" s="1">
        <v>881.21</v>
      </c>
      <c r="Z61" s="1">
        <v>841.66875000000005</v>
      </c>
      <c r="AA61" s="1">
        <v>797.22249999999997</v>
      </c>
      <c r="AB61" s="8">
        <v>4</v>
      </c>
      <c r="AC61" s="8">
        <f t="shared" si="2"/>
        <v>48594.28</v>
      </c>
      <c r="AM61"/>
      <c r="AN61"/>
    </row>
    <row r="62" spans="1:40" x14ac:dyDescent="0.25">
      <c r="A62" s="3">
        <f t="shared" si="3"/>
        <v>2028</v>
      </c>
      <c r="B62" s="5" t="str">
        <f>PROPER(TEXT(DATEVALUE("1/"&amp;MOD(ROUNDDOWN((ROW()-6+7*3)/3,0),12)+1&amp;"/"&amp;Tabla1[[#This Row],[Año]]),"mmm"))</f>
        <v>Feb</v>
      </c>
      <c r="C62" s="7" t="str">
        <f t="shared" si="4"/>
        <v>Domingo y Festivo</v>
      </c>
      <c r="D62" s="1">
        <v>767.40749999999991</v>
      </c>
      <c r="E62" s="1">
        <v>745.98</v>
      </c>
      <c r="F62" s="1">
        <v>728.80916666666656</v>
      </c>
      <c r="G62" s="1">
        <v>709.74749999999995</v>
      </c>
      <c r="H62" s="1">
        <v>701.0866666666667</v>
      </c>
      <c r="I62" s="1">
        <v>679.61749999999995</v>
      </c>
      <c r="J62" s="1">
        <v>568.16166666666663</v>
      </c>
      <c r="K62" s="1">
        <v>161.14000000000001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5.3475000000000001</v>
      </c>
      <c r="T62" s="1">
        <v>162.04416666666665</v>
      </c>
      <c r="U62" s="1">
        <v>516.50249999999994</v>
      </c>
      <c r="V62" s="1">
        <v>769.26166666666666</v>
      </c>
      <c r="W62" s="1">
        <v>839.73333333333323</v>
      </c>
      <c r="X62" s="1">
        <v>863.92333333333329</v>
      </c>
      <c r="Y62" s="1">
        <v>861.94500000000005</v>
      </c>
      <c r="Z62" s="1">
        <v>812.42500000000007</v>
      </c>
      <c r="AA62" s="1">
        <v>758.22833333333335</v>
      </c>
      <c r="AB62" s="8">
        <v>4</v>
      </c>
      <c r="AC62" s="8">
        <f t="shared" si="2"/>
        <v>42605.443333333322</v>
      </c>
      <c r="AM62"/>
      <c r="AN62"/>
    </row>
    <row r="63" spans="1:40" x14ac:dyDescent="0.25">
      <c r="A63" s="3">
        <f t="shared" si="3"/>
        <v>2028</v>
      </c>
      <c r="B63" s="5" t="str">
        <f>PROPER(TEXT(DATEVALUE("1/"&amp;MOD(ROUNDDOWN((ROW()-6+7*3)/3,0),12)+1&amp;"/"&amp;Tabla1[[#This Row],[Año]]),"mmm"))</f>
        <v>Mar</v>
      </c>
      <c r="C63" s="7" t="str">
        <f t="shared" si="4"/>
        <v>Hábil</v>
      </c>
      <c r="D63" s="1">
        <v>777.23380952380955</v>
      </c>
      <c r="E63" s="1">
        <v>747.8097619047619</v>
      </c>
      <c r="F63" s="1">
        <v>722.91357142857146</v>
      </c>
      <c r="G63" s="1">
        <v>698.02428571428572</v>
      </c>
      <c r="H63" s="1">
        <v>691.64547619047619</v>
      </c>
      <c r="I63" s="1">
        <v>710.39976190476193</v>
      </c>
      <c r="J63" s="1">
        <v>735.91809523809525</v>
      </c>
      <c r="K63" s="1">
        <v>722.64095238095229</v>
      </c>
      <c r="L63" s="1">
        <v>637.61285714285714</v>
      </c>
      <c r="M63" s="1">
        <v>406.39833333333331</v>
      </c>
      <c r="N63" s="1">
        <v>277.80166666666668</v>
      </c>
      <c r="O63" s="1">
        <v>285.09047619047618</v>
      </c>
      <c r="P63" s="1">
        <v>123.77285714285715</v>
      </c>
      <c r="Q63" s="1">
        <v>92.608333333333334</v>
      </c>
      <c r="R63" s="1">
        <v>299.13642857142855</v>
      </c>
      <c r="S63" s="1">
        <v>455.46952380952382</v>
      </c>
      <c r="T63" s="1">
        <v>747.55857142857144</v>
      </c>
      <c r="U63" s="1">
        <v>1079.5923809523808</v>
      </c>
      <c r="V63" s="1">
        <v>1066.6104761904762</v>
      </c>
      <c r="W63" s="1">
        <v>976.52190476190469</v>
      </c>
      <c r="X63" s="1">
        <v>970.79452380952387</v>
      </c>
      <c r="Y63" s="1">
        <v>956.94904761904763</v>
      </c>
      <c r="Z63" s="1">
        <v>895.17119047619053</v>
      </c>
      <c r="AA63" s="1">
        <v>830.36285714285714</v>
      </c>
      <c r="AB63" s="8">
        <v>23</v>
      </c>
      <c r="AC63" s="8">
        <f t="shared" si="2"/>
        <v>365884.85428571433</v>
      </c>
      <c r="AM63"/>
      <c r="AN63"/>
    </row>
    <row r="64" spans="1:40" x14ac:dyDescent="0.25">
      <c r="A64" s="3">
        <f t="shared" si="3"/>
        <v>2028</v>
      </c>
      <c r="B64" s="5" t="str">
        <f>PROPER(TEXT(DATEVALUE("1/"&amp;MOD(ROUNDDOWN((ROW()-6+7*3)/3,0),12)+1&amp;"/"&amp;Tabla1[[#This Row],[Año]]),"mmm"))</f>
        <v>Mar</v>
      </c>
      <c r="C64" s="7" t="str">
        <f t="shared" si="4"/>
        <v>Sábado</v>
      </c>
      <c r="D64" s="1">
        <v>813.79875000000004</v>
      </c>
      <c r="E64" s="1">
        <v>785.57749999999999</v>
      </c>
      <c r="F64" s="1">
        <v>753.28625</v>
      </c>
      <c r="G64" s="1">
        <v>734.60500000000002</v>
      </c>
      <c r="H64" s="1">
        <v>726.27</v>
      </c>
      <c r="I64" s="1">
        <v>712.55624999999998</v>
      </c>
      <c r="J64" s="1">
        <v>640.93624999999997</v>
      </c>
      <c r="K64" s="1">
        <v>409.88249999999999</v>
      </c>
      <c r="L64" s="1">
        <v>287.99250000000001</v>
      </c>
      <c r="M64" s="1">
        <v>105.765</v>
      </c>
      <c r="N64" s="1">
        <v>101.39749999999999</v>
      </c>
      <c r="O64" s="1">
        <v>0</v>
      </c>
      <c r="P64" s="1">
        <v>0</v>
      </c>
      <c r="Q64" s="1">
        <v>0</v>
      </c>
      <c r="R64" s="1">
        <v>0</v>
      </c>
      <c r="S64" s="1">
        <v>40.316249999999997</v>
      </c>
      <c r="T64" s="1">
        <v>258.25125000000003</v>
      </c>
      <c r="U64" s="1">
        <v>607.15125</v>
      </c>
      <c r="V64" s="1">
        <v>858.05624999999998</v>
      </c>
      <c r="W64" s="1">
        <v>898.06375000000003</v>
      </c>
      <c r="X64" s="1">
        <v>894.5625</v>
      </c>
      <c r="Y64" s="1">
        <v>881.21</v>
      </c>
      <c r="Z64" s="1">
        <v>841.66875000000005</v>
      </c>
      <c r="AA64" s="1">
        <v>797.22249999999997</v>
      </c>
      <c r="AB64" s="8">
        <v>4</v>
      </c>
      <c r="AC64" s="8">
        <f t="shared" si="2"/>
        <v>48594.28</v>
      </c>
      <c r="AM64"/>
      <c r="AN64"/>
    </row>
    <row r="65" spans="1:40" x14ac:dyDescent="0.25">
      <c r="A65" s="3">
        <f t="shared" si="3"/>
        <v>2028</v>
      </c>
      <c r="B65" s="5" t="str">
        <f>PROPER(TEXT(DATEVALUE("1/"&amp;MOD(ROUNDDOWN((ROW()-6+7*3)/3,0),12)+1&amp;"/"&amp;Tabla1[[#This Row],[Año]]),"mmm"))</f>
        <v>Mar</v>
      </c>
      <c r="C65" s="7" t="str">
        <f t="shared" si="4"/>
        <v>Domingo y Festivo</v>
      </c>
      <c r="D65" s="1">
        <v>767.40749999999991</v>
      </c>
      <c r="E65" s="1">
        <v>745.98</v>
      </c>
      <c r="F65" s="1">
        <v>728.80916666666656</v>
      </c>
      <c r="G65" s="1">
        <v>709.74749999999995</v>
      </c>
      <c r="H65" s="1">
        <v>701.0866666666667</v>
      </c>
      <c r="I65" s="1">
        <v>679.61749999999995</v>
      </c>
      <c r="J65" s="1">
        <v>568.16166666666663</v>
      </c>
      <c r="K65" s="1">
        <v>161.14000000000001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5.3475000000000001</v>
      </c>
      <c r="T65" s="1">
        <v>162.04416666666665</v>
      </c>
      <c r="U65" s="1">
        <v>516.50249999999994</v>
      </c>
      <c r="V65" s="1">
        <v>769.26166666666666</v>
      </c>
      <c r="W65" s="1">
        <v>839.73333333333323</v>
      </c>
      <c r="X65" s="1">
        <v>863.92333333333329</v>
      </c>
      <c r="Y65" s="1">
        <v>861.94500000000005</v>
      </c>
      <c r="Z65" s="1">
        <v>812.42500000000007</v>
      </c>
      <c r="AA65" s="1">
        <v>758.22833333333335</v>
      </c>
      <c r="AB65" s="8">
        <v>4</v>
      </c>
      <c r="AC65" s="8">
        <f t="shared" si="2"/>
        <v>42605.443333333322</v>
      </c>
      <c r="AM65"/>
      <c r="AN65"/>
    </row>
    <row r="66" spans="1:40" x14ac:dyDescent="0.25">
      <c r="A66" s="3">
        <f t="shared" si="3"/>
        <v>2028</v>
      </c>
      <c r="B66" s="5" t="str">
        <f>PROPER(TEXT(DATEVALUE("1/"&amp;MOD(ROUNDDOWN((ROW()-6+7*3)/3,0),12)+1&amp;"/"&amp;Tabla1[[#This Row],[Año]]),"mmm"))</f>
        <v>Abr</v>
      </c>
      <c r="C66" s="7" t="str">
        <f t="shared" si="4"/>
        <v>Hábil</v>
      </c>
      <c r="D66" s="1">
        <v>777.23380952380955</v>
      </c>
      <c r="E66" s="1">
        <v>747.8097619047619</v>
      </c>
      <c r="F66" s="1">
        <v>722.91357142857146</v>
      </c>
      <c r="G66" s="1">
        <v>698.02428571428572</v>
      </c>
      <c r="H66" s="1">
        <v>691.64547619047619</v>
      </c>
      <c r="I66" s="1">
        <v>710.39976190476193</v>
      </c>
      <c r="J66" s="1">
        <v>735.91809523809525</v>
      </c>
      <c r="K66" s="1">
        <v>722.64095238095229</v>
      </c>
      <c r="L66" s="1">
        <v>637.61285714285714</v>
      </c>
      <c r="M66" s="1">
        <v>406.39833333333331</v>
      </c>
      <c r="N66" s="1">
        <v>277.80166666666668</v>
      </c>
      <c r="O66" s="1">
        <v>285.09047619047618</v>
      </c>
      <c r="P66" s="1">
        <v>123.77285714285715</v>
      </c>
      <c r="Q66" s="1">
        <v>92.608333333333334</v>
      </c>
      <c r="R66" s="1">
        <v>299.13642857142855</v>
      </c>
      <c r="S66" s="1">
        <v>455.46952380952382</v>
      </c>
      <c r="T66" s="1">
        <v>747.55857142857144</v>
      </c>
      <c r="U66" s="1">
        <v>1079.5923809523808</v>
      </c>
      <c r="V66" s="1">
        <v>1066.6104761904762</v>
      </c>
      <c r="W66" s="1">
        <v>976.52190476190469</v>
      </c>
      <c r="X66" s="1">
        <v>970.79452380952387</v>
      </c>
      <c r="Y66" s="1">
        <v>956.94904761904763</v>
      </c>
      <c r="Z66" s="1">
        <v>895.17119047619053</v>
      </c>
      <c r="AA66" s="1">
        <v>830.36285714285714</v>
      </c>
      <c r="AB66" s="8">
        <v>20</v>
      </c>
      <c r="AC66" s="8">
        <f t="shared" si="2"/>
        <v>318160.74285714293</v>
      </c>
      <c r="AM66"/>
      <c r="AN66"/>
    </row>
    <row r="67" spans="1:40" x14ac:dyDescent="0.25">
      <c r="A67" s="3">
        <f t="shared" si="3"/>
        <v>2028</v>
      </c>
      <c r="B67" s="5" t="str">
        <f>PROPER(TEXT(DATEVALUE("1/"&amp;MOD(ROUNDDOWN((ROW()-6+7*3)/3,0),12)+1&amp;"/"&amp;Tabla1[[#This Row],[Año]]),"mmm"))</f>
        <v>Abr</v>
      </c>
      <c r="C67" s="7" t="str">
        <f t="shared" si="4"/>
        <v>Sábado</v>
      </c>
      <c r="D67" s="1">
        <v>813.79875000000004</v>
      </c>
      <c r="E67" s="1">
        <v>785.57749999999999</v>
      </c>
      <c r="F67" s="1">
        <v>753.28625</v>
      </c>
      <c r="G67" s="1">
        <v>734.60500000000002</v>
      </c>
      <c r="H67" s="1">
        <v>726.27</v>
      </c>
      <c r="I67" s="1">
        <v>712.55624999999998</v>
      </c>
      <c r="J67" s="1">
        <v>640.93624999999997</v>
      </c>
      <c r="K67" s="1">
        <v>409.88249999999999</v>
      </c>
      <c r="L67" s="1">
        <v>287.99250000000001</v>
      </c>
      <c r="M67" s="1">
        <v>105.765</v>
      </c>
      <c r="N67" s="1">
        <v>101.39749999999999</v>
      </c>
      <c r="O67" s="1">
        <v>0</v>
      </c>
      <c r="P67" s="1">
        <v>0</v>
      </c>
      <c r="Q67" s="1">
        <v>0</v>
      </c>
      <c r="R67" s="1">
        <v>0</v>
      </c>
      <c r="S67" s="1">
        <v>40.316249999999997</v>
      </c>
      <c r="T67" s="1">
        <v>258.25125000000003</v>
      </c>
      <c r="U67" s="1">
        <v>607.15125</v>
      </c>
      <c r="V67" s="1">
        <v>858.05624999999998</v>
      </c>
      <c r="W67" s="1">
        <v>898.06375000000003</v>
      </c>
      <c r="X67" s="1">
        <v>894.5625</v>
      </c>
      <c r="Y67" s="1">
        <v>881.21</v>
      </c>
      <c r="Z67" s="1">
        <v>841.66875000000005</v>
      </c>
      <c r="AA67" s="1">
        <v>797.22249999999997</v>
      </c>
      <c r="AB67" s="8">
        <v>5</v>
      </c>
      <c r="AC67" s="8">
        <f t="shared" si="2"/>
        <v>60742.85</v>
      </c>
      <c r="AM67"/>
      <c r="AN67"/>
    </row>
    <row r="68" spans="1:40" x14ac:dyDescent="0.25">
      <c r="A68" s="3">
        <f t="shared" si="3"/>
        <v>2028</v>
      </c>
      <c r="B68" s="5" t="str">
        <f>PROPER(TEXT(DATEVALUE("1/"&amp;MOD(ROUNDDOWN((ROW()-6+7*3)/3,0),12)+1&amp;"/"&amp;Tabla1[[#This Row],[Año]]),"mmm"))</f>
        <v>Abr</v>
      </c>
      <c r="C68" s="7" t="str">
        <f t="shared" si="4"/>
        <v>Domingo y Festivo</v>
      </c>
      <c r="D68" s="1">
        <v>767.40749999999991</v>
      </c>
      <c r="E68" s="1">
        <v>745.98</v>
      </c>
      <c r="F68" s="1">
        <v>728.80916666666656</v>
      </c>
      <c r="G68" s="1">
        <v>709.74749999999995</v>
      </c>
      <c r="H68" s="1">
        <v>701.0866666666667</v>
      </c>
      <c r="I68" s="1">
        <v>679.61749999999995</v>
      </c>
      <c r="J68" s="1">
        <v>568.16166666666663</v>
      </c>
      <c r="K68" s="1">
        <v>161.14000000000001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5.3475000000000001</v>
      </c>
      <c r="T68" s="1">
        <v>162.04416666666665</v>
      </c>
      <c r="U68" s="1">
        <v>516.50249999999994</v>
      </c>
      <c r="V68" s="1">
        <v>769.26166666666666</v>
      </c>
      <c r="W68" s="1">
        <v>839.73333333333323</v>
      </c>
      <c r="X68" s="1">
        <v>863.92333333333329</v>
      </c>
      <c r="Y68" s="1">
        <v>861.94500000000005</v>
      </c>
      <c r="Z68" s="1">
        <v>812.42500000000007</v>
      </c>
      <c r="AA68" s="1">
        <v>758.22833333333335</v>
      </c>
      <c r="AB68" s="8">
        <v>5</v>
      </c>
      <c r="AC68" s="8">
        <f t="shared" si="2"/>
        <v>53256.804166666654</v>
      </c>
      <c r="AM68"/>
      <c r="AN68"/>
    </row>
    <row r="69" spans="1:40" x14ac:dyDescent="0.25">
      <c r="A69" s="3">
        <f t="shared" si="3"/>
        <v>2028</v>
      </c>
      <c r="B69" s="5" t="str">
        <f>PROPER(TEXT(DATEVALUE("1/"&amp;MOD(ROUNDDOWN((ROW()-6+7*3)/3,0),12)+1&amp;"/"&amp;Tabla1[[#This Row],[Año]]),"mmm"))</f>
        <v>May</v>
      </c>
      <c r="C69" s="7" t="str">
        <f t="shared" si="4"/>
        <v>Hábil</v>
      </c>
      <c r="D69" s="1">
        <v>777.23380952380955</v>
      </c>
      <c r="E69" s="1">
        <v>747.8097619047619</v>
      </c>
      <c r="F69" s="1">
        <v>722.91357142857146</v>
      </c>
      <c r="G69" s="1">
        <v>698.02428571428572</v>
      </c>
      <c r="H69" s="1">
        <v>691.64547619047619</v>
      </c>
      <c r="I69" s="1">
        <v>710.39976190476193</v>
      </c>
      <c r="J69" s="1">
        <v>735.91809523809525</v>
      </c>
      <c r="K69" s="1">
        <v>722.64095238095229</v>
      </c>
      <c r="L69" s="1">
        <v>637.61285714285714</v>
      </c>
      <c r="M69" s="1">
        <v>406.39833333333331</v>
      </c>
      <c r="N69" s="1">
        <v>277.80166666666668</v>
      </c>
      <c r="O69" s="1">
        <v>285.09047619047618</v>
      </c>
      <c r="P69" s="1">
        <v>123.77285714285715</v>
      </c>
      <c r="Q69" s="1">
        <v>92.608333333333334</v>
      </c>
      <c r="R69" s="1">
        <v>299.13642857142855</v>
      </c>
      <c r="S69" s="1">
        <v>455.46952380952382</v>
      </c>
      <c r="T69" s="1">
        <v>747.55857142857144</v>
      </c>
      <c r="U69" s="1">
        <v>1079.5923809523808</v>
      </c>
      <c r="V69" s="1">
        <v>1066.6104761904762</v>
      </c>
      <c r="W69" s="1">
        <v>976.52190476190469</v>
      </c>
      <c r="X69" s="1">
        <v>970.79452380952387</v>
      </c>
      <c r="Y69" s="1">
        <v>956.94904761904763</v>
      </c>
      <c r="Z69" s="1">
        <v>895.17119047619053</v>
      </c>
      <c r="AA69" s="1">
        <v>830.36285714285714</v>
      </c>
      <c r="AB69" s="8">
        <v>23</v>
      </c>
      <c r="AC69" s="8">
        <f t="shared" si="2"/>
        <v>365884.85428571433</v>
      </c>
      <c r="AM69"/>
      <c r="AN69"/>
    </row>
    <row r="70" spans="1:40" x14ac:dyDescent="0.25">
      <c r="A70" s="3">
        <f t="shared" ref="A70:A133" si="5">ROUNDDOWN((ROW()-6+3*7)/(12*3),0)+2026</f>
        <v>2028</v>
      </c>
      <c r="B70" s="5" t="str">
        <f>PROPER(TEXT(DATEVALUE("1/"&amp;MOD(ROUNDDOWN((ROW()-6+7*3)/3,0),12)+1&amp;"/"&amp;Tabla1[[#This Row],[Año]]),"mmm"))</f>
        <v>May</v>
      </c>
      <c r="C70" s="7" t="str">
        <f t="shared" ref="C70:C101" si="6">CHOOSE(MOD(ROW()-6,3)+1,"Hábil","Sábado","Domingo y Festivo")</f>
        <v>Sábado</v>
      </c>
      <c r="D70" s="1">
        <v>813.79875000000004</v>
      </c>
      <c r="E70" s="1">
        <v>785.57749999999999</v>
      </c>
      <c r="F70" s="1">
        <v>753.28625</v>
      </c>
      <c r="G70" s="1">
        <v>734.60500000000002</v>
      </c>
      <c r="H70" s="1">
        <v>726.27</v>
      </c>
      <c r="I70" s="1">
        <v>712.55624999999998</v>
      </c>
      <c r="J70" s="1">
        <v>640.93624999999997</v>
      </c>
      <c r="K70" s="1">
        <v>409.88249999999999</v>
      </c>
      <c r="L70" s="1">
        <v>287.99250000000001</v>
      </c>
      <c r="M70" s="1">
        <v>105.765</v>
      </c>
      <c r="N70" s="1">
        <v>101.39749999999999</v>
      </c>
      <c r="O70" s="1">
        <v>0</v>
      </c>
      <c r="P70" s="1">
        <v>0</v>
      </c>
      <c r="Q70" s="1">
        <v>0</v>
      </c>
      <c r="R70" s="1">
        <v>0</v>
      </c>
      <c r="S70" s="1">
        <v>40.316249999999997</v>
      </c>
      <c r="T70" s="1">
        <v>258.25125000000003</v>
      </c>
      <c r="U70" s="1">
        <v>607.15125</v>
      </c>
      <c r="V70" s="1">
        <v>858.05624999999998</v>
      </c>
      <c r="W70" s="1">
        <v>898.06375000000003</v>
      </c>
      <c r="X70" s="1">
        <v>894.5625</v>
      </c>
      <c r="Y70" s="1">
        <v>881.21</v>
      </c>
      <c r="Z70" s="1">
        <v>841.66875000000005</v>
      </c>
      <c r="AA70" s="1">
        <v>797.22249999999997</v>
      </c>
      <c r="AB70" s="8">
        <v>4</v>
      </c>
      <c r="AC70" s="8">
        <f t="shared" ref="AC70:AC133" si="7">AB70*SUM(D70:AA70)</f>
        <v>48594.28</v>
      </c>
      <c r="AM70"/>
      <c r="AN70"/>
    </row>
    <row r="71" spans="1:40" x14ac:dyDescent="0.25">
      <c r="A71" s="3">
        <f t="shared" si="5"/>
        <v>2028</v>
      </c>
      <c r="B71" s="5" t="str">
        <f>PROPER(TEXT(DATEVALUE("1/"&amp;MOD(ROUNDDOWN((ROW()-6+7*3)/3,0),12)+1&amp;"/"&amp;Tabla1[[#This Row],[Año]]),"mmm"))</f>
        <v>May</v>
      </c>
      <c r="C71" s="7" t="str">
        <f t="shared" si="6"/>
        <v>Domingo y Festivo</v>
      </c>
      <c r="D71" s="1">
        <v>767.40749999999991</v>
      </c>
      <c r="E71" s="1">
        <v>745.98</v>
      </c>
      <c r="F71" s="1">
        <v>728.80916666666656</v>
      </c>
      <c r="G71" s="1">
        <v>709.74749999999995</v>
      </c>
      <c r="H71" s="1">
        <v>701.0866666666667</v>
      </c>
      <c r="I71" s="1">
        <v>679.61749999999995</v>
      </c>
      <c r="J71" s="1">
        <v>568.16166666666663</v>
      </c>
      <c r="K71" s="1">
        <v>161.14000000000001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5.3475000000000001</v>
      </c>
      <c r="T71" s="1">
        <v>162.04416666666665</v>
      </c>
      <c r="U71" s="1">
        <v>516.50249999999994</v>
      </c>
      <c r="V71" s="1">
        <v>769.26166666666666</v>
      </c>
      <c r="W71" s="1">
        <v>839.73333333333323</v>
      </c>
      <c r="X71" s="1">
        <v>863.92333333333329</v>
      </c>
      <c r="Y71" s="1">
        <v>861.94500000000005</v>
      </c>
      <c r="Z71" s="1">
        <v>812.42500000000007</v>
      </c>
      <c r="AA71" s="1">
        <v>758.22833333333335</v>
      </c>
      <c r="AB71" s="8">
        <v>4</v>
      </c>
      <c r="AC71" s="8">
        <f t="shared" si="7"/>
        <v>42605.443333333322</v>
      </c>
      <c r="AM71"/>
      <c r="AN71"/>
    </row>
    <row r="72" spans="1:40" x14ac:dyDescent="0.25">
      <c r="A72" s="3">
        <f t="shared" si="5"/>
        <v>2028</v>
      </c>
      <c r="B72" s="5" t="str">
        <f>PROPER(TEXT(DATEVALUE("1/"&amp;MOD(ROUNDDOWN((ROW()-6+7*3)/3,0),12)+1&amp;"/"&amp;Tabla1[[#This Row],[Año]]),"mmm"))</f>
        <v>Jun</v>
      </c>
      <c r="C72" s="7" t="str">
        <f t="shared" si="6"/>
        <v>Hábil</v>
      </c>
      <c r="D72" s="1">
        <v>777.23380952380955</v>
      </c>
      <c r="E72" s="1">
        <v>747.8097619047619</v>
      </c>
      <c r="F72" s="1">
        <v>722.91357142857146</v>
      </c>
      <c r="G72" s="1">
        <v>698.02428571428572</v>
      </c>
      <c r="H72" s="1">
        <v>691.64547619047619</v>
      </c>
      <c r="I72" s="1">
        <v>710.39976190476193</v>
      </c>
      <c r="J72" s="1">
        <v>735.91809523809525</v>
      </c>
      <c r="K72" s="1">
        <v>722.64095238095229</v>
      </c>
      <c r="L72" s="1">
        <v>637.61285714285714</v>
      </c>
      <c r="M72" s="1">
        <v>406.39833333333331</v>
      </c>
      <c r="N72" s="1">
        <v>277.80166666666668</v>
      </c>
      <c r="O72" s="1">
        <v>285.09047619047618</v>
      </c>
      <c r="P72" s="1">
        <v>123.77285714285715</v>
      </c>
      <c r="Q72" s="1">
        <v>92.608333333333334</v>
      </c>
      <c r="R72" s="1">
        <v>299.13642857142855</v>
      </c>
      <c r="S72" s="1">
        <v>455.46952380952382</v>
      </c>
      <c r="T72" s="1">
        <v>747.55857142857144</v>
      </c>
      <c r="U72" s="1">
        <v>1079.5923809523808</v>
      </c>
      <c r="V72" s="1">
        <v>1066.6104761904762</v>
      </c>
      <c r="W72" s="1">
        <v>976.52190476190469</v>
      </c>
      <c r="X72" s="1">
        <v>970.79452380952387</v>
      </c>
      <c r="Y72" s="1">
        <v>956.94904761904763</v>
      </c>
      <c r="Z72" s="1">
        <v>895.17119047619053</v>
      </c>
      <c r="AA72" s="1">
        <v>830.36285714285714</v>
      </c>
      <c r="AB72" s="8">
        <v>22</v>
      </c>
      <c r="AC72" s="8">
        <f t="shared" si="7"/>
        <v>349976.81714285718</v>
      </c>
      <c r="AM72"/>
      <c r="AN72"/>
    </row>
    <row r="73" spans="1:40" x14ac:dyDescent="0.25">
      <c r="A73" s="3">
        <f t="shared" si="5"/>
        <v>2028</v>
      </c>
      <c r="B73" s="5" t="str">
        <f>PROPER(TEXT(DATEVALUE("1/"&amp;MOD(ROUNDDOWN((ROW()-6+7*3)/3,0),12)+1&amp;"/"&amp;Tabla1[[#This Row],[Año]]),"mmm"))</f>
        <v>Jun</v>
      </c>
      <c r="C73" s="7" t="str">
        <f t="shared" si="6"/>
        <v>Sábado</v>
      </c>
      <c r="D73" s="1">
        <v>813.79875000000004</v>
      </c>
      <c r="E73" s="1">
        <v>785.57749999999999</v>
      </c>
      <c r="F73" s="1">
        <v>753.28625</v>
      </c>
      <c r="G73" s="1">
        <v>734.60500000000002</v>
      </c>
      <c r="H73" s="1">
        <v>726.27</v>
      </c>
      <c r="I73" s="1">
        <v>712.55624999999998</v>
      </c>
      <c r="J73" s="1">
        <v>640.93624999999997</v>
      </c>
      <c r="K73" s="1">
        <v>409.88249999999999</v>
      </c>
      <c r="L73" s="1">
        <v>287.99250000000001</v>
      </c>
      <c r="M73" s="1">
        <v>105.765</v>
      </c>
      <c r="N73" s="1">
        <v>101.39749999999999</v>
      </c>
      <c r="O73" s="1">
        <v>0</v>
      </c>
      <c r="P73" s="1">
        <v>0</v>
      </c>
      <c r="Q73" s="1">
        <v>0</v>
      </c>
      <c r="R73" s="1">
        <v>0</v>
      </c>
      <c r="S73" s="1">
        <v>40.316249999999997</v>
      </c>
      <c r="T73" s="1">
        <v>258.25125000000003</v>
      </c>
      <c r="U73" s="1">
        <v>607.15125</v>
      </c>
      <c r="V73" s="1">
        <v>858.05624999999998</v>
      </c>
      <c r="W73" s="1">
        <v>898.06375000000003</v>
      </c>
      <c r="X73" s="1">
        <v>894.5625</v>
      </c>
      <c r="Y73" s="1">
        <v>881.21</v>
      </c>
      <c r="Z73" s="1">
        <v>841.66875000000005</v>
      </c>
      <c r="AA73" s="1">
        <v>797.22249999999997</v>
      </c>
      <c r="AB73" s="8">
        <v>4</v>
      </c>
      <c r="AC73" s="8">
        <f t="shared" si="7"/>
        <v>48594.28</v>
      </c>
      <c r="AM73"/>
      <c r="AN73"/>
    </row>
    <row r="74" spans="1:40" x14ac:dyDescent="0.25">
      <c r="A74" s="3">
        <f t="shared" si="5"/>
        <v>2028</v>
      </c>
      <c r="B74" s="5" t="str">
        <f>PROPER(TEXT(DATEVALUE("1/"&amp;MOD(ROUNDDOWN((ROW()-6+7*3)/3,0),12)+1&amp;"/"&amp;Tabla1[[#This Row],[Año]]),"mmm"))</f>
        <v>Jun</v>
      </c>
      <c r="C74" s="7" t="str">
        <f t="shared" si="6"/>
        <v>Domingo y Festivo</v>
      </c>
      <c r="D74" s="1">
        <v>767.40749999999991</v>
      </c>
      <c r="E74" s="1">
        <v>745.98</v>
      </c>
      <c r="F74" s="1">
        <v>728.80916666666656</v>
      </c>
      <c r="G74" s="1">
        <v>709.74749999999995</v>
      </c>
      <c r="H74" s="1">
        <v>701.0866666666667</v>
      </c>
      <c r="I74" s="1">
        <v>679.61749999999995</v>
      </c>
      <c r="J74" s="1">
        <v>568.16166666666663</v>
      </c>
      <c r="K74" s="1">
        <v>161.14000000000001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5.3475000000000001</v>
      </c>
      <c r="T74" s="1">
        <v>162.04416666666665</v>
      </c>
      <c r="U74" s="1">
        <v>516.50249999999994</v>
      </c>
      <c r="V74" s="1">
        <v>769.26166666666666</v>
      </c>
      <c r="W74" s="1">
        <v>839.73333333333323</v>
      </c>
      <c r="X74" s="1">
        <v>863.92333333333329</v>
      </c>
      <c r="Y74" s="1">
        <v>861.94500000000005</v>
      </c>
      <c r="Z74" s="1">
        <v>812.42500000000007</v>
      </c>
      <c r="AA74" s="1">
        <v>758.22833333333335</v>
      </c>
      <c r="AB74" s="8">
        <v>4</v>
      </c>
      <c r="AC74" s="8">
        <f t="shared" si="7"/>
        <v>42605.443333333322</v>
      </c>
      <c r="AM74"/>
      <c r="AN74"/>
    </row>
    <row r="75" spans="1:40" x14ac:dyDescent="0.25">
      <c r="A75" s="3">
        <f t="shared" si="5"/>
        <v>2028</v>
      </c>
      <c r="B75" s="5" t="str">
        <f>PROPER(TEXT(DATEVALUE("1/"&amp;MOD(ROUNDDOWN((ROW()-6+7*3)/3,0),12)+1&amp;"/"&amp;Tabla1[[#This Row],[Año]]),"mmm"))</f>
        <v>Jul</v>
      </c>
      <c r="C75" s="7" t="str">
        <f t="shared" si="6"/>
        <v>Hábil</v>
      </c>
      <c r="D75" s="1">
        <v>777.23380952380955</v>
      </c>
      <c r="E75" s="1">
        <v>747.8097619047619</v>
      </c>
      <c r="F75" s="1">
        <v>722.91357142857146</v>
      </c>
      <c r="G75" s="1">
        <v>698.02428571428572</v>
      </c>
      <c r="H75" s="1">
        <v>691.64547619047619</v>
      </c>
      <c r="I75" s="1">
        <v>710.39976190476193</v>
      </c>
      <c r="J75" s="1">
        <v>735.91809523809525</v>
      </c>
      <c r="K75" s="1">
        <v>722.64095238095229</v>
      </c>
      <c r="L75" s="1">
        <v>637.61285714285714</v>
      </c>
      <c r="M75" s="1">
        <v>406.39833333333331</v>
      </c>
      <c r="N75" s="1">
        <v>277.80166666666668</v>
      </c>
      <c r="O75" s="1">
        <v>285.09047619047618</v>
      </c>
      <c r="P75" s="1">
        <v>123.77285714285715</v>
      </c>
      <c r="Q75" s="1">
        <v>92.608333333333334</v>
      </c>
      <c r="R75" s="1">
        <v>299.13642857142855</v>
      </c>
      <c r="S75" s="1">
        <v>455.46952380952382</v>
      </c>
      <c r="T75" s="1">
        <v>747.55857142857144</v>
      </c>
      <c r="U75" s="1">
        <v>1079.5923809523808</v>
      </c>
      <c r="V75" s="1">
        <v>1066.6104761904762</v>
      </c>
      <c r="W75" s="1">
        <v>976.52190476190469</v>
      </c>
      <c r="X75" s="1">
        <v>970.79452380952387</v>
      </c>
      <c r="Y75" s="1">
        <v>956.94904761904763</v>
      </c>
      <c r="Z75" s="1">
        <v>895.17119047619053</v>
      </c>
      <c r="AA75" s="1">
        <v>830.36285714285714</v>
      </c>
      <c r="AB75" s="8">
        <v>21</v>
      </c>
      <c r="AC75" s="8">
        <f t="shared" si="7"/>
        <v>334068.78000000003</v>
      </c>
      <c r="AM75"/>
      <c r="AN75"/>
    </row>
    <row r="76" spans="1:40" x14ac:dyDescent="0.25">
      <c r="A76" s="3">
        <f t="shared" si="5"/>
        <v>2028</v>
      </c>
      <c r="B76" s="5" t="str">
        <f>PROPER(TEXT(DATEVALUE("1/"&amp;MOD(ROUNDDOWN((ROW()-6+7*3)/3,0),12)+1&amp;"/"&amp;Tabla1[[#This Row],[Año]]),"mmm"))</f>
        <v>Jul</v>
      </c>
      <c r="C76" s="7" t="str">
        <f t="shared" si="6"/>
        <v>Sábado</v>
      </c>
      <c r="D76" s="1">
        <v>813.79875000000004</v>
      </c>
      <c r="E76" s="1">
        <v>785.57749999999999</v>
      </c>
      <c r="F76" s="1">
        <v>753.28625</v>
      </c>
      <c r="G76" s="1">
        <v>734.60500000000002</v>
      </c>
      <c r="H76" s="1">
        <v>726.27</v>
      </c>
      <c r="I76" s="1">
        <v>712.55624999999998</v>
      </c>
      <c r="J76" s="1">
        <v>640.93624999999997</v>
      </c>
      <c r="K76" s="1">
        <v>409.88249999999999</v>
      </c>
      <c r="L76" s="1">
        <v>287.99250000000001</v>
      </c>
      <c r="M76" s="1">
        <v>105.765</v>
      </c>
      <c r="N76" s="1">
        <v>101.39749999999999</v>
      </c>
      <c r="O76" s="1">
        <v>0</v>
      </c>
      <c r="P76" s="1">
        <v>0</v>
      </c>
      <c r="Q76" s="1">
        <v>0</v>
      </c>
      <c r="R76" s="1">
        <v>0</v>
      </c>
      <c r="S76" s="1">
        <v>40.316249999999997</v>
      </c>
      <c r="T76" s="1">
        <v>258.25125000000003</v>
      </c>
      <c r="U76" s="1">
        <v>607.15125</v>
      </c>
      <c r="V76" s="1">
        <v>858.05624999999998</v>
      </c>
      <c r="W76" s="1">
        <v>898.06375000000003</v>
      </c>
      <c r="X76" s="1">
        <v>894.5625</v>
      </c>
      <c r="Y76" s="1">
        <v>881.21</v>
      </c>
      <c r="Z76" s="1">
        <v>841.66875000000005</v>
      </c>
      <c r="AA76" s="1">
        <v>797.22249999999997</v>
      </c>
      <c r="AB76" s="26">
        <v>5</v>
      </c>
      <c r="AC76" s="8">
        <f t="shared" si="7"/>
        <v>60742.85</v>
      </c>
      <c r="AM76"/>
      <c r="AN76"/>
    </row>
    <row r="77" spans="1:40" x14ac:dyDescent="0.25">
      <c r="A77" s="3">
        <f t="shared" si="5"/>
        <v>2028</v>
      </c>
      <c r="B77" s="5" t="str">
        <f>PROPER(TEXT(DATEVALUE("1/"&amp;MOD(ROUNDDOWN((ROW()-6+7*3)/3,0),12)+1&amp;"/"&amp;Tabla1[[#This Row],[Año]]),"mmm"))</f>
        <v>Jul</v>
      </c>
      <c r="C77" s="7" t="str">
        <f t="shared" si="6"/>
        <v>Domingo y Festivo</v>
      </c>
      <c r="D77" s="1">
        <v>767.40749999999991</v>
      </c>
      <c r="E77" s="1">
        <v>745.98</v>
      </c>
      <c r="F77" s="1">
        <v>728.80916666666656</v>
      </c>
      <c r="G77" s="1">
        <v>709.74749999999995</v>
      </c>
      <c r="H77" s="1">
        <v>701.0866666666667</v>
      </c>
      <c r="I77" s="1">
        <v>679.61749999999995</v>
      </c>
      <c r="J77" s="1">
        <v>568.16166666666663</v>
      </c>
      <c r="K77" s="1">
        <v>161.14000000000001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5.3475000000000001</v>
      </c>
      <c r="T77" s="1">
        <v>162.04416666666665</v>
      </c>
      <c r="U77" s="1">
        <v>516.50249999999994</v>
      </c>
      <c r="V77" s="1">
        <v>769.26166666666666</v>
      </c>
      <c r="W77" s="1">
        <v>839.73333333333323</v>
      </c>
      <c r="X77" s="1">
        <v>863.92333333333329</v>
      </c>
      <c r="Y77" s="1">
        <v>861.94500000000005</v>
      </c>
      <c r="Z77" s="1">
        <v>812.42500000000007</v>
      </c>
      <c r="AA77" s="1">
        <v>758.22833333333335</v>
      </c>
      <c r="AB77" s="26">
        <v>5</v>
      </c>
      <c r="AC77" s="8">
        <f t="shared" si="7"/>
        <v>53256.804166666654</v>
      </c>
      <c r="AM77"/>
      <c r="AN77"/>
    </row>
    <row r="78" spans="1:40" x14ac:dyDescent="0.25">
      <c r="A78" s="3">
        <f t="shared" si="5"/>
        <v>2028</v>
      </c>
      <c r="B78" s="5" t="str">
        <f>PROPER(TEXT(DATEVALUE("1/"&amp;MOD(ROUNDDOWN((ROW()-6+7*3)/3,0),12)+1&amp;"/"&amp;Tabla1[[#This Row],[Año]]),"mmm"))</f>
        <v>Ago</v>
      </c>
      <c r="C78" s="7" t="str">
        <f t="shared" si="6"/>
        <v>Hábil</v>
      </c>
      <c r="D78" s="1">
        <v>777.23380952380955</v>
      </c>
      <c r="E78" s="1">
        <v>747.8097619047619</v>
      </c>
      <c r="F78" s="1">
        <v>722.91357142857146</v>
      </c>
      <c r="G78" s="1">
        <v>698.02428571428572</v>
      </c>
      <c r="H78" s="1">
        <v>691.64547619047619</v>
      </c>
      <c r="I78" s="1">
        <v>710.39976190476193</v>
      </c>
      <c r="J78" s="1">
        <v>735.91809523809525</v>
      </c>
      <c r="K78" s="1">
        <v>722.64095238095229</v>
      </c>
      <c r="L78" s="1">
        <v>637.61285714285714</v>
      </c>
      <c r="M78" s="1">
        <v>406.39833333333331</v>
      </c>
      <c r="N78" s="1">
        <v>277.80166666666668</v>
      </c>
      <c r="O78" s="1">
        <v>285.09047619047618</v>
      </c>
      <c r="P78" s="1">
        <v>123.77285714285715</v>
      </c>
      <c r="Q78" s="1">
        <v>92.608333333333334</v>
      </c>
      <c r="R78" s="1">
        <v>299.13642857142855</v>
      </c>
      <c r="S78" s="1">
        <v>455.46952380952382</v>
      </c>
      <c r="T78" s="1">
        <v>747.55857142857144</v>
      </c>
      <c r="U78" s="1">
        <v>1079.5923809523808</v>
      </c>
      <c r="V78" s="1">
        <v>1066.6104761904762</v>
      </c>
      <c r="W78" s="1">
        <v>976.52190476190469</v>
      </c>
      <c r="X78" s="1">
        <v>970.79452380952387</v>
      </c>
      <c r="Y78" s="1">
        <v>956.94904761904763</v>
      </c>
      <c r="Z78" s="1">
        <v>895.17119047619053</v>
      </c>
      <c r="AA78" s="1">
        <v>830.36285714285714</v>
      </c>
      <c r="AB78" s="26">
        <v>23</v>
      </c>
      <c r="AC78" s="8">
        <f t="shared" si="7"/>
        <v>365884.85428571433</v>
      </c>
      <c r="AM78"/>
      <c r="AN78"/>
    </row>
    <row r="79" spans="1:40" x14ac:dyDescent="0.25">
      <c r="A79" s="3">
        <f t="shared" si="5"/>
        <v>2028</v>
      </c>
      <c r="B79" s="5" t="str">
        <f>PROPER(TEXT(DATEVALUE("1/"&amp;MOD(ROUNDDOWN((ROW()-6+7*3)/3,0),12)+1&amp;"/"&amp;Tabla1[[#This Row],[Año]]),"mmm"))</f>
        <v>Ago</v>
      </c>
      <c r="C79" s="7" t="str">
        <f t="shared" si="6"/>
        <v>Sábado</v>
      </c>
      <c r="D79" s="1">
        <v>813.79875000000004</v>
      </c>
      <c r="E79" s="1">
        <v>785.57749999999999</v>
      </c>
      <c r="F79" s="1">
        <v>753.28625</v>
      </c>
      <c r="G79" s="1">
        <v>734.60500000000002</v>
      </c>
      <c r="H79" s="1">
        <v>726.27</v>
      </c>
      <c r="I79" s="1">
        <v>712.55624999999998</v>
      </c>
      <c r="J79" s="1">
        <v>640.93624999999997</v>
      </c>
      <c r="K79" s="1">
        <v>409.88249999999999</v>
      </c>
      <c r="L79" s="1">
        <v>287.99250000000001</v>
      </c>
      <c r="M79" s="1">
        <v>105.765</v>
      </c>
      <c r="N79" s="1">
        <v>101.39749999999999</v>
      </c>
      <c r="O79" s="1">
        <v>0</v>
      </c>
      <c r="P79" s="1">
        <v>0</v>
      </c>
      <c r="Q79" s="1">
        <v>0</v>
      </c>
      <c r="R79" s="1">
        <v>0</v>
      </c>
      <c r="S79" s="1">
        <v>40.316249999999997</v>
      </c>
      <c r="T79" s="1">
        <v>258.25125000000003</v>
      </c>
      <c r="U79" s="1">
        <v>607.15125</v>
      </c>
      <c r="V79" s="1">
        <v>858.05624999999998</v>
      </c>
      <c r="W79" s="1">
        <v>898.06375000000003</v>
      </c>
      <c r="X79" s="1">
        <v>894.5625</v>
      </c>
      <c r="Y79" s="1">
        <v>881.21</v>
      </c>
      <c r="Z79" s="1">
        <v>841.66875000000005</v>
      </c>
      <c r="AA79" s="1">
        <v>797.22249999999997</v>
      </c>
      <c r="AB79" s="26">
        <v>4</v>
      </c>
      <c r="AC79" s="8">
        <f t="shared" si="7"/>
        <v>48594.28</v>
      </c>
      <c r="AM79"/>
      <c r="AN79"/>
    </row>
    <row r="80" spans="1:40" x14ac:dyDescent="0.25">
      <c r="A80" s="3">
        <f t="shared" si="5"/>
        <v>2028</v>
      </c>
      <c r="B80" s="5" t="str">
        <f>PROPER(TEXT(DATEVALUE("1/"&amp;MOD(ROUNDDOWN((ROW()-6+7*3)/3,0),12)+1&amp;"/"&amp;Tabla1[[#This Row],[Año]]),"mmm"))</f>
        <v>Ago</v>
      </c>
      <c r="C80" s="7" t="str">
        <f t="shared" si="6"/>
        <v>Domingo y Festivo</v>
      </c>
      <c r="D80" s="1">
        <v>767.40749999999991</v>
      </c>
      <c r="E80" s="1">
        <v>745.98</v>
      </c>
      <c r="F80" s="1">
        <v>728.80916666666656</v>
      </c>
      <c r="G80" s="1">
        <v>709.74749999999995</v>
      </c>
      <c r="H80" s="1">
        <v>701.0866666666667</v>
      </c>
      <c r="I80" s="1">
        <v>679.61749999999995</v>
      </c>
      <c r="J80" s="1">
        <v>568.16166666666663</v>
      </c>
      <c r="K80" s="1">
        <v>161.14000000000001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5.3475000000000001</v>
      </c>
      <c r="T80" s="1">
        <v>162.04416666666665</v>
      </c>
      <c r="U80" s="1">
        <v>516.50249999999994</v>
      </c>
      <c r="V80" s="1">
        <v>769.26166666666666</v>
      </c>
      <c r="W80" s="1">
        <v>839.73333333333323</v>
      </c>
      <c r="X80" s="1">
        <v>863.92333333333329</v>
      </c>
      <c r="Y80" s="1">
        <v>861.94500000000005</v>
      </c>
      <c r="Z80" s="1">
        <v>812.42500000000007</v>
      </c>
      <c r="AA80" s="1">
        <v>758.22833333333335</v>
      </c>
      <c r="AB80" s="26">
        <v>4</v>
      </c>
      <c r="AC80" s="8">
        <f t="shared" si="7"/>
        <v>42605.443333333322</v>
      </c>
      <c r="AM80"/>
      <c r="AN80"/>
    </row>
    <row r="81" spans="1:40" x14ac:dyDescent="0.25">
      <c r="A81" s="3">
        <f t="shared" si="5"/>
        <v>2028</v>
      </c>
      <c r="B81" s="5" t="str">
        <f>PROPER(TEXT(DATEVALUE("1/"&amp;MOD(ROUNDDOWN((ROW()-6+7*3)/3,0),12)+1&amp;"/"&amp;Tabla1[[#This Row],[Año]]),"mmm"))</f>
        <v>Sep</v>
      </c>
      <c r="C81" s="7" t="str">
        <f t="shared" si="6"/>
        <v>Hábil</v>
      </c>
      <c r="D81" s="1">
        <v>777.23380952380955</v>
      </c>
      <c r="E81" s="1">
        <v>747.8097619047619</v>
      </c>
      <c r="F81" s="1">
        <v>722.91357142857146</v>
      </c>
      <c r="G81" s="1">
        <v>698.02428571428572</v>
      </c>
      <c r="H81" s="1">
        <v>691.64547619047619</v>
      </c>
      <c r="I81" s="1">
        <v>710.39976190476193</v>
      </c>
      <c r="J81" s="1">
        <v>735.91809523809525</v>
      </c>
      <c r="K81" s="1">
        <v>722.64095238095229</v>
      </c>
      <c r="L81" s="1">
        <v>637.61285714285714</v>
      </c>
      <c r="M81" s="1">
        <v>406.39833333333331</v>
      </c>
      <c r="N81" s="1">
        <v>277.80166666666668</v>
      </c>
      <c r="O81" s="1">
        <v>285.09047619047618</v>
      </c>
      <c r="P81" s="1">
        <v>123.77285714285715</v>
      </c>
      <c r="Q81" s="1">
        <v>92.608333333333334</v>
      </c>
      <c r="R81" s="1">
        <v>299.13642857142855</v>
      </c>
      <c r="S81" s="1">
        <v>455.46952380952382</v>
      </c>
      <c r="T81" s="1">
        <v>747.55857142857144</v>
      </c>
      <c r="U81" s="1">
        <v>1079.5923809523808</v>
      </c>
      <c r="V81" s="1">
        <v>1066.6104761904762</v>
      </c>
      <c r="W81" s="1">
        <v>976.52190476190469</v>
      </c>
      <c r="X81" s="1">
        <v>970.79452380952387</v>
      </c>
      <c r="Y81" s="1">
        <v>956.94904761904763</v>
      </c>
      <c r="Z81" s="1">
        <v>895.17119047619053</v>
      </c>
      <c r="AA81" s="1">
        <v>830.36285714285714</v>
      </c>
      <c r="AB81" s="26">
        <v>21</v>
      </c>
      <c r="AC81" s="8">
        <f t="shared" si="7"/>
        <v>334068.78000000003</v>
      </c>
      <c r="AM81"/>
      <c r="AN81"/>
    </row>
    <row r="82" spans="1:40" x14ac:dyDescent="0.25">
      <c r="A82" s="3">
        <f t="shared" si="5"/>
        <v>2028</v>
      </c>
      <c r="B82" s="5" t="str">
        <f>PROPER(TEXT(DATEVALUE("1/"&amp;MOD(ROUNDDOWN((ROW()-6+7*3)/3,0),12)+1&amp;"/"&amp;Tabla1[[#This Row],[Año]]),"mmm"))</f>
        <v>Sep</v>
      </c>
      <c r="C82" s="7" t="str">
        <f t="shared" si="6"/>
        <v>Sábado</v>
      </c>
      <c r="D82" s="1">
        <v>813.79875000000004</v>
      </c>
      <c r="E82" s="1">
        <v>785.57749999999999</v>
      </c>
      <c r="F82" s="1">
        <v>753.28625</v>
      </c>
      <c r="G82" s="1">
        <v>734.60500000000002</v>
      </c>
      <c r="H82" s="1">
        <v>726.27</v>
      </c>
      <c r="I82" s="1">
        <v>712.55624999999998</v>
      </c>
      <c r="J82" s="1">
        <v>640.93624999999997</v>
      </c>
      <c r="K82" s="1">
        <v>409.88249999999999</v>
      </c>
      <c r="L82" s="1">
        <v>287.99250000000001</v>
      </c>
      <c r="M82" s="1">
        <v>105.765</v>
      </c>
      <c r="N82" s="1">
        <v>101.39749999999999</v>
      </c>
      <c r="O82" s="1">
        <v>0</v>
      </c>
      <c r="P82" s="1">
        <v>0</v>
      </c>
      <c r="Q82" s="1">
        <v>0</v>
      </c>
      <c r="R82" s="1">
        <v>0</v>
      </c>
      <c r="S82" s="1">
        <v>40.316249999999997</v>
      </c>
      <c r="T82" s="1">
        <v>258.25125000000003</v>
      </c>
      <c r="U82" s="1">
        <v>607.15125</v>
      </c>
      <c r="V82" s="1">
        <v>858.05624999999998</v>
      </c>
      <c r="W82" s="1">
        <v>898.06375000000003</v>
      </c>
      <c r="X82" s="1">
        <v>894.5625</v>
      </c>
      <c r="Y82" s="1">
        <v>881.21</v>
      </c>
      <c r="Z82" s="1">
        <v>841.66875000000005</v>
      </c>
      <c r="AA82" s="1">
        <v>797.22249999999997</v>
      </c>
      <c r="AB82" s="26">
        <v>5</v>
      </c>
      <c r="AC82" s="8">
        <f t="shared" si="7"/>
        <v>60742.85</v>
      </c>
      <c r="AM82"/>
      <c r="AN82"/>
    </row>
    <row r="83" spans="1:40" x14ac:dyDescent="0.25">
      <c r="A83" s="3">
        <f t="shared" si="5"/>
        <v>2028</v>
      </c>
      <c r="B83" s="5" t="str">
        <f>PROPER(TEXT(DATEVALUE("1/"&amp;MOD(ROUNDDOWN((ROW()-6+7*3)/3,0),12)+1&amp;"/"&amp;Tabla1[[#This Row],[Año]]),"mmm"))</f>
        <v>Sep</v>
      </c>
      <c r="C83" s="7" t="str">
        <f t="shared" si="6"/>
        <v>Domingo y Festivo</v>
      </c>
      <c r="D83" s="1">
        <v>767.40749999999991</v>
      </c>
      <c r="E83" s="1">
        <v>745.98</v>
      </c>
      <c r="F83" s="1">
        <v>728.80916666666656</v>
      </c>
      <c r="G83" s="1">
        <v>709.74749999999995</v>
      </c>
      <c r="H83" s="1">
        <v>701.0866666666667</v>
      </c>
      <c r="I83" s="1">
        <v>679.61749999999995</v>
      </c>
      <c r="J83" s="1">
        <v>568.16166666666663</v>
      </c>
      <c r="K83" s="1">
        <v>161.14000000000001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5.3475000000000001</v>
      </c>
      <c r="T83" s="1">
        <v>162.04416666666665</v>
      </c>
      <c r="U83" s="1">
        <v>516.50249999999994</v>
      </c>
      <c r="V83" s="1">
        <v>769.26166666666666</v>
      </c>
      <c r="W83" s="1">
        <v>839.73333333333323</v>
      </c>
      <c r="X83" s="1">
        <v>863.92333333333329</v>
      </c>
      <c r="Y83" s="1">
        <v>861.94500000000005</v>
      </c>
      <c r="Z83" s="1">
        <v>812.42500000000007</v>
      </c>
      <c r="AA83" s="1">
        <v>758.22833333333335</v>
      </c>
      <c r="AB83" s="26">
        <v>4</v>
      </c>
      <c r="AC83" s="8">
        <f t="shared" si="7"/>
        <v>42605.443333333322</v>
      </c>
      <c r="AM83"/>
      <c r="AN83"/>
    </row>
    <row r="84" spans="1:40" x14ac:dyDescent="0.25">
      <c r="A84" s="3">
        <f t="shared" si="5"/>
        <v>2028</v>
      </c>
      <c r="B84" s="5" t="str">
        <f>PROPER(TEXT(DATEVALUE("1/"&amp;MOD(ROUNDDOWN((ROW()-6+7*3)/3,0),12)+1&amp;"/"&amp;Tabla1[[#This Row],[Año]]),"mmm"))</f>
        <v>Oct</v>
      </c>
      <c r="C84" s="7" t="str">
        <f t="shared" si="6"/>
        <v>Hábil</v>
      </c>
      <c r="D84" s="1">
        <v>777.23380952380955</v>
      </c>
      <c r="E84" s="1">
        <v>747.8097619047619</v>
      </c>
      <c r="F84" s="1">
        <v>722.91357142857146</v>
      </c>
      <c r="G84" s="1">
        <v>698.02428571428572</v>
      </c>
      <c r="H84" s="1">
        <v>691.64547619047619</v>
      </c>
      <c r="I84" s="1">
        <v>710.39976190476193</v>
      </c>
      <c r="J84" s="1">
        <v>735.91809523809525</v>
      </c>
      <c r="K84" s="1">
        <v>722.64095238095229</v>
      </c>
      <c r="L84" s="1">
        <v>637.61285714285714</v>
      </c>
      <c r="M84" s="1">
        <v>406.39833333333331</v>
      </c>
      <c r="N84" s="1">
        <v>277.80166666666668</v>
      </c>
      <c r="O84" s="1">
        <v>285.09047619047618</v>
      </c>
      <c r="P84" s="1">
        <v>123.77285714285715</v>
      </c>
      <c r="Q84" s="1">
        <v>92.608333333333334</v>
      </c>
      <c r="R84" s="1">
        <v>299.13642857142855</v>
      </c>
      <c r="S84" s="1">
        <v>455.46952380952382</v>
      </c>
      <c r="T84" s="1">
        <v>747.55857142857144</v>
      </c>
      <c r="U84" s="1">
        <v>1079.5923809523808</v>
      </c>
      <c r="V84" s="1">
        <v>1066.6104761904762</v>
      </c>
      <c r="W84" s="1">
        <v>976.52190476190469</v>
      </c>
      <c r="X84" s="1">
        <v>970.79452380952387</v>
      </c>
      <c r="Y84" s="1">
        <v>956.94904761904763</v>
      </c>
      <c r="Z84" s="1">
        <v>895.17119047619053</v>
      </c>
      <c r="AA84" s="1">
        <v>830.36285714285714</v>
      </c>
      <c r="AB84" s="26">
        <v>22</v>
      </c>
      <c r="AC84" s="8">
        <f t="shared" si="7"/>
        <v>349976.81714285718</v>
      </c>
      <c r="AM84"/>
      <c r="AN84"/>
    </row>
    <row r="85" spans="1:40" x14ac:dyDescent="0.25">
      <c r="A85" s="3">
        <f t="shared" si="5"/>
        <v>2028</v>
      </c>
      <c r="B85" s="5" t="str">
        <f>PROPER(TEXT(DATEVALUE("1/"&amp;MOD(ROUNDDOWN((ROW()-6+7*3)/3,0),12)+1&amp;"/"&amp;Tabla1[[#This Row],[Año]]),"mmm"))</f>
        <v>Oct</v>
      </c>
      <c r="C85" s="7" t="str">
        <f t="shared" si="6"/>
        <v>Sábado</v>
      </c>
      <c r="D85" s="1">
        <v>813.79875000000004</v>
      </c>
      <c r="E85" s="1">
        <v>785.57749999999999</v>
      </c>
      <c r="F85" s="1">
        <v>753.28625</v>
      </c>
      <c r="G85" s="1">
        <v>734.60500000000002</v>
      </c>
      <c r="H85" s="1">
        <v>726.27</v>
      </c>
      <c r="I85" s="1">
        <v>712.55624999999998</v>
      </c>
      <c r="J85" s="1">
        <v>640.93624999999997</v>
      </c>
      <c r="K85" s="1">
        <v>409.88249999999999</v>
      </c>
      <c r="L85" s="1">
        <v>287.99250000000001</v>
      </c>
      <c r="M85" s="1">
        <v>105.765</v>
      </c>
      <c r="N85" s="1">
        <v>101.39749999999999</v>
      </c>
      <c r="O85" s="1">
        <v>0</v>
      </c>
      <c r="P85" s="1">
        <v>0</v>
      </c>
      <c r="Q85" s="1">
        <v>0</v>
      </c>
      <c r="R85" s="1">
        <v>0</v>
      </c>
      <c r="S85" s="1">
        <v>40.316249999999997</v>
      </c>
      <c r="T85" s="1">
        <v>258.25125000000003</v>
      </c>
      <c r="U85" s="1">
        <v>607.15125</v>
      </c>
      <c r="V85" s="1">
        <v>858.05624999999998</v>
      </c>
      <c r="W85" s="1">
        <v>898.06375000000003</v>
      </c>
      <c r="X85" s="1">
        <v>894.5625</v>
      </c>
      <c r="Y85" s="1">
        <v>881.21</v>
      </c>
      <c r="Z85" s="1">
        <v>841.66875000000005</v>
      </c>
      <c r="AA85" s="1">
        <v>797.22249999999997</v>
      </c>
      <c r="AB85" s="26">
        <v>4</v>
      </c>
      <c r="AC85" s="8">
        <f t="shared" si="7"/>
        <v>48594.28</v>
      </c>
      <c r="AM85"/>
      <c r="AN85"/>
    </row>
    <row r="86" spans="1:40" x14ac:dyDescent="0.25">
      <c r="A86" s="3">
        <f t="shared" si="5"/>
        <v>2028</v>
      </c>
      <c r="B86" s="5" t="str">
        <f>PROPER(TEXT(DATEVALUE("1/"&amp;MOD(ROUNDDOWN((ROW()-6+7*3)/3,0),12)+1&amp;"/"&amp;Tabla1[[#This Row],[Año]]),"mmm"))</f>
        <v>Oct</v>
      </c>
      <c r="C86" s="7" t="str">
        <f t="shared" si="6"/>
        <v>Domingo y Festivo</v>
      </c>
      <c r="D86" s="1">
        <v>767.40749999999991</v>
      </c>
      <c r="E86" s="1">
        <v>745.98</v>
      </c>
      <c r="F86" s="1">
        <v>728.80916666666656</v>
      </c>
      <c r="G86" s="1">
        <v>709.74749999999995</v>
      </c>
      <c r="H86" s="1">
        <v>701.0866666666667</v>
      </c>
      <c r="I86" s="1">
        <v>679.61749999999995</v>
      </c>
      <c r="J86" s="1">
        <v>568.16166666666663</v>
      </c>
      <c r="K86" s="1">
        <v>161.14000000000001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5.3475000000000001</v>
      </c>
      <c r="T86" s="1">
        <v>162.04416666666665</v>
      </c>
      <c r="U86" s="1">
        <v>516.50249999999994</v>
      </c>
      <c r="V86" s="1">
        <v>769.26166666666666</v>
      </c>
      <c r="W86" s="1">
        <v>839.73333333333323</v>
      </c>
      <c r="X86" s="1">
        <v>863.92333333333329</v>
      </c>
      <c r="Y86" s="1">
        <v>861.94500000000005</v>
      </c>
      <c r="Z86" s="1">
        <v>812.42500000000007</v>
      </c>
      <c r="AA86" s="1">
        <v>758.22833333333335</v>
      </c>
      <c r="AB86" s="26">
        <v>5</v>
      </c>
      <c r="AC86" s="8">
        <f t="shared" si="7"/>
        <v>53256.804166666654</v>
      </c>
      <c r="AM86"/>
      <c r="AN86"/>
    </row>
    <row r="87" spans="1:40" x14ac:dyDescent="0.25">
      <c r="A87" s="3">
        <f t="shared" si="5"/>
        <v>2028</v>
      </c>
      <c r="B87" s="5" t="str">
        <f>PROPER(TEXT(DATEVALUE("1/"&amp;MOD(ROUNDDOWN((ROW()-6+7*3)/3,0),12)+1&amp;"/"&amp;Tabla1[[#This Row],[Año]]),"mmm"))</f>
        <v>Nov</v>
      </c>
      <c r="C87" s="7" t="str">
        <f t="shared" si="6"/>
        <v>Hábil</v>
      </c>
      <c r="D87" s="1">
        <v>777.23380952380955</v>
      </c>
      <c r="E87" s="1">
        <v>747.8097619047619</v>
      </c>
      <c r="F87" s="1">
        <v>722.91357142857146</v>
      </c>
      <c r="G87" s="1">
        <v>698.02428571428572</v>
      </c>
      <c r="H87" s="1">
        <v>691.64547619047619</v>
      </c>
      <c r="I87" s="1">
        <v>710.39976190476193</v>
      </c>
      <c r="J87" s="1">
        <v>735.91809523809525</v>
      </c>
      <c r="K87" s="1">
        <v>722.64095238095229</v>
      </c>
      <c r="L87" s="1">
        <v>637.61285714285714</v>
      </c>
      <c r="M87" s="1">
        <v>406.39833333333331</v>
      </c>
      <c r="N87" s="1">
        <v>277.80166666666668</v>
      </c>
      <c r="O87" s="1">
        <v>285.09047619047618</v>
      </c>
      <c r="P87" s="1">
        <v>123.77285714285715</v>
      </c>
      <c r="Q87" s="1">
        <v>92.608333333333334</v>
      </c>
      <c r="R87" s="1">
        <v>299.13642857142855</v>
      </c>
      <c r="S87" s="1">
        <v>455.46952380952382</v>
      </c>
      <c r="T87" s="1">
        <v>747.55857142857144</v>
      </c>
      <c r="U87" s="1">
        <v>1079.5923809523808</v>
      </c>
      <c r="V87" s="1">
        <v>1066.6104761904762</v>
      </c>
      <c r="W87" s="1">
        <v>976.52190476190469</v>
      </c>
      <c r="X87" s="1">
        <v>970.79452380952387</v>
      </c>
      <c r="Y87" s="1">
        <v>956.94904761904763</v>
      </c>
      <c r="Z87" s="1">
        <v>895.17119047619053</v>
      </c>
      <c r="AA87" s="1">
        <v>830.36285714285714</v>
      </c>
      <c r="AB87" s="26">
        <v>22</v>
      </c>
      <c r="AC87" s="8">
        <f t="shared" si="7"/>
        <v>349976.81714285718</v>
      </c>
      <c r="AM87"/>
      <c r="AN87"/>
    </row>
    <row r="88" spans="1:40" x14ac:dyDescent="0.25">
      <c r="A88" s="3">
        <f t="shared" si="5"/>
        <v>2028</v>
      </c>
      <c r="B88" s="5" t="str">
        <f>PROPER(TEXT(DATEVALUE("1/"&amp;MOD(ROUNDDOWN((ROW()-6+7*3)/3,0),12)+1&amp;"/"&amp;Tabla1[[#This Row],[Año]]),"mmm"))</f>
        <v>Nov</v>
      </c>
      <c r="C88" s="7" t="str">
        <f t="shared" si="6"/>
        <v>Sábado</v>
      </c>
      <c r="D88" s="1">
        <v>813.79875000000004</v>
      </c>
      <c r="E88" s="1">
        <v>785.57749999999999</v>
      </c>
      <c r="F88" s="1">
        <v>753.28625</v>
      </c>
      <c r="G88" s="1">
        <v>734.60500000000002</v>
      </c>
      <c r="H88" s="1">
        <v>726.27</v>
      </c>
      <c r="I88" s="1">
        <v>712.55624999999998</v>
      </c>
      <c r="J88" s="1">
        <v>640.93624999999997</v>
      </c>
      <c r="K88" s="1">
        <v>409.88249999999999</v>
      </c>
      <c r="L88" s="1">
        <v>287.99250000000001</v>
      </c>
      <c r="M88" s="1">
        <v>105.765</v>
      </c>
      <c r="N88" s="1">
        <v>101.39749999999999</v>
      </c>
      <c r="O88" s="1">
        <v>0</v>
      </c>
      <c r="P88" s="1">
        <v>0</v>
      </c>
      <c r="Q88" s="1">
        <v>0</v>
      </c>
      <c r="R88" s="1">
        <v>0</v>
      </c>
      <c r="S88" s="1">
        <v>40.316249999999997</v>
      </c>
      <c r="T88" s="1">
        <v>258.25125000000003</v>
      </c>
      <c r="U88" s="1">
        <v>607.15125</v>
      </c>
      <c r="V88" s="1">
        <v>858.05624999999998</v>
      </c>
      <c r="W88" s="1">
        <v>898.06375000000003</v>
      </c>
      <c r="X88" s="1">
        <v>894.5625</v>
      </c>
      <c r="Y88" s="1">
        <v>881.21</v>
      </c>
      <c r="Z88" s="1">
        <v>841.66875000000005</v>
      </c>
      <c r="AA88" s="1">
        <v>797.22249999999997</v>
      </c>
      <c r="AB88" s="26">
        <v>4</v>
      </c>
      <c r="AC88" s="8">
        <f t="shared" si="7"/>
        <v>48594.28</v>
      </c>
      <c r="AM88"/>
      <c r="AN88"/>
    </row>
    <row r="89" spans="1:40" x14ac:dyDescent="0.25">
      <c r="A89" s="3">
        <f t="shared" si="5"/>
        <v>2028</v>
      </c>
      <c r="B89" s="5" t="str">
        <f>PROPER(TEXT(DATEVALUE("1/"&amp;MOD(ROUNDDOWN((ROW()-6+7*3)/3,0),12)+1&amp;"/"&amp;Tabla1[[#This Row],[Año]]),"mmm"))</f>
        <v>Nov</v>
      </c>
      <c r="C89" s="7" t="str">
        <f t="shared" si="6"/>
        <v>Domingo y Festivo</v>
      </c>
      <c r="D89" s="1">
        <v>767.40749999999991</v>
      </c>
      <c r="E89" s="1">
        <v>745.98</v>
      </c>
      <c r="F89" s="1">
        <v>728.80916666666656</v>
      </c>
      <c r="G89" s="1">
        <v>709.74749999999995</v>
      </c>
      <c r="H89" s="1">
        <v>701.0866666666667</v>
      </c>
      <c r="I89" s="1">
        <v>679.61749999999995</v>
      </c>
      <c r="J89" s="1">
        <v>568.16166666666663</v>
      </c>
      <c r="K89" s="1">
        <v>161.14000000000001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5.3475000000000001</v>
      </c>
      <c r="T89" s="1">
        <v>162.04416666666665</v>
      </c>
      <c r="U89" s="1">
        <v>516.50249999999994</v>
      </c>
      <c r="V89" s="1">
        <v>769.26166666666666</v>
      </c>
      <c r="W89" s="1">
        <v>839.73333333333323</v>
      </c>
      <c r="X89" s="1">
        <v>863.92333333333329</v>
      </c>
      <c r="Y89" s="1">
        <v>861.94500000000005</v>
      </c>
      <c r="Z89" s="1">
        <v>812.42500000000007</v>
      </c>
      <c r="AA89" s="1">
        <v>758.22833333333335</v>
      </c>
      <c r="AB89" s="26">
        <v>4</v>
      </c>
      <c r="AC89" s="8">
        <f t="shared" si="7"/>
        <v>42605.443333333322</v>
      </c>
      <c r="AM89"/>
      <c r="AN89"/>
    </row>
    <row r="90" spans="1:40" x14ac:dyDescent="0.25">
      <c r="A90" s="3">
        <f t="shared" si="5"/>
        <v>2028</v>
      </c>
      <c r="B90" s="5" t="str">
        <f>PROPER(TEXT(DATEVALUE("1/"&amp;MOD(ROUNDDOWN((ROW()-6+7*3)/3,0),12)+1&amp;"/"&amp;Tabla1[[#This Row],[Año]]),"mmm"))</f>
        <v>Dic</v>
      </c>
      <c r="C90" s="7" t="str">
        <f t="shared" si="6"/>
        <v>Hábil</v>
      </c>
      <c r="D90" s="1">
        <v>777.23380952380955</v>
      </c>
      <c r="E90" s="1">
        <v>747.8097619047619</v>
      </c>
      <c r="F90" s="1">
        <v>722.91357142857146</v>
      </c>
      <c r="G90" s="1">
        <v>698.02428571428572</v>
      </c>
      <c r="H90" s="1">
        <v>691.64547619047619</v>
      </c>
      <c r="I90" s="1">
        <v>710.39976190476193</v>
      </c>
      <c r="J90" s="1">
        <v>735.91809523809525</v>
      </c>
      <c r="K90" s="1">
        <v>722.64095238095229</v>
      </c>
      <c r="L90" s="1">
        <v>637.61285714285714</v>
      </c>
      <c r="M90" s="1">
        <v>406.39833333333331</v>
      </c>
      <c r="N90" s="1">
        <v>277.80166666666668</v>
      </c>
      <c r="O90" s="1">
        <v>285.09047619047618</v>
      </c>
      <c r="P90" s="1">
        <v>123.77285714285715</v>
      </c>
      <c r="Q90" s="1">
        <v>92.608333333333334</v>
      </c>
      <c r="R90" s="1">
        <v>299.13642857142855</v>
      </c>
      <c r="S90" s="1">
        <v>455.46952380952382</v>
      </c>
      <c r="T90" s="1">
        <v>747.55857142857144</v>
      </c>
      <c r="U90" s="1">
        <v>1079.5923809523808</v>
      </c>
      <c r="V90" s="1">
        <v>1066.6104761904762</v>
      </c>
      <c r="W90" s="1">
        <v>976.52190476190469</v>
      </c>
      <c r="X90" s="1">
        <v>970.79452380952387</v>
      </c>
      <c r="Y90" s="1">
        <v>956.94904761904763</v>
      </c>
      <c r="Z90" s="1">
        <v>895.17119047619053</v>
      </c>
      <c r="AA90" s="1">
        <v>830.36285714285714</v>
      </c>
      <c r="AB90" s="26">
        <v>21</v>
      </c>
      <c r="AC90" s="8">
        <f t="shared" si="7"/>
        <v>334068.78000000003</v>
      </c>
      <c r="AM90"/>
      <c r="AN90"/>
    </row>
    <row r="91" spans="1:40" x14ac:dyDescent="0.25">
      <c r="A91" s="3">
        <f t="shared" si="5"/>
        <v>2028</v>
      </c>
      <c r="B91" s="5" t="str">
        <f>PROPER(TEXT(DATEVALUE("1/"&amp;MOD(ROUNDDOWN((ROW()-6+7*3)/3,0),12)+1&amp;"/"&amp;Tabla1[[#This Row],[Año]]),"mmm"))</f>
        <v>Dic</v>
      </c>
      <c r="C91" s="7" t="str">
        <f t="shared" si="6"/>
        <v>Sábado</v>
      </c>
      <c r="D91" s="1">
        <v>813.79875000000004</v>
      </c>
      <c r="E91" s="1">
        <v>785.57749999999999</v>
      </c>
      <c r="F91" s="1">
        <v>753.28625</v>
      </c>
      <c r="G91" s="1">
        <v>734.60500000000002</v>
      </c>
      <c r="H91" s="1">
        <v>726.27</v>
      </c>
      <c r="I91" s="1">
        <v>712.55624999999998</v>
      </c>
      <c r="J91" s="1">
        <v>640.93624999999997</v>
      </c>
      <c r="K91" s="1">
        <v>409.88249999999999</v>
      </c>
      <c r="L91" s="1">
        <v>287.99250000000001</v>
      </c>
      <c r="M91" s="1">
        <v>105.765</v>
      </c>
      <c r="N91" s="1">
        <v>101.39749999999999</v>
      </c>
      <c r="O91" s="1">
        <v>0</v>
      </c>
      <c r="P91" s="1">
        <v>0</v>
      </c>
      <c r="Q91" s="1">
        <v>0</v>
      </c>
      <c r="R91" s="1">
        <v>0</v>
      </c>
      <c r="S91" s="1">
        <v>40.316249999999997</v>
      </c>
      <c r="T91" s="1">
        <v>258.25125000000003</v>
      </c>
      <c r="U91" s="1">
        <v>607.15125</v>
      </c>
      <c r="V91" s="1">
        <v>858.05624999999998</v>
      </c>
      <c r="W91" s="1">
        <v>898.06375000000003</v>
      </c>
      <c r="X91" s="1">
        <v>894.5625</v>
      </c>
      <c r="Y91" s="1">
        <v>881.21</v>
      </c>
      <c r="Z91" s="1">
        <v>841.66875000000005</v>
      </c>
      <c r="AA91" s="1">
        <v>797.22249999999997</v>
      </c>
      <c r="AB91" s="26">
        <v>5</v>
      </c>
      <c r="AC91" s="8">
        <f t="shared" si="7"/>
        <v>60742.85</v>
      </c>
      <c r="AM91"/>
      <c r="AN91"/>
    </row>
    <row r="92" spans="1:40" x14ac:dyDescent="0.25">
      <c r="A92" s="3">
        <f t="shared" si="5"/>
        <v>2028</v>
      </c>
      <c r="B92" s="5" t="str">
        <f>PROPER(TEXT(DATEVALUE("1/"&amp;MOD(ROUNDDOWN((ROW()-6+7*3)/3,0),12)+1&amp;"/"&amp;Tabla1[[#This Row],[Año]]),"mmm"))</f>
        <v>Dic</v>
      </c>
      <c r="C92" s="7" t="str">
        <f t="shared" si="6"/>
        <v>Domingo y Festivo</v>
      </c>
      <c r="D92" s="1">
        <v>767.40749999999991</v>
      </c>
      <c r="E92" s="1">
        <v>745.98</v>
      </c>
      <c r="F92" s="1">
        <v>728.80916666666656</v>
      </c>
      <c r="G92" s="1">
        <v>709.74749999999995</v>
      </c>
      <c r="H92" s="1">
        <v>701.0866666666667</v>
      </c>
      <c r="I92" s="1">
        <v>679.61749999999995</v>
      </c>
      <c r="J92" s="1">
        <v>568.16166666666663</v>
      </c>
      <c r="K92" s="1">
        <v>161.14000000000001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5.3475000000000001</v>
      </c>
      <c r="T92" s="1">
        <v>162.04416666666665</v>
      </c>
      <c r="U92" s="1">
        <v>516.50249999999994</v>
      </c>
      <c r="V92" s="1">
        <v>769.26166666666666</v>
      </c>
      <c r="W92" s="1">
        <v>839.73333333333323</v>
      </c>
      <c r="X92" s="1">
        <v>863.92333333333329</v>
      </c>
      <c r="Y92" s="1">
        <v>861.94500000000005</v>
      </c>
      <c r="Z92" s="1">
        <v>812.42500000000007</v>
      </c>
      <c r="AA92" s="1">
        <v>758.22833333333335</v>
      </c>
      <c r="AB92" s="26">
        <v>5</v>
      </c>
      <c r="AC92" s="8">
        <f t="shared" si="7"/>
        <v>53256.804166666654</v>
      </c>
      <c r="AM92"/>
      <c r="AN92"/>
    </row>
    <row r="93" spans="1:40" x14ac:dyDescent="0.25">
      <c r="A93" s="3">
        <f t="shared" si="5"/>
        <v>2029</v>
      </c>
      <c r="B93" s="5" t="str">
        <f>PROPER(TEXT(DATEVALUE("1/"&amp;MOD(ROUNDDOWN((ROW()-6+7*3)/3,0),12)+1&amp;"/"&amp;Tabla1[[#This Row],[Año]]),"mmm"))</f>
        <v>Ene</v>
      </c>
      <c r="C93" s="7" t="str">
        <f t="shared" si="6"/>
        <v>Hábil</v>
      </c>
      <c r="D93" s="1">
        <v>777.23380952380955</v>
      </c>
      <c r="E93" s="1">
        <v>747.8097619047619</v>
      </c>
      <c r="F93" s="1">
        <v>722.91357142857146</v>
      </c>
      <c r="G93" s="1">
        <v>698.02428571428572</v>
      </c>
      <c r="H93" s="1">
        <v>691.64547619047619</v>
      </c>
      <c r="I93" s="1">
        <v>710.39976190476193</v>
      </c>
      <c r="J93" s="1">
        <v>735.91809523809525</v>
      </c>
      <c r="K93" s="1">
        <v>722.64095238095229</v>
      </c>
      <c r="L93" s="1">
        <v>637.61285714285714</v>
      </c>
      <c r="M93" s="1">
        <v>406.39833333333331</v>
      </c>
      <c r="N93" s="1">
        <v>277.80166666666668</v>
      </c>
      <c r="O93" s="1">
        <v>285.09047619047618</v>
      </c>
      <c r="P93" s="1">
        <v>123.77285714285715</v>
      </c>
      <c r="Q93" s="1">
        <v>92.608333333333334</v>
      </c>
      <c r="R93" s="1">
        <v>299.13642857142855</v>
      </c>
      <c r="S93" s="1">
        <v>455.46952380952382</v>
      </c>
      <c r="T93" s="1">
        <v>747.55857142857144</v>
      </c>
      <c r="U93" s="1">
        <v>1079.5923809523808</v>
      </c>
      <c r="V93" s="1">
        <v>1066.6104761904762</v>
      </c>
      <c r="W93" s="1">
        <v>976.52190476190469</v>
      </c>
      <c r="X93" s="1">
        <v>970.79452380952387</v>
      </c>
      <c r="Y93" s="1">
        <v>956.94904761904763</v>
      </c>
      <c r="Z93" s="1">
        <v>895.17119047619053</v>
      </c>
      <c r="AA93" s="1">
        <v>830.36285714285714</v>
      </c>
      <c r="AB93" s="26">
        <v>23</v>
      </c>
      <c r="AC93" s="8">
        <f t="shared" si="7"/>
        <v>365884.85428571433</v>
      </c>
      <c r="AM93"/>
      <c r="AN93"/>
    </row>
    <row r="94" spans="1:40" x14ac:dyDescent="0.25">
      <c r="A94" s="3">
        <f t="shared" si="5"/>
        <v>2029</v>
      </c>
      <c r="B94" s="5" t="str">
        <f>PROPER(TEXT(DATEVALUE("1/"&amp;MOD(ROUNDDOWN((ROW()-6+7*3)/3,0),12)+1&amp;"/"&amp;Tabla1[[#This Row],[Año]]),"mmm"))</f>
        <v>Ene</v>
      </c>
      <c r="C94" s="7" t="str">
        <f t="shared" si="6"/>
        <v>Sábado</v>
      </c>
      <c r="D94" s="1">
        <v>813.79875000000004</v>
      </c>
      <c r="E94" s="1">
        <v>785.57749999999999</v>
      </c>
      <c r="F94" s="1">
        <v>753.28625</v>
      </c>
      <c r="G94" s="1">
        <v>734.60500000000002</v>
      </c>
      <c r="H94" s="1">
        <v>726.27</v>
      </c>
      <c r="I94" s="1">
        <v>712.55624999999998</v>
      </c>
      <c r="J94" s="1">
        <v>640.93624999999997</v>
      </c>
      <c r="K94" s="1">
        <v>409.88249999999999</v>
      </c>
      <c r="L94" s="1">
        <v>287.99250000000001</v>
      </c>
      <c r="M94" s="1">
        <v>105.765</v>
      </c>
      <c r="N94" s="1">
        <v>101.39749999999999</v>
      </c>
      <c r="O94" s="1">
        <v>0</v>
      </c>
      <c r="P94" s="1">
        <v>0</v>
      </c>
      <c r="Q94" s="1">
        <v>0</v>
      </c>
      <c r="R94" s="1">
        <v>0</v>
      </c>
      <c r="S94" s="1">
        <v>40.316249999999997</v>
      </c>
      <c r="T94" s="1">
        <v>258.25125000000003</v>
      </c>
      <c r="U94" s="1">
        <v>607.15125</v>
      </c>
      <c r="V94" s="1">
        <v>858.05624999999998</v>
      </c>
      <c r="W94" s="1">
        <v>898.06375000000003</v>
      </c>
      <c r="X94" s="1">
        <v>894.5625</v>
      </c>
      <c r="Y94" s="1">
        <v>881.21</v>
      </c>
      <c r="Z94" s="1">
        <v>841.66875000000005</v>
      </c>
      <c r="AA94" s="1">
        <v>797.22249999999997</v>
      </c>
      <c r="AB94" s="26">
        <v>4</v>
      </c>
      <c r="AC94" s="8">
        <f t="shared" si="7"/>
        <v>48594.28</v>
      </c>
      <c r="AM94"/>
      <c r="AN94"/>
    </row>
    <row r="95" spans="1:40" x14ac:dyDescent="0.25">
      <c r="A95" s="3">
        <f t="shared" si="5"/>
        <v>2029</v>
      </c>
      <c r="B95" s="5" t="str">
        <f>PROPER(TEXT(DATEVALUE("1/"&amp;MOD(ROUNDDOWN((ROW()-6+7*3)/3,0),12)+1&amp;"/"&amp;Tabla1[[#This Row],[Año]]),"mmm"))</f>
        <v>Ene</v>
      </c>
      <c r="C95" s="7" t="str">
        <f t="shared" si="6"/>
        <v>Domingo y Festivo</v>
      </c>
      <c r="D95" s="1">
        <v>767.40749999999991</v>
      </c>
      <c r="E95" s="1">
        <v>745.98</v>
      </c>
      <c r="F95" s="1">
        <v>728.80916666666656</v>
      </c>
      <c r="G95" s="1">
        <v>709.74749999999995</v>
      </c>
      <c r="H95" s="1">
        <v>701.0866666666667</v>
      </c>
      <c r="I95" s="1">
        <v>679.61749999999995</v>
      </c>
      <c r="J95" s="1">
        <v>568.16166666666663</v>
      </c>
      <c r="K95" s="1">
        <v>161.14000000000001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5.3475000000000001</v>
      </c>
      <c r="T95" s="1">
        <v>162.04416666666665</v>
      </c>
      <c r="U95" s="1">
        <v>516.50249999999994</v>
      </c>
      <c r="V95" s="1">
        <v>769.26166666666666</v>
      </c>
      <c r="W95" s="1">
        <v>839.73333333333323</v>
      </c>
      <c r="X95" s="1">
        <v>863.92333333333329</v>
      </c>
      <c r="Y95" s="1">
        <v>861.94500000000005</v>
      </c>
      <c r="Z95" s="1">
        <v>812.42500000000007</v>
      </c>
      <c r="AA95" s="1">
        <v>758.22833333333335</v>
      </c>
      <c r="AB95" s="26">
        <v>4</v>
      </c>
      <c r="AC95" s="8">
        <f t="shared" si="7"/>
        <v>42605.443333333322</v>
      </c>
      <c r="AM95"/>
      <c r="AN95"/>
    </row>
    <row r="96" spans="1:40" x14ac:dyDescent="0.25">
      <c r="A96" s="3">
        <f t="shared" si="5"/>
        <v>2029</v>
      </c>
      <c r="B96" s="5" t="str">
        <f>PROPER(TEXT(DATEVALUE("1/"&amp;MOD(ROUNDDOWN((ROW()-6+7*3)/3,0),12)+1&amp;"/"&amp;Tabla1[[#This Row],[Año]]),"mmm"))</f>
        <v>Feb</v>
      </c>
      <c r="C96" s="7" t="str">
        <f t="shared" si="6"/>
        <v>Hábil</v>
      </c>
      <c r="D96" s="1">
        <v>777.23380952380955</v>
      </c>
      <c r="E96" s="1">
        <v>747.8097619047619</v>
      </c>
      <c r="F96" s="1">
        <v>722.91357142857146</v>
      </c>
      <c r="G96" s="1">
        <v>698.02428571428572</v>
      </c>
      <c r="H96" s="1">
        <v>691.64547619047619</v>
      </c>
      <c r="I96" s="1">
        <v>710.39976190476193</v>
      </c>
      <c r="J96" s="1">
        <v>735.91809523809525</v>
      </c>
      <c r="K96" s="1">
        <v>722.64095238095229</v>
      </c>
      <c r="L96" s="1">
        <v>637.61285714285714</v>
      </c>
      <c r="M96" s="1">
        <v>406.39833333333331</v>
      </c>
      <c r="N96" s="1">
        <v>277.80166666666668</v>
      </c>
      <c r="O96" s="1">
        <v>285.09047619047618</v>
      </c>
      <c r="P96" s="1">
        <v>123.77285714285715</v>
      </c>
      <c r="Q96" s="1">
        <v>92.608333333333334</v>
      </c>
      <c r="R96" s="1">
        <v>299.13642857142855</v>
      </c>
      <c r="S96" s="1">
        <v>455.46952380952382</v>
      </c>
      <c r="T96" s="1">
        <v>747.55857142857144</v>
      </c>
      <c r="U96" s="1">
        <v>1079.5923809523808</v>
      </c>
      <c r="V96" s="1">
        <v>1066.6104761904762</v>
      </c>
      <c r="W96" s="1">
        <v>976.52190476190469</v>
      </c>
      <c r="X96" s="1">
        <v>970.79452380952387</v>
      </c>
      <c r="Y96" s="1">
        <v>956.94904761904763</v>
      </c>
      <c r="Z96" s="1">
        <v>895.17119047619053</v>
      </c>
      <c r="AA96" s="1">
        <v>830.36285714285714</v>
      </c>
      <c r="AB96" s="26">
        <v>20</v>
      </c>
      <c r="AC96" s="8">
        <f t="shared" si="7"/>
        <v>318160.74285714293</v>
      </c>
      <c r="AM96"/>
      <c r="AN96"/>
    </row>
    <row r="97" spans="1:40" x14ac:dyDescent="0.25">
      <c r="A97" s="3">
        <f t="shared" si="5"/>
        <v>2029</v>
      </c>
      <c r="B97" s="5" t="str">
        <f>PROPER(TEXT(DATEVALUE("1/"&amp;MOD(ROUNDDOWN((ROW()-6+7*3)/3,0),12)+1&amp;"/"&amp;Tabla1[[#This Row],[Año]]),"mmm"))</f>
        <v>Feb</v>
      </c>
      <c r="C97" s="7" t="str">
        <f t="shared" si="6"/>
        <v>Sábado</v>
      </c>
      <c r="D97" s="1">
        <v>813.79875000000004</v>
      </c>
      <c r="E97" s="1">
        <v>785.57749999999999</v>
      </c>
      <c r="F97" s="1">
        <v>753.28625</v>
      </c>
      <c r="G97" s="1">
        <v>734.60500000000002</v>
      </c>
      <c r="H97" s="1">
        <v>726.27</v>
      </c>
      <c r="I97" s="1">
        <v>712.55624999999998</v>
      </c>
      <c r="J97" s="1">
        <v>640.93624999999997</v>
      </c>
      <c r="K97" s="1">
        <v>409.88249999999999</v>
      </c>
      <c r="L97" s="1">
        <v>287.99250000000001</v>
      </c>
      <c r="M97" s="1">
        <v>105.765</v>
      </c>
      <c r="N97" s="1">
        <v>101.39749999999999</v>
      </c>
      <c r="O97" s="1">
        <v>0</v>
      </c>
      <c r="P97" s="1">
        <v>0</v>
      </c>
      <c r="Q97" s="1">
        <v>0</v>
      </c>
      <c r="R97" s="1">
        <v>0</v>
      </c>
      <c r="S97" s="1">
        <v>40.316249999999997</v>
      </c>
      <c r="T97" s="1">
        <v>258.25125000000003</v>
      </c>
      <c r="U97" s="1">
        <v>607.15125</v>
      </c>
      <c r="V97" s="1">
        <v>858.05624999999998</v>
      </c>
      <c r="W97" s="1">
        <v>898.06375000000003</v>
      </c>
      <c r="X97" s="1">
        <v>894.5625</v>
      </c>
      <c r="Y97" s="1">
        <v>881.21</v>
      </c>
      <c r="Z97" s="1">
        <v>841.66875000000005</v>
      </c>
      <c r="AA97" s="1">
        <v>797.22249999999997</v>
      </c>
      <c r="AB97" s="26">
        <v>4</v>
      </c>
      <c r="AC97" s="8">
        <f t="shared" si="7"/>
        <v>48594.28</v>
      </c>
      <c r="AM97"/>
      <c r="AN97"/>
    </row>
    <row r="98" spans="1:40" x14ac:dyDescent="0.25">
      <c r="A98" s="3">
        <f t="shared" si="5"/>
        <v>2029</v>
      </c>
      <c r="B98" s="5" t="str">
        <f>PROPER(TEXT(DATEVALUE("1/"&amp;MOD(ROUNDDOWN((ROW()-6+7*3)/3,0),12)+1&amp;"/"&amp;Tabla1[[#This Row],[Año]]),"mmm"))</f>
        <v>Feb</v>
      </c>
      <c r="C98" s="7" t="str">
        <f t="shared" si="6"/>
        <v>Domingo y Festivo</v>
      </c>
      <c r="D98" s="1">
        <v>767.40749999999991</v>
      </c>
      <c r="E98" s="1">
        <v>745.98</v>
      </c>
      <c r="F98" s="1">
        <v>728.80916666666656</v>
      </c>
      <c r="G98" s="1">
        <v>709.74749999999995</v>
      </c>
      <c r="H98" s="1">
        <v>701.0866666666667</v>
      </c>
      <c r="I98" s="1">
        <v>679.61749999999995</v>
      </c>
      <c r="J98" s="1">
        <v>568.16166666666663</v>
      </c>
      <c r="K98" s="1">
        <v>161.14000000000001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5.3475000000000001</v>
      </c>
      <c r="T98" s="1">
        <v>162.04416666666665</v>
      </c>
      <c r="U98" s="1">
        <v>516.50249999999994</v>
      </c>
      <c r="V98" s="1">
        <v>769.26166666666666</v>
      </c>
      <c r="W98" s="1">
        <v>839.73333333333323</v>
      </c>
      <c r="X98" s="1">
        <v>863.92333333333329</v>
      </c>
      <c r="Y98" s="1">
        <v>861.94500000000005</v>
      </c>
      <c r="Z98" s="1">
        <v>812.42500000000007</v>
      </c>
      <c r="AA98" s="1">
        <v>758.22833333333335</v>
      </c>
      <c r="AB98" s="26">
        <v>4</v>
      </c>
      <c r="AC98" s="8">
        <f t="shared" si="7"/>
        <v>42605.443333333322</v>
      </c>
      <c r="AM98"/>
      <c r="AN98"/>
    </row>
    <row r="99" spans="1:40" x14ac:dyDescent="0.25">
      <c r="A99" s="3">
        <f t="shared" si="5"/>
        <v>2029</v>
      </c>
      <c r="B99" s="5" t="str">
        <f>PROPER(TEXT(DATEVALUE("1/"&amp;MOD(ROUNDDOWN((ROW()-6+7*3)/3,0),12)+1&amp;"/"&amp;Tabla1[[#This Row],[Año]]),"mmm"))</f>
        <v>Mar</v>
      </c>
      <c r="C99" s="7" t="str">
        <f t="shared" si="6"/>
        <v>Hábil</v>
      </c>
      <c r="D99" s="1">
        <v>777.23380952380955</v>
      </c>
      <c r="E99" s="1">
        <v>747.8097619047619</v>
      </c>
      <c r="F99" s="1">
        <v>722.91357142857146</v>
      </c>
      <c r="G99" s="1">
        <v>698.02428571428572</v>
      </c>
      <c r="H99" s="1">
        <v>691.64547619047619</v>
      </c>
      <c r="I99" s="1">
        <v>710.39976190476193</v>
      </c>
      <c r="J99" s="1">
        <v>735.91809523809525</v>
      </c>
      <c r="K99" s="1">
        <v>722.64095238095229</v>
      </c>
      <c r="L99" s="1">
        <v>637.61285714285714</v>
      </c>
      <c r="M99" s="1">
        <v>406.39833333333331</v>
      </c>
      <c r="N99" s="1">
        <v>277.80166666666668</v>
      </c>
      <c r="O99" s="1">
        <v>285.09047619047618</v>
      </c>
      <c r="P99" s="1">
        <v>123.77285714285715</v>
      </c>
      <c r="Q99" s="1">
        <v>92.608333333333334</v>
      </c>
      <c r="R99" s="1">
        <v>299.13642857142855</v>
      </c>
      <c r="S99" s="1">
        <v>455.46952380952382</v>
      </c>
      <c r="T99" s="1">
        <v>747.55857142857144</v>
      </c>
      <c r="U99" s="1">
        <v>1079.5923809523808</v>
      </c>
      <c r="V99" s="1">
        <v>1066.6104761904762</v>
      </c>
      <c r="W99" s="1">
        <v>976.52190476190469</v>
      </c>
      <c r="X99" s="1">
        <v>970.79452380952387</v>
      </c>
      <c r="Y99" s="1">
        <v>956.94904761904763</v>
      </c>
      <c r="Z99" s="1">
        <v>895.17119047619053</v>
      </c>
      <c r="AA99" s="1">
        <v>830.36285714285714</v>
      </c>
      <c r="AB99" s="26">
        <v>22</v>
      </c>
      <c r="AC99" s="8">
        <f t="shared" si="7"/>
        <v>349976.81714285718</v>
      </c>
      <c r="AM99"/>
      <c r="AN99"/>
    </row>
    <row r="100" spans="1:40" x14ac:dyDescent="0.25">
      <c r="A100" s="3">
        <f t="shared" si="5"/>
        <v>2029</v>
      </c>
      <c r="B100" s="5" t="str">
        <f>PROPER(TEXT(DATEVALUE("1/"&amp;MOD(ROUNDDOWN((ROW()-6+7*3)/3,0),12)+1&amp;"/"&amp;Tabla1[[#This Row],[Año]]),"mmm"))</f>
        <v>Mar</v>
      </c>
      <c r="C100" s="7" t="str">
        <f t="shared" si="6"/>
        <v>Sábado</v>
      </c>
      <c r="D100" s="1">
        <v>813.79875000000004</v>
      </c>
      <c r="E100" s="1">
        <v>785.57749999999999</v>
      </c>
      <c r="F100" s="1">
        <v>753.28625</v>
      </c>
      <c r="G100" s="1">
        <v>734.60500000000002</v>
      </c>
      <c r="H100" s="1">
        <v>726.27</v>
      </c>
      <c r="I100" s="1">
        <v>712.55624999999998</v>
      </c>
      <c r="J100" s="1">
        <v>640.93624999999997</v>
      </c>
      <c r="K100" s="1">
        <v>409.88249999999999</v>
      </c>
      <c r="L100" s="1">
        <v>287.99250000000001</v>
      </c>
      <c r="M100" s="1">
        <v>105.765</v>
      </c>
      <c r="N100" s="1">
        <v>101.39749999999999</v>
      </c>
      <c r="O100" s="1">
        <v>0</v>
      </c>
      <c r="P100" s="1">
        <v>0</v>
      </c>
      <c r="Q100" s="1">
        <v>0</v>
      </c>
      <c r="R100" s="1">
        <v>0</v>
      </c>
      <c r="S100" s="1">
        <v>40.316249999999997</v>
      </c>
      <c r="T100" s="1">
        <v>258.25125000000003</v>
      </c>
      <c r="U100" s="1">
        <v>607.15125</v>
      </c>
      <c r="V100" s="1">
        <v>858.05624999999998</v>
      </c>
      <c r="W100" s="1">
        <v>898.06375000000003</v>
      </c>
      <c r="X100" s="1">
        <v>894.5625</v>
      </c>
      <c r="Y100" s="1">
        <v>881.21</v>
      </c>
      <c r="Z100" s="1">
        <v>841.66875000000005</v>
      </c>
      <c r="AA100" s="1">
        <v>797.22249999999997</v>
      </c>
      <c r="AB100" s="26">
        <v>5</v>
      </c>
      <c r="AC100" s="8">
        <f t="shared" si="7"/>
        <v>60742.85</v>
      </c>
      <c r="AM100"/>
      <c r="AN100"/>
    </row>
    <row r="101" spans="1:40" x14ac:dyDescent="0.25">
      <c r="A101" s="3">
        <f t="shared" si="5"/>
        <v>2029</v>
      </c>
      <c r="B101" s="5" t="str">
        <f>PROPER(TEXT(DATEVALUE("1/"&amp;MOD(ROUNDDOWN((ROW()-6+7*3)/3,0),12)+1&amp;"/"&amp;Tabla1[[#This Row],[Año]]),"mmm"))</f>
        <v>Mar</v>
      </c>
      <c r="C101" s="7" t="str">
        <f t="shared" si="6"/>
        <v>Domingo y Festivo</v>
      </c>
      <c r="D101" s="1">
        <v>767.40749999999991</v>
      </c>
      <c r="E101" s="1">
        <v>745.98</v>
      </c>
      <c r="F101" s="1">
        <v>728.80916666666656</v>
      </c>
      <c r="G101" s="1">
        <v>709.74749999999995</v>
      </c>
      <c r="H101" s="1">
        <v>701.0866666666667</v>
      </c>
      <c r="I101" s="1">
        <v>679.61749999999995</v>
      </c>
      <c r="J101" s="1">
        <v>568.16166666666663</v>
      </c>
      <c r="K101" s="1">
        <v>161.14000000000001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5.3475000000000001</v>
      </c>
      <c r="T101" s="1">
        <v>162.04416666666665</v>
      </c>
      <c r="U101" s="1">
        <v>516.50249999999994</v>
      </c>
      <c r="V101" s="1">
        <v>769.26166666666666</v>
      </c>
      <c r="W101" s="1">
        <v>839.73333333333323</v>
      </c>
      <c r="X101" s="1">
        <v>863.92333333333329</v>
      </c>
      <c r="Y101" s="1">
        <v>861.94500000000005</v>
      </c>
      <c r="Z101" s="1">
        <v>812.42500000000007</v>
      </c>
      <c r="AA101" s="1">
        <v>758.22833333333335</v>
      </c>
      <c r="AB101" s="26">
        <v>4</v>
      </c>
      <c r="AC101" s="8">
        <f t="shared" si="7"/>
        <v>42605.443333333322</v>
      </c>
      <c r="AM101"/>
      <c r="AN101"/>
    </row>
    <row r="102" spans="1:40" x14ac:dyDescent="0.25">
      <c r="A102" s="3">
        <f t="shared" si="5"/>
        <v>2029</v>
      </c>
      <c r="B102" s="5" t="str">
        <f>PROPER(TEXT(DATEVALUE("1/"&amp;MOD(ROUNDDOWN((ROW()-6+7*3)/3,0),12)+1&amp;"/"&amp;Tabla1[[#This Row],[Año]]),"mmm"))</f>
        <v>Abr</v>
      </c>
      <c r="C102" s="7" t="str">
        <f t="shared" ref="C102:C133" si="8">CHOOSE(MOD(ROW()-6,3)+1,"Hábil","Sábado","Domingo y Festivo")</f>
        <v>Hábil</v>
      </c>
      <c r="D102" s="1">
        <v>777.23380952380955</v>
      </c>
      <c r="E102" s="1">
        <v>747.8097619047619</v>
      </c>
      <c r="F102" s="1">
        <v>722.91357142857146</v>
      </c>
      <c r="G102" s="1">
        <v>698.02428571428572</v>
      </c>
      <c r="H102" s="1">
        <v>691.64547619047619</v>
      </c>
      <c r="I102" s="1">
        <v>710.39976190476193</v>
      </c>
      <c r="J102" s="1">
        <v>735.91809523809525</v>
      </c>
      <c r="K102" s="1">
        <v>722.64095238095229</v>
      </c>
      <c r="L102" s="1">
        <v>637.61285714285714</v>
      </c>
      <c r="M102" s="1">
        <v>406.39833333333331</v>
      </c>
      <c r="N102" s="1">
        <v>277.80166666666668</v>
      </c>
      <c r="O102" s="1">
        <v>285.09047619047618</v>
      </c>
      <c r="P102" s="1">
        <v>123.77285714285715</v>
      </c>
      <c r="Q102" s="1">
        <v>92.608333333333334</v>
      </c>
      <c r="R102" s="1">
        <v>299.13642857142855</v>
      </c>
      <c r="S102" s="1">
        <v>455.46952380952382</v>
      </c>
      <c r="T102" s="1">
        <v>747.55857142857144</v>
      </c>
      <c r="U102" s="1">
        <v>1079.5923809523808</v>
      </c>
      <c r="V102" s="1">
        <v>1066.6104761904762</v>
      </c>
      <c r="W102" s="1">
        <v>976.52190476190469</v>
      </c>
      <c r="X102" s="1">
        <v>970.79452380952387</v>
      </c>
      <c r="Y102" s="1">
        <v>956.94904761904763</v>
      </c>
      <c r="Z102" s="1">
        <v>895.17119047619053</v>
      </c>
      <c r="AA102" s="1">
        <v>830.36285714285714</v>
      </c>
      <c r="AB102" s="26">
        <v>21</v>
      </c>
      <c r="AC102" s="8">
        <f t="shared" si="7"/>
        <v>334068.78000000003</v>
      </c>
      <c r="AM102"/>
      <c r="AN102"/>
    </row>
    <row r="103" spans="1:40" x14ac:dyDescent="0.25">
      <c r="A103" s="3">
        <f t="shared" si="5"/>
        <v>2029</v>
      </c>
      <c r="B103" s="5" t="str">
        <f>PROPER(TEXT(DATEVALUE("1/"&amp;MOD(ROUNDDOWN((ROW()-6+7*3)/3,0),12)+1&amp;"/"&amp;Tabla1[[#This Row],[Año]]),"mmm"))</f>
        <v>Abr</v>
      </c>
      <c r="C103" s="7" t="str">
        <f t="shared" si="8"/>
        <v>Sábado</v>
      </c>
      <c r="D103" s="1">
        <v>813.79875000000004</v>
      </c>
      <c r="E103" s="1">
        <v>785.57749999999999</v>
      </c>
      <c r="F103" s="1">
        <v>753.28625</v>
      </c>
      <c r="G103" s="1">
        <v>734.60500000000002</v>
      </c>
      <c r="H103" s="1">
        <v>726.27</v>
      </c>
      <c r="I103" s="1">
        <v>712.55624999999998</v>
      </c>
      <c r="J103" s="1">
        <v>640.93624999999997</v>
      </c>
      <c r="K103" s="1">
        <v>409.88249999999999</v>
      </c>
      <c r="L103" s="1">
        <v>287.99250000000001</v>
      </c>
      <c r="M103" s="1">
        <v>105.765</v>
      </c>
      <c r="N103" s="1">
        <v>101.39749999999999</v>
      </c>
      <c r="O103" s="1">
        <v>0</v>
      </c>
      <c r="P103" s="1">
        <v>0</v>
      </c>
      <c r="Q103" s="1">
        <v>0</v>
      </c>
      <c r="R103" s="1">
        <v>0</v>
      </c>
      <c r="S103" s="1">
        <v>40.316249999999997</v>
      </c>
      <c r="T103" s="1">
        <v>258.25125000000003</v>
      </c>
      <c r="U103" s="1">
        <v>607.15125</v>
      </c>
      <c r="V103" s="1">
        <v>858.05624999999998</v>
      </c>
      <c r="W103" s="1">
        <v>898.06375000000003</v>
      </c>
      <c r="X103" s="1">
        <v>894.5625</v>
      </c>
      <c r="Y103" s="1">
        <v>881.21</v>
      </c>
      <c r="Z103" s="1">
        <v>841.66875000000005</v>
      </c>
      <c r="AA103" s="1">
        <v>797.22249999999997</v>
      </c>
      <c r="AB103" s="26">
        <v>4</v>
      </c>
      <c r="AC103" s="8">
        <f t="shared" si="7"/>
        <v>48594.28</v>
      </c>
      <c r="AM103"/>
      <c r="AN103"/>
    </row>
    <row r="104" spans="1:40" x14ac:dyDescent="0.25">
      <c r="A104" s="3">
        <f t="shared" si="5"/>
        <v>2029</v>
      </c>
      <c r="B104" s="5" t="str">
        <f>PROPER(TEXT(DATEVALUE("1/"&amp;MOD(ROUNDDOWN((ROW()-6+7*3)/3,0),12)+1&amp;"/"&amp;Tabla1[[#This Row],[Año]]),"mmm"))</f>
        <v>Abr</v>
      </c>
      <c r="C104" s="7" t="str">
        <f t="shared" si="8"/>
        <v>Domingo y Festivo</v>
      </c>
      <c r="D104" s="1">
        <v>767.40749999999991</v>
      </c>
      <c r="E104" s="1">
        <v>745.98</v>
      </c>
      <c r="F104" s="1">
        <v>728.80916666666656</v>
      </c>
      <c r="G104" s="1">
        <v>709.74749999999995</v>
      </c>
      <c r="H104" s="1">
        <v>701.0866666666667</v>
      </c>
      <c r="I104" s="1">
        <v>679.61749999999995</v>
      </c>
      <c r="J104" s="1">
        <v>568.16166666666663</v>
      </c>
      <c r="K104" s="1">
        <v>161.14000000000001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5.3475000000000001</v>
      </c>
      <c r="T104" s="1">
        <v>162.04416666666665</v>
      </c>
      <c r="U104" s="1">
        <v>516.50249999999994</v>
      </c>
      <c r="V104" s="1">
        <v>769.26166666666666</v>
      </c>
      <c r="W104" s="1">
        <v>839.73333333333323</v>
      </c>
      <c r="X104" s="1">
        <v>863.92333333333329</v>
      </c>
      <c r="Y104" s="1">
        <v>861.94500000000005</v>
      </c>
      <c r="Z104" s="1">
        <v>812.42500000000007</v>
      </c>
      <c r="AA104" s="1">
        <v>758.22833333333335</v>
      </c>
      <c r="AB104" s="26">
        <v>5</v>
      </c>
      <c r="AC104" s="8">
        <f t="shared" si="7"/>
        <v>53256.804166666654</v>
      </c>
      <c r="AM104"/>
      <c r="AN104"/>
    </row>
    <row r="105" spans="1:40" x14ac:dyDescent="0.25">
      <c r="A105" s="3">
        <f t="shared" si="5"/>
        <v>2029</v>
      </c>
      <c r="B105" s="5" t="str">
        <f>PROPER(TEXT(DATEVALUE("1/"&amp;MOD(ROUNDDOWN((ROW()-6+7*3)/3,0),12)+1&amp;"/"&amp;Tabla1[[#This Row],[Año]]),"mmm"))</f>
        <v>May</v>
      </c>
      <c r="C105" s="7" t="str">
        <f t="shared" si="8"/>
        <v>Hábil</v>
      </c>
      <c r="D105" s="1">
        <v>777.23380952380955</v>
      </c>
      <c r="E105" s="1">
        <v>747.8097619047619</v>
      </c>
      <c r="F105" s="1">
        <v>722.91357142857146</v>
      </c>
      <c r="G105" s="1">
        <v>698.02428571428572</v>
      </c>
      <c r="H105" s="1">
        <v>691.64547619047619</v>
      </c>
      <c r="I105" s="1">
        <v>710.39976190476193</v>
      </c>
      <c r="J105" s="1">
        <v>735.91809523809525</v>
      </c>
      <c r="K105" s="1">
        <v>722.64095238095229</v>
      </c>
      <c r="L105" s="1">
        <v>637.61285714285714</v>
      </c>
      <c r="M105" s="1">
        <v>406.39833333333331</v>
      </c>
      <c r="N105" s="1">
        <v>277.80166666666668</v>
      </c>
      <c r="O105" s="1">
        <v>285.09047619047618</v>
      </c>
      <c r="P105" s="1">
        <v>123.77285714285715</v>
      </c>
      <c r="Q105" s="1">
        <v>92.608333333333334</v>
      </c>
      <c r="R105" s="1">
        <v>299.13642857142855</v>
      </c>
      <c r="S105" s="1">
        <v>455.46952380952382</v>
      </c>
      <c r="T105" s="1">
        <v>747.55857142857144</v>
      </c>
      <c r="U105" s="1">
        <v>1079.5923809523808</v>
      </c>
      <c r="V105" s="1">
        <v>1066.6104761904762</v>
      </c>
      <c r="W105" s="1">
        <v>976.52190476190469</v>
      </c>
      <c r="X105" s="1">
        <v>970.79452380952387</v>
      </c>
      <c r="Y105" s="1">
        <v>956.94904761904763</v>
      </c>
      <c r="Z105" s="1">
        <v>895.17119047619053</v>
      </c>
      <c r="AA105" s="1">
        <v>830.36285714285714</v>
      </c>
      <c r="AB105" s="26">
        <v>23</v>
      </c>
      <c r="AC105" s="8">
        <f t="shared" si="7"/>
        <v>365884.85428571433</v>
      </c>
      <c r="AM105"/>
      <c r="AN105"/>
    </row>
    <row r="106" spans="1:40" x14ac:dyDescent="0.25">
      <c r="A106" s="3">
        <f t="shared" si="5"/>
        <v>2029</v>
      </c>
      <c r="B106" s="5" t="str">
        <f>PROPER(TEXT(DATEVALUE("1/"&amp;MOD(ROUNDDOWN((ROW()-6+7*3)/3,0),12)+1&amp;"/"&amp;Tabla1[[#This Row],[Año]]),"mmm"))</f>
        <v>May</v>
      </c>
      <c r="C106" s="7" t="str">
        <f t="shared" si="8"/>
        <v>Sábado</v>
      </c>
      <c r="D106" s="1">
        <v>813.79875000000004</v>
      </c>
      <c r="E106" s="1">
        <v>785.57749999999999</v>
      </c>
      <c r="F106" s="1">
        <v>753.28625</v>
      </c>
      <c r="G106" s="1">
        <v>734.60500000000002</v>
      </c>
      <c r="H106" s="1">
        <v>726.27</v>
      </c>
      <c r="I106" s="1">
        <v>712.55624999999998</v>
      </c>
      <c r="J106" s="1">
        <v>640.93624999999997</v>
      </c>
      <c r="K106" s="1">
        <v>409.88249999999999</v>
      </c>
      <c r="L106" s="1">
        <v>287.99250000000001</v>
      </c>
      <c r="M106" s="1">
        <v>105.765</v>
      </c>
      <c r="N106" s="1">
        <v>101.39749999999999</v>
      </c>
      <c r="O106" s="1">
        <v>0</v>
      </c>
      <c r="P106" s="1">
        <v>0</v>
      </c>
      <c r="Q106" s="1">
        <v>0</v>
      </c>
      <c r="R106" s="1">
        <v>0</v>
      </c>
      <c r="S106" s="1">
        <v>40.316249999999997</v>
      </c>
      <c r="T106" s="1">
        <v>258.25125000000003</v>
      </c>
      <c r="U106" s="1">
        <v>607.15125</v>
      </c>
      <c r="V106" s="1">
        <v>858.05624999999998</v>
      </c>
      <c r="W106" s="1">
        <v>898.06375000000003</v>
      </c>
      <c r="X106" s="1">
        <v>894.5625</v>
      </c>
      <c r="Y106" s="1">
        <v>881.21</v>
      </c>
      <c r="Z106" s="1">
        <v>841.66875000000005</v>
      </c>
      <c r="AA106" s="1">
        <v>797.22249999999997</v>
      </c>
      <c r="AB106" s="26">
        <v>4</v>
      </c>
      <c r="AC106" s="8">
        <f t="shared" si="7"/>
        <v>48594.28</v>
      </c>
      <c r="AM106"/>
      <c r="AN106"/>
    </row>
    <row r="107" spans="1:40" x14ac:dyDescent="0.25">
      <c r="A107" s="3">
        <f t="shared" si="5"/>
        <v>2029</v>
      </c>
      <c r="B107" s="5" t="str">
        <f>PROPER(TEXT(DATEVALUE("1/"&amp;MOD(ROUNDDOWN((ROW()-6+7*3)/3,0),12)+1&amp;"/"&amp;Tabla1[[#This Row],[Año]]),"mmm"))</f>
        <v>May</v>
      </c>
      <c r="C107" s="7" t="str">
        <f t="shared" si="8"/>
        <v>Domingo y Festivo</v>
      </c>
      <c r="D107" s="1">
        <v>767.40749999999991</v>
      </c>
      <c r="E107" s="1">
        <v>745.98</v>
      </c>
      <c r="F107" s="1">
        <v>728.80916666666656</v>
      </c>
      <c r="G107" s="1">
        <v>709.74749999999995</v>
      </c>
      <c r="H107" s="1">
        <v>701.0866666666667</v>
      </c>
      <c r="I107" s="1">
        <v>679.61749999999995</v>
      </c>
      <c r="J107" s="1">
        <v>568.16166666666663</v>
      </c>
      <c r="K107" s="1">
        <v>161.14000000000001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5.3475000000000001</v>
      </c>
      <c r="T107" s="1">
        <v>162.04416666666665</v>
      </c>
      <c r="U107" s="1">
        <v>516.50249999999994</v>
      </c>
      <c r="V107" s="1">
        <v>769.26166666666666</v>
      </c>
      <c r="W107" s="1">
        <v>839.73333333333323</v>
      </c>
      <c r="X107" s="1">
        <v>863.92333333333329</v>
      </c>
      <c r="Y107" s="1">
        <v>861.94500000000005</v>
      </c>
      <c r="Z107" s="1">
        <v>812.42500000000007</v>
      </c>
      <c r="AA107" s="1">
        <v>758.22833333333335</v>
      </c>
      <c r="AB107" s="26">
        <v>4</v>
      </c>
      <c r="AC107" s="8">
        <f t="shared" si="7"/>
        <v>42605.443333333322</v>
      </c>
      <c r="AM107"/>
      <c r="AN107"/>
    </row>
    <row r="108" spans="1:40" x14ac:dyDescent="0.25">
      <c r="A108" s="3">
        <f t="shared" si="5"/>
        <v>2029</v>
      </c>
      <c r="B108" s="5" t="str">
        <f>PROPER(TEXT(DATEVALUE("1/"&amp;MOD(ROUNDDOWN((ROW()-6+7*3)/3,0),12)+1&amp;"/"&amp;Tabla1[[#This Row],[Año]]),"mmm"))</f>
        <v>Jun</v>
      </c>
      <c r="C108" s="7" t="str">
        <f t="shared" si="8"/>
        <v>Hábil</v>
      </c>
      <c r="D108" s="1">
        <v>777.23380952380955</v>
      </c>
      <c r="E108" s="1">
        <v>747.8097619047619</v>
      </c>
      <c r="F108" s="1">
        <v>722.91357142857146</v>
      </c>
      <c r="G108" s="1">
        <v>698.02428571428572</v>
      </c>
      <c r="H108" s="1">
        <v>691.64547619047619</v>
      </c>
      <c r="I108" s="1">
        <v>710.39976190476193</v>
      </c>
      <c r="J108" s="1">
        <v>735.91809523809525</v>
      </c>
      <c r="K108" s="1">
        <v>722.64095238095229</v>
      </c>
      <c r="L108" s="1">
        <v>637.61285714285714</v>
      </c>
      <c r="M108" s="1">
        <v>406.39833333333331</v>
      </c>
      <c r="N108" s="1">
        <v>277.80166666666668</v>
      </c>
      <c r="O108" s="1">
        <v>285.09047619047618</v>
      </c>
      <c r="P108" s="1">
        <v>123.77285714285715</v>
      </c>
      <c r="Q108" s="1">
        <v>92.608333333333334</v>
      </c>
      <c r="R108" s="1">
        <v>299.13642857142855</v>
      </c>
      <c r="S108" s="1">
        <v>455.46952380952382</v>
      </c>
      <c r="T108" s="1">
        <v>747.55857142857144</v>
      </c>
      <c r="U108" s="1">
        <v>1079.5923809523808</v>
      </c>
      <c r="V108" s="1">
        <v>1066.6104761904762</v>
      </c>
      <c r="W108" s="1">
        <v>976.52190476190469</v>
      </c>
      <c r="X108" s="1">
        <v>970.79452380952387</v>
      </c>
      <c r="Y108" s="1">
        <v>956.94904761904763</v>
      </c>
      <c r="Z108" s="1">
        <v>895.17119047619053</v>
      </c>
      <c r="AA108" s="1">
        <v>830.36285714285714</v>
      </c>
      <c r="AB108" s="26">
        <v>21</v>
      </c>
      <c r="AC108" s="8">
        <f t="shared" si="7"/>
        <v>334068.78000000003</v>
      </c>
      <c r="AM108"/>
      <c r="AN108"/>
    </row>
    <row r="109" spans="1:40" x14ac:dyDescent="0.25">
      <c r="A109" s="3">
        <f t="shared" si="5"/>
        <v>2029</v>
      </c>
      <c r="B109" s="5" t="str">
        <f>PROPER(TEXT(DATEVALUE("1/"&amp;MOD(ROUNDDOWN((ROW()-6+7*3)/3,0),12)+1&amp;"/"&amp;Tabla1[[#This Row],[Año]]),"mmm"))</f>
        <v>Jun</v>
      </c>
      <c r="C109" s="7" t="str">
        <f t="shared" si="8"/>
        <v>Sábado</v>
      </c>
      <c r="D109" s="1">
        <v>813.79875000000004</v>
      </c>
      <c r="E109" s="1">
        <v>785.57749999999999</v>
      </c>
      <c r="F109" s="1">
        <v>753.28625</v>
      </c>
      <c r="G109" s="1">
        <v>734.60500000000002</v>
      </c>
      <c r="H109" s="1">
        <v>726.27</v>
      </c>
      <c r="I109" s="1">
        <v>712.55624999999998</v>
      </c>
      <c r="J109" s="1">
        <v>640.93624999999997</v>
      </c>
      <c r="K109" s="1">
        <v>409.88249999999999</v>
      </c>
      <c r="L109" s="1">
        <v>287.99250000000001</v>
      </c>
      <c r="M109" s="1">
        <v>105.765</v>
      </c>
      <c r="N109" s="1">
        <v>101.39749999999999</v>
      </c>
      <c r="O109" s="1">
        <v>0</v>
      </c>
      <c r="P109" s="1">
        <v>0</v>
      </c>
      <c r="Q109" s="1">
        <v>0</v>
      </c>
      <c r="R109" s="1">
        <v>0</v>
      </c>
      <c r="S109" s="1">
        <v>40.316249999999997</v>
      </c>
      <c r="T109" s="1">
        <v>258.25125000000003</v>
      </c>
      <c r="U109" s="1">
        <v>607.15125</v>
      </c>
      <c r="V109" s="1">
        <v>858.05624999999998</v>
      </c>
      <c r="W109" s="1">
        <v>898.06375000000003</v>
      </c>
      <c r="X109" s="1">
        <v>894.5625</v>
      </c>
      <c r="Y109" s="1">
        <v>881.21</v>
      </c>
      <c r="Z109" s="1">
        <v>841.66875000000005</v>
      </c>
      <c r="AA109" s="1">
        <v>797.22249999999997</v>
      </c>
      <c r="AB109" s="26">
        <v>5</v>
      </c>
      <c r="AC109" s="8">
        <f t="shared" si="7"/>
        <v>60742.85</v>
      </c>
      <c r="AM109"/>
      <c r="AN109"/>
    </row>
    <row r="110" spans="1:40" x14ac:dyDescent="0.25">
      <c r="A110" s="3">
        <f t="shared" si="5"/>
        <v>2029</v>
      </c>
      <c r="B110" s="5" t="str">
        <f>PROPER(TEXT(DATEVALUE("1/"&amp;MOD(ROUNDDOWN((ROW()-6+7*3)/3,0),12)+1&amp;"/"&amp;Tabla1[[#This Row],[Año]]),"mmm"))</f>
        <v>Jun</v>
      </c>
      <c r="C110" s="7" t="str">
        <f t="shared" si="8"/>
        <v>Domingo y Festivo</v>
      </c>
      <c r="D110" s="1">
        <v>767.40749999999991</v>
      </c>
      <c r="E110" s="1">
        <v>745.98</v>
      </c>
      <c r="F110" s="1">
        <v>728.80916666666656</v>
      </c>
      <c r="G110" s="1">
        <v>709.74749999999995</v>
      </c>
      <c r="H110" s="1">
        <v>701.0866666666667</v>
      </c>
      <c r="I110" s="1">
        <v>679.61749999999995</v>
      </c>
      <c r="J110" s="1">
        <v>568.16166666666663</v>
      </c>
      <c r="K110" s="1">
        <v>161.14000000000001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5.3475000000000001</v>
      </c>
      <c r="T110" s="1">
        <v>162.04416666666665</v>
      </c>
      <c r="U110" s="1">
        <v>516.50249999999994</v>
      </c>
      <c r="V110" s="1">
        <v>769.26166666666666</v>
      </c>
      <c r="W110" s="1">
        <v>839.73333333333323</v>
      </c>
      <c r="X110" s="1">
        <v>863.92333333333329</v>
      </c>
      <c r="Y110" s="1">
        <v>861.94500000000005</v>
      </c>
      <c r="Z110" s="1">
        <v>812.42500000000007</v>
      </c>
      <c r="AA110" s="1">
        <v>758.22833333333335</v>
      </c>
      <c r="AB110" s="26">
        <v>4</v>
      </c>
      <c r="AC110" s="8">
        <f t="shared" si="7"/>
        <v>42605.443333333322</v>
      </c>
      <c r="AM110"/>
      <c r="AN110"/>
    </row>
    <row r="111" spans="1:40" x14ac:dyDescent="0.25">
      <c r="A111" s="3">
        <f t="shared" si="5"/>
        <v>2029</v>
      </c>
      <c r="B111" s="5" t="str">
        <f>PROPER(TEXT(DATEVALUE("1/"&amp;MOD(ROUNDDOWN((ROW()-6+7*3)/3,0),12)+1&amp;"/"&amp;Tabla1[[#This Row],[Año]]),"mmm"))</f>
        <v>Jul</v>
      </c>
      <c r="C111" s="7" t="str">
        <f t="shared" si="8"/>
        <v>Hábil</v>
      </c>
      <c r="D111" s="1">
        <v>777.23380952380955</v>
      </c>
      <c r="E111" s="1">
        <v>747.8097619047619</v>
      </c>
      <c r="F111" s="1">
        <v>722.91357142857146</v>
      </c>
      <c r="G111" s="1">
        <v>698.02428571428572</v>
      </c>
      <c r="H111" s="1">
        <v>691.64547619047619</v>
      </c>
      <c r="I111" s="1">
        <v>710.39976190476193</v>
      </c>
      <c r="J111" s="1">
        <v>735.91809523809525</v>
      </c>
      <c r="K111" s="1">
        <v>722.64095238095229</v>
      </c>
      <c r="L111" s="1">
        <v>637.61285714285714</v>
      </c>
      <c r="M111" s="1">
        <v>406.39833333333331</v>
      </c>
      <c r="N111" s="1">
        <v>277.80166666666668</v>
      </c>
      <c r="O111" s="1">
        <v>285.09047619047618</v>
      </c>
      <c r="P111" s="1">
        <v>123.77285714285715</v>
      </c>
      <c r="Q111" s="1">
        <v>92.608333333333334</v>
      </c>
      <c r="R111" s="1">
        <v>299.13642857142855</v>
      </c>
      <c r="S111" s="1">
        <v>455.46952380952382</v>
      </c>
      <c r="T111" s="1">
        <v>747.55857142857144</v>
      </c>
      <c r="U111" s="1">
        <v>1079.5923809523808</v>
      </c>
      <c r="V111" s="1">
        <v>1066.6104761904762</v>
      </c>
      <c r="W111" s="1">
        <v>976.52190476190469</v>
      </c>
      <c r="X111" s="1">
        <v>970.79452380952387</v>
      </c>
      <c r="Y111" s="1">
        <v>956.94904761904763</v>
      </c>
      <c r="Z111" s="1">
        <v>895.17119047619053</v>
      </c>
      <c r="AA111" s="1">
        <v>830.36285714285714</v>
      </c>
      <c r="AB111" s="26">
        <v>22</v>
      </c>
      <c r="AC111" s="8">
        <f t="shared" si="7"/>
        <v>349976.81714285718</v>
      </c>
      <c r="AM111"/>
      <c r="AN111"/>
    </row>
    <row r="112" spans="1:40" x14ac:dyDescent="0.25">
      <c r="A112" s="3">
        <f t="shared" si="5"/>
        <v>2029</v>
      </c>
      <c r="B112" s="5" t="str">
        <f>PROPER(TEXT(DATEVALUE("1/"&amp;MOD(ROUNDDOWN((ROW()-6+7*3)/3,0),12)+1&amp;"/"&amp;Tabla1[[#This Row],[Año]]),"mmm"))</f>
        <v>Jul</v>
      </c>
      <c r="C112" s="7" t="str">
        <f t="shared" si="8"/>
        <v>Sábado</v>
      </c>
      <c r="D112" s="1">
        <v>813.79875000000004</v>
      </c>
      <c r="E112" s="1">
        <v>785.57749999999999</v>
      </c>
      <c r="F112" s="1">
        <v>753.28625</v>
      </c>
      <c r="G112" s="1">
        <v>734.60500000000002</v>
      </c>
      <c r="H112" s="1">
        <v>726.27</v>
      </c>
      <c r="I112" s="1">
        <v>712.55624999999998</v>
      </c>
      <c r="J112" s="1">
        <v>640.93624999999997</v>
      </c>
      <c r="K112" s="1">
        <v>409.88249999999999</v>
      </c>
      <c r="L112" s="1">
        <v>287.99250000000001</v>
      </c>
      <c r="M112" s="1">
        <v>105.765</v>
      </c>
      <c r="N112" s="1">
        <v>101.39749999999999</v>
      </c>
      <c r="O112" s="1">
        <v>0</v>
      </c>
      <c r="P112" s="1">
        <v>0</v>
      </c>
      <c r="Q112" s="1">
        <v>0</v>
      </c>
      <c r="R112" s="1">
        <v>0</v>
      </c>
      <c r="S112" s="1">
        <v>40.316249999999997</v>
      </c>
      <c r="T112" s="1">
        <v>258.25125000000003</v>
      </c>
      <c r="U112" s="1">
        <v>607.15125</v>
      </c>
      <c r="V112" s="1">
        <v>858.05624999999998</v>
      </c>
      <c r="W112" s="1">
        <v>898.06375000000003</v>
      </c>
      <c r="X112" s="1">
        <v>894.5625</v>
      </c>
      <c r="Y112" s="1">
        <v>881.21</v>
      </c>
      <c r="Z112" s="1">
        <v>841.66875000000005</v>
      </c>
      <c r="AA112" s="1">
        <v>797.22249999999997</v>
      </c>
      <c r="AB112" s="26">
        <v>4</v>
      </c>
      <c r="AC112" s="8">
        <f t="shared" si="7"/>
        <v>48594.28</v>
      </c>
      <c r="AM112"/>
      <c r="AN112"/>
    </row>
    <row r="113" spans="1:40" x14ac:dyDescent="0.25">
      <c r="A113" s="3">
        <f t="shared" si="5"/>
        <v>2029</v>
      </c>
      <c r="B113" s="5" t="str">
        <f>PROPER(TEXT(DATEVALUE("1/"&amp;MOD(ROUNDDOWN((ROW()-6+7*3)/3,0),12)+1&amp;"/"&amp;Tabla1[[#This Row],[Año]]),"mmm"))</f>
        <v>Jul</v>
      </c>
      <c r="C113" s="7" t="str">
        <f t="shared" si="8"/>
        <v>Domingo y Festivo</v>
      </c>
      <c r="D113" s="1">
        <v>767.40749999999991</v>
      </c>
      <c r="E113" s="1">
        <v>745.98</v>
      </c>
      <c r="F113" s="1">
        <v>728.80916666666656</v>
      </c>
      <c r="G113" s="1">
        <v>709.74749999999995</v>
      </c>
      <c r="H113" s="1">
        <v>701.0866666666667</v>
      </c>
      <c r="I113" s="1">
        <v>679.61749999999995</v>
      </c>
      <c r="J113" s="1">
        <v>568.16166666666663</v>
      </c>
      <c r="K113" s="1">
        <v>161.14000000000001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5.3475000000000001</v>
      </c>
      <c r="T113" s="1">
        <v>162.04416666666665</v>
      </c>
      <c r="U113" s="1">
        <v>516.50249999999994</v>
      </c>
      <c r="V113" s="1">
        <v>769.26166666666666</v>
      </c>
      <c r="W113" s="1">
        <v>839.73333333333323</v>
      </c>
      <c r="X113" s="1">
        <v>863.92333333333329</v>
      </c>
      <c r="Y113" s="1">
        <v>861.94500000000005</v>
      </c>
      <c r="Z113" s="1">
        <v>812.42500000000007</v>
      </c>
      <c r="AA113" s="1">
        <v>758.22833333333335</v>
      </c>
      <c r="AB113" s="26">
        <v>5</v>
      </c>
      <c r="AC113" s="8">
        <f t="shared" si="7"/>
        <v>53256.804166666654</v>
      </c>
      <c r="AM113"/>
      <c r="AN113"/>
    </row>
    <row r="114" spans="1:40" x14ac:dyDescent="0.25">
      <c r="A114" s="3">
        <f t="shared" si="5"/>
        <v>2029</v>
      </c>
      <c r="B114" s="5" t="str">
        <f>PROPER(TEXT(DATEVALUE("1/"&amp;MOD(ROUNDDOWN((ROW()-6+7*3)/3,0),12)+1&amp;"/"&amp;Tabla1[[#This Row],[Año]]),"mmm"))</f>
        <v>Ago</v>
      </c>
      <c r="C114" s="7" t="str">
        <f t="shared" si="8"/>
        <v>Hábil</v>
      </c>
      <c r="D114" s="1">
        <v>777.23380952380955</v>
      </c>
      <c r="E114" s="1">
        <v>747.8097619047619</v>
      </c>
      <c r="F114" s="1">
        <v>722.91357142857146</v>
      </c>
      <c r="G114" s="1">
        <v>698.02428571428572</v>
      </c>
      <c r="H114" s="1">
        <v>691.64547619047619</v>
      </c>
      <c r="I114" s="1">
        <v>710.39976190476193</v>
      </c>
      <c r="J114" s="1">
        <v>735.91809523809525</v>
      </c>
      <c r="K114" s="1">
        <v>722.64095238095229</v>
      </c>
      <c r="L114" s="1">
        <v>637.61285714285714</v>
      </c>
      <c r="M114" s="1">
        <v>406.39833333333331</v>
      </c>
      <c r="N114" s="1">
        <v>277.80166666666668</v>
      </c>
      <c r="O114" s="1">
        <v>285.09047619047618</v>
      </c>
      <c r="P114" s="1">
        <v>123.77285714285715</v>
      </c>
      <c r="Q114" s="1">
        <v>92.608333333333334</v>
      </c>
      <c r="R114" s="1">
        <v>299.13642857142855</v>
      </c>
      <c r="S114" s="1">
        <v>455.46952380952382</v>
      </c>
      <c r="T114" s="1">
        <v>747.55857142857144</v>
      </c>
      <c r="U114" s="1">
        <v>1079.5923809523808</v>
      </c>
      <c r="V114" s="1">
        <v>1066.6104761904762</v>
      </c>
      <c r="W114" s="1">
        <v>976.52190476190469</v>
      </c>
      <c r="X114" s="1">
        <v>970.79452380952387</v>
      </c>
      <c r="Y114" s="1">
        <v>956.94904761904763</v>
      </c>
      <c r="Z114" s="1">
        <v>895.17119047619053</v>
      </c>
      <c r="AA114" s="1">
        <v>830.36285714285714</v>
      </c>
      <c r="AB114" s="26">
        <v>23</v>
      </c>
      <c r="AC114" s="8">
        <f t="shared" si="7"/>
        <v>365884.85428571433</v>
      </c>
      <c r="AM114"/>
      <c r="AN114"/>
    </row>
    <row r="115" spans="1:40" x14ac:dyDescent="0.25">
      <c r="A115" s="3">
        <f t="shared" si="5"/>
        <v>2029</v>
      </c>
      <c r="B115" s="5" t="str">
        <f>PROPER(TEXT(DATEVALUE("1/"&amp;MOD(ROUNDDOWN((ROW()-6+7*3)/3,0),12)+1&amp;"/"&amp;Tabla1[[#This Row],[Año]]),"mmm"))</f>
        <v>Ago</v>
      </c>
      <c r="C115" s="7" t="str">
        <f t="shared" si="8"/>
        <v>Sábado</v>
      </c>
      <c r="D115" s="1">
        <v>813.79875000000004</v>
      </c>
      <c r="E115" s="1">
        <v>785.57749999999999</v>
      </c>
      <c r="F115" s="1">
        <v>753.28625</v>
      </c>
      <c r="G115" s="1">
        <v>734.60500000000002</v>
      </c>
      <c r="H115" s="1">
        <v>726.27</v>
      </c>
      <c r="I115" s="1">
        <v>712.55624999999998</v>
      </c>
      <c r="J115" s="1">
        <v>640.93624999999997</v>
      </c>
      <c r="K115" s="1">
        <v>409.88249999999999</v>
      </c>
      <c r="L115" s="1">
        <v>287.99250000000001</v>
      </c>
      <c r="M115" s="1">
        <v>105.765</v>
      </c>
      <c r="N115" s="1">
        <v>101.39749999999999</v>
      </c>
      <c r="O115" s="1">
        <v>0</v>
      </c>
      <c r="P115" s="1">
        <v>0</v>
      </c>
      <c r="Q115" s="1">
        <v>0</v>
      </c>
      <c r="R115" s="1">
        <v>0</v>
      </c>
      <c r="S115" s="1">
        <v>40.316249999999997</v>
      </c>
      <c r="T115" s="1">
        <v>258.25125000000003</v>
      </c>
      <c r="U115" s="1">
        <v>607.15125</v>
      </c>
      <c r="V115" s="1">
        <v>858.05624999999998</v>
      </c>
      <c r="W115" s="1">
        <v>898.06375000000003</v>
      </c>
      <c r="X115" s="1">
        <v>894.5625</v>
      </c>
      <c r="Y115" s="1">
        <v>881.21</v>
      </c>
      <c r="Z115" s="1">
        <v>841.66875000000005</v>
      </c>
      <c r="AA115" s="1">
        <v>797.22249999999997</v>
      </c>
      <c r="AB115" s="26">
        <v>4</v>
      </c>
      <c r="AC115" s="8">
        <f t="shared" si="7"/>
        <v>48594.28</v>
      </c>
      <c r="AM115"/>
      <c r="AN115"/>
    </row>
    <row r="116" spans="1:40" x14ac:dyDescent="0.25">
      <c r="A116" s="3">
        <f t="shared" si="5"/>
        <v>2029</v>
      </c>
      <c r="B116" s="5" t="str">
        <f>PROPER(TEXT(DATEVALUE("1/"&amp;MOD(ROUNDDOWN((ROW()-6+7*3)/3,0),12)+1&amp;"/"&amp;Tabla1[[#This Row],[Año]]),"mmm"))</f>
        <v>Ago</v>
      </c>
      <c r="C116" s="7" t="str">
        <f t="shared" si="8"/>
        <v>Domingo y Festivo</v>
      </c>
      <c r="D116" s="1">
        <v>767.40749999999991</v>
      </c>
      <c r="E116" s="1">
        <v>745.98</v>
      </c>
      <c r="F116" s="1">
        <v>728.80916666666656</v>
      </c>
      <c r="G116" s="1">
        <v>709.74749999999995</v>
      </c>
      <c r="H116" s="1">
        <v>701.0866666666667</v>
      </c>
      <c r="I116" s="1">
        <v>679.61749999999995</v>
      </c>
      <c r="J116" s="1">
        <v>568.16166666666663</v>
      </c>
      <c r="K116" s="1">
        <v>161.14000000000001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5.3475000000000001</v>
      </c>
      <c r="T116" s="1">
        <v>162.04416666666665</v>
      </c>
      <c r="U116" s="1">
        <v>516.50249999999994</v>
      </c>
      <c r="V116" s="1">
        <v>769.26166666666666</v>
      </c>
      <c r="W116" s="1">
        <v>839.73333333333323</v>
      </c>
      <c r="X116" s="1">
        <v>863.92333333333329</v>
      </c>
      <c r="Y116" s="1">
        <v>861.94500000000005</v>
      </c>
      <c r="Z116" s="1">
        <v>812.42500000000007</v>
      </c>
      <c r="AA116" s="1">
        <v>758.22833333333335</v>
      </c>
      <c r="AB116" s="26">
        <v>4</v>
      </c>
      <c r="AC116" s="8">
        <f t="shared" si="7"/>
        <v>42605.443333333322</v>
      </c>
      <c r="AM116"/>
      <c r="AN116"/>
    </row>
    <row r="117" spans="1:40" x14ac:dyDescent="0.25">
      <c r="A117" s="3">
        <f t="shared" si="5"/>
        <v>2029</v>
      </c>
      <c r="B117" s="5" t="str">
        <f>PROPER(TEXT(DATEVALUE("1/"&amp;MOD(ROUNDDOWN((ROW()-6+7*3)/3,0),12)+1&amp;"/"&amp;Tabla1[[#This Row],[Año]]),"mmm"))</f>
        <v>Sep</v>
      </c>
      <c r="C117" s="7" t="str">
        <f t="shared" si="8"/>
        <v>Hábil</v>
      </c>
      <c r="D117" s="1">
        <v>777.23380952380955</v>
      </c>
      <c r="E117" s="1">
        <v>747.8097619047619</v>
      </c>
      <c r="F117" s="1">
        <v>722.91357142857146</v>
      </c>
      <c r="G117" s="1">
        <v>698.02428571428572</v>
      </c>
      <c r="H117" s="1">
        <v>691.64547619047619</v>
      </c>
      <c r="I117" s="1">
        <v>710.39976190476193</v>
      </c>
      <c r="J117" s="1">
        <v>735.91809523809525</v>
      </c>
      <c r="K117" s="1">
        <v>722.64095238095229</v>
      </c>
      <c r="L117" s="1">
        <v>637.61285714285714</v>
      </c>
      <c r="M117" s="1">
        <v>406.39833333333331</v>
      </c>
      <c r="N117" s="1">
        <v>277.80166666666668</v>
      </c>
      <c r="O117" s="1">
        <v>285.09047619047618</v>
      </c>
      <c r="P117" s="1">
        <v>123.77285714285715</v>
      </c>
      <c r="Q117" s="1">
        <v>92.608333333333334</v>
      </c>
      <c r="R117" s="1">
        <v>299.13642857142855</v>
      </c>
      <c r="S117" s="1">
        <v>455.46952380952382</v>
      </c>
      <c r="T117" s="1">
        <v>747.55857142857144</v>
      </c>
      <c r="U117" s="1">
        <v>1079.5923809523808</v>
      </c>
      <c r="V117" s="1">
        <v>1066.6104761904762</v>
      </c>
      <c r="W117" s="1">
        <v>976.52190476190469</v>
      </c>
      <c r="X117" s="1">
        <v>970.79452380952387</v>
      </c>
      <c r="Y117" s="1">
        <v>956.94904761904763</v>
      </c>
      <c r="Z117" s="1">
        <v>895.17119047619053</v>
      </c>
      <c r="AA117" s="1">
        <v>830.36285714285714</v>
      </c>
      <c r="AB117" s="26">
        <v>20</v>
      </c>
      <c r="AC117" s="8">
        <f t="shared" si="7"/>
        <v>318160.74285714293</v>
      </c>
      <c r="AM117"/>
      <c r="AN117"/>
    </row>
    <row r="118" spans="1:40" x14ac:dyDescent="0.25">
      <c r="A118" s="3">
        <f t="shared" si="5"/>
        <v>2029</v>
      </c>
      <c r="B118" s="5" t="str">
        <f>PROPER(TEXT(DATEVALUE("1/"&amp;MOD(ROUNDDOWN((ROW()-6+7*3)/3,0),12)+1&amp;"/"&amp;Tabla1[[#This Row],[Año]]),"mmm"))</f>
        <v>Sep</v>
      </c>
      <c r="C118" s="7" t="str">
        <f t="shared" si="8"/>
        <v>Sábado</v>
      </c>
      <c r="D118" s="1">
        <v>813.79875000000004</v>
      </c>
      <c r="E118" s="1">
        <v>785.57749999999999</v>
      </c>
      <c r="F118" s="1">
        <v>753.28625</v>
      </c>
      <c r="G118" s="1">
        <v>734.60500000000002</v>
      </c>
      <c r="H118" s="1">
        <v>726.27</v>
      </c>
      <c r="I118" s="1">
        <v>712.55624999999998</v>
      </c>
      <c r="J118" s="1">
        <v>640.93624999999997</v>
      </c>
      <c r="K118" s="1">
        <v>409.88249999999999</v>
      </c>
      <c r="L118" s="1">
        <v>287.99250000000001</v>
      </c>
      <c r="M118" s="1">
        <v>105.765</v>
      </c>
      <c r="N118" s="1">
        <v>101.39749999999999</v>
      </c>
      <c r="O118" s="1">
        <v>0</v>
      </c>
      <c r="P118" s="1">
        <v>0</v>
      </c>
      <c r="Q118" s="1">
        <v>0</v>
      </c>
      <c r="R118" s="1">
        <v>0</v>
      </c>
      <c r="S118" s="1">
        <v>40.316249999999997</v>
      </c>
      <c r="T118" s="1">
        <v>258.25125000000003</v>
      </c>
      <c r="U118" s="1">
        <v>607.15125</v>
      </c>
      <c r="V118" s="1">
        <v>858.05624999999998</v>
      </c>
      <c r="W118" s="1">
        <v>898.06375000000003</v>
      </c>
      <c r="X118" s="1">
        <v>894.5625</v>
      </c>
      <c r="Y118" s="1">
        <v>881.21</v>
      </c>
      <c r="Z118" s="1">
        <v>841.66875000000005</v>
      </c>
      <c r="AA118" s="1">
        <v>797.22249999999997</v>
      </c>
      <c r="AB118" s="26">
        <v>5</v>
      </c>
      <c r="AC118" s="8">
        <f t="shared" si="7"/>
        <v>60742.85</v>
      </c>
      <c r="AM118"/>
      <c r="AN118"/>
    </row>
    <row r="119" spans="1:40" x14ac:dyDescent="0.25">
      <c r="A119" s="3">
        <f t="shared" si="5"/>
        <v>2029</v>
      </c>
      <c r="B119" s="5" t="str">
        <f>PROPER(TEXT(DATEVALUE("1/"&amp;MOD(ROUNDDOWN((ROW()-6+7*3)/3,0),12)+1&amp;"/"&amp;Tabla1[[#This Row],[Año]]),"mmm"))</f>
        <v>Sep</v>
      </c>
      <c r="C119" s="7" t="str">
        <f t="shared" si="8"/>
        <v>Domingo y Festivo</v>
      </c>
      <c r="D119" s="1">
        <v>767.40749999999991</v>
      </c>
      <c r="E119" s="1">
        <v>745.98</v>
      </c>
      <c r="F119" s="1">
        <v>728.80916666666656</v>
      </c>
      <c r="G119" s="1">
        <v>709.74749999999995</v>
      </c>
      <c r="H119" s="1">
        <v>701.0866666666667</v>
      </c>
      <c r="I119" s="1">
        <v>679.61749999999995</v>
      </c>
      <c r="J119" s="1">
        <v>568.16166666666663</v>
      </c>
      <c r="K119" s="1">
        <v>161.14000000000001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5.3475000000000001</v>
      </c>
      <c r="T119" s="1">
        <v>162.04416666666665</v>
      </c>
      <c r="U119" s="1">
        <v>516.50249999999994</v>
      </c>
      <c r="V119" s="1">
        <v>769.26166666666666</v>
      </c>
      <c r="W119" s="1">
        <v>839.73333333333323</v>
      </c>
      <c r="X119" s="1">
        <v>863.92333333333329</v>
      </c>
      <c r="Y119" s="1">
        <v>861.94500000000005</v>
      </c>
      <c r="Z119" s="1">
        <v>812.42500000000007</v>
      </c>
      <c r="AA119" s="1">
        <v>758.22833333333335</v>
      </c>
      <c r="AB119" s="26">
        <v>5</v>
      </c>
      <c r="AC119" s="8">
        <f t="shared" si="7"/>
        <v>53256.804166666654</v>
      </c>
      <c r="AM119"/>
      <c r="AN119"/>
    </row>
    <row r="120" spans="1:40" x14ac:dyDescent="0.25">
      <c r="A120" s="3">
        <f t="shared" si="5"/>
        <v>2029</v>
      </c>
      <c r="B120" s="5" t="str">
        <f>PROPER(TEXT(DATEVALUE("1/"&amp;MOD(ROUNDDOWN((ROW()-6+7*3)/3,0),12)+1&amp;"/"&amp;Tabla1[[#This Row],[Año]]),"mmm"))</f>
        <v>Oct</v>
      </c>
      <c r="C120" s="7" t="str">
        <f t="shared" si="8"/>
        <v>Hábil</v>
      </c>
      <c r="D120" s="1">
        <v>777.23380952380955</v>
      </c>
      <c r="E120" s="1">
        <v>747.8097619047619</v>
      </c>
      <c r="F120" s="1">
        <v>722.91357142857146</v>
      </c>
      <c r="G120" s="1">
        <v>698.02428571428572</v>
      </c>
      <c r="H120" s="1">
        <v>691.64547619047619</v>
      </c>
      <c r="I120" s="1">
        <v>710.39976190476193</v>
      </c>
      <c r="J120" s="1">
        <v>735.91809523809525</v>
      </c>
      <c r="K120" s="1">
        <v>722.64095238095229</v>
      </c>
      <c r="L120" s="1">
        <v>637.61285714285714</v>
      </c>
      <c r="M120" s="1">
        <v>406.39833333333331</v>
      </c>
      <c r="N120" s="1">
        <v>277.80166666666668</v>
      </c>
      <c r="O120" s="1">
        <v>285.09047619047618</v>
      </c>
      <c r="P120" s="1">
        <v>123.77285714285715</v>
      </c>
      <c r="Q120" s="1">
        <v>92.608333333333334</v>
      </c>
      <c r="R120" s="1">
        <v>299.13642857142855</v>
      </c>
      <c r="S120" s="1">
        <v>455.46952380952382</v>
      </c>
      <c r="T120" s="1">
        <v>747.55857142857144</v>
      </c>
      <c r="U120" s="1">
        <v>1079.5923809523808</v>
      </c>
      <c r="V120" s="1">
        <v>1066.6104761904762</v>
      </c>
      <c r="W120" s="1">
        <v>976.52190476190469</v>
      </c>
      <c r="X120" s="1">
        <v>970.79452380952387</v>
      </c>
      <c r="Y120" s="1">
        <v>956.94904761904763</v>
      </c>
      <c r="Z120" s="1">
        <v>895.17119047619053</v>
      </c>
      <c r="AA120" s="1">
        <v>830.36285714285714</v>
      </c>
      <c r="AB120" s="26">
        <v>23</v>
      </c>
      <c r="AC120" s="8">
        <f t="shared" si="7"/>
        <v>365884.85428571433</v>
      </c>
      <c r="AM120"/>
      <c r="AN120"/>
    </row>
    <row r="121" spans="1:40" x14ac:dyDescent="0.25">
      <c r="A121" s="3">
        <f t="shared" si="5"/>
        <v>2029</v>
      </c>
      <c r="B121" s="5" t="str">
        <f>PROPER(TEXT(DATEVALUE("1/"&amp;MOD(ROUNDDOWN((ROW()-6+7*3)/3,0),12)+1&amp;"/"&amp;Tabla1[[#This Row],[Año]]),"mmm"))</f>
        <v>Oct</v>
      </c>
      <c r="C121" s="7" t="str">
        <f t="shared" si="8"/>
        <v>Sábado</v>
      </c>
      <c r="D121" s="1">
        <v>813.79875000000004</v>
      </c>
      <c r="E121" s="1">
        <v>785.57749999999999</v>
      </c>
      <c r="F121" s="1">
        <v>753.28625</v>
      </c>
      <c r="G121" s="1">
        <v>734.60500000000002</v>
      </c>
      <c r="H121" s="1">
        <v>726.27</v>
      </c>
      <c r="I121" s="1">
        <v>712.55624999999998</v>
      </c>
      <c r="J121" s="1">
        <v>640.93624999999997</v>
      </c>
      <c r="K121" s="1">
        <v>409.88249999999999</v>
      </c>
      <c r="L121" s="1">
        <v>287.99250000000001</v>
      </c>
      <c r="M121" s="1">
        <v>105.765</v>
      </c>
      <c r="N121" s="1">
        <v>101.39749999999999</v>
      </c>
      <c r="O121" s="1">
        <v>0</v>
      </c>
      <c r="P121" s="1">
        <v>0</v>
      </c>
      <c r="Q121" s="1">
        <v>0</v>
      </c>
      <c r="R121" s="1">
        <v>0</v>
      </c>
      <c r="S121" s="1">
        <v>40.316249999999997</v>
      </c>
      <c r="T121" s="1">
        <v>258.25125000000003</v>
      </c>
      <c r="U121" s="1">
        <v>607.15125</v>
      </c>
      <c r="V121" s="1">
        <v>858.05624999999998</v>
      </c>
      <c r="W121" s="1">
        <v>898.06375000000003</v>
      </c>
      <c r="X121" s="1">
        <v>894.5625</v>
      </c>
      <c r="Y121" s="1">
        <v>881.21</v>
      </c>
      <c r="Z121" s="1">
        <v>841.66875000000005</v>
      </c>
      <c r="AA121" s="1">
        <v>797.22249999999997</v>
      </c>
      <c r="AB121" s="26">
        <v>4</v>
      </c>
      <c r="AC121" s="8">
        <f t="shared" si="7"/>
        <v>48594.28</v>
      </c>
      <c r="AM121"/>
      <c r="AN121"/>
    </row>
    <row r="122" spans="1:40" x14ac:dyDescent="0.25">
      <c r="A122" s="3">
        <f t="shared" si="5"/>
        <v>2029</v>
      </c>
      <c r="B122" s="5" t="str">
        <f>PROPER(TEXT(DATEVALUE("1/"&amp;MOD(ROUNDDOWN((ROW()-6+7*3)/3,0),12)+1&amp;"/"&amp;Tabla1[[#This Row],[Año]]),"mmm"))</f>
        <v>Oct</v>
      </c>
      <c r="C122" s="7" t="str">
        <f t="shared" si="8"/>
        <v>Domingo y Festivo</v>
      </c>
      <c r="D122" s="1">
        <v>767.40749999999991</v>
      </c>
      <c r="E122" s="1">
        <v>745.98</v>
      </c>
      <c r="F122" s="1">
        <v>728.80916666666656</v>
      </c>
      <c r="G122" s="1">
        <v>709.74749999999995</v>
      </c>
      <c r="H122" s="1">
        <v>701.0866666666667</v>
      </c>
      <c r="I122" s="1">
        <v>679.61749999999995</v>
      </c>
      <c r="J122" s="1">
        <v>568.16166666666663</v>
      </c>
      <c r="K122" s="1">
        <v>161.14000000000001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5.3475000000000001</v>
      </c>
      <c r="T122" s="1">
        <v>162.04416666666665</v>
      </c>
      <c r="U122" s="1">
        <v>516.50249999999994</v>
      </c>
      <c r="V122" s="1">
        <v>769.26166666666666</v>
      </c>
      <c r="W122" s="1">
        <v>839.73333333333323</v>
      </c>
      <c r="X122" s="1">
        <v>863.92333333333329</v>
      </c>
      <c r="Y122" s="1">
        <v>861.94500000000005</v>
      </c>
      <c r="Z122" s="1">
        <v>812.42500000000007</v>
      </c>
      <c r="AA122" s="1">
        <v>758.22833333333335</v>
      </c>
      <c r="AB122" s="26">
        <v>4</v>
      </c>
      <c r="AC122" s="8">
        <f t="shared" si="7"/>
        <v>42605.443333333322</v>
      </c>
      <c r="AM122"/>
      <c r="AN122"/>
    </row>
    <row r="123" spans="1:40" x14ac:dyDescent="0.25">
      <c r="A123" s="3">
        <f t="shared" si="5"/>
        <v>2029</v>
      </c>
      <c r="B123" s="5" t="str">
        <f>PROPER(TEXT(DATEVALUE("1/"&amp;MOD(ROUNDDOWN((ROW()-6+7*3)/3,0),12)+1&amp;"/"&amp;Tabla1[[#This Row],[Año]]),"mmm"))</f>
        <v>Nov</v>
      </c>
      <c r="C123" s="7" t="str">
        <f t="shared" si="8"/>
        <v>Hábil</v>
      </c>
      <c r="D123" s="1">
        <v>777.23380952380955</v>
      </c>
      <c r="E123" s="1">
        <v>747.8097619047619</v>
      </c>
      <c r="F123" s="1">
        <v>722.91357142857146</v>
      </c>
      <c r="G123" s="1">
        <v>698.02428571428572</v>
      </c>
      <c r="H123" s="1">
        <v>691.64547619047619</v>
      </c>
      <c r="I123" s="1">
        <v>710.39976190476193</v>
      </c>
      <c r="J123" s="1">
        <v>735.91809523809525</v>
      </c>
      <c r="K123" s="1">
        <v>722.64095238095229</v>
      </c>
      <c r="L123" s="1">
        <v>637.61285714285714</v>
      </c>
      <c r="M123" s="1">
        <v>406.39833333333331</v>
      </c>
      <c r="N123" s="1">
        <v>277.80166666666668</v>
      </c>
      <c r="O123" s="1">
        <v>285.09047619047618</v>
      </c>
      <c r="P123" s="1">
        <v>123.77285714285715</v>
      </c>
      <c r="Q123" s="1">
        <v>92.608333333333334</v>
      </c>
      <c r="R123" s="1">
        <v>299.13642857142855</v>
      </c>
      <c r="S123" s="1">
        <v>455.46952380952382</v>
      </c>
      <c r="T123" s="1">
        <v>747.55857142857144</v>
      </c>
      <c r="U123" s="1">
        <v>1079.5923809523808</v>
      </c>
      <c r="V123" s="1">
        <v>1066.6104761904762</v>
      </c>
      <c r="W123" s="1">
        <v>976.52190476190469</v>
      </c>
      <c r="X123" s="1">
        <v>970.79452380952387</v>
      </c>
      <c r="Y123" s="1">
        <v>956.94904761904763</v>
      </c>
      <c r="Z123" s="1">
        <v>895.17119047619053</v>
      </c>
      <c r="AA123" s="1">
        <v>830.36285714285714</v>
      </c>
      <c r="AB123" s="26">
        <v>22</v>
      </c>
      <c r="AC123" s="8">
        <f t="shared" si="7"/>
        <v>349976.81714285718</v>
      </c>
      <c r="AM123"/>
      <c r="AN123"/>
    </row>
    <row r="124" spans="1:40" x14ac:dyDescent="0.25">
      <c r="A124" s="3">
        <f t="shared" si="5"/>
        <v>2029</v>
      </c>
      <c r="B124" s="5" t="str">
        <f>PROPER(TEXT(DATEVALUE("1/"&amp;MOD(ROUNDDOWN((ROW()-6+7*3)/3,0),12)+1&amp;"/"&amp;Tabla1[[#This Row],[Año]]),"mmm"))</f>
        <v>Nov</v>
      </c>
      <c r="C124" s="7" t="str">
        <f t="shared" si="8"/>
        <v>Sábado</v>
      </c>
      <c r="D124" s="1">
        <v>813.79875000000004</v>
      </c>
      <c r="E124" s="1">
        <v>785.57749999999999</v>
      </c>
      <c r="F124" s="1">
        <v>753.28625</v>
      </c>
      <c r="G124" s="1">
        <v>734.60500000000002</v>
      </c>
      <c r="H124" s="1">
        <v>726.27</v>
      </c>
      <c r="I124" s="1">
        <v>712.55624999999998</v>
      </c>
      <c r="J124" s="1">
        <v>640.93624999999997</v>
      </c>
      <c r="K124" s="1">
        <v>409.88249999999999</v>
      </c>
      <c r="L124" s="1">
        <v>287.99250000000001</v>
      </c>
      <c r="M124" s="1">
        <v>105.765</v>
      </c>
      <c r="N124" s="1">
        <v>101.39749999999999</v>
      </c>
      <c r="O124" s="1">
        <v>0</v>
      </c>
      <c r="P124" s="1">
        <v>0</v>
      </c>
      <c r="Q124" s="1">
        <v>0</v>
      </c>
      <c r="R124" s="1">
        <v>0</v>
      </c>
      <c r="S124" s="1">
        <v>40.316249999999997</v>
      </c>
      <c r="T124" s="1">
        <v>258.25125000000003</v>
      </c>
      <c r="U124" s="1">
        <v>607.15125</v>
      </c>
      <c r="V124" s="1">
        <v>858.05624999999998</v>
      </c>
      <c r="W124" s="1">
        <v>898.06375000000003</v>
      </c>
      <c r="X124" s="1">
        <v>894.5625</v>
      </c>
      <c r="Y124" s="1">
        <v>881.21</v>
      </c>
      <c r="Z124" s="1">
        <v>841.66875000000005</v>
      </c>
      <c r="AA124" s="1">
        <v>797.22249999999997</v>
      </c>
      <c r="AB124" s="26">
        <v>4</v>
      </c>
      <c r="AC124" s="8">
        <f t="shared" si="7"/>
        <v>48594.28</v>
      </c>
      <c r="AM124"/>
      <c r="AN124"/>
    </row>
    <row r="125" spans="1:40" x14ac:dyDescent="0.25">
      <c r="A125" s="3">
        <f t="shared" si="5"/>
        <v>2029</v>
      </c>
      <c r="B125" s="5" t="str">
        <f>PROPER(TEXT(DATEVALUE("1/"&amp;MOD(ROUNDDOWN((ROW()-6+7*3)/3,0),12)+1&amp;"/"&amp;Tabla1[[#This Row],[Año]]),"mmm"))</f>
        <v>Nov</v>
      </c>
      <c r="C125" s="7" t="str">
        <f t="shared" si="8"/>
        <v>Domingo y Festivo</v>
      </c>
      <c r="D125" s="1">
        <v>767.40749999999991</v>
      </c>
      <c r="E125" s="1">
        <v>745.98</v>
      </c>
      <c r="F125" s="1">
        <v>728.80916666666656</v>
      </c>
      <c r="G125" s="1">
        <v>709.74749999999995</v>
      </c>
      <c r="H125" s="1">
        <v>701.0866666666667</v>
      </c>
      <c r="I125" s="1">
        <v>679.61749999999995</v>
      </c>
      <c r="J125" s="1">
        <v>568.16166666666663</v>
      </c>
      <c r="K125" s="1">
        <v>161.14000000000001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5.3475000000000001</v>
      </c>
      <c r="T125" s="1">
        <v>162.04416666666665</v>
      </c>
      <c r="U125" s="1">
        <v>516.50249999999994</v>
      </c>
      <c r="V125" s="1">
        <v>769.26166666666666</v>
      </c>
      <c r="W125" s="1">
        <v>839.73333333333323</v>
      </c>
      <c r="X125" s="1">
        <v>863.92333333333329</v>
      </c>
      <c r="Y125" s="1">
        <v>861.94500000000005</v>
      </c>
      <c r="Z125" s="1">
        <v>812.42500000000007</v>
      </c>
      <c r="AA125" s="1">
        <v>758.22833333333335</v>
      </c>
      <c r="AB125" s="26">
        <v>4</v>
      </c>
      <c r="AC125" s="8">
        <f t="shared" si="7"/>
        <v>42605.443333333322</v>
      </c>
      <c r="AM125"/>
      <c r="AN125"/>
    </row>
    <row r="126" spans="1:40" x14ac:dyDescent="0.25">
      <c r="A126" s="3">
        <f t="shared" si="5"/>
        <v>2029</v>
      </c>
      <c r="B126" s="5" t="str">
        <f>PROPER(TEXT(DATEVALUE("1/"&amp;MOD(ROUNDDOWN((ROW()-6+7*3)/3,0),12)+1&amp;"/"&amp;Tabla1[[#This Row],[Año]]),"mmm"))</f>
        <v>Dic</v>
      </c>
      <c r="C126" s="7" t="str">
        <f t="shared" si="8"/>
        <v>Hábil</v>
      </c>
      <c r="D126" s="1">
        <v>777.23380952380955</v>
      </c>
      <c r="E126" s="1">
        <v>747.8097619047619</v>
      </c>
      <c r="F126" s="1">
        <v>722.91357142857146</v>
      </c>
      <c r="G126" s="1">
        <v>698.02428571428572</v>
      </c>
      <c r="H126" s="1">
        <v>691.64547619047619</v>
      </c>
      <c r="I126" s="1">
        <v>710.39976190476193</v>
      </c>
      <c r="J126" s="1">
        <v>735.91809523809525</v>
      </c>
      <c r="K126" s="1">
        <v>722.64095238095229</v>
      </c>
      <c r="L126" s="1">
        <v>637.61285714285714</v>
      </c>
      <c r="M126" s="1">
        <v>406.39833333333331</v>
      </c>
      <c r="N126" s="1">
        <v>277.80166666666668</v>
      </c>
      <c r="O126" s="1">
        <v>285.09047619047618</v>
      </c>
      <c r="P126" s="1">
        <v>123.77285714285715</v>
      </c>
      <c r="Q126" s="1">
        <v>92.608333333333334</v>
      </c>
      <c r="R126" s="1">
        <v>299.13642857142855</v>
      </c>
      <c r="S126" s="1">
        <v>455.46952380952382</v>
      </c>
      <c r="T126" s="1">
        <v>747.55857142857144</v>
      </c>
      <c r="U126" s="1">
        <v>1079.5923809523808</v>
      </c>
      <c r="V126" s="1">
        <v>1066.6104761904762</v>
      </c>
      <c r="W126" s="1">
        <v>976.52190476190469</v>
      </c>
      <c r="X126" s="1">
        <v>970.79452380952387</v>
      </c>
      <c r="Y126" s="1">
        <v>956.94904761904763</v>
      </c>
      <c r="Z126" s="1">
        <v>895.17119047619053</v>
      </c>
      <c r="AA126" s="1">
        <v>830.36285714285714</v>
      </c>
      <c r="AB126" s="26">
        <v>21</v>
      </c>
      <c r="AC126" s="8">
        <f t="shared" si="7"/>
        <v>334068.78000000003</v>
      </c>
      <c r="AM126"/>
      <c r="AN126"/>
    </row>
    <row r="127" spans="1:40" x14ac:dyDescent="0.25">
      <c r="A127" s="3">
        <f t="shared" si="5"/>
        <v>2029</v>
      </c>
      <c r="B127" s="5" t="str">
        <f>PROPER(TEXT(DATEVALUE("1/"&amp;MOD(ROUNDDOWN((ROW()-6+7*3)/3,0),12)+1&amp;"/"&amp;Tabla1[[#This Row],[Año]]),"mmm"))</f>
        <v>Dic</v>
      </c>
      <c r="C127" s="7" t="str">
        <f t="shared" si="8"/>
        <v>Sábado</v>
      </c>
      <c r="D127" s="1">
        <v>813.79875000000004</v>
      </c>
      <c r="E127" s="1">
        <v>785.57749999999999</v>
      </c>
      <c r="F127" s="1">
        <v>753.28625</v>
      </c>
      <c r="G127" s="1">
        <v>734.60500000000002</v>
      </c>
      <c r="H127" s="1">
        <v>726.27</v>
      </c>
      <c r="I127" s="1">
        <v>712.55624999999998</v>
      </c>
      <c r="J127" s="1">
        <v>640.93624999999997</v>
      </c>
      <c r="K127" s="1">
        <v>409.88249999999999</v>
      </c>
      <c r="L127" s="1">
        <v>287.99250000000001</v>
      </c>
      <c r="M127" s="1">
        <v>105.765</v>
      </c>
      <c r="N127" s="1">
        <v>101.39749999999999</v>
      </c>
      <c r="O127" s="1">
        <v>0</v>
      </c>
      <c r="P127" s="1">
        <v>0</v>
      </c>
      <c r="Q127" s="1">
        <v>0</v>
      </c>
      <c r="R127" s="1">
        <v>0</v>
      </c>
      <c r="S127" s="1">
        <v>40.316249999999997</v>
      </c>
      <c r="T127" s="1">
        <v>258.25125000000003</v>
      </c>
      <c r="U127" s="1">
        <v>607.15125</v>
      </c>
      <c r="V127" s="1">
        <v>858.05624999999998</v>
      </c>
      <c r="W127" s="1">
        <v>898.06375000000003</v>
      </c>
      <c r="X127" s="1">
        <v>894.5625</v>
      </c>
      <c r="Y127" s="1">
        <v>881.21</v>
      </c>
      <c r="Z127" s="1">
        <v>841.66875000000005</v>
      </c>
      <c r="AA127" s="1">
        <v>797.22249999999997</v>
      </c>
      <c r="AB127" s="26">
        <v>5</v>
      </c>
      <c r="AC127" s="8">
        <f t="shared" si="7"/>
        <v>60742.85</v>
      </c>
      <c r="AM127"/>
      <c r="AN127"/>
    </row>
    <row r="128" spans="1:40" x14ac:dyDescent="0.25">
      <c r="A128" s="3">
        <f t="shared" si="5"/>
        <v>2029</v>
      </c>
      <c r="B128" s="5" t="str">
        <f>PROPER(TEXT(DATEVALUE("1/"&amp;MOD(ROUNDDOWN((ROW()-6+7*3)/3,0),12)+1&amp;"/"&amp;Tabla1[[#This Row],[Año]]),"mmm"))</f>
        <v>Dic</v>
      </c>
      <c r="C128" s="7" t="str">
        <f t="shared" si="8"/>
        <v>Domingo y Festivo</v>
      </c>
      <c r="D128" s="1">
        <v>767.40749999999991</v>
      </c>
      <c r="E128" s="1">
        <v>745.98</v>
      </c>
      <c r="F128" s="1">
        <v>728.80916666666656</v>
      </c>
      <c r="G128" s="1">
        <v>709.74749999999995</v>
      </c>
      <c r="H128" s="1">
        <v>701.0866666666667</v>
      </c>
      <c r="I128" s="1">
        <v>679.61749999999995</v>
      </c>
      <c r="J128" s="1">
        <v>568.16166666666663</v>
      </c>
      <c r="K128" s="1">
        <v>161.14000000000001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5.3475000000000001</v>
      </c>
      <c r="T128" s="1">
        <v>162.04416666666665</v>
      </c>
      <c r="U128" s="1">
        <v>516.50249999999994</v>
      </c>
      <c r="V128" s="1">
        <v>769.26166666666666</v>
      </c>
      <c r="W128" s="1">
        <v>839.73333333333323</v>
      </c>
      <c r="X128" s="1">
        <v>863.92333333333329</v>
      </c>
      <c r="Y128" s="1">
        <v>861.94500000000005</v>
      </c>
      <c r="Z128" s="1">
        <v>812.42500000000007</v>
      </c>
      <c r="AA128" s="1">
        <v>758.22833333333335</v>
      </c>
      <c r="AB128" s="26">
        <v>5</v>
      </c>
      <c r="AC128" s="8">
        <f t="shared" si="7"/>
        <v>53256.804166666654</v>
      </c>
      <c r="AM128"/>
      <c r="AN128"/>
    </row>
    <row r="129" spans="1:40" x14ac:dyDescent="0.25">
      <c r="A129" s="3">
        <f t="shared" si="5"/>
        <v>2030</v>
      </c>
      <c r="B129" s="5" t="str">
        <f>PROPER(TEXT(DATEVALUE("1/"&amp;MOD(ROUNDDOWN((ROW()-6+7*3)/3,0),12)+1&amp;"/"&amp;Tabla1[[#This Row],[Año]]),"mmm"))</f>
        <v>Ene</v>
      </c>
      <c r="C129" s="7" t="str">
        <f t="shared" si="8"/>
        <v>Hábil</v>
      </c>
      <c r="D129" s="1">
        <v>777.23380952380955</v>
      </c>
      <c r="E129" s="1">
        <v>747.8097619047619</v>
      </c>
      <c r="F129" s="1">
        <v>722.91357142857146</v>
      </c>
      <c r="G129" s="1">
        <v>698.02428571428572</v>
      </c>
      <c r="H129" s="1">
        <v>691.64547619047619</v>
      </c>
      <c r="I129" s="1">
        <v>710.39976190476193</v>
      </c>
      <c r="J129" s="1">
        <v>735.91809523809525</v>
      </c>
      <c r="K129" s="1">
        <v>722.64095238095229</v>
      </c>
      <c r="L129" s="1">
        <v>637.61285714285714</v>
      </c>
      <c r="M129" s="1">
        <v>406.39833333333331</v>
      </c>
      <c r="N129" s="1">
        <v>277.80166666666668</v>
      </c>
      <c r="O129" s="1">
        <v>285.09047619047618</v>
      </c>
      <c r="P129" s="1">
        <v>123.77285714285715</v>
      </c>
      <c r="Q129" s="1">
        <v>92.608333333333334</v>
      </c>
      <c r="R129" s="1">
        <v>299.13642857142855</v>
      </c>
      <c r="S129" s="1">
        <v>455.46952380952382</v>
      </c>
      <c r="T129" s="1">
        <v>747.55857142857144</v>
      </c>
      <c r="U129" s="1">
        <v>1079.5923809523808</v>
      </c>
      <c r="V129" s="1">
        <v>1066.6104761904762</v>
      </c>
      <c r="W129" s="1">
        <v>976.52190476190469</v>
      </c>
      <c r="X129" s="1">
        <v>970.79452380952387</v>
      </c>
      <c r="Y129" s="1">
        <v>956.94904761904763</v>
      </c>
      <c r="Z129" s="1">
        <v>895.17119047619053</v>
      </c>
      <c r="AA129" s="1">
        <v>830.36285714285714</v>
      </c>
      <c r="AB129" s="26">
        <v>23</v>
      </c>
      <c r="AC129" s="8">
        <f t="shared" si="7"/>
        <v>365884.85428571433</v>
      </c>
      <c r="AM129"/>
      <c r="AN129"/>
    </row>
    <row r="130" spans="1:40" x14ac:dyDescent="0.25">
      <c r="A130" s="3">
        <f t="shared" si="5"/>
        <v>2030</v>
      </c>
      <c r="B130" s="5" t="str">
        <f>PROPER(TEXT(DATEVALUE("1/"&amp;MOD(ROUNDDOWN((ROW()-6+7*3)/3,0),12)+1&amp;"/"&amp;Tabla1[[#This Row],[Año]]),"mmm"))</f>
        <v>Ene</v>
      </c>
      <c r="C130" s="7" t="str">
        <f t="shared" si="8"/>
        <v>Sábado</v>
      </c>
      <c r="D130" s="1">
        <v>813.79875000000004</v>
      </c>
      <c r="E130" s="1">
        <v>785.57749999999999</v>
      </c>
      <c r="F130" s="1">
        <v>753.28625</v>
      </c>
      <c r="G130" s="1">
        <v>734.60500000000002</v>
      </c>
      <c r="H130" s="1">
        <v>726.27</v>
      </c>
      <c r="I130" s="1">
        <v>712.55624999999998</v>
      </c>
      <c r="J130" s="1">
        <v>640.93624999999997</v>
      </c>
      <c r="K130" s="1">
        <v>409.88249999999999</v>
      </c>
      <c r="L130" s="1">
        <v>287.99250000000001</v>
      </c>
      <c r="M130" s="1">
        <v>105.765</v>
      </c>
      <c r="N130" s="1">
        <v>101.39749999999999</v>
      </c>
      <c r="O130" s="1">
        <v>0</v>
      </c>
      <c r="P130" s="1">
        <v>0</v>
      </c>
      <c r="Q130" s="1">
        <v>0</v>
      </c>
      <c r="R130" s="1">
        <v>0</v>
      </c>
      <c r="S130" s="1">
        <v>40.316249999999997</v>
      </c>
      <c r="T130" s="1">
        <v>258.25125000000003</v>
      </c>
      <c r="U130" s="1">
        <v>607.15125</v>
      </c>
      <c r="V130" s="1">
        <v>858.05624999999998</v>
      </c>
      <c r="W130" s="1">
        <v>898.06375000000003</v>
      </c>
      <c r="X130" s="1">
        <v>894.5625</v>
      </c>
      <c r="Y130" s="1">
        <v>881.21</v>
      </c>
      <c r="Z130" s="1">
        <v>841.66875000000005</v>
      </c>
      <c r="AA130" s="1">
        <v>797.22249999999997</v>
      </c>
      <c r="AB130" s="26">
        <v>4</v>
      </c>
      <c r="AC130" s="8">
        <f t="shared" si="7"/>
        <v>48594.28</v>
      </c>
      <c r="AM130"/>
      <c r="AN130"/>
    </row>
    <row r="131" spans="1:40" x14ac:dyDescent="0.25">
      <c r="A131" s="3">
        <f t="shared" si="5"/>
        <v>2030</v>
      </c>
      <c r="B131" s="5" t="str">
        <f>PROPER(TEXT(DATEVALUE("1/"&amp;MOD(ROUNDDOWN((ROW()-6+7*3)/3,0),12)+1&amp;"/"&amp;Tabla1[[#This Row],[Año]]),"mmm"))</f>
        <v>Ene</v>
      </c>
      <c r="C131" s="7" t="str">
        <f t="shared" si="8"/>
        <v>Domingo y Festivo</v>
      </c>
      <c r="D131" s="1">
        <v>767.40749999999991</v>
      </c>
      <c r="E131" s="1">
        <v>745.98</v>
      </c>
      <c r="F131" s="1">
        <v>728.80916666666656</v>
      </c>
      <c r="G131" s="1">
        <v>709.74749999999995</v>
      </c>
      <c r="H131" s="1">
        <v>701.0866666666667</v>
      </c>
      <c r="I131" s="1">
        <v>679.61749999999995</v>
      </c>
      <c r="J131" s="1">
        <v>568.16166666666663</v>
      </c>
      <c r="K131" s="1">
        <v>161.14000000000001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5.3475000000000001</v>
      </c>
      <c r="T131" s="1">
        <v>162.04416666666665</v>
      </c>
      <c r="U131" s="1">
        <v>516.50249999999994</v>
      </c>
      <c r="V131" s="1">
        <v>769.26166666666666</v>
      </c>
      <c r="W131" s="1">
        <v>839.73333333333323</v>
      </c>
      <c r="X131" s="1">
        <v>863.92333333333329</v>
      </c>
      <c r="Y131" s="1">
        <v>861.94500000000005</v>
      </c>
      <c r="Z131" s="1">
        <v>812.42500000000007</v>
      </c>
      <c r="AA131" s="1">
        <v>758.22833333333335</v>
      </c>
      <c r="AB131" s="26">
        <v>4</v>
      </c>
      <c r="AC131" s="8">
        <f t="shared" si="7"/>
        <v>42605.443333333322</v>
      </c>
      <c r="AM131"/>
      <c r="AN131"/>
    </row>
    <row r="132" spans="1:40" x14ac:dyDescent="0.25">
      <c r="A132" s="3">
        <f t="shared" si="5"/>
        <v>2030</v>
      </c>
      <c r="B132" s="5" t="str">
        <f>PROPER(TEXT(DATEVALUE("1/"&amp;MOD(ROUNDDOWN((ROW()-6+7*3)/3,0),12)+1&amp;"/"&amp;Tabla1[[#This Row],[Año]]),"mmm"))</f>
        <v>Feb</v>
      </c>
      <c r="C132" s="7" t="str">
        <f t="shared" si="8"/>
        <v>Hábil</v>
      </c>
      <c r="D132" s="1">
        <v>777.23380952380955</v>
      </c>
      <c r="E132" s="1">
        <v>747.8097619047619</v>
      </c>
      <c r="F132" s="1">
        <v>722.91357142857146</v>
      </c>
      <c r="G132" s="1">
        <v>698.02428571428572</v>
      </c>
      <c r="H132" s="1">
        <v>691.64547619047619</v>
      </c>
      <c r="I132" s="1">
        <v>710.39976190476193</v>
      </c>
      <c r="J132" s="1">
        <v>735.91809523809525</v>
      </c>
      <c r="K132" s="1">
        <v>722.64095238095229</v>
      </c>
      <c r="L132" s="1">
        <v>637.61285714285714</v>
      </c>
      <c r="M132" s="1">
        <v>406.39833333333331</v>
      </c>
      <c r="N132" s="1">
        <v>277.80166666666668</v>
      </c>
      <c r="O132" s="1">
        <v>285.09047619047618</v>
      </c>
      <c r="P132" s="1">
        <v>123.77285714285715</v>
      </c>
      <c r="Q132" s="1">
        <v>92.608333333333334</v>
      </c>
      <c r="R132" s="1">
        <v>299.13642857142855</v>
      </c>
      <c r="S132" s="1">
        <v>455.46952380952382</v>
      </c>
      <c r="T132" s="1">
        <v>747.55857142857144</v>
      </c>
      <c r="U132" s="1">
        <v>1079.5923809523808</v>
      </c>
      <c r="V132" s="1">
        <v>1066.6104761904762</v>
      </c>
      <c r="W132" s="1">
        <v>976.52190476190469</v>
      </c>
      <c r="X132" s="1">
        <v>970.79452380952387</v>
      </c>
      <c r="Y132" s="1">
        <v>956.94904761904763</v>
      </c>
      <c r="Z132" s="1">
        <v>895.17119047619053</v>
      </c>
      <c r="AA132" s="1">
        <v>830.36285714285714</v>
      </c>
      <c r="AB132" s="26">
        <v>20</v>
      </c>
      <c r="AC132" s="8">
        <f t="shared" si="7"/>
        <v>318160.74285714293</v>
      </c>
      <c r="AM132"/>
      <c r="AN132"/>
    </row>
    <row r="133" spans="1:40" x14ac:dyDescent="0.25">
      <c r="A133" s="3">
        <f t="shared" si="5"/>
        <v>2030</v>
      </c>
      <c r="B133" s="5" t="str">
        <f>PROPER(TEXT(DATEVALUE("1/"&amp;MOD(ROUNDDOWN((ROW()-6+7*3)/3,0),12)+1&amp;"/"&amp;Tabla1[[#This Row],[Año]]),"mmm"))</f>
        <v>Feb</v>
      </c>
      <c r="C133" s="7" t="str">
        <f t="shared" si="8"/>
        <v>Sábado</v>
      </c>
      <c r="D133" s="1">
        <v>813.79875000000004</v>
      </c>
      <c r="E133" s="1">
        <v>785.57749999999999</v>
      </c>
      <c r="F133" s="1">
        <v>753.28625</v>
      </c>
      <c r="G133" s="1">
        <v>734.60500000000002</v>
      </c>
      <c r="H133" s="1">
        <v>726.27</v>
      </c>
      <c r="I133" s="1">
        <v>712.55624999999998</v>
      </c>
      <c r="J133" s="1">
        <v>640.93624999999997</v>
      </c>
      <c r="K133" s="1">
        <v>409.88249999999999</v>
      </c>
      <c r="L133" s="1">
        <v>287.99250000000001</v>
      </c>
      <c r="M133" s="1">
        <v>105.765</v>
      </c>
      <c r="N133" s="1">
        <v>101.39749999999999</v>
      </c>
      <c r="O133" s="1">
        <v>0</v>
      </c>
      <c r="P133" s="1">
        <v>0</v>
      </c>
      <c r="Q133" s="1">
        <v>0</v>
      </c>
      <c r="R133" s="1">
        <v>0</v>
      </c>
      <c r="S133" s="1">
        <v>40.316249999999997</v>
      </c>
      <c r="T133" s="1">
        <v>258.25125000000003</v>
      </c>
      <c r="U133" s="1">
        <v>607.15125</v>
      </c>
      <c r="V133" s="1">
        <v>858.05624999999998</v>
      </c>
      <c r="W133" s="1">
        <v>898.06375000000003</v>
      </c>
      <c r="X133" s="1">
        <v>894.5625</v>
      </c>
      <c r="Y133" s="1">
        <v>881.21</v>
      </c>
      <c r="Z133" s="1">
        <v>841.66875000000005</v>
      </c>
      <c r="AA133" s="1">
        <v>797.22249999999997</v>
      </c>
      <c r="AB133" s="26">
        <v>4</v>
      </c>
      <c r="AC133" s="8">
        <f t="shared" si="7"/>
        <v>48594.28</v>
      </c>
      <c r="AM133"/>
      <c r="AN133"/>
    </row>
    <row r="134" spans="1:40" x14ac:dyDescent="0.25">
      <c r="A134" s="3">
        <f t="shared" ref="A134:A197" si="9">ROUNDDOWN((ROW()-6+3*7)/(12*3),0)+2026</f>
        <v>2030</v>
      </c>
      <c r="B134" s="5" t="str">
        <f>PROPER(TEXT(DATEVALUE("1/"&amp;MOD(ROUNDDOWN((ROW()-6+7*3)/3,0),12)+1&amp;"/"&amp;Tabla1[[#This Row],[Año]]),"mmm"))</f>
        <v>Feb</v>
      </c>
      <c r="C134" s="7" t="str">
        <f t="shared" ref="C134:C197" si="10">CHOOSE(MOD(ROW()-6,3)+1,"Hábil","Sábado","Domingo y Festivo")</f>
        <v>Domingo y Festivo</v>
      </c>
      <c r="D134" s="1">
        <v>767.40749999999991</v>
      </c>
      <c r="E134" s="1">
        <v>745.98</v>
      </c>
      <c r="F134" s="1">
        <v>728.80916666666656</v>
      </c>
      <c r="G134" s="1">
        <v>709.74749999999995</v>
      </c>
      <c r="H134" s="1">
        <v>701.0866666666667</v>
      </c>
      <c r="I134" s="1">
        <v>679.61749999999995</v>
      </c>
      <c r="J134" s="1">
        <v>568.16166666666663</v>
      </c>
      <c r="K134" s="1">
        <v>161.14000000000001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5.3475000000000001</v>
      </c>
      <c r="T134" s="1">
        <v>162.04416666666665</v>
      </c>
      <c r="U134" s="1">
        <v>516.50249999999994</v>
      </c>
      <c r="V134" s="1">
        <v>769.26166666666666</v>
      </c>
      <c r="W134" s="1">
        <v>839.73333333333323</v>
      </c>
      <c r="X134" s="1">
        <v>863.92333333333329</v>
      </c>
      <c r="Y134" s="1">
        <v>861.94500000000005</v>
      </c>
      <c r="Z134" s="1">
        <v>812.42500000000007</v>
      </c>
      <c r="AA134" s="1">
        <v>758.22833333333335</v>
      </c>
      <c r="AB134" s="26">
        <v>4</v>
      </c>
      <c r="AC134" s="8">
        <f t="shared" ref="AC134:AC197" si="11">AB134*SUM(D134:AA134)</f>
        <v>42605.443333333322</v>
      </c>
      <c r="AM134"/>
      <c r="AN134"/>
    </row>
    <row r="135" spans="1:40" x14ac:dyDescent="0.25">
      <c r="A135" s="3">
        <f t="shared" si="9"/>
        <v>2030</v>
      </c>
      <c r="B135" s="5" t="str">
        <f>PROPER(TEXT(DATEVALUE("1/"&amp;MOD(ROUNDDOWN((ROW()-6+7*3)/3,0),12)+1&amp;"/"&amp;Tabla1[[#This Row],[Año]]),"mmm"))</f>
        <v>Mar</v>
      </c>
      <c r="C135" s="7" t="str">
        <f t="shared" si="10"/>
        <v>Hábil</v>
      </c>
      <c r="D135" s="1">
        <v>777.23380952380955</v>
      </c>
      <c r="E135" s="1">
        <v>747.8097619047619</v>
      </c>
      <c r="F135" s="1">
        <v>722.91357142857146</v>
      </c>
      <c r="G135" s="1">
        <v>698.02428571428572</v>
      </c>
      <c r="H135" s="1">
        <v>691.64547619047619</v>
      </c>
      <c r="I135" s="1">
        <v>710.39976190476193</v>
      </c>
      <c r="J135" s="1">
        <v>735.91809523809525</v>
      </c>
      <c r="K135" s="1">
        <v>722.64095238095229</v>
      </c>
      <c r="L135" s="1">
        <v>637.61285714285714</v>
      </c>
      <c r="M135" s="1">
        <v>406.39833333333331</v>
      </c>
      <c r="N135" s="1">
        <v>277.80166666666668</v>
      </c>
      <c r="O135" s="1">
        <v>285.09047619047618</v>
      </c>
      <c r="P135" s="1">
        <v>123.77285714285715</v>
      </c>
      <c r="Q135" s="1">
        <v>92.608333333333334</v>
      </c>
      <c r="R135" s="1">
        <v>299.13642857142855</v>
      </c>
      <c r="S135" s="1">
        <v>455.46952380952382</v>
      </c>
      <c r="T135" s="1">
        <v>747.55857142857144</v>
      </c>
      <c r="U135" s="1">
        <v>1079.5923809523808</v>
      </c>
      <c r="V135" s="1">
        <v>1066.6104761904762</v>
      </c>
      <c r="W135" s="1">
        <v>976.52190476190469</v>
      </c>
      <c r="X135" s="1">
        <v>970.79452380952387</v>
      </c>
      <c r="Y135" s="1">
        <v>956.94904761904763</v>
      </c>
      <c r="Z135" s="1">
        <v>895.17119047619053</v>
      </c>
      <c r="AA135" s="1">
        <v>830.36285714285714</v>
      </c>
      <c r="AB135" s="26">
        <v>21</v>
      </c>
      <c r="AC135" s="8">
        <f t="shared" si="11"/>
        <v>334068.78000000003</v>
      </c>
      <c r="AM135"/>
      <c r="AN135"/>
    </row>
    <row r="136" spans="1:40" x14ac:dyDescent="0.25">
      <c r="A136" s="3">
        <f t="shared" si="9"/>
        <v>2030</v>
      </c>
      <c r="B136" s="5" t="str">
        <f>PROPER(TEXT(DATEVALUE("1/"&amp;MOD(ROUNDDOWN((ROW()-6+7*3)/3,0),12)+1&amp;"/"&amp;Tabla1[[#This Row],[Año]]),"mmm"))</f>
        <v>Mar</v>
      </c>
      <c r="C136" s="7" t="str">
        <f t="shared" si="10"/>
        <v>Sábado</v>
      </c>
      <c r="D136" s="1">
        <v>813.79875000000004</v>
      </c>
      <c r="E136" s="1">
        <v>785.57749999999999</v>
      </c>
      <c r="F136" s="1">
        <v>753.28625</v>
      </c>
      <c r="G136" s="1">
        <v>734.60500000000002</v>
      </c>
      <c r="H136" s="1">
        <v>726.27</v>
      </c>
      <c r="I136" s="1">
        <v>712.55624999999998</v>
      </c>
      <c r="J136" s="1">
        <v>640.93624999999997</v>
      </c>
      <c r="K136" s="1">
        <v>409.88249999999999</v>
      </c>
      <c r="L136" s="1">
        <v>287.99250000000001</v>
      </c>
      <c r="M136" s="1">
        <v>105.765</v>
      </c>
      <c r="N136" s="1">
        <v>101.39749999999999</v>
      </c>
      <c r="O136" s="1">
        <v>0</v>
      </c>
      <c r="P136" s="1">
        <v>0</v>
      </c>
      <c r="Q136" s="1">
        <v>0</v>
      </c>
      <c r="R136" s="1">
        <v>0</v>
      </c>
      <c r="S136" s="1">
        <v>40.316249999999997</v>
      </c>
      <c r="T136" s="1">
        <v>258.25125000000003</v>
      </c>
      <c r="U136" s="1">
        <v>607.15125</v>
      </c>
      <c r="V136" s="1">
        <v>858.05624999999998</v>
      </c>
      <c r="W136" s="1">
        <v>898.06375000000003</v>
      </c>
      <c r="X136" s="1">
        <v>894.5625</v>
      </c>
      <c r="Y136" s="1">
        <v>881.21</v>
      </c>
      <c r="Z136" s="1">
        <v>841.66875000000005</v>
      </c>
      <c r="AA136" s="1">
        <v>797.22249999999997</v>
      </c>
      <c r="AB136" s="26">
        <v>5</v>
      </c>
      <c r="AC136" s="8">
        <f t="shared" si="11"/>
        <v>60742.85</v>
      </c>
      <c r="AM136"/>
      <c r="AN136"/>
    </row>
    <row r="137" spans="1:40" x14ac:dyDescent="0.25">
      <c r="A137" s="3">
        <f t="shared" si="9"/>
        <v>2030</v>
      </c>
      <c r="B137" s="5" t="str">
        <f>PROPER(TEXT(DATEVALUE("1/"&amp;MOD(ROUNDDOWN((ROW()-6+7*3)/3,0),12)+1&amp;"/"&amp;Tabla1[[#This Row],[Año]]),"mmm"))</f>
        <v>Mar</v>
      </c>
      <c r="C137" s="7" t="str">
        <f t="shared" si="10"/>
        <v>Domingo y Festivo</v>
      </c>
      <c r="D137" s="1">
        <v>767.40749999999991</v>
      </c>
      <c r="E137" s="1">
        <v>745.98</v>
      </c>
      <c r="F137" s="1">
        <v>728.80916666666656</v>
      </c>
      <c r="G137" s="1">
        <v>709.74749999999995</v>
      </c>
      <c r="H137" s="1">
        <v>701.0866666666667</v>
      </c>
      <c r="I137" s="1">
        <v>679.61749999999995</v>
      </c>
      <c r="J137" s="1">
        <v>568.16166666666663</v>
      </c>
      <c r="K137" s="1">
        <v>161.14000000000001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5.3475000000000001</v>
      </c>
      <c r="T137" s="1">
        <v>162.04416666666665</v>
      </c>
      <c r="U137" s="1">
        <v>516.50249999999994</v>
      </c>
      <c r="V137" s="1">
        <v>769.26166666666666</v>
      </c>
      <c r="W137" s="1">
        <v>839.73333333333323</v>
      </c>
      <c r="X137" s="1">
        <v>863.92333333333329</v>
      </c>
      <c r="Y137" s="1">
        <v>861.94500000000005</v>
      </c>
      <c r="Z137" s="1">
        <v>812.42500000000007</v>
      </c>
      <c r="AA137" s="1">
        <v>758.22833333333335</v>
      </c>
      <c r="AB137" s="26">
        <v>5</v>
      </c>
      <c r="AC137" s="8">
        <f t="shared" si="11"/>
        <v>53256.804166666654</v>
      </c>
      <c r="AM137"/>
      <c r="AN137"/>
    </row>
    <row r="138" spans="1:40" x14ac:dyDescent="0.25">
      <c r="A138" s="3">
        <f t="shared" si="9"/>
        <v>2030</v>
      </c>
      <c r="B138" s="5" t="str">
        <f>PROPER(TEXT(DATEVALUE("1/"&amp;MOD(ROUNDDOWN((ROW()-6+7*3)/3,0),12)+1&amp;"/"&amp;Tabla1[[#This Row],[Año]]),"mmm"))</f>
        <v>Abr</v>
      </c>
      <c r="C138" s="7" t="str">
        <f t="shared" si="10"/>
        <v>Hábil</v>
      </c>
      <c r="D138" s="1">
        <v>777.23380952380955</v>
      </c>
      <c r="E138" s="1">
        <v>747.8097619047619</v>
      </c>
      <c r="F138" s="1">
        <v>722.91357142857146</v>
      </c>
      <c r="G138" s="1">
        <v>698.02428571428572</v>
      </c>
      <c r="H138" s="1">
        <v>691.64547619047619</v>
      </c>
      <c r="I138" s="1">
        <v>710.39976190476193</v>
      </c>
      <c r="J138" s="1">
        <v>735.91809523809525</v>
      </c>
      <c r="K138" s="1">
        <v>722.64095238095229</v>
      </c>
      <c r="L138" s="1">
        <v>637.61285714285714</v>
      </c>
      <c r="M138" s="1">
        <v>406.39833333333331</v>
      </c>
      <c r="N138" s="1">
        <v>277.80166666666668</v>
      </c>
      <c r="O138" s="1">
        <v>285.09047619047618</v>
      </c>
      <c r="P138" s="1">
        <v>123.77285714285715</v>
      </c>
      <c r="Q138" s="1">
        <v>92.608333333333334</v>
      </c>
      <c r="R138" s="1">
        <v>299.13642857142855</v>
      </c>
      <c r="S138" s="1">
        <v>455.46952380952382</v>
      </c>
      <c r="T138" s="1">
        <v>747.55857142857144</v>
      </c>
      <c r="U138" s="1">
        <v>1079.5923809523808</v>
      </c>
      <c r="V138" s="1">
        <v>1066.6104761904762</v>
      </c>
      <c r="W138" s="1">
        <v>976.52190476190469</v>
      </c>
      <c r="X138" s="1">
        <v>970.79452380952387</v>
      </c>
      <c r="Y138" s="1">
        <v>956.94904761904763</v>
      </c>
      <c r="Z138" s="1">
        <v>895.17119047619053</v>
      </c>
      <c r="AA138" s="1">
        <v>830.36285714285714</v>
      </c>
      <c r="AB138" s="26">
        <v>22</v>
      </c>
      <c r="AC138" s="8">
        <f t="shared" si="11"/>
        <v>349976.81714285718</v>
      </c>
      <c r="AM138"/>
      <c r="AN138"/>
    </row>
    <row r="139" spans="1:40" x14ac:dyDescent="0.25">
      <c r="A139" s="3">
        <f t="shared" si="9"/>
        <v>2030</v>
      </c>
      <c r="B139" s="5" t="str">
        <f>PROPER(TEXT(DATEVALUE("1/"&amp;MOD(ROUNDDOWN((ROW()-6+7*3)/3,0),12)+1&amp;"/"&amp;Tabla1[[#This Row],[Año]]),"mmm"))</f>
        <v>Abr</v>
      </c>
      <c r="C139" s="7" t="str">
        <f t="shared" si="10"/>
        <v>Sábado</v>
      </c>
      <c r="D139" s="1">
        <v>813.79875000000004</v>
      </c>
      <c r="E139" s="1">
        <v>785.57749999999999</v>
      </c>
      <c r="F139" s="1">
        <v>753.28625</v>
      </c>
      <c r="G139" s="1">
        <v>734.60500000000002</v>
      </c>
      <c r="H139" s="1">
        <v>726.27</v>
      </c>
      <c r="I139" s="1">
        <v>712.55624999999998</v>
      </c>
      <c r="J139" s="1">
        <v>640.93624999999997</v>
      </c>
      <c r="K139" s="1">
        <v>409.88249999999999</v>
      </c>
      <c r="L139" s="1">
        <v>287.99250000000001</v>
      </c>
      <c r="M139" s="1">
        <v>105.765</v>
      </c>
      <c r="N139" s="1">
        <v>101.39749999999999</v>
      </c>
      <c r="O139" s="1">
        <v>0</v>
      </c>
      <c r="P139" s="1">
        <v>0</v>
      </c>
      <c r="Q139" s="1">
        <v>0</v>
      </c>
      <c r="R139" s="1">
        <v>0</v>
      </c>
      <c r="S139" s="1">
        <v>40.316249999999997</v>
      </c>
      <c r="T139" s="1">
        <v>258.25125000000003</v>
      </c>
      <c r="U139" s="1">
        <v>607.15125</v>
      </c>
      <c r="V139" s="1">
        <v>858.05624999999998</v>
      </c>
      <c r="W139" s="1">
        <v>898.06375000000003</v>
      </c>
      <c r="X139" s="1">
        <v>894.5625</v>
      </c>
      <c r="Y139" s="1">
        <v>881.21</v>
      </c>
      <c r="Z139" s="1">
        <v>841.66875000000005</v>
      </c>
      <c r="AA139" s="1">
        <v>797.22249999999997</v>
      </c>
      <c r="AB139" s="26">
        <v>4</v>
      </c>
      <c r="AC139" s="8">
        <f t="shared" si="11"/>
        <v>48594.28</v>
      </c>
      <c r="AM139"/>
      <c r="AN139"/>
    </row>
    <row r="140" spans="1:40" x14ac:dyDescent="0.25">
      <c r="A140" s="3">
        <f t="shared" si="9"/>
        <v>2030</v>
      </c>
      <c r="B140" s="5" t="str">
        <f>PROPER(TEXT(DATEVALUE("1/"&amp;MOD(ROUNDDOWN((ROW()-6+7*3)/3,0),12)+1&amp;"/"&amp;Tabla1[[#This Row],[Año]]),"mmm"))</f>
        <v>Abr</v>
      </c>
      <c r="C140" s="7" t="str">
        <f t="shared" si="10"/>
        <v>Domingo y Festivo</v>
      </c>
      <c r="D140" s="1">
        <v>767.40749999999991</v>
      </c>
      <c r="E140" s="1">
        <v>745.98</v>
      </c>
      <c r="F140" s="1">
        <v>728.80916666666656</v>
      </c>
      <c r="G140" s="1">
        <v>709.74749999999995</v>
      </c>
      <c r="H140" s="1">
        <v>701.0866666666667</v>
      </c>
      <c r="I140" s="1">
        <v>679.61749999999995</v>
      </c>
      <c r="J140" s="1">
        <v>568.16166666666663</v>
      </c>
      <c r="K140" s="1">
        <v>161.14000000000001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5.3475000000000001</v>
      </c>
      <c r="T140" s="1">
        <v>162.04416666666665</v>
      </c>
      <c r="U140" s="1">
        <v>516.50249999999994</v>
      </c>
      <c r="V140" s="1">
        <v>769.26166666666666</v>
      </c>
      <c r="W140" s="1">
        <v>839.73333333333323</v>
      </c>
      <c r="X140" s="1">
        <v>863.92333333333329</v>
      </c>
      <c r="Y140" s="1">
        <v>861.94500000000005</v>
      </c>
      <c r="Z140" s="1">
        <v>812.42500000000007</v>
      </c>
      <c r="AA140" s="1">
        <v>758.22833333333335</v>
      </c>
      <c r="AB140" s="26">
        <v>4</v>
      </c>
      <c r="AC140" s="8">
        <f t="shared" si="11"/>
        <v>42605.443333333322</v>
      </c>
      <c r="AM140"/>
      <c r="AN140"/>
    </row>
    <row r="141" spans="1:40" x14ac:dyDescent="0.25">
      <c r="A141" s="3">
        <f t="shared" si="9"/>
        <v>2030</v>
      </c>
      <c r="B141" s="5" t="str">
        <f>PROPER(TEXT(DATEVALUE("1/"&amp;MOD(ROUNDDOWN((ROW()-6+7*3)/3,0),12)+1&amp;"/"&amp;Tabla1[[#This Row],[Año]]),"mmm"))</f>
        <v>May</v>
      </c>
      <c r="C141" s="7" t="str">
        <f t="shared" si="10"/>
        <v>Hábil</v>
      </c>
      <c r="D141" s="1">
        <v>777.23380952380955</v>
      </c>
      <c r="E141" s="1">
        <v>747.8097619047619</v>
      </c>
      <c r="F141" s="1">
        <v>722.91357142857146</v>
      </c>
      <c r="G141" s="1">
        <v>698.02428571428572</v>
      </c>
      <c r="H141" s="1">
        <v>691.64547619047619</v>
      </c>
      <c r="I141" s="1">
        <v>710.39976190476193</v>
      </c>
      <c r="J141" s="1">
        <v>735.91809523809525</v>
      </c>
      <c r="K141" s="1">
        <v>722.64095238095229</v>
      </c>
      <c r="L141" s="1">
        <v>637.61285714285714</v>
      </c>
      <c r="M141" s="1">
        <v>406.39833333333331</v>
      </c>
      <c r="N141" s="1">
        <v>277.80166666666668</v>
      </c>
      <c r="O141" s="1">
        <v>285.09047619047618</v>
      </c>
      <c r="P141" s="1">
        <v>123.77285714285715</v>
      </c>
      <c r="Q141" s="1">
        <v>92.608333333333334</v>
      </c>
      <c r="R141" s="1">
        <v>299.13642857142855</v>
      </c>
      <c r="S141" s="1">
        <v>455.46952380952382</v>
      </c>
      <c r="T141" s="1">
        <v>747.55857142857144</v>
      </c>
      <c r="U141" s="1">
        <v>1079.5923809523808</v>
      </c>
      <c r="V141" s="1">
        <v>1066.6104761904762</v>
      </c>
      <c r="W141" s="1">
        <v>976.52190476190469</v>
      </c>
      <c r="X141" s="1">
        <v>970.79452380952387</v>
      </c>
      <c r="Y141" s="1">
        <v>956.94904761904763</v>
      </c>
      <c r="Z141" s="1">
        <v>895.17119047619053</v>
      </c>
      <c r="AA141" s="1">
        <v>830.36285714285714</v>
      </c>
      <c r="AB141" s="26">
        <v>23</v>
      </c>
      <c r="AC141" s="8">
        <f t="shared" si="11"/>
        <v>365884.85428571433</v>
      </c>
      <c r="AM141"/>
      <c r="AN141"/>
    </row>
    <row r="142" spans="1:40" x14ac:dyDescent="0.25">
      <c r="A142" s="3">
        <f t="shared" si="9"/>
        <v>2030</v>
      </c>
      <c r="B142" s="5" t="str">
        <f>PROPER(TEXT(DATEVALUE("1/"&amp;MOD(ROUNDDOWN((ROW()-6+7*3)/3,0),12)+1&amp;"/"&amp;Tabla1[[#This Row],[Año]]),"mmm"))</f>
        <v>May</v>
      </c>
      <c r="C142" s="7" t="str">
        <f t="shared" si="10"/>
        <v>Sábado</v>
      </c>
      <c r="D142" s="1">
        <v>813.79875000000004</v>
      </c>
      <c r="E142" s="1">
        <v>785.57749999999999</v>
      </c>
      <c r="F142" s="1">
        <v>753.28625</v>
      </c>
      <c r="G142" s="1">
        <v>734.60500000000002</v>
      </c>
      <c r="H142" s="1">
        <v>726.27</v>
      </c>
      <c r="I142" s="1">
        <v>712.55624999999998</v>
      </c>
      <c r="J142" s="1">
        <v>640.93624999999997</v>
      </c>
      <c r="K142" s="1">
        <v>409.88249999999999</v>
      </c>
      <c r="L142" s="1">
        <v>287.99250000000001</v>
      </c>
      <c r="M142" s="1">
        <v>105.765</v>
      </c>
      <c r="N142" s="1">
        <v>101.39749999999999</v>
      </c>
      <c r="O142" s="1">
        <v>0</v>
      </c>
      <c r="P142" s="1">
        <v>0</v>
      </c>
      <c r="Q142" s="1">
        <v>0</v>
      </c>
      <c r="R142" s="1">
        <v>0</v>
      </c>
      <c r="S142" s="1">
        <v>40.316249999999997</v>
      </c>
      <c r="T142" s="1">
        <v>258.25125000000003</v>
      </c>
      <c r="U142" s="1">
        <v>607.15125</v>
      </c>
      <c r="V142" s="1">
        <v>858.05624999999998</v>
      </c>
      <c r="W142" s="1">
        <v>898.06375000000003</v>
      </c>
      <c r="X142" s="1">
        <v>894.5625</v>
      </c>
      <c r="Y142" s="1">
        <v>881.21</v>
      </c>
      <c r="Z142" s="1">
        <v>841.66875000000005</v>
      </c>
      <c r="AA142" s="1">
        <v>797.22249999999997</v>
      </c>
      <c r="AB142" s="26">
        <v>4</v>
      </c>
      <c r="AC142" s="8">
        <f t="shared" si="11"/>
        <v>48594.28</v>
      </c>
      <c r="AM142"/>
      <c r="AN142"/>
    </row>
    <row r="143" spans="1:40" x14ac:dyDescent="0.25">
      <c r="A143" s="3">
        <f t="shared" si="9"/>
        <v>2030</v>
      </c>
      <c r="B143" s="5" t="str">
        <f>PROPER(TEXT(DATEVALUE("1/"&amp;MOD(ROUNDDOWN((ROW()-6+7*3)/3,0),12)+1&amp;"/"&amp;Tabla1[[#This Row],[Año]]),"mmm"))</f>
        <v>May</v>
      </c>
      <c r="C143" s="7" t="str">
        <f t="shared" si="10"/>
        <v>Domingo y Festivo</v>
      </c>
      <c r="D143" s="1">
        <v>767.40749999999991</v>
      </c>
      <c r="E143" s="1">
        <v>745.98</v>
      </c>
      <c r="F143" s="1">
        <v>728.80916666666656</v>
      </c>
      <c r="G143" s="1">
        <v>709.74749999999995</v>
      </c>
      <c r="H143" s="1">
        <v>701.0866666666667</v>
      </c>
      <c r="I143" s="1">
        <v>679.61749999999995</v>
      </c>
      <c r="J143" s="1">
        <v>568.16166666666663</v>
      </c>
      <c r="K143" s="1">
        <v>161.14000000000001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5.3475000000000001</v>
      </c>
      <c r="T143" s="1">
        <v>162.04416666666665</v>
      </c>
      <c r="U143" s="1">
        <v>516.50249999999994</v>
      </c>
      <c r="V143" s="1">
        <v>769.26166666666666</v>
      </c>
      <c r="W143" s="1">
        <v>839.73333333333323</v>
      </c>
      <c r="X143" s="1">
        <v>863.92333333333329</v>
      </c>
      <c r="Y143" s="1">
        <v>861.94500000000005</v>
      </c>
      <c r="Z143" s="1">
        <v>812.42500000000007</v>
      </c>
      <c r="AA143" s="1">
        <v>758.22833333333335</v>
      </c>
      <c r="AB143" s="26">
        <v>4</v>
      </c>
      <c r="AC143" s="8">
        <f t="shared" si="11"/>
        <v>42605.443333333322</v>
      </c>
      <c r="AM143"/>
      <c r="AN143"/>
    </row>
    <row r="144" spans="1:40" x14ac:dyDescent="0.25">
      <c r="A144" s="3">
        <f t="shared" si="9"/>
        <v>2030</v>
      </c>
      <c r="B144" s="5" t="str">
        <f>PROPER(TEXT(DATEVALUE("1/"&amp;MOD(ROUNDDOWN((ROW()-6+7*3)/3,0),12)+1&amp;"/"&amp;Tabla1[[#This Row],[Año]]),"mmm"))</f>
        <v>Jun</v>
      </c>
      <c r="C144" s="7" t="str">
        <f t="shared" si="10"/>
        <v>Hábil</v>
      </c>
      <c r="D144" s="1">
        <v>777.23380952380955</v>
      </c>
      <c r="E144" s="1">
        <v>747.8097619047619</v>
      </c>
      <c r="F144" s="1">
        <v>722.91357142857146</v>
      </c>
      <c r="G144" s="1">
        <v>698.02428571428572</v>
      </c>
      <c r="H144" s="1">
        <v>691.64547619047619</v>
      </c>
      <c r="I144" s="1">
        <v>710.39976190476193</v>
      </c>
      <c r="J144" s="1">
        <v>735.91809523809525</v>
      </c>
      <c r="K144" s="1">
        <v>722.64095238095229</v>
      </c>
      <c r="L144" s="1">
        <v>637.61285714285714</v>
      </c>
      <c r="M144" s="1">
        <v>406.39833333333331</v>
      </c>
      <c r="N144" s="1">
        <v>277.80166666666668</v>
      </c>
      <c r="O144" s="1">
        <v>285.09047619047618</v>
      </c>
      <c r="P144" s="1">
        <v>123.77285714285715</v>
      </c>
      <c r="Q144" s="1">
        <v>92.608333333333334</v>
      </c>
      <c r="R144" s="1">
        <v>299.13642857142855</v>
      </c>
      <c r="S144" s="1">
        <v>455.46952380952382</v>
      </c>
      <c r="T144" s="1">
        <v>747.55857142857144</v>
      </c>
      <c r="U144" s="1">
        <v>1079.5923809523808</v>
      </c>
      <c r="V144" s="1">
        <v>1066.6104761904762</v>
      </c>
      <c r="W144" s="1">
        <v>976.52190476190469</v>
      </c>
      <c r="X144" s="1">
        <v>970.79452380952387</v>
      </c>
      <c r="Y144" s="1">
        <v>956.94904761904763</v>
      </c>
      <c r="Z144" s="1">
        <v>895.17119047619053</v>
      </c>
      <c r="AA144" s="1">
        <v>830.36285714285714</v>
      </c>
      <c r="AB144" s="26">
        <v>20</v>
      </c>
      <c r="AC144" s="8">
        <f t="shared" si="11"/>
        <v>318160.74285714293</v>
      </c>
      <c r="AM144"/>
      <c r="AN144"/>
    </row>
    <row r="145" spans="1:39" x14ac:dyDescent="0.25">
      <c r="A145" s="3">
        <f t="shared" si="9"/>
        <v>2030</v>
      </c>
      <c r="B145" s="5" t="str">
        <f>PROPER(TEXT(DATEVALUE("1/"&amp;MOD(ROUNDDOWN((ROW()-6+7*3)/3,0),12)+1&amp;"/"&amp;Tabla1[[#This Row],[Año]]),"mmm"))</f>
        <v>Jun</v>
      </c>
      <c r="C145" s="7" t="str">
        <f t="shared" si="10"/>
        <v>Sábado</v>
      </c>
      <c r="D145" s="1">
        <v>813.79875000000004</v>
      </c>
      <c r="E145" s="1">
        <v>785.57749999999999</v>
      </c>
      <c r="F145" s="1">
        <v>753.28625</v>
      </c>
      <c r="G145" s="1">
        <v>734.60500000000002</v>
      </c>
      <c r="H145" s="1">
        <v>726.27</v>
      </c>
      <c r="I145" s="1">
        <v>712.55624999999998</v>
      </c>
      <c r="J145" s="1">
        <v>640.93624999999997</v>
      </c>
      <c r="K145" s="1">
        <v>409.88249999999999</v>
      </c>
      <c r="L145" s="1">
        <v>287.99250000000001</v>
      </c>
      <c r="M145" s="1">
        <v>105.765</v>
      </c>
      <c r="N145" s="1">
        <v>101.39749999999999</v>
      </c>
      <c r="O145" s="1">
        <v>0</v>
      </c>
      <c r="P145" s="1">
        <v>0</v>
      </c>
      <c r="Q145" s="1">
        <v>0</v>
      </c>
      <c r="R145" s="1">
        <v>0</v>
      </c>
      <c r="S145" s="1">
        <v>40.316249999999997</v>
      </c>
      <c r="T145" s="1">
        <v>258.25125000000003</v>
      </c>
      <c r="U145" s="1">
        <v>607.15125</v>
      </c>
      <c r="V145" s="1">
        <v>858.05624999999998</v>
      </c>
      <c r="W145" s="1">
        <v>898.06375000000003</v>
      </c>
      <c r="X145" s="1">
        <v>894.5625</v>
      </c>
      <c r="Y145" s="1">
        <v>881.21</v>
      </c>
      <c r="Z145" s="1">
        <v>841.66875000000005</v>
      </c>
      <c r="AA145" s="1">
        <v>797.22249999999997</v>
      </c>
      <c r="AB145" s="26">
        <v>5</v>
      </c>
      <c r="AC145" s="8">
        <f t="shared" si="11"/>
        <v>60742.85</v>
      </c>
      <c r="AM145"/>
    </row>
    <row r="146" spans="1:39" x14ac:dyDescent="0.25">
      <c r="A146" s="3">
        <f t="shared" si="9"/>
        <v>2030</v>
      </c>
      <c r="B146" s="5" t="str">
        <f>PROPER(TEXT(DATEVALUE("1/"&amp;MOD(ROUNDDOWN((ROW()-6+7*3)/3,0),12)+1&amp;"/"&amp;Tabla1[[#This Row],[Año]]),"mmm"))</f>
        <v>Jun</v>
      </c>
      <c r="C146" s="7" t="str">
        <f t="shared" si="10"/>
        <v>Domingo y Festivo</v>
      </c>
      <c r="D146" s="1">
        <v>767.40749999999991</v>
      </c>
      <c r="E146" s="1">
        <v>745.98</v>
      </c>
      <c r="F146" s="1">
        <v>728.80916666666656</v>
      </c>
      <c r="G146" s="1">
        <v>709.74749999999995</v>
      </c>
      <c r="H146" s="1">
        <v>701.0866666666667</v>
      </c>
      <c r="I146" s="1">
        <v>679.61749999999995</v>
      </c>
      <c r="J146" s="1">
        <v>568.16166666666663</v>
      </c>
      <c r="K146" s="1">
        <v>161.14000000000001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5.3475000000000001</v>
      </c>
      <c r="T146" s="1">
        <v>162.04416666666665</v>
      </c>
      <c r="U146" s="1">
        <v>516.50249999999994</v>
      </c>
      <c r="V146" s="1">
        <v>769.26166666666666</v>
      </c>
      <c r="W146" s="1">
        <v>839.73333333333323</v>
      </c>
      <c r="X146" s="1">
        <v>863.92333333333329</v>
      </c>
      <c r="Y146" s="1">
        <v>861.94500000000005</v>
      </c>
      <c r="Z146" s="1">
        <v>812.42500000000007</v>
      </c>
      <c r="AA146" s="1">
        <v>758.22833333333335</v>
      </c>
      <c r="AB146" s="26">
        <v>5</v>
      </c>
      <c r="AC146" s="8">
        <f t="shared" si="11"/>
        <v>53256.804166666654</v>
      </c>
      <c r="AM146"/>
    </row>
    <row r="147" spans="1:39" x14ac:dyDescent="0.25">
      <c r="A147" s="3">
        <f t="shared" si="9"/>
        <v>2030</v>
      </c>
      <c r="B147" s="5" t="str">
        <f>PROPER(TEXT(DATEVALUE("1/"&amp;MOD(ROUNDDOWN((ROW()-6+7*3)/3,0),12)+1&amp;"/"&amp;Tabla1[[#This Row],[Año]]),"mmm"))</f>
        <v>Jul</v>
      </c>
      <c r="C147" s="7" t="str">
        <f t="shared" si="10"/>
        <v>Hábil</v>
      </c>
      <c r="D147" s="1">
        <v>777.23380952380955</v>
      </c>
      <c r="E147" s="1">
        <v>747.8097619047619</v>
      </c>
      <c r="F147" s="1">
        <v>722.91357142857146</v>
      </c>
      <c r="G147" s="1">
        <v>698.02428571428572</v>
      </c>
      <c r="H147" s="1">
        <v>691.64547619047619</v>
      </c>
      <c r="I147" s="1">
        <v>710.39976190476193</v>
      </c>
      <c r="J147" s="1">
        <v>735.91809523809525</v>
      </c>
      <c r="K147" s="1">
        <v>722.64095238095229</v>
      </c>
      <c r="L147" s="1">
        <v>637.61285714285714</v>
      </c>
      <c r="M147" s="1">
        <v>406.39833333333331</v>
      </c>
      <c r="N147" s="1">
        <v>277.80166666666668</v>
      </c>
      <c r="O147" s="1">
        <v>285.09047619047618</v>
      </c>
      <c r="P147" s="1">
        <v>123.77285714285715</v>
      </c>
      <c r="Q147" s="1">
        <v>92.608333333333334</v>
      </c>
      <c r="R147" s="1">
        <v>299.13642857142855</v>
      </c>
      <c r="S147" s="1">
        <v>455.46952380952382</v>
      </c>
      <c r="T147" s="1">
        <v>747.55857142857144</v>
      </c>
      <c r="U147" s="1">
        <v>1079.5923809523808</v>
      </c>
      <c r="V147" s="1">
        <v>1066.6104761904762</v>
      </c>
      <c r="W147" s="1">
        <v>976.52190476190469</v>
      </c>
      <c r="X147" s="1">
        <v>970.79452380952387</v>
      </c>
      <c r="Y147" s="1">
        <v>956.94904761904763</v>
      </c>
      <c r="Z147" s="1">
        <v>895.17119047619053</v>
      </c>
      <c r="AA147" s="1">
        <v>830.36285714285714</v>
      </c>
      <c r="AB147" s="26">
        <v>23</v>
      </c>
      <c r="AC147" s="8">
        <f t="shared" si="11"/>
        <v>365884.85428571433</v>
      </c>
      <c r="AM147"/>
    </row>
    <row r="148" spans="1:39" x14ac:dyDescent="0.25">
      <c r="A148" s="3">
        <f t="shared" si="9"/>
        <v>2030</v>
      </c>
      <c r="B148" s="5" t="str">
        <f>PROPER(TEXT(DATEVALUE("1/"&amp;MOD(ROUNDDOWN((ROW()-6+7*3)/3,0),12)+1&amp;"/"&amp;Tabla1[[#This Row],[Año]]),"mmm"))</f>
        <v>Jul</v>
      </c>
      <c r="C148" s="7" t="str">
        <f t="shared" si="10"/>
        <v>Sábado</v>
      </c>
      <c r="D148" s="1">
        <v>813.79875000000004</v>
      </c>
      <c r="E148" s="1">
        <v>785.57749999999999</v>
      </c>
      <c r="F148" s="1">
        <v>753.28625</v>
      </c>
      <c r="G148" s="1">
        <v>734.60500000000002</v>
      </c>
      <c r="H148" s="1">
        <v>726.27</v>
      </c>
      <c r="I148" s="1">
        <v>712.55624999999998</v>
      </c>
      <c r="J148" s="1">
        <v>640.93624999999997</v>
      </c>
      <c r="K148" s="1">
        <v>409.88249999999999</v>
      </c>
      <c r="L148" s="1">
        <v>287.99250000000001</v>
      </c>
      <c r="M148" s="1">
        <v>105.765</v>
      </c>
      <c r="N148" s="1">
        <v>101.39749999999999</v>
      </c>
      <c r="O148" s="1">
        <v>0</v>
      </c>
      <c r="P148" s="1">
        <v>0</v>
      </c>
      <c r="Q148" s="1">
        <v>0</v>
      </c>
      <c r="R148" s="1">
        <v>0</v>
      </c>
      <c r="S148" s="1">
        <v>40.316249999999997</v>
      </c>
      <c r="T148" s="1">
        <v>258.25125000000003</v>
      </c>
      <c r="U148" s="1">
        <v>607.15125</v>
      </c>
      <c r="V148" s="1">
        <v>858.05624999999998</v>
      </c>
      <c r="W148" s="1">
        <v>898.06375000000003</v>
      </c>
      <c r="X148" s="1">
        <v>894.5625</v>
      </c>
      <c r="Y148" s="1">
        <v>881.21</v>
      </c>
      <c r="Z148" s="1">
        <v>841.66875000000005</v>
      </c>
      <c r="AA148" s="1">
        <v>797.22249999999997</v>
      </c>
      <c r="AB148" s="26">
        <v>4</v>
      </c>
      <c r="AC148" s="8">
        <f t="shared" si="11"/>
        <v>48594.28</v>
      </c>
      <c r="AM148"/>
    </row>
    <row r="149" spans="1:39" x14ac:dyDescent="0.25">
      <c r="A149" s="3">
        <f t="shared" si="9"/>
        <v>2030</v>
      </c>
      <c r="B149" s="5" t="str">
        <f>PROPER(TEXT(DATEVALUE("1/"&amp;MOD(ROUNDDOWN((ROW()-6+7*3)/3,0),12)+1&amp;"/"&amp;Tabla1[[#This Row],[Año]]),"mmm"))</f>
        <v>Jul</v>
      </c>
      <c r="C149" s="7" t="str">
        <f t="shared" si="10"/>
        <v>Domingo y Festivo</v>
      </c>
      <c r="D149" s="1">
        <v>767.40749999999991</v>
      </c>
      <c r="E149" s="1">
        <v>745.98</v>
      </c>
      <c r="F149" s="1">
        <v>728.80916666666656</v>
      </c>
      <c r="G149" s="1">
        <v>709.74749999999995</v>
      </c>
      <c r="H149" s="1">
        <v>701.0866666666667</v>
      </c>
      <c r="I149" s="1">
        <v>679.61749999999995</v>
      </c>
      <c r="J149" s="1">
        <v>568.16166666666663</v>
      </c>
      <c r="K149" s="1">
        <v>161.14000000000001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5.3475000000000001</v>
      </c>
      <c r="T149" s="1">
        <v>162.04416666666665</v>
      </c>
      <c r="U149" s="1">
        <v>516.50249999999994</v>
      </c>
      <c r="V149" s="1">
        <v>769.26166666666666</v>
      </c>
      <c r="W149" s="1">
        <v>839.73333333333323</v>
      </c>
      <c r="X149" s="1">
        <v>863.92333333333329</v>
      </c>
      <c r="Y149" s="1">
        <v>861.94500000000005</v>
      </c>
      <c r="Z149" s="1">
        <v>812.42500000000007</v>
      </c>
      <c r="AA149" s="1">
        <v>758.22833333333335</v>
      </c>
      <c r="AB149" s="26">
        <v>4</v>
      </c>
      <c r="AC149" s="8">
        <f t="shared" si="11"/>
        <v>42605.443333333322</v>
      </c>
      <c r="AM149"/>
    </row>
    <row r="150" spans="1:39" x14ac:dyDescent="0.25">
      <c r="A150" s="3">
        <f t="shared" si="9"/>
        <v>2030</v>
      </c>
      <c r="B150" s="5" t="str">
        <f>PROPER(TEXT(DATEVALUE("1/"&amp;MOD(ROUNDDOWN((ROW()-6+7*3)/3,0),12)+1&amp;"/"&amp;Tabla1[[#This Row],[Año]]),"mmm"))</f>
        <v>Ago</v>
      </c>
      <c r="C150" s="7" t="str">
        <f t="shared" si="10"/>
        <v>Hábil</v>
      </c>
      <c r="D150" s="1">
        <v>777.23380952380955</v>
      </c>
      <c r="E150" s="1">
        <v>747.8097619047619</v>
      </c>
      <c r="F150" s="1">
        <v>722.91357142857146</v>
      </c>
      <c r="G150" s="1">
        <v>698.02428571428572</v>
      </c>
      <c r="H150" s="1">
        <v>691.64547619047619</v>
      </c>
      <c r="I150" s="1">
        <v>710.39976190476193</v>
      </c>
      <c r="J150" s="1">
        <v>735.91809523809525</v>
      </c>
      <c r="K150" s="1">
        <v>722.64095238095229</v>
      </c>
      <c r="L150" s="1">
        <v>637.61285714285714</v>
      </c>
      <c r="M150" s="1">
        <v>406.39833333333331</v>
      </c>
      <c r="N150" s="1">
        <v>277.80166666666668</v>
      </c>
      <c r="O150" s="1">
        <v>285.09047619047618</v>
      </c>
      <c r="P150" s="1">
        <v>123.77285714285715</v>
      </c>
      <c r="Q150" s="1">
        <v>92.608333333333334</v>
      </c>
      <c r="R150" s="1">
        <v>299.13642857142855</v>
      </c>
      <c r="S150" s="1">
        <v>455.46952380952382</v>
      </c>
      <c r="T150" s="1">
        <v>747.55857142857144</v>
      </c>
      <c r="U150" s="1">
        <v>1079.5923809523808</v>
      </c>
      <c r="V150" s="1">
        <v>1066.6104761904762</v>
      </c>
      <c r="W150" s="1">
        <v>976.52190476190469</v>
      </c>
      <c r="X150" s="1">
        <v>970.79452380952387</v>
      </c>
      <c r="Y150" s="1">
        <v>956.94904761904763</v>
      </c>
      <c r="Z150" s="1">
        <v>895.17119047619053</v>
      </c>
      <c r="AA150" s="1">
        <v>830.36285714285714</v>
      </c>
      <c r="AB150" s="26">
        <v>22</v>
      </c>
      <c r="AC150" s="8">
        <f t="shared" si="11"/>
        <v>349976.81714285718</v>
      </c>
      <c r="AM150"/>
    </row>
    <row r="151" spans="1:39" x14ac:dyDescent="0.25">
      <c r="A151" s="3">
        <f t="shared" si="9"/>
        <v>2030</v>
      </c>
      <c r="B151" s="5" t="str">
        <f>PROPER(TEXT(DATEVALUE("1/"&amp;MOD(ROUNDDOWN((ROW()-6+7*3)/3,0),12)+1&amp;"/"&amp;Tabla1[[#This Row],[Año]]),"mmm"))</f>
        <v>Ago</v>
      </c>
      <c r="C151" s="7" t="str">
        <f t="shared" si="10"/>
        <v>Sábado</v>
      </c>
      <c r="D151" s="1">
        <v>813.79875000000004</v>
      </c>
      <c r="E151" s="1">
        <v>785.57749999999999</v>
      </c>
      <c r="F151" s="1">
        <v>753.28625</v>
      </c>
      <c r="G151" s="1">
        <v>734.60500000000002</v>
      </c>
      <c r="H151" s="1">
        <v>726.27</v>
      </c>
      <c r="I151" s="1">
        <v>712.55624999999998</v>
      </c>
      <c r="J151" s="1">
        <v>640.93624999999997</v>
      </c>
      <c r="K151" s="1">
        <v>409.88249999999999</v>
      </c>
      <c r="L151" s="1">
        <v>287.99250000000001</v>
      </c>
      <c r="M151" s="1">
        <v>105.765</v>
      </c>
      <c r="N151" s="1">
        <v>101.39749999999999</v>
      </c>
      <c r="O151" s="1">
        <v>0</v>
      </c>
      <c r="P151" s="1">
        <v>0</v>
      </c>
      <c r="Q151" s="1">
        <v>0</v>
      </c>
      <c r="R151" s="1">
        <v>0</v>
      </c>
      <c r="S151" s="1">
        <v>40.316249999999997</v>
      </c>
      <c r="T151" s="1">
        <v>258.25125000000003</v>
      </c>
      <c r="U151" s="1">
        <v>607.15125</v>
      </c>
      <c r="V151" s="1">
        <v>858.05624999999998</v>
      </c>
      <c r="W151" s="1">
        <v>898.06375000000003</v>
      </c>
      <c r="X151" s="1">
        <v>894.5625</v>
      </c>
      <c r="Y151" s="1">
        <v>881.21</v>
      </c>
      <c r="Z151" s="1">
        <v>841.66875000000005</v>
      </c>
      <c r="AA151" s="1">
        <v>797.22249999999997</v>
      </c>
      <c r="AB151" s="26">
        <v>5</v>
      </c>
      <c r="AC151" s="8">
        <f t="shared" si="11"/>
        <v>60742.85</v>
      </c>
      <c r="AM151"/>
    </row>
    <row r="152" spans="1:39" x14ac:dyDescent="0.25">
      <c r="A152" s="3">
        <f t="shared" si="9"/>
        <v>2030</v>
      </c>
      <c r="B152" s="5" t="str">
        <f>PROPER(TEXT(DATEVALUE("1/"&amp;MOD(ROUNDDOWN((ROW()-6+7*3)/3,0),12)+1&amp;"/"&amp;Tabla1[[#This Row],[Año]]),"mmm"))</f>
        <v>Ago</v>
      </c>
      <c r="C152" s="7" t="str">
        <f t="shared" si="10"/>
        <v>Domingo y Festivo</v>
      </c>
      <c r="D152" s="1">
        <v>767.40749999999991</v>
      </c>
      <c r="E152" s="1">
        <v>745.98</v>
      </c>
      <c r="F152" s="1">
        <v>728.80916666666656</v>
      </c>
      <c r="G152" s="1">
        <v>709.74749999999995</v>
      </c>
      <c r="H152" s="1">
        <v>701.0866666666667</v>
      </c>
      <c r="I152" s="1">
        <v>679.61749999999995</v>
      </c>
      <c r="J152" s="1">
        <v>568.16166666666663</v>
      </c>
      <c r="K152" s="1">
        <v>161.14000000000001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5.3475000000000001</v>
      </c>
      <c r="T152" s="1">
        <v>162.04416666666665</v>
      </c>
      <c r="U152" s="1">
        <v>516.50249999999994</v>
      </c>
      <c r="V152" s="1">
        <v>769.26166666666666</v>
      </c>
      <c r="W152" s="1">
        <v>839.73333333333323</v>
      </c>
      <c r="X152" s="1">
        <v>863.92333333333329</v>
      </c>
      <c r="Y152" s="1">
        <v>861.94500000000005</v>
      </c>
      <c r="Z152" s="1">
        <v>812.42500000000007</v>
      </c>
      <c r="AA152" s="1">
        <v>758.22833333333335</v>
      </c>
      <c r="AB152" s="26">
        <v>4</v>
      </c>
      <c r="AC152" s="8">
        <f t="shared" si="11"/>
        <v>42605.443333333322</v>
      </c>
      <c r="AM152"/>
    </row>
    <row r="153" spans="1:39" x14ac:dyDescent="0.25">
      <c r="A153" s="3">
        <f t="shared" si="9"/>
        <v>2030</v>
      </c>
      <c r="B153" s="5" t="str">
        <f>PROPER(TEXT(DATEVALUE("1/"&amp;MOD(ROUNDDOWN((ROW()-6+7*3)/3,0),12)+1&amp;"/"&amp;Tabla1[[#This Row],[Año]]),"mmm"))</f>
        <v>Sep</v>
      </c>
      <c r="C153" s="7" t="str">
        <f t="shared" si="10"/>
        <v>Hábil</v>
      </c>
      <c r="D153" s="1">
        <v>777.23380952380955</v>
      </c>
      <c r="E153" s="1">
        <v>747.8097619047619</v>
      </c>
      <c r="F153" s="1">
        <v>722.91357142857146</v>
      </c>
      <c r="G153" s="1">
        <v>698.02428571428572</v>
      </c>
      <c r="H153" s="1">
        <v>691.64547619047619</v>
      </c>
      <c r="I153" s="1">
        <v>710.39976190476193</v>
      </c>
      <c r="J153" s="1">
        <v>735.91809523809525</v>
      </c>
      <c r="K153" s="1">
        <v>722.64095238095229</v>
      </c>
      <c r="L153" s="1">
        <v>637.61285714285714</v>
      </c>
      <c r="M153" s="1">
        <v>406.39833333333331</v>
      </c>
      <c r="N153" s="1">
        <v>277.80166666666668</v>
      </c>
      <c r="O153" s="1">
        <v>285.09047619047618</v>
      </c>
      <c r="P153" s="1">
        <v>123.77285714285715</v>
      </c>
      <c r="Q153" s="1">
        <v>92.608333333333334</v>
      </c>
      <c r="R153" s="1">
        <v>299.13642857142855</v>
      </c>
      <c r="S153" s="1">
        <v>455.46952380952382</v>
      </c>
      <c r="T153" s="1">
        <v>747.55857142857144</v>
      </c>
      <c r="U153" s="1">
        <v>1079.5923809523808</v>
      </c>
      <c r="V153" s="1">
        <v>1066.6104761904762</v>
      </c>
      <c r="W153" s="1">
        <v>976.52190476190469</v>
      </c>
      <c r="X153" s="1">
        <v>970.79452380952387</v>
      </c>
      <c r="Y153" s="1">
        <v>956.94904761904763</v>
      </c>
      <c r="Z153" s="1">
        <v>895.17119047619053</v>
      </c>
      <c r="AA153" s="1">
        <v>830.36285714285714</v>
      </c>
      <c r="AB153" s="26">
        <v>21</v>
      </c>
      <c r="AC153" s="8">
        <f t="shared" si="11"/>
        <v>334068.78000000003</v>
      </c>
      <c r="AM153"/>
    </row>
    <row r="154" spans="1:39" x14ac:dyDescent="0.25">
      <c r="A154" s="3">
        <f t="shared" si="9"/>
        <v>2030</v>
      </c>
      <c r="B154" s="5" t="str">
        <f>PROPER(TEXT(DATEVALUE("1/"&amp;MOD(ROUNDDOWN((ROW()-6+7*3)/3,0),12)+1&amp;"/"&amp;Tabla1[[#This Row],[Año]]),"mmm"))</f>
        <v>Sep</v>
      </c>
      <c r="C154" s="7" t="str">
        <f t="shared" si="10"/>
        <v>Sábado</v>
      </c>
      <c r="D154" s="1">
        <v>813.79875000000004</v>
      </c>
      <c r="E154" s="1">
        <v>785.57749999999999</v>
      </c>
      <c r="F154" s="1">
        <v>753.28625</v>
      </c>
      <c r="G154" s="1">
        <v>734.60500000000002</v>
      </c>
      <c r="H154" s="1">
        <v>726.27</v>
      </c>
      <c r="I154" s="1">
        <v>712.55624999999998</v>
      </c>
      <c r="J154" s="1">
        <v>640.93624999999997</v>
      </c>
      <c r="K154" s="1">
        <v>409.88249999999999</v>
      </c>
      <c r="L154" s="1">
        <v>287.99250000000001</v>
      </c>
      <c r="M154" s="1">
        <v>105.765</v>
      </c>
      <c r="N154" s="1">
        <v>101.39749999999999</v>
      </c>
      <c r="O154" s="1">
        <v>0</v>
      </c>
      <c r="P154" s="1">
        <v>0</v>
      </c>
      <c r="Q154" s="1">
        <v>0</v>
      </c>
      <c r="R154" s="1">
        <v>0</v>
      </c>
      <c r="S154" s="1">
        <v>40.316249999999997</v>
      </c>
      <c r="T154" s="1">
        <v>258.25125000000003</v>
      </c>
      <c r="U154" s="1">
        <v>607.15125</v>
      </c>
      <c r="V154" s="1">
        <v>858.05624999999998</v>
      </c>
      <c r="W154" s="1">
        <v>898.06375000000003</v>
      </c>
      <c r="X154" s="1">
        <v>894.5625</v>
      </c>
      <c r="Y154" s="1">
        <v>881.21</v>
      </c>
      <c r="Z154" s="1">
        <v>841.66875000000005</v>
      </c>
      <c r="AA154" s="1">
        <v>797.22249999999997</v>
      </c>
      <c r="AB154" s="26">
        <v>4</v>
      </c>
      <c r="AC154" s="8">
        <f t="shared" si="11"/>
        <v>48594.28</v>
      </c>
      <c r="AM154"/>
    </row>
    <row r="155" spans="1:39" x14ac:dyDescent="0.25">
      <c r="A155" s="3">
        <f t="shared" si="9"/>
        <v>2030</v>
      </c>
      <c r="B155" s="5" t="str">
        <f>PROPER(TEXT(DATEVALUE("1/"&amp;MOD(ROUNDDOWN((ROW()-6+7*3)/3,0),12)+1&amp;"/"&amp;Tabla1[[#This Row],[Año]]),"mmm"))</f>
        <v>Sep</v>
      </c>
      <c r="C155" s="7" t="str">
        <f t="shared" si="10"/>
        <v>Domingo y Festivo</v>
      </c>
      <c r="D155" s="1">
        <v>767.40749999999991</v>
      </c>
      <c r="E155" s="1">
        <v>745.98</v>
      </c>
      <c r="F155" s="1">
        <v>728.80916666666656</v>
      </c>
      <c r="G155" s="1">
        <v>709.74749999999995</v>
      </c>
      <c r="H155" s="1">
        <v>701.0866666666667</v>
      </c>
      <c r="I155" s="1">
        <v>679.61749999999995</v>
      </c>
      <c r="J155" s="1">
        <v>568.16166666666663</v>
      </c>
      <c r="K155" s="1">
        <v>161.14000000000001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5.3475000000000001</v>
      </c>
      <c r="T155" s="1">
        <v>162.04416666666665</v>
      </c>
      <c r="U155" s="1">
        <v>516.50249999999994</v>
      </c>
      <c r="V155" s="1">
        <v>769.26166666666666</v>
      </c>
      <c r="W155" s="1">
        <v>839.73333333333323</v>
      </c>
      <c r="X155" s="1">
        <v>863.92333333333329</v>
      </c>
      <c r="Y155" s="1">
        <v>861.94500000000005</v>
      </c>
      <c r="Z155" s="1">
        <v>812.42500000000007</v>
      </c>
      <c r="AA155" s="1">
        <v>758.22833333333335</v>
      </c>
      <c r="AB155" s="26">
        <v>5</v>
      </c>
      <c r="AC155" s="8">
        <f t="shared" si="11"/>
        <v>53256.804166666654</v>
      </c>
      <c r="AM155"/>
    </row>
    <row r="156" spans="1:39" x14ac:dyDescent="0.25">
      <c r="A156" s="3">
        <f t="shared" si="9"/>
        <v>2030</v>
      </c>
      <c r="B156" s="5" t="str">
        <f>PROPER(TEXT(DATEVALUE("1/"&amp;MOD(ROUNDDOWN((ROW()-6+7*3)/3,0),12)+1&amp;"/"&amp;Tabla1[[#This Row],[Año]]),"mmm"))</f>
        <v>Oct</v>
      </c>
      <c r="C156" s="7" t="str">
        <f t="shared" si="10"/>
        <v>Hábil</v>
      </c>
      <c r="D156" s="1">
        <v>777.23380952380955</v>
      </c>
      <c r="E156" s="1">
        <v>747.8097619047619</v>
      </c>
      <c r="F156" s="1">
        <v>722.91357142857146</v>
      </c>
      <c r="G156" s="1">
        <v>698.02428571428572</v>
      </c>
      <c r="H156" s="1">
        <v>691.64547619047619</v>
      </c>
      <c r="I156" s="1">
        <v>710.39976190476193</v>
      </c>
      <c r="J156" s="1">
        <v>735.91809523809525</v>
      </c>
      <c r="K156" s="1">
        <v>722.64095238095229</v>
      </c>
      <c r="L156" s="1">
        <v>637.61285714285714</v>
      </c>
      <c r="M156" s="1">
        <v>406.39833333333331</v>
      </c>
      <c r="N156" s="1">
        <v>277.80166666666668</v>
      </c>
      <c r="O156" s="1">
        <v>285.09047619047618</v>
      </c>
      <c r="P156" s="1">
        <v>123.77285714285715</v>
      </c>
      <c r="Q156" s="1">
        <v>92.608333333333334</v>
      </c>
      <c r="R156" s="1">
        <v>299.13642857142855</v>
      </c>
      <c r="S156" s="1">
        <v>455.46952380952382</v>
      </c>
      <c r="T156" s="1">
        <v>747.55857142857144</v>
      </c>
      <c r="U156" s="1">
        <v>1079.5923809523808</v>
      </c>
      <c r="V156" s="1">
        <v>1066.6104761904762</v>
      </c>
      <c r="W156" s="1">
        <v>976.52190476190469</v>
      </c>
      <c r="X156" s="1">
        <v>970.79452380952387</v>
      </c>
      <c r="Y156" s="1">
        <v>956.94904761904763</v>
      </c>
      <c r="Z156" s="1">
        <v>895.17119047619053</v>
      </c>
      <c r="AA156" s="1">
        <v>830.36285714285714</v>
      </c>
      <c r="AB156" s="26">
        <v>23</v>
      </c>
      <c r="AC156" s="8">
        <f t="shared" si="11"/>
        <v>365884.85428571433</v>
      </c>
      <c r="AM156"/>
    </row>
    <row r="157" spans="1:39" x14ac:dyDescent="0.25">
      <c r="A157" s="3">
        <f t="shared" si="9"/>
        <v>2030</v>
      </c>
      <c r="B157" s="5" t="str">
        <f>PROPER(TEXT(DATEVALUE("1/"&amp;MOD(ROUNDDOWN((ROW()-6+7*3)/3,0),12)+1&amp;"/"&amp;Tabla1[[#This Row],[Año]]),"mmm"))</f>
        <v>Oct</v>
      </c>
      <c r="C157" s="7" t="str">
        <f t="shared" si="10"/>
        <v>Sábado</v>
      </c>
      <c r="D157" s="1">
        <v>813.79875000000004</v>
      </c>
      <c r="E157" s="1">
        <v>785.57749999999999</v>
      </c>
      <c r="F157" s="1">
        <v>753.28625</v>
      </c>
      <c r="G157" s="1">
        <v>734.60500000000002</v>
      </c>
      <c r="H157" s="1">
        <v>726.27</v>
      </c>
      <c r="I157" s="1">
        <v>712.55624999999998</v>
      </c>
      <c r="J157" s="1">
        <v>640.93624999999997</v>
      </c>
      <c r="K157" s="1">
        <v>409.88249999999999</v>
      </c>
      <c r="L157" s="1">
        <v>287.99250000000001</v>
      </c>
      <c r="M157" s="1">
        <v>105.765</v>
      </c>
      <c r="N157" s="1">
        <v>101.39749999999999</v>
      </c>
      <c r="O157" s="1">
        <v>0</v>
      </c>
      <c r="P157" s="1">
        <v>0</v>
      </c>
      <c r="Q157" s="1">
        <v>0</v>
      </c>
      <c r="R157" s="1">
        <v>0</v>
      </c>
      <c r="S157" s="1">
        <v>40.316249999999997</v>
      </c>
      <c r="T157" s="1">
        <v>258.25125000000003</v>
      </c>
      <c r="U157" s="1">
        <v>607.15125</v>
      </c>
      <c r="V157" s="1">
        <v>858.05624999999998</v>
      </c>
      <c r="W157" s="1">
        <v>898.06375000000003</v>
      </c>
      <c r="X157" s="1">
        <v>894.5625</v>
      </c>
      <c r="Y157" s="1">
        <v>881.21</v>
      </c>
      <c r="Z157" s="1">
        <v>841.66875000000005</v>
      </c>
      <c r="AA157" s="1">
        <v>797.22249999999997</v>
      </c>
      <c r="AB157" s="26">
        <v>4</v>
      </c>
      <c r="AC157" s="8">
        <f t="shared" si="11"/>
        <v>48594.28</v>
      </c>
      <c r="AM157"/>
    </row>
    <row r="158" spans="1:39" x14ac:dyDescent="0.25">
      <c r="A158" s="3">
        <f t="shared" si="9"/>
        <v>2030</v>
      </c>
      <c r="B158" s="5" t="str">
        <f>PROPER(TEXT(DATEVALUE("1/"&amp;MOD(ROUNDDOWN((ROW()-6+7*3)/3,0),12)+1&amp;"/"&amp;Tabla1[[#This Row],[Año]]),"mmm"))</f>
        <v>Oct</v>
      </c>
      <c r="C158" s="7" t="str">
        <f t="shared" si="10"/>
        <v>Domingo y Festivo</v>
      </c>
      <c r="D158" s="1">
        <v>767.40749999999991</v>
      </c>
      <c r="E158" s="1">
        <v>745.98</v>
      </c>
      <c r="F158" s="1">
        <v>728.80916666666656</v>
      </c>
      <c r="G158" s="1">
        <v>709.74749999999995</v>
      </c>
      <c r="H158" s="1">
        <v>701.0866666666667</v>
      </c>
      <c r="I158" s="1">
        <v>679.61749999999995</v>
      </c>
      <c r="J158" s="1">
        <v>568.16166666666663</v>
      </c>
      <c r="K158" s="1">
        <v>161.14000000000001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5.3475000000000001</v>
      </c>
      <c r="T158" s="1">
        <v>162.04416666666665</v>
      </c>
      <c r="U158" s="1">
        <v>516.50249999999994</v>
      </c>
      <c r="V158" s="1">
        <v>769.26166666666666</v>
      </c>
      <c r="W158" s="1">
        <v>839.73333333333323</v>
      </c>
      <c r="X158" s="1">
        <v>863.92333333333329</v>
      </c>
      <c r="Y158" s="1">
        <v>861.94500000000005</v>
      </c>
      <c r="Z158" s="1">
        <v>812.42500000000007</v>
      </c>
      <c r="AA158" s="1">
        <v>758.22833333333335</v>
      </c>
      <c r="AB158" s="26">
        <v>4</v>
      </c>
      <c r="AC158" s="8">
        <f t="shared" si="11"/>
        <v>42605.443333333322</v>
      </c>
      <c r="AM158"/>
    </row>
    <row r="159" spans="1:39" x14ac:dyDescent="0.25">
      <c r="A159" s="3">
        <f t="shared" si="9"/>
        <v>2030</v>
      </c>
      <c r="B159" s="5" t="str">
        <f>PROPER(TEXT(DATEVALUE("1/"&amp;MOD(ROUNDDOWN((ROW()-6+7*3)/3,0),12)+1&amp;"/"&amp;Tabla1[[#This Row],[Año]]),"mmm"))</f>
        <v>Nov</v>
      </c>
      <c r="C159" s="7" t="str">
        <f t="shared" si="10"/>
        <v>Hábil</v>
      </c>
      <c r="D159" s="1">
        <v>777.23380952380955</v>
      </c>
      <c r="E159" s="1">
        <v>747.8097619047619</v>
      </c>
      <c r="F159" s="1">
        <v>722.91357142857146</v>
      </c>
      <c r="G159" s="1">
        <v>698.02428571428572</v>
      </c>
      <c r="H159" s="1">
        <v>691.64547619047619</v>
      </c>
      <c r="I159" s="1">
        <v>710.39976190476193</v>
      </c>
      <c r="J159" s="1">
        <v>735.91809523809525</v>
      </c>
      <c r="K159" s="1">
        <v>722.64095238095229</v>
      </c>
      <c r="L159" s="1">
        <v>637.61285714285714</v>
      </c>
      <c r="M159" s="1">
        <v>406.39833333333331</v>
      </c>
      <c r="N159" s="1">
        <v>277.80166666666668</v>
      </c>
      <c r="O159" s="1">
        <v>285.09047619047618</v>
      </c>
      <c r="P159" s="1">
        <v>123.77285714285715</v>
      </c>
      <c r="Q159" s="1">
        <v>92.608333333333334</v>
      </c>
      <c r="R159" s="1">
        <v>299.13642857142855</v>
      </c>
      <c r="S159" s="1">
        <v>455.46952380952382</v>
      </c>
      <c r="T159" s="1">
        <v>747.55857142857144</v>
      </c>
      <c r="U159" s="1">
        <v>1079.5923809523808</v>
      </c>
      <c r="V159" s="1">
        <v>1066.6104761904762</v>
      </c>
      <c r="W159" s="1">
        <v>976.52190476190469</v>
      </c>
      <c r="X159" s="1">
        <v>970.79452380952387</v>
      </c>
      <c r="Y159" s="1">
        <v>956.94904761904763</v>
      </c>
      <c r="Z159" s="1">
        <v>895.17119047619053</v>
      </c>
      <c r="AA159" s="1">
        <v>830.36285714285714</v>
      </c>
      <c r="AB159" s="26">
        <v>21</v>
      </c>
      <c r="AC159" s="8">
        <f t="shared" si="11"/>
        <v>334068.78000000003</v>
      </c>
      <c r="AM159"/>
    </row>
    <row r="160" spans="1:39" x14ac:dyDescent="0.25">
      <c r="A160" s="3">
        <f t="shared" si="9"/>
        <v>2030</v>
      </c>
      <c r="B160" s="5" t="str">
        <f>PROPER(TEXT(DATEVALUE("1/"&amp;MOD(ROUNDDOWN((ROW()-6+7*3)/3,0),12)+1&amp;"/"&amp;Tabla1[[#This Row],[Año]]),"mmm"))</f>
        <v>Nov</v>
      </c>
      <c r="C160" s="7" t="str">
        <f t="shared" si="10"/>
        <v>Sábado</v>
      </c>
      <c r="D160" s="1">
        <v>813.79875000000004</v>
      </c>
      <c r="E160" s="1">
        <v>785.57749999999999</v>
      </c>
      <c r="F160" s="1">
        <v>753.28625</v>
      </c>
      <c r="G160" s="1">
        <v>734.60500000000002</v>
      </c>
      <c r="H160" s="1">
        <v>726.27</v>
      </c>
      <c r="I160" s="1">
        <v>712.55624999999998</v>
      </c>
      <c r="J160" s="1">
        <v>640.93624999999997</v>
      </c>
      <c r="K160" s="1">
        <v>409.88249999999999</v>
      </c>
      <c r="L160" s="1">
        <v>287.99250000000001</v>
      </c>
      <c r="M160" s="1">
        <v>105.765</v>
      </c>
      <c r="N160" s="1">
        <v>101.39749999999999</v>
      </c>
      <c r="O160" s="1">
        <v>0</v>
      </c>
      <c r="P160" s="1">
        <v>0</v>
      </c>
      <c r="Q160" s="1">
        <v>0</v>
      </c>
      <c r="R160" s="1">
        <v>0</v>
      </c>
      <c r="S160" s="1">
        <v>40.316249999999997</v>
      </c>
      <c r="T160" s="1">
        <v>258.25125000000003</v>
      </c>
      <c r="U160" s="1">
        <v>607.15125</v>
      </c>
      <c r="V160" s="1">
        <v>858.05624999999998</v>
      </c>
      <c r="W160" s="1">
        <v>898.06375000000003</v>
      </c>
      <c r="X160" s="1">
        <v>894.5625</v>
      </c>
      <c r="Y160" s="1">
        <v>881.21</v>
      </c>
      <c r="Z160" s="1">
        <v>841.66875000000005</v>
      </c>
      <c r="AA160" s="1">
        <v>797.22249999999997</v>
      </c>
      <c r="AB160" s="26">
        <v>5</v>
      </c>
      <c r="AC160" s="8">
        <f t="shared" si="11"/>
        <v>60742.85</v>
      </c>
      <c r="AM160"/>
    </row>
    <row r="161" spans="1:39" x14ac:dyDescent="0.25">
      <c r="A161" s="3">
        <f t="shared" si="9"/>
        <v>2030</v>
      </c>
      <c r="B161" s="5" t="str">
        <f>PROPER(TEXT(DATEVALUE("1/"&amp;MOD(ROUNDDOWN((ROW()-6+7*3)/3,0),12)+1&amp;"/"&amp;Tabla1[[#This Row],[Año]]),"mmm"))</f>
        <v>Nov</v>
      </c>
      <c r="C161" s="7" t="str">
        <f t="shared" si="10"/>
        <v>Domingo y Festivo</v>
      </c>
      <c r="D161" s="1">
        <v>767.40749999999991</v>
      </c>
      <c r="E161" s="1">
        <v>745.98</v>
      </c>
      <c r="F161" s="1">
        <v>728.80916666666656</v>
      </c>
      <c r="G161" s="1">
        <v>709.74749999999995</v>
      </c>
      <c r="H161" s="1">
        <v>701.0866666666667</v>
      </c>
      <c r="I161" s="1">
        <v>679.61749999999995</v>
      </c>
      <c r="J161" s="1">
        <v>568.16166666666663</v>
      </c>
      <c r="K161" s="1">
        <v>161.14000000000001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5.3475000000000001</v>
      </c>
      <c r="T161" s="1">
        <v>162.04416666666665</v>
      </c>
      <c r="U161" s="1">
        <v>516.50249999999994</v>
      </c>
      <c r="V161" s="1">
        <v>769.26166666666666</v>
      </c>
      <c r="W161" s="1">
        <v>839.73333333333323</v>
      </c>
      <c r="X161" s="1">
        <v>863.92333333333329</v>
      </c>
      <c r="Y161" s="1">
        <v>861.94500000000005</v>
      </c>
      <c r="Z161" s="1">
        <v>812.42500000000007</v>
      </c>
      <c r="AA161" s="1">
        <v>758.22833333333335</v>
      </c>
      <c r="AB161" s="26">
        <v>4</v>
      </c>
      <c r="AC161" s="8">
        <f t="shared" si="11"/>
        <v>42605.443333333322</v>
      </c>
      <c r="AM161"/>
    </row>
    <row r="162" spans="1:39" x14ac:dyDescent="0.25">
      <c r="A162" s="3">
        <f t="shared" si="9"/>
        <v>2030</v>
      </c>
      <c r="B162" s="5" t="str">
        <f>PROPER(TEXT(DATEVALUE("1/"&amp;MOD(ROUNDDOWN((ROW()-6+7*3)/3,0),12)+1&amp;"/"&amp;Tabla1[[#This Row],[Año]]),"mmm"))</f>
        <v>Dic</v>
      </c>
      <c r="C162" s="7" t="str">
        <f t="shared" si="10"/>
        <v>Hábil</v>
      </c>
      <c r="D162" s="1">
        <v>777.23380952380955</v>
      </c>
      <c r="E162" s="1">
        <v>747.8097619047619</v>
      </c>
      <c r="F162" s="1">
        <v>722.91357142857146</v>
      </c>
      <c r="G162" s="1">
        <v>698.02428571428572</v>
      </c>
      <c r="H162" s="1">
        <v>691.64547619047619</v>
      </c>
      <c r="I162" s="1">
        <v>710.39976190476193</v>
      </c>
      <c r="J162" s="1">
        <v>735.91809523809525</v>
      </c>
      <c r="K162" s="1">
        <v>722.64095238095229</v>
      </c>
      <c r="L162" s="1">
        <v>637.61285714285714</v>
      </c>
      <c r="M162" s="1">
        <v>406.39833333333331</v>
      </c>
      <c r="N162" s="1">
        <v>277.80166666666668</v>
      </c>
      <c r="O162" s="1">
        <v>285.09047619047618</v>
      </c>
      <c r="P162" s="1">
        <v>123.77285714285715</v>
      </c>
      <c r="Q162" s="1">
        <v>92.608333333333334</v>
      </c>
      <c r="R162" s="1">
        <v>299.13642857142855</v>
      </c>
      <c r="S162" s="1">
        <v>455.46952380952382</v>
      </c>
      <c r="T162" s="1">
        <v>747.55857142857144</v>
      </c>
      <c r="U162" s="1">
        <v>1079.5923809523808</v>
      </c>
      <c r="V162" s="1">
        <v>1066.6104761904762</v>
      </c>
      <c r="W162" s="1">
        <v>976.52190476190469</v>
      </c>
      <c r="X162" s="1">
        <v>970.79452380952387</v>
      </c>
      <c r="Y162" s="1">
        <v>956.94904761904763</v>
      </c>
      <c r="Z162" s="1">
        <v>895.17119047619053</v>
      </c>
      <c r="AA162" s="1">
        <v>830.36285714285714</v>
      </c>
      <c r="AB162" s="26">
        <v>22</v>
      </c>
      <c r="AC162" s="8">
        <f t="shared" si="11"/>
        <v>349976.81714285718</v>
      </c>
      <c r="AM162"/>
    </row>
    <row r="163" spans="1:39" x14ac:dyDescent="0.25">
      <c r="A163" s="3">
        <f t="shared" si="9"/>
        <v>2030</v>
      </c>
      <c r="B163" s="5" t="str">
        <f>PROPER(TEXT(DATEVALUE("1/"&amp;MOD(ROUNDDOWN((ROW()-6+7*3)/3,0),12)+1&amp;"/"&amp;Tabla1[[#This Row],[Año]]),"mmm"))</f>
        <v>Dic</v>
      </c>
      <c r="C163" s="7" t="str">
        <f t="shared" si="10"/>
        <v>Sábado</v>
      </c>
      <c r="D163" s="1">
        <v>813.79875000000004</v>
      </c>
      <c r="E163" s="1">
        <v>785.57749999999999</v>
      </c>
      <c r="F163" s="1">
        <v>753.28625</v>
      </c>
      <c r="G163" s="1">
        <v>734.60500000000002</v>
      </c>
      <c r="H163" s="1">
        <v>726.27</v>
      </c>
      <c r="I163" s="1">
        <v>712.55624999999998</v>
      </c>
      <c r="J163" s="1">
        <v>640.93624999999997</v>
      </c>
      <c r="K163" s="1">
        <v>409.88249999999999</v>
      </c>
      <c r="L163" s="1">
        <v>287.99250000000001</v>
      </c>
      <c r="M163" s="1">
        <v>105.765</v>
      </c>
      <c r="N163" s="1">
        <v>101.39749999999999</v>
      </c>
      <c r="O163" s="1">
        <v>0</v>
      </c>
      <c r="P163" s="1">
        <v>0</v>
      </c>
      <c r="Q163" s="1">
        <v>0</v>
      </c>
      <c r="R163" s="1">
        <v>0</v>
      </c>
      <c r="S163" s="1">
        <v>40.316249999999997</v>
      </c>
      <c r="T163" s="1">
        <v>258.25125000000003</v>
      </c>
      <c r="U163" s="1">
        <v>607.15125</v>
      </c>
      <c r="V163" s="1">
        <v>858.05624999999998</v>
      </c>
      <c r="W163" s="1">
        <v>898.06375000000003</v>
      </c>
      <c r="X163" s="1">
        <v>894.5625</v>
      </c>
      <c r="Y163" s="1">
        <v>881.21</v>
      </c>
      <c r="Z163" s="1">
        <v>841.66875000000005</v>
      </c>
      <c r="AA163" s="1">
        <v>797.22249999999997</v>
      </c>
      <c r="AB163" s="26">
        <v>4</v>
      </c>
      <c r="AC163" s="8">
        <f t="shared" si="11"/>
        <v>48594.28</v>
      </c>
      <c r="AM163"/>
    </row>
    <row r="164" spans="1:39" x14ac:dyDescent="0.25">
      <c r="A164" s="3">
        <f t="shared" si="9"/>
        <v>2030</v>
      </c>
      <c r="B164" s="5" t="str">
        <f>PROPER(TEXT(DATEVALUE("1/"&amp;MOD(ROUNDDOWN((ROW()-6+7*3)/3,0),12)+1&amp;"/"&amp;Tabla1[[#This Row],[Año]]),"mmm"))</f>
        <v>Dic</v>
      </c>
      <c r="C164" s="7" t="str">
        <f t="shared" si="10"/>
        <v>Domingo y Festivo</v>
      </c>
      <c r="D164" s="1">
        <v>767.40749999999991</v>
      </c>
      <c r="E164" s="1">
        <v>745.98</v>
      </c>
      <c r="F164" s="1">
        <v>728.80916666666656</v>
      </c>
      <c r="G164" s="1">
        <v>709.74749999999995</v>
      </c>
      <c r="H164" s="1">
        <v>701.0866666666667</v>
      </c>
      <c r="I164" s="1">
        <v>679.61749999999995</v>
      </c>
      <c r="J164" s="1">
        <v>568.16166666666663</v>
      </c>
      <c r="K164" s="1">
        <v>161.14000000000001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5.3475000000000001</v>
      </c>
      <c r="T164" s="1">
        <v>162.04416666666665</v>
      </c>
      <c r="U164" s="1">
        <v>516.50249999999994</v>
      </c>
      <c r="V164" s="1">
        <v>769.26166666666666</v>
      </c>
      <c r="W164" s="1">
        <v>839.73333333333323</v>
      </c>
      <c r="X164" s="1">
        <v>863.92333333333329</v>
      </c>
      <c r="Y164" s="1">
        <v>861.94500000000005</v>
      </c>
      <c r="Z164" s="1">
        <v>812.42500000000007</v>
      </c>
      <c r="AA164" s="1">
        <v>758.22833333333335</v>
      </c>
      <c r="AB164" s="26">
        <v>5</v>
      </c>
      <c r="AC164" s="8">
        <f t="shared" si="11"/>
        <v>53256.804166666654</v>
      </c>
      <c r="AM164"/>
    </row>
    <row r="165" spans="1:39" x14ac:dyDescent="0.25">
      <c r="A165" s="3">
        <f t="shared" si="9"/>
        <v>2031</v>
      </c>
      <c r="B165" s="5" t="str">
        <f>PROPER(TEXT(DATEVALUE("1/"&amp;MOD(ROUNDDOWN((ROW()-6+7*3)/3,0),12)+1&amp;"/"&amp;Tabla1[[#This Row],[Año]]),"mmm"))</f>
        <v>Ene</v>
      </c>
      <c r="C165" s="7" t="str">
        <f t="shared" si="10"/>
        <v>Hábil</v>
      </c>
      <c r="D165" s="1">
        <v>777.23380952380955</v>
      </c>
      <c r="E165" s="1">
        <v>747.8097619047619</v>
      </c>
      <c r="F165" s="1">
        <v>722.91357142857146</v>
      </c>
      <c r="G165" s="1">
        <v>698.02428571428572</v>
      </c>
      <c r="H165" s="1">
        <v>691.64547619047619</v>
      </c>
      <c r="I165" s="1">
        <v>710.39976190476193</v>
      </c>
      <c r="J165" s="1">
        <v>735.91809523809525</v>
      </c>
      <c r="K165" s="1">
        <v>722.64095238095229</v>
      </c>
      <c r="L165" s="1">
        <v>637.61285714285714</v>
      </c>
      <c r="M165" s="1">
        <v>406.39833333333331</v>
      </c>
      <c r="N165" s="1">
        <v>277.80166666666668</v>
      </c>
      <c r="O165" s="1">
        <v>285.09047619047618</v>
      </c>
      <c r="P165" s="1">
        <v>123.77285714285715</v>
      </c>
      <c r="Q165" s="1">
        <v>92.608333333333334</v>
      </c>
      <c r="R165" s="1">
        <v>299.13642857142855</v>
      </c>
      <c r="S165" s="1">
        <v>455.46952380952382</v>
      </c>
      <c r="T165" s="1">
        <v>747.55857142857144</v>
      </c>
      <c r="U165" s="1">
        <v>1079.5923809523808</v>
      </c>
      <c r="V165" s="1">
        <v>1066.6104761904762</v>
      </c>
      <c r="W165" s="1">
        <v>976.52190476190469</v>
      </c>
      <c r="X165" s="1">
        <v>970.79452380952387</v>
      </c>
      <c r="Y165" s="1">
        <v>956.94904761904763</v>
      </c>
      <c r="Z165" s="1">
        <v>895.17119047619053</v>
      </c>
      <c r="AA165" s="1">
        <v>830.36285714285714</v>
      </c>
      <c r="AB165" s="26">
        <v>23</v>
      </c>
      <c r="AC165" s="8">
        <f t="shared" si="11"/>
        <v>365884.85428571433</v>
      </c>
      <c r="AM165"/>
    </row>
    <row r="166" spans="1:39" x14ac:dyDescent="0.25">
      <c r="A166" s="3">
        <f t="shared" si="9"/>
        <v>2031</v>
      </c>
      <c r="B166" s="5" t="str">
        <f>PROPER(TEXT(DATEVALUE("1/"&amp;MOD(ROUNDDOWN((ROW()-6+7*3)/3,0),12)+1&amp;"/"&amp;Tabla1[[#This Row],[Año]]),"mmm"))</f>
        <v>Ene</v>
      </c>
      <c r="C166" s="7" t="str">
        <f t="shared" si="10"/>
        <v>Sábado</v>
      </c>
      <c r="D166" s="1">
        <v>813.79875000000004</v>
      </c>
      <c r="E166" s="1">
        <v>785.57749999999999</v>
      </c>
      <c r="F166" s="1">
        <v>753.28625</v>
      </c>
      <c r="G166" s="1">
        <v>734.60500000000002</v>
      </c>
      <c r="H166" s="1">
        <v>726.27</v>
      </c>
      <c r="I166" s="1">
        <v>712.55624999999998</v>
      </c>
      <c r="J166" s="1">
        <v>640.93624999999997</v>
      </c>
      <c r="K166" s="1">
        <v>409.88249999999999</v>
      </c>
      <c r="L166" s="1">
        <v>287.99250000000001</v>
      </c>
      <c r="M166" s="1">
        <v>105.765</v>
      </c>
      <c r="N166" s="1">
        <v>101.39749999999999</v>
      </c>
      <c r="O166" s="1">
        <v>0</v>
      </c>
      <c r="P166" s="1">
        <v>0</v>
      </c>
      <c r="Q166" s="1">
        <v>0</v>
      </c>
      <c r="R166" s="1">
        <v>0</v>
      </c>
      <c r="S166" s="1">
        <v>40.316249999999997</v>
      </c>
      <c r="T166" s="1">
        <v>258.25125000000003</v>
      </c>
      <c r="U166" s="1">
        <v>607.15125</v>
      </c>
      <c r="V166" s="1">
        <v>858.05624999999998</v>
      </c>
      <c r="W166" s="1">
        <v>898.06375000000003</v>
      </c>
      <c r="X166" s="1">
        <v>894.5625</v>
      </c>
      <c r="Y166" s="1">
        <v>881.21</v>
      </c>
      <c r="Z166" s="1">
        <v>841.66875000000005</v>
      </c>
      <c r="AA166" s="1">
        <v>797.22249999999997</v>
      </c>
      <c r="AB166" s="26">
        <v>4</v>
      </c>
      <c r="AC166" s="8">
        <f t="shared" si="11"/>
        <v>48594.28</v>
      </c>
      <c r="AM166"/>
    </row>
    <row r="167" spans="1:39" x14ac:dyDescent="0.25">
      <c r="A167" s="3">
        <f t="shared" si="9"/>
        <v>2031</v>
      </c>
      <c r="B167" s="5" t="str">
        <f>PROPER(TEXT(DATEVALUE("1/"&amp;MOD(ROUNDDOWN((ROW()-6+7*3)/3,0),12)+1&amp;"/"&amp;Tabla1[[#This Row],[Año]]),"mmm"))</f>
        <v>Ene</v>
      </c>
      <c r="C167" s="7" t="str">
        <f t="shared" si="10"/>
        <v>Domingo y Festivo</v>
      </c>
      <c r="D167" s="1">
        <v>767.40749999999991</v>
      </c>
      <c r="E167" s="1">
        <v>745.98</v>
      </c>
      <c r="F167" s="1">
        <v>728.80916666666656</v>
      </c>
      <c r="G167" s="1">
        <v>709.74749999999995</v>
      </c>
      <c r="H167" s="1">
        <v>701.0866666666667</v>
      </c>
      <c r="I167" s="1">
        <v>679.61749999999995</v>
      </c>
      <c r="J167" s="1">
        <v>568.16166666666663</v>
      </c>
      <c r="K167" s="1">
        <v>161.14000000000001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5.3475000000000001</v>
      </c>
      <c r="T167" s="1">
        <v>162.04416666666665</v>
      </c>
      <c r="U167" s="1">
        <v>516.50249999999994</v>
      </c>
      <c r="V167" s="1">
        <v>769.26166666666666</v>
      </c>
      <c r="W167" s="1">
        <v>839.73333333333323</v>
      </c>
      <c r="X167" s="1">
        <v>863.92333333333329</v>
      </c>
      <c r="Y167" s="1">
        <v>861.94500000000005</v>
      </c>
      <c r="Z167" s="1">
        <v>812.42500000000007</v>
      </c>
      <c r="AA167" s="1">
        <v>758.22833333333335</v>
      </c>
      <c r="AB167" s="26">
        <v>4</v>
      </c>
      <c r="AC167" s="8">
        <f t="shared" si="11"/>
        <v>42605.443333333322</v>
      </c>
      <c r="AM167"/>
    </row>
    <row r="168" spans="1:39" x14ac:dyDescent="0.25">
      <c r="A168" s="3">
        <f t="shared" si="9"/>
        <v>2031</v>
      </c>
      <c r="B168" s="5" t="str">
        <f>PROPER(TEXT(DATEVALUE("1/"&amp;MOD(ROUNDDOWN((ROW()-6+7*3)/3,0),12)+1&amp;"/"&amp;Tabla1[[#This Row],[Año]]),"mmm"))</f>
        <v>Feb</v>
      </c>
      <c r="C168" s="7" t="str">
        <f t="shared" si="10"/>
        <v>Hábil</v>
      </c>
      <c r="D168" s="1">
        <v>777.23380952380955</v>
      </c>
      <c r="E168" s="1">
        <v>747.8097619047619</v>
      </c>
      <c r="F168" s="1">
        <v>722.91357142857146</v>
      </c>
      <c r="G168" s="1">
        <v>698.02428571428572</v>
      </c>
      <c r="H168" s="1">
        <v>691.64547619047619</v>
      </c>
      <c r="I168" s="1">
        <v>710.39976190476193</v>
      </c>
      <c r="J168" s="1">
        <v>735.91809523809525</v>
      </c>
      <c r="K168" s="1">
        <v>722.64095238095229</v>
      </c>
      <c r="L168" s="1">
        <v>637.61285714285714</v>
      </c>
      <c r="M168" s="1">
        <v>406.39833333333331</v>
      </c>
      <c r="N168" s="1">
        <v>277.80166666666668</v>
      </c>
      <c r="O168" s="1">
        <v>285.09047619047618</v>
      </c>
      <c r="P168" s="1">
        <v>123.77285714285715</v>
      </c>
      <c r="Q168" s="1">
        <v>92.608333333333334</v>
      </c>
      <c r="R168" s="1">
        <v>299.13642857142855</v>
      </c>
      <c r="S168" s="1">
        <v>455.46952380952382</v>
      </c>
      <c r="T168" s="1">
        <v>747.55857142857144</v>
      </c>
      <c r="U168" s="1">
        <v>1079.5923809523808</v>
      </c>
      <c r="V168" s="1">
        <v>1066.6104761904762</v>
      </c>
      <c r="W168" s="1">
        <v>976.52190476190469</v>
      </c>
      <c r="X168" s="1">
        <v>970.79452380952387</v>
      </c>
      <c r="Y168" s="1">
        <v>956.94904761904763</v>
      </c>
      <c r="Z168" s="1">
        <v>895.17119047619053</v>
      </c>
      <c r="AA168" s="1">
        <v>830.36285714285714</v>
      </c>
      <c r="AB168" s="26">
        <v>20</v>
      </c>
      <c r="AC168" s="8">
        <f t="shared" si="11"/>
        <v>318160.74285714293</v>
      </c>
      <c r="AM168"/>
    </row>
    <row r="169" spans="1:39" x14ac:dyDescent="0.25">
      <c r="A169" s="3">
        <f t="shared" si="9"/>
        <v>2031</v>
      </c>
      <c r="B169" s="5" t="str">
        <f>PROPER(TEXT(DATEVALUE("1/"&amp;MOD(ROUNDDOWN((ROW()-6+7*3)/3,0),12)+1&amp;"/"&amp;Tabla1[[#This Row],[Año]]),"mmm"))</f>
        <v>Feb</v>
      </c>
      <c r="C169" s="7" t="str">
        <f t="shared" si="10"/>
        <v>Sábado</v>
      </c>
      <c r="D169" s="1">
        <v>813.79875000000004</v>
      </c>
      <c r="E169" s="1">
        <v>785.57749999999999</v>
      </c>
      <c r="F169" s="1">
        <v>753.28625</v>
      </c>
      <c r="G169" s="1">
        <v>734.60500000000002</v>
      </c>
      <c r="H169" s="1">
        <v>726.27</v>
      </c>
      <c r="I169" s="1">
        <v>712.55624999999998</v>
      </c>
      <c r="J169" s="1">
        <v>640.93624999999997</v>
      </c>
      <c r="K169" s="1">
        <v>409.88249999999999</v>
      </c>
      <c r="L169" s="1">
        <v>287.99250000000001</v>
      </c>
      <c r="M169" s="1">
        <v>105.765</v>
      </c>
      <c r="N169" s="1">
        <v>101.39749999999999</v>
      </c>
      <c r="O169" s="1">
        <v>0</v>
      </c>
      <c r="P169" s="1">
        <v>0</v>
      </c>
      <c r="Q169" s="1">
        <v>0</v>
      </c>
      <c r="R169" s="1">
        <v>0</v>
      </c>
      <c r="S169" s="1">
        <v>40.316249999999997</v>
      </c>
      <c r="T169" s="1">
        <v>258.25125000000003</v>
      </c>
      <c r="U169" s="1">
        <v>607.15125</v>
      </c>
      <c r="V169" s="1">
        <v>858.05624999999998</v>
      </c>
      <c r="W169" s="1">
        <v>898.06375000000003</v>
      </c>
      <c r="X169" s="1">
        <v>894.5625</v>
      </c>
      <c r="Y169" s="1">
        <v>881.21</v>
      </c>
      <c r="Z169" s="1">
        <v>841.66875000000005</v>
      </c>
      <c r="AA169" s="1">
        <v>797.22249999999997</v>
      </c>
      <c r="AB169" s="26">
        <v>4</v>
      </c>
      <c r="AC169" s="8">
        <f t="shared" si="11"/>
        <v>48594.28</v>
      </c>
      <c r="AM169"/>
    </row>
    <row r="170" spans="1:39" x14ac:dyDescent="0.25">
      <c r="A170" s="3">
        <f t="shared" si="9"/>
        <v>2031</v>
      </c>
      <c r="B170" s="5" t="str">
        <f>PROPER(TEXT(DATEVALUE("1/"&amp;MOD(ROUNDDOWN((ROW()-6+7*3)/3,0),12)+1&amp;"/"&amp;Tabla1[[#This Row],[Año]]),"mmm"))</f>
        <v>Feb</v>
      </c>
      <c r="C170" s="7" t="str">
        <f t="shared" si="10"/>
        <v>Domingo y Festivo</v>
      </c>
      <c r="D170" s="1">
        <v>767.40749999999991</v>
      </c>
      <c r="E170" s="1">
        <v>745.98</v>
      </c>
      <c r="F170" s="1">
        <v>728.80916666666656</v>
      </c>
      <c r="G170" s="1">
        <v>709.74749999999995</v>
      </c>
      <c r="H170" s="1">
        <v>701.0866666666667</v>
      </c>
      <c r="I170" s="1">
        <v>679.61749999999995</v>
      </c>
      <c r="J170" s="1">
        <v>568.16166666666663</v>
      </c>
      <c r="K170" s="1">
        <v>161.14000000000001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5.3475000000000001</v>
      </c>
      <c r="T170" s="1">
        <v>162.04416666666665</v>
      </c>
      <c r="U170" s="1">
        <v>516.50249999999994</v>
      </c>
      <c r="V170" s="1">
        <v>769.26166666666666</v>
      </c>
      <c r="W170" s="1">
        <v>839.73333333333323</v>
      </c>
      <c r="X170" s="1">
        <v>863.92333333333329</v>
      </c>
      <c r="Y170" s="1">
        <v>861.94500000000005</v>
      </c>
      <c r="Z170" s="1">
        <v>812.42500000000007</v>
      </c>
      <c r="AA170" s="1">
        <v>758.22833333333335</v>
      </c>
      <c r="AB170" s="26">
        <v>4</v>
      </c>
      <c r="AC170" s="8">
        <f t="shared" si="11"/>
        <v>42605.443333333322</v>
      </c>
      <c r="AM170"/>
    </row>
    <row r="171" spans="1:39" x14ac:dyDescent="0.25">
      <c r="A171" s="3">
        <f t="shared" si="9"/>
        <v>2031</v>
      </c>
      <c r="B171" s="5" t="str">
        <f>PROPER(TEXT(DATEVALUE("1/"&amp;MOD(ROUNDDOWN((ROW()-6+7*3)/3,0),12)+1&amp;"/"&amp;Tabla1[[#This Row],[Año]]),"mmm"))</f>
        <v>Mar</v>
      </c>
      <c r="C171" s="7" t="str">
        <f t="shared" si="10"/>
        <v>Hábil</v>
      </c>
      <c r="D171" s="1">
        <v>777.23380952380955</v>
      </c>
      <c r="E171" s="1">
        <v>747.8097619047619</v>
      </c>
      <c r="F171" s="1">
        <v>722.91357142857146</v>
      </c>
      <c r="G171" s="1">
        <v>698.02428571428572</v>
      </c>
      <c r="H171" s="1">
        <v>691.64547619047619</v>
      </c>
      <c r="I171" s="1">
        <v>710.39976190476193</v>
      </c>
      <c r="J171" s="1">
        <v>735.91809523809525</v>
      </c>
      <c r="K171" s="1">
        <v>722.64095238095229</v>
      </c>
      <c r="L171" s="1">
        <v>637.61285714285714</v>
      </c>
      <c r="M171" s="1">
        <v>406.39833333333331</v>
      </c>
      <c r="N171" s="1">
        <v>277.80166666666668</v>
      </c>
      <c r="O171" s="1">
        <v>285.09047619047618</v>
      </c>
      <c r="P171" s="1">
        <v>123.77285714285715</v>
      </c>
      <c r="Q171" s="1">
        <v>92.608333333333334</v>
      </c>
      <c r="R171" s="1">
        <v>299.13642857142855</v>
      </c>
      <c r="S171" s="1">
        <v>455.46952380952382</v>
      </c>
      <c r="T171" s="1">
        <v>747.55857142857144</v>
      </c>
      <c r="U171" s="1">
        <v>1079.5923809523808</v>
      </c>
      <c r="V171" s="1">
        <v>1066.6104761904762</v>
      </c>
      <c r="W171" s="1">
        <v>976.52190476190469</v>
      </c>
      <c r="X171" s="1">
        <v>970.79452380952387</v>
      </c>
      <c r="Y171" s="1">
        <v>956.94904761904763</v>
      </c>
      <c r="Z171" s="1">
        <v>895.17119047619053</v>
      </c>
      <c r="AA171" s="1">
        <v>830.36285714285714</v>
      </c>
      <c r="AB171" s="26">
        <v>21</v>
      </c>
      <c r="AC171" s="8">
        <f t="shared" si="11"/>
        <v>334068.78000000003</v>
      </c>
      <c r="AM171"/>
    </row>
    <row r="172" spans="1:39" x14ac:dyDescent="0.25">
      <c r="A172" s="3">
        <f t="shared" si="9"/>
        <v>2031</v>
      </c>
      <c r="B172" s="5" t="str">
        <f>PROPER(TEXT(DATEVALUE("1/"&amp;MOD(ROUNDDOWN((ROW()-6+7*3)/3,0),12)+1&amp;"/"&amp;Tabla1[[#This Row],[Año]]),"mmm"))</f>
        <v>Mar</v>
      </c>
      <c r="C172" s="7" t="str">
        <f t="shared" si="10"/>
        <v>Sábado</v>
      </c>
      <c r="D172" s="1">
        <v>813.79875000000004</v>
      </c>
      <c r="E172" s="1">
        <v>785.57749999999999</v>
      </c>
      <c r="F172" s="1">
        <v>753.28625</v>
      </c>
      <c r="G172" s="1">
        <v>734.60500000000002</v>
      </c>
      <c r="H172" s="1">
        <v>726.27</v>
      </c>
      <c r="I172" s="1">
        <v>712.55624999999998</v>
      </c>
      <c r="J172" s="1">
        <v>640.93624999999997</v>
      </c>
      <c r="K172" s="1">
        <v>409.88249999999999</v>
      </c>
      <c r="L172" s="1">
        <v>287.99250000000001</v>
      </c>
      <c r="M172" s="1">
        <v>105.765</v>
      </c>
      <c r="N172" s="1">
        <v>101.39749999999999</v>
      </c>
      <c r="O172" s="1">
        <v>0</v>
      </c>
      <c r="P172" s="1">
        <v>0</v>
      </c>
      <c r="Q172" s="1">
        <v>0</v>
      </c>
      <c r="R172" s="1">
        <v>0</v>
      </c>
      <c r="S172" s="1">
        <v>40.316249999999997</v>
      </c>
      <c r="T172" s="1">
        <v>258.25125000000003</v>
      </c>
      <c r="U172" s="1">
        <v>607.15125</v>
      </c>
      <c r="V172" s="1">
        <v>858.05624999999998</v>
      </c>
      <c r="W172" s="1">
        <v>898.06375000000003</v>
      </c>
      <c r="X172" s="1">
        <v>894.5625</v>
      </c>
      <c r="Y172" s="1">
        <v>881.21</v>
      </c>
      <c r="Z172" s="1">
        <v>841.66875000000005</v>
      </c>
      <c r="AA172" s="1">
        <v>797.22249999999997</v>
      </c>
      <c r="AB172" s="26">
        <v>5</v>
      </c>
      <c r="AC172" s="8">
        <f t="shared" si="11"/>
        <v>60742.85</v>
      </c>
      <c r="AM172"/>
    </row>
    <row r="173" spans="1:39" x14ac:dyDescent="0.25">
      <c r="A173" s="3">
        <f t="shared" si="9"/>
        <v>2031</v>
      </c>
      <c r="B173" s="5" t="str">
        <f>PROPER(TEXT(DATEVALUE("1/"&amp;MOD(ROUNDDOWN((ROW()-6+7*3)/3,0),12)+1&amp;"/"&amp;Tabla1[[#This Row],[Año]]),"mmm"))</f>
        <v>Mar</v>
      </c>
      <c r="C173" s="7" t="str">
        <f t="shared" si="10"/>
        <v>Domingo y Festivo</v>
      </c>
      <c r="D173" s="1">
        <v>767.40749999999991</v>
      </c>
      <c r="E173" s="1">
        <v>745.98</v>
      </c>
      <c r="F173" s="1">
        <v>728.80916666666656</v>
      </c>
      <c r="G173" s="1">
        <v>709.74749999999995</v>
      </c>
      <c r="H173" s="1">
        <v>701.0866666666667</v>
      </c>
      <c r="I173" s="1">
        <v>679.61749999999995</v>
      </c>
      <c r="J173" s="1">
        <v>568.16166666666663</v>
      </c>
      <c r="K173" s="1">
        <v>161.14000000000001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5.3475000000000001</v>
      </c>
      <c r="T173" s="1">
        <v>162.04416666666665</v>
      </c>
      <c r="U173" s="1">
        <v>516.50249999999994</v>
      </c>
      <c r="V173" s="1">
        <v>769.26166666666666</v>
      </c>
      <c r="W173" s="1">
        <v>839.73333333333323</v>
      </c>
      <c r="X173" s="1">
        <v>863.92333333333329</v>
      </c>
      <c r="Y173" s="1">
        <v>861.94500000000005</v>
      </c>
      <c r="Z173" s="1">
        <v>812.42500000000007</v>
      </c>
      <c r="AA173" s="1">
        <v>758.22833333333335</v>
      </c>
      <c r="AB173" s="26">
        <v>5</v>
      </c>
      <c r="AC173" s="8">
        <f t="shared" si="11"/>
        <v>53256.804166666654</v>
      </c>
      <c r="AM173"/>
    </row>
    <row r="174" spans="1:39" x14ac:dyDescent="0.25">
      <c r="A174" s="3">
        <f t="shared" si="9"/>
        <v>2031</v>
      </c>
      <c r="B174" s="5" t="str">
        <f>PROPER(TEXT(DATEVALUE("1/"&amp;MOD(ROUNDDOWN((ROW()-6+7*3)/3,0),12)+1&amp;"/"&amp;Tabla1[[#This Row],[Año]]),"mmm"))</f>
        <v>Abr</v>
      </c>
      <c r="C174" s="7" t="str">
        <f t="shared" si="10"/>
        <v>Hábil</v>
      </c>
      <c r="D174" s="1">
        <v>777.23380952380955</v>
      </c>
      <c r="E174" s="1">
        <v>747.8097619047619</v>
      </c>
      <c r="F174" s="1">
        <v>722.91357142857146</v>
      </c>
      <c r="G174" s="1">
        <v>698.02428571428572</v>
      </c>
      <c r="H174" s="1">
        <v>691.64547619047619</v>
      </c>
      <c r="I174" s="1">
        <v>710.39976190476193</v>
      </c>
      <c r="J174" s="1">
        <v>735.91809523809525</v>
      </c>
      <c r="K174" s="1">
        <v>722.64095238095229</v>
      </c>
      <c r="L174" s="1">
        <v>637.61285714285714</v>
      </c>
      <c r="M174" s="1">
        <v>406.39833333333331</v>
      </c>
      <c r="N174" s="1">
        <v>277.80166666666668</v>
      </c>
      <c r="O174" s="1">
        <v>285.09047619047618</v>
      </c>
      <c r="P174" s="1">
        <v>123.77285714285715</v>
      </c>
      <c r="Q174" s="1">
        <v>92.608333333333334</v>
      </c>
      <c r="R174" s="1">
        <v>299.13642857142855</v>
      </c>
      <c r="S174" s="1">
        <v>455.46952380952382</v>
      </c>
      <c r="T174" s="1">
        <v>747.55857142857144</v>
      </c>
      <c r="U174" s="1">
        <v>1079.5923809523808</v>
      </c>
      <c r="V174" s="1">
        <v>1066.6104761904762</v>
      </c>
      <c r="W174" s="1">
        <v>976.52190476190469</v>
      </c>
      <c r="X174" s="1">
        <v>970.79452380952387</v>
      </c>
      <c r="Y174" s="1">
        <v>956.94904761904763</v>
      </c>
      <c r="Z174" s="1">
        <v>895.17119047619053</v>
      </c>
      <c r="AA174" s="1">
        <v>830.36285714285714</v>
      </c>
      <c r="AB174" s="26">
        <v>22</v>
      </c>
      <c r="AC174" s="8">
        <f t="shared" si="11"/>
        <v>349976.81714285718</v>
      </c>
      <c r="AM174"/>
    </row>
    <row r="175" spans="1:39" x14ac:dyDescent="0.25">
      <c r="A175" s="3">
        <f t="shared" si="9"/>
        <v>2031</v>
      </c>
      <c r="B175" s="5" t="str">
        <f>PROPER(TEXT(DATEVALUE("1/"&amp;MOD(ROUNDDOWN((ROW()-6+7*3)/3,0),12)+1&amp;"/"&amp;Tabla1[[#This Row],[Año]]),"mmm"))</f>
        <v>Abr</v>
      </c>
      <c r="C175" s="7" t="str">
        <f t="shared" si="10"/>
        <v>Sábado</v>
      </c>
      <c r="D175" s="1">
        <v>813.79875000000004</v>
      </c>
      <c r="E175" s="1">
        <v>785.57749999999999</v>
      </c>
      <c r="F175" s="1">
        <v>753.28625</v>
      </c>
      <c r="G175" s="1">
        <v>734.60500000000002</v>
      </c>
      <c r="H175" s="1">
        <v>726.27</v>
      </c>
      <c r="I175" s="1">
        <v>712.55624999999998</v>
      </c>
      <c r="J175" s="1">
        <v>640.93624999999997</v>
      </c>
      <c r="K175" s="1">
        <v>409.88249999999999</v>
      </c>
      <c r="L175" s="1">
        <v>287.99250000000001</v>
      </c>
      <c r="M175" s="1">
        <v>105.765</v>
      </c>
      <c r="N175" s="1">
        <v>101.39749999999999</v>
      </c>
      <c r="O175" s="1">
        <v>0</v>
      </c>
      <c r="P175" s="1">
        <v>0</v>
      </c>
      <c r="Q175" s="1">
        <v>0</v>
      </c>
      <c r="R175" s="1">
        <v>0</v>
      </c>
      <c r="S175" s="1">
        <v>40.316249999999997</v>
      </c>
      <c r="T175" s="1">
        <v>258.25125000000003</v>
      </c>
      <c r="U175" s="1">
        <v>607.15125</v>
      </c>
      <c r="V175" s="1">
        <v>858.05624999999998</v>
      </c>
      <c r="W175" s="1">
        <v>898.06375000000003</v>
      </c>
      <c r="X175" s="1">
        <v>894.5625</v>
      </c>
      <c r="Y175" s="1">
        <v>881.21</v>
      </c>
      <c r="Z175" s="1">
        <v>841.66875000000005</v>
      </c>
      <c r="AA175" s="1">
        <v>797.22249999999997</v>
      </c>
      <c r="AB175" s="26">
        <v>4</v>
      </c>
      <c r="AC175" s="8">
        <f t="shared" si="11"/>
        <v>48594.28</v>
      </c>
      <c r="AM175"/>
    </row>
    <row r="176" spans="1:39" x14ac:dyDescent="0.25">
      <c r="A176" s="3">
        <f t="shared" si="9"/>
        <v>2031</v>
      </c>
      <c r="B176" s="5" t="str">
        <f>PROPER(TEXT(DATEVALUE("1/"&amp;MOD(ROUNDDOWN((ROW()-6+7*3)/3,0),12)+1&amp;"/"&amp;Tabla1[[#This Row],[Año]]),"mmm"))</f>
        <v>Abr</v>
      </c>
      <c r="C176" s="7" t="str">
        <f t="shared" si="10"/>
        <v>Domingo y Festivo</v>
      </c>
      <c r="D176" s="1">
        <v>767.40749999999991</v>
      </c>
      <c r="E176" s="1">
        <v>745.98</v>
      </c>
      <c r="F176" s="1">
        <v>728.80916666666656</v>
      </c>
      <c r="G176" s="1">
        <v>709.74749999999995</v>
      </c>
      <c r="H176" s="1">
        <v>701.0866666666667</v>
      </c>
      <c r="I176" s="1">
        <v>679.61749999999995</v>
      </c>
      <c r="J176" s="1">
        <v>568.16166666666663</v>
      </c>
      <c r="K176" s="1">
        <v>161.14000000000001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5.3475000000000001</v>
      </c>
      <c r="T176" s="1">
        <v>162.04416666666665</v>
      </c>
      <c r="U176" s="1">
        <v>516.50249999999994</v>
      </c>
      <c r="V176" s="1">
        <v>769.26166666666666</v>
      </c>
      <c r="W176" s="1">
        <v>839.73333333333323</v>
      </c>
      <c r="X176" s="1">
        <v>863.92333333333329</v>
      </c>
      <c r="Y176" s="1">
        <v>861.94500000000005</v>
      </c>
      <c r="Z176" s="1">
        <v>812.42500000000007</v>
      </c>
      <c r="AA176" s="1">
        <v>758.22833333333335</v>
      </c>
      <c r="AB176" s="26">
        <v>4</v>
      </c>
      <c r="AC176" s="8">
        <f t="shared" si="11"/>
        <v>42605.443333333322</v>
      </c>
      <c r="AM176"/>
    </row>
    <row r="177" spans="1:39" x14ac:dyDescent="0.25">
      <c r="A177" s="3">
        <f t="shared" si="9"/>
        <v>2031</v>
      </c>
      <c r="B177" s="5" t="str">
        <f>PROPER(TEXT(DATEVALUE("1/"&amp;MOD(ROUNDDOWN((ROW()-6+7*3)/3,0),12)+1&amp;"/"&amp;Tabla1[[#This Row],[Año]]),"mmm"))</f>
        <v>May</v>
      </c>
      <c r="C177" s="7" t="str">
        <f t="shared" si="10"/>
        <v>Hábil</v>
      </c>
      <c r="D177" s="1">
        <v>777.23380952380955</v>
      </c>
      <c r="E177" s="1">
        <v>747.8097619047619</v>
      </c>
      <c r="F177" s="1">
        <v>722.91357142857146</v>
      </c>
      <c r="G177" s="1">
        <v>698.02428571428572</v>
      </c>
      <c r="H177" s="1">
        <v>691.64547619047619</v>
      </c>
      <c r="I177" s="1">
        <v>710.39976190476193</v>
      </c>
      <c r="J177" s="1">
        <v>735.91809523809525</v>
      </c>
      <c r="K177" s="1">
        <v>722.64095238095229</v>
      </c>
      <c r="L177" s="1">
        <v>637.61285714285714</v>
      </c>
      <c r="M177" s="1">
        <v>406.39833333333331</v>
      </c>
      <c r="N177" s="1">
        <v>277.80166666666668</v>
      </c>
      <c r="O177" s="1">
        <v>285.09047619047618</v>
      </c>
      <c r="P177" s="1">
        <v>123.77285714285715</v>
      </c>
      <c r="Q177" s="1">
        <v>92.608333333333334</v>
      </c>
      <c r="R177" s="1">
        <v>299.13642857142855</v>
      </c>
      <c r="S177" s="1">
        <v>455.46952380952382</v>
      </c>
      <c r="T177" s="1">
        <v>747.55857142857144</v>
      </c>
      <c r="U177" s="1">
        <v>1079.5923809523808</v>
      </c>
      <c r="V177" s="1">
        <v>1066.6104761904762</v>
      </c>
      <c r="W177" s="1">
        <v>976.52190476190469</v>
      </c>
      <c r="X177" s="1">
        <v>970.79452380952387</v>
      </c>
      <c r="Y177" s="1">
        <v>956.94904761904763</v>
      </c>
      <c r="Z177" s="1">
        <v>895.17119047619053</v>
      </c>
      <c r="AA177" s="1">
        <v>830.36285714285714</v>
      </c>
      <c r="AB177" s="26">
        <v>22</v>
      </c>
      <c r="AC177" s="8">
        <f t="shared" si="11"/>
        <v>349976.81714285718</v>
      </c>
      <c r="AM177"/>
    </row>
    <row r="178" spans="1:39" x14ac:dyDescent="0.25">
      <c r="A178" s="3">
        <f t="shared" si="9"/>
        <v>2031</v>
      </c>
      <c r="B178" s="5" t="str">
        <f>PROPER(TEXT(DATEVALUE("1/"&amp;MOD(ROUNDDOWN((ROW()-6+7*3)/3,0),12)+1&amp;"/"&amp;Tabla1[[#This Row],[Año]]),"mmm"))</f>
        <v>May</v>
      </c>
      <c r="C178" s="7" t="str">
        <f t="shared" si="10"/>
        <v>Sábado</v>
      </c>
      <c r="D178" s="1">
        <v>813.79875000000004</v>
      </c>
      <c r="E178" s="1">
        <v>785.57749999999999</v>
      </c>
      <c r="F178" s="1">
        <v>753.28625</v>
      </c>
      <c r="G178" s="1">
        <v>734.60500000000002</v>
      </c>
      <c r="H178" s="1">
        <v>726.27</v>
      </c>
      <c r="I178" s="1">
        <v>712.55624999999998</v>
      </c>
      <c r="J178" s="1">
        <v>640.93624999999997</v>
      </c>
      <c r="K178" s="1">
        <v>409.88249999999999</v>
      </c>
      <c r="L178" s="1">
        <v>287.99250000000001</v>
      </c>
      <c r="M178" s="1">
        <v>105.765</v>
      </c>
      <c r="N178" s="1">
        <v>101.39749999999999</v>
      </c>
      <c r="O178" s="1">
        <v>0</v>
      </c>
      <c r="P178" s="1">
        <v>0</v>
      </c>
      <c r="Q178" s="1">
        <v>0</v>
      </c>
      <c r="R178" s="1">
        <v>0</v>
      </c>
      <c r="S178" s="1">
        <v>40.316249999999997</v>
      </c>
      <c r="T178" s="1">
        <v>258.25125000000003</v>
      </c>
      <c r="U178" s="1">
        <v>607.15125</v>
      </c>
      <c r="V178" s="1">
        <v>858.05624999999998</v>
      </c>
      <c r="W178" s="1">
        <v>898.06375000000003</v>
      </c>
      <c r="X178" s="1">
        <v>894.5625</v>
      </c>
      <c r="Y178" s="1">
        <v>881.21</v>
      </c>
      <c r="Z178" s="1">
        <v>841.66875000000005</v>
      </c>
      <c r="AA178" s="1">
        <v>797.22249999999997</v>
      </c>
      <c r="AB178" s="26">
        <v>5</v>
      </c>
      <c r="AC178" s="8">
        <f t="shared" si="11"/>
        <v>60742.85</v>
      </c>
      <c r="AM178"/>
    </row>
    <row r="179" spans="1:39" x14ac:dyDescent="0.25">
      <c r="A179" s="3">
        <f t="shared" si="9"/>
        <v>2031</v>
      </c>
      <c r="B179" s="5" t="str">
        <f>PROPER(TEXT(DATEVALUE("1/"&amp;MOD(ROUNDDOWN((ROW()-6+7*3)/3,0),12)+1&amp;"/"&amp;Tabla1[[#This Row],[Año]]),"mmm"))</f>
        <v>May</v>
      </c>
      <c r="C179" s="7" t="str">
        <f t="shared" si="10"/>
        <v>Domingo y Festivo</v>
      </c>
      <c r="D179" s="1">
        <v>767.40749999999991</v>
      </c>
      <c r="E179" s="1">
        <v>745.98</v>
      </c>
      <c r="F179" s="1">
        <v>728.80916666666656</v>
      </c>
      <c r="G179" s="1">
        <v>709.74749999999995</v>
      </c>
      <c r="H179" s="1">
        <v>701.0866666666667</v>
      </c>
      <c r="I179" s="1">
        <v>679.61749999999995</v>
      </c>
      <c r="J179" s="1">
        <v>568.16166666666663</v>
      </c>
      <c r="K179" s="1">
        <v>161.14000000000001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5.3475000000000001</v>
      </c>
      <c r="T179" s="1">
        <v>162.04416666666665</v>
      </c>
      <c r="U179" s="1">
        <v>516.50249999999994</v>
      </c>
      <c r="V179" s="1">
        <v>769.26166666666666</v>
      </c>
      <c r="W179" s="1">
        <v>839.73333333333323</v>
      </c>
      <c r="X179" s="1">
        <v>863.92333333333329</v>
      </c>
      <c r="Y179" s="1">
        <v>861.94500000000005</v>
      </c>
      <c r="Z179" s="1">
        <v>812.42500000000007</v>
      </c>
      <c r="AA179" s="1">
        <v>758.22833333333335</v>
      </c>
      <c r="AB179" s="26">
        <v>4</v>
      </c>
      <c r="AC179" s="8">
        <f t="shared" si="11"/>
        <v>42605.443333333322</v>
      </c>
      <c r="AM179"/>
    </row>
    <row r="180" spans="1:39" x14ac:dyDescent="0.25">
      <c r="A180" s="3">
        <f t="shared" si="9"/>
        <v>2031</v>
      </c>
      <c r="B180" s="5" t="str">
        <f>PROPER(TEXT(DATEVALUE("1/"&amp;MOD(ROUNDDOWN((ROW()-6+7*3)/3,0),12)+1&amp;"/"&amp;Tabla1[[#This Row],[Año]]),"mmm"))</f>
        <v>Jun</v>
      </c>
      <c r="C180" s="7" t="str">
        <f t="shared" si="10"/>
        <v>Hábil</v>
      </c>
      <c r="D180" s="1">
        <v>777.23380952380955</v>
      </c>
      <c r="E180" s="1">
        <v>747.8097619047619</v>
      </c>
      <c r="F180" s="1">
        <v>722.91357142857146</v>
      </c>
      <c r="G180" s="1">
        <v>698.02428571428572</v>
      </c>
      <c r="H180" s="1">
        <v>691.64547619047619</v>
      </c>
      <c r="I180" s="1">
        <v>710.39976190476193</v>
      </c>
      <c r="J180" s="1">
        <v>735.91809523809525</v>
      </c>
      <c r="K180" s="1">
        <v>722.64095238095229</v>
      </c>
      <c r="L180" s="1">
        <v>637.61285714285714</v>
      </c>
      <c r="M180" s="1">
        <v>406.39833333333331</v>
      </c>
      <c r="N180" s="1">
        <v>277.80166666666668</v>
      </c>
      <c r="O180" s="1">
        <v>285.09047619047618</v>
      </c>
      <c r="P180" s="1">
        <v>123.77285714285715</v>
      </c>
      <c r="Q180" s="1">
        <v>92.608333333333334</v>
      </c>
      <c r="R180" s="1">
        <v>299.13642857142855</v>
      </c>
      <c r="S180" s="1">
        <v>455.46952380952382</v>
      </c>
      <c r="T180" s="1">
        <v>747.55857142857144</v>
      </c>
      <c r="U180" s="1">
        <v>1079.5923809523808</v>
      </c>
      <c r="V180" s="1">
        <v>1066.6104761904762</v>
      </c>
      <c r="W180" s="1">
        <v>976.52190476190469</v>
      </c>
      <c r="X180" s="1">
        <v>970.79452380952387</v>
      </c>
      <c r="Y180" s="1">
        <v>956.94904761904763</v>
      </c>
      <c r="Z180" s="1">
        <v>895.17119047619053</v>
      </c>
      <c r="AA180" s="1">
        <v>830.36285714285714</v>
      </c>
      <c r="AB180" s="26">
        <v>21</v>
      </c>
      <c r="AC180" s="8">
        <f t="shared" si="11"/>
        <v>334068.78000000003</v>
      </c>
      <c r="AM180"/>
    </row>
    <row r="181" spans="1:39" x14ac:dyDescent="0.25">
      <c r="A181" s="3">
        <f t="shared" si="9"/>
        <v>2031</v>
      </c>
      <c r="B181" s="5" t="str">
        <f>PROPER(TEXT(DATEVALUE("1/"&amp;MOD(ROUNDDOWN((ROW()-6+7*3)/3,0),12)+1&amp;"/"&amp;Tabla1[[#This Row],[Año]]),"mmm"))</f>
        <v>Jun</v>
      </c>
      <c r="C181" s="7" t="str">
        <f t="shared" si="10"/>
        <v>Sábado</v>
      </c>
      <c r="D181" s="1">
        <v>813.79875000000004</v>
      </c>
      <c r="E181" s="1">
        <v>785.57749999999999</v>
      </c>
      <c r="F181" s="1">
        <v>753.28625</v>
      </c>
      <c r="G181" s="1">
        <v>734.60500000000002</v>
      </c>
      <c r="H181" s="1">
        <v>726.27</v>
      </c>
      <c r="I181" s="1">
        <v>712.55624999999998</v>
      </c>
      <c r="J181" s="1">
        <v>640.93624999999997</v>
      </c>
      <c r="K181" s="1">
        <v>409.88249999999999</v>
      </c>
      <c r="L181" s="1">
        <v>287.99250000000001</v>
      </c>
      <c r="M181" s="1">
        <v>105.765</v>
      </c>
      <c r="N181" s="1">
        <v>101.39749999999999</v>
      </c>
      <c r="O181" s="1">
        <v>0</v>
      </c>
      <c r="P181" s="1">
        <v>0</v>
      </c>
      <c r="Q181" s="1">
        <v>0</v>
      </c>
      <c r="R181" s="1">
        <v>0</v>
      </c>
      <c r="S181" s="1">
        <v>40.316249999999997</v>
      </c>
      <c r="T181" s="1">
        <v>258.25125000000003</v>
      </c>
      <c r="U181" s="1">
        <v>607.15125</v>
      </c>
      <c r="V181" s="1">
        <v>858.05624999999998</v>
      </c>
      <c r="W181" s="1">
        <v>898.06375000000003</v>
      </c>
      <c r="X181" s="1">
        <v>894.5625</v>
      </c>
      <c r="Y181" s="1">
        <v>881.21</v>
      </c>
      <c r="Z181" s="1">
        <v>841.66875000000005</v>
      </c>
      <c r="AA181" s="1">
        <v>797.22249999999997</v>
      </c>
      <c r="AB181" s="26">
        <v>4</v>
      </c>
      <c r="AC181" s="8">
        <f t="shared" si="11"/>
        <v>48594.28</v>
      </c>
      <c r="AM181"/>
    </row>
    <row r="182" spans="1:39" x14ac:dyDescent="0.25">
      <c r="A182" s="3">
        <f t="shared" si="9"/>
        <v>2031</v>
      </c>
      <c r="B182" s="5" t="str">
        <f>PROPER(TEXT(DATEVALUE("1/"&amp;MOD(ROUNDDOWN((ROW()-6+7*3)/3,0),12)+1&amp;"/"&amp;Tabla1[[#This Row],[Año]]),"mmm"))</f>
        <v>Jun</v>
      </c>
      <c r="C182" s="7" t="str">
        <f t="shared" si="10"/>
        <v>Domingo y Festivo</v>
      </c>
      <c r="D182" s="1">
        <v>767.40749999999991</v>
      </c>
      <c r="E182" s="1">
        <v>745.98</v>
      </c>
      <c r="F182" s="1">
        <v>728.80916666666656</v>
      </c>
      <c r="G182" s="1">
        <v>709.74749999999995</v>
      </c>
      <c r="H182" s="1">
        <v>701.0866666666667</v>
      </c>
      <c r="I182" s="1">
        <v>679.61749999999995</v>
      </c>
      <c r="J182" s="1">
        <v>568.16166666666663</v>
      </c>
      <c r="K182" s="1">
        <v>161.14000000000001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5.3475000000000001</v>
      </c>
      <c r="T182" s="1">
        <v>162.04416666666665</v>
      </c>
      <c r="U182" s="1">
        <v>516.50249999999994</v>
      </c>
      <c r="V182" s="1">
        <v>769.26166666666666</v>
      </c>
      <c r="W182" s="1">
        <v>839.73333333333323</v>
      </c>
      <c r="X182" s="1">
        <v>863.92333333333329</v>
      </c>
      <c r="Y182" s="1">
        <v>861.94500000000005</v>
      </c>
      <c r="Z182" s="1">
        <v>812.42500000000007</v>
      </c>
      <c r="AA182" s="1">
        <v>758.22833333333335</v>
      </c>
      <c r="AB182" s="26">
        <v>5</v>
      </c>
      <c r="AC182" s="8">
        <f t="shared" si="11"/>
        <v>53256.804166666654</v>
      </c>
      <c r="AM182"/>
    </row>
    <row r="183" spans="1:39" x14ac:dyDescent="0.25">
      <c r="A183" s="3">
        <f t="shared" si="9"/>
        <v>2031</v>
      </c>
      <c r="B183" s="5" t="str">
        <f>PROPER(TEXT(DATEVALUE("1/"&amp;MOD(ROUNDDOWN((ROW()-6+7*3)/3,0),12)+1&amp;"/"&amp;Tabla1[[#This Row],[Año]]),"mmm"))</f>
        <v>Jul</v>
      </c>
      <c r="C183" s="7" t="str">
        <f t="shared" si="10"/>
        <v>Hábil</v>
      </c>
      <c r="D183" s="1">
        <v>777.23380952380955</v>
      </c>
      <c r="E183" s="1">
        <v>747.8097619047619</v>
      </c>
      <c r="F183" s="1">
        <v>722.91357142857146</v>
      </c>
      <c r="G183" s="1">
        <v>698.02428571428572</v>
      </c>
      <c r="H183" s="1">
        <v>691.64547619047619</v>
      </c>
      <c r="I183" s="1">
        <v>710.39976190476193</v>
      </c>
      <c r="J183" s="1">
        <v>735.91809523809525</v>
      </c>
      <c r="K183" s="1">
        <v>722.64095238095229</v>
      </c>
      <c r="L183" s="1">
        <v>637.61285714285714</v>
      </c>
      <c r="M183" s="1">
        <v>406.39833333333331</v>
      </c>
      <c r="N183" s="1">
        <v>277.80166666666668</v>
      </c>
      <c r="O183" s="1">
        <v>285.09047619047618</v>
      </c>
      <c r="P183" s="1">
        <v>123.77285714285715</v>
      </c>
      <c r="Q183" s="1">
        <v>92.608333333333334</v>
      </c>
      <c r="R183" s="1">
        <v>299.13642857142855</v>
      </c>
      <c r="S183" s="1">
        <v>455.46952380952382</v>
      </c>
      <c r="T183" s="1">
        <v>747.55857142857144</v>
      </c>
      <c r="U183" s="1">
        <v>1079.5923809523808</v>
      </c>
      <c r="V183" s="1">
        <v>1066.6104761904762</v>
      </c>
      <c r="W183" s="1">
        <v>976.52190476190469</v>
      </c>
      <c r="X183" s="1">
        <v>970.79452380952387</v>
      </c>
      <c r="Y183" s="1">
        <v>956.94904761904763</v>
      </c>
      <c r="Z183" s="1">
        <v>895.17119047619053</v>
      </c>
      <c r="AA183" s="1">
        <v>830.36285714285714</v>
      </c>
      <c r="AB183" s="26">
        <v>23</v>
      </c>
      <c r="AC183" s="8">
        <f t="shared" si="11"/>
        <v>365884.85428571433</v>
      </c>
      <c r="AM183"/>
    </row>
    <row r="184" spans="1:39" x14ac:dyDescent="0.25">
      <c r="A184" s="3">
        <f t="shared" si="9"/>
        <v>2031</v>
      </c>
      <c r="B184" s="5" t="str">
        <f>PROPER(TEXT(DATEVALUE("1/"&amp;MOD(ROUNDDOWN((ROW()-6+7*3)/3,0),12)+1&amp;"/"&amp;Tabla1[[#This Row],[Año]]),"mmm"))</f>
        <v>Jul</v>
      </c>
      <c r="C184" s="7" t="str">
        <f t="shared" si="10"/>
        <v>Sábado</v>
      </c>
      <c r="D184" s="1">
        <v>813.79875000000004</v>
      </c>
      <c r="E184" s="1">
        <v>785.57749999999999</v>
      </c>
      <c r="F184" s="1">
        <v>753.28625</v>
      </c>
      <c r="G184" s="1">
        <v>734.60500000000002</v>
      </c>
      <c r="H184" s="1">
        <v>726.27</v>
      </c>
      <c r="I184" s="1">
        <v>712.55624999999998</v>
      </c>
      <c r="J184" s="1">
        <v>640.93624999999997</v>
      </c>
      <c r="K184" s="1">
        <v>409.88249999999999</v>
      </c>
      <c r="L184" s="1">
        <v>287.99250000000001</v>
      </c>
      <c r="M184" s="1">
        <v>105.765</v>
      </c>
      <c r="N184" s="1">
        <v>101.39749999999999</v>
      </c>
      <c r="O184" s="1">
        <v>0</v>
      </c>
      <c r="P184" s="1">
        <v>0</v>
      </c>
      <c r="Q184" s="1">
        <v>0</v>
      </c>
      <c r="R184" s="1">
        <v>0</v>
      </c>
      <c r="S184" s="1">
        <v>40.316249999999997</v>
      </c>
      <c r="T184" s="1">
        <v>258.25125000000003</v>
      </c>
      <c r="U184" s="1">
        <v>607.15125</v>
      </c>
      <c r="V184" s="1">
        <v>858.05624999999998</v>
      </c>
      <c r="W184" s="1">
        <v>898.06375000000003</v>
      </c>
      <c r="X184" s="1">
        <v>894.5625</v>
      </c>
      <c r="Y184" s="1">
        <v>881.21</v>
      </c>
      <c r="Z184" s="1">
        <v>841.66875000000005</v>
      </c>
      <c r="AA184" s="1">
        <v>797.22249999999997</v>
      </c>
      <c r="AB184" s="26">
        <v>4</v>
      </c>
      <c r="AC184" s="8">
        <f t="shared" si="11"/>
        <v>48594.28</v>
      </c>
      <c r="AM184"/>
    </row>
    <row r="185" spans="1:39" x14ac:dyDescent="0.25">
      <c r="A185" s="3">
        <f t="shared" si="9"/>
        <v>2031</v>
      </c>
      <c r="B185" s="5" t="str">
        <f>PROPER(TEXT(DATEVALUE("1/"&amp;MOD(ROUNDDOWN((ROW()-6+7*3)/3,0),12)+1&amp;"/"&amp;Tabla1[[#This Row],[Año]]),"mmm"))</f>
        <v>Jul</v>
      </c>
      <c r="C185" s="7" t="str">
        <f t="shared" si="10"/>
        <v>Domingo y Festivo</v>
      </c>
      <c r="D185" s="1">
        <v>767.40749999999991</v>
      </c>
      <c r="E185" s="1">
        <v>745.98</v>
      </c>
      <c r="F185" s="1">
        <v>728.80916666666656</v>
      </c>
      <c r="G185" s="1">
        <v>709.74749999999995</v>
      </c>
      <c r="H185" s="1">
        <v>701.0866666666667</v>
      </c>
      <c r="I185" s="1">
        <v>679.61749999999995</v>
      </c>
      <c r="J185" s="1">
        <v>568.16166666666663</v>
      </c>
      <c r="K185" s="1">
        <v>161.14000000000001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5.3475000000000001</v>
      </c>
      <c r="T185" s="1">
        <v>162.04416666666665</v>
      </c>
      <c r="U185" s="1">
        <v>516.50249999999994</v>
      </c>
      <c r="V185" s="1">
        <v>769.26166666666666</v>
      </c>
      <c r="W185" s="1">
        <v>839.73333333333323</v>
      </c>
      <c r="X185" s="1">
        <v>863.92333333333329</v>
      </c>
      <c r="Y185" s="1">
        <v>861.94500000000005</v>
      </c>
      <c r="Z185" s="1">
        <v>812.42500000000007</v>
      </c>
      <c r="AA185" s="1">
        <v>758.22833333333335</v>
      </c>
      <c r="AB185" s="26">
        <v>4</v>
      </c>
      <c r="AC185" s="8">
        <f t="shared" si="11"/>
        <v>42605.443333333322</v>
      </c>
      <c r="AM185"/>
    </row>
    <row r="186" spans="1:39" x14ac:dyDescent="0.25">
      <c r="A186" s="3">
        <f t="shared" si="9"/>
        <v>2031</v>
      </c>
      <c r="B186" s="5" t="str">
        <f>PROPER(TEXT(DATEVALUE("1/"&amp;MOD(ROUNDDOWN((ROW()-6+7*3)/3,0),12)+1&amp;"/"&amp;Tabla1[[#This Row],[Año]]),"mmm"))</f>
        <v>Ago</v>
      </c>
      <c r="C186" s="7" t="str">
        <f t="shared" si="10"/>
        <v>Hábil</v>
      </c>
      <c r="D186" s="1">
        <v>777.23380952380955</v>
      </c>
      <c r="E186" s="1">
        <v>747.8097619047619</v>
      </c>
      <c r="F186" s="1">
        <v>722.91357142857146</v>
      </c>
      <c r="G186" s="1">
        <v>698.02428571428572</v>
      </c>
      <c r="H186" s="1">
        <v>691.64547619047619</v>
      </c>
      <c r="I186" s="1">
        <v>710.39976190476193</v>
      </c>
      <c r="J186" s="1">
        <v>735.91809523809525</v>
      </c>
      <c r="K186" s="1">
        <v>722.64095238095229</v>
      </c>
      <c r="L186" s="1">
        <v>637.61285714285714</v>
      </c>
      <c r="M186" s="1">
        <v>406.39833333333331</v>
      </c>
      <c r="N186" s="1">
        <v>277.80166666666668</v>
      </c>
      <c r="O186" s="1">
        <v>285.09047619047618</v>
      </c>
      <c r="P186" s="1">
        <v>123.77285714285715</v>
      </c>
      <c r="Q186" s="1">
        <v>92.608333333333334</v>
      </c>
      <c r="R186" s="1">
        <v>299.13642857142855</v>
      </c>
      <c r="S186" s="1">
        <v>455.46952380952382</v>
      </c>
      <c r="T186" s="1">
        <v>747.55857142857144</v>
      </c>
      <c r="U186" s="1">
        <v>1079.5923809523808</v>
      </c>
      <c r="V186" s="1">
        <v>1066.6104761904762</v>
      </c>
      <c r="W186" s="1">
        <v>976.52190476190469</v>
      </c>
      <c r="X186" s="1">
        <v>970.79452380952387</v>
      </c>
      <c r="Y186" s="1">
        <v>956.94904761904763</v>
      </c>
      <c r="Z186" s="1">
        <v>895.17119047619053</v>
      </c>
      <c r="AA186" s="1">
        <v>830.36285714285714</v>
      </c>
      <c r="AB186" s="26">
        <v>21</v>
      </c>
      <c r="AC186" s="8">
        <f t="shared" si="11"/>
        <v>334068.78000000003</v>
      </c>
      <c r="AM186"/>
    </row>
    <row r="187" spans="1:39" x14ac:dyDescent="0.25">
      <c r="A187" s="3">
        <f t="shared" si="9"/>
        <v>2031</v>
      </c>
      <c r="B187" s="5" t="str">
        <f>PROPER(TEXT(DATEVALUE("1/"&amp;MOD(ROUNDDOWN((ROW()-6+7*3)/3,0),12)+1&amp;"/"&amp;Tabla1[[#This Row],[Año]]),"mmm"))</f>
        <v>Ago</v>
      </c>
      <c r="C187" s="7" t="str">
        <f t="shared" si="10"/>
        <v>Sábado</v>
      </c>
      <c r="D187" s="1">
        <v>813.79875000000004</v>
      </c>
      <c r="E187" s="1">
        <v>785.57749999999999</v>
      </c>
      <c r="F187" s="1">
        <v>753.28625</v>
      </c>
      <c r="G187" s="1">
        <v>734.60500000000002</v>
      </c>
      <c r="H187" s="1">
        <v>726.27</v>
      </c>
      <c r="I187" s="1">
        <v>712.55624999999998</v>
      </c>
      <c r="J187" s="1">
        <v>640.93624999999997</v>
      </c>
      <c r="K187" s="1">
        <v>409.88249999999999</v>
      </c>
      <c r="L187" s="1">
        <v>287.99250000000001</v>
      </c>
      <c r="M187" s="1">
        <v>105.765</v>
      </c>
      <c r="N187" s="1">
        <v>101.39749999999999</v>
      </c>
      <c r="O187" s="1">
        <v>0</v>
      </c>
      <c r="P187" s="1">
        <v>0</v>
      </c>
      <c r="Q187" s="1">
        <v>0</v>
      </c>
      <c r="R187" s="1">
        <v>0</v>
      </c>
      <c r="S187" s="1">
        <v>40.316249999999997</v>
      </c>
      <c r="T187" s="1">
        <v>258.25125000000003</v>
      </c>
      <c r="U187" s="1">
        <v>607.15125</v>
      </c>
      <c r="V187" s="1">
        <v>858.05624999999998</v>
      </c>
      <c r="W187" s="1">
        <v>898.06375000000003</v>
      </c>
      <c r="X187" s="1">
        <v>894.5625</v>
      </c>
      <c r="Y187" s="1">
        <v>881.21</v>
      </c>
      <c r="Z187" s="1">
        <v>841.66875000000005</v>
      </c>
      <c r="AA187" s="1">
        <v>797.22249999999997</v>
      </c>
      <c r="AB187" s="26">
        <v>5</v>
      </c>
      <c r="AC187" s="8">
        <f t="shared" si="11"/>
        <v>60742.85</v>
      </c>
      <c r="AM187"/>
    </row>
    <row r="188" spans="1:39" x14ac:dyDescent="0.25">
      <c r="A188" s="3">
        <f t="shared" si="9"/>
        <v>2031</v>
      </c>
      <c r="B188" s="5" t="str">
        <f>PROPER(TEXT(DATEVALUE("1/"&amp;MOD(ROUNDDOWN((ROW()-6+7*3)/3,0),12)+1&amp;"/"&amp;Tabla1[[#This Row],[Año]]),"mmm"))</f>
        <v>Ago</v>
      </c>
      <c r="C188" s="7" t="str">
        <f t="shared" si="10"/>
        <v>Domingo y Festivo</v>
      </c>
      <c r="D188" s="1">
        <v>767.40749999999991</v>
      </c>
      <c r="E188" s="1">
        <v>745.98</v>
      </c>
      <c r="F188" s="1">
        <v>728.80916666666656</v>
      </c>
      <c r="G188" s="1">
        <v>709.74749999999995</v>
      </c>
      <c r="H188" s="1">
        <v>701.0866666666667</v>
      </c>
      <c r="I188" s="1">
        <v>679.61749999999995</v>
      </c>
      <c r="J188" s="1">
        <v>568.16166666666663</v>
      </c>
      <c r="K188" s="1">
        <v>161.14000000000001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5.3475000000000001</v>
      </c>
      <c r="T188" s="1">
        <v>162.04416666666665</v>
      </c>
      <c r="U188" s="1">
        <v>516.50249999999994</v>
      </c>
      <c r="V188" s="1">
        <v>769.26166666666666</v>
      </c>
      <c r="W188" s="1">
        <v>839.73333333333323</v>
      </c>
      <c r="X188" s="1">
        <v>863.92333333333329</v>
      </c>
      <c r="Y188" s="1">
        <v>861.94500000000005</v>
      </c>
      <c r="Z188" s="1">
        <v>812.42500000000007</v>
      </c>
      <c r="AA188" s="1">
        <v>758.22833333333335</v>
      </c>
      <c r="AB188" s="26">
        <v>5</v>
      </c>
      <c r="AC188" s="8">
        <f t="shared" si="11"/>
        <v>53256.804166666654</v>
      </c>
      <c r="AM188"/>
    </row>
    <row r="189" spans="1:39" x14ac:dyDescent="0.25">
      <c r="A189" s="3">
        <f t="shared" si="9"/>
        <v>2031</v>
      </c>
      <c r="B189" s="5" t="str">
        <f>PROPER(TEXT(DATEVALUE("1/"&amp;MOD(ROUNDDOWN((ROW()-6+7*3)/3,0),12)+1&amp;"/"&amp;Tabla1[[#This Row],[Año]]),"mmm"))</f>
        <v>Sep</v>
      </c>
      <c r="C189" s="7" t="str">
        <f t="shared" si="10"/>
        <v>Hábil</v>
      </c>
      <c r="D189" s="1">
        <v>777.23380952380955</v>
      </c>
      <c r="E189" s="1">
        <v>747.8097619047619</v>
      </c>
      <c r="F189" s="1">
        <v>722.91357142857146</v>
      </c>
      <c r="G189" s="1">
        <v>698.02428571428572</v>
      </c>
      <c r="H189" s="1">
        <v>691.64547619047619</v>
      </c>
      <c r="I189" s="1">
        <v>710.39976190476193</v>
      </c>
      <c r="J189" s="1">
        <v>735.91809523809525</v>
      </c>
      <c r="K189" s="1">
        <v>722.64095238095229</v>
      </c>
      <c r="L189" s="1">
        <v>637.61285714285714</v>
      </c>
      <c r="M189" s="1">
        <v>406.39833333333331</v>
      </c>
      <c r="N189" s="1">
        <v>277.80166666666668</v>
      </c>
      <c r="O189" s="1">
        <v>285.09047619047618</v>
      </c>
      <c r="P189" s="1">
        <v>123.77285714285715</v>
      </c>
      <c r="Q189" s="1">
        <v>92.608333333333334</v>
      </c>
      <c r="R189" s="1">
        <v>299.13642857142855</v>
      </c>
      <c r="S189" s="1">
        <v>455.46952380952382</v>
      </c>
      <c r="T189" s="1">
        <v>747.55857142857144</v>
      </c>
      <c r="U189" s="1">
        <v>1079.5923809523808</v>
      </c>
      <c r="V189" s="1">
        <v>1066.6104761904762</v>
      </c>
      <c r="W189" s="1">
        <v>976.52190476190469</v>
      </c>
      <c r="X189" s="1">
        <v>970.79452380952387</v>
      </c>
      <c r="Y189" s="1">
        <v>956.94904761904763</v>
      </c>
      <c r="Z189" s="1">
        <v>895.17119047619053</v>
      </c>
      <c r="AA189" s="1">
        <v>830.36285714285714</v>
      </c>
      <c r="AB189" s="26">
        <v>22</v>
      </c>
      <c r="AC189" s="8">
        <f t="shared" si="11"/>
        <v>349976.81714285718</v>
      </c>
      <c r="AM189"/>
    </row>
    <row r="190" spans="1:39" x14ac:dyDescent="0.25">
      <c r="A190" s="3">
        <f t="shared" si="9"/>
        <v>2031</v>
      </c>
      <c r="B190" s="5" t="str">
        <f>PROPER(TEXT(DATEVALUE("1/"&amp;MOD(ROUNDDOWN((ROW()-6+7*3)/3,0),12)+1&amp;"/"&amp;Tabla1[[#This Row],[Año]]),"mmm"))</f>
        <v>Sep</v>
      </c>
      <c r="C190" s="7" t="str">
        <f t="shared" si="10"/>
        <v>Sábado</v>
      </c>
      <c r="D190" s="1">
        <v>813.79875000000004</v>
      </c>
      <c r="E190" s="1">
        <v>785.57749999999999</v>
      </c>
      <c r="F190" s="1">
        <v>753.28625</v>
      </c>
      <c r="G190" s="1">
        <v>734.60500000000002</v>
      </c>
      <c r="H190" s="1">
        <v>726.27</v>
      </c>
      <c r="I190" s="1">
        <v>712.55624999999998</v>
      </c>
      <c r="J190" s="1">
        <v>640.93624999999997</v>
      </c>
      <c r="K190" s="1">
        <v>409.88249999999999</v>
      </c>
      <c r="L190" s="1">
        <v>287.99250000000001</v>
      </c>
      <c r="M190" s="1">
        <v>105.765</v>
      </c>
      <c r="N190" s="1">
        <v>101.39749999999999</v>
      </c>
      <c r="O190" s="1">
        <v>0</v>
      </c>
      <c r="P190" s="1">
        <v>0</v>
      </c>
      <c r="Q190" s="1">
        <v>0</v>
      </c>
      <c r="R190" s="1">
        <v>0</v>
      </c>
      <c r="S190" s="1">
        <v>40.316249999999997</v>
      </c>
      <c r="T190" s="1">
        <v>258.25125000000003</v>
      </c>
      <c r="U190" s="1">
        <v>607.15125</v>
      </c>
      <c r="V190" s="1">
        <v>858.05624999999998</v>
      </c>
      <c r="W190" s="1">
        <v>898.06375000000003</v>
      </c>
      <c r="X190" s="1">
        <v>894.5625</v>
      </c>
      <c r="Y190" s="1">
        <v>881.21</v>
      </c>
      <c r="Z190" s="1">
        <v>841.66875000000005</v>
      </c>
      <c r="AA190" s="1">
        <v>797.22249999999997</v>
      </c>
      <c r="AB190" s="26">
        <v>4</v>
      </c>
      <c r="AC190" s="8">
        <f t="shared" si="11"/>
        <v>48594.28</v>
      </c>
      <c r="AM190"/>
    </row>
    <row r="191" spans="1:39" x14ac:dyDescent="0.25">
      <c r="A191" s="3">
        <f t="shared" si="9"/>
        <v>2031</v>
      </c>
      <c r="B191" s="5" t="str">
        <f>PROPER(TEXT(DATEVALUE("1/"&amp;MOD(ROUNDDOWN((ROW()-6+7*3)/3,0),12)+1&amp;"/"&amp;Tabla1[[#This Row],[Año]]),"mmm"))</f>
        <v>Sep</v>
      </c>
      <c r="C191" s="7" t="str">
        <f t="shared" si="10"/>
        <v>Domingo y Festivo</v>
      </c>
      <c r="D191" s="1">
        <v>767.40749999999991</v>
      </c>
      <c r="E191" s="1">
        <v>745.98</v>
      </c>
      <c r="F191" s="1">
        <v>728.80916666666656</v>
      </c>
      <c r="G191" s="1">
        <v>709.74749999999995</v>
      </c>
      <c r="H191" s="1">
        <v>701.0866666666667</v>
      </c>
      <c r="I191" s="1">
        <v>679.61749999999995</v>
      </c>
      <c r="J191" s="1">
        <v>568.16166666666663</v>
      </c>
      <c r="K191" s="1">
        <v>161.14000000000001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5.3475000000000001</v>
      </c>
      <c r="T191" s="1">
        <v>162.04416666666665</v>
      </c>
      <c r="U191" s="1">
        <v>516.50249999999994</v>
      </c>
      <c r="V191" s="1">
        <v>769.26166666666666</v>
      </c>
      <c r="W191" s="1">
        <v>839.73333333333323</v>
      </c>
      <c r="X191" s="1">
        <v>863.92333333333329</v>
      </c>
      <c r="Y191" s="1">
        <v>861.94500000000005</v>
      </c>
      <c r="Z191" s="1">
        <v>812.42500000000007</v>
      </c>
      <c r="AA191" s="1">
        <v>758.22833333333335</v>
      </c>
      <c r="AB191" s="26">
        <v>4</v>
      </c>
      <c r="AC191" s="8">
        <f t="shared" si="11"/>
        <v>42605.443333333322</v>
      </c>
      <c r="AM191"/>
    </row>
    <row r="192" spans="1:39" x14ac:dyDescent="0.25">
      <c r="A192" s="3">
        <f t="shared" si="9"/>
        <v>2031</v>
      </c>
      <c r="B192" s="5" t="str">
        <f>PROPER(TEXT(DATEVALUE("1/"&amp;MOD(ROUNDDOWN((ROW()-6+7*3)/3,0),12)+1&amp;"/"&amp;Tabla1[[#This Row],[Año]]),"mmm"))</f>
        <v>Oct</v>
      </c>
      <c r="C192" s="7" t="str">
        <f t="shared" si="10"/>
        <v>Hábil</v>
      </c>
      <c r="D192" s="1">
        <v>777.23380952380955</v>
      </c>
      <c r="E192" s="1">
        <v>747.8097619047619</v>
      </c>
      <c r="F192" s="1">
        <v>722.91357142857146</v>
      </c>
      <c r="G192" s="1">
        <v>698.02428571428572</v>
      </c>
      <c r="H192" s="1">
        <v>691.64547619047619</v>
      </c>
      <c r="I192" s="1">
        <v>710.39976190476193</v>
      </c>
      <c r="J192" s="1">
        <v>735.91809523809525</v>
      </c>
      <c r="K192" s="1">
        <v>722.64095238095229</v>
      </c>
      <c r="L192" s="1">
        <v>637.61285714285714</v>
      </c>
      <c r="M192" s="1">
        <v>406.39833333333331</v>
      </c>
      <c r="N192" s="1">
        <v>277.80166666666668</v>
      </c>
      <c r="O192" s="1">
        <v>285.09047619047618</v>
      </c>
      <c r="P192" s="1">
        <v>123.77285714285715</v>
      </c>
      <c r="Q192" s="1">
        <v>92.608333333333334</v>
      </c>
      <c r="R192" s="1">
        <v>299.13642857142855</v>
      </c>
      <c r="S192" s="1">
        <v>455.46952380952382</v>
      </c>
      <c r="T192" s="1">
        <v>747.55857142857144</v>
      </c>
      <c r="U192" s="1">
        <v>1079.5923809523808</v>
      </c>
      <c r="V192" s="1">
        <v>1066.6104761904762</v>
      </c>
      <c r="W192" s="1">
        <v>976.52190476190469</v>
      </c>
      <c r="X192" s="1">
        <v>970.79452380952387</v>
      </c>
      <c r="Y192" s="1">
        <v>956.94904761904763</v>
      </c>
      <c r="Z192" s="1">
        <v>895.17119047619053</v>
      </c>
      <c r="AA192" s="1">
        <v>830.36285714285714</v>
      </c>
      <c r="AB192" s="26">
        <v>23</v>
      </c>
      <c r="AC192" s="8">
        <f t="shared" si="11"/>
        <v>365884.85428571433</v>
      </c>
      <c r="AM192"/>
    </row>
    <row r="193" spans="1:39" x14ac:dyDescent="0.25">
      <c r="A193" s="3">
        <f t="shared" si="9"/>
        <v>2031</v>
      </c>
      <c r="B193" s="5" t="str">
        <f>PROPER(TEXT(DATEVALUE("1/"&amp;MOD(ROUNDDOWN((ROW()-6+7*3)/3,0),12)+1&amp;"/"&amp;Tabla1[[#This Row],[Año]]),"mmm"))</f>
        <v>Oct</v>
      </c>
      <c r="C193" s="7" t="str">
        <f t="shared" si="10"/>
        <v>Sábado</v>
      </c>
      <c r="D193" s="1">
        <v>813.79875000000004</v>
      </c>
      <c r="E193" s="1">
        <v>785.57749999999999</v>
      </c>
      <c r="F193" s="1">
        <v>753.28625</v>
      </c>
      <c r="G193" s="1">
        <v>734.60500000000002</v>
      </c>
      <c r="H193" s="1">
        <v>726.27</v>
      </c>
      <c r="I193" s="1">
        <v>712.55624999999998</v>
      </c>
      <c r="J193" s="1">
        <v>640.93624999999997</v>
      </c>
      <c r="K193" s="1">
        <v>409.88249999999999</v>
      </c>
      <c r="L193" s="1">
        <v>287.99250000000001</v>
      </c>
      <c r="M193" s="1">
        <v>105.765</v>
      </c>
      <c r="N193" s="1">
        <v>101.39749999999999</v>
      </c>
      <c r="O193" s="1">
        <v>0</v>
      </c>
      <c r="P193" s="1">
        <v>0</v>
      </c>
      <c r="Q193" s="1">
        <v>0</v>
      </c>
      <c r="R193" s="1">
        <v>0</v>
      </c>
      <c r="S193" s="1">
        <v>40.316249999999997</v>
      </c>
      <c r="T193" s="1">
        <v>258.25125000000003</v>
      </c>
      <c r="U193" s="1">
        <v>607.15125</v>
      </c>
      <c r="V193" s="1">
        <v>858.05624999999998</v>
      </c>
      <c r="W193" s="1">
        <v>898.06375000000003</v>
      </c>
      <c r="X193" s="1">
        <v>894.5625</v>
      </c>
      <c r="Y193" s="1">
        <v>881.21</v>
      </c>
      <c r="Z193" s="1">
        <v>841.66875000000005</v>
      </c>
      <c r="AA193" s="1">
        <v>797.22249999999997</v>
      </c>
      <c r="AB193" s="26">
        <v>4</v>
      </c>
      <c r="AC193" s="8">
        <f t="shared" si="11"/>
        <v>48594.28</v>
      </c>
      <c r="AM193"/>
    </row>
    <row r="194" spans="1:39" x14ac:dyDescent="0.25">
      <c r="A194" s="3">
        <f t="shared" si="9"/>
        <v>2031</v>
      </c>
      <c r="B194" s="5" t="str">
        <f>PROPER(TEXT(DATEVALUE("1/"&amp;MOD(ROUNDDOWN((ROW()-6+7*3)/3,0),12)+1&amp;"/"&amp;Tabla1[[#This Row],[Año]]),"mmm"))</f>
        <v>Oct</v>
      </c>
      <c r="C194" s="7" t="str">
        <f t="shared" si="10"/>
        <v>Domingo y Festivo</v>
      </c>
      <c r="D194" s="1">
        <v>767.40749999999991</v>
      </c>
      <c r="E194" s="1">
        <v>745.98</v>
      </c>
      <c r="F194" s="1">
        <v>728.80916666666656</v>
      </c>
      <c r="G194" s="1">
        <v>709.74749999999995</v>
      </c>
      <c r="H194" s="1">
        <v>701.0866666666667</v>
      </c>
      <c r="I194" s="1">
        <v>679.61749999999995</v>
      </c>
      <c r="J194" s="1">
        <v>568.16166666666663</v>
      </c>
      <c r="K194" s="1">
        <v>161.14000000000001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5.3475000000000001</v>
      </c>
      <c r="T194" s="1">
        <v>162.04416666666665</v>
      </c>
      <c r="U194" s="1">
        <v>516.50249999999994</v>
      </c>
      <c r="V194" s="1">
        <v>769.26166666666666</v>
      </c>
      <c r="W194" s="1">
        <v>839.73333333333323</v>
      </c>
      <c r="X194" s="1">
        <v>863.92333333333329</v>
      </c>
      <c r="Y194" s="1">
        <v>861.94500000000005</v>
      </c>
      <c r="Z194" s="1">
        <v>812.42500000000007</v>
      </c>
      <c r="AA194" s="1">
        <v>758.22833333333335</v>
      </c>
      <c r="AB194" s="26">
        <v>4</v>
      </c>
      <c r="AC194" s="8">
        <f t="shared" si="11"/>
        <v>42605.443333333322</v>
      </c>
      <c r="AM194"/>
    </row>
    <row r="195" spans="1:39" x14ac:dyDescent="0.25">
      <c r="A195" s="3">
        <f t="shared" si="9"/>
        <v>2031</v>
      </c>
      <c r="B195" s="5" t="str">
        <f>PROPER(TEXT(DATEVALUE("1/"&amp;MOD(ROUNDDOWN((ROW()-6+7*3)/3,0),12)+1&amp;"/"&amp;Tabla1[[#This Row],[Año]]),"mmm"))</f>
        <v>Nov</v>
      </c>
      <c r="C195" s="7" t="str">
        <f t="shared" si="10"/>
        <v>Hábil</v>
      </c>
      <c r="D195" s="1">
        <v>777.23380952380955</v>
      </c>
      <c r="E195" s="1">
        <v>747.8097619047619</v>
      </c>
      <c r="F195" s="1">
        <v>722.91357142857146</v>
      </c>
      <c r="G195" s="1">
        <v>698.02428571428572</v>
      </c>
      <c r="H195" s="1">
        <v>691.64547619047619</v>
      </c>
      <c r="I195" s="1">
        <v>710.39976190476193</v>
      </c>
      <c r="J195" s="1">
        <v>735.91809523809525</v>
      </c>
      <c r="K195" s="1">
        <v>722.64095238095229</v>
      </c>
      <c r="L195" s="1">
        <v>637.61285714285714</v>
      </c>
      <c r="M195" s="1">
        <v>406.39833333333331</v>
      </c>
      <c r="N195" s="1">
        <v>277.80166666666668</v>
      </c>
      <c r="O195" s="1">
        <v>285.09047619047618</v>
      </c>
      <c r="P195" s="1">
        <v>123.77285714285715</v>
      </c>
      <c r="Q195" s="1">
        <v>92.608333333333334</v>
      </c>
      <c r="R195" s="1">
        <v>299.13642857142855</v>
      </c>
      <c r="S195" s="1">
        <v>455.46952380952382</v>
      </c>
      <c r="T195" s="1">
        <v>747.55857142857144</v>
      </c>
      <c r="U195" s="1">
        <v>1079.5923809523808</v>
      </c>
      <c r="V195" s="1">
        <v>1066.6104761904762</v>
      </c>
      <c r="W195" s="1">
        <v>976.52190476190469</v>
      </c>
      <c r="X195" s="1">
        <v>970.79452380952387</v>
      </c>
      <c r="Y195" s="1">
        <v>956.94904761904763</v>
      </c>
      <c r="Z195" s="1">
        <v>895.17119047619053</v>
      </c>
      <c r="AA195" s="1">
        <v>830.36285714285714</v>
      </c>
      <c r="AB195" s="26">
        <v>20</v>
      </c>
      <c r="AC195" s="8">
        <f t="shared" si="11"/>
        <v>318160.74285714293</v>
      </c>
      <c r="AM195"/>
    </row>
    <row r="196" spans="1:39" x14ac:dyDescent="0.25">
      <c r="A196" s="3">
        <f t="shared" si="9"/>
        <v>2031</v>
      </c>
      <c r="B196" s="5" t="str">
        <f>PROPER(TEXT(DATEVALUE("1/"&amp;MOD(ROUNDDOWN((ROW()-6+7*3)/3,0),12)+1&amp;"/"&amp;Tabla1[[#This Row],[Año]]),"mmm"))</f>
        <v>Nov</v>
      </c>
      <c r="C196" s="7" t="str">
        <f t="shared" si="10"/>
        <v>Sábado</v>
      </c>
      <c r="D196" s="1">
        <v>813.79875000000004</v>
      </c>
      <c r="E196" s="1">
        <v>785.57749999999999</v>
      </c>
      <c r="F196" s="1">
        <v>753.28625</v>
      </c>
      <c r="G196" s="1">
        <v>734.60500000000002</v>
      </c>
      <c r="H196" s="1">
        <v>726.27</v>
      </c>
      <c r="I196" s="1">
        <v>712.55624999999998</v>
      </c>
      <c r="J196" s="1">
        <v>640.93624999999997</v>
      </c>
      <c r="K196" s="1">
        <v>409.88249999999999</v>
      </c>
      <c r="L196" s="1">
        <v>287.99250000000001</v>
      </c>
      <c r="M196" s="1">
        <v>105.765</v>
      </c>
      <c r="N196" s="1">
        <v>101.39749999999999</v>
      </c>
      <c r="O196" s="1">
        <v>0</v>
      </c>
      <c r="P196" s="1">
        <v>0</v>
      </c>
      <c r="Q196" s="1">
        <v>0</v>
      </c>
      <c r="R196" s="1">
        <v>0</v>
      </c>
      <c r="S196" s="1">
        <v>40.316249999999997</v>
      </c>
      <c r="T196" s="1">
        <v>258.25125000000003</v>
      </c>
      <c r="U196" s="1">
        <v>607.15125</v>
      </c>
      <c r="V196" s="1">
        <v>858.05624999999998</v>
      </c>
      <c r="W196" s="1">
        <v>898.06375000000003</v>
      </c>
      <c r="X196" s="1">
        <v>894.5625</v>
      </c>
      <c r="Y196" s="1">
        <v>881.21</v>
      </c>
      <c r="Z196" s="1">
        <v>841.66875000000005</v>
      </c>
      <c r="AA196" s="1">
        <v>797.22249999999997</v>
      </c>
      <c r="AB196" s="26">
        <v>5</v>
      </c>
      <c r="AC196" s="8">
        <f t="shared" si="11"/>
        <v>60742.85</v>
      </c>
      <c r="AM196"/>
    </row>
    <row r="197" spans="1:39" x14ac:dyDescent="0.25">
      <c r="A197" s="3">
        <f t="shared" si="9"/>
        <v>2031</v>
      </c>
      <c r="B197" s="5" t="str">
        <f>PROPER(TEXT(DATEVALUE("1/"&amp;MOD(ROUNDDOWN((ROW()-6+7*3)/3,0),12)+1&amp;"/"&amp;Tabla1[[#This Row],[Año]]),"mmm"))</f>
        <v>Nov</v>
      </c>
      <c r="C197" s="7" t="str">
        <f t="shared" si="10"/>
        <v>Domingo y Festivo</v>
      </c>
      <c r="D197" s="1">
        <v>767.40749999999991</v>
      </c>
      <c r="E197" s="1">
        <v>745.98</v>
      </c>
      <c r="F197" s="1">
        <v>728.80916666666656</v>
      </c>
      <c r="G197" s="1">
        <v>709.74749999999995</v>
      </c>
      <c r="H197" s="1">
        <v>701.0866666666667</v>
      </c>
      <c r="I197" s="1">
        <v>679.61749999999995</v>
      </c>
      <c r="J197" s="1">
        <v>568.16166666666663</v>
      </c>
      <c r="K197" s="1">
        <v>161.14000000000001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5.3475000000000001</v>
      </c>
      <c r="T197" s="1">
        <v>162.04416666666665</v>
      </c>
      <c r="U197" s="1">
        <v>516.50249999999994</v>
      </c>
      <c r="V197" s="1">
        <v>769.26166666666666</v>
      </c>
      <c r="W197" s="1">
        <v>839.73333333333323</v>
      </c>
      <c r="X197" s="1">
        <v>863.92333333333329</v>
      </c>
      <c r="Y197" s="1">
        <v>861.94500000000005</v>
      </c>
      <c r="Z197" s="1">
        <v>812.42500000000007</v>
      </c>
      <c r="AA197" s="1">
        <v>758.22833333333335</v>
      </c>
      <c r="AB197" s="26">
        <v>5</v>
      </c>
      <c r="AC197" s="8">
        <f t="shared" si="11"/>
        <v>53256.804166666654</v>
      </c>
      <c r="AM197"/>
    </row>
    <row r="198" spans="1:39" x14ac:dyDescent="0.25">
      <c r="A198" s="3">
        <f t="shared" ref="A198:A261" si="12">ROUNDDOWN((ROW()-6+3*7)/(12*3),0)+2026</f>
        <v>2031</v>
      </c>
      <c r="B198" s="5" t="str">
        <f>PROPER(TEXT(DATEVALUE("1/"&amp;MOD(ROUNDDOWN((ROW()-6+7*3)/3,0),12)+1&amp;"/"&amp;Tabla1[[#This Row],[Año]]),"mmm"))</f>
        <v>Dic</v>
      </c>
      <c r="C198" s="7" t="str">
        <f t="shared" ref="C198:C261" si="13">CHOOSE(MOD(ROW()-6,3)+1,"Hábil","Sábado","Domingo y Festivo")</f>
        <v>Hábil</v>
      </c>
      <c r="D198" s="1">
        <v>777.23380952380955</v>
      </c>
      <c r="E198" s="1">
        <v>747.8097619047619</v>
      </c>
      <c r="F198" s="1">
        <v>722.91357142857146</v>
      </c>
      <c r="G198" s="1">
        <v>698.02428571428572</v>
      </c>
      <c r="H198" s="1">
        <v>691.64547619047619</v>
      </c>
      <c r="I198" s="1">
        <v>710.39976190476193</v>
      </c>
      <c r="J198" s="1">
        <v>735.91809523809525</v>
      </c>
      <c r="K198" s="1">
        <v>722.64095238095229</v>
      </c>
      <c r="L198" s="1">
        <v>637.61285714285714</v>
      </c>
      <c r="M198" s="1">
        <v>406.39833333333331</v>
      </c>
      <c r="N198" s="1">
        <v>277.80166666666668</v>
      </c>
      <c r="O198" s="1">
        <v>285.09047619047618</v>
      </c>
      <c r="P198" s="1">
        <v>123.77285714285715</v>
      </c>
      <c r="Q198" s="1">
        <v>92.608333333333334</v>
      </c>
      <c r="R198" s="1">
        <v>299.13642857142855</v>
      </c>
      <c r="S198" s="1">
        <v>455.46952380952382</v>
      </c>
      <c r="T198" s="1">
        <v>747.55857142857144</v>
      </c>
      <c r="U198" s="1">
        <v>1079.5923809523808</v>
      </c>
      <c r="V198" s="1">
        <v>1066.6104761904762</v>
      </c>
      <c r="W198" s="1">
        <v>976.52190476190469</v>
      </c>
      <c r="X198" s="1">
        <v>970.79452380952387</v>
      </c>
      <c r="Y198" s="1">
        <v>956.94904761904763</v>
      </c>
      <c r="Z198" s="1">
        <v>895.17119047619053</v>
      </c>
      <c r="AA198" s="1">
        <v>830.36285714285714</v>
      </c>
      <c r="AB198" s="26">
        <v>23</v>
      </c>
      <c r="AC198" s="8">
        <f t="shared" ref="AC198:AC261" si="14">AB198*SUM(D198:AA198)</f>
        <v>365884.85428571433</v>
      </c>
      <c r="AM198"/>
    </row>
    <row r="199" spans="1:39" x14ac:dyDescent="0.25">
      <c r="A199" s="3">
        <f t="shared" si="12"/>
        <v>2031</v>
      </c>
      <c r="B199" s="5" t="str">
        <f>PROPER(TEXT(DATEVALUE("1/"&amp;MOD(ROUNDDOWN((ROW()-6+7*3)/3,0),12)+1&amp;"/"&amp;Tabla1[[#This Row],[Año]]),"mmm"))</f>
        <v>Dic</v>
      </c>
      <c r="C199" s="7" t="str">
        <f t="shared" si="13"/>
        <v>Sábado</v>
      </c>
      <c r="D199" s="1">
        <v>813.79875000000004</v>
      </c>
      <c r="E199" s="1">
        <v>785.57749999999999</v>
      </c>
      <c r="F199" s="1">
        <v>753.28625</v>
      </c>
      <c r="G199" s="1">
        <v>734.60500000000002</v>
      </c>
      <c r="H199" s="1">
        <v>726.27</v>
      </c>
      <c r="I199" s="1">
        <v>712.55624999999998</v>
      </c>
      <c r="J199" s="1">
        <v>640.93624999999997</v>
      </c>
      <c r="K199" s="1">
        <v>409.88249999999999</v>
      </c>
      <c r="L199" s="1">
        <v>287.99250000000001</v>
      </c>
      <c r="M199" s="1">
        <v>105.765</v>
      </c>
      <c r="N199" s="1">
        <v>101.39749999999999</v>
      </c>
      <c r="O199" s="1">
        <v>0</v>
      </c>
      <c r="P199" s="1">
        <v>0</v>
      </c>
      <c r="Q199" s="1">
        <v>0</v>
      </c>
      <c r="R199" s="1">
        <v>0</v>
      </c>
      <c r="S199" s="1">
        <v>40.316249999999997</v>
      </c>
      <c r="T199" s="1">
        <v>258.25125000000003</v>
      </c>
      <c r="U199" s="1">
        <v>607.15125</v>
      </c>
      <c r="V199" s="1">
        <v>858.05624999999998</v>
      </c>
      <c r="W199" s="1">
        <v>898.06375000000003</v>
      </c>
      <c r="X199" s="1">
        <v>894.5625</v>
      </c>
      <c r="Y199" s="1">
        <v>881.21</v>
      </c>
      <c r="Z199" s="1">
        <v>841.66875000000005</v>
      </c>
      <c r="AA199" s="1">
        <v>797.22249999999997</v>
      </c>
      <c r="AB199" s="26">
        <v>4</v>
      </c>
      <c r="AC199" s="8">
        <f t="shared" si="14"/>
        <v>48594.28</v>
      </c>
      <c r="AM199"/>
    </row>
    <row r="200" spans="1:39" x14ac:dyDescent="0.25">
      <c r="A200" s="3">
        <f t="shared" si="12"/>
        <v>2031</v>
      </c>
      <c r="B200" s="5" t="str">
        <f>PROPER(TEXT(DATEVALUE("1/"&amp;MOD(ROUNDDOWN((ROW()-6+7*3)/3,0),12)+1&amp;"/"&amp;Tabla1[[#This Row],[Año]]),"mmm"))</f>
        <v>Dic</v>
      </c>
      <c r="C200" s="7" t="str">
        <f t="shared" si="13"/>
        <v>Domingo y Festivo</v>
      </c>
      <c r="D200" s="1">
        <v>767.40749999999991</v>
      </c>
      <c r="E200" s="1">
        <v>745.98</v>
      </c>
      <c r="F200" s="1">
        <v>728.80916666666656</v>
      </c>
      <c r="G200" s="1">
        <v>709.74749999999995</v>
      </c>
      <c r="H200" s="1">
        <v>701.0866666666667</v>
      </c>
      <c r="I200" s="1">
        <v>679.61749999999995</v>
      </c>
      <c r="J200" s="1">
        <v>568.16166666666663</v>
      </c>
      <c r="K200" s="1">
        <v>161.14000000000001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5.3475000000000001</v>
      </c>
      <c r="T200" s="1">
        <v>162.04416666666665</v>
      </c>
      <c r="U200" s="1">
        <v>516.50249999999994</v>
      </c>
      <c r="V200" s="1">
        <v>769.26166666666666</v>
      </c>
      <c r="W200" s="1">
        <v>839.73333333333323</v>
      </c>
      <c r="X200" s="1">
        <v>863.92333333333329</v>
      </c>
      <c r="Y200" s="1">
        <v>861.94500000000005</v>
      </c>
      <c r="Z200" s="1">
        <v>812.42500000000007</v>
      </c>
      <c r="AA200" s="1">
        <v>758.22833333333335</v>
      </c>
      <c r="AB200" s="26">
        <v>4</v>
      </c>
      <c r="AC200" s="8">
        <f t="shared" si="14"/>
        <v>42605.443333333322</v>
      </c>
      <c r="AM200"/>
    </row>
    <row r="201" spans="1:39" x14ac:dyDescent="0.25">
      <c r="A201" s="3">
        <f t="shared" si="12"/>
        <v>2032</v>
      </c>
      <c r="B201" s="5" t="str">
        <f>PROPER(TEXT(DATEVALUE("1/"&amp;MOD(ROUNDDOWN((ROW()-6+7*3)/3,0),12)+1&amp;"/"&amp;Tabla1[[#This Row],[Año]]),"mmm"))</f>
        <v>Ene</v>
      </c>
      <c r="C201" s="7" t="str">
        <f t="shared" si="13"/>
        <v>Hábil</v>
      </c>
      <c r="D201" s="1">
        <v>777.23380952380955</v>
      </c>
      <c r="E201" s="1">
        <v>747.8097619047619</v>
      </c>
      <c r="F201" s="1">
        <v>722.91357142857146</v>
      </c>
      <c r="G201" s="1">
        <v>698.02428571428572</v>
      </c>
      <c r="H201" s="1">
        <v>691.64547619047619</v>
      </c>
      <c r="I201" s="1">
        <v>710.39976190476193</v>
      </c>
      <c r="J201" s="1">
        <v>735.91809523809525</v>
      </c>
      <c r="K201" s="1">
        <v>722.64095238095229</v>
      </c>
      <c r="L201" s="1">
        <v>637.61285714285714</v>
      </c>
      <c r="M201" s="1">
        <v>406.39833333333331</v>
      </c>
      <c r="N201" s="1">
        <v>277.80166666666668</v>
      </c>
      <c r="O201" s="1">
        <v>285.09047619047618</v>
      </c>
      <c r="P201" s="1">
        <v>123.77285714285715</v>
      </c>
      <c r="Q201" s="1">
        <v>92.608333333333334</v>
      </c>
      <c r="R201" s="1">
        <v>299.13642857142855</v>
      </c>
      <c r="S201" s="1">
        <v>455.46952380952382</v>
      </c>
      <c r="T201" s="1">
        <v>747.55857142857144</v>
      </c>
      <c r="U201" s="1">
        <v>1079.5923809523808</v>
      </c>
      <c r="V201" s="1">
        <v>1066.6104761904762</v>
      </c>
      <c r="W201" s="1">
        <v>976.52190476190469</v>
      </c>
      <c r="X201" s="1">
        <v>970.79452380952387</v>
      </c>
      <c r="Y201" s="1">
        <v>956.94904761904763</v>
      </c>
      <c r="Z201" s="1">
        <v>895.17119047619053</v>
      </c>
      <c r="AA201" s="1">
        <v>830.36285714285714</v>
      </c>
      <c r="AB201" s="26">
        <v>22</v>
      </c>
      <c r="AC201" s="8">
        <f t="shared" si="14"/>
        <v>349976.81714285718</v>
      </c>
      <c r="AM201"/>
    </row>
    <row r="202" spans="1:39" x14ac:dyDescent="0.25">
      <c r="A202" s="3">
        <f t="shared" si="12"/>
        <v>2032</v>
      </c>
      <c r="B202" s="5" t="str">
        <f>PROPER(TEXT(DATEVALUE("1/"&amp;MOD(ROUNDDOWN((ROW()-6+7*3)/3,0),12)+1&amp;"/"&amp;Tabla1[[#This Row],[Año]]),"mmm"))</f>
        <v>Ene</v>
      </c>
      <c r="C202" s="7" t="str">
        <f t="shared" si="13"/>
        <v>Sábado</v>
      </c>
      <c r="D202" s="1">
        <v>813.79875000000004</v>
      </c>
      <c r="E202" s="1">
        <v>785.57749999999999</v>
      </c>
      <c r="F202" s="1">
        <v>753.28625</v>
      </c>
      <c r="G202" s="1">
        <v>734.60500000000002</v>
      </c>
      <c r="H202" s="1">
        <v>726.27</v>
      </c>
      <c r="I202" s="1">
        <v>712.55624999999998</v>
      </c>
      <c r="J202" s="1">
        <v>640.93624999999997</v>
      </c>
      <c r="K202" s="1">
        <v>409.88249999999999</v>
      </c>
      <c r="L202" s="1">
        <v>287.99250000000001</v>
      </c>
      <c r="M202" s="1">
        <v>105.765</v>
      </c>
      <c r="N202" s="1">
        <v>101.39749999999999</v>
      </c>
      <c r="O202" s="1">
        <v>0</v>
      </c>
      <c r="P202" s="1">
        <v>0</v>
      </c>
      <c r="Q202" s="1">
        <v>0</v>
      </c>
      <c r="R202" s="1">
        <v>0</v>
      </c>
      <c r="S202" s="1">
        <v>40.316249999999997</v>
      </c>
      <c r="T202" s="1">
        <v>258.25125000000003</v>
      </c>
      <c r="U202" s="1">
        <v>607.15125</v>
      </c>
      <c r="V202" s="1">
        <v>858.05624999999998</v>
      </c>
      <c r="W202" s="1">
        <v>898.06375000000003</v>
      </c>
      <c r="X202" s="1">
        <v>894.5625</v>
      </c>
      <c r="Y202" s="1">
        <v>881.21</v>
      </c>
      <c r="Z202" s="1">
        <v>841.66875000000005</v>
      </c>
      <c r="AA202" s="1">
        <v>797.22249999999997</v>
      </c>
      <c r="AB202" s="26">
        <v>5</v>
      </c>
      <c r="AC202" s="8">
        <f t="shared" si="14"/>
        <v>60742.85</v>
      </c>
      <c r="AM202"/>
    </row>
    <row r="203" spans="1:39" x14ac:dyDescent="0.25">
      <c r="A203" s="3">
        <f t="shared" si="12"/>
        <v>2032</v>
      </c>
      <c r="B203" s="5" t="str">
        <f>PROPER(TEXT(DATEVALUE("1/"&amp;MOD(ROUNDDOWN((ROW()-6+7*3)/3,0),12)+1&amp;"/"&amp;Tabla1[[#This Row],[Año]]),"mmm"))</f>
        <v>Ene</v>
      </c>
      <c r="C203" s="7" t="str">
        <f t="shared" si="13"/>
        <v>Domingo y Festivo</v>
      </c>
      <c r="D203" s="1">
        <v>767.40749999999991</v>
      </c>
      <c r="E203" s="1">
        <v>745.98</v>
      </c>
      <c r="F203" s="1">
        <v>728.80916666666656</v>
      </c>
      <c r="G203" s="1">
        <v>709.74749999999995</v>
      </c>
      <c r="H203" s="1">
        <v>701.0866666666667</v>
      </c>
      <c r="I203" s="1">
        <v>679.61749999999995</v>
      </c>
      <c r="J203" s="1">
        <v>568.16166666666663</v>
      </c>
      <c r="K203" s="1">
        <v>161.14000000000001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5.3475000000000001</v>
      </c>
      <c r="T203" s="1">
        <v>162.04416666666665</v>
      </c>
      <c r="U203" s="1">
        <v>516.50249999999994</v>
      </c>
      <c r="V203" s="1">
        <v>769.26166666666666</v>
      </c>
      <c r="W203" s="1">
        <v>839.73333333333323</v>
      </c>
      <c r="X203" s="1">
        <v>863.92333333333329</v>
      </c>
      <c r="Y203" s="1">
        <v>861.94500000000005</v>
      </c>
      <c r="Z203" s="1">
        <v>812.42500000000007</v>
      </c>
      <c r="AA203" s="1">
        <v>758.22833333333335</v>
      </c>
      <c r="AB203" s="26">
        <v>4</v>
      </c>
      <c r="AC203" s="8">
        <f t="shared" si="14"/>
        <v>42605.443333333322</v>
      </c>
      <c r="AM203"/>
    </row>
    <row r="204" spans="1:39" x14ac:dyDescent="0.25">
      <c r="A204" s="3">
        <f t="shared" si="12"/>
        <v>2032</v>
      </c>
      <c r="B204" s="5" t="str">
        <f>PROPER(TEXT(DATEVALUE("1/"&amp;MOD(ROUNDDOWN((ROW()-6+7*3)/3,0),12)+1&amp;"/"&amp;Tabla1[[#This Row],[Año]]),"mmm"))</f>
        <v>Feb</v>
      </c>
      <c r="C204" s="7" t="str">
        <f t="shared" si="13"/>
        <v>Hábil</v>
      </c>
      <c r="D204" s="1">
        <v>777.23380952380955</v>
      </c>
      <c r="E204" s="1">
        <v>747.8097619047619</v>
      </c>
      <c r="F204" s="1">
        <v>722.91357142857146</v>
      </c>
      <c r="G204" s="1">
        <v>698.02428571428572</v>
      </c>
      <c r="H204" s="1">
        <v>691.64547619047619</v>
      </c>
      <c r="I204" s="1">
        <v>710.39976190476193</v>
      </c>
      <c r="J204" s="1">
        <v>735.91809523809525</v>
      </c>
      <c r="K204" s="1">
        <v>722.64095238095229</v>
      </c>
      <c r="L204" s="1">
        <v>637.61285714285714</v>
      </c>
      <c r="M204" s="1">
        <v>406.39833333333331</v>
      </c>
      <c r="N204" s="1">
        <v>277.80166666666668</v>
      </c>
      <c r="O204" s="1">
        <v>285.09047619047618</v>
      </c>
      <c r="P204" s="1">
        <v>123.77285714285715</v>
      </c>
      <c r="Q204" s="1">
        <v>92.608333333333334</v>
      </c>
      <c r="R204" s="1">
        <v>299.13642857142855</v>
      </c>
      <c r="S204" s="1">
        <v>455.46952380952382</v>
      </c>
      <c r="T204" s="1">
        <v>747.55857142857144</v>
      </c>
      <c r="U204" s="1">
        <v>1079.5923809523808</v>
      </c>
      <c r="V204" s="1">
        <v>1066.6104761904762</v>
      </c>
      <c r="W204" s="1">
        <v>976.52190476190469</v>
      </c>
      <c r="X204" s="1">
        <v>970.79452380952387</v>
      </c>
      <c r="Y204" s="1">
        <v>956.94904761904763</v>
      </c>
      <c r="Z204" s="1">
        <v>895.17119047619053</v>
      </c>
      <c r="AA204" s="1">
        <v>830.36285714285714</v>
      </c>
      <c r="AB204" s="26">
        <v>20</v>
      </c>
      <c r="AC204" s="8">
        <f t="shared" si="14"/>
        <v>318160.74285714293</v>
      </c>
      <c r="AM204"/>
    </row>
    <row r="205" spans="1:39" x14ac:dyDescent="0.25">
      <c r="A205" s="3">
        <f t="shared" si="12"/>
        <v>2032</v>
      </c>
      <c r="B205" s="5" t="str">
        <f>PROPER(TEXT(DATEVALUE("1/"&amp;MOD(ROUNDDOWN((ROW()-6+7*3)/3,0),12)+1&amp;"/"&amp;Tabla1[[#This Row],[Año]]),"mmm"))</f>
        <v>Feb</v>
      </c>
      <c r="C205" s="7" t="str">
        <f t="shared" si="13"/>
        <v>Sábado</v>
      </c>
      <c r="D205" s="1">
        <v>813.79875000000004</v>
      </c>
      <c r="E205" s="1">
        <v>785.57749999999999</v>
      </c>
      <c r="F205" s="1">
        <v>753.28625</v>
      </c>
      <c r="G205" s="1">
        <v>734.60500000000002</v>
      </c>
      <c r="H205" s="1">
        <v>726.27</v>
      </c>
      <c r="I205" s="1">
        <v>712.55624999999998</v>
      </c>
      <c r="J205" s="1">
        <v>640.93624999999997</v>
      </c>
      <c r="K205" s="1">
        <v>409.88249999999999</v>
      </c>
      <c r="L205" s="1">
        <v>287.99250000000001</v>
      </c>
      <c r="M205" s="1">
        <v>105.765</v>
      </c>
      <c r="N205" s="1">
        <v>101.39749999999999</v>
      </c>
      <c r="O205" s="1">
        <v>0</v>
      </c>
      <c r="P205" s="1">
        <v>0</v>
      </c>
      <c r="Q205" s="1">
        <v>0</v>
      </c>
      <c r="R205" s="1">
        <v>0</v>
      </c>
      <c r="S205" s="1">
        <v>40.316249999999997</v>
      </c>
      <c r="T205" s="1">
        <v>258.25125000000003</v>
      </c>
      <c r="U205" s="1">
        <v>607.15125</v>
      </c>
      <c r="V205" s="1">
        <v>858.05624999999998</v>
      </c>
      <c r="W205" s="1">
        <v>898.06375000000003</v>
      </c>
      <c r="X205" s="1">
        <v>894.5625</v>
      </c>
      <c r="Y205" s="1">
        <v>881.21</v>
      </c>
      <c r="Z205" s="1">
        <v>841.66875000000005</v>
      </c>
      <c r="AA205" s="1">
        <v>797.22249999999997</v>
      </c>
      <c r="AB205" s="26">
        <v>4</v>
      </c>
      <c r="AC205" s="8">
        <f t="shared" si="14"/>
        <v>48594.28</v>
      </c>
      <c r="AM205"/>
    </row>
    <row r="206" spans="1:39" x14ac:dyDescent="0.25">
      <c r="A206" s="3">
        <f t="shared" si="12"/>
        <v>2032</v>
      </c>
      <c r="B206" s="5" t="str">
        <f>PROPER(TEXT(DATEVALUE("1/"&amp;MOD(ROUNDDOWN((ROW()-6+7*3)/3,0),12)+1&amp;"/"&amp;Tabla1[[#This Row],[Año]]),"mmm"))</f>
        <v>Feb</v>
      </c>
      <c r="C206" s="7" t="str">
        <f t="shared" si="13"/>
        <v>Domingo y Festivo</v>
      </c>
      <c r="D206" s="1">
        <v>767.40749999999991</v>
      </c>
      <c r="E206" s="1">
        <v>745.98</v>
      </c>
      <c r="F206" s="1">
        <v>728.80916666666656</v>
      </c>
      <c r="G206" s="1">
        <v>709.74749999999995</v>
      </c>
      <c r="H206" s="1">
        <v>701.0866666666667</v>
      </c>
      <c r="I206" s="1">
        <v>679.61749999999995</v>
      </c>
      <c r="J206" s="1">
        <v>568.16166666666663</v>
      </c>
      <c r="K206" s="1">
        <v>161.14000000000001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5.3475000000000001</v>
      </c>
      <c r="T206" s="1">
        <v>162.04416666666665</v>
      </c>
      <c r="U206" s="1">
        <v>516.50249999999994</v>
      </c>
      <c r="V206" s="1">
        <v>769.26166666666666</v>
      </c>
      <c r="W206" s="1">
        <v>839.73333333333323</v>
      </c>
      <c r="X206" s="1">
        <v>863.92333333333329</v>
      </c>
      <c r="Y206" s="1">
        <v>861.94500000000005</v>
      </c>
      <c r="Z206" s="1">
        <v>812.42500000000007</v>
      </c>
      <c r="AA206" s="1">
        <v>758.22833333333335</v>
      </c>
      <c r="AB206" s="26">
        <v>5</v>
      </c>
      <c r="AC206" s="8">
        <f t="shared" si="14"/>
        <v>53256.804166666654</v>
      </c>
      <c r="AM206"/>
    </row>
    <row r="207" spans="1:39" x14ac:dyDescent="0.25">
      <c r="A207" s="3">
        <f t="shared" si="12"/>
        <v>2032</v>
      </c>
      <c r="B207" s="5" t="str">
        <f>PROPER(TEXT(DATEVALUE("1/"&amp;MOD(ROUNDDOWN((ROW()-6+7*3)/3,0),12)+1&amp;"/"&amp;Tabla1[[#This Row],[Año]]),"mmm"))</f>
        <v>Mar</v>
      </c>
      <c r="C207" s="7" t="str">
        <f t="shared" si="13"/>
        <v>Hábil</v>
      </c>
      <c r="D207" s="1">
        <v>777.23380952380955</v>
      </c>
      <c r="E207" s="1">
        <v>747.8097619047619</v>
      </c>
      <c r="F207" s="1">
        <v>722.91357142857146</v>
      </c>
      <c r="G207" s="1">
        <v>698.02428571428572</v>
      </c>
      <c r="H207" s="1">
        <v>691.64547619047619</v>
      </c>
      <c r="I207" s="1">
        <v>710.39976190476193</v>
      </c>
      <c r="J207" s="1">
        <v>735.91809523809525</v>
      </c>
      <c r="K207" s="1">
        <v>722.64095238095229</v>
      </c>
      <c r="L207" s="1">
        <v>637.61285714285714</v>
      </c>
      <c r="M207" s="1">
        <v>406.39833333333331</v>
      </c>
      <c r="N207" s="1">
        <v>277.80166666666668</v>
      </c>
      <c r="O207" s="1">
        <v>285.09047619047618</v>
      </c>
      <c r="P207" s="1">
        <v>123.77285714285715</v>
      </c>
      <c r="Q207" s="1">
        <v>92.608333333333334</v>
      </c>
      <c r="R207" s="1">
        <v>299.13642857142855</v>
      </c>
      <c r="S207" s="1">
        <v>455.46952380952382</v>
      </c>
      <c r="T207" s="1">
        <v>747.55857142857144</v>
      </c>
      <c r="U207" s="1">
        <v>1079.5923809523808</v>
      </c>
      <c r="V207" s="1">
        <v>1066.6104761904762</v>
      </c>
      <c r="W207" s="1">
        <v>976.52190476190469</v>
      </c>
      <c r="X207" s="1">
        <v>970.79452380952387</v>
      </c>
      <c r="Y207" s="1">
        <v>956.94904761904763</v>
      </c>
      <c r="Z207" s="1">
        <v>895.17119047619053</v>
      </c>
      <c r="AA207" s="1">
        <v>830.36285714285714</v>
      </c>
      <c r="AB207" s="26">
        <v>23</v>
      </c>
      <c r="AC207" s="8">
        <f t="shared" si="14"/>
        <v>365884.85428571433</v>
      </c>
      <c r="AM207"/>
    </row>
    <row r="208" spans="1:39" x14ac:dyDescent="0.25">
      <c r="A208" s="3">
        <f t="shared" si="12"/>
        <v>2032</v>
      </c>
      <c r="B208" s="5" t="str">
        <f>PROPER(TEXT(DATEVALUE("1/"&amp;MOD(ROUNDDOWN((ROW()-6+7*3)/3,0),12)+1&amp;"/"&amp;Tabla1[[#This Row],[Año]]),"mmm"))</f>
        <v>Mar</v>
      </c>
      <c r="C208" s="7" t="str">
        <f t="shared" si="13"/>
        <v>Sábado</v>
      </c>
      <c r="D208" s="1">
        <v>813.79875000000004</v>
      </c>
      <c r="E208" s="1">
        <v>785.57749999999999</v>
      </c>
      <c r="F208" s="1">
        <v>753.28625</v>
      </c>
      <c r="G208" s="1">
        <v>734.60500000000002</v>
      </c>
      <c r="H208" s="1">
        <v>726.27</v>
      </c>
      <c r="I208" s="1">
        <v>712.55624999999998</v>
      </c>
      <c r="J208" s="1">
        <v>640.93624999999997</v>
      </c>
      <c r="K208" s="1">
        <v>409.88249999999999</v>
      </c>
      <c r="L208" s="1">
        <v>287.99250000000001</v>
      </c>
      <c r="M208" s="1">
        <v>105.765</v>
      </c>
      <c r="N208" s="1">
        <v>101.39749999999999</v>
      </c>
      <c r="O208" s="1">
        <v>0</v>
      </c>
      <c r="P208" s="1">
        <v>0</v>
      </c>
      <c r="Q208" s="1">
        <v>0</v>
      </c>
      <c r="R208" s="1">
        <v>0</v>
      </c>
      <c r="S208" s="1">
        <v>40.316249999999997</v>
      </c>
      <c r="T208" s="1">
        <v>258.25125000000003</v>
      </c>
      <c r="U208" s="1">
        <v>607.15125</v>
      </c>
      <c r="V208" s="1">
        <v>858.05624999999998</v>
      </c>
      <c r="W208" s="1">
        <v>898.06375000000003</v>
      </c>
      <c r="X208" s="1">
        <v>894.5625</v>
      </c>
      <c r="Y208" s="1">
        <v>881.21</v>
      </c>
      <c r="Z208" s="1">
        <v>841.66875000000005</v>
      </c>
      <c r="AA208" s="1">
        <v>797.22249999999997</v>
      </c>
      <c r="AB208" s="26">
        <v>4</v>
      </c>
      <c r="AC208" s="8">
        <f t="shared" si="14"/>
        <v>48594.28</v>
      </c>
      <c r="AM208"/>
    </row>
    <row r="209" spans="1:39" x14ac:dyDescent="0.25">
      <c r="A209" s="3">
        <f t="shared" si="12"/>
        <v>2032</v>
      </c>
      <c r="B209" s="5" t="str">
        <f>PROPER(TEXT(DATEVALUE("1/"&amp;MOD(ROUNDDOWN((ROW()-6+7*3)/3,0),12)+1&amp;"/"&amp;Tabla1[[#This Row],[Año]]),"mmm"))</f>
        <v>Mar</v>
      </c>
      <c r="C209" s="7" t="str">
        <f t="shared" si="13"/>
        <v>Domingo y Festivo</v>
      </c>
      <c r="D209" s="1">
        <v>767.40749999999991</v>
      </c>
      <c r="E209" s="1">
        <v>745.98</v>
      </c>
      <c r="F209" s="1">
        <v>728.80916666666656</v>
      </c>
      <c r="G209" s="1">
        <v>709.74749999999995</v>
      </c>
      <c r="H209" s="1">
        <v>701.0866666666667</v>
      </c>
      <c r="I209" s="1">
        <v>679.61749999999995</v>
      </c>
      <c r="J209" s="1">
        <v>568.16166666666663</v>
      </c>
      <c r="K209" s="1">
        <v>161.14000000000001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5.3475000000000001</v>
      </c>
      <c r="T209" s="1">
        <v>162.04416666666665</v>
      </c>
      <c r="U209" s="1">
        <v>516.50249999999994</v>
      </c>
      <c r="V209" s="1">
        <v>769.26166666666666</v>
      </c>
      <c r="W209" s="1">
        <v>839.73333333333323</v>
      </c>
      <c r="X209" s="1">
        <v>863.92333333333329</v>
      </c>
      <c r="Y209" s="1">
        <v>861.94500000000005</v>
      </c>
      <c r="Z209" s="1">
        <v>812.42500000000007</v>
      </c>
      <c r="AA209" s="1">
        <v>758.22833333333335</v>
      </c>
      <c r="AB209" s="26">
        <v>4</v>
      </c>
      <c r="AC209" s="8">
        <f t="shared" si="14"/>
        <v>42605.443333333322</v>
      </c>
      <c r="AM209"/>
    </row>
    <row r="210" spans="1:39" x14ac:dyDescent="0.25">
      <c r="A210" s="3">
        <f t="shared" si="12"/>
        <v>2032</v>
      </c>
      <c r="B210" s="5" t="str">
        <f>PROPER(TEXT(DATEVALUE("1/"&amp;MOD(ROUNDDOWN((ROW()-6+7*3)/3,0),12)+1&amp;"/"&amp;Tabla1[[#This Row],[Año]]),"mmm"))</f>
        <v>Abr</v>
      </c>
      <c r="C210" s="7" t="str">
        <f t="shared" si="13"/>
        <v>Hábil</v>
      </c>
      <c r="D210" s="1">
        <v>777.23380952380955</v>
      </c>
      <c r="E210" s="1">
        <v>747.8097619047619</v>
      </c>
      <c r="F210" s="1">
        <v>722.91357142857146</v>
      </c>
      <c r="G210" s="1">
        <v>698.02428571428572</v>
      </c>
      <c r="H210" s="1">
        <v>691.64547619047619</v>
      </c>
      <c r="I210" s="1">
        <v>710.39976190476193</v>
      </c>
      <c r="J210" s="1">
        <v>735.91809523809525</v>
      </c>
      <c r="K210" s="1">
        <v>722.64095238095229</v>
      </c>
      <c r="L210" s="1">
        <v>637.61285714285714</v>
      </c>
      <c r="M210" s="1">
        <v>406.39833333333331</v>
      </c>
      <c r="N210" s="1">
        <v>277.80166666666668</v>
      </c>
      <c r="O210" s="1">
        <v>285.09047619047618</v>
      </c>
      <c r="P210" s="1">
        <v>123.77285714285715</v>
      </c>
      <c r="Q210" s="1">
        <v>92.608333333333334</v>
      </c>
      <c r="R210" s="1">
        <v>299.13642857142855</v>
      </c>
      <c r="S210" s="1">
        <v>455.46952380952382</v>
      </c>
      <c r="T210" s="1">
        <v>747.55857142857144</v>
      </c>
      <c r="U210" s="1">
        <v>1079.5923809523808</v>
      </c>
      <c r="V210" s="1">
        <v>1066.6104761904762</v>
      </c>
      <c r="W210" s="1">
        <v>976.52190476190469</v>
      </c>
      <c r="X210" s="1">
        <v>970.79452380952387</v>
      </c>
      <c r="Y210" s="1">
        <v>956.94904761904763</v>
      </c>
      <c r="Z210" s="1">
        <v>895.17119047619053</v>
      </c>
      <c r="AA210" s="1">
        <v>830.36285714285714</v>
      </c>
      <c r="AB210" s="26">
        <v>22</v>
      </c>
      <c r="AC210" s="8">
        <f t="shared" si="14"/>
        <v>349976.81714285718</v>
      </c>
      <c r="AM210"/>
    </row>
    <row r="211" spans="1:39" x14ac:dyDescent="0.25">
      <c r="A211" s="3">
        <f t="shared" si="12"/>
        <v>2032</v>
      </c>
      <c r="B211" s="5" t="str">
        <f>PROPER(TEXT(DATEVALUE("1/"&amp;MOD(ROUNDDOWN((ROW()-6+7*3)/3,0),12)+1&amp;"/"&amp;Tabla1[[#This Row],[Año]]),"mmm"))</f>
        <v>Abr</v>
      </c>
      <c r="C211" s="7" t="str">
        <f t="shared" si="13"/>
        <v>Sábado</v>
      </c>
      <c r="D211" s="1">
        <v>813.79875000000004</v>
      </c>
      <c r="E211" s="1">
        <v>785.57749999999999</v>
      </c>
      <c r="F211" s="1">
        <v>753.28625</v>
      </c>
      <c r="G211" s="1">
        <v>734.60500000000002</v>
      </c>
      <c r="H211" s="1">
        <v>726.27</v>
      </c>
      <c r="I211" s="1">
        <v>712.55624999999998</v>
      </c>
      <c r="J211" s="1">
        <v>640.93624999999997</v>
      </c>
      <c r="K211" s="1">
        <v>409.88249999999999</v>
      </c>
      <c r="L211" s="1">
        <v>287.99250000000001</v>
      </c>
      <c r="M211" s="1">
        <v>105.765</v>
      </c>
      <c r="N211" s="1">
        <v>101.39749999999999</v>
      </c>
      <c r="O211" s="1">
        <v>0</v>
      </c>
      <c r="P211" s="1">
        <v>0</v>
      </c>
      <c r="Q211" s="1">
        <v>0</v>
      </c>
      <c r="R211" s="1">
        <v>0</v>
      </c>
      <c r="S211" s="1">
        <v>40.316249999999997</v>
      </c>
      <c r="T211" s="1">
        <v>258.25125000000003</v>
      </c>
      <c r="U211" s="1">
        <v>607.15125</v>
      </c>
      <c r="V211" s="1">
        <v>858.05624999999998</v>
      </c>
      <c r="W211" s="1">
        <v>898.06375000000003</v>
      </c>
      <c r="X211" s="1">
        <v>894.5625</v>
      </c>
      <c r="Y211" s="1">
        <v>881.21</v>
      </c>
      <c r="Z211" s="1">
        <v>841.66875000000005</v>
      </c>
      <c r="AA211" s="1">
        <v>797.22249999999997</v>
      </c>
      <c r="AB211" s="26">
        <v>4</v>
      </c>
      <c r="AC211" s="8">
        <f t="shared" si="14"/>
        <v>48594.28</v>
      </c>
      <c r="AM211"/>
    </row>
    <row r="212" spans="1:39" x14ac:dyDescent="0.25">
      <c r="A212" s="3">
        <f t="shared" si="12"/>
        <v>2032</v>
      </c>
      <c r="B212" s="5" t="str">
        <f>PROPER(TEXT(DATEVALUE("1/"&amp;MOD(ROUNDDOWN((ROW()-6+7*3)/3,0),12)+1&amp;"/"&amp;Tabla1[[#This Row],[Año]]),"mmm"))</f>
        <v>Abr</v>
      </c>
      <c r="C212" s="7" t="str">
        <f t="shared" si="13"/>
        <v>Domingo y Festivo</v>
      </c>
      <c r="D212" s="1">
        <v>767.40749999999991</v>
      </c>
      <c r="E212" s="1">
        <v>745.98</v>
      </c>
      <c r="F212" s="1">
        <v>728.80916666666656</v>
      </c>
      <c r="G212" s="1">
        <v>709.74749999999995</v>
      </c>
      <c r="H212" s="1">
        <v>701.0866666666667</v>
      </c>
      <c r="I212" s="1">
        <v>679.61749999999995</v>
      </c>
      <c r="J212" s="1">
        <v>568.16166666666663</v>
      </c>
      <c r="K212" s="1">
        <v>161.14000000000001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5.3475000000000001</v>
      </c>
      <c r="T212" s="1">
        <v>162.04416666666665</v>
      </c>
      <c r="U212" s="1">
        <v>516.50249999999994</v>
      </c>
      <c r="V212" s="1">
        <v>769.26166666666666</v>
      </c>
      <c r="W212" s="1">
        <v>839.73333333333323</v>
      </c>
      <c r="X212" s="1">
        <v>863.92333333333329</v>
      </c>
      <c r="Y212" s="1">
        <v>861.94500000000005</v>
      </c>
      <c r="Z212" s="1">
        <v>812.42500000000007</v>
      </c>
      <c r="AA212" s="1">
        <v>758.22833333333335</v>
      </c>
      <c r="AB212" s="26">
        <v>4</v>
      </c>
      <c r="AC212" s="8">
        <f t="shared" si="14"/>
        <v>42605.443333333322</v>
      </c>
      <c r="AM212"/>
    </row>
    <row r="213" spans="1:39" x14ac:dyDescent="0.25">
      <c r="A213" s="3">
        <f t="shared" si="12"/>
        <v>2032</v>
      </c>
      <c r="B213" s="5" t="str">
        <f>PROPER(TEXT(DATEVALUE("1/"&amp;MOD(ROUNDDOWN((ROW()-6+7*3)/3,0),12)+1&amp;"/"&amp;Tabla1[[#This Row],[Año]]),"mmm"))</f>
        <v>May</v>
      </c>
      <c r="C213" s="7" t="str">
        <f t="shared" si="13"/>
        <v>Hábil</v>
      </c>
      <c r="D213" s="1">
        <v>777.23380952380955</v>
      </c>
      <c r="E213" s="1">
        <v>747.8097619047619</v>
      </c>
      <c r="F213" s="1">
        <v>722.91357142857146</v>
      </c>
      <c r="G213" s="1">
        <v>698.02428571428572</v>
      </c>
      <c r="H213" s="1">
        <v>691.64547619047619</v>
      </c>
      <c r="I213" s="1">
        <v>710.39976190476193</v>
      </c>
      <c r="J213" s="1">
        <v>735.91809523809525</v>
      </c>
      <c r="K213" s="1">
        <v>722.64095238095229</v>
      </c>
      <c r="L213" s="1">
        <v>637.61285714285714</v>
      </c>
      <c r="M213" s="1">
        <v>406.39833333333331</v>
      </c>
      <c r="N213" s="1">
        <v>277.80166666666668</v>
      </c>
      <c r="O213" s="1">
        <v>285.09047619047618</v>
      </c>
      <c r="P213" s="1">
        <v>123.77285714285715</v>
      </c>
      <c r="Q213" s="1">
        <v>92.608333333333334</v>
      </c>
      <c r="R213" s="1">
        <v>299.13642857142855</v>
      </c>
      <c r="S213" s="1">
        <v>455.46952380952382</v>
      </c>
      <c r="T213" s="1">
        <v>747.55857142857144</v>
      </c>
      <c r="U213" s="1">
        <v>1079.5923809523808</v>
      </c>
      <c r="V213" s="1">
        <v>1066.6104761904762</v>
      </c>
      <c r="W213" s="1">
        <v>976.52190476190469</v>
      </c>
      <c r="X213" s="1">
        <v>970.79452380952387</v>
      </c>
      <c r="Y213" s="1">
        <v>956.94904761904763</v>
      </c>
      <c r="Z213" s="1">
        <v>895.17119047619053</v>
      </c>
      <c r="AA213" s="1">
        <v>830.36285714285714</v>
      </c>
      <c r="AB213" s="26">
        <v>21</v>
      </c>
      <c r="AC213" s="8">
        <f t="shared" si="14"/>
        <v>334068.78000000003</v>
      </c>
      <c r="AM213"/>
    </row>
    <row r="214" spans="1:39" x14ac:dyDescent="0.25">
      <c r="A214" s="3">
        <f t="shared" si="12"/>
        <v>2032</v>
      </c>
      <c r="B214" s="5" t="str">
        <f>PROPER(TEXT(DATEVALUE("1/"&amp;MOD(ROUNDDOWN((ROW()-6+7*3)/3,0),12)+1&amp;"/"&amp;Tabla1[[#This Row],[Año]]),"mmm"))</f>
        <v>May</v>
      </c>
      <c r="C214" s="7" t="str">
        <f t="shared" si="13"/>
        <v>Sábado</v>
      </c>
      <c r="D214" s="1">
        <v>813.79875000000004</v>
      </c>
      <c r="E214" s="1">
        <v>785.57749999999999</v>
      </c>
      <c r="F214" s="1">
        <v>753.28625</v>
      </c>
      <c r="G214" s="1">
        <v>734.60500000000002</v>
      </c>
      <c r="H214" s="1">
        <v>726.27</v>
      </c>
      <c r="I214" s="1">
        <v>712.55624999999998</v>
      </c>
      <c r="J214" s="1">
        <v>640.93624999999997</v>
      </c>
      <c r="K214" s="1">
        <v>409.88249999999999</v>
      </c>
      <c r="L214" s="1">
        <v>287.99250000000001</v>
      </c>
      <c r="M214" s="1">
        <v>105.765</v>
      </c>
      <c r="N214" s="1">
        <v>101.39749999999999</v>
      </c>
      <c r="O214" s="1">
        <v>0</v>
      </c>
      <c r="P214" s="1">
        <v>0</v>
      </c>
      <c r="Q214" s="1">
        <v>0</v>
      </c>
      <c r="R214" s="1">
        <v>0</v>
      </c>
      <c r="S214" s="1">
        <v>40.316249999999997</v>
      </c>
      <c r="T214" s="1">
        <v>258.25125000000003</v>
      </c>
      <c r="U214" s="1">
        <v>607.15125</v>
      </c>
      <c r="V214" s="1">
        <v>858.05624999999998</v>
      </c>
      <c r="W214" s="1">
        <v>898.06375000000003</v>
      </c>
      <c r="X214" s="1">
        <v>894.5625</v>
      </c>
      <c r="Y214" s="1">
        <v>881.21</v>
      </c>
      <c r="Z214" s="1">
        <v>841.66875000000005</v>
      </c>
      <c r="AA214" s="1">
        <v>797.22249999999997</v>
      </c>
      <c r="AB214" s="26">
        <v>5</v>
      </c>
      <c r="AC214" s="8">
        <f t="shared" si="14"/>
        <v>60742.85</v>
      </c>
      <c r="AM214"/>
    </row>
    <row r="215" spans="1:39" x14ac:dyDescent="0.25">
      <c r="A215" s="3">
        <f t="shared" si="12"/>
        <v>2032</v>
      </c>
      <c r="B215" s="5" t="str">
        <f>PROPER(TEXT(DATEVALUE("1/"&amp;MOD(ROUNDDOWN((ROW()-6+7*3)/3,0),12)+1&amp;"/"&amp;Tabla1[[#This Row],[Año]]),"mmm"))</f>
        <v>May</v>
      </c>
      <c r="C215" s="7" t="str">
        <f t="shared" si="13"/>
        <v>Domingo y Festivo</v>
      </c>
      <c r="D215" s="1">
        <v>767.40749999999991</v>
      </c>
      <c r="E215" s="1">
        <v>745.98</v>
      </c>
      <c r="F215" s="1">
        <v>728.80916666666656</v>
      </c>
      <c r="G215" s="1">
        <v>709.74749999999995</v>
      </c>
      <c r="H215" s="1">
        <v>701.0866666666667</v>
      </c>
      <c r="I215" s="1">
        <v>679.61749999999995</v>
      </c>
      <c r="J215" s="1">
        <v>568.16166666666663</v>
      </c>
      <c r="K215" s="1">
        <v>161.14000000000001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5.3475000000000001</v>
      </c>
      <c r="T215" s="1">
        <v>162.04416666666665</v>
      </c>
      <c r="U215" s="1">
        <v>516.50249999999994</v>
      </c>
      <c r="V215" s="1">
        <v>769.26166666666666</v>
      </c>
      <c r="W215" s="1">
        <v>839.73333333333323</v>
      </c>
      <c r="X215" s="1">
        <v>863.92333333333329</v>
      </c>
      <c r="Y215" s="1">
        <v>861.94500000000005</v>
      </c>
      <c r="Z215" s="1">
        <v>812.42500000000007</v>
      </c>
      <c r="AA215" s="1">
        <v>758.22833333333335</v>
      </c>
      <c r="AB215" s="26">
        <v>5</v>
      </c>
      <c r="AC215" s="8">
        <f t="shared" si="14"/>
        <v>53256.804166666654</v>
      </c>
      <c r="AM215"/>
    </row>
    <row r="216" spans="1:39" x14ac:dyDescent="0.25">
      <c r="A216" s="3">
        <f t="shared" si="12"/>
        <v>2032</v>
      </c>
      <c r="B216" s="5" t="str">
        <f>PROPER(TEXT(DATEVALUE("1/"&amp;MOD(ROUNDDOWN((ROW()-6+7*3)/3,0),12)+1&amp;"/"&amp;Tabla1[[#This Row],[Año]]),"mmm"))</f>
        <v>Jun</v>
      </c>
      <c r="C216" s="7" t="str">
        <f t="shared" si="13"/>
        <v>Hábil</v>
      </c>
      <c r="D216" s="1">
        <v>777.23380952380955</v>
      </c>
      <c r="E216" s="1">
        <v>747.8097619047619</v>
      </c>
      <c r="F216" s="1">
        <v>722.91357142857146</v>
      </c>
      <c r="G216" s="1">
        <v>698.02428571428572</v>
      </c>
      <c r="H216" s="1">
        <v>691.64547619047619</v>
      </c>
      <c r="I216" s="1">
        <v>710.39976190476193</v>
      </c>
      <c r="J216" s="1">
        <v>735.91809523809525</v>
      </c>
      <c r="K216" s="1">
        <v>722.64095238095229</v>
      </c>
      <c r="L216" s="1">
        <v>637.61285714285714</v>
      </c>
      <c r="M216" s="1">
        <v>406.39833333333331</v>
      </c>
      <c r="N216" s="1">
        <v>277.80166666666668</v>
      </c>
      <c r="O216" s="1">
        <v>285.09047619047618</v>
      </c>
      <c r="P216" s="1">
        <v>123.77285714285715</v>
      </c>
      <c r="Q216" s="1">
        <v>92.608333333333334</v>
      </c>
      <c r="R216" s="1">
        <v>299.13642857142855</v>
      </c>
      <c r="S216" s="1">
        <v>455.46952380952382</v>
      </c>
      <c r="T216" s="1">
        <v>747.55857142857144</v>
      </c>
      <c r="U216" s="1">
        <v>1079.5923809523808</v>
      </c>
      <c r="V216" s="1">
        <v>1066.6104761904762</v>
      </c>
      <c r="W216" s="1">
        <v>976.52190476190469</v>
      </c>
      <c r="X216" s="1">
        <v>970.79452380952387</v>
      </c>
      <c r="Y216" s="1">
        <v>956.94904761904763</v>
      </c>
      <c r="Z216" s="1">
        <v>895.17119047619053</v>
      </c>
      <c r="AA216" s="1">
        <v>830.36285714285714</v>
      </c>
      <c r="AB216" s="26">
        <v>22</v>
      </c>
      <c r="AC216" s="8">
        <f t="shared" si="14"/>
        <v>349976.81714285718</v>
      </c>
      <c r="AM216"/>
    </row>
    <row r="217" spans="1:39" x14ac:dyDescent="0.25">
      <c r="A217" s="3">
        <f t="shared" si="12"/>
        <v>2032</v>
      </c>
      <c r="B217" s="5" t="str">
        <f>PROPER(TEXT(DATEVALUE("1/"&amp;MOD(ROUNDDOWN((ROW()-6+7*3)/3,0),12)+1&amp;"/"&amp;Tabla1[[#This Row],[Año]]),"mmm"))</f>
        <v>Jun</v>
      </c>
      <c r="C217" s="7" t="str">
        <f t="shared" si="13"/>
        <v>Sábado</v>
      </c>
      <c r="D217" s="1">
        <v>813.79875000000004</v>
      </c>
      <c r="E217" s="1">
        <v>785.57749999999999</v>
      </c>
      <c r="F217" s="1">
        <v>753.28625</v>
      </c>
      <c r="G217" s="1">
        <v>734.60500000000002</v>
      </c>
      <c r="H217" s="1">
        <v>726.27</v>
      </c>
      <c r="I217" s="1">
        <v>712.55624999999998</v>
      </c>
      <c r="J217" s="1">
        <v>640.93624999999997</v>
      </c>
      <c r="K217" s="1">
        <v>409.88249999999999</v>
      </c>
      <c r="L217" s="1">
        <v>287.99250000000001</v>
      </c>
      <c r="M217" s="1">
        <v>105.765</v>
      </c>
      <c r="N217" s="1">
        <v>101.39749999999999</v>
      </c>
      <c r="O217" s="1">
        <v>0</v>
      </c>
      <c r="P217" s="1">
        <v>0</v>
      </c>
      <c r="Q217" s="1">
        <v>0</v>
      </c>
      <c r="R217" s="1">
        <v>0</v>
      </c>
      <c r="S217" s="1">
        <v>40.316249999999997</v>
      </c>
      <c r="T217" s="1">
        <v>258.25125000000003</v>
      </c>
      <c r="U217" s="1">
        <v>607.15125</v>
      </c>
      <c r="V217" s="1">
        <v>858.05624999999998</v>
      </c>
      <c r="W217" s="1">
        <v>898.06375000000003</v>
      </c>
      <c r="X217" s="1">
        <v>894.5625</v>
      </c>
      <c r="Y217" s="1">
        <v>881.21</v>
      </c>
      <c r="Z217" s="1">
        <v>841.66875000000005</v>
      </c>
      <c r="AA217" s="1">
        <v>797.22249999999997</v>
      </c>
      <c r="AB217" s="26">
        <v>4</v>
      </c>
      <c r="AC217" s="8">
        <f t="shared" si="14"/>
        <v>48594.28</v>
      </c>
      <c r="AM217"/>
    </row>
    <row r="218" spans="1:39" x14ac:dyDescent="0.25">
      <c r="A218" s="3">
        <f t="shared" si="12"/>
        <v>2032</v>
      </c>
      <c r="B218" s="5" t="str">
        <f>PROPER(TEXT(DATEVALUE("1/"&amp;MOD(ROUNDDOWN((ROW()-6+7*3)/3,0),12)+1&amp;"/"&amp;Tabla1[[#This Row],[Año]]),"mmm"))</f>
        <v>Jun</v>
      </c>
      <c r="C218" s="7" t="str">
        <f t="shared" si="13"/>
        <v>Domingo y Festivo</v>
      </c>
      <c r="D218" s="1">
        <v>767.40749999999991</v>
      </c>
      <c r="E218" s="1">
        <v>745.98</v>
      </c>
      <c r="F218" s="1">
        <v>728.80916666666656</v>
      </c>
      <c r="G218" s="1">
        <v>709.74749999999995</v>
      </c>
      <c r="H218" s="1">
        <v>701.0866666666667</v>
      </c>
      <c r="I218" s="1">
        <v>679.61749999999995</v>
      </c>
      <c r="J218" s="1">
        <v>568.16166666666663</v>
      </c>
      <c r="K218" s="1">
        <v>161.14000000000001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5.3475000000000001</v>
      </c>
      <c r="T218" s="1">
        <v>162.04416666666665</v>
      </c>
      <c r="U218" s="1">
        <v>516.50249999999994</v>
      </c>
      <c r="V218" s="1">
        <v>769.26166666666666</v>
      </c>
      <c r="W218" s="1">
        <v>839.73333333333323</v>
      </c>
      <c r="X218" s="1">
        <v>863.92333333333329</v>
      </c>
      <c r="Y218" s="1">
        <v>861.94500000000005</v>
      </c>
      <c r="Z218" s="1">
        <v>812.42500000000007</v>
      </c>
      <c r="AA218" s="1">
        <v>758.22833333333335</v>
      </c>
      <c r="AB218" s="26">
        <v>4</v>
      </c>
      <c r="AC218" s="8">
        <f t="shared" si="14"/>
        <v>42605.443333333322</v>
      </c>
      <c r="AM218"/>
    </row>
    <row r="219" spans="1:39" x14ac:dyDescent="0.25">
      <c r="A219" s="3">
        <f t="shared" si="12"/>
        <v>2032</v>
      </c>
      <c r="B219" s="5" t="str">
        <f>PROPER(TEXT(DATEVALUE("1/"&amp;MOD(ROUNDDOWN((ROW()-6+7*3)/3,0),12)+1&amp;"/"&amp;Tabla1[[#This Row],[Año]]),"mmm"))</f>
        <v>Jul</v>
      </c>
      <c r="C219" s="7" t="str">
        <f t="shared" si="13"/>
        <v>Hábil</v>
      </c>
      <c r="D219" s="1">
        <v>777.23380952380955</v>
      </c>
      <c r="E219" s="1">
        <v>747.8097619047619</v>
      </c>
      <c r="F219" s="1">
        <v>722.91357142857146</v>
      </c>
      <c r="G219" s="1">
        <v>698.02428571428572</v>
      </c>
      <c r="H219" s="1">
        <v>691.64547619047619</v>
      </c>
      <c r="I219" s="1">
        <v>710.39976190476193</v>
      </c>
      <c r="J219" s="1">
        <v>735.91809523809525</v>
      </c>
      <c r="K219" s="1">
        <v>722.64095238095229</v>
      </c>
      <c r="L219" s="1">
        <v>637.61285714285714</v>
      </c>
      <c r="M219" s="1">
        <v>406.39833333333331</v>
      </c>
      <c r="N219" s="1">
        <v>277.80166666666668</v>
      </c>
      <c r="O219" s="1">
        <v>285.09047619047618</v>
      </c>
      <c r="P219" s="1">
        <v>123.77285714285715</v>
      </c>
      <c r="Q219" s="1">
        <v>92.608333333333334</v>
      </c>
      <c r="R219" s="1">
        <v>299.13642857142855</v>
      </c>
      <c r="S219" s="1">
        <v>455.46952380952382</v>
      </c>
      <c r="T219" s="1">
        <v>747.55857142857144</v>
      </c>
      <c r="U219" s="1">
        <v>1079.5923809523808</v>
      </c>
      <c r="V219" s="1">
        <v>1066.6104761904762</v>
      </c>
      <c r="W219" s="1">
        <v>976.52190476190469</v>
      </c>
      <c r="X219" s="1">
        <v>970.79452380952387</v>
      </c>
      <c r="Y219" s="1">
        <v>956.94904761904763</v>
      </c>
      <c r="Z219" s="1">
        <v>895.17119047619053</v>
      </c>
      <c r="AA219" s="1">
        <v>830.36285714285714</v>
      </c>
      <c r="AB219" s="26">
        <v>22</v>
      </c>
      <c r="AC219" s="8">
        <f t="shared" si="14"/>
        <v>349976.81714285718</v>
      </c>
      <c r="AM219"/>
    </row>
    <row r="220" spans="1:39" x14ac:dyDescent="0.25">
      <c r="A220" s="3">
        <f t="shared" si="12"/>
        <v>2032</v>
      </c>
      <c r="B220" s="5" t="str">
        <f>PROPER(TEXT(DATEVALUE("1/"&amp;MOD(ROUNDDOWN((ROW()-6+7*3)/3,0),12)+1&amp;"/"&amp;Tabla1[[#This Row],[Año]]),"mmm"))</f>
        <v>Jul</v>
      </c>
      <c r="C220" s="7" t="str">
        <f t="shared" si="13"/>
        <v>Sábado</v>
      </c>
      <c r="D220" s="1">
        <v>813.79875000000004</v>
      </c>
      <c r="E220" s="1">
        <v>785.57749999999999</v>
      </c>
      <c r="F220" s="1">
        <v>753.28625</v>
      </c>
      <c r="G220" s="1">
        <v>734.60500000000002</v>
      </c>
      <c r="H220" s="1">
        <v>726.27</v>
      </c>
      <c r="I220" s="1">
        <v>712.55624999999998</v>
      </c>
      <c r="J220" s="1">
        <v>640.93624999999997</v>
      </c>
      <c r="K220" s="1">
        <v>409.88249999999999</v>
      </c>
      <c r="L220" s="1">
        <v>287.99250000000001</v>
      </c>
      <c r="M220" s="1">
        <v>105.765</v>
      </c>
      <c r="N220" s="1">
        <v>101.39749999999999</v>
      </c>
      <c r="O220" s="1">
        <v>0</v>
      </c>
      <c r="P220" s="1">
        <v>0</v>
      </c>
      <c r="Q220" s="1">
        <v>0</v>
      </c>
      <c r="R220" s="1">
        <v>0</v>
      </c>
      <c r="S220" s="1">
        <v>40.316249999999997</v>
      </c>
      <c r="T220" s="1">
        <v>258.25125000000003</v>
      </c>
      <c r="U220" s="1">
        <v>607.15125</v>
      </c>
      <c r="V220" s="1">
        <v>858.05624999999998</v>
      </c>
      <c r="W220" s="1">
        <v>898.06375000000003</v>
      </c>
      <c r="X220" s="1">
        <v>894.5625</v>
      </c>
      <c r="Y220" s="1">
        <v>881.21</v>
      </c>
      <c r="Z220" s="1">
        <v>841.66875000000005</v>
      </c>
      <c r="AA220" s="1">
        <v>797.22249999999997</v>
      </c>
      <c r="AB220" s="26">
        <v>5</v>
      </c>
      <c r="AC220" s="8">
        <f t="shared" si="14"/>
        <v>60742.85</v>
      </c>
      <c r="AM220"/>
    </row>
    <row r="221" spans="1:39" x14ac:dyDescent="0.25">
      <c r="A221" s="3">
        <f t="shared" si="12"/>
        <v>2032</v>
      </c>
      <c r="B221" s="5" t="str">
        <f>PROPER(TEXT(DATEVALUE("1/"&amp;MOD(ROUNDDOWN((ROW()-6+7*3)/3,0),12)+1&amp;"/"&amp;Tabla1[[#This Row],[Año]]),"mmm"))</f>
        <v>Jul</v>
      </c>
      <c r="C221" s="7" t="str">
        <f t="shared" si="13"/>
        <v>Domingo y Festivo</v>
      </c>
      <c r="D221" s="1">
        <v>767.40749999999991</v>
      </c>
      <c r="E221" s="1">
        <v>745.98</v>
      </c>
      <c r="F221" s="1">
        <v>728.80916666666656</v>
      </c>
      <c r="G221" s="1">
        <v>709.74749999999995</v>
      </c>
      <c r="H221" s="1">
        <v>701.0866666666667</v>
      </c>
      <c r="I221" s="1">
        <v>679.61749999999995</v>
      </c>
      <c r="J221" s="1">
        <v>568.16166666666663</v>
      </c>
      <c r="K221" s="1">
        <v>161.14000000000001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5.3475000000000001</v>
      </c>
      <c r="T221" s="1">
        <v>162.04416666666665</v>
      </c>
      <c r="U221" s="1">
        <v>516.50249999999994</v>
      </c>
      <c r="V221" s="1">
        <v>769.26166666666666</v>
      </c>
      <c r="W221" s="1">
        <v>839.73333333333323</v>
      </c>
      <c r="X221" s="1">
        <v>863.92333333333329</v>
      </c>
      <c r="Y221" s="1">
        <v>861.94500000000005</v>
      </c>
      <c r="Z221" s="1">
        <v>812.42500000000007</v>
      </c>
      <c r="AA221" s="1">
        <v>758.22833333333335</v>
      </c>
      <c r="AB221" s="26">
        <v>4</v>
      </c>
      <c r="AC221" s="8">
        <f t="shared" si="14"/>
        <v>42605.443333333322</v>
      </c>
      <c r="AM221"/>
    </row>
    <row r="222" spans="1:39" x14ac:dyDescent="0.25">
      <c r="A222" s="3">
        <f t="shared" si="12"/>
        <v>2032</v>
      </c>
      <c r="B222" s="5" t="str">
        <f>PROPER(TEXT(DATEVALUE("1/"&amp;MOD(ROUNDDOWN((ROW()-6+7*3)/3,0),12)+1&amp;"/"&amp;Tabla1[[#This Row],[Año]]),"mmm"))</f>
        <v>Ago</v>
      </c>
      <c r="C222" s="7" t="str">
        <f t="shared" si="13"/>
        <v>Hábil</v>
      </c>
      <c r="D222" s="1">
        <v>777.23380952380955</v>
      </c>
      <c r="E222" s="1">
        <v>747.8097619047619</v>
      </c>
      <c r="F222" s="1">
        <v>722.91357142857146</v>
      </c>
      <c r="G222" s="1">
        <v>698.02428571428572</v>
      </c>
      <c r="H222" s="1">
        <v>691.64547619047619</v>
      </c>
      <c r="I222" s="1">
        <v>710.39976190476193</v>
      </c>
      <c r="J222" s="1">
        <v>735.91809523809525</v>
      </c>
      <c r="K222" s="1">
        <v>722.64095238095229</v>
      </c>
      <c r="L222" s="1">
        <v>637.61285714285714</v>
      </c>
      <c r="M222" s="1">
        <v>406.39833333333331</v>
      </c>
      <c r="N222" s="1">
        <v>277.80166666666668</v>
      </c>
      <c r="O222" s="1">
        <v>285.09047619047618</v>
      </c>
      <c r="P222" s="1">
        <v>123.77285714285715</v>
      </c>
      <c r="Q222" s="1">
        <v>92.608333333333334</v>
      </c>
      <c r="R222" s="1">
        <v>299.13642857142855</v>
      </c>
      <c r="S222" s="1">
        <v>455.46952380952382</v>
      </c>
      <c r="T222" s="1">
        <v>747.55857142857144</v>
      </c>
      <c r="U222" s="1">
        <v>1079.5923809523808</v>
      </c>
      <c r="V222" s="1">
        <v>1066.6104761904762</v>
      </c>
      <c r="W222" s="1">
        <v>976.52190476190469</v>
      </c>
      <c r="X222" s="1">
        <v>970.79452380952387</v>
      </c>
      <c r="Y222" s="1">
        <v>956.94904761904763</v>
      </c>
      <c r="Z222" s="1">
        <v>895.17119047619053</v>
      </c>
      <c r="AA222" s="1">
        <v>830.36285714285714</v>
      </c>
      <c r="AB222" s="26">
        <v>22</v>
      </c>
      <c r="AC222" s="8">
        <f t="shared" si="14"/>
        <v>349976.81714285718</v>
      </c>
      <c r="AM222"/>
    </row>
    <row r="223" spans="1:39" x14ac:dyDescent="0.25">
      <c r="A223" s="3">
        <f t="shared" si="12"/>
        <v>2032</v>
      </c>
      <c r="B223" s="5" t="str">
        <f>PROPER(TEXT(DATEVALUE("1/"&amp;MOD(ROUNDDOWN((ROW()-6+7*3)/3,0),12)+1&amp;"/"&amp;Tabla1[[#This Row],[Año]]),"mmm"))</f>
        <v>Ago</v>
      </c>
      <c r="C223" s="7" t="str">
        <f t="shared" si="13"/>
        <v>Sábado</v>
      </c>
      <c r="D223" s="1">
        <v>813.79875000000004</v>
      </c>
      <c r="E223" s="1">
        <v>785.57749999999999</v>
      </c>
      <c r="F223" s="1">
        <v>753.28625</v>
      </c>
      <c r="G223" s="1">
        <v>734.60500000000002</v>
      </c>
      <c r="H223" s="1">
        <v>726.27</v>
      </c>
      <c r="I223" s="1">
        <v>712.55624999999998</v>
      </c>
      <c r="J223" s="1">
        <v>640.93624999999997</v>
      </c>
      <c r="K223" s="1">
        <v>409.88249999999999</v>
      </c>
      <c r="L223" s="1">
        <v>287.99250000000001</v>
      </c>
      <c r="M223" s="1">
        <v>105.765</v>
      </c>
      <c r="N223" s="1">
        <v>101.39749999999999</v>
      </c>
      <c r="O223" s="1">
        <v>0</v>
      </c>
      <c r="P223" s="1">
        <v>0</v>
      </c>
      <c r="Q223" s="1">
        <v>0</v>
      </c>
      <c r="R223" s="1">
        <v>0</v>
      </c>
      <c r="S223" s="1">
        <v>40.316249999999997</v>
      </c>
      <c r="T223" s="1">
        <v>258.25125000000003</v>
      </c>
      <c r="U223" s="1">
        <v>607.15125</v>
      </c>
      <c r="V223" s="1">
        <v>858.05624999999998</v>
      </c>
      <c r="W223" s="1">
        <v>898.06375000000003</v>
      </c>
      <c r="X223" s="1">
        <v>894.5625</v>
      </c>
      <c r="Y223" s="1">
        <v>881.21</v>
      </c>
      <c r="Z223" s="1">
        <v>841.66875000000005</v>
      </c>
      <c r="AA223" s="1">
        <v>797.22249999999997</v>
      </c>
      <c r="AB223" s="26">
        <v>4</v>
      </c>
      <c r="AC223" s="8">
        <f t="shared" si="14"/>
        <v>48594.28</v>
      </c>
      <c r="AM223"/>
    </row>
    <row r="224" spans="1:39" x14ac:dyDescent="0.25">
      <c r="A224" s="3">
        <f t="shared" si="12"/>
        <v>2032</v>
      </c>
      <c r="B224" s="5" t="str">
        <f>PROPER(TEXT(DATEVALUE("1/"&amp;MOD(ROUNDDOWN((ROW()-6+7*3)/3,0),12)+1&amp;"/"&amp;Tabla1[[#This Row],[Año]]),"mmm"))</f>
        <v>Ago</v>
      </c>
      <c r="C224" s="7" t="str">
        <f t="shared" si="13"/>
        <v>Domingo y Festivo</v>
      </c>
      <c r="D224" s="1">
        <v>767.40749999999991</v>
      </c>
      <c r="E224" s="1">
        <v>745.98</v>
      </c>
      <c r="F224" s="1">
        <v>728.80916666666656</v>
      </c>
      <c r="G224" s="1">
        <v>709.74749999999995</v>
      </c>
      <c r="H224" s="1">
        <v>701.0866666666667</v>
      </c>
      <c r="I224" s="1">
        <v>679.61749999999995</v>
      </c>
      <c r="J224" s="1">
        <v>568.16166666666663</v>
      </c>
      <c r="K224" s="1">
        <v>161.14000000000001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5.3475000000000001</v>
      </c>
      <c r="T224" s="1">
        <v>162.04416666666665</v>
      </c>
      <c r="U224" s="1">
        <v>516.50249999999994</v>
      </c>
      <c r="V224" s="1">
        <v>769.26166666666666</v>
      </c>
      <c r="W224" s="1">
        <v>839.73333333333323</v>
      </c>
      <c r="X224" s="1">
        <v>863.92333333333329</v>
      </c>
      <c r="Y224" s="1">
        <v>861.94500000000005</v>
      </c>
      <c r="Z224" s="1">
        <v>812.42500000000007</v>
      </c>
      <c r="AA224" s="1">
        <v>758.22833333333335</v>
      </c>
      <c r="AB224" s="26">
        <v>5</v>
      </c>
      <c r="AC224" s="8">
        <f t="shared" si="14"/>
        <v>53256.804166666654</v>
      </c>
      <c r="AM224"/>
    </row>
    <row r="225" spans="1:39" x14ac:dyDescent="0.25">
      <c r="A225" s="3">
        <f t="shared" si="12"/>
        <v>2032</v>
      </c>
      <c r="B225" s="5" t="str">
        <f>PROPER(TEXT(DATEVALUE("1/"&amp;MOD(ROUNDDOWN((ROW()-6+7*3)/3,0),12)+1&amp;"/"&amp;Tabla1[[#This Row],[Año]]),"mmm"))</f>
        <v>Sep</v>
      </c>
      <c r="C225" s="7" t="str">
        <f t="shared" si="13"/>
        <v>Hábil</v>
      </c>
      <c r="D225" s="1">
        <v>777.23380952380955</v>
      </c>
      <c r="E225" s="1">
        <v>747.8097619047619</v>
      </c>
      <c r="F225" s="1">
        <v>722.91357142857146</v>
      </c>
      <c r="G225" s="1">
        <v>698.02428571428572</v>
      </c>
      <c r="H225" s="1">
        <v>691.64547619047619</v>
      </c>
      <c r="I225" s="1">
        <v>710.39976190476193</v>
      </c>
      <c r="J225" s="1">
        <v>735.91809523809525</v>
      </c>
      <c r="K225" s="1">
        <v>722.64095238095229</v>
      </c>
      <c r="L225" s="1">
        <v>637.61285714285714</v>
      </c>
      <c r="M225" s="1">
        <v>406.39833333333331</v>
      </c>
      <c r="N225" s="1">
        <v>277.80166666666668</v>
      </c>
      <c r="O225" s="1">
        <v>285.09047619047618</v>
      </c>
      <c r="P225" s="1">
        <v>123.77285714285715</v>
      </c>
      <c r="Q225" s="1">
        <v>92.608333333333334</v>
      </c>
      <c r="R225" s="1">
        <v>299.13642857142855</v>
      </c>
      <c r="S225" s="1">
        <v>455.46952380952382</v>
      </c>
      <c r="T225" s="1">
        <v>747.55857142857144</v>
      </c>
      <c r="U225" s="1">
        <v>1079.5923809523808</v>
      </c>
      <c r="V225" s="1">
        <v>1066.6104761904762</v>
      </c>
      <c r="W225" s="1">
        <v>976.52190476190469</v>
      </c>
      <c r="X225" s="1">
        <v>970.79452380952387</v>
      </c>
      <c r="Y225" s="1">
        <v>956.94904761904763</v>
      </c>
      <c r="Z225" s="1">
        <v>895.17119047619053</v>
      </c>
      <c r="AA225" s="1">
        <v>830.36285714285714</v>
      </c>
      <c r="AB225" s="26">
        <v>22</v>
      </c>
      <c r="AC225" s="8">
        <f t="shared" si="14"/>
        <v>349976.81714285718</v>
      </c>
      <c r="AM225"/>
    </row>
    <row r="226" spans="1:39" x14ac:dyDescent="0.25">
      <c r="A226" s="3">
        <f t="shared" si="12"/>
        <v>2032</v>
      </c>
      <c r="B226" s="5" t="str">
        <f>PROPER(TEXT(DATEVALUE("1/"&amp;MOD(ROUNDDOWN((ROW()-6+7*3)/3,0),12)+1&amp;"/"&amp;Tabla1[[#This Row],[Año]]),"mmm"))</f>
        <v>Sep</v>
      </c>
      <c r="C226" s="7" t="str">
        <f t="shared" si="13"/>
        <v>Sábado</v>
      </c>
      <c r="D226" s="1">
        <v>813.79875000000004</v>
      </c>
      <c r="E226" s="1">
        <v>785.57749999999999</v>
      </c>
      <c r="F226" s="1">
        <v>753.28625</v>
      </c>
      <c r="G226" s="1">
        <v>734.60500000000002</v>
      </c>
      <c r="H226" s="1">
        <v>726.27</v>
      </c>
      <c r="I226" s="1">
        <v>712.55624999999998</v>
      </c>
      <c r="J226" s="1">
        <v>640.93624999999997</v>
      </c>
      <c r="K226" s="1">
        <v>409.88249999999999</v>
      </c>
      <c r="L226" s="1">
        <v>287.99250000000001</v>
      </c>
      <c r="M226" s="1">
        <v>105.765</v>
      </c>
      <c r="N226" s="1">
        <v>101.39749999999999</v>
      </c>
      <c r="O226" s="1">
        <v>0</v>
      </c>
      <c r="P226" s="1">
        <v>0</v>
      </c>
      <c r="Q226" s="1">
        <v>0</v>
      </c>
      <c r="R226" s="1">
        <v>0</v>
      </c>
      <c r="S226" s="1">
        <v>40.316249999999997</v>
      </c>
      <c r="T226" s="1">
        <v>258.25125000000003</v>
      </c>
      <c r="U226" s="1">
        <v>607.15125</v>
      </c>
      <c r="V226" s="1">
        <v>858.05624999999998</v>
      </c>
      <c r="W226" s="1">
        <v>898.06375000000003</v>
      </c>
      <c r="X226" s="1">
        <v>894.5625</v>
      </c>
      <c r="Y226" s="1">
        <v>881.21</v>
      </c>
      <c r="Z226" s="1">
        <v>841.66875000000005</v>
      </c>
      <c r="AA226" s="1">
        <v>797.22249999999997</v>
      </c>
      <c r="AB226" s="26">
        <v>4</v>
      </c>
      <c r="AC226" s="8">
        <f t="shared" si="14"/>
        <v>48594.28</v>
      </c>
      <c r="AM226"/>
    </row>
    <row r="227" spans="1:39" x14ac:dyDescent="0.25">
      <c r="A227" s="3">
        <f t="shared" si="12"/>
        <v>2032</v>
      </c>
      <c r="B227" s="5" t="str">
        <f>PROPER(TEXT(DATEVALUE("1/"&amp;MOD(ROUNDDOWN((ROW()-6+7*3)/3,0),12)+1&amp;"/"&amp;Tabla1[[#This Row],[Año]]),"mmm"))</f>
        <v>Sep</v>
      </c>
      <c r="C227" s="7" t="str">
        <f t="shared" si="13"/>
        <v>Domingo y Festivo</v>
      </c>
      <c r="D227" s="1">
        <v>767.40749999999991</v>
      </c>
      <c r="E227" s="1">
        <v>745.98</v>
      </c>
      <c r="F227" s="1">
        <v>728.80916666666656</v>
      </c>
      <c r="G227" s="1">
        <v>709.74749999999995</v>
      </c>
      <c r="H227" s="1">
        <v>701.0866666666667</v>
      </c>
      <c r="I227" s="1">
        <v>679.61749999999995</v>
      </c>
      <c r="J227" s="1">
        <v>568.16166666666663</v>
      </c>
      <c r="K227" s="1">
        <v>161.14000000000001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5.3475000000000001</v>
      </c>
      <c r="T227" s="1">
        <v>162.04416666666665</v>
      </c>
      <c r="U227" s="1">
        <v>516.50249999999994</v>
      </c>
      <c r="V227" s="1">
        <v>769.26166666666666</v>
      </c>
      <c r="W227" s="1">
        <v>839.73333333333323</v>
      </c>
      <c r="X227" s="1">
        <v>863.92333333333329</v>
      </c>
      <c r="Y227" s="1">
        <v>861.94500000000005</v>
      </c>
      <c r="Z227" s="1">
        <v>812.42500000000007</v>
      </c>
      <c r="AA227" s="1">
        <v>758.22833333333335</v>
      </c>
      <c r="AB227" s="26">
        <v>4</v>
      </c>
      <c r="AC227" s="8">
        <f t="shared" si="14"/>
        <v>42605.443333333322</v>
      </c>
      <c r="AM227"/>
    </row>
    <row r="228" spans="1:39" x14ac:dyDescent="0.25">
      <c r="A228" s="3">
        <f t="shared" si="12"/>
        <v>2032</v>
      </c>
      <c r="B228" s="5" t="str">
        <f>PROPER(TEXT(DATEVALUE("1/"&amp;MOD(ROUNDDOWN((ROW()-6+7*3)/3,0),12)+1&amp;"/"&amp;Tabla1[[#This Row],[Año]]),"mmm"))</f>
        <v>Oct</v>
      </c>
      <c r="C228" s="7" t="str">
        <f t="shared" si="13"/>
        <v>Hábil</v>
      </c>
      <c r="D228" s="1">
        <v>777.23380952380955</v>
      </c>
      <c r="E228" s="1">
        <v>747.8097619047619</v>
      </c>
      <c r="F228" s="1">
        <v>722.91357142857146</v>
      </c>
      <c r="G228" s="1">
        <v>698.02428571428572</v>
      </c>
      <c r="H228" s="1">
        <v>691.64547619047619</v>
      </c>
      <c r="I228" s="1">
        <v>710.39976190476193</v>
      </c>
      <c r="J228" s="1">
        <v>735.91809523809525</v>
      </c>
      <c r="K228" s="1">
        <v>722.64095238095229</v>
      </c>
      <c r="L228" s="1">
        <v>637.61285714285714</v>
      </c>
      <c r="M228" s="1">
        <v>406.39833333333331</v>
      </c>
      <c r="N228" s="1">
        <v>277.80166666666668</v>
      </c>
      <c r="O228" s="1">
        <v>285.09047619047618</v>
      </c>
      <c r="P228" s="1">
        <v>123.77285714285715</v>
      </c>
      <c r="Q228" s="1">
        <v>92.608333333333334</v>
      </c>
      <c r="R228" s="1">
        <v>299.13642857142855</v>
      </c>
      <c r="S228" s="1">
        <v>455.46952380952382</v>
      </c>
      <c r="T228" s="1">
        <v>747.55857142857144</v>
      </c>
      <c r="U228" s="1">
        <v>1079.5923809523808</v>
      </c>
      <c r="V228" s="1">
        <v>1066.6104761904762</v>
      </c>
      <c r="W228" s="1">
        <v>976.52190476190469</v>
      </c>
      <c r="X228" s="1">
        <v>970.79452380952387</v>
      </c>
      <c r="Y228" s="1">
        <v>956.94904761904763</v>
      </c>
      <c r="Z228" s="1">
        <v>895.17119047619053</v>
      </c>
      <c r="AA228" s="1">
        <v>830.36285714285714</v>
      </c>
      <c r="AB228" s="26">
        <v>21</v>
      </c>
      <c r="AC228" s="8">
        <f t="shared" si="14"/>
        <v>334068.78000000003</v>
      </c>
      <c r="AM228"/>
    </row>
    <row r="229" spans="1:39" x14ac:dyDescent="0.25">
      <c r="A229" s="3">
        <f t="shared" si="12"/>
        <v>2032</v>
      </c>
      <c r="B229" s="5" t="str">
        <f>PROPER(TEXT(DATEVALUE("1/"&amp;MOD(ROUNDDOWN((ROW()-6+7*3)/3,0),12)+1&amp;"/"&amp;Tabla1[[#This Row],[Año]]),"mmm"))</f>
        <v>Oct</v>
      </c>
      <c r="C229" s="7" t="str">
        <f t="shared" si="13"/>
        <v>Sábado</v>
      </c>
      <c r="D229" s="1">
        <v>813.79875000000004</v>
      </c>
      <c r="E229" s="1">
        <v>785.57749999999999</v>
      </c>
      <c r="F229" s="1">
        <v>753.28625</v>
      </c>
      <c r="G229" s="1">
        <v>734.60500000000002</v>
      </c>
      <c r="H229" s="1">
        <v>726.27</v>
      </c>
      <c r="I229" s="1">
        <v>712.55624999999998</v>
      </c>
      <c r="J229" s="1">
        <v>640.93624999999997</v>
      </c>
      <c r="K229" s="1">
        <v>409.88249999999999</v>
      </c>
      <c r="L229" s="1">
        <v>287.99250000000001</v>
      </c>
      <c r="M229" s="1">
        <v>105.765</v>
      </c>
      <c r="N229" s="1">
        <v>101.39749999999999</v>
      </c>
      <c r="O229" s="1">
        <v>0</v>
      </c>
      <c r="P229" s="1">
        <v>0</v>
      </c>
      <c r="Q229" s="1">
        <v>0</v>
      </c>
      <c r="R229" s="1">
        <v>0</v>
      </c>
      <c r="S229" s="1">
        <v>40.316249999999997</v>
      </c>
      <c r="T229" s="1">
        <v>258.25125000000003</v>
      </c>
      <c r="U229" s="1">
        <v>607.15125</v>
      </c>
      <c r="V229" s="1">
        <v>858.05624999999998</v>
      </c>
      <c r="W229" s="1">
        <v>898.06375000000003</v>
      </c>
      <c r="X229" s="1">
        <v>894.5625</v>
      </c>
      <c r="Y229" s="1">
        <v>881.21</v>
      </c>
      <c r="Z229" s="1">
        <v>841.66875000000005</v>
      </c>
      <c r="AA229" s="1">
        <v>797.22249999999997</v>
      </c>
      <c r="AB229" s="26">
        <v>5</v>
      </c>
      <c r="AC229" s="8">
        <f t="shared" si="14"/>
        <v>60742.85</v>
      </c>
      <c r="AM229"/>
    </row>
    <row r="230" spans="1:39" x14ac:dyDescent="0.25">
      <c r="A230" s="3">
        <f t="shared" si="12"/>
        <v>2032</v>
      </c>
      <c r="B230" s="5" t="str">
        <f>PROPER(TEXT(DATEVALUE("1/"&amp;MOD(ROUNDDOWN((ROW()-6+7*3)/3,0),12)+1&amp;"/"&amp;Tabla1[[#This Row],[Año]]),"mmm"))</f>
        <v>Oct</v>
      </c>
      <c r="C230" s="7" t="str">
        <f t="shared" si="13"/>
        <v>Domingo y Festivo</v>
      </c>
      <c r="D230" s="1">
        <v>767.40749999999991</v>
      </c>
      <c r="E230" s="1">
        <v>745.98</v>
      </c>
      <c r="F230" s="1">
        <v>728.80916666666656</v>
      </c>
      <c r="G230" s="1">
        <v>709.74749999999995</v>
      </c>
      <c r="H230" s="1">
        <v>701.0866666666667</v>
      </c>
      <c r="I230" s="1">
        <v>679.61749999999995</v>
      </c>
      <c r="J230" s="1">
        <v>568.16166666666663</v>
      </c>
      <c r="K230" s="1">
        <v>161.14000000000001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5.3475000000000001</v>
      </c>
      <c r="T230" s="1">
        <v>162.04416666666665</v>
      </c>
      <c r="U230" s="1">
        <v>516.50249999999994</v>
      </c>
      <c r="V230" s="1">
        <v>769.26166666666666</v>
      </c>
      <c r="W230" s="1">
        <v>839.73333333333323</v>
      </c>
      <c r="X230" s="1">
        <v>863.92333333333329</v>
      </c>
      <c r="Y230" s="1">
        <v>861.94500000000005</v>
      </c>
      <c r="Z230" s="1">
        <v>812.42500000000007</v>
      </c>
      <c r="AA230" s="1">
        <v>758.22833333333335</v>
      </c>
      <c r="AB230" s="26">
        <v>5</v>
      </c>
      <c r="AC230" s="8">
        <f t="shared" si="14"/>
        <v>53256.804166666654</v>
      </c>
      <c r="AM230"/>
    </row>
    <row r="231" spans="1:39" x14ac:dyDescent="0.25">
      <c r="A231" s="3">
        <f t="shared" si="12"/>
        <v>2032</v>
      </c>
      <c r="B231" s="5" t="str">
        <f>PROPER(TEXT(DATEVALUE("1/"&amp;MOD(ROUNDDOWN((ROW()-6+7*3)/3,0),12)+1&amp;"/"&amp;Tabla1[[#This Row],[Año]]),"mmm"))</f>
        <v>Nov</v>
      </c>
      <c r="C231" s="7" t="str">
        <f t="shared" si="13"/>
        <v>Hábil</v>
      </c>
      <c r="D231" s="1">
        <v>777.23380952380955</v>
      </c>
      <c r="E231" s="1">
        <v>747.8097619047619</v>
      </c>
      <c r="F231" s="1">
        <v>722.91357142857146</v>
      </c>
      <c r="G231" s="1">
        <v>698.02428571428572</v>
      </c>
      <c r="H231" s="1">
        <v>691.64547619047619</v>
      </c>
      <c r="I231" s="1">
        <v>710.39976190476193</v>
      </c>
      <c r="J231" s="1">
        <v>735.91809523809525</v>
      </c>
      <c r="K231" s="1">
        <v>722.64095238095229</v>
      </c>
      <c r="L231" s="1">
        <v>637.61285714285714</v>
      </c>
      <c r="M231" s="1">
        <v>406.39833333333331</v>
      </c>
      <c r="N231" s="1">
        <v>277.80166666666668</v>
      </c>
      <c r="O231" s="1">
        <v>285.09047619047618</v>
      </c>
      <c r="P231" s="1">
        <v>123.77285714285715</v>
      </c>
      <c r="Q231" s="1">
        <v>92.608333333333334</v>
      </c>
      <c r="R231" s="1">
        <v>299.13642857142855</v>
      </c>
      <c r="S231" s="1">
        <v>455.46952380952382</v>
      </c>
      <c r="T231" s="1">
        <v>747.55857142857144</v>
      </c>
      <c r="U231" s="1">
        <v>1079.5923809523808</v>
      </c>
      <c r="V231" s="1">
        <v>1066.6104761904762</v>
      </c>
      <c r="W231" s="1">
        <v>976.52190476190469</v>
      </c>
      <c r="X231" s="1">
        <v>970.79452380952387</v>
      </c>
      <c r="Y231" s="1">
        <v>956.94904761904763</v>
      </c>
      <c r="Z231" s="1">
        <v>895.17119047619053</v>
      </c>
      <c r="AA231" s="1">
        <v>830.36285714285714</v>
      </c>
      <c r="AB231" s="26">
        <v>22</v>
      </c>
      <c r="AC231" s="8">
        <f t="shared" si="14"/>
        <v>349976.81714285718</v>
      </c>
      <c r="AM231"/>
    </row>
    <row r="232" spans="1:39" x14ac:dyDescent="0.25">
      <c r="A232" s="3">
        <f t="shared" si="12"/>
        <v>2032</v>
      </c>
      <c r="B232" s="5" t="str">
        <f>PROPER(TEXT(DATEVALUE("1/"&amp;MOD(ROUNDDOWN((ROW()-6+7*3)/3,0),12)+1&amp;"/"&amp;Tabla1[[#This Row],[Año]]),"mmm"))</f>
        <v>Nov</v>
      </c>
      <c r="C232" s="7" t="str">
        <f t="shared" si="13"/>
        <v>Sábado</v>
      </c>
      <c r="D232" s="1">
        <v>813.79875000000004</v>
      </c>
      <c r="E232" s="1">
        <v>785.57749999999999</v>
      </c>
      <c r="F232" s="1">
        <v>753.28625</v>
      </c>
      <c r="G232" s="1">
        <v>734.60500000000002</v>
      </c>
      <c r="H232" s="1">
        <v>726.27</v>
      </c>
      <c r="I232" s="1">
        <v>712.55624999999998</v>
      </c>
      <c r="J232" s="1">
        <v>640.93624999999997</v>
      </c>
      <c r="K232" s="1">
        <v>409.88249999999999</v>
      </c>
      <c r="L232" s="1">
        <v>287.99250000000001</v>
      </c>
      <c r="M232" s="1">
        <v>105.765</v>
      </c>
      <c r="N232" s="1">
        <v>101.39749999999999</v>
      </c>
      <c r="O232" s="1">
        <v>0</v>
      </c>
      <c r="P232" s="1">
        <v>0</v>
      </c>
      <c r="Q232" s="1">
        <v>0</v>
      </c>
      <c r="R232" s="1">
        <v>0</v>
      </c>
      <c r="S232" s="1">
        <v>40.316249999999997</v>
      </c>
      <c r="T232" s="1">
        <v>258.25125000000003</v>
      </c>
      <c r="U232" s="1">
        <v>607.15125</v>
      </c>
      <c r="V232" s="1">
        <v>858.05624999999998</v>
      </c>
      <c r="W232" s="1">
        <v>898.06375000000003</v>
      </c>
      <c r="X232" s="1">
        <v>894.5625</v>
      </c>
      <c r="Y232" s="1">
        <v>881.21</v>
      </c>
      <c r="Z232" s="1">
        <v>841.66875000000005</v>
      </c>
      <c r="AA232" s="1">
        <v>797.22249999999997</v>
      </c>
      <c r="AB232" s="26">
        <v>4</v>
      </c>
      <c r="AC232" s="8">
        <f t="shared" si="14"/>
        <v>48594.28</v>
      </c>
      <c r="AM232"/>
    </row>
    <row r="233" spans="1:39" x14ac:dyDescent="0.25">
      <c r="A233" s="3">
        <f t="shared" si="12"/>
        <v>2032</v>
      </c>
      <c r="B233" s="5" t="str">
        <f>PROPER(TEXT(DATEVALUE("1/"&amp;MOD(ROUNDDOWN((ROW()-6+7*3)/3,0),12)+1&amp;"/"&amp;Tabla1[[#This Row],[Año]]),"mmm"))</f>
        <v>Nov</v>
      </c>
      <c r="C233" s="7" t="str">
        <f t="shared" si="13"/>
        <v>Domingo y Festivo</v>
      </c>
      <c r="D233" s="1">
        <v>767.40749999999991</v>
      </c>
      <c r="E233" s="1">
        <v>745.98</v>
      </c>
      <c r="F233" s="1">
        <v>728.80916666666656</v>
      </c>
      <c r="G233" s="1">
        <v>709.74749999999995</v>
      </c>
      <c r="H233" s="1">
        <v>701.0866666666667</v>
      </c>
      <c r="I233" s="1">
        <v>679.61749999999995</v>
      </c>
      <c r="J233" s="1">
        <v>568.16166666666663</v>
      </c>
      <c r="K233" s="1">
        <v>161.14000000000001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5.3475000000000001</v>
      </c>
      <c r="T233" s="1">
        <v>162.04416666666665</v>
      </c>
      <c r="U233" s="1">
        <v>516.50249999999994</v>
      </c>
      <c r="V233" s="1">
        <v>769.26166666666666</v>
      </c>
      <c r="W233" s="1">
        <v>839.73333333333323</v>
      </c>
      <c r="X233" s="1">
        <v>863.92333333333329</v>
      </c>
      <c r="Y233" s="1">
        <v>861.94500000000005</v>
      </c>
      <c r="Z233" s="1">
        <v>812.42500000000007</v>
      </c>
      <c r="AA233" s="1">
        <v>758.22833333333335</v>
      </c>
      <c r="AB233" s="26">
        <v>4</v>
      </c>
      <c r="AC233" s="8">
        <f t="shared" si="14"/>
        <v>42605.443333333322</v>
      </c>
      <c r="AM233"/>
    </row>
    <row r="234" spans="1:39" x14ac:dyDescent="0.25">
      <c r="A234" s="3">
        <f t="shared" si="12"/>
        <v>2032</v>
      </c>
      <c r="B234" s="5" t="str">
        <f>PROPER(TEXT(DATEVALUE("1/"&amp;MOD(ROUNDDOWN((ROW()-6+7*3)/3,0),12)+1&amp;"/"&amp;Tabla1[[#This Row],[Año]]),"mmm"))</f>
        <v>Dic</v>
      </c>
      <c r="C234" s="7" t="str">
        <f t="shared" si="13"/>
        <v>Hábil</v>
      </c>
      <c r="D234" s="1">
        <v>777.23380952380955</v>
      </c>
      <c r="E234" s="1">
        <v>747.8097619047619</v>
      </c>
      <c r="F234" s="1">
        <v>722.91357142857146</v>
      </c>
      <c r="G234" s="1">
        <v>698.02428571428572</v>
      </c>
      <c r="H234" s="1">
        <v>691.64547619047619</v>
      </c>
      <c r="I234" s="1">
        <v>710.39976190476193</v>
      </c>
      <c r="J234" s="1">
        <v>735.91809523809525</v>
      </c>
      <c r="K234" s="1">
        <v>722.64095238095229</v>
      </c>
      <c r="L234" s="1">
        <v>637.61285714285714</v>
      </c>
      <c r="M234" s="1">
        <v>406.39833333333331</v>
      </c>
      <c r="N234" s="1">
        <v>277.80166666666668</v>
      </c>
      <c r="O234" s="1">
        <v>285.09047619047618</v>
      </c>
      <c r="P234" s="1">
        <v>123.77285714285715</v>
      </c>
      <c r="Q234" s="1">
        <v>92.608333333333334</v>
      </c>
      <c r="R234" s="1">
        <v>299.13642857142855</v>
      </c>
      <c r="S234" s="1">
        <v>455.46952380952382</v>
      </c>
      <c r="T234" s="1">
        <v>747.55857142857144</v>
      </c>
      <c r="U234" s="1">
        <v>1079.5923809523808</v>
      </c>
      <c r="V234" s="1">
        <v>1066.6104761904762</v>
      </c>
      <c r="W234" s="1">
        <v>976.52190476190469</v>
      </c>
      <c r="X234" s="1">
        <v>970.79452380952387</v>
      </c>
      <c r="Y234" s="1">
        <v>956.94904761904763</v>
      </c>
      <c r="Z234" s="1">
        <v>895.17119047619053</v>
      </c>
      <c r="AA234" s="1">
        <v>830.36285714285714</v>
      </c>
      <c r="AB234" s="26">
        <v>23</v>
      </c>
      <c r="AC234" s="8">
        <f t="shared" si="14"/>
        <v>365884.85428571433</v>
      </c>
      <c r="AM234"/>
    </row>
    <row r="235" spans="1:39" x14ac:dyDescent="0.25">
      <c r="A235" s="3">
        <f t="shared" si="12"/>
        <v>2032</v>
      </c>
      <c r="B235" s="5" t="str">
        <f>PROPER(TEXT(DATEVALUE("1/"&amp;MOD(ROUNDDOWN((ROW()-6+7*3)/3,0),12)+1&amp;"/"&amp;Tabla1[[#This Row],[Año]]),"mmm"))</f>
        <v>Dic</v>
      </c>
      <c r="C235" s="7" t="str">
        <f t="shared" si="13"/>
        <v>Sábado</v>
      </c>
      <c r="D235" s="1">
        <v>813.79875000000004</v>
      </c>
      <c r="E235" s="1">
        <v>785.57749999999999</v>
      </c>
      <c r="F235" s="1">
        <v>753.28625</v>
      </c>
      <c r="G235" s="1">
        <v>734.60500000000002</v>
      </c>
      <c r="H235" s="1">
        <v>726.27</v>
      </c>
      <c r="I235" s="1">
        <v>712.55624999999998</v>
      </c>
      <c r="J235" s="1">
        <v>640.93624999999997</v>
      </c>
      <c r="K235" s="1">
        <v>409.88249999999999</v>
      </c>
      <c r="L235" s="1">
        <v>287.99250000000001</v>
      </c>
      <c r="M235" s="1">
        <v>105.765</v>
      </c>
      <c r="N235" s="1">
        <v>101.39749999999999</v>
      </c>
      <c r="O235" s="1">
        <v>0</v>
      </c>
      <c r="P235" s="1">
        <v>0</v>
      </c>
      <c r="Q235" s="1">
        <v>0</v>
      </c>
      <c r="R235" s="1">
        <v>0</v>
      </c>
      <c r="S235" s="1">
        <v>40.316249999999997</v>
      </c>
      <c r="T235" s="1">
        <v>258.25125000000003</v>
      </c>
      <c r="U235" s="1">
        <v>607.15125</v>
      </c>
      <c r="V235" s="1">
        <v>858.05624999999998</v>
      </c>
      <c r="W235" s="1">
        <v>898.06375000000003</v>
      </c>
      <c r="X235" s="1">
        <v>894.5625</v>
      </c>
      <c r="Y235" s="1">
        <v>881.21</v>
      </c>
      <c r="Z235" s="1">
        <v>841.66875000000005</v>
      </c>
      <c r="AA235" s="1">
        <v>797.22249999999997</v>
      </c>
      <c r="AB235" s="26">
        <v>4</v>
      </c>
      <c r="AC235" s="8">
        <f t="shared" si="14"/>
        <v>48594.28</v>
      </c>
      <c r="AM235"/>
    </row>
    <row r="236" spans="1:39" x14ac:dyDescent="0.25">
      <c r="A236" s="3">
        <f t="shared" si="12"/>
        <v>2032</v>
      </c>
      <c r="B236" s="5" t="str">
        <f>PROPER(TEXT(DATEVALUE("1/"&amp;MOD(ROUNDDOWN((ROW()-6+7*3)/3,0),12)+1&amp;"/"&amp;Tabla1[[#This Row],[Año]]),"mmm"))</f>
        <v>Dic</v>
      </c>
      <c r="C236" s="7" t="str">
        <f t="shared" si="13"/>
        <v>Domingo y Festivo</v>
      </c>
      <c r="D236" s="1">
        <v>767.40749999999991</v>
      </c>
      <c r="E236" s="1">
        <v>745.98</v>
      </c>
      <c r="F236" s="1">
        <v>728.80916666666656</v>
      </c>
      <c r="G236" s="1">
        <v>709.74749999999995</v>
      </c>
      <c r="H236" s="1">
        <v>701.0866666666667</v>
      </c>
      <c r="I236" s="1">
        <v>679.61749999999995</v>
      </c>
      <c r="J236" s="1">
        <v>568.16166666666663</v>
      </c>
      <c r="K236" s="1">
        <v>161.14000000000001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5.3475000000000001</v>
      </c>
      <c r="T236" s="1">
        <v>162.04416666666665</v>
      </c>
      <c r="U236" s="1">
        <v>516.50249999999994</v>
      </c>
      <c r="V236" s="1">
        <v>769.26166666666666</v>
      </c>
      <c r="W236" s="1">
        <v>839.73333333333323</v>
      </c>
      <c r="X236" s="1">
        <v>863.92333333333329</v>
      </c>
      <c r="Y236" s="1">
        <v>861.94500000000005</v>
      </c>
      <c r="Z236" s="1">
        <v>812.42500000000007</v>
      </c>
      <c r="AA236" s="1">
        <v>758.22833333333335</v>
      </c>
      <c r="AB236" s="26">
        <v>4</v>
      </c>
      <c r="AC236" s="8">
        <f t="shared" si="14"/>
        <v>42605.443333333322</v>
      </c>
      <c r="AM236"/>
    </row>
    <row r="237" spans="1:39" x14ac:dyDescent="0.25">
      <c r="A237" s="3">
        <f t="shared" si="12"/>
        <v>2033</v>
      </c>
      <c r="B237" s="5" t="str">
        <f>PROPER(TEXT(DATEVALUE("1/"&amp;MOD(ROUNDDOWN((ROW()-6+7*3)/3,0),12)+1&amp;"/"&amp;Tabla1[[#This Row],[Año]]),"mmm"))</f>
        <v>Ene</v>
      </c>
      <c r="C237" s="7" t="str">
        <f t="shared" si="13"/>
        <v>Hábil</v>
      </c>
      <c r="D237" s="1">
        <v>777.23380952380955</v>
      </c>
      <c r="E237" s="1">
        <v>747.8097619047619</v>
      </c>
      <c r="F237" s="1">
        <v>722.91357142857146</v>
      </c>
      <c r="G237" s="1">
        <v>698.02428571428572</v>
      </c>
      <c r="H237" s="1">
        <v>691.64547619047619</v>
      </c>
      <c r="I237" s="1">
        <v>710.39976190476193</v>
      </c>
      <c r="J237" s="1">
        <v>735.91809523809525</v>
      </c>
      <c r="K237" s="1">
        <v>722.64095238095229</v>
      </c>
      <c r="L237" s="1">
        <v>637.61285714285714</v>
      </c>
      <c r="M237" s="1">
        <v>406.39833333333331</v>
      </c>
      <c r="N237" s="1">
        <v>277.80166666666668</v>
      </c>
      <c r="O237" s="1">
        <v>285.09047619047618</v>
      </c>
      <c r="P237" s="1">
        <v>123.77285714285715</v>
      </c>
      <c r="Q237" s="1">
        <v>92.608333333333334</v>
      </c>
      <c r="R237" s="1">
        <v>299.13642857142855</v>
      </c>
      <c r="S237" s="1">
        <v>455.46952380952382</v>
      </c>
      <c r="T237" s="1">
        <v>747.55857142857144</v>
      </c>
      <c r="U237" s="1">
        <v>1079.5923809523808</v>
      </c>
      <c r="V237" s="1">
        <v>1066.6104761904762</v>
      </c>
      <c r="W237" s="1">
        <v>976.52190476190469</v>
      </c>
      <c r="X237" s="1">
        <v>970.79452380952387</v>
      </c>
      <c r="Y237" s="1">
        <v>956.94904761904763</v>
      </c>
      <c r="Z237" s="1">
        <v>895.17119047619053</v>
      </c>
      <c r="AA237" s="1">
        <v>830.36285714285714</v>
      </c>
      <c r="AB237" s="26">
        <v>21</v>
      </c>
      <c r="AC237" s="8">
        <f t="shared" si="14"/>
        <v>334068.78000000003</v>
      </c>
      <c r="AM237"/>
    </row>
    <row r="238" spans="1:39" x14ac:dyDescent="0.25">
      <c r="A238" s="3">
        <f t="shared" si="12"/>
        <v>2033</v>
      </c>
      <c r="B238" s="5" t="str">
        <f>PROPER(TEXT(DATEVALUE("1/"&amp;MOD(ROUNDDOWN((ROW()-6+7*3)/3,0),12)+1&amp;"/"&amp;Tabla1[[#This Row],[Año]]),"mmm"))</f>
        <v>Ene</v>
      </c>
      <c r="C238" s="7" t="str">
        <f t="shared" si="13"/>
        <v>Sábado</v>
      </c>
      <c r="D238" s="1">
        <v>813.79875000000004</v>
      </c>
      <c r="E238" s="1">
        <v>785.57749999999999</v>
      </c>
      <c r="F238" s="1">
        <v>753.28625</v>
      </c>
      <c r="G238" s="1">
        <v>734.60500000000002</v>
      </c>
      <c r="H238" s="1">
        <v>726.27</v>
      </c>
      <c r="I238" s="1">
        <v>712.55624999999998</v>
      </c>
      <c r="J238" s="1">
        <v>640.93624999999997</v>
      </c>
      <c r="K238" s="1">
        <v>409.88249999999999</v>
      </c>
      <c r="L238" s="1">
        <v>287.99250000000001</v>
      </c>
      <c r="M238" s="1">
        <v>105.765</v>
      </c>
      <c r="N238" s="1">
        <v>101.39749999999999</v>
      </c>
      <c r="O238" s="1">
        <v>0</v>
      </c>
      <c r="P238" s="1">
        <v>0</v>
      </c>
      <c r="Q238" s="1">
        <v>0</v>
      </c>
      <c r="R238" s="1">
        <v>0</v>
      </c>
      <c r="S238" s="1">
        <v>40.316249999999997</v>
      </c>
      <c r="T238" s="1">
        <v>258.25125000000003</v>
      </c>
      <c r="U238" s="1">
        <v>607.15125</v>
      </c>
      <c r="V238" s="1">
        <v>858.05624999999998</v>
      </c>
      <c r="W238" s="1">
        <v>898.06375000000003</v>
      </c>
      <c r="X238" s="1">
        <v>894.5625</v>
      </c>
      <c r="Y238" s="1">
        <v>881.21</v>
      </c>
      <c r="Z238" s="1">
        <v>841.66875000000005</v>
      </c>
      <c r="AA238" s="1">
        <v>797.22249999999997</v>
      </c>
      <c r="AB238" s="26">
        <v>5</v>
      </c>
      <c r="AC238" s="8">
        <f t="shared" si="14"/>
        <v>60742.85</v>
      </c>
      <c r="AM238"/>
    </row>
    <row r="239" spans="1:39" x14ac:dyDescent="0.25">
      <c r="A239" s="3">
        <f t="shared" si="12"/>
        <v>2033</v>
      </c>
      <c r="B239" s="5" t="str">
        <f>PROPER(TEXT(DATEVALUE("1/"&amp;MOD(ROUNDDOWN((ROW()-6+7*3)/3,0),12)+1&amp;"/"&amp;Tabla1[[#This Row],[Año]]),"mmm"))</f>
        <v>Ene</v>
      </c>
      <c r="C239" s="7" t="str">
        <f t="shared" si="13"/>
        <v>Domingo y Festivo</v>
      </c>
      <c r="D239" s="1">
        <v>767.40749999999991</v>
      </c>
      <c r="E239" s="1">
        <v>745.98</v>
      </c>
      <c r="F239" s="1">
        <v>728.80916666666656</v>
      </c>
      <c r="G239" s="1">
        <v>709.74749999999995</v>
      </c>
      <c r="H239" s="1">
        <v>701.0866666666667</v>
      </c>
      <c r="I239" s="1">
        <v>679.61749999999995</v>
      </c>
      <c r="J239" s="1">
        <v>568.16166666666663</v>
      </c>
      <c r="K239" s="1">
        <v>161.14000000000001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5.3475000000000001</v>
      </c>
      <c r="T239" s="1">
        <v>162.04416666666665</v>
      </c>
      <c r="U239" s="1">
        <v>516.50249999999994</v>
      </c>
      <c r="V239" s="1">
        <v>769.26166666666666</v>
      </c>
      <c r="W239" s="1">
        <v>839.73333333333323</v>
      </c>
      <c r="X239" s="1">
        <v>863.92333333333329</v>
      </c>
      <c r="Y239" s="1">
        <v>861.94500000000005</v>
      </c>
      <c r="Z239" s="1">
        <v>812.42500000000007</v>
      </c>
      <c r="AA239" s="1">
        <v>758.22833333333335</v>
      </c>
      <c r="AB239" s="26">
        <v>5</v>
      </c>
      <c r="AC239" s="8">
        <f t="shared" si="14"/>
        <v>53256.804166666654</v>
      </c>
      <c r="AM239"/>
    </row>
    <row r="240" spans="1:39" x14ac:dyDescent="0.25">
      <c r="A240" s="3">
        <f t="shared" si="12"/>
        <v>2033</v>
      </c>
      <c r="B240" s="5" t="str">
        <f>PROPER(TEXT(DATEVALUE("1/"&amp;MOD(ROUNDDOWN((ROW()-6+7*3)/3,0),12)+1&amp;"/"&amp;Tabla1[[#This Row],[Año]]),"mmm"))</f>
        <v>Feb</v>
      </c>
      <c r="C240" s="7" t="str">
        <f t="shared" si="13"/>
        <v>Hábil</v>
      </c>
      <c r="D240" s="1">
        <v>777.23380952380955</v>
      </c>
      <c r="E240" s="1">
        <v>747.8097619047619</v>
      </c>
      <c r="F240" s="1">
        <v>722.91357142857146</v>
      </c>
      <c r="G240" s="1">
        <v>698.02428571428572</v>
      </c>
      <c r="H240" s="1">
        <v>691.64547619047619</v>
      </c>
      <c r="I240" s="1">
        <v>710.39976190476193</v>
      </c>
      <c r="J240" s="1">
        <v>735.91809523809525</v>
      </c>
      <c r="K240" s="1">
        <v>722.64095238095229</v>
      </c>
      <c r="L240" s="1">
        <v>637.61285714285714</v>
      </c>
      <c r="M240" s="1">
        <v>406.39833333333331</v>
      </c>
      <c r="N240" s="1">
        <v>277.80166666666668</v>
      </c>
      <c r="O240" s="1">
        <v>285.09047619047618</v>
      </c>
      <c r="P240" s="1">
        <v>123.77285714285715</v>
      </c>
      <c r="Q240" s="1">
        <v>92.608333333333334</v>
      </c>
      <c r="R240" s="1">
        <v>299.13642857142855</v>
      </c>
      <c r="S240" s="1">
        <v>455.46952380952382</v>
      </c>
      <c r="T240" s="1">
        <v>747.55857142857144</v>
      </c>
      <c r="U240" s="1">
        <v>1079.5923809523808</v>
      </c>
      <c r="V240" s="1">
        <v>1066.6104761904762</v>
      </c>
      <c r="W240" s="1">
        <v>976.52190476190469</v>
      </c>
      <c r="X240" s="1">
        <v>970.79452380952387</v>
      </c>
      <c r="Y240" s="1">
        <v>956.94904761904763</v>
      </c>
      <c r="Z240" s="1">
        <v>895.17119047619053</v>
      </c>
      <c r="AA240" s="1">
        <v>830.36285714285714</v>
      </c>
      <c r="AB240" s="26">
        <v>20</v>
      </c>
      <c r="AC240" s="8">
        <f t="shared" si="14"/>
        <v>318160.74285714293</v>
      </c>
      <c r="AM240"/>
    </row>
    <row r="241" spans="1:39" x14ac:dyDescent="0.25">
      <c r="A241" s="3">
        <f t="shared" si="12"/>
        <v>2033</v>
      </c>
      <c r="B241" s="5" t="str">
        <f>PROPER(TEXT(DATEVALUE("1/"&amp;MOD(ROUNDDOWN((ROW()-6+7*3)/3,0),12)+1&amp;"/"&amp;Tabla1[[#This Row],[Año]]),"mmm"))</f>
        <v>Feb</v>
      </c>
      <c r="C241" s="7" t="str">
        <f t="shared" si="13"/>
        <v>Sábado</v>
      </c>
      <c r="D241" s="1">
        <v>813.79875000000004</v>
      </c>
      <c r="E241" s="1">
        <v>785.57749999999999</v>
      </c>
      <c r="F241" s="1">
        <v>753.28625</v>
      </c>
      <c r="G241" s="1">
        <v>734.60500000000002</v>
      </c>
      <c r="H241" s="1">
        <v>726.27</v>
      </c>
      <c r="I241" s="1">
        <v>712.55624999999998</v>
      </c>
      <c r="J241" s="1">
        <v>640.93624999999997</v>
      </c>
      <c r="K241" s="1">
        <v>409.88249999999999</v>
      </c>
      <c r="L241" s="1">
        <v>287.99250000000001</v>
      </c>
      <c r="M241" s="1">
        <v>105.765</v>
      </c>
      <c r="N241" s="1">
        <v>101.39749999999999</v>
      </c>
      <c r="O241" s="1">
        <v>0</v>
      </c>
      <c r="P241" s="1">
        <v>0</v>
      </c>
      <c r="Q241" s="1">
        <v>0</v>
      </c>
      <c r="R241" s="1">
        <v>0</v>
      </c>
      <c r="S241" s="1">
        <v>40.316249999999997</v>
      </c>
      <c r="T241" s="1">
        <v>258.25125000000003</v>
      </c>
      <c r="U241" s="1">
        <v>607.15125</v>
      </c>
      <c r="V241" s="1">
        <v>858.05624999999998</v>
      </c>
      <c r="W241" s="1">
        <v>898.06375000000003</v>
      </c>
      <c r="X241" s="1">
        <v>894.5625</v>
      </c>
      <c r="Y241" s="1">
        <v>881.21</v>
      </c>
      <c r="Z241" s="1">
        <v>841.66875000000005</v>
      </c>
      <c r="AA241" s="1">
        <v>797.22249999999997</v>
      </c>
      <c r="AB241" s="26">
        <v>4</v>
      </c>
      <c r="AC241" s="8">
        <f t="shared" si="14"/>
        <v>48594.28</v>
      </c>
      <c r="AM241"/>
    </row>
    <row r="242" spans="1:39" x14ac:dyDescent="0.25">
      <c r="A242" s="3">
        <f t="shared" si="12"/>
        <v>2033</v>
      </c>
      <c r="B242" s="5" t="str">
        <f>PROPER(TEXT(DATEVALUE("1/"&amp;MOD(ROUNDDOWN((ROW()-6+7*3)/3,0),12)+1&amp;"/"&amp;Tabla1[[#This Row],[Año]]),"mmm"))</f>
        <v>Feb</v>
      </c>
      <c r="C242" s="7" t="str">
        <f t="shared" si="13"/>
        <v>Domingo y Festivo</v>
      </c>
      <c r="D242" s="1">
        <v>767.40749999999991</v>
      </c>
      <c r="E242" s="1">
        <v>745.98</v>
      </c>
      <c r="F242" s="1">
        <v>728.80916666666656</v>
      </c>
      <c r="G242" s="1">
        <v>709.74749999999995</v>
      </c>
      <c r="H242" s="1">
        <v>701.0866666666667</v>
      </c>
      <c r="I242" s="1">
        <v>679.61749999999995</v>
      </c>
      <c r="J242" s="1">
        <v>568.16166666666663</v>
      </c>
      <c r="K242" s="1">
        <v>161.14000000000001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5.3475000000000001</v>
      </c>
      <c r="T242" s="1">
        <v>162.04416666666665</v>
      </c>
      <c r="U242" s="1">
        <v>516.50249999999994</v>
      </c>
      <c r="V242" s="1">
        <v>769.26166666666666</v>
      </c>
      <c r="W242" s="1">
        <v>839.73333333333323</v>
      </c>
      <c r="X242" s="1">
        <v>863.92333333333329</v>
      </c>
      <c r="Y242" s="1">
        <v>861.94500000000005</v>
      </c>
      <c r="Z242" s="1">
        <v>812.42500000000007</v>
      </c>
      <c r="AA242" s="1">
        <v>758.22833333333335</v>
      </c>
      <c r="AB242" s="26">
        <v>4</v>
      </c>
      <c r="AC242" s="8">
        <f t="shared" si="14"/>
        <v>42605.443333333322</v>
      </c>
      <c r="AM242"/>
    </row>
    <row r="243" spans="1:39" x14ac:dyDescent="0.25">
      <c r="A243" s="3">
        <f t="shared" si="12"/>
        <v>2033</v>
      </c>
      <c r="B243" s="5" t="str">
        <f>PROPER(TEXT(DATEVALUE("1/"&amp;MOD(ROUNDDOWN((ROW()-6+7*3)/3,0),12)+1&amp;"/"&amp;Tabla1[[#This Row],[Año]]),"mmm"))</f>
        <v>Mar</v>
      </c>
      <c r="C243" s="7" t="str">
        <f t="shared" si="13"/>
        <v>Hábil</v>
      </c>
      <c r="D243" s="1">
        <v>777.23380952380955</v>
      </c>
      <c r="E243" s="1">
        <v>747.8097619047619</v>
      </c>
      <c r="F243" s="1">
        <v>722.91357142857146</v>
      </c>
      <c r="G243" s="1">
        <v>698.02428571428572</v>
      </c>
      <c r="H243" s="1">
        <v>691.64547619047619</v>
      </c>
      <c r="I243" s="1">
        <v>710.39976190476193</v>
      </c>
      <c r="J243" s="1">
        <v>735.91809523809525</v>
      </c>
      <c r="K243" s="1">
        <v>722.64095238095229</v>
      </c>
      <c r="L243" s="1">
        <v>637.61285714285714</v>
      </c>
      <c r="M243" s="1">
        <v>406.39833333333331</v>
      </c>
      <c r="N243" s="1">
        <v>277.80166666666668</v>
      </c>
      <c r="O243" s="1">
        <v>285.09047619047618</v>
      </c>
      <c r="P243" s="1">
        <v>123.77285714285715</v>
      </c>
      <c r="Q243" s="1">
        <v>92.608333333333334</v>
      </c>
      <c r="R243" s="1">
        <v>299.13642857142855</v>
      </c>
      <c r="S243" s="1">
        <v>455.46952380952382</v>
      </c>
      <c r="T243" s="1">
        <v>747.55857142857144</v>
      </c>
      <c r="U243" s="1">
        <v>1079.5923809523808</v>
      </c>
      <c r="V243" s="1">
        <v>1066.6104761904762</v>
      </c>
      <c r="W243" s="1">
        <v>976.52190476190469</v>
      </c>
      <c r="X243" s="1">
        <v>970.79452380952387</v>
      </c>
      <c r="Y243" s="1">
        <v>956.94904761904763</v>
      </c>
      <c r="Z243" s="1">
        <v>895.17119047619053</v>
      </c>
      <c r="AA243" s="1">
        <v>830.36285714285714</v>
      </c>
      <c r="AB243" s="26">
        <v>23</v>
      </c>
      <c r="AC243" s="8">
        <f t="shared" si="14"/>
        <v>365884.85428571433</v>
      </c>
      <c r="AM243"/>
    </row>
    <row r="244" spans="1:39" x14ac:dyDescent="0.25">
      <c r="A244" s="3">
        <f t="shared" si="12"/>
        <v>2033</v>
      </c>
      <c r="B244" s="5" t="str">
        <f>PROPER(TEXT(DATEVALUE("1/"&amp;MOD(ROUNDDOWN((ROW()-6+7*3)/3,0),12)+1&amp;"/"&amp;Tabla1[[#This Row],[Año]]),"mmm"))</f>
        <v>Mar</v>
      </c>
      <c r="C244" s="7" t="str">
        <f t="shared" si="13"/>
        <v>Sábado</v>
      </c>
      <c r="D244" s="1">
        <v>813.79875000000004</v>
      </c>
      <c r="E244" s="1">
        <v>785.57749999999999</v>
      </c>
      <c r="F244" s="1">
        <v>753.28625</v>
      </c>
      <c r="G244" s="1">
        <v>734.60500000000002</v>
      </c>
      <c r="H244" s="1">
        <v>726.27</v>
      </c>
      <c r="I244" s="1">
        <v>712.55624999999998</v>
      </c>
      <c r="J244" s="1">
        <v>640.93624999999997</v>
      </c>
      <c r="K244" s="1">
        <v>409.88249999999999</v>
      </c>
      <c r="L244" s="1">
        <v>287.99250000000001</v>
      </c>
      <c r="M244" s="1">
        <v>105.765</v>
      </c>
      <c r="N244" s="1">
        <v>101.39749999999999</v>
      </c>
      <c r="O244" s="1">
        <v>0</v>
      </c>
      <c r="P244" s="1">
        <v>0</v>
      </c>
      <c r="Q244" s="1">
        <v>0</v>
      </c>
      <c r="R244" s="1">
        <v>0</v>
      </c>
      <c r="S244" s="1">
        <v>40.316249999999997</v>
      </c>
      <c r="T244" s="1">
        <v>258.25125000000003</v>
      </c>
      <c r="U244" s="1">
        <v>607.15125</v>
      </c>
      <c r="V244" s="1">
        <v>858.05624999999998</v>
      </c>
      <c r="W244" s="1">
        <v>898.06375000000003</v>
      </c>
      <c r="X244" s="1">
        <v>894.5625</v>
      </c>
      <c r="Y244" s="1">
        <v>881.21</v>
      </c>
      <c r="Z244" s="1">
        <v>841.66875000000005</v>
      </c>
      <c r="AA244" s="1">
        <v>797.22249999999997</v>
      </c>
      <c r="AB244" s="26">
        <v>4</v>
      </c>
      <c r="AC244" s="8">
        <f t="shared" si="14"/>
        <v>48594.28</v>
      </c>
      <c r="AM244"/>
    </row>
    <row r="245" spans="1:39" x14ac:dyDescent="0.25">
      <c r="A245" s="3">
        <f t="shared" si="12"/>
        <v>2033</v>
      </c>
      <c r="B245" s="5" t="str">
        <f>PROPER(TEXT(DATEVALUE("1/"&amp;MOD(ROUNDDOWN((ROW()-6+7*3)/3,0),12)+1&amp;"/"&amp;Tabla1[[#This Row],[Año]]),"mmm"))</f>
        <v>Mar</v>
      </c>
      <c r="C245" s="7" t="str">
        <f t="shared" si="13"/>
        <v>Domingo y Festivo</v>
      </c>
      <c r="D245" s="1">
        <v>767.40749999999991</v>
      </c>
      <c r="E245" s="1">
        <v>745.98</v>
      </c>
      <c r="F245" s="1">
        <v>728.80916666666656</v>
      </c>
      <c r="G245" s="1">
        <v>709.74749999999995</v>
      </c>
      <c r="H245" s="1">
        <v>701.0866666666667</v>
      </c>
      <c r="I245" s="1">
        <v>679.61749999999995</v>
      </c>
      <c r="J245" s="1">
        <v>568.16166666666663</v>
      </c>
      <c r="K245" s="1">
        <v>161.14000000000001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5.3475000000000001</v>
      </c>
      <c r="T245" s="1">
        <v>162.04416666666665</v>
      </c>
      <c r="U245" s="1">
        <v>516.50249999999994</v>
      </c>
      <c r="V245" s="1">
        <v>769.26166666666666</v>
      </c>
      <c r="W245" s="1">
        <v>839.73333333333323</v>
      </c>
      <c r="X245" s="1">
        <v>863.92333333333329</v>
      </c>
      <c r="Y245" s="1">
        <v>861.94500000000005</v>
      </c>
      <c r="Z245" s="1">
        <v>812.42500000000007</v>
      </c>
      <c r="AA245" s="1">
        <v>758.22833333333335</v>
      </c>
      <c r="AB245" s="26">
        <v>4</v>
      </c>
      <c r="AC245" s="8">
        <f t="shared" si="14"/>
        <v>42605.443333333322</v>
      </c>
      <c r="AM245"/>
    </row>
    <row r="246" spans="1:39" x14ac:dyDescent="0.25">
      <c r="A246" s="3">
        <f t="shared" si="12"/>
        <v>2033</v>
      </c>
      <c r="B246" s="5" t="str">
        <f>PROPER(TEXT(DATEVALUE("1/"&amp;MOD(ROUNDDOWN((ROW()-6+7*3)/3,0),12)+1&amp;"/"&amp;Tabla1[[#This Row],[Año]]),"mmm"))</f>
        <v>Abr</v>
      </c>
      <c r="C246" s="7" t="str">
        <f t="shared" si="13"/>
        <v>Hábil</v>
      </c>
      <c r="D246" s="1">
        <v>777.23380952380955</v>
      </c>
      <c r="E246" s="1">
        <v>747.8097619047619</v>
      </c>
      <c r="F246" s="1">
        <v>722.91357142857146</v>
      </c>
      <c r="G246" s="1">
        <v>698.02428571428572</v>
      </c>
      <c r="H246" s="1">
        <v>691.64547619047619</v>
      </c>
      <c r="I246" s="1">
        <v>710.39976190476193</v>
      </c>
      <c r="J246" s="1">
        <v>735.91809523809525</v>
      </c>
      <c r="K246" s="1">
        <v>722.64095238095229</v>
      </c>
      <c r="L246" s="1">
        <v>637.61285714285714</v>
      </c>
      <c r="M246" s="1">
        <v>406.39833333333331</v>
      </c>
      <c r="N246" s="1">
        <v>277.80166666666668</v>
      </c>
      <c r="O246" s="1">
        <v>285.09047619047618</v>
      </c>
      <c r="P246" s="1">
        <v>123.77285714285715</v>
      </c>
      <c r="Q246" s="1">
        <v>92.608333333333334</v>
      </c>
      <c r="R246" s="1">
        <v>299.13642857142855</v>
      </c>
      <c r="S246" s="1">
        <v>455.46952380952382</v>
      </c>
      <c r="T246" s="1">
        <v>747.55857142857144</v>
      </c>
      <c r="U246" s="1">
        <v>1079.5923809523808</v>
      </c>
      <c r="V246" s="1">
        <v>1066.6104761904762</v>
      </c>
      <c r="W246" s="1">
        <v>976.52190476190469</v>
      </c>
      <c r="X246" s="1">
        <v>970.79452380952387</v>
      </c>
      <c r="Y246" s="1">
        <v>956.94904761904763</v>
      </c>
      <c r="Z246" s="1">
        <v>895.17119047619053</v>
      </c>
      <c r="AA246" s="1">
        <v>830.36285714285714</v>
      </c>
      <c r="AB246" s="26">
        <v>21</v>
      </c>
      <c r="AC246" s="8">
        <f t="shared" si="14"/>
        <v>334068.78000000003</v>
      </c>
      <c r="AM246"/>
    </row>
    <row r="247" spans="1:39" x14ac:dyDescent="0.25">
      <c r="A247" s="3">
        <f t="shared" si="12"/>
        <v>2033</v>
      </c>
      <c r="B247" s="5" t="str">
        <f>PROPER(TEXT(DATEVALUE("1/"&amp;MOD(ROUNDDOWN((ROW()-6+7*3)/3,0),12)+1&amp;"/"&amp;Tabla1[[#This Row],[Año]]),"mmm"))</f>
        <v>Abr</v>
      </c>
      <c r="C247" s="7" t="str">
        <f t="shared" si="13"/>
        <v>Sábado</v>
      </c>
      <c r="D247" s="1">
        <v>813.79875000000004</v>
      </c>
      <c r="E247" s="1">
        <v>785.57749999999999</v>
      </c>
      <c r="F247" s="1">
        <v>753.28625</v>
      </c>
      <c r="G247" s="1">
        <v>734.60500000000002</v>
      </c>
      <c r="H247" s="1">
        <v>726.27</v>
      </c>
      <c r="I247" s="1">
        <v>712.55624999999998</v>
      </c>
      <c r="J247" s="1">
        <v>640.93624999999997</v>
      </c>
      <c r="K247" s="1">
        <v>409.88249999999999</v>
      </c>
      <c r="L247" s="1">
        <v>287.99250000000001</v>
      </c>
      <c r="M247" s="1">
        <v>105.765</v>
      </c>
      <c r="N247" s="1">
        <v>101.39749999999999</v>
      </c>
      <c r="O247" s="1">
        <v>0</v>
      </c>
      <c r="P247" s="1">
        <v>0</v>
      </c>
      <c r="Q247" s="1">
        <v>0</v>
      </c>
      <c r="R247" s="1">
        <v>0</v>
      </c>
      <c r="S247" s="1">
        <v>40.316249999999997</v>
      </c>
      <c r="T247" s="1">
        <v>258.25125000000003</v>
      </c>
      <c r="U247" s="1">
        <v>607.15125</v>
      </c>
      <c r="V247" s="1">
        <v>858.05624999999998</v>
      </c>
      <c r="W247" s="1">
        <v>898.06375000000003</v>
      </c>
      <c r="X247" s="1">
        <v>894.5625</v>
      </c>
      <c r="Y247" s="1">
        <v>881.21</v>
      </c>
      <c r="Z247" s="1">
        <v>841.66875000000005</v>
      </c>
      <c r="AA247" s="1">
        <v>797.22249999999997</v>
      </c>
      <c r="AB247" s="26">
        <v>5</v>
      </c>
      <c r="AC247" s="8">
        <f t="shared" si="14"/>
        <v>60742.85</v>
      </c>
      <c r="AM247"/>
    </row>
    <row r="248" spans="1:39" x14ac:dyDescent="0.25">
      <c r="A248" s="3">
        <f t="shared" si="12"/>
        <v>2033</v>
      </c>
      <c r="B248" s="5" t="str">
        <f>PROPER(TEXT(DATEVALUE("1/"&amp;MOD(ROUNDDOWN((ROW()-6+7*3)/3,0),12)+1&amp;"/"&amp;Tabla1[[#This Row],[Año]]),"mmm"))</f>
        <v>Abr</v>
      </c>
      <c r="C248" s="7" t="str">
        <f t="shared" si="13"/>
        <v>Domingo y Festivo</v>
      </c>
      <c r="D248" s="1">
        <v>767.40749999999991</v>
      </c>
      <c r="E248" s="1">
        <v>745.98</v>
      </c>
      <c r="F248" s="1">
        <v>728.80916666666656</v>
      </c>
      <c r="G248" s="1">
        <v>709.74749999999995</v>
      </c>
      <c r="H248" s="1">
        <v>701.0866666666667</v>
      </c>
      <c r="I248" s="1">
        <v>679.61749999999995</v>
      </c>
      <c r="J248" s="1">
        <v>568.16166666666663</v>
      </c>
      <c r="K248" s="1">
        <v>161.14000000000001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5.3475000000000001</v>
      </c>
      <c r="T248" s="1">
        <v>162.04416666666665</v>
      </c>
      <c r="U248" s="1">
        <v>516.50249999999994</v>
      </c>
      <c r="V248" s="1">
        <v>769.26166666666666</v>
      </c>
      <c r="W248" s="1">
        <v>839.73333333333323</v>
      </c>
      <c r="X248" s="1">
        <v>863.92333333333329</v>
      </c>
      <c r="Y248" s="1">
        <v>861.94500000000005</v>
      </c>
      <c r="Z248" s="1">
        <v>812.42500000000007</v>
      </c>
      <c r="AA248" s="1">
        <v>758.22833333333335</v>
      </c>
      <c r="AB248" s="26">
        <v>4</v>
      </c>
      <c r="AC248" s="8">
        <f t="shared" si="14"/>
        <v>42605.443333333322</v>
      </c>
      <c r="AM248"/>
    </row>
    <row r="249" spans="1:39" x14ac:dyDescent="0.25">
      <c r="A249" s="3">
        <f t="shared" si="12"/>
        <v>2033</v>
      </c>
      <c r="B249" s="5" t="str">
        <f>PROPER(TEXT(DATEVALUE("1/"&amp;MOD(ROUNDDOWN((ROW()-6+7*3)/3,0),12)+1&amp;"/"&amp;Tabla1[[#This Row],[Año]]),"mmm"))</f>
        <v>May</v>
      </c>
      <c r="C249" s="7" t="str">
        <f t="shared" si="13"/>
        <v>Hábil</v>
      </c>
      <c r="D249" s="1">
        <v>777.23380952380955</v>
      </c>
      <c r="E249" s="1">
        <v>747.8097619047619</v>
      </c>
      <c r="F249" s="1">
        <v>722.91357142857146</v>
      </c>
      <c r="G249" s="1">
        <v>698.02428571428572</v>
      </c>
      <c r="H249" s="1">
        <v>691.64547619047619</v>
      </c>
      <c r="I249" s="1">
        <v>710.39976190476193</v>
      </c>
      <c r="J249" s="1">
        <v>735.91809523809525</v>
      </c>
      <c r="K249" s="1">
        <v>722.64095238095229</v>
      </c>
      <c r="L249" s="1">
        <v>637.61285714285714</v>
      </c>
      <c r="M249" s="1">
        <v>406.39833333333331</v>
      </c>
      <c r="N249" s="1">
        <v>277.80166666666668</v>
      </c>
      <c r="O249" s="1">
        <v>285.09047619047618</v>
      </c>
      <c r="P249" s="1">
        <v>123.77285714285715</v>
      </c>
      <c r="Q249" s="1">
        <v>92.608333333333334</v>
      </c>
      <c r="R249" s="1">
        <v>299.13642857142855</v>
      </c>
      <c r="S249" s="1">
        <v>455.46952380952382</v>
      </c>
      <c r="T249" s="1">
        <v>747.55857142857144</v>
      </c>
      <c r="U249" s="1">
        <v>1079.5923809523808</v>
      </c>
      <c r="V249" s="1">
        <v>1066.6104761904762</v>
      </c>
      <c r="W249" s="1">
        <v>976.52190476190469</v>
      </c>
      <c r="X249" s="1">
        <v>970.79452380952387</v>
      </c>
      <c r="Y249" s="1">
        <v>956.94904761904763</v>
      </c>
      <c r="Z249" s="1">
        <v>895.17119047619053</v>
      </c>
      <c r="AA249" s="1">
        <v>830.36285714285714</v>
      </c>
      <c r="AB249" s="26">
        <v>22</v>
      </c>
      <c r="AC249" s="8">
        <f t="shared" si="14"/>
        <v>349976.81714285718</v>
      </c>
      <c r="AM249"/>
    </row>
    <row r="250" spans="1:39" x14ac:dyDescent="0.25">
      <c r="A250" s="3">
        <f t="shared" si="12"/>
        <v>2033</v>
      </c>
      <c r="B250" s="5" t="str">
        <f>PROPER(TEXT(DATEVALUE("1/"&amp;MOD(ROUNDDOWN((ROW()-6+7*3)/3,0),12)+1&amp;"/"&amp;Tabla1[[#This Row],[Año]]),"mmm"))</f>
        <v>May</v>
      </c>
      <c r="C250" s="7" t="str">
        <f t="shared" si="13"/>
        <v>Sábado</v>
      </c>
      <c r="D250" s="1">
        <v>813.79875000000004</v>
      </c>
      <c r="E250" s="1">
        <v>785.57749999999999</v>
      </c>
      <c r="F250" s="1">
        <v>753.28625</v>
      </c>
      <c r="G250" s="1">
        <v>734.60500000000002</v>
      </c>
      <c r="H250" s="1">
        <v>726.27</v>
      </c>
      <c r="I250" s="1">
        <v>712.55624999999998</v>
      </c>
      <c r="J250" s="1">
        <v>640.93624999999997</v>
      </c>
      <c r="K250" s="1">
        <v>409.88249999999999</v>
      </c>
      <c r="L250" s="1">
        <v>287.99250000000001</v>
      </c>
      <c r="M250" s="1">
        <v>105.765</v>
      </c>
      <c r="N250" s="1">
        <v>101.39749999999999</v>
      </c>
      <c r="O250" s="1">
        <v>0</v>
      </c>
      <c r="P250" s="1">
        <v>0</v>
      </c>
      <c r="Q250" s="1">
        <v>0</v>
      </c>
      <c r="R250" s="1">
        <v>0</v>
      </c>
      <c r="S250" s="1">
        <v>40.316249999999997</v>
      </c>
      <c r="T250" s="1">
        <v>258.25125000000003</v>
      </c>
      <c r="U250" s="1">
        <v>607.15125</v>
      </c>
      <c r="V250" s="1">
        <v>858.05624999999998</v>
      </c>
      <c r="W250" s="1">
        <v>898.06375000000003</v>
      </c>
      <c r="X250" s="1">
        <v>894.5625</v>
      </c>
      <c r="Y250" s="1">
        <v>881.21</v>
      </c>
      <c r="Z250" s="1">
        <v>841.66875000000005</v>
      </c>
      <c r="AA250" s="1">
        <v>797.22249999999997</v>
      </c>
      <c r="AB250" s="26">
        <v>4</v>
      </c>
      <c r="AC250" s="8">
        <f t="shared" si="14"/>
        <v>48594.28</v>
      </c>
      <c r="AM250"/>
    </row>
    <row r="251" spans="1:39" x14ac:dyDescent="0.25">
      <c r="A251" s="3">
        <f t="shared" si="12"/>
        <v>2033</v>
      </c>
      <c r="B251" s="5" t="str">
        <f>PROPER(TEXT(DATEVALUE("1/"&amp;MOD(ROUNDDOWN((ROW()-6+7*3)/3,0),12)+1&amp;"/"&amp;Tabla1[[#This Row],[Año]]),"mmm"))</f>
        <v>May</v>
      </c>
      <c r="C251" s="7" t="str">
        <f t="shared" si="13"/>
        <v>Domingo y Festivo</v>
      </c>
      <c r="D251" s="1">
        <v>767.40749999999991</v>
      </c>
      <c r="E251" s="1">
        <v>745.98</v>
      </c>
      <c r="F251" s="1">
        <v>728.80916666666656</v>
      </c>
      <c r="G251" s="1">
        <v>709.74749999999995</v>
      </c>
      <c r="H251" s="1">
        <v>701.0866666666667</v>
      </c>
      <c r="I251" s="1">
        <v>679.61749999999995</v>
      </c>
      <c r="J251" s="1">
        <v>568.16166666666663</v>
      </c>
      <c r="K251" s="1">
        <v>161.14000000000001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5.3475000000000001</v>
      </c>
      <c r="T251" s="1">
        <v>162.04416666666665</v>
      </c>
      <c r="U251" s="1">
        <v>516.50249999999994</v>
      </c>
      <c r="V251" s="1">
        <v>769.26166666666666</v>
      </c>
      <c r="W251" s="1">
        <v>839.73333333333323</v>
      </c>
      <c r="X251" s="1">
        <v>863.92333333333329</v>
      </c>
      <c r="Y251" s="1">
        <v>861.94500000000005</v>
      </c>
      <c r="Z251" s="1">
        <v>812.42500000000007</v>
      </c>
      <c r="AA251" s="1">
        <v>758.22833333333335</v>
      </c>
      <c r="AB251" s="26">
        <v>5</v>
      </c>
      <c r="AC251" s="8">
        <f t="shared" si="14"/>
        <v>53256.804166666654</v>
      </c>
      <c r="AM251"/>
    </row>
    <row r="252" spans="1:39" x14ac:dyDescent="0.25">
      <c r="A252" s="3">
        <f t="shared" si="12"/>
        <v>2033</v>
      </c>
      <c r="B252" s="5" t="str">
        <f>PROPER(TEXT(DATEVALUE("1/"&amp;MOD(ROUNDDOWN((ROW()-6+7*3)/3,0),12)+1&amp;"/"&amp;Tabla1[[#This Row],[Año]]),"mmm"))</f>
        <v>Jun</v>
      </c>
      <c r="C252" s="7" t="str">
        <f t="shared" si="13"/>
        <v>Hábil</v>
      </c>
      <c r="D252" s="1">
        <v>777.23380952380955</v>
      </c>
      <c r="E252" s="1">
        <v>747.8097619047619</v>
      </c>
      <c r="F252" s="1">
        <v>722.91357142857146</v>
      </c>
      <c r="G252" s="1">
        <v>698.02428571428572</v>
      </c>
      <c r="H252" s="1">
        <v>691.64547619047619</v>
      </c>
      <c r="I252" s="1">
        <v>710.39976190476193</v>
      </c>
      <c r="J252" s="1">
        <v>735.91809523809525</v>
      </c>
      <c r="K252" s="1">
        <v>722.64095238095229</v>
      </c>
      <c r="L252" s="1">
        <v>637.61285714285714</v>
      </c>
      <c r="M252" s="1">
        <v>406.39833333333331</v>
      </c>
      <c r="N252" s="1">
        <v>277.80166666666668</v>
      </c>
      <c r="O252" s="1">
        <v>285.09047619047618</v>
      </c>
      <c r="P252" s="1">
        <v>123.77285714285715</v>
      </c>
      <c r="Q252" s="1">
        <v>92.608333333333334</v>
      </c>
      <c r="R252" s="1">
        <v>299.13642857142855</v>
      </c>
      <c r="S252" s="1">
        <v>455.46952380952382</v>
      </c>
      <c r="T252" s="1">
        <v>747.55857142857144</v>
      </c>
      <c r="U252" s="1">
        <v>1079.5923809523808</v>
      </c>
      <c r="V252" s="1">
        <v>1066.6104761904762</v>
      </c>
      <c r="W252" s="1">
        <v>976.52190476190469</v>
      </c>
      <c r="X252" s="1">
        <v>970.79452380952387</v>
      </c>
      <c r="Y252" s="1">
        <v>956.94904761904763</v>
      </c>
      <c r="Z252" s="1">
        <v>895.17119047619053</v>
      </c>
      <c r="AA252" s="1">
        <v>830.36285714285714</v>
      </c>
      <c r="AB252" s="26">
        <v>22</v>
      </c>
      <c r="AC252" s="8">
        <f t="shared" si="14"/>
        <v>349976.81714285718</v>
      </c>
      <c r="AM252"/>
    </row>
    <row r="253" spans="1:39" x14ac:dyDescent="0.25">
      <c r="A253" s="3">
        <f t="shared" si="12"/>
        <v>2033</v>
      </c>
      <c r="B253" s="5" t="str">
        <f>PROPER(TEXT(DATEVALUE("1/"&amp;MOD(ROUNDDOWN((ROW()-6+7*3)/3,0),12)+1&amp;"/"&amp;Tabla1[[#This Row],[Año]]),"mmm"))</f>
        <v>Jun</v>
      </c>
      <c r="C253" s="7" t="str">
        <f t="shared" si="13"/>
        <v>Sábado</v>
      </c>
      <c r="D253" s="1">
        <v>813.79875000000004</v>
      </c>
      <c r="E253" s="1">
        <v>785.57749999999999</v>
      </c>
      <c r="F253" s="1">
        <v>753.28625</v>
      </c>
      <c r="G253" s="1">
        <v>734.60500000000002</v>
      </c>
      <c r="H253" s="1">
        <v>726.27</v>
      </c>
      <c r="I253" s="1">
        <v>712.55624999999998</v>
      </c>
      <c r="J253" s="1">
        <v>640.93624999999997</v>
      </c>
      <c r="K253" s="1">
        <v>409.88249999999999</v>
      </c>
      <c r="L253" s="1">
        <v>287.99250000000001</v>
      </c>
      <c r="M253" s="1">
        <v>105.765</v>
      </c>
      <c r="N253" s="1">
        <v>101.39749999999999</v>
      </c>
      <c r="O253" s="1">
        <v>0</v>
      </c>
      <c r="P253" s="1">
        <v>0</v>
      </c>
      <c r="Q253" s="1">
        <v>0</v>
      </c>
      <c r="R253" s="1">
        <v>0</v>
      </c>
      <c r="S253" s="1">
        <v>40.316249999999997</v>
      </c>
      <c r="T253" s="1">
        <v>258.25125000000003</v>
      </c>
      <c r="U253" s="1">
        <v>607.15125</v>
      </c>
      <c r="V253" s="1">
        <v>858.05624999999998</v>
      </c>
      <c r="W253" s="1">
        <v>898.06375000000003</v>
      </c>
      <c r="X253" s="1">
        <v>894.5625</v>
      </c>
      <c r="Y253" s="1">
        <v>881.21</v>
      </c>
      <c r="Z253" s="1">
        <v>841.66875000000005</v>
      </c>
      <c r="AA253" s="1">
        <v>797.22249999999997</v>
      </c>
      <c r="AB253" s="26">
        <v>4</v>
      </c>
      <c r="AC253" s="8">
        <f t="shared" si="14"/>
        <v>48594.28</v>
      </c>
      <c r="AM253"/>
    </row>
    <row r="254" spans="1:39" x14ac:dyDescent="0.25">
      <c r="A254" s="3">
        <f t="shared" si="12"/>
        <v>2033</v>
      </c>
      <c r="B254" s="5" t="str">
        <f>PROPER(TEXT(DATEVALUE("1/"&amp;MOD(ROUNDDOWN((ROW()-6+7*3)/3,0),12)+1&amp;"/"&amp;Tabla1[[#This Row],[Año]]),"mmm"))</f>
        <v>Jun</v>
      </c>
      <c r="C254" s="7" t="str">
        <f t="shared" si="13"/>
        <v>Domingo y Festivo</v>
      </c>
      <c r="D254" s="1">
        <v>767.40749999999991</v>
      </c>
      <c r="E254" s="1">
        <v>745.98</v>
      </c>
      <c r="F254" s="1">
        <v>728.80916666666656</v>
      </c>
      <c r="G254" s="1">
        <v>709.74749999999995</v>
      </c>
      <c r="H254" s="1">
        <v>701.0866666666667</v>
      </c>
      <c r="I254" s="1">
        <v>679.61749999999995</v>
      </c>
      <c r="J254" s="1">
        <v>568.16166666666663</v>
      </c>
      <c r="K254" s="1">
        <v>161.14000000000001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5.3475000000000001</v>
      </c>
      <c r="T254" s="1">
        <v>162.04416666666665</v>
      </c>
      <c r="U254" s="1">
        <v>516.50249999999994</v>
      </c>
      <c r="V254" s="1">
        <v>769.26166666666666</v>
      </c>
      <c r="W254" s="1">
        <v>839.73333333333323</v>
      </c>
      <c r="X254" s="1">
        <v>863.92333333333329</v>
      </c>
      <c r="Y254" s="1">
        <v>861.94500000000005</v>
      </c>
      <c r="Z254" s="1">
        <v>812.42500000000007</v>
      </c>
      <c r="AA254" s="1">
        <v>758.22833333333335</v>
      </c>
      <c r="AB254" s="26">
        <v>4</v>
      </c>
      <c r="AC254" s="8">
        <f t="shared" si="14"/>
        <v>42605.443333333322</v>
      </c>
      <c r="AM254"/>
    </row>
    <row r="255" spans="1:39" x14ac:dyDescent="0.25">
      <c r="A255" s="3">
        <f t="shared" si="12"/>
        <v>2033</v>
      </c>
      <c r="B255" s="5" t="str">
        <f>PROPER(TEXT(DATEVALUE("1/"&amp;MOD(ROUNDDOWN((ROW()-6+7*3)/3,0),12)+1&amp;"/"&amp;Tabla1[[#This Row],[Año]]),"mmm"))</f>
        <v>Jul</v>
      </c>
      <c r="C255" s="7" t="str">
        <f t="shared" si="13"/>
        <v>Hábil</v>
      </c>
      <c r="D255" s="1">
        <v>777.23380952380955</v>
      </c>
      <c r="E255" s="1">
        <v>747.8097619047619</v>
      </c>
      <c r="F255" s="1">
        <v>722.91357142857146</v>
      </c>
      <c r="G255" s="1">
        <v>698.02428571428572</v>
      </c>
      <c r="H255" s="1">
        <v>691.64547619047619</v>
      </c>
      <c r="I255" s="1">
        <v>710.39976190476193</v>
      </c>
      <c r="J255" s="1">
        <v>735.91809523809525</v>
      </c>
      <c r="K255" s="1">
        <v>722.64095238095229</v>
      </c>
      <c r="L255" s="1">
        <v>637.61285714285714</v>
      </c>
      <c r="M255" s="1">
        <v>406.39833333333331</v>
      </c>
      <c r="N255" s="1">
        <v>277.80166666666668</v>
      </c>
      <c r="O255" s="1">
        <v>285.09047619047618</v>
      </c>
      <c r="P255" s="1">
        <v>123.77285714285715</v>
      </c>
      <c r="Q255" s="1">
        <v>92.608333333333334</v>
      </c>
      <c r="R255" s="1">
        <v>299.13642857142855</v>
      </c>
      <c r="S255" s="1">
        <v>455.46952380952382</v>
      </c>
      <c r="T255" s="1">
        <v>747.55857142857144</v>
      </c>
      <c r="U255" s="1">
        <v>1079.5923809523808</v>
      </c>
      <c r="V255" s="1">
        <v>1066.6104761904762</v>
      </c>
      <c r="W255" s="1">
        <v>976.52190476190469</v>
      </c>
      <c r="X255" s="1">
        <v>970.79452380952387</v>
      </c>
      <c r="Y255" s="1">
        <v>956.94904761904763</v>
      </c>
      <c r="Z255" s="1">
        <v>895.17119047619053</v>
      </c>
      <c r="AA255" s="1">
        <v>830.36285714285714</v>
      </c>
      <c r="AB255" s="26">
        <v>21</v>
      </c>
      <c r="AC255" s="8">
        <f t="shared" si="14"/>
        <v>334068.78000000003</v>
      </c>
      <c r="AM255"/>
    </row>
    <row r="256" spans="1:39" x14ac:dyDescent="0.25">
      <c r="A256" s="3">
        <f t="shared" si="12"/>
        <v>2033</v>
      </c>
      <c r="B256" s="5" t="str">
        <f>PROPER(TEXT(DATEVALUE("1/"&amp;MOD(ROUNDDOWN((ROW()-6+7*3)/3,0),12)+1&amp;"/"&amp;Tabla1[[#This Row],[Año]]),"mmm"))</f>
        <v>Jul</v>
      </c>
      <c r="C256" s="7" t="str">
        <f t="shared" si="13"/>
        <v>Sábado</v>
      </c>
      <c r="D256" s="1">
        <v>813.79875000000004</v>
      </c>
      <c r="E256" s="1">
        <v>785.57749999999999</v>
      </c>
      <c r="F256" s="1">
        <v>753.28625</v>
      </c>
      <c r="G256" s="1">
        <v>734.60500000000002</v>
      </c>
      <c r="H256" s="1">
        <v>726.27</v>
      </c>
      <c r="I256" s="1">
        <v>712.55624999999998</v>
      </c>
      <c r="J256" s="1">
        <v>640.93624999999997</v>
      </c>
      <c r="K256" s="1">
        <v>409.88249999999999</v>
      </c>
      <c r="L256" s="1">
        <v>287.99250000000001</v>
      </c>
      <c r="M256" s="1">
        <v>105.765</v>
      </c>
      <c r="N256" s="1">
        <v>101.39749999999999</v>
      </c>
      <c r="O256" s="1">
        <v>0</v>
      </c>
      <c r="P256" s="1">
        <v>0</v>
      </c>
      <c r="Q256" s="1">
        <v>0</v>
      </c>
      <c r="R256" s="1">
        <v>0</v>
      </c>
      <c r="S256" s="1">
        <v>40.316249999999997</v>
      </c>
      <c r="T256" s="1">
        <v>258.25125000000003</v>
      </c>
      <c r="U256" s="1">
        <v>607.15125</v>
      </c>
      <c r="V256" s="1">
        <v>858.05624999999998</v>
      </c>
      <c r="W256" s="1">
        <v>898.06375000000003</v>
      </c>
      <c r="X256" s="1">
        <v>894.5625</v>
      </c>
      <c r="Y256" s="1">
        <v>881.21</v>
      </c>
      <c r="Z256" s="1">
        <v>841.66875000000005</v>
      </c>
      <c r="AA256" s="1">
        <v>797.22249999999997</v>
      </c>
      <c r="AB256" s="26">
        <v>5</v>
      </c>
      <c r="AC256" s="8">
        <f t="shared" si="14"/>
        <v>60742.85</v>
      </c>
      <c r="AM256"/>
    </row>
    <row r="257" spans="1:39" x14ac:dyDescent="0.25">
      <c r="A257" s="3">
        <f t="shared" si="12"/>
        <v>2033</v>
      </c>
      <c r="B257" s="5" t="str">
        <f>PROPER(TEXT(DATEVALUE("1/"&amp;MOD(ROUNDDOWN((ROW()-6+7*3)/3,0),12)+1&amp;"/"&amp;Tabla1[[#This Row],[Año]]),"mmm"))</f>
        <v>Jul</v>
      </c>
      <c r="C257" s="7" t="str">
        <f t="shared" si="13"/>
        <v>Domingo y Festivo</v>
      </c>
      <c r="D257" s="1">
        <v>767.40749999999991</v>
      </c>
      <c r="E257" s="1">
        <v>745.98</v>
      </c>
      <c r="F257" s="1">
        <v>728.80916666666656</v>
      </c>
      <c r="G257" s="1">
        <v>709.74749999999995</v>
      </c>
      <c r="H257" s="1">
        <v>701.0866666666667</v>
      </c>
      <c r="I257" s="1">
        <v>679.61749999999995</v>
      </c>
      <c r="J257" s="1">
        <v>568.16166666666663</v>
      </c>
      <c r="K257" s="1">
        <v>161.14000000000001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5.3475000000000001</v>
      </c>
      <c r="T257" s="1">
        <v>162.04416666666665</v>
      </c>
      <c r="U257" s="1">
        <v>516.50249999999994</v>
      </c>
      <c r="V257" s="1">
        <v>769.26166666666666</v>
      </c>
      <c r="W257" s="1">
        <v>839.73333333333323</v>
      </c>
      <c r="X257" s="1">
        <v>863.92333333333329</v>
      </c>
      <c r="Y257" s="1">
        <v>861.94500000000005</v>
      </c>
      <c r="Z257" s="1">
        <v>812.42500000000007</v>
      </c>
      <c r="AA257" s="1">
        <v>758.22833333333335</v>
      </c>
      <c r="AB257" s="26">
        <v>5</v>
      </c>
      <c r="AC257" s="8">
        <f t="shared" si="14"/>
        <v>53256.804166666654</v>
      </c>
      <c r="AM257"/>
    </row>
    <row r="258" spans="1:39" x14ac:dyDescent="0.25">
      <c r="A258" s="3">
        <f t="shared" si="12"/>
        <v>2033</v>
      </c>
      <c r="B258" s="5" t="str">
        <f>PROPER(TEXT(DATEVALUE("1/"&amp;MOD(ROUNDDOWN((ROW()-6+7*3)/3,0),12)+1&amp;"/"&amp;Tabla1[[#This Row],[Año]]),"mmm"))</f>
        <v>Ago</v>
      </c>
      <c r="C258" s="7" t="str">
        <f t="shared" si="13"/>
        <v>Hábil</v>
      </c>
      <c r="D258" s="1">
        <v>777.23380952380955</v>
      </c>
      <c r="E258" s="1">
        <v>747.8097619047619</v>
      </c>
      <c r="F258" s="1">
        <v>722.91357142857146</v>
      </c>
      <c r="G258" s="1">
        <v>698.02428571428572</v>
      </c>
      <c r="H258" s="1">
        <v>691.64547619047619</v>
      </c>
      <c r="I258" s="1">
        <v>710.39976190476193</v>
      </c>
      <c r="J258" s="1">
        <v>735.91809523809525</v>
      </c>
      <c r="K258" s="1">
        <v>722.64095238095229</v>
      </c>
      <c r="L258" s="1">
        <v>637.61285714285714</v>
      </c>
      <c r="M258" s="1">
        <v>406.39833333333331</v>
      </c>
      <c r="N258" s="1">
        <v>277.80166666666668</v>
      </c>
      <c r="O258" s="1">
        <v>285.09047619047618</v>
      </c>
      <c r="P258" s="1">
        <v>123.77285714285715</v>
      </c>
      <c r="Q258" s="1">
        <v>92.608333333333334</v>
      </c>
      <c r="R258" s="1">
        <v>299.13642857142855</v>
      </c>
      <c r="S258" s="1">
        <v>455.46952380952382</v>
      </c>
      <c r="T258" s="1">
        <v>747.55857142857144</v>
      </c>
      <c r="U258" s="1">
        <v>1079.5923809523808</v>
      </c>
      <c r="V258" s="1">
        <v>1066.6104761904762</v>
      </c>
      <c r="W258" s="1">
        <v>976.52190476190469</v>
      </c>
      <c r="X258" s="1">
        <v>970.79452380952387</v>
      </c>
      <c r="Y258" s="1">
        <v>956.94904761904763</v>
      </c>
      <c r="Z258" s="1">
        <v>895.17119047619053</v>
      </c>
      <c r="AA258" s="1">
        <v>830.36285714285714</v>
      </c>
      <c r="AB258" s="26">
        <v>23</v>
      </c>
      <c r="AC258" s="8">
        <f t="shared" si="14"/>
        <v>365884.85428571433</v>
      </c>
      <c r="AM258"/>
    </row>
    <row r="259" spans="1:39" x14ac:dyDescent="0.25">
      <c r="A259" s="3">
        <f t="shared" si="12"/>
        <v>2033</v>
      </c>
      <c r="B259" s="5" t="str">
        <f>PROPER(TEXT(DATEVALUE("1/"&amp;MOD(ROUNDDOWN((ROW()-6+7*3)/3,0),12)+1&amp;"/"&amp;Tabla1[[#This Row],[Año]]),"mmm"))</f>
        <v>Ago</v>
      </c>
      <c r="C259" s="7" t="str">
        <f t="shared" si="13"/>
        <v>Sábado</v>
      </c>
      <c r="D259" s="1">
        <v>813.79875000000004</v>
      </c>
      <c r="E259" s="1">
        <v>785.57749999999999</v>
      </c>
      <c r="F259" s="1">
        <v>753.28625</v>
      </c>
      <c r="G259" s="1">
        <v>734.60500000000002</v>
      </c>
      <c r="H259" s="1">
        <v>726.27</v>
      </c>
      <c r="I259" s="1">
        <v>712.55624999999998</v>
      </c>
      <c r="J259" s="1">
        <v>640.93624999999997</v>
      </c>
      <c r="K259" s="1">
        <v>409.88249999999999</v>
      </c>
      <c r="L259" s="1">
        <v>287.99250000000001</v>
      </c>
      <c r="M259" s="1">
        <v>105.765</v>
      </c>
      <c r="N259" s="1">
        <v>101.39749999999999</v>
      </c>
      <c r="O259" s="1">
        <v>0</v>
      </c>
      <c r="P259" s="1">
        <v>0</v>
      </c>
      <c r="Q259" s="1">
        <v>0</v>
      </c>
      <c r="R259" s="1">
        <v>0</v>
      </c>
      <c r="S259" s="1">
        <v>40.316249999999997</v>
      </c>
      <c r="T259" s="1">
        <v>258.25125000000003</v>
      </c>
      <c r="U259" s="1">
        <v>607.15125</v>
      </c>
      <c r="V259" s="1">
        <v>858.05624999999998</v>
      </c>
      <c r="W259" s="1">
        <v>898.06375000000003</v>
      </c>
      <c r="X259" s="1">
        <v>894.5625</v>
      </c>
      <c r="Y259" s="1">
        <v>881.21</v>
      </c>
      <c r="Z259" s="1">
        <v>841.66875000000005</v>
      </c>
      <c r="AA259" s="1">
        <v>797.22249999999997</v>
      </c>
      <c r="AB259" s="26">
        <v>4</v>
      </c>
      <c r="AC259" s="8">
        <f t="shared" si="14"/>
        <v>48594.28</v>
      </c>
      <c r="AM259"/>
    </row>
    <row r="260" spans="1:39" x14ac:dyDescent="0.25">
      <c r="A260" s="3">
        <f t="shared" si="12"/>
        <v>2033</v>
      </c>
      <c r="B260" s="5" t="str">
        <f>PROPER(TEXT(DATEVALUE("1/"&amp;MOD(ROUNDDOWN((ROW()-6+7*3)/3,0),12)+1&amp;"/"&amp;Tabla1[[#This Row],[Año]]),"mmm"))</f>
        <v>Ago</v>
      </c>
      <c r="C260" s="7" t="str">
        <f t="shared" si="13"/>
        <v>Domingo y Festivo</v>
      </c>
      <c r="D260" s="1">
        <v>767.40749999999991</v>
      </c>
      <c r="E260" s="1">
        <v>745.98</v>
      </c>
      <c r="F260" s="1">
        <v>728.80916666666656</v>
      </c>
      <c r="G260" s="1">
        <v>709.74749999999995</v>
      </c>
      <c r="H260" s="1">
        <v>701.0866666666667</v>
      </c>
      <c r="I260" s="1">
        <v>679.61749999999995</v>
      </c>
      <c r="J260" s="1">
        <v>568.16166666666663</v>
      </c>
      <c r="K260" s="1">
        <v>161.14000000000001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5.3475000000000001</v>
      </c>
      <c r="T260" s="1">
        <v>162.04416666666665</v>
      </c>
      <c r="U260" s="1">
        <v>516.50249999999994</v>
      </c>
      <c r="V260" s="1">
        <v>769.26166666666666</v>
      </c>
      <c r="W260" s="1">
        <v>839.73333333333323</v>
      </c>
      <c r="X260" s="1">
        <v>863.92333333333329</v>
      </c>
      <c r="Y260" s="1">
        <v>861.94500000000005</v>
      </c>
      <c r="Z260" s="1">
        <v>812.42500000000007</v>
      </c>
      <c r="AA260" s="1">
        <v>758.22833333333335</v>
      </c>
      <c r="AB260" s="26">
        <v>4</v>
      </c>
      <c r="AC260" s="8">
        <f t="shared" si="14"/>
        <v>42605.443333333322</v>
      </c>
      <c r="AM260"/>
    </row>
    <row r="261" spans="1:39" x14ac:dyDescent="0.25">
      <c r="A261" s="3">
        <f t="shared" si="12"/>
        <v>2033</v>
      </c>
      <c r="B261" s="5" t="str">
        <f>PROPER(TEXT(DATEVALUE("1/"&amp;MOD(ROUNDDOWN((ROW()-6+7*3)/3,0),12)+1&amp;"/"&amp;Tabla1[[#This Row],[Año]]),"mmm"))</f>
        <v>Sep</v>
      </c>
      <c r="C261" s="7" t="str">
        <f t="shared" si="13"/>
        <v>Hábil</v>
      </c>
      <c r="D261" s="1">
        <v>777.23380952380955</v>
      </c>
      <c r="E261" s="1">
        <v>747.8097619047619</v>
      </c>
      <c r="F261" s="1">
        <v>722.91357142857146</v>
      </c>
      <c r="G261" s="1">
        <v>698.02428571428572</v>
      </c>
      <c r="H261" s="1">
        <v>691.64547619047619</v>
      </c>
      <c r="I261" s="1">
        <v>710.39976190476193</v>
      </c>
      <c r="J261" s="1">
        <v>735.91809523809525</v>
      </c>
      <c r="K261" s="1">
        <v>722.64095238095229</v>
      </c>
      <c r="L261" s="1">
        <v>637.61285714285714</v>
      </c>
      <c r="M261" s="1">
        <v>406.39833333333331</v>
      </c>
      <c r="N261" s="1">
        <v>277.80166666666668</v>
      </c>
      <c r="O261" s="1">
        <v>285.09047619047618</v>
      </c>
      <c r="P261" s="1">
        <v>123.77285714285715</v>
      </c>
      <c r="Q261" s="1">
        <v>92.608333333333334</v>
      </c>
      <c r="R261" s="1">
        <v>299.13642857142855</v>
      </c>
      <c r="S261" s="1">
        <v>455.46952380952382</v>
      </c>
      <c r="T261" s="1">
        <v>747.55857142857144</v>
      </c>
      <c r="U261" s="1">
        <v>1079.5923809523808</v>
      </c>
      <c r="V261" s="1">
        <v>1066.6104761904762</v>
      </c>
      <c r="W261" s="1">
        <v>976.52190476190469</v>
      </c>
      <c r="X261" s="1">
        <v>970.79452380952387</v>
      </c>
      <c r="Y261" s="1">
        <v>956.94904761904763</v>
      </c>
      <c r="Z261" s="1">
        <v>895.17119047619053</v>
      </c>
      <c r="AA261" s="1">
        <v>830.36285714285714</v>
      </c>
      <c r="AB261" s="26">
        <v>22</v>
      </c>
      <c r="AC261" s="8">
        <f t="shared" si="14"/>
        <v>349976.81714285718</v>
      </c>
      <c r="AM261"/>
    </row>
    <row r="262" spans="1:39" x14ac:dyDescent="0.25">
      <c r="A262" s="3">
        <f t="shared" ref="A262:A325" si="15">ROUNDDOWN((ROW()-6+3*7)/(12*3),0)+2026</f>
        <v>2033</v>
      </c>
      <c r="B262" s="5" t="str">
        <f>PROPER(TEXT(DATEVALUE("1/"&amp;MOD(ROUNDDOWN((ROW()-6+7*3)/3,0),12)+1&amp;"/"&amp;Tabla1[[#This Row],[Año]]),"mmm"))</f>
        <v>Sep</v>
      </c>
      <c r="C262" s="7" t="str">
        <f t="shared" ref="C262:C325" si="16">CHOOSE(MOD(ROW()-6,3)+1,"Hábil","Sábado","Domingo y Festivo")</f>
        <v>Sábado</v>
      </c>
      <c r="D262" s="1">
        <v>813.79875000000004</v>
      </c>
      <c r="E262" s="1">
        <v>785.57749999999999</v>
      </c>
      <c r="F262" s="1">
        <v>753.28625</v>
      </c>
      <c r="G262" s="1">
        <v>734.60500000000002</v>
      </c>
      <c r="H262" s="1">
        <v>726.27</v>
      </c>
      <c r="I262" s="1">
        <v>712.55624999999998</v>
      </c>
      <c r="J262" s="1">
        <v>640.93624999999997</v>
      </c>
      <c r="K262" s="1">
        <v>409.88249999999999</v>
      </c>
      <c r="L262" s="1">
        <v>287.99250000000001</v>
      </c>
      <c r="M262" s="1">
        <v>105.765</v>
      </c>
      <c r="N262" s="1">
        <v>101.39749999999999</v>
      </c>
      <c r="O262" s="1">
        <v>0</v>
      </c>
      <c r="P262" s="1">
        <v>0</v>
      </c>
      <c r="Q262" s="1">
        <v>0</v>
      </c>
      <c r="R262" s="1">
        <v>0</v>
      </c>
      <c r="S262" s="1">
        <v>40.316249999999997</v>
      </c>
      <c r="T262" s="1">
        <v>258.25125000000003</v>
      </c>
      <c r="U262" s="1">
        <v>607.15125</v>
      </c>
      <c r="V262" s="1">
        <v>858.05624999999998</v>
      </c>
      <c r="W262" s="1">
        <v>898.06375000000003</v>
      </c>
      <c r="X262" s="1">
        <v>894.5625</v>
      </c>
      <c r="Y262" s="1">
        <v>881.21</v>
      </c>
      <c r="Z262" s="1">
        <v>841.66875000000005</v>
      </c>
      <c r="AA262" s="1">
        <v>797.22249999999997</v>
      </c>
      <c r="AB262" s="26">
        <v>4</v>
      </c>
      <c r="AC262" s="8">
        <f t="shared" ref="AC262:AC325" si="17">AB262*SUM(D262:AA262)</f>
        <v>48594.28</v>
      </c>
      <c r="AM262"/>
    </row>
    <row r="263" spans="1:39" x14ac:dyDescent="0.25">
      <c r="A263" s="3">
        <f t="shared" si="15"/>
        <v>2033</v>
      </c>
      <c r="B263" s="5" t="str">
        <f>PROPER(TEXT(DATEVALUE("1/"&amp;MOD(ROUNDDOWN((ROW()-6+7*3)/3,0),12)+1&amp;"/"&amp;Tabla1[[#This Row],[Año]]),"mmm"))</f>
        <v>Sep</v>
      </c>
      <c r="C263" s="7" t="str">
        <f t="shared" si="16"/>
        <v>Domingo y Festivo</v>
      </c>
      <c r="D263" s="1">
        <v>767.40749999999991</v>
      </c>
      <c r="E263" s="1">
        <v>745.98</v>
      </c>
      <c r="F263" s="1">
        <v>728.80916666666656</v>
      </c>
      <c r="G263" s="1">
        <v>709.74749999999995</v>
      </c>
      <c r="H263" s="1">
        <v>701.0866666666667</v>
      </c>
      <c r="I263" s="1">
        <v>679.61749999999995</v>
      </c>
      <c r="J263" s="1">
        <v>568.16166666666663</v>
      </c>
      <c r="K263" s="1">
        <v>161.14000000000001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5.3475000000000001</v>
      </c>
      <c r="T263" s="1">
        <v>162.04416666666665</v>
      </c>
      <c r="U263" s="1">
        <v>516.50249999999994</v>
      </c>
      <c r="V263" s="1">
        <v>769.26166666666666</v>
      </c>
      <c r="W263" s="1">
        <v>839.73333333333323</v>
      </c>
      <c r="X263" s="1">
        <v>863.92333333333329</v>
      </c>
      <c r="Y263" s="1">
        <v>861.94500000000005</v>
      </c>
      <c r="Z263" s="1">
        <v>812.42500000000007</v>
      </c>
      <c r="AA263" s="1">
        <v>758.22833333333335</v>
      </c>
      <c r="AB263" s="26">
        <v>4</v>
      </c>
      <c r="AC263" s="8">
        <f t="shared" si="17"/>
        <v>42605.443333333322</v>
      </c>
      <c r="AM263"/>
    </row>
    <row r="264" spans="1:39" x14ac:dyDescent="0.25">
      <c r="A264" s="3">
        <f t="shared" si="15"/>
        <v>2033</v>
      </c>
      <c r="B264" s="5" t="str">
        <f>PROPER(TEXT(DATEVALUE("1/"&amp;MOD(ROUNDDOWN((ROW()-6+7*3)/3,0),12)+1&amp;"/"&amp;Tabla1[[#This Row],[Año]]),"mmm"))</f>
        <v>Oct</v>
      </c>
      <c r="C264" s="7" t="str">
        <f t="shared" si="16"/>
        <v>Hábil</v>
      </c>
      <c r="D264" s="1">
        <v>777.23380952380955</v>
      </c>
      <c r="E264" s="1">
        <v>747.8097619047619</v>
      </c>
      <c r="F264" s="1">
        <v>722.91357142857146</v>
      </c>
      <c r="G264" s="1">
        <v>698.02428571428572</v>
      </c>
      <c r="H264" s="1">
        <v>691.64547619047619</v>
      </c>
      <c r="I264" s="1">
        <v>710.39976190476193</v>
      </c>
      <c r="J264" s="1">
        <v>735.91809523809525</v>
      </c>
      <c r="K264" s="1">
        <v>722.64095238095229</v>
      </c>
      <c r="L264" s="1">
        <v>637.61285714285714</v>
      </c>
      <c r="M264" s="1">
        <v>406.39833333333331</v>
      </c>
      <c r="N264" s="1">
        <v>277.80166666666668</v>
      </c>
      <c r="O264" s="1">
        <v>285.09047619047618</v>
      </c>
      <c r="P264" s="1">
        <v>123.77285714285715</v>
      </c>
      <c r="Q264" s="1">
        <v>92.608333333333334</v>
      </c>
      <c r="R264" s="1">
        <v>299.13642857142855</v>
      </c>
      <c r="S264" s="1">
        <v>455.46952380952382</v>
      </c>
      <c r="T264" s="1">
        <v>747.55857142857144</v>
      </c>
      <c r="U264" s="1">
        <v>1079.5923809523808</v>
      </c>
      <c r="V264" s="1">
        <v>1066.6104761904762</v>
      </c>
      <c r="W264" s="1">
        <v>976.52190476190469</v>
      </c>
      <c r="X264" s="1">
        <v>970.79452380952387</v>
      </c>
      <c r="Y264" s="1">
        <v>956.94904761904763</v>
      </c>
      <c r="Z264" s="1">
        <v>895.17119047619053</v>
      </c>
      <c r="AA264" s="1">
        <v>830.36285714285714</v>
      </c>
      <c r="AB264" s="26">
        <v>21</v>
      </c>
      <c r="AC264" s="8">
        <f t="shared" si="17"/>
        <v>334068.78000000003</v>
      </c>
      <c r="AM264"/>
    </row>
    <row r="265" spans="1:39" x14ac:dyDescent="0.25">
      <c r="A265" s="3">
        <f t="shared" si="15"/>
        <v>2033</v>
      </c>
      <c r="B265" s="5" t="str">
        <f>PROPER(TEXT(DATEVALUE("1/"&amp;MOD(ROUNDDOWN((ROW()-6+7*3)/3,0),12)+1&amp;"/"&amp;Tabla1[[#This Row],[Año]]),"mmm"))</f>
        <v>Oct</v>
      </c>
      <c r="C265" s="7" t="str">
        <f t="shared" si="16"/>
        <v>Sábado</v>
      </c>
      <c r="D265" s="1">
        <v>813.79875000000004</v>
      </c>
      <c r="E265" s="1">
        <v>785.57749999999999</v>
      </c>
      <c r="F265" s="1">
        <v>753.28625</v>
      </c>
      <c r="G265" s="1">
        <v>734.60500000000002</v>
      </c>
      <c r="H265" s="1">
        <v>726.27</v>
      </c>
      <c r="I265" s="1">
        <v>712.55624999999998</v>
      </c>
      <c r="J265" s="1">
        <v>640.93624999999997</v>
      </c>
      <c r="K265" s="1">
        <v>409.88249999999999</v>
      </c>
      <c r="L265" s="1">
        <v>287.99250000000001</v>
      </c>
      <c r="M265" s="1">
        <v>105.765</v>
      </c>
      <c r="N265" s="1">
        <v>101.39749999999999</v>
      </c>
      <c r="O265" s="1">
        <v>0</v>
      </c>
      <c r="P265" s="1">
        <v>0</v>
      </c>
      <c r="Q265" s="1">
        <v>0</v>
      </c>
      <c r="R265" s="1">
        <v>0</v>
      </c>
      <c r="S265" s="1">
        <v>40.316249999999997</v>
      </c>
      <c r="T265" s="1">
        <v>258.25125000000003</v>
      </c>
      <c r="U265" s="1">
        <v>607.15125</v>
      </c>
      <c r="V265" s="1">
        <v>858.05624999999998</v>
      </c>
      <c r="W265" s="1">
        <v>898.06375000000003</v>
      </c>
      <c r="X265" s="1">
        <v>894.5625</v>
      </c>
      <c r="Y265" s="1">
        <v>881.21</v>
      </c>
      <c r="Z265" s="1">
        <v>841.66875000000005</v>
      </c>
      <c r="AA265" s="1">
        <v>797.22249999999997</v>
      </c>
      <c r="AB265" s="26">
        <v>5</v>
      </c>
      <c r="AC265" s="8">
        <f t="shared" si="17"/>
        <v>60742.85</v>
      </c>
      <c r="AM265"/>
    </row>
    <row r="266" spans="1:39" x14ac:dyDescent="0.25">
      <c r="A266" s="3">
        <f t="shared" si="15"/>
        <v>2033</v>
      </c>
      <c r="B266" s="5" t="str">
        <f>PROPER(TEXT(DATEVALUE("1/"&amp;MOD(ROUNDDOWN((ROW()-6+7*3)/3,0),12)+1&amp;"/"&amp;Tabla1[[#This Row],[Año]]),"mmm"))</f>
        <v>Oct</v>
      </c>
      <c r="C266" s="7" t="str">
        <f t="shared" si="16"/>
        <v>Domingo y Festivo</v>
      </c>
      <c r="D266" s="1">
        <v>767.40749999999991</v>
      </c>
      <c r="E266" s="1">
        <v>745.98</v>
      </c>
      <c r="F266" s="1">
        <v>728.80916666666656</v>
      </c>
      <c r="G266" s="1">
        <v>709.74749999999995</v>
      </c>
      <c r="H266" s="1">
        <v>701.0866666666667</v>
      </c>
      <c r="I266" s="1">
        <v>679.61749999999995</v>
      </c>
      <c r="J266" s="1">
        <v>568.16166666666663</v>
      </c>
      <c r="K266" s="1">
        <v>161.14000000000001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5.3475000000000001</v>
      </c>
      <c r="T266" s="1">
        <v>162.04416666666665</v>
      </c>
      <c r="U266" s="1">
        <v>516.50249999999994</v>
      </c>
      <c r="V266" s="1">
        <v>769.26166666666666</v>
      </c>
      <c r="W266" s="1">
        <v>839.73333333333323</v>
      </c>
      <c r="X266" s="1">
        <v>863.92333333333329</v>
      </c>
      <c r="Y266" s="1">
        <v>861.94500000000005</v>
      </c>
      <c r="Z266" s="1">
        <v>812.42500000000007</v>
      </c>
      <c r="AA266" s="1">
        <v>758.22833333333335</v>
      </c>
      <c r="AB266" s="26">
        <v>5</v>
      </c>
      <c r="AC266" s="8">
        <f t="shared" si="17"/>
        <v>53256.804166666654</v>
      </c>
      <c r="AM266"/>
    </row>
    <row r="267" spans="1:39" x14ac:dyDescent="0.25">
      <c r="A267" s="3">
        <f t="shared" si="15"/>
        <v>2033</v>
      </c>
      <c r="B267" s="5" t="str">
        <f>PROPER(TEXT(DATEVALUE("1/"&amp;MOD(ROUNDDOWN((ROW()-6+7*3)/3,0),12)+1&amp;"/"&amp;Tabla1[[#This Row],[Año]]),"mmm"))</f>
        <v>Nov</v>
      </c>
      <c r="C267" s="7" t="str">
        <f t="shared" si="16"/>
        <v>Hábil</v>
      </c>
      <c r="D267" s="1">
        <v>777.23380952380955</v>
      </c>
      <c r="E267" s="1">
        <v>747.8097619047619</v>
      </c>
      <c r="F267" s="1">
        <v>722.91357142857146</v>
      </c>
      <c r="G267" s="1">
        <v>698.02428571428572</v>
      </c>
      <c r="H267" s="1">
        <v>691.64547619047619</v>
      </c>
      <c r="I267" s="1">
        <v>710.39976190476193</v>
      </c>
      <c r="J267" s="1">
        <v>735.91809523809525</v>
      </c>
      <c r="K267" s="1">
        <v>722.64095238095229</v>
      </c>
      <c r="L267" s="1">
        <v>637.61285714285714</v>
      </c>
      <c r="M267" s="1">
        <v>406.39833333333331</v>
      </c>
      <c r="N267" s="1">
        <v>277.80166666666668</v>
      </c>
      <c r="O267" s="1">
        <v>285.09047619047618</v>
      </c>
      <c r="P267" s="1">
        <v>123.77285714285715</v>
      </c>
      <c r="Q267" s="1">
        <v>92.608333333333334</v>
      </c>
      <c r="R267" s="1">
        <v>299.13642857142855</v>
      </c>
      <c r="S267" s="1">
        <v>455.46952380952382</v>
      </c>
      <c r="T267" s="1">
        <v>747.55857142857144</v>
      </c>
      <c r="U267" s="1">
        <v>1079.5923809523808</v>
      </c>
      <c r="V267" s="1">
        <v>1066.6104761904762</v>
      </c>
      <c r="W267" s="1">
        <v>976.52190476190469</v>
      </c>
      <c r="X267" s="1">
        <v>970.79452380952387</v>
      </c>
      <c r="Y267" s="1">
        <v>956.94904761904763</v>
      </c>
      <c r="Z267" s="1">
        <v>895.17119047619053</v>
      </c>
      <c r="AA267" s="1">
        <v>830.36285714285714</v>
      </c>
      <c r="AB267" s="26">
        <v>22</v>
      </c>
      <c r="AC267" s="8">
        <f t="shared" si="17"/>
        <v>349976.81714285718</v>
      </c>
      <c r="AM267"/>
    </row>
    <row r="268" spans="1:39" x14ac:dyDescent="0.25">
      <c r="A268" s="3">
        <f t="shared" si="15"/>
        <v>2033</v>
      </c>
      <c r="B268" s="5" t="str">
        <f>PROPER(TEXT(DATEVALUE("1/"&amp;MOD(ROUNDDOWN((ROW()-6+7*3)/3,0),12)+1&amp;"/"&amp;Tabla1[[#This Row],[Año]]),"mmm"))</f>
        <v>Nov</v>
      </c>
      <c r="C268" s="7" t="str">
        <f t="shared" si="16"/>
        <v>Sábado</v>
      </c>
      <c r="D268" s="1">
        <v>813.79875000000004</v>
      </c>
      <c r="E268" s="1">
        <v>785.57749999999999</v>
      </c>
      <c r="F268" s="1">
        <v>753.28625</v>
      </c>
      <c r="G268" s="1">
        <v>734.60500000000002</v>
      </c>
      <c r="H268" s="1">
        <v>726.27</v>
      </c>
      <c r="I268" s="1">
        <v>712.55624999999998</v>
      </c>
      <c r="J268" s="1">
        <v>640.93624999999997</v>
      </c>
      <c r="K268" s="1">
        <v>409.88249999999999</v>
      </c>
      <c r="L268" s="1">
        <v>287.99250000000001</v>
      </c>
      <c r="M268" s="1">
        <v>105.765</v>
      </c>
      <c r="N268" s="1">
        <v>101.39749999999999</v>
      </c>
      <c r="O268" s="1">
        <v>0</v>
      </c>
      <c r="P268" s="1">
        <v>0</v>
      </c>
      <c r="Q268" s="1">
        <v>0</v>
      </c>
      <c r="R268" s="1">
        <v>0</v>
      </c>
      <c r="S268" s="1">
        <v>40.316249999999997</v>
      </c>
      <c r="T268" s="1">
        <v>258.25125000000003</v>
      </c>
      <c r="U268" s="1">
        <v>607.15125</v>
      </c>
      <c r="V268" s="1">
        <v>858.05624999999998</v>
      </c>
      <c r="W268" s="1">
        <v>898.06375000000003</v>
      </c>
      <c r="X268" s="1">
        <v>894.5625</v>
      </c>
      <c r="Y268" s="1">
        <v>881.21</v>
      </c>
      <c r="Z268" s="1">
        <v>841.66875000000005</v>
      </c>
      <c r="AA268" s="1">
        <v>797.22249999999997</v>
      </c>
      <c r="AB268" s="26">
        <v>4</v>
      </c>
      <c r="AC268" s="8">
        <f t="shared" si="17"/>
        <v>48594.28</v>
      </c>
      <c r="AM268"/>
    </row>
    <row r="269" spans="1:39" x14ac:dyDescent="0.25">
      <c r="A269" s="3">
        <f t="shared" si="15"/>
        <v>2033</v>
      </c>
      <c r="B269" s="5" t="str">
        <f>PROPER(TEXT(DATEVALUE("1/"&amp;MOD(ROUNDDOWN((ROW()-6+7*3)/3,0),12)+1&amp;"/"&amp;Tabla1[[#This Row],[Año]]),"mmm"))</f>
        <v>Nov</v>
      </c>
      <c r="C269" s="7" t="str">
        <f t="shared" si="16"/>
        <v>Domingo y Festivo</v>
      </c>
      <c r="D269" s="1">
        <v>767.40749999999991</v>
      </c>
      <c r="E269" s="1">
        <v>745.98</v>
      </c>
      <c r="F269" s="1">
        <v>728.80916666666656</v>
      </c>
      <c r="G269" s="1">
        <v>709.74749999999995</v>
      </c>
      <c r="H269" s="1">
        <v>701.0866666666667</v>
      </c>
      <c r="I269" s="1">
        <v>679.61749999999995</v>
      </c>
      <c r="J269" s="1">
        <v>568.16166666666663</v>
      </c>
      <c r="K269" s="1">
        <v>161.14000000000001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5.3475000000000001</v>
      </c>
      <c r="T269" s="1">
        <v>162.04416666666665</v>
      </c>
      <c r="U269" s="1">
        <v>516.50249999999994</v>
      </c>
      <c r="V269" s="1">
        <v>769.26166666666666</v>
      </c>
      <c r="W269" s="1">
        <v>839.73333333333323</v>
      </c>
      <c r="X269" s="1">
        <v>863.92333333333329</v>
      </c>
      <c r="Y269" s="1">
        <v>861.94500000000005</v>
      </c>
      <c r="Z269" s="1">
        <v>812.42500000000007</v>
      </c>
      <c r="AA269" s="1">
        <v>758.22833333333335</v>
      </c>
      <c r="AB269" s="26">
        <v>4</v>
      </c>
      <c r="AC269" s="8">
        <f t="shared" si="17"/>
        <v>42605.443333333322</v>
      </c>
      <c r="AM269"/>
    </row>
    <row r="270" spans="1:39" x14ac:dyDescent="0.25">
      <c r="A270" s="3">
        <f t="shared" si="15"/>
        <v>2033</v>
      </c>
      <c r="B270" s="5" t="str">
        <f>PROPER(TEXT(DATEVALUE("1/"&amp;MOD(ROUNDDOWN((ROW()-6+7*3)/3,0),12)+1&amp;"/"&amp;Tabla1[[#This Row],[Año]]),"mmm"))</f>
        <v>Dic</v>
      </c>
      <c r="C270" s="7" t="str">
        <f t="shared" si="16"/>
        <v>Hábil</v>
      </c>
      <c r="D270" s="1">
        <v>777.23380952380955</v>
      </c>
      <c r="E270" s="1">
        <v>747.8097619047619</v>
      </c>
      <c r="F270" s="1">
        <v>722.91357142857146</v>
      </c>
      <c r="G270" s="1">
        <v>698.02428571428572</v>
      </c>
      <c r="H270" s="1">
        <v>691.64547619047619</v>
      </c>
      <c r="I270" s="1">
        <v>710.39976190476193</v>
      </c>
      <c r="J270" s="1">
        <v>735.91809523809525</v>
      </c>
      <c r="K270" s="1">
        <v>722.64095238095229</v>
      </c>
      <c r="L270" s="1">
        <v>637.61285714285714</v>
      </c>
      <c r="M270" s="1">
        <v>406.39833333333331</v>
      </c>
      <c r="N270" s="1">
        <v>277.80166666666668</v>
      </c>
      <c r="O270" s="1">
        <v>285.09047619047618</v>
      </c>
      <c r="P270" s="1">
        <v>123.77285714285715</v>
      </c>
      <c r="Q270" s="1">
        <v>92.608333333333334</v>
      </c>
      <c r="R270" s="1">
        <v>299.13642857142855</v>
      </c>
      <c r="S270" s="1">
        <v>455.46952380952382</v>
      </c>
      <c r="T270" s="1">
        <v>747.55857142857144</v>
      </c>
      <c r="U270" s="1">
        <v>1079.5923809523808</v>
      </c>
      <c r="V270" s="1">
        <v>1066.6104761904762</v>
      </c>
      <c r="W270" s="1">
        <v>976.52190476190469</v>
      </c>
      <c r="X270" s="1">
        <v>970.79452380952387</v>
      </c>
      <c r="Y270" s="1">
        <v>956.94904761904763</v>
      </c>
      <c r="Z270" s="1">
        <v>895.17119047619053</v>
      </c>
      <c r="AA270" s="1">
        <v>830.36285714285714</v>
      </c>
      <c r="AB270" s="26">
        <v>22</v>
      </c>
      <c r="AC270" s="8">
        <f t="shared" si="17"/>
        <v>349976.81714285718</v>
      </c>
      <c r="AM270"/>
    </row>
    <row r="271" spans="1:39" x14ac:dyDescent="0.25">
      <c r="A271" s="3">
        <f t="shared" si="15"/>
        <v>2033</v>
      </c>
      <c r="B271" s="5" t="str">
        <f>PROPER(TEXT(DATEVALUE("1/"&amp;MOD(ROUNDDOWN((ROW()-6+7*3)/3,0),12)+1&amp;"/"&amp;Tabla1[[#This Row],[Año]]),"mmm"))</f>
        <v>Dic</v>
      </c>
      <c r="C271" s="7" t="str">
        <f t="shared" si="16"/>
        <v>Sábado</v>
      </c>
      <c r="D271" s="1">
        <v>813.79875000000004</v>
      </c>
      <c r="E271" s="1">
        <v>785.57749999999999</v>
      </c>
      <c r="F271" s="1">
        <v>753.28625</v>
      </c>
      <c r="G271" s="1">
        <v>734.60500000000002</v>
      </c>
      <c r="H271" s="1">
        <v>726.27</v>
      </c>
      <c r="I271" s="1">
        <v>712.55624999999998</v>
      </c>
      <c r="J271" s="1">
        <v>640.93624999999997</v>
      </c>
      <c r="K271" s="1">
        <v>409.88249999999999</v>
      </c>
      <c r="L271" s="1">
        <v>287.99250000000001</v>
      </c>
      <c r="M271" s="1">
        <v>105.765</v>
      </c>
      <c r="N271" s="1">
        <v>101.39749999999999</v>
      </c>
      <c r="O271" s="1">
        <v>0</v>
      </c>
      <c r="P271" s="1">
        <v>0</v>
      </c>
      <c r="Q271" s="1">
        <v>0</v>
      </c>
      <c r="R271" s="1">
        <v>0</v>
      </c>
      <c r="S271" s="1">
        <v>40.316249999999997</v>
      </c>
      <c r="T271" s="1">
        <v>258.25125000000003</v>
      </c>
      <c r="U271" s="1">
        <v>607.15125</v>
      </c>
      <c r="V271" s="1">
        <v>858.05624999999998</v>
      </c>
      <c r="W271" s="1">
        <v>898.06375000000003</v>
      </c>
      <c r="X271" s="1">
        <v>894.5625</v>
      </c>
      <c r="Y271" s="1">
        <v>881.21</v>
      </c>
      <c r="Z271" s="1">
        <v>841.66875000000005</v>
      </c>
      <c r="AA271" s="1">
        <v>797.22249999999997</v>
      </c>
      <c r="AB271" s="26">
        <v>5</v>
      </c>
      <c r="AC271" s="8">
        <f t="shared" si="17"/>
        <v>60742.85</v>
      </c>
      <c r="AM271"/>
    </row>
    <row r="272" spans="1:39" x14ac:dyDescent="0.25">
      <c r="A272" s="3">
        <f t="shared" si="15"/>
        <v>2033</v>
      </c>
      <c r="B272" s="5" t="str">
        <f>PROPER(TEXT(DATEVALUE("1/"&amp;MOD(ROUNDDOWN((ROW()-6+7*3)/3,0),12)+1&amp;"/"&amp;Tabla1[[#This Row],[Año]]),"mmm"))</f>
        <v>Dic</v>
      </c>
      <c r="C272" s="7" t="str">
        <f t="shared" si="16"/>
        <v>Domingo y Festivo</v>
      </c>
      <c r="D272" s="1">
        <v>767.40749999999991</v>
      </c>
      <c r="E272" s="1">
        <v>745.98</v>
      </c>
      <c r="F272" s="1">
        <v>728.80916666666656</v>
      </c>
      <c r="G272" s="1">
        <v>709.74749999999995</v>
      </c>
      <c r="H272" s="1">
        <v>701.0866666666667</v>
      </c>
      <c r="I272" s="1">
        <v>679.61749999999995</v>
      </c>
      <c r="J272" s="1">
        <v>568.16166666666663</v>
      </c>
      <c r="K272" s="1">
        <v>161.14000000000001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5.3475000000000001</v>
      </c>
      <c r="T272" s="1">
        <v>162.04416666666665</v>
      </c>
      <c r="U272" s="1">
        <v>516.50249999999994</v>
      </c>
      <c r="V272" s="1">
        <v>769.26166666666666</v>
      </c>
      <c r="W272" s="1">
        <v>839.73333333333323</v>
      </c>
      <c r="X272" s="1">
        <v>863.92333333333329</v>
      </c>
      <c r="Y272" s="1">
        <v>861.94500000000005</v>
      </c>
      <c r="Z272" s="1">
        <v>812.42500000000007</v>
      </c>
      <c r="AA272" s="1">
        <v>758.22833333333335</v>
      </c>
      <c r="AB272" s="26">
        <v>4</v>
      </c>
      <c r="AC272" s="8">
        <f t="shared" si="17"/>
        <v>42605.443333333322</v>
      </c>
      <c r="AM272"/>
    </row>
    <row r="273" spans="1:39" x14ac:dyDescent="0.25">
      <c r="A273" s="3">
        <f t="shared" si="15"/>
        <v>2034</v>
      </c>
      <c r="B273" s="5" t="str">
        <f>PROPER(TEXT(DATEVALUE("1/"&amp;MOD(ROUNDDOWN((ROW()-6+7*3)/3,0),12)+1&amp;"/"&amp;Tabla1[[#This Row],[Año]]),"mmm"))</f>
        <v>Ene</v>
      </c>
      <c r="C273" s="7" t="str">
        <f t="shared" si="16"/>
        <v>Hábil</v>
      </c>
      <c r="D273" s="1">
        <v>777.23380952380955</v>
      </c>
      <c r="E273" s="1">
        <v>747.8097619047619</v>
      </c>
      <c r="F273" s="1">
        <v>722.91357142857146</v>
      </c>
      <c r="G273" s="1">
        <v>698.02428571428572</v>
      </c>
      <c r="H273" s="1">
        <v>691.64547619047619</v>
      </c>
      <c r="I273" s="1">
        <v>710.39976190476193</v>
      </c>
      <c r="J273" s="1">
        <v>735.91809523809525</v>
      </c>
      <c r="K273" s="1">
        <v>722.64095238095229</v>
      </c>
      <c r="L273" s="1">
        <v>637.61285714285714</v>
      </c>
      <c r="M273" s="1">
        <v>406.39833333333331</v>
      </c>
      <c r="N273" s="1">
        <v>277.80166666666668</v>
      </c>
      <c r="O273" s="1">
        <v>285.09047619047618</v>
      </c>
      <c r="P273" s="1">
        <v>123.77285714285715</v>
      </c>
      <c r="Q273" s="1">
        <v>92.608333333333334</v>
      </c>
      <c r="R273" s="1">
        <v>299.13642857142855</v>
      </c>
      <c r="S273" s="1">
        <v>455.46952380952382</v>
      </c>
      <c r="T273" s="1">
        <v>747.55857142857144</v>
      </c>
      <c r="U273" s="1">
        <v>1079.5923809523808</v>
      </c>
      <c r="V273" s="1">
        <v>1066.6104761904762</v>
      </c>
      <c r="W273" s="1">
        <v>976.52190476190469</v>
      </c>
      <c r="X273" s="1">
        <v>970.79452380952387</v>
      </c>
      <c r="Y273" s="1">
        <v>956.94904761904763</v>
      </c>
      <c r="Z273" s="1">
        <v>895.17119047619053</v>
      </c>
      <c r="AA273" s="1">
        <v>830.36285714285714</v>
      </c>
      <c r="AB273" s="26">
        <v>22</v>
      </c>
      <c r="AC273" s="8">
        <f t="shared" si="17"/>
        <v>349976.81714285718</v>
      </c>
      <c r="AM273"/>
    </row>
    <row r="274" spans="1:39" x14ac:dyDescent="0.25">
      <c r="A274" s="3">
        <f t="shared" si="15"/>
        <v>2034</v>
      </c>
      <c r="B274" s="5" t="str">
        <f>PROPER(TEXT(DATEVALUE("1/"&amp;MOD(ROUNDDOWN((ROW()-6+7*3)/3,0),12)+1&amp;"/"&amp;Tabla1[[#This Row],[Año]]),"mmm"))</f>
        <v>Ene</v>
      </c>
      <c r="C274" s="7" t="str">
        <f t="shared" si="16"/>
        <v>Sábado</v>
      </c>
      <c r="D274" s="1">
        <v>813.79875000000004</v>
      </c>
      <c r="E274" s="1">
        <v>785.57749999999999</v>
      </c>
      <c r="F274" s="1">
        <v>753.28625</v>
      </c>
      <c r="G274" s="1">
        <v>734.60500000000002</v>
      </c>
      <c r="H274" s="1">
        <v>726.27</v>
      </c>
      <c r="I274" s="1">
        <v>712.55624999999998</v>
      </c>
      <c r="J274" s="1">
        <v>640.93624999999997</v>
      </c>
      <c r="K274" s="1">
        <v>409.88249999999999</v>
      </c>
      <c r="L274" s="1">
        <v>287.99250000000001</v>
      </c>
      <c r="M274" s="1">
        <v>105.765</v>
      </c>
      <c r="N274" s="1">
        <v>101.39749999999999</v>
      </c>
      <c r="O274" s="1">
        <v>0</v>
      </c>
      <c r="P274" s="1">
        <v>0</v>
      </c>
      <c r="Q274" s="1">
        <v>0</v>
      </c>
      <c r="R274" s="1">
        <v>0</v>
      </c>
      <c r="S274" s="1">
        <v>40.316249999999997</v>
      </c>
      <c r="T274" s="1">
        <v>258.25125000000003</v>
      </c>
      <c r="U274" s="1">
        <v>607.15125</v>
      </c>
      <c r="V274" s="1">
        <v>858.05624999999998</v>
      </c>
      <c r="W274" s="1">
        <v>898.06375000000003</v>
      </c>
      <c r="X274" s="1">
        <v>894.5625</v>
      </c>
      <c r="Y274" s="1">
        <v>881.21</v>
      </c>
      <c r="Z274" s="1">
        <v>841.66875000000005</v>
      </c>
      <c r="AA274" s="1">
        <v>797.22249999999997</v>
      </c>
      <c r="AB274" s="26">
        <v>4</v>
      </c>
      <c r="AC274" s="8">
        <f t="shared" si="17"/>
        <v>48594.28</v>
      </c>
      <c r="AM274"/>
    </row>
    <row r="275" spans="1:39" x14ac:dyDescent="0.25">
      <c r="A275" s="3">
        <f t="shared" si="15"/>
        <v>2034</v>
      </c>
      <c r="B275" s="5" t="str">
        <f>PROPER(TEXT(DATEVALUE("1/"&amp;MOD(ROUNDDOWN((ROW()-6+7*3)/3,0),12)+1&amp;"/"&amp;Tabla1[[#This Row],[Año]]),"mmm"))</f>
        <v>Ene</v>
      </c>
      <c r="C275" s="7" t="str">
        <f t="shared" si="16"/>
        <v>Domingo y Festivo</v>
      </c>
      <c r="D275" s="1">
        <v>767.40749999999991</v>
      </c>
      <c r="E275" s="1">
        <v>745.98</v>
      </c>
      <c r="F275" s="1">
        <v>728.80916666666656</v>
      </c>
      <c r="G275" s="1">
        <v>709.74749999999995</v>
      </c>
      <c r="H275" s="1">
        <v>701.0866666666667</v>
      </c>
      <c r="I275" s="1">
        <v>679.61749999999995</v>
      </c>
      <c r="J275" s="1">
        <v>568.16166666666663</v>
      </c>
      <c r="K275" s="1">
        <v>161.14000000000001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5.3475000000000001</v>
      </c>
      <c r="T275" s="1">
        <v>162.04416666666665</v>
      </c>
      <c r="U275" s="1">
        <v>516.50249999999994</v>
      </c>
      <c r="V275" s="1">
        <v>769.26166666666666</v>
      </c>
      <c r="W275" s="1">
        <v>839.73333333333323</v>
      </c>
      <c r="X275" s="1">
        <v>863.92333333333329</v>
      </c>
      <c r="Y275" s="1">
        <v>861.94500000000005</v>
      </c>
      <c r="Z275" s="1">
        <v>812.42500000000007</v>
      </c>
      <c r="AA275" s="1">
        <v>758.22833333333335</v>
      </c>
      <c r="AB275" s="26">
        <v>5</v>
      </c>
      <c r="AC275" s="8">
        <f t="shared" si="17"/>
        <v>53256.804166666654</v>
      </c>
      <c r="AM275"/>
    </row>
    <row r="276" spans="1:39" x14ac:dyDescent="0.25">
      <c r="A276" s="3">
        <f t="shared" si="15"/>
        <v>2034</v>
      </c>
      <c r="B276" s="5" t="str">
        <f>PROPER(TEXT(DATEVALUE("1/"&amp;MOD(ROUNDDOWN((ROW()-6+7*3)/3,0),12)+1&amp;"/"&amp;Tabla1[[#This Row],[Año]]),"mmm"))</f>
        <v>Feb</v>
      </c>
      <c r="C276" s="7" t="str">
        <f t="shared" si="16"/>
        <v>Hábil</v>
      </c>
      <c r="D276" s="1">
        <v>777.23380952380955</v>
      </c>
      <c r="E276" s="1">
        <v>747.8097619047619</v>
      </c>
      <c r="F276" s="1">
        <v>722.91357142857146</v>
      </c>
      <c r="G276" s="1">
        <v>698.02428571428572</v>
      </c>
      <c r="H276" s="1">
        <v>691.64547619047619</v>
      </c>
      <c r="I276" s="1">
        <v>710.39976190476193</v>
      </c>
      <c r="J276" s="1">
        <v>735.91809523809525</v>
      </c>
      <c r="K276" s="1">
        <v>722.64095238095229</v>
      </c>
      <c r="L276" s="1">
        <v>637.61285714285714</v>
      </c>
      <c r="M276" s="1">
        <v>406.39833333333331</v>
      </c>
      <c r="N276" s="1">
        <v>277.80166666666668</v>
      </c>
      <c r="O276" s="1">
        <v>285.09047619047618</v>
      </c>
      <c r="P276" s="1">
        <v>123.77285714285715</v>
      </c>
      <c r="Q276" s="1">
        <v>92.608333333333334</v>
      </c>
      <c r="R276" s="1">
        <v>299.13642857142855</v>
      </c>
      <c r="S276" s="1">
        <v>455.46952380952382</v>
      </c>
      <c r="T276" s="1">
        <v>747.55857142857144</v>
      </c>
      <c r="U276" s="1">
        <v>1079.5923809523808</v>
      </c>
      <c r="V276" s="1">
        <v>1066.6104761904762</v>
      </c>
      <c r="W276" s="1">
        <v>976.52190476190469</v>
      </c>
      <c r="X276" s="1">
        <v>970.79452380952387</v>
      </c>
      <c r="Y276" s="1">
        <v>956.94904761904763</v>
      </c>
      <c r="Z276" s="1">
        <v>895.17119047619053</v>
      </c>
      <c r="AA276" s="1">
        <v>830.36285714285714</v>
      </c>
      <c r="AB276" s="26">
        <v>20</v>
      </c>
      <c r="AC276" s="8">
        <f t="shared" si="17"/>
        <v>318160.74285714293</v>
      </c>
      <c r="AM276"/>
    </row>
    <row r="277" spans="1:39" x14ac:dyDescent="0.25">
      <c r="A277" s="3">
        <f t="shared" si="15"/>
        <v>2034</v>
      </c>
      <c r="B277" s="5" t="str">
        <f>PROPER(TEXT(DATEVALUE("1/"&amp;MOD(ROUNDDOWN((ROW()-6+7*3)/3,0),12)+1&amp;"/"&amp;Tabla1[[#This Row],[Año]]),"mmm"))</f>
        <v>Feb</v>
      </c>
      <c r="C277" s="7" t="str">
        <f t="shared" si="16"/>
        <v>Sábado</v>
      </c>
      <c r="D277" s="1">
        <v>813.79875000000004</v>
      </c>
      <c r="E277" s="1">
        <v>785.57749999999999</v>
      </c>
      <c r="F277" s="1">
        <v>753.28625</v>
      </c>
      <c r="G277" s="1">
        <v>734.60500000000002</v>
      </c>
      <c r="H277" s="1">
        <v>726.27</v>
      </c>
      <c r="I277" s="1">
        <v>712.55624999999998</v>
      </c>
      <c r="J277" s="1">
        <v>640.93624999999997</v>
      </c>
      <c r="K277" s="1">
        <v>409.88249999999999</v>
      </c>
      <c r="L277" s="1">
        <v>287.99250000000001</v>
      </c>
      <c r="M277" s="1">
        <v>105.765</v>
      </c>
      <c r="N277" s="1">
        <v>101.39749999999999</v>
      </c>
      <c r="O277" s="1">
        <v>0</v>
      </c>
      <c r="P277" s="1">
        <v>0</v>
      </c>
      <c r="Q277" s="1">
        <v>0</v>
      </c>
      <c r="R277" s="1">
        <v>0</v>
      </c>
      <c r="S277" s="1">
        <v>40.316249999999997</v>
      </c>
      <c r="T277" s="1">
        <v>258.25125000000003</v>
      </c>
      <c r="U277" s="1">
        <v>607.15125</v>
      </c>
      <c r="V277" s="1">
        <v>858.05624999999998</v>
      </c>
      <c r="W277" s="1">
        <v>898.06375000000003</v>
      </c>
      <c r="X277" s="1">
        <v>894.5625</v>
      </c>
      <c r="Y277" s="1">
        <v>881.21</v>
      </c>
      <c r="Z277" s="1">
        <v>841.66875000000005</v>
      </c>
      <c r="AA277" s="1">
        <v>797.22249999999997</v>
      </c>
      <c r="AB277" s="26">
        <v>4</v>
      </c>
      <c r="AC277" s="8">
        <f t="shared" si="17"/>
        <v>48594.28</v>
      </c>
      <c r="AM277"/>
    </row>
    <row r="278" spans="1:39" x14ac:dyDescent="0.25">
      <c r="A278" s="3">
        <f t="shared" si="15"/>
        <v>2034</v>
      </c>
      <c r="B278" s="5" t="str">
        <f>PROPER(TEXT(DATEVALUE("1/"&amp;MOD(ROUNDDOWN((ROW()-6+7*3)/3,0),12)+1&amp;"/"&amp;Tabla1[[#This Row],[Año]]),"mmm"))</f>
        <v>Feb</v>
      </c>
      <c r="C278" s="7" t="str">
        <f t="shared" si="16"/>
        <v>Domingo y Festivo</v>
      </c>
      <c r="D278" s="1">
        <v>767.40749999999991</v>
      </c>
      <c r="E278" s="1">
        <v>745.98</v>
      </c>
      <c r="F278" s="1">
        <v>728.80916666666656</v>
      </c>
      <c r="G278" s="1">
        <v>709.74749999999995</v>
      </c>
      <c r="H278" s="1">
        <v>701.0866666666667</v>
      </c>
      <c r="I278" s="1">
        <v>679.61749999999995</v>
      </c>
      <c r="J278" s="1">
        <v>568.16166666666663</v>
      </c>
      <c r="K278" s="1">
        <v>161.14000000000001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5.3475000000000001</v>
      </c>
      <c r="T278" s="1">
        <v>162.04416666666665</v>
      </c>
      <c r="U278" s="1">
        <v>516.50249999999994</v>
      </c>
      <c r="V278" s="1">
        <v>769.26166666666666</v>
      </c>
      <c r="W278" s="1">
        <v>839.73333333333323</v>
      </c>
      <c r="X278" s="1">
        <v>863.92333333333329</v>
      </c>
      <c r="Y278" s="1">
        <v>861.94500000000005</v>
      </c>
      <c r="Z278" s="1">
        <v>812.42500000000007</v>
      </c>
      <c r="AA278" s="1">
        <v>758.22833333333335</v>
      </c>
      <c r="AB278" s="26">
        <v>4</v>
      </c>
      <c r="AC278" s="8">
        <f t="shared" si="17"/>
        <v>42605.443333333322</v>
      </c>
      <c r="AM278"/>
    </row>
    <row r="279" spans="1:39" x14ac:dyDescent="0.25">
      <c r="A279" s="3">
        <f t="shared" si="15"/>
        <v>2034</v>
      </c>
      <c r="B279" s="5" t="str">
        <f>PROPER(TEXT(DATEVALUE("1/"&amp;MOD(ROUNDDOWN((ROW()-6+7*3)/3,0),12)+1&amp;"/"&amp;Tabla1[[#This Row],[Año]]),"mmm"))</f>
        <v>Mar</v>
      </c>
      <c r="C279" s="7" t="str">
        <f t="shared" si="16"/>
        <v>Hábil</v>
      </c>
      <c r="D279" s="1">
        <v>777.23380952380955</v>
      </c>
      <c r="E279" s="1">
        <v>747.8097619047619</v>
      </c>
      <c r="F279" s="1">
        <v>722.91357142857146</v>
      </c>
      <c r="G279" s="1">
        <v>698.02428571428572</v>
      </c>
      <c r="H279" s="1">
        <v>691.64547619047619</v>
      </c>
      <c r="I279" s="1">
        <v>710.39976190476193</v>
      </c>
      <c r="J279" s="1">
        <v>735.91809523809525</v>
      </c>
      <c r="K279" s="1">
        <v>722.64095238095229</v>
      </c>
      <c r="L279" s="1">
        <v>637.61285714285714</v>
      </c>
      <c r="M279" s="1">
        <v>406.39833333333331</v>
      </c>
      <c r="N279" s="1">
        <v>277.80166666666668</v>
      </c>
      <c r="O279" s="1">
        <v>285.09047619047618</v>
      </c>
      <c r="P279" s="1">
        <v>123.77285714285715</v>
      </c>
      <c r="Q279" s="1">
        <v>92.608333333333334</v>
      </c>
      <c r="R279" s="1">
        <v>299.13642857142855</v>
      </c>
      <c r="S279" s="1">
        <v>455.46952380952382</v>
      </c>
      <c r="T279" s="1">
        <v>747.55857142857144</v>
      </c>
      <c r="U279" s="1">
        <v>1079.5923809523808</v>
      </c>
      <c r="V279" s="1">
        <v>1066.6104761904762</v>
      </c>
      <c r="W279" s="1">
        <v>976.52190476190469</v>
      </c>
      <c r="X279" s="1">
        <v>970.79452380952387</v>
      </c>
      <c r="Y279" s="1">
        <v>956.94904761904763</v>
      </c>
      <c r="Z279" s="1">
        <v>895.17119047619053</v>
      </c>
      <c r="AA279" s="1">
        <v>830.36285714285714</v>
      </c>
      <c r="AB279" s="26">
        <v>23</v>
      </c>
      <c r="AC279" s="8">
        <f t="shared" si="17"/>
        <v>365884.85428571433</v>
      </c>
      <c r="AM279"/>
    </row>
    <row r="280" spans="1:39" x14ac:dyDescent="0.25">
      <c r="A280" s="3">
        <f t="shared" si="15"/>
        <v>2034</v>
      </c>
      <c r="B280" s="5" t="str">
        <f>PROPER(TEXT(DATEVALUE("1/"&amp;MOD(ROUNDDOWN((ROW()-6+7*3)/3,0),12)+1&amp;"/"&amp;Tabla1[[#This Row],[Año]]),"mmm"))</f>
        <v>Mar</v>
      </c>
      <c r="C280" s="7" t="str">
        <f t="shared" si="16"/>
        <v>Sábado</v>
      </c>
      <c r="D280" s="1">
        <v>813.79875000000004</v>
      </c>
      <c r="E280" s="1">
        <v>785.57749999999999</v>
      </c>
      <c r="F280" s="1">
        <v>753.28625</v>
      </c>
      <c r="G280" s="1">
        <v>734.60500000000002</v>
      </c>
      <c r="H280" s="1">
        <v>726.27</v>
      </c>
      <c r="I280" s="1">
        <v>712.55624999999998</v>
      </c>
      <c r="J280" s="1">
        <v>640.93624999999997</v>
      </c>
      <c r="K280" s="1">
        <v>409.88249999999999</v>
      </c>
      <c r="L280" s="1">
        <v>287.99250000000001</v>
      </c>
      <c r="M280" s="1">
        <v>105.765</v>
      </c>
      <c r="N280" s="1">
        <v>101.39749999999999</v>
      </c>
      <c r="O280" s="1">
        <v>0</v>
      </c>
      <c r="P280" s="1">
        <v>0</v>
      </c>
      <c r="Q280" s="1">
        <v>0</v>
      </c>
      <c r="R280" s="1">
        <v>0</v>
      </c>
      <c r="S280" s="1">
        <v>40.316249999999997</v>
      </c>
      <c r="T280" s="1">
        <v>258.25125000000003</v>
      </c>
      <c r="U280" s="1">
        <v>607.15125</v>
      </c>
      <c r="V280" s="1">
        <v>858.05624999999998</v>
      </c>
      <c r="W280" s="1">
        <v>898.06375000000003</v>
      </c>
      <c r="X280" s="1">
        <v>894.5625</v>
      </c>
      <c r="Y280" s="1">
        <v>881.21</v>
      </c>
      <c r="Z280" s="1">
        <v>841.66875000000005</v>
      </c>
      <c r="AA280" s="1">
        <v>797.22249999999997</v>
      </c>
      <c r="AB280" s="26">
        <v>4</v>
      </c>
      <c r="AC280" s="8">
        <f t="shared" si="17"/>
        <v>48594.28</v>
      </c>
      <c r="AM280"/>
    </row>
    <row r="281" spans="1:39" x14ac:dyDescent="0.25">
      <c r="A281" s="3">
        <f t="shared" si="15"/>
        <v>2034</v>
      </c>
      <c r="B281" s="5" t="str">
        <f>PROPER(TEXT(DATEVALUE("1/"&amp;MOD(ROUNDDOWN((ROW()-6+7*3)/3,0),12)+1&amp;"/"&amp;Tabla1[[#This Row],[Año]]),"mmm"))</f>
        <v>Mar</v>
      </c>
      <c r="C281" s="7" t="str">
        <f t="shared" si="16"/>
        <v>Domingo y Festivo</v>
      </c>
      <c r="D281" s="1">
        <v>767.40749999999991</v>
      </c>
      <c r="E281" s="1">
        <v>745.98</v>
      </c>
      <c r="F281" s="1">
        <v>728.80916666666656</v>
      </c>
      <c r="G281" s="1">
        <v>709.74749999999995</v>
      </c>
      <c r="H281" s="1">
        <v>701.0866666666667</v>
      </c>
      <c r="I281" s="1">
        <v>679.61749999999995</v>
      </c>
      <c r="J281" s="1">
        <v>568.16166666666663</v>
      </c>
      <c r="K281" s="1">
        <v>161.14000000000001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5.3475000000000001</v>
      </c>
      <c r="T281" s="1">
        <v>162.04416666666665</v>
      </c>
      <c r="U281" s="1">
        <v>516.50249999999994</v>
      </c>
      <c r="V281" s="1">
        <v>769.26166666666666</v>
      </c>
      <c r="W281" s="1">
        <v>839.73333333333323</v>
      </c>
      <c r="X281" s="1">
        <v>863.92333333333329</v>
      </c>
      <c r="Y281" s="1">
        <v>861.94500000000005</v>
      </c>
      <c r="Z281" s="1">
        <v>812.42500000000007</v>
      </c>
      <c r="AA281" s="1">
        <v>758.22833333333335</v>
      </c>
      <c r="AB281" s="26">
        <v>4</v>
      </c>
      <c r="AC281" s="8">
        <f t="shared" si="17"/>
        <v>42605.443333333322</v>
      </c>
      <c r="AM281"/>
    </row>
    <row r="282" spans="1:39" x14ac:dyDescent="0.25">
      <c r="A282" s="3">
        <f t="shared" si="15"/>
        <v>2034</v>
      </c>
      <c r="B282" s="5" t="str">
        <f>PROPER(TEXT(DATEVALUE("1/"&amp;MOD(ROUNDDOWN((ROW()-6+7*3)/3,0),12)+1&amp;"/"&amp;Tabla1[[#This Row],[Año]]),"mmm"))</f>
        <v>Abr</v>
      </c>
      <c r="C282" s="7" t="str">
        <f t="shared" si="16"/>
        <v>Hábil</v>
      </c>
      <c r="D282" s="1">
        <v>777.23380952380955</v>
      </c>
      <c r="E282" s="1">
        <v>747.8097619047619</v>
      </c>
      <c r="F282" s="1">
        <v>722.91357142857146</v>
      </c>
      <c r="G282" s="1">
        <v>698.02428571428572</v>
      </c>
      <c r="H282" s="1">
        <v>691.64547619047619</v>
      </c>
      <c r="I282" s="1">
        <v>710.39976190476193</v>
      </c>
      <c r="J282" s="1">
        <v>735.91809523809525</v>
      </c>
      <c r="K282" s="1">
        <v>722.64095238095229</v>
      </c>
      <c r="L282" s="1">
        <v>637.61285714285714</v>
      </c>
      <c r="M282" s="1">
        <v>406.39833333333331</v>
      </c>
      <c r="N282" s="1">
        <v>277.80166666666668</v>
      </c>
      <c r="O282" s="1">
        <v>285.09047619047618</v>
      </c>
      <c r="P282" s="1">
        <v>123.77285714285715</v>
      </c>
      <c r="Q282" s="1">
        <v>92.608333333333334</v>
      </c>
      <c r="R282" s="1">
        <v>299.13642857142855</v>
      </c>
      <c r="S282" s="1">
        <v>455.46952380952382</v>
      </c>
      <c r="T282" s="1">
        <v>747.55857142857144</v>
      </c>
      <c r="U282" s="1">
        <v>1079.5923809523808</v>
      </c>
      <c r="V282" s="1">
        <v>1066.6104761904762</v>
      </c>
      <c r="W282" s="1">
        <v>976.52190476190469</v>
      </c>
      <c r="X282" s="1">
        <v>970.79452380952387</v>
      </c>
      <c r="Y282" s="1">
        <v>956.94904761904763</v>
      </c>
      <c r="Z282" s="1">
        <v>895.17119047619053</v>
      </c>
      <c r="AA282" s="1">
        <v>830.36285714285714</v>
      </c>
      <c r="AB282" s="26">
        <v>20</v>
      </c>
      <c r="AC282" s="8">
        <f t="shared" si="17"/>
        <v>318160.74285714293</v>
      </c>
      <c r="AM282"/>
    </row>
    <row r="283" spans="1:39" x14ac:dyDescent="0.25">
      <c r="A283" s="3">
        <f t="shared" si="15"/>
        <v>2034</v>
      </c>
      <c r="B283" s="5" t="str">
        <f>PROPER(TEXT(DATEVALUE("1/"&amp;MOD(ROUNDDOWN((ROW()-6+7*3)/3,0),12)+1&amp;"/"&amp;Tabla1[[#This Row],[Año]]),"mmm"))</f>
        <v>Abr</v>
      </c>
      <c r="C283" s="7" t="str">
        <f t="shared" si="16"/>
        <v>Sábado</v>
      </c>
      <c r="D283" s="1">
        <v>813.79875000000004</v>
      </c>
      <c r="E283" s="1">
        <v>785.57749999999999</v>
      </c>
      <c r="F283" s="1">
        <v>753.28625</v>
      </c>
      <c r="G283" s="1">
        <v>734.60500000000002</v>
      </c>
      <c r="H283" s="1">
        <v>726.27</v>
      </c>
      <c r="I283" s="1">
        <v>712.55624999999998</v>
      </c>
      <c r="J283" s="1">
        <v>640.93624999999997</v>
      </c>
      <c r="K283" s="1">
        <v>409.88249999999999</v>
      </c>
      <c r="L283" s="1">
        <v>287.99250000000001</v>
      </c>
      <c r="M283" s="1">
        <v>105.765</v>
      </c>
      <c r="N283" s="1">
        <v>101.39749999999999</v>
      </c>
      <c r="O283" s="1">
        <v>0</v>
      </c>
      <c r="P283" s="1">
        <v>0</v>
      </c>
      <c r="Q283" s="1">
        <v>0</v>
      </c>
      <c r="R283" s="1">
        <v>0</v>
      </c>
      <c r="S283" s="1">
        <v>40.316249999999997</v>
      </c>
      <c r="T283" s="1">
        <v>258.25125000000003</v>
      </c>
      <c r="U283" s="1">
        <v>607.15125</v>
      </c>
      <c r="V283" s="1">
        <v>858.05624999999998</v>
      </c>
      <c r="W283" s="1">
        <v>898.06375000000003</v>
      </c>
      <c r="X283" s="1">
        <v>894.5625</v>
      </c>
      <c r="Y283" s="1">
        <v>881.21</v>
      </c>
      <c r="Z283" s="1">
        <v>841.66875000000005</v>
      </c>
      <c r="AA283" s="1">
        <v>797.22249999999997</v>
      </c>
      <c r="AB283" s="26">
        <v>5</v>
      </c>
      <c r="AC283" s="8">
        <f t="shared" si="17"/>
        <v>60742.85</v>
      </c>
      <c r="AM283"/>
    </row>
    <row r="284" spans="1:39" x14ac:dyDescent="0.25">
      <c r="A284" s="3">
        <f t="shared" si="15"/>
        <v>2034</v>
      </c>
      <c r="B284" s="5" t="str">
        <f>PROPER(TEXT(DATEVALUE("1/"&amp;MOD(ROUNDDOWN((ROW()-6+7*3)/3,0),12)+1&amp;"/"&amp;Tabla1[[#This Row],[Año]]),"mmm"))</f>
        <v>Abr</v>
      </c>
      <c r="C284" s="7" t="str">
        <f t="shared" si="16"/>
        <v>Domingo y Festivo</v>
      </c>
      <c r="D284" s="1">
        <v>767.40749999999991</v>
      </c>
      <c r="E284" s="1">
        <v>745.98</v>
      </c>
      <c r="F284" s="1">
        <v>728.80916666666656</v>
      </c>
      <c r="G284" s="1">
        <v>709.74749999999995</v>
      </c>
      <c r="H284" s="1">
        <v>701.0866666666667</v>
      </c>
      <c r="I284" s="1">
        <v>679.61749999999995</v>
      </c>
      <c r="J284" s="1">
        <v>568.16166666666663</v>
      </c>
      <c r="K284" s="1">
        <v>161.14000000000001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5.3475000000000001</v>
      </c>
      <c r="T284" s="1">
        <v>162.04416666666665</v>
      </c>
      <c r="U284" s="1">
        <v>516.50249999999994</v>
      </c>
      <c r="V284" s="1">
        <v>769.26166666666666</v>
      </c>
      <c r="W284" s="1">
        <v>839.73333333333323</v>
      </c>
      <c r="X284" s="1">
        <v>863.92333333333329</v>
      </c>
      <c r="Y284" s="1">
        <v>861.94500000000005</v>
      </c>
      <c r="Z284" s="1">
        <v>812.42500000000007</v>
      </c>
      <c r="AA284" s="1">
        <v>758.22833333333335</v>
      </c>
      <c r="AB284" s="26">
        <v>5</v>
      </c>
      <c r="AC284" s="8">
        <f t="shared" si="17"/>
        <v>53256.804166666654</v>
      </c>
      <c r="AM284"/>
    </row>
    <row r="285" spans="1:39" x14ac:dyDescent="0.25">
      <c r="A285" s="3">
        <f t="shared" si="15"/>
        <v>2034</v>
      </c>
      <c r="B285" s="5" t="str">
        <f>PROPER(TEXT(DATEVALUE("1/"&amp;MOD(ROUNDDOWN((ROW()-6+7*3)/3,0),12)+1&amp;"/"&amp;Tabla1[[#This Row],[Año]]),"mmm"))</f>
        <v>May</v>
      </c>
      <c r="C285" s="7" t="str">
        <f t="shared" si="16"/>
        <v>Hábil</v>
      </c>
      <c r="D285" s="1">
        <v>777.23380952380955</v>
      </c>
      <c r="E285" s="1">
        <v>747.8097619047619</v>
      </c>
      <c r="F285" s="1">
        <v>722.91357142857146</v>
      </c>
      <c r="G285" s="1">
        <v>698.02428571428572</v>
      </c>
      <c r="H285" s="1">
        <v>691.64547619047619</v>
      </c>
      <c r="I285" s="1">
        <v>710.39976190476193</v>
      </c>
      <c r="J285" s="1">
        <v>735.91809523809525</v>
      </c>
      <c r="K285" s="1">
        <v>722.64095238095229</v>
      </c>
      <c r="L285" s="1">
        <v>637.61285714285714</v>
      </c>
      <c r="M285" s="1">
        <v>406.39833333333331</v>
      </c>
      <c r="N285" s="1">
        <v>277.80166666666668</v>
      </c>
      <c r="O285" s="1">
        <v>285.09047619047618</v>
      </c>
      <c r="P285" s="1">
        <v>123.77285714285715</v>
      </c>
      <c r="Q285" s="1">
        <v>92.608333333333334</v>
      </c>
      <c r="R285" s="1">
        <v>299.13642857142855</v>
      </c>
      <c r="S285" s="1">
        <v>455.46952380952382</v>
      </c>
      <c r="T285" s="1">
        <v>747.55857142857144</v>
      </c>
      <c r="U285" s="1">
        <v>1079.5923809523808</v>
      </c>
      <c r="V285" s="1">
        <v>1066.6104761904762</v>
      </c>
      <c r="W285" s="1">
        <v>976.52190476190469</v>
      </c>
      <c r="X285" s="1">
        <v>970.79452380952387</v>
      </c>
      <c r="Y285" s="1">
        <v>956.94904761904763</v>
      </c>
      <c r="Z285" s="1">
        <v>895.17119047619053</v>
      </c>
      <c r="AA285" s="1">
        <v>830.36285714285714</v>
      </c>
      <c r="AB285" s="26">
        <v>23</v>
      </c>
      <c r="AC285" s="8">
        <f t="shared" si="17"/>
        <v>365884.85428571433</v>
      </c>
      <c r="AM285"/>
    </row>
    <row r="286" spans="1:39" x14ac:dyDescent="0.25">
      <c r="A286" s="3">
        <f t="shared" si="15"/>
        <v>2034</v>
      </c>
      <c r="B286" s="5" t="str">
        <f>PROPER(TEXT(DATEVALUE("1/"&amp;MOD(ROUNDDOWN((ROW()-6+7*3)/3,0),12)+1&amp;"/"&amp;Tabla1[[#This Row],[Año]]),"mmm"))</f>
        <v>May</v>
      </c>
      <c r="C286" s="7" t="str">
        <f t="shared" si="16"/>
        <v>Sábado</v>
      </c>
      <c r="D286" s="1">
        <v>813.79875000000004</v>
      </c>
      <c r="E286" s="1">
        <v>785.57749999999999</v>
      </c>
      <c r="F286" s="1">
        <v>753.28625</v>
      </c>
      <c r="G286" s="1">
        <v>734.60500000000002</v>
      </c>
      <c r="H286" s="1">
        <v>726.27</v>
      </c>
      <c r="I286" s="1">
        <v>712.55624999999998</v>
      </c>
      <c r="J286" s="1">
        <v>640.93624999999997</v>
      </c>
      <c r="K286" s="1">
        <v>409.88249999999999</v>
      </c>
      <c r="L286" s="1">
        <v>287.99250000000001</v>
      </c>
      <c r="M286" s="1">
        <v>105.765</v>
      </c>
      <c r="N286" s="1">
        <v>101.39749999999999</v>
      </c>
      <c r="O286" s="1">
        <v>0</v>
      </c>
      <c r="P286" s="1">
        <v>0</v>
      </c>
      <c r="Q286" s="1">
        <v>0</v>
      </c>
      <c r="R286" s="1">
        <v>0</v>
      </c>
      <c r="S286" s="1">
        <v>40.316249999999997</v>
      </c>
      <c r="T286" s="1">
        <v>258.25125000000003</v>
      </c>
      <c r="U286" s="1">
        <v>607.15125</v>
      </c>
      <c r="V286" s="1">
        <v>858.05624999999998</v>
      </c>
      <c r="W286" s="1">
        <v>898.06375000000003</v>
      </c>
      <c r="X286" s="1">
        <v>894.5625</v>
      </c>
      <c r="Y286" s="1">
        <v>881.21</v>
      </c>
      <c r="Z286" s="1">
        <v>841.66875000000005</v>
      </c>
      <c r="AA286" s="1">
        <v>797.22249999999997</v>
      </c>
      <c r="AB286" s="26">
        <v>4</v>
      </c>
      <c r="AC286" s="8">
        <f t="shared" si="17"/>
        <v>48594.28</v>
      </c>
      <c r="AM286"/>
    </row>
    <row r="287" spans="1:39" x14ac:dyDescent="0.25">
      <c r="A287" s="3">
        <f t="shared" si="15"/>
        <v>2034</v>
      </c>
      <c r="B287" s="5" t="str">
        <f>PROPER(TEXT(DATEVALUE("1/"&amp;MOD(ROUNDDOWN((ROW()-6+7*3)/3,0),12)+1&amp;"/"&amp;Tabla1[[#This Row],[Año]]),"mmm"))</f>
        <v>May</v>
      </c>
      <c r="C287" s="7" t="str">
        <f t="shared" si="16"/>
        <v>Domingo y Festivo</v>
      </c>
      <c r="D287" s="1">
        <v>767.40749999999991</v>
      </c>
      <c r="E287" s="1">
        <v>745.98</v>
      </c>
      <c r="F287" s="1">
        <v>728.80916666666656</v>
      </c>
      <c r="G287" s="1">
        <v>709.74749999999995</v>
      </c>
      <c r="H287" s="1">
        <v>701.0866666666667</v>
      </c>
      <c r="I287" s="1">
        <v>679.61749999999995</v>
      </c>
      <c r="J287" s="1">
        <v>568.16166666666663</v>
      </c>
      <c r="K287" s="1">
        <v>161.14000000000001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5.3475000000000001</v>
      </c>
      <c r="T287" s="1">
        <v>162.04416666666665</v>
      </c>
      <c r="U287" s="1">
        <v>516.50249999999994</v>
      </c>
      <c r="V287" s="1">
        <v>769.26166666666666</v>
      </c>
      <c r="W287" s="1">
        <v>839.73333333333323</v>
      </c>
      <c r="X287" s="1">
        <v>863.92333333333329</v>
      </c>
      <c r="Y287" s="1">
        <v>861.94500000000005</v>
      </c>
      <c r="Z287" s="1">
        <v>812.42500000000007</v>
      </c>
      <c r="AA287" s="1">
        <v>758.22833333333335</v>
      </c>
      <c r="AB287" s="26">
        <v>4</v>
      </c>
      <c r="AC287" s="8">
        <f t="shared" si="17"/>
        <v>42605.443333333322</v>
      </c>
      <c r="AM287"/>
    </row>
    <row r="288" spans="1:39" x14ac:dyDescent="0.25">
      <c r="A288" s="3">
        <f t="shared" si="15"/>
        <v>2034</v>
      </c>
      <c r="B288" s="5" t="str">
        <f>PROPER(TEXT(DATEVALUE("1/"&amp;MOD(ROUNDDOWN((ROW()-6+7*3)/3,0),12)+1&amp;"/"&amp;Tabla1[[#This Row],[Año]]),"mmm"))</f>
        <v>Jun</v>
      </c>
      <c r="C288" s="7" t="str">
        <f t="shared" si="16"/>
        <v>Hábil</v>
      </c>
      <c r="D288" s="1">
        <v>777.23380952380955</v>
      </c>
      <c r="E288" s="1">
        <v>747.8097619047619</v>
      </c>
      <c r="F288" s="1">
        <v>722.91357142857146</v>
      </c>
      <c r="G288" s="1">
        <v>698.02428571428572</v>
      </c>
      <c r="H288" s="1">
        <v>691.64547619047619</v>
      </c>
      <c r="I288" s="1">
        <v>710.39976190476193</v>
      </c>
      <c r="J288" s="1">
        <v>735.91809523809525</v>
      </c>
      <c r="K288" s="1">
        <v>722.64095238095229</v>
      </c>
      <c r="L288" s="1">
        <v>637.61285714285714</v>
      </c>
      <c r="M288" s="1">
        <v>406.39833333333331</v>
      </c>
      <c r="N288" s="1">
        <v>277.80166666666668</v>
      </c>
      <c r="O288" s="1">
        <v>285.09047619047618</v>
      </c>
      <c r="P288" s="1">
        <v>123.77285714285715</v>
      </c>
      <c r="Q288" s="1">
        <v>92.608333333333334</v>
      </c>
      <c r="R288" s="1">
        <v>299.13642857142855</v>
      </c>
      <c r="S288" s="1">
        <v>455.46952380952382</v>
      </c>
      <c r="T288" s="1">
        <v>747.55857142857144</v>
      </c>
      <c r="U288" s="1">
        <v>1079.5923809523808</v>
      </c>
      <c r="V288" s="1">
        <v>1066.6104761904762</v>
      </c>
      <c r="W288" s="1">
        <v>976.52190476190469</v>
      </c>
      <c r="X288" s="1">
        <v>970.79452380952387</v>
      </c>
      <c r="Y288" s="1">
        <v>956.94904761904763</v>
      </c>
      <c r="Z288" s="1">
        <v>895.17119047619053</v>
      </c>
      <c r="AA288" s="1">
        <v>830.36285714285714</v>
      </c>
      <c r="AB288" s="26">
        <v>22</v>
      </c>
      <c r="AC288" s="8">
        <f t="shared" si="17"/>
        <v>349976.81714285718</v>
      </c>
      <c r="AM288"/>
    </row>
    <row r="289" spans="1:39" x14ac:dyDescent="0.25">
      <c r="A289" s="3">
        <f t="shared" si="15"/>
        <v>2034</v>
      </c>
      <c r="B289" s="5" t="str">
        <f>PROPER(TEXT(DATEVALUE("1/"&amp;MOD(ROUNDDOWN((ROW()-6+7*3)/3,0),12)+1&amp;"/"&amp;Tabla1[[#This Row],[Año]]),"mmm"))</f>
        <v>Jun</v>
      </c>
      <c r="C289" s="7" t="str">
        <f t="shared" si="16"/>
        <v>Sábado</v>
      </c>
      <c r="D289" s="1">
        <v>813.79875000000004</v>
      </c>
      <c r="E289" s="1">
        <v>785.57749999999999</v>
      </c>
      <c r="F289" s="1">
        <v>753.28625</v>
      </c>
      <c r="G289" s="1">
        <v>734.60500000000002</v>
      </c>
      <c r="H289" s="1">
        <v>726.27</v>
      </c>
      <c r="I289" s="1">
        <v>712.55624999999998</v>
      </c>
      <c r="J289" s="1">
        <v>640.93624999999997</v>
      </c>
      <c r="K289" s="1">
        <v>409.88249999999999</v>
      </c>
      <c r="L289" s="1">
        <v>287.99250000000001</v>
      </c>
      <c r="M289" s="1">
        <v>105.765</v>
      </c>
      <c r="N289" s="1">
        <v>101.39749999999999</v>
      </c>
      <c r="O289" s="1">
        <v>0</v>
      </c>
      <c r="P289" s="1">
        <v>0</v>
      </c>
      <c r="Q289" s="1">
        <v>0</v>
      </c>
      <c r="R289" s="1">
        <v>0</v>
      </c>
      <c r="S289" s="1">
        <v>40.316249999999997</v>
      </c>
      <c r="T289" s="1">
        <v>258.25125000000003</v>
      </c>
      <c r="U289" s="1">
        <v>607.15125</v>
      </c>
      <c r="V289" s="1">
        <v>858.05624999999998</v>
      </c>
      <c r="W289" s="1">
        <v>898.06375000000003</v>
      </c>
      <c r="X289" s="1">
        <v>894.5625</v>
      </c>
      <c r="Y289" s="1">
        <v>881.21</v>
      </c>
      <c r="Z289" s="1">
        <v>841.66875000000005</v>
      </c>
      <c r="AA289" s="1">
        <v>797.22249999999997</v>
      </c>
      <c r="AB289" s="26">
        <v>4</v>
      </c>
      <c r="AC289" s="8">
        <f t="shared" si="17"/>
        <v>48594.28</v>
      </c>
      <c r="AM289"/>
    </row>
    <row r="290" spans="1:39" x14ac:dyDescent="0.25">
      <c r="A290" s="3">
        <f t="shared" si="15"/>
        <v>2034</v>
      </c>
      <c r="B290" s="5" t="str">
        <f>PROPER(TEXT(DATEVALUE("1/"&amp;MOD(ROUNDDOWN((ROW()-6+7*3)/3,0),12)+1&amp;"/"&amp;Tabla1[[#This Row],[Año]]),"mmm"))</f>
        <v>Jun</v>
      </c>
      <c r="C290" s="7" t="str">
        <f t="shared" si="16"/>
        <v>Domingo y Festivo</v>
      </c>
      <c r="D290" s="1">
        <v>767.40749999999991</v>
      </c>
      <c r="E290" s="1">
        <v>745.98</v>
      </c>
      <c r="F290" s="1">
        <v>728.80916666666656</v>
      </c>
      <c r="G290" s="1">
        <v>709.74749999999995</v>
      </c>
      <c r="H290" s="1">
        <v>701.0866666666667</v>
      </c>
      <c r="I290" s="1">
        <v>679.61749999999995</v>
      </c>
      <c r="J290" s="1">
        <v>568.16166666666663</v>
      </c>
      <c r="K290" s="1">
        <v>161.14000000000001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5.3475000000000001</v>
      </c>
      <c r="T290" s="1">
        <v>162.04416666666665</v>
      </c>
      <c r="U290" s="1">
        <v>516.50249999999994</v>
      </c>
      <c r="V290" s="1">
        <v>769.26166666666666</v>
      </c>
      <c r="W290" s="1">
        <v>839.73333333333323</v>
      </c>
      <c r="X290" s="1">
        <v>863.92333333333329</v>
      </c>
      <c r="Y290" s="1">
        <v>861.94500000000005</v>
      </c>
      <c r="Z290" s="1">
        <v>812.42500000000007</v>
      </c>
      <c r="AA290" s="1">
        <v>758.22833333333335</v>
      </c>
      <c r="AB290" s="26">
        <v>4</v>
      </c>
      <c r="AC290" s="8">
        <f t="shared" si="17"/>
        <v>42605.443333333322</v>
      </c>
      <c r="AM290"/>
    </row>
    <row r="291" spans="1:39" x14ac:dyDescent="0.25">
      <c r="A291" s="3">
        <f t="shared" si="15"/>
        <v>2034</v>
      </c>
      <c r="B291" s="5" t="str">
        <f>PROPER(TEXT(DATEVALUE("1/"&amp;MOD(ROUNDDOWN((ROW()-6+7*3)/3,0),12)+1&amp;"/"&amp;Tabla1[[#This Row],[Año]]),"mmm"))</f>
        <v>Jul</v>
      </c>
      <c r="C291" s="7" t="str">
        <f t="shared" si="16"/>
        <v>Hábil</v>
      </c>
      <c r="D291" s="1">
        <v>777.23380952380955</v>
      </c>
      <c r="E291" s="1">
        <v>747.8097619047619</v>
      </c>
      <c r="F291" s="1">
        <v>722.91357142857146</v>
      </c>
      <c r="G291" s="1">
        <v>698.02428571428572</v>
      </c>
      <c r="H291" s="1">
        <v>691.64547619047619</v>
      </c>
      <c r="I291" s="1">
        <v>710.39976190476193</v>
      </c>
      <c r="J291" s="1">
        <v>735.91809523809525</v>
      </c>
      <c r="K291" s="1">
        <v>722.64095238095229</v>
      </c>
      <c r="L291" s="1">
        <v>637.61285714285714</v>
      </c>
      <c r="M291" s="1">
        <v>406.39833333333331</v>
      </c>
      <c r="N291" s="1">
        <v>277.80166666666668</v>
      </c>
      <c r="O291" s="1">
        <v>285.09047619047618</v>
      </c>
      <c r="P291" s="1">
        <v>123.77285714285715</v>
      </c>
      <c r="Q291" s="1">
        <v>92.608333333333334</v>
      </c>
      <c r="R291" s="1">
        <v>299.13642857142855</v>
      </c>
      <c r="S291" s="1">
        <v>455.46952380952382</v>
      </c>
      <c r="T291" s="1">
        <v>747.55857142857144</v>
      </c>
      <c r="U291" s="1">
        <v>1079.5923809523808</v>
      </c>
      <c r="V291" s="1">
        <v>1066.6104761904762</v>
      </c>
      <c r="W291" s="1">
        <v>976.52190476190469</v>
      </c>
      <c r="X291" s="1">
        <v>970.79452380952387</v>
      </c>
      <c r="Y291" s="1">
        <v>956.94904761904763</v>
      </c>
      <c r="Z291" s="1">
        <v>895.17119047619053</v>
      </c>
      <c r="AA291" s="1">
        <v>830.36285714285714</v>
      </c>
      <c r="AB291" s="26">
        <v>21</v>
      </c>
      <c r="AC291" s="8">
        <f t="shared" si="17"/>
        <v>334068.78000000003</v>
      </c>
      <c r="AM291"/>
    </row>
    <row r="292" spans="1:39" x14ac:dyDescent="0.25">
      <c r="A292" s="3">
        <f t="shared" si="15"/>
        <v>2034</v>
      </c>
      <c r="B292" s="5" t="str">
        <f>PROPER(TEXT(DATEVALUE("1/"&amp;MOD(ROUNDDOWN((ROW()-6+7*3)/3,0),12)+1&amp;"/"&amp;Tabla1[[#This Row],[Año]]),"mmm"))</f>
        <v>Jul</v>
      </c>
      <c r="C292" s="7" t="str">
        <f t="shared" si="16"/>
        <v>Sábado</v>
      </c>
      <c r="D292" s="1">
        <v>813.79875000000004</v>
      </c>
      <c r="E292" s="1">
        <v>785.57749999999999</v>
      </c>
      <c r="F292" s="1">
        <v>753.28625</v>
      </c>
      <c r="G292" s="1">
        <v>734.60500000000002</v>
      </c>
      <c r="H292" s="1">
        <v>726.27</v>
      </c>
      <c r="I292" s="1">
        <v>712.55624999999998</v>
      </c>
      <c r="J292" s="1">
        <v>640.93624999999997</v>
      </c>
      <c r="K292" s="1">
        <v>409.88249999999999</v>
      </c>
      <c r="L292" s="1">
        <v>287.99250000000001</v>
      </c>
      <c r="M292" s="1">
        <v>105.765</v>
      </c>
      <c r="N292" s="1">
        <v>101.39749999999999</v>
      </c>
      <c r="O292" s="1">
        <v>0</v>
      </c>
      <c r="P292" s="1">
        <v>0</v>
      </c>
      <c r="Q292" s="1">
        <v>0</v>
      </c>
      <c r="R292" s="1">
        <v>0</v>
      </c>
      <c r="S292" s="1">
        <v>40.316249999999997</v>
      </c>
      <c r="T292" s="1">
        <v>258.25125000000003</v>
      </c>
      <c r="U292" s="1">
        <v>607.15125</v>
      </c>
      <c r="V292" s="1">
        <v>858.05624999999998</v>
      </c>
      <c r="W292" s="1">
        <v>898.06375000000003</v>
      </c>
      <c r="X292" s="1">
        <v>894.5625</v>
      </c>
      <c r="Y292" s="1">
        <v>881.21</v>
      </c>
      <c r="Z292" s="1">
        <v>841.66875000000005</v>
      </c>
      <c r="AA292" s="1">
        <v>797.22249999999997</v>
      </c>
      <c r="AB292" s="26">
        <v>5</v>
      </c>
      <c r="AC292" s="8">
        <f t="shared" si="17"/>
        <v>60742.85</v>
      </c>
      <c r="AM292"/>
    </row>
    <row r="293" spans="1:39" x14ac:dyDescent="0.25">
      <c r="A293" s="3">
        <f t="shared" si="15"/>
        <v>2034</v>
      </c>
      <c r="B293" s="5" t="str">
        <f>PROPER(TEXT(DATEVALUE("1/"&amp;MOD(ROUNDDOWN((ROW()-6+7*3)/3,0),12)+1&amp;"/"&amp;Tabla1[[#This Row],[Año]]),"mmm"))</f>
        <v>Jul</v>
      </c>
      <c r="C293" s="7" t="str">
        <f t="shared" si="16"/>
        <v>Domingo y Festivo</v>
      </c>
      <c r="D293" s="1">
        <v>767.40749999999991</v>
      </c>
      <c r="E293" s="1">
        <v>745.98</v>
      </c>
      <c r="F293" s="1">
        <v>728.80916666666656</v>
      </c>
      <c r="G293" s="1">
        <v>709.74749999999995</v>
      </c>
      <c r="H293" s="1">
        <v>701.0866666666667</v>
      </c>
      <c r="I293" s="1">
        <v>679.61749999999995</v>
      </c>
      <c r="J293" s="1">
        <v>568.16166666666663</v>
      </c>
      <c r="K293" s="1">
        <v>161.14000000000001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5.3475000000000001</v>
      </c>
      <c r="T293" s="1">
        <v>162.04416666666665</v>
      </c>
      <c r="U293" s="1">
        <v>516.50249999999994</v>
      </c>
      <c r="V293" s="1">
        <v>769.26166666666666</v>
      </c>
      <c r="W293" s="1">
        <v>839.73333333333323</v>
      </c>
      <c r="X293" s="1">
        <v>863.92333333333329</v>
      </c>
      <c r="Y293" s="1">
        <v>861.94500000000005</v>
      </c>
      <c r="Z293" s="1">
        <v>812.42500000000007</v>
      </c>
      <c r="AA293" s="1">
        <v>758.22833333333335</v>
      </c>
      <c r="AB293" s="26">
        <v>5</v>
      </c>
      <c r="AC293" s="8">
        <f t="shared" si="17"/>
        <v>53256.804166666654</v>
      </c>
      <c r="AM293"/>
    </row>
    <row r="294" spans="1:39" x14ac:dyDescent="0.25">
      <c r="A294" s="3">
        <f t="shared" si="15"/>
        <v>2034</v>
      </c>
      <c r="B294" s="5" t="str">
        <f>PROPER(TEXT(DATEVALUE("1/"&amp;MOD(ROUNDDOWN((ROW()-6+7*3)/3,0),12)+1&amp;"/"&amp;Tabla1[[#This Row],[Año]]),"mmm"))</f>
        <v>Ago</v>
      </c>
      <c r="C294" s="7" t="str">
        <f t="shared" si="16"/>
        <v>Hábil</v>
      </c>
      <c r="D294" s="1">
        <v>777.23380952380955</v>
      </c>
      <c r="E294" s="1">
        <v>747.8097619047619</v>
      </c>
      <c r="F294" s="1">
        <v>722.91357142857146</v>
      </c>
      <c r="G294" s="1">
        <v>698.02428571428572</v>
      </c>
      <c r="H294" s="1">
        <v>691.64547619047619</v>
      </c>
      <c r="I294" s="1">
        <v>710.39976190476193</v>
      </c>
      <c r="J294" s="1">
        <v>735.91809523809525</v>
      </c>
      <c r="K294" s="1">
        <v>722.64095238095229</v>
      </c>
      <c r="L294" s="1">
        <v>637.61285714285714</v>
      </c>
      <c r="M294" s="1">
        <v>406.39833333333331</v>
      </c>
      <c r="N294" s="1">
        <v>277.80166666666668</v>
      </c>
      <c r="O294" s="1">
        <v>285.09047619047618</v>
      </c>
      <c r="P294" s="1">
        <v>123.77285714285715</v>
      </c>
      <c r="Q294" s="1">
        <v>92.608333333333334</v>
      </c>
      <c r="R294" s="1">
        <v>299.13642857142855</v>
      </c>
      <c r="S294" s="1">
        <v>455.46952380952382</v>
      </c>
      <c r="T294" s="1">
        <v>747.55857142857144</v>
      </c>
      <c r="U294" s="1">
        <v>1079.5923809523808</v>
      </c>
      <c r="V294" s="1">
        <v>1066.6104761904762</v>
      </c>
      <c r="W294" s="1">
        <v>976.52190476190469</v>
      </c>
      <c r="X294" s="1">
        <v>970.79452380952387</v>
      </c>
      <c r="Y294" s="1">
        <v>956.94904761904763</v>
      </c>
      <c r="Z294" s="1">
        <v>895.17119047619053</v>
      </c>
      <c r="AA294" s="1">
        <v>830.36285714285714</v>
      </c>
      <c r="AB294" s="26">
        <v>23</v>
      </c>
      <c r="AC294" s="8">
        <f t="shared" si="17"/>
        <v>365884.85428571433</v>
      </c>
      <c r="AM294"/>
    </row>
    <row r="295" spans="1:39" x14ac:dyDescent="0.25">
      <c r="A295" s="3">
        <f t="shared" si="15"/>
        <v>2034</v>
      </c>
      <c r="B295" s="5" t="str">
        <f>PROPER(TEXT(DATEVALUE("1/"&amp;MOD(ROUNDDOWN((ROW()-6+7*3)/3,0),12)+1&amp;"/"&amp;Tabla1[[#This Row],[Año]]),"mmm"))</f>
        <v>Ago</v>
      </c>
      <c r="C295" s="7" t="str">
        <f t="shared" si="16"/>
        <v>Sábado</v>
      </c>
      <c r="D295" s="1">
        <v>813.79875000000004</v>
      </c>
      <c r="E295" s="1">
        <v>785.57749999999999</v>
      </c>
      <c r="F295" s="1">
        <v>753.28625</v>
      </c>
      <c r="G295" s="1">
        <v>734.60500000000002</v>
      </c>
      <c r="H295" s="1">
        <v>726.27</v>
      </c>
      <c r="I295" s="1">
        <v>712.55624999999998</v>
      </c>
      <c r="J295" s="1">
        <v>640.93624999999997</v>
      </c>
      <c r="K295" s="1">
        <v>409.88249999999999</v>
      </c>
      <c r="L295" s="1">
        <v>287.99250000000001</v>
      </c>
      <c r="M295" s="1">
        <v>105.765</v>
      </c>
      <c r="N295" s="1">
        <v>101.39749999999999</v>
      </c>
      <c r="O295" s="1">
        <v>0</v>
      </c>
      <c r="P295" s="1">
        <v>0</v>
      </c>
      <c r="Q295" s="1">
        <v>0</v>
      </c>
      <c r="R295" s="1">
        <v>0</v>
      </c>
      <c r="S295" s="1">
        <v>40.316249999999997</v>
      </c>
      <c r="T295" s="1">
        <v>258.25125000000003</v>
      </c>
      <c r="U295" s="1">
        <v>607.15125</v>
      </c>
      <c r="V295" s="1">
        <v>858.05624999999998</v>
      </c>
      <c r="W295" s="1">
        <v>898.06375000000003</v>
      </c>
      <c r="X295" s="1">
        <v>894.5625</v>
      </c>
      <c r="Y295" s="1">
        <v>881.21</v>
      </c>
      <c r="Z295" s="1">
        <v>841.66875000000005</v>
      </c>
      <c r="AA295" s="1">
        <v>797.22249999999997</v>
      </c>
      <c r="AB295" s="26">
        <v>4</v>
      </c>
      <c r="AC295" s="8">
        <f t="shared" si="17"/>
        <v>48594.28</v>
      </c>
      <c r="AM295"/>
    </row>
    <row r="296" spans="1:39" x14ac:dyDescent="0.25">
      <c r="A296" s="3">
        <f t="shared" si="15"/>
        <v>2034</v>
      </c>
      <c r="B296" s="5" t="str">
        <f>PROPER(TEXT(DATEVALUE("1/"&amp;MOD(ROUNDDOWN((ROW()-6+7*3)/3,0),12)+1&amp;"/"&amp;Tabla1[[#This Row],[Año]]),"mmm"))</f>
        <v>Ago</v>
      </c>
      <c r="C296" s="7" t="str">
        <f t="shared" si="16"/>
        <v>Domingo y Festivo</v>
      </c>
      <c r="D296" s="1">
        <v>767.40749999999991</v>
      </c>
      <c r="E296" s="1">
        <v>745.98</v>
      </c>
      <c r="F296" s="1">
        <v>728.80916666666656</v>
      </c>
      <c r="G296" s="1">
        <v>709.74749999999995</v>
      </c>
      <c r="H296" s="1">
        <v>701.0866666666667</v>
      </c>
      <c r="I296" s="1">
        <v>679.61749999999995</v>
      </c>
      <c r="J296" s="1">
        <v>568.16166666666663</v>
      </c>
      <c r="K296" s="1">
        <v>161.14000000000001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5.3475000000000001</v>
      </c>
      <c r="T296" s="1">
        <v>162.04416666666665</v>
      </c>
      <c r="U296" s="1">
        <v>516.50249999999994</v>
      </c>
      <c r="V296" s="1">
        <v>769.26166666666666</v>
      </c>
      <c r="W296" s="1">
        <v>839.73333333333323</v>
      </c>
      <c r="X296" s="1">
        <v>863.92333333333329</v>
      </c>
      <c r="Y296" s="1">
        <v>861.94500000000005</v>
      </c>
      <c r="Z296" s="1">
        <v>812.42500000000007</v>
      </c>
      <c r="AA296" s="1">
        <v>758.22833333333335</v>
      </c>
      <c r="AB296" s="26">
        <v>4</v>
      </c>
      <c r="AC296" s="8">
        <f t="shared" si="17"/>
        <v>42605.443333333322</v>
      </c>
      <c r="AM296"/>
    </row>
    <row r="297" spans="1:39" x14ac:dyDescent="0.25">
      <c r="A297" s="3">
        <f t="shared" si="15"/>
        <v>2034</v>
      </c>
      <c r="B297" s="5" t="str">
        <f>PROPER(TEXT(DATEVALUE("1/"&amp;MOD(ROUNDDOWN((ROW()-6+7*3)/3,0),12)+1&amp;"/"&amp;Tabla1[[#This Row],[Año]]),"mmm"))</f>
        <v>Sep</v>
      </c>
      <c r="C297" s="7" t="str">
        <f t="shared" si="16"/>
        <v>Hábil</v>
      </c>
      <c r="D297" s="1">
        <v>777.23380952380955</v>
      </c>
      <c r="E297" s="1">
        <v>747.8097619047619</v>
      </c>
      <c r="F297" s="1">
        <v>722.91357142857146</v>
      </c>
      <c r="G297" s="1">
        <v>698.02428571428572</v>
      </c>
      <c r="H297" s="1">
        <v>691.64547619047619</v>
      </c>
      <c r="I297" s="1">
        <v>710.39976190476193</v>
      </c>
      <c r="J297" s="1">
        <v>735.91809523809525</v>
      </c>
      <c r="K297" s="1">
        <v>722.64095238095229</v>
      </c>
      <c r="L297" s="1">
        <v>637.61285714285714</v>
      </c>
      <c r="M297" s="1">
        <v>406.39833333333331</v>
      </c>
      <c r="N297" s="1">
        <v>277.80166666666668</v>
      </c>
      <c r="O297" s="1">
        <v>285.09047619047618</v>
      </c>
      <c r="P297" s="1">
        <v>123.77285714285715</v>
      </c>
      <c r="Q297" s="1">
        <v>92.608333333333334</v>
      </c>
      <c r="R297" s="1">
        <v>299.13642857142855</v>
      </c>
      <c r="S297" s="1">
        <v>455.46952380952382</v>
      </c>
      <c r="T297" s="1">
        <v>747.55857142857144</v>
      </c>
      <c r="U297" s="1">
        <v>1079.5923809523808</v>
      </c>
      <c r="V297" s="1">
        <v>1066.6104761904762</v>
      </c>
      <c r="W297" s="1">
        <v>976.52190476190469</v>
      </c>
      <c r="X297" s="1">
        <v>970.79452380952387</v>
      </c>
      <c r="Y297" s="1">
        <v>956.94904761904763</v>
      </c>
      <c r="Z297" s="1">
        <v>895.17119047619053</v>
      </c>
      <c r="AA297" s="1">
        <v>830.36285714285714</v>
      </c>
      <c r="AB297" s="26">
        <v>21</v>
      </c>
      <c r="AC297" s="8">
        <f t="shared" si="17"/>
        <v>334068.78000000003</v>
      </c>
      <c r="AM297"/>
    </row>
    <row r="298" spans="1:39" x14ac:dyDescent="0.25">
      <c r="A298" s="3">
        <f t="shared" si="15"/>
        <v>2034</v>
      </c>
      <c r="B298" s="5" t="str">
        <f>PROPER(TEXT(DATEVALUE("1/"&amp;MOD(ROUNDDOWN((ROW()-6+7*3)/3,0),12)+1&amp;"/"&amp;Tabla1[[#This Row],[Año]]),"mmm"))</f>
        <v>Sep</v>
      </c>
      <c r="C298" s="7" t="str">
        <f t="shared" si="16"/>
        <v>Sábado</v>
      </c>
      <c r="D298" s="1">
        <v>813.79875000000004</v>
      </c>
      <c r="E298" s="1">
        <v>785.57749999999999</v>
      </c>
      <c r="F298" s="1">
        <v>753.28625</v>
      </c>
      <c r="G298" s="1">
        <v>734.60500000000002</v>
      </c>
      <c r="H298" s="1">
        <v>726.27</v>
      </c>
      <c r="I298" s="1">
        <v>712.55624999999998</v>
      </c>
      <c r="J298" s="1">
        <v>640.93624999999997</v>
      </c>
      <c r="K298" s="1">
        <v>409.88249999999999</v>
      </c>
      <c r="L298" s="1">
        <v>287.99250000000001</v>
      </c>
      <c r="M298" s="1">
        <v>105.765</v>
      </c>
      <c r="N298" s="1">
        <v>101.39749999999999</v>
      </c>
      <c r="O298" s="1">
        <v>0</v>
      </c>
      <c r="P298" s="1">
        <v>0</v>
      </c>
      <c r="Q298" s="1">
        <v>0</v>
      </c>
      <c r="R298" s="1">
        <v>0</v>
      </c>
      <c r="S298" s="1">
        <v>40.316249999999997</v>
      </c>
      <c r="T298" s="1">
        <v>258.25125000000003</v>
      </c>
      <c r="U298" s="1">
        <v>607.15125</v>
      </c>
      <c r="V298" s="1">
        <v>858.05624999999998</v>
      </c>
      <c r="W298" s="1">
        <v>898.06375000000003</v>
      </c>
      <c r="X298" s="1">
        <v>894.5625</v>
      </c>
      <c r="Y298" s="1">
        <v>881.21</v>
      </c>
      <c r="Z298" s="1">
        <v>841.66875000000005</v>
      </c>
      <c r="AA298" s="1">
        <v>797.22249999999997</v>
      </c>
      <c r="AB298" s="26">
        <v>5</v>
      </c>
      <c r="AC298" s="8">
        <f t="shared" si="17"/>
        <v>60742.85</v>
      </c>
      <c r="AM298"/>
    </row>
    <row r="299" spans="1:39" x14ac:dyDescent="0.25">
      <c r="A299" s="3">
        <f t="shared" si="15"/>
        <v>2034</v>
      </c>
      <c r="B299" s="5" t="str">
        <f>PROPER(TEXT(DATEVALUE("1/"&amp;MOD(ROUNDDOWN((ROW()-6+7*3)/3,0),12)+1&amp;"/"&amp;Tabla1[[#This Row],[Año]]),"mmm"))</f>
        <v>Sep</v>
      </c>
      <c r="C299" s="7" t="str">
        <f t="shared" si="16"/>
        <v>Domingo y Festivo</v>
      </c>
      <c r="D299" s="1">
        <v>767.40749999999991</v>
      </c>
      <c r="E299" s="1">
        <v>745.98</v>
      </c>
      <c r="F299" s="1">
        <v>728.80916666666656</v>
      </c>
      <c r="G299" s="1">
        <v>709.74749999999995</v>
      </c>
      <c r="H299" s="1">
        <v>701.0866666666667</v>
      </c>
      <c r="I299" s="1">
        <v>679.61749999999995</v>
      </c>
      <c r="J299" s="1">
        <v>568.16166666666663</v>
      </c>
      <c r="K299" s="1">
        <v>161.14000000000001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5.3475000000000001</v>
      </c>
      <c r="T299" s="1">
        <v>162.04416666666665</v>
      </c>
      <c r="U299" s="1">
        <v>516.50249999999994</v>
      </c>
      <c r="V299" s="1">
        <v>769.26166666666666</v>
      </c>
      <c r="W299" s="1">
        <v>839.73333333333323</v>
      </c>
      <c r="X299" s="1">
        <v>863.92333333333329</v>
      </c>
      <c r="Y299" s="1">
        <v>861.94500000000005</v>
      </c>
      <c r="Z299" s="1">
        <v>812.42500000000007</v>
      </c>
      <c r="AA299" s="1">
        <v>758.22833333333335</v>
      </c>
      <c r="AB299" s="26">
        <v>4</v>
      </c>
      <c r="AC299" s="8">
        <f t="shared" si="17"/>
        <v>42605.443333333322</v>
      </c>
      <c r="AM299"/>
    </row>
    <row r="300" spans="1:39" x14ac:dyDescent="0.25">
      <c r="A300" s="3">
        <f t="shared" si="15"/>
        <v>2034</v>
      </c>
      <c r="B300" s="5" t="str">
        <f>PROPER(TEXT(DATEVALUE("1/"&amp;MOD(ROUNDDOWN((ROW()-6+7*3)/3,0),12)+1&amp;"/"&amp;Tabla1[[#This Row],[Año]]),"mmm"))</f>
        <v>Oct</v>
      </c>
      <c r="C300" s="7" t="str">
        <f t="shared" si="16"/>
        <v>Hábil</v>
      </c>
      <c r="D300" s="1">
        <v>777.23380952380955</v>
      </c>
      <c r="E300" s="1">
        <v>747.8097619047619</v>
      </c>
      <c r="F300" s="1">
        <v>722.91357142857146</v>
      </c>
      <c r="G300" s="1">
        <v>698.02428571428572</v>
      </c>
      <c r="H300" s="1">
        <v>691.64547619047619</v>
      </c>
      <c r="I300" s="1">
        <v>710.39976190476193</v>
      </c>
      <c r="J300" s="1">
        <v>735.91809523809525</v>
      </c>
      <c r="K300" s="1">
        <v>722.64095238095229</v>
      </c>
      <c r="L300" s="1">
        <v>637.61285714285714</v>
      </c>
      <c r="M300" s="1">
        <v>406.39833333333331</v>
      </c>
      <c r="N300" s="1">
        <v>277.80166666666668</v>
      </c>
      <c r="O300" s="1">
        <v>285.09047619047618</v>
      </c>
      <c r="P300" s="1">
        <v>123.77285714285715</v>
      </c>
      <c r="Q300" s="1">
        <v>92.608333333333334</v>
      </c>
      <c r="R300" s="1">
        <v>299.13642857142855</v>
      </c>
      <c r="S300" s="1">
        <v>455.46952380952382</v>
      </c>
      <c r="T300" s="1">
        <v>747.55857142857144</v>
      </c>
      <c r="U300" s="1">
        <v>1079.5923809523808</v>
      </c>
      <c r="V300" s="1">
        <v>1066.6104761904762</v>
      </c>
      <c r="W300" s="1">
        <v>976.52190476190469</v>
      </c>
      <c r="X300" s="1">
        <v>970.79452380952387</v>
      </c>
      <c r="Y300" s="1">
        <v>956.94904761904763</v>
      </c>
      <c r="Z300" s="1">
        <v>895.17119047619053</v>
      </c>
      <c r="AA300" s="1">
        <v>830.36285714285714</v>
      </c>
      <c r="AB300" s="26">
        <v>22</v>
      </c>
      <c r="AC300" s="8">
        <f t="shared" si="17"/>
        <v>349976.81714285718</v>
      </c>
      <c r="AM300"/>
    </row>
    <row r="301" spans="1:39" x14ac:dyDescent="0.25">
      <c r="A301" s="3">
        <f t="shared" si="15"/>
        <v>2034</v>
      </c>
      <c r="B301" s="5" t="str">
        <f>PROPER(TEXT(DATEVALUE("1/"&amp;MOD(ROUNDDOWN((ROW()-6+7*3)/3,0),12)+1&amp;"/"&amp;Tabla1[[#This Row],[Año]]),"mmm"))</f>
        <v>Oct</v>
      </c>
      <c r="C301" s="7" t="str">
        <f t="shared" si="16"/>
        <v>Sábado</v>
      </c>
      <c r="D301" s="1">
        <v>813.79875000000004</v>
      </c>
      <c r="E301" s="1">
        <v>785.57749999999999</v>
      </c>
      <c r="F301" s="1">
        <v>753.28625</v>
      </c>
      <c r="G301" s="1">
        <v>734.60500000000002</v>
      </c>
      <c r="H301" s="1">
        <v>726.27</v>
      </c>
      <c r="I301" s="1">
        <v>712.55624999999998</v>
      </c>
      <c r="J301" s="1">
        <v>640.93624999999997</v>
      </c>
      <c r="K301" s="1">
        <v>409.88249999999999</v>
      </c>
      <c r="L301" s="1">
        <v>287.99250000000001</v>
      </c>
      <c r="M301" s="1">
        <v>105.765</v>
      </c>
      <c r="N301" s="1">
        <v>101.39749999999999</v>
      </c>
      <c r="O301" s="1">
        <v>0</v>
      </c>
      <c r="P301" s="1">
        <v>0</v>
      </c>
      <c r="Q301" s="1">
        <v>0</v>
      </c>
      <c r="R301" s="1">
        <v>0</v>
      </c>
      <c r="S301" s="1">
        <v>40.316249999999997</v>
      </c>
      <c r="T301" s="1">
        <v>258.25125000000003</v>
      </c>
      <c r="U301" s="1">
        <v>607.15125</v>
      </c>
      <c r="V301" s="1">
        <v>858.05624999999998</v>
      </c>
      <c r="W301" s="1">
        <v>898.06375000000003</v>
      </c>
      <c r="X301" s="1">
        <v>894.5625</v>
      </c>
      <c r="Y301" s="1">
        <v>881.21</v>
      </c>
      <c r="Z301" s="1">
        <v>841.66875000000005</v>
      </c>
      <c r="AA301" s="1">
        <v>797.22249999999997</v>
      </c>
      <c r="AB301" s="26">
        <v>4</v>
      </c>
      <c r="AC301" s="8">
        <f t="shared" si="17"/>
        <v>48594.28</v>
      </c>
      <c r="AM301"/>
    </row>
    <row r="302" spans="1:39" x14ac:dyDescent="0.25">
      <c r="A302" s="3">
        <f t="shared" si="15"/>
        <v>2034</v>
      </c>
      <c r="B302" s="5" t="str">
        <f>PROPER(TEXT(DATEVALUE("1/"&amp;MOD(ROUNDDOWN((ROW()-6+7*3)/3,0),12)+1&amp;"/"&amp;Tabla1[[#This Row],[Año]]),"mmm"))</f>
        <v>Oct</v>
      </c>
      <c r="C302" s="7" t="str">
        <f t="shared" si="16"/>
        <v>Domingo y Festivo</v>
      </c>
      <c r="D302" s="1">
        <v>767.40749999999991</v>
      </c>
      <c r="E302" s="1">
        <v>745.98</v>
      </c>
      <c r="F302" s="1">
        <v>728.80916666666656</v>
      </c>
      <c r="G302" s="1">
        <v>709.74749999999995</v>
      </c>
      <c r="H302" s="1">
        <v>701.0866666666667</v>
      </c>
      <c r="I302" s="1">
        <v>679.61749999999995</v>
      </c>
      <c r="J302" s="1">
        <v>568.16166666666663</v>
      </c>
      <c r="K302" s="1">
        <v>161.14000000000001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5.3475000000000001</v>
      </c>
      <c r="T302" s="1">
        <v>162.04416666666665</v>
      </c>
      <c r="U302" s="1">
        <v>516.50249999999994</v>
      </c>
      <c r="V302" s="1">
        <v>769.26166666666666</v>
      </c>
      <c r="W302" s="1">
        <v>839.73333333333323</v>
      </c>
      <c r="X302" s="1">
        <v>863.92333333333329</v>
      </c>
      <c r="Y302" s="1">
        <v>861.94500000000005</v>
      </c>
      <c r="Z302" s="1">
        <v>812.42500000000007</v>
      </c>
      <c r="AA302" s="1">
        <v>758.22833333333335</v>
      </c>
      <c r="AB302" s="26">
        <v>5</v>
      </c>
      <c r="AC302" s="8">
        <f t="shared" si="17"/>
        <v>53256.804166666654</v>
      </c>
      <c r="AM302"/>
    </row>
    <row r="303" spans="1:39" x14ac:dyDescent="0.25">
      <c r="A303" s="3">
        <f t="shared" si="15"/>
        <v>2034</v>
      </c>
      <c r="B303" s="5" t="str">
        <f>PROPER(TEXT(DATEVALUE("1/"&amp;MOD(ROUNDDOWN((ROW()-6+7*3)/3,0),12)+1&amp;"/"&amp;Tabla1[[#This Row],[Año]]),"mmm"))</f>
        <v>Nov</v>
      </c>
      <c r="C303" s="7" t="str">
        <f t="shared" si="16"/>
        <v>Hábil</v>
      </c>
      <c r="D303" s="1">
        <v>777.23380952380955</v>
      </c>
      <c r="E303" s="1">
        <v>747.8097619047619</v>
      </c>
      <c r="F303" s="1">
        <v>722.91357142857146</v>
      </c>
      <c r="G303" s="1">
        <v>698.02428571428572</v>
      </c>
      <c r="H303" s="1">
        <v>691.64547619047619</v>
      </c>
      <c r="I303" s="1">
        <v>710.39976190476193</v>
      </c>
      <c r="J303" s="1">
        <v>735.91809523809525</v>
      </c>
      <c r="K303" s="1">
        <v>722.64095238095229</v>
      </c>
      <c r="L303" s="1">
        <v>637.61285714285714</v>
      </c>
      <c r="M303" s="1">
        <v>406.39833333333331</v>
      </c>
      <c r="N303" s="1">
        <v>277.80166666666668</v>
      </c>
      <c r="O303" s="1">
        <v>285.09047619047618</v>
      </c>
      <c r="P303" s="1">
        <v>123.77285714285715</v>
      </c>
      <c r="Q303" s="1">
        <v>92.608333333333334</v>
      </c>
      <c r="R303" s="1">
        <v>299.13642857142855</v>
      </c>
      <c r="S303" s="1">
        <v>455.46952380952382</v>
      </c>
      <c r="T303" s="1">
        <v>747.55857142857144</v>
      </c>
      <c r="U303" s="1">
        <v>1079.5923809523808</v>
      </c>
      <c r="V303" s="1">
        <v>1066.6104761904762</v>
      </c>
      <c r="W303" s="1">
        <v>976.52190476190469</v>
      </c>
      <c r="X303" s="1">
        <v>970.79452380952387</v>
      </c>
      <c r="Y303" s="1">
        <v>956.94904761904763</v>
      </c>
      <c r="Z303" s="1">
        <v>895.17119047619053</v>
      </c>
      <c r="AA303" s="1">
        <v>830.36285714285714</v>
      </c>
      <c r="AB303" s="26">
        <v>22</v>
      </c>
      <c r="AC303" s="8">
        <f t="shared" si="17"/>
        <v>349976.81714285718</v>
      </c>
      <c r="AM303"/>
    </row>
    <row r="304" spans="1:39" x14ac:dyDescent="0.25">
      <c r="A304" s="3">
        <f t="shared" si="15"/>
        <v>2034</v>
      </c>
      <c r="B304" s="5" t="str">
        <f>PROPER(TEXT(DATEVALUE("1/"&amp;MOD(ROUNDDOWN((ROW()-6+7*3)/3,0),12)+1&amp;"/"&amp;Tabla1[[#This Row],[Año]]),"mmm"))</f>
        <v>Nov</v>
      </c>
      <c r="C304" s="7" t="str">
        <f t="shared" si="16"/>
        <v>Sábado</v>
      </c>
      <c r="D304" s="1">
        <v>813.79875000000004</v>
      </c>
      <c r="E304" s="1">
        <v>785.57749999999999</v>
      </c>
      <c r="F304" s="1">
        <v>753.28625</v>
      </c>
      <c r="G304" s="1">
        <v>734.60500000000002</v>
      </c>
      <c r="H304" s="1">
        <v>726.27</v>
      </c>
      <c r="I304" s="1">
        <v>712.55624999999998</v>
      </c>
      <c r="J304" s="1">
        <v>640.93624999999997</v>
      </c>
      <c r="K304" s="1">
        <v>409.88249999999999</v>
      </c>
      <c r="L304" s="1">
        <v>287.99250000000001</v>
      </c>
      <c r="M304" s="1">
        <v>105.765</v>
      </c>
      <c r="N304" s="1">
        <v>101.39749999999999</v>
      </c>
      <c r="O304" s="1">
        <v>0</v>
      </c>
      <c r="P304" s="1">
        <v>0</v>
      </c>
      <c r="Q304" s="1">
        <v>0</v>
      </c>
      <c r="R304" s="1">
        <v>0</v>
      </c>
      <c r="S304" s="1">
        <v>40.316249999999997</v>
      </c>
      <c r="T304" s="1">
        <v>258.25125000000003</v>
      </c>
      <c r="U304" s="1">
        <v>607.15125</v>
      </c>
      <c r="V304" s="1">
        <v>858.05624999999998</v>
      </c>
      <c r="W304" s="1">
        <v>898.06375000000003</v>
      </c>
      <c r="X304" s="1">
        <v>894.5625</v>
      </c>
      <c r="Y304" s="1">
        <v>881.21</v>
      </c>
      <c r="Z304" s="1">
        <v>841.66875000000005</v>
      </c>
      <c r="AA304" s="1">
        <v>797.22249999999997</v>
      </c>
      <c r="AB304" s="26">
        <v>4</v>
      </c>
      <c r="AC304" s="8">
        <f t="shared" si="17"/>
        <v>48594.28</v>
      </c>
      <c r="AM304"/>
    </row>
    <row r="305" spans="1:39" x14ac:dyDescent="0.25">
      <c r="A305" s="3">
        <f t="shared" si="15"/>
        <v>2034</v>
      </c>
      <c r="B305" s="5" t="str">
        <f>PROPER(TEXT(DATEVALUE("1/"&amp;MOD(ROUNDDOWN((ROW()-6+7*3)/3,0),12)+1&amp;"/"&amp;Tabla1[[#This Row],[Año]]),"mmm"))</f>
        <v>Nov</v>
      </c>
      <c r="C305" s="7" t="str">
        <f t="shared" si="16"/>
        <v>Domingo y Festivo</v>
      </c>
      <c r="D305" s="1">
        <v>767.40749999999991</v>
      </c>
      <c r="E305" s="1">
        <v>745.98</v>
      </c>
      <c r="F305" s="1">
        <v>728.80916666666656</v>
      </c>
      <c r="G305" s="1">
        <v>709.74749999999995</v>
      </c>
      <c r="H305" s="1">
        <v>701.0866666666667</v>
      </c>
      <c r="I305" s="1">
        <v>679.61749999999995</v>
      </c>
      <c r="J305" s="1">
        <v>568.16166666666663</v>
      </c>
      <c r="K305" s="1">
        <v>161.14000000000001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5.3475000000000001</v>
      </c>
      <c r="T305" s="1">
        <v>162.04416666666665</v>
      </c>
      <c r="U305" s="1">
        <v>516.50249999999994</v>
      </c>
      <c r="V305" s="1">
        <v>769.26166666666666</v>
      </c>
      <c r="W305" s="1">
        <v>839.73333333333323</v>
      </c>
      <c r="X305" s="1">
        <v>863.92333333333329</v>
      </c>
      <c r="Y305" s="1">
        <v>861.94500000000005</v>
      </c>
      <c r="Z305" s="1">
        <v>812.42500000000007</v>
      </c>
      <c r="AA305" s="1">
        <v>758.22833333333335</v>
      </c>
      <c r="AB305" s="26">
        <v>4</v>
      </c>
      <c r="AC305" s="8">
        <f t="shared" si="17"/>
        <v>42605.443333333322</v>
      </c>
      <c r="AM305"/>
    </row>
    <row r="306" spans="1:39" x14ac:dyDescent="0.25">
      <c r="A306" s="3">
        <f t="shared" si="15"/>
        <v>2034</v>
      </c>
      <c r="B306" s="5" t="str">
        <f>PROPER(TEXT(DATEVALUE("1/"&amp;MOD(ROUNDDOWN((ROW()-6+7*3)/3,0),12)+1&amp;"/"&amp;Tabla1[[#This Row],[Año]]),"mmm"))</f>
        <v>Dic</v>
      </c>
      <c r="C306" s="7" t="str">
        <f t="shared" si="16"/>
        <v>Hábil</v>
      </c>
      <c r="D306" s="1">
        <v>777.23380952380955</v>
      </c>
      <c r="E306" s="1">
        <v>747.8097619047619</v>
      </c>
      <c r="F306" s="1">
        <v>722.91357142857146</v>
      </c>
      <c r="G306" s="1">
        <v>698.02428571428572</v>
      </c>
      <c r="H306" s="1">
        <v>691.64547619047619</v>
      </c>
      <c r="I306" s="1">
        <v>710.39976190476193</v>
      </c>
      <c r="J306" s="1">
        <v>735.91809523809525</v>
      </c>
      <c r="K306" s="1">
        <v>722.64095238095229</v>
      </c>
      <c r="L306" s="1">
        <v>637.61285714285714</v>
      </c>
      <c r="M306" s="1">
        <v>406.39833333333331</v>
      </c>
      <c r="N306" s="1">
        <v>277.80166666666668</v>
      </c>
      <c r="O306" s="1">
        <v>285.09047619047618</v>
      </c>
      <c r="P306" s="1">
        <v>123.77285714285715</v>
      </c>
      <c r="Q306" s="1">
        <v>92.608333333333334</v>
      </c>
      <c r="R306" s="1">
        <v>299.13642857142855</v>
      </c>
      <c r="S306" s="1">
        <v>455.46952380952382</v>
      </c>
      <c r="T306" s="1">
        <v>747.55857142857144</v>
      </c>
      <c r="U306" s="1">
        <v>1079.5923809523808</v>
      </c>
      <c r="V306" s="1">
        <v>1066.6104761904762</v>
      </c>
      <c r="W306" s="1">
        <v>976.52190476190469</v>
      </c>
      <c r="X306" s="1">
        <v>970.79452380952387</v>
      </c>
      <c r="Y306" s="1">
        <v>956.94904761904763</v>
      </c>
      <c r="Z306" s="1">
        <v>895.17119047619053</v>
      </c>
      <c r="AA306" s="1">
        <v>830.36285714285714</v>
      </c>
      <c r="AB306" s="26">
        <v>21</v>
      </c>
      <c r="AC306" s="8">
        <f t="shared" si="17"/>
        <v>334068.78000000003</v>
      </c>
      <c r="AM306"/>
    </row>
    <row r="307" spans="1:39" x14ac:dyDescent="0.25">
      <c r="A307" s="3">
        <f t="shared" si="15"/>
        <v>2034</v>
      </c>
      <c r="B307" s="5" t="str">
        <f>PROPER(TEXT(DATEVALUE("1/"&amp;MOD(ROUNDDOWN((ROW()-6+7*3)/3,0),12)+1&amp;"/"&amp;Tabla1[[#This Row],[Año]]),"mmm"))</f>
        <v>Dic</v>
      </c>
      <c r="C307" s="7" t="str">
        <f t="shared" si="16"/>
        <v>Sábado</v>
      </c>
      <c r="D307" s="1">
        <v>813.79875000000004</v>
      </c>
      <c r="E307" s="1">
        <v>785.57749999999999</v>
      </c>
      <c r="F307" s="1">
        <v>753.28625</v>
      </c>
      <c r="G307" s="1">
        <v>734.60500000000002</v>
      </c>
      <c r="H307" s="1">
        <v>726.27</v>
      </c>
      <c r="I307" s="1">
        <v>712.55624999999998</v>
      </c>
      <c r="J307" s="1">
        <v>640.93624999999997</v>
      </c>
      <c r="K307" s="1">
        <v>409.88249999999999</v>
      </c>
      <c r="L307" s="1">
        <v>287.99250000000001</v>
      </c>
      <c r="M307" s="1">
        <v>105.765</v>
      </c>
      <c r="N307" s="1">
        <v>101.39749999999999</v>
      </c>
      <c r="O307" s="1">
        <v>0</v>
      </c>
      <c r="P307" s="1">
        <v>0</v>
      </c>
      <c r="Q307" s="1">
        <v>0</v>
      </c>
      <c r="R307" s="1">
        <v>0</v>
      </c>
      <c r="S307" s="1">
        <v>40.316249999999997</v>
      </c>
      <c r="T307" s="1">
        <v>258.25125000000003</v>
      </c>
      <c r="U307" s="1">
        <v>607.15125</v>
      </c>
      <c r="V307" s="1">
        <v>858.05624999999998</v>
      </c>
      <c r="W307" s="1">
        <v>898.06375000000003</v>
      </c>
      <c r="X307" s="1">
        <v>894.5625</v>
      </c>
      <c r="Y307" s="1">
        <v>881.21</v>
      </c>
      <c r="Z307" s="1">
        <v>841.66875000000005</v>
      </c>
      <c r="AA307" s="1">
        <v>797.22249999999997</v>
      </c>
      <c r="AB307" s="26">
        <v>5</v>
      </c>
      <c r="AC307" s="8">
        <f t="shared" si="17"/>
        <v>60742.85</v>
      </c>
      <c r="AM307"/>
    </row>
    <row r="308" spans="1:39" x14ac:dyDescent="0.25">
      <c r="A308" s="3">
        <f t="shared" si="15"/>
        <v>2034</v>
      </c>
      <c r="B308" s="5" t="str">
        <f>PROPER(TEXT(DATEVALUE("1/"&amp;MOD(ROUNDDOWN((ROW()-6+7*3)/3,0),12)+1&amp;"/"&amp;Tabla1[[#This Row],[Año]]),"mmm"))</f>
        <v>Dic</v>
      </c>
      <c r="C308" s="7" t="str">
        <f t="shared" si="16"/>
        <v>Domingo y Festivo</v>
      </c>
      <c r="D308" s="1">
        <v>767.40749999999991</v>
      </c>
      <c r="E308" s="1">
        <v>745.98</v>
      </c>
      <c r="F308" s="1">
        <v>728.80916666666656</v>
      </c>
      <c r="G308" s="1">
        <v>709.74749999999995</v>
      </c>
      <c r="H308" s="1">
        <v>701.0866666666667</v>
      </c>
      <c r="I308" s="1">
        <v>679.61749999999995</v>
      </c>
      <c r="J308" s="1">
        <v>568.16166666666663</v>
      </c>
      <c r="K308" s="1">
        <v>161.14000000000001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5.3475000000000001</v>
      </c>
      <c r="T308" s="1">
        <v>162.04416666666665</v>
      </c>
      <c r="U308" s="1">
        <v>516.50249999999994</v>
      </c>
      <c r="V308" s="1">
        <v>769.26166666666666</v>
      </c>
      <c r="W308" s="1">
        <v>839.73333333333323</v>
      </c>
      <c r="X308" s="1">
        <v>863.92333333333329</v>
      </c>
      <c r="Y308" s="1">
        <v>861.94500000000005</v>
      </c>
      <c r="Z308" s="1">
        <v>812.42500000000007</v>
      </c>
      <c r="AA308" s="1">
        <v>758.22833333333335</v>
      </c>
      <c r="AB308" s="26">
        <v>5</v>
      </c>
      <c r="AC308" s="8">
        <f t="shared" si="17"/>
        <v>53256.804166666654</v>
      </c>
      <c r="AM308"/>
    </row>
    <row r="309" spans="1:39" x14ac:dyDescent="0.25">
      <c r="A309" s="3">
        <f t="shared" si="15"/>
        <v>2035</v>
      </c>
      <c r="B309" s="5" t="str">
        <f>PROPER(TEXT(DATEVALUE("1/"&amp;MOD(ROUNDDOWN((ROW()-6+7*3)/3,0),12)+1&amp;"/"&amp;Tabla1[[#This Row],[Año]]),"mmm"))</f>
        <v>Ene</v>
      </c>
      <c r="C309" s="7" t="str">
        <f t="shared" si="16"/>
        <v>Hábil</v>
      </c>
      <c r="D309" s="1">
        <v>777.23380952380955</v>
      </c>
      <c r="E309" s="1">
        <v>747.8097619047619</v>
      </c>
      <c r="F309" s="1">
        <v>722.91357142857146</v>
      </c>
      <c r="G309" s="1">
        <v>698.02428571428572</v>
      </c>
      <c r="H309" s="1">
        <v>691.64547619047619</v>
      </c>
      <c r="I309" s="1">
        <v>710.39976190476193</v>
      </c>
      <c r="J309" s="1">
        <v>735.91809523809525</v>
      </c>
      <c r="K309" s="1">
        <v>722.64095238095229</v>
      </c>
      <c r="L309" s="1">
        <v>637.61285714285714</v>
      </c>
      <c r="M309" s="1">
        <v>406.39833333333331</v>
      </c>
      <c r="N309" s="1">
        <v>277.80166666666668</v>
      </c>
      <c r="O309" s="1">
        <v>285.09047619047618</v>
      </c>
      <c r="P309" s="1">
        <v>123.77285714285715</v>
      </c>
      <c r="Q309" s="1">
        <v>92.608333333333334</v>
      </c>
      <c r="R309" s="1">
        <v>299.13642857142855</v>
      </c>
      <c r="S309" s="1">
        <v>455.46952380952382</v>
      </c>
      <c r="T309" s="1">
        <v>747.55857142857144</v>
      </c>
      <c r="U309" s="1">
        <v>1079.5923809523808</v>
      </c>
      <c r="V309" s="1">
        <v>1066.6104761904762</v>
      </c>
      <c r="W309" s="1">
        <v>976.52190476190469</v>
      </c>
      <c r="X309" s="1">
        <v>970.79452380952387</v>
      </c>
      <c r="Y309" s="1">
        <v>956.94904761904763</v>
      </c>
      <c r="Z309" s="1">
        <v>895.17119047619053</v>
      </c>
      <c r="AA309" s="1">
        <v>830.36285714285714</v>
      </c>
      <c r="AB309" s="26">
        <v>23</v>
      </c>
      <c r="AC309" s="8">
        <f t="shared" si="17"/>
        <v>365884.85428571433</v>
      </c>
      <c r="AM309"/>
    </row>
    <row r="310" spans="1:39" x14ac:dyDescent="0.25">
      <c r="A310" s="3">
        <f t="shared" si="15"/>
        <v>2035</v>
      </c>
      <c r="B310" s="5" t="str">
        <f>PROPER(TEXT(DATEVALUE("1/"&amp;MOD(ROUNDDOWN((ROW()-6+7*3)/3,0),12)+1&amp;"/"&amp;Tabla1[[#This Row],[Año]]),"mmm"))</f>
        <v>Ene</v>
      </c>
      <c r="C310" s="7" t="str">
        <f t="shared" si="16"/>
        <v>Sábado</v>
      </c>
      <c r="D310" s="1">
        <v>813.79875000000004</v>
      </c>
      <c r="E310" s="1">
        <v>785.57749999999999</v>
      </c>
      <c r="F310" s="1">
        <v>753.28625</v>
      </c>
      <c r="G310" s="1">
        <v>734.60500000000002</v>
      </c>
      <c r="H310" s="1">
        <v>726.27</v>
      </c>
      <c r="I310" s="1">
        <v>712.55624999999998</v>
      </c>
      <c r="J310" s="1">
        <v>640.93624999999997</v>
      </c>
      <c r="K310" s="1">
        <v>409.88249999999999</v>
      </c>
      <c r="L310" s="1">
        <v>287.99250000000001</v>
      </c>
      <c r="M310" s="1">
        <v>105.765</v>
      </c>
      <c r="N310" s="1">
        <v>101.39749999999999</v>
      </c>
      <c r="O310" s="1">
        <v>0</v>
      </c>
      <c r="P310" s="1">
        <v>0</v>
      </c>
      <c r="Q310" s="1">
        <v>0</v>
      </c>
      <c r="R310" s="1">
        <v>0</v>
      </c>
      <c r="S310" s="1">
        <v>40.316249999999997</v>
      </c>
      <c r="T310" s="1">
        <v>258.25125000000003</v>
      </c>
      <c r="U310" s="1">
        <v>607.15125</v>
      </c>
      <c r="V310" s="1">
        <v>858.05624999999998</v>
      </c>
      <c r="W310" s="1">
        <v>898.06375000000003</v>
      </c>
      <c r="X310" s="1">
        <v>894.5625</v>
      </c>
      <c r="Y310" s="1">
        <v>881.21</v>
      </c>
      <c r="Z310" s="1">
        <v>841.66875000000005</v>
      </c>
      <c r="AA310" s="1">
        <v>797.22249999999997</v>
      </c>
      <c r="AB310" s="26">
        <v>4</v>
      </c>
      <c r="AC310" s="8">
        <f t="shared" si="17"/>
        <v>48594.28</v>
      </c>
      <c r="AM310"/>
    </row>
    <row r="311" spans="1:39" x14ac:dyDescent="0.25">
      <c r="A311" s="3">
        <f t="shared" si="15"/>
        <v>2035</v>
      </c>
      <c r="B311" s="5" t="str">
        <f>PROPER(TEXT(DATEVALUE("1/"&amp;MOD(ROUNDDOWN((ROW()-6+7*3)/3,0),12)+1&amp;"/"&amp;Tabla1[[#This Row],[Año]]),"mmm"))</f>
        <v>Ene</v>
      </c>
      <c r="C311" s="7" t="str">
        <f t="shared" si="16"/>
        <v>Domingo y Festivo</v>
      </c>
      <c r="D311" s="1">
        <v>767.40749999999991</v>
      </c>
      <c r="E311" s="1">
        <v>745.98</v>
      </c>
      <c r="F311" s="1">
        <v>728.80916666666656</v>
      </c>
      <c r="G311" s="1">
        <v>709.74749999999995</v>
      </c>
      <c r="H311" s="1">
        <v>701.0866666666667</v>
      </c>
      <c r="I311" s="1">
        <v>679.61749999999995</v>
      </c>
      <c r="J311" s="1">
        <v>568.16166666666663</v>
      </c>
      <c r="K311" s="1">
        <v>161.14000000000001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5.3475000000000001</v>
      </c>
      <c r="T311" s="1">
        <v>162.04416666666665</v>
      </c>
      <c r="U311" s="1">
        <v>516.50249999999994</v>
      </c>
      <c r="V311" s="1">
        <v>769.26166666666666</v>
      </c>
      <c r="W311" s="1">
        <v>839.73333333333323</v>
      </c>
      <c r="X311" s="1">
        <v>863.92333333333329</v>
      </c>
      <c r="Y311" s="1">
        <v>861.94500000000005</v>
      </c>
      <c r="Z311" s="1">
        <v>812.42500000000007</v>
      </c>
      <c r="AA311" s="1">
        <v>758.22833333333335</v>
      </c>
      <c r="AB311" s="26">
        <v>4</v>
      </c>
      <c r="AC311" s="8">
        <f t="shared" si="17"/>
        <v>42605.443333333322</v>
      </c>
      <c r="AM311"/>
    </row>
    <row r="312" spans="1:39" x14ac:dyDescent="0.25">
      <c r="A312" s="3">
        <f t="shared" si="15"/>
        <v>2035</v>
      </c>
      <c r="B312" s="5" t="str">
        <f>PROPER(TEXT(DATEVALUE("1/"&amp;MOD(ROUNDDOWN((ROW()-6+7*3)/3,0),12)+1&amp;"/"&amp;Tabla1[[#This Row],[Año]]),"mmm"))</f>
        <v>Feb</v>
      </c>
      <c r="C312" s="7" t="str">
        <f t="shared" si="16"/>
        <v>Hábil</v>
      </c>
      <c r="D312" s="1">
        <v>777.23380952380955</v>
      </c>
      <c r="E312" s="1">
        <v>747.8097619047619</v>
      </c>
      <c r="F312" s="1">
        <v>722.91357142857146</v>
      </c>
      <c r="G312" s="1">
        <v>698.02428571428572</v>
      </c>
      <c r="H312" s="1">
        <v>691.64547619047619</v>
      </c>
      <c r="I312" s="1">
        <v>710.39976190476193</v>
      </c>
      <c r="J312" s="1">
        <v>735.91809523809525</v>
      </c>
      <c r="K312" s="1">
        <v>722.64095238095229</v>
      </c>
      <c r="L312" s="1">
        <v>637.61285714285714</v>
      </c>
      <c r="M312" s="1">
        <v>406.39833333333331</v>
      </c>
      <c r="N312" s="1">
        <v>277.80166666666668</v>
      </c>
      <c r="O312" s="1">
        <v>285.09047619047618</v>
      </c>
      <c r="P312" s="1">
        <v>123.77285714285715</v>
      </c>
      <c r="Q312" s="1">
        <v>92.608333333333334</v>
      </c>
      <c r="R312" s="1">
        <v>299.13642857142855</v>
      </c>
      <c r="S312" s="1">
        <v>455.46952380952382</v>
      </c>
      <c r="T312" s="1">
        <v>747.55857142857144</v>
      </c>
      <c r="U312" s="1">
        <v>1079.5923809523808</v>
      </c>
      <c r="V312" s="1">
        <v>1066.6104761904762</v>
      </c>
      <c r="W312" s="1">
        <v>976.52190476190469</v>
      </c>
      <c r="X312" s="1">
        <v>970.79452380952387</v>
      </c>
      <c r="Y312" s="1">
        <v>956.94904761904763</v>
      </c>
      <c r="Z312" s="1">
        <v>895.17119047619053</v>
      </c>
      <c r="AA312" s="1">
        <v>830.36285714285714</v>
      </c>
      <c r="AB312" s="26">
        <v>20</v>
      </c>
      <c r="AC312" s="8">
        <f t="shared" si="17"/>
        <v>318160.74285714293</v>
      </c>
      <c r="AM312"/>
    </row>
    <row r="313" spans="1:39" x14ac:dyDescent="0.25">
      <c r="A313" s="3">
        <f t="shared" si="15"/>
        <v>2035</v>
      </c>
      <c r="B313" s="5" t="str">
        <f>PROPER(TEXT(DATEVALUE("1/"&amp;MOD(ROUNDDOWN((ROW()-6+7*3)/3,0),12)+1&amp;"/"&amp;Tabla1[[#This Row],[Año]]),"mmm"))</f>
        <v>Feb</v>
      </c>
      <c r="C313" s="7" t="str">
        <f t="shared" si="16"/>
        <v>Sábado</v>
      </c>
      <c r="D313" s="1">
        <v>813.79875000000004</v>
      </c>
      <c r="E313" s="1">
        <v>785.57749999999999</v>
      </c>
      <c r="F313" s="1">
        <v>753.28625</v>
      </c>
      <c r="G313" s="1">
        <v>734.60500000000002</v>
      </c>
      <c r="H313" s="1">
        <v>726.27</v>
      </c>
      <c r="I313" s="1">
        <v>712.55624999999998</v>
      </c>
      <c r="J313" s="1">
        <v>640.93624999999997</v>
      </c>
      <c r="K313" s="1">
        <v>409.88249999999999</v>
      </c>
      <c r="L313" s="1">
        <v>287.99250000000001</v>
      </c>
      <c r="M313" s="1">
        <v>105.765</v>
      </c>
      <c r="N313" s="1">
        <v>101.39749999999999</v>
      </c>
      <c r="O313" s="1">
        <v>0</v>
      </c>
      <c r="P313" s="1">
        <v>0</v>
      </c>
      <c r="Q313" s="1">
        <v>0</v>
      </c>
      <c r="R313" s="1">
        <v>0</v>
      </c>
      <c r="S313" s="1">
        <v>40.316249999999997</v>
      </c>
      <c r="T313" s="1">
        <v>258.25125000000003</v>
      </c>
      <c r="U313" s="1">
        <v>607.15125</v>
      </c>
      <c r="V313" s="1">
        <v>858.05624999999998</v>
      </c>
      <c r="W313" s="1">
        <v>898.06375000000003</v>
      </c>
      <c r="X313" s="1">
        <v>894.5625</v>
      </c>
      <c r="Y313" s="1">
        <v>881.21</v>
      </c>
      <c r="Z313" s="1">
        <v>841.66875000000005</v>
      </c>
      <c r="AA313" s="1">
        <v>797.22249999999997</v>
      </c>
      <c r="AB313" s="26">
        <v>4</v>
      </c>
      <c r="AC313" s="8">
        <f t="shared" si="17"/>
        <v>48594.28</v>
      </c>
      <c r="AM313"/>
    </row>
    <row r="314" spans="1:39" x14ac:dyDescent="0.25">
      <c r="A314" s="3">
        <f t="shared" si="15"/>
        <v>2035</v>
      </c>
      <c r="B314" s="5" t="str">
        <f>PROPER(TEXT(DATEVALUE("1/"&amp;MOD(ROUNDDOWN((ROW()-6+7*3)/3,0),12)+1&amp;"/"&amp;Tabla1[[#This Row],[Año]]),"mmm"))</f>
        <v>Feb</v>
      </c>
      <c r="C314" s="7" t="str">
        <f t="shared" si="16"/>
        <v>Domingo y Festivo</v>
      </c>
      <c r="D314" s="1">
        <v>767.40749999999991</v>
      </c>
      <c r="E314" s="1">
        <v>745.98</v>
      </c>
      <c r="F314" s="1">
        <v>728.80916666666656</v>
      </c>
      <c r="G314" s="1">
        <v>709.74749999999995</v>
      </c>
      <c r="H314" s="1">
        <v>701.0866666666667</v>
      </c>
      <c r="I314" s="1">
        <v>679.61749999999995</v>
      </c>
      <c r="J314" s="1">
        <v>568.16166666666663</v>
      </c>
      <c r="K314" s="1">
        <v>161.14000000000001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5.3475000000000001</v>
      </c>
      <c r="T314" s="1">
        <v>162.04416666666665</v>
      </c>
      <c r="U314" s="1">
        <v>516.50249999999994</v>
      </c>
      <c r="V314" s="1">
        <v>769.26166666666666</v>
      </c>
      <c r="W314" s="1">
        <v>839.73333333333323</v>
      </c>
      <c r="X314" s="1">
        <v>863.92333333333329</v>
      </c>
      <c r="Y314" s="1">
        <v>861.94500000000005</v>
      </c>
      <c r="Z314" s="1">
        <v>812.42500000000007</v>
      </c>
      <c r="AA314" s="1">
        <v>758.22833333333335</v>
      </c>
      <c r="AB314" s="26">
        <v>4</v>
      </c>
      <c r="AC314" s="8">
        <f t="shared" si="17"/>
        <v>42605.443333333322</v>
      </c>
      <c r="AM314"/>
    </row>
    <row r="315" spans="1:39" x14ac:dyDescent="0.25">
      <c r="A315" s="3">
        <f t="shared" si="15"/>
        <v>2035</v>
      </c>
      <c r="B315" s="5" t="str">
        <f>PROPER(TEXT(DATEVALUE("1/"&amp;MOD(ROUNDDOWN((ROW()-6+7*3)/3,0),12)+1&amp;"/"&amp;Tabla1[[#This Row],[Año]]),"mmm"))</f>
        <v>Mar</v>
      </c>
      <c r="C315" s="7" t="str">
        <f t="shared" si="16"/>
        <v>Hábil</v>
      </c>
      <c r="D315" s="1">
        <v>777.23380952380955</v>
      </c>
      <c r="E315" s="1">
        <v>747.8097619047619</v>
      </c>
      <c r="F315" s="1">
        <v>722.91357142857146</v>
      </c>
      <c r="G315" s="1">
        <v>698.02428571428572</v>
      </c>
      <c r="H315" s="1">
        <v>691.64547619047619</v>
      </c>
      <c r="I315" s="1">
        <v>710.39976190476193</v>
      </c>
      <c r="J315" s="1">
        <v>735.91809523809525</v>
      </c>
      <c r="K315" s="1">
        <v>722.64095238095229</v>
      </c>
      <c r="L315" s="1">
        <v>637.61285714285714</v>
      </c>
      <c r="M315" s="1">
        <v>406.39833333333331</v>
      </c>
      <c r="N315" s="1">
        <v>277.80166666666668</v>
      </c>
      <c r="O315" s="1">
        <v>285.09047619047618</v>
      </c>
      <c r="P315" s="1">
        <v>123.77285714285715</v>
      </c>
      <c r="Q315" s="1">
        <v>92.608333333333334</v>
      </c>
      <c r="R315" s="1">
        <v>299.13642857142855</v>
      </c>
      <c r="S315" s="1">
        <v>455.46952380952382</v>
      </c>
      <c r="T315" s="1">
        <v>747.55857142857144</v>
      </c>
      <c r="U315" s="1">
        <v>1079.5923809523808</v>
      </c>
      <c r="V315" s="1">
        <v>1066.6104761904762</v>
      </c>
      <c r="W315" s="1">
        <v>976.52190476190469</v>
      </c>
      <c r="X315" s="1">
        <v>970.79452380952387</v>
      </c>
      <c r="Y315" s="1">
        <v>956.94904761904763</v>
      </c>
      <c r="Z315" s="1">
        <v>895.17119047619053</v>
      </c>
      <c r="AA315" s="1">
        <v>830.36285714285714</v>
      </c>
      <c r="AB315" s="26">
        <v>22</v>
      </c>
      <c r="AC315" s="8">
        <f t="shared" si="17"/>
        <v>349976.81714285718</v>
      </c>
      <c r="AM315"/>
    </row>
    <row r="316" spans="1:39" x14ac:dyDescent="0.25">
      <c r="A316" s="3">
        <f t="shared" si="15"/>
        <v>2035</v>
      </c>
      <c r="B316" s="5" t="str">
        <f>PROPER(TEXT(DATEVALUE("1/"&amp;MOD(ROUNDDOWN((ROW()-6+7*3)/3,0),12)+1&amp;"/"&amp;Tabla1[[#This Row],[Año]]),"mmm"))</f>
        <v>Mar</v>
      </c>
      <c r="C316" s="7" t="str">
        <f t="shared" si="16"/>
        <v>Sábado</v>
      </c>
      <c r="D316" s="1">
        <v>813.79875000000004</v>
      </c>
      <c r="E316" s="1">
        <v>785.57749999999999</v>
      </c>
      <c r="F316" s="1">
        <v>753.28625</v>
      </c>
      <c r="G316" s="1">
        <v>734.60500000000002</v>
      </c>
      <c r="H316" s="1">
        <v>726.27</v>
      </c>
      <c r="I316" s="1">
        <v>712.55624999999998</v>
      </c>
      <c r="J316" s="1">
        <v>640.93624999999997</v>
      </c>
      <c r="K316" s="1">
        <v>409.88249999999999</v>
      </c>
      <c r="L316" s="1">
        <v>287.99250000000001</v>
      </c>
      <c r="M316" s="1">
        <v>105.765</v>
      </c>
      <c r="N316" s="1">
        <v>101.39749999999999</v>
      </c>
      <c r="O316" s="1">
        <v>0</v>
      </c>
      <c r="P316" s="1">
        <v>0</v>
      </c>
      <c r="Q316" s="1">
        <v>0</v>
      </c>
      <c r="R316" s="1">
        <v>0</v>
      </c>
      <c r="S316" s="1">
        <v>40.316249999999997</v>
      </c>
      <c r="T316" s="1">
        <v>258.25125000000003</v>
      </c>
      <c r="U316" s="1">
        <v>607.15125</v>
      </c>
      <c r="V316" s="1">
        <v>858.05624999999998</v>
      </c>
      <c r="W316" s="1">
        <v>898.06375000000003</v>
      </c>
      <c r="X316" s="1">
        <v>894.5625</v>
      </c>
      <c r="Y316" s="1">
        <v>881.21</v>
      </c>
      <c r="Z316" s="1">
        <v>841.66875000000005</v>
      </c>
      <c r="AA316" s="1">
        <v>797.22249999999997</v>
      </c>
      <c r="AB316" s="26">
        <v>5</v>
      </c>
      <c r="AC316" s="8">
        <f t="shared" si="17"/>
        <v>60742.85</v>
      </c>
      <c r="AM316"/>
    </row>
    <row r="317" spans="1:39" x14ac:dyDescent="0.25">
      <c r="A317" s="3">
        <f t="shared" si="15"/>
        <v>2035</v>
      </c>
      <c r="B317" s="5" t="str">
        <f>PROPER(TEXT(DATEVALUE("1/"&amp;MOD(ROUNDDOWN((ROW()-6+7*3)/3,0),12)+1&amp;"/"&amp;Tabla1[[#This Row],[Año]]),"mmm"))</f>
        <v>Mar</v>
      </c>
      <c r="C317" s="7" t="str">
        <f t="shared" si="16"/>
        <v>Domingo y Festivo</v>
      </c>
      <c r="D317" s="1">
        <v>767.40749999999991</v>
      </c>
      <c r="E317" s="1">
        <v>745.98</v>
      </c>
      <c r="F317" s="1">
        <v>728.80916666666656</v>
      </c>
      <c r="G317" s="1">
        <v>709.74749999999995</v>
      </c>
      <c r="H317" s="1">
        <v>701.0866666666667</v>
      </c>
      <c r="I317" s="1">
        <v>679.61749999999995</v>
      </c>
      <c r="J317" s="1">
        <v>568.16166666666663</v>
      </c>
      <c r="K317" s="1">
        <v>161.14000000000001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5.3475000000000001</v>
      </c>
      <c r="T317" s="1">
        <v>162.04416666666665</v>
      </c>
      <c r="U317" s="1">
        <v>516.50249999999994</v>
      </c>
      <c r="V317" s="1">
        <v>769.26166666666666</v>
      </c>
      <c r="W317" s="1">
        <v>839.73333333333323</v>
      </c>
      <c r="X317" s="1">
        <v>863.92333333333329</v>
      </c>
      <c r="Y317" s="1">
        <v>861.94500000000005</v>
      </c>
      <c r="Z317" s="1">
        <v>812.42500000000007</v>
      </c>
      <c r="AA317" s="1">
        <v>758.22833333333335</v>
      </c>
      <c r="AB317" s="26">
        <v>4</v>
      </c>
      <c r="AC317" s="8">
        <f t="shared" si="17"/>
        <v>42605.443333333322</v>
      </c>
      <c r="AM317"/>
    </row>
    <row r="318" spans="1:39" x14ac:dyDescent="0.25">
      <c r="A318" s="3">
        <f t="shared" si="15"/>
        <v>2035</v>
      </c>
      <c r="B318" s="5" t="str">
        <f>PROPER(TEXT(DATEVALUE("1/"&amp;MOD(ROUNDDOWN((ROW()-6+7*3)/3,0),12)+1&amp;"/"&amp;Tabla1[[#This Row],[Año]]),"mmm"))</f>
        <v>Abr</v>
      </c>
      <c r="C318" s="7" t="str">
        <f t="shared" si="16"/>
        <v>Hábil</v>
      </c>
      <c r="D318" s="1">
        <v>777.23380952380955</v>
      </c>
      <c r="E318" s="1">
        <v>747.8097619047619</v>
      </c>
      <c r="F318" s="1">
        <v>722.91357142857146</v>
      </c>
      <c r="G318" s="1">
        <v>698.02428571428572</v>
      </c>
      <c r="H318" s="1">
        <v>691.64547619047619</v>
      </c>
      <c r="I318" s="1">
        <v>710.39976190476193</v>
      </c>
      <c r="J318" s="1">
        <v>735.91809523809525</v>
      </c>
      <c r="K318" s="1">
        <v>722.64095238095229</v>
      </c>
      <c r="L318" s="1">
        <v>637.61285714285714</v>
      </c>
      <c r="M318" s="1">
        <v>406.39833333333331</v>
      </c>
      <c r="N318" s="1">
        <v>277.80166666666668</v>
      </c>
      <c r="O318" s="1">
        <v>285.09047619047618</v>
      </c>
      <c r="P318" s="1">
        <v>123.77285714285715</v>
      </c>
      <c r="Q318" s="1">
        <v>92.608333333333334</v>
      </c>
      <c r="R318" s="1">
        <v>299.13642857142855</v>
      </c>
      <c r="S318" s="1">
        <v>455.46952380952382</v>
      </c>
      <c r="T318" s="1">
        <v>747.55857142857144</v>
      </c>
      <c r="U318" s="1">
        <v>1079.5923809523808</v>
      </c>
      <c r="V318" s="1">
        <v>1066.6104761904762</v>
      </c>
      <c r="W318" s="1">
        <v>976.52190476190469</v>
      </c>
      <c r="X318" s="1">
        <v>970.79452380952387</v>
      </c>
      <c r="Y318" s="1">
        <v>956.94904761904763</v>
      </c>
      <c r="Z318" s="1">
        <v>895.17119047619053</v>
      </c>
      <c r="AA318" s="1">
        <v>830.36285714285714</v>
      </c>
      <c r="AB318" s="26">
        <v>21</v>
      </c>
      <c r="AC318" s="8">
        <f t="shared" si="17"/>
        <v>334068.78000000003</v>
      </c>
      <c r="AM318"/>
    </row>
    <row r="319" spans="1:39" x14ac:dyDescent="0.25">
      <c r="A319" s="3">
        <f t="shared" si="15"/>
        <v>2035</v>
      </c>
      <c r="B319" s="5" t="str">
        <f>PROPER(TEXT(DATEVALUE("1/"&amp;MOD(ROUNDDOWN((ROW()-6+7*3)/3,0),12)+1&amp;"/"&amp;Tabla1[[#This Row],[Año]]),"mmm"))</f>
        <v>Abr</v>
      </c>
      <c r="C319" s="7" t="str">
        <f t="shared" si="16"/>
        <v>Sábado</v>
      </c>
      <c r="D319" s="1">
        <v>813.79875000000004</v>
      </c>
      <c r="E319" s="1">
        <v>785.57749999999999</v>
      </c>
      <c r="F319" s="1">
        <v>753.28625</v>
      </c>
      <c r="G319" s="1">
        <v>734.60500000000002</v>
      </c>
      <c r="H319" s="1">
        <v>726.27</v>
      </c>
      <c r="I319" s="1">
        <v>712.55624999999998</v>
      </c>
      <c r="J319" s="1">
        <v>640.93624999999997</v>
      </c>
      <c r="K319" s="1">
        <v>409.88249999999999</v>
      </c>
      <c r="L319" s="1">
        <v>287.99250000000001</v>
      </c>
      <c r="M319" s="1">
        <v>105.765</v>
      </c>
      <c r="N319" s="1">
        <v>101.39749999999999</v>
      </c>
      <c r="O319" s="1">
        <v>0</v>
      </c>
      <c r="P319" s="1">
        <v>0</v>
      </c>
      <c r="Q319" s="1">
        <v>0</v>
      </c>
      <c r="R319" s="1">
        <v>0</v>
      </c>
      <c r="S319" s="1">
        <v>40.316249999999997</v>
      </c>
      <c r="T319" s="1">
        <v>258.25125000000003</v>
      </c>
      <c r="U319" s="1">
        <v>607.15125</v>
      </c>
      <c r="V319" s="1">
        <v>858.05624999999998</v>
      </c>
      <c r="W319" s="1">
        <v>898.06375000000003</v>
      </c>
      <c r="X319" s="1">
        <v>894.5625</v>
      </c>
      <c r="Y319" s="1">
        <v>881.21</v>
      </c>
      <c r="Z319" s="1">
        <v>841.66875000000005</v>
      </c>
      <c r="AA319" s="1">
        <v>797.22249999999997</v>
      </c>
      <c r="AB319" s="26">
        <v>4</v>
      </c>
      <c r="AC319" s="8">
        <f t="shared" si="17"/>
        <v>48594.28</v>
      </c>
      <c r="AM319"/>
    </row>
    <row r="320" spans="1:39" x14ac:dyDescent="0.25">
      <c r="A320" s="3">
        <f t="shared" si="15"/>
        <v>2035</v>
      </c>
      <c r="B320" s="5" t="str">
        <f>PROPER(TEXT(DATEVALUE("1/"&amp;MOD(ROUNDDOWN((ROW()-6+7*3)/3,0),12)+1&amp;"/"&amp;Tabla1[[#This Row],[Año]]),"mmm"))</f>
        <v>Abr</v>
      </c>
      <c r="C320" s="7" t="str">
        <f t="shared" si="16"/>
        <v>Domingo y Festivo</v>
      </c>
      <c r="D320" s="1">
        <v>767.40749999999991</v>
      </c>
      <c r="E320" s="1">
        <v>745.98</v>
      </c>
      <c r="F320" s="1">
        <v>728.80916666666656</v>
      </c>
      <c r="G320" s="1">
        <v>709.74749999999995</v>
      </c>
      <c r="H320" s="1">
        <v>701.0866666666667</v>
      </c>
      <c r="I320" s="1">
        <v>679.61749999999995</v>
      </c>
      <c r="J320" s="1">
        <v>568.16166666666663</v>
      </c>
      <c r="K320" s="1">
        <v>161.14000000000001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5.3475000000000001</v>
      </c>
      <c r="T320" s="1">
        <v>162.04416666666665</v>
      </c>
      <c r="U320" s="1">
        <v>516.50249999999994</v>
      </c>
      <c r="V320" s="1">
        <v>769.26166666666666</v>
      </c>
      <c r="W320" s="1">
        <v>839.73333333333323</v>
      </c>
      <c r="X320" s="1">
        <v>863.92333333333329</v>
      </c>
      <c r="Y320" s="1">
        <v>861.94500000000005</v>
      </c>
      <c r="Z320" s="1">
        <v>812.42500000000007</v>
      </c>
      <c r="AA320" s="1">
        <v>758.22833333333335</v>
      </c>
      <c r="AB320" s="26">
        <v>5</v>
      </c>
      <c r="AC320" s="8">
        <f t="shared" si="17"/>
        <v>53256.804166666654</v>
      </c>
      <c r="AM320"/>
    </row>
    <row r="321" spans="1:39" x14ac:dyDescent="0.25">
      <c r="A321" s="3">
        <f t="shared" si="15"/>
        <v>2035</v>
      </c>
      <c r="B321" s="5" t="str">
        <f>PROPER(TEXT(DATEVALUE("1/"&amp;MOD(ROUNDDOWN((ROW()-6+7*3)/3,0),12)+1&amp;"/"&amp;Tabla1[[#This Row],[Año]]),"mmm"))</f>
        <v>May</v>
      </c>
      <c r="C321" s="7" t="str">
        <f t="shared" si="16"/>
        <v>Hábil</v>
      </c>
      <c r="D321" s="1">
        <v>777.23380952380955</v>
      </c>
      <c r="E321" s="1">
        <v>747.8097619047619</v>
      </c>
      <c r="F321" s="1">
        <v>722.91357142857146</v>
      </c>
      <c r="G321" s="1">
        <v>698.02428571428572</v>
      </c>
      <c r="H321" s="1">
        <v>691.64547619047619</v>
      </c>
      <c r="I321" s="1">
        <v>710.39976190476193</v>
      </c>
      <c r="J321" s="1">
        <v>735.91809523809525</v>
      </c>
      <c r="K321" s="1">
        <v>722.64095238095229</v>
      </c>
      <c r="L321" s="1">
        <v>637.61285714285714</v>
      </c>
      <c r="M321" s="1">
        <v>406.39833333333331</v>
      </c>
      <c r="N321" s="1">
        <v>277.80166666666668</v>
      </c>
      <c r="O321" s="1">
        <v>285.09047619047618</v>
      </c>
      <c r="P321" s="1">
        <v>123.77285714285715</v>
      </c>
      <c r="Q321" s="1">
        <v>92.608333333333334</v>
      </c>
      <c r="R321" s="1">
        <v>299.13642857142855</v>
      </c>
      <c r="S321" s="1">
        <v>455.46952380952382</v>
      </c>
      <c r="T321" s="1">
        <v>747.55857142857144</v>
      </c>
      <c r="U321" s="1">
        <v>1079.5923809523808</v>
      </c>
      <c r="V321" s="1">
        <v>1066.6104761904762</v>
      </c>
      <c r="W321" s="1">
        <v>976.52190476190469</v>
      </c>
      <c r="X321" s="1">
        <v>970.79452380952387</v>
      </c>
      <c r="Y321" s="1">
        <v>956.94904761904763</v>
      </c>
      <c r="Z321" s="1">
        <v>895.17119047619053</v>
      </c>
      <c r="AA321" s="1">
        <v>830.36285714285714</v>
      </c>
      <c r="AB321" s="26">
        <v>23</v>
      </c>
      <c r="AC321" s="8">
        <f t="shared" si="17"/>
        <v>365884.85428571433</v>
      </c>
      <c r="AM321"/>
    </row>
    <row r="322" spans="1:39" x14ac:dyDescent="0.25">
      <c r="A322" s="3">
        <f t="shared" si="15"/>
        <v>2035</v>
      </c>
      <c r="B322" s="5" t="str">
        <f>PROPER(TEXT(DATEVALUE("1/"&amp;MOD(ROUNDDOWN((ROW()-6+7*3)/3,0),12)+1&amp;"/"&amp;Tabla1[[#This Row],[Año]]),"mmm"))</f>
        <v>May</v>
      </c>
      <c r="C322" s="7" t="str">
        <f t="shared" si="16"/>
        <v>Sábado</v>
      </c>
      <c r="D322" s="1">
        <v>813.79875000000004</v>
      </c>
      <c r="E322" s="1">
        <v>785.57749999999999</v>
      </c>
      <c r="F322" s="1">
        <v>753.28625</v>
      </c>
      <c r="G322" s="1">
        <v>734.60500000000002</v>
      </c>
      <c r="H322" s="1">
        <v>726.27</v>
      </c>
      <c r="I322" s="1">
        <v>712.55624999999998</v>
      </c>
      <c r="J322" s="1">
        <v>640.93624999999997</v>
      </c>
      <c r="K322" s="1">
        <v>409.88249999999999</v>
      </c>
      <c r="L322" s="1">
        <v>287.99250000000001</v>
      </c>
      <c r="M322" s="1">
        <v>105.765</v>
      </c>
      <c r="N322" s="1">
        <v>101.39749999999999</v>
      </c>
      <c r="O322" s="1">
        <v>0</v>
      </c>
      <c r="P322" s="1">
        <v>0</v>
      </c>
      <c r="Q322" s="1">
        <v>0</v>
      </c>
      <c r="R322" s="1">
        <v>0</v>
      </c>
      <c r="S322" s="1">
        <v>40.316249999999997</v>
      </c>
      <c r="T322" s="1">
        <v>258.25125000000003</v>
      </c>
      <c r="U322" s="1">
        <v>607.15125</v>
      </c>
      <c r="V322" s="1">
        <v>858.05624999999998</v>
      </c>
      <c r="W322" s="1">
        <v>898.06375000000003</v>
      </c>
      <c r="X322" s="1">
        <v>894.5625</v>
      </c>
      <c r="Y322" s="1">
        <v>881.21</v>
      </c>
      <c r="Z322" s="1">
        <v>841.66875000000005</v>
      </c>
      <c r="AA322" s="1">
        <v>797.22249999999997</v>
      </c>
      <c r="AB322" s="26">
        <v>4</v>
      </c>
      <c r="AC322" s="8">
        <f t="shared" si="17"/>
        <v>48594.28</v>
      </c>
      <c r="AM322"/>
    </row>
    <row r="323" spans="1:39" x14ac:dyDescent="0.25">
      <c r="A323" s="3">
        <f t="shared" si="15"/>
        <v>2035</v>
      </c>
      <c r="B323" s="5" t="str">
        <f>PROPER(TEXT(DATEVALUE("1/"&amp;MOD(ROUNDDOWN((ROW()-6+7*3)/3,0),12)+1&amp;"/"&amp;Tabla1[[#This Row],[Año]]),"mmm"))</f>
        <v>May</v>
      </c>
      <c r="C323" s="7" t="str">
        <f t="shared" si="16"/>
        <v>Domingo y Festivo</v>
      </c>
      <c r="D323" s="1">
        <v>767.40749999999991</v>
      </c>
      <c r="E323" s="1">
        <v>745.98</v>
      </c>
      <c r="F323" s="1">
        <v>728.80916666666656</v>
      </c>
      <c r="G323" s="1">
        <v>709.74749999999995</v>
      </c>
      <c r="H323" s="1">
        <v>701.0866666666667</v>
      </c>
      <c r="I323" s="1">
        <v>679.61749999999995</v>
      </c>
      <c r="J323" s="1">
        <v>568.16166666666663</v>
      </c>
      <c r="K323" s="1">
        <v>161.14000000000001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5.3475000000000001</v>
      </c>
      <c r="T323" s="1">
        <v>162.04416666666665</v>
      </c>
      <c r="U323" s="1">
        <v>516.50249999999994</v>
      </c>
      <c r="V323" s="1">
        <v>769.26166666666666</v>
      </c>
      <c r="W323" s="1">
        <v>839.73333333333323</v>
      </c>
      <c r="X323" s="1">
        <v>863.92333333333329</v>
      </c>
      <c r="Y323" s="1">
        <v>861.94500000000005</v>
      </c>
      <c r="Z323" s="1">
        <v>812.42500000000007</v>
      </c>
      <c r="AA323" s="1">
        <v>758.22833333333335</v>
      </c>
      <c r="AB323" s="26">
        <v>4</v>
      </c>
      <c r="AC323" s="8">
        <f t="shared" si="17"/>
        <v>42605.443333333322</v>
      </c>
      <c r="AM323"/>
    </row>
    <row r="324" spans="1:39" x14ac:dyDescent="0.25">
      <c r="A324" s="3">
        <f t="shared" si="15"/>
        <v>2035</v>
      </c>
      <c r="B324" s="5" t="str">
        <f>PROPER(TEXT(DATEVALUE("1/"&amp;MOD(ROUNDDOWN((ROW()-6+7*3)/3,0),12)+1&amp;"/"&amp;Tabla1[[#This Row],[Año]]),"mmm"))</f>
        <v>Jun</v>
      </c>
      <c r="C324" s="7" t="str">
        <f t="shared" si="16"/>
        <v>Hábil</v>
      </c>
      <c r="D324" s="1">
        <v>777.23380952380955</v>
      </c>
      <c r="E324" s="1">
        <v>747.8097619047619</v>
      </c>
      <c r="F324" s="1">
        <v>722.91357142857146</v>
      </c>
      <c r="G324" s="1">
        <v>698.02428571428572</v>
      </c>
      <c r="H324" s="1">
        <v>691.64547619047619</v>
      </c>
      <c r="I324" s="1">
        <v>710.39976190476193</v>
      </c>
      <c r="J324" s="1">
        <v>735.91809523809525</v>
      </c>
      <c r="K324" s="1">
        <v>722.64095238095229</v>
      </c>
      <c r="L324" s="1">
        <v>637.61285714285714</v>
      </c>
      <c r="M324" s="1">
        <v>406.39833333333331</v>
      </c>
      <c r="N324" s="1">
        <v>277.80166666666668</v>
      </c>
      <c r="O324" s="1">
        <v>285.09047619047618</v>
      </c>
      <c r="P324" s="1">
        <v>123.77285714285715</v>
      </c>
      <c r="Q324" s="1">
        <v>92.608333333333334</v>
      </c>
      <c r="R324" s="1">
        <v>299.13642857142855</v>
      </c>
      <c r="S324" s="1">
        <v>455.46952380952382</v>
      </c>
      <c r="T324" s="1">
        <v>747.55857142857144</v>
      </c>
      <c r="U324" s="1">
        <v>1079.5923809523808</v>
      </c>
      <c r="V324" s="1">
        <v>1066.6104761904762</v>
      </c>
      <c r="W324" s="1">
        <v>976.52190476190469</v>
      </c>
      <c r="X324" s="1">
        <v>970.79452380952387</v>
      </c>
      <c r="Y324" s="1">
        <v>956.94904761904763</v>
      </c>
      <c r="Z324" s="1">
        <v>895.17119047619053</v>
      </c>
      <c r="AA324" s="1">
        <v>830.36285714285714</v>
      </c>
      <c r="AB324" s="26">
        <v>21</v>
      </c>
      <c r="AC324" s="8">
        <f t="shared" si="17"/>
        <v>334068.78000000003</v>
      </c>
      <c r="AM324"/>
    </row>
    <row r="325" spans="1:39" x14ac:dyDescent="0.25">
      <c r="A325" s="3">
        <f t="shared" si="15"/>
        <v>2035</v>
      </c>
      <c r="B325" s="5" t="str">
        <f>PROPER(TEXT(DATEVALUE("1/"&amp;MOD(ROUNDDOWN((ROW()-6+7*3)/3,0),12)+1&amp;"/"&amp;Tabla1[[#This Row],[Año]]),"mmm"))</f>
        <v>Jun</v>
      </c>
      <c r="C325" s="7" t="str">
        <f t="shared" si="16"/>
        <v>Sábado</v>
      </c>
      <c r="D325" s="1">
        <v>813.79875000000004</v>
      </c>
      <c r="E325" s="1">
        <v>785.57749999999999</v>
      </c>
      <c r="F325" s="1">
        <v>753.28625</v>
      </c>
      <c r="G325" s="1">
        <v>734.60500000000002</v>
      </c>
      <c r="H325" s="1">
        <v>726.27</v>
      </c>
      <c r="I325" s="1">
        <v>712.55624999999998</v>
      </c>
      <c r="J325" s="1">
        <v>640.93624999999997</v>
      </c>
      <c r="K325" s="1">
        <v>409.88249999999999</v>
      </c>
      <c r="L325" s="1">
        <v>287.99250000000001</v>
      </c>
      <c r="M325" s="1">
        <v>105.765</v>
      </c>
      <c r="N325" s="1">
        <v>101.39749999999999</v>
      </c>
      <c r="O325" s="1">
        <v>0</v>
      </c>
      <c r="P325" s="1">
        <v>0</v>
      </c>
      <c r="Q325" s="1">
        <v>0</v>
      </c>
      <c r="R325" s="1">
        <v>0</v>
      </c>
      <c r="S325" s="1">
        <v>40.316249999999997</v>
      </c>
      <c r="T325" s="1">
        <v>258.25125000000003</v>
      </c>
      <c r="U325" s="1">
        <v>607.15125</v>
      </c>
      <c r="V325" s="1">
        <v>858.05624999999998</v>
      </c>
      <c r="W325" s="1">
        <v>898.06375000000003</v>
      </c>
      <c r="X325" s="1">
        <v>894.5625</v>
      </c>
      <c r="Y325" s="1">
        <v>881.21</v>
      </c>
      <c r="Z325" s="1">
        <v>841.66875000000005</v>
      </c>
      <c r="AA325" s="1">
        <v>797.22249999999997</v>
      </c>
      <c r="AB325" s="26">
        <v>5</v>
      </c>
      <c r="AC325" s="8">
        <f t="shared" si="17"/>
        <v>60742.85</v>
      </c>
      <c r="AM325"/>
    </row>
    <row r="326" spans="1:39" x14ac:dyDescent="0.25">
      <c r="A326" s="3">
        <f t="shared" ref="A326:A380" si="18">ROUNDDOWN((ROW()-6+3*7)/(12*3),0)+2026</f>
        <v>2035</v>
      </c>
      <c r="B326" s="5" t="str">
        <f>PROPER(TEXT(DATEVALUE("1/"&amp;MOD(ROUNDDOWN((ROW()-6+7*3)/3,0),12)+1&amp;"/"&amp;Tabla1[[#This Row],[Año]]),"mmm"))</f>
        <v>Jun</v>
      </c>
      <c r="C326" s="7" t="str">
        <f t="shared" ref="C326:C380" si="19">CHOOSE(MOD(ROW()-6,3)+1,"Hábil","Sábado","Domingo y Festivo")</f>
        <v>Domingo y Festivo</v>
      </c>
      <c r="D326" s="1">
        <v>767.40749999999991</v>
      </c>
      <c r="E326" s="1">
        <v>745.98</v>
      </c>
      <c r="F326" s="1">
        <v>728.80916666666656</v>
      </c>
      <c r="G326" s="1">
        <v>709.74749999999995</v>
      </c>
      <c r="H326" s="1">
        <v>701.0866666666667</v>
      </c>
      <c r="I326" s="1">
        <v>679.61749999999995</v>
      </c>
      <c r="J326" s="1">
        <v>568.16166666666663</v>
      </c>
      <c r="K326" s="1">
        <v>161.14000000000001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5.3475000000000001</v>
      </c>
      <c r="T326" s="1">
        <v>162.04416666666665</v>
      </c>
      <c r="U326" s="1">
        <v>516.50249999999994</v>
      </c>
      <c r="V326" s="1">
        <v>769.26166666666666</v>
      </c>
      <c r="W326" s="1">
        <v>839.73333333333323</v>
      </c>
      <c r="X326" s="1">
        <v>863.92333333333329</v>
      </c>
      <c r="Y326" s="1">
        <v>861.94500000000005</v>
      </c>
      <c r="Z326" s="1">
        <v>812.42500000000007</v>
      </c>
      <c r="AA326" s="1">
        <v>758.22833333333335</v>
      </c>
      <c r="AB326" s="26">
        <v>4</v>
      </c>
      <c r="AC326" s="8">
        <f t="shared" ref="AC326:AC380" si="20">AB326*SUM(D326:AA326)</f>
        <v>42605.443333333322</v>
      </c>
      <c r="AM326"/>
    </row>
    <row r="327" spans="1:39" x14ac:dyDescent="0.25">
      <c r="A327" s="3">
        <f t="shared" si="18"/>
        <v>2035</v>
      </c>
      <c r="B327" s="5" t="str">
        <f>PROPER(TEXT(DATEVALUE("1/"&amp;MOD(ROUNDDOWN((ROW()-6+7*3)/3,0),12)+1&amp;"/"&amp;Tabla1[[#This Row],[Año]]),"mmm"))</f>
        <v>Jul</v>
      </c>
      <c r="C327" s="7" t="str">
        <f t="shared" si="19"/>
        <v>Hábil</v>
      </c>
      <c r="D327" s="1">
        <v>777.23380952380955</v>
      </c>
      <c r="E327" s="1">
        <v>747.8097619047619</v>
      </c>
      <c r="F327" s="1">
        <v>722.91357142857146</v>
      </c>
      <c r="G327" s="1">
        <v>698.02428571428572</v>
      </c>
      <c r="H327" s="1">
        <v>691.64547619047619</v>
      </c>
      <c r="I327" s="1">
        <v>710.39976190476193</v>
      </c>
      <c r="J327" s="1">
        <v>735.91809523809525</v>
      </c>
      <c r="K327" s="1">
        <v>722.64095238095229</v>
      </c>
      <c r="L327" s="1">
        <v>637.61285714285714</v>
      </c>
      <c r="M327" s="1">
        <v>406.39833333333331</v>
      </c>
      <c r="N327" s="1">
        <v>277.80166666666668</v>
      </c>
      <c r="O327" s="1">
        <v>285.09047619047618</v>
      </c>
      <c r="P327" s="1">
        <v>123.77285714285715</v>
      </c>
      <c r="Q327" s="1">
        <v>92.608333333333334</v>
      </c>
      <c r="R327" s="1">
        <v>299.13642857142855</v>
      </c>
      <c r="S327" s="1">
        <v>455.46952380952382</v>
      </c>
      <c r="T327" s="1">
        <v>747.55857142857144</v>
      </c>
      <c r="U327" s="1">
        <v>1079.5923809523808</v>
      </c>
      <c r="V327" s="1">
        <v>1066.6104761904762</v>
      </c>
      <c r="W327" s="1">
        <v>976.52190476190469</v>
      </c>
      <c r="X327" s="1">
        <v>970.79452380952387</v>
      </c>
      <c r="Y327" s="1">
        <v>956.94904761904763</v>
      </c>
      <c r="Z327" s="1">
        <v>895.17119047619053</v>
      </c>
      <c r="AA327" s="1">
        <v>830.36285714285714</v>
      </c>
      <c r="AB327" s="26">
        <v>22</v>
      </c>
      <c r="AC327" s="8">
        <f t="shared" si="20"/>
        <v>349976.81714285718</v>
      </c>
      <c r="AM327"/>
    </row>
    <row r="328" spans="1:39" x14ac:dyDescent="0.25">
      <c r="A328" s="3">
        <f t="shared" si="18"/>
        <v>2035</v>
      </c>
      <c r="B328" s="5" t="str">
        <f>PROPER(TEXT(DATEVALUE("1/"&amp;MOD(ROUNDDOWN((ROW()-6+7*3)/3,0),12)+1&amp;"/"&amp;Tabla1[[#This Row],[Año]]),"mmm"))</f>
        <v>Jul</v>
      </c>
      <c r="C328" s="7" t="str">
        <f t="shared" si="19"/>
        <v>Sábado</v>
      </c>
      <c r="D328" s="1">
        <v>813.79875000000004</v>
      </c>
      <c r="E328" s="1">
        <v>785.57749999999999</v>
      </c>
      <c r="F328" s="1">
        <v>753.28625</v>
      </c>
      <c r="G328" s="1">
        <v>734.60500000000002</v>
      </c>
      <c r="H328" s="1">
        <v>726.27</v>
      </c>
      <c r="I328" s="1">
        <v>712.55624999999998</v>
      </c>
      <c r="J328" s="1">
        <v>640.93624999999997</v>
      </c>
      <c r="K328" s="1">
        <v>409.88249999999999</v>
      </c>
      <c r="L328" s="1">
        <v>287.99250000000001</v>
      </c>
      <c r="M328" s="1">
        <v>105.765</v>
      </c>
      <c r="N328" s="1">
        <v>101.39749999999999</v>
      </c>
      <c r="O328" s="1">
        <v>0</v>
      </c>
      <c r="P328" s="1">
        <v>0</v>
      </c>
      <c r="Q328" s="1">
        <v>0</v>
      </c>
      <c r="R328" s="1">
        <v>0</v>
      </c>
      <c r="S328" s="1">
        <v>40.316249999999997</v>
      </c>
      <c r="T328" s="1">
        <v>258.25125000000003</v>
      </c>
      <c r="U328" s="1">
        <v>607.15125</v>
      </c>
      <c r="V328" s="1">
        <v>858.05624999999998</v>
      </c>
      <c r="W328" s="1">
        <v>898.06375000000003</v>
      </c>
      <c r="X328" s="1">
        <v>894.5625</v>
      </c>
      <c r="Y328" s="1">
        <v>881.21</v>
      </c>
      <c r="Z328" s="1">
        <v>841.66875000000005</v>
      </c>
      <c r="AA328" s="1">
        <v>797.22249999999997</v>
      </c>
      <c r="AB328" s="26">
        <v>4</v>
      </c>
      <c r="AC328" s="8">
        <f t="shared" si="20"/>
        <v>48594.28</v>
      </c>
      <c r="AM328"/>
    </row>
    <row r="329" spans="1:39" x14ac:dyDescent="0.25">
      <c r="A329" s="3">
        <f t="shared" si="18"/>
        <v>2035</v>
      </c>
      <c r="B329" s="5" t="str">
        <f>PROPER(TEXT(DATEVALUE("1/"&amp;MOD(ROUNDDOWN((ROW()-6+7*3)/3,0),12)+1&amp;"/"&amp;Tabla1[[#This Row],[Año]]),"mmm"))</f>
        <v>Jul</v>
      </c>
      <c r="C329" s="7" t="str">
        <f t="shared" si="19"/>
        <v>Domingo y Festivo</v>
      </c>
      <c r="D329" s="1">
        <v>767.40749999999991</v>
      </c>
      <c r="E329" s="1">
        <v>745.98</v>
      </c>
      <c r="F329" s="1">
        <v>728.80916666666656</v>
      </c>
      <c r="G329" s="1">
        <v>709.74749999999995</v>
      </c>
      <c r="H329" s="1">
        <v>701.0866666666667</v>
      </c>
      <c r="I329" s="1">
        <v>679.61749999999995</v>
      </c>
      <c r="J329" s="1">
        <v>568.16166666666663</v>
      </c>
      <c r="K329" s="1">
        <v>161.14000000000001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5.3475000000000001</v>
      </c>
      <c r="T329" s="1">
        <v>162.04416666666665</v>
      </c>
      <c r="U329" s="1">
        <v>516.50249999999994</v>
      </c>
      <c r="V329" s="1">
        <v>769.26166666666666</v>
      </c>
      <c r="W329" s="1">
        <v>839.73333333333323</v>
      </c>
      <c r="X329" s="1">
        <v>863.92333333333329</v>
      </c>
      <c r="Y329" s="1">
        <v>861.94500000000005</v>
      </c>
      <c r="Z329" s="1">
        <v>812.42500000000007</v>
      </c>
      <c r="AA329" s="1">
        <v>758.22833333333335</v>
      </c>
      <c r="AB329" s="26">
        <v>5</v>
      </c>
      <c r="AC329" s="8">
        <f t="shared" si="20"/>
        <v>53256.804166666654</v>
      </c>
      <c r="AM329"/>
    </row>
    <row r="330" spans="1:39" x14ac:dyDescent="0.25">
      <c r="A330" s="3">
        <f t="shared" si="18"/>
        <v>2035</v>
      </c>
      <c r="B330" s="5" t="str">
        <f>PROPER(TEXT(DATEVALUE("1/"&amp;MOD(ROUNDDOWN((ROW()-6+7*3)/3,0),12)+1&amp;"/"&amp;Tabla1[[#This Row],[Año]]),"mmm"))</f>
        <v>Ago</v>
      </c>
      <c r="C330" s="7" t="str">
        <f t="shared" si="19"/>
        <v>Hábil</v>
      </c>
      <c r="D330" s="1">
        <v>777.23380952380955</v>
      </c>
      <c r="E330" s="1">
        <v>747.8097619047619</v>
      </c>
      <c r="F330" s="1">
        <v>722.91357142857146</v>
      </c>
      <c r="G330" s="1">
        <v>698.02428571428572</v>
      </c>
      <c r="H330" s="1">
        <v>691.64547619047619</v>
      </c>
      <c r="I330" s="1">
        <v>710.39976190476193</v>
      </c>
      <c r="J330" s="1">
        <v>735.91809523809525</v>
      </c>
      <c r="K330" s="1">
        <v>722.64095238095229</v>
      </c>
      <c r="L330" s="1">
        <v>637.61285714285714</v>
      </c>
      <c r="M330" s="1">
        <v>406.39833333333331</v>
      </c>
      <c r="N330" s="1">
        <v>277.80166666666668</v>
      </c>
      <c r="O330" s="1">
        <v>285.09047619047618</v>
      </c>
      <c r="P330" s="1">
        <v>123.77285714285715</v>
      </c>
      <c r="Q330" s="1">
        <v>92.608333333333334</v>
      </c>
      <c r="R330" s="1">
        <v>299.13642857142855</v>
      </c>
      <c r="S330" s="1">
        <v>455.46952380952382</v>
      </c>
      <c r="T330" s="1">
        <v>747.55857142857144</v>
      </c>
      <c r="U330" s="1">
        <v>1079.5923809523808</v>
      </c>
      <c r="V330" s="1">
        <v>1066.6104761904762</v>
      </c>
      <c r="W330" s="1">
        <v>976.52190476190469</v>
      </c>
      <c r="X330" s="1">
        <v>970.79452380952387</v>
      </c>
      <c r="Y330" s="1">
        <v>956.94904761904763</v>
      </c>
      <c r="Z330" s="1">
        <v>895.17119047619053</v>
      </c>
      <c r="AA330" s="1">
        <v>830.36285714285714</v>
      </c>
      <c r="AB330" s="26">
        <v>23</v>
      </c>
      <c r="AC330" s="8">
        <f t="shared" si="20"/>
        <v>365884.85428571433</v>
      </c>
      <c r="AM330"/>
    </row>
    <row r="331" spans="1:39" x14ac:dyDescent="0.25">
      <c r="A331" s="3">
        <f t="shared" si="18"/>
        <v>2035</v>
      </c>
      <c r="B331" s="5" t="str">
        <f>PROPER(TEXT(DATEVALUE("1/"&amp;MOD(ROUNDDOWN((ROW()-6+7*3)/3,0),12)+1&amp;"/"&amp;Tabla1[[#This Row],[Año]]),"mmm"))</f>
        <v>Ago</v>
      </c>
      <c r="C331" s="7" t="str">
        <f t="shared" si="19"/>
        <v>Sábado</v>
      </c>
      <c r="D331" s="1">
        <v>813.79875000000004</v>
      </c>
      <c r="E331" s="1">
        <v>785.57749999999999</v>
      </c>
      <c r="F331" s="1">
        <v>753.28625</v>
      </c>
      <c r="G331" s="1">
        <v>734.60500000000002</v>
      </c>
      <c r="H331" s="1">
        <v>726.27</v>
      </c>
      <c r="I331" s="1">
        <v>712.55624999999998</v>
      </c>
      <c r="J331" s="1">
        <v>640.93624999999997</v>
      </c>
      <c r="K331" s="1">
        <v>409.88249999999999</v>
      </c>
      <c r="L331" s="1">
        <v>287.99250000000001</v>
      </c>
      <c r="M331" s="1">
        <v>105.765</v>
      </c>
      <c r="N331" s="1">
        <v>101.39749999999999</v>
      </c>
      <c r="O331" s="1">
        <v>0</v>
      </c>
      <c r="P331" s="1">
        <v>0</v>
      </c>
      <c r="Q331" s="1">
        <v>0</v>
      </c>
      <c r="R331" s="1">
        <v>0</v>
      </c>
      <c r="S331" s="1">
        <v>40.316249999999997</v>
      </c>
      <c r="T331" s="1">
        <v>258.25125000000003</v>
      </c>
      <c r="U331" s="1">
        <v>607.15125</v>
      </c>
      <c r="V331" s="1">
        <v>858.05624999999998</v>
      </c>
      <c r="W331" s="1">
        <v>898.06375000000003</v>
      </c>
      <c r="X331" s="1">
        <v>894.5625</v>
      </c>
      <c r="Y331" s="1">
        <v>881.21</v>
      </c>
      <c r="Z331" s="1">
        <v>841.66875000000005</v>
      </c>
      <c r="AA331" s="1">
        <v>797.22249999999997</v>
      </c>
      <c r="AB331" s="26">
        <v>4</v>
      </c>
      <c r="AC331" s="8">
        <f t="shared" si="20"/>
        <v>48594.28</v>
      </c>
      <c r="AM331"/>
    </row>
    <row r="332" spans="1:39" x14ac:dyDescent="0.25">
      <c r="A332" s="3">
        <f t="shared" si="18"/>
        <v>2035</v>
      </c>
      <c r="B332" s="5" t="str">
        <f>PROPER(TEXT(DATEVALUE("1/"&amp;MOD(ROUNDDOWN((ROW()-6+7*3)/3,0),12)+1&amp;"/"&amp;Tabla1[[#This Row],[Año]]),"mmm"))</f>
        <v>Ago</v>
      </c>
      <c r="C332" s="7" t="str">
        <f t="shared" si="19"/>
        <v>Domingo y Festivo</v>
      </c>
      <c r="D332" s="1">
        <v>767.40749999999991</v>
      </c>
      <c r="E332" s="1">
        <v>745.98</v>
      </c>
      <c r="F332" s="1">
        <v>728.80916666666656</v>
      </c>
      <c r="G332" s="1">
        <v>709.74749999999995</v>
      </c>
      <c r="H332" s="1">
        <v>701.0866666666667</v>
      </c>
      <c r="I332" s="1">
        <v>679.61749999999995</v>
      </c>
      <c r="J332" s="1">
        <v>568.16166666666663</v>
      </c>
      <c r="K332" s="1">
        <v>161.14000000000001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5.3475000000000001</v>
      </c>
      <c r="T332" s="1">
        <v>162.04416666666665</v>
      </c>
      <c r="U332" s="1">
        <v>516.50249999999994</v>
      </c>
      <c r="V332" s="1">
        <v>769.26166666666666</v>
      </c>
      <c r="W332" s="1">
        <v>839.73333333333323</v>
      </c>
      <c r="X332" s="1">
        <v>863.92333333333329</v>
      </c>
      <c r="Y332" s="1">
        <v>861.94500000000005</v>
      </c>
      <c r="Z332" s="1">
        <v>812.42500000000007</v>
      </c>
      <c r="AA332" s="1">
        <v>758.22833333333335</v>
      </c>
      <c r="AB332" s="26">
        <v>4</v>
      </c>
      <c r="AC332" s="8">
        <f t="shared" si="20"/>
        <v>42605.443333333322</v>
      </c>
      <c r="AM332"/>
    </row>
    <row r="333" spans="1:39" x14ac:dyDescent="0.25">
      <c r="A333" s="3">
        <f t="shared" si="18"/>
        <v>2035</v>
      </c>
      <c r="B333" s="5" t="str">
        <f>PROPER(TEXT(DATEVALUE("1/"&amp;MOD(ROUNDDOWN((ROW()-6+7*3)/3,0),12)+1&amp;"/"&amp;Tabla1[[#This Row],[Año]]),"mmm"))</f>
        <v>Sep</v>
      </c>
      <c r="C333" s="7" t="str">
        <f t="shared" si="19"/>
        <v>Hábil</v>
      </c>
      <c r="D333" s="1">
        <v>777.23380952380955</v>
      </c>
      <c r="E333" s="1">
        <v>747.8097619047619</v>
      </c>
      <c r="F333" s="1">
        <v>722.91357142857146</v>
      </c>
      <c r="G333" s="1">
        <v>698.02428571428572</v>
      </c>
      <c r="H333" s="1">
        <v>691.64547619047619</v>
      </c>
      <c r="I333" s="1">
        <v>710.39976190476193</v>
      </c>
      <c r="J333" s="1">
        <v>735.91809523809525</v>
      </c>
      <c r="K333" s="1">
        <v>722.64095238095229</v>
      </c>
      <c r="L333" s="1">
        <v>637.61285714285714</v>
      </c>
      <c r="M333" s="1">
        <v>406.39833333333331</v>
      </c>
      <c r="N333" s="1">
        <v>277.80166666666668</v>
      </c>
      <c r="O333" s="1">
        <v>285.09047619047618</v>
      </c>
      <c r="P333" s="1">
        <v>123.77285714285715</v>
      </c>
      <c r="Q333" s="1">
        <v>92.608333333333334</v>
      </c>
      <c r="R333" s="1">
        <v>299.13642857142855</v>
      </c>
      <c r="S333" s="1">
        <v>455.46952380952382</v>
      </c>
      <c r="T333" s="1">
        <v>747.55857142857144</v>
      </c>
      <c r="U333" s="1">
        <v>1079.5923809523808</v>
      </c>
      <c r="V333" s="1">
        <v>1066.6104761904762</v>
      </c>
      <c r="W333" s="1">
        <v>976.52190476190469</v>
      </c>
      <c r="X333" s="1">
        <v>970.79452380952387</v>
      </c>
      <c r="Y333" s="1">
        <v>956.94904761904763</v>
      </c>
      <c r="Z333" s="1">
        <v>895.17119047619053</v>
      </c>
      <c r="AA333" s="1">
        <v>830.36285714285714</v>
      </c>
      <c r="AB333" s="26">
        <v>20</v>
      </c>
      <c r="AC333" s="8">
        <f t="shared" si="20"/>
        <v>318160.74285714293</v>
      </c>
      <c r="AM333"/>
    </row>
    <row r="334" spans="1:39" x14ac:dyDescent="0.25">
      <c r="A334" s="3">
        <f t="shared" si="18"/>
        <v>2035</v>
      </c>
      <c r="B334" s="5" t="str">
        <f>PROPER(TEXT(DATEVALUE("1/"&amp;MOD(ROUNDDOWN((ROW()-6+7*3)/3,0),12)+1&amp;"/"&amp;Tabla1[[#This Row],[Año]]),"mmm"))</f>
        <v>Sep</v>
      </c>
      <c r="C334" s="7" t="str">
        <f t="shared" si="19"/>
        <v>Sábado</v>
      </c>
      <c r="D334" s="1">
        <v>813.79875000000004</v>
      </c>
      <c r="E334" s="1">
        <v>785.57749999999999</v>
      </c>
      <c r="F334" s="1">
        <v>753.28625</v>
      </c>
      <c r="G334" s="1">
        <v>734.60500000000002</v>
      </c>
      <c r="H334" s="1">
        <v>726.27</v>
      </c>
      <c r="I334" s="1">
        <v>712.55624999999998</v>
      </c>
      <c r="J334" s="1">
        <v>640.93624999999997</v>
      </c>
      <c r="K334" s="1">
        <v>409.88249999999999</v>
      </c>
      <c r="L334" s="1">
        <v>287.99250000000001</v>
      </c>
      <c r="M334" s="1">
        <v>105.765</v>
      </c>
      <c r="N334" s="1">
        <v>101.39749999999999</v>
      </c>
      <c r="O334" s="1">
        <v>0</v>
      </c>
      <c r="P334" s="1">
        <v>0</v>
      </c>
      <c r="Q334" s="1">
        <v>0</v>
      </c>
      <c r="R334" s="1">
        <v>0</v>
      </c>
      <c r="S334" s="1">
        <v>40.316249999999997</v>
      </c>
      <c r="T334" s="1">
        <v>258.25125000000003</v>
      </c>
      <c r="U334" s="1">
        <v>607.15125</v>
      </c>
      <c r="V334" s="1">
        <v>858.05624999999998</v>
      </c>
      <c r="W334" s="1">
        <v>898.06375000000003</v>
      </c>
      <c r="X334" s="1">
        <v>894.5625</v>
      </c>
      <c r="Y334" s="1">
        <v>881.21</v>
      </c>
      <c r="Z334" s="1">
        <v>841.66875000000005</v>
      </c>
      <c r="AA334" s="1">
        <v>797.22249999999997</v>
      </c>
      <c r="AB334" s="26">
        <v>5</v>
      </c>
      <c r="AC334" s="8">
        <f t="shared" si="20"/>
        <v>60742.85</v>
      </c>
      <c r="AM334"/>
    </row>
    <row r="335" spans="1:39" x14ac:dyDescent="0.25">
      <c r="A335" s="3">
        <f t="shared" si="18"/>
        <v>2035</v>
      </c>
      <c r="B335" s="5" t="str">
        <f>PROPER(TEXT(DATEVALUE("1/"&amp;MOD(ROUNDDOWN((ROW()-6+7*3)/3,0),12)+1&amp;"/"&amp;Tabla1[[#This Row],[Año]]),"mmm"))</f>
        <v>Sep</v>
      </c>
      <c r="C335" s="7" t="str">
        <f t="shared" si="19"/>
        <v>Domingo y Festivo</v>
      </c>
      <c r="D335" s="1">
        <v>767.40749999999991</v>
      </c>
      <c r="E335" s="1">
        <v>745.98</v>
      </c>
      <c r="F335" s="1">
        <v>728.80916666666656</v>
      </c>
      <c r="G335" s="1">
        <v>709.74749999999995</v>
      </c>
      <c r="H335" s="1">
        <v>701.0866666666667</v>
      </c>
      <c r="I335" s="1">
        <v>679.61749999999995</v>
      </c>
      <c r="J335" s="1">
        <v>568.16166666666663</v>
      </c>
      <c r="K335" s="1">
        <v>161.14000000000001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5.3475000000000001</v>
      </c>
      <c r="T335" s="1">
        <v>162.04416666666665</v>
      </c>
      <c r="U335" s="1">
        <v>516.50249999999994</v>
      </c>
      <c r="V335" s="1">
        <v>769.26166666666666</v>
      </c>
      <c r="W335" s="1">
        <v>839.73333333333323</v>
      </c>
      <c r="X335" s="1">
        <v>863.92333333333329</v>
      </c>
      <c r="Y335" s="1">
        <v>861.94500000000005</v>
      </c>
      <c r="Z335" s="1">
        <v>812.42500000000007</v>
      </c>
      <c r="AA335" s="1">
        <v>758.22833333333335</v>
      </c>
      <c r="AB335" s="26">
        <v>5</v>
      </c>
      <c r="AC335" s="8">
        <f t="shared" si="20"/>
        <v>53256.804166666654</v>
      </c>
      <c r="AM335"/>
    </row>
    <row r="336" spans="1:39" x14ac:dyDescent="0.25">
      <c r="A336" s="3">
        <f t="shared" si="18"/>
        <v>2035</v>
      </c>
      <c r="B336" s="5" t="str">
        <f>PROPER(TEXT(DATEVALUE("1/"&amp;MOD(ROUNDDOWN((ROW()-6+7*3)/3,0),12)+1&amp;"/"&amp;Tabla1[[#This Row],[Año]]),"mmm"))</f>
        <v>Oct</v>
      </c>
      <c r="C336" s="7" t="str">
        <f t="shared" si="19"/>
        <v>Hábil</v>
      </c>
      <c r="D336" s="1">
        <v>777.23380952380955</v>
      </c>
      <c r="E336" s="1">
        <v>747.8097619047619</v>
      </c>
      <c r="F336" s="1">
        <v>722.91357142857146</v>
      </c>
      <c r="G336" s="1">
        <v>698.02428571428572</v>
      </c>
      <c r="H336" s="1">
        <v>691.64547619047619</v>
      </c>
      <c r="I336" s="1">
        <v>710.39976190476193</v>
      </c>
      <c r="J336" s="1">
        <v>735.91809523809525</v>
      </c>
      <c r="K336" s="1">
        <v>722.64095238095229</v>
      </c>
      <c r="L336" s="1">
        <v>637.61285714285714</v>
      </c>
      <c r="M336" s="1">
        <v>406.39833333333331</v>
      </c>
      <c r="N336" s="1">
        <v>277.80166666666668</v>
      </c>
      <c r="O336" s="1">
        <v>285.09047619047618</v>
      </c>
      <c r="P336" s="1">
        <v>123.77285714285715</v>
      </c>
      <c r="Q336" s="1">
        <v>92.608333333333334</v>
      </c>
      <c r="R336" s="1">
        <v>299.13642857142855</v>
      </c>
      <c r="S336" s="1">
        <v>455.46952380952382</v>
      </c>
      <c r="T336" s="1">
        <v>747.55857142857144</v>
      </c>
      <c r="U336" s="1">
        <v>1079.5923809523808</v>
      </c>
      <c r="V336" s="1">
        <v>1066.6104761904762</v>
      </c>
      <c r="W336" s="1">
        <v>976.52190476190469</v>
      </c>
      <c r="X336" s="1">
        <v>970.79452380952387</v>
      </c>
      <c r="Y336" s="1">
        <v>956.94904761904763</v>
      </c>
      <c r="Z336" s="1">
        <v>895.17119047619053</v>
      </c>
      <c r="AA336" s="1">
        <v>830.36285714285714</v>
      </c>
      <c r="AB336" s="26">
        <v>23</v>
      </c>
      <c r="AC336" s="8">
        <f t="shared" si="20"/>
        <v>365884.85428571433</v>
      </c>
      <c r="AM336"/>
    </row>
    <row r="337" spans="1:39" x14ac:dyDescent="0.25">
      <c r="A337" s="3">
        <f t="shared" si="18"/>
        <v>2035</v>
      </c>
      <c r="B337" s="5" t="str">
        <f>PROPER(TEXT(DATEVALUE("1/"&amp;MOD(ROUNDDOWN((ROW()-6+7*3)/3,0),12)+1&amp;"/"&amp;Tabla1[[#This Row],[Año]]),"mmm"))</f>
        <v>Oct</v>
      </c>
      <c r="C337" s="7" t="str">
        <f t="shared" si="19"/>
        <v>Sábado</v>
      </c>
      <c r="D337" s="1">
        <v>813.79875000000004</v>
      </c>
      <c r="E337" s="1">
        <v>785.57749999999999</v>
      </c>
      <c r="F337" s="1">
        <v>753.28625</v>
      </c>
      <c r="G337" s="1">
        <v>734.60500000000002</v>
      </c>
      <c r="H337" s="1">
        <v>726.27</v>
      </c>
      <c r="I337" s="1">
        <v>712.55624999999998</v>
      </c>
      <c r="J337" s="1">
        <v>640.93624999999997</v>
      </c>
      <c r="K337" s="1">
        <v>409.88249999999999</v>
      </c>
      <c r="L337" s="1">
        <v>287.99250000000001</v>
      </c>
      <c r="M337" s="1">
        <v>105.765</v>
      </c>
      <c r="N337" s="1">
        <v>101.39749999999999</v>
      </c>
      <c r="O337" s="1">
        <v>0</v>
      </c>
      <c r="P337" s="1">
        <v>0</v>
      </c>
      <c r="Q337" s="1">
        <v>0</v>
      </c>
      <c r="R337" s="1">
        <v>0</v>
      </c>
      <c r="S337" s="1">
        <v>40.316249999999997</v>
      </c>
      <c r="T337" s="1">
        <v>258.25125000000003</v>
      </c>
      <c r="U337" s="1">
        <v>607.15125</v>
      </c>
      <c r="V337" s="1">
        <v>858.05624999999998</v>
      </c>
      <c r="W337" s="1">
        <v>898.06375000000003</v>
      </c>
      <c r="X337" s="1">
        <v>894.5625</v>
      </c>
      <c r="Y337" s="1">
        <v>881.21</v>
      </c>
      <c r="Z337" s="1">
        <v>841.66875000000005</v>
      </c>
      <c r="AA337" s="1">
        <v>797.22249999999997</v>
      </c>
      <c r="AB337" s="26">
        <v>4</v>
      </c>
      <c r="AC337" s="8">
        <f t="shared" si="20"/>
        <v>48594.28</v>
      </c>
      <c r="AM337"/>
    </row>
    <row r="338" spans="1:39" x14ac:dyDescent="0.25">
      <c r="A338" s="3">
        <f t="shared" si="18"/>
        <v>2035</v>
      </c>
      <c r="B338" s="5" t="str">
        <f>PROPER(TEXT(DATEVALUE("1/"&amp;MOD(ROUNDDOWN((ROW()-6+7*3)/3,0),12)+1&amp;"/"&amp;Tabla1[[#This Row],[Año]]),"mmm"))</f>
        <v>Oct</v>
      </c>
      <c r="C338" s="7" t="str">
        <f t="shared" si="19"/>
        <v>Domingo y Festivo</v>
      </c>
      <c r="D338" s="1">
        <v>767.40749999999991</v>
      </c>
      <c r="E338" s="1">
        <v>745.98</v>
      </c>
      <c r="F338" s="1">
        <v>728.80916666666656</v>
      </c>
      <c r="G338" s="1">
        <v>709.74749999999995</v>
      </c>
      <c r="H338" s="1">
        <v>701.0866666666667</v>
      </c>
      <c r="I338" s="1">
        <v>679.61749999999995</v>
      </c>
      <c r="J338" s="1">
        <v>568.16166666666663</v>
      </c>
      <c r="K338" s="1">
        <v>161.14000000000001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5.3475000000000001</v>
      </c>
      <c r="T338" s="1">
        <v>162.04416666666665</v>
      </c>
      <c r="U338" s="1">
        <v>516.50249999999994</v>
      </c>
      <c r="V338" s="1">
        <v>769.26166666666666</v>
      </c>
      <c r="W338" s="1">
        <v>839.73333333333323</v>
      </c>
      <c r="X338" s="1">
        <v>863.92333333333329</v>
      </c>
      <c r="Y338" s="1">
        <v>861.94500000000005</v>
      </c>
      <c r="Z338" s="1">
        <v>812.42500000000007</v>
      </c>
      <c r="AA338" s="1">
        <v>758.22833333333335</v>
      </c>
      <c r="AB338" s="26">
        <v>4</v>
      </c>
      <c r="AC338" s="8">
        <f t="shared" si="20"/>
        <v>42605.443333333322</v>
      </c>
      <c r="AM338"/>
    </row>
    <row r="339" spans="1:39" x14ac:dyDescent="0.25">
      <c r="A339" s="3">
        <f t="shared" si="18"/>
        <v>2035</v>
      </c>
      <c r="B339" s="5" t="str">
        <f>PROPER(TEXT(DATEVALUE("1/"&amp;MOD(ROUNDDOWN((ROW()-6+7*3)/3,0),12)+1&amp;"/"&amp;Tabla1[[#This Row],[Año]]),"mmm"))</f>
        <v>Nov</v>
      </c>
      <c r="C339" s="7" t="str">
        <f t="shared" si="19"/>
        <v>Hábil</v>
      </c>
      <c r="D339" s="1">
        <v>777.23380952380955</v>
      </c>
      <c r="E339" s="1">
        <v>747.8097619047619</v>
      </c>
      <c r="F339" s="1">
        <v>722.91357142857146</v>
      </c>
      <c r="G339" s="1">
        <v>698.02428571428572</v>
      </c>
      <c r="H339" s="1">
        <v>691.64547619047619</v>
      </c>
      <c r="I339" s="1">
        <v>710.39976190476193</v>
      </c>
      <c r="J339" s="1">
        <v>735.91809523809525</v>
      </c>
      <c r="K339" s="1">
        <v>722.64095238095229</v>
      </c>
      <c r="L339" s="1">
        <v>637.61285714285714</v>
      </c>
      <c r="M339" s="1">
        <v>406.39833333333331</v>
      </c>
      <c r="N339" s="1">
        <v>277.80166666666668</v>
      </c>
      <c r="O339" s="1">
        <v>285.09047619047618</v>
      </c>
      <c r="P339" s="1">
        <v>123.77285714285715</v>
      </c>
      <c r="Q339" s="1">
        <v>92.608333333333334</v>
      </c>
      <c r="R339" s="1">
        <v>299.13642857142855</v>
      </c>
      <c r="S339" s="1">
        <v>455.46952380952382</v>
      </c>
      <c r="T339" s="1">
        <v>747.55857142857144</v>
      </c>
      <c r="U339" s="1">
        <v>1079.5923809523808</v>
      </c>
      <c r="V339" s="1">
        <v>1066.6104761904762</v>
      </c>
      <c r="W339" s="1">
        <v>976.52190476190469</v>
      </c>
      <c r="X339" s="1">
        <v>970.79452380952387</v>
      </c>
      <c r="Y339" s="1">
        <v>956.94904761904763</v>
      </c>
      <c r="Z339" s="1">
        <v>895.17119047619053</v>
      </c>
      <c r="AA339" s="1">
        <v>830.36285714285714</v>
      </c>
      <c r="AB339" s="26">
        <v>22</v>
      </c>
      <c r="AC339" s="8">
        <f t="shared" si="20"/>
        <v>349976.81714285718</v>
      </c>
      <c r="AM339"/>
    </row>
    <row r="340" spans="1:39" x14ac:dyDescent="0.25">
      <c r="A340" s="3">
        <f t="shared" si="18"/>
        <v>2035</v>
      </c>
      <c r="B340" s="5" t="str">
        <f>PROPER(TEXT(DATEVALUE("1/"&amp;MOD(ROUNDDOWN((ROW()-6+7*3)/3,0),12)+1&amp;"/"&amp;Tabla1[[#This Row],[Año]]),"mmm"))</f>
        <v>Nov</v>
      </c>
      <c r="C340" s="7" t="str">
        <f t="shared" si="19"/>
        <v>Sábado</v>
      </c>
      <c r="D340" s="1">
        <v>813.79875000000004</v>
      </c>
      <c r="E340" s="1">
        <v>785.57749999999999</v>
      </c>
      <c r="F340" s="1">
        <v>753.28625</v>
      </c>
      <c r="G340" s="1">
        <v>734.60500000000002</v>
      </c>
      <c r="H340" s="1">
        <v>726.27</v>
      </c>
      <c r="I340" s="1">
        <v>712.55624999999998</v>
      </c>
      <c r="J340" s="1">
        <v>640.93624999999997</v>
      </c>
      <c r="K340" s="1">
        <v>409.88249999999999</v>
      </c>
      <c r="L340" s="1">
        <v>287.99250000000001</v>
      </c>
      <c r="M340" s="1">
        <v>105.765</v>
      </c>
      <c r="N340" s="1">
        <v>101.39749999999999</v>
      </c>
      <c r="O340" s="1">
        <v>0</v>
      </c>
      <c r="P340" s="1">
        <v>0</v>
      </c>
      <c r="Q340" s="1">
        <v>0</v>
      </c>
      <c r="R340" s="1">
        <v>0</v>
      </c>
      <c r="S340" s="1">
        <v>40.316249999999997</v>
      </c>
      <c r="T340" s="1">
        <v>258.25125000000003</v>
      </c>
      <c r="U340" s="1">
        <v>607.15125</v>
      </c>
      <c r="V340" s="1">
        <v>858.05624999999998</v>
      </c>
      <c r="W340" s="1">
        <v>898.06375000000003</v>
      </c>
      <c r="X340" s="1">
        <v>894.5625</v>
      </c>
      <c r="Y340" s="1">
        <v>881.21</v>
      </c>
      <c r="Z340" s="1">
        <v>841.66875000000005</v>
      </c>
      <c r="AA340" s="1">
        <v>797.22249999999997</v>
      </c>
      <c r="AB340" s="26">
        <v>4</v>
      </c>
      <c r="AC340" s="8">
        <f t="shared" si="20"/>
        <v>48594.28</v>
      </c>
      <c r="AM340"/>
    </row>
    <row r="341" spans="1:39" x14ac:dyDescent="0.25">
      <c r="A341" s="3">
        <f t="shared" si="18"/>
        <v>2035</v>
      </c>
      <c r="B341" s="5" t="str">
        <f>PROPER(TEXT(DATEVALUE("1/"&amp;MOD(ROUNDDOWN((ROW()-6+7*3)/3,0),12)+1&amp;"/"&amp;Tabla1[[#This Row],[Año]]),"mmm"))</f>
        <v>Nov</v>
      </c>
      <c r="C341" s="7" t="str">
        <f t="shared" si="19"/>
        <v>Domingo y Festivo</v>
      </c>
      <c r="D341" s="1">
        <v>767.40749999999991</v>
      </c>
      <c r="E341" s="1">
        <v>745.98</v>
      </c>
      <c r="F341" s="1">
        <v>728.80916666666656</v>
      </c>
      <c r="G341" s="1">
        <v>709.74749999999995</v>
      </c>
      <c r="H341" s="1">
        <v>701.0866666666667</v>
      </c>
      <c r="I341" s="1">
        <v>679.61749999999995</v>
      </c>
      <c r="J341" s="1">
        <v>568.16166666666663</v>
      </c>
      <c r="K341" s="1">
        <v>161.14000000000001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5.3475000000000001</v>
      </c>
      <c r="T341" s="1">
        <v>162.04416666666665</v>
      </c>
      <c r="U341" s="1">
        <v>516.50249999999994</v>
      </c>
      <c r="V341" s="1">
        <v>769.26166666666666</v>
      </c>
      <c r="W341" s="1">
        <v>839.73333333333323</v>
      </c>
      <c r="X341" s="1">
        <v>863.92333333333329</v>
      </c>
      <c r="Y341" s="1">
        <v>861.94500000000005</v>
      </c>
      <c r="Z341" s="1">
        <v>812.42500000000007</v>
      </c>
      <c r="AA341" s="1">
        <v>758.22833333333335</v>
      </c>
      <c r="AB341" s="26">
        <v>4</v>
      </c>
      <c r="AC341" s="8">
        <f t="shared" si="20"/>
        <v>42605.443333333322</v>
      </c>
      <c r="AM341"/>
    </row>
    <row r="342" spans="1:39" x14ac:dyDescent="0.25">
      <c r="A342" s="3">
        <f t="shared" si="18"/>
        <v>2035</v>
      </c>
      <c r="B342" s="5" t="str">
        <f>PROPER(TEXT(DATEVALUE("1/"&amp;MOD(ROUNDDOWN((ROW()-6+7*3)/3,0),12)+1&amp;"/"&amp;Tabla1[[#This Row],[Año]]),"mmm"))</f>
        <v>Dic</v>
      </c>
      <c r="C342" s="7" t="str">
        <f t="shared" si="19"/>
        <v>Hábil</v>
      </c>
      <c r="D342" s="1">
        <v>777.23380952380955</v>
      </c>
      <c r="E342" s="1">
        <v>747.8097619047619</v>
      </c>
      <c r="F342" s="1">
        <v>722.91357142857146</v>
      </c>
      <c r="G342" s="1">
        <v>698.02428571428572</v>
      </c>
      <c r="H342" s="1">
        <v>691.64547619047619</v>
      </c>
      <c r="I342" s="1">
        <v>710.39976190476193</v>
      </c>
      <c r="J342" s="1">
        <v>735.91809523809525</v>
      </c>
      <c r="K342" s="1">
        <v>722.64095238095229</v>
      </c>
      <c r="L342" s="1">
        <v>637.61285714285714</v>
      </c>
      <c r="M342" s="1">
        <v>406.39833333333331</v>
      </c>
      <c r="N342" s="1">
        <v>277.80166666666668</v>
      </c>
      <c r="O342" s="1">
        <v>285.09047619047618</v>
      </c>
      <c r="P342" s="1">
        <v>123.77285714285715</v>
      </c>
      <c r="Q342" s="1">
        <v>92.608333333333334</v>
      </c>
      <c r="R342" s="1">
        <v>299.13642857142855</v>
      </c>
      <c r="S342" s="1">
        <v>455.46952380952382</v>
      </c>
      <c r="T342" s="1">
        <v>747.55857142857144</v>
      </c>
      <c r="U342" s="1">
        <v>1079.5923809523808</v>
      </c>
      <c r="V342" s="1">
        <v>1066.6104761904762</v>
      </c>
      <c r="W342" s="1">
        <v>976.52190476190469</v>
      </c>
      <c r="X342" s="1">
        <v>970.79452380952387</v>
      </c>
      <c r="Y342" s="1">
        <v>956.94904761904763</v>
      </c>
      <c r="Z342" s="1">
        <v>895.17119047619053</v>
      </c>
      <c r="AA342" s="1">
        <v>830.36285714285714</v>
      </c>
      <c r="AB342" s="26">
        <v>21</v>
      </c>
      <c r="AC342" s="8">
        <f t="shared" si="20"/>
        <v>334068.78000000003</v>
      </c>
      <c r="AM342"/>
    </row>
    <row r="343" spans="1:39" x14ac:dyDescent="0.25">
      <c r="A343" s="3">
        <f t="shared" si="18"/>
        <v>2035</v>
      </c>
      <c r="B343" s="5" t="str">
        <f>PROPER(TEXT(DATEVALUE("1/"&amp;MOD(ROUNDDOWN((ROW()-6+7*3)/3,0),12)+1&amp;"/"&amp;Tabla1[[#This Row],[Año]]),"mmm"))</f>
        <v>Dic</v>
      </c>
      <c r="C343" s="7" t="str">
        <f t="shared" si="19"/>
        <v>Sábado</v>
      </c>
      <c r="D343" s="1">
        <v>813.79875000000004</v>
      </c>
      <c r="E343" s="1">
        <v>785.57749999999999</v>
      </c>
      <c r="F343" s="1">
        <v>753.28625</v>
      </c>
      <c r="G343" s="1">
        <v>734.60500000000002</v>
      </c>
      <c r="H343" s="1">
        <v>726.27</v>
      </c>
      <c r="I343" s="1">
        <v>712.55624999999998</v>
      </c>
      <c r="J343" s="1">
        <v>640.93624999999997</v>
      </c>
      <c r="K343" s="1">
        <v>409.88249999999999</v>
      </c>
      <c r="L343" s="1">
        <v>287.99250000000001</v>
      </c>
      <c r="M343" s="1">
        <v>105.765</v>
      </c>
      <c r="N343" s="1">
        <v>101.39749999999999</v>
      </c>
      <c r="O343" s="1">
        <v>0</v>
      </c>
      <c r="P343" s="1">
        <v>0</v>
      </c>
      <c r="Q343" s="1">
        <v>0</v>
      </c>
      <c r="R343" s="1">
        <v>0</v>
      </c>
      <c r="S343" s="1">
        <v>40.316249999999997</v>
      </c>
      <c r="T343" s="1">
        <v>258.25125000000003</v>
      </c>
      <c r="U343" s="1">
        <v>607.15125</v>
      </c>
      <c r="V343" s="1">
        <v>858.05624999999998</v>
      </c>
      <c r="W343" s="1">
        <v>898.06375000000003</v>
      </c>
      <c r="X343" s="1">
        <v>894.5625</v>
      </c>
      <c r="Y343" s="1">
        <v>881.21</v>
      </c>
      <c r="Z343" s="1">
        <v>841.66875000000005</v>
      </c>
      <c r="AA343" s="1">
        <v>797.22249999999997</v>
      </c>
      <c r="AB343" s="26">
        <v>5</v>
      </c>
      <c r="AC343" s="8">
        <f t="shared" si="20"/>
        <v>60742.85</v>
      </c>
      <c r="AM343"/>
    </row>
    <row r="344" spans="1:39" x14ac:dyDescent="0.25">
      <c r="A344" s="3">
        <f t="shared" si="18"/>
        <v>2035</v>
      </c>
      <c r="B344" s="5" t="str">
        <f>PROPER(TEXT(DATEVALUE("1/"&amp;MOD(ROUNDDOWN((ROW()-6+7*3)/3,0),12)+1&amp;"/"&amp;Tabla1[[#This Row],[Año]]),"mmm"))</f>
        <v>Dic</v>
      </c>
      <c r="C344" s="7" t="str">
        <f t="shared" si="19"/>
        <v>Domingo y Festivo</v>
      </c>
      <c r="D344" s="1">
        <v>767.40749999999991</v>
      </c>
      <c r="E344" s="1">
        <v>745.98</v>
      </c>
      <c r="F344" s="1">
        <v>728.80916666666656</v>
      </c>
      <c r="G344" s="1">
        <v>709.74749999999995</v>
      </c>
      <c r="H344" s="1">
        <v>701.0866666666667</v>
      </c>
      <c r="I344" s="1">
        <v>679.61749999999995</v>
      </c>
      <c r="J344" s="1">
        <v>568.16166666666663</v>
      </c>
      <c r="K344" s="1">
        <v>161.14000000000001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5.3475000000000001</v>
      </c>
      <c r="T344" s="1">
        <v>162.04416666666665</v>
      </c>
      <c r="U344" s="1">
        <v>516.50249999999994</v>
      </c>
      <c r="V344" s="1">
        <v>769.26166666666666</v>
      </c>
      <c r="W344" s="1">
        <v>839.73333333333323</v>
      </c>
      <c r="X344" s="1">
        <v>863.92333333333329</v>
      </c>
      <c r="Y344" s="1">
        <v>861.94500000000005</v>
      </c>
      <c r="Z344" s="1">
        <v>812.42500000000007</v>
      </c>
      <c r="AA344" s="1">
        <v>758.22833333333335</v>
      </c>
      <c r="AB344" s="26">
        <v>5</v>
      </c>
      <c r="AC344" s="8">
        <f t="shared" si="20"/>
        <v>53256.804166666654</v>
      </c>
      <c r="AM344"/>
    </row>
    <row r="345" spans="1:39" x14ac:dyDescent="0.25">
      <c r="A345" s="3">
        <f t="shared" si="18"/>
        <v>2036</v>
      </c>
      <c r="B345" s="5" t="str">
        <f>PROPER(TEXT(DATEVALUE("1/"&amp;MOD(ROUNDDOWN((ROW()-6+7*3)/3,0),12)+1&amp;"/"&amp;Tabla1[[#This Row],[Año]]),"mmm"))</f>
        <v>Ene</v>
      </c>
      <c r="C345" s="7" t="str">
        <f t="shared" si="19"/>
        <v>Hábil</v>
      </c>
      <c r="D345" s="1">
        <v>777.23380952380955</v>
      </c>
      <c r="E345" s="1">
        <v>747.8097619047619</v>
      </c>
      <c r="F345" s="1">
        <v>722.91357142857146</v>
      </c>
      <c r="G345" s="1">
        <v>698.02428571428572</v>
      </c>
      <c r="H345" s="1">
        <v>691.64547619047619</v>
      </c>
      <c r="I345" s="1">
        <v>710.39976190476193</v>
      </c>
      <c r="J345" s="1">
        <v>735.91809523809525</v>
      </c>
      <c r="K345" s="1">
        <v>722.64095238095229</v>
      </c>
      <c r="L345" s="1">
        <v>637.61285714285714</v>
      </c>
      <c r="M345" s="1">
        <v>406.39833333333331</v>
      </c>
      <c r="N345" s="1">
        <v>277.80166666666668</v>
      </c>
      <c r="O345" s="1">
        <v>285.09047619047618</v>
      </c>
      <c r="P345" s="1">
        <v>123.77285714285715</v>
      </c>
      <c r="Q345" s="1">
        <v>92.608333333333334</v>
      </c>
      <c r="R345" s="1">
        <v>299.13642857142855</v>
      </c>
      <c r="S345" s="1">
        <v>455.46952380952382</v>
      </c>
      <c r="T345" s="1">
        <v>747.55857142857144</v>
      </c>
      <c r="U345" s="1">
        <v>1079.5923809523808</v>
      </c>
      <c r="V345" s="1">
        <v>1066.6104761904762</v>
      </c>
      <c r="W345" s="1">
        <v>976.52190476190469</v>
      </c>
      <c r="X345" s="1">
        <v>970.79452380952387</v>
      </c>
      <c r="Y345" s="1">
        <v>956.94904761904763</v>
      </c>
      <c r="Z345" s="1">
        <v>895.17119047619053</v>
      </c>
      <c r="AA345" s="1">
        <v>830.36285714285714</v>
      </c>
      <c r="AB345" s="26">
        <v>23</v>
      </c>
      <c r="AC345" s="8">
        <f t="shared" si="20"/>
        <v>365884.85428571433</v>
      </c>
      <c r="AM345"/>
    </row>
    <row r="346" spans="1:39" x14ac:dyDescent="0.25">
      <c r="A346" s="3">
        <f t="shared" si="18"/>
        <v>2036</v>
      </c>
      <c r="B346" s="5" t="str">
        <f>PROPER(TEXT(DATEVALUE("1/"&amp;MOD(ROUNDDOWN((ROW()-6+7*3)/3,0),12)+1&amp;"/"&amp;Tabla1[[#This Row],[Año]]),"mmm"))</f>
        <v>Ene</v>
      </c>
      <c r="C346" s="7" t="str">
        <f t="shared" si="19"/>
        <v>Sábado</v>
      </c>
      <c r="D346" s="1">
        <v>813.79875000000004</v>
      </c>
      <c r="E346" s="1">
        <v>785.57749999999999</v>
      </c>
      <c r="F346" s="1">
        <v>753.28625</v>
      </c>
      <c r="G346" s="1">
        <v>734.60500000000002</v>
      </c>
      <c r="H346" s="1">
        <v>726.27</v>
      </c>
      <c r="I346" s="1">
        <v>712.55624999999998</v>
      </c>
      <c r="J346" s="1">
        <v>640.93624999999997</v>
      </c>
      <c r="K346" s="1">
        <v>409.88249999999999</v>
      </c>
      <c r="L346" s="1">
        <v>287.99250000000001</v>
      </c>
      <c r="M346" s="1">
        <v>105.765</v>
      </c>
      <c r="N346" s="1">
        <v>101.39749999999999</v>
      </c>
      <c r="O346" s="1">
        <v>0</v>
      </c>
      <c r="P346" s="1">
        <v>0</v>
      </c>
      <c r="Q346" s="1">
        <v>0</v>
      </c>
      <c r="R346" s="1">
        <v>0</v>
      </c>
      <c r="S346" s="1">
        <v>40.316249999999997</v>
      </c>
      <c r="T346" s="1">
        <v>258.25125000000003</v>
      </c>
      <c r="U346" s="1">
        <v>607.15125</v>
      </c>
      <c r="V346" s="1">
        <v>858.05624999999998</v>
      </c>
      <c r="W346" s="1">
        <v>898.06375000000003</v>
      </c>
      <c r="X346" s="1">
        <v>894.5625</v>
      </c>
      <c r="Y346" s="1">
        <v>881.21</v>
      </c>
      <c r="Z346" s="1">
        <v>841.66875000000005</v>
      </c>
      <c r="AA346" s="1">
        <v>797.22249999999997</v>
      </c>
      <c r="AB346" s="26">
        <v>4</v>
      </c>
      <c r="AC346" s="8">
        <f t="shared" si="20"/>
        <v>48594.28</v>
      </c>
      <c r="AM346"/>
    </row>
    <row r="347" spans="1:39" x14ac:dyDescent="0.25">
      <c r="A347" s="3">
        <f t="shared" si="18"/>
        <v>2036</v>
      </c>
      <c r="B347" s="5" t="str">
        <f>PROPER(TEXT(DATEVALUE("1/"&amp;MOD(ROUNDDOWN((ROW()-6+7*3)/3,0),12)+1&amp;"/"&amp;Tabla1[[#This Row],[Año]]),"mmm"))</f>
        <v>Ene</v>
      </c>
      <c r="C347" s="7" t="str">
        <f t="shared" si="19"/>
        <v>Domingo y Festivo</v>
      </c>
      <c r="D347" s="1">
        <v>767.40749999999991</v>
      </c>
      <c r="E347" s="1">
        <v>745.98</v>
      </c>
      <c r="F347" s="1">
        <v>728.80916666666656</v>
      </c>
      <c r="G347" s="1">
        <v>709.74749999999995</v>
      </c>
      <c r="H347" s="1">
        <v>701.0866666666667</v>
      </c>
      <c r="I347" s="1">
        <v>679.61749999999995</v>
      </c>
      <c r="J347" s="1">
        <v>568.16166666666663</v>
      </c>
      <c r="K347" s="1">
        <v>161.14000000000001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5.3475000000000001</v>
      </c>
      <c r="T347" s="1">
        <v>162.04416666666665</v>
      </c>
      <c r="U347" s="1">
        <v>516.50249999999994</v>
      </c>
      <c r="V347" s="1">
        <v>769.26166666666666</v>
      </c>
      <c r="W347" s="1">
        <v>839.73333333333323</v>
      </c>
      <c r="X347" s="1">
        <v>863.92333333333329</v>
      </c>
      <c r="Y347" s="1">
        <v>861.94500000000005</v>
      </c>
      <c r="Z347" s="1">
        <v>812.42500000000007</v>
      </c>
      <c r="AA347" s="1">
        <v>758.22833333333335</v>
      </c>
      <c r="AB347" s="26">
        <v>4</v>
      </c>
      <c r="AC347" s="8">
        <f t="shared" si="20"/>
        <v>42605.443333333322</v>
      </c>
      <c r="AM347"/>
    </row>
    <row r="348" spans="1:39" x14ac:dyDescent="0.25">
      <c r="A348" s="3">
        <f t="shared" si="18"/>
        <v>2036</v>
      </c>
      <c r="B348" s="5" t="str">
        <f>PROPER(TEXT(DATEVALUE("1/"&amp;MOD(ROUNDDOWN((ROW()-6+7*3)/3,0),12)+1&amp;"/"&amp;Tabla1[[#This Row],[Año]]),"mmm"))</f>
        <v>Feb</v>
      </c>
      <c r="C348" s="7" t="str">
        <f t="shared" si="19"/>
        <v>Hábil</v>
      </c>
      <c r="D348" s="1">
        <v>777.23380952380955</v>
      </c>
      <c r="E348" s="1">
        <v>747.8097619047619</v>
      </c>
      <c r="F348" s="1">
        <v>722.91357142857146</v>
      </c>
      <c r="G348" s="1">
        <v>698.02428571428572</v>
      </c>
      <c r="H348" s="1">
        <v>691.64547619047619</v>
      </c>
      <c r="I348" s="1">
        <v>710.39976190476193</v>
      </c>
      <c r="J348" s="1">
        <v>735.91809523809525</v>
      </c>
      <c r="K348" s="1">
        <v>722.64095238095229</v>
      </c>
      <c r="L348" s="1">
        <v>637.61285714285714</v>
      </c>
      <c r="M348" s="1">
        <v>406.39833333333331</v>
      </c>
      <c r="N348" s="1">
        <v>277.80166666666668</v>
      </c>
      <c r="O348" s="1">
        <v>285.09047619047618</v>
      </c>
      <c r="P348" s="1">
        <v>123.77285714285715</v>
      </c>
      <c r="Q348" s="1">
        <v>92.608333333333334</v>
      </c>
      <c r="R348" s="1">
        <v>299.13642857142855</v>
      </c>
      <c r="S348" s="1">
        <v>455.46952380952382</v>
      </c>
      <c r="T348" s="1">
        <v>747.55857142857144</v>
      </c>
      <c r="U348" s="1">
        <v>1079.5923809523808</v>
      </c>
      <c r="V348" s="1">
        <v>1066.6104761904762</v>
      </c>
      <c r="W348" s="1">
        <v>976.52190476190469</v>
      </c>
      <c r="X348" s="1">
        <v>970.79452380952387</v>
      </c>
      <c r="Y348" s="1">
        <v>956.94904761904763</v>
      </c>
      <c r="Z348" s="1">
        <v>895.17119047619053</v>
      </c>
      <c r="AA348" s="1">
        <v>830.36285714285714</v>
      </c>
      <c r="AB348" s="26">
        <v>21</v>
      </c>
      <c r="AC348" s="8">
        <f t="shared" si="20"/>
        <v>334068.78000000003</v>
      </c>
      <c r="AM348"/>
    </row>
    <row r="349" spans="1:39" x14ac:dyDescent="0.25">
      <c r="A349" s="3">
        <f t="shared" si="18"/>
        <v>2036</v>
      </c>
      <c r="B349" s="5" t="str">
        <f>PROPER(TEXT(DATEVALUE("1/"&amp;MOD(ROUNDDOWN((ROW()-6+7*3)/3,0),12)+1&amp;"/"&amp;Tabla1[[#This Row],[Año]]),"mmm"))</f>
        <v>Feb</v>
      </c>
      <c r="C349" s="7" t="str">
        <f t="shared" si="19"/>
        <v>Sábado</v>
      </c>
      <c r="D349" s="1">
        <v>813.79875000000004</v>
      </c>
      <c r="E349" s="1">
        <v>785.57749999999999</v>
      </c>
      <c r="F349" s="1">
        <v>753.28625</v>
      </c>
      <c r="G349" s="1">
        <v>734.60500000000002</v>
      </c>
      <c r="H349" s="1">
        <v>726.27</v>
      </c>
      <c r="I349" s="1">
        <v>712.55624999999998</v>
      </c>
      <c r="J349" s="1">
        <v>640.93624999999997</v>
      </c>
      <c r="K349" s="1">
        <v>409.88249999999999</v>
      </c>
      <c r="L349" s="1">
        <v>287.99250000000001</v>
      </c>
      <c r="M349" s="1">
        <v>105.765</v>
      </c>
      <c r="N349" s="1">
        <v>101.39749999999999</v>
      </c>
      <c r="O349" s="1">
        <v>0</v>
      </c>
      <c r="P349" s="1">
        <v>0</v>
      </c>
      <c r="Q349" s="1">
        <v>0</v>
      </c>
      <c r="R349" s="1">
        <v>0</v>
      </c>
      <c r="S349" s="1">
        <v>40.316249999999997</v>
      </c>
      <c r="T349" s="1">
        <v>258.25125000000003</v>
      </c>
      <c r="U349" s="1">
        <v>607.15125</v>
      </c>
      <c r="V349" s="1">
        <v>858.05624999999998</v>
      </c>
      <c r="W349" s="1">
        <v>898.06375000000003</v>
      </c>
      <c r="X349" s="1">
        <v>894.5625</v>
      </c>
      <c r="Y349" s="1">
        <v>881.21</v>
      </c>
      <c r="Z349" s="1">
        <v>841.66875000000005</v>
      </c>
      <c r="AA349" s="1">
        <v>797.22249999999997</v>
      </c>
      <c r="AB349" s="26">
        <v>4</v>
      </c>
      <c r="AC349" s="8">
        <f t="shared" si="20"/>
        <v>48594.28</v>
      </c>
      <c r="AM349"/>
    </row>
    <row r="350" spans="1:39" x14ac:dyDescent="0.25">
      <c r="A350" s="3">
        <f t="shared" si="18"/>
        <v>2036</v>
      </c>
      <c r="B350" s="5" t="str">
        <f>PROPER(TEXT(DATEVALUE("1/"&amp;MOD(ROUNDDOWN((ROW()-6+7*3)/3,0),12)+1&amp;"/"&amp;Tabla1[[#This Row],[Año]]),"mmm"))</f>
        <v>Feb</v>
      </c>
      <c r="C350" s="7" t="str">
        <f t="shared" si="19"/>
        <v>Domingo y Festivo</v>
      </c>
      <c r="D350" s="1">
        <v>767.40749999999991</v>
      </c>
      <c r="E350" s="1">
        <v>745.98</v>
      </c>
      <c r="F350" s="1">
        <v>728.80916666666656</v>
      </c>
      <c r="G350" s="1">
        <v>709.74749999999995</v>
      </c>
      <c r="H350" s="1">
        <v>701.0866666666667</v>
      </c>
      <c r="I350" s="1">
        <v>679.61749999999995</v>
      </c>
      <c r="J350" s="1">
        <v>568.16166666666663</v>
      </c>
      <c r="K350" s="1">
        <v>161.14000000000001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5.3475000000000001</v>
      </c>
      <c r="T350" s="1">
        <v>162.04416666666665</v>
      </c>
      <c r="U350" s="1">
        <v>516.50249999999994</v>
      </c>
      <c r="V350" s="1">
        <v>769.26166666666666</v>
      </c>
      <c r="W350" s="1">
        <v>839.73333333333323</v>
      </c>
      <c r="X350" s="1">
        <v>863.92333333333329</v>
      </c>
      <c r="Y350" s="1">
        <v>861.94500000000005</v>
      </c>
      <c r="Z350" s="1">
        <v>812.42500000000007</v>
      </c>
      <c r="AA350" s="1">
        <v>758.22833333333335</v>
      </c>
      <c r="AB350" s="26">
        <v>4</v>
      </c>
      <c r="AC350" s="8">
        <f t="shared" si="20"/>
        <v>42605.443333333322</v>
      </c>
      <c r="AM350"/>
    </row>
    <row r="351" spans="1:39" x14ac:dyDescent="0.25">
      <c r="A351" s="3">
        <f t="shared" si="18"/>
        <v>2036</v>
      </c>
      <c r="B351" s="5" t="str">
        <f>PROPER(TEXT(DATEVALUE("1/"&amp;MOD(ROUNDDOWN((ROW()-6+7*3)/3,0),12)+1&amp;"/"&amp;Tabla1[[#This Row],[Año]]),"mmm"))</f>
        <v>Mar</v>
      </c>
      <c r="C351" s="7" t="str">
        <f t="shared" si="19"/>
        <v>Hábil</v>
      </c>
      <c r="D351" s="1">
        <v>777.23380952380955</v>
      </c>
      <c r="E351" s="1">
        <v>747.8097619047619</v>
      </c>
      <c r="F351" s="1">
        <v>722.91357142857146</v>
      </c>
      <c r="G351" s="1">
        <v>698.02428571428572</v>
      </c>
      <c r="H351" s="1">
        <v>691.64547619047619</v>
      </c>
      <c r="I351" s="1">
        <v>710.39976190476193</v>
      </c>
      <c r="J351" s="1">
        <v>735.91809523809525</v>
      </c>
      <c r="K351" s="1">
        <v>722.64095238095229</v>
      </c>
      <c r="L351" s="1">
        <v>637.61285714285714</v>
      </c>
      <c r="M351" s="1">
        <v>406.39833333333331</v>
      </c>
      <c r="N351" s="1">
        <v>277.80166666666668</v>
      </c>
      <c r="O351" s="1">
        <v>285.09047619047618</v>
      </c>
      <c r="P351" s="1">
        <v>123.77285714285715</v>
      </c>
      <c r="Q351" s="1">
        <v>92.608333333333334</v>
      </c>
      <c r="R351" s="1">
        <v>299.13642857142855</v>
      </c>
      <c r="S351" s="1">
        <v>455.46952380952382</v>
      </c>
      <c r="T351" s="1">
        <v>747.55857142857144</v>
      </c>
      <c r="U351" s="1">
        <v>1079.5923809523808</v>
      </c>
      <c r="V351" s="1">
        <v>1066.6104761904762</v>
      </c>
      <c r="W351" s="1">
        <v>976.52190476190469</v>
      </c>
      <c r="X351" s="1">
        <v>970.79452380952387</v>
      </c>
      <c r="Y351" s="1">
        <v>956.94904761904763</v>
      </c>
      <c r="Z351" s="1">
        <v>895.17119047619053</v>
      </c>
      <c r="AA351" s="1">
        <v>830.36285714285714</v>
      </c>
      <c r="AB351" s="26">
        <v>21</v>
      </c>
      <c r="AC351" s="8">
        <f t="shared" si="20"/>
        <v>334068.78000000003</v>
      </c>
      <c r="AM351"/>
    </row>
    <row r="352" spans="1:39" x14ac:dyDescent="0.25">
      <c r="A352" s="3">
        <f t="shared" si="18"/>
        <v>2036</v>
      </c>
      <c r="B352" s="5" t="str">
        <f>PROPER(TEXT(DATEVALUE("1/"&amp;MOD(ROUNDDOWN((ROW()-6+7*3)/3,0),12)+1&amp;"/"&amp;Tabla1[[#This Row],[Año]]),"mmm"))</f>
        <v>Mar</v>
      </c>
      <c r="C352" s="7" t="str">
        <f t="shared" si="19"/>
        <v>Sábado</v>
      </c>
      <c r="D352" s="1">
        <v>813.79875000000004</v>
      </c>
      <c r="E352" s="1">
        <v>785.57749999999999</v>
      </c>
      <c r="F352" s="1">
        <v>753.28625</v>
      </c>
      <c r="G352" s="1">
        <v>734.60500000000002</v>
      </c>
      <c r="H352" s="1">
        <v>726.27</v>
      </c>
      <c r="I352" s="1">
        <v>712.55624999999998</v>
      </c>
      <c r="J352" s="1">
        <v>640.93624999999997</v>
      </c>
      <c r="K352" s="1">
        <v>409.88249999999999</v>
      </c>
      <c r="L352" s="1">
        <v>287.99250000000001</v>
      </c>
      <c r="M352" s="1">
        <v>105.765</v>
      </c>
      <c r="N352" s="1">
        <v>101.39749999999999</v>
      </c>
      <c r="O352" s="1">
        <v>0</v>
      </c>
      <c r="P352" s="1">
        <v>0</v>
      </c>
      <c r="Q352" s="1">
        <v>0</v>
      </c>
      <c r="R352" s="1">
        <v>0</v>
      </c>
      <c r="S352" s="1">
        <v>40.316249999999997</v>
      </c>
      <c r="T352" s="1">
        <v>258.25125000000003</v>
      </c>
      <c r="U352" s="1">
        <v>607.15125</v>
      </c>
      <c r="V352" s="1">
        <v>858.05624999999998</v>
      </c>
      <c r="W352" s="1">
        <v>898.06375000000003</v>
      </c>
      <c r="X352" s="1">
        <v>894.5625</v>
      </c>
      <c r="Y352" s="1">
        <v>881.21</v>
      </c>
      <c r="Z352" s="1">
        <v>841.66875000000005</v>
      </c>
      <c r="AA352" s="1">
        <v>797.22249999999997</v>
      </c>
      <c r="AB352" s="26">
        <v>5</v>
      </c>
      <c r="AC352" s="8">
        <f t="shared" si="20"/>
        <v>60742.85</v>
      </c>
      <c r="AM352"/>
    </row>
    <row r="353" spans="1:39" x14ac:dyDescent="0.25">
      <c r="A353" s="3">
        <f t="shared" si="18"/>
        <v>2036</v>
      </c>
      <c r="B353" s="5" t="str">
        <f>PROPER(TEXT(DATEVALUE("1/"&amp;MOD(ROUNDDOWN((ROW()-6+7*3)/3,0),12)+1&amp;"/"&amp;Tabla1[[#This Row],[Año]]),"mmm"))</f>
        <v>Mar</v>
      </c>
      <c r="C353" s="7" t="str">
        <f t="shared" si="19"/>
        <v>Domingo y Festivo</v>
      </c>
      <c r="D353" s="1">
        <v>767.40749999999991</v>
      </c>
      <c r="E353" s="1">
        <v>745.98</v>
      </c>
      <c r="F353" s="1">
        <v>728.80916666666656</v>
      </c>
      <c r="G353" s="1">
        <v>709.74749999999995</v>
      </c>
      <c r="H353" s="1">
        <v>701.0866666666667</v>
      </c>
      <c r="I353" s="1">
        <v>679.61749999999995</v>
      </c>
      <c r="J353" s="1">
        <v>568.16166666666663</v>
      </c>
      <c r="K353" s="1">
        <v>161.14000000000001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5.3475000000000001</v>
      </c>
      <c r="T353" s="1">
        <v>162.04416666666665</v>
      </c>
      <c r="U353" s="1">
        <v>516.50249999999994</v>
      </c>
      <c r="V353" s="1">
        <v>769.26166666666666</v>
      </c>
      <c r="W353" s="1">
        <v>839.73333333333323</v>
      </c>
      <c r="X353" s="1">
        <v>863.92333333333329</v>
      </c>
      <c r="Y353" s="1">
        <v>861.94500000000005</v>
      </c>
      <c r="Z353" s="1">
        <v>812.42500000000007</v>
      </c>
      <c r="AA353" s="1">
        <v>758.22833333333335</v>
      </c>
      <c r="AB353" s="26">
        <v>5</v>
      </c>
      <c r="AC353" s="8">
        <f t="shared" si="20"/>
        <v>53256.804166666654</v>
      </c>
      <c r="AM353"/>
    </row>
    <row r="354" spans="1:39" x14ac:dyDescent="0.25">
      <c r="A354" s="3">
        <f t="shared" si="18"/>
        <v>2036</v>
      </c>
      <c r="B354" s="5" t="str">
        <f>PROPER(TEXT(DATEVALUE("1/"&amp;MOD(ROUNDDOWN((ROW()-6+7*3)/3,0),12)+1&amp;"/"&amp;Tabla1[[#This Row],[Año]]),"mmm"))</f>
        <v>Abr</v>
      </c>
      <c r="C354" s="7" t="str">
        <f t="shared" si="19"/>
        <v>Hábil</v>
      </c>
      <c r="D354" s="1">
        <v>777.23380952380955</v>
      </c>
      <c r="E354" s="1">
        <v>747.8097619047619</v>
      </c>
      <c r="F354" s="1">
        <v>722.91357142857146</v>
      </c>
      <c r="G354" s="1">
        <v>698.02428571428572</v>
      </c>
      <c r="H354" s="1">
        <v>691.64547619047619</v>
      </c>
      <c r="I354" s="1">
        <v>710.39976190476193</v>
      </c>
      <c r="J354" s="1">
        <v>735.91809523809525</v>
      </c>
      <c r="K354" s="1">
        <v>722.64095238095229</v>
      </c>
      <c r="L354" s="1">
        <v>637.61285714285714</v>
      </c>
      <c r="M354" s="1">
        <v>406.39833333333331</v>
      </c>
      <c r="N354" s="1">
        <v>277.80166666666668</v>
      </c>
      <c r="O354" s="1">
        <v>285.09047619047618</v>
      </c>
      <c r="P354" s="1">
        <v>123.77285714285715</v>
      </c>
      <c r="Q354" s="1">
        <v>92.608333333333334</v>
      </c>
      <c r="R354" s="1">
        <v>299.13642857142855</v>
      </c>
      <c r="S354" s="1">
        <v>455.46952380952382</v>
      </c>
      <c r="T354" s="1">
        <v>747.55857142857144</v>
      </c>
      <c r="U354" s="1">
        <v>1079.5923809523808</v>
      </c>
      <c r="V354" s="1">
        <v>1066.6104761904762</v>
      </c>
      <c r="W354" s="1">
        <v>976.52190476190469</v>
      </c>
      <c r="X354" s="1">
        <v>970.79452380952387</v>
      </c>
      <c r="Y354" s="1">
        <v>956.94904761904763</v>
      </c>
      <c r="Z354" s="1">
        <v>895.17119047619053</v>
      </c>
      <c r="AA354" s="1">
        <v>830.36285714285714</v>
      </c>
      <c r="AB354" s="26">
        <v>22</v>
      </c>
      <c r="AC354" s="8">
        <f t="shared" si="20"/>
        <v>349976.81714285718</v>
      </c>
      <c r="AM354"/>
    </row>
    <row r="355" spans="1:39" x14ac:dyDescent="0.25">
      <c r="A355" s="3">
        <f t="shared" si="18"/>
        <v>2036</v>
      </c>
      <c r="B355" s="5" t="str">
        <f>PROPER(TEXT(DATEVALUE("1/"&amp;MOD(ROUNDDOWN((ROW()-6+7*3)/3,0),12)+1&amp;"/"&amp;Tabla1[[#This Row],[Año]]),"mmm"))</f>
        <v>Abr</v>
      </c>
      <c r="C355" s="7" t="str">
        <f t="shared" si="19"/>
        <v>Sábado</v>
      </c>
      <c r="D355" s="1">
        <v>813.79875000000004</v>
      </c>
      <c r="E355" s="1">
        <v>785.57749999999999</v>
      </c>
      <c r="F355" s="1">
        <v>753.28625</v>
      </c>
      <c r="G355" s="1">
        <v>734.60500000000002</v>
      </c>
      <c r="H355" s="1">
        <v>726.27</v>
      </c>
      <c r="I355" s="1">
        <v>712.55624999999998</v>
      </c>
      <c r="J355" s="1">
        <v>640.93624999999997</v>
      </c>
      <c r="K355" s="1">
        <v>409.88249999999999</v>
      </c>
      <c r="L355" s="1">
        <v>287.99250000000001</v>
      </c>
      <c r="M355" s="1">
        <v>105.765</v>
      </c>
      <c r="N355" s="1">
        <v>101.39749999999999</v>
      </c>
      <c r="O355" s="1">
        <v>0</v>
      </c>
      <c r="P355" s="1">
        <v>0</v>
      </c>
      <c r="Q355" s="1">
        <v>0</v>
      </c>
      <c r="R355" s="1">
        <v>0</v>
      </c>
      <c r="S355" s="1">
        <v>40.316249999999997</v>
      </c>
      <c r="T355" s="1">
        <v>258.25125000000003</v>
      </c>
      <c r="U355" s="1">
        <v>607.15125</v>
      </c>
      <c r="V355" s="1">
        <v>858.05624999999998</v>
      </c>
      <c r="W355" s="1">
        <v>898.06375000000003</v>
      </c>
      <c r="X355" s="1">
        <v>894.5625</v>
      </c>
      <c r="Y355" s="1">
        <v>881.21</v>
      </c>
      <c r="Z355" s="1">
        <v>841.66875000000005</v>
      </c>
      <c r="AA355" s="1">
        <v>797.22249999999997</v>
      </c>
      <c r="AB355" s="26">
        <v>4</v>
      </c>
      <c r="AC355" s="8">
        <f t="shared" si="20"/>
        <v>48594.28</v>
      </c>
      <c r="AM355"/>
    </row>
    <row r="356" spans="1:39" x14ac:dyDescent="0.25">
      <c r="A356" s="3">
        <f t="shared" si="18"/>
        <v>2036</v>
      </c>
      <c r="B356" s="5" t="str">
        <f>PROPER(TEXT(DATEVALUE("1/"&amp;MOD(ROUNDDOWN((ROW()-6+7*3)/3,0),12)+1&amp;"/"&amp;Tabla1[[#This Row],[Año]]),"mmm"))</f>
        <v>Abr</v>
      </c>
      <c r="C356" s="7" t="str">
        <f t="shared" si="19"/>
        <v>Domingo y Festivo</v>
      </c>
      <c r="D356" s="1">
        <v>767.40749999999991</v>
      </c>
      <c r="E356" s="1">
        <v>745.98</v>
      </c>
      <c r="F356" s="1">
        <v>728.80916666666656</v>
      </c>
      <c r="G356" s="1">
        <v>709.74749999999995</v>
      </c>
      <c r="H356" s="1">
        <v>701.0866666666667</v>
      </c>
      <c r="I356" s="1">
        <v>679.61749999999995</v>
      </c>
      <c r="J356" s="1">
        <v>568.16166666666663</v>
      </c>
      <c r="K356" s="1">
        <v>161.14000000000001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5.3475000000000001</v>
      </c>
      <c r="T356" s="1">
        <v>162.04416666666665</v>
      </c>
      <c r="U356" s="1">
        <v>516.50249999999994</v>
      </c>
      <c r="V356" s="1">
        <v>769.26166666666666</v>
      </c>
      <c r="W356" s="1">
        <v>839.73333333333323</v>
      </c>
      <c r="X356" s="1">
        <v>863.92333333333329</v>
      </c>
      <c r="Y356" s="1">
        <v>861.94500000000005</v>
      </c>
      <c r="Z356" s="1">
        <v>812.42500000000007</v>
      </c>
      <c r="AA356" s="1">
        <v>758.22833333333335</v>
      </c>
      <c r="AB356" s="26">
        <v>4</v>
      </c>
      <c r="AC356" s="8">
        <f t="shared" si="20"/>
        <v>42605.443333333322</v>
      </c>
      <c r="AM356"/>
    </row>
    <row r="357" spans="1:39" x14ac:dyDescent="0.25">
      <c r="A357" s="3">
        <f t="shared" si="18"/>
        <v>2036</v>
      </c>
      <c r="B357" s="5" t="str">
        <f>PROPER(TEXT(DATEVALUE("1/"&amp;MOD(ROUNDDOWN((ROW()-6+7*3)/3,0),12)+1&amp;"/"&amp;Tabla1[[#This Row],[Año]]),"mmm"))</f>
        <v>May</v>
      </c>
      <c r="C357" s="7" t="str">
        <f t="shared" si="19"/>
        <v>Hábil</v>
      </c>
      <c r="D357" s="1">
        <v>777.23380952380955</v>
      </c>
      <c r="E357" s="1">
        <v>747.8097619047619</v>
      </c>
      <c r="F357" s="1">
        <v>722.91357142857146</v>
      </c>
      <c r="G357" s="1">
        <v>698.02428571428572</v>
      </c>
      <c r="H357" s="1">
        <v>691.64547619047619</v>
      </c>
      <c r="I357" s="1">
        <v>710.39976190476193</v>
      </c>
      <c r="J357" s="1">
        <v>735.91809523809525</v>
      </c>
      <c r="K357" s="1">
        <v>722.64095238095229</v>
      </c>
      <c r="L357" s="1">
        <v>637.61285714285714</v>
      </c>
      <c r="M357" s="1">
        <v>406.39833333333331</v>
      </c>
      <c r="N357" s="1">
        <v>277.80166666666668</v>
      </c>
      <c r="O357" s="1">
        <v>285.09047619047618</v>
      </c>
      <c r="P357" s="1">
        <v>123.77285714285715</v>
      </c>
      <c r="Q357" s="1">
        <v>92.608333333333334</v>
      </c>
      <c r="R357" s="1">
        <v>299.13642857142855</v>
      </c>
      <c r="S357" s="1">
        <v>455.46952380952382</v>
      </c>
      <c r="T357" s="1">
        <v>747.55857142857144</v>
      </c>
      <c r="U357" s="1">
        <v>1079.5923809523808</v>
      </c>
      <c r="V357" s="1">
        <v>1066.6104761904762</v>
      </c>
      <c r="W357" s="1">
        <v>976.52190476190469</v>
      </c>
      <c r="X357" s="1">
        <v>970.79452380952387</v>
      </c>
      <c r="Y357" s="1">
        <v>956.94904761904763</v>
      </c>
      <c r="Z357" s="1">
        <v>895.17119047619053</v>
      </c>
      <c r="AA357" s="1">
        <v>830.36285714285714</v>
      </c>
      <c r="AB357" s="26">
        <v>22</v>
      </c>
      <c r="AC357" s="8">
        <f t="shared" si="20"/>
        <v>349976.81714285718</v>
      </c>
      <c r="AM357"/>
    </row>
    <row r="358" spans="1:39" x14ac:dyDescent="0.25">
      <c r="A358" s="3">
        <f t="shared" si="18"/>
        <v>2036</v>
      </c>
      <c r="B358" s="5" t="str">
        <f>PROPER(TEXT(DATEVALUE("1/"&amp;MOD(ROUNDDOWN((ROW()-6+7*3)/3,0),12)+1&amp;"/"&amp;Tabla1[[#This Row],[Año]]),"mmm"))</f>
        <v>May</v>
      </c>
      <c r="C358" s="7" t="str">
        <f t="shared" si="19"/>
        <v>Sábado</v>
      </c>
      <c r="D358" s="1">
        <v>813.79875000000004</v>
      </c>
      <c r="E358" s="1">
        <v>785.57749999999999</v>
      </c>
      <c r="F358" s="1">
        <v>753.28625</v>
      </c>
      <c r="G358" s="1">
        <v>734.60500000000002</v>
      </c>
      <c r="H358" s="1">
        <v>726.27</v>
      </c>
      <c r="I358" s="1">
        <v>712.55624999999998</v>
      </c>
      <c r="J358" s="1">
        <v>640.93624999999997</v>
      </c>
      <c r="K358" s="1">
        <v>409.88249999999999</v>
      </c>
      <c r="L358" s="1">
        <v>287.99250000000001</v>
      </c>
      <c r="M358" s="1">
        <v>105.765</v>
      </c>
      <c r="N358" s="1">
        <v>101.39749999999999</v>
      </c>
      <c r="O358" s="1">
        <v>0</v>
      </c>
      <c r="P358" s="1">
        <v>0</v>
      </c>
      <c r="Q358" s="1">
        <v>0</v>
      </c>
      <c r="R358" s="1">
        <v>0</v>
      </c>
      <c r="S358" s="1">
        <v>40.316249999999997</v>
      </c>
      <c r="T358" s="1">
        <v>258.25125000000003</v>
      </c>
      <c r="U358" s="1">
        <v>607.15125</v>
      </c>
      <c r="V358" s="1">
        <v>858.05624999999998</v>
      </c>
      <c r="W358" s="1">
        <v>898.06375000000003</v>
      </c>
      <c r="X358" s="1">
        <v>894.5625</v>
      </c>
      <c r="Y358" s="1">
        <v>881.21</v>
      </c>
      <c r="Z358" s="1">
        <v>841.66875000000005</v>
      </c>
      <c r="AA358" s="1">
        <v>797.22249999999997</v>
      </c>
      <c r="AB358" s="26">
        <v>5</v>
      </c>
      <c r="AC358" s="8">
        <f t="shared" si="20"/>
        <v>60742.85</v>
      </c>
      <c r="AM358"/>
    </row>
    <row r="359" spans="1:39" x14ac:dyDescent="0.25">
      <c r="A359" s="3">
        <f t="shared" si="18"/>
        <v>2036</v>
      </c>
      <c r="B359" s="5" t="str">
        <f>PROPER(TEXT(DATEVALUE("1/"&amp;MOD(ROUNDDOWN((ROW()-6+7*3)/3,0),12)+1&amp;"/"&amp;Tabla1[[#This Row],[Año]]),"mmm"))</f>
        <v>May</v>
      </c>
      <c r="C359" s="7" t="str">
        <f t="shared" si="19"/>
        <v>Domingo y Festivo</v>
      </c>
      <c r="D359" s="1">
        <v>767.40749999999991</v>
      </c>
      <c r="E359" s="1">
        <v>745.98</v>
      </c>
      <c r="F359" s="1">
        <v>728.80916666666656</v>
      </c>
      <c r="G359" s="1">
        <v>709.74749999999995</v>
      </c>
      <c r="H359" s="1">
        <v>701.0866666666667</v>
      </c>
      <c r="I359" s="1">
        <v>679.61749999999995</v>
      </c>
      <c r="J359" s="1">
        <v>568.16166666666663</v>
      </c>
      <c r="K359" s="1">
        <v>161.14000000000001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5.3475000000000001</v>
      </c>
      <c r="T359" s="1">
        <v>162.04416666666665</v>
      </c>
      <c r="U359" s="1">
        <v>516.50249999999994</v>
      </c>
      <c r="V359" s="1">
        <v>769.26166666666666</v>
      </c>
      <c r="W359" s="1">
        <v>839.73333333333323</v>
      </c>
      <c r="X359" s="1">
        <v>863.92333333333329</v>
      </c>
      <c r="Y359" s="1">
        <v>861.94500000000005</v>
      </c>
      <c r="Z359" s="1">
        <v>812.42500000000007</v>
      </c>
      <c r="AA359" s="1">
        <v>758.22833333333335</v>
      </c>
      <c r="AB359" s="26">
        <v>4</v>
      </c>
      <c r="AC359" s="8">
        <f t="shared" si="20"/>
        <v>42605.443333333322</v>
      </c>
      <c r="AM359"/>
    </row>
    <row r="360" spans="1:39" x14ac:dyDescent="0.25">
      <c r="A360" s="3">
        <f t="shared" si="18"/>
        <v>2036</v>
      </c>
      <c r="B360" s="5" t="str">
        <f>PROPER(TEXT(DATEVALUE("1/"&amp;MOD(ROUNDDOWN((ROW()-6+7*3)/3,0),12)+1&amp;"/"&amp;Tabla1[[#This Row],[Año]]),"mmm"))</f>
        <v>Jun</v>
      </c>
      <c r="C360" s="7" t="str">
        <f t="shared" si="19"/>
        <v>Hábil</v>
      </c>
      <c r="D360" s="1">
        <v>777.23380952380955</v>
      </c>
      <c r="E360" s="1">
        <v>747.8097619047619</v>
      </c>
      <c r="F360" s="1">
        <v>722.91357142857146</v>
      </c>
      <c r="G360" s="1">
        <v>698.02428571428572</v>
      </c>
      <c r="H360" s="1">
        <v>691.64547619047619</v>
      </c>
      <c r="I360" s="1">
        <v>710.39976190476193</v>
      </c>
      <c r="J360" s="1">
        <v>735.91809523809525</v>
      </c>
      <c r="K360" s="1">
        <v>722.64095238095229</v>
      </c>
      <c r="L360" s="1">
        <v>637.61285714285714</v>
      </c>
      <c r="M360" s="1">
        <v>406.39833333333331</v>
      </c>
      <c r="N360" s="1">
        <v>277.80166666666668</v>
      </c>
      <c r="O360" s="1">
        <v>285.09047619047618</v>
      </c>
      <c r="P360" s="1">
        <v>123.77285714285715</v>
      </c>
      <c r="Q360" s="1">
        <v>92.608333333333334</v>
      </c>
      <c r="R360" s="1">
        <v>299.13642857142855</v>
      </c>
      <c r="S360" s="1">
        <v>455.46952380952382</v>
      </c>
      <c r="T360" s="1">
        <v>747.55857142857144</v>
      </c>
      <c r="U360" s="1">
        <v>1079.5923809523808</v>
      </c>
      <c r="V360" s="1">
        <v>1066.6104761904762</v>
      </c>
      <c r="W360" s="1">
        <v>976.52190476190469</v>
      </c>
      <c r="X360" s="1">
        <v>970.79452380952387</v>
      </c>
      <c r="Y360" s="1">
        <v>956.94904761904763</v>
      </c>
      <c r="Z360" s="1">
        <v>895.17119047619053</v>
      </c>
      <c r="AA360" s="1">
        <v>830.36285714285714</v>
      </c>
      <c r="AB360" s="26">
        <v>21</v>
      </c>
      <c r="AC360" s="8">
        <f t="shared" si="20"/>
        <v>334068.78000000003</v>
      </c>
      <c r="AM360"/>
    </row>
    <row r="361" spans="1:39" x14ac:dyDescent="0.25">
      <c r="A361" s="3">
        <f t="shared" si="18"/>
        <v>2036</v>
      </c>
      <c r="B361" s="5" t="str">
        <f>PROPER(TEXT(DATEVALUE("1/"&amp;MOD(ROUNDDOWN((ROW()-6+7*3)/3,0),12)+1&amp;"/"&amp;Tabla1[[#This Row],[Año]]),"mmm"))</f>
        <v>Jun</v>
      </c>
      <c r="C361" s="7" t="str">
        <f t="shared" si="19"/>
        <v>Sábado</v>
      </c>
      <c r="D361" s="1">
        <v>813.79875000000004</v>
      </c>
      <c r="E361" s="1">
        <v>785.57749999999999</v>
      </c>
      <c r="F361" s="1">
        <v>753.28625</v>
      </c>
      <c r="G361" s="1">
        <v>734.60500000000002</v>
      </c>
      <c r="H361" s="1">
        <v>726.27</v>
      </c>
      <c r="I361" s="1">
        <v>712.55624999999998</v>
      </c>
      <c r="J361" s="1">
        <v>640.93624999999997</v>
      </c>
      <c r="K361" s="1">
        <v>409.88249999999999</v>
      </c>
      <c r="L361" s="1">
        <v>287.99250000000001</v>
      </c>
      <c r="M361" s="1">
        <v>105.765</v>
      </c>
      <c r="N361" s="1">
        <v>101.39749999999999</v>
      </c>
      <c r="O361" s="1">
        <v>0</v>
      </c>
      <c r="P361" s="1">
        <v>0</v>
      </c>
      <c r="Q361" s="1">
        <v>0</v>
      </c>
      <c r="R361" s="1">
        <v>0</v>
      </c>
      <c r="S361" s="1">
        <v>40.316249999999997</v>
      </c>
      <c r="T361" s="1">
        <v>258.25125000000003</v>
      </c>
      <c r="U361" s="1">
        <v>607.15125</v>
      </c>
      <c r="V361" s="1">
        <v>858.05624999999998</v>
      </c>
      <c r="W361" s="1">
        <v>898.06375000000003</v>
      </c>
      <c r="X361" s="1">
        <v>894.5625</v>
      </c>
      <c r="Y361" s="1">
        <v>881.21</v>
      </c>
      <c r="Z361" s="1">
        <v>841.66875000000005</v>
      </c>
      <c r="AA361" s="1">
        <v>797.22249999999997</v>
      </c>
      <c r="AB361" s="26">
        <v>4</v>
      </c>
      <c r="AC361" s="8">
        <f t="shared" si="20"/>
        <v>48594.28</v>
      </c>
      <c r="AM361"/>
    </row>
    <row r="362" spans="1:39" x14ac:dyDescent="0.25">
      <c r="A362" s="3">
        <f t="shared" si="18"/>
        <v>2036</v>
      </c>
      <c r="B362" s="5" t="str">
        <f>PROPER(TEXT(DATEVALUE("1/"&amp;MOD(ROUNDDOWN((ROW()-6+7*3)/3,0),12)+1&amp;"/"&amp;Tabla1[[#This Row],[Año]]),"mmm"))</f>
        <v>Jun</v>
      </c>
      <c r="C362" s="7" t="str">
        <f t="shared" si="19"/>
        <v>Domingo y Festivo</v>
      </c>
      <c r="D362" s="1">
        <v>767.40749999999991</v>
      </c>
      <c r="E362" s="1">
        <v>745.98</v>
      </c>
      <c r="F362" s="1">
        <v>728.80916666666656</v>
      </c>
      <c r="G362" s="1">
        <v>709.74749999999995</v>
      </c>
      <c r="H362" s="1">
        <v>701.0866666666667</v>
      </c>
      <c r="I362" s="1">
        <v>679.61749999999995</v>
      </c>
      <c r="J362" s="1">
        <v>568.16166666666663</v>
      </c>
      <c r="K362" s="1">
        <v>161.14000000000001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5.3475000000000001</v>
      </c>
      <c r="T362" s="1">
        <v>162.04416666666665</v>
      </c>
      <c r="U362" s="1">
        <v>516.50249999999994</v>
      </c>
      <c r="V362" s="1">
        <v>769.26166666666666</v>
      </c>
      <c r="W362" s="1">
        <v>839.73333333333323</v>
      </c>
      <c r="X362" s="1">
        <v>863.92333333333329</v>
      </c>
      <c r="Y362" s="1">
        <v>861.94500000000005</v>
      </c>
      <c r="Z362" s="1">
        <v>812.42500000000007</v>
      </c>
      <c r="AA362" s="1">
        <v>758.22833333333335</v>
      </c>
      <c r="AB362" s="26">
        <v>5</v>
      </c>
      <c r="AC362" s="8">
        <f t="shared" si="20"/>
        <v>53256.804166666654</v>
      </c>
      <c r="AM362"/>
    </row>
    <row r="363" spans="1:39" x14ac:dyDescent="0.25">
      <c r="A363" s="3">
        <f t="shared" si="18"/>
        <v>2036</v>
      </c>
      <c r="B363" s="5" t="str">
        <f>PROPER(TEXT(DATEVALUE("1/"&amp;MOD(ROUNDDOWN((ROW()-6+7*3)/3,0),12)+1&amp;"/"&amp;Tabla1[[#This Row],[Año]]),"mmm"))</f>
        <v>Jul</v>
      </c>
      <c r="C363" s="7" t="str">
        <f t="shared" si="19"/>
        <v>Hábil</v>
      </c>
      <c r="D363" s="1">
        <v>777.23380952380955</v>
      </c>
      <c r="E363" s="1">
        <v>747.8097619047619</v>
      </c>
      <c r="F363" s="1">
        <v>722.91357142857146</v>
      </c>
      <c r="G363" s="1">
        <v>698.02428571428572</v>
      </c>
      <c r="H363" s="1">
        <v>691.64547619047619</v>
      </c>
      <c r="I363" s="1">
        <v>710.39976190476193</v>
      </c>
      <c r="J363" s="1">
        <v>735.91809523809525</v>
      </c>
      <c r="K363" s="1">
        <v>722.64095238095229</v>
      </c>
      <c r="L363" s="1">
        <v>637.61285714285714</v>
      </c>
      <c r="M363" s="1">
        <v>406.39833333333331</v>
      </c>
      <c r="N363" s="1">
        <v>277.80166666666668</v>
      </c>
      <c r="O363" s="1">
        <v>285.09047619047618</v>
      </c>
      <c r="P363" s="1">
        <v>123.77285714285715</v>
      </c>
      <c r="Q363" s="1">
        <v>92.608333333333334</v>
      </c>
      <c r="R363" s="1">
        <v>299.13642857142855</v>
      </c>
      <c r="S363" s="1">
        <v>455.46952380952382</v>
      </c>
      <c r="T363" s="1">
        <v>747.55857142857144</v>
      </c>
      <c r="U363" s="1">
        <v>1079.5923809523808</v>
      </c>
      <c r="V363" s="1">
        <v>1066.6104761904762</v>
      </c>
      <c r="W363" s="1">
        <v>976.52190476190469</v>
      </c>
      <c r="X363" s="1">
        <v>970.79452380952387</v>
      </c>
      <c r="Y363" s="1">
        <v>956.94904761904763</v>
      </c>
      <c r="Z363" s="1">
        <v>895.17119047619053</v>
      </c>
      <c r="AA363" s="1">
        <v>830.36285714285714</v>
      </c>
      <c r="AB363" s="26">
        <v>23</v>
      </c>
      <c r="AC363" s="8">
        <f t="shared" si="20"/>
        <v>365884.85428571433</v>
      </c>
      <c r="AM363"/>
    </row>
    <row r="364" spans="1:39" x14ac:dyDescent="0.25">
      <c r="A364" s="3">
        <f t="shared" si="18"/>
        <v>2036</v>
      </c>
      <c r="B364" s="5" t="str">
        <f>PROPER(TEXT(DATEVALUE("1/"&amp;MOD(ROUNDDOWN((ROW()-6+7*3)/3,0),12)+1&amp;"/"&amp;Tabla1[[#This Row],[Año]]),"mmm"))</f>
        <v>Jul</v>
      </c>
      <c r="C364" s="7" t="str">
        <f t="shared" si="19"/>
        <v>Sábado</v>
      </c>
      <c r="D364" s="1">
        <v>813.79875000000004</v>
      </c>
      <c r="E364" s="1">
        <v>785.57749999999999</v>
      </c>
      <c r="F364" s="1">
        <v>753.28625</v>
      </c>
      <c r="G364" s="1">
        <v>734.60500000000002</v>
      </c>
      <c r="H364" s="1">
        <v>726.27</v>
      </c>
      <c r="I364" s="1">
        <v>712.55624999999998</v>
      </c>
      <c r="J364" s="1">
        <v>640.93624999999997</v>
      </c>
      <c r="K364" s="1">
        <v>409.88249999999999</v>
      </c>
      <c r="L364" s="1">
        <v>287.99250000000001</v>
      </c>
      <c r="M364" s="1">
        <v>105.765</v>
      </c>
      <c r="N364" s="1">
        <v>101.39749999999999</v>
      </c>
      <c r="O364" s="1">
        <v>0</v>
      </c>
      <c r="P364" s="1">
        <v>0</v>
      </c>
      <c r="Q364" s="1">
        <v>0</v>
      </c>
      <c r="R364" s="1">
        <v>0</v>
      </c>
      <c r="S364" s="1">
        <v>40.316249999999997</v>
      </c>
      <c r="T364" s="1">
        <v>258.25125000000003</v>
      </c>
      <c r="U364" s="1">
        <v>607.15125</v>
      </c>
      <c r="V364" s="1">
        <v>858.05624999999998</v>
      </c>
      <c r="W364" s="1">
        <v>898.06375000000003</v>
      </c>
      <c r="X364" s="1">
        <v>894.5625</v>
      </c>
      <c r="Y364" s="1">
        <v>881.21</v>
      </c>
      <c r="Z364" s="1">
        <v>841.66875000000005</v>
      </c>
      <c r="AA364" s="1">
        <v>797.22249999999997</v>
      </c>
      <c r="AB364" s="26">
        <v>4</v>
      </c>
      <c r="AC364" s="8">
        <f t="shared" si="20"/>
        <v>48594.28</v>
      </c>
      <c r="AM364"/>
    </row>
    <row r="365" spans="1:39" x14ac:dyDescent="0.25">
      <c r="A365" s="3">
        <f t="shared" si="18"/>
        <v>2036</v>
      </c>
      <c r="B365" s="5" t="str">
        <f>PROPER(TEXT(DATEVALUE("1/"&amp;MOD(ROUNDDOWN((ROW()-6+7*3)/3,0),12)+1&amp;"/"&amp;Tabla1[[#This Row],[Año]]),"mmm"))</f>
        <v>Jul</v>
      </c>
      <c r="C365" s="7" t="str">
        <f t="shared" si="19"/>
        <v>Domingo y Festivo</v>
      </c>
      <c r="D365" s="1">
        <v>767.40749999999991</v>
      </c>
      <c r="E365" s="1">
        <v>745.98</v>
      </c>
      <c r="F365" s="1">
        <v>728.80916666666656</v>
      </c>
      <c r="G365" s="1">
        <v>709.74749999999995</v>
      </c>
      <c r="H365" s="1">
        <v>701.0866666666667</v>
      </c>
      <c r="I365" s="1">
        <v>679.61749999999995</v>
      </c>
      <c r="J365" s="1">
        <v>568.16166666666663</v>
      </c>
      <c r="K365" s="1">
        <v>161.14000000000001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5.3475000000000001</v>
      </c>
      <c r="T365" s="1">
        <v>162.04416666666665</v>
      </c>
      <c r="U365" s="1">
        <v>516.50249999999994</v>
      </c>
      <c r="V365" s="1">
        <v>769.26166666666666</v>
      </c>
      <c r="W365" s="1">
        <v>839.73333333333323</v>
      </c>
      <c r="X365" s="1">
        <v>863.92333333333329</v>
      </c>
      <c r="Y365" s="1">
        <v>861.94500000000005</v>
      </c>
      <c r="Z365" s="1">
        <v>812.42500000000007</v>
      </c>
      <c r="AA365" s="1">
        <v>758.22833333333335</v>
      </c>
      <c r="AB365" s="26">
        <v>4</v>
      </c>
      <c r="AC365" s="8">
        <f t="shared" si="20"/>
        <v>42605.443333333322</v>
      </c>
      <c r="AM365"/>
    </row>
    <row r="366" spans="1:39" x14ac:dyDescent="0.25">
      <c r="A366" s="3">
        <f t="shared" si="18"/>
        <v>2036</v>
      </c>
      <c r="B366" s="5" t="str">
        <f>PROPER(TEXT(DATEVALUE("1/"&amp;MOD(ROUNDDOWN((ROW()-6+7*3)/3,0),12)+1&amp;"/"&amp;Tabla1[[#This Row],[Año]]),"mmm"))</f>
        <v>Ago</v>
      </c>
      <c r="C366" s="7" t="str">
        <f t="shared" si="19"/>
        <v>Hábil</v>
      </c>
      <c r="D366" s="1">
        <v>777.23380952380955</v>
      </c>
      <c r="E366" s="1">
        <v>747.8097619047619</v>
      </c>
      <c r="F366" s="1">
        <v>722.91357142857146</v>
      </c>
      <c r="G366" s="1">
        <v>698.02428571428572</v>
      </c>
      <c r="H366" s="1">
        <v>691.64547619047619</v>
      </c>
      <c r="I366" s="1">
        <v>710.39976190476193</v>
      </c>
      <c r="J366" s="1">
        <v>735.91809523809525</v>
      </c>
      <c r="K366" s="1">
        <v>722.64095238095229</v>
      </c>
      <c r="L366" s="1">
        <v>637.61285714285714</v>
      </c>
      <c r="M366" s="1">
        <v>406.39833333333331</v>
      </c>
      <c r="N366" s="1">
        <v>277.80166666666668</v>
      </c>
      <c r="O366" s="1">
        <v>285.09047619047618</v>
      </c>
      <c r="P366" s="1">
        <v>123.77285714285715</v>
      </c>
      <c r="Q366" s="1">
        <v>92.608333333333334</v>
      </c>
      <c r="R366" s="1">
        <v>299.13642857142855</v>
      </c>
      <c r="S366" s="1">
        <v>455.46952380952382</v>
      </c>
      <c r="T366" s="1">
        <v>747.55857142857144</v>
      </c>
      <c r="U366" s="1">
        <v>1079.5923809523808</v>
      </c>
      <c r="V366" s="1">
        <v>1066.6104761904762</v>
      </c>
      <c r="W366" s="1">
        <v>976.52190476190469</v>
      </c>
      <c r="X366" s="1">
        <v>970.79452380952387</v>
      </c>
      <c r="Y366" s="1">
        <v>956.94904761904763</v>
      </c>
      <c r="Z366" s="1">
        <v>895.17119047619053</v>
      </c>
      <c r="AA366" s="1">
        <v>830.36285714285714</v>
      </c>
      <c r="AB366" s="26">
        <v>21</v>
      </c>
      <c r="AC366" s="8">
        <f t="shared" si="20"/>
        <v>334068.78000000003</v>
      </c>
      <c r="AM366"/>
    </row>
    <row r="367" spans="1:39" x14ac:dyDescent="0.25">
      <c r="A367" s="3">
        <f t="shared" si="18"/>
        <v>2036</v>
      </c>
      <c r="B367" s="5" t="str">
        <f>PROPER(TEXT(DATEVALUE("1/"&amp;MOD(ROUNDDOWN((ROW()-6+7*3)/3,0),12)+1&amp;"/"&amp;Tabla1[[#This Row],[Año]]),"mmm"))</f>
        <v>Ago</v>
      </c>
      <c r="C367" s="7" t="str">
        <f t="shared" si="19"/>
        <v>Sábado</v>
      </c>
      <c r="D367" s="1">
        <v>813.79875000000004</v>
      </c>
      <c r="E367" s="1">
        <v>785.57749999999999</v>
      </c>
      <c r="F367" s="1">
        <v>753.28625</v>
      </c>
      <c r="G367" s="1">
        <v>734.60500000000002</v>
      </c>
      <c r="H367" s="1">
        <v>726.27</v>
      </c>
      <c r="I367" s="1">
        <v>712.55624999999998</v>
      </c>
      <c r="J367" s="1">
        <v>640.93624999999997</v>
      </c>
      <c r="K367" s="1">
        <v>409.88249999999999</v>
      </c>
      <c r="L367" s="1">
        <v>287.99250000000001</v>
      </c>
      <c r="M367" s="1">
        <v>105.765</v>
      </c>
      <c r="N367" s="1">
        <v>101.39749999999999</v>
      </c>
      <c r="O367" s="1">
        <v>0</v>
      </c>
      <c r="P367" s="1">
        <v>0</v>
      </c>
      <c r="Q367" s="1">
        <v>0</v>
      </c>
      <c r="R367" s="1">
        <v>0</v>
      </c>
      <c r="S367" s="1">
        <v>40.316249999999997</v>
      </c>
      <c r="T367" s="1">
        <v>258.25125000000003</v>
      </c>
      <c r="U367" s="1">
        <v>607.15125</v>
      </c>
      <c r="V367" s="1">
        <v>858.05624999999998</v>
      </c>
      <c r="W367" s="1">
        <v>898.06375000000003</v>
      </c>
      <c r="X367" s="1">
        <v>894.5625</v>
      </c>
      <c r="Y367" s="1">
        <v>881.21</v>
      </c>
      <c r="Z367" s="1">
        <v>841.66875000000005</v>
      </c>
      <c r="AA367" s="1">
        <v>797.22249999999997</v>
      </c>
      <c r="AB367" s="26">
        <v>5</v>
      </c>
      <c r="AC367" s="8">
        <f t="shared" si="20"/>
        <v>60742.85</v>
      </c>
      <c r="AM367"/>
    </row>
    <row r="368" spans="1:39" x14ac:dyDescent="0.25">
      <c r="A368" s="3">
        <f t="shared" si="18"/>
        <v>2036</v>
      </c>
      <c r="B368" s="5" t="str">
        <f>PROPER(TEXT(DATEVALUE("1/"&amp;MOD(ROUNDDOWN((ROW()-6+7*3)/3,0),12)+1&amp;"/"&amp;Tabla1[[#This Row],[Año]]),"mmm"))</f>
        <v>Ago</v>
      </c>
      <c r="C368" s="7" t="str">
        <f t="shared" si="19"/>
        <v>Domingo y Festivo</v>
      </c>
      <c r="D368" s="1">
        <v>767.40749999999991</v>
      </c>
      <c r="E368" s="1">
        <v>745.98</v>
      </c>
      <c r="F368" s="1">
        <v>728.80916666666656</v>
      </c>
      <c r="G368" s="1">
        <v>709.74749999999995</v>
      </c>
      <c r="H368" s="1">
        <v>701.0866666666667</v>
      </c>
      <c r="I368" s="1">
        <v>679.61749999999995</v>
      </c>
      <c r="J368" s="1">
        <v>568.16166666666663</v>
      </c>
      <c r="K368" s="1">
        <v>161.14000000000001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5.3475000000000001</v>
      </c>
      <c r="T368" s="1">
        <v>162.04416666666665</v>
      </c>
      <c r="U368" s="1">
        <v>516.50249999999994</v>
      </c>
      <c r="V368" s="1">
        <v>769.26166666666666</v>
      </c>
      <c r="W368" s="1">
        <v>839.73333333333323</v>
      </c>
      <c r="X368" s="1">
        <v>863.92333333333329</v>
      </c>
      <c r="Y368" s="1">
        <v>861.94500000000005</v>
      </c>
      <c r="Z368" s="1">
        <v>812.42500000000007</v>
      </c>
      <c r="AA368" s="1">
        <v>758.22833333333335</v>
      </c>
      <c r="AB368" s="26">
        <v>5</v>
      </c>
      <c r="AC368" s="8">
        <f t="shared" si="20"/>
        <v>53256.804166666654</v>
      </c>
      <c r="AM368"/>
    </row>
    <row r="369" spans="1:39" x14ac:dyDescent="0.25">
      <c r="A369" s="3">
        <f t="shared" si="18"/>
        <v>2036</v>
      </c>
      <c r="B369" s="5" t="str">
        <f>PROPER(TEXT(DATEVALUE("1/"&amp;MOD(ROUNDDOWN((ROW()-6+7*3)/3,0),12)+1&amp;"/"&amp;Tabla1[[#This Row],[Año]]),"mmm"))</f>
        <v>Sep</v>
      </c>
      <c r="C369" s="7" t="str">
        <f t="shared" si="19"/>
        <v>Hábil</v>
      </c>
      <c r="D369" s="1">
        <v>777.23380952380955</v>
      </c>
      <c r="E369" s="1">
        <v>747.8097619047619</v>
      </c>
      <c r="F369" s="1">
        <v>722.91357142857146</v>
      </c>
      <c r="G369" s="1">
        <v>698.02428571428572</v>
      </c>
      <c r="H369" s="1">
        <v>691.64547619047619</v>
      </c>
      <c r="I369" s="1">
        <v>710.39976190476193</v>
      </c>
      <c r="J369" s="1">
        <v>735.91809523809525</v>
      </c>
      <c r="K369" s="1">
        <v>722.64095238095229</v>
      </c>
      <c r="L369" s="1">
        <v>637.61285714285714</v>
      </c>
      <c r="M369" s="1">
        <v>406.39833333333331</v>
      </c>
      <c r="N369" s="1">
        <v>277.80166666666668</v>
      </c>
      <c r="O369" s="1">
        <v>285.09047619047618</v>
      </c>
      <c r="P369" s="1">
        <v>123.77285714285715</v>
      </c>
      <c r="Q369" s="1">
        <v>92.608333333333334</v>
      </c>
      <c r="R369" s="1">
        <v>299.13642857142855</v>
      </c>
      <c r="S369" s="1">
        <v>455.46952380952382</v>
      </c>
      <c r="T369" s="1">
        <v>747.55857142857144</v>
      </c>
      <c r="U369" s="1">
        <v>1079.5923809523808</v>
      </c>
      <c r="V369" s="1">
        <v>1066.6104761904762</v>
      </c>
      <c r="W369" s="1">
        <v>976.52190476190469</v>
      </c>
      <c r="X369" s="1">
        <v>970.79452380952387</v>
      </c>
      <c r="Y369" s="1">
        <v>956.94904761904763</v>
      </c>
      <c r="Z369" s="1">
        <v>895.17119047619053</v>
      </c>
      <c r="AA369" s="1">
        <v>830.36285714285714</v>
      </c>
      <c r="AB369" s="26">
        <v>22</v>
      </c>
      <c r="AC369" s="8">
        <f t="shared" si="20"/>
        <v>349976.81714285718</v>
      </c>
      <c r="AM369"/>
    </row>
    <row r="370" spans="1:39" x14ac:dyDescent="0.25">
      <c r="A370" s="3">
        <f t="shared" si="18"/>
        <v>2036</v>
      </c>
      <c r="B370" s="5" t="str">
        <f>PROPER(TEXT(DATEVALUE("1/"&amp;MOD(ROUNDDOWN((ROW()-6+7*3)/3,0),12)+1&amp;"/"&amp;Tabla1[[#This Row],[Año]]),"mmm"))</f>
        <v>Sep</v>
      </c>
      <c r="C370" s="7" t="str">
        <f t="shared" si="19"/>
        <v>Sábado</v>
      </c>
      <c r="D370" s="1">
        <v>813.79875000000004</v>
      </c>
      <c r="E370" s="1">
        <v>785.57749999999999</v>
      </c>
      <c r="F370" s="1">
        <v>753.28625</v>
      </c>
      <c r="G370" s="1">
        <v>734.60500000000002</v>
      </c>
      <c r="H370" s="1">
        <v>726.27</v>
      </c>
      <c r="I370" s="1">
        <v>712.55624999999998</v>
      </c>
      <c r="J370" s="1">
        <v>640.93624999999997</v>
      </c>
      <c r="K370" s="1">
        <v>409.88249999999999</v>
      </c>
      <c r="L370" s="1">
        <v>287.99250000000001</v>
      </c>
      <c r="M370" s="1">
        <v>105.765</v>
      </c>
      <c r="N370" s="1">
        <v>101.39749999999999</v>
      </c>
      <c r="O370" s="1">
        <v>0</v>
      </c>
      <c r="P370" s="1">
        <v>0</v>
      </c>
      <c r="Q370" s="1">
        <v>0</v>
      </c>
      <c r="R370" s="1">
        <v>0</v>
      </c>
      <c r="S370" s="1">
        <v>40.316249999999997</v>
      </c>
      <c r="T370" s="1">
        <v>258.25125000000003</v>
      </c>
      <c r="U370" s="1">
        <v>607.15125</v>
      </c>
      <c r="V370" s="1">
        <v>858.05624999999998</v>
      </c>
      <c r="W370" s="1">
        <v>898.06375000000003</v>
      </c>
      <c r="X370" s="1">
        <v>894.5625</v>
      </c>
      <c r="Y370" s="1">
        <v>881.21</v>
      </c>
      <c r="Z370" s="1">
        <v>841.66875000000005</v>
      </c>
      <c r="AA370" s="1">
        <v>797.22249999999997</v>
      </c>
      <c r="AB370" s="26">
        <v>4</v>
      </c>
      <c r="AC370" s="8">
        <f t="shared" si="20"/>
        <v>48594.28</v>
      </c>
      <c r="AM370"/>
    </row>
    <row r="371" spans="1:39" x14ac:dyDescent="0.25">
      <c r="A371" s="3">
        <f t="shared" si="18"/>
        <v>2036</v>
      </c>
      <c r="B371" s="5" t="str">
        <f>PROPER(TEXT(DATEVALUE("1/"&amp;MOD(ROUNDDOWN((ROW()-6+7*3)/3,0),12)+1&amp;"/"&amp;Tabla1[[#This Row],[Año]]),"mmm"))</f>
        <v>Sep</v>
      </c>
      <c r="C371" s="7" t="str">
        <f t="shared" si="19"/>
        <v>Domingo y Festivo</v>
      </c>
      <c r="D371" s="1">
        <v>767.40749999999991</v>
      </c>
      <c r="E371" s="1">
        <v>745.98</v>
      </c>
      <c r="F371" s="1">
        <v>728.80916666666656</v>
      </c>
      <c r="G371" s="1">
        <v>709.74749999999995</v>
      </c>
      <c r="H371" s="1">
        <v>701.0866666666667</v>
      </c>
      <c r="I371" s="1">
        <v>679.61749999999995</v>
      </c>
      <c r="J371" s="1">
        <v>568.16166666666663</v>
      </c>
      <c r="K371" s="1">
        <v>161.14000000000001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5.3475000000000001</v>
      </c>
      <c r="T371" s="1">
        <v>162.04416666666665</v>
      </c>
      <c r="U371" s="1">
        <v>516.50249999999994</v>
      </c>
      <c r="V371" s="1">
        <v>769.26166666666666</v>
      </c>
      <c r="W371" s="1">
        <v>839.73333333333323</v>
      </c>
      <c r="X371" s="1">
        <v>863.92333333333329</v>
      </c>
      <c r="Y371" s="1">
        <v>861.94500000000005</v>
      </c>
      <c r="Z371" s="1">
        <v>812.42500000000007</v>
      </c>
      <c r="AA371" s="1">
        <v>758.22833333333335</v>
      </c>
      <c r="AB371" s="26">
        <v>4</v>
      </c>
      <c r="AC371" s="8">
        <f t="shared" si="20"/>
        <v>42605.443333333322</v>
      </c>
      <c r="AM371"/>
    </row>
    <row r="372" spans="1:39" x14ac:dyDescent="0.25">
      <c r="A372" s="3">
        <f t="shared" si="18"/>
        <v>2036</v>
      </c>
      <c r="B372" s="5" t="str">
        <f>PROPER(TEXT(DATEVALUE("1/"&amp;MOD(ROUNDDOWN((ROW()-6+7*3)/3,0),12)+1&amp;"/"&amp;Tabla1[[#This Row],[Año]]),"mmm"))</f>
        <v>Oct</v>
      </c>
      <c r="C372" s="7" t="str">
        <f t="shared" si="19"/>
        <v>Hábil</v>
      </c>
      <c r="D372" s="1">
        <v>777.23380952380955</v>
      </c>
      <c r="E372" s="1">
        <v>747.8097619047619</v>
      </c>
      <c r="F372" s="1">
        <v>722.91357142857146</v>
      </c>
      <c r="G372" s="1">
        <v>698.02428571428572</v>
      </c>
      <c r="H372" s="1">
        <v>691.64547619047619</v>
      </c>
      <c r="I372" s="1">
        <v>710.39976190476193</v>
      </c>
      <c r="J372" s="1">
        <v>735.91809523809525</v>
      </c>
      <c r="K372" s="1">
        <v>722.64095238095229</v>
      </c>
      <c r="L372" s="1">
        <v>637.61285714285714</v>
      </c>
      <c r="M372" s="1">
        <v>406.39833333333331</v>
      </c>
      <c r="N372" s="1">
        <v>277.80166666666668</v>
      </c>
      <c r="O372" s="1">
        <v>285.09047619047618</v>
      </c>
      <c r="P372" s="1">
        <v>123.77285714285715</v>
      </c>
      <c r="Q372" s="1">
        <v>92.608333333333334</v>
      </c>
      <c r="R372" s="1">
        <v>299.13642857142855</v>
      </c>
      <c r="S372" s="1">
        <v>455.46952380952382</v>
      </c>
      <c r="T372" s="1">
        <v>747.55857142857144</v>
      </c>
      <c r="U372" s="1">
        <v>1079.5923809523808</v>
      </c>
      <c r="V372" s="1">
        <v>1066.6104761904762</v>
      </c>
      <c r="W372" s="1">
        <v>976.52190476190469</v>
      </c>
      <c r="X372" s="1">
        <v>970.79452380952387</v>
      </c>
      <c r="Y372" s="1">
        <v>956.94904761904763</v>
      </c>
      <c r="Z372" s="1">
        <v>895.17119047619053</v>
      </c>
      <c r="AA372" s="1">
        <v>830.36285714285714</v>
      </c>
      <c r="AB372" s="26">
        <v>23</v>
      </c>
      <c r="AC372" s="8">
        <f t="shared" si="20"/>
        <v>365884.85428571433</v>
      </c>
      <c r="AM372"/>
    </row>
    <row r="373" spans="1:39" x14ac:dyDescent="0.25">
      <c r="A373" s="3">
        <f t="shared" si="18"/>
        <v>2036</v>
      </c>
      <c r="B373" s="5" t="str">
        <f>PROPER(TEXT(DATEVALUE("1/"&amp;MOD(ROUNDDOWN((ROW()-6+7*3)/3,0),12)+1&amp;"/"&amp;Tabla1[[#This Row],[Año]]),"mmm"))</f>
        <v>Oct</v>
      </c>
      <c r="C373" s="7" t="str">
        <f t="shared" si="19"/>
        <v>Sábado</v>
      </c>
      <c r="D373" s="1">
        <v>813.79875000000004</v>
      </c>
      <c r="E373" s="1">
        <v>785.57749999999999</v>
      </c>
      <c r="F373" s="1">
        <v>753.28625</v>
      </c>
      <c r="G373" s="1">
        <v>734.60500000000002</v>
      </c>
      <c r="H373" s="1">
        <v>726.27</v>
      </c>
      <c r="I373" s="1">
        <v>712.55624999999998</v>
      </c>
      <c r="J373" s="1">
        <v>640.93624999999997</v>
      </c>
      <c r="K373" s="1">
        <v>409.88249999999999</v>
      </c>
      <c r="L373" s="1">
        <v>287.99250000000001</v>
      </c>
      <c r="M373" s="1">
        <v>105.765</v>
      </c>
      <c r="N373" s="1">
        <v>101.39749999999999</v>
      </c>
      <c r="O373" s="1">
        <v>0</v>
      </c>
      <c r="P373" s="1">
        <v>0</v>
      </c>
      <c r="Q373" s="1">
        <v>0</v>
      </c>
      <c r="R373" s="1">
        <v>0</v>
      </c>
      <c r="S373" s="1">
        <v>40.316249999999997</v>
      </c>
      <c r="T373" s="1">
        <v>258.25125000000003</v>
      </c>
      <c r="U373" s="1">
        <v>607.15125</v>
      </c>
      <c r="V373" s="1">
        <v>858.05624999999998</v>
      </c>
      <c r="W373" s="1">
        <v>898.06375000000003</v>
      </c>
      <c r="X373" s="1">
        <v>894.5625</v>
      </c>
      <c r="Y373" s="1">
        <v>881.21</v>
      </c>
      <c r="Z373" s="1">
        <v>841.66875000000005</v>
      </c>
      <c r="AA373" s="1">
        <v>797.22249999999997</v>
      </c>
      <c r="AB373" s="26">
        <v>4</v>
      </c>
      <c r="AC373" s="8">
        <f t="shared" si="20"/>
        <v>48594.28</v>
      </c>
      <c r="AM373"/>
    </row>
    <row r="374" spans="1:39" x14ac:dyDescent="0.25">
      <c r="A374" s="3">
        <f t="shared" si="18"/>
        <v>2036</v>
      </c>
      <c r="B374" s="5" t="str">
        <f>PROPER(TEXT(DATEVALUE("1/"&amp;MOD(ROUNDDOWN((ROW()-6+7*3)/3,0),12)+1&amp;"/"&amp;Tabla1[[#This Row],[Año]]),"mmm"))</f>
        <v>Oct</v>
      </c>
      <c r="C374" s="7" t="str">
        <f t="shared" si="19"/>
        <v>Domingo y Festivo</v>
      </c>
      <c r="D374" s="1">
        <v>767.40749999999991</v>
      </c>
      <c r="E374" s="1">
        <v>745.98</v>
      </c>
      <c r="F374" s="1">
        <v>728.80916666666656</v>
      </c>
      <c r="G374" s="1">
        <v>709.74749999999995</v>
      </c>
      <c r="H374" s="1">
        <v>701.0866666666667</v>
      </c>
      <c r="I374" s="1">
        <v>679.61749999999995</v>
      </c>
      <c r="J374" s="1">
        <v>568.16166666666663</v>
      </c>
      <c r="K374" s="1">
        <v>161.14000000000001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5.3475000000000001</v>
      </c>
      <c r="T374" s="1">
        <v>162.04416666666665</v>
      </c>
      <c r="U374" s="1">
        <v>516.50249999999994</v>
      </c>
      <c r="V374" s="1">
        <v>769.26166666666666</v>
      </c>
      <c r="W374" s="1">
        <v>839.73333333333323</v>
      </c>
      <c r="X374" s="1">
        <v>863.92333333333329</v>
      </c>
      <c r="Y374" s="1">
        <v>861.94500000000005</v>
      </c>
      <c r="Z374" s="1">
        <v>812.42500000000007</v>
      </c>
      <c r="AA374" s="1">
        <v>758.22833333333335</v>
      </c>
      <c r="AB374" s="26">
        <v>4</v>
      </c>
      <c r="AC374" s="8">
        <f t="shared" si="20"/>
        <v>42605.443333333322</v>
      </c>
      <c r="AM374"/>
    </row>
    <row r="375" spans="1:39" x14ac:dyDescent="0.25">
      <c r="A375" s="3">
        <f t="shared" si="18"/>
        <v>2036</v>
      </c>
      <c r="B375" s="5" t="str">
        <f>PROPER(TEXT(DATEVALUE("1/"&amp;MOD(ROUNDDOWN((ROW()-6+7*3)/3,0),12)+1&amp;"/"&amp;Tabla1[[#This Row],[Año]]),"mmm"))</f>
        <v>Nov</v>
      </c>
      <c r="C375" s="7" t="str">
        <f t="shared" si="19"/>
        <v>Hábil</v>
      </c>
      <c r="D375" s="1">
        <v>777.23380952380955</v>
      </c>
      <c r="E375" s="1">
        <v>747.8097619047619</v>
      </c>
      <c r="F375" s="1">
        <v>722.91357142857146</v>
      </c>
      <c r="G375" s="1">
        <v>698.02428571428572</v>
      </c>
      <c r="H375" s="1">
        <v>691.64547619047619</v>
      </c>
      <c r="I375" s="1">
        <v>710.39976190476193</v>
      </c>
      <c r="J375" s="1">
        <v>735.91809523809525</v>
      </c>
      <c r="K375" s="1">
        <v>722.64095238095229</v>
      </c>
      <c r="L375" s="1">
        <v>637.61285714285714</v>
      </c>
      <c r="M375" s="1">
        <v>406.39833333333331</v>
      </c>
      <c r="N375" s="1">
        <v>277.80166666666668</v>
      </c>
      <c r="O375" s="1">
        <v>285.09047619047618</v>
      </c>
      <c r="P375" s="1">
        <v>123.77285714285715</v>
      </c>
      <c r="Q375" s="1">
        <v>92.608333333333334</v>
      </c>
      <c r="R375" s="1">
        <v>299.13642857142855</v>
      </c>
      <c r="S375" s="1">
        <v>455.46952380952382</v>
      </c>
      <c r="T375" s="1">
        <v>747.55857142857144</v>
      </c>
      <c r="U375" s="1">
        <v>1079.5923809523808</v>
      </c>
      <c r="V375" s="1">
        <v>1066.6104761904762</v>
      </c>
      <c r="W375" s="1">
        <v>976.52190476190469</v>
      </c>
      <c r="X375" s="1">
        <v>970.79452380952387</v>
      </c>
      <c r="Y375" s="1">
        <v>956.94904761904763</v>
      </c>
      <c r="Z375" s="1">
        <v>895.17119047619053</v>
      </c>
      <c r="AA375" s="1">
        <v>830.36285714285714</v>
      </c>
      <c r="AB375" s="26">
        <v>20</v>
      </c>
      <c r="AC375" s="8">
        <f t="shared" si="20"/>
        <v>318160.74285714293</v>
      </c>
      <c r="AM375"/>
    </row>
    <row r="376" spans="1:39" x14ac:dyDescent="0.25">
      <c r="A376" s="3">
        <f t="shared" si="18"/>
        <v>2036</v>
      </c>
      <c r="B376" s="5" t="str">
        <f>PROPER(TEXT(DATEVALUE("1/"&amp;MOD(ROUNDDOWN((ROW()-6+7*3)/3,0),12)+1&amp;"/"&amp;Tabla1[[#This Row],[Año]]),"mmm"))</f>
        <v>Nov</v>
      </c>
      <c r="C376" s="7" t="str">
        <f t="shared" si="19"/>
        <v>Sábado</v>
      </c>
      <c r="D376" s="1">
        <v>813.79875000000004</v>
      </c>
      <c r="E376" s="1">
        <v>785.57749999999999</v>
      </c>
      <c r="F376" s="1">
        <v>753.28625</v>
      </c>
      <c r="G376" s="1">
        <v>734.60500000000002</v>
      </c>
      <c r="H376" s="1">
        <v>726.27</v>
      </c>
      <c r="I376" s="1">
        <v>712.55624999999998</v>
      </c>
      <c r="J376" s="1">
        <v>640.93624999999997</v>
      </c>
      <c r="K376" s="1">
        <v>409.88249999999999</v>
      </c>
      <c r="L376" s="1">
        <v>287.99250000000001</v>
      </c>
      <c r="M376" s="1">
        <v>105.765</v>
      </c>
      <c r="N376" s="1">
        <v>101.39749999999999</v>
      </c>
      <c r="O376" s="1">
        <v>0</v>
      </c>
      <c r="P376" s="1">
        <v>0</v>
      </c>
      <c r="Q376" s="1">
        <v>0</v>
      </c>
      <c r="R376" s="1">
        <v>0</v>
      </c>
      <c r="S376" s="1">
        <v>40.316249999999997</v>
      </c>
      <c r="T376" s="1">
        <v>258.25125000000003</v>
      </c>
      <c r="U376" s="1">
        <v>607.15125</v>
      </c>
      <c r="V376" s="1">
        <v>858.05624999999998</v>
      </c>
      <c r="W376" s="1">
        <v>898.06375000000003</v>
      </c>
      <c r="X376" s="1">
        <v>894.5625</v>
      </c>
      <c r="Y376" s="1">
        <v>881.21</v>
      </c>
      <c r="Z376" s="1">
        <v>841.66875000000005</v>
      </c>
      <c r="AA376" s="1">
        <v>797.22249999999997</v>
      </c>
      <c r="AB376" s="26">
        <v>5</v>
      </c>
      <c r="AC376" s="8">
        <f t="shared" si="20"/>
        <v>60742.85</v>
      </c>
      <c r="AM376"/>
    </row>
    <row r="377" spans="1:39" x14ac:dyDescent="0.25">
      <c r="A377" s="3">
        <f t="shared" si="18"/>
        <v>2036</v>
      </c>
      <c r="B377" s="5" t="str">
        <f>PROPER(TEXT(DATEVALUE("1/"&amp;MOD(ROUNDDOWN((ROW()-6+7*3)/3,0),12)+1&amp;"/"&amp;Tabla1[[#This Row],[Año]]),"mmm"))</f>
        <v>Nov</v>
      </c>
      <c r="C377" s="7" t="str">
        <f t="shared" si="19"/>
        <v>Domingo y Festivo</v>
      </c>
      <c r="D377" s="1">
        <v>767.40749999999991</v>
      </c>
      <c r="E377" s="1">
        <v>745.98</v>
      </c>
      <c r="F377" s="1">
        <v>728.80916666666656</v>
      </c>
      <c r="G377" s="1">
        <v>709.74749999999995</v>
      </c>
      <c r="H377" s="1">
        <v>701.0866666666667</v>
      </c>
      <c r="I377" s="1">
        <v>679.61749999999995</v>
      </c>
      <c r="J377" s="1">
        <v>568.16166666666663</v>
      </c>
      <c r="K377" s="1">
        <v>161.14000000000001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5.3475000000000001</v>
      </c>
      <c r="T377" s="1">
        <v>162.04416666666665</v>
      </c>
      <c r="U377" s="1">
        <v>516.50249999999994</v>
      </c>
      <c r="V377" s="1">
        <v>769.26166666666666</v>
      </c>
      <c r="W377" s="1">
        <v>839.73333333333323</v>
      </c>
      <c r="X377" s="1">
        <v>863.92333333333329</v>
      </c>
      <c r="Y377" s="1">
        <v>861.94500000000005</v>
      </c>
      <c r="Z377" s="1">
        <v>812.42500000000007</v>
      </c>
      <c r="AA377" s="1">
        <v>758.22833333333335</v>
      </c>
      <c r="AB377" s="26">
        <v>5</v>
      </c>
      <c r="AC377" s="8">
        <f t="shared" si="20"/>
        <v>53256.804166666654</v>
      </c>
      <c r="AM377"/>
    </row>
    <row r="378" spans="1:39" x14ac:dyDescent="0.25">
      <c r="A378" s="3">
        <f t="shared" si="18"/>
        <v>2036</v>
      </c>
      <c r="B378" s="5" t="str">
        <f>PROPER(TEXT(DATEVALUE("1/"&amp;MOD(ROUNDDOWN((ROW()-6+7*3)/3,0),12)+1&amp;"/"&amp;Tabla1[[#This Row],[Año]]),"mmm"))</f>
        <v>Dic</v>
      </c>
      <c r="C378" s="7" t="str">
        <f t="shared" si="19"/>
        <v>Hábil</v>
      </c>
      <c r="D378" s="1">
        <v>777.23380952380955</v>
      </c>
      <c r="E378" s="1">
        <v>747.8097619047619</v>
      </c>
      <c r="F378" s="1">
        <v>722.91357142857146</v>
      </c>
      <c r="G378" s="1">
        <v>698.02428571428572</v>
      </c>
      <c r="H378" s="1">
        <v>691.64547619047619</v>
      </c>
      <c r="I378" s="1">
        <v>710.39976190476193</v>
      </c>
      <c r="J378" s="1">
        <v>735.91809523809525</v>
      </c>
      <c r="K378" s="1">
        <v>722.64095238095229</v>
      </c>
      <c r="L378" s="1">
        <v>637.61285714285714</v>
      </c>
      <c r="M378" s="1">
        <v>406.39833333333331</v>
      </c>
      <c r="N378" s="1">
        <v>277.80166666666668</v>
      </c>
      <c r="O378" s="1">
        <v>285.09047619047618</v>
      </c>
      <c r="P378" s="1">
        <v>123.77285714285715</v>
      </c>
      <c r="Q378" s="1">
        <v>92.608333333333334</v>
      </c>
      <c r="R378" s="1">
        <v>299.13642857142855</v>
      </c>
      <c r="S378" s="1">
        <v>455.46952380952382</v>
      </c>
      <c r="T378" s="1">
        <v>747.55857142857144</v>
      </c>
      <c r="U378" s="1">
        <v>1079.5923809523808</v>
      </c>
      <c r="V378" s="1">
        <v>1066.6104761904762</v>
      </c>
      <c r="W378" s="1">
        <v>976.52190476190469</v>
      </c>
      <c r="X378" s="1">
        <v>970.79452380952387</v>
      </c>
      <c r="Y378" s="1">
        <v>956.94904761904763</v>
      </c>
      <c r="Z378" s="1">
        <v>895.17119047619053</v>
      </c>
      <c r="AA378" s="1">
        <v>830.36285714285714</v>
      </c>
      <c r="AB378" s="26">
        <v>23</v>
      </c>
      <c r="AC378" s="8">
        <f t="shared" si="20"/>
        <v>365884.85428571433</v>
      </c>
      <c r="AM378"/>
    </row>
    <row r="379" spans="1:39" x14ac:dyDescent="0.25">
      <c r="A379" s="3">
        <f t="shared" si="18"/>
        <v>2036</v>
      </c>
      <c r="B379" s="5" t="str">
        <f>PROPER(TEXT(DATEVALUE("1/"&amp;MOD(ROUNDDOWN((ROW()-6+7*3)/3,0),12)+1&amp;"/"&amp;Tabla1[[#This Row],[Año]]),"mmm"))</f>
        <v>Dic</v>
      </c>
      <c r="C379" s="7" t="str">
        <f t="shared" si="19"/>
        <v>Sábado</v>
      </c>
      <c r="D379" s="1">
        <v>813.79875000000004</v>
      </c>
      <c r="E379" s="1">
        <v>785.57749999999999</v>
      </c>
      <c r="F379" s="1">
        <v>753.28625</v>
      </c>
      <c r="G379" s="1">
        <v>734.60500000000002</v>
      </c>
      <c r="H379" s="1">
        <v>726.27</v>
      </c>
      <c r="I379" s="1">
        <v>712.55624999999998</v>
      </c>
      <c r="J379" s="1">
        <v>640.93624999999997</v>
      </c>
      <c r="K379" s="1">
        <v>409.88249999999999</v>
      </c>
      <c r="L379" s="1">
        <v>287.99250000000001</v>
      </c>
      <c r="M379" s="1">
        <v>105.765</v>
      </c>
      <c r="N379" s="1">
        <v>101.39749999999999</v>
      </c>
      <c r="O379" s="1">
        <v>0</v>
      </c>
      <c r="P379" s="1">
        <v>0</v>
      </c>
      <c r="Q379" s="1">
        <v>0</v>
      </c>
      <c r="R379" s="1">
        <v>0</v>
      </c>
      <c r="S379" s="1">
        <v>40.316249999999997</v>
      </c>
      <c r="T379" s="1">
        <v>258.25125000000003</v>
      </c>
      <c r="U379" s="1">
        <v>607.15125</v>
      </c>
      <c r="V379" s="1">
        <v>858.05624999999998</v>
      </c>
      <c r="W379" s="1">
        <v>898.06375000000003</v>
      </c>
      <c r="X379" s="1">
        <v>894.5625</v>
      </c>
      <c r="Y379" s="1">
        <v>881.21</v>
      </c>
      <c r="Z379" s="1">
        <v>841.66875000000005</v>
      </c>
      <c r="AA379" s="1">
        <v>797.22249999999997</v>
      </c>
      <c r="AB379" s="26">
        <v>4</v>
      </c>
      <c r="AC379" s="8">
        <f t="shared" si="20"/>
        <v>48594.28</v>
      </c>
      <c r="AM379"/>
    </row>
    <row r="380" spans="1:39" x14ac:dyDescent="0.25">
      <c r="A380" s="3">
        <f t="shared" si="18"/>
        <v>2036</v>
      </c>
      <c r="B380" s="5" t="str">
        <f>PROPER(TEXT(DATEVALUE("1/"&amp;MOD(ROUNDDOWN((ROW()-6+7*3)/3,0),12)+1&amp;"/"&amp;Tabla1[[#This Row],[Año]]),"mmm"))</f>
        <v>Dic</v>
      </c>
      <c r="C380" s="7" t="str">
        <f t="shared" si="19"/>
        <v>Domingo y Festivo</v>
      </c>
      <c r="D380" s="1">
        <v>767.40749999999991</v>
      </c>
      <c r="E380" s="1">
        <v>745.98</v>
      </c>
      <c r="F380" s="1">
        <v>728.80916666666656</v>
      </c>
      <c r="G380" s="1">
        <v>709.74749999999995</v>
      </c>
      <c r="H380" s="1">
        <v>701.0866666666667</v>
      </c>
      <c r="I380" s="1">
        <v>679.61749999999995</v>
      </c>
      <c r="J380" s="1">
        <v>568.16166666666663</v>
      </c>
      <c r="K380" s="1">
        <v>161.14000000000001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5.3475000000000001</v>
      </c>
      <c r="T380" s="1">
        <v>162.04416666666665</v>
      </c>
      <c r="U380" s="1">
        <v>516.50249999999994</v>
      </c>
      <c r="V380" s="1">
        <v>769.26166666666666</v>
      </c>
      <c r="W380" s="1">
        <v>839.73333333333323</v>
      </c>
      <c r="X380" s="1">
        <v>863.92333333333329</v>
      </c>
      <c r="Y380" s="1">
        <v>861.94500000000005</v>
      </c>
      <c r="Z380" s="1">
        <v>812.42500000000007</v>
      </c>
      <c r="AA380" s="1">
        <v>758.22833333333335</v>
      </c>
      <c r="AB380" s="26">
        <v>4</v>
      </c>
      <c r="AC380" s="8">
        <f t="shared" si="20"/>
        <v>42605.443333333322</v>
      </c>
      <c r="AM380"/>
    </row>
    <row r="381" spans="1:39" x14ac:dyDescent="0.25">
      <c r="AM381"/>
    </row>
    <row r="382" spans="1:39" x14ac:dyDescent="0.25">
      <c r="AM382"/>
    </row>
    <row r="383" spans="1:39" x14ac:dyDescent="0.25">
      <c r="AM383"/>
    </row>
    <row r="384" spans="1:39" x14ac:dyDescent="0.25">
      <c r="AM384"/>
    </row>
    <row r="385" spans="39:39" x14ac:dyDescent="0.25">
      <c r="AM385"/>
    </row>
    <row r="386" spans="39:39" x14ac:dyDescent="0.25">
      <c r="AM386"/>
    </row>
    <row r="387" spans="39:39" x14ac:dyDescent="0.25">
      <c r="AM387"/>
    </row>
    <row r="388" spans="39:39" x14ac:dyDescent="0.25">
      <c r="AM388"/>
    </row>
    <row r="389" spans="39:39" x14ac:dyDescent="0.25">
      <c r="AM389"/>
    </row>
    <row r="390" spans="39:39" x14ac:dyDescent="0.25">
      <c r="AM390"/>
    </row>
    <row r="391" spans="39:39" x14ac:dyDescent="0.25">
      <c r="AM391"/>
    </row>
    <row r="392" spans="39:39" x14ac:dyDescent="0.25">
      <c r="AM392"/>
    </row>
    <row r="393" spans="39:39" x14ac:dyDescent="0.25">
      <c r="AM393"/>
    </row>
    <row r="394" spans="39:39" x14ac:dyDescent="0.25">
      <c r="AM394"/>
    </row>
    <row r="395" spans="39:39" x14ac:dyDescent="0.25">
      <c r="AM395"/>
    </row>
    <row r="396" spans="39:39" x14ac:dyDescent="0.25">
      <c r="AM396"/>
    </row>
    <row r="397" spans="39:39" x14ac:dyDescent="0.25">
      <c r="AM397"/>
    </row>
    <row r="398" spans="39:39" x14ac:dyDescent="0.25">
      <c r="AM398"/>
    </row>
    <row r="399" spans="39:39" x14ac:dyDescent="0.25">
      <c r="AM399"/>
    </row>
    <row r="400" spans="39:39" x14ac:dyDescent="0.25">
      <c r="AM400"/>
    </row>
    <row r="401" spans="39:39" x14ac:dyDescent="0.25">
      <c r="AM401"/>
    </row>
    <row r="402" spans="39:39" x14ac:dyDescent="0.25">
      <c r="AM402"/>
    </row>
    <row r="403" spans="39:39" x14ac:dyDescent="0.25">
      <c r="AM403"/>
    </row>
    <row r="404" spans="39:39" x14ac:dyDescent="0.25">
      <c r="AM404"/>
    </row>
    <row r="405" spans="39:39" x14ac:dyDescent="0.25">
      <c r="AM405"/>
    </row>
    <row r="406" spans="39:39" x14ac:dyDescent="0.25">
      <c r="AM406"/>
    </row>
    <row r="407" spans="39:39" x14ac:dyDescent="0.25">
      <c r="AM407"/>
    </row>
    <row r="408" spans="39:39" x14ac:dyDescent="0.25">
      <c r="AM408"/>
    </row>
    <row r="409" spans="39:39" x14ac:dyDescent="0.25">
      <c r="AM409"/>
    </row>
    <row r="410" spans="39:39" x14ac:dyDescent="0.25">
      <c r="AM410"/>
    </row>
    <row r="411" spans="39:39" x14ac:dyDescent="0.25">
      <c r="AM411"/>
    </row>
    <row r="412" spans="39:39" x14ac:dyDescent="0.25">
      <c r="AM412"/>
    </row>
    <row r="413" spans="39:39" x14ac:dyDescent="0.25">
      <c r="AM413"/>
    </row>
    <row r="414" spans="39:39" x14ac:dyDescent="0.25">
      <c r="AM414"/>
    </row>
    <row r="415" spans="39:39" x14ac:dyDescent="0.25">
      <c r="AM415"/>
    </row>
    <row r="416" spans="39:39" x14ac:dyDescent="0.25">
      <c r="AM416"/>
    </row>
    <row r="417" spans="39:39" x14ac:dyDescent="0.25">
      <c r="AM417"/>
    </row>
    <row r="418" spans="39:39" x14ac:dyDescent="0.25">
      <c r="AM418"/>
    </row>
    <row r="419" spans="39:39" x14ac:dyDescent="0.25">
      <c r="AM419"/>
    </row>
    <row r="420" spans="39:39" x14ac:dyDescent="0.25">
      <c r="AM420"/>
    </row>
    <row r="421" spans="39:39" x14ac:dyDescent="0.25">
      <c r="AM421"/>
    </row>
    <row r="422" spans="39:39" x14ac:dyDescent="0.25">
      <c r="AM422"/>
    </row>
    <row r="423" spans="39:39" x14ac:dyDescent="0.25">
      <c r="AM423"/>
    </row>
    <row r="424" spans="39:39" x14ac:dyDescent="0.25">
      <c r="AM424"/>
    </row>
    <row r="425" spans="39:39" x14ac:dyDescent="0.25">
      <c r="AM425"/>
    </row>
    <row r="426" spans="39:39" x14ac:dyDescent="0.25">
      <c r="AM426"/>
    </row>
    <row r="427" spans="39:39" x14ac:dyDescent="0.25">
      <c r="AM427"/>
    </row>
    <row r="428" spans="39:39" x14ac:dyDescent="0.25">
      <c r="AM428"/>
    </row>
    <row r="429" spans="39:39" x14ac:dyDescent="0.25">
      <c r="AM429"/>
    </row>
    <row r="430" spans="39:39" x14ac:dyDescent="0.25">
      <c r="AM430"/>
    </row>
    <row r="431" spans="39:39" x14ac:dyDescent="0.25">
      <c r="AM431"/>
    </row>
    <row r="432" spans="39:39" x14ac:dyDescent="0.25">
      <c r="AM432"/>
    </row>
    <row r="433" spans="39:39" x14ac:dyDescent="0.25">
      <c r="AM433"/>
    </row>
    <row r="434" spans="39:39" x14ac:dyDescent="0.25">
      <c r="AM434"/>
    </row>
    <row r="435" spans="39:39" x14ac:dyDescent="0.25">
      <c r="AM435"/>
    </row>
    <row r="436" spans="39:39" x14ac:dyDescent="0.25">
      <c r="AM436"/>
    </row>
    <row r="437" spans="39:39" x14ac:dyDescent="0.25">
      <c r="AM437"/>
    </row>
    <row r="438" spans="39:39" x14ac:dyDescent="0.25">
      <c r="AM438"/>
    </row>
    <row r="439" spans="39:39" x14ac:dyDescent="0.25">
      <c r="AM439"/>
    </row>
    <row r="440" spans="39:39" x14ac:dyDescent="0.25">
      <c r="AM440"/>
    </row>
    <row r="441" spans="39:39" x14ac:dyDescent="0.25">
      <c r="AM441"/>
    </row>
    <row r="442" spans="39:39" x14ac:dyDescent="0.25">
      <c r="AM442"/>
    </row>
    <row r="443" spans="39:39" x14ac:dyDescent="0.25">
      <c r="AM443"/>
    </row>
    <row r="444" spans="39:39" x14ac:dyDescent="0.25">
      <c r="AM444"/>
    </row>
    <row r="445" spans="39:39" x14ac:dyDescent="0.25">
      <c r="AM445"/>
    </row>
    <row r="446" spans="39:39" x14ac:dyDescent="0.25">
      <c r="AM446"/>
    </row>
    <row r="447" spans="39:39" x14ac:dyDescent="0.25">
      <c r="AM447"/>
    </row>
    <row r="448" spans="39:39" x14ac:dyDescent="0.25">
      <c r="AM448"/>
    </row>
    <row r="449" spans="39:39" x14ac:dyDescent="0.25">
      <c r="AM449"/>
    </row>
    <row r="450" spans="39:39" x14ac:dyDescent="0.25">
      <c r="AM450"/>
    </row>
    <row r="451" spans="39:39" x14ac:dyDescent="0.25">
      <c r="AM451"/>
    </row>
    <row r="452" spans="39:39" x14ac:dyDescent="0.25">
      <c r="AM452"/>
    </row>
    <row r="453" spans="39:39" x14ac:dyDescent="0.25">
      <c r="AM453"/>
    </row>
    <row r="454" spans="39:39" x14ac:dyDescent="0.25">
      <c r="AM454"/>
    </row>
    <row r="455" spans="39:39" x14ac:dyDescent="0.25">
      <c r="AM455"/>
    </row>
    <row r="456" spans="39:39" x14ac:dyDescent="0.25">
      <c r="AM456"/>
    </row>
    <row r="457" spans="39:39" x14ac:dyDescent="0.25">
      <c r="AM457"/>
    </row>
    <row r="458" spans="39:39" x14ac:dyDescent="0.25">
      <c r="AM458"/>
    </row>
    <row r="459" spans="39:39" x14ac:dyDescent="0.25">
      <c r="AM459"/>
    </row>
    <row r="460" spans="39:39" x14ac:dyDescent="0.25">
      <c r="AM460"/>
    </row>
    <row r="461" spans="39:39" x14ac:dyDescent="0.25">
      <c r="AM461"/>
    </row>
    <row r="462" spans="39:39" x14ac:dyDescent="0.25">
      <c r="AM462"/>
    </row>
    <row r="463" spans="39:39" x14ac:dyDescent="0.25">
      <c r="AM463"/>
    </row>
    <row r="464" spans="39:39" x14ac:dyDescent="0.25">
      <c r="AM464"/>
    </row>
    <row r="465" spans="39:39" x14ac:dyDescent="0.25">
      <c r="AM465"/>
    </row>
    <row r="466" spans="39:39" x14ac:dyDescent="0.25">
      <c r="AM466"/>
    </row>
    <row r="467" spans="39:39" x14ac:dyDescent="0.25">
      <c r="AM467"/>
    </row>
    <row r="468" spans="39:39" x14ac:dyDescent="0.25">
      <c r="AM468"/>
    </row>
    <row r="469" spans="39:39" x14ac:dyDescent="0.25">
      <c r="AM469"/>
    </row>
    <row r="470" spans="39:39" x14ac:dyDescent="0.25">
      <c r="AM470"/>
    </row>
    <row r="471" spans="39:39" x14ac:dyDescent="0.25">
      <c r="AM471"/>
    </row>
    <row r="472" spans="39:39" x14ac:dyDescent="0.25">
      <c r="AM472"/>
    </row>
    <row r="473" spans="39:39" x14ac:dyDescent="0.25">
      <c r="AM473"/>
    </row>
    <row r="474" spans="39:39" x14ac:dyDescent="0.25">
      <c r="AM474"/>
    </row>
    <row r="475" spans="39:39" x14ac:dyDescent="0.25">
      <c r="AM475"/>
    </row>
    <row r="476" spans="39:39" x14ac:dyDescent="0.25">
      <c r="AM476"/>
    </row>
    <row r="477" spans="39:39" x14ac:dyDescent="0.25">
      <c r="AM477"/>
    </row>
    <row r="478" spans="39:39" x14ac:dyDescent="0.25">
      <c r="AM478"/>
    </row>
    <row r="479" spans="39:39" x14ac:dyDescent="0.25">
      <c r="AM479"/>
    </row>
    <row r="480" spans="39:39" x14ac:dyDescent="0.25">
      <c r="AM480"/>
    </row>
    <row r="481" spans="39:39" x14ac:dyDescent="0.25">
      <c r="AM481"/>
    </row>
    <row r="482" spans="39:39" x14ac:dyDescent="0.25">
      <c r="AM482"/>
    </row>
    <row r="483" spans="39:39" x14ac:dyDescent="0.25">
      <c r="AM483"/>
    </row>
    <row r="484" spans="39:39" x14ac:dyDescent="0.25">
      <c r="AM484"/>
    </row>
    <row r="485" spans="39:39" x14ac:dyDescent="0.25">
      <c r="AM485"/>
    </row>
    <row r="486" spans="39:39" x14ac:dyDescent="0.25">
      <c r="AM486"/>
    </row>
    <row r="487" spans="39:39" x14ac:dyDescent="0.25">
      <c r="AM487"/>
    </row>
    <row r="488" spans="39:39" x14ac:dyDescent="0.25">
      <c r="AM488"/>
    </row>
    <row r="489" spans="39:39" x14ac:dyDescent="0.25">
      <c r="AM489"/>
    </row>
    <row r="490" spans="39:39" x14ac:dyDescent="0.25">
      <c r="AM490"/>
    </row>
    <row r="491" spans="39:39" x14ac:dyDescent="0.25">
      <c r="AM491"/>
    </row>
    <row r="492" spans="39:39" x14ac:dyDescent="0.25">
      <c r="AM492"/>
    </row>
    <row r="493" spans="39:39" x14ac:dyDescent="0.25">
      <c r="AM493"/>
    </row>
    <row r="494" spans="39:39" x14ac:dyDescent="0.25">
      <c r="AM494"/>
    </row>
    <row r="495" spans="39:39" x14ac:dyDescent="0.25">
      <c r="AM495"/>
    </row>
    <row r="496" spans="39:39" x14ac:dyDescent="0.25">
      <c r="AM496"/>
    </row>
    <row r="497" spans="39:39" x14ac:dyDescent="0.25">
      <c r="AM497"/>
    </row>
    <row r="498" spans="39:39" x14ac:dyDescent="0.25">
      <c r="AM498"/>
    </row>
    <row r="499" spans="39:39" x14ac:dyDescent="0.25">
      <c r="AM499"/>
    </row>
    <row r="500" spans="39:39" x14ac:dyDescent="0.25">
      <c r="AM500"/>
    </row>
    <row r="501" spans="39:39" x14ac:dyDescent="0.25">
      <c r="AM501"/>
    </row>
    <row r="502" spans="39:39" x14ac:dyDescent="0.25">
      <c r="AM502"/>
    </row>
    <row r="503" spans="39:39" x14ac:dyDescent="0.25">
      <c r="AM503"/>
    </row>
    <row r="504" spans="39:39" x14ac:dyDescent="0.25">
      <c r="AM504"/>
    </row>
    <row r="505" spans="39:39" x14ac:dyDescent="0.25">
      <c r="AM505"/>
    </row>
    <row r="506" spans="39:39" x14ac:dyDescent="0.25">
      <c r="AM506"/>
    </row>
    <row r="507" spans="39:39" x14ac:dyDescent="0.25">
      <c r="AM507"/>
    </row>
    <row r="508" spans="39:39" x14ac:dyDescent="0.25">
      <c r="AM508"/>
    </row>
    <row r="509" spans="39:39" x14ac:dyDescent="0.25">
      <c r="AM509"/>
    </row>
    <row r="510" spans="39:39" x14ac:dyDescent="0.25">
      <c r="AM510"/>
    </row>
    <row r="511" spans="39:39" x14ac:dyDescent="0.25">
      <c r="AM511"/>
    </row>
    <row r="512" spans="39:39" x14ac:dyDescent="0.25">
      <c r="AM512"/>
    </row>
    <row r="513" spans="39:39" x14ac:dyDescent="0.25">
      <c r="AM513"/>
    </row>
    <row r="514" spans="39:39" x14ac:dyDescent="0.25">
      <c r="AM514"/>
    </row>
    <row r="515" spans="39:39" x14ac:dyDescent="0.25">
      <c r="AM515"/>
    </row>
    <row r="516" spans="39:39" x14ac:dyDescent="0.25">
      <c r="AM516"/>
    </row>
    <row r="517" spans="39:39" x14ac:dyDescent="0.25">
      <c r="AM517"/>
    </row>
    <row r="518" spans="39:39" x14ac:dyDescent="0.25">
      <c r="AM518"/>
    </row>
    <row r="519" spans="39:39" x14ac:dyDescent="0.25">
      <c r="AM519"/>
    </row>
    <row r="520" spans="39:39" x14ac:dyDescent="0.25">
      <c r="AM520"/>
    </row>
    <row r="521" spans="39:39" x14ac:dyDescent="0.25">
      <c r="AM521"/>
    </row>
    <row r="522" spans="39:39" x14ac:dyDescent="0.25">
      <c r="AM522"/>
    </row>
    <row r="523" spans="39:39" x14ac:dyDescent="0.25">
      <c r="AM523"/>
    </row>
    <row r="524" spans="39:39" x14ac:dyDescent="0.25">
      <c r="AM524"/>
    </row>
    <row r="525" spans="39:39" x14ac:dyDescent="0.25">
      <c r="AM525"/>
    </row>
    <row r="526" spans="39:39" x14ac:dyDescent="0.25">
      <c r="AM526"/>
    </row>
    <row r="527" spans="39:39" x14ac:dyDescent="0.25">
      <c r="AM527"/>
    </row>
    <row r="528" spans="39:39" x14ac:dyDescent="0.25">
      <c r="AM528"/>
    </row>
    <row r="529" spans="39:39" x14ac:dyDescent="0.25">
      <c r="AM529"/>
    </row>
    <row r="530" spans="39:39" x14ac:dyDescent="0.25">
      <c r="AM530"/>
    </row>
    <row r="531" spans="39:39" x14ac:dyDescent="0.25">
      <c r="AM531"/>
    </row>
    <row r="532" spans="39:39" x14ac:dyDescent="0.25">
      <c r="AM532"/>
    </row>
    <row r="533" spans="39:39" x14ac:dyDescent="0.25">
      <c r="AM533"/>
    </row>
    <row r="534" spans="39:39" x14ac:dyDescent="0.25">
      <c r="AM534"/>
    </row>
    <row r="535" spans="39:39" x14ac:dyDescent="0.25">
      <c r="AM535"/>
    </row>
    <row r="536" spans="39:39" x14ac:dyDescent="0.25">
      <c r="AM536"/>
    </row>
    <row r="537" spans="39:39" x14ac:dyDescent="0.25">
      <c r="AM537"/>
    </row>
    <row r="538" spans="39:39" x14ac:dyDescent="0.25">
      <c r="AM538"/>
    </row>
    <row r="539" spans="39:39" x14ac:dyDescent="0.25">
      <c r="AM539"/>
    </row>
    <row r="540" spans="39:39" x14ac:dyDescent="0.25">
      <c r="AM540"/>
    </row>
    <row r="541" spans="39:39" x14ac:dyDescent="0.25">
      <c r="AM541"/>
    </row>
    <row r="542" spans="39:39" x14ac:dyDescent="0.25">
      <c r="AM542"/>
    </row>
    <row r="543" spans="39:39" x14ac:dyDescent="0.25">
      <c r="AM543"/>
    </row>
    <row r="544" spans="39:39" x14ac:dyDescent="0.25">
      <c r="AM544"/>
    </row>
    <row r="545" spans="39:39" x14ac:dyDescent="0.25">
      <c r="AM545"/>
    </row>
    <row r="546" spans="39:39" x14ac:dyDescent="0.25">
      <c r="AM546"/>
    </row>
    <row r="547" spans="39:39" x14ac:dyDescent="0.25">
      <c r="AM547"/>
    </row>
    <row r="548" spans="39:39" x14ac:dyDescent="0.25">
      <c r="AM548"/>
    </row>
    <row r="549" spans="39:39" x14ac:dyDescent="0.25">
      <c r="AM549"/>
    </row>
    <row r="550" spans="39:39" x14ac:dyDescent="0.25">
      <c r="AM550"/>
    </row>
    <row r="551" spans="39:39" x14ac:dyDescent="0.25">
      <c r="AM551"/>
    </row>
    <row r="552" spans="39:39" x14ac:dyDescent="0.25">
      <c r="AM552"/>
    </row>
    <row r="553" spans="39:39" x14ac:dyDescent="0.25">
      <c r="AM553"/>
    </row>
    <row r="554" spans="39:39" x14ac:dyDescent="0.25">
      <c r="AM554"/>
    </row>
    <row r="555" spans="39:39" x14ac:dyDescent="0.25">
      <c r="AM555"/>
    </row>
    <row r="556" spans="39:39" x14ac:dyDescent="0.25">
      <c r="AM556"/>
    </row>
    <row r="557" spans="39:39" x14ac:dyDescent="0.25">
      <c r="AM557"/>
    </row>
    <row r="558" spans="39:39" x14ac:dyDescent="0.25">
      <c r="AM558"/>
    </row>
    <row r="559" spans="39:39" x14ac:dyDescent="0.25">
      <c r="AM559"/>
    </row>
    <row r="560" spans="39:39" x14ac:dyDescent="0.25">
      <c r="AM560"/>
    </row>
    <row r="561" spans="39:39" x14ac:dyDescent="0.25">
      <c r="AM561"/>
    </row>
    <row r="562" spans="39:39" x14ac:dyDescent="0.25">
      <c r="AM562"/>
    </row>
    <row r="563" spans="39:39" x14ac:dyDescent="0.25">
      <c r="AM563"/>
    </row>
    <row r="564" spans="39:39" x14ac:dyDescent="0.25">
      <c r="AM564"/>
    </row>
    <row r="565" spans="39:39" x14ac:dyDescent="0.25">
      <c r="AM565"/>
    </row>
    <row r="566" spans="39:39" x14ac:dyDescent="0.25">
      <c r="AM566"/>
    </row>
    <row r="567" spans="39:39" x14ac:dyDescent="0.25">
      <c r="AM567"/>
    </row>
    <row r="568" spans="39:39" x14ac:dyDescent="0.25">
      <c r="AM568"/>
    </row>
    <row r="569" spans="39:39" x14ac:dyDescent="0.25">
      <c r="AM569"/>
    </row>
    <row r="570" spans="39:39" x14ac:dyDescent="0.25">
      <c r="AM570"/>
    </row>
    <row r="571" spans="39:39" x14ac:dyDescent="0.25">
      <c r="AM571"/>
    </row>
    <row r="572" spans="39:39" x14ac:dyDescent="0.25">
      <c r="AM572"/>
    </row>
    <row r="573" spans="39:39" x14ac:dyDescent="0.25">
      <c r="AM573"/>
    </row>
    <row r="574" spans="39:39" x14ac:dyDescent="0.25">
      <c r="AM574"/>
    </row>
    <row r="575" spans="39:39" x14ac:dyDescent="0.25">
      <c r="AM575"/>
    </row>
    <row r="576" spans="39:39" x14ac:dyDescent="0.25">
      <c r="AM576"/>
    </row>
    <row r="577" spans="39:39" x14ac:dyDescent="0.25">
      <c r="AM577"/>
    </row>
    <row r="578" spans="39:39" x14ac:dyDescent="0.25">
      <c r="AM578"/>
    </row>
    <row r="579" spans="39:39" x14ac:dyDescent="0.25">
      <c r="AM579"/>
    </row>
    <row r="580" spans="39:39" x14ac:dyDescent="0.25">
      <c r="AM580"/>
    </row>
    <row r="581" spans="39:39" x14ac:dyDescent="0.25">
      <c r="AM581"/>
    </row>
    <row r="582" spans="39:39" x14ac:dyDescent="0.25">
      <c r="AM582"/>
    </row>
    <row r="583" spans="39:39" x14ac:dyDescent="0.25">
      <c r="AM583"/>
    </row>
    <row r="584" spans="39:39" x14ac:dyDescent="0.25">
      <c r="AM584"/>
    </row>
    <row r="585" spans="39:39" x14ac:dyDescent="0.25">
      <c r="AM585"/>
    </row>
    <row r="586" spans="39:39" x14ac:dyDescent="0.25">
      <c r="AM586"/>
    </row>
    <row r="587" spans="39:39" x14ac:dyDescent="0.25">
      <c r="AM587"/>
    </row>
    <row r="588" spans="39:39" x14ac:dyDescent="0.25">
      <c r="AM588"/>
    </row>
    <row r="589" spans="39:39" x14ac:dyDescent="0.25">
      <c r="AM589"/>
    </row>
    <row r="590" spans="39:39" x14ac:dyDescent="0.25">
      <c r="AM590"/>
    </row>
    <row r="591" spans="39:39" x14ac:dyDescent="0.25">
      <c r="AM591"/>
    </row>
    <row r="592" spans="39:39" x14ac:dyDescent="0.25">
      <c r="AM592"/>
    </row>
    <row r="593" spans="39:39" x14ac:dyDescent="0.25">
      <c r="AM593"/>
    </row>
    <row r="594" spans="39:39" x14ac:dyDescent="0.25">
      <c r="AM594"/>
    </row>
    <row r="595" spans="39:39" x14ac:dyDescent="0.25">
      <c r="AM595"/>
    </row>
    <row r="596" spans="39:39" x14ac:dyDescent="0.25">
      <c r="AM596"/>
    </row>
    <row r="597" spans="39:39" x14ac:dyDescent="0.25">
      <c r="AM597"/>
    </row>
    <row r="598" spans="39:39" x14ac:dyDescent="0.25">
      <c r="AM598"/>
    </row>
    <row r="599" spans="39:39" x14ac:dyDescent="0.25">
      <c r="AM599"/>
    </row>
    <row r="600" spans="39:39" x14ac:dyDescent="0.25">
      <c r="AM600"/>
    </row>
    <row r="601" spans="39:39" x14ac:dyDescent="0.25">
      <c r="AM601"/>
    </row>
    <row r="602" spans="39:39" x14ac:dyDescent="0.25">
      <c r="AM602"/>
    </row>
    <row r="603" spans="39:39" x14ac:dyDescent="0.25">
      <c r="AM603"/>
    </row>
    <row r="604" spans="39:39" x14ac:dyDescent="0.25">
      <c r="AM604"/>
    </row>
    <row r="605" spans="39:39" x14ac:dyDescent="0.25">
      <c r="AM605"/>
    </row>
    <row r="606" spans="39:39" x14ac:dyDescent="0.25">
      <c r="AM606"/>
    </row>
    <row r="607" spans="39:39" x14ac:dyDescent="0.25">
      <c r="AM607"/>
    </row>
    <row r="608" spans="39:39" x14ac:dyDescent="0.25">
      <c r="AM608"/>
    </row>
    <row r="609" spans="39:39" x14ac:dyDescent="0.25">
      <c r="AM609"/>
    </row>
    <row r="610" spans="39:39" x14ac:dyDescent="0.25">
      <c r="AM610"/>
    </row>
    <row r="611" spans="39:39" x14ac:dyDescent="0.25">
      <c r="AM611"/>
    </row>
    <row r="612" spans="39:39" x14ac:dyDescent="0.25">
      <c r="AM612"/>
    </row>
    <row r="613" spans="39:39" x14ac:dyDescent="0.25">
      <c r="AM613"/>
    </row>
    <row r="614" spans="39:39" x14ac:dyDescent="0.25">
      <c r="AM614"/>
    </row>
    <row r="615" spans="39:39" x14ac:dyDescent="0.25">
      <c r="AM615"/>
    </row>
    <row r="616" spans="39:39" x14ac:dyDescent="0.25">
      <c r="AM616"/>
    </row>
    <row r="617" spans="39:39" x14ac:dyDescent="0.25">
      <c r="AM617"/>
    </row>
    <row r="618" spans="39:39" x14ac:dyDescent="0.25">
      <c r="AM618"/>
    </row>
    <row r="619" spans="39:39" x14ac:dyDescent="0.25">
      <c r="AM619"/>
    </row>
    <row r="620" spans="39:39" x14ac:dyDescent="0.25">
      <c r="AM620"/>
    </row>
    <row r="621" spans="39:39" x14ac:dyDescent="0.25">
      <c r="AM621"/>
    </row>
    <row r="622" spans="39:39" x14ac:dyDescent="0.25">
      <c r="AM622"/>
    </row>
    <row r="623" spans="39:39" x14ac:dyDescent="0.25">
      <c r="AM623"/>
    </row>
    <row r="624" spans="39:39" x14ac:dyDescent="0.25">
      <c r="AM624"/>
    </row>
    <row r="625" spans="39:39" x14ac:dyDescent="0.25">
      <c r="AM625"/>
    </row>
    <row r="626" spans="39:39" x14ac:dyDescent="0.25">
      <c r="AM626"/>
    </row>
    <row r="627" spans="39:39" x14ac:dyDescent="0.25">
      <c r="AM627"/>
    </row>
    <row r="628" spans="39:39" x14ac:dyDescent="0.25">
      <c r="AM628"/>
    </row>
    <row r="629" spans="39:39" x14ac:dyDescent="0.25">
      <c r="AM629"/>
    </row>
    <row r="630" spans="39:39" x14ac:dyDescent="0.25">
      <c r="AM630"/>
    </row>
    <row r="631" spans="39:39" x14ac:dyDescent="0.25">
      <c r="AM631"/>
    </row>
    <row r="632" spans="39:39" x14ac:dyDescent="0.25">
      <c r="AM632"/>
    </row>
    <row r="633" spans="39:39" x14ac:dyDescent="0.25">
      <c r="AM633"/>
    </row>
    <row r="634" spans="39:39" x14ac:dyDescent="0.25">
      <c r="AM634"/>
    </row>
    <row r="635" spans="39:39" x14ac:dyDescent="0.25">
      <c r="AM635"/>
    </row>
    <row r="636" spans="39:39" x14ac:dyDescent="0.25">
      <c r="AM636"/>
    </row>
    <row r="637" spans="39:39" x14ac:dyDescent="0.25">
      <c r="AM637"/>
    </row>
    <row r="638" spans="39:39" x14ac:dyDescent="0.25">
      <c r="AM638"/>
    </row>
    <row r="639" spans="39:39" x14ac:dyDescent="0.25">
      <c r="AM639"/>
    </row>
    <row r="640" spans="39:39" x14ac:dyDescent="0.25">
      <c r="AM640"/>
    </row>
    <row r="641" spans="39:39" x14ac:dyDescent="0.25">
      <c r="AM641"/>
    </row>
    <row r="642" spans="39:39" x14ac:dyDescent="0.25">
      <c r="AM642"/>
    </row>
    <row r="643" spans="39:39" x14ac:dyDescent="0.25">
      <c r="AM643"/>
    </row>
    <row r="644" spans="39:39" x14ac:dyDescent="0.25">
      <c r="AM644"/>
    </row>
    <row r="645" spans="39:39" x14ac:dyDescent="0.25">
      <c r="AM645"/>
    </row>
    <row r="646" spans="39:39" x14ac:dyDescent="0.25">
      <c r="AM646"/>
    </row>
    <row r="647" spans="39:39" x14ac:dyDescent="0.25">
      <c r="AM647"/>
    </row>
    <row r="648" spans="39:39" x14ac:dyDescent="0.25">
      <c r="AM648"/>
    </row>
    <row r="649" spans="39:39" x14ac:dyDescent="0.25">
      <c r="AM649"/>
    </row>
    <row r="650" spans="39:39" x14ac:dyDescent="0.25">
      <c r="AM650"/>
    </row>
    <row r="651" spans="39:39" x14ac:dyDescent="0.25">
      <c r="AM651"/>
    </row>
    <row r="652" spans="39:39" x14ac:dyDescent="0.25">
      <c r="AM652"/>
    </row>
    <row r="653" spans="39:39" x14ac:dyDescent="0.25">
      <c r="AM653"/>
    </row>
    <row r="654" spans="39:39" x14ac:dyDescent="0.25">
      <c r="AM654"/>
    </row>
    <row r="655" spans="39:39" x14ac:dyDescent="0.25">
      <c r="AM655"/>
    </row>
    <row r="656" spans="39:39" x14ac:dyDescent="0.25">
      <c r="AM656"/>
    </row>
    <row r="657" spans="39:39" x14ac:dyDescent="0.25">
      <c r="AM657"/>
    </row>
    <row r="658" spans="39:39" x14ac:dyDescent="0.25">
      <c r="AM658"/>
    </row>
    <row r="659" spans="39:39" x14ac:dyDescent="0.25">
      <c r="AM659"/>
    </row>
    <row r="660" spans="39:39" x14ac:dyDescent="0.25">
      <c r="AM660"/>
    </row>
    <row r="661" spans="39:39" x14ac:dyDescent="0.25">
      <c r="AM661"/>
    </row>
    <row r="662" spans="39:39" x14ac:dyDescent="0.25">
      <c r="AM662"/>
    </row>
    <row r="663" spans="39:39" x14ac:dyDescent="0.25">
      <c r="AM663"/>
    </row>
    <row r="664" spans="39:39" x14ac:dyDescent="0.25">
      <c r="AM664"/>
    </row>
    <row r="665" spans="39:39" x14ac:dyDescent="0.25">
      <c r="AM665"/>
    </row>
    <row r="666" spans="39:39" x14ac:dyDescent="0.25">
      <c r="AM666"/>
    </row>
    <row r="667" spans="39:39" x14ac:dyDescent="0.25">
      <c r="AM667"/>
    </row>
    <row r="668" spans="39:39" x14ac:dyDescent="0.25">
      <c r="AM668"/>
    </row>
    <row r="669" spans="39:39" x14ac:dyDescent="0.25">
      <c r="AM669"/>
    </row>
    <row r="670" spans="39:39" x14ac:dyDescent="0.25">
      <c r="AM670"/>
    </row>
    <row r="671" spans="39:39" x14ac:dyDescent="0.25">
      <c r="AM671"/>
    </row>
    <row r="672" spans="39:39" x14ac:dyDescent="0.25">
      <c r="AM672"/>
    </row>
    <row r="673" spans="39:39" x14ac:dyDescent="0.25">
      <c r="AM673"/>
    </row>
    <row r="674" spans="39:39" x14ac:dyDescent="0.25">
      <c r="AM674"/>
    </row>
    <row r="675" spans="39:39" x14ac:dyDescent="0.25">
      <c r="AM675"/>
    </row>
    <row r="676" spans="39:39" x14ac:dyDescent="0.25">
      <c r="AM676"/>
    </row>
    <row r="677" spans="39:39" x14ac:dyDescent="0.25">
      <c r="AM677"/>
    </row>
    <row r="678" spans="39:39" x14ac:dyDescent="0.25">
      <c r="AM678"/>
    </row>
    <row r="679" spans="39:39" x14ac:dyDescent="0.25">
      <c r="AM679"/>
    </row>
    <row r="680" spans="39:39" x14ac:dyDescent="0.25">
      <c r="AM680"/>
    </row>
    <row r="681" spans="39:39" x14ac:dyDescent="0.25">
      <c r="AM681"/>
    </row>
    <row r="682" spans="39:39" x14ac:dyDescent="0.25">
      <c r="AM682"/>
    </row>
    <row r="683" spans="39:39" x14ac:dyDescent="0.25">
      <c r="AM683"/>
    </row>
    <row r="684" spans="39:39" x14ac:dyDescent="0.25">
      <c r="AM684"/>
    </row>
    <row r="685" spans="39:39" x14ac:dyDescent="0.25">
      <c r="AM685"/>
    </row>
    <row r="686" spans="39:39" x14ac:dyDescent="0.25">
      <c r="AM686"/>
    </row>
    <row r="687" spans="39:39" x14ac:dyDescent="0.25">
      <c r="AM687"/>
    </row>
    <row r="688" spans="39:39" x14ac:dyDescent="0.25">
      <c r="AM688"/>
    </row>
    <row r="689" spans="39:39" x14ac:dyDescent="0.25">
      <c r="AM689"/>
    </row>
    <row r="690" spans="39:39" x14ac:dyDescent="0.25">
      <c r="AM690"/>
    </row>
    <row r="691" spans="39:39" x14ac:dyDescent="0.25">
      <c r="AM691"/>
    </row>
    <row r="692" spans="39:39" x14ac:dyDescent="0.25">
      <c r="AM692"/>
    </row>
    <row r="693" spans="39:39" x14ac:dyDescent="0.25">
      <c r="AM693"/>
    </row>
    <row r="694" spans="39:39" x14ac:dyDescent="0.25">
      <c r="AM694"/>
    </row>
    <row r="695" spans="39:39" x14ac:dyDescent="0.25">
      <c r="AM695"/>
    </row>
    <row r="696" spans="39:39" x14ac:dyDescent="0.25">
      <c r="AM696"/>
    </row>
    <row r="697" spans="39:39" x14ac:dyDescent="0.25">
      <c r="AM697"/>
    </row>
    <row r="698" spans="39:39" x14ac:dyDescent="0.25">
      <c r="AM698"/>
    </row>
    <row r="699" spans="39:39" x14ac:dyDescent="0.25">
      <c r="AM699"/>
    </row>
    <row r="700" spans="39:39" x14ac:dyDescent="0.25">
      <c r="AM700"/>
    </row>
    <row r="701" spans="39:39" x14ac:dyDescent="0.25">
      <c r="AM701"/>
    </row>
    <row r="702" spans="39:39" x14ac:dyDescent="0.25">
      <c r="AM702"/>
    </row>
    <row r="703" spans="39:39" x14ac:dyDescent="0.25">
      <c r="AM703"/>
    </row>
    <row r="704" spans="39:39" x14ac:dyDescent="0.25">
      <c r="AM704"/>
    </row>
    <row r="705" spans="39:39" x14ac:dyDescent="0.25">
      <c r="AM705"/>
    </row>
    <row r="706" spans="39:39" x14ac:dyDescent="0.25">
      <c r="AM706"/>
    </row>
    <row r="707" spans="39:39" x14ac:dyDescent="0.25">
      <c r="AM707"/>
    </row>
    <row r="708" spans="39:39" x14ac:dyDescent="0.25">
      <c r="AM708"/>
    </row>
    <row r="709" spans="39:39" x14ac:dyDescent="0.25">
      <c r="AM709"/>
    </row>
    <row r="710" spans="39:39" x14ac:dyDescent="0.25">
      <c r="AM710"/>
    </row>
    <row r="711" spans="39:39" x14ac:dyDescent="0.25">
      <c r="AM711"/>
    </row>
    <row r="712" spans="39:39" x14ac:dyDescent="0.25">
      <c r="AM712"/>
    </row>
    <row r="713" spans="39:39" x14ac:dyDescent="0.25">
      <c r="AM713"/>
    </row>
    <row r="714" spans="39:39" x14ac:dyDescent="0.25">
      <c r="AM714"/>
    </row>
    <row r="715" spans="39:39" x14ac:dyDescent="0.25">
      <c r="AM715"/>
    </row>
    <row r="716" spans="39:39" x14ac:dyDescent="0.25">
      <c r="AM716"/>
    </row>
    <row r="717" spans="39:39" x14ac:dyDescent="0.25">
      <c r="AM717"/>
    </row>
    <row r="718" spans="39:39" x14ac:dyDescent="0.25">
      <c r="AM718"/>
    </row>
    <row r="719" spans="39:39" x14ac:dyDescent="0.25">
      <c r="AM719"/>
    </row>
    <row r="720" spans="39:39" x14ac:dyDescent="0.25">
      <c r="AM720"/>
    </row>
    <row r="721" spans="39:39" x14ac:dyDescent="0.25">
      <c r="AM721"/>
    </row>
    <row r="722" spans="39:39" x14ac:dyDescent="0.25">
      <c r="AM722"/>
    </row>
    <row r="723" spans="39:39" x14ac:dyDescent="0.25">
      <c r="AM723"/>
    </row>
    <row r="724" spans="39:39" x14ac:dyDescent="0.25">
      <c r="AM724"/>
    </row>
    <row r="725" spans="39:39" x14ac:dyDescent="0.25">
      <c r="AM725"/>
    </row>
    <row r="726" spans="39:39" x14ac:dyDescent="0.25">
      <c r="AM726"/>
    </row>
    <row r="727" spans="39:39" x14ac:dyDescent="0.25">
      <c r="AM727"/>
    </row>
    <row r="728" spans="39:39" x14ac:dyDescent="0.25">
      <c r="AM728"/>
    </row>
    <row r="729" spans="39:39" x14ac:dyDescent="0.25">
      <c r="AM729"/>
    </row>
    <row r="730" spans="39:39" x14ac:dyDescent="0.25">
      <c r="AM730"/>
    </row>
    <row r="731" spans="39:39" x14ac:dyDescent="0.25">
      <c r="AM731"/>
    </row>
    <row r="732" spans="39:39" x14ac:dyDescent="0.25">
      <c r="AM732"/>
    </row>
    <row r="733" spans="39:39" x14ac:dyDescent="0.25">
      <c r="AM733"/>
    </row>
    <row r="734" spans="39:39" x14ac:dyDescent="0.25">
      <c r="AM734"/>
    </row>
    <row r="735" spans="39:39" x14ac:dyDescent="0.25">
      <c r="AM735"/>
    </row>
    <row r="736" spans="39:39" x14ac:dyDescent="0.25">
      <c r="AM736"/>
    </row>
    <row r="737" spans="39:39" x14ac:dyDescent="0.25">
      <c r="AM737"/>
    </row>
    <row r="738" spans="39:39" x14ac:dyDescent="0.25">
      <c r="AM738"/>
    </row>
    <row r="739" spans="39:39" x14ac:dyDescent="0.25">
      <c r="AM739"/>
    </row>
    <row r="740" spans="39:39" x14ac:dyDescent="0.25">
      <c r="AM740"/>
    </row>
    <row r="741" spans="39:39" x14ac:dyDescent="0.25">
      <c r="AM741"/>
    </row>
    <row r="742" spans="39:39" x14ac:dyDescent="0.25">
      <c r="AM742"/>
    </row>
    <row r="743" spans="39:39" x14ac:dyDescent="0.25">
      <c r="AM743"/>
    </row>
    <row r="744" spans="39:39" x14ac:dyDescent="0.25">
      <c r="AM744"/>
    </row>
    <row r="745" spans="39:39" x14ac:dyDescent="0.25">
      <c r="AM745"/>
    </row>
    <row r="746" spans="39:39" x14ac:dyDescent="0.25">
      <c r="AM746"/>
    </row>
    <row r="747" spans="39:39" x14ac:dyDescent="0.25">
      <c r="AM747"/>
    </row>
    <row r="748" spans="39:39" x14ac:dyDescent="0.25">
      <c r="AM748"/>
    </row>
    <row r="749" spans="39:39" x14ac:dyDescent="0.25">
      <c r="AM749"/>
    </row>
    <row r="750" spans="39:39" x14ac:dyDescent="0.25">
      <c r="AM750"/>
    </row>
    <row r="751" spans="39:39" x14ac:dyDescent="0.25">
      <c r="AM751"/>
    </row>
    <row r="752" spans="39:39" x14ac:dyDescent="0.25">
      <c r="AM752"/>
    </row>
    <row r="753" spans="39:39" x14ac:dyDescent="0.25">
      <c r="AM753"/>
    </row>
    <row r="754" spans="39:39" x14ac:dyDescent="0.25">
      <c r="AM754"/>
    </row>
    <row r="755" spans="39:39" x14ac:dyDescent="0.25">
      <c r="AM755"/>
    </row>
    <row r="756" spans="39:39" x14ac:dyDescent="0.25">
      <c r="AM756"/>
    </row>
    <row r="757" spans="39:39" x14ac:dyDescent="0.25">
      <c r="AM757"/>
    </row>
    <row r="758" spans="39:39" x14ac:dyDescent="0.25">
      <c r="AM758"/>
    </row>
    <row r="759" spans="39:39" x14ac:dyDescent="0.25">
      <c r="AM759"/>
    </row>
    <row r="760" spans="39:39" x14ac:dyDescent="0.25">
      <c r="AM760"/>
    </row>
    <row r="761" spans="39:39" x14ac:dyDescent="0.25">
      <c r="AM761"/>
    </row>
    <row r="762" spans="39:39" x14ac:dyDescent="0.25">
      <c r="AM762"/>
    </row>
    <row r="763" spans="39:39" x14ac:dyDescent="0.25">
      <c r="AM763"/>
    </row>
    <row r="764" spans="39:39" x14ac:dyDescent="0.25">
      <c r="AM764"/>
    </row>
    <row r="765" spans="39:39" x14ac:dyDescent="0.25">
      <c r="AM765"/>
    </row>
    <row r="766" spans="39:39" x14ac:dyDescent="0.25">
      <c r="AM766"/>
    </row>
    <row r="767" spans="39:39" x14ac:dyDescent="0.25">
      <c r="AM767"/>
    </row>
    <row r="768" spans="39:39" x14ac:dyDescent="0.25">
      <c r="AM768"/>
    </row>
    <row r="769" spans="39:39" x14ac:dyDescent="0.25">
      <c r="AM769"/>
    </row>
    <row r="770" spans="39:39" x14ac:dyDescent="0.25">
      <c r="AM770"/>
    </row>
    <row r="771" spans="39:39" x14ac:dyDescent="0.25">
      <c r="AM771"/>
    </row>
    <row r="772" spans="39:39" x14ac:dyDescent="0.25">
      <c r="AM772"/>
    </row>
    <row r="773" spans="39:39" x14ac:dyDescent="0.25">
      <c r="AM773"/>
    </row>
    <row r="774" spans="39:39" x14ac:dyDescent="0.25">
      <c r="AM774"/>
    </row>
    <row r="775" spans="39:39" x14ac:dyDescent="0.25">
      <c r="AM775"/>
    </row>
    <row r="776" spans="39:39" x14ac:dyDescent="0.25">
      <c r="AM776"/>
    </row>
    <row r="777" spans="39:39" x14ac:dyDescent="0.25">
      <c r="AM777"/>
    </row>
    <row r="778" spans="39:39" x14ac:dyDescent="0.25">
      <c r="AM778"/>
    </row>
    <row r="779" spans="39:39" x14ac:dyDescent="0.25">
      <c r="AM779"/>
    </row>
    <row r="780" spans="39:39" x14ac:dyDescent="0.25">
      <c r="AM780"/>
    </row>
    <row r="781" spans="39:39" x14ac:dyDescent="0.25">
      <c r="AM781"/>
    </row>
    <row r="782" spans="39:39" x14ac:dyDescent="0.25">
      <c r="AM782"/>
    </row>
    <row r="783" spans="39:39" x14ac:dyDescent="0.25">
      <c r="AM783"/>
    </row>
    <row r="784" spans="39:39" x14ac:dyDescent="0.25">
      <c r="AM784"/>
    </row>
    <row r="785" spans="39:39" x14ac:dyDescent="0.25">
      <c r="AM785"/>
    </row>
    <row r="786" spans="39:39" x14ac:dyDescent="0.25">
      <c r="AM786"/>
    </row>
    <row r="787" spans="39:39" x14ac:dyDescent="0.25">
      <c r="AM787"/>
    </row>
    <row r="788" spans="39:39" x14ac:dyDescent="0.25">
      <c r="AM788"/>
    </row>
    <row r="789" spans="39:39" x14ac:dyDescent="0.25">
      <c r="AM789"/>
    </row>
    <row r="790" spans="39:39" x14ac:dyDescent="0.25">
      <c r="AM790"/>
    </row>
    <row r="791" spans="39:39" x14ac:dyDescent="0.25">
      <c r="AM791"/>
    </row>
    <row r="792" spans="39:39" x14ac:dyDescent="0.25">
      <c r="AM792"/>
    </row>
    <row r="793" spans="39:39" x14ac:dyDescent="0.25">
      <c r="AM793"/>
    </row>
    <row r="794" spans="39:39" x14ac:dyDescent="0.25">
      <c r="AM794"/>
    </row>
    <row r="795" spans="39:39" x14ac:dyDescent="0.25">
      <c r="AM795"/>
    </row>
    <row r="796" spans="39:39" x14ac:dyDescent="0.25">
      <c r="AM796"/>
    </row>
    <row r="797" spans="39:39" x14ac:dyDescent="0.25">
      <c r="AM797"/>
    </row>
    <row r="798" spans="39:39" x14ac:dyDescent="0.25">
      <c r="AM798"/>
    </row>
    <row r="799" spans="39:39" x14ac:dyDescent="0.25">
      <c r="AM799"/>
    </row>
    <row r="800" spans="39:39" x14ac:dyDescent="0.25">
      <c r="AM800"/>
    </row>
    <row r="801" spans="39:39" x14ac:dyDescent="0.25">
      <c r="AM801"/>
    </row>
    <row r="802" spans="39:39" x14ac:dyDescent="0.25">
      <c r="AM802"/>
    </row>
    <row r="803" spans="39:39" x14ac:dyDescent="0.25">
      <c r="AM803"/>
    </row>
    <row r="804" spans="39:39" x14ac:dyDescent="0.25">
      <c r="AM804"/>
    </row>
    <row r="805" spans="39:39" x14ac:dyDescent="0.25">
      <c r="AM805"/>
    </row>
    <row r="806" spans="39:39" x14ac:dyDescent="0.25">
      <c r="AM806"/>
    </row>
    <row r="807" spans="39:39" x14ac:dyDescent="0.25">
      <c r="AM807"/>
    </row>
    <row r="808" spans="39:39" x14ac:dyDescent="0.25">
      <c r="AM808"/>
    </row>
    <row r="809" spans="39:39" x14ac:dyDescent="0.25">
      <c r="AM809"/>
    </row>
    <row r="810" spans="39:39" x14ac:dyDescent="0.25">
      <c r="AM810"/>
    </row>
    <row r="811" spans="39:39" x14ac:dyDescent="0.25">
      <c r="AM811"/>
    </row>
    <row r="812" spans="39:39" x14ac:dyDescent="0.25">
      <c r="AM812"/>
    </row>
    <row r="813" spans="39:39" x14ac:dyDescent="0.25">
      <c r="AM813"/>
    </row>
    <row r="814" spans="39:39" x14ac:dyDescent="0.25">
      <c r="AM814"/>
    </row>
    <row r="815" spans="39:39" x14ac:dyDescent="0.25">
      <c r="AM815"/>
    </row>
    <row r="816" spans="39:39" x14ac:dyDescent="0.25">
      <c r="AM816"/>
    </row>
    <row r="817" spans="39:39" x14ac:dyDescent="0.25">
      <c r="AM817"/>
    </row>
    <row r="818" spans="39:39" x14ac:dyDescent="0.25">
      <c r="AM818"/>
    </row>
    <row r="819" spans="39:39" x14ac:dyDescent="0.25">
      <c r="AM819"/>
    </row>
    <row r="820" spans="39:39" x14ac:dyDescent="0.25">
      <c r="AM820"/>
    </row>
    <row r="821" spans="39:39" x14ac:dyDescent="0.25">
      <c r="AM821"/>
    </row>
    <row r="822" spans="39:39" x14ac:dyDescent="0.25">
      <c r="AM822"/>
    </row>
    <row r="823" spans="39:39" x14ac:dyDescent="0.25">
      <c r="AM823"/>
    </row>
    <row r="824" spans="39:39" x14ac:dyDescent="0.25">
      <c r="AM824"/>
    </row>
    <row r="825" spans="39:39" x14ac:dyDescent="0.25">
      <c r="AM825"/>
    </row>
    <row r="826" spans="39:39" x14ac:dyDescent="0.25">
      <c r="AM826"/>
    </row>
    <row r="827" spans="39:39" x14ac:dyDescent="0.25">
      <c r="AM827"/>
    </row>
    <row r="828" spans="39:39" x14ac:dyDescent="0.25">
      <c r="AM828"/>
    </row>
    <row r="829" spans="39:39" x14ac:dyDescent="0.25">
      <c r="AM829"/>
    </row>
    <row r="830" spans="39:39" x14ac:dyDescent="0.25">
      <c r="AM830"/>
    </row>
    <row r="831" spans="39:39" x14ac:dyDescent="0.25">
      <c r="AM831"/>
    </row>
    <row r="832" spans="39:39" x14ac:dyDescent="0.25">
      <c r="AM832"/>
    </row>
    <row r="833" spans="39:39" x14ac:dyDescent="0.25">
      <c r="AM833"/>
    </row>
    <row r="834" spans="39:39" x14ac:dyDescent="0.25">
      <c r="AM834"/>
    </row>
    <row r="835" spans="39:39" x14ac:dyDescent="0.25">
      <c r="AM835"/>
    </row>
    <row r="836" spans="39:39" x14ac:dyDescent="0.25">
      <c r="AM836"/>
    </row>
    <row r="837" spans="39:39" x14ac:dyDescent="0.25">
      <c r="AM837"/>
    </row>
    <row r="838" spans="39:39" x14ac:dyDescent="0.25">
      <c r="AM838"/>
    </row>
    <row r="839" spans="39:39" x14ac:dyDescent="0.25">
      <c r="AM839"/>
    </row>
    <row r="840" spans="39:39" x14ac:dyDescent="0.25">
      <c r="AM840"/>
    </row>
    <row r="841" spans="39:39" x14ac:dyDescent="0.25">
      <c r="AM841"/>
    </row>
    <row r="842" spans="39:39" x14ac:dyDescent="0.25">
      <c r="AM842"/>
    </row>
    <row r="843" spans="39:39" x14ac:dyDescent="0.25">
      <c r="AM843"/>
    </row>
    <row r="844" spans="39:39" x14ac:dyDescent="0.25">
      <c r="AM844"/>
    </row>
    <row r="845" spans="39:39" x14ac:dyDescent="0.25">
      <c r="AM845"/>
    </row>
    <row r="846" spans="39:39" x14ac:dyDescent="0.25">
      <c r="AM846"/>
    </row>
    <row r="847" spans="39:39" x14ac:dyDescent="0.25">
      <c r="AM847"/>
    </row>
    <row r="848" spans="39:39" x14ac:dyDescent="0.25">
      <c r="AM848"/>
    </row>
    <row r="849" spans="39:39" x14ac:dyDescent="0.25">
      <c r="AM849"/>
    </row>
    <row r="850" spans="39:39" x14ac:dyDescent="0.25">
      <c r="AM850"/>
    </row>
    <row r="851" spans="39:39" x14ac:dyDescent="0.25">
      <c r="AM851"/>
    </row>
    <row r="852" spans="39:39" x14ac:dyDescent="0.25">
      <c r="AM852"/>
    </row>
    <row r="853" spans="39:39" x14ac:dyDescent="0.25">
      <c r="AM853"/>
    </row>
    <row r="854" spans="39:39" x14ac:dyDescent="0.25">
      <c r="AM854"/>
    </row>
    <row r="855" spans="39:39" x14ac:dyDescent="0.25">
      <c r="AM855"/>
    </row>
    <row r="856" spans="39:39" x14ac:dyDescent="0.25">
      <c r="AM856"/>
    </row>
    <row r="857" spans="39:39" x14ac:dyDescent="0.25">
      <c r="AM857"/>
    </row>
    <row r="858" spans="39:39" x14ac:dyDescent="0.25">
      <c r="AM858"/>
    </row>
    <row r="859" spans="39:39" x14ac:dyDescent="0.25">
      <c r="AM859"/>
    </row>
    <row r="860" spans="39:39" x14ac:dyDescent="0.25">
      <c r="AM860"/>
    </row>
    <row r="861" spans="39:39" x14ac:dyDescent="0.25">
      <c r="AM861"/>
    </row>
    <row r="862" spans="39:39" x14ac:dyDescent="0.25">
      <c r="AM862"/>
    </row>
    <row r="863" spans="39:39" x14ac:dyDescent="0.25">
      <c r="AM863"/>
    </row>
    <row r="864" spans="39:39" x14ac:dyDescent="0.25">
      <c r="AM864"/>
    </row>
    <row r="865" spans="39:39" x14ac:dyDescent="0.25">
      <c r="AM865"/>
    </row>
    <row r="866" spans="39:39" x14ac:dyDescent="0.25">
      <c r="AM866"/>
    </row>
    <row r="867" spans="39:39" x14ac:dyDescent="0.25">
      <c r="AM867"/>
    </row>
    <row r="868" spans="39:39" x14ac:dyDescent="0.25">
      <c r="AM868"/>
    </row>
    <row r="869" spans="39:39" x14ac:dyDescent="0.25">
      <c r="AM869"/>
    </row>
    <row r="870" spans="39:39" x14ac:dyDescent="0.25">
      <c r="AM870"/>
    </row>
    <row r="871" spans="39:39" x14ac:dyDescent="0.25">
      <c r="AM871"/>
    </row>
    <row r="872" spans="39:39" x14ac:dyDescent="0.25">
      <c r="AM872"/>
    </row>
    <row r="873" spans="39:39" x14ac:dyDescent="0.25">
      <c r="AM873"/>
    </row>
    <row r="874" spans="39:39" x14ac:dyDescent="0.25">
      <c r="AM874"/>
    </row>
    <row r="875" spans="39:39" x14ac:dyDescent="0.25">
      <c r="AM875"/>
    </row>
    <row r="876" spans="39:39" x14ac:dyDescent="0.25">
      <c r="AM876"/>
    </row>
    <row r="877" spans="39:39" x14ac:dyDescent="0.25">
      <c r="AM877"/>
    </row>
    <row r="878" spans="39:39" x14ac:dyDescent="0.25">
      <c r="AM878"/>
    </row>
    <row r="879" spans="39:39" x14ac:dyDescent="0.25">
      <c r="AM879"/>
    </row>
    <row r="880" spans="39:39" x14ac:dyDescent="0.25">
      <c r="AM880"/>
    </row>
    <row r="881" spans="39:39" x14ac:dyDescent="0.25">
      <c r="AM881"/>
    </row>
    <row r="882" spans="39:39" x14ac:dyDescent="0.25">
      <c r="AM882"/>
    </row>
    <row r="883" spans="39:39" x14ac:dyDescent="0.25">
      <c r="AM883"/>
    </row>
    <row r="884" spans="39:39" x14ac:dyDescent="0.25">
      <c r="AM884"/>
    </row>
    <row r="885" spans="39:39" x14ac:dyDescent="0.25">
      <c r="AM885"/>
    </row>
    <row r="886" spans="39:39" x14ac:dyDescent="0.25">
      <c r="AM886"/>
    </row>
    <row r="887" spans="39:39" x14ac:dyDescent="0.25">
      <c r="AM887"/>
    </row>
    <row r="888" spans="39:39" x14ac:dyDescent="0.25">
      <c r="AM888"/>
    </row>
    <row r="889" spans="39:39" x14ac:dyDescent="0.25">
      <c r="AM889"/>
    </row>
    <row r="890" spans="39:39" x14ac:dyDescent="0.25">
      <c r="AM890"/>
    </row>
    <row r="891" spans="39:39" x14ac:dyDescent="0.25">
      <c r="AM891"/>
    </row>
    <row r="892" spans="39:39" x14ac:dyDescent="0.25">
      <c r="AM892"/>
    </row>
    <row r="893" spans="39:39" x14ac:dyDescent="0.25">
      <c r="AM893"/>
    </row>
    <row r="894" spans="39:39" x14ac:dyDescent="0.25">
      <c r="AM894"/>
    </row>
    <row r="895" spans="39:39" x14ac:dyDescent="0.25">
      <c r="AM895"/>
    </row>
    <row r="896" spans="39:39" x14ac:dyDescent="0.25">
      <c r="AM896"/>
    </row>
    <row r="897" spans="39:39" x14ac:dyDescent="0.25">
      <c r="AM897"/>
    </row>
    <row r="898" spans="39:39" x14ac:dyDescent="0.25">
      <c r="AM898"/>
    </row>
    <row r="899" spans="39:39" x14ac:dyDescent="0.25">
      <c r="AM899"/>
    </row>
    <row r="900" spans="39:39" x14ac:dyDescent="0.25">
      <c r="AM900"/>
    </row>
    <row r="901" spans="39:39" x14ac:dyDescent="0.25">
      <c r="AM901"/>
    </row>
    <row r="902" spans="39:39" x14ac:dyDescent="0.25">
      <c r="AM902"/>
    </row>
    <row r="903" spans="39:39" x14ac:dyDescent="0.25">
      <c r="AM903"/>
    </row>
    <row r="904" spans="39:39" x14ac:dyDescent="0.25">
      <c r="AM904"/>
    </row>
    <row r="905" spans="39:39" x14ac:dyDescent="0.25">
      <c r="AM905"/>
    </row>
    <row r="906" spans="39:39" x14ac:dyDescent="0.25">
      <c r="AM906"/>
    </row>
    <row r="907" spans="39:39" x14ac:dyDescent="0.25">
      <c r="AM907"/>
    </row>
    <row r="908" spans="39:39" x14ac:dyDescent="0.25">
      <c r="AM908"/>
    </row>
    <row r="909" spans="39:39" x14ac:dyDescent="0.25">
      <c r="AM909"/>
    </row>
    <row r="910" spans="39:39" x14ac:dyDescent="0.25">
      <c r="AM910"/>
    </row>
    <row r="911" spans="39:39" x14ac:dyDescent="0.25">
      <c r="AM911"/>
    </row>
    <row r="912" spans="39:39" x14ac:dyDescent="0.25">
      <c r="AM912"/>
    </row>
    <row r="913" spans="39:39" x14ac:dyDescent="0.25">
      <c r="AM913"/>
    </row>
    <row r="914" spans="39:39" x14ac:dyDescent="0.25">
      <c r="AM914"/>
    </row>
    <row r="915" spans="39:39" x14ac:dyDescent="0.25">
      <c r="AM915"/>
    </row>
    <row r="916" spans="39:39" x14ac:dyDescent="0.25">
      <c r="AM916"/>
    </row>
    <row r="917" spans="39:39" x14ac:dyDescent="0.25">
      <c r="AM917"/>
    </row>
    <row r="918" spans="39:39" x14ac:dyDescent="0.25">
      <c r="AM918"/>
    </row>
    <row r="919" spans="39:39" x14ac:dyDescent="0.25">
      <c r="AM919"/>
    </row>
    <row r="920" spans="39:39" x14ac:dyDescent="0.25">
      <c r="AM920"/>
    </row>
    <row r="921" spans="39:39" x14ac:dyDescent="0.25">
      <c r="AM921"/>
    </row>
    <row r="922" spans="39:39" x14ac:dyDescent="0.25">
      <c r="AM922"/>
    </row>
    <row r="923" spans="39:39" x14ac:dyDescent="0.25">
      <c r="AM923"/>
    </row>
    <row r="924" spans="39:39" x14ac:dyDescent="0.25">
      <c r="AM924"/>
    </row>
    <row r="925" spans="39:39" x14ac:dyDescent="0.25">
      <c r="AM925"/>
    </row>
    <row r="926" spans="39:39" x14ac:dyDescent="0.25">
      <c r="AM926"/>
    </row>
    <row r="927" spans="39:39" x14ac:dyDescent="0.25">
      <c r="AM927"/>
    </row>
    <row r="928" spans="39:39" x14ac:dyDescent="0.25">
      <c r="AM928"/>
    </row>
    <row r="929" spans="39:39" x14ac:dyDescent="0.25">
      <c r="AM929"/>
    </row>
    <row r="930" spans="39:39" x14ac:dyDescent="0.25">
      <c r="AM930"/>
    </row>
    <row r="931" spans="39:39" x14ac:dyDescent="0.25">
      <c r="AM931"/>
    </row>
    <row r="932" spans="39:39" x14ac:dyDescent="0.25">
      <c r="AM932"/>
    </row>
    <row r="933" spans="39:39" x14ac:dyDescent="0.25">
      <c r="AM933"/>
    </row>
    <row r="934" spans="39:39" x14ac:dyDescent="0.25">
      <c r="AM934"/>
    </row>
    <row r="935" spans="39:39" x14ac:dyDescent="0.25">
      <c r="AM935"/>
    </row>
    <row r="936" spans="39:39" x14ac:dyDescent="0.25">
      <c r="AM936"/>
    </row>
    <row r="937" spans="39:39" x14ac:dyDescent="0.25">
      <c r="AM937"/>
    </row>
    <row r="938" spans="39:39" x14ac:dyDescent="0.25">
      <c r="AM938"/>
    </row>
    <row r="939" spans="39:39" x14ac:dyDescent="0.25">
      <c r="AM939"/>
    </row>
    <row r="940" spans="39:39" x14ac:dyDescent="0.25">
      <c r="AM940"/>
    </row>
    <row r="941" spans="39:39" x14ac:dyDescent="0.25">
      <c r="AM941"/>
    </row>
    <row r="942" spans="39:39" x14ac:dyDescent="0.25">
      <c r="AM942"/>
    </row>
    <row r="943" spans="39:39" x14ac:dyDescent="0.25">
      <c r="AM943"/>
    </row>
    <row r="944" spans="39:39" x14ac:dyDescent="0.25">
      <c r="AM944"/>
    </row>
    <row r="945" spans="39:39" x14ac:dyDescent="0.25">
      <c r="AM945"/>
    </row>
    <row r="946" spans="39:39" x14ac:dyDescent="0.25">
      <c r="AM946"/>
    </row>
    <row r="947" spans="39:39" x14ac:dyDescent="0.25">
      <c r="AM947"/>
    </row>
    <row r="948" spans="39:39" x14ac:dyDescent="0.25">
      <c r="AM948"/>
    </row>
    <row r="949" spans="39:39" x14ac:dyDescent="0.25">
      <c r="AM949"/>
    </row>
    <row r="950" spans="39:39" x14ac:dyDescent="0.25">
      <c r="AM950"/>
    </row>
    <row r="951" spans="39:39" x14ac:dyDescent="0.25">
      <c r="AM951"/>
    </row>
    <row r="952" spans="39:39" x14ac:dyDescent="0.25">
      <c r="AM952"/>
    </row>
    <row r="953" spans="39:39" x14ac:dyDescent="0.25">
      <c r="AM953"/>
    </row>
    <row r="954" spans="39:39" x14ac:dyDescent="0.25">
      <c r="AM954"/>
    </row>
    <row r="955" spans="39:39" x14ac:dyDescent="0.25">
      <c r="AM955"/>
    </row>
    <row r="956" spans="39:39" x14ac:dyDescent="0.25">
      <c r="AM956"/>
    </row>
    <row r="957" spans="39:39" x14ac:dyDescent="0.25">
      <c r="AM957"/>
    </row>
    <row r="958" spans="39:39" x14ac:dyDescent="0.25">
      <c r="AM958"/>
    </row>
    <row r="959" spans="39:39" x14ac:dyDescent="0.25">
      <c r="AM959"/>
    </row>
    <row r="960" spans="39:39" x14ac:dyDescent="0.25">
      <c r="AM960"/>
    </row>
    <row r="961" spans="39:39" x14ac:dyDescent="0.25">
      <c r="AM961"/>
    </row>
    <row r="962" spans="39:39" x14ac:dyDescent="0.25">
      <c r="AM962"/>
    </row>
    <row r="963" spans="39:39" x14ac:dyDescent="0.25">
      <c r="AM963"/>
    </row>
    <row r="964" spans="39:39" x14ac:dyDescent="0.25">
      <c r="AM964"/>
    </row>
    <row r="965" spans="39:39" x14ac:dyDescent="0.25">
      <c r="AM965"/>
    </row>
    <row r="966" spans="39:39" x14ac:dyDescent="0.25">
      <c r="AM966"/>
    </row>
    <row r="967" spans="39:39" x14ac:dyDescent="0.25">
      <c r="AM967"/>
    </row>
    <row r="968" spans="39:39" x14ac:dyDescent="0.25">
      <c r="AM968"/>
    </row>
    <row r="969" spans="39:39" x14ac:dyDescent="0.25">
      <c r="AM969"/>
    </row>
    <row r="970" spans="39:39" x14ac:dyDescent="0.25">
      <c r="AM970"/>
    </row>
    <row r="971" spans="39:39" x14ac:dyDescent="0.25">
      <c r="AM971"/>
    </row>
    <row r="972" spans="39:39" x14ac:dyDescent="0.25">
      <c r="AM972"/>
    </row>
    <row r="973" spans="39:39" x14ac:dyDescent="0.25">
      <c r="AM973"/>
    </row>
    <row r="974" spans="39:39" x14ac:dyDescent="0.25">
      <c r="AM974"/>
    </row>
    <row r="975" spans="39:39" x14ac:dyDescent="0.25">
      <c r="AM975"/>
    </row>
    <row r="976" spans="39:39" x14ac:dyDescent="0.25">
      <c r="AM976"/>
    </row>
    <row r="977" spans="39:39" x14ac:dyDescent="0.25">
      <c r="AM977"/>
    </row>
    <row r="978" spans="39:39" x14ac:dyDescent="0.25">
      <c r="AM978"/>
    </row>
    <row r="979" spans="39:39" x14ac:dyDescent="0.25">
      <c r="AM979"/>
    </row>
    <row r="980" spans="39:39" x14ac:dyDescent="0.25">
      <c r="AM980"/>
    </row>
    <row r="981" spans="39:39" x14ac:dyDescent="0.25">
      <c r="AM981"/>
    </row>
    <row r="982" spans="39:39" x14ac:dyDescent="0.25">
      <c r="AM982"/>
    </row>
    <row r="983" spans="39:39" x14ac:dyDescent="0.25">
      <c r="AM983"/>
    </row>
    <row r="984" spans="39:39" x14ac:dyDescent="0.25">
      <c r="AM984"/>
    </row>
    <row r="985" spans="39:39" x14ac:dyDescent="0.25">
      <c r="AM985"/>
    </row>
    <row r="986" spans="39:39" x14ac:dyDescent="0.25">
      <c r="AM986"/>
    </row>
    <row r="987" spans="39:39" x14ac:dyDescent="0.25">
      <c r="AM987"/>
    </row>
    <row r="988" spans="39:39" x14ac:dyDescent="0.25">
      <c r="AM988"/>
    </row>
    <row r="989" spans="39:39" x14ac:dyDescent="0.25">
      <c r="AM989"/>
    </row>
    <row r="990" spans="39:39" x14ac:dyDescent="0.25">
      <c r="AM990"/>
    </row>
    <row r="991" spans="39:39" x14ac:dyDescent="0.25">
      <c r="AM991"/>
    </row>
    <row r="992" spans="39:39" x14ac:dyDescent="0.25">
      <c r="AM992"/>
    </row>
    <row r="993" spans="39:39" x14ac:dyDescent="0.25">
      <c r="AM993"/>
    </row>
    <row r="994" spans="39:39" x14ac:dyDescent="0.25">
      <c r="AM994"/>
    </row>
    <row r="995" spans="39:39" x14ac:dyDescent="0.25">
      <c r="AM995"/>
    </row>
    <row r="996" spans="39:39" x14ac:dyDescent="0.25">
      <c r="AM996"/>
    </row>
    <row r="997" spans="39:39" x14ac:dyDescent="0.25">
      <c r="AM997"/>
    </row>
    <row r="998" spans="39:39" x14ac:dyDescent="0.25">
      <c r="AM998"/>
    </row>
    <row r="999" spans="39:39" x14ac:dyDescent="0.25">
      <c r="AM999"/>
    </row>
    <row r="1000" spans="39:39" x14ac:dyDescent="0.25">
      <c r="AM1000"/>
    </row>
    <row r="1001" spans="39:39" x14ac:dyDescent="0.25">
      <c r="AM1001"/>
    </row>
    <row r="1002" spans="39:39" x14ac:dyDescent="0.25">
      <c r="AM1002"/>
    </row>
    <row r="1003" spans="39:39" x14ac:dyDescent="0.25">
      <c r="AM1003"/>
    </row>
    <row r="1004" spans="39:39" x14ac:dyDescent="0.25">
      <c r="AM1004"/>
    </row>
    <row r="1005" spans="39:39" x14ac:dyDescent="0.25">
      <c r="AM1005"/>
    </row>
    <row r="1006" spans="39:39" x14ac:dyDescent="0.25">
      <c r="AM1006"/>
    </row>
    <row r="1007" spans="39:39" x14ac:dyDescent="0.25">
      <c r="AM1007"/>
    </row>
    <row r="1008" spans="39:39" x14ac:dyDescent="0.25">
      <c r="AM1008"/>
    </row>
    <row r="1009" spans="39:39" x14ac:dyDescent="0.25">
      <c r="AM1009"/>
    </row>
    <row r="1010" spans="39:39" x14ac:dyDescent="0.25">
      <c r="AM1010"/>
    </row>
    <row r="1011" spans="39:39" x14ac:dyDescent="0.25">
      <c r="AM1011"/>
    </row>
    <row r="1012" spans="39:39" x14ac:dyDescent="0.25">
      <c r="AM1012"/>
    </row>
    <row r="1013" spans="39:39" x14ac:dyDescent="0.25">
      <c r="AM1013"/>
    </row>
    <row r="1014" spans="39:39" x14ac:dyDescent="0.25">
      <c r="AM1014"/>
    </row>
    <row r="1015" spans="39:39" x14ac:dyDescent="0.25">
      <c r="AM1015"/>
    </row>
    <row r="1016" spans="39:39" x14ac:dyDescent="0.25">
      <c r="AM1016"/>
    </row>
    <row r="1017" spans="39:39" x14ac:dyDescent="0.25">
      <c r="AM1017"/>
    </row>
    <row r="1018" spans="39:39" x14ac:dyDescent="0.25">
      <c r="AM1018"/>
    </row>
    <row r="1019" spans="39:39" x14ac:dyDescent="0.25">
      <c r="AM1019"/>
    </row>
    <row r="1020" spans="39:39" x14ac:dyDescent="0.25">
      <c r="AM1020"/>
    </row>
    <row r="1021" spans="39:39" x14ac:dyDescent="0.25">
      <c r="AM1021"/>
    </row>
    <row r="1022" spans="39:39" x14ac:dyDescent="0.25">
      <c r="AM1022"/>
    </row>
    <row r="1023" spans="39:39" x14ac:dyDescent="0.25">
      <c r="AM1023"/>
    </row>
    <row r="1024" spans="39:39" x14ac:dyDescent="0.25">
      <c r="AM1024"/>
    </row>
    <row r="1025" spans="39:39" x14ac:dyDescent="0.25">
      <c r="AM1025"/>
    </row>
    <row r="1026" spans="39:39" x14ac:dyDescent="0.25">
      <c r="AM1026"/>
    </row>
    <row r="1027" spans="39:39" x14ac:dyDescent="0.25">
      <c r="AM1027"/>
    </row>
    <row r="1028" spans="39:39" x14ac:dyDescent="0.25">
      <c r="AM1028"/>
    </row>
    <row r="1029" spans="39:39" x14ac:dyDescent="0.25">
      <c r="AM1029"/>
    </row>
    <row r="1030" spans="39:39" x14ac:dyDescent="0.25">
      <c r="AM1030"/>
    </row>
    <row r="1031" spans="39:39" x14ac:dyDescent="0.25">
      <c r="AM1031"/>
    </row>
    <row r="1032" spans="39:39" x14ac:dyDescent="0.25">
      <c r="AM1032"/>
    </row>
    <row r="1033" spans="39:39" x14ac:dyDescent="0.25">
      <c r="AM1033"/>
    </row>
    <row r="1034" spans="39:39" x14ac:dyDescent="0.25">
      <c r="AM1034"/>
    </row>
    <row r="1035" spans="39:39" x14ac:dyDescent="0.25">
      <c r="AM1035"/>
    </row>
    <row r="1036" spans="39:39" x14ac:dyDescent="0.25">
      <c r="AM1036"/>
    </row>
    <row r="1037" spans="39:39" x14ac:dyDescent="0.25">
      <c r="AM1037"/>
    </row>
    <row r="1038" spans="39:39" x14ac:dyDescent="0.25">
      <c r="AM1038"/>
    </row>
    <row r="1039" spans="39:39" x14ac:dyDescent="0.25">
      <c r="AM1039"/>
    </row>
    <row r="1040" spans="39:39" x14ac:dyDescent="0.25">
      <c r="AM1040"/>
    </row>
    <row r="1041" spans="39:39" x14ac:dyDescent="0.25">
      <c r="AM1041"/>
    </row>
    <row r="1042" spans="39:39" x14ac:dyDescent="0.25">
      <c r="AM1042"/>
    </row>
    <row r="1043" spans="39:39" x14ac:dyDescent="0.25">
      <c r="AM1043"/>
    </row>
    <row r="1044" spans="39:39" x14ac:dyDescent="0.25">
      <c r="AM1044"/>
    </row>
    <row r="1045" spans="39:39" x14ac:dyDescent="0.25">
      <c r="AM1045"/>
    </row>
    <row r="1046" spans="39:39" x14ac:dyDescent="0.25">
      <c r="AM1046"/>
    </row>
    <row r="1047" spans="39:39" x14ac:dyDescent="0.25">
      <c r="AM1047"/>
    </row>
    <row r="1048" spans="39:39" x14ac:dyDescent="0.25">
      <c r="AM1048"/>
    </row>
    <row r="1049" spans="39:39" x14ac:dyDescent="0.25">
      <c r="AM1049"/>
    </row>
    <row r="1050" spans="39:39" x14ac:dyDescent="0.25">
      <c r="AM1050"/>
    </row>
    <row r="1051" spans="39:39" x14ac:dyDescent="0.25">
      <c r="AM1051"/>
    </row>
    <row r="1052" spans="39:39" x14ac:dyDescent="0.25">
      <c r="AM1052"/>
    </row>
    <row r="1053" spans="39:39" x14ac:dyDescent="0.25">
      <c r="AM1053"/>
    </row>
    <row r="1054" spans="39:39" x14ac:dyDescent="0.25">
      <c r="AM1054"/>
    </row>
    <row r="1055" spans="39:39" x14ac:dyDescent="0.25">
      <c r="AM1055"/>
    </row>
    <row r="1056" spans="39:39" x14ac:dyDescent="0.25">
      <c r="AM1056"/>
    </row>
    <row r="1057" spans="39:39" x14ac:dyDescent="0.25">
      <c r="AM1057"/>
    </row>
    <row r="1058" spans="39:39" x14ac:dyDescent="0.25">
      <c r="AM1058"/>
    </row>
    <row r="1059" spans="39:39" x14ac:dyDescent="0.25">
      <c r="AM1059"/>
    </row>
    <row r="1060" spans="39:39" x14ac:dyDescent="0.25">
      <c r="AM1060"/>
    </row>
    <row r="1061" spans="39:39" x14ac:dyDescent="0.25">
      <c r="AM1061"/>
    </row>
    <row r="1062" spans="39:39" x14ac:dyDescent="0.25">
      <c r="AM1062"/>
    </row>
    <row r="1063" spans="39:39" x14ac:dyDescent="0.25">
      <c r="AM1063"/>
    </row>
    <row r="1064" spans="39:39" x14ac:dyDescent="0.25">
      <c r="AM1064"/>
    </row>
    <row r="1065" spans="39:39" x14ac:dyDescent="0.25">
      <c r="AM1065"/>
    </row>
    <row r="1066" spans="39:39" x14ac:dyDescent="0.25">
      <c r="AM1066"/>
    </row>
    <row r="1067" spans="39:39" x14ac:dyDescent="0.25">
      <c r="AM1067"/>
    </row>
    <row r="1068" spans="39:39" x14ac:dyDescent="0.25">
      <c r="AM1068"/>
    </row>
    <row r="1069" spans="39:39" x14ac:dyDescent="0.25">
      <c r="AM1069"/>
    </row>
    <row r="1070" spans="39:39" x14ac:dyDescent="0.25">
      <c r="AM1070"/>
    </row>
    <row r="1071" spans="39:39" x14ac:dyDescent="0.25">
      <c r="AM1071"/>
    </row>
    <row r="1072" spans="39:39" x14ac:dyDescent="0.25">
      <c r="AM1072"/>
    </row>
    <row r="1073" spans="39:39" x14ac:dyDescent="0.25">
      <c r="AM1073"/>
    </row>
    <row r="1074" spans="39:39" x14ac:dyDescent="0.25">
      <c r="AM1074"/>
    </row>
    <row r="1075" spans="39:39" x14ac:dyDescent="0.25">
      <c r="AM1075"/>
    </row>
    <row r="1076" spans="39:39" x14ac:dyDescent="0.25">
      <c r="AM1076"/>
    </row>
    <row r="1077" spans="39:39" x14ac:dyDescent="0.25">
      <c r="AM1077"/>
    </row>
    <row r="1078" spans="39:39" x14ac:dyDescent="0.25">
      <c r="AM1078"/>
    </row>
    <row r="1079" spans="39:39" x14ac:dyDescent="0.25">
      <c r="AM1079"/>
    </row>
    <row r="1080" spans="39:39" x14ac:dyDescent="0.25">
      <c r="AM1080"/>
    </row>
    <row r="1081" spans="39:39" x14ac:dyDescent="0.25">
      <c r="AM1081"/>
    </row>
    <row r="1082" spans="39:39" x14ac:dyDescent="0.25">
      <c r="AM1082"/>
    </row>
    <row r="1083" spans="39:39" x14ac:dyDescent="0.25">
      <c r="AM1083"/>
    </row>
    <row r="1084" spans="39:39" x14ac:dyDescent="0.25">
      <c r="AM1084"/>
    </row>
    <row r="1085" spans="39:39" x14ac:dyDescent="0.25">
      <c r="AM1085"/>
    </row>
    <row r="1086" spans="39:39" x14ac:dyDescent="0.25">
      <c r="AM1086"/>
    </row>
    <row r="1087" spans="39:39" x14ac:dyDescent="0.25">
      <c r="AM1087"/>
    </row>
    <row r="1088" spans="39:39" x14ac:dyDescent="0.25">
      <c r="AM1088"/>
    </row>
    <row r="1089" spans="39:39" x14ac:dyDescent="0.25">
      <c r="AM1089"/>
    </row>
    <row r="1090" spans="39:39" x14ac:dyDescent="0.25">
      <c r="AM1090"/>
    </row>
    <row r="1091" spans="39:39" x14ac:dyDescent="0.25">
      <c r="AM1091"/>
    </row>
    <row r="1092" spans="39:39" x14ac:dyDescent="0.25">
      <c r="AM1092"/>
    </row>
    <row r="1093" spans="39:39" x14ac:dyDescent="0.25">
      <c r="AM1093"/>
    </row>
    <row r="1094" spans="39:39" x14ac:dyDescent="0.25">
      <c r="AM1094"/>
    </row>
    <row r="1095" spans="39:39" x14ac:dyDescent="0.25">
      <c r="AM1095"/>
    </row>
    <row r="1096" spans="39:39" x14ac:dyDescent="0.25">
      <c r="AM1096"/>
    </row>
    <row r="1097" spans="39:39" x14ac:dyDescent="0.25">
      <c r="AM1097"/>
    </row>
    <row r="1098" spans="39:39" x14ac:dyDescent="0.25">
      <c r="AM1098"/>
    </row>
    <row r="1099" spans="39:39" x14ac:dyDescent="0.25">
      <c r="AM1099"/>
    </row>
    <row r="1100" spans="39:39" x14ac:dyDescent="0.25">
      <c r="AM1100"/>
    </row>
    <row r="1101" spans="39:39" x14ac:dyDescent="0.25">
      <c r="AM1101"/>
    </row>
    <row r="1102" spans="39:39" x14ac:dyDescent="0.25">
      <c r="AM1102"/>
    </row>
    <row r="1103" spans="39:39" x14ac:dyDescent="0.25">
      <c r="AM1103"/>
    </row>
    <row r="1104" spans="39:39" x14ac:dyDescent="0.25">
      <c r="AM1104"/>
    </row>
    <row r="1105" spans="39:39" x14ac:dyDescent="0.25">
      <c r="AM1105"/>
    </row>
    <row r="1106" spans="39:39" x14ac:dyDescent="0.25">
      <c r="AM1106"/>
    </row>
    <row r="1107" spans="39:39" x14ac:dyDescent="0.25">
      <c r="AM1107"/>
    </row>
    <row r="1108" spans="39:39" x14ac:dyDescent="0.25">
      <c r="AM1108"/>
    </row>
    <row r="1109" spans="39:39" x14ac:dyDescent="0.25">
      <c r="AM1109"/>
    </row>
    <row r="1110" spans="39:39" x14ac:dyDescent="0.25">
      <c r="AM1110"/>
    </row>
    <row r="1111" spans="39:39" x14ac:dyDescent="0.25">
      <c r="AM1111"/>
    </row>
    <row r="1112" spans="39:39" x14ac:dyDescent="0.25">
      <c r="AM1112"/>
    </row>
    <row r="1113" spans="39:39" x14ac:dyDescent="0.25">
      <c r="AM1113"/>
    </row>
    <row r="1114" spans="39:39" x14ac:dyDescent="0.25">
      <c r="AM1114"/>
    </row>
    <row r="1115" spans="39:39" x14ac:dyDescent="0.25">
      <c r="AM1115"/>
    </row>
    <row r="1116" spans="39:39" x14ac:dyDescent="0.25">
      <c r="AM1116"/>
    </row>
    <row r="1117" spans="39:39" x14ac:dyDescent="0.25">
      <c r="AM1117"/>
    </row>
    <row r="1118" spans="39:39" x14ac:dyDescent="0.25">
      <c r="AM1118"/>
    </row>
    <row r="1119" spans="39:39" x14ac:dyDescent="0.25">
      <c r="AM1119"/>
    </row>
    <row r="1120" spans="39:39" x14ac:dyDescent="0.25">
      <c r="AM1120"/>
    </row>
    <row r="1121" spans="39:39" x14ac:dyDescent="0.25">
      <c r="AM1121"/>
    </row>
    <row r="1122" spans="39:39" x14ac:dyDescent="0.25">
      <c r="AM1122"/>
    </row>
    <row r="1123" spans="39:39" x14ac:dyDescent="0.25">
      <c r="AM1123"/>
    </row>
    <row r="1124" spans="39:39" x14ac:dyDescent="0.25">
      <c r="AM1124"/>
    </row>
    <row r="1125" spans="39:39" x14ac:dyDescent="0.25">
      <c r="AM1125"/>
    </row>
    <row r="1126" spans="39:39" x14ac:dyDescent="0.25">
      <c r="AM1126"/>
    </row>
    <row r="1127" spans="39:39" x14ac:dyDescent="0.25">
      <c r="AM1127"/>
    </row>
    <row r="1128" spans="39:39" x14ac:dyDescent="0.25">
      <c r="AM1128"/>
    </row>
    <row r="1129" spans="39:39" x14ac:dyDescent="0.25">
      <c r="AM1129"/>
    </row>
    <row r="1130" spans="39:39" x14ac:dyDescent="0.25">
      <c r="AM1130"/>
    </row>
    <row r="1131" spans="39:39" x14ac:dyDescent="0.25">
      <c r="AM1131"/>
    </row>
    <row r="1132" spans="39:39" x14ac:dyDescent="0.25">
      <c r="AM1132"/>
    </row>
    <row r="1133" spans="39:39" x14ac:dyDescent="0.25">
      <c r="AM1133"/>
    </row>
    <row r="1134" spans="39:39" x14ac:dyDescent="0.25">
      <c r="AM1134"/>
    </row>
    <row r="1135" spans="39:39" x14ac:dyDescent="0.25">
      <c r="AM1135"/>
    </row>
    <row r="1136" spans="39:39" x14ac:dyDescent="0.25">
      <c r="AM1136"/>
    </row>
    <row r="1137" spans="39:39" x14ac:dyDescent="0.25">
      <c r="AM1137"/>
    </row>
    <row r="1138" spans="39:39" x14ac:dyDescent="0.25">
      <c r="AM1138"/>
    </row>
    <row r="1139" spans="39:39" x14ac:dyDescent="0.25">
      <c r="AM1139"/>
    </row>
    <row r="1140" spans="39:39" x14ac:dyDescent="0.25">
      <c r="AM1140"/>
    </row>
    <row r="1141" spans="39:39" x14ac:dyDescent="0.25">
      <c r="AM1141"/>
    </row>
    <row r="1142" spans="39:39" x14ac:dyDescent="0.25">
      <c r="AM1142"/>
    </row>
    <row r="1143" spans="39:39" x14ac:dyDescent="0.25">
      <c r="AM1143"/>
    </row>
    <row r="1144" spans="39:39" x14ac:dyDescent="0.25">
      <c r="AM1144"/>
    </row>
    <row r="1145" spans="39:39" x14ac:dyDescent="0.25">
      <c r="AM1145"/>
    </row>
    <row r="1146" spans="39:39" x14ac:dyDescent="0.25">
      <c r="AM1146"/>
    </row>
    <row r="1147" spans="39:39" x14ac:dyDescent="0.25">
      <c r="AM1147"/>
    </row>
    <row r="1148" spans="39:39" x14ac:dyDescent="0.25">
      <c r="AM1148"/>
    </row>
    <row r="1149" spans="39:39" x14ac:dyDescent="0.25">
      <c r="AM1149"/>
    </row>
    <row r="1150" spans="39:39" x14ac:dyDescent="0.25">
      <c r="AM1150"/>
    </row>
    <row r="1151" spans="39:39" x14ac:dyDescent="0.25">
      <c r="AM1151"/>
    </row>
    <row r="1152" spans="39:39" x14ac:dyDescent="0.25">
      <c r="AM1152"/>
    </row>
    <row r="1153" spans="39:39" x14ac:dyDescent="0.25">
      <c r="AM1153"/>
    </row>
    <row r="1154" spans="39:39" x14ac:dyDescent="0.25">
      <c r="AM1154"/>
    </row>
    <row r="1155" spans="39:39" x14ac:dyDescent="0.25">
      <c r="AM1155"/>
    </row>
    <row r="1156" spans="39:39" x14ac:dyDescent="0.25">
      <c r="AM1156"/>
    </row>
    <row r="1157" spans="39:39" x14ac:dyDescent="0.25">
      <c r="AM1157"/>
    </row>
    <row r="1158" spans="39:39" x14ac:dyDescent="0.25">
      <c r="AM1158"/>
    </row>
    <row r="1159" spans="39:39" x14ac:dyDescent="0.25">
      <c r="AM1159"/>
    </row>
    <row r="1160" spans="39:39" x14ac:dyDescent="0.25">
      <c r="AM1160"/>
    </row>
    <row r="1161" spans="39:39" x14ac:dyDescent="0.25">
      <c r="AM1161"/>
    </row>
    <row r="1162" spans="39:39" x14ac:dyDescent="0.25">
      <c r="AM1162"/>
    </row>
    <row r="1163" spans="39:39" x14ac:dyDescent="0.25">
      <c r="AM1163"/>
    </row>
    <row r="1164" spans="39:39" x14ac:dyDescent="0.25">
      <c r="AM1164"/>
    </row>
    <row r="1165" spans="39:39" x14ac:dyDescent="0.25">
      <c r="AM1165"/>
    </row>
    <row r="1166" spans="39:39" x14ac:dyDescent="0.25">
      <c r="AM1166"/>
    </row>
    <row r="1167" spans="39:39" x14ac:dyDescent="0.25">
      <c r="AM1167"/>
    </row>
    <row r="1168" spans="39:39" x14ac:dyDescent="0.25">
      <c r="AM1168"/>
    </row>
    <row r="1169" spans="39:39" x14ac:dyDescent="0.25">
      <c r="AM1169"/>
    </row>
    <row r="1170" spans="39:39" x14ac:dyDescent="0.25">
      <c r="AM1170"/>
    </row>
    <row r="1171" spans="39:39" x14ac:dyDescent="0.25">
      <c r="AM1171"/>
    </row>
    <row r="1172" spans="39:39" x14ac:dyDescent="0.25">
      <c r="AM1172"/>
    </row>
    <row r="1173" spans="39:39" x14ac:dyDescent="0.25">
      <c r="AM1173"/>
    </row>
    <row r="1174" spans="39:39" x14ac:dyDescent="0.25">
      <c r="AM1174"/>
    </row>
    <row r="1175" spans="39:39" x14ac:dyDescent="0.25">
      <c r="AM1175"/>
    </row>
    <row r="1176" spans="39:39" x14ac:dyDescent="0.25">
      <c r="AM1176"/>
    </row>
    <row r="1177" spans="39:39" x14ac:dyDescent="0.25">
      <c r="AM1177"/>
    </row>
    <row r="1178" spans="39:39" x14ac:dyDescent="0.25">
      <c r="AM1178"/>
    </row>
    <row r="1179" spans="39:39" x14ac:dyDescent="0.25">
      <c r="AM1179"/>
    </row>
    <row r="1180" spans="39:39" x14ac:dyDescent="0.25">
      <c r="AM1180"/>
    </row>
    <row r="1181" spans="39:39" x14ac:dyDescent="0.25">
      <c r="AM1181"/>
    </row>
    <row r="1182" spans="39:39" x14ac:dyDescent="0.25">
      <c r="AM1182"/>
    </row>
    <row r="1183" spans="39:39" x14ac:dyDescent="0.25">
      <c r="AM1183"/>
    </row>
    <row r="1184" spans="39:39" x14ac:dyDescent="0.25">
      <c r="AM1184"/>
    </row>
    <row r="1185" spans="39:39" x14ac:dyDescent="0.25">
      <c r="AM1185"/>
    </row>
    <row r="1186" spans="39:39" x14ac:dyDescent="0.25">
      <c r="AM1186"/>
    </row>
    <row r="1187" spans="39:39" x14ac:dyDescent="0.25">
      <c r="AM1187"/>
    </row>
    <row r="1188" spans="39:39" x14ac:dyDescent="0.25">
      <c r="AM1188"/>
    </row>
    <row r="1189" spans="39:39" x14ac:dyDescent="0.25">
      <c r="AM1189"/>
    </row>
    <row r="1190" spans="39:39" x14ac:dyDescent="0.25">
      <c r="AM1190"/>
    </row>
    <row r="1191" spans="39:39" x14ac:dyDescent="0.25">
      <c r="AM1191"/>
    </row>
    <row r="1192" spans="39:39" x14ac:dyDescent="0.25">
      <c r="AM1192"/>
    </row>
    <row r="1193" spans="39:39" x14ac:dyDescent="0.25">
      <c r="AM1193"/>
    </row>
    <row r="1194" spans="39:39" x14ac:dyDescent="0.25">
      <c r="AM1194"/>
    </row>
    <row r="1195" spans="39:39" x14ac:dyDescent="0.25">
      <c r="AM1195"/>
    </row>
    <row r="1196" spans="39:39" x14ac:dyDescent="0.25">
      <c r="AM1196"/>
    </row>
    <row r="1197" spans="39:39" x14ac:dyDescent="0.25">
      <c r="AM1197"/>
    </row>
    <row r="1198" spans="39:39" x14ac:dyDescent="0.25">
      <c r="AM1198"/>
    </row>
    <row r="1199" spans="39:39" x14ac:dyDescent="0.25">
      <c r="AM1199"/>
    </row>
    <row r="1200" spans="39:39" x14ac:dyDescent="0.25">
      <c r="AM1200"/>
    </row>
    <row r="1201" spans="39:39" x14ac:dyDescent="0.25">
      <c r="AM1201"/>
    </row>
    <row r="1202" spans="39:39" x14ac:dyDescent="0.25">
      <c r="AM1202"/>
    </row>
    <row r="1203" spans="39:39" x14ac:dyDescent="0.25">
      <c r="AM1203"/>
    </row>
    <row r="1204" spans="39:39" x14ac:dyDescent="0.25">
      <c r="AM1204"/>
    </row>
    <row r="1205" spans="39:39" x14ac:dyDescent="0.25">
      <c r="AM1205"/>
    </row>
    <row r="1206" spans="39:39" x14ac:dyDescent="0.25">
      <c r="AM1206"/>
    </row>
    <row r="1207" spans="39:39" x14ac:dyDescent="0.25">
      <c r="AM1207"/>
    </row>
    <row r="1208" spans="39:39" x14ac:dyDescent="0.25">
      <c r="AM1208"/>
    </row>
    <row r="1209" spans="39:39" x14ac:dyDescent="0.25">
      <c r="AM1209"/>
    </row>
    <row r="1210" spans="39:39" x14ac:dyDescent="0.25">
      <c r="AM1210"/>
    </row>
    <row r="1211" spans="39:39" x14ac:dyDescent="0.25">
      <c r="AM1211"/>
    </row>
    <row r="1212" spans="39:39" x14ac:dyDescent="0.25">
      <c r="AM1212"/>
    </row>
    <row r="1213" spans="39:39" x14ac:dyDescent="0.25">
      <c r="AM1213"/>
    </row>
    <row r="1214" spans="39:39" x14ac:dyDescent="0.25">
      <c r="AM1214"/>
    </row>
    <row r="1215" spans="39:39" x14ac:dyDescent="0.25">
      <c r="AM1215"/>
    </row>
    <row r="1216" spans="39:39" x14ac:dyDescent="0.25">
      <c r="AM1216"/>
    </row>
    <row r="1217" spans="39:39" x14ac:dyDescent="0.25">
      <c r="AM1217"/>
    </row>
    <row r="1218" spans="39:39" x14ac:dyDescent="0.25">
      <c r="AM1218"/>
    </row>
    <row r="1219" spans="39:39" x14ac:dyDescent="0.25">
      <c r="AM1219"/>
    </row>
    <row r="1220" spans="39:39" x14ac:dyDescent="0.25">
      <c r="AM1220"/>
    </row>
    <row r="1221" spans="39:39" x14ac:dyDescent="0.25">
      <c r="AM1221"/>
    </row>
    <row r="1222" spans="39:39" x14ac:dyDescent="0.25">
      <c r="AM1222"/>
    </row>
    <row r="1223" spans="39:39" x14ac:dyDescent="0.25">
      <c r="AM1223"/>
    </row>
    <row r="1224" spans="39:39" x14ac:dyDescent="0.25">
      <c r="AM1224"/>
    </row>
    <row r="1225" spans="39:39" x14ac:dyDescent="0.25">
      <c r="AM1225"/>
    </row>
    <row r="1226" spans="39:39" x14ac:dyDescent="0.25">
      <c r="AM1226"/>
    </row>
    <row r="1227" spans="39:39" x14ac:dyDescent="0.25">
      <c r="AM1227"/>
    </row>
    <row r="1228" spans="39:39" x14ac:dyDescent="0.25">
      <c r="AM1228"/>
    </row>
    <row r="1229" spans="39:39" x14ac:dyDescent="0.25">
      <c r="AM1229"/>
    </row>
    <row r="1230" spans="39:39" x14ac:dyDescent="0.25">
      <c r="AM1230"/>
    </row>
    <row r="1231" spans="39:39" x14ac:dyDescent="0.25">
      <c r="AM1231"/>
    </row>
    <row r="1232" spans="39:39" x14ac:dyDescent="0.25">
      <c r="AM1232"/>
    </row>
    <row r="1233" spans="39:39" x14ac:dyDescent="0.25">
      <c r="AM1233"/>
    </row>
    <row r="1234" spans="39:39" x14ac:dyDescent="0.25">
      <c r="AM1234"/>
    </row>
    <row r="1235" spans="39:39" x14ac:dyDescent="0.25">
      <c r="AM1235"/>
    </row>
    <row r="1236" spans="39:39" x14ac:dyDescent="0.25">
      <c r="AM1236"/>
    </row>
    <row r="1237" spans="39:39" x14ac:dyDescent="0.25">
      <c r="AM1237"/>
    </row>
    <row r="1238" spans="39:39" x14ac:dyDescent="0.25">
      <c r="AM1238"/>
    </row>
    <row r="1239" spans="39:39" x14ac:dyDescent="0.25">
      <c r="AM1239"/>
    </row>
    <row r="1240" spans="39:39" x14ac:dyDescent="0.25">
      <c r="AM1240"/>
    </row>
    <row r="1241" spans="39:39" x14ac:dyDescent="0.25">
      <c r="AM1241"/>
    </row>
    <row r="1242" spans="39:39" x14ac:dyDescent="0.25">
      <c r="AM1242"/>
    </row>
    <row r="1243" spans="39:39" x14ac:dyDescent="0.25">
      <c r="AM1243"/>
    </row>
    <row r="1244" spans="39:39" x14ac:dyDescent="0.25">
      <c r="AM1244"/>
    </row>
    <row r="1245" spans="39:39" x14ac:dyDescent="0.25">
      <c r="AM1245"/>
    </row>
    <row r="1246" spans="39:39" x14ac:dyDescent="0.25">
      <c r="AM1246"/>
    </row>
    <row r="1247" spans="39:39" x14ac:dyDescent="0.25">
      <c r="AM1247"/>
    </row>
    <row r="1248" spans="39:39" x14ac:dyDescent="0.25">
      <c r="AM1248"/>
    </row>
    <row r="1249" spans="39:39" x14ac:dyDescent="0.25">
      <c r="AM1249"/>
    </row>
    <row r="1250" spans="39:39" x14ac:dyDescent="0.25">
      <c r="AM1250"/>
    </row>
    <row r="1251" spans="39:39" x14ac:dyDescent="0.25">
      <c r="AM1251"/>
    </row>
    <row r="1252" spans="39:39" x14ac:dyDescent="0.25">
      <c r="AM1252"/>
    </row>
    <row r="1253" spans="39:39" x14ac:dyDescent="0.25">
      <c r="AM1253"/>
    </row>
    <row r="1254" spans="39:39" x14ac:dyDescent="0.25">
      <c r="AM1254"/>
    </row>
    <row r="1255" spans="39:39" x14ac:dyDescent="0.25">
      <c r="AM1255"/>
    </row>
    <row r="1256" spans="39:39" x14ac:dyDescent="0.25">
      <c r="AM1256"/>
    </row>
    <row r="1257" spans="39:39" x14ac:dyDescent="0.25">
      <c r="AM1257"/>
    </row>
    <row r="1258" spans="39:39" x14ac:dyDescent="0.25">
      <c r="AM1258"/>
    </row>
    <row r="1259" spans="39:39" x14ac:dyDescent="0.25">
      <c r="AM1259"/>
    </row>
    <row r="1260" spans="39:39" x14ac:dyDescent="0.25">
      <c r="AM1260"/>
    </row>
    <row r="1261" spans="39:39" x14ac:dyDescent="0.25">
      <c r="AM1261"/>
    </row>
    <row r="1262" spans="39:39" x14ac:dyDescent="0.25">
      <c r="AM1262"/>
    </row>
    <row r="1263" spans="39:39" x14ac:dyDescent="0.25">
      <c r="AM1263"/>
    </row>
    <row r="1264" spans="39:39" x14ac:dyDescent="0.25">
      <c r="AM1264"/>
    </row>
    <row r="1265" spans="39:39" x14ac:dyDescent="0.25">
      <c r="AM1265"/>
    </row>
    <row r="1266" spans="39:39" x14ac:dyDescent="0.25">
      <c r="AM1266"/>
    </row>
    <row r="1267" spans="39:39" x14ac:dyDescent="0.25">
      <c r="AM1267"/>
    </row>
    <row r="1268" spans="39:39" x14ac:dyDescent="0.25">
      <c r="AM1268"/>
    </row>
    <row r="1269" spans="39:39" x14ac:dyDescent="0.25">
      <c r="AM1269"/>
    </row>
    <row r="1270" spans="39:39" x14ac:dyDescent="0.25">
      <c r="AM1270"/>
    </row>
    <row r="1271" spans="39:39" x14ac:dyDescent="0.25">
      <c r="AM1271"/>
    </row>
    <row r="1272" spans="39:39" x14ac:dyDescent="0.25">
      <c r="AM1272"/>
    </row>
    <row r="1273" spans="39:39" x14ac:dyDescent="0.25">
      <c r="AM1273"/>
    </row>
    <row r="1274" spans="39:39" x14ac:dyDescent="0.25">
      <c r="AM1274"/>
    </row>
    <row r="1275" spans="39:39" x14ac:dyDescent="0.25">
      <c r="AM1275"/>
    </row>
    <row r="1276" spans="39:39" x14ac:dyDescent="0.25">
      <c r="AM1276"/>
    </row>
    <row r="1277" spans="39:39" x14ac:dyDescent="0.25">
      <c r="AM1277"/>
    </row>
    <row r="1278" spans="39:39" x14ac:dyDescent="0.25">
      <c r="AM1278"/>
    </row>
    <row r="1279" spans="39:39" x14ac:dyDescent="0.25">
      <c r="AM1279"/>
    </row>
    <row r="1280" spans="39:39" x14ac:dyDescent="0.25">
      <c r="AM1280"/>
    </row>
    <row r="1281" spans="39:39" x14ac:dyDescent="0.25">
      <c r="AM1281"/>
    </row>
    <row r="1282" spans="39:39" x14ac:dyDescent="0.25">
      <c r="AM1282"/>
    </row>
    <row r="1283" spans="39:39" x14ac:dyDescent="0.25">
      <c r="AM1283"/>
    </row>
    <row r="1284" spans="39:39" x14ac:dyDescent="0.25">
      <c r="AM1284"/>
    </row>
    <row r="1285" spans="39:39" x14ac:dyDescent="0.25">
      <c r="AM1285"/>
    </row>
    <row r="1286" spans="39:39" x14ac:dyDescent="0.25">
      <c r="AM1286"/>
    </row>
    <row r="1287" spans="39:39" x14ac:dyDescent="0.25">
      <c r="AM1287"/>
    </row>
    <row r="1288" spans="39:39" x14ac:dyDescent="0.25">
      <c r="AM1288"/>
    </row>
    <row r="1289" spans="39:39" x14ac:dyDescent="0.25">
      <c r="AM1289"/>
    </row>
    <row r="1290" spans="39:39" x14ac:dyDescent="0.25">
      <c r="AM1290"/>
    </row>
    <row r="1291" spans="39:39" x14ac:dyDescent="0.25">
      <c r="AM1291"/>
    </row>
    <row r="1292" spans="39:39" x14ac:dyDescent="0.25">
      <c r="AM1292"/>
    </row>
    <row r="1293" spans="39:39" x14ac:dyDescent="0.25">
      <c r="AM1293"/>
    </row>
    <row r="1294" spans="39:39" x14ac:dyDescent="0.25">
      <c r="AM1294"/>
    </row>
    <row r="1295" spans="39:39" x14ac:dyDescent="0.25">
      <c r="AM1295"/>
    </row>
    <row r="1296" spans="39:39" x14ac:dyDescent="0.25">
      <c r="AM1296"/>
    </row>
    <row r="1297" spans="39:39" x14ac:dyDescent="0.25">
      <c r="AM1297"/>
    </row>
    <row r="1298" spans="39:39" x14ac:dyDescent="0.25">
      <c r="AM1298"/>
    </row>
    <row r="1299" spans="39:39" x14ac:dyDescent="0.25">
      <c r="AM1299"/>
    </row>
    <row r="1300" spans="39:39" x14ac:dyDescent="0.25">
      <c r="AM1300"/>
    </row>
    <row r="1301" spans="39:39" x14ac:dyDescent="0.25">
      <c r="AM1301"/>
    </row>
    <row r="1302" spans="39:39" x14ac:dyDescent="0.25">
      <c r="AM1302"/>
    </row>
    <row r="1303" spans="39:39" x14ac:dyDescent="0.25">
      <c r="AM1303"/>
    </row>
    <row r="1304" spans="39:39" x14ac:dyDescent="0.25">
      <c r="AM1304"/>
    </row>
    <row r="1305" spans="39:39" x14ac:dyDescent="0.25">
      <c r="AM1305"/>
    </row>
    <row r="1306" spans="39:39" x14ac:dyDescent="0.25">
      <c r="AM1306"/>
    </row>
    <row r="1307" spans="39:39" x14ac:dyDescent="0.25">
      <c r="AM1307"/>
    </row>
    <row r="1308" spans="39:39" x14ac:dyDescent="0.25">
      <c r="AM1308"/>
    </row>
    <row r="1309" spans="39:39" x14ac:dyDescent="0.25">
      <c r="AM1309"/>
    </row>
    <row r="1310" spans="39:39" x14ac:dyDescent="0.25">
      <c r="AM1310"/>
    </row>
    <row r="1311" spans="39:39" x14ac:dyDescent="0.25">
      <c r="AM1311"/>
    </row>
    <row r="1312" spans="39:39" x14ac:dyDescent="0.25">
      <c r="AM1312"/>
    </row>
    <row r="1313" spans="39:39" x14ac:dyDescent="0.25">
      <c r="AM1313"/>
    </row>
    <row r="1314" spans="39:39" x14ac:dyDescent="0.25">
      <c r="AM1314"/>
    </row>
    <row r="1315" spans="39:39" x14ac:dyDescent="0.25">
      <c r="AM1315"/>
    </row>
    <row r="1316" spans="39:39" x14ac:dyDescent="0.25">
      <c r="AM1316"/>
    </row>
    <row r="1317" spans="39:39" x14ac:dyDescent="0.25">
      <c r="AM1317"/>
    </row>
    <row r="1318" spans="39:39" x14ac:dyDescent="0.25">
      <c r="AM1318"/>
    </row>
    <row r="1319" spans="39:39" x14ac:dyDescent="0.25">
      <c r="AM1319"/>
    </row>
    <row r="1320" spans="39:39" x14ac:dyDescent="0.25">
      <c r="AM1320"/>
    </row>
    <row r="1321" spans="39:39" x14ac:dyDescent="0.25">
      <c r="AM1321"/>
    </row>
    <row r="1322" spans="39:39" x14ac:dyDescent="0.25">
      <c r="AM1322"/>
    </row>
    <row r="1323" spans="39:39" x14ac:dyDescent="0.25">
      <c r="AM1323"/>
    </row>
    <row r="1324" spans="39:39" x14ac:dyDescent="0.25">
      <c r="AM1324"/>
    </row>
    <row r="1325" spans="39:39" x14ac:dyDescent="0.25">
      <c r="AM1325"/>
    </row>
    <row r="1326" spans="39:39" x14ac:dyDescent="0.25">
      <c r="AM1326"/>
    </row>
    <row r="1327" spans="39:39" x14ac:dyDescent="0.25">
      <c r="AM1327"/>
    </row>
    <row r="1328" spans="39:39" x14ac:dyDescent="0.25">
      <c r="AM1328"/>
    </row>
    <row r="1329" spans="39:39" x14ac:dyDescent="0.25">
      <c r="AM1329"/>
    </row>
    <row r="1330" spans="39:39" x14ac:dyDescent="0.25">
      <c r="AM1330"/>
    </row>
    <row r="1331" spans="39:39" x14ac:dyDescent="0.25">
      <c r="AM1331"/>
    </row>
    <row r="1332" spans="39:39" x14ac:dyDescent="0.25">
      <c r="AM1332"/>
    </row>
    <row r="1333" spans="39:39" x14ac:dyDescent="0.25">
      <c r="AM1333"/>
    </row>
    <row r="1334" spans="39:39" x14ac:dyDescent="0.25">
      <c r="AM1334"/>
    </row>
    <row r="1335" spans="39:39" x14ac:dyDescent="0.25">
      <c r="AM1335"/>
    </row>
    <row r="1336" spans="39:39" x14ac:dyDescent="0.25">
      <c r="AM1336"/>
    </row>
    <row r="1337" spans="39:39" x14ac:dyDescent="0.25">
      <c r="AM1337"/>
    </row>
    <row r="1338" spans="39:39" x14ac:dyDescent="0.25">
      <c r="AM1338"/>
    </row>
    <row r="1339" spans="39:39" x14ac:dyDescent="0.25">
      <c r="AM1339"/>
    </row>
    <row r="1340" spans="39:39" x14ac:dyDescent="0.25">
      <c r="AM1340"/>
    </row>
    <row r="1341" spans="39:39" x14ac:dyDescent="0.25">
      <c r="AM1341"/>
    </row>
    <row r="1342" spans="39:39" x14ac:dyDescent="0.25">
      <c r="AM1342"/>
    </row>
    <row r="1343" spans="39:39" x14ac:dyDescent="0.25">
      <c r="AM1343"/>
    </row>
    <row r="1344" spans="39:39" x14ac:dyDescent="0.25">
      <c r="AM1344"/>
    </row>
    <row r="1345" spans="39:39" x14ac:dyDescent="0.25">
      <c r="AM1345"/>
    </row>
    <row r="1346" spans="39:39" x14ac:dyDescent="0.25">
      <c r="AM1346"/>
    </row>
    <row r="1347" spans="39:39" x14ac:dyDescent="0.25">
      <c r="AM1347"/>
    </row>
    <row r="1348" spans="39:39" x14ac:dyDescent="0.25">
      <c r="AM1348"/>
    </row>
    <row r="1349" spans="39:39" x14ac:dyDescent="0.25">
      <c r="AM1349"/>
    </row>
    <row r="1350" spans="39:39" x14ac:dyDescent="0.25">
      <c r="AM1350"/>
    </row>
    <row r="1351" spans="39:39" x14ac:dyDescent="0.25">
      <c r="AM1351"/>
    </row>
    <row r="1352" spans="39:39" x14ac:dyDescent="0.25">
      <c r="AM1352"/>
    </row>
    <row r="1353" spans="39:39" x14ac:dyDescent="0.25">
      <c r="AM1353"/>
    </row>
    <row r="1354" spans="39:39" x14ac:dyDescent="0.25">
      <c r="AM1354"/>
    </row>
    <row r="1355" spans="39:39" x14ac:dyDescent="0.25">
      <c r="AM1355"/>
    </row>
    <row r="1356" spans="39:39" x14ac:dyDescent="0.25">
      <c r="AM1356"/>
    </row>
    <row r="1357" spans="39:39" x14ac:dyDescent="0.25">
      <c r="AM1357"/>
    </row>
    <row r="1358" spans="39:39" x14ac:dyDescent="0.25">
      <c r="AM1358"/>
    </row>
    <row r="1359" spans="39:39" x14ac:dyDescent="0.25">
      <c r="AM1359"/>
    </row>
    <row r="1360" spans="39:39" x14ac:dyDescent="0.25">
      <c r="AM1360"/>
    </row>
    <row r="1361" spans="39:39" x14ac:dyDescent="0.25">
      <c r="AM1361"/>
    </row>
    <row r="1362" spans="39:39" x14ac:dyDescent="0.25">
      <c r="AM1362"/>
    </row>
    <row r="1363" spans="39:39" x14ac:dyDescent="0.25">
      <c r="AM1363"/>
    </row>
    <row r="1364" spans="39:39" x14ac:dyDescent="0.25">
      <c r="AM1364"/>
    </row>
    <row r="1365" spans="39:39" x14ac:dyDescent="0.25">
      <c r="AM1365"/>
    </row>
    <row r="1366" spans="39:39" x14ac:dyDescent="0.25">
      <c r="AM1366"/>
    </row>
    <row r="1367" spans="39:39" x14ac:dyDescent="0.25">
      <c r="AM1367"/>
    </row>
    <row r="1368" spans="39:39" x14ac:dyDescent="0.25">
      <c r="AM1368"/>
    </row>
    <row r="1369" spans="39:39" x14ac:dyDescent="0.25">
      <c r="AM1369"/>
    </row>
    <row r="1370" spans="39:39" x14ac:dyDescent="0.25">
      <c r="AM1370"/>
    </row>
    <row r="1371" spans="39:39" x14ac:dyDescent="0.25">
      <c r="AM1371"/>
    </row>
    <row r="1372" spans="39:39" x14ac:dyDescent="0.25">
      <c r="AM1372"/>
    </row>
    <row r="1373" spans="39:39" x14ac:dyDescent="0.25">
      <c r="AM1373"/>
    </row>
    <row r="1374" spans="39:39" x14ac:dyDescent="0.25">
      <c r="AM1374"/>
    </row>
    <row r="1375" spans="39:39" x14ac:dyDescent="0.25">
      <c r="AM1375"/>
    </row>
    <row r="1376" spans="39:39" x14ac:dyDescent="0.25">
      <c r="AM1376"/>
    </row>
    <row r="1377" spans="39:39" x14ac:dyDescent="0.25">
      <c r="AM1377"/>
    </row>
    <row r="1378" spans="39:39" x14ac:dyDescent="0.25">
      <c r="AM1378"/>
    </row>
    <row r="1379" spans="39:39" x14ac:dyDescent="0.25">
      <c r="AM1379"/>
    </row>
    <row r="1380" spans="39:39" x14ac:dyDescent="0.25">
      <c r="AM1380"/>
    </row>
    <row r="1381" spans="39:39" x14ac:dyDescent="0.25">
      <c r="AM1381"/>
    </row>
    <row r="1382" spans="39:39" x14ac:dyDescent="0.25">
      <c r="AM1382"/>
    </row>
    <row r="1383" spans="39:39" x14ac:dyDescent="0.25">
      <c r="AM1383"/>
    </row>
    <row r="1384" spans="39:39" x14ac:dyDescent="0.25">
      <c r="AM1384"/>
    </row>
    <row r="1385" spans="39:39" x14ac:dyDescent="0.25">
      <c r="AM1385"/>
    </row>
    <row r="1386" spans="39:39" x14ac:dyDescent="0.25">
      <c r="AM1386"/>
    </row>
    <row r="1387" spans="39:39" x14ac:dyDescent="0.25">
      <c r="AM1387"/>
    </row>
    <row r="1388" spans="39:39" x14ac:dyDescent="0.25">
      <c r="AM1388"/>
    </row>
    <row r="1389" spans="39:39" x14ac:dyDescent="0.25">
      <c r="AM1389"/>
    </row>
    <row r="1390" spans="39:39" x14ac:dyDescent="0.25">
      <c r="AM1390"/>
    </row>
    <row r="1391" spans="39:39" x14ac:dyDescent="0.25">
      <c r="AM1391"/>
    </row>
    <row r="1392" spans="39:39" x14ac:dyDescent="0.25">
      <c r="AM1392"/>
    </row>
    <row r="1393" spans="39:39" x14ac:dyDescent="0.25">
      <c r="AM1393"/>
    </row>
    <row r="1394" spans="39:39" x14ac:dyDescent="0.25">
      <c r="AM1394"/>
    </row>
    <row r="1395" spans="39:39" x14ac:dyDescent="0.25">
      <c r="AM1395"/>
    </row>
    <row r="1396" spans="39:39" x14ac:dyDescent="0.25">
      <c r="AM1396"/>
    </row>
    <row r="1397" spans="39:39" x14ac:dyDescent="0.25">
      <c r="AM1397"/>
    </row>
    <row r="1398" spans="39:39" x14ac:dyDescent="0.25">
      <c r="AM1398"/>
    </row>
    <row r="1399" spans="39:39" x14ac:dyDescent="0.25">
      <c r="AM1399"/>
    </row>
    <row r="1400" spans="39:39" x14ac:dyDescent="0.25">
      <c r="AM1400"/>
    </row>
    <row r="1401" spans="39:39" x14ac:dyDescent="0.25">
      <c r="AM1401"/>
    </row>
    <row r="1402" spans="39:39" x14ac:dyDescent="0.25">
      <c r="AM1402"/>
    </row>
    <row r="1403" spans="39:39" x14ac:dyDescent="0.25">
      <c r="AM1403"/>
    </row>
    <row r="1404" spans="39:39" x14ac:dyDescent="0.25">
      <c r="AM1404"/>
    </row>
    <row r="1405" spans="39:39" x14ac:dyDescent="0.25">
      <c r="AM1405"/>
    </row>
    <row r="1406" spans="39:39" x14ac:dyDescent="0.25">
      <c r="AM1406"/>
    </row>
    <row r="1407" spans="39:39" x14ac:dyDescent="0.25">
      <c r="AM1407"/>
    </row>
    <row r="1408" spans="39:39" x14ac:dyDescent="0.25">
      <c r="AM1408"/>
    </row>
    <row r="1409" spans="39:39" x14ac:dyDescent="0.25">
      <c r="AM1409"/>
    </row>
    <row r="1410" spans="39:39" x14ac:dyDescent="0.25">
      <c r="AM1410"/>
    </row>
    <row r="1411" spans="39:39" x14ac:dyDescent="0.25">
      <c r="AM1411"/>
    </row>
    <row r="1412" spans="39:39" x14ac:dyDescent="0.25">
      <c r="AM1412"/>
    </row>
    <row r="1413" spans="39:39" x14ac:dyDescent="0.25">
      <c r="AM1413"/>
    </row>
    <row r="1414" spans="39:39" x14ac:dyDescent="0.25">
      <c r="AM1414"/>
    </row>
    <row r="1415" spans="39:39" x14ac:dyDescent="0.25">
      <c r="AM1415"/>
    </row>
    <row r="1416" spans="39:39" x14ac:dyDescent="0.25">
      <c r="AM1416"/>
    </row>
    <row r="1417" spans="39:39" x14ac:dyDescent="0.25">
      <c r="AM1417"/>
    </row>
    <row r="1418" spans="39:39" x14ac:dyDescent="0.25">
      <c r="AM1418"/>
    </row>
    <row r="1419" spans="39:39" x14ac:dyDescent="0.25">
      <c r="AM1419"/>
    </row>
    <row r="1420" spans="39:39" x14ac:dyDescent="0.25">
      <c r="AM1420"/>
    </row>
    <row r="1421" spans="39:39" x14ac:dyDescent="0.25">
      <c r="AM1421"/>
    </row>
    <row r="1422" spans="39:39" x14ac:dyDescent="0.25">
      <c r="AM1422"/>
    </row>
    <row r="1423" spans="39:39" x14ac:dyDescent="0.25">
      <c r="AM1423"/>
    </row>
    <row r="1424" spans="39:39" x14ac:dyDescent="0.25">
      <c r="AM1424"/>
    </row>
    <row r="1425" spans="39:39" x14ac:dyDescent="0.25">
      <c r="AM1425"/>
    </row>
    <row r="1426" spans="39:39" x14ac:dyDescent="0.25">
      <c r="AM1426"/>
    </row>
    <row r="1427" spans="39:39" x14ac:dyDescent="0.25">
      <c r="AM1427"/>
    </row>
    <row r="1428" spans="39:39" x14ac:dyDescent="0.25">
      <c r="AM1428"/>
    </row>
    <row r="1429" spans="39:39" x14ac:dyDescent="0.25">
      <c r="AM1429"/>
    </row>
    <row r="1430" spans="39:39" x14ac:dyDescent="0.25">
      <c r="AM1430"/>
    </row>
    <row r="1431" spans="39:39" x14ac:dyDescent="0.25">
      <c r="AM1431"/>
    </row>
    <row r="1432" spans="39:39" x14ac:dyDescent="0.25">
      <c r="AM1432"/>
    </row>
    <row r="1433" spans="39:39" x14ac:dyDescent="0.25">
      <c r="AM1433"/>
    </row>
    <row r="1434" spans="39:39" x14ac:dyDescent="0.25">
      <c r="AM1434"/>
    </row>
    <row r="1435" spans="39:39" x14ac:dyDescent="0.25">
      <c r="AM1435"/>
    </row>
    <row r="1436" spans="39:39" x14ac:dyDescent="0.25">
      <c r="AM1436"/>
    </row>
    <row r="1437" spans="39:39" x14ac:dyDescent="0.25">
      <c r="AM1437"/>
    </row>
    <row r="1438" spans="39:39" x14ac:dyDescent="0.25">
      <c r="AM1438"/>
    </row>
    <row r="1439" spans="39:39" x14ac:dyDescent="0.25">
      <c r="AM1439"/>
    </row>
    <row r="1440" spans="39:39" x14ac:dyDescent="0.25">
      <c r="AM1440"/>
    </row>
    <row r="1441" spans="39:39" x14ac:dyDescent="0.25">
      <c r="AM1441"/>
    </row>
    <row r="1442" spans="39:39" x14ac:dyDescent="0.25">
      <c r="AM1442"/>
    </row>
    <row r="1443" spans="39:39" x14ac:dyDescent="0.25">
      <c r="AM1443"/>
    </row>
    <row r="1444" spans="39:39" x14ac:dyDescent="0.25">
      <c r="AM1444"/>
    </row>
    <row r="1445" spans="39:39" x14ac:dyDescent="0.25">
      <c r="AM1445"/>
    </row>
    <row r="1446" spans="39:39" x14ac:dyDescent="0.25">
      <c r="AM1446"/>
    </row>
    <row r="1447" spans="39:39" x14ac:dyDescent="0.25">
      <c r="AM1447"/>
    </row>
    <row r="1448" spans="39:39" x14ac:dyDescent="0.25">
      <c r="AM1448"/>
    </row>
    <row r="1449" spans="39:39" x14ac:dyDescent="0.25">
      <c r="AM1449"/>
    </row>
    <row r="1450" spans="39:39" x14ac:dyDescent="0.25">
      <c r="AM1450"/>
    </row>
    <row r="1451" spans="39:39" x14ac:dyDescent="0.25">
      <c r="AM1451"/>
    </row>
    <row r="1452" spans="39:39" x14ac:dyDescent="0.25">
      <c r="AM1452"/>
    </row>
    <row r="1453" spans="39:39" x14ac:dyDescent="0.25">
      <c r="AM1453"/>
    </row>
    <row r="1454" spans="39:39" x14ac:dyDescent="0.25">
      <c r="AM1454"/>
    </row>
    <row r="1455" spans="39:39" x14ac:dyDescent="0.25">
      <c r="AM1455"/>
    </row>
    <row r="1456" spans="39:39" x14ac:dyDescent="0.25">
      <c r="AM1456"/>
    </row>
    <row r="1457" spans="39:39" x14ac:dyDescent="0.25">
      <c r="AM1457"/>
    </row>
    <row r="1458" spans="39:39" x14ac:dyDescent="0.25">
      <c r="AM1458"/>
    </row>
    <row r="1459" spans="39:39" x14ac:dyDescent="0.25">
      <c r="AM1459"/>
    </row>
    <row r="1460" spans="39:39" x14ac:dyDescent="0.25">
      <c r="AM1460"/>
    </row>
    <row r="1461" spans="39:39" x14ac:dyDescent="0.25">
      <c r="AM1461"/>
    </row>
    <row r="1462" spans="39:39" x14ac:dyDescent="0.25">
      <c r="AM1462"/>
    </row>
    <row r="1463" spans="39:39" x14ac:dyDescent="0.25">
      <c r="AM1463"/>
    </row>
    <row r="1464" spans="39:39" x14ac:dyDescent="0.25">
      <c r="AM1464"/>
    </row>
    <row r="1465" spans="39:39" x14ac:dyDescent="0.25">
      <c r="AM1465"/>
    </row>
    <row r="1466" spans="39:39" x14ac:dyDescent="0.25">
      <c r="AM1466"/>
    </row>
    <row r="1467" spans="39:39" x14ac:dyDescent="0.25">
      <c r="AM1467"/>
    </row>
    <row r="1468" spans="39:39" x14ac:dyDescent="0.25">
      <c r="AM1468"/>
    </row>
    <row r="1469" spans="39:39" x14ac:dyDescent="0.25">
      <c r="AM1469"/>
    </row>
    <row r="1470" spans="39:39" x14ac:dyDescent="0.25">
      <c r="AM1470"/>
    </row>
    <row r="1471" spans="39:39" x14ac:dyDescent="0.25">
      <c r="AM1471"/>
    </row>
    <row r="1472" spans="39:39" x14ac:dyDescent="0.25">
      <c r="AM1472"/>
    </row>
    <row r="1473" spans="39:39" x14ac:dyDescent="0.25">
      <c r="AM1473"/>
    </row>
    <row r="1474" spans="39:39" x14ac:dyDescent="0.25">
      <c r="AM1474"/>
    </row>
    <row r="1475" spans="39:39" x14ac:dyDescent="0.25">
      <c r="AM1475"/>
    </row>
    <row r="1476" spans="39:39" x14ac:dyDescent="0.25">
      <c r="AM1476"/>
    </row>
    <row r="1477" spans="39:39" x14ac:dyDescent="0.25">
      <c r="AM1477"/>
    </row>
    <row r="1478" spans="39:39" x14ac:dyDescent="0.25">
      <c r="AM1478"/>
    </row>
    <row r="1479" spans="39:39" x14ac:dyDescent="0.25">
      <c r="AM1479"/>
    </row>
    <row r="1480" spans="39:39" x14ac:dyDescent="0.25">
      <c r="AM1480"/>
    </row>
    <row r="1481" spans="39:39" x14ac:dyDescent="0.25">
      <c r="AM1481"/>
    </row>
    <row r="1482" spans="39:39" x14ac:dyDescent="0.25">
      <c r="AM1482"/>
    </row>
    <row r="1483" spans="39:39" x14ac:dyDescent="0.25">
      <c r="AM1483"/>
    </row>
    <row r="1484" spans="39:39" x14ac:dyDescent="0.25">
      <c r="AM1484"/>
    </row>
    <row r="1485" spans="39:39" x14ac:dyDescent="0.25">
      <c r="AM1485"/>
    </row>
    <row r="1486" spans="39:39" x14ac:dyDescent="0.25">
      <c r="AM1486"/>
    </row>
    <row r="1487" spans="39:39" x14ac:dyDescent="0.25">
      <c r="AM1487"/>
    </row>
    <row r="1488" spans="39:39" x14ac:dyDescent="0.25">
      <c r="AM1488"/>
    </row>
    <row r="1489" spans="39:39" x14ac:dyDescent="0.25">
      <c r="AM1489"/>
    </row>
    <row r="1490" spans="39:39" x14ac:dyDescent="0.25">
      <c r="AM1490"/>
    </row>
    <row r="1491" spans="39:39" x14ac:dyDescent="0.25">
      <c r="AM1491"/>
    </row>
    <row r="1492" spans="39:39" x14ac:dyDescent="0.25">
      <c r="AM1492"/>
    </row>
    <row r="1493" spans="39:39" x14ac:dyDescent="0.25">
      <c r="AM1493"/>
    </row>
    <row r="1494" spans="39:39" x14ac:dyDescent="0.25">
      <c r="AM1494"/>
    </row>
    <row r="1495" spans="39:39" x14ac:dyDescent="0.25">
      <c r="AM1495"/>
    </row>
    <row r="1496" spans="39:39" x14ac:dyDescent="0.25">
      <c r="AM1496"/>
    </row>
    <row r="1497" spans="39:39" x14ac:dyDescent="0.25">
      <c r="AM1497"/>
    </row>
    <row r="1498" spans="39:39" x14ac:dyDescent="0.25">
      <c r="AM1498"/>
    </row>
    <row r="1499" spans="39:39" x14ac:dyDescent="0.25">
      <c r="AM1499"/>
    </row>
    <row r="1500" spans="39:39" x14ac:dyDescent="0.25">
      <c r="AM1500"/>
    </row>
    <row r="1501" spans="39:39" x14ac:dyDescent="0.25">
      <c r="AM1501"/>
    </row>
    <row r="1502" spans="39:39" x14ac:dyDescent="0.25">
      <c r="AM1502"/>
    </row>
    <row r="1503" spans="39:39" x14ac:dyDescent="0.25">
      <c r="AM1503"/>
    </row>
    <row r="1504" spans="39:39" x14ac:dyDescent="0.25">
      <c r="AM1504"/>
    </row>
    <row r="1505" spans="39:39" x14ac:dyDescent="0.25">
      <c r="AM1505"/>
    </row>
    <row r="1506" spans="39:39" x14ac:dyDescent="0.25">
      <c r="AM1506"/>
    </row>
    <row r="1507" spans="39:39" x14ac:dyDescent="0.25">
      <c r="AM1507"/>
    </row>
    <row r="1508" spans="39:39" x14ac:dyDescent="0.25">
      <c r="AM1508"/>
    </row>
    <row r="1509" spans="39:39" x14ac:dyDescent="0.25">
      <c r="AM1509"/>
    </row>
    <row r="1510" spans="39:39" x14ac:dyDescent="0.25">
      <c r="AM1510"/>
    </row>
    <row r="1511" spans="39:39" x14ac:dyDescent="0.25">
      <c r="AM1511"/>
    </row>
    <row r="1512" spans="39:39" x14ac:dyDescent="0.25">
      <c r="AM1512"/>
    </row>
    <row r="1513" spans="39:39" x14ac:dyDescent="0.25">
      <c r="AM1513"/>
    </row>
    <row r="1514" spans="39:39" x14ac:dyDescent="0.25">
      <c r="AM1514"/>
    </row>
    <row r="1515" spans="39:39" x14ac:dyDescent="0.25">
      <c r="AM1515"/>
    </row>
    <row r="1516" spans="39:39" x14ac:dyDescent="0.25">
      <c r="AM1516"/>
    </row>
    <row r="1517" spans="39:39" x14ac:dyDescent="0.25">
      <c r="AM1517"/>
    </row>
    <row r="1518" spans="39:39" x14ac:dyDescent="0.25">
      <c r="AM1518"/>
    </row>
    <row r="1519" spans="39:39" x14ac:dyDescent="0.25">
      <c r="AM1519"/>
    </row>
    <row r="1520" spans="39:39" x14ac:dyDescent="0.25">
      <c r="AM1520"/>
    </row>
    <row r="1521" spans="39:39" x14ac:dyDescent="0.25">
      <c r="AM1521"/>
    </row>
    <row r="1522" spans="39:39" x14ac:dyDescent="0.25">
      <c r="AM1522"/>
    </row>
    <row r="1523" spans="39:39" x14ac:dyDescent="0.25">
      <c r="AM1523"/>
    </row>
    <row r="1524" spans="39:39" x14ac:dyDescent="0.25">
      <c r="AM1524"/>
    </row>
    <row r="1525" spans="39:39" x14ac:dyDescent="0.25">
      <c r="AM1525"/>
    </row>
    <row r="1526" spans="39:39" x14ac:dyDescent="0.25">
      <c r="AM1526"/>
    </row>
    <row r="1527" spans="39:39" x14ac:dyDescent="0.25">
      <c r="AM1527"/>
    </row>
    <row r="1528" spans="39:39" x14ac:dyDescent="0.25">
      <c r="AM1528"/>
    </row>
    <row r="1529" spans="39:39" x14ac:dyDescent="0.25">
      <c r="AM1529"/>
    </row>
    <row r="1530" spans="39:39" x14ac:dyDescent="0.25">
      <c r="AM1530"/>
    </row>
    <row r="1531" spans="39:39" x14ac:dyDescent="0.25">
      <c r="AM1531"/>
    </row>
    <row r="1532" spans="39:39" x14ac:dyDescent="0.25">
      <c r="AM1532"/>
    </row>
    <row r="1533" spans="39:39" x14ac:dyDescent="0.25">
      <c r="AM1533"/>
    </row>
    <row r="1534" spans="39:39" x14ac:dyDescent="0.25">
      <c r="AM1534"/>
    </row>
    <row r="1535" spans="39:39" x14ac:dyDescent="0.25">
      <c r="AM1535"/>
    </row>
    <row r="1536" spans="39:39" x14ac:dyDescent="0.25">
      <c r="AM1536"/>
    </row>
    <row r="1537" spans="39:39" x14ac:dyDescent="0.25">
      <c r="AM1537"/>
    </row>
    <row r="1538" spans="39:39" x14ac:dyDescent="0.25">
      <c r="AM1538"/>
    </row>
    <row r="1539" spans="39:39" x14ac:dyDescent="0.25">
      <c r="AM1539"/>
    </row>
    <row r="1540" spans="39:39" x14ac:dyDescent="0.25">
      <c r="AM1540"/>
    </row>
    <row r="1541" spans="39:39" x14ac:dyDescent="0.25">
      <c r="AM1541"/>
    </row>
    <row r="1542" spans="39:39" x14ac:dyDescent="0.25">
      <c r="AM1542"/>
    </row>
    <row r="1543" spans="39:39" x14ac:dyDescent="0.25">
      <c r="AM1543"/>
    </row>
    <row r="1544" spans="39:39" x14ac:dyDescent="0.25">
      <c r="AM1544"/>
    </row>
    <row r="1545" spans="39:39" x14ac:dyDescent="0.25">
      <c r="AM1545"/>
    </row>
    <row r="1546" spans="39:39" x14ac:dyDescent="0.25">
      <c r="AM1546"/>
    </row>
    <row r="1547" spans="39:39" x14ac:dyDescent="0.25">
      <c r="AM1547"/>
    </row>
    <row r="1548" spans="39:39" x14ac:dyDescent="0.25">
      <c r="AM1548"/>
    </row>
    <row r="1549" spans="39:39" x14ac:dyDescent="0.25">
      <c r="AM1549"/>
    </row>
    <row r="1550" spans="39:39" x14ac:dyDescent="0.25">
      <c r="AM1550"/>
    </row>
    <row r="1551" spans="39:39" x14ac:dyDescent="0.25">
      <c r="AM1551"/>
    </row>
    <row r="1552" spans="39:39" x14ac:dyDescent="0.25">
      <c r="AM1552"/>
    </row>
    <row r="1553" spans="39:39" x14ac:dyDescent="0.25">
      <c r="AM1553"/>
    </row>
    <row r="1554" spans="39:39" x14ac:dyDescent="0.25">
      <c r="AM1554"/>
    </row>
    <row r="1555" spans="39:39" x14ac:dyDescent="0.25">
      <c r="AM1555"/>
    </row>
    <row r="1556" spans="39:39" x14ac:dyDescent="0.25">
      <c r="AM1556"/>
    </row>
    <row r="1557" spans="39:39" x14ac:dyDescent="0.25">
      <c r="AM1557"/>
    </row>
    <row r="1558" spans="39:39" x14ac:dyDescent="0.25">
      <c r="AM1558"/>
    </row>
    <row r="1559" spans="39:39" x14ac:dyDescent="0.25">
      <c r="AM1559"/>
    </row>
    <row r="1560" spans="39:39" x14ac:dyDescent="0.25">
      <c r="AM1560"/>
    </row>
    <row r="1561" spans="39:39" x14ac:dyDescent="0.25">
      <c r="AM1561"/>
    </row>
    <row r="1562" spans="39:39" x14ac:dyDescent="0.25">
      <c r="AM1562"/>
    </row>
    <row r="1563" spans="39:39" x14ac:dyDescent="0.25">
      <c r="AM1563"/>
    </row>
    <row r="1564" spans="39:39" x14ac:dyDescent="0.25">
      <c r="AM1564"/>
    </row>
    <row r="1565" spans="39:39" x14ac:dyDescent="0.25">
      <c r="AM1565"/>
    </row>
    <row r="1566" spans="39:39" x14ac:dyDescent="0.25">
      <c r="AM1566"/>
    </row>
    <row r="1567" spans="39:39" x14ac:dyDescent="0.25">
      <c r="AM1567"/>
    </row>
    <row r="1568" spans="39:39" x14ac:dyDescent="0.25">
      <c r="AM1568"/>
    </row>
    <row r="1569" spans="39:39" x14ac:dyDescent="0.25">
      <c r="AM1569"/>
    </row>
    <row r="1570" spans="39:39" x14ac:dyDescent="0.25">
      <c r="AM1570"/>
    </row>
    <row r="1571" spans="39:39" x14ac:dyDescent="0.25">
      <c r="AM1571"/>
    </row>
    <row r="1572" spans="39:39" x14ac:dyDescent="0.25">
      <c r="AM1572"/>
    </row>
    <row r="1573" spans="39:39" x14ac:dyDescent="0.25">
      <c r="AM1573"/>
    </row>
    <row r="1574" spans="39:39" x14ac:dyDescent="0.25">
      <c r="AM1574"/>
    </row>
    <row r="1575" spans="39:39" x14ac:dyDescent="0.25">
      <c r="AM1575"/>
    </row>
    <row r="1576" spans="39:39" x14ac:dyDescent="0.25">
      <c r="AM1576"/>
    </row>
    <row r="1577" spans="39:39" x14ac:dyDescent="0.25">
      <c r="AM1577"/>
    </row>
    <row r="1578" spans="39:39" x14ac:dyDescent="0.25">
      <c r="AM1578"/>
    </row>
    <row r="1579" spans="39:39" x14ac:dyDescent="0.25">
      <c r="AM1579"/>
    </row>
    <row r="1580" spans="39:39" x14ac:dyDescent="0.25">
      <c r="AM1580"/>
    </row>
    <row r="1581" spans="39:39" x14ac:dyDescent="0.25">
      <c r="AM1581"/>
    </row>
    <row r="1582" spans="39:39" x14ac:dyDescent="0.25">
      <c r="AM1582"/>
    </row>
    <row r="1583" spans="39:39" x14ac:dyDescent="0.25">
      <c r="AM1583"/>
    </row>
    <row r="1584" spans="39:39" x14ac:dyDescent="0.25">
      <c r="AM1584"/>
    </row>
    <row r="1585" spans="39:39" x14ac:dyDescent="0.25">
      <c r="AM1585"/>
    </row>
    <row r="1586" spans="39:39" x14ac:dyDescent="0.25">
      <c r="AM1586"/>
    </row>
    <row r="1587" spans="39:39" x14ac:dyDescent="0.25">
      <c r="AM1587"/>
    </row>
    <row r="1588" spans="39:39" x14ac:dyDescent="0.25">
      <c r="AM1588"/>
    </row>
    <row r="1589" spans="39:39" x14ac:dyDescent="0.25">
      <c r="AM1589"/>
    </row>
    <row r="1590" spans="39:39" x14ac:dyDescent="0.25">
      <c r="AM1590"/>
    </row>
    <row r="1591" spans="39:39" x14ac:dyDescent="0.25">
      <c r="AM1591"/>
    </row>
    <row r="1592" spans="39:39" x14ac:dyDescent="0.25">
      <c r="AM1592"/>
    </row>
    <row r="1593" spans="39:39" x14ac:dyDescent="0.25">
      <c r="AM1593"/>
    </row>
    <row r="1594" spans="39:39" x14ac:dyDescent="0.25">
      <c r="AM1594"/>
    </row>
    <row r="1595" spans="39:39" x14ac:dyDescent="0.25">
      <c r="AM1595"/>
    </row>
    <row r="1596" spans="39:39" x14ac:dyDescent="0.25">
      <c r="AM1596"/>
    </row>
    <row r="1597" spans="39:39" x14ac:dyDescent="0.25">
      <c r="AM1597"/>
    </row>
    <row r="1598" spans="39:39" x14ac:dyDescent="0.25">
      <c r="AM1598"/>
    </row>
    <row r="1599" spans="39:39" x14ac:dyDescent="0.25">
      <c r="AM1599"/>
    </row>
    <row r="1600" spans="39:39" x14ac:dyDescent="0.25">
      <c r="AM1600"/>
    </row>
    <row r="1601" spans="39:39" x14ac:dyDescent="0.25">
      <c r="AM1601"/>
    </row>
    <row r="1602" spans="39:39" x14ac:dyDescent="0.25">
      <c r="AM1602"/>
    </row>
    <row r="1603" spans="39:39" x14ac:dyDescent="0.25">
      <c r="AM1603"/>
    </row>
    <row r="1604" spans="39:39" x14ac:dyDescent="0.25">
      <c r="AM1604"/>
    </row>
    <row r="1605" spans="39:39" x14ac:dyDescent="0.25">
      <c r="AM1605"/>
    </row>
    <row r="1606" spans="39:39" x14ac:dyDescent="0.25">
      <c r="AM1606"/>
    </row>
    <row r="1607" spans="39:39" x14ac:dyDescent="0.25">
      <c r="AM1607"/>
    </row>
    <row r="1608" spans="39:39" x14ac:dyDescent="0.25">
      <c r="AM1608"/>
    </row>
    <row r="1609" spans="39:39" x14ac:dyDescent="0.25">
      <c r="AM1609"/>
    </row>
    <row r="1610" spans="39:39" x14ac:dyDescent="0.25">
      <c r="AM1610"/>
    </row>
    <row r="1611" spans="39:39" x14ac:dyDescent="0.25">
      <c r="AM1611"/>
    </row>
    <row r="1612" spans="39:39" x14ac:dyDescent="0.25">
      <c r="AM1612"/>
    </row>
    <row r="1613" spans="39:39" x14ac:dyDescent="0.25">
      <c r="AM1613"/>
    </row>
    <row r="1614" spans="39:39" x14ac:dyDescent="0.25">
      <c r="AM1614"/>
    </row>
    <row r="1615" spans="39:39" x14ac:dyDescent="0.25">
      <c r="AM1615"/>
    </row>
    <row r="1616" spans="39:39" x14ac:dyDescent="0.25">
      <c r="AM1616"/>
    </row>
    <row r="1617" spans="39:39" x14ac:dyDescent="0.25">
      <c r="AM1617"/>
    </row>
    <row r="1618" spans="39:39" x14ac:dyDescent="0.25">
      <c r="AM1618"/>
    </row>
    <row r="1619" spans="39:39" x14ac:dyDescent="0.25">
      <c r="AM1619"/>
    </row>
    <row r="1620" spans="39:39" x14ac:dyDescent="0.25">
      <c r="AM1620"/>
    </row>
    <row r="1621" spans="39:39" x14ac:dyDescent="0.25">
      <c r="AM1621"/>
    </row>
    <row r="1622" spans="39:39" x14ac:dyDescent="0.25">
      <c r="AM1622"/>
    </row>
    <row r="1623" spans="39:39" x14ac:dyDescent="0.25">
      <c r="AM1623"/>
    </row>
    <row r="1624" spans="39:39" x14ac:dyDescent="0.25">
      <c r="AM1624"/>
    </row>
    <row r="1625" spans="39:39" x14ac:dyDescent="0.25">
      <c r="AM1625"/>
    </row>
    <row r="1626" spans="39:39" x14ac:dyDescent="0.25">
      <c r="AM1626"/>
    </row>
    <row r="1627" spans="39:39" x14ac:dyDescent="0.25">
      <c r="AM1627"/>
    </row>
    <row r="1628" spans="39:39" x14ac:dyDescent="0.25">
      <c r="AM1628"/>
    </row>
    <row r="1629" spans="39:39" x14ac:dyDescent="0.25">
      <c r="AM1629"/>
    </row>
    <row r="1630" spans="39:39" x14ac:dyDescent="0.25">
      <c r="AM1630"/>
    </row>
    <row r="1631" spans="39:39" x14ac:dyDescent="0.25">
      <c r="AM1631"/>
    </row>
    <row r="1632" spans="39:39" x14ac:dyDescent="0.25">
      <c r="AM1632"/>
    </row>
    <row r="1633" spans="39:39" x14ac:dyDescent="0.25">
      <c r="AM1633"/>
    </row>
    <row r="1634" spans="39:39" x14ac:dyDescent="0.25">
      <c r="AM1634"/>
    </row>
    <row r="1635" spans="39:39" x14ac:dyDescent="0.25">
      <c r="AM1635"/>
    </row>
    <row r="1636" spans="39:39" x14ac:dyDescent="0.25">
      <c r="AM1636"/>
    </row>
    <row r="1637" spans="39:39" x14ac:dyDescent="0.25">
      <c r="AM1637"/>
    </row>
    <row r="1638" spans="39:39" x14ac:dyDescent="0.25">
      <c r="AM1638"/>
    </row>
    <row r="1639" spans="39:39" x14ac:dyDescent="0.25">
      <c r="AM1639"/>
    </row>
    <row r="1640" spans="39:39" x14ac:dyDescent="0.25">
      <c r="AM1640"/>
    </row>
    <row r="1641" spans="39:39" x14ac:dyDescent="0.25">
      <c r="AM1641"/>
    </row>
    <row r="1642" spans="39:39" x14ac:dyDescent="0.25">
      <c r="AM1642"/>
    </row>
    <row r="1643" spans="39:39" x14ac:dyDescent="0.25">
      <c r="AM1643"/>
    </row>
    <row r="1644" spans="39:39" x14ac:dyDescent="0.25">
      <c r="AM1644"/>
    </row>
    <row r="1645" spans="39:39" x14ac:dyDescent="0.25">
      <c r="AM1645"/>
    </row>
    <row r="1646" spans="39:39" x14ac:dyDescent="0.25">
      <c r="AM1646"/>
    </row>
    <row r="1647" spans="39:39" x14ac:dyDescent="0.25">
      <c r="AM1647"/>
    </row>
    <row r="1648" spans="39:39" x14ac:dyDescent="0.25">
      <c r="AM1648"/>
    </row>
    <row r="1649" spans="39:39" x14ac:dyDescent="0.25">
      <c r="AM1649"/>
    </row>
    <row r="1650" spans="39:39" x14ac:dyDescent="0.25">
      <c r="AM1650"/>
    </row>
    <row r="1651" spans="39:39" x14ac:dyDescent="0.25">
      <c r="AM1651"/>
    </row>
    <row r="1652" spans="39:39" x14ac:dyDescent="0.25">
      <c r="AM1652"/>
    </row>
    <row r="1653" spans="39:39" x14ac:dyDescent="0.25">
      <c r="AM1653"/>
    </row>
    <row r="1654" spans="39:39" x14ac:dyDescent="0.25">
      <c r="AM1654"/>
    </row>
    <row r="1655" spans="39:39" x14ac:dyDescent="0.25">
      <c r="AM1655"/>
    </row>
    <row r="1656" spans="39:39" x14ac:dyDescent="0.25">
      <c r="AM1656"/>
    </row>
    <row r="1657" spans="39:39" x14ac:dyDescent="0.25">
      <c r="AM1657"/>
    </row>
    <row r="1658" spans="39:39" x14ac:dyDescent="0.25">
      <c r="AM1658"/>
    </row>
    <row r="1659" spans="39:39" x14ac:dyDescent="0.25">
      <c r="AM1659"/>
    </row>
    <row r="1660" spans="39:39" x14ac:dyDescent="0.25">
      <c r="AM1660"/>
    </row>
    <row r="1661" spans="39:39" x14ac:dyDescent="0.25">
      <c r="AM1661"/>
    </row>
    <row r="1662" spans="39:39" x14ac:dyDescent="0.25">
      <c r="AM1662"/>
    </row>
    <row r="1663" spans="39:39" x14ac:dyDescent="0.25">
      <c r="AM1663"/>
    </row>
    <row r="1664" spans="39:39" x14ac:dyDescent="0.25">
      <c r="AM1664"/>
    </row>
    <row r="1665" spans="39:39" x14ac:dyDescent="0.25">
      <c r="AM1665"/>
    </row>
    <row r="1666" spans="39:39" x14ac:dyDescent="0.25">
      <c r="AM1666"/>
    </row>
    <row r="1667" spans="39:39" x14ac:dyDescent="0.25">
      <c r="AM1667"/>
    </row>
    <row r="1668" spans="39:39" x14ac:dyDescent="0.25">
      <c r="AM1668"/>
    </row>
    <row r="1669" spans="39:39" x14ac:dyDescent="0.25">
      <c r="AM1669"/>
    </row>
    <row r="1670" spans="39:39" x14ac:dyDescent="0.25">
      <c r="AM1670"/>
    </row>
    <row r="1671" spans="39:39" x14ac:dyDescent="0.25">
      <c r="AM1671"/>
    </row>
    <row r="1672" spans="39:39" x14ac:dyDescent="0.25">
      <c r="AM1672"/>
    </row>
    <row r="1673" spans="39:39" x14ac:dyDescent="0.25">
      <c r="AM1673"/>
    </row>
    <row r="1674" spans="39:39" x14ac:dyDescent="0.25">
      <c r="AM1674"/>
    </row>
    <row r="1675" spans="39:39" x14ac:dyDescent="0.25">
      <c r="AM1675"/>
    </row>
    <row r="1676" spans="39:39" x14ac:dyDescent="0.25">
      <c r="AM1676"/>
    </row>
    <row r="1677" spans="39:39" x14ac:dyDescent="0.25">
      <c r="AM1677"/>
    </row>
    <row r="1678" spans="39:39" x14ac:dyDescent="0.25">
      <c r="AM1678"/>
    </row>
    <row r="1679" spans="39:39" x14ac:dyDescent="0.25">
      <c r="AM1679"/>
    </row>
    <row r="1680" spans="39:39" x14ac:dyDescent="0.25">
      <c r="AM1680"/>
    </row>
    <row r="1681" spans="39:39" x14ac:dyDescent="0.25">
      <c r="AM1681"/>
    </row>
    <row r="1682" spans="39:39" x14ac:dyDescent="0.25">
      <c r="AM1682"/>
    </row>
    <row r="1683" spans="39:39" x14ac:dyDescent="0.25">
      <c r="AM1683"/>
    </row>
    <row r="1684" spans="39:39" x14ac:dyDescent="0.25">
      <c r="AM1684"/>
    </row>
    <row r="1685" spans="39:39" x14ac:dyDescent="0.25">
      <c r="AM1685"/>
    </row>
    <row r="1686" spans="39:39" x14ac:dyDescent="0.25">
      <c r="AM1686"/>
    </row>
    <row r="1687" spans="39:39" x14ac:dyDescent="0.25">
      <c r="AM1687"/>
    </row>
    <row r="1688" spans="39:39" x14ac:dyDescent="0.25">
      <c r="AM1688"/>
    </row>
    <row r="1689" spans="39:39" x14ac:dyDescent="0.25">
      <c r="AM1689"/>
    </row>
    <row r="1690" spans="39:39" x14ac:dyDescent="0.25">
      <c r="AM1690"/>
    </row>
    <row r="1691" spans="39:39" x14ac:dyDescent="0.25">
      <c r="AM1691"/>
    </row>
    <row r="1692" spans="39:39" x14ac:dyDescent="0.25">
      <c r="AM1692"/>
    </row>
    <row r="1693" spans="39:39" x14ac:dyDescent="0.25">
      <c r="AM1693"/>
    </row>
    <row r="1694" spans="39:39" x14ac:dyDescent="0.25">
      <c r="AM1694"/>
    </row>
    <row r="1695" spans="39:39" x14ac:dyDescent="0.25">
      <c r="AM1695"/>
    </row>
    <row r="1696" spans="39:39" x14ac:dyDescent="0.25">
      <c r="AM1696"/>
    </row>
    <row r="1697" spans="39:39" x14ac:dyDescent="0.25">
      <c r="AM1697"/>
    </row>
    <row r="1698" spans="39:39" x14ac:dyDescent="0.25">
      <c r="AM1698"/>
    </row>
    <row r="1699" spans="39:39" x14ac:dyDescent="0.25">
      <c r="AM1699"/>
    </row>
    <row r="1700" spans="39:39" x14ac:dyDescent="0.25">
      <c r="AM1700"/>
    </row>
    <row r="1701" spans="39:39" x14ac:dyDescent="0.25">
      <c r="AM1701"/>
    </row>
    <row r="1702" spans="39:39" x14ac:dyDescent="0.25">
      <c r="AM1702"/>
    </row>
    <row r="1703" spans="39:39" x14ac:dyDescent="0.25">
      <c r="AM1703"/>
    </row>
    <row r="1704" spans="39:39" x14ac:dyDescent="0.25">
      <c r="AM1704"/>
    </row>
    <row r="1705" spans="39:39" x14ac:dyDescent="0.25">
      <c r="AM1705"/>
    </row>
    <row r="1706" spans="39:39" x14ac:dyDescent="0.25">
      <c r="AM1706"/>
    </row>
    <row r="1707" spans="39:39" x14ac:dyDescent="0.25">
      <c r="AM1707"/>
    </row>
    <row r="1708" spans="39:39" x14ac:dyDescent="0.25">
      <c r="AM1708"/>
    </row>
    <row r="1709" spans="39:39" x14ac:dyDescent="0.25">
      <c r="AM1709"/>
    </row>
    <row r="1710" spans="39:39" x14ac:dyDescent="0.25">
      <c r="AM1710"/>
    </row>
    <row r="1711" spans="39:39" x14ac:dyDescent="0.25">
      <c r="AM1711"/>
    </row>
    <row r="1712" spans="39:39" x14ac:dyDescent="0.25">
      <c r="AM1712"/>
    </row>
    <row r="1713" spans="39:39" x14ac:dyDescent="0.25">
      <c r="AM1713"/>
    </row>
    <row r="1714" spans="39:39" x14ac:dyDescent="0.25">
      <c r="AM1714"/>
    </row>
    <row r="1715" spans="39:39" x14ac:dyDescent="0.25">
      <c r="AM1715"/>
    </row>
    <row r="1716" spans="39:39" x14ac:dyDescent="0.25">
      <c r="AM1716"/>
    </row>
    <row r="1717" spans="39:39" x14ac:dyDescent="0.25">
      <c r="AM1717"/>
    </row>
    <row r="1718" spans="39:39" x14ac:dyDescent="0.25">
      <c r="AM1718"/>
    </row>
    <row r="1719" spans="39:39" x14ac:dyDescent="0.25">
      <c r="AM1719"/>
    </row>
    <row r="1720" spans="39:39" x14ac:dyDescent="0.25">
      <c r="AM1720"/>
    </row>
    <row r="1721" spans="39:39" x14ac:dyDescent="0.25">
      <c r="AM1721"/>
    </row>
    <row r="1722" spans="39:39" x14ac:dyDescent="0.25">
      <c r="AM1722"/>
    </row>
    <row r="1723" spans="39:39" x14ac:dyDescent="0.25">
      <c r="AM1723"/>
    </row>
    <row r="1724" spans="39:39" x14ac:dyDescent="0.25">
      <c r="AM1724"/>
    </row>
    <row r="1725" spans="39:39" x14ac:dyDescent="0.25">
      <c r="AM1725"/>
    </row>
    <row r="1726" spans="39:39" x14ac:dyDescent="0.25">
      <c r="AM1726"/>
    </row>
    <row r="1727" spans="39:39" x14ac:dyDescent="0.25">
      <c r="AM1727"/>
    </row>
    <row r="1728" spans="39:39" x14ac:dyDescent="0.25">
      <c r="AM1728"/>
    </row>
    <row r="1729" spans="39:39" x14ac:dyDescent="0.25">
      <c r="AM1729"/>
    </row>
    <row r="1730" spans="39:39" x14ac:dyDescent="0.25">
      <c r="AM1730"/>
    </row>
    <row r="1731" spans="39:39" x14ac:dyDescent="0.25">
      <c r="AM1731"/>
    </row>
    <row r="1732" spans="39:39" x14ac:dyDescent="0.25">
      <c r="AM1732"/>
    </row>
    <row r="1733" spans="39:39" x14ac:dyDescent="0.25">
      <c r="AM1733"/>
    </row>
    <row r="1734" spans="39:39" x14ac:dyDescent="0.25">
      <c r="AM1734"/>
    </row>
    <row r="1735" spans="39:39" x14ac:dyDescent="0.25">
      <c r="AM1735"/>
    </row>
    <row r="1736" spans="39:39" x14ac:dyDescent="0.25">
      <c r="AM1736"/>
    </row>
    <row r="1737" spans="39:39" x14ac:dyDescent="0.25">
      <c r="AM1737"/>
    </row>
    <row r="1738" spans="39:39" x14ac:dyDescent="0.25">
      <c r="AM1738"/>
    </row>
    <row r="1739" spans="39:39" x14ac:dyDescent="0.25">
      <c r="AM1739"/>
    </row>
    <row r="1740" spans="39:39" x14ac:dyDescent="0.25">
      <c r="AM1740"/>
    </row>
    <row r="1741" spans="39:39" x14ac:dyDescent="0.25">
      <c r="AM1741"/>
    </row>
    <row r="1742" spans="39:39" x14ac:dyDescent="0.25">
      <c r="AM1742"/>
    </row>
    <row r="1743" spans="39:39" x14ac:dyDescent="0.25">
      <c r="AM1743"/>
    </row>
    <row r="1744" spans="39:39" x14ac:dyDescent="0.25">
      <c r="AM1744"/>
    </row>
    <row r="1745" spans="39:39" x14ac:dyDescent="0.25">
      <c r="AM1745"/>
    </row>
    <row r="1746" spans="39:39" x14ac:dyDescent="0.25">
      <c r="AM1746"/>
    </row>
    <row r="1747" spans="39:39" x14ac:dyDescent="0.25">
      <c r="AM1747"/>
    </row>
    <row r="1748" spans="39:39" x14ac:dyDescent="0.25">
      <c r="AM1748"/>
    </row>
    <row r="1749" spans="39:39" x14ac:dyDescent="0.25">
      <c r="AM1749"/>
    </row>
    <row r="1750" spans="39:39" x14ac:dyDescent="0.25">
      <c r="AM1750"/>
    </row>
    <row r="1751" spans="39:39" x14ac:dyDescent="0.25">
      <c r="AM1751"/>
    </row>
    <row r="1752" spans="39:39" x14ac:dyDescent="0.25">
      <c r="AM1752"/>
    </row>
    <row r="1753" spans="39:39" x14ac:dyDescent="0.25">
      <c r="AM1753"/>
    </row>
    <row r="1754" spans="39:39" x14ac:dyDescent="0.25">
      <c r="AM1754"/>
    </row>
    <row r="1755" spans="39:39" x14ac:dyDescent="0.25">
      <c r="AM1755"/>
    </row>
    <row r="1756" spans="39:39" x14ac:dyDescent="0.25">
      <c r="AM1756"/>
    </row>
    <row r="1757" spans="39:39" x14ac:dyDescent="0.25">
      <c r="AM1757"/>
    </row>
    <row r="1758" spans="39:39" x14ac:dyDescent="0.25">
      <c r="AM1758"/>
    </row>
    <row r="1759" spans="39:39" x14ac:dyDescent="0.25">
      <c r="AM1759"/>
    </row>
    <row r="1760" spans="39:39" x14ac:dyDescent="0.25">
      <c r="AM1760"/>
    </row>
    <row r="1761" spans="39:39" x14ac:dyDescent="0.25">
      <c r="AM1761"/>
    </row>
    <row r="1762" spans="39:39" x14ac:dyDescent="0.25">
      <c r="AM1762"/>
    </row>
    <row r="1763" spans="39:39" x14ac:dyDescent="0.25">
      <c r="AM1763"/>
    </row>
    <row r="1764" spans="39:39" x14ac:dyDescent="0.25">
      <c r="AM1764"/>
    </row>
    <row r="1765" spans="39:39" x14ac:dyDescent="0.25">
      <c r="AM1765"/>
    </row>
    <row r="1766" spans="39:39" x14ac:dyDescent="0.25">
      <c r="AM1766"/>
    </row>
    <row r="1767" spans="39:39" x14ac:dyDescent="0.25">
      <c r="AM1767"/>
    </row>
    <row r="1768" spans="39:39" x14ac:dyDescent="0.25">
      <c r="AM1768"/>
    </row>
    <row r="1769" spans="39:39" x14ac:dyDescent="0.25">
      <c r="AM1769"/>
    </row>
    <row r="1770" spans="39:39" x14ac:dyDescent="0.25">
      <c r="AM1770"/>
    </row>
    <row r="1771" spans="39:39" x14ac:dyDescent="0.25">
      <c r="AM1771"/>
    </row>
    <row r="1772" spans="39:39" x14ac:dyDescent="0.25">
      <c r="AM1772"/>
    </row>
    <row r="1773" spans="39:39" x14ac:dyDescent="0.25">
      <c r="AM1773"/>
    </row>
    <row r="1774" spans="39:39" x14ac:dyDescent="0.25">
      <c r="AM1774"/>
    </row>
    <row r="1775" spans="39:39" x14ac:dyDescent="0.25">
      <c r="AM1775"/>
    </row>
    <row r="1776" spans="39:39" x14ac:dyDescent="0.25">
      <c r="AM1776"/>
    </row>
    <row r="1777" spans="39:39" x14ac:dyDescent="0.25">
      <c r="AM1777"/>
    </row>
    <row r="1778" spans="39:39" x14ac:dyDescent="0.25">
      <c r="AM1778"/>
    </row>
    <row r="1779" spans="39:39" x14ac:dyDescent="0.25">
      <c r="AM1779"/>
    </row>
    <row r="1780" spans="39:39" x14ac:dyDescent="0.25">
      <c r="AM1780"/>
    </row>
    <row r="1781" spans="39:39" x14ac:dyDescent="0.25">
      <c r="AM1781"/>
    </row>
    <row r="1782" spans="39:39" x14ac:dyDescent="0.25">
      <c r="AM1782"/>
    </row>
    <row r="1783" spans="39:39" x14ac:dyDescent="0.25">
      <c r="AM1783"/>
    </row>
    <row r="1784" spans="39:39" x14ac:dyDescent="0.25">
      <c r="AM1784"/>
    </row>
    <row r="1785" spans="39:39" x14ac:dyDescent="0.25">
      <c r="AM1785"/>
    </row>
    <row r="1786" spans="39:39" x14ac:dyDescent="0.25">
      <c r="AM1786"/>
    </row>
    <row r="1787" spans="39:39" x14ac:dyDescent="0.25">
      <c r="AM1787"/>
    </row>
    <row r="1788" spans="39:39" x14ac:dyDescent="0.25">
      <c r="AM1788"/>
    </row>
    <row r="1789" spans="39:39" x14ac:dyDescent="0.25">
      <c r="AM1789"/>
    </row>
    <row r="1790" spans="39:39" x14ac:dyDescent="0.25">
      <c r="AM1790"/>
    </row>
    <row r="1791" spans="39:39" x14ac:dyDescent="0.25">
      <c r="AM1791"/>
    </row>
    <row r="1792" spans="39:39" x14ac:dyDescent="0.25">
      <c r="AM1792"/>
    </row>
    <row r="1793" spans="39:39" x14ac:dyDescent="0.25">
      <c r="AM1793"/>
    </row>
    <row r="1794" spans="39:39" x14ac:dyDescent="0.25">
      <c r="AM1794"/>
    </row>
    <row r="1795" spans="39:39" x14ac:dyDescent="0.25">
      <c r="AM1795"/>
    </row>
    <row r="1796" spans="39:39" x14ac:dyDescent="0.25">
      <c r="AM1796"/>
    </row>
    <row r="1797" spans="39:39" x14ac:dyDescent="0.25">
      <c r="AM1797"/>
    </row>
    <row r="1798" spans="39:39" x14ac:dyDescent="0.25">
      <c r="AM1798"/>
    </row>
    <row r="1799" spans="39:39" x14ac:dyDescent="0.25">
      <c r="AM1799"/>
    </row>
    <row r="1800" spans="39:39" x14ac:dyDescent="0.25">
      <c r="AM1800"/>
    </row>
    <row r="1801" spans="39:39" x14ac:dyDescent="0.25">
      <c r="AM1801"/>
    </row>
    <row r="1802" spans="39:39" x14ac:dyDescent="0.25">
      <c r="AM1802"/>
    </row>
    <row r="1803" spans="39:39" x14ac:dyDescent="0.25">
      <c r="AM1803"/>
    </row>
    <row r="1804" spans="39:39" x14ac:dyDescent="0.25">
      <c r="AM1804"/>
    </row>
    <row r="1805" spans="39:39" x14ac:dyDescent="0.25">
      <c r="AM1805"/>
    </row>
    <row r="1806" spans="39:39" x14ac:dyDescent="0.25">
      <c r="AM1806"/>
    </row>
    <row r="1807" spans="39:39" x14ac:dyDescent="0.25">
      <c r="AM1807"/>
    </row>
    <row r="1808" spans="39:39" x14ac:dyDescent="0.25">
      <c r="AM1808"/>
    </row>
    <row r="1809" spans="39:39" x14ac:dyDescent="0.25">
      <c r="AM1809"/>
    </row>
    <row r="1810" spans="39:39" x14ac:dyDescent="0.25">
      <c r="AM1810"/>
    </row>
    <row r="1811" spans="39:39" x14ac:dyDescent="0.25">
      <c r="AM1811"/>
    </row>
    <row r="1812" spans="39:39" x14ac:dyDescent="0.25">
      <c r="AM1812"/>
    </row>
    <row r="1813" spans="39:39" x14ac:dyDescent="0.25">
      <c r="AM1813"/>
    </row>
    <row r="1814" spans="39:39" x14ac:dyDescent="0.25">
      <c r="AM1814"/>
    </row>
    <row r="1815" spans="39:39" x14ac:dyDescent="0.25">
      <c r="AM1815"/>
    </row>
    <row r="1816" spans="39:39" x14ac:dyDescent="0.25">
      <c r="AM1816"/>
    </row>
    <row r="1817" spans="39:39" x14ac:dyDescent="0.25">
      <c r="AM1817"/>
    </row>
    <row r="1818" spans="39:39" x14ac:dyDescent="0.25">
      <c r="AM1818"/>
    </row>
    <row r="1819" spans="39:39" x14ac:dyDescent="0.25">
      <c r="AM1819"/>
    </row>
    <row r="1820" spans="39:39" x14ac:dyDescent="0.25">
      <c r="AM1820"/>
    </row>
    <row r="1821" spans="39:39" x14ac:dyDescent="0.25">
      <c r="AM1821"/>
    </row>
    <row r="1822" spans="39:39" x14ac:dyDescent="0.25">
      <c r="AM1822"/>
    </row>
    <row r="1823" spans="39:39" x14ac:dyDescent="0.25">
      <c r="AM1823"/>
    </row>
    <row r="1824" spans="39:39" x14ac:dyDescent="0.25">
      <c r="AM1824"/>
    </row>
    <row r="1825" spans="39:39" x14ac:dyDescent="0.25">
      <c r="AM1825"/>
    </row>
    <row r="1826" spans="39:39" x14ac:dyDescent="0.25">
      <c r="AM1826"/>
    </row>
    <row r="1827" spans="39:39" x14ac:dyDescent="0.25">
      <c r="AM1827"/>
    </row>
    <row r="1828" spans="39:39" x14ac:dyDescent="0.25">
      <c r="AM1828"/>
    </row>
    <row r="1829" spans="39:39" x14ac:dyDescent="0.25">
      <c r="AM1829"/>
    </row>
    <row r="1830" spans="39:39" x14ac:dyDescent="0.25">
      <c r="AM1830"/>
    </row>
    <row r="1831" spans="39:39" x14ac:dyDescent="0.25">
      <c r="AM1831"/>
    </row>
    <row r="1832" spans="39:39" x14ac:dyDescent="0.25">
      <c r="AM1832"/>
    </row>
    <row r="1833" spans="39:39" x14ac:dyDescent="0.25">
      <c r="AM1833"/>
    </row>
    <row r="1834" spans="39:39" x14ac:dyDescent="0.25">
      <c r="AM1834"/>
    </row>
    <row r="1835" spans="39:39" x14ac:dyDescent="0.25">
      <c r="AM1835"/>
    </row>
    <row r="1836" spans="39:39" x14ac:dyDescent="0.25">
      <c r="AM1836"/>
    </row>
    <row r="1837" spans="39:39" x14ac:dyDescent="0.25">
      <c r="AM1837"/>
    </row>
    <row r="1838" spans="39:39" x14ac:dyDescent="0.25">
      <c r="AM1838"/>
    </row>
    <row r="1839" spans="39:39" x14ac:dyDescent="0.25">
      <c r="AM1839"/>
    </row>
    <row r="1840" spans="39:39" x14ac:dyDescent="0.25">
      <c r="AM1840"/>
    </row>
    <row r="1841" spans="39:39" x14ac:dyDescent="0.25">
      <c r="AM1841"/>
    </row>
    <row r="1842" spans="39:39" x14ac:dyDescent="0.25">
      <c r="AM1842"/>
    </row>
    <row r="1843" spans="39:39" x14ac:dyDescent="0.25">
      <c r="AM1843"/>
    </row>
    <row r="1844" spans="39:39" x14ac:dyDescent="0.25">
      <c r="AM1844"/>
    </row>
    <row r="1845" spans="39:39" x14ac:dyDescent="0.25">
      <c r="AM1845"/>
    </row>
    <row r="1846" spans="39:39" x14ac:dyDescent="0.25">
      <c r="AM1846"/>
    </row>
    <row r="1847" spans="39:39" x14ac:dyDescent="0.25">
      <c r="AM1847"/>
    </row>
    <row r="1848" spans="39:39" x14ac:dyDescent="0.25">
      <c r="AM1848"/>
    </row>
    <row r="1849" spans="39:39" x14ac:dyDescent="0.25">
      <c r="AM1849"/>
    </row>
    <row r="1850" spans="39:39" x14ac:dyDescent="0.25">
      <c r="AM1850"/>
    </row>
    <row r="1851" spans="39:39" x14ac:dyDescent="0.25">
      <c r="AM1851"/>
    </row>
    <row r="1852" spans="39:39" x14ac:dyDescent="0.25">
      <c r="AM1852"/>
    </row>
    <row r="1853" spans="39:39" x14ac:dyDescent="0.25">
      <c r="AM1853"/>
    </row>
    <row r="1854" spans="39:39" x14ac:dyDescent="0.25">
      <c r="AM1854"/>
    </row>
    <row r="1855" spans="39:39" x14ac:dyDescent="0.25">
      <c r="AM1855"/>
    </row>
    <row r="1856" spans="39:39" x14ac:dyDescent="0.25">
      <c r="AM1856"/>
    </row>
    <row r="1857" spans="39:39" x14ac:dyDescent="0.25">
      <c r="AM1857"/>
    </row>
    <row r="1858" spans="39:39" x14ac:dyDescent="0.25">
      <c r="AM1858"/>
    </row>
    <row r="1859" spans="39:39" x14ac:dyDescent="0.25">
      <c r="AM1859"/>
    </row>
    <row r="1860" spans="39:39" x14ac:dyDescent="0.25">
      <c r="AM1860"/>
    </row>
    <row r="1861" spans="39:39" x14ac:dyDescent="0.25">
      <c r="AM1861"/>
    </row>
    <row r="1862" spans="39:39" x14ac:dyDescent="0.25">
      <c r="AM1862"/>
    </row>
    <row r="1863" spans="39:39" x14ac:dyDescent="0.25">
      <c r="AM1863"/>
    </row>
    <row r="1864" spans="39:39" x14ac:dyDescent="0.25">
      <c r="AM1864"/>
    </row>
    <row r="1865" spans="39:39" x14ac:dyDescent="0.25">
      <c r="AM1865"/>
    </row>
    <row r="1866" spans="39:39" x14ac:dyDescent="0.25">
      <c r="AM1866"/>
    </row>
    <row r="1867" spans="39:39" x14ac:dyDescent="0.25">
      <c r="AM1867"/>
    </row>
    <row r="1868" spans="39:39" x14ac:dyDescent="0.25">
      <c r="AM1868"/>
    </row>
    <row r="1869" spans="39:39" x14ac:dyDescent="0.25">
      <c r="AM1869"/>
    </row>
    <row r="1870" spans="39:39" x14ac:dyDescent="0.25">
      <c r="AM1870"/>
    </row>
    <row r="1871" spans="39:39" x14ac:dyDescent="0.25">
      <c r="AM1871"/>
    </row>
    <row r="1872" spans="39:39" x14ac:dyDescent="0.25">
      <c r="AM1872"/>
    </row>
    <row r="1873" spans="39:39" x14ac:dyDescent="0.25">
      <c r="AM1873"/>
    </row>
    <row r="1874" spans="39:39" x14ac:dyDescent="0.25">
      <c r="AM1874"/>
    </row>
    <row r="1875" spans="39:39" x14ac:dyDescent="0.25">
      <c r="AM1875"/>
    </row>
    <row r="1876" spans="39:39" x14ac:dyDescent="0.25">
      <c r="AM1876"/>
    </row>
    <row r="1877" spans="39:39" x14ac:dyDescent="0.25">
      <c r="AM1877"/>
    </row>
    <row r="1878" spans="39:39" x14ac:dyDescent="0.25">
      <c r="AM1878"/>
    </row>
    <row r="1879" spans="39:39" x14ac:dyDescent="0.25">
      <c r="AM1879"/>
    </row>
    <row r="1880" spans="39:39" x14ac:dyDescent="0.25">
      <c r="AM1880"/>
    </row>
    <row r="1881" spans="39:39" x14ac:dyDescent="0.25">
      <c r="AM1881"/>
    </row>
    <row r="1882" spans="39:39" x14ac:dyDescent="0.25">
      <c r="AM1882"/>
    </row>
    <row r="1883" spans="39:39" x14ac:dyDescent="0.25">
      <c r="AM1883"/>
    </row>
    <row r="1884" spans="39:39" x14ac:dyDescent="0.25">
      <c r="AM1884"/>
    </row>
    <row r="1885" spans="39:39" x14ac:dyDescent="0.25">
      <c r="AM1885"/>
    </row>
    <row r="1886" spans="39:39" x14ac:dyDescent="0.25">
      <c r="AM1886"/>
    </row>
    <row r="1887" spans="39:39" x14ac:dyDescent="0.25">
      <c r="AM1887"/>
    </row>
    <row r="1888" spans="39:39" x14ac:dyDescent="0.25">
      <c r="AM1888"/>
    </row>
    <row r="1889" spans="39:39" x14ac:dyDescent="0.25">
      <c r="AM1889"/>
    </row>
    <row r="1890" spans="39:39" x14ac:dyDescent="0.25">
      <c r="AM1890"/>
    </row>
    <row r="1891" spans="39:39" x14ac:dyDescent="0.25">
      <c r="AM1891"/>
    </row>
    <row r="1892" spans="39:39" x14ac:dyDescent="0.25">
      <c r="AM1892"/>
    </row>
    <row r="1893" spans="39:39" x14ac:dyDescent="0.25">
      <c r="AM1893"/>
    </row>
    <row r="1894" spans="39:39" x14ac:dyDescent="0.25">
      <c r="AM1894"/>
    </row>
    <row r="1895" spans="39:39" x14ac:dyDescent="0.25">
      <c r="AM1895"/>
    </row>
    <row r="1896" spans="39:39" x14ac:dyDescent="0.25">
      <c r="AM1896"/>
    </row>
    <row r="1897" spans="39:39" x14ac:dyDescent="0.25">
      <c r="AM1897"/>
    </row>
    <row r="1898" spans="39:39" x14ac:dyDescent="0.25">
      <c r="AM1898"/>
    </row>
    <row r="1899" spans="39:39" x14ac:dyDescent="0.25">
      <c r="AM1899"/>
    </row>
    <row r="1900" spans="39:39" x14ac:dyDescent="0.25">
      <c r="AM1900"/>
    </row>
    <row r="1901" spans="39:39" x14ac:dyDescent="0.25">
      <c r="AM1901"/>
    </row>
    <row r="1902" spans="39:39" x14ac:dyDescent="0.25">
      <c r="AM1902"/>
    </row>
    <row r="1903" spans="39:39" x14ac:dyDescent="0.25">
      <c r="AM1903"/>
    </row>
    <row r="1904" spans="39:39" x14ac:dyDescent="0.25">
      <c r="AM1904"/>
    </row>
    <row r="1905" spans="39:39" x14ac:dyDescent="0.25">
      <c r="AM1905"/>
    </row>
    <row r="1906" spans="39:39" x14ac:dyDescent="0.25">
      <c r="AM1906"/>
    </row>
    <row r="1907" spans="39:39" x14ac:dyDescent="0.25">
      <c r="AM1907"/>
    </row>
    <row r="1908" spans="39:39" x14ac:dyDescent="0.25">
      <c r="AM1908"/>
    </row>
    <row r="1909" spans="39:39" x14ac:dyDescent="0.25">
      <c r="AM1909"/>
    </row>
    <row r="1910" spans="39:39" x14ac:dyDescent="0.25">
      <c r="AM1910"/>
    </row>
    <row r="1911" spans="39:39" x14ac:dyDescent="0.25">
      <c r="AM1911"/>
    </row>
    <row r="1912" spans="39:39" x14ac:dyDescent="0.25">
      <c r="AM1912"/>
    </row>
    <row r="1913" spans="39:39" x14ac:dyDescent="0.25">
      <c r="AM1913"/>
    </row>
    <row r="1914" spans="39:39" x14ac:dyDescent="0.25">
      <c r="AM1914"/>
    </row>
    <row r="1915" spans="39:39" x14ac:dyDescent="0.25">
      <c r="AM1915"/>
    </row>
    <row r="1916" spans="39:39" x14ac:dyDescent="0.25">
      <c r="AM1916"/>
    </row>
    <row r="1917" spans="39:39" x14ac:dyDescent="0.25">
      <c r="AM1917"/>
    </row>
    <row r="1918" spans="39:39" x14ac:dyDescent="0.25">
      <c r="AM1918"/>
    </row>
    <row r="1919" spans="39:39" x14ac:dyDescent="0.25">
      <c r="AM1919"/>
    </row>
    <row r="1920" spans="39:39" x14ac:dyDescent="0.25">
      <c r="AM1920"/>
    </row>
    <row r="1921" spans="39:39" x14ac:dyDescent="0.25">
      <c r="AM1921"/>
    </row>
    <row r="1922" spans="39:39" x14ac:dyDescent="0.25">
      <c r="AM1922"/>
    </row>
    <row r="1923" spans="39:39" x14ac:dyDescent="0.25">
      <c r="AM1923"/>
    </row>
    <row r="1924" spans="39:39" x14ac:dyDescent="0.25">
      <c r="AM1924"/>
    </row>
    <row r="1925" spans="39:39" x14ac:dyDescent="0.25">
      <c r="AM1925"/>
    </row>
    <row r="1926" spans="39:39" x14ac:dyDescent="0.25">
      <c r="AM1926"/>
    </row>
    <row r="1927" spans="39:39" x14ac:dyDescent="0.25">
      <c r="AM1927"/>
    </row>
    <row r="1928" spans="39:39" x14ac:dyDescent="0.25">
      <c r="AM1928"/>
    </row>
    <row r="1929" spans="39:39" x14ac:dyDescent="0.25">
      <c r="AM1929"/>
    </row>
    <row r="1930" spans="39:39" x14ac:dyDescent="0.25">
      <c r="AM1930"/>
    </row>
    <row r="1931" spans="39:39" x14ac:dyDescent="0.25">
      <c r="AM1931"/>
    </row>
    <row r="1932" spans="39:39" x14ac:dyDescent="0.25">
      <c r="AM1932"/>
    </row>
    <row r="1933" spans="39:39" x14ac:dyDescent="0.25">
      <c r="AM1933"/>
    </row>
    <row r="1934" spans="39:39" x14ac:dyDescent="0.25">
      <c r="AM1934"/>
    </row>
    <row r="1935" spans="39:39" x14ac:dyDescent="0.25">
      <c r="AM1935"/>
    </row>
    <row r="1936" spans="39:39" x14ac:dyDescent="0.25">
      <c r="AM1936"/>
    </row>
    <row r="1937" spans="39:39" x14ac:dyDescent="0.25">
      <c r="AM1937"/>
    </row>
    <row r="1938" spans="39:39" x14ac:dyDescent="0.25">
      <c r="AM1938"/>
    </row>
    <row r="1939" spans="39:39" x14ac:dyDescent="0.25">
      <c r="AM1939"/>
    </row>
    <row r="1940" spans="39:39" x14ac:dyDescent="0.25">
      <c r="AM1940"/>
    </row>
    <row r="1941" spans="39:39" x14ac:dyDescent="0.25">
      <c r="AM1941"/>
    </row>
    <row r="1942" spans="39:39" x14ac:dyDescent="0.25">
      <c r="AM1942"/>
    </row>
    <row r="1943" spans="39:39" x14ac:dyDescent="0.25">
      <c r="AM1943"/>
    </row>
    <row r="1944" spans="39:39" x14ac:dyDescent="0.25">
      <c r="AM1944"/>
    </row>
    <row r="1945" spans="39:39" x14ac:dyDescent="0.25">
      <c r="AM1945"/>
    </row>
    <row r="1946" spans="39:39" x14ac:dyDescent="0.25">
      <c r="AM1946"/>
    </row>
    <row r="1947" spans="39:39" x14ac:dyDescent="0.25">
      <c r="AM1947"/>
    </row>
    <row r="1948" spans="39:39" x14ac:dyDescent="0.25">
      <c r="AM1948"/>
    </row>
    <row r="1949" spans="39:39" x14ac:dyDescent="0.25">
      <c r="AM1949"/>
    </row>
    <row r="1950" spans="39:39" x14ac:dyDescent="0.25">
      <c r="AM1950"/>
    </row>
    <row r="1951" spans="39:39" x14ac:dyDescent="0.25">
      <c r="AM1951"/>
    </row>
    <row r="1952" spans="39:39" x14ac:dyDescent="0.25">
      <c r="AM1952"/>
    </row>
    <row r="1953" spans="39:39" x14ac:dyDescent="0.25">
      <c r="AM1953"/>
    </row>
    <row r="1954" spans="39:39" x14ac:dyDescent="0.25">
      <c r="AM1954"/>
    </row>
    <row r="1955" spans="39:39" x14ac:dyDescent="0.25">
      <c r="AM1955"/>
    </row>
    <row r="1956" spans="39:39" x14ac:dyDescent="0.25">
      <c r="AM1956"/>
    </row>
    <row r="1957" spans="39:39" x14ac:dyDescent="0.25">
      <c r="AM1957"/>
    </row>
    <row r="1958" spans="39:39" x14ac:dyDescent="0.25">
      <c r="AM1958"/>
    </row>
    <row r="1959" spans="39:39" x14ac:dyDescent="0.25">
      <c r="AM1959"/>
    </row>
    <row r="1960" spans="39:39" x14ac:dyDescent="0.25">
      <c r="AM1960"/>
    </row>
    <row r="1961" spans="39:39" x14ac:dyDescent="0.25">
      <c r="AM1961"/>
    </row>
    <row r="1962" spans="39:39" x14ac:dyDescent="0.25">
      <c r="AM1962"/>
    </row>
    <row r="1963" spans="39:39" x14ac:dyDescent="0.25">
      <c r="AM1963"/>
    </row>
    <row r="1964" spans="39:39" x14ac:dyDescent="0.25">
      <c r="AM1964"/>
    </row>
    <row r="1965" spans="39:39" x14ac:dyDescent="0.25">
      <c r="AM1965"/>
    </row>
    <row r="1966" spans="39:39" x14ac:dyDescent="0.25">
      <c r="AM1966"/>
    </row>
    <row r="1967" spans="39:39" x14ac:dyDescent="0.25">
      <c r="AM1967"/>
    </row>
    <row r="1968" spans="39:39" x14ac:dyDescent="0.25">
      <c r="AM1968"/>
    </row>
    <row r="1969" spans="39:39" x14ac:dyDescent="0.25">
      <c r="AM1969"/>
    </row>
    <row r="1970" spans="39:39" x14ac:dyDescent="0.25">
      <c r="AM1970"/>
    </row>
    <row r="1971" spans="39:39" x14ac:dyDescent="0.25">
      <c r="AM1971"/>
    </row>
    <row r="1972" spans="39:39" x14ac:dyDescent="0.25">
      <c r="AM1972"/>
    </row>
    <row r="1973" spans="39:39" x14ac:dyDescent="0.25">
      <c r="AM1973"/>
    </row>
    <row r="1974" spans="39:39" x14ac:dyDescent="0.25">
      <c r="AM1974"/>
    </row>
    <row r="1975" spans="39:39" x14ac:dyDescent="0.25">
      <c r="AM1975"/>
    </row>
    <row r="1976" spans="39:39" x14ac:dyDescent="0.25">
      <c r="AM1976"/>
    </row>
    <row r="1977" spans="39:39" x14ac:dyDescent="0.25">
      <c r="AM1977"/>
    </row>
    <row r="1978" spans="39:39" x14ac:dyDescent="0.25">
      <c r="AM1978"/>
    </row>
    <row r="1979" spans="39:39" x14ac:dyDescent="0.25">
      <c r="AM1979"/>
    </row>
    <row r="1980" spans="39:39" x14ac:dyDescent="0.25">
      <c r="AM1980"/>
    </row>
    <row r="1981" spans="39:39" x14ac:dyDescent="0.25">
      <c r="AM1981"/>
    </row>
    <row r="1982" spans="39:39" x14ac:dyDescent="0.25">
      <c r="AM1982"/>
    </row>
    <row r="1983" spans="39:39" x14ac:dyDescent="0.25">
      <c r="AM1983"/>
    </row>
    <row r="1984" spans="39:39" x14ac:dyDescent="0.25">
      <c r="AM1984"/>
    </row>
    <row r="1985" spans="39:39" x14ac:dyDescent="0.25">
      <c r="AM1985"/>
    </row>
    <row r="1986" spans="39:39" x14ac:dyDescent="0.25">
      <c r="AM1986"/>
    </row>
    <row r="1987" spans="39:39" x14ac:dyDescent="0.25">
      <c r="AM1987"/>
    </row>
    <row r="1988" spans="39:39" x14ac:dyDescent="0.25">
      <c r="AM1988"/>
    </row>
    <row r="1989" spans="39:39" x14ac:dyDescent="0.25">
      <c r="AM1989"/>
    </row>
    <row r="1990" spans="39:39" x14ac:dyDescent="0.25">
      <c r="AM1990"/>
    </row>
    <row r="1991" spans="39:39" x14ac:dyDescent="0.25">
      <c r="AM1991"/>
    </row>
    <row r="1992" spans="39:39" x14ac:dyDescent="0.25">
      <c r="AM1992"/>
    </row>
    <row r="1993" spans="39:39" x14ac:dyDescent="0.25">
      <c r="AM1993"/>
    </row>
    <row r="1994" spans="39:39" x14ac:dyDescent="0.25">
      <c r="AM1994"/>
    </row>
    <row r="1995" spans="39:39" x14ac:dyDescent="0.25">
      <c r="AM1995"/>
    </row>
    <row r="1996" spans="39:39" x14ac:dyDescent="0.25">
      <c r="AM1996"/>
    </row>
    <row r="1997" spans="39:39" x14ac:dyDescent="0.25">
      <c r="AM1997"/>
    </row>
    <row r="1998" spans="39:39" x14ac:dyDescent="0.25">
      <c r="AM1998"/>
    </row>
    <row r="1999" spans="39:39" x14ac:dyDescent="0.25">
      <c r="AM1999"/>
    </row>
    <row r="2000" spans="39:39" x14ac:dyDescent="0.25">
      <c r="AM2000"/>
    </row>
    <row r="2001" spans="39:39" x14ac:dyDescent="0.25">
      <c r="AM2001"/>
    </row>
    <row r="2002" spans="39:39" x14ac:dyDescent="0.25">
      <c r="AM2002"/>
    </row>
    <row r="2003" spans="39:39" x14ac:dyDescent="0.25">
      <c r="AM2003"/>
    </row>
    <row r="2004" spans="39:39" x14ac:dyDescent="0.25">
      <c r="AM2004"/>
    </row>
    <row r="2005" spans="39:39" x14ac:dyDescent="0.25">
      <c r="AM2005"/>
    </row>
    <row r="2006" spans="39:39" x14ac:dyDescent="0.25">
      <c r="AM2006"/>
    </row>
    <row r="2007" spans="39:39" x14ac:dyDescent="0.25">
      <c r="AM2007"/>
    </row>
    <row r="2008" spans="39:39" x14ac:dyDescent="0.25">
      <c r="AM2008"/>
    </row>
    <row r="2009" spans="39:39" x14ac:dyDescent="0.25">
      <c r="AM2009"/>
    </row>
    <row r="2010" spans="39:39" x14ac:dyDescent="0.25">
      <c r="AM2010"/>
    </row>
    <row r="2011" spans="39:39" x14ac:dyDescent="0.25">
      <c r="AM2011"/>
    </row>
    <row r="2012" spans="39:39" x14ac:dyDescent="0.25">
      <c r="AM2012"/>
    </row>
    <row r="2013" spans="39:39" x14ac:dyDescent="0.25">
      <c r="AM2013"/>
    </row>
    <row r="2014" spans="39:39" x14ac:dyDescent="0.25">
      <c r="AM2014"/>
    </row>
    <row r="2015" spans="39:39" x14ac:dyDescent="0.25">
      <c r="AM2015"/>
    </row>
    <row r="2016" spans="39:39" x14ac:dyDescent="0.25">
      <c r="AM2016"/>
    </row>
    <row r="2017" spans="39:39" x14ac:dyDescent="0.25">
      <c r="AM2017"/>
    </row>
    <row r="2018" spans="39:39" x14ac:dyDescent="0.25">
      <c r="AM2018"/>
    </row>
    <row r="2019" spans="39:39" x14ac:dyDescent="0.25">
      <c r="AM2019"/>
    </row>
    <row r="2020" spans="39:39" x14ac:dyDescent="0.25">
      <c r="AM2020"/>
    </row>
    <row r="2021" spans="39:39" x14ac:dyDescent="0.25">
      <c r="AM2021"/>
    </row>
    <row r="2022" spans="39:39" x14ac:dyDescent="0.25">
      <c r="AM2022"/>
    </row>
    <row r="2023" spans="39:39" x14ac:dyDescent="0.25">
      <c r="AM2023"/>
    </row>
    <row r="2024" spans="39:39" x14ac:dyDescent="0.25">
      <c r="AM2024"/>
    </row>
    <row r="2025" spans="39:39" x14ac:dyDescent="0.25">
      <c r="AM2025"/>
    </row>
    <row r="2026" spans="39:39" x14ac:dyDescent="0.25">
      <c r="AM2026"/>
    </row>
    <row r="2027" spans="39:39" x14ac:dyDescent="0.25">
      <c r="AM2027"/>
    </row>
    <row r="2028" spans="39:39" x14ac:dyDescent="0.25">
      <c r="AM2028"/>
    </row>
    <row r="2029" spans="39:39" x14ac:dyDescent="0.25">
      <c r="AM2029"/>
    </row>
    <row r="2030" spans="39:39" x14ac:dyDescent="0.25">
      <c r="AM2030"/>
    </row>
    <row r="2031" spans="39:39" x14ac:dyDescent="0.25">
      <c r="AM2031"/>
    </row>
    <row r="2032" spans="39:39" x14ac:dyDescent="0.25">
      <c r="AM2032"/>
    </row>
    <row r="2033" spans="39:39" x14ac:dyDescent="0.25">
      <c r="AM2033"/>
    </row>
    <row r="2034" spans="39:39" x14ac:dyDescent="0.25">
      <c r="AM2034"/>
    </row>
    <row r="2035" spans="39:39" x14ac:dyDescent="0.25">
      <c r="AM2035"/>
    </row>
    <row r="2036" spans="39:39" x14ac:dyDescent="0.25">
      <c r="AM2036"/>
    </row>
    <row r="2037" spans="39:39" x14ac:dyDescent="0.25">
      <c r="AM2037"/>
    </row>
    <row r="2038" spans="39:39" x14ac:dyDescent="0.25">
      <c r="AM2038"/>
    </row>
    <row r="2039" spans="39:39" x14ac:dyDescent="0.25">
      <c r="AM2039"/>
    </row>
    <row r="2040" spans="39:39" x14ac:dyDescent="0.25">
      <c r="AM2040"/>
    </row>
    <row r="2041" spans="39:39" x14ac:dyDescent="0.25">
      <c r="AM2041"/>
    </row>
    <row r="2042" spans="39:39" x14ac:dyDescent="0.25">
      <c r="AM2042"/>
    </row>
    <row r="2043" spans="39:39" x14ac:dyDescent="0.25">
      <c r="AM2043"/>
    </row>
    <row r="2044" spans="39:39" x14ac:dyDescent="0.25">
      <c r="AM2044"/>
    </row>
    <row r="2045" spans="39:39" x14ac:dyDescent="0.25">
      <c r="AM2045"/>
    </row>
    <row r="2046" spans="39:39" x14ac:dyDescent="0.25">
      <c r="AM2046"/>
    </row>
    <row r="2047" spans="39:39" x14ac:dyDescent="0.25">
      <c r="AM2047"/>
    </row>
    <row r="2048" spans="39:39" x14ac:dyDescent="0.25">
      <c r="AM2048"/>
    </row>
    <row r="2049" spans="39:39" x14ac:dyDescent="0.25">
      <c r="AM2049"/>
    </row>
    <row r="2050" spans="39:39" x14ac:dyDescent="0.25">
      <c r="AM2050"/>
    </row>
    <row r="2051" spans="39:39" x14ac:dyDescent="0.25">
      <c r="AM2051"/>
    </row>
    <row r="2052" spans="39:39" x14ac:dyDescent="0.25">
      <c r="AM2052"/>
    </row>
    <row r="2053" spans="39:39" x14ac:dyDescent="0.25">
      <c r="AM2053"/>
    </row>
    <row r="2054" spans="39:39" x14ac:dyDescent="0.25">
      <c r="AM2054"/>
    </row>
    <row r="2055" spans="39:39" x14ac:dyDescent="0.25">
      <c r="AM2055"/>
    </row>
    <row r="2056" spans="39:39" x14ac:dyDescent="0.25">
      <c r="AM2056"/>
    </row>
    <row r="2057" spans="39:39" x14ac:dyDescent="0.25">
      <c r="AM2057"/>
    </row>
    <row r="2058" spans="39:39" x14ac:dyDescent="0.25">
      <c r="AM2058"/>
    </row>
    <row r="2059" spans="39:39" x14ac:dyDescent="0.25">
      <c r="AM2059"/>
    </row>
    <row r="2060" spans="39:39" x14ac:dyDescent="0.25">
      <c r="AM2060"/>
    </row>
    <row r="2061" spans="39:39" x14ac:dyDescent="0.25">
      <c r="AM2061"/>
    </row>
    <row r="2062" spans="39:39" x14ac:dyDescent="0.25">
      <c r="AM2062"/>
    </row>
    <row r="2063" spans="39:39" x14ac:dyDescent="0.25">
      <c r="AM2063"/>
    </row>
    <row r="2064" spans="39:39" x14ac:dyDescent="0.25">
      <c r="AM2064"/>
    </row>
    <row r="2065" spans="39:39" x14ac:dyDescent="0.25">
      <c r="AM2065"/>
    </row>
    <row r="2066" spans="39:39" x14ac:dyDescent="0.25">
      <c r="AM2066"/>
    </row>
    <row r="2067" spans="39:39" x14ac:dyDescent="0.25">
      <c r="AM2067"/>
    </row>
    <row r="2068" spans="39:39" x14ac:dyDescent="0.25">
      <c r="AM2068"/>
    </row>
    <row r="2069" spans="39:39" x14ac:dyDescent="0.25">
      <c r="AM2069"/>
    </row>
    <row r="2070" spans="39:39" x14ac:dyDescent="0.25">
      <c r="AM2070"/>
    </row>
    <row r="2071" spans="39:39" x14ac:dyDescent="0.25">
      <c r="AM2071"/>
    </row>
    <row r="2072" spans="39:39" x14ac:dyDescent="0.25">
      <c r="AM2072"/>
    </row>
    <row r="2073" spans="39:39" x14ac:dyDescent="0.25">
      <c r="AM2073"/>
    </row>
    <row r="2074" spans="39:39" x14ac:dyDescent="0.25">
      <c r="AM2074"/>
    </row>
    <row r="2075" spans="39:39" x14ac:dyDescent="0.25">
      <c r="AM2075"/>
    </row>
    <row r="2076" spans="39:39" x14ac:dyDescent="0.25">
      <c r="AM2076"/>
    </row>
    <row r="2077" spans="39:39" x14ac:dyDescent="0.25">
      <c r="AM2077"/>
    </row>
    <row r="2078" spans="39:39" x14ac:dyDescent="0.25">
      <c r="AM2078"/>
    </row>
    <row r="2079" spans="39:39" x14ac:dyDescent="0.25">
      <c r="AM2079"/>
    </row>
    <row r="2080" spans="39:39" x14ac:dyDescent="0.25">
      <c r="AM2080"/>
    </row>
    <row r="2081" spans="39:39" x14ac:dyDescent="0.25">
      <c r="AM2081"/>
    </row>
    <row r="2082" spans="39:39" x14ac:dyDescent="0.25">
      <c r="AM2082"/>
    </row>
    <row r="2083" spans="39:39" x14ac:dyDescent="0.25">
      <c r="AM2083"/>
    </row>
    <row r="2084" spans="39:39" x14ac:dyDescent="0.25">
      <c r="AM2084"/>
    </row>
    <row r="2085" spans="39:39" x14ac:dyDescent="0.25">
      <c r="AM2085"/>
    </row>
    <row r="2086" spans="39:39" x14ac:dyDescent="0.25">
      <c r="AM2086"/>
    </row>
    <row r="2087" spans="39:39" x14ac:dyDescent="0.25">
      <c r="AM2087"/>
    </row>
    <row r="2088" spans="39:39" x14ac:dyDescent="0.25">
      <c r="AM2088"/>
    </row>
    <row r="2089" spans="39:39" x14ac:dyDescent="0.25">
      <c r="AM2089"/>
    </row>
    <row r="2090" spans="39:39" x14ac:dyDescent="0.25">
      <c r="AM2090"/>
    </row>
    <row r="2091" spans="39:39" x14ac:dyDescent="0.25">
      <c r="AM2091"/>
    </row>
    <row r="2092" spans="39:39" x14ac:dyDescent="0.25">
      <c r="AM2092"/>
    </row>
    <row r="2093" spans="39:39" x14ac:dyDescent="0.25">
      <c r="AM2093"/>
    </row>
    <row r="2094" spans="39:39" x14ac:dyDescent="0.25">
      <c r="AM2094"/>
    </row>
    <row r="2095" spans="39:39" x14ac:dyDescent="0.25">
      <c r="AM2095"/>
    </row>
    <row r="2096" spans="39:39" x14ac:dyDescent="0.25">
      <c r="AM2096"/>
    </row>
    <row r="2097" spans="39:39" x14ac:dyDescent="0.25">
      <c r="AM2097"/>
    </row>
    <row r="2098" spans="39:39" x14ac:dyDescent="0.25">
      <c r="AM2098"/>
    </row>
    <row r="2099" spans="39:39" x14ac:dyDescent="0.25">
      <c r="AM2099"/>
    </row>
    <row r="2100" spans="39:39" x14ac:dyDescent="0.25">
      <c r="AM2100"/>
    </row>
    <row r="2101" spans="39:39" x14ac:dyDescent="0.25">
      <c r="AM2101"/>
    </row>
    <row r="2102" spans="39:39" x14ac:dyDescent="0.25">
      <c r="AM2102"/>
    </row>
    <row r="2103" spans="39:39" x14ac:dyDescent="0.25">
      <c r="AM2103"/>
    </row>
    <row r="2104" spans="39:39" x14ac:dyDescent="0.25">
      <c r="AM2104"/>
    </row>
    <row r="2105" spans="39:39" x14ac:dyDescent="0.25">
      <c r="AM2105"/>
    </row>
    <row r="2106" spans="39:39" x14ac:dyDescent="0.25">
      <c r="AM2106"/>
    </row>
    <row r="2107" spans="39:39" x14ac:dyDescent="0.25">
      <c r="AM2107"/>
    </row>
    <row r="2108" spans="39:39" x14ac:dyDescent="0.25">
      <c r="AM2108"/>
    </row>
    <row r="2109" spans="39:39" x14ac:dyDescent="0.25">
      <c r="AM2109"/>
    </row>
    <row r="2110" spans="39:39" x14ac:dyDescent="0.25">
      <c r="AM2110"/>
    </row>
    <row r="2111" spans="39:39" x14ac:dyDescent="0.25">
      <c r="AM2111"/>
    </row>
    <row r="2112" spans="39:39" x14ac:dyDescent="0.25">
      <c r="AM2112"/>
    </row>
    <row r="2113" spans="39:39" x14ac:dyDescent="0.25">
      <c r="AM2113"/>
    </row>
    <row r="2114" spans="39:39" x14ac:dyDescent="0.25">
      <c r="AM2114"/>
    </row>
    <row r="2115" spans="39:39" x14ac:dyDescent="0.25">
      <c r="AM2115"/>
    </row>
    <row r="2116" spans="39:39" x14ac:dyDescent="0.25">
      <c r="AM2116"/>
    </row>
    <row r="2117" spans="39:39" x14ac:dyDescent="0.25">
      <c r="AM2117"/>
    </row>
    <row r="2118" spans="39:39" x14ac:dyDescent="0.25">
      <c r="AM2118"/>
    </row>
    <row r="2119" spans="39:39" x14ac:dyDescent="0.25">
      <c r="AM2119"/>
    </row>
    <row r="2120" spans="39:39" x14ac:dyDescent="0.25">
      <c r="AM2120"/>
    </row>
    <row r="2121" spans="39:39" x14ac:dyDescent="0.25">
      <c r="AM2121"/>
    </row>
    <row r="2122" spans="39:39" x14ac:dyDescent="0.25">
      <c r="AM2122"/>
    </row>
    <row r="2123" spans="39:39" x14ac:dyDescent="0.25">
      <c r="AM2123"/>
    </row>
    <row r="2124" spans="39:39" x14ac:dyDescent="0.25">
      <c r="AM2124"/>
    </row>
    <row r="2125" spans="39:39" x14ac:dyDescent="0.25">
      <c r="AM2125"/>
    </row>
    <row r="2126" spans="39:39" x14ac:dyDescent="0.25">
      <c r="AM2126"/>
    </row>
    <row r="2127" spans="39:39" x14ac:dyDescent="0.25">
      <c r="AM2127"/>
    </row>
    <row r="2128" spans="39:39" x14ac:dyDescent="0.25">
      <c r="AM2128"/>
    </row>
    <row r="2129" spans="39:39" x14ac:dyDescent="0.25">
      <c r="AM2129"/>
    </row>
    <row r="2130" spans="39:39" x14ac:dyDescent="0.25">
      <c r="AM2130"/>
    </row>
    <row r="2131" spans="39:39" x14ac:dyDescent="0.25">
      <c r="AM2131"/>
    </row>
    <row r="2132" spans="39:39" x14ac:dyDescent="0.25">
      <c r="AM2132"/>
    </row>
    <row r="2133" spans="39:39" x14ac:dyDescent="0.25">
      <c r="AM2133"/>
    </row>
    <row r="2134" spans="39:39" x14ac:dyDescent="0.25">
      <c r="AM2134"/>
    </row>
    <row r="2135" spans="39:39" x14ac:dyDescent="0.25">
      <c r="AM2135"/>
    </row>
    <row r="2136" spans="39:39" x14ac:dyDescent="0.25">
      <c r="AM2136"/>
    </row>
    <row r="2137" spans="39:39" x14ac:dyDescent="0.25">
      <c r="AM2137"/>
    </row>
    <row r="2138" spans="39:39" x14ac:dyDescent="0.25">
      <c r="AM2138"/>
    </row>
    <row r="2139" spans="39:39" x14ac:dyDescent="0.25">
      <c r="AM2139"/>
    </row>
    <row r="2140" spans="39:39" x14ac:dyDescent="0.25">
      <c r="AM2140"/>
    </row>
    <row r="2141" spans="39:39" x14ac:dyDescent="0.25">
      <c r="AM2141"/>
    </row>
    <row r="2142" spans="39:39" x14ac:dyDescent="0.25">
      <c r="AM2142"/>
    </row>
    <row r="2143" spans="39:39" x14ac:dyDescent="0.25">
      <c r="AM2143"/>
    </row>
    <row r="2144" spans="39:39" x14ac:dyDescent="0.25">
      <c r="AM2144"/>
    </row>
    <row r="2145" spans="39:39" x14ac:dyDescent="0.25">
      <c r="AM2145"/>
    </row>
    <row r="2146" spans="39:39" x14ac:dyDescent="0.25">
      <c r="AM2146"/>
    </row>
    <row r="2147" spans="39:39" x14ac:dyDescent="0.25">
      <c r="AM2147"/>
    </row>
    <row r="2148" spans="39:39" x14ac:dyDescent="0.25">
      <c r="AM2148"/>
    </row>
    <row r="2149" spans="39:39" x14ac:dyDescent="0.25">
      <c r="AM2149"/>
    </row>
    <row r="2150" spans="39:39" x14ac:dyDescent="0.25">
      <c r="AM2150"/>
    </row>
    <row r="2151" spans="39:39" x14ac:dyDescent="0.25">
      <c r="AM2151"/>
    </row>
    <row r="2152" spans="39:39" x14ac:dyDescent="0.25">
      <c r="AM2152"/>
    </row>
    <row r="2153" spans="39:39" x14ac:dyDescent="0.25">
      <c r="AM2153"/>
    </row>
    <row r="2154" spans="39:39" x14ac:dyDescent="0.25">
      <c r="AM2154"/>
    </row>
    <row r="2155" spans="39:39" x14ac:dyDescent="0.25">
      <c r="AM2155"/>
    </row>
    <row r="2156" spans="39:39" x14ac:dyDescent="0.25">
      <c r="AM2156"/>
    </row>
    <row r="2157" spans="39:39" x14ac:dyDescent="0.25">
      <c r="AM2157"/>
    </row>
    <row r="2158" spans="39:39" x14ac:dyDescent="0.25">
      <c r="AM2158"/>
    </row>
    <row r="2159" spans="39:39" x14ac:dyDescent="0.25">
      <c r="AM2159"/>
    </row>
    <row r="2160" spans="39:39" x14ac:dyDescent="0.25">
      <c r="AM2160"/>
    </row>
    <row r="2161" spans="39:39" x14ac:dyDescent="0.25">
      <c r="AM2161"/>
    </row>
    <row r="2162" spans="39:39" x14ac:dyDescent="0.25">
      <c r="AM2162"/>
    </row>
    <row r="2163" spans="39:39" x14ac:dyDescent="0.25">
      <c r="AM2163"/>
    </row>
    <row r="2164" spans="39:39" x14ac:dyDescent="0.25">
      <c r="AM2164"/>
    </row>
    <row r="2165" spans="39:39" x14ac:dyDescent="0.25">
      <c r="AM2165"/>
    </row>
    <row r="2166" spans="39:39" x14ac:dyDescent="0.25">
      <c r="AM2166"/>
    </row>
    <row r="2167" spans="39:39" x14ac:dyDescent="0.25">
      <c r="AM2167"/>
    </row>
    <row r="2168" spans="39:39" x14ac:dyDescent="0.25">
      <c r="AM2168"/>
    </row>
    <row r="2169" spans="39:39" x14ac:dyDescent="0.25">
      <c r="AM2169"/>
    </row>
    <row r="2170" spans="39:39" x14ac:dyDescent="0.25">
      <c r="AM2170"/>
    </row>
    <row r="2171" spans="39:39" x14ac:dyDescent="0.25">
      <c r="AM2171"/>
    </row>
    <row r="2172" spans="39:39" x14ac:dyDescent="0.25">
      <c r="AM2172"/>
    </row>
    <row r="2173" spans="39:39" x14ac:dyDescent="0.25">
      <c r="AM2173"/>
    </row>
    <row r="2174" spans="39:39" x14ac:dyDescent="0.25">
      <c r="AM2174"/>
    </row>
    <row r="2175" spans="39:39" x14ac:dyDescent="0.25">
      <c r="AM2175"/>
    </row>
    <row r="2176" spans="39:39" x14ac:dyDescent="0.25">
      <c r="AM2176"/>
    </row>
    <row r="2177" spans="39:39" x14ac:dyDescent="0.25">
      <c r="AM2177"/>
    </row>
    <row r="2178" spans="39:39" x14ac:dyDescent="0.25">
      <c r="AM2178"/>
    </row>
    <row r="2179" spans="39:39" x14ac:dyDescent="0.25">
      <c r="AM2179"/>
    </row>
    <row r="2180" spans="39:39" x14ac:dyDescent="0.25">
      <c r="AM2180"/>
    </row>
    <row r="2181" spans="39:39" x14ac:dyDescent="0.25">
      <c r="AM2181"/>
    </row>
    <row r="2182" spans="39:39" x14ac:dyDescent="0.25">
      <c r="AM2182"/>
    </row>
    <row r="2183" spans="39:39" x14ac:dyDescent="0.25">
      <c r="AM2183"/>
    </row>
    <row r="2184" spans="39:39" x14ac:dyDescent="0.25">
      <c r="AM2184"/>
    </row>
    <row r="2185" spans="39:39" x14ac:dyDescent="0.25">
      <c r="AM2185"/>
    </row>
    <row r="2186" spans="39:39" x14ac:dyDescent="0.25">
      <c r="AM2186"/>
    </row>
    <row r="2187" spans="39:39" x14ac:dyDescent="0.25">
      <c r="AM2187"/>
    </row>
    <row r="2188" spans="39:39" x14ac:dyDescent="0.25">
      <c r="AM2188"/>
    </row>
    <row r="2189" spans="39:39" x14ac:dyDescent="0.25">
      <c r="AM2189"/>
    </row>
    <row r="2190" spans="39:39" x14ac:dyDescent="0.25">
      <c r="AM2190"/>
    </row>
    <row r="2191" spans="39:39" x14ac:dyDescent="0.25">
      <c r="AM2191"/>
    </row>
    <row r="2192" spans="39:39" x14ac:dyDescent="0.25">
      <c r="AM2192"/>
    </row>
    <row r="2193" spans="39:39" x14ac:dyDescent="0.25">
      <c r="AM2193"/>
    </row>
    <row r="2194" spans="39:39" x14ac:dyDescent="0.25">
      <c r="AM2194"/>
    </row>
    <row r="2195" spans="39:39" x14ac:dyDescent="0.25">
      <c r="AM2195"/>
    </row>
    <row r="2196" spans="39:39" x14ac:dyDescent="0.25">
      <c r="AM2196"/>
    </row>
    <row r="2197" spans="39:39" x14ac:dyDescent="0.25">
      <c r="AM2197"/>
    </row>
    <row r="2198" spans="39:39" x14ac:dyDescent="0.25">
      <c r="AM2198"/>
    </row>
    <row r="2199" spans="39:39" x14ac:dyDescent="0.25">
      <c r="AM2199"/>
    </row>
    <row r="2200" spans="39:39" x14ac:dyDescent="0.25">
      <c r="AM2200"/>
    </row>
    <row r="2201" spans="39:39" x14ac:dyDescent="0.25">
      <c r="AM2201"/>
    </row>
    <row r="2202" spans="39:39" x14ac:dyDescent="0.25">
      <c r="AM2202"/>
    </row>
    <row r="2203" spans="39:39" x14ac:dyDescent="0.25">
      <c r="AM2203"/>
    </row>
    <row r="2204" spans="39:39" x14ac:dyDescent="0.25">
      <c r="AM2204"/>
    </row>
    <row r="2205" spans="39:39" x14ac:dyDescent="0.25">
      <c r="AM2205"/>
    </row>
    <row r="2206" spans="39:39" x14ac:dyDescent="0.25">
      <c r="AM2206"/>
    </row>
    <row r="2207" spans="39:39" x14ac:dyDescent="0.25">
      <c r="AM2207"/>
    </row>
    <row r="2208" spans="39:39" x14ac:dyDescent="0.25">
      <c r="AM2208"/>
    </row>
    <row r="2209" spans="39:39" x14ac:dyDescent="0.25">
      <c r="AM2209"/>
    </row>
    <row r="2210" spans="39:39" x14ac:dyDescent="0.25">
      <c r="AM2210"/>
    </row>
    <row r="2211" spans="39:39" x14ac:dyDescent="0.25">
      <c r="AM2211"/>
    </row>
    <row r="2212" spans="39:39" x14ac:dyDescent="0.25">
      <c r="AM2212"/>
    </row>
    <row r="2213" spans="39:39" x14ac:dyDescent="0.25">
      <c r="AM2213"/>
    </row>
    <row r="2214" spans="39:39" x14ac:dyDescent="0.25">
      <c r="AM2214"/>
    </row>
    <row r="2215" spans="39:39" x14ac:dyDescent="0.25">
      <c r="AM2215"/>
    </row>
    <row r="2216" spans="39:39" x14ac:dyDescent="0.25">
      <c r="AM2216"/>
    </row>
    <row r="2217" spans="39:39" x14ac:dyDescent="0.25">
      <c r="AM2217"/>
    </row>
    <row r="2218" spans="39:39" x14ac:dyDescent="0.25">
      <c r="AM2218"/>
    </row>
    <row r="2219" spans="39:39" x14ac:dyDescent="0.25">
      <c r="AM2219"/>
    </row>
    <row r="2220" spans="39:39" x14ac:dyDescent="0.25">
      <c r="AM2220"/>
    </row>
    <row r="2221" spans="39:39" x14ac:dyDescent="0.25">
      <c r="AM2221"/>
    </row>
    <row r="2222" spans="39:39" x14ac:dyDescent="0.25">
      <c r="AM2222"/>
    </row>
    <row r="2223" spans="39:39" x14ac:dyDescent="0.25">
      <c r="AM2223"/>
    </row>
    <row r="2224" spans="39:39" x14ac:dyDescent="0.25">
      <c r="AM2224"/>
    </row>
    <row r="2225" spans="39:39" x14ac:dyDescent="0.25">
      <c r="AM2225"/>
    </row>
    <row r="2226" spans="39:39" x14ac:dyDescent="0.25">
      <c r="AM2226"/>
    </row>
    <row r="2227" spans="39:39" x14ac:dyDescent="0.25">
      <c r="AM2227"/>
    </row>
    <row r="2228" spans="39:39" x14ac:dyDescent="0.25">
      <c r="AM2228"/>
    </row>
    <row r="2229" spans="39:39" x14ac:dyDescent="0.25">
      <c r="AM2229"/>
    </row>
    <row r="2230" spans="39:39" x14ac:dyDescent="0.25">
      <c r="AM2230"/>
    </row>
    <row r="2231" spans="39:39" x14ac:dyDescent="0.25">
      <c r="AM2231"/>
    </row>
    <row r="2232" spans="39:39" x14ac:dyDescent="0.25">
      <c r="AM2232"/>
    </row>
    <row r="2233" spans="39:39" x14ac:dyDescent="0.25">
      <c r="AM2233"/>
    </row>
    <row r="2234" spans="39:39" x14ac:dyDescent="0.25">
      <c r="AM2234"/>
    </row>
    <row r="2235" spans="39:39" x14ac:dyDescent="0.25">
      <c r="AM2235"/>
    </row>
    <row r="2236" spans="39:39" x14ac:dyDescent="0.25">
      <c r="AM2236"/>
    </row>
    <row r="2237" spans="39:39" x14ac:dyDescent="0.25">
      <c r="AM2237"/>
    </row>
    <row r="2238" spans="39:39" x14ac:dyDescent="0.25">
      <c r="AM2238"/>
    </row>
    <row r="2239" spans="39:39" x14ac:dyDescent="0.25">
      <c r="AM2239"/>
    </row>
    <row r="2240" spans="39:39" x14ac:dyDescent="0.25">
      <c r="AM2240"/>
    </row>
    <row r="2241" spans="39:39" x14ac:dyDescent="0.25">
      <c r="AM2241"/>
    </row>
    <row r="2242" spans="39:39" x14ac:dyDescent="0.25">
      <c r="AM2242"/>
    </row>
    <row r="2243" spans="39:39" x14ac:dyDescent="0.25">
      <c r="AM2243"/>
    </row>
    <row r="2244" spans="39:39" x14ac:dyDescent="0.25">
      <c r="AM2244"/>
    </row>
    <row r="2245" spans="39:39" x14ac:dyDescent="0.25">
      <c r="AM2245"/>
    </row>
    <row r="2246" spans="39:39" x14ac:dyDescent="0.25">
      <c r="AM2246"/>
    </row>
    <row r="2247" spans="39:39" x14ac:dyDescent="0.25">
      <c r="AM2247"/>
    </row>
    <row r="2248" spans="39:39" x14ac:dyDescent="0.25">
      <c r="AM2248"/>
    </row>
    <row r="2249" spans="39:39" x14ac:dyDescent="0.25">
      <c r="AM2249"/>
    </row>
    <row r="2250" spans="39:39" x14ac:dyDescent="0.25">
      <c r="AM2250"/>
    </row>
    <row r="2251" spans="39:39" x14ac:dyDescent="0.25">
      <c r="AM2251"/>
    </row>
    <row r="2252" spans="39:39" x14ac:dyDescent="0.25">
      <c r="AM2252"/>
    </row>
    <row r="2253" spans="39:39" x14ac:dyDescent="0.25">
      <c r="AM2253"/>
    </row>
    <row r="2254" spans="39:39" x14ac:dyDescent="0.25">
      <c r="AM2254"/>
    </row>
    <row r="2255" spans="39:39" x14ac:dyDescent="0.25">
      <c r="AM2255"/>
    </row>
    <row r="2256" spans="39:39" x14ac:dyDescent="0.25">
      <c r="AM2256"/>
    </row>
    <row r="2257" spans="39:39" x14ac:dyDescent="0.25">
      <c r="AM2257"/>
    </row>
    <row r="2258" spans="39:39" x14ac:dyDescent="0.25">
      <c r="AM2258"/>
    </row>
    <row r="2259" spans="39:39" x14ac:dyDescent="0.25">
      <c r="AM2259"/>
    </row>
    <row r="2260" spans="39:39" x14ac:dyDescent="0.25">
      <c r="AM2260"/>
    </row>
    <row r="2261" spans="39:39" x14ac:dyDescent="0.25">
      <c r="AM2261"/>
    </row>
    <row r="2262" spans="39:39" x14ac:dyDescent="0.25">
      <c r="AM2262"/>
    </row>
    <row r="2263" spans="39:39" x14ac:dyDescent="0.25">
      <c r="AM2263"/>
    </row>
    <row r="2264" spans="39:39" x14ac:dyDescent="0.25">
      <c r="AM2264"/>
    </row>
    <row r="2265" spans="39:39" x14ac:dyDescent="0.25">
      <c r="AM2265"/>
    </row>
    <row r="2266" spans="39:39" x14ac:dyDescent="0.25">
      <c r="AM2266"/>
    </row>
    <row r="2267" spans="39:39" x14ac:dyDescent="0.25">
      <c r="AM2267"/>
    </row>
    <row r="2268" spans="39:39" x14ac:dyDescent="0.25">
      <c r="AM2268"/>
    </row>
    <row r="2269" spans="39:39" x14ac:dyDescent="0.25">
      <c r="AM2269"/>
    </row>
    <row r="2270" spans="39:39" x14ac:dyDescent="0.25">
      <c r="AM2270"/>
    </row>
    <row r="2271" spans="39:39" x14ac:dyDescent="0.25">
      <c r="AM2271"/>
    </row>
    <row r="2272" spans="39:39" x14ac:dyDescent="0.25">
      <c r="AM2272"/>
    </row>
    <row r="2273" spans="39:39" x14ac:dyDescent="0.25">
      <c r="AM2273"/>
    </row>
    <row r="2274" spans="39:39" x14ac:dyDescent="0.25">
      <c r="AM2274"/>
    </row>
    <row r="2275" spans="39:39" x14ac:dyDescent="0.25">
      <c r="AM2275"/>
    </row>
    <row r="2276" spans="39:39" x14ac:dyDescent="0.25">
      <c r="AM2276"/>
    </row>
    <row r="2277" spans="39:39" x14ac:dyDescent="0.25">
      <c r="AM2277"/>
    </row>
    <row r="2278" spans="39:39" x14ac:dyDescent="0.25">
      <c r="AM2278"/>
    </row>
    <row r="2279" spans="39:39" x14ac:dyDescent="0.25">
      <c r="AM2279"/>
    </row>
    <row r="2280" spans="39:39" x14ac:dyDescent="0.25">
      <c r="AM2280"/>
    </row>
    <row r="2281" spans="39:39" x14ac:dyDescent="0.25">
      <c r="AM2281"/>
    </row>
    <row r="2282" spans="39:39" x14ac:dyDescent="0.25">
      <c r="AM2282"/>
    </row>
    <row r="2283" spans="39:39" x14ac:dyDescent="0.25">
      <c r="AM2283"/>
    </row>
    <row r="2284" spans="39:39" x14ac:dyDescent="0.25">
      <c r="AM2284"/>
    </row>
    <row r="2285" spans="39:39" x14ac:dyDescent="0.25">
      <c r="AM2285"/>
    </row>
    <row r="2286" spans="39:39" x14ac:dyDescent="0.25">
      <c r="AM2286"/>
    </row>
    <row r="2287" spans="39:39" x14ac:dyDescent="0.25">
      <c r="AM2287"/>
    </row>
    <row r="2288" spans="39:39" x14ac:dyDescent="0.25">
      <c r="AM2288"/>
    </row>
    <row r="2289" spans="39:39" x14ac:dyDescent="0.25">
      <c r="AM2289"/>
    </row>
    <row r="2290" spans="39:39" x14ac:dyDescent="0.25">
      <c r="AM2290"/>
    </row>
    <row r="2291" spans="39:39" x14ac:dyDescent="0.25">
      <c r="AM2291"/>
    </row>
    <row r="2292" spans="39:39" x14ac:dyDescent="0.25">
      <c r="AM2292"/>
    </row>
    <row r="2293" spans="39:39" x14ac:dyDescent="0.25">
      <c r="AM2293"/>
    </row>
    <row r="2294" spans="39:39" x14ac:dyDescent="0.25">
      <c r="AM2294"/>
    </row>
    <row r="2295" spans="39:39" x14ac:dyDescent="0.25">
      <c r="AM2295"/>
    </row>
    <row r="2296" spans="39:39" x14ac:dyDescent="0.25">
      <c r="AM2296"/>
    </row>
    <row r="2297" spans="39:39" x14ac:dyDescent="0.25">
      <c r="AM2297"/>
    </row>
    <row r="2298" spans="39:39" x14ac:dyDescent="0.25">
      <c r="AM2298"/>
    </row>
    <row r="2299" spans="39:39" x14ac:dyDescent="0.25">
      <c r="AM2299"/>
    </row>
    <row r="2300" spans="39:39" x14ac:dyDescent="0.25">
      <c r="AM2300"/>
    </row>
    <row r="2301" spans="39:39" x14ac:dyDescent="0.25">
      <c r="AM2301"/>
    </row>
    <row r="2302" spans="39:39" x14ac:dyDescent="0.25">
      <c r="AM2302"/>
    </row>
    <row r="2303" spans="39:39" x14ac:dyDescent="0.25">
      <c r="AM2303"/>
    </row>
    <row r="2304" spans="39:39" x14ac:dyDescent="0.25">
      <c r="AM2304"/>
    </row>
    <row r="2305" spans="39:39" x14ac:dyDescent="0.25">
      <c r="AM2305"/>
    </row>
    <row r="2306" spans="39:39" x14ac:dyDescent="0.25">
      <c r="AM2306"/>
    </row>
    <row r="2307" spans="39:39" x14ac:dyDescent="0.25">
      <c r="AM2307"/>
    </row>
    <row r="2308" spans="39:39" x14ac:dyDescent="0.25">
      <c r="AM2308"/>
    </row>
    <row r="2309" spans="39:39" x14ac:dyDescent="0.25">
      <c r="AM2309"/>
    </row>
    <row r="2310" spans="39:39" x14ac:dyDescent="0.25">
      <c r="AM2310"/>
    </row>
    <row r="2311" spans="39:39" x14ac:dyDescent="0.25">
      <c r="AM2311"/>
    </row>
    <row r="2312" spans="39:39" x14ac:dyDescent="0.25">
      <c r="AM2312"/>
    </row>
    <row r="2313" spans="39:39" x14ac:dyDescent="0.25">
      <c r="AM2313"/>
    </row>
    <row r="2314" spans="39:39" x14ac:dyDescent="0.25">
      <c r="AM2314"/>
    </row>
    <row r="2315" spans="39:39" x14ac:dyDescent="0.25">
      <c r="AM2315"/>
    </row>
    <row r="2316" spans="39:39" x14ac:dyDescent="0.25">
      <c r="AM2316"/>
    </row>
    <row r="2317" spans="39:39" x14ac:dyDescent="0.25">
      <c r="AM2317"/>
    </row>
    <row r="2318" spans="39:39" x14ac:dyDescent="0.25">
      <c r="AM2318"/>
    </row>
    <row r="2319" spans="39:39" x14ac:dyDescent="0.25">
      <c r="AM2319"/>
    </row>
    <row r="2320" spans="39:39" x14ac:dyDescent="0.25">
      <c r="AM2320"/>
    </row>
    <row r="2321" spans="39:39" x14ac:dyDescent="0.25">
      <c r="AM2321"/>
    </row>
    <row r="2322" spans="39:39" x14ac:dyDescent="0.25">
      <c r="AM2322"/>
    </row>
    <row r="2323" spans="39:39" x14ac:dyDescent="0.25">
      <c r="AM2323"/>
    </row>
    <row r="2324" spans="39:39" x14ac:dyDescent="0.25">
      <c r="AM2324"/>
    </row>
    <row r="2325" spans="39:39" x14ac:dyDescent="0.25">
      <c r="AM2325"/>
    </row>
    <row r="2326" spans="39:39" x14ac:dyDescent="0.25">
      <c r="AM2326"/>
    </row>
    <row r="2327" spans="39:39" x14ac:dyDescent="0.25">
      <c r="AM2327"/>
    </row>
    <row r="2328" spans="39:39" x14ac:dyDescent="0.25">
      <c r="AM2328"/>
    </row>
    <row r="2329" spans="39:39" x14ac:dyDescent="0.25">
      <c r="AM2329"/>
    </row>
    <row r="2330" spans="39:39" x14ac:dyDescent="0.25">
      <c r="AM2330"/>
    </row>
    <row r="2331" spans="39:39" x14ac:dyDescent="0.25">
      <c r="AM2331"/>
    </row>
    <row r="2332" spans="39:39" x14ac:dyDescent="0.25">
      <c r="AM2332"/>
    </row>
    <row r="2333" spans="39:39" x14ac:dyDescent="0.25">
      <c r="AM2333"/>
    </row>
    <row r="2334" spans="39:39" x14ac:dyDescent="0.25">
      <c r="AM2334"/>
    </row>
    <row r="2335" spans="39:39" x14ac:dyDescent="0.25">
      <c r="AM2335"/>
    </row>
    <row r="2336" spans="39:39" x14ac:dyDescent="0.25">
      <c r="AM2336"/>
    </row>
    <row r="2337" spans="39:39" x14ac:dyDescent="0.25">
      <c r="AM2337"/>
    </row>
    <row r="2338" spans="39:39" x14ac:dyDescent="0.25">
      <c r="AM2338"/>
    </row>
    <row r="2339" spans="39:39" x14ac:dyDescent="0.25">
      <c r="AM2339"/>
    </row>
    <row r="2340" spans="39:39" x14ac:dyDescent="0.25">
      <c r="AM2340"/>
    </row>
    <row r="2341" spans="39:39" x14ac:dyDescent="0.25">
      <c r="AM2341"/>
    </row>
    <row r="2342" spans="39:39" x14ac:dyDescent="0.25">
      <c r="AM2342"/>
    </row>
    <row r="2343" spans="39:39" x14ac:dyDescent="0.25">
      <c r="AM2343"/>
    </row>
    <row r="2344" spans="39:39" x14ac:dyDescent="0.25">
      <c r="AM2344"/>
    </row>
    <row r="2345" spans="39:39" x14ac:dyDescent="0.25">
      <c r="AM2345"/>
    </row>
    <row r="2346" spans="39:39" x14ac:dyDescent="0.25">
      <c r="AM2346"/>
    </row>
    <row r="2347" spans="39:39" x14ac:dyDescent="0.25">
      <c r="AM2347"/>
    </row>
    <row r="2348" spans="39:39" x14ac:dyDescent="0.25">
      <c r="AM2348"/>
    </row>
    <row r="2349" spans="39:39" x14ac:dyDescent="0.25">
      <c r="AM2349"/>
    </row>
    <row r="2350" spans="39:39" x14ac:dyDescent="0.25">
      <c r="AM2350"/>
    </row>
    <row r="2351" spans="39:39" x14ac:dyDescent="0.25">
      <c r="AM2351"/>
    </row>
    <row r="2352" spans="39:39" x14ac:dyDescent="0.25">
      <c r="AM2352"/>
    </row>
    <row r="2353" spans="39:39" x14ac:dyDescent="0.25">
      <c r="AM2353"/>
    </row>
    <row r="2354" spans="39:39" x14ac:dyDescent="0.25">
      <c r="AM2354"/>
    </row>
    <row r="2355" spans="39:39" x14ac:dyDescent="0.25">
      <c r="AM2355"/>
    </row>
    <row r="2356" spans="39:39" x14ac:dyDescent="0.25">
      <c r="AM2356"/>
    </row>
    <row r="2357" spans="39:39" x14ac:dyDescent="0.25">
      <c r="AM2357"/>
    </row>
    <row r="2358" spans="39:39" x14ac:dyDescent="0.25">
      <c r="AM2358"/>
    </row>
    <row r="2359" spans="39:39" x14ac:dyDescent="0.25">
      <c r="AM2359"/>
    </row>
    <row r="2360" spans="39:39" x14ac:dyDescent="0.25">
      <c r="AM2360"/>
    </row>
    <row r="2361" spans="39:39" x14ac:dyDescent="0.25">
      <c r="AM2361"/>
    </row>
    <row r="2362" spans="39:39" x14ac:dyDescent="0.25">
      <c r="AM2362"/>
    </row>
    <row r="2363" spans="39:39" x14ac:dyDescent="0.25">
      <c r="AM2363"/>
    </row>
    <row r="2364" spans="39:39" x14ac:dyDescent="0.25">
      <c r="AM2364"/>
    </row>
    <row r="2365" spans="39:39" x14ac:dyDescent="0.25">
      <c r="AM2365"/>
    </row>
    <row r="2366" spans="39:39" x14ac:dyDescent="0.25">
      <c r="AM2366"/>
    </row>
    <row r="2367" spans="39:39" x14ac:dyDescent="0.25">
      <c r="AM2367"/>
    </row>
    <row r="2368" spans="39:39" x14ac:dyDescent="0.25">
      <c r="AM2368"/>
    </row>
    <row r="2369" spans="39:39" x14ac:dyDescent="0.25">
      <c r="AM2369"/>
    </row>
    <row r="2370" spans="39:39" x14ac:dyDescent="0.25">
      <c r="AM2370"/>
    </row>
    <row r="2371" spans="39:39" x14ac:dyDescent="0.25">
      <c r="AM2371"/>
    </row>
    <row r="2372" spans="39:39" x14ac:dyDescent="0.25">
      <c r="AM2372"/>
    </row>
    <row r="2373" spans="39:39" x14ac:dyDescent="0.25">
      <c r="AM2373"/>
    </row>
    <row r="2374" spans="39:39" x14ac:dyDescent="0.25">
      <c r="AM2374"/>
    </row>
    <row r="2375" spans="39:39" x14ac:dyDescent="0.25">
      <c r="AM2375"/>
    </row>
    <row r="2376" spans="39:39" x14ac:dyDescent="0.25">
      <c r="AM2376"/>
    </row>
    <row r="2377" spans="39:39" x14ac:dyDescent="0.25">
      <c r="AM2377"/>
    </row>
    <row r="2378" spans="39:39" x14ac:dyDescent="0.25">
      <c r="AM2378"/>
    </row>
    <row r="2379" spans="39:39" x14ac:dyDescent="0.25">
      <c r="AM2379"/>
    </row>
    <row r="2380" spans="39:39" x14ac:dyDescent="0.25">
      <c r="AM2380"/>
    </row>
    <row r="2381" spans="39:39" x14ac:dyDescent="0.25">
      <c r="AM2381"/>
    </row>
    <row r="2382" spans="39:39" x14ac:dyDescent="0.25">
      <c r="AM2382"/>
    </row>
    <row r="2383" spans="39:39" x14ac:dyDescent="0.25">
      <c r="AM2383"/>
    </row>
    <row r="2384" spans="39:39" x14ac:dyDescent="0.25">
      <c r="AM2384"/>
    </row>
    <row r="2385" spans="39:39" x14ac:dyDescent="0.25">
      <c r="AM2385"/>
    </row>
    <row r="2386" spans="39:39" x14ac:dyDescent="0.25">
      <c r="AM2386"/>
    </row>
    <row r="2387" spans="39:39" x14ac:dyDescent="0.25">
      <c r="AM2387"/>
    </row>
    <row r="2388" spans="39:39" x14ac:dyDescent="0.25">
      <c r="AM2388"/>
    </row>
    <row r="2389" spans="39:39" x14ac:dyDescent="0.25">
      <c r="AM2389"/>
    </row>
    <row r="2390" spans="39:39" x14ac:dyDescent="0.25">
      <c r="AM2390"/>
    </row>
    <row r="2391" spans="39:39" x14ac:dyDescent="0.25">
      <c r="AM2391"/>
    </row>
    <row r="2392" spans="39:39" x14ac:dyDescent="0.25">
      <c r="AM2392"/>
    </row>
    <row r="2393" spans="39:39" x14ac:dyDescent="0.25">
      <c r="AM2393"/>
    </row>
    <row r="2394" spans="39:39" x14ac:dyDescent="0.25">
      <c r="AM2394"/>
    </row>
    <row r="2395" spans="39:39" x14ac:dyDescent="0.25">
      <c r="AM2395"/>
    </row>
    <row r="2396" spans="39:39" x14ac:dyDescent="0.25">
      <c r="AM2396"/>
    </row>
    <row r="2397" spans="39:39" x14ac:dyDescent="0.25">
      <c r="AM2397"/>
    </row>
    <row r="2398" spans="39:39" x14ac:dyDescent="0.25">
      <c r="AM2398"/>
    </row>
    <row r="2399" spans="39:39" x14ac:dyDescent="0.25">
      <c r="AM2399"/>
    </row>
    <row r="2400" spans="39:39" x14ac:dyDescent="0.25">
      <c r="AM2400"/>
    </row>
    <row r="2401" spans="39:39" x14ac:dyDescent="0.25">
      <c r="AM2401"/>
    </row>
    <row r="2402" spans="39:39" x14ac:dyDescent="0.25">
      <c r="AM2402"/>
    </row>
    <row r="2403" spans="39:39" x14ac:dyDescent="0.25">
      <c r="AM2403"/>
    </row>
    <row r="2404" spans="39:39" x14ac:dyDescent="0.25">
      <c r="AM2404"/>
    </row>
    <row r="2405" spans="39:39" x14ac:dyDescent="0.25">
      <c r="AM2405"/>
    </row>
    <row r="2406" spans="39:39" x14ac:dyDescent="0.25">
      <c r="AM2406"/>
    </row>
    <row r="2407" spans="39:39" x14ac:dyDescent="0.25">
      <c r="AM2407"/>
    </row>
    <row r="2408" spans="39:39" x14ac:dyDescent="0.25">
      <c r="AM2408"/>
    </row>
    <row r="2409" spans="39:39" x14ac:dyDescent="0.25">
      <c r="AM2409"/>
    </row>
    <row r="2410" spans="39:39" x14ac:dyDescent="0.25">
      <c r="AM2410"/>
    </row>
    <row r="2411" spans="39:39" x14ac:dyDescent="0.25">
      <c r="AM2411"/>
    </row>
    <row r="2412" spans="39:39" x14ac:dyDescent="0.25">
      <c r="AM2412"/>
    </row>
    <row r="2413" spans="39:39" x14ac:dyDescent="0.25">
      <c r="AM2413"/>
    </row>
    <row r="2414" spans="39:39" x14ac:dyDescent="0.25">
      <c r="AM2414"/>
    </row>
    <row r="2415" spans="39:39" x14ac:dyDescent="0.25">
      <c r="AM2415"/>
    </row>
    <row r="2416" spans="39:39" x14ac:dyDescent="0.25">
      <c r="AM2416"/>
    </row>
    <row r="2417" spans="39:39" x14ac:dyDescent="0.25">
      <c r="AM2417"/>
    </row>
    <row r="2418" spans="39:39" x14ac:dyDescent="0.25">
      <c r="AM2418"/>
    </row>
    <row r="2419" spans="39:39" x14ac:dyDescent="0.25">
      <c r="AM2419"/>
    </row>
    <row r="2420" spans="39:39" x14ac:dyDescent="0.25">
      <c r="AM2420"/>
    </row>
    <row r="2421" spans="39:39" x14ac:dyDescent="0.25">
      <c r="AM2421"/>
    </row>
    <row r="2422" spans="39:39" x14ac:dyDescent="0.25">
      <c r="AM2422"/>
    </row>
    <row r="2423" spans="39:39" x14ac:dyDescent="0.25">
      <c r="AM2423"/>
    </row>
    <row r="2424" spans="39:39" x14ac:dyDescent="0.25">
      <c r="AM2424"/>
    </row>
    <row r="2425" spans="39:39" x14ac:dyDescent="0.25">
      <c r="AM2425"/>
    </row>
    <row r="2426" spans="39:39" x14ac:dyDescent="0.25">
      <c r="AM2426"/>
    </row>
    <row r="2427" spans="39:39" x14ac:dyDescent="0.25">
      <c r="AM2427"/>
    </row>
    <row r="2428" spans="39:39" x14ac:dyDescent="0.25">
      <c r="AM2428"/>
    </row>
    <row r="2429" spans="39:39" x14ac:dyDescent="0.25">
      <c r="AM2429"/>
    </row>
    <row r="2430" spans="39:39" x14ac:dyDescent="0.25">
      <c r="AM2430"/>
    </row>
    <row r="2431" spans="39:39" x14ac:dyDescent="0.25">
      <c r="AM2431"/>
    </row>
    <row r="2432" spans="39:39" x14ac:dyDescent="0.25">
      <c r="AM2432"/>
    </row>
    <row r="2433" spans="39:39" x14ac:dyDescent="0.25">
      <c r="AM2433"/>
    </row>
    <row r="2434" spans="39:39" x14ac:dyDescent="0.25">
      <c r="AM2434"/>
    </row>
    <row r="2435" spans="39:39" x14ac:dyDescent="0.25">
      <c r="AM2435"/>
    </row>
    <row r="2436" spans="39:39" x14ac:dyDescent="0.25">
      <c r="AM2436"/>
    </row>
    <row r="2437" spans="39:39" x14ac:dyDescent="0.25">
      <c r="AM2437"/>
    </row>
    <row r="2438" spans="39:39" x14ac:dyDescent="0.25">
      <c r="AM2438"/>
    </row>
    <row r="2439" spans="39:39" x14ac:dyDescent="0.25">
      <c r="AM2439"/>
    </row>
    <row r="2440" spans="39:39" x14ac:dyDescent="0.25">
      <c r="AM2440"/>
    </row>
    <row r="2441" spans="39:39" x14ac:dyDescent="0.25">
      <c r="AM2441"/>
    </row>
    <row r="2442" spans="39:39" x14ac:dyDescent="0.25">
      <c r="AM2442"/>
    </row>
    <row r="2443" spans="39:39" x14ac:dyDescent="0.25">
      <c r="AM2443"/>
    </row>
    <row r="2444" spans="39:39" x14ac:dyDescent="0.25">
      <c r="AM2444"/>
    </row>
    <row r="2445" spans="39:39" x14ac:dyDescent="0.25">
      <c r="AM2445"/>
    </row>
    <row r="2446" spans="39:39" x14ac:dyDescent="0.25">
      <c r="AM2446"/>
    </row>
    <row r="2447" spans="39:39" x14ac:dyDescent="0.25">
      <c r="AM2447"/>
    </row>
    <row r="2448" spans="39:39" x14ac:dyDescent="0.25">
      <c r="AM2448"/>
    </row>
    <row r="2449" spans="39:39" x14ac:dyDescent="0.25">
      <c r="AM2449"/>
    </row>
    <row r="2450" spans="39:39" x14ac:dyDescent="0.25">
      <c r="AM2450"/>
    </row>
    <row r="2451" spans="39:39" x14ac:dyDescent="0.25">
      <c r="AM2451"/>
    </row>
    <row r="2452" spans="39:39" x14ac:dyDescent="0.25">
      <c r="AM2452"/>
    </row>
    <row r="2453" spans="39:39" x14ac:dyDescent="0.25">
      <c r="AM2453"/>
    </row>
    <row r="2454" spans="39:39" x14ac:dyDescent="0.25">
      <c r="AM2454"/>
    </row>
    <row r="2455" spans="39:39" x14ac:dyDescent="0.25">
      <c r="AM2455"/>
    </row>
    <row r="2456" spans="39:39" x14ac:dyDescent="0.25">
      <c r="AM2456"/>
    </row>
    <row r="2457" spans="39:39" x14ac:dyDescent="0.25">
      <c r="AM2457"/>
    </row>
    <row r="2458" spans="39:39" x14ac:dyDescent="0.25">
      <c r="AM2458"/>
    </row>
    <row r="2459" spans="39:39" x14ac:dyDescent="0.25">
      <c r="AM2459"/>
    </row>
    <row r="2460" spans="39:39" x14ac:dyDescent="0.25">
      <c r="AM2460"/>
    </row>
    <row r="2461" spans="39:39" x14ac:dyDescent="0.25">
      <c r="AM2461"/>
    </row>
    <row r="2462" spans="39:39" x14ac:dyDescent="0.25">
      <c r="AM2462"/>
    </row>
    <row r="2463" spans="39:39" x14ac:dyDescent="0.25">
      <c r="AM2463"/>
    </row>
    <row r="2464" spans="39:39" x14ac:dyDescent="0.25">
      <c r="AM2464"/>
    </row>
    <row r="2465" spans="39:39" x14ac:dyDescent="0.25">
      <c r="AM2465"/>
    </row>
    <row r="2466" spans="39:39" x14ac:dyDescent="0.25">
      <c r="AM2466"/>
    </row>
    <row r="2467" spans="39:39" x14ac:dyDescent="0.25">
      <c r="AM2467"/>
    </row>
    <row r="2468" spans="39:39" x14ac:dyDescent="0.25">
      <c r="AM2468"/>
    </row>
    <row r="2469" spans="39:39" x14ac:dyDescent="0.25">
      <c r="AM2469"/>
    </row>
    <row r="2470" spans="39:39" x14ac:dyDescent="0.25">
      <c r="AM2470"/>
    </row>
    <row r="2471" spans="39:39" x14ac:dyDescent="0.25">
      <c r="AM2471"/>
    </row>
    <row r="2472" spans="39:39" x14ac:dyDescent="0.25">
      <c r="AM2472"/>
    </row>
    <row r="2473" spans="39:39" x14ac:dyDescent="0.25">
      <c r="AM2473"/>
    </row>
    <row r="2474" spans="39:39" x14ac:dyDescent="0.25">
      <c r="AM2474"/>
    </row>
    <row r="2475" spans="39:39" x14ac:dyDescent="0.25">
      <c r="AM2475"/>
    </row>
    <row r="2476" spans="39:39" x14ac:dyDescent="0.25">
      <c r="AM2476"/>
    </row>
    <row r="2477" spans="39:39" x14ac:dyDescent="0.25">
      <c r="AM2477"/>
    </row>
    <row r="2478" spans="39:39" x14ac:dyDescent="0.25">
      <c r="AM2478"/>
    </row>
    <row r="2479" spans="39:39" x14ac:dyDescent="0.25">
      <c r="AM2479"/>
    </row>
    <row r="2480" spans="39:39" x14ac:dyDescent="0.25">
      <c r="AM2480"/>
    </row>
    <row r="2481" spans="39:39" x14ac:dyDescent="0.25">
      <c r="AM2481"/>
    </row>
    <row r="2482" spans="39:39" x14ac:dyDescent="0.25">
      <c r="AM2482"/>
    </row>
    <row r="2483" spans="39:39" x14ac:dyDescent="0.25">
      <c r="AM2483"/>
    </row>
    <row r="2484" spans="39:39" x14ac:dyDescent="0.25">
      <c r="AM2484"/>
    </row>
    <row r="2485" spans="39:39" x14ac:dyDescent="0.25">
      <c r="AM2485"/>
    </row>
    <row r="2486" spans="39:39" x14ac:dyDescent="0.25">
      <c r="AM2486"/>
    </row>
    <row r="2487" spans="39:39" x14ac:dyDescent="0.25">
      <c r="AM2487"/>
    </row>
    <row r="2488" spans="39:39" x14ac:dyDescent="0.25">
      <c r="AM2488"/>
    </row>
    <row r="2489" spans="39:39" x14ac:dyDescent="0.25">
      <c r="AM2489"/>
    </row>
    <row r="2490" spans="39:39" x14ac:dyDescent="0.25">
      <c r="AM2490"/>
    </row>
    <row r="2491" spans="39:39" x14ac:dyDescent="0.25">
      <c r="AM2491"/>
    </row>
    <row r="2492" spans="39:39" x14ac:dyDescent="0.25">
      <c r="AM2492"/>
    </row>
    <row r="2493" spans="39:39" x14ac:dyDescent="0.25">
      <c r="AM2493"/>
    </row>
    <row r="2494" spans="39:39" x14ac:dyDescent="0.25">
      <c r="AM2494"/>
    </row>
    <row r="2495" spans="39:39" x14ac:dyDescent="0.25">
      <c r="AM2495"/>
    </row>
    <row r="2496" spans="39:39" x14ac:dyDescent="0.25">
      <c r="AM2496"/>
    </row>
    <row r="2497" spans="39:39" x14ac:dyDescent="0.25">
      <c r="AM2497"/>
    </row>
    <row r="2498" spans="39:39" x14ac:dyDescent="0.25">
      <c r="AM2498"/>
    </row>
    <row r="2499" spans="39:39" x14ac:dyDescent="0.25">
      <c r="AM2499"/>
    </row>
    <row r="2500" spans="39:39" x14ac:dyDescent="0.25">
      <c r="AM2500"/>
    </row>
    <row r="2501" spans="39:39" x14ac:dyDescent="0.25">
      <c r="AM2501"/>
    </row>
    <row r="2502" spans="39:39" x14ac:dyDescent="0.25">
      <c r="AM2502"/>
    </row>
    <row r="2503" spans="39:39" x14ac:dyDescent="0.25">
      <c r="AM2503"/>
    </row>
    <row r="2504" spans="39:39" x14ac:dyDescent="0.25">
      <c r="AM2504"/>
    </row>
    <row r="2505" spans="39:39" x14ac:dyDescent="0.25">
      <c r="AM2505"/>
    </row>
    <row r="2506" spans="39:39" x14ac:dyDescent="0.25">
      <c r="AM2506"/>
    </row>
    <row r="2507" spans="39:39" x14ac:dyDescent="0.25">
      <c r="AM2507"/>
    </row>
    <row r="2508" spans="39:39" x14ac:dyDescent="0.25">
      <c r="AM2508"/>
    </row>
    <row r="2509" spans="39:39" x14ac:dyDescent="0.25">
      <c r="AM2509"/>
    </row>
    <row r="2510" spans="39:39" x14ac:dyDescent="0.25">
      <c r="AM2510"/>
    </row>
    <row r="2511" spans="39:39" x14ac:dyDescent="0.25">
      <c r="AM2511"/>
    </row>
    <row r="2512" spans="39:39" x14ac:dyDescent="0.25">
      <c r="AM2512"/>
    </row>
    <row r="2513" spans="39:39" x14ac:dyDescent="0.25">
      <c r="AM2513"/>
    </row>
    <row r="2514" spans="39:39" x14ac:dyDescent="0.25">
      <c r="AM2514"/>
    </row>
    <row r="2515" spans="39:39" x14ac:dyDescent="0.25">
      <c r="AM2515"/>
    </row>
    <row r="2516" spans="39:39" x14ac:dyDescent="0.25">
      <c r="AM2516"/>
    </row>
    <row r="2517" spans="39:39" x14ac:dyDescent="0.25">
      <c r="AM2517"/>
    </row>
    <row r="2518" spans="39:39" x14ac:dyDescent="0.25">
      <c r="AM2518"/>
    </row>
    <row r="2519" spans="39:39" x14ac:dyDescent="0.25">
      <c r="AM2519"/>
    </row>
    <row r="2520" spans="39:39" x14ac:dyDescent="0.25">
      <c r="AM2520"/>
    </row>
    <row r="2521" spans="39:39" x14ac:dyDescent="0.25">
      <c r="AM2521"/>
    </row>
    <row r="2522" spans="39:39" x14ac:dyDescent="0.25">
      <c r="AM2522"/>
    </row>
    <row r="2523" spans="39:39" x14ac:dyDescent="0.25">
      <c r="AM2523"/>
    </row>
    <row r="2524" spans="39:39" x14ac:dyDescent="0.25">
      <c r="AM2524"/>
    </row>
    <row r="2525" spans="39:39" x14ac:dyDescent="0.25">
      <c r="AM2525"/>
    </row>
    <row r="2526" spans="39:39" x14ac:dyDescent="0.25">
      <c r="AM2526"/>
    </row>
    <row r="2527" spans="39:39" x14ac:dyDescent="0.25">
      <c r="AM2527"/>
    </row>
    <row r="2528" spans="39:39" x14ac:dyDescent="0.25">
      <c r="AM2528"/>
    </row>
    <row r="2529" spans="39:39" x14ac:dyDescent="0.25">
      <c r="AM2529"/>
    </row>
    <row r="2530" spans="39:39" x14ac:dyDescent="0.25">
      <c r="AM2530"/>
    </row>
    <row r="2531" spans="39:39" x14ac:dyDescent="0.25">
      <c r="AM2531"/>
    </row>
    <row r="2532" spans="39:39" x14ac:dyDescent="0.25">
      <c r="AM2532"/>
    </row>
    <row r="2533" spans="39:39" x14ac:dyDescent="0.25">
      <c r="AM2533"/>
    </row>
    <row r="2534" spans="39:39" x14ac:dyDescent="0.25">
      <c r="AM2534"/>
    </row>
    <row r="2535" spans="39:39" x14ac:dyDescent="0.25">
      <c r="AM2535"/>
    </row>
    <row r="2536" spans="39:39" x14ac:dyDescent="0.25">
      <c r="AM2536"/>
    </row>
    <row r="2537" spans="39:39" x14ac:dyDescent="0.25">
      <c r="AM2537"/>
    </row>
    <row r="2538" spans="39:39" x14ac:dyDescent="0.25">
      <c r="AM2538"/>
    </row>
    <row r="2539" spans="39:39" x14ac:dyDescent="0.25">
      <c r="AM2539"/>
    </row>
    <row r="2540" spans="39:39" x14ac:dyDescent="0.25">
      <c r="AM2540"/>
    </row>
    <row r="2541" spans="39:39" x14ac:dyDescent="0.25">
      <c r="AM2541"/>
    </row>
    <row r="2542" spans="39:39" x14ac:dyDescent="0.25">
      <c r="AM2542"/>
    </row>
    <row r="2543" spans="39:39" x14ac:dyDescent="0.25">
      <c r="AM2543"/>
    </row>
    <row r="2544" spans="39:39" x14ac:dyDescent="0.25">
      <c r="AM2544"/>
    </row>
    <row r="2545" spans="39:39" x14ac:dyDescent="0.25">
      <c r="AM2545"/>
    </row>
    <row r="2546" spans="39:39" x14ac:dyDescent="0.25">
      <c r="AM2546"/>
    </row>
    <row r="2547" spans="39:39" x14ac:dyDescent="0.25">
      <c r="AM2547"/>
    </row>
    <row r="2548" spans="39:39" x14ac:dyDescent="0.25">
      <c r="AM2548"/>
    </row>
    <row r="2549" spans="39:39" x14ac:dyDescent="0.25">
      <c r="AM2549"/>
    </row>
    <row r="2550" spans="39:39" x14ac:dyDescent="0.25">
      <c r="AM2550"/>
    </row>
    <row r="2551" spans="39:39" x14ac:dyDescent="0.25">
      <c r="AM2551"/>
    </row>
    <row r="2552" spans="39:39" x14ac:dyDescent="0.25">
      <c r="AM2552"/>
    </row>
    <row r="2553" spans="39:39" x14ac:dyDescent="0.25">
      <c r="AM2553"/>
    </row>
    <row r="2554" spans="39:39" x14ac:dyDescent="0.25">
      <c r="AM2554"/>
    </row>
    <row r="2555" spans="39:39" x14ac:dyDescent="0.25">
      <c r="AM2555"/>
    </row>
    <row r="2556" spans="39:39" x14ac:dyDescent="0.25">
      <c r="AM2556"/>
    </row>
    <row r="2557" spans="39:39" x14ac:dyDescent="0.25">
      <c r="AM2557"/>
    </row>
    <row r="2558" spans="39:39" x14ac:dyDescent="0.25">
      <c r="AM2558"/>
    </row>
    <row r="2559" spans="39:39" x14ac:dyDescent="0.25">
      <c r="AM2559"/>
    </row>
    <row r="2560" spans="39:39" x14ac:dyDescent="0.25">
      <c r="AM2560"/>
    </row>
    <row r="2561" spans="39:39" x14ac:dyDescent="0.25">
      <c r="AM2561"/>
    </row>
    <row r="2562" spans="39:39" x14ac:dyDescent="0.25">
      <c r="AM2562"/>
    </row>
    <row r="2563" spans="39:39" x14ac:dyDescent="0.25">
      <c r="AM2563"/>
    </row>
    <row r="2564" spans="39:39" x14ac:dyDescent="0.25">
      <c r="AM2564"/>
    </row>
    <row r="2565" spans="39:39" x14ac:dyDescent="0.25">
      <c r="AM2565"/>
    </row>
    <row r="2566" spans="39:39" x14ac:dyDescent="0.25">
      <c r="AM2566"/>
    </row>
    <row r="2567" spans="39:39" x14ac:dyDescent="0.25">
      <c r="AM2567"/>
    </row>
    <row r="2568" spans="39:39" x14ac:dyDescent="0.25">
      <c r="AM2568"/>
    </row>
    <row r="2569" spans="39:39" x14ac:dyDescent="0.25">
      <c r="AM2569"/>
    </row>
    <row r="2570" spans="39:39" x14ac:dyDescent="0.25">
      <c r="AM2570"/>
    </row>
    <row r="2571" spans="39:39" x14ac:dyDescent="0.25">
      <c r="AM2571"/>
    </row>
    <row r="2572" spans="39:39" x14ac:dyDescent="0.25">
      <c r="AM2572"/>
    </row>
    <row r="2573" spans="39:39" x14ac:dyDescent="0.25">
      <c r="AM2573"/>
    </row>
    <row r="2574" spans="39:39" x14ac:dyDescent="0.25">
      <c r="AM2574"/>
    </row>
    <row r="2575" spans="39:39" x14ac:dyDescent="0.25">
      <c r="AM2575"/>
    </row>
    <row r="2576" spans="39:39" x14ac:dyDescent="0.25">
      <c r="AM2576"/>
    </row>
    <row r="2577" spans="39:39" x14ac:dyDescent="0.25">
      <c r="AM2577"/>
    </row>
    <row r="2578" spans="39:39" x14ac:dyDescent="0.25">
      <c r="AM2578"/>
    </row>
    <row r="2579" spans="39:39" x14ac:dyDescent="0.25">
      <c r="AM2579"/>
    </row>
    <row r="2580" spans="39:39" x14ac:dyDescent="0.25">
      <c r="AM2580"/>
    </row>
    <row r="2581" spans="39:39" x14ac:dyDescent="0.25">
      <c r="AM2581"/>
    </row>
    <row r="2582" spans="39:39" x14ac:dyDescent="0.25">
      <c r="AM2582"/>
    </row>
    <row r="2583" spans="39:39" x14ac:dyDescent="0.25">
      <c r="AM2583"/>
    </row>
    <row r="2584" spans="39:39" x14ac:dyDescent="0.25">
      <c r="AM2584"/>
    </row>
    <row r="2585" spans="39:39" x14ac:dyDescent="0.25">
      <c r="AM2585"/>
    </row>
    <row r="2586" spans="39:39" x14ac:dyDescent="0.25">
      <c r="AM2586"/>
    </row>
    <row r="2587" spans="39:39" x14ac:dyDescent="0.25">
      <c r="AM2587"/>
    </row>
    <row r="2588" spans="39:39" x14ac:dyDescent="0.25">
      <c r="AM2588"/>
    </row>
    <row r="2589" spans="39:39" x14ac:dyDescent="0.25">
      <c r="AM2589"/>
    </row>
    <row r="2590" spans="39:39" x14ac:dyDescent="0.25">
      <c r="AM2590"/>
    </row>
    <row r="2591" spans="39:39" x14ac:dyDescent="0.25">
      <c r="AM2591"/>
    </row>
    <row r="2592" spans="39:39" x14ac:dyDescent="0.25">
      <c r="AM2592"/>
    </row>
    <row r="2593" spans="39:39" x14ac:dyDescent="0.25">
      <c r="AM2593"/>
    </row>
    <row r="2594" spans="39:39" x14ac:dyDescent="0.25">
      <c r="AM2594"/>
    </row>
    <row r="2595" spans="39:39" x14ac:dyDescent="0.25">
      <c r="AM2595"/>
    </row>
    <row r="2596" spans="39:39" x14ac:dyDescent="0.25">
      <c r="AM2596"/>
    </row>
    <row r="2597" spans="39:39" x14ac:dyDescent="0.25">
      <c r="AM2597"/>
    </row>
    <row r="2598" spans="39:39" x14ac:dyDescent="0.25">
      <c r="AM2598"/>
    </row>
    <row r="2599" spans="39:39" x14ac:dyDescent="0.25">
      <c r="AM2599"/>
    </row>
    <row r="2600" spans="39:39" x14ac:dyDescent="0.25">
      <c r="AM2600"/>
    </row>
    <row r="2601" spans="39:39" x14ac:dyDescent="0.25">
      <c r="AM2601"/>
    </row>
    <row r="2602" spans="39:39" x14ac:dyDescent="0.25">
      <c r="AM2602"/>
    </row>
    <row r="2603" spans="39:39" x14ac:dyDescent="0.25">
      <c r="AM2603"/>
    </row>
    <row r="2604" spans="39:39" x14ac:dyDescent="0.25">
      <c r="AM2604"/>
    </row>
    <row r="2605" spans="39:39" x14ac:dyDescent="0.25">
      <c r="AM2605"/>
    </row>
    <row r="2606" spans="39:39" x14ac:dyDescent="0.25">
      <c r="AM2606"/>
    </row>
    <row r="2607" spans="39:39" x14ac:dyDescent="0.25">
      <c r="AM2607"/>
    </row>
    <row r="2608" spans="39:39" x14ac:dyDescent="0.25">
      <c r="AM2608"/>
    </row>
    <row r="2609" spans="39:39" x14ac:dyDescent="0.25">
      <c r="AM2609"/>
    </row>
    <row r="2610" spans="39:39" x14ac:dyDescent="0.25">
      <c r="AM2610"/>
    </row>
    <row r="2611" spans="39:39" x14ac:dyDescent="0.25">
      <c r="AM2611"/>
    </row>
    <row r="2612" spans="39:39" x14ac:dyDescent="0.25">
      <c r="AM2612"/>
    </row>
    <row r="2613" spans="39:39" x14ac:dyDescent="0.25">
      <c r="AM2613"/>
    </row>
    <row r="2614" spans="39:39" x14ac:dyDescent="0.25">
      <c r="AM2614"/>
    </row>
    <row r="2615" spans="39:39" x14ac:dyDescent="0.25">
      <c r="AM2615"/>
    </row>
    <row r="2616" spans="39:39" x14ac:dyDescent="0.25">
      <c r="AM2616"/>
    </row>
    <row r="2617" spans="39:39" x14ac:dyDescent="0.25">
      <c r="AM2617"/>
    </row>
    <row r="2618" spans="39:39" x14ac:dyDescent="0.25">
      <c r="AM2618"/>
    </row>
    <row r="2619" spans="39:39" x14ac:dyDescent="0.25">
      <c r="AM2619"/>
    </row>
    <row r="2620" spans="39:39" x14ac:dyDescent="0.25">
      <c r="AM2620"/>
    </row>
    <row r="2621" spans="39:39" x14ac:dyDescent="0.25">
      <c r="AM2621"/>
    </row>
    <row r="2622" spans="39:39" x14ac:dyDescent="0.25">
      <c r="AM2622"/>
    </row>
    <row r="2623" spans="39:39" x14ac:dyDescent="0.25">
      <c r="AM2623"/>
    </row>
    <row r="2624" spans="39:39" x14ac:dyDescent="0.25">
      <c r="AM2624"/>
    </row>
    <row r="2625" spans="39:39" x14ac:dyDescent="0.25">
      <c r="AM2625"/>
    </row>
    <row r="2626" spans="39:39" x14ac:dyDescent="0.25">
      <c r="AM2626"/>
    </row>
    <row r="2627" spans="39:39" x14ac:dyDescent="0.25">
      <c r="AM2627"/>
    </row>
    <row r="2628" spans="39:39" x14ac:dyDescent="0.25">
      <c r="AM2628"/>
    </row>
    <row r="2629" spans="39:39" x14ac:dyDescent="0.25">
      <c r="AM2629"/>
    </row>
    <row r="2630" spans="39:39" x14ac:dyDescent="0.25">
      <c r="AM2630"/>
    </row>
    <row r="2631" spans="39:39" x14ac:dyDescent="0.25">
      <c r="AM2631"/>
    </row>
    <row r="2632" spans="39:39" x14ac:dyDescent="0.25">
      <c r="AM2632"/>
    </row>
    <row r="2633" spans="39:39" x14ac:dyDescent="0.25">
      <c r="AM2633"/>
    </row>
    <row r="2634" spans="39:39" x14ac:dyDescent="0.25">
      <c r="AM2634"/>
    </row>
    <row r="2635" spans="39:39" x14ac:dyDescent="0.25">
      <c r="AM2635"/>
    </row>
    <row r="2636" spans="39:39" x14ac:dyDescent="0.25">
      <c r="AM2636"/>
    </row>
    <row r="2637" spans="39:39" x14ac:dyDescent="0.25">
      <c r="AM2637"/>
    </row>
    <row r="2638" spans="39:39" x14ac:dyDescent="0.25">
      <c r="AM2638"/>
    </row>
    <row r="2639" spans="39:39" x14ac:dyDescent="0.25">
      <c r="AM2639"/>
    </row>
    <row r="2640" spans="39:39" x14ac:dyDescent="0.25">
      <c r="AM2640"/>
    </row>
    <row r="2641" spans="39:39" x14ac:dyDescent="0.25">
      <c r="AM2641"/>
    </row>
    <row r="2642" spans="39:39" x14ac:dyDescent="0.25">
      <c r="AM2642"/>
    </row>
    <row r="2643" spans="39:39" x14ac:dyDescent="0.25">
      <c r="AM2643"/>
    </row>
    <row r="2644" spans="39:39" x14ac:dyDescent="0.25">
      <c r="AM2644"/>
    </row>
    <row r="2645" spans="39:39" x14ac:dyDescent="0.25">
      <c r="AM2645"/>
    </row>
    <row r="2646" spans="39:39" x14ac:dyDescent="0.25">
      <c r="AM2646"/>
    </row>
    <row r="2647" spans="39:39" x14ac:dyDescent="0.25">
      <c r="AM2647"/>
    </row>
    <row r="2648" spans="39:39" x14ac:dyDescent="0.25">
      <c r="AM2648"/>
    </row>
    <row r="2649" spans="39:39" x14ac:dyDescent="0.25">
      <c r="AM2649"/>
    </row>
    <row r="2650" spans="39:39" x14ac:dyDescent="0.25">
      <c r="AM2650"/>
    </row>
    <row r="2651" spans="39:39" x14ac:dyDescent="0.25">
      <c r="AM2651"/>
    </row>
    <row r="2652" spans="39:39" x14ac:dyDescent="0.25">
      <c r="AM2652"/>
    </row>
    <row r="2653" spans="39:39" x14ac:dyDescent="0.25">
      <c r="AM2653"/>
    </row>
    <row r="2654" spans="39:39" x14ac:dyDescent="0.25">
      <c r="AM2654"/>
    </row>
    <row r="2655" spans="39:39" x14ac:dyDescent="0.25">
      <c r="AM2655"/>
    </row>
    <row r="2656" spans="39:39" x14ac:dyDescent="0.25">
      <c r="AM2656"/>
    </row>
    <row r="2657" spans="39:39" x14ac:dyDescent="0.25">
      <c r="AM2657"/>
    </row>
    <row r="2658" spans="39:39" x14ac:dyDescent="0.25">
      <c r="AM2658"/>
    </row>
    <row r="2659" spans="39:39" x14ac:dyDescent="0.25">
      <c r="AM2659"/>
    </row>
    <row r="2660" spans="39:39" x14ac:dyDescent="0.25">
      <c r="AM2660"/>
    </row>
    <row r="2661" spans="39:39" x14ac:dyDescent="0.25">
      <c r="AM2661"/>
    </row>
    <row r="2662" spans="39:39" x14ac:dyDescent="0.25">
      <c r="AM2662"/>
    </row>
    <row r="2663" spans="39:39" x14ac:dyDescent="0.25">
      <c r="AM2663"/>
    </row>
    <row r="2664" spans="39:39" x14ac:dyDescent="0.25">
      <c r="AM2664"/>
    </row>
    <row r="2665" spans="39:39" x14ac:dyDescent="0.25">
      <c r="AM2665"/>
    </row>
    <row r="2666" spans="39:39" x14ac:dyDescent="0.25">
      <c r="AM2666"/>
    </row>
    <row r="2667" spans="39:39" x14ac:dyDescent="0.25">
      <c r="AM2667"/>
    </row>
    <row r="2668" spans="39:39" x14ac:dyDescent="0.25">
      <c r="AM2668"/>
    </row>
    <row r="2669" spans="39:39" x14ac:dyDescent="0.25">
      <c r="AM2669"/>
    </row>
    <row r="2670" spans="39:39" x14ac:dyDescent="0.25">
      <c r="AM2670"/>
    </row>
    <row r="2671" spans="39:39" x14ac:dyDescent="0.25">
      <c r="AM2671"/>
    </row>
    <row r="2672" spans="39:39" x14ac:dyDescent="0.25">
      <c r="AM2672"/>
    </row>
    <row r="2673" spans="39:39" x14ac:dyDescent="0.25">
      <c r="AM2673"/>
    </row>
    <row r="2674" spans="39:39" x14ac:dyDescent="0.25">
      <c r="AM2674"/>
    </row>
    <row r="2675" spans="39:39" x14ac:dyDescent="0.25">
      <c r="AM2675"/>
    </row>
    <row r="2676" spans="39:39" x14ac:dyDescent="0.25">
      <c r="AM2676"/>
    </row>
    <row r="2677" spans="39:39" x14ac:dyDescent="0.25">
      <c r="AM2677"/>
    </row>
    <row r="2678" spans="39:39" x14ac:dyDescent="0.25">
      <c r="AM2678"/>
    </row>
    <row r="2679" spans="39:39" x14ac:dyDescent="0.25">
      <c r="AM2679"/>
    </row>
    <row r="2680" spans="39:39" x14ac:dyDescent="0.25">
      <c r="AM2680"/>
    </row>
    <row r="2681" spans="39:39" x14ac:dyDescent="0.25">
      <c r="AM2681"/>
    </row>
    <row r="2682" spans="39:39" x14ac:dyDescent="0.25">
      <c r="AM2682"/>
    </row>
    <row r="2683" spans="39:39" x14ac:dyDescent="0.25">
      <c r="AM2683"/>
    </row>
    <row r="2684" spans="39:39" x14ac:dyDescent="0.25">
      <c r="AM2684"/>
    </row>
    <row r="2685" spans="39:39" x14ac:dyDescent="0.25">
      <c r="AM2685"/>
    </row>
    <row r="2686" spans="39:39" x14ac:dyDescent="0.25">
      <c r="AM2686"/>
    </row>
    <row r="2687" spans="39:39" x14ac:dyDescent="0.25">
      <c r="AM2687"/>
    </row>
    <row r="2688" spans="39:39" x14ac:dyDescent="0.25">
      <c r="AM2688"/>
    </row>
    <row r="2689" spans="39:39" x14ac:dyDescent="0.25">
      <c r="AM2689"/>
    </row>
    <row r="2690" spans="39:39" x14ac:dyDescent="0.25">
      <c r="AM2690"/>
    </row>
    <row r="2691" spans="39:39" x14ac:dyDescent="0.25">
      <c r="AM2691"/>
    </row>
    <row r="2692" spans="39:39" x14ac:dyDescent="0.25">
      <c r="AM2692"/>
    </row>
    <row r="2693" spans="39:39" x14ac:dyDescent="0.25">
      <c r="AM2693"/>
    </row>
    <row r="2694" spans="39:39" x14ac:dyDescent="0.25">
      <c r="AM2694"/>
    </row>
    <row r="2695" spans="39:39" x14ac:dyDescent="0.25">
      <c r="AM2695"/>
    </row>
    <row r="2696" spans="39:39" x14ac:dyDescent="0.25">
      <c r="AM2696"/>
    </row>
    <row r="2697" spans="39:39" x14ac:dyDescent="0.25">
      <c r="AM2697"/>
    </row>
    <row r="2698" spans="39:39" x14ac:dyDescent="0.25">
      <c r="AM2698"/>
    </row>
    <row r="2699" spans="39:39" x14ac:dyDescent="0.25">
      <c r="AM2699"/>
    </row>
    <row r="2700" spans="39:39" x14ac:dyDescent="0.25">
      <c r="AM2700"/>
    </row>
    <row r="2701" spans="39:39" x14ac:dyDescent="0.25">
      <c r="AM2701"/>
    </row>
    <row r="2702" spans="39:39" x14ac:dyDescent="0.25">
      <c r="AM2702"/>
    </row>
    <row r="2703" spans="39:39" x14ac:dyDescent="0.25">
      <c r="AM2703"/>
    </row>
    <row r="2704" spans="39:39" x14ac:dyDescent="0.25">
      <c r="AM2704"/>
    </row>
    <row r="2705" spans="39:39" x14ac:dyDescent="0.25">
      <c r="AM2705"/>
    </row>
    <row r="2706" spans="39:39" x14ac:dyDescent="0.25">
      <c r="AM2706"/>
    </row>
    <row r="2707" spans="39:39" x14ac:dyDescent="0.25">
      <c r="AM2707"/>
    </row>
    <row r="2708" spans="39:39" x14ac:dyDescent="0.25">
      <c r="AM2708"/>
    </row>
    <row r="2709" spans="39:39" x14ac:dyDescent="0.25">
      <c r="AM2709"/>
    </row>
    <row r="2710" spans="39:39" x14ac:dyDescent="0.25">
      <c r="AM2710"/>
    </row>
    <row r="2711" spans="39:39" x14ac:dyDescent="0.25">
      <c r="AM2711"/>
    </row>
    <row r="2712" spans="39:39" x14ac:dyDescent="0.25">
      <c r="AM2712"/>
    </row>
    <row r="2713" spans="39:39" x14ac:dyDescent="0.25">
      <c r="AM2713"/>
    </row>
    <row r="2714" spans="39:39" x14ac:dyDescent="0.25">
      <c r="AM2714"/>
    </row>
    <row r="2715" spans="39:39" x14ac:dyDescent="0.25">
      <c r="AM2715"/>
    </row>
    <row r="2716" spans="39:39" x14ac:dyDescent="0.25">
      <c r="AM2716"/>
    </row>
    <row r="2717" spans="39:39" x14ac:dyDescent="0.25">
      <c r="AM2717"/>
    </row>
    <row r="2718" spans="39:39" x14ac:dyDescent="0.25">
      <c r="AM2718"/>
    </row>
    <row r="2719" spans="39:39" x14ac:dyDescent="0.25">
      <c r="AM2719"/>
    </row>
    <row r="2720" spans="39:39" x14ac:dyDescent="0.25">
      <c r="AM2720"/>
    </row>
    <row r="2721" spans="39:39" x14ac:dyDescent="0.25">
      <c r="AM2721"/>
    </row>
    <row r="2722" spans="39:39" x14ac:dyDescent="0.25">
      <c r="AM2722"/>
    </row>
    <row r="2723" spans="39:39" x14ac:dyDescent="0.25">
      <c r="AM2723"/>
    </row>
    <row r="2724" spans="39:39" x14ac:dyDescent="0.25">
      <c r="AM2724"/>
    </row>
    <row r="2725" spans="39:39" x14ac:dyDescent="0.25">
      <c r="AM2725"/>
    </row>
    <row r="2726" spans="39:39" x14ac:dyDescent="0.25">
      <c r="AM2726"/>
    </row>
    <row r="2727" spans="39:39" x14ac:dyDescent="0.25">
      <c r="AM2727"/>
    </row>
    <row r="2728" spans="39:39" x14ac:dyDescent="0.25">
      <c r="AM2728"/>
    </row>
    <row r="2729" spans="39:39" x14ac:dyDescent="0.25">
      <c r="AM2729"/>
    </row>
    <row r="2730" spans="39:39" x14ac:dyDescent="0.25">
      <c r="AM2730"/>
    </row>
    <row r="2731" spans="39:39" x14ac:dyDescent="0.25">
      <c r="AM2731"/>
    </row>
    <row r="2732" spans="39:39" x14ac:dyDescent="0.25">
      <c r="AM2732"/>
    </row>
    <row r="2733" spans="39:39" x14ac:dyDescent="0.25">
      <c r="AM2733"/>
    </row>
    <row r="2734" spans="39:39" x14ac:dyDescent="0.25">
      <c r="AM2734"/>
    </row>
    <row r="2735" spans="39:39" x14ac:dyDescent="0.25">
      <c r="AM2735"/>
    </row>
    <row r="2736" spans="39:39" x14ac:dyDescent="0.25">
      <c r="AM2736"/>
    </row>
    <row r="2737" spans="39:39" x14ac:dyDescent="0.25">
      <c r="AM2737"/>
    </row>
    <row r="2738" spans="39:39" x14ac:dyDescent="0.25">
      <c r="AM2738"/>
    </row>
    <row r="2739" spans="39:39" x14ac:dyDescent="0.25">
      <c r="AM2739"/>
    </row>
    <row r="2740" spans="39:39" x14ac:dyDescent="0.25">
      <c r="AM2740"/>
    </row>
    <row r="2741" spans="39:39" x14ac:dyDescent="0.25">
      <c r="AM2741"/>
    </row>
    <row r="2742" spans="39:39" x14ac:dyDescent="0.25">
      <c r="AM2742"/>
    </row>
    <row r="2743" spans="39:39" x14ac:dyDescent="0.25">
      <c r="AM2743"/>
    </row>
    <row r="2744" spans="39:39" x14ac:dyDescent="0.25">
      <c r="AM2744"/>
    </row>
    <row r="2745" spans="39:39" x14ac:dyDescent="0.25">
      <c r="AM2745"/>
    </row>
    <row r="2746" spans="39:39" x14ac:dyDescent="0.25">
      <c r="AM2746"/>
    </row>
    <row r="2747" spans="39:39" x14ac:dyDescent="0.25">
      <c r="AM2747"/>
    </row>
    <row r="2748" spans="39:39" x14ac:dyDescent="0.25">
      <c r="AM2748"/>
    </row>
    <row r="2749" spans="39:39" x14ac:dyDescent="0.25">
      <c r="AM2749"/>
    </row>
    <row r="2750" spans="39:39" x14ac:dyDescent="0.25">
      <c r="AM2750"/>
    </row>
    <row r="2751" spans="39:39" x14ac:dyDescent="0.25">
      <c r="AM2751"/>
    </row>
    <row r="2752" spans="39:39" x14ac:dyDescent="0.25">
      <c r="AM2752"/>
    </row>
    <row r="2753" spans="39:39" x14ac:dyDescent="0.25">
      <c r="AM2753"/>
    </row>
    <row r="2754" spans="39:39" x14ac:dyDescent="0.25">
      <c r="AM2754"/>
    </row>
    <row r="2755" spans="39:39" x14ac:dyDescent="0.25">
      <c r="AM2755"/>
    </row>
    <row r="2756" spans="39:39" x14ac:dyDescent="0.25">
      <c r="AM2756"/>
    </row>
    <row r="2757" spans="39:39" x14ac:dyDescent="0.25">
      <c r="AM2757"/>
    </row>
    <row r="2758" spans="39:39" x14ac:dyDescent="0.25">
      <c r="AM2758"/>
    </row>
    <row r="2759" spans="39:39" x14ac:dyDescent="0.25">
      <c r="AM2759"/>
    </row>
    <row r="2760" spans="39:39" x14ac:dyDescent="0.25">
      <c r="AM2760"/>
    </row>
    <row r="2761" spans="39:39" x14ac:dyDescent="0.25">
      <c r="AM2761"/>
    </row>
    <row r="2762" spans="39:39" x14ac:dyDescent="0.25">
      <c r="AM2762"/>
    </row>
    <row r="2763" spans="39:39" x14ac:dyDescent="0.25">
      <c r="AM2763"/>
    </row>
    <row r="2764" spans="39:39" x14ac:dyDescent="0.25">
      <c r="AM2764"/>
    </row>
    <row r="2765" spans="39:39" x14ac:dyDescent="0.25">
      <c r="AM2765"/>
    </row>
    <row r="2766" spans="39:39" x14ac:dyDescent="0.25">
      <c r="AM2766"/>
    </row>
    <row r="2767" spans="39:39" x14ac:dyDescent="0.25">
      <c r="AM2767"/>
    </row>
    <row r="2768" spans="39:39" x14ac:dyDescent="0.25">
      <c r="AM2768"/>
    </row>
    <row r="2769" spans="39:39" x14ac:dyDescent="0.25">
      <c r="AM2769"/>
    </row>
    <row r="2770" spans="39:39" x14ac:dyDescent="0.25">
      <c r="AM2770"/>
    </row>
    <row r="2771" spans="39:39" x14ac:dyDescent="0.25">
      <c r="AM2771"/>
    </row>
    <row r="2772" spans="39:39" x14ac:dyDescent="0.25">
      <c r="AM2772"/>
    </row>
    <row r="2773" spans="39:39" x14ac:dyDescent="0.25">
      <c r="AM2773"/>
    </row>
    <row r="2774" spans="39:39" x14ac:dyDescent="0.25">
      <c r="AM2774"/>
    </row>
    <row r="2775" spans="39:39" x14ac:dyDescent="0.25">
      <c r="AM2775"/>
    </row>
    <row r="2776" spans="39:39" x14ac:dyDescent="0.25">
      <c r="AM2776"/>
    </row>
    <row r="2777" spans="39:39" x14ac:dyDescent="0.25">
      <c r="AM2777"/>
    </row>
    <row r="2778" spans="39:39" x14ac:dyDescent="0.25">
      <c r="AM2778"/>
    </row>
    <row r="2779" spans="39:39" x14ac:dyDescent="0.25">
      <c r="AM2779"/>
    </row>
    <row r="2780" spans="39:39" x14ac:dyDescent="0.25">
      <c r="AM2780"/>
    </row>
    <row r="2781" spans="39:39" x14ac:dyDescent="0.25">
      <c r="AM2781"/>
    </row>
    <row r="2782" spans="39:39" x14ac:dyDescent="0.25">
      <c r="AM2782"/>
    </row>
    <row r="2783" spans="39:39" x14ac:dyDescent="0.25">
      <c r="AM2783"/>
    </row>
    <row r="2784" spans="39:39" x14ac:dyDescent="0.25">
      <c r="AM2784"/>
    </row>
    <row r="2785" spans="39:39" x14ac:dyDescent="0.25">
      <c r="AM2785"/>
    </row>
    <row r="2786" spans="39:39" x14ac:dyDescent="0.25">
      <c r="AM2786"/>
    </row>
    <row r="2787" spans="39:39" x14ac:dyDescent="0.25">
      <c r="AM2787"/>
    </row>
    <row r="2788" spans="39:39" x14ac:dyDescent="0.25">
      <c r="AM2788"/>
    </row>
    <row r="2789" spans="39:39" x14ac:dyDescent="0.25">
      <c r="AM2789"/>
    </row>
    <row r="2790" spans="39:39" x14ac:dyDescent="0.25">
      <c r="AM2790"/>
    </row>
    <row r="2791" spans="39:39" x14ac:dyDescent="0.25">
      <c r="AM2791"/>
    </row>
    <row r="2792" spans="39:39" x14ac:dyDescent="0.25">
      <c r="AM2792"/>
    </row>
    <row r="2793" spans="39:39" x14ac:dyDescent="0.25">
      <c r="AM2793"/>
    </row>
    <row r="2794" spans="39:39" x14ac:dyDescent="0.25">
      <c r="AM2794"/>
    </row>
    <row r="2795" spans="39:39" x14ac:dyDescent="0.25">
      <c r="AM2795"/>
    </row>
    <row r="2796" spans="39:39" x14ac:dyDescent="0.25">
      <c r="AM2796"/>
    </row>
    <row r="2797" spans="39:39" x14ac:dyDescent="0.25">
      <c r="AM2797"/>
    </row>
    <row r="2798" spans="39:39" x14ac:dyDescent="0.25">
      <c r="AM2798"/>
    </row>
    <row r="2799" spans="39:39" x14ac:dyDescent="0.25">
      <c r="AM2799"/>
    </row>
    <row r="2800" spans="39:39" x14ac:dyDescent="0.25">
      <c r="AM2800"/>
    </row>
    <row r="2801" spans="39:39" x14ac:dyDescent="0.25">
      <c r="AM2801"/>
    </row>
    <row r="2802" spans="39:39" x14ac:dyDescent="0.25">
      <c r="AM2802"/>
    </row>
    <row r="2803" spans="39:39" x14ac:dyDescent="0.25">
      <c r="AM2803"/>
    </row>
    <row r="2804" spans="39:39" x14ac:dyDescent="0.25">
      <c r="AM2804"/>
    </row>
    <row r="2805" spans="39:39" x14ac:dyDescent="0.25">
      <c r="AM2805"/>
    </row>
    <row r="2806" spans="39:39" x14ac:dyDescent="0.25">
      <c r="AM2806"/>
    </row>
    <row r="2807" spans="39:39" x14ac:dyDescent="0.25">
      <c r="AM2807"/>
    </row>
    <row r="2808" spans="39:39" x14ac:dyDescent="0.25">
      <c r="AM2808"/>
    </row>
    <row r="2809" spans="39:39" x14ac:dyDescent="0.25">
      <c r="AM2809"/>
    </row>
    <row r="2810" spans="39:39" x14ac:dyDescent="0.25">
      <c r="AM2810"/>
    </row>
    <row r="2811" spans="39:39" x14ac:dyDescent="0.25">
      <c r="AM2811"/>
    </row>
    <row r="2812" spans="39:39" x14ac:dyDescent="0.25">
      <c r="AM2812"/>
    </row>
    <row r="2813" spans="39:39" x14ac:dyDescent="0.25">
      <c r="AM2813"/>
    </row>
    <row r="2814" spans="39:39" x14ac:dyDescent="0.25">
      <c r="AM2814"/>
    </row>
    <row r="2815" spans="39:39" x14ac:dyDescent="0.25">
      <c r="AM2815"/>
    </row>
    <row r="2816" spans="39:39" x14ac:dyDescent="0.25">
      <c r="AM2816"/>
    </row>
    <row r="2817" spans="39:39" x14ac:dyDescent="0.25">
      <c r="AM2817"/>
    </row>
    <row r="2818" spans="39:39" x14ac:dyDescent="0.25">
      <c r="AM2818"/>
    </row>
    <row r="2819" spans="39:39" x14ac:dyDescent="0.25">
      <c r="AM2819"/>
    </row>
    <row r="2820" spans="39:39" x14ac:dyDescent="0.25">
      <c r="AM2820"/>
    </row>
    <row r="2821" spans="39:39" x14ac:dyDescent="0.25">
      <c r="AM2821"/>
    </row>
    <row r="2822" spans="39:39" x14ac:dyDescent="0.25">
      <c r="AM2822"/>
    </row>
    <row r="2823" spans="39:39" x14ac:dyDescent="0.25">
      <c r="AM2823"/>
    </row>
    <row r="2824" spans="39:39" x14ac:dyDescent="0.25">
      <c r="AM2824"/>
    </row>
    <row r="2825" spans="39:39" x14ac:dyDescent="0.25">
      <c r="AM2825"/>
    </row>
    <row r="2826" spans="39:39" x14ac:dyDescent="0.25">
      <c r="AM2826"/>
    </row>
    <row r="2827" spans="39:39" x14ac:dyDescent="0.25">
      <c r="AM2827"/>
    </row>
    <row r="2828" spans="39:39" x14ac:dyDescent="0.25">
      <c r="AM2828"/>
    </row>
    <row r="2829" spans="39:39" x14ac:dyDescent="0.25">
      <c r="AM2829"/>
    </row>
    <row r="2830" spans="39:39" x14ac:dyDescent="0.25">
      <c r="AM2830"/>
    </row>
    <row r="2831" spans="39:39" x14ac:dyDescent="0.25">
      <c r="AM2831"/>
    </row>
    <row r="2832" spans="39:39" x14ac:dyDescent="0.25">
      <c r="AM2832"/>
    </row>
    <row r="2833" spans="39:39" x14ac:dyDescent="0.25">
      <c r="AM2833"/>
    </row>
    <row r="2834" spans="39:39" x14ac:dyDescent="0.25">
      <c r="AM2834"/>
    </row>
    <row r="2835" spans="39:39" x14ac:dyDescent="0.25">
      <c r="AM2835"/>
    </row>
    <row r="2836" spans="39:39" x14ac:dyDescent="0.25">
      <c r="AM2836"/>
    </row>
    <row r="2837" spans="39:39" x14ac:dyDescent="0.25">
      <c r="AM2837"/>
    </row>
    <row r="2838" spans="39:39" x14ac:dyDescent="0.25">
      <c r="AM2838"/>
    </row>
    <row r="2839" spans="39:39" x14ac:dyDescent="0.25">
      <c r="AM2839"/>
    </row>
    <row r="2840" spans="39:39" x14ac:dyDescent="0.25">
      <c r="AM2840"/>
    </row>
    <row r="2841" spans="39:39" x14ac:dyDescent="0.25">
      <c r="AM2841"/>
    </row>
    <row r="2842" spans="39:39" x14ac:dyDescent="0.25">
      <c r="AM2842"/>
    </row>
    <row r="2843" spans="39:39" x14ac:dyDescent="0.25">
      <c r="AM2843"/>
    </row>
    <row r="2844" spans="39:39" x14ac:dyDescent="0.25">
      <c r="AM2844"/>
    </row>
    <row r="2845" spans="39:39" x14ac:dyDescent="0.25">
      <c r="AM2845"/>
    </row>
    <row r="2846" spans="39:39" x14ac:dyDescent="0.25">
      <c r="AM2846"/>
    </row>
    <row r="2847" spans="39:39" x14ac:dyDescent="0.25">
      <c r="AM2847"/>
    </row>
    <row r="2848" spans="39:39" x14ac:dyDescent="0.25">
      <c r="AM2848"/>
    </row>
    <row r="2849" spans="39:39" x14ac:dyDescent="0.25">
      <c r="AM2849"/>
    </row>
    <row r="2850" spans="39:39" x14ac:dyDescent="0.25">
      <c r="AM2850"/>
    </row>
    <row r="2851" spans="39:39" x14ac:dyDescent="0.25">
      <c r="AM2851"/>
    </row>
    <row r="2852" spans="39:39" x14ac:dyDescent="0.25">
      <c r="AM2852"/>
    </row>
    <row r="2853" spans="39:39" x14ac:dyDescent="0.25">
      <c r="AM2853"/>
    </row>
    <row r="2854" spans="39:39" x14ac:dyDescent="0.25">
      <c r="AM2854"/>
    </row>
    <row r="2855" spans="39:39" x14ac:dyDescent="0.25">
      <c r="AM2855"/>
    </row>
    <row r="2856" spans="39:39" x14ac:dyDescent="0.25">
      <c r="AM2856"/>
    </row>
    <row r="2857" spans="39:39" x14ac:dyDescent="0.25">
      <c r="AM2857"/>
    </row>
    <row r="2858" spans="39:39" x14ac:dyDescent="0.25">
      <c r="AM2858"/>
    </row>
    <row r="2859" spans="39:39" x14ac:dyDescent="0.25">
      <c r="AM2859"/>
    </row>
    <row r="2860" spans="39:39" x14ac:dyDescent="0.25">
      <c r="AM2860"/>
    </row>
    <row r="2861" spans="39:39" x14ac:dyDescent="0.25">
      <c r="AM2861"/>
    </row>
    <row r="2862" spans="39:39" x14ac:dyDescent="0.25">
      <c r="AM2862"/>
    </row>
    <row r="2863" spans="39:39" x14ac:dyDescent="0.25">
      <c r="AM2863"/>
    </row>
    <row r="2864" spans="39:39" x14ac:dyDescent="0.25">
      <c r="AM2864"/>
    </row>
    <row r="2865" spans="39:39" x14ac:dyDescent="0.25">
      <c r="AM2865"/>
    </row>
    <row r="2866" spans="39:39" x14ac:dyDescent="0.25">
      <c r="AM2866"/>
    </row>
    <row r="2867" spans="39:39" x14ac:dyDescent="0.25">
      <c r="AM2867"/>
    </row>
    <row r="2868" spans="39:39" x14ac:dyDescent="0.25">
      <c r="AM2868"/>
    </row>
    <row r="2869" spans="39:39" x14ac:dyDescent="0.25">
      <c r="AM2869"/>
    </row>
    <row r="2870" spans="39:39" x14ac:dyDescent="0.25">
      <c r="AM2870"/>
    </row>
    <row r="2871" spans="39:39" x14ac:dyDescent="0.25">
      <c r="AM2871"/>
    </row>
    <row r="2872" spans="39:39" x14ac:dyDescent="0.25">
      <c r="AM2872"/>
    </row>
    <row r="2873" spans="39:39" x14ac:dyDescent="0.25">
      <c r="AM2873"/>
    </row>
    <row r="2874" spans="39:39" x14ac:dyDescent="0.25">
      <c r="AM2874"/>
    </row>
    <row r="2875" spans="39:39" x14ac:dyDescent="0.25">
      <c r="AM2875"/>
    </row>
    <row r="2876" spans="39:39" x14ac:dyDescent="0.25">
      <c r="AM2876"/>
    </row>
    <row r="2877" spans="39:39" x14ac:dyDescent="0.25">
      <c r="AM2877"/>
    </row>
    <row r="2878" spans="39:39" x14ac:dyDescent="0.25">
      <c r="AM2878"/>
    </row>
    <row r="2879" spans="39:39" x14ac:dyDescent="0.25">
      <c r="AM2879"/>
    </row>
    <row r="2880" spans="39:39" x14ac:dyDescent="0.25">
      <c r="AM2880"/>
    </row>
    <row r="2881" spans="39:39" x14ac:dyDescent="0.25">
      <c r="AM2881"/>
    </row>
    <row r="2882" spans="39:39" x14ac:dyDescent="0.25">
      <c r="AM2882"/>
    </row>
    <row r="2883" spans="39:39" x14ac:dyDescent="0.25">
      <c r="AM2883"/>
    </row>
    <row r="2884" spans="39:39" x14ac:dyDescent="0.25">
      <c r="AM2884"/>
    </row>
    <row r="2885" spans="39:39" x14ac:dyDescent="0.25">
      <c r="AM2885"/>
    </row>
    <row r="2886" spans="39:39" x14ac:dyDescent="0.25">
      <c r="AM2886"/>
    </row>
    <row r="2887" spans="39:39" x14ac:dyDescent="0.25">
      <c r="AM2887"/>
    </row>
    <row r="2888" spans="39:39" x14ac:dyDescent="0.25">
      <c r="AM2888"/>
    </row>
    <row r="2889" spans="39:39" x14ac:dyDescent="0.25">
      <c r="AM2889"/>
    </row>
    <row r="2890" spans="39:39" x14ac:dyDescent="0.25">
      <c r="AM2890"/>
    </row>
    <row r="2891" spans="39:39" x14ac:dyDescent="0.25">
      <c r="AM2891"/>
    </row>
    <row r="2892" spans="39:39" x14ac:dyDescent="0.25">
      <c r="AM2892"/>
    </row>
    <row r="2893" spans="39:39" x14ac:dyDescent="0.25">
      <c r="AM2893"/>
    </row>
    <row r="2894" spans="39:39" x14ac:dyDescent="0.25">
      <c r="AM2894"/>
    </row>
    <row r="2895" spans="39:39" x14ac:dyDescent="0.25">
      <c r="AM2895"/>
    </row>
    <row r="2896" spans="39:39" x14ac:dyDescent="0.25">
      <c r="AM2896"/>
    </row>
    <row r="2897" spans="39:39" x14ac:dyDescent="0.25">
      <c r="AM2897"/>
    </row>
    <row r="2898" spans="39:39" x14ac:dyDescent="0.25">
      <c r="AM2898"/>
    </row>
    <row r="2899" spans="39:39" x14ac:dyDescent="0.25">
      <c r="AM2899"/>
    </row>
    <row r="2900" spans="39:39" x14ac:dyDescent="0.25">
      <c r="AM2900"/>
    </row>
    <row r="2901" spans="39:39" x14ac:dyDescent="0.25">
      <c r="AM2901"/>
    </row>
    <row r="2902" spans="39:39" x14ac:dyDescent="0.25">
      <c r="AM2902"/>
    </row>
    <row r="2903" spans="39:39" x14ac:dyDescent="0.25">
      <c r="AM2903"/>
    </row>
    <row r="2904" spans="39:39" x14ac:dyDescent="0.25">
      <c r="AM2904"/>
    </row>
    <row r="2905" spans="39:39" x14ac:dyDescent="0.25">
      <c r="AM2905"/>
    </row>
    <row r="2906" spans="39:39" x14ac:dyDescent="0.25">
      <c r="AM2906"/>
    </row>
    <row r="2907" spans="39:39" x14ac:dyDescent="0.25">
      <c r="AM2907"/>
    </row>
    <row r="2908" spans="39:39" x14ac:dyDescent="0.25">
      <c r="AM2908"/>
    </row>
    <row r="2909" spans="39:39" x14ac:dyDescent="0.25">
      <c r="AM2909"/>
    </row>
    <row r="2910" spans="39:39" x14ac:dyDescent="0.25">
      <c r="AM2910"/>
    </row>
    <row r="2911" spans="39:39" x14ac:dyDescent="0.25">
      <c r="AM2911"/>
    </row>
    <row r="2912" spans="39:39" x14ac:dyDescent="0.25">
      <c r="AM2912"/>
    </row>
    <row r="2913" spans="39:39" x14ac:dyDescent="0.25">
      <c r="AM2913"/>
    </row>
    <row r="2914" spans="39:39" x14ac:dyDescent="0.25">
      <c r="AM2914"/>
    </row>
    <row r="2915" spans="39:39" x14ac:dyDescent="0.25">
      <c r="AM2915"/>
    </row>
    <row r="2916" spans="39:39" x14ac:dyDescent="0.25">
      <c r="AM2916"/>
    </row>
    <row r="2917" spans="39:39" x14ac:dyDescent="0.25">
      <c r="AM2917"/>
    </row>
    <row r="2918" spans="39:39" x14ac:dyDescent="0.25">
      <c r="AM2918"/>
    </row>
    <row r="2919" spans="39:39" x14ac:dyDescent="0.25">
      <c r="AM2919"/>
    </row>
    <row r="2920" spans="39:39" x14ac:dyDescent="0.25">
      <c r="AM2920"/>
    </row>
    <row r="2921" spans="39:39" x14ac:dyDescent="0.25">
      <c r="AM2921"/>
    </row>
    <row r="2922" spans="39:39" x14ac:dyDescent="0.25">
      <c r="AM2922"/>
    </row>
    <row r="2923" spans="39:39" x14ac:dyDescent="0.25">
      <c r="AM2923"/>
    </row>
    <row r="2924" spans="39:39" x14ac:dyDescent="0.25">
      <c r="AM2924"/>
    </row>
    <row r="2925" spans="39:39" x14ac:dyDescent="0.25">
      <c r="AM2925"/>
    </row>
    <row r="2926" spans="39:39" x14ac:dyDescent="0.25">
      <c r="AM2926"/>
    </row>
    <row r="2927" spans="39:39" x14ac:dyDescent="0.25">
      <c r="AM2927"/>
    </row>
    <row r="2928" spans="39:39" x14ac:dyDescent="0.25">
      <c r="AM2928"/>
    </row>
    <row r="2929" spans="39:39" x14ac:dyDescent="0.25">
      <c r="AM2929"/>
    </row>
    <row r="2930" spans="39:39" x14ac:dyDescent="0.25">
      <c r="AM2930"/>
    </row>
    <row r="2931" spans="39:39" x14ac:dyDescent="0.25">
      <c r="AM2931"/>
    </row>
    <row r="2932" spans="39:39" x14ac:dyDescent="0.25">
      <c r="AM2932"/>
    </row>
    <row r="2933" spans="39:39" x14ac:dyDescent="0.25">
      <c r="AM2933"/>
    </row>
    <row r="2934" spans="39:39" x14ac:dyDescent="0.25">
      <c r="AM2934"/>
    </row>
    <row r="2935" spans="39:39" x14ac:dyDescent="0.25">
      <c r="AM2935"/>
    </row>
    <row r="2936" spans="39:39" x14ac:dyDescent="0.25">
      <c r="AM2936"/>
    </row>
    <row r="2937" spans="39:39" x14ac:dyDescent="0.25">
      <c r="AM2937"/>
    </row>
    <row r="2938" spans="39:39" x14ac:dyDescent="0.25">
      <c r="AM2938"/>
    </row>
    <row r="2939" spans="39:39" x14ac:dyDescent="0.25">
      <c r="AM2939"/>
    </row>
    <row r="2940" spans="39:39" x14ac:dyDescent="0.25">
      <c r="AM2940"/>
    </row>
    <row r="2941" spans="39:39" x14ac:dyDescent="0.25">
      <c r="AM2941"/>
    </row>
    <row r="2942" spans="39:39" x14ac:dyDescent="0.25">
      <c r="AM2942"/>
    </row>
    <row r="2943" spans="39:39" x14ac:dyDescent="0.25">
      <c r="AM2943"/>
    </row>
    <row r="2944" spans="39:39" x14ac:dyDescent="0.25">
      <c r="AM2944"/>
    </row>
    <row r="2945" spans="39:39" x14ac:dyDescent="0.25">
      <c r="AM2945"/>
    </row>
    <row r="2946" spans="39:39" x14ac:dyDescent="0.25">
      <c r="AM2946"/>
    </row>
    <row r="2947" spans="39:39" x14ac:dyDescent="0.25">
      <c r="AM2947"/>
    </row>
    <row r="2948" spans="39:39" x14ac:dyDescent="0.25">
      <c r="AM2948"/>
    </row>
    <row r="2949" spans="39:39" x14ac:dyDescent="0.25">
      <c r="AM2949"/>
    </row>
    <row r="2950" spans="39:39" x14ac:dyDescent="0.25">
      <c r="AM2950"/>
    </row>
    <row r="2951" spans="39:39" x14ac:dyDescent="0.25">
      <c r="AM2951"/>
    </row>
    <row r="2952" spans="39:39" x14ac:dyDescent="0.25">
      <c r="AM2952"/>
    </row>
    <row r="2953" spans="39:39" x14ac:dyDescent="0.25">
      <c r="AM2953"/>
    </row>
    <row r="2954" spans="39:39" x14ac:dyDescent="0.25">
      <c r="AM2954"/>
    </row>
    <row r="2955" spans="39:39" x14ac:dyDescent="0.25">
      <c r="AM2955"/>
    </row>
    <row r="2956" spans="39:39" x14ac:dyDescent="0.25">
      <c r="AM2956"/>
    </row>
    <row r="2957" spans="39:39" x14ac:dyDescent="0.25">
      <c r="AM2957"/>
    </row>
    <row r="2958" spans="39:39" x14ac:dyDescent="0.25">
      <c r="AM2958"/>
    </row>
    <row r="2959" spans="39:39" x14ac:dyDescent="0.25">
      <c r="AM2959"/>
    </row>
    <row r="2960" spans="39:39" x14ac:dyDescent="0.25">
      <c r="AM2960"/>
    </row>
    <row r="2961" spans="39:39" x14ac:dyDescent="0.25">
      <c r="AM2961"/>
    </row>
    <row r="2962" spans="39:39" x14ac:dyDescent="0.25">
      <c r="AM2962"/>
    </row>
    <row r="2963" spans="39:39" x14ac:dyDescent="0.25">
      <c r="AM2963"/>
    </row>
    <row r="2964" spans="39:39" x14ac:dyDescent="0.25">
      <c r="AM2964"/>
    </row>
    <row r="2965" spans="39:39" x14ac:dyDescent="0.25">
      <c r="AM2965"/>
    </row>
    <row r="2966" spans="39:39" x14ac:dyDescent="0.25">
      <c r="AM2966"/>
    </row>
    <row r="2967" spans="39:39" x14ac:dyDescent="0.25">
      <c r="AM2967"/>
    </row>
    <row r="2968" spans="39:39" x14ac:dyDescent="0.25">
      <c r="AM2968"/>
    </row>
    <row r="2969" spans="39:39" x14ac:dyDescent="0.25">
      <c r="AM2969"/>
    </row>
    <row r="2970" spans="39:39" x14ac:dyDescent="0.25">
      <c r="AM2970"/>
    </row>
    <row r="2971" spans="39:39" x14ac:dyDescent="0.25">
      <c r="AM2971"/>
    </row>
    <row r="2972" spans="39:39" x14ac:dyDescent="0.25">
      <c r="AM2972"/>
    </row>
    <row r="2973" spans="39:39" x14ac:dyDescent="0.25">
      <c r="AM2973"/>
    </row>
    <row r="2974" spans="39:39" x14ac:dyDescent="0.25">
      <c r="AM2974"/>
    </row>
    <row r="2975" spans="39:39" x14ac:dyDescent="0.25">
      <c r="AM2975"/>
    </row>
    <row r="2976" spans="39:39" x14ac:dyDescent="0.25">
      <c r="AM2976"/>
    </row>
    <row r="2977" spans="39:39" x14ac:dyDescent="0.25">
      <c r="AM2977"/>
    </row>
    <row r="2978" spans="39:39" x14ac:dyDescent="0.25">
      <c r="AM2978"/>
    </row>
    <row r="2979" spans="39:39" x14ac:dyDescent="0.25">
      <c r="AM2979"/>
    </row>
    <row r="2980" spans="39:39" x14ac:dyDescent="0.25">
      <c r="AM2980"/>
    </row>
    <row r="2981" spans="39:39" x14ac:dyDescent="0.25">
      <c r="AM2981"/>
    </row>
    <row r="2982" spans="39:39" x14ac:dyDescent="0.25">
      <c r="AM2982"/>
    </row>
    <row r="2983" spans="39:39" x14ac:dyDescent="0.25">
      <c r="AM2983"/>
    </row>
    <row r="2984" spans="39:39" x14ac:dyDescent="0.25">
      <c r="AM2984"/>
    </row>
    <row r="2985" spans="39:39" x14ac:dyDescent="0.25">
      <c r="AM2985"/>
    </row>
    <row r="2986" spans="39:39" x14ac:dyDescent="0.25">
      <c r="AM2986"/>
    </row>
    <row r="2987" spans="39:39" x14ac:dyDescent="0.25">
      <c r="AM2987"/>
    </row>
    <row r="2988" spans="39:39" x14ac:dyDescent="0.25">
      <c r="AM2988"/>
    </row>
    <row r="2989" spans="39:39" x14ac:dyDescent="0.25">
      <c r="AM2989"/>
    </row>
    <row r="2990" spans="39:39" x14ac:dyDescent="0.25">
      <c r="AM2990"/>
    </row>
    <row r="2991" spans="39:39" x14ac:dyDescent="0.25">
      <c r="AM2991"/>
    </row>
    <row r="2992" spans="39:39" x14ac:dyDescent="0.25">
      <c r="AM2992"/>
    </row>
    <row r="2993" spans="39:39" x14ac:dyDescent="0.25">
      <c r="AM2993"/>
    </row>
    <row r="2994" spans="39:39" x14ac:dyDescent="0.25">
      <c r="AM2994"/>
    </row>
    <row r="2995" spans="39:39" x14ac:dyDescent="0.25">
      <c r="AM2995"/>
    </row>
    <row r="2996" spans="39:39" x14ac:dyDescent="0.25">
      <c r="AM2996"/>
    </row>
    <row r="2997" spans="39:39" x14ac:dyDescent="0.25">
      <c r="AM2997"/>
    </row>
    <row r="2998" spans="39:39" x14ac:dyDescent="0.25">
      <c r="AM2998"/>
    </row>
    <row r="2999" spans="39:39" x14ac:dyDescent="0.25">
      <c r="AM2999"/>
    </row>
    <row r="3000" spans="39:39" x14ac:dyDescent="0.25">
      <c r="AM3000"/>
    </row>
    <row r="3001" spans="39:39" x14ac:dyDescent="0.25">
      <c r="AM3001"/>
    </row>
    <row r="3002" spans="39:39" x14ac:dyDescent="0.25">
      <c r="AM3002"/>
    </row>
    <row r="3003" spans="39:39" x14ac:dyDescent="0.25">
      <c r="AM3003"/>
    </row>
    <row r="3004" spans="39:39" x14ac:dyDescent="0.25">
      <c r="AM3004"/>
    </row>
    <row r="3005" spans="39:39" x14ac:dyDescent="0.25">
      <c r="AM3005"/>
    </row>
    <row r="3006" spans="39:39" x14ac:dyDescent="0.25">
      <c r="AM3006"/>
    </row>
    <row r="3007" spans="39:39" x14ac:dyDescent="0.25">
      <c r="AM3007"/>
    </row>
    <row r="3008" spans="39:39" x14ac:dyDescent="0.25">
      <c r="AM3008"/>
    </row>
    <row r="3009" spans="39:39" x14ac:dyDescent="0.25">
      <c r="AM3009"/>
    </row>
    <row r="3010" spans="39:39" x14ac:dyDescent="0.25">
      <c r="AM3010"/>
    </row>
    <row r="3011" spans="39:39" x14ac:dyDescent="0.25">
      <c r="AM3011"/>
    </row>
    <row r="3012" spans="39:39" x14ac:dyDescent="0.25">
      <c r="AM3012"/>
    </row>
    <row r="3013" spans="39:39" x14ac:dyDescent="0.25">
      <c r="AM3013"/>
    </row>
    <row r="3014" spans="39:39" x14ac:dyDescent="0.25">
      <c r="AM3014"/>
    </row>
    <row r="3015" spans="39:39" x14ac:dyDescent="0.25">
      <c r="AM3015"/>
    </row>
    <row r="3016" spans="39:39" x14ac:dyDescent="0.25">
      <c r="AM3016"/>
    </row>
    <row r="3017" spans="39:39" x14ac:dyDescent="0.25">
      <c r="AM3017"/>
    </row>
    <row r="3018" spans="39:39" x14ac:dyDescent="0.25">
      <c r="AM3018"/>
    </row>
    <row r="3019" spans="39:39" x14ac:dyDescent="0.25">
      <c r="AM3019"/>
    </row>
    <row r="3020" spans="39:39" x14ac:dyDescent="0.25">
      <c r="AM3020"/>
    </row>
    <row r="3021" spans="39:39" x14ac:dyDescent="0.25">
      <c r="AM3021"/>
    </row>
    <row r="3022" spans="39:39" x14ac:dyDescent="0.25">
      <c r="AM3022"/>
    </row>
    <row r="3023" spans="39:39" x14ac:dyDescent="0.25">
      <c r="AM3023"/>
    </row>
    <row r="3024" spans="39:39" x14ac:dyDescent="0.25">
      <c r="AM3024"/>
    </row>
    <row r="3025" spans="39:39" x14ac:dyDescent="0.25">
      <c r="AM3025"/>
    </row>
    <row r="3026" spans="39:39" x14ac:dyDescent="0.25">
      <c r="AM3026"/>
    </row>
    <row r="3027" spans="39:39" x14ac:dyDescent="0.25">
      <c r="AM3027"/>
    </row>
    <row r="3028" spans="39:39" x14ac:dyDescent="0.25">
      <c r="AM3028"/>
    </row>
    <row r="3029" spans="39:39" x14ac:dyDescent="0.25">
      <c r="AM3029"/>
    </row>
    <row r="3030" spans="39:39" x14ac:dyDescent="0.25">
      <c r="AM3030"/>
    </row>
    <row r="3031" spans="39:39" x14ac:dyDescent="0.25">
      <c r="AM3031"/>
    </row>
    <row r="3032" spans="39:39" x14ac:dyDescent="0.25">
      <c r="AM3032"/>
    </row>
    <row r="3033" spans="39:39" x14ac:dyDescent="0.25">
      <c r="AM3033"/>
    </row>
    <row r="3034" spans="39:39" x14ac:dyDescent="0.25">
      <c r="AM3034"/>
    </row>
    <row r="3035" spans="39:39" x14ac:dyDescent="0.25">
      <c r="AM3035"/>
    </row>
    <row r="3036" spans="39:39" x14ac:dyDescent="0.25">
      <c r="AM3036"/>
    </row>
    <row r="3037" spans="39:39" x14ac:dyDescent="0.25">
      <c r="AM3037"/>
    </row>
    <row r="3038" spans="39:39" x14ac:dyDescent="0.25">
      <c r="AM3038"/>
    </row>
    <row r="3039" spans="39:39" x14ac:dyDescent="0.25">
      <c r="AM3039"/>
    </row>
    <row r="3040" spans="39:39" x14ac:dyDescent="0.25">
      <c r="AM3040"/>
    </row>
    <row r="3041" spans="39:39" x14ac:dyDescent="0.25">
      <c r="AM3041"/>
    </row>
    <row r="3042" spans="39:39" x14ac:dyDescent="0.25">
      <c r="AM3042"/>
    </row>
    <row r="3043" spans="39:39" x14ac:dyDescent="0.25">
      <c r="AM3043"/>
    </row>
    <row r="3044" spans="39:39" x14ac:dyDescent="0.25">
      <c r="AM3044"/>
    </row>
    <row r="3045" spans="39:39" x14ac:dyDescent="0.25">
      <c r="AM3045"/>
    </row>
    <row r="3046" spans="39:39" x14ac:dyDescent="0.25">
      <c r="AM3046"/>
    </row>
    <row r="3047" spans="39:39" x14ac:dyDescent="0.25">
      <c r="AM3047"/>
    </row>
    <row r="3048" spans="39:39" x14ac:dyDescent="0.25">
      <c r="AM3048"/>
    </row>
    <row r="3049" spans="39:39" x14ac:dyDescent="0.25">
      <c r="AM3049"/>
    </row>
    <row r="3050" spans="39:39" x14ac:dyDescent="0.25">
      <c r="AM3050"/>
    </row>
    <row r="3051" spans="39:39" x14ac:dyDescent="0.25">
      <c r="AM3051"/>
    </row>
    <row r="3052" spans="39:39" x14ac:dyDescent="0.25">
      <c r="AM3052"/>
    </row>
    <row r="3053" spans="39:39" x14ac:dyDescent="0.25">
      <c r="AM3053"/>
    </row>
    <row r="3054" spans="39:39" x14ac:dyDescent="0.25">
      <c r="AM3054"/>
    </row>
    <row r="3055" spans="39:39" x14ac:dyDescent="0.25">
      <c r="AM3055"/>
    </row>
    <row r="3056" spans="39:39" x14ac:dyDescent="0.25">
      <c r="AM3056"/>
    </row>
    <row r="3057" spans="39:39" x14ac:dyDescent="0.25">
      <c r="AM3057"/>
    </row>
    <row r="3058" spans="39:39" x14ac:dyDescent="0.25">
      <c r="AM3058"/>
    </row>
    <row r="3059" spans="39:39" x14ac:dyDescent="0.25">
      <c r="AM3059"/>
    </row>
    <row r="3060" spans="39:39" x14ac:dyDescent="0.25">
      <c r="AM3060"/>
    </row>
    <row r="3061" spans="39:39" x14ac:dyDescent="0.25">
      <c r="AM3061"/>
    </row>
    <row r="3062" spans="39:39" x14ac:dyDescent="0.25">
      <c r="AM3062"/>
    </row>
    <row r="3063" spans="39:39" x14ac:dyDescent="0.25">
      <c r="AM3063"/>
    </row>
    <row r="3064" spans="39:39" x14ac:dyDescent="0.25">
      <c r="AM3064"/>
    </row>
    <row r="3065" spans="39:39" x14ac:dyDescent="0.25">
      <c r="AM3065"/>
    </row>
    <row r="3066" spans="39:39" x14ac:dyDescent="0.25">
      <c r="AM3066"/>
    </row>
    <row r="3067" spans="39:39" x14ac:dyDescent="0.25">
      <c r="AM3067"/>
    </row>
    <row r="3068" spans="39:39" x14ac:dyDescent="0.25">
      <c r="AM3068"/>
    </row>
    <row r="3069" spans="39:39" x14ac:dyDescent="0.25">
      <c r="AM3069"/>
    </row>
    <row r="3070" spans="39:39" x14ac:dyDescent="0.25">
      <c r="AM3070"/>
    </row>
    <row r="3071" spans="39:39" x14ac:dyDescent="0.25">
      <c r="AM3071"/>
    </row>
    <row r="3072" spans="39:39" x14ac:dyDescent="0.25">
      <c r="AM3072"/>
    </row>
    <row r="3073" spans="39:39" x14ac:dyDescent="0.25">
      <c r="AM3073"/>
    </row>
    <row r="3074" spans="39:39" x14ac:dyDescent="0.25">
      <c r="AM3074"/>
    </row>
    <row r="3075" spans="39:39" x14ac:dyDescent="0.25">
      <c r="AM3075"/>
    </row>
    <row r="3076" spans="39:39" x14ac:dyDescent="0.25">
      <c r="AM3076"/>
    </row>
    <row r="3077" spans="39:39" x14ac:dyDescent="0.25">
      <c r="AM3077"/>
    </row>
    <row r="3078" spans="39:39" x14ac:dyDescent="0.25">
      <c r="AM3078"/>
    </row>
    <row r="3079" spans="39:39" x14ac:dyDescent="0.25">
      <c r="AM3079"/>
    </row>
    <row r="3080" spans="39:39" x14ac:dyDescent="0.25">
      <c r="AM3080"/>
    </row>
    <row r="3081" spans="39:39" x14ac:dyDescent="0.25">
      <c r="AM3081"/>
    </row>
    <row r="3082" spans="39:39" x14ac:dyDescent="0.25">
      <c r="AM3082"/>
    </row>
    <row r="3083" spans="39:39" x14ac:dyDescent="0.25">
      <c r="AM3083"/>
    </row>
    <row r="3084" spans="39:39" x14ac:dyDescent="0.25">
      <c r="AM3084"/>
    </row>
    <row r="3085" spans="39:39" x14ac:dyDescent="0.25">
      <c r="AM3085"/>
    </row>
    <row r="3086" spans="39:39" x14ac:dyDescent="0.25">
      <c r="AM3086"/>
    </row>
    <row r="3087" spans="39:39" x14ac:dyDescent="0.25">
      <c r="AM3087"/>
    </row>
    <row r="3088" spans="39:39" x14ac:dyDescent="0.25">
      <c r="AM3088"/>
    </row>
    <row r="3089" spans="39:39" x14ac:dyDescent="0.25">
      <c r="AM3089"/>
    </row>
    <row r="3090" spans="39:39" x14ac:dyDescent="0.25">
      <c r="AM3090"/>
    </row>
    <row r="3091" spans="39:39" x14ac:dyDescent="0.25">
      <c r="AM3091"/>
    </row>
    <row r="3092" spans="39:39" x14ac:dyDescent="0.25">
      <c r="AM3092"/>
    </row>
    <row r="3093" spans="39:39" x14ac:dyDescent="0.25">
      <c r="AM3093"/>
    </row>
    <row r="3094" spans="39:39" x14ac:dyDescent="0.25">
      <c r="AM3094"/>
    </row>
    <row r="3095" spans="39:39" x14ac:dyDescent="0.25">
      <c r="AM3095"/>
    </row>
    <row r="3096" spans="39:39" x14ac:dyDescent="0.25">
      <c r="AM3096"/>
    </row>
    <row r="3097" spans="39:39" x14ac:dyDescent="0.25">
      <c r="AM3097"/>
    </row>
    <row r="3098" spans="39:39" x14ac:dyDescent="0.25">
      <c r="AM3098"/>
    </row>
    <row r="3099" spans="39:39" x14ac:dyDescent="0.25">
      <c r="AM3099"/>
    </row>
    <row r="3100" spans="39:39" x14ac:dyDescent="0.25">
      <c r="AM3100"/>
    </row>
    <row r="3101" spans="39:39" x14ac:dyDescent="0.25">
      <c r="AM3101"/>
    </row>
    <row r="3102" spans="39:39" x14ac:dyDescent="0.25">
      <c r="AM3102"/>
    </row>
    <row r="3103" spans="39:39" x14ac:dyDescent="0.25">
      <c r="AM3103"/>
    </row>
    <row r="3104" spans="39:39" x14ac:dyDescent="0.25">
      <c r="AM3104"/>
    </row>
    <row r="3105" spans="39:39" x14ac:dyDescent="0.25">
      <c r="AM3105"/>
    </row>
    <row r="3106" spans="39:39" x14ac:dyDescent="0.25">
      <c r="AM3106"/>
    </row>
    <row r="3107" spans="39:39" x14ac:dyDescent="0.25">
      <c r="AM3107"/>
    </row>
    <row r="3108" spans="39:39" x14ac:dyDescent="0.25">
      <c r="AM3108"/>
    </row>
    <row r="3109" spans="39:39" x14ac:dyDescent="0.25">
      <c r="AM3109"/>
    </row>
    <row r="3110" spans="39:39" x14ac:dyDescent="0.25">
      <c r="AM3110"/>
    </row>
    <row r="3111" spans="39:39" x14ac:dyDescent="0.25">
      <c r="AM3111"/>
    </row>
    <row r="3112" spans="39:39" x14ac:dyDescent="0.25">
      <c r="AM3112"/>
    </row>
    <row r="3113" spans="39:39" x14ac:dyDescent="0.25">
      <c r="AM3113"/>
    </row>
    <row r="3114" spans="39:39" x14ac:dyDescent="0.25">
      <c r="AM3114"/>
    </row>
    <row r="3115" spans="39:39" x14ac:dyDescent="0.25">
      <c r="AM3115"/>
    </row>
    <row r="3116" spans="39:39" x14ac:dyDescent="0.25">
      <c r="AM3116"/>
    </row>
    <row r="3117" spans="39:39" x14ac:dyDescent="0.25">
      <c r="AM3117"/>
    </row>
    <row r="3118" spans="39:39" x14ac:dyDescent="0.25">
      <c r="AM3118"/>
    </row>
    <row r="3119" spans="39:39" x14ac:dyDescent="0.25">
      <c r="AM3119"/>
    </row>
    <row r="3120" spans="39:39" x14ac:dyDescent="0.25">
      <c r="AM3120"/>
    </row>
    <row r="3121" spans="39:39" x14ac:dyDescent="0.25">
      <c r="AM3121"/>
    </row>
    <row r="3122" spans="39:39" x14ac:dyDescent="0.25">
      <c r="AM3122"/>
    </row>
    <row r="3123" spans="39:39" x14ac:dyDescent="0.25">
      <c r="AM3123"/>
    </row>
    <row r="3124" spans="39:39" x14ac:dyDescent="0.25">
      <c r="AM3124"/>
    </row>
    <row r="3125" spans="39:39" x14ac:dyDescent="0.25">
      <c r="AM3125"/>
    </row>
    <row r="3126" spans="39:39" x14ac:dyDescent="0.25">
      <c r="AM3126"/>
    </row>
    <row r="3127" spans="39:39" x14ac:dyDescent="0.25">
      <c r="AM3127"/>
    </row>
    <row r="3128" spans="39:39" x14ac:dyDescent="0.25">
      <c r="AM3128"/>
    </row>
    <row r="3129" spans="39:39" x14ac:dyDescent="0.25">
      <c r="AM3129"/>
    </row>
    <row r="3130" spans="39:39" x14ac:dyDescent="0.25">
      <c r="AM3130"/>
    </row>
    <row r="3131" spans="39:39" x14ac:dyDescent="0.25">
      <c r="AM3131"/>
    </row>
    <row r="3132" spans="39:39" x14ac:dyDescent="0.25">
      <c r="AM3132"/>
    </row>
    <row r="3133" spans="39:39" x14ac:dyDescent="0.25">
      <c r="AM3133"/>
    </row>
    <row r="3134" spans="39:39" x14ac:dyDescent="0.25">
      <c r="AM3134"/>
    </row>
    <row r="3135" spans="39:39" x14ac:dyDescent="0.25">
      <c r="AM3135"/>
    </row>
    <row r="3136" spans="39:39" x14ac:dyDescent="0.25">
      <c r="AM3136"/>
    </row>
    <row r="3137" spans="39:39" x14ac:dyDescent="0.25">
      <c r="AM3137"/>
    </row>
    <row r="3138" spans="39:39" x14ac:dyDescent="0.25">
      <c r="AM3138"/>
    </row>
    <row r="3139" spans="39:39" x14ac:dyDescent="0.25">
      <c r="AM3139"/>
    </row>
    <row r="3140" spans="39:39" x14ac:dyDescent="0.25">
      <c r="AM3140"/>
    </row>
    <row r="3141" spans="39:39" x14ac:dyDescent="0.25">
      <c r="AM3141"/>
    </row>
    <row r="3142" spans="39:39" x14ac:dyDescent="0.25">
      <c r="AM3142"/>
    </row>
    <row r="3143" spans="39:39" x14ac:dyDescent="0.25">
      <c r="AM3143"/>
    </row>
    <row r="3144" spans="39:39" x14ac:dyDescent="0.25">
      <c r="AM3144"/>
    </row>
    <row r="3145" spans="39:39" x14ac:dyDescent="0.25">
      <c r="AM3145"/>
    </row>
    <row r="3146" spans="39:39" x14ac:dyDescent="0.25">
      <c r="AM3146"/>
    </row>
    <row r="3147" spans="39:39" x14ac:dyDescent="0.25">
      <c r="AM3147"/>
    </row>
    <row r="3148" spans="39:39" x14ac:dyDescent="0.25">
      <c r="AM3148"/>
    </row>
    <row r="3149" spans="39:39" x14ac:dyDescent="0.25">
      <c r="AM3149"/>
    </row>
    <row r="3150" spans="39:39" x14ac:dyDescent="0.25">
      <c r="AM3150"/>
    </row>
    <row r="3151" spans="39:39" x14ac:dyDescent="0.25">
      <c r="AM3151"/>
    </row>
    <row r="3152" spans="39:39" x14ac:dyDescent="0.25">
      <c r="AM3152"/>
    </row>
    <row r="3153" spans="39:39" x14ac:dyDescent="0.25">
      <c r="AM3153"/>
    </row>
    <row r="3154" spans="39:39" x14ac:dyDescent="0.25">
      <c r="AM3154"/>
    </row>
    <row r="3155" spans="39:39" x14ac:dyDescent="0.25">
      <c r="AM3155"/>
    </row>
    <row r="3156" spans="39:39" x14ac:dyDescent="0.25">
      <c r="AM3156"/>
    </row>
    <row r="3157" spans="39:39" x14ac:dyDescent="0.25">
      <c r="AM3157"/>
    </row>
    <row r="3158" spans="39:39" x14ac:dyDescent="0.25">
      <c r="AM3158"/>
    </row>
    <row r="3159" spans="39:39" x14ac:dyDescent="0.25">
      <c r="AM3159"/>
    </row>
    <row r="3160" spans="39:39" x14ac:dyDescent="0.25">
      <c r="AM3160"/>
    </row>
    <row r="3161" spans="39:39" x14ac:dyDescent="0.25">
      <c r="AM3161"/>
    </row>
    <row r="3162" spans="39:39" x14ac:dyDescent="0.25">
      <c r="AM3162"/>
    </row>
    <row r="3163" spans="39:39" x14ac:dyDescent="0.25">
      <c r="AM3163"/>
    </row>
    <row r="3164" spans="39:39" x14ac:dyDescent="0.25">
      <c r="AM3164"/>
    </row>
    <row r="3165" spans="39:39" x14ac:dyDescent="0.25">
      <c r="AM3165"/>
    </row>
    <row r="3166" spans="39:39" x14ac:dyDescent="0.25">
      <c r="AM3166"/>
    </row>
    <row r="3167" spans="39:39" x14ac:dyDescent="0.25">
      <c r="AM3167"/>
    </row>
    <row r="3168" spans="39:39" x14ac:dyDescent="0.25">
      <c r="AM3168"/>
    </row>
    <row r="3169" spans="39:39" x14ac:dyDescent="0.25">
      <c r="AM3169"/>
    </row>
    <row r="3170" spans="39:39" x14ac:dyDescent="0.25">
      <c r="AM3170"/>
    </row>
    <row r="3171" spans="39:39" x14ac:dyDescent="0.25">
      <c r="AM3171"/>
    </row>
    <row r="3172" spans="39:39" x14ac:dyDescent="0.25">
      <c r="AM3172"/>
    </row>
    <row r="3173" spans="39:39" x14ac:dyDescent="0.25">
      <c r="AM3173"/>
    </row>
    <row r="3174" spans="39:39" x14ac:dyDescent="0.25">
      <c r="AM3174"/>
    </row>
    <row r="3175" spans="39:39" x14ac:dyDescent="0.25">
      <c r="AM3175"/>
    </row>
    <row r="3176" spans="39:39" x14ac:dyDescent="0.25">
      <c r="AM3176"/>
    </row>
    <row r="3177" spans="39:39" x14ac:dyDescent="0.25">
      <c r="AM3177"/>
    </row>
    <row r="3178" spans="39:39" x14ac:dyDescent="0.25">
      <c r="AM3178"/>
    </row>
    <row r="3179" spans="39:39" x14ac:dyDescent="0.25">
      <c r="AM3179"/>
    </row>
    <row r="3180" spans="39:39" x14ac:dyDescent="0.25">
      <c r="AM3180"/>
    </row>
    <row r="3181" spans="39:39" x14ac:dyDescent="0.25">
      <c r="AM3181"/>
    </row>
    <row r="3182" spans="39:39" x14ac:dyDescent="0.25">
      <c r="AM3182"/>
    </row>
    <row r="3183" spans="39:39" x14ac:dyDescent="0.25">
      <c r="AM3183"/>
    </row>
    <row r="3184" spans="39:39" x14ac:dyDescent="0.25">
      <c r="AM3184"/>
    </row>
    <row r="3185" spans="39:39" x14ac:dyDescent="0.25">
      <c r="AM3185"/>
    </row>
    <row r="3186" spans="39:39" x14ac:dyDescent="0.25">
      <c r="AM3186"/>
    </row>
    <row r="3187" spans="39:39" x14ac:dyDescent="0.25">
      <c r="AM3187"/>
    </row>
    <row r="3188" spans="39:39" x14ac:dyDescent="0.25">
      <c r="AM3188"/>
    </row>
    <row r="3189" spans="39:39" x14ac:dyDescent="0.25">
      <c r="AM3189"/>
    </row>
    <row r="3190" spans="39:39" x14ac:dyDescent="0.25">
      <c r="AM3190"/>
    </row>
    <row r="3191" spans="39:39" x14ac:dyDescent="0.25">
      <c r="AM3191"/>
    </row>
    <row r="3192" spans="39:39" x14ac:dyDescent="0.25">
      <c r="AM3192"/>
    </row>
    <row r="3193" spans="39:39" x14ac:dyDescent="0.25">
      <c r="AM3193"/>
    </row>
    <row r="3194" spans="39:39" x14ac:dyDescent="0.25">
      <c r="AM3194"/>
    </row>
    <row r="3195" spans="39:39" x14ac:dyDescent="0.25">
      <c r="AM3195"/>
    </row>
    <row r="3196" spans="39:39" x14ac:dyDescent="0.25">
      <c r="AM3196"/>
    </row>
    <row r="3197" spans="39:39" x14ac:dyDescent="0.25">
      <c r="AM3197"/>
    </row>
    <row r="3198" spans="39:39" x14ac:dyDescent="0.25">
      <c r="AM3198"/>
    </row>
    <row r="3199" spans="39:39" x14ac:dyDescent="0.25">
      <c r="AM3199"/>
    </row>
    <row r="3200" spans="39:39" x14ac:dyDescent="0.25">
      <c r="AM3200"/>
    </row>
    <row r="3201" spans="39:39" x14ac:dyDescent="0.25">
      <c r="AM3201"/>
    </row>
    <row r="3202" spans="39:39" x14ac:dyDescent="0.25">
      <c r="AM3202"/>
    </row>
    <row r="3203" spans="39:39" x14ac:dyDescent="0.25">
      <c r="AM3203"/>
    </row>
    <row r="3204" spans="39:39" x14ac:dyDescent="0.25">
      <c r="AM3204"/>
    </row>
    <row r="3205" spans="39:39" x14ac:dyDescent="0.25">
      <c r="AM3205"/>
    </row>
    <row r="3206" spans="39:39" x14ac:dyDescent="0.25">
      <c r="AM3206"/>
    </row>
    <row r="3207" spans="39:39" x14ac:dyDescent="0.25">
      <c r="AM3207"/>
    </row>
    <row r="3208" spans="39:39" x14ac:dyDescent="0.25">
      <c r="AM3208"/>
    </row>
    <row r="3209" spans="39:39" x14ac:dyDescent="0.25">
      <c r="AM3209"/>
    </row>
    <row r="3210" spans="39:39" x14ac:dyDescent="0.25">
      <c r="AM3210"/>
    </row>
    <row r="3211" spans="39:39" x14ac:dyDescent="0.25">
      <c r="AM3211"/>
    </row>
    <row r="3212" spans="39:39" x14ac:dyDescent="0.25">
      <c r="AM3212"/>
    </row>
    <row r="3213" spans="39:39" x14ac:dyDescent="0.25">
      <c r="AM3213"/>
    </row>
    <row r="3214" spans="39:39" x14ac:dyDescent="0.25">
      <c r="AM3214"/>
    </row>
    <row r="3215" spans="39:39" x14ac:dyDescent="0.25">
      <c r="AM3215"/>
    </row>
    <row r="3216" spans="39:39" x14ac:dyDescent="0.25">
      <c r="AM3216"/>
    </row>
    <row r="3217" spans="39:39" x14ac:dyDescent="0.25">
      <c r="AM3217"/>
    </row>
    <row r="3218" spans="39:39" x14ac:dyDescent="0.25">
      <c r="AM3218"/>
    </row>
    <row r="3219" spans="39:39" x14ac:dyDescent="0.25">
      <c r="AM3219"/>
    </row>
    <row r="3220" spans="39:39" x14ac:dyDescent="0.25">
      <c r="AM3220"/>
    </row>
    <row r="3221" spans="39:39" x14ac:dyDescent="0.25">
      <c r="AM3221"/>
    </row>
    <row r="3222" spans="39:39" x14ac:dyDescent="0.25">
      <c r="AM3222"/>
    </row>
    <row r="3223" spans="39:39" x14ac:dyDescent="0.25">
      <c r="AM3223"/>
    </row>
    <row r="3224" spans="39:39" x14ac:dyDescent="0.25">
      <c r="AM3224"/>
    </row>
    <row r="3225" spans="39:39" x14ac:dyDescent="0.25">
      <c r="AM3225"/>
    </row>
    <row r="3226" spans="39:39" x14ac:dyDescent="0.25">
      <c r="AM3226"/>
    </row>
    <row r="3227" spans="39:39" x14ac:dyDescent="0.25">
      <c r="AM3227"/>
    </row>
    <row r="3228" spans="39:39" x14ac:dyDescent="0.25">
      <c r="AM3228"/>
    </row>
    <row r="3229" spans="39:39" x14ac:dyDescent="0.25">
      <c r="AM3229"/>
    </row>
    <row r="3230" spans="39:39" x14ac:dyDescent="0.25">
      <c r="AM3230"/>
    </row>
    <row r="3231" spans="39:39" x14ac:dyDescent="0.25">
      <c r="AM3231"/>
    </row>
    <row r="3232" spans="39:39" x14ac:dyDescent="0.25">
      <c r="AM3232"/>
    </row>
    <row r="3233" spans="39:39" x14ac:dyDescent="0.25">
      <c r="AM3233"/>
    </row>
    <row r="3234" spans="39:39" x14ac:dyDescent="0.25">
      <c r="AM3234"/>
    </row>
    <row r="3235" spans="39:39" x14ac:dyDescent="0.25">
      <c r="AM3235"/>
    </row>
    <row r="3236" spans="39:39" x14ac:dyDescent="0.25">
      <c r="AM3236"/>
    </row>
    <row r="3237" spans="39:39" x14ac:dyDescent="0.25">
      <c r="AM3237"/>
    </row>
    <row r="3238" spans="39:39" x14ac:dyDescent="0.25">
      <c r="AM3238"/>
    </row>
    <row r="3239" spans="39:39" x14ac:dyDescent="0.25">
      <c r="AM3239"/>
    </row>
    <row r="3240" spans="39:39" x14ac:dyDescent="0.25">
      <c r="AM3240"/>
    </row>
    <row r="3241" spans="39:39" x14ac:dyDescent="0.25">
      <c r="AM3241"/>
    </row>
    <row r="3242" spans="39:39" x14ac:dyDescent="0.25">
      <c r="AM3242"/>
    </row>
    <row r="3243" spans="39:39" x14ac:dyDescent="0.25">
      <c r="AM3243"/>
    </row>
    <row r="3244" spans="39:39" x14ac:dyDescent="0.25">
      <c r="AM3244"/>
    </row>
    <row r="3245" spans="39:39" x14ac:dyDescent="0.25">
      <c r="AM3245"/>
    </row>
    <row r="3246" spans="39:39" x14ac:dyDescent="0.25">
      <c r="AM3246"/>
    </row>
    <row r="3247" spans="39:39" x14ac:dyDescent="0.25">
      <c r="AM3247"/>
    </row>
    <row r="3248" spans="39:39" x14ac:dyDescent="0.25">
      <c r="AM3248"/>
    </row>
    <row r="3249" spans="39:39" x14ac:dyDescent="0.25">
      <c r="AM3249"/>
    </row>
    <row r="3250" spans="39:39" x14ac:dyDescent="0.25">
      <c r="AM3250"/>
    </row>
    <row r="3251" spans="39:39" x14ac:dyDescent="0.25">
      <c r="AM3251"/>
    </row>
    <row r="3252" spans="39:39" x14ac:dyDescent="0.25">
      <c r="AM3252"/>
    </row>
    <row r="3253" spans="39:39" x14ac:dyDescent="0.25">
      <c r="AM3253"/>
    </row>
    <row r="3254" spans="39:39" x14ac:dyDescent="0.25">
      <c r="AM3254"/>
    </row>
    <row r="3255" spans="39:39" x14ac:dyDescent="0.25">
      <c r="AM3255"/>
    </row>
    <row r="3256" spans="39:39" x14ac:dyDescent="0.25">
      <c r="AM3256"/>
    </row>
    <row r="3257" spans="39:39" x14ac:dyDescent="0.25">
      <c r="AM3257"/>
    </row>
    <row r="3258" spans="39:39" x14ac:dyDescent="0.25">
      <c r="AM3258"/>
    </row>
    <row r="3259" spans="39:39" x14ac:dyDescent="0.25">
      <c r="AM3259"/>
    </row>
    <row r="3260" spans="39:39" x14ac:dyDescent="0.25">
      <c r="AM3260"/>
    </row>
    <row r="3261" spans="39:39" x14ac:dyDescent="0.25">
      <c r="AM3261"/>
    </row>
    <row r="3262" spans="39:39" x14ac:dyDescent="0.25">
      <c r="AM3262"/>
    </row>
    <row r="3263" spans="39:39" x14ac:dyDescent="0.25">
      <c r="AM3263"/>
    </row>
    <row r="3264" spans="39:39" x14ac:dyDescent="0.25">
      <c r="AM3264"/>
    </row>
    <row r="3265" spans="39:39" x14ac:dyDescent="0.25">
      <c r="AM3265"/>
    </row>
    <row r="3266" spans="39:39" x14ac:dyDescent="0.25">
      <c r="AM3266"/>
    </row>
    <row r="3267" spans="39:39" x14ac:dyDescent="0.25">
      <c r="AM3267"/>
    </row>
    <row r="3268" spans="39:39" x14ac:dyDescent="0.25">
      <c r="AM3268"/>
    </row>
    <row r="3269" spans="39:39" x14ac:dyDescent="0.25">
      <c r="AM3269"/>
    </row>
    <row r="3270" spans="39:39" x14ac:dyDescent="0.25">
      <c r="AM3270"/>
    </row>
    <row r="3271" spans="39:39" x14ac:dyDescent="0.25">
      <c r="AM3271"/>
    </row>
    <row r="3272" spans="39:39" x14ac:dyDescent="0.25">
      <c r="AM3272"/>
    </row>
    <row r="3273" spans="39:39" x14ac:dyDescent="0.25">
      <c r="AM3273"/>
    </row>
    <row r="3274" spans="39:39" x14ac:dyDescent="0.25">
      <c r="AM3274"/>
    </row>
    <row r="3275" spans="39:39" x14ac:dyDescent="0.25">
      <c r="AM3275"/>
    </row>
    <row r="3276" spans="39:39" x14ac:dyDescent="0.25">
      <c r="AM3276"/>
    </row>
    <row r="3277" spans="39:39" x14ac:dyDescent="0.25">
      <c r="AM3277"/>
    </row>
    <row r="3278" spans="39:39" x14ac:dyDescent="0.25">
      <c r="AM3278"/>
    </row>
    <row r="3279" spans="39:39" x14ac:dyDescent="0.25">
      <c r="AM3279"/>
    </row>
    <row r="3280" spans="39:39" x14ac:dyDescent="0.25">
      <c r="AM3280"/>
    </row>
    <row r="3281" spans="39:39" x14ac:dyDescent="0.25">
      <c r="AM3281"/>
    </row>
    <row r="3282" spans="39:39" x14ac:dyDescent="0.25">
      <c r="AM3282"/>
    </row>
    <row r="3283" spans="39:39" x14ac:dyDescent="0.25">
      <c r="AM3283"/>
    </row>
    <row r="3284" spans="39:39" x14ac:dyDescent="0.25">
      <c r="AM3284"/>
    </row>
    <row r="3285" spans="39:39" x14ac:dyDescent="0.25">
      <c r="AM3285"/>
    </row>
    <row r="3286" spans="39:39" x14ac:dyDescent="0.25">
      <c r="AM3286"/>
    </row>
    <row r="3287" spans="39:39" x14ac:dyDescent="0.25">
      <c r="AM3287"/>
    </row>
    <row r="3288" spans="39:39" x14ac:dyDescent="0.25">
      <c r="AM3288"/>
    </row>
    <row r="3289" spans="39:39" x14ac:dyDescent="0.25">
      <c r="AM3289"/>
    </row>
    <row r="3290" spans="39:39" x14ac:dyDescent="0.25">
      <c r="AM3290"/>
    </row>
    <row r="3291" spans="39:39" x14ac:dyDescent="0.25">
      <c r="AM3291"/>
    </row>
    <row r="3292" spans="39:39" x14ac:dyDescent="0.25">
      <c r="AM3292"/>
    </row>
    <row r="3293" spans="39:39" x14ac:dyDescent="0.25">
      <c r="AM3293"/>
    </row>
    <row r="3294" spans="39:39" x14ac:dyDescent="0.25">
      <c r="AM3294"/>
    </row>
    <row r="3295" spans="39:39" x14ac:dyDescent="0.25">
      <c r="AM3295"/>
    </row>
    <row r="3296" spans="39:39" x14ac:dyDescent="0.25">
      <c r="AM3296"/>
    </row>
    <row r="3297" spans="39:39" x14ac:dyDescent="0.25">
      <c r="AM3297"/>
    </row>
    <row r="3298" spans="39:39" x14ac:dyDescent="0.25">
      <c r="AM3298"/>
    </row>
    <row r="3299" spans="39:39" x14ac:dyDescent="0.25">
      <c r="AM3299"/>
    </row>
    <row r="3300" spans="39:39" x14ac:dyDescent="0.25">
      <c r="AM3300"/>
    </row>
    <row r="3301" spans="39:39" x14ac:dyDescent="0.25">
      <c r="AM3301"/>
    </row>
    <row r="3302" spans="39:39" x14ac:dyDescent="0.25">
      <c r="AM3302"/>
    </row>
    <row r="3303" spans="39:39" x14ac:dyDescent="0.25">
      <c r="AM3303"/>
    </row>
    <row r="3304" spans="39:39" x14ac:dyDescent="0.25">
      <c r="AM3304"/>
    </row>
    <row r="3305" spans="39:39" x14ac:dyDescent="0.25">
      <c r="AM3305"/>
    </row>
    <row r="3306" spans="39:39" x14ac:dyDescent="0.25">
      <c r="AM3306"/>
    </row>
    <row r="3307" spans="39:39" x14ac:dyDescent="0.25">
      <c r="AM3307"/>
    </row>
    <row r="3308" spans="39:39" x14ac:dyDescent="0.25">
      <c r="AM3308"/>
    </row>
    <row r="3309" spans="39:39" x14ac:dyDescent="0.25">
      <c r="AM3309"/>
    </row>
    <row r="3310" spans="39:39" x14ac:dyDescent="0.25">
      <c r="AM3310"/>
    </row>
    <row r="3311" spans="39:39" x14ac:dyDescent="0.25">
      <c r="AM3311"/>
    </row>
    <row r="3312" spans="39:39" x14ac:dyDescent="0.25">
      <c r="AM3312"/>
    </row>
    <row r="3313" spans="39:39" x14ac:dyDescent="0.25">
      <c r="AM3313"/>
    </row>
    <row r="3314" spans="39:39" x14ac:dyDescent="0.25">
      <c r="AM3314"/>
    </row>
    <row r="3315" spans="39:39" x14ac:dyDescent="0.25">
      <c r="AM3315"/>
    </row>
    <row r="3316" spans="39:39" x14ac:dyDescent="0.25">
      <c r="AM3316"/>
    </row>
    <row r="3317" spans="39:39" x14ac:dyDescent="0.25">
      <c r="AM3317"/>
    </row>
    <row r="3318" spans="39:39" x14ac:dyDescent="0.25">
      <c r="AM3318"/>
    </row>
    <row r="3319" spans="39:39" x14ac:dyDescent="0.25">
      <c r="AM3319"/>
    </row>
    <row r="3320" spans="39:39" x14ac:dyDescent="0.25">
      <c r="AM3320"/>
    </row>
    <row r="3321" spans="39:39" x14ac:dyDescent="0.25">
      <c r="AM3321"/>
    </row>
    <row r="3322" spans="39:39" x14ac:dyDescent="0.25">
      <c r="AM3322"/>
    </row>
    <row r="3323" spans="39:39" x14ac:dyDescent="0.25">
      <c r="AM3323"/>
    </row>
    <row r="3324" spans="39:39" x14ac:dyDescent="0.25">
      <c r="AM3324"/>
    </row>
    <row r="3325" spans="39:39" x14ac:dyDescent="0.25">
      <c r="AM3325"/>
    </row>
    <row r="3326" spans="39:39" x14ac:dyDescent="0.25">
      <c r="AM3326"/>
    </row>
    <row r="3327" spans="39:39" x14ac:dyDescent="0.25">
      <c r="AM3327"/>
    </row>
    <row r="3328" spans="39:39" x14ac:dyDescent="0.25">
      <c r="AM3328"/>
    </row>
    <row r="3329" spans="39:39" x14ac:dyDescent="0.25">
      <c r="AM3329"/>
    </row>
    <row r="3330" spans="39:39" x14ac:dyDescent="0.25">
      <c r="AM3330"/>
    </row>
    <row r="3331" spans="39:39" x14ac:dyDescent="0.25">
      <c r="AM3331"/>
    </row>
    <row r="3332" spans="39:39" x14ac:dyDescent="0.25">
      <c r="AM3332"/>
    </row>
    <row r="3333" spans="39:39" x14ac:dyDescent="0.25">
      <c r="AM3333"/>
    </row>
    <row r="3334" spans="39:39" x14ac:dyDescent="0.25">
      <c r="AM3334"/>
    </row>
    <row r="3335" spans="39:39" x14ac:dyDescent="0.25">
      <c r="AM3335"/>
    </row>
    <row r="3336" spans="39:39" x14ac:dyDescent="0.25">
      <c r="AM3336"/>
    </row>
    <row r="3337" spans="39:39" x14ac:dyDescent="0.25">
      <c r="AM3337"/>
    </row>
    <row r="3338" spans="39:39" x14ac:dyDescent="0.25">
      <c r="AM3338"/>
    </row>
    <row r="3339" spans="39:39" x14ac:dyDescent="0.25">
      <c r="AM3339"/>
    </row>
    <row r="3340" spans="39:39" x14ac:dyDescent="0.25">
      <c r="AM3340"/>
    </row>
    <row r="3341" spans="39:39" x14ac:dyDescent="0.25">
      <c r="AM3341"/>
    </row>
    <row r="3342" spans="39:39" x14ac:dyDescent="0.25">
      <c r="AM3342"/>
    </row>
    <row r="3343" spans="39:39" x14ac:dyDescent="0.25">
      <c r="AM3343"/>
    </row>
    <row r="3344" spans="39:39" x14ac:dyDescent="0.25">
      <c r="AM3344"/>
    </row>
    <row r="3345" spans="39:39" x14ac:dyDescent="0.25">
      <c r="AM3345"/>
    </row>
    <row r="3346" spans="39:39" x14ac:dyDescent="0.25">
      <c r="AM3346"/>
    </row>
    <row r="3347" spans="39:39" x14ac:dyDescent="0.25">
      <c r="AM3347"/>
    </row>
    <row r="3348" spans="39:39" x14ac:dyDescent="0.25">
      <c r="AM3348"/>
    </row>
    <row r="3349" spans="39:39" x14ac:dyDescent="0.25">
      <c r="AM3349"/>
    </row>
    <row r="3350" spans="39:39" x14ac:dyDescent="0.25">
      <c r="AM3350"/>
    </row>
    <row r="3351" spans="39:39" x14ac:dyDescent="0.25">
      <c r="AM3351"/>
    </row>
    <row r="3352" spans="39:39" x14ac:dyDescent="0.25">
      <c r="AM3352"/>
    </row>
    <row r="3353" spans="39:39" x14ac:dyDescent="0.25">
      <c r="AM3353"/>
    </row>
    <row r="3354" spans="39:39" x14ac:dyDescent="0.25">
      <c r="AM3354"/>
    </row>
    <row r="3355" spans="39:39" x14ac:dyDescent="0.25">
      <c r="AM3355"/>
    </row>
    <row r="3356" spans="39:39" x14ac:dyDescent="0.25">
      <c r="AM3356"/>
    </row>
    <row r="3357" spans="39:39" x14ac:dyDescent="0.25">
      <c r="AM3357"/>
    </row>
    <row r="3358" spans="39:39" x14ac:dyDescent="0.25">
      <c r="AM3358"/>
    </row>
    <row r="3359" spans="39:39" x14ac:dyDescent="0.25">
      <c r="AM3359"/>
    </row>
    <row r="3360" spans="39:39" x14ac:dyDescent="0.25">
      <c r="AM3360"/>
    </row>
    <row r="3361" spans="39:39" x14ac:dyDescent="0.25">
      <c r="AM3361"/>
    </row>
    <row r="3362" spans="39:39" x14ac:dyDescent="0.25">
      <c r="AM3362"/>
    </row>
    <row r="3363" spans="39:39" x14ac:dyDescent="0.25">
      <c r="AM3363"/>
    </row>
    <row r="3364" spans="39:39" x14ac:dyDescent="0.25">
      <c r="AM3364"/>
    </row>
    <row r="3365" spans="39:39" x14ac:dyDescent="0.25">
      <c r="AM3365"/>
    </row>
    <row r="3366" spans="39:39" x14ac:dyDescent="0.25">
      <c r="AM3366"/>
    </row>
    <row r="3367" spans="39:39" x14ac:dyDescent="0.25">
      <c r="AM3367"/>
    </row>
    <row r="3368" spans="39:39" x14ac:dyDescent="0.25">
      <c r="AM3368"/>
    </row>
    <row r="3369" spans="39:39" x14ac:dyDescent="0.25">
      <c r="AM3369"/>
    </row>
    <row r="3370" spans="39:39" x14ac:dyDescent="0.25">
      <c r="AM3370"/>
    </row>
    <row r="3371" spans="39:39" x14ac:dyDescent="0.25">
      <c r="AM3371"/>
    </row>
    <row r="3372" spans="39:39" x14ac:dyDescent="0.25">
      <c r="AM3372"/>
    </row>
    <row r="3373" spans="39:39" x14ac:dyDescent="0.25">
      <c r="AM3373"/>
    </row>
    <row r="3374" spans="39:39" x14ac:dyDescent="0.25">
      <c r="AM3374"/>
    </row>
    <row r="3375" spans="39:39" x14ac:dyDescent="0.25">
      <c r="AM3375"/>
    </row>
    <row r="3376" spans="39:39" x14ac:dyDescent="0.25">
      <c r="AM3376"/>
    </row>
    <row r="3377" spans="39:39" x14ac:dyDescent="0.25">
      <c r="AM3377"/>
    </row>
    <row r="3378" spans="39:39" x14ac:dyDescent="0.25">
      <c r="AM3378"/>
    </row>
    <row r="3379" spans="39:39" x14ac:dyDescent="0.25">
      <c r="AM3379"/>
    </row>
    <row r="3380" spans="39:39" x14ac:dyDescent="0.25">
      <c r="AM3380"/>
    </row>
    <row r="3381" spans="39:39" x14ac:dyDescent="0.25">
      <c r="AM3381"/>
    </row>
    <row r="3382" spans="39:39" x14ac:dyDescent="0.25">
      <c r="AM3382"/>
    </row>
    <row r="3383" spans="39:39" x14ac:dyDescent="0.25">
      <c r="AM3383"/>
    </row>
    <row r="3384" spans="39:39" x14ac:dyDescent="0.25">
      <c r="AM3384"/>
    </row>
    <row r="3385" spans="39:39" x14ac:dyDescent="0.25">
      <c r="AM3385"/>
    </row>
    <row r="3386" spans="39:39" x14ac:dyDescent="0.25">
      <c r="AM3386"/>
    </row>
    <row r="3387" spans="39:39" x14ac:dyDescent="0.25">
      <c r="AM3387"/>
    </row>
    <row r="3388" spans="39:39" x14ac:dyDescent="0.25">
      <c r="AM3388"/>
    </row>
    <row r="3389" spans="39:39" x14ac:dyDescent="0.25">
      <c r="AM3389"/>
    </row>
    <row r="3390" spans="39:39" x14ac:dyDescent="0.25">
      <c r="AM3390"/>
    </row>
    <row r="3391" spans="39:39" x14ac:dyDescent="0.25">
      <c r="AM3391"/>
    </row>
    <row r="3392" spans="39:39" x14ac:dyDescent="0.25">
      <c r="AM3392"/>
    </row>
    <row r="3393" spans="39:39" x14ac:dyDescent="0.25">
      <c r="AM3393"/>
    </row>
    <row r="3394" spans="39:39" x14ac:dyDescent="0.25">
      <c r="AM3394"/>
    </row>
    <row r="3395" spans="39:39" x14ac:dyDescent="0.25">
      <c r="AM3395"/>
    </row>
    <row r="3396" spans="39:39" x14ac:dyDescent="0.25">
      <c r="AM3396"/>
    </row>
    <row r="3397" spans="39:39" x14ac:dyDescent="0.25">
      <c r="AM3397"/>
    </row>
    <row r="3398" spans="39:39" x14ac:dyDescent="0.25">
      <c r="AM3398"/>
    </row>
    <row r="3399" spans="39:39" x14ac:dyDescent="0.25">
      <c r="AM3399"/>
    </row>
    <row r="3400" spans="39:39" x14ac:dyDescent="0.25">
      <c r="AM3400"/>
    </row>
    <row r="3401" spans="39:39" x14ac:dyDescent="0.25">
      <c r="AM3401"/>
    </row>
    <row r="3402" spans="39:39" x14ac:dyDescent="0.25">
      <c r="AM3402"/>
    </row>
    <row r="3403" spans="39:39" x14ac:dyDescent="0.25">
      <c r="AM3403"/>
    </row>
    <row r="3404" spans="39:39" x14ac:dyDescent="0.25">
      <c r="AM3404"/>
    </row>
    <row r="3405" spans="39:39" x14ac:dyDescent="0.25">
      <c r="AM3405"/>
    </row>
    <row r="3406" spans="39:39" x14ac:dyDescent="0.25">
      <c r="AM3406"/>
    </row>
    <row r="3407" spans="39:39" x14ac:dyDescent="0.25">
      <c r="AM3407"/>
    </row>
    <row r="3408" spans="39:39" x14ac:dyDescent="0.25">
      <c r="AM3408"/>
    </row>
    <row r="3409" spans="39:39" x14ac:dyDescent="0.25">
      <c r="AM3409"/>
    </row>
    <row r="3410" spans="39:39" x14ac:dyDescent="0.25">
      <c r="AM3410"/>
    </row>
    <row r="3411" spans="39:39" x14ac:dyDescent="0.25">
      <c r="AM3411"/>
    </row>
    <row r="3412" spans="39:39" x14ac:dyDescent="0.25">
      <c r="AM3412"/>
    </row>
    <row r="3413" spans="39:39" x14ac:dyDescent="0.25">
      <c r="AM3413"/>
    </row>
    <row r="3414" spans="39:39" x14ac:dyDescent="0.25">
      <c r="AM3414"/>
    </row>
    <row r="3415" spans="39:39" x14ac:dyDescent="0.25">
      <c r="AM3415"/>
    </row>
    <row r="3416" spans="39:39" x14ac:dyDescent="0.25">
      <c r="AM3416"/>
    </row>
    <row r="3417" spans="39:39" x14ac:dyDescent="0.25">
      <c r="AM3417"/>
    </row>
    <row r="3418" spans="39:39" x14ac:dyDescent="0.25">
      <c r="AM3418"/>
    </row>
    <row r="3419" spans="39:39" x14ac:dyDescent="0.25">
      <c r="AM3419"/>
    </row>
    <row r="3420" spans="39:39" x14ac:dyDescent="0.25">
      <c r="AM3420"/>
    </row>
    <row r="3421" spans="39:39" x14ac:dyDescent="0.25">
      <c r="AM3421"/>
    </row>
    <row r="3422" spans="39:39" x14ac:dyDescent="0.25">
      <c r="AM3422"/>
    </row>
    <row r="3423" spans="39:39" x14ac:dyDescent="0.25">
      <c r="AM3423"/>
    </row>
    <row r="3424" spans="39:39" x14ac:dyDescent="0.25">
      <c r="AM3424"/>
    </row>
    <row r="3425" spans="39:39" x14ac:dyDescent="0.25">
      <c r="AM3425"/>
    </row>
    <row r="3426" spans="39:39" x14ac:dyDescent="0.25">
      <c r="AM3426"/>
    </row>
    <row r="3427" spans="39:39" x14ac:dyDescent="0.25">
      <c r="AM3427"/>
    </row>
    <row r="3428" spans="39:39" x14ac:dyDescent="0.25">
      <c r="AM3428"/>
    </row>
    <row r="3429" spans="39:39" x14ac:dyDescent="0.25">
      <c r="AM3429"/>
    </row>
    <row r="3430" spans="39:39" x14ac:dyDescent="0.25">
      <c r="AM3430"/>
    </row>
    <row r="3431" spans="39:39" x14ac:dyDescent="0.25">
      <c r="AM3431"/>
    </row>
    <row r="3432" spans="39:39" x14ac:dyDescent="0.25">
      <c r="AM3432"/>
    </row>
    <row r="3433" spans="39:39" x14ac:dyDescent="0.25">
      <c r="AM3433"/>
    </row>
    <row r="3434" spans="39:39" x14ac:dyDescent="0.25">
      <c r="AM3434"/>
    </row>
    <row r="3435" spans="39:39" x14ac:dyDescent="0.25">
      <c r="AM3435"/>
    </row>
    <row r="3436" spans="39:39" x14ac:dyDescent="0.25">
      <c r="AM3436"/>
    </row>
    <row r="3437" spans="39:39" x14ac:dyDescent="0.25">
      <c r="AM3437"/>
    </row>
    <row r="3438" spans="39:39" x14ac:dyDescent="0.25">
      <c r="AM3438"/>
    </row>
    <row r="3439" spans="39:39" x14ac:dyDescent="0.25">
      <c r="AM3439"/>
    </row>
    <row r="3440" spans="39:39" x14ac:dyDescent="0.25">
      <c r="AM3440"/>
    </row>
    <row r="3441" spans="39:39" x14ac:dyDescent="0.25">
      <c r="AM3441"/>
    </row>
    <row r="3442" spans="39:39" x14ac:dyDescent="0.25">
      <c r="AM3442"/>
    </row>
    <row r="3443" spans="39:39" x14ac:dyDescent="0.25">
      <c r="AM3443"/>
    </row>
    <row r="3444" spans="39:39" x14ac:dyDescent="0.25">
      <c r="AM3444"/>
    </row>
    <row r="3445" spans="39:39" x14ac:dyDescent="0.25">
      <c r="AM3445"/>
    </row>
    <row r="3446" spans="39:39" x14ac:dyDescent="0.25">
      <c r="AM3446"/>
    </row>
    <row r="3447" spans="39:39" x14ac:dyDescent="0.25">
      <c r="AM3447"/>
    </row>
    <row r="3448" spans="39:39" x14ac:dyDescent="0.25">
      <c r="AM3448"/>
    </row>
    <row r="3449" spans="39:39" x14ac:dyDescent="0.25">
      <c r="AM3449"/>
    </row>
    <row r="3450" spans="39:39" x14ac:dyDescent="0.25">
      <c r="AM3450"/>
    </row>
    <row r="3451" spans="39:39" x14ac:dyDescent="0.25">
      <c r="AM3451"/>
    </row>
    <row r="3452" spans="39:39" x14ac:dyDescent="0.25">
      <c r="AM3452"/>
    </row>
    <row r="3453" spans="39:39" x14ac:dyDescent="0.25">
      <c r="AM3453"/>
    </row>
    <row r="3454" spans="39:39" x14ac:dyDescent="0.25">
      <c r="AM3454"/>
    </row>
    <row r="3455" spans="39:39" x14ac:dyDescent="0.25">
      <c r="AM3455"/>
    </row>
    <row r="3456" spans="39:39" x14ac:dyDescent="0.25">
      <c r="AM3456"/>
    </row>
    <row r="3457" spans="39:39" x14ac:dyDescent="0.25">
      <c r="AM3457"/>
    </row>
    <row r="3458" spans="39:39" x14ac:dyDescent="0.25">
      <c r="AM3458"/>
    </row>
    <row r="3459" spans="39:39" x14ac:dyDescent="0.25">
      <c r="AM3459"/>
    </row>
    <row r="3460" spans="39:39" x14ac:dyDescent="0.25">
      <c r="AM3460"/>
    </row>
    <row r="3461" spans="39:39" x14ac:dyDescent="0.25">
      <c r="AM3461"/>
    </row>
    <row r="3462" spans="39:39" x14ac:dyDescent="0.25">
      <c r="AM3462"/>
    </row>
    <row r="3463" spans="39:39" x14ac:dyDescent="0.25">
      <c r="AM3463"/>
    </row>
    <row r="3464" spans="39:39" x14ac:dyDescent="0.25">
      <c r="AM3464"/>
    </row>
    <row r="3465" spans="39:39" x14ac:dyDescent="0.25">
      <c r="AM3465"/>
    </row>
    <row r="3466" spans="39:39" x14ac:dyDescent="0.25">
      <c r="AM3466"/>
    </row>
    <row r="3467" spans="39:39" x14ac:dyDescent="0.25">
      <c r="AM3467"/>
    </row>
    <row r="3468" spans="39:39" x14ac:dyDescent="0.25">
      <c r="AM3468"/>
    </row>
    <row r="3469" spans="39:39" x14ac:dyDescent="0.25">
      <c r="AM3469"/>
    </row>
    <row r="3470" spans="39:39" x14ac:dyDescent="0.25">
      <c r="AM3470"/>
    </row>
    <row r="3471" spans="39:39" x14ac:dyDescent="0.25">
      <c r="AM3471"/>
    </row>
    <row r="3472" spans="39:39" x14ac:dyDescent="0.25">
      <c r="AM3472"/>
    </row>
    <row r="3473" spans="39:39" x14ac:dyDescent="0.25">
      <c r="AM3473"/>
    </row>
    <row r="3474" spans="39:39" x14ac:dyDescent="0.25">
      <c r="AM3474"/>
    </row>
    <row r="3475" spans="39:39" x14ac:dyDescent="0.25">
      <c r="AM3475"/>
    </row>
    <row r="3476" spans="39:39" x14ac:dyDescent="0.25">
      <c r="AM3476"/>
    </row>
    <row r="3477" spans="39:39" x14ac:dyDescent="0.25">
      <c r="AM3477"/>
    </row>
    <row r="3478" spans="39:39" x14ac:dyDescent="0.25">
      <c r="AM3478"/>
    </row>
    <row r="3479" spans="39:39" x14ac:dyDescent="0.25">
      <c r="AM3479"/>
    </row>
    <row r="3480" spans="39:39" x14ac:dyDescent="0.25">
      <c r="AM3480"/>
    </row>
    <row r="3481" spans="39:39" x14ac:dyDescent="0.25">
      <c r="AM3481"/>
    </row>
    <row r="3482" spans="39:39" x14ac:dyDescent="0.25">
      <c r="AM3482"/>
    </row>
    <row r="3483" spans="39:39" x14ac:dyDescent="0.25">
      <c r="AM3483"/>
    </row>
    <row r="3484" spans="39:39" x14ac:dyDescent="0.25">
      <c r="AM3484"/>
    </row>
    <row r="3485" spans="39:39" x14ac:dyDescent="0.25">
      <c r="AM3485"/>
    </row>
    <row r="3486" spans="39:39" x14ac:dyDescent="0.25">
      <c r="AM3486"/>
    </row>
    <row r="3487" spans="39:39" x14ac:dyDescent="0.25">
      <c r="AM3487"/>
    </row>
    <row r="3488" spans="39:39" x14ac:dyDescent="0.25">
      <c r="AM3488"/>
    </row>
    <row r="3489" spans="39:39" x14ac:dyDescent="0.25">
      <c r="AM3489"/>
    </row>
    <row r="3490" spans="39:39" x14ac:dyDescent="0.25">
      <c r="AM3490"/>
    </row>
    <row r="3491" spans="39:39" x14ac:dyDescent="0.25">
      <c r="AM3491"/>
    </row>
    <row r="3492" spans="39:39" x14ac:dyDescent="0.25">
      <c r="AM3492"/>
    </row>
    <row r="3493" spans="39:39" x14ac:dyDescent="0.25">
      <c r="AM3493"/>
    </row>
    <row r="3494" spans="39:39" x14ac:dyDescent="0.25">
      <c r="AM3494"/>
    </row>
    <row r="3495" spans="39:39" x14ac:dyDescent="0.25">
      <c r="AM3495"/>
    </row>
    <row r="3496" spans="39:39" x14ac:dyDescent="0.25">
      <c r="AM3496"/>
    </row>
    <row r="3497" spans="39:39" x14ac:dyDescent="0.25">
      <c r="AM3497"/>
    </row>
    <row r="3498" spans="39:39" x14ac:dyDescent="0.25">
      <c r="AM3498"/>
    </row>
    <row r="3499" spans="39:39" x14ac:dyDescent="0.25">
      <c r="AM3499"/>
    </row>
    <row r="3500" spans="39:39" x14ac:dyDescent="0.25">
      <c r="AM3500"/>
    </row>
    <row r="3501" spans="39:39" x14ac:dyDescent="0.25">
      <c r="AM3501"/>
    </row>
    <row r="3502" spans="39:39" x14ac:dyDescent="0.25">
      <c r="AM3502"/>
    </row>
    <row r="3503" spans="39:39" x14ac:dyDescent="0.25">
      <c r="AM3503"/>
    </row>
    <row r="3504" spans="39:39" x14ac:dyDescent="0.25">
      <c r="AM3504"/>
    </row>
    <row r="3505" spans="39:39" x14ac:dyDescent="0.25">
      <c r="AM3505"/>
    </row>
    <row r="3506" spans="39:39" x14ac:dyDescent="0.25">
      <c r="AM3506"/>
    </row>
    <row r="3507" spans="39:39" x14ac:dyDescent="0.25">
      <c r="AM3507"/>
    </row>
    <row r="3508" spans="39:39" x14ac:dyDescent="0.25">
      <c r="AM3508"/>
    </row>
    <row r="3509" spans="39:39" x14ac:dyDescent="0.25">
      <c r="AM3509"/>
    </row>
    <row r="3510" spans="39:39" x14ac:dyDescent="0.25">
      <c r="AM3510"/>
    </row>
    <row r="3511" spans="39:39" x14ac:dyDescent="0.25">
      <c r="AM3511"/>
    </row>
    <row r="3512" spans="39:39" x14ac:dyDescent="0.25">
      <c r="AM3512"/>
    </row>
    <row r="3513" spans="39:39" x14ac:dyDescent="0.25">
      <c r="AM3513"/>
    </row>
    <row r="3514" spans="39:39" x14ac:dyDescent="0.25">
      <c r="AM3514"/>
    </row>
    <row r="3515" spans="39:39" x14ac:dyDescent="0.25">
      <c r="AM3515"/>
    </row>
    <row r="3516" spans="39:39" x14ac:dyDescent="0.25">
      <c r="AM3516"/>
    </row>
    <row r="3517" spans="39:39" x14ac:dyDescent="0.25">
      <c r="AM3517"/>
    </row>
    <row r="3518" spans="39:39" x14ac:dyDescent="0.25">
      <c r="AM3518"/>
    </row>
    <row r="3519" spans="39:39" x14ac:dyDescent="0.25">
      <c r="AM3519"/>
    </row>
    <row r="3520" spans="39:39" x14ac:dyDescent="0.25">
      <c r="AM3520"/>
    </row>
    <row r="3521" spans="39:39" x14ac:dyDescent="0.25">
      <c r="AM3521"/>
    </row>
    <row r="3522" spans="39:39" x14ac:dyDescent="0.25">
      <c r="AM3522"/>
    </row>
    <row r="3523" spans="39:39" x14ac:dyDescent="0.25">
      <c r="AM3523"/>
    </row>
    <row r="3524" spans="39:39" x14ac:dyDescent="0.25">
      <c r="AM3524"/>
    </row>
    <row r="3525" spans="39:39" x14ac:dyDescent="0.25">
      <c r="AM3525"/>
    </row>
    <row r="3526" spans="39:39" x14ac:dyDescent="0.25">
      <c r="AM3526"/>
    </row>
    <row r="3527" spans="39:39" x14ac:dyDescent="0.25">
      <c r="AM3527"/>
    </row>
    <row r="3528" spans="39:39" x14ac:dyDescent="0.25">
      <c r="AM3528"/>
    </row>
    <row r="3529" spans="39:39" x14ac:dyDescent="0.25">
      <c r="AM3529"/>
    </row>
    <row r="3530" spans="39:39" x14ac:dyDescent="0.25">
      <c r="AM3530"/>
    </row>
    <row r="3531" spans="39:39" x14ac:dyDescent="0.25">
      <c r="AM3531"/>
    </row>
    <row r="3532" spans="39:39" x14ac:dyDescent="0.25">
      <c r="AM3532"/>
    </row>
    <row r="3533" spans="39:39" x14ac:dyDescent="0.25">
      <c r="AM3533"/>
    </row>
    <row r="3534" spans="39:39" x14ac:dyDescent="0.25">
      <c r="AM3534"/>
    </row>
    <row r="3535" spans="39:39" x14ac:dyDescent="0.25">
      <c r="AM3535"/>
    </row>
    <row r="3536" spans="39:39" x14ac:dyDescent="0.25">
      <c r="AM3536"/>
    </row>
    <row r="3537" spans="39:39" x14ac:dyDescent="0.25">
      <c r="AM3537"/>
    </row>
    <row r="3538" spans="39:39" x14ac:dyDescent="0.25">
      <c r="AM3538"/>
    </row>
    <row r="3539" spans="39:39" x14ac:dyDescent="0.25">
      <c r="AM3539"/>
    </row>
    <row r="3540" spans="39:39" x14ac:dyDescent="0.25">
      <c r="AM3540"/>
    </row>
    <row r="3541" spans="39:39" x14ac:dyDescent="0.25">
      <c r="AM3541"/>
    </row>
    <row r="3542" spans="39:39" x14ac:dyDescent="0.25">
      <c r="AM3542"/>
    </row>
    <row r="3543" spans="39:39" x14ac:dyDescent="0.25">
      <c r="AM3543"/>
    </row>
    <row r="3544" spans="39:39" x14ac:dyDescent="0.25">
      <c r="AM3544"/>
    </row>
    <row r="3545" spans="39:39" x14ac:dyDescent="0.25">
      <c r="AM3545"/>
    </row>
    <row r="3546" spans="39:39" x14ac:dyDescent="0.25">
      <c r="AM3546"/>
    </row>
    <row r="3547" spans="39:39" x14ac:dyDescent="0.25">
      <c r="AM3547"/>
    </row>
    <row r="3548" spans="39:39" x14ac:dyDescent="0.25">
      <c r="AM3548"/>
    </row>
    <row r="3549" spans="39:39" x14ac:dyDescent="0.25">
      <c r="AM3549"/>
    </row>
    <row r="3550" spans="39:39" x14ac:dyDescent="0.25">
      <c r="AM3550"/>
    </row>
    <row r="3551" spans="39:39" x14ac:dyDescent="0.25">
      <c r="AM3551"/>
    </row>
    <row r="3552" spans="39:39" x14ac:dyDescent="0.25">
      <c r="AM3552"/>
    </row>
    <row r="3553" spans="39:39" x14ac:dyDescent="0.25">
      <c r="AM3553"/>
    </row>
    <row r="3554" spans="39:39" x14ac:dyDescent="0.25">
      <c r="AM3554"/>
    </row>
    <row r="3555" spans="39:39" x14ac:dyDescent="0.25">
      <c r="AM3555"/>
    </row>
    <row r="3556" spans="39:39" x14ac:dyDescent="0.25">
      <c r="AM3556"/>
    </row>
    <row r="3557" spans="39:39" x14ac:dyDescent="0.25">
      <c r="AM3557"/>
    </row>
    <row r="3558" spans="39:39" x14ac:dyDescent="0.25">
      <c r="AM3558"/>
    </row>
    <row r="3559" spans="39:39" x14ac:dyDescent="0.25">
      <c r="AM3559"/>
    </row>
    <row r="3560" spans="39:39" x14ac:dyDescent="0.25">
      <c r="AM3560"/>
    </row>
    <row r="3561" spans="39:39" x14ac:dyDescent="0.25">
      <c r="AM3561"/>
    </row>
    <row r="3562" spans="39:39" x14ac:dyDescent="0.25">
      <c r="AM3562"/>
    </row>
    <row r="3563" spans="39:39" x14ac:dyDescent="0.25">
      <c r="AM3563"/>
    </row>
    <row r="3564" spans="39:39" x14ac:dyDescent="0.25">
      <c r="AM3564"/>
    </row>
    <row r="3565" spans="39:39" x14ac:dyDescent="0.25">
      <c r="AM3565"/>
    </row>
    <row r="3566" spans="39:39" x14ac:dyDescent="0.25">
      <c r="AM3566"/>
    </row>
    <row r="3567" spans="39:39" x14ac:dyDescent="0.25">
      <c r="AM3567"/>
    </row>
    <row r="3568" spans="39:39" x14ac:dyDescent="0.25">
      <c r="AM3568"/>
    </row>
    <row r="3569" spans="39:39" x14ac:dyDescent="0.25">
      <c r="AM3569"/>
    </row>
    <row r="3570" spans="39:39" x14ac:dyDescent="0.25">
      <c r="AM3570"/>
    </row>
    <row r="3571" spans="39:39" x14ac:dyDescent="0.25">
      <c r="AM3571"/>
    </row>
    <row r="3572" spans="39:39" x14ac:dyDescent="0.25">
      <c r="AM3572"/>
    </row>
    <row r="3573" spans="39:39" x14ac:dyDescent="0.25">
      <c r="AM3573"/>
    </row>
    <row r="3574" spans="39:39" x14ac:dyDescent="0.25">
      <c r="AM3574"/>
    </row>
    <row r="3575" spans="39:39" x14ac:dyDescent="0.25">
      <c r="AM3575"/>
    </row>
    <row r="3576" spans="39:39" x14ac:dyDescent="0.25">
      <c r="AM3576"/>
    </row>
    <row r="3577" spans="39:39" x14ac:dyDescent="0.25">
      <c r="AM3577"/>
    </row>
    <row r="3578" spans="39:39" x14ac:dyDescent="0.25">
      <c r="AM3578"/>
    </row>
    <row r="3579" spans="39:39" x14ac:dyDescent="0.25">
      <c r="AM3579"/>
    </row>
    <row r="3580" spans="39:39" x14ac:dyDescent="0.25">
      <c r="AM3580"/>
    </row>
    <row r="3581" spans="39:39" x14ac:dyDescent="0.25">
      <c r="AM3581"/>
    </row>
    <row r="3582" spans="39:39" x14ac:dyDescent="0.25">
      <c r="AM3582"/>
    </row>
    <row r="3583" spans="39:39" x14ac:dyDescent="0.25">
      <c r="AM3583"/>
    </row>
    <row r="3584" spans="39:39" x14ac:dyDescent="0.25">
      <c r="AM3584"/>
    </row>
    <row r="3585" spans="39:39" x14ac:dyDescent="0.25">
      <c r="AM3585"/>
    </row>
    <row r="3586" spans="39:39" x14ac:dyDescent="0.25">
      <c r="AM3586"/>
    </row>
    <row r="3587" spans="39:39" x14ac:dyDescent="0.25">
      <c r="AM3587"/>
    </row>
    <row r="3588" spans="39:39" x14ac:dyDescent="0.25">
      <c r="AM3588"/>
    </row>
    <row r="3589" spans="39:39" x14ac:dyDescent="0.25">
      <c r="AM3589"/>
    </row>
    <row r="3590" spans="39:39" x14ac:dyDescent="0.25">
      <c r="AM3590"/>
    </row>
    <row r="3591" spans="39:39" x14ac:dyDescent="0.25">
      <c r="AM3591"/>
    </row>
    <row r="3592" spans="39:39" x14ac:dyDescent="0.25">
      <c r="AM3592"/>
    </row>
    <row r="3593" spans="39:39" x14ac:dyDescent="0.25">
      <c r="AM3593"/>
    </row>
    <row r="3594" spans="39:39" x14ac:dyDescent="0.25">
      <c r="AM3594"/>
    </row>
    <row r="3595" spans="39:39" x14ac:dyDescent="0.25">
      <c r="AM3595"/>
    </row>
    <row r="3596" spans="39:39" x14ac:dyDescent="0.25">
      <c r="AM3596"/>
    </row>
    <row r="3597" spans="39:39" x14ac:dyDescent="0.25">
      <c r="AM3597"/>
    </row>
    <row r="3598" spans="39:39" x14ac:dyDescent="0.25">
      <c r="AM3598"/>
    </row>
    <row r="3599" spans="39:39" x14ac:dyDescent="0.25">
      <c r="AM3599"/>
    </row>
    <row r="3600" spans="39:39" x14ac:dyDescent="0.25">
      <c r="AM3600"/>
    </row>
    <row r="3601" spans="39:39" x14ac:dyDescent="0.25">
      <c r="AM3601"/>
    </row>
    <row r="3602" spans="39:39" x14ac:dyDescent="0.25">
      <c r="AM3602"/>
    </row>
    <row r="3603" spans="39:39" x14ac:dyDescent="0.25">
      <c r="AM3603"/>
    </row>
    <row r="3604" spans="39:39" x14ac:dyDescent="0.25">
      <c r="AM3604"/>
    </row>
    <row r="3605" spans="39:39" x14ac:dyDescent="0.25">
      <c r="AM3605"/>
    </row>
    <row r="3606" spans="39:39" x14ac:dyDescent="0.25">
      <c r="AM3606"/>
    </row>
    <row r="3607" spans="39:39" x14ac:dyDescent="0.25">
      <c r="AM3607"/>
    </row>
    <row r="3608" spans="39:39" x14ac:dyDescent="0.25">
      <c r="AM3608"/>
    </row>
    <row r="3609" spans="39:39" x14ac:dyDescent="0.25">
      <c r="AM3609"/>
    </row>
    <row r="3610" spans="39:39" x14ac:dyDescent="0.25">
      <c r="AM3610"/>
    </row>
    <row r="3611" spans="39:39" x14ac:dyDescent="0.25">
      <c r="AM3611"/>
    </row>
    <row r="3612" spans="39:39" x14ac:dyDescent="0.25">
      <c r="AM3612"/>
    </row>
    <row r="3613" spans="39:39" x14ac:dyDescent="0.25">
      <c r="AM3613"/>
    </row>
    <row r="3614" spans="39:39" x14ac:dyDescent="0.25">
      <c r="AM3614"/>
    </row>
    <row r="3615" spans="39:39" x14ac:dyDescent="0.25">
      <c r="AM3615"/>
    </row>
    <row r="3616" spans="39:39" x14ac:dyDescent="0.25">
      <c r="AM3616"/>
    </row>
    <row r="3617" spans="39:39" x14ac:dyDescent="0.25">
      <c r="AM3617"/>
    </row>
    <row r="3618" spans="39:39" x14ac:dyDescent="0.25">
      <c r="AM3618"/>
    </row>
    <row r="3619" spans="39:39" x14ac:dyDescent="0.25">
      <c r="AM3619"/>
    </row>
    <row r="3620" spans="39:39" x14ac:dyDescent="0.25">
      <c r="AM3620"/>
    </row>
    <row r="3621" spans="39:39" x14ac:dyDescent="0.25">
      <c r="AM3621"/>
    </row>
    <row r="3622" spans="39:39" x14ac:dyDescent="0.25">
      <c r="AM3622"/>
    </row>
    <row r="3623" spans="39:39" x14ac:dyDescent="0.25">
      <c r="AM3623"/>
    </row>
    <row r="3624" spans="39:39" x14ac:dyDescent="0.25">
      <c r="AM3624"/>
    </row>
    <row r="3625" spans="39:39" x14ac:dyDescent="0.25">
      <c r="AM3625"/>
    </row>
    <row r="3626" spans="39:39" x14ac:dyDescent="0.25">
      <c r="AM3626"/>
    </row>
    <row r="3627" spans="39:39" x14ac:dyDescent="0.25">
      <c r="AM3627"/>
    </row>
    <row r="3628" spans="39:39" x14ac:dyDescent="0.25">
      <c r="AM3628"/>
    </row>
    <row r="3629" spans="39:39" x14ac:dyDescent="0.25">
      <c r="AM3629"/>
    </row>
    <row r="3630" spans="39:39" x14ac:dyDescent="0.25">
      <c r="AM3630"/>
    </row>
    <row r="3631" spans="39:39" x14ac:dyDescent="0.25">
      <c r="AM3631"/>
    </row>
    <row r="3632" spans="39:39" x14ac:dyDescent="0.25">
      <c r="AM3632"/>
    </row>
    <row r="3633" spans="39:39" x14ac:dyDescent="0.25">
      <c r="AM3633"/>
    </row>
    <row r="3634" spans="39:39" x14ac:dyDescent="0.25">
      <c r="AM3634"/>
    </row>
    <row r="3635" spans="39:39" x14ac:dyDescent="0.25">
      <c r="AM3635"/>
    </row>
    <row r="3636" spans="39:39" x14ac:dyDescent="0.25">
      <c r="AM3636"/>
    </row>
    <row r="3637" spans="39:39" x14ac:dyDescent="0.25">
      <c r="AM3637"/>
    </row>
    <row r="3638" spans="39:39" x14ac:dyDescent="0.25">
      <c r="AM3638"/>
    </row>
    <row r="3639" spans="39:39" x14ac:dyDescent="0.25">
      <c r="AM3639"/>
    </row>
    <row r="3640" spans="39:39" x14ac:dyDescent="0.25">
      <c r="AM3640"/>
    </row>
    <row r="3641" spans="39:39" x14ac:dyDescent="0.25">
      <c r="AM3641"/>
    </row>
    <row r="3642" spans="39:39" x14ac:dyDescent="0.25">
      <c r="AM3642"/>
    </row>
    <row r="3643" spans="39:39" x14ac:dyDescent="0.25">
      <c r="AM3643"/>
    </row>
    <row r="3644" spans="39:39" x14ac:dyDescent="0.25">
      <c r="AM3644"/>
    </row>
    <row r="3645" spans="39:39" x14ac:dyDescent="0.25">
      <c r="AM3645"/>
    </row>
    <row r="3646" spans="39:39" x14ac:dyDescent="0.25">
      <c r="AM3646"/>
    </row>
    <row r="3647" spans="39:39" x14ac:dyDescent="0.25">
      <c r="AM3647"/>
    </row>
    <row r="3648" spans="39:39" x14ac:dyDescent="0.25">
      <c r="AM3648"/>
    </row>
    <row r="3649" spans="39:39" x14ac:dyDescent="0.25">
      <c r="AM3649"/>
    </row>
    <row r="3650" spans="39:39" x14ac:dyDescent="0.25">
      <c r="AM3650"/>
    </row>
    <row r="3651" spans="39:39" x14ac:dyDescent="0.25">
      <c r="AM3651"/>
    </row>
    <row r="3652" spans="39:39" x14ac:dyDescent="0.25">
      <c r="AM3652"/>
    </row>
    <row r="3653" spans="39:39" x14ac:dyDescent="0.25">
      <c r="AM3653"/>
    </row>
    <row r="3654" spans="39:39" x14ac:dyDescent="0.25">
      <c r="AM3654"/>
    </row>
    <row r="3655" spans="39:39" x14ac:dyDescent="0.25">
      <c r="AM3655"/>
    </row>
    <row r="3656" spans="39:39" x14ac:dyDescent="0.25">
      <c r="AM3656"/>
    </row>
    <row r="3657" spans="39:39" x14ac:dyDescent="0.25">
      <c r="AM3657"/>
    </row>
    <row r="3658" spans="39:39" x14ac:dyDescent="0.25">
      <c r="AM3658"/>
    </row>
    <row r="3659" spans="39:39" x14ac:dyDescent="0.25">
      <c r="AM3659"/>
    </row>
    <row r="3660" spans="39:39" x14ac:dyDescent="0.25">
      <c r="AM3660"/>
    </row>
    <row r="3661" spans="39:39" x14ac:dyDescent="0.25">
      <c r="AM3661"/>
    </row>
    <row r="3662" spans="39:39" x14ac:dyDescent="0.25">
      <c r="AM3662"/>
    </row>
    <row r="3663" spans="39:39" x14ac:dyDescent="0.25">
      <c r="AM3663"/>
    </row>
    <row r="3664" spans="39:39" x14ac:dyDescent="0.25">
      <c r="AM3664"/>
    </row>
    <row r="3665" spans="39:39" x14ac:dyDescent="0.25">
      <c r="AM3665"/>
    </row>
    <row r="3666" spans="39:39" x14ac:dyDescent="0.25">
      <c r="AM3666"/>
    </row>
    <row r="3667" spans="39:39" x14ac:dyDescent="0.25">
      <c r="AM3667"/>
    </row>
    <row r="3668" spans="39:39" x14ac:dyDescent="0.25">
      <c r="AM3668"/>
    </row>
    <row r="3669" spans="39:39" x14ac:dyDescent="0.25">
      <c r="AM3669"/>
    </row>
    <row r="3670" spans="39:39" x14ac:dyDescent="0.25">
      <c r="AM3670"/>
    </row>
    <row r="3671" spans="39:39" x14ac:dyDescent="0.25">
      <c r="AM3671"/>
    </row>
    <row r="3672" spans="39:39" x14ac:dyDescent="0.25">
      <c r="AM3672"/>
    </row>
    <row r="3673" spans="39:39" x14ac:dyDescent="0.25">
      <c r="AM3673"/>
    </row>
    <row r="3674" spans="39:39" x14ac:dyDescent="0.25">
      <c r="AM3674"/>
    </row>
    <row r="3675" spans="39:39" x14ac:dyDescent="0.25">
      <c r="AM3675"/>
    </row>
    <row r="3676" spans="39:39" x14ac:dyDescent="0.25">
      <c r="AM3676"/>
    </row>
    <row r="3677" spans="39:39" x14ac:dyDescent="0.25">
      <c r="AM3677"/>
    </row>
    <row r="3678" spans="39:39" x14ac:dyDescent="0.25">
      <c r="AM3678"/>
    </row>
    <row r="3679" spans="39:39" x14ac:dyDescent="0.25">
      <c r="AM3679"/>
    </row>
    <row r="3680" spans="39:39" x14ac:dyDescent="0.25">
      <c r="AM3680"/>
    </row>
    <row r="3681" spans="39:39" x14ac:dyDescent="0.25">
      <c r="AM3681"/>
    </row>
    <row r="3682" spans="39:39" x14ac:dyDescent="0.25">
      <c r="AM3682"/>
    </row>
    <row r="3683" spans="39:39" x14ac:dyDescent="0.25">
      <c r="AM3683"/>
    </row>
    <row r="3684" spans="39:39" x14ac:dyDescent="0.25">
      <c r="AM3684"/>
    </row>
    <row r="3685" spans="39:39" x14ac:dyDescent="0.25">
      <c r="AM3685"/>
    </row>
    <row r="3686" spans="39:39" x14ac:dyDescent="0.25">
      <c r="AM3686"/>
    </row>
    <row r="3687" spans="39:39" x14ac:dyDescent="0.25">
      <c r="AM3687"/>
    </row>
    <row r="3688" spans="39:39" x14ac:dyDescent="0.25">
      <c r="AM3688"/>
    </row>
    <row r="3689" spans="39:39" x14ac:dyDescent="0.25">
      <c r="AM3689"/>
    </row>
    <row r="3690" spans="39:39" x14ac:dyDescent="0.25">
      <c r="AM3690"/>
    </row>
    <row r="3691" spans="39:39" x14ac:dyDescent="0.25">
      <c r="AM3691"/>
    </row>
    <row r="3692" spans="39:39" x14ac:dyDescent="0.25">
      <c r="AM3692"/>
    </row>
    <row r="3693" spans="39:39" x14ac:dyDescent="0.25">
      <c r="AM3693"/>
    </row>
    <row r="3694" spans="39:39" x14ac:dyDescent="0.25">
      <c r="AM3694"/>
    </row>
    <row r="3695" spans="39:39" x14ac:dyDescent="0.25">
      <c r="AM3695"/>
    </row>
    <row r="3696" spans="39:39" x14ac:dyDescent="0.25">
      <c r="AM3696"/>
    </row>
    <row r="3697" spans="39:39" x14ac:dyDescent="0.25">
      <c r="AM3697"/>
    </row>
    <row r="3698" spans="39:39" x14ac:dyDescent="0.25">
      <c r="AM3698"/>
    </row>
    <row r="3699" spans="39:39" x14ac:dyDescent="0.25">
      <c r="AM3699"/>
    </row>
    <row r="3700" spans="39:39" x14ac:dyDescent="0.25">
      <c r="AM3700"/>
    </row>
    <row r="3701" spans="39:39" x14ac:dyDescent="0.25">
      <c r="AM3701"/>
    </row>
    <row r="3702" spans="39:39" x14ac:dyDescent="0.25">
      <c r="AM3702"/>
    </row>
    <row r="3703" spans="39:39" x14ac:dyDescent="0.25">
      <c r="AM3703"/>
    </row>
    <row r="3704" spans="39:39" x14ac:dyDescent="0.25">
      <c r="AM3704"/>
    </row>
    <row r="3705" spans="39:39" x14ac:dyDescent="0.25">
      <c r="AM3705"/>
    </row>
    <row r="3706" spans="39:39" x14ac:dyDescent="0.25">
      <c r="AM3706"/>
    </row>
    <row r="3707" spans="39:39" x14ac:dyDescent="0.25">
      <c r="AM3707"/>
    </row>
    <row r="3708" spans="39:39" x14ac:dyDescent="0.25">
      <c r="AM3708"/>
    </row>
    <row r="3709" spans="39:39" x14ac:dyDescent="0.25">
      <c r="AM3709"/>
    </row>
    <row r="3710" spans="39:39" x14ac:dyDescent="0.25">
      <c r="AM3710"/>
    </row>
    <row r="3711" spans="39:39" x14ac:dyDescent="0.25">
      <c r="AM3711"/>
    </row>
    <row r="3712" spans="39:39" x14ac:dyDescent="0.25">
      <c r="AM3712"/>
    </row>
    <row r="3713" spans="39:39" x14ac:dyDescent="0.25">
      <c r="AM3713"/>
    </row>
    <row r="3714" spans="39:39" x14ac:dyDescent="0.25">
      <c r="AM3714"/>
    </row>
    <row r="3715" spans="39:39" x14ac:dyDescent="0.25">
      <c r="AM3715"/>
    </row>
    <row r="3716" spans="39:39" x14ac:dyDescent="0.25">
      <c r="AM3716"/>
    </row>
    <row r="3717" spans="39:39" x14ac:dyDescent="0.25">
      <c r="AM3717"/>
    </row>
    <row r="3718" spans="39:39" x14ac:dyDescent="0.25">
      <c r="AM3718"/>
    </row>
    <row r="3719" spans="39:39" x14ac:dyDescent="0.25">
      <c r="AM3719"/>
    </row>
    <row r="3720" spans="39:39" x14ac:dyDescent="0.25">
      <c r="AM3720"/>
    </row>
    <row r="3721" spans="39:39" x14ac:dyDescent="0.25">
      <c r="AM3721"/>
    </row>
    <row r="3722" spans="39:39" x14ac:dyDescent="0.25">
      <c r="AM3722"/>
    </row>
    <row r="3723" spans="39:39" x14ac:dyDescent="0.25">
      <c r="AM3723"/>
    </row>
    <row r="3724" spans="39:39" x14ac:dyDescent="0.25">
      <c r="AM3724"/>
    </row>
    <row r="3725" spans="39:39" x14ac:dyDescent="0.25">
      <c r="AM3725"/>
    </row>
    <row r="3726" spans="39:39" x14ac:dyDescent="0.25">
      <c r="AM3726"/>
    </row>
    <row r="3727" spans="39:39" x14ac:dyDescent="0.25">
      <c r="AM3727"/>
    </row>
    <row r="3728" spans="39:39" x14ac:dyDescent="0.25">
      <c r="AM3728"/>
    </row>
    <row r="3729" spans="39:39" x14ac:dyDescent="0.25">
      <c r="AM3729"/>
    </row>
    <row r="3730" spans="39:39" x14ac:dyDescent="0.25">
      <c r="AM3730"/>
    </row>
    <row r="3731" spans="39:39" x14ac:dyDescent="0.25">
      <c r="AM3731"/>
    </row>
    <row r="3732" spans="39:39" x14ac:dyDescent="0.25">
      <c r="AM3732"/>
    </row>
    <row r="3733" spans="39:39" x14ac:dyDescent="0.25">
      <c r="AM3733"/>
    </row>
    <row r="3734" spans="39:39" x14ac:dyDescent="0.25">
      <c r="AM3734"/>
    </row>
    <row r="3735" spans="39:39" x14ac:dyDescent="0.25">
      <c r="AM3735"/>
    </row>
    <row r="3736" spans="39:39" x14ac:dyDescent="0.25">
      <c r="AM3736"/>
    </row>
    <row r="3737" spans="39:39" x14ac:dyDescent="0.25">
      <c r="AM3737"/>
    </row>
    <row r="3738" spans="39:39" x14ac:dyDescent="0.25">
      <c r="AM3738"/>
    </row>
    <row r="3739" spans="39:39" x14ac:dyDescent="0.25">
      <c r="AM3739"/>
    </row>
    <row r="3740" spans="39:39" x14ac:dyDescent="0.25">
      <c r="AM3740"/>
    </row>
    <row r="3741" spans="39:39" x14ac:dyDescent="0.25">
      <c r="AM3741"/>
    </row>
    <row r="3742" spans="39:39" x14ac:dyDescent="0.25">
      <c r="AM3742"/>
    </row>
    <row r="3743" spans="39:39" x14ac:dyDescent="0.25">
      <c r="AM3743"/>
    </row>
    <row r="3744" spans="39:39" x14ac:dyDescent="0.25">
      <c r="AM3744"/>
    </row>
    <row r="3745" spans="39:39" x14ac:dyDescent="0.25">
      <c r="AM3745"/>
    </row>
    <row r="3746" spans="39:39" x14ac:dyDescent="0.25">
      <c r="AM3746"/>
    </row>
    <row r="3747" spans="39:39" x14ac:dyDescent="0.25">
      <c r="AM3747"/>
    </row>
    <row r="3748" spans="39:39" x14ac:dyDescent="0.25">
      <c r="AM3748"/>
    </row>
    <row r="3749" spans="39:39" x14ac:dyDescent="0.25">
      <c r="AM3749"/>
    </row>
    <row r="3750" spans="39:39" x14ac:dyDescent="0.25">
      <c r="AM3750"/>
    </row>
    <row r="3751" spans="39:39" x14ac:dyDescent="0.25">
      <c r="AM3751"/>
    </row>
    <row r="3752" spans="39:39" x14ac:dyDescent="0.25">
      <c r="AM3752"/>
    </row>
    <row r="3753" spans="39:39" x14ac:dyDescent="0.25">
      <c r="AM3753"/>
    </row>
    <row r="3754" spans="39:39" x14ac:dyDescent="0.25">
      <c r="AM3754"/>
    </row>
    <row r="3755" spans="39:39" x14ac:dyDescent="0.25">
      <c r="AM3755"/>
    </row>
    <row r="3756" spans="39:39" x14ac:dyDescent="0.25">
      <c r="AM3756"/>
    </row>
    <row r="3757" spans="39:39" x14ac:dyDescent="0.25">
      <c r="AM3757"/>
    </row>
    <row r="3758" spans="39:39" x14ac:dyDescent="0.25">
      <c r="AM3758"/>
    </row>
    <row r="3759" spans="39:39" x14ac:dyDescent="0.25">
      <c r="AM3759"/>
    </row>
    <row r="3760" spans="39:39" x14ac:dyDescent="0.25">
      <c r="AM3760"/>
    </row>
    <row r="3761" spans="39:39" x14ac:dyDescent="0.25">
      <c r="AM3761"/>
    </row>
    <row r="3762" spans="39:39" x14ac:dyDescent="0.25">
      <c r="AM3762"/>
    </row>
    <row r="3763" spans="39:39" x14ac:dyDescent="0.25">
      <c r="AM3763"/>
    </row>
    <row r="3764" spans="39:39" x14ac:dyDescent="0.25">
      <c r="AM3764"/>
    </row>
    <row r="3765" spans="39:39" x14ac:dyDescent="0.25">
      <c r="AM3765"/>
    </row>
    <row r="3766" spans="39:39" x14ac:dyDescent="0.25">
      <c r="AM3766"/>
    </row>
    <row r="3767" spans="39:39" x14ac:dyDescent="0.25">
      <c r="AM3767"/>
    </row>
    <row r="3768" spans="39:39" x14ac:dyDescent="0.25">
      <c r="AM3768"/>
    </row>
    <row r="3769" spans="39:39" x14ac:dyDescent="0.25">
      <c r="AM3769"/>
    </row>
    <row r="3770" spans="39:39" x14ac:dyDescent="0.25">
      <c r="AM3770"/>
    </row>
    <row r="3771" spans="39:39" x14ac:dyDescent="0.25">
      <c r="AM3771"/>
    </row>
    <row r="3772" spans="39:39" x14ac:dyDescent="0.25">
      <c r="AM3772"/>
    </row>
    <row r="3773" spans="39:39" x14ac:dyDescent="0.25">
      <c r="AM3773"/>
    </row>
    <row r="3774" spans="39:39" x14ac:dyDescent="0.25">
      <c r="AM3774"/>
    </row>
    <row r="3775" spans="39:39" x14ac:dyDescent="0.25">
      <c r="AM3775"/>
    </row>
    <row r="3776" spans="39:39" x14ac:dyDescent="0.25">
      <c r="AM3776"/>
    </row>
    <row r="3777" spans="39:39" x14ac:dyDescent="0.25">
      <c r="AM3777"/>
    </row>
    <row r="3778" spans="39:39" x14ac:dyDescent="0.25">
      <c r="AM3778"/>
    </row>
    <row r="3779" spans="39:39" x14ac:dyDescent="0.25">
      <c r="AM3779"/>
    </row>
    <row r="3780" spans="39:39" x14ac:dyDescent="0.25">
      <c r="AM3780"/>
    </row>
    <row r="3781" spans="39:39" x14ac:dyDescent="0.25">
      <c r="AM3781"/>
    </row>
    <row r="3782" spans="39:39" x14ac:dyDescent="0.25">
      <c r="AM3782"/>
    </row>
    <row r="3783" spans="39:39" x14ac:dyDescent="0.25">
      <c r="AM3783"/>
    </row>
    <row r="3784" spans="39:39" x14ac:dyDescent="0.25">
      <c r="AM3784"/>
    </row>
    <row r="3785" spans="39:39" x14ac:dyDescent="0.25">
      <c r="AM3785"/>
    </row>
    <row r="3786" spans="39:39" x14ac:dyDescent="0.25">
      <c r="AM3786"/>
    </row>
    <row r="3787" spans="39:39" x14ac:dyDescent="0.25">
      <c r="AM3787"/>
    </row>
    <row r="3788" spans="39:39" x14ac:dyDescent="0.25">
      <c r="AM3788"/>
    </row>
    <row r="3789" spans="39:39" x14ac:dyDescent="0.25">
      <c r="AM3789"/>
    </row>
    <row r="3790" spans="39:39" x14ac:dyDescent="0.25">
      <c r="AM3790"/>
    </row>
    <row r="3791" spans="39:39" x14ac:dyDescent="0.25">
      <c r="AM3791"/>
    </row>
    <row r="3792" spans="39:39" x14ac:dyDescent="0.25">
      <c r="AM3792"/>
    </row>
    <row r="3793" spans="39:39" x14ac:dyDescent="0.25">
      <c r="AM3793"/>
    </row>
    <row r="3794" spans="39:39" x14ac:dyDescent="0.25">
      <c r="AM3794"/>
    </row>
    <row r="3795" spans="39:39" x14ac:dyDescent="0.25">
      <c r="AM3795"/>
    </row>
    <row r="3796" spans="39:39" x14ac:dyDescent="0.25">
      <c r="AM3796"/>
    </row>
    <row r="3797" spans="39:39" x14ac:dyDescent="0.25">
      <c r="AM3797"/>
    </row>
    <row r="3798" spans="39:39" x14ac:dyDescent="0.25">
      <c r="AM3798"/>
    </row>
    <row r="3799" spans="39:39" x14ac:dyDescent="0.25">
      <c r="AM3799"/>
    </row>
    <row r="3800" spans="39:39" x14ac:dyDescent="0.25">
      <c r="AM3800"/>
    </row>
    <row r="3801" spans="39:39" x14ac:dyDescent="0.25">
      <c r="AM3801"/>
    </row>
    <row r="3802" spans="39:39" x14ac:dyDescent="0.25">
      <c r="AM3802"/>
    </row>
    <row r="3803" spans="39:39" x14ac:dyDescent="0.25">
      <c r="AM3803"/>
    </row>
    <row r="3804" spans="39:39" x14ac:dyDescent="0.25">
      <c r="AM3804"/>
    </row>
    <row r="3805" spans="39:39" x14ac:dyDescent="0.25">
      <c r="AM3805"/>
    </row>
    <row r="3806" spans="39:39" x14ac:dyDescent="0.25">
      <c r="AM3806"/>
    </row>
    <row r="3807" spans="39:39" x14ac:dyDescent="0.25">
      <c r="AM3807"/>
    </row>
    <row r="3808" spans="39:39" x14ac:dyDescent="0.25">
      <c r="AM3808"/>
    </row>
    <row r="3809" spans="39:39" x14ac:dyDescent="0.25">
      <c r="AM3809"/>
    </row>
    <row r="3810" spans="39:39" x14ac:dyDescent="0.25">
      <c r="AM3810"/>
    </row>
    <row r="3811" spans="39:39" x14ac:dyDescent="0.25">
      <c r="AM3811"/>
    </row>
    <row r="3812" spans="39:39" x14ac:dyDescent="0.25">
      <c r="AM3812"/>
    </row>
    <row r="3813" spans="39:39" x14ac:dyDescent="0.25">
      <c r="AM3813"/>
    </row>
    <row r="3814" spans="39:39" x14ac:dyDescent="0.25">
      <c r="AM3814"/>
    </row>
  </sheetData>
  <mergeCells count="3">
    <mergeCell ref="B1:AB1"/>
    <mergeCell ref="B2:AB2"/>
    <mergeCell ref="B3:AB3"/>
  </mergeCells>
  <phoneticPr fontId="5" type="noConversion"/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R-Producto 1</vt:lpstr>
      <vt:lpstr>Producto 1</vt:lpstr>
      <vt:lpstr>'Producto 1'!Área_de_impresión</vt:lpstr>
      <vt:lpstr>'R-Producto 1'!Área_de_impresión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Sol Cielo Energía</cp:lastModifiedBy>
  <cp:lastPrinted>2025-07-18T19:15:32Z</cp:lastPrinted>
  <dcterms:created xsi:type="dcterms:W3CDTF">2010-11-25T21:03:36Z</dcterms:created>
  <dcterms:modified xsi:type="dcterms:W3CDTF">2026-04-24T12:51:57Z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