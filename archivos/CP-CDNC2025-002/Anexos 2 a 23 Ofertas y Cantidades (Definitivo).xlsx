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perez\Documents\CEDENAR 2025\COMPRA DE ENERGIA\CP-CDNC2025-002\"/>
    </mc:Choice>
  </mc:AlternateContent>
  <xr:revisionPtr revIDLastSave="0" documentId="13_ncr:1_{F631C195-C131-41B3-9CEA-0B7166EBC451}" xr6:coauthVersionLast="47" xr6:coauthVersionMax="47" xr10:uidLastSave="{00000000-0000-0000-0000-000000000000}"/>
  <bookViews>
    <workbookView xWindow="-120" yWindow="-120" windowWidth="24240" windowHeight="13140" tabRatio="965" xr2:uid="{00000000-000D-0000-FFFF-FFFF00000000}"/>
  </bookViews>
  <sheets>
    <sheet name="A2P1 " sheetId="40" r:id="rId1"/>
    <sheet name="A3P2" sheetId="44" r:id="rId2"/>
    <sheet name="A4P3" sheetId="45" r:id="rId3"/>
    <sheet name="A5P4" sheetId="46" r:id="rId4"/>
    <sheet name="A6P5" sheetId="47" r:id="rId5"/>
    <sheet name="A7P6" sheetId="52" r:id="rId6"/>
    <sheet name="A8P7" sheetId="53" r:id="rId7"/>
    <sheet name="A9P8" sheetId="54" r:id="rId8"/>
    <sheet name="A10P9" sheetId="55" r:id="rId9"/>
    <sheet name="A11P10" sheetId="56" r:id="rId10"/>
    <sheet name="A12P11" sheetId="57" r:id="rId11"/>
    <sheet name="a13P1" sheetId="42" r:id="rId12"/>
    <sheet name="a14P2" sheetId="48" r:id="rId13"/>
    <sheet name="a15P3" sheetId="49" r:id="rId14"/>
    <sheet name="a16P4" sheetId="50" r:id="rId15"/>
    <sheet name="a17P5" sheetId="51" r:id="rId16"/>
    <sheet name="a18P6" sheetId="58" r:id="rId17"/>
    <sheet name="a19P7" sheetId="59" r:id="rId18"/>
    <sheet name="a20P8" sheetId="60" r:id="rId19"/>
    <sheet name="a21P9" sheetId="61" r:id="rId20"/>
    <sheet name="a22P10" sheetId="62" r:id="rId21"/>
    <sheet name="a23P11" sheetId="64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64" l="1"/>
  <c r="B24" i="64"/>
  <c r="B23" i="64"/>
  <c r="B22" i="64"/>
  <c r="B21" i="64"/>
  <c r="B20" i="64"/>
  <c r="B19" i="64"/>
  <c r="B18" i="64"/>
  <c r="B17" i="64"/>
  <c r="B16" i="64"/>
  <c r="B26" i="64" l="1"/>
  <c r="B24" i="62" l="1"/>
  <c r="B25" i="62"/>
  <c r="B27" i="62"/>
  <c r="B26" i="62"/>
  <c r="B23" i="62"/>
  <c r="B22" i="62"/>
  <c r="B21" i="62"/>
  <c r="B20" i="62"/>
  <c r="B19" i="62"/>
  <c r="B18" i="62"/>
  <c r="B17" i="62"/>
  <c r="B16" i="62"/>
  <c r="B27" i="61"/>
  <c r="B26" i="61"/>
  <c r="B25" i="61"/>
  <c r="B24" i="61"/>
  <c r="B23" i="61"/>
  <c r="B22" i="61"/>
  <c r="B21" i="61"/>
  <c r="B20" i="61"/>
  <c r="B19" i="61"/>
  <c r="B18" i="61"/>
  <c r="B17" i="61"/>
  <c r="B16" i="61"/>
  <c r="B27" i="60"/>
  <c r="B26" i="60"/>
  <c r="B25" i="60"/>
  <c r="B24" i="60"/>
  <c r="B23" i="60"/>
  <c r="B22" i="60"/>
  <c r="B21" i="60"/>
  <c r="B20" i="60"/>
  <c r="B19" i="60"/>
  <c r="B18" i="60"/>
  <c r="B17" i="60"/>
  <c r="B16" i="60"/>
  <c r="B27" i="59"/>
  <c r="B26" i="59"/>
  <c r="B25" i="59"/>
  <c r="B24" i="59"/>
  <c r="B23" i="59"/>
  <c r="B22" i="59"/>
  <c r="B21" i="59"/>
  <c r="B20" i="59"/>
  <c r="B19" i="59"/>
  <c r="B18" i="59"/>
  <c r="B17" i="59"/>
  <c r="B16" i="59"/>
  <c r="B27" i="58"/>
  <c r="B26" i="58"/>
  <c r="B25" i="58"/>
  <c r="B24" i="58"/>
  <c r="B23" i="58"/>
  <c r="B22" i="58"/>
  <c r="B21" i="58"/>
  <c r="B20" i="58"/>
  <c r="B19" i="58"/>
  <c r="B18" i="58"/>
  <c r="B17" i="58"/>
  <c r="B16" i="58"/>
  <c r="N41" i="57"/>
  <c r="H38" i="57"/>
  <c r="M37" i="57"/>
  <c r="M40" i="57" s="1"/>
  <c r="L37" i="57"/>
  <c r="L40" i="57" s="1"/>
  <c r="K37" i="57"/>
  <c r="K40" i="57" s="1"/>
  <c r="J37" i="57"/>
  <c r="J40" i="57" s="1"/>
  <c r="I37" i="57"/>
  <c r="I40" i="57" s="1"/>
  <c r="H37" i="57"/>
  <c r="H40" i="57" s="1"/>
  <c r="G37" i="57"/>
  <c r="G40" i="57" s="1"/>
  <c r="F37" i="57"/>
  <c r="F40" i="57" s="1"/>
  <c r="E37" i="57"/>
  <c r="E40" i="57" s="1"/>
  <c r="D37" i="57"/>
  <c r="D40" i="57" s="1"/>
  <c r="M36" i="57"/>
  <c r="M39" i="57" s="1"/>
  <c r="L36" i="57"/>
  <c r="L39" i="57" s="1"/>
  <c r="K36" i="57"/>
  <c r="K39" i="57" s="1"/>
  <c r="J36" i="57"/>
  <c r="J39" i="57" s="1"/>
  <c r="I36" i="57"/>
  <c r="I39" i="57" s="1"/>
  <c r="H36" i="57"/>
  <c r="H39" i="57" s="1"/>
  <c r="G36" i="57"/>
  <c r="G39" i="57" s="1"/>
  <c r="F36" i="57"/>
  <c r="F39" i="57" s="1"/>
  <c r="E36" i="57"/>
  <c r="E39" i="57" s="1"/>
  <c r="D36" i="57"/>
  <c r="D39" i="57" s="1"/>
  <c r="M35" i="57"/>
  <c r="M38" i="57" s="1"/>
  <c r="L35" i="57"/>
  <c r="L38" i="57" s="1"/>
  <c r="K35" i="57"/>
  <c r="K38" i="57" s="1"/>
  <c r="J35" i="57"/>
  <c r="J38" i="57" s="1"/>
  <c r="I35" i="57"/>
  <c r="I38" i="57" s="1"/>
  <c r="H35" i="57"/>
  <c r="G35" i="57"/>
  <c r="G38" i="57" s="1"/>
  <c r="F35" i="57"/>
  <c r="F38" i="57" s="1"/>
  <c r="E35" i="57"/>
  <c r="E38" i="57" s="1"/>
  <c r="D35" i="57"/>
  <c r="D38" i="57" s="1"/>
  <c r="B28" i="62" l="1"/>
  <c r="B28" i="61"/>
  <c r="B28" i="60"/>
  <c r="B28" i="59"/>
  <c r="B28" i="58"/>
  <c r="K41" i="57"/>
  <c r="I41" i="57"/>
  <c r="E41" i="57"/>
  <c r="G41" i="57"/>
  <c r="J41" i="57"/>
  <c r="D41" i="57"/>
  <c r="F41" i="57"/>
  <c r="L41" i="57"/>
  <c r="H41" i="57"/>
  <c r="M41" i="57"/>
  <c r="P41" i="56" l="1"/>
  <c r="P41" i="55"/>
  <c r="P41" i="54"/>
  <c r="P41" i="53"/>
  <c r="P41" i="52"/>
  <c r="P41" i="47"/>
  <c r="P41" i="46"/>
  <c r="P41" i="45"/>
  <c r="P41" i="44"/>
  <c r="P41" i="40"/>
  <c r="K38" i="56"/>
  <c r="O37" i="56"/>
  <c r="O40" i="56" s="1"/>
  <c r="N37" i="56"/>
  <c r="N40" i="56" s="1"/>
  <c r="M37" i="56"/>
  <c r="M40" i="56" s="1"/>
  <c r="L37" i="56"/>
  <c r="L40" i="56" s="1"/>
  <c r="K37" i="56"/>
  <c r="K40" i="56" s="1"/>
  <c r="J37" i="56"/>
  <c r="J40" i="56" s="1"/>
  <c r="I37" i="56"/>
  <c r="I40" i="56" s="1"/>
  <c r="H37" i="56"/>
  <c r="H40" i="56" s="1"/>
  <c r="G37" i="56"/>
  <c r="G40" i="56" s="1"/>
  <c r="F37" i="56"/>
  <c r="F40" i="56" s="1"/>
  <c r="E37" i="56"/>
  <c r="E40" i="56" s="1"/>
  <c r="D37" i="56"/>
  <c r="D40" i="56" s="1"/>
  <c r="O36" i="56"/>
  <c r="O39" i="56" s="1"/>
  <c r="N36" i="56"/>
  <c r="N39" i="56" s="1"/>
  <c r="M36" i="56"/>
  <c r="M39" i="56" s="1"/>
  <c r="L36" i="56"/>
  <c r="L39" i="56" s="1"/>
  <c r="K36" i="56"/>
  <c r="K39" i="56" s="1"/>
  <c r="J36" i="56"/>
  <c r="J39" i="56" s="1"/>
  <c r="I36" i="56"/>
  <c r="I39" i="56" s="1"/>
  <c r="H36" i="56"/>
  <c r="H39" i="56" s="1"/>
  <c r="G36" i="56"/>
  <c r="G39" i="56" s="1"/>
  <c r="F36" i="56"/>
  <c r="F39" i="56" s="1"/>
  <c r="E36" i="56"/>
  <c r="E39" i="56" s="1"/>
  <c r="D36" i="56"/>
  <c r="D39" i="56" s="1"/>
  <c r="O35" i="56"/>
  <c r="O38" i="56" s="1"/>
  <c r="N35" i="56"/>
  <c r="N38" i="56" s="1"/>
  <c r="M35" i="56"/>
  <c r="M38" i="56" s="1"/>
  <c r="L35" i="56"/>
  <c r="L38" i="56" s="1"/>
  <c r="K35" i="56"/>
  <c r="J35" i="56"/>
  <c r="J38" i="56" s="1"/>
  <c r="I35" i="56"/>
  <c r="I38" i="56" s="1"/>
  <c r="H35" i="56"/>
  <c r="H38" i="56" s="1"/>
  <c r="G35" i="56"/>
  <c r="G38" i="56" s="1"/>
  <c r="F35" i="56"/>
  <c r="F38" i="56" s="1"/>
  <c r="E35" i="56"/>
  <c r="E38" i="56" s="1"/>
  <c r="D35" i="56"/>
  <c r="D38" i="56" s="1"/>
  <c r="M40" i="55"/>
  <c r="E40" i="55"/>
  <c r="I39" i="55"/>
  <c r="M38" i="55"/>
  <c r="H38" i="55"/>
  <c r="E38" i="55"/>
  <c r="O37" i="55"/>
  <c r="O40" i="55" s="1"/>
  <c r="N37" i="55"/>
  <c r="N40" i="55" s="1"/>
  <c r="M37" i="55"/>
  <c r="L37" i="55"/>
  <c r="L40" i="55" s="1"/>
  <c r="K37" i="55"/>
  <c r="K40" i="55" s="1"/>
  <c r="J37" i="55"/>
  <c r="J40" i="55" s="1"/>
  <c r="I37" i="55"/>
  <c r="I40" i="55" s="1"/>
  <c r="H37" i="55"/>
  <c r="H40" i="55" s="1"/>
  <c r="G37" i="55"/>
  <c r="G40" i="55" s="1"/>
  <c r="F37" i="55"/>
  <c r="F40" i="55" s="1"/>
  <c r="E37" i="55"/>
  <c r="D37" i="55"/>
  <c r="D40" i="55" s="1"/>
  <c r="O36" i="55"/>
  <c r="O39" i="55" s="1"/>
  <c r="N36" i="55"/>
  <c r="N39" i="55" s="1"/>
  <c r="M36" i="55"/>
  <c r="M39" i="55" s="1"/>
  <c r="L36" i="55"/>
  <c r="L39" i="55" s="1"/>
  <c r="K36" i="55"/>
  <c r="K39" i="55" s="1"/>
  <c r="J36" i="55"/>
  <c r="J39" i="55" s="1"/>
  <c r="I36" i="55"/>
  <c r="H36" i="55"/>
  <c r="H39" i="55" s="1"/>
  <c r="G36" i="55"/>
  <c r="G39" i="55" s="1"/>
  <c r="F36" i="55"/>
  <c r="F39" i="55" s="1"/>
  <c r="E36" i="55"/>
  <c r="E39" i="55" s="1"/>
  <c r="D36" i="55"/>
  <c r="D39" i="55" s="1"/>
  <c r="O35" i="55"/>
  <c r="O38" i="55" s="1"/>
  <c r="N35" i="55"/>
  <c r="N38" i="55" s="1"/>
  <c r="M35" i="55"/>
  <c r="L35" i="55"/>
  <c r="L38" i="55" s="1"/>
  <c r="K35" i="55"/>
  <c r="K38" i="55" s="1"/>
  <c r="J35" i="55"/>
  <c r="J38" i="55" s="1"/>
  <c r="I35" i="55"/>
  <c r="I38" i="55" s="1"/>
  <c r="H35" i="55"/>
  <c r="G35" i="55"/>
  <c r="G38" i="55" s="1"/>
  <c r="F35" i="55"/>
  <c r="F38" i="55" s="1"/>
  <c r="E35" i="55"/>
  <c r="D35" i="55"/>
  <c r="D38" i="55" s="1"/>
  <c r="O40" i="54"/>
  <c r="M40" i="54"/>
  <c r="E40" i="54"/>
  <c r="K39" i="54"/>
  <c r="G38" i="54"/>
  <c r="E38" i="54"/>
  <c r="O37" i="54"/>
  <c r="N37" i="54"/>
  <c r="N40" i="54" s="1"/>
  <c r="M37" i="54"/>
  <c r="L37" i="54"/>
  <c r="L40" i="54" s="1"/>
  <c r="K37" i="54"/>
  <c r="K40" i="54" s="1"/>
  <c r="J37" i="54"/>
  <c r="J40" i="54" s="1"/>
  <c r="I37" i="54"/>
  <c r="I40" i="54" s="1"/>
  <c r="H37" i="54"/>
  <c r="H40" i="54" s="1"/>
  <c r="G37" i="54"/>
  <c r="G40" i="54" s="1"/>
  <c r="F37" i="54"/>
  <c r="F40" i="54" s="1"/>
  <c r="E37" i="54"/>
  <c r="D37" i="54"/>
  <c r="D40" i="54" s="1"/>
  <c r="O36" i="54"/>
  <c r="O39" i="54" s="1"/>
  <c r="N36" i="54"/>
  <c r="N39" i="54" s="1"/>
  <c r="M36" i="54"/>
  <c r="M39" i="54" s="1"/>
  <c r="L36" i="54"/>
  <c r="L39" i="54" s="1"/>
  <c r="K36" i="54"/>
  <c r="J36" i="54"/>
  <c r="J39" i="54" s="1"/>
  <c r="I36" i="54"/>
  <c r="I39" i="54" s="1"/>
  <c r="H36" i="54"/>
  <c r="H39" i="54" s="1"/>
  <c r="G36" i="54"/>
  <c r="G39" i="54" s="1"/>
  <c r="F36" i="54"/>
  <c r="F39" i="54" s="1"/>
  <c r="E36" i="54"/>
  <c r="E39" i="54" s="1"/>
  <c r="D36" i="54"/>
  <c r="D39" i="54" s="1"/>
  <c r="O35" i="54"/>
  <c r="O38" i="54" s="1"/>
  <c r="N35" i="54"/>
  <c r="N38" i="54" s="1"/>
  <c r="M35" i="54"/>
  <c r="M38" i="54" s="1"/>
  <c r="L35" i="54"/>
  <c r="L38" i="54" s="1"/>
  <c r="K35" i="54"/>
  <c r="K38" i="54" s="1"/>
  <c r="J35" i="54"/>
  <c r="J38" i="54" s="1"/>
  <c r="I35" i="54"/>
  <c r="I38" i="54" s="1"/>
  <c r="H35" i="54"/>
  <c r="H38" i="54" s="1"/>
  <c r="G35" i="54"/>
  <c r="F35" i="54"/>
  <c r="F38" i="54" s="1"/>
  <c r="E35" i="54"/>
  <c r="D35" i="54"/>
  <c r="D38" i="54" s="1"/>
  <c r="N38" i="53"/>
  <c r="M38" i="53"/>
  <c r="O37" i="53"/>
  <c r="O40" i="53" s="1"/>
  <c r="N37" i="53"/>
  <c r="N40" i="53" s="1"/>
  <c r="M37" i="53"/>
  <c r="M40" i="53" s="1"/>
  <c r="L37" i="53"/>
  <c r="L40" i="53" s="1"/>
  <c r="K37" i="53"/>
  <c r="K40" i="53" s="1"/>
  <c r="J37" i="53"/>
  <c r="J40" i="53" s="1"/>
  <c r="I37" i="53"/>
  <c r="I40" i="53" s="1"/>
  <c r="H37" i="53"/>
  <c r="H40" i="53" s="1"/>
  <c r="G37" i="53"/>
  <c r="G40" i="53" s="1"/>
  <c r="F37" i="53"/>
  <c r="F40" i="53" s="1"/>
  <c r="E37" i="53"/>
  <c r="E40" i="53" s="1"/>
  <c r="D37" i="53"/>
  <c r="D40" i="53" s="1"/>
  <c r="O36" i="53"/>
  <c r="O39" i="53" s="1"/>
  <c r="N36" i="53"/>
  <c r="N39" i="53" s="1"/>
  <c r="M36" i="53"/>
  <c r="M39" i="53" s="1"/>
  <c r="L36" i="53"/>
  <c r="L39" i="53" s="1"/>
  <c r="K36" i="53"/>
  <c r="K39" i="53" s="1"/>
  <c r="J36" i="53"/>
  <c r="J39" i="53" s="1"/>
  <c r="I36" i="53"/>
  <c r="I39" i="53" s="1"/>
  <c r="H36" i="53"/>
  <c r="H39" i="53" s="1"/>
  <c r="G36" i="53"/>
  <c r="G39" i="53" s="1"/>
  <c r="F36" i="53"/>
  <c r="F39" i="53" s="1"/>
  <c r="E36" i="53"/>
  <c r="E39" i="53" s="1"/>
  <c r="D36" i="53"/>
  <c r="D39" i="53" s="1"/>
  <c r="O35" i="53"/>
  <c r="O38" i="53" s="1"/>
  <c r="N35" i="53"/>
  <c r="M35" i="53"/>
  <c r="L35" i="53"/>
  <c r="L38" i="53" s="1"/>
  <c r="K35" i="53"/>
  <c r="K38" i="53" s="1"/>
  <c r="J35" i="53"/>
  <c r="J38" i="53" s="1"/>
  <c r="I35" i="53"/>
  <c r="I38" i="53" s="1"/>
  <c r="H35" i="53"/>
  <c r="H38" i="53" s="1"/>
  <c r="G35" i="53"/>
  <c r="G38" i="53" s="1"/>
  <c r="F35" i="53"/>
  <c r="F38" i="53" s="1"/>
  <c r="E35" i="53"/>
  <c r="E38" i="53" s="1"/>
  <c r="D35" i="53"/>
  <c r="D38" i="53" s="1"/>
  <c r="N40" i="52"/>
  <c r="J39" i="52"/>
  <c r="F38" i="52"/>
  <c r="E38" i="52"/>
  <c r="O37" i="52"/>
  <c r="O40" i="52" s="1"/>
  <c r="N37" i="52"/>
  <c r="M37" i="52"/>
  <c r="M40" i="52" s="1"/>
  <c r="L37" i="52"/>
  <c r="L40" i="52" s="1"/>
  <c r="K37" i="52"/>
  <c r="K40" i="52" s="1"/>
  <c r="J37" i="52"/>
  <c r="J40" i="52" s="1"/>
  <c r="I37" i="52"/>
  <c r="I40" i="52" s="1"/>
  <c r="H37" i="52"/>
  <c r="H40" i="52" s="1"/>
  <c r="H41" i="52" s="1"/>
  <c r="G37" i="52"/>
  <c r="G40" i="52" s="1"/>
  <c r="F37" i="52"/>
  <c r="F40" i="52" s="1"/>
  <c r="E37" i="52"/>
  <c r="E40" i="52" s="1"/>
  <c r="D37" i="52"/>
  <c r="D40" i="52" s="1"/>
  <c r="O36" i="52"/>
  <c r="O39" i="52" s="1"/>
  <c r="N36" i="52"/>
  <c r="N39" i="52" s="1"/>
  <c r="M36" i="52"/>
  <c r="M39" i="52" s="1"/>
  <c r="L36" i="52"/>
  <c r="L39" i="52" s="1"/>
  <c r="K36" i="52"/>
  <c r="K39" i="52" s="1"/>
  <c r="J36" i="52"/>
  <c r="I36" i="52"/>
  <c r="I39" i="52" s="1"/>
  <c r="H36" i="52"/>
  <c r="H39" i="52" s="1"/>
  <c r="G36" i="52"/>
  <c r="G39" i="52" s="1"/>
  <c r="F36" i="52"/>
  <c r="F39" i="52" s="1"/>
  <c r="E36" i="52"/>
  <c r="E39" i="52" s="1"/>
  <c r="D36" i="52"/>
  <c r="D39" i="52" s="1"/>
  <c r="O35" i="52"/>
  <c r="O38" i="52" s="1"/>
  <c r="N35" i="52"/>
  <c r="N38" i="52" s="1"/>
  <c r="M35" i="52"/>
  <c r="M38" i="52" s="1"/>
  <c r="L35" i="52"/>
  <c r="L38" i="52" s="1"/>
  <c r="K35" i="52"/>
  <c r="K38" i="52" s="1"/>
  <c r="J35" i="52"/>
  <c r="J38" i="52" s="1"/>
  <c r="I35" i="52"/>
  <c r="I38" i="52" s="1"/>
  <c r="H35" i="52"/>
  <c r="H38" i="52" s="1"/>
  <c r="G35" i="52"/>
  <c r="G38" i="52" s="1"/>
  <c r="F35" i="52"/>
  <c r="E35" i="52"/>
  <c r="D35" i="52"/>
  <c r="D38" i="52" s="1"/>
  <c r="H39" i="47"/>
  <c r="O37" i="47"/>
  <c r="O40" i="47" s="1"/>
  <c r="N37" i="47"/>
  <c r="N40" i="47" s="1"/>
  <c r="M37" i="47"/>
  <c r="M40" i="47" s="1"/>
  <c r="L37" i="47"/>
  <c r="L40" i="47" s="1"/>
  <c r="K37" i="47"/>
  <c r="K40" i="47" s="1"/>
  <c r="J37" i="47"/>
  <c r="J40" i="47" s="1"/>
  <c r="I37" i="47"/>
  <c r="I40" i="47" s="1"/>
  <c r="H37" i="47"/>
  <c r="H40" i="47" s="1"/>
  <c r="G37" i="47"/>
  <c r="G40" i="47" s="1"/>
  <c r="F37" i="47"/>
  <c r="F40" i="47" s="1"/>
  <c r="E37" i="47"/>
  <c r="E40" i="47" s="1"/>
  <c r="D37" i="47"/>
  <c r="D40" i="47" s="1"/>
  <c r="O36" i="47"/>
  <c r="O39" i="47" s="1"/>
  <c r="N36" i="47"/>
  <c r="N39" i="47" s="1"/>
  <c r="M36" i="47"/>
  <c r="M39" i="47" s="1"/>
  <c r="L36" i="47"/>
  <c r="L39" i="47" s="1"/>
  <c r="K36" i="47"/>
  <c r="K39" i="47" s="1"/>
  <c r="J36" i="47"/>
  <c r="J39" i="47" s="1"/>
  <c r="I36" i="47"/>
  <c r="I39" i="47" s="1"/>
  <c r="H36" i="47"/>
  <c r="G36" i="47"/>
  <c r="G39" i="47" s="1"/>
  <c r="F36" i="47"/>
  <c r="F39" i="47" s="1"/>
  <c r="E36" i="47"/>
  <c r="E39" i="47" s="1"/>
  <c r="D36" i="47"/>
  <c r="D39" i="47" s="1"/>
  <c r="O35" i="47"/>
  <c r="O38" i="47" s="1"/>
  <c r="N35" i="47"/>
  <c r="N38" i="47" s="1"/>
  <c r="M35" i="47"/>
  <c r="M38" i="47" s="1"/>
  <c r="L35" i="47"/>
  <c r="L38" i="47" s="1"/>
  <c r="K35" i="47"/>
  <c r="K38" i="47" s="1"/>
  <c r="J35" i="47"/>
  <c r="J38" i="47" s="1"/>
  <c r="I35" i="47"/>
  <c r="I38" i="47" s="1"/>
  <c r="H35" i="47"/>
  <c r="H38" i="47" s="1"/>
  <c r="G35" i="47"/>
  <c r="G38" i="47" s="1"/>
  <c r="F35" i="47"/>
  <c r="F38" i="47" s="1"/>
  <c r="E35" i="47"/>
  <c r="E38" i="47" s="1"/>
  <c r="D35" i="47"/>
  <c r="D38" i="47" s="1"/>
  <c r="O37" i="46"/>
  <c r="O40" i="46" s="1"/>
  <c r="N37" i="46"/>
  <c r="N40" i="46" s="1"/>
  <c r="M37" i="46"/>
  <c r="M40" i="46" s="1"/>
  <c r="L37" i="46"/>
  <c r="L40" i="46" s="1"/>
  <c r="K37" i="46"/>
  <c r="K40" i="46" s="1"/>
  <c r="J37" i="46"/>
  <c r="J40" i="46" s="1"/>
  <c r="I37" i="46"/>
  <c r="I40" i="46" s="1"/>
  <c r="H37" i="46"/>
  <c r="H40" i="46" s="1"/>
  <c r="G37" i="46"/>
  <c r="G40" i="46" s="1"/>
  <c r="F37" i="46"/>
  <c r="F40" i="46" s="1"/>
  <c r="E37" i="46"/>
  <c r="E40" i="46" s="1"/>
  <c r="D37" i="46"/>
  <c r="D40" i="46" s="1"/>
  <c r="O36" i="46"/>
  <c r="O39" i="46" s="1"/>
  <c r="N36" i="46"/>
  <c r="N39" i="46" s="1"/>
  <c r="M36" i="46"/>
  <c r="M39" i="46" s="1"/>
  <c r="L36" i="46"/>
  <c r="L39" i="46" s="1"/>
  <c r="K36" i="46"/>
  <c r="K39" i="46" s="1"/>
  <c r="J36" i="46"/>
  <c r="J39" i="46" s="1"/>
  <c r="I36" i="46"/>
  <c r="I39" i="46" s="1"/>
  <c r="H36" i="46"/>
  <c r="H39" i="46" s="1"/>
  <c r="G36" i="46"/>
  <c r="G39" i="46" s="1"/>
  <c r="F36" i="46"/>
  <c r="F39" i="46" s="1"/>
  <c r="E36" i="46"/>
  <c r="E39" i="46" s="1"/>
  <c r="D36" i="46"/>
  <c r="D39" i="46" s="1"/>
  <c r="O35" i="46"/>
  <c r="O38" i="46" s="1"/>
  <c r="N35" i="46"/>
  <c r="N38" i="46" s="1"/>
  <c r="M35" i="46"/>
  <c r="M38" i="46" s="1"/>
  <c r="L35" i="46"/>
  <c r="L38" i="46" s="1"/>
  <c r="K35" i="46"/>
  <c r="K38" i="46" s="1"/>
  <c r="J35" i="46"/>
  <c r="J38" i="46" s="1"/>
  <c r="I35" i="46"/>
  <c r="I38" i="46" s="1"/>
  <c r="H35" i="46"/>
  <c r="H38" i="46" s="1"/>
  <c r="G35" i="46"/>
  <c r="G38" i="46" s="1"/>
  <c r="F35" i="46"/>
  <c r="F38" i="46" s="1"/>
  <c r="E35" i="46"/>
  <c r="E38" i="46" s="1"/>
  <c r="D35" i="46"/>
  <c r="D38" i="46" s="1"/>
  <c r="O37" i="45"/>
  <c r="O40" i="45" s="1"/>
  <c r="N37" i="45"/>
  <c r="N40" i="45" s="1"/>
  <c r="M37" i="45"/>
  <c r="M40" i="45" s="1"/>
  <c r="L37" i="45"/>
  <c r="L40" i="45" s="1"/>
  <c r="K37" i="45"/>
  <c r="K40" i="45" s="1"/>
  <c r="J37" i="45"/>
  <c r="J40" i="45" s="1"/>
  <c r="I37" i="45"/>
  <c r="I40" i="45" s="1"/>
  <c r="H37" i="45"/>
  <c r="H40" i="45" s="1"/>
  <c r="G37" i="45"/>
  <c r="G40" i="45" s="1"/>
  <c r="F37" i="45"/>
  <c r="F40" i="45" s="1"/>
  <c r="E37" i="45"/>
  <c r="E40" i="45" s="1"/>
  <c r="D37" i="45"/>
  <c r="D40" i="45" s="1"/>
  <c r="O36" i="45"/>
  <c r="O39" i="45" s="1"/>
  <c r="N36" i="45"/>
  <c r="N39" i="45" s="1"/>
  <c r="M36" i="45"/>
  <c r="M39" i="45" s="1"/>
  <c r="L36" i="45"/>
  <c r="L39" i="45" s="1"/>
  <c r="K36" i="45"/>
  <c r="K39" i="45" s="1"/>
  <c r="J36" i="45"/>
  <c r="J39" i="45" s="1"/>
  <c r="I36" i="45"/>
  <c r="I39" i="45" s="1"/>
  <c r="H36" i="45"/>
  <c r="H39" i="45" s="1"/>
  <c r="G36" i="45"/>
  <c r="G39" i="45" s="1"/>
  <c r="F36" i="45"/>
  <c r="F39" i="45" s="1"/>
  <c r="E36" i="45"/>
  <c r="E39" i="45" s="1"/>
  <c r="D36" i="45"/>
  <c r="D39" i="45" s="1"/>
  <c r="O35" i="45"/>
  <c r="O38" i="45" s="1"/>
  <c r="N35" i="45"/>
  <c r="N38" i="45" s="1"/>
  <c r="M35" i="45"/>
  <c r="M38" i="45" s="1"/>
  <c r="L35" i="45"/>
  <c r="L38" i="45" s="1"/>
  <c r="K35" i="45"/>
  <c r="K38" i="45" s="1"/>
  <c r="J35" i="45"/>
  <c r="J38" i="45" s="1"/>
  <c r="I35" i="45"/>
  <c r="I38" i="45" s="1"/>
  <c r="H35" i="45"/>
  <c r="H38" i="45" s="1"/>
  <c r="G35" i="45"/>
  <c r="G38" i="45" s="1"/>
  <c r="F35" i="45"/>
  <c r="F38" i="45" s="1"/>
  <c r="E35" i="45"/>
  <c r="E38" i="45" s="1"/>
  <c r="D35" i="45"/>
  <c r="D38" i="45" s="1"/>
  <c r="K39" i="44"/>
  <c r="O37" i="44"/>
  <c r="O40" i="44" s="1"/>
  <c r="N37" i="44"/>
  <c r="N40" i="44" s="1"/>
  <c r="M37" i="44"/>
  <c r="M40" i="44" s="1"/>
  <c r="L37" i="44"/>
  <c r="L40" i="44" s="1"/>
  <c r="K37" i="44"/>
  <c r="K40" i="44" s="1"/>
  <c r="J37" i="44"/>
  <c r="J40" i="44" s="1"/>
  <c r="I37" i="44"/>
  <c r="I40" i="44" s="1"/>
  <c r="H37" i="44"/>
  <c r="H40" i="44" s="1"/>
  <c r="G37" i="44"/>
  <c r="G40" i="44" s="1"/>
  <c r="F37" i="44"/>
  <c r="F40" i="44" s="1"/>
  <c r="E37" i="44"/>
  <c r="E40" i="44" s="1"/>
  <c r="D37" i="44"/>
  <c r="D40" i="44" s="1"/>
  <c r="O36" i="44"/>
  <c r="O39" i="44" s="1"/>
  <c r="N36" i="44"/>
  <c r="N39" i="44" s="1"/>
  <c r="M36" i="44"/>
  <c r="M39" i="44" s="1"/>
  <c r="L36" i="44"/>
  <c r="L39" i="44" s="1"/>
  <c r="K36" i="44"/>
  <c r="J36" i="44"/>
  <c r="J39" i="44" s="1"/>
  <c r="I36" i="44"/>
  <c r="I39" i="44" s="1"/>
  <c r="H36" i="44"/>
  <c r="H39" i="44" s="1"/>
  <c r="G36" i="44"/>
  <c r="G39" i="44" s="1"/>
  <c r="F36" i="44"/>
  <c r="F39" i="44" s="1"/>
  <c r="E36" i="44"/>
  <c r="E39" i="44" s="1"/>
  <c r="D36" i="44"/>
  <c r="D39" i="44" s="1"/>
  <c r="O35" i="44"/>
  <c r="O38" i="44" s="1"/>
  <c r="N35" i="44"/>
  <c r="N38" i="44" s="1"/>
  <c r="M35" i="44"/>
  <c r="M38" i="44" s="1"/>
  <c r="L35" i="44"/>
  <c r="L38" i="44" s="1"/>
  <c r="K35" i="44"/>
  <c r="K38" i="44" s="1"/>
  <c r="J35" i="44"/>
  <c r="J38" i="44" s="1"/>
  <c r="I35" i="44"/>
  <c r="I38" i="44" s="1"/>
  <c r="H35" i="44"/>
  <c r="H38" i="44" s="1"/>
  <c r="G35" i="44"/>
  <c r="G38" i="44" s="1"/>
  <c r="F35" i="44"/>
  <c r="F38" i="44" s="1"/>
  <c r="E35" i="44"/>
  <c r="E38" i="44" s="1"/>
  <c r="D35" i="44"/>
  <c r="D38" i="44" s="1"/>
  <c r="M41" i="56" l="1"/>
  <c r="K41" i="55"/>
  <c r="N41" i="55"/>
  <c r="M41" i="55"/>
  <c r="E41" i="54"/>
  <c r="O41" i="53"/>
  <c r="H41" i="53"/>
  <c r="I41" i="53"/>
  <c r="L41" i="56"/>
  <c r="E41" i="56"/>
  <c r="F41" i="56"/>
  <c r="N41" i="56"/>
  <c r="O41" i="56"/>
  <c r="H41" i="56"/>
  <c r="D41" i="56"/>
  <c r="I41" i="56"/>
  <c r="G41" i="56"/>
  <c r="J41" i="56"/>
  <c r="K41" i="56"/>
  <c r="D41" i="55"/>
  <c r="L41" i="55"/>
  <c r="F41" i="55"/>
  <c r="G41" i="55"/>
  <c r="I41" i="55"/>
  <c r="E41" i="55"/>
  <c r="O41" i="55"/>
  <c r="J41" i="55"/>
  <c r="H41" i="55"/>
  <c r="J41" i="54"/>
  <c r="K41" i="54"/>
  <c r="D41" i="54"/>
  <c r="L41" i="54"/>
  <c r="F41" i="54"/>
  <c r="N41" i="54"/>
  <c r="G41" i="54"/>
  <c r="H41" i="54"/>
  <c r="M41" i="54"/>
  <c r="I41" i="54"/>
  <c r="O41" i="54"/>
  <c r="J41" i="53"/>
  <c r="E41" i="53"/>
  <c r="G41" i="53"/>
  <c r="D41" i="53"/>
  <c r="K41" i="53"/>
  <c r="F41" i="53"/>
  <c r="L41" i="53"/>
  <c r="M41" i="53"/>
  <c r="N41" i="53"/>
  <c r="I41" i="52"/>
  <c r="E41" i="52"/>
  <c r="J41" i="52"/>
  <c r="F41" i="52"/>
  <c r="K41" i="52"/>
  <c r="G41" i="52"/>
  <c r="L41" i="52"/>
  <c r="M41" i="52"/>
  <c r="N41" i="52"/>
  <c r="D41" i="52"/>
  <c r="O41" i="52"/>
  <c r="L41" i="47"/>
  <c r="B24" i="51" s="1"/>
  <c r="D41" i="47"/>
  <c r="B16" i="51" s="1"/>
  <c r="N41" i="46"/>
  <c r="B26" i="50" s="1"/>
  <c r="G41" i="46"/>
  <c r="B19" i="50" s="1"/>
  <c r="O41" i="46"/>
  <c r="B27" i="50" s="1"/>
  <c r="H41" i="46"/>
  <c r="B20" i="50" s="1"/>
  <c r="J41" i="46"/>
  <c r="B22" i="50" s="1"/>
  <c r="E41" i="45"/>
  <c r="B17" i="49" s="1"/>
  <c r="O41" i="44"/>
  <c r="B27" i="48" s="1"/>
  <c r="I41" i="44"/>
  <c r="B21" i="48" s="1"/>
  <c r="I41" i="47"/>
  <c r="B21" i="51" s="1"/>
  <c r="K41" i="47"/>
  <c r="B23" i="51" s="1"/>
  <c r="F41" i="47"/>
  <c r="B18" i="51" s="1"/>
  <c r="E41" i="47"/>
  <c r="B17" i="51" s="1"/>
  <c r="G41" i="47"/>
  <c r="B19" i="51" s="1"/>
  <c r="J41" i="47"/>
  <c r="B22" i="51" s="1"/>
  <c r="M41" i="47"/>
  <c r="B25" i="51" s="1"/>
  <c r="N41" i="47"/>
  <c r="B26" i="51" s="1"/>
  <c r="H41" i="47"/>
  <c r="B20" i="51" s="1"/>
  <c r="O41" i="47"/>
  <c r="B27" i="51" s="1"/>
  <c r="D41" i="46"/>
  <c r="B16" i="50" s="1"/>
  <c r="I41" i="46"/>
  <c r="B21" i="50" s="1"/>
  <c r="K41" i="46"/>
  <c r="B23" i="50" s="1"/>
  <c r="F41" i="46"/>
  <c r="B18" i="50" s="1"/>
  <c r="E41" i="46"/>
  <c r="B17" i="50" s="1"/>
  <c r="M41" i="46"/>
  <c r="B25" i="50" s="1"/>
  <c r="L41" i="46"/>
  <c r="B24" i="50" s="1"/>
  <c r="K41" i="45"/>
  <c r="B23" i="49" s="1"/>
  <c r="J41" i="45"/>
  <c r="B22" i="49" s="1"/>
  <c r="F41" i="45"/>
  <c r="B18" i="49" s="1"/>
  <c r="N41" i="45"/>
  <c r="B26" i="49" s="1"/>
  <c r="D41" i="45"/>
  <c r="B16" i="49" s="1"/>
  <c r="O41" i="45"/>
  <c r="B27" i="49" s="1"/>
  <c r="G41" i="45"/>
  <c r="B19" i="49" s="1"/>
  <c r="H41" i="45"/>
  <c r="B20" i="49" s="1"/>
  <c r="L41" i="45"/>
  <c r="B24" i="49" s="1"/>
  <c r="I41" i="45"/>
  <c r="B21" i="49" s="1"/>
  <c r="M41" i="45"/>
  <c r="B25" i="49" s="1"/>
  <c r="N41" i="44"/>
  <c r="B26" i="48" s="1"/>
  <c r="K41" i="44"/>
  <c r="B23" i="48" s="1"/>
  <c r="F41" i="44"/>
  <c r="B18" i="48" s="1"/>
  <c r="J41" i="44"/>
  <c r="B22" i="48" s="1"/>
  <c r="D41" i="44"/>
  <c r="B16" i="48" s="1"/>
  <c r="L41" i="44"/>
  <c r="B24" i="48" s="1"/>
  <c r="G41" i="44"/>
  <c r="B19" i="48" s="1"/>
  <c r="E41" i="44"/>
  <c r="B17" i="48" s="1"/>
  <c r="M41" i="44"/>
  <c r="B25" i="48" s="1"/>
  <c r="H41" i="44"/>
  <c r="B20" i="48" s="1"/>
  <c r="H35" i="40"/>
  <c r="H38" i="40" s="1"/>
  <c r="I35" i="40"/>
  <c r="I38" i="40" s="1"/>
  <c r="J35" i="40"/>
  <c r="J38" i="40" s="1"/>
  <c r="K35" i="40"/>
  <c r="K38" i="40" s="1"/>
  <c r="L35" i="40"/>
  <c r="L38" i="40" s="1"/>
  <c r="M35" i="40"/>
  <c r="M38" i="40" s="1"/>
  <c r="N35" i="40"/>
  <c r="N38" i="40" s="1"/>
  <c r="O35" i="40"/>
  <c r="O38" i="40" s="1"/>
  <c r="H36" i="40"/>
  <c r="H39" i="40" s="1"/>
  <c r="I36" i="40"/>
  <c r="I39" i="40" s="1"/>
  <c r="J36" i="40"/>
  <c r="J39" i="40" s="1"/>
  <c r="K36" i="40"/>
  <c r="K39" i="40" s="1"/>
  <c r="L36" i="40"/>
  <c r="L39" i="40" s="1"/>
  <c r="M36" i="40"/>
  <c r="M39" i="40" s="1"/>
  <c r="N36" i="40"/>
  <c r="N39" i="40" s="1"/>
  <c r="O36" i="40"/>
  <c r="H37" i="40"/>
  <c r="H40" i="40" s="1"/>
  <c r="I37" i="40"/>
  <c r="I40" i="40" s="1"/>
  <c r="J37" i="40"/>
  <c r="J40" i="40" s="1"/>
  <c r="K37" i="40"/>
  <c r="K40" i="40" s="1"/>
  <c r="L37" i="40"/>
  <c r="L40" i="40" s="1"/>
  <c r="M37" i="40"/>
  <c r="M40" i="40" s="1"/>
  <c r="N37" i="40"/>
  <c r="N40" i="40" s="1"/>
  <c r="O37" i="40"/>
  <c r="O40" i="40" s="1"/>
  <c r="O39" i="40"/>
  <c r="G37" i="40"/>
  <c r="G40" i="40" s="1"/>
  <c r="F37" i="40"/>
  <c r="F40" i="40" s="1"/>
  <c r="E37" i="40"/>
  <c r="E40" i="40" s="1"/>
  <c r="D37" i="40"/>
  <c r="D40" i="40" s="1"/>
  <c r="G36" i="40"/>
  <c r="G39" i="40" s="1"/>
  <c r="F36" i="40"/>
  <c r="F39" i="40" s="1"/>
  <c r="E36" i="40"/>
  <c r="E39" i="40" s="1"/>
  <c r="D36" i="40"/>
  <c r="D39" i="40" s="1"/>
  <c r="G35" i="40"/>
  <c r="G38" i="40" s="1"/>
  <c r="F35" i="40"/>
  <c r="F38" i="40" s="1"/>
  <c r="E35" i="40"/>
  <c r="E38" i="40" s="1"/>
  <c r="D35" i="40"/>
  <c r="D38" i="40" s="1"/>
  <c r="B28" i="51" l="1"/>
  <c r="B28" i="50"/>
  <c r="B28" i="49"/>
  <c r="B28" i="48"/>
  <c r="F41" i="40"/>
  <c r="B18" i="42" s="1"/>
  <c r="G41" i="40"/>
  <c r="B19" i="42" s="1"/>
  <c r="N41" i="40"/>
  <c r="B26" i="42" s="1"/>
  <c r="L41" i="40"/>
  <c r="B24" i="42" s="1"/>
  <c r="O41" i="40"/>
  <c r="B27" i="42" s="1"/>
  <c r="M41" i="40"/>
  <c r="B25" i="42" s="1"/>
  <c r="H41" i="40"/>
  <c r="B20" i="42" s="1"/>
  <c r="K41" i="40"/>
  <c r="B23" i="42" s="1"/>
  <c r="J41" i="40"/>
  <c r="B22" i="42" s="1"/>
  <c r="I41" i="40"/>
  <c r="B21" i="42" s="1"/>
  <c r="D41" i="40"/>
  <c r="B16" i="42" s="1"/>
  <c r="E41" i="40"/>
  <c r="B17" i="42" s="1"/>
  <c r="B28" i="42" l="1"/>
</calcChain>
</file>

<file path=xl/sharedStrings.xml><?xml version="1.0" encoding="utf-8"?>
<sst xmlns="http://schemas.openxmlformats.org/spreadsheetml/2006/main" count="621" uniqueCount="233">
  <si>
    <t>Franja</t>
  </si>
  <si>
    <t>Baja</t>
  </si>
  <si>
    <t>Media</t>
  </si>
  <si>
    <t>Alta</t>
  </si>
  <si>
    <t xml:space="preserve"> </t>
  </si>
  <si>
    <t>MWh</t>
  </si>
  <si>
    <t>CENTRALES ELECTRICAS DE NARIÑO S.A. E.S.P.</t>
  </si>
  <si>
    <t>Hora</t>
  </si>
  <si>
    <t>Días</t>
  </si>
  <si>
    <t>Subtotal Baja</t>
  </si>
  <si>
    <t>Subtotal Media</t>
  </si>
  <si>
    <t>Subtotal Alta</t>
  </si>
  <si>
    <t>Total</t>
  </si>
  <si>
    <t>OFERENTE:</t>
  </si>
  <si>
    <t>INVITACIÓN:</t>
  </si>
  <si>
    <t>CANTIDAD EN:</t>
  </si>
  <si>
    <t>MODALIDAD:</t>
  </si>
  <si>
    <t>NIVEL DE COBERTURA ESPERADO
 (%)</t>
  </si>
  <si>
    <t xml:space="preserve">ENERGÍA OFRECIDA (MWh)
</t>
  </si>
  <si>
    <t>TOTAL</t>
  </si>
  <si>
    <t>NOTAS:</t>
  </si>
  <si>
    <t xml:space="preserve">ENERGÍA SOLICITADA (MWh) 
</t>
  </si>
  <si>
    <t>TIPO DE OFERTA:</t>
  </si>
  <si>
    <t>PRECIOS $/kWh de:</t>
  </si>
  <si>
    <t xml:space="preserve">PRECIO OFERTADO ($/kWh)
</t>
  </si>
  <si>
    <t>CURVA DE ENERGIA DE REFERENCIA PARA  OFERTAR  MENSUAL</t>
  </si>
  <si>
    <t xml:space="preserve">ANEXO 2 PRODUCTO 1 - CUADRO DE CANTIDADES DE ENERGÍA </t>
  </si>
  <si>
    <t xml:space="preserve">ANEXO 3 PRODUCTO 2 - CUADRO DE CANTIDADES DE ENERGÍA </t>
  </si>
  <si>
    <t xml:space="preserve">ANEXO 4 PRODUCTO 3 - CUADRO DE CANTIDADES DE ENERGÍA </t>
  </si>
  <si>
    <t xml:space="preserve">ANEXO 5 PRODUCTO 4 - CUADRO DE CANTIDADES DE ENERGÍA </t>
  </si>
  <si>
    <t>AÑO 2027 MWh</t>
  </si>
  <si>
    <t>Resúmen Año 2027 MWh</t>
  </si>
  <si>
    <t>AÑO 2028 MWh</t>
  </si>
  <si>
    <t>Resúmen Año 2028 MWh</t>
  </si>
  <si>
    <t>AÑO 2029 MWh</t>
  </si>
  <si>
    <t>Resúmen Periodo Año 2029 MWh</t>
  </si>
  <si>
    <t>AÑO 2030 MWh</t>
  </si>
  <si>
    <t>Resúmen Periodo Año 2030 MWh</t>
  </si>
  <si>
    <t xml:space="preserve">ANEXO 6 PRODUCTO 5 - CUADRO DE CANTIDADES DE ENERGÍA </t>
  </si>
  <si>
    <t>AÑO 2031 MWh</t>
  </si>
  <si>
    <t>Resúmen Periodo Año 2031 MWh</t>
  </si>
  <si>
    <t xml:space="preserve">PROPUESTA ECONOMICA PRODUCTO 1
01 ENERO 2027 A 31 DICIEMBRE 2027  </t>
  </si>
  <si>
    <t>AÑO 2027</t>
  </si>
  <si>
    <t>ENE2027</t>
  </si>
  <si>
    <t>FEB2027</t>
  </si>
  <si>
    <t>MAR2027</t>
  </si>
  <si>
    <t>ABR2027</t>
  </si>
  <si>
    <t>MAY2027</t>
  </si>
  <si>
    <t>JUN2027</t>
  </si>
  <si>
    <t>JUL2027</t>
  </si>
  <si>
    <t>AGO2027</t>
  </si>
  <si>
    <t>SEP2027</t>
  </si>
  <si>
    <t>OCT2027</t>
  </si>
  <si>
    <t>NOV2027</t>
  </si>
  <si>
    <t>DIC2027</t>
  </si>
  <si>
    <t xml:space="preserve">PROPUESTA ECONOMICA PRODUCTO 2
01 ENERO 2028 A 31 DICIEMBRE 2028  </t>
  </si>
  <si>
    <t>AÑO 2028</t>
  </si>
  <si>
    <t>ENE2028</t>
  </si>
  <si>
    <t>FEB2028</t>
  </si>
  <si>
    <t>MAR2028</t>
  </si>
  <si>
    <t>ABR2028</t>
  </si>
  <si>
    <t>MAY2028</t>
  </si>
  <si>
    <t>JUN2028</t>
  </si>
  <si>
    <t>JUL2028</t>
  </si>
  <si>
    <t>AGO2028</t>
  </si>
  <si>
    <t>SEP2028</t>
  </si>
  <si>
    <t>OCT2028</t>
  </si>
  <si>
    <t>NOV2028</t>
  </si>
  <si>
    <t>DIC2028</t>
  </si>
  <si>
    <t>AÑO 2029</t>
  </si>
  <si>
    <t>ENE2029</t>
  </si>
  <si>
    <t>FEB2029</t>
  </si>
  <si>
    <t>MAR2029</t>
  </si>
  <si>
    <t>ABR2029</t>
  </si>
  <si>
    <t>MAY2029</t>
  </si>
  <si>
    <t>JUN2029</t>
  </si>
  <si>
    <t>JUL2029</t>
  </si>
  <si>
    <t>AGO2029</t>
  </si>
  <si>
    <t>SEP2029</t>
  </si>
  <si>
    <t>OCT2029</t>
  </si>
  <si>
    <t>NOV2029</t>
  </si>
  <si>
    <t>DIC2029</t>
  </si>
  <si>
    <t xml:space="preserve">PROPUESTA ECONOMICA PRODUCTO 3
01 ENERO 2029 A 31 DICIEMBRE 2029  </t>
  </si>
  <si>
    <t xml:space="preserve">PROPUESTA ECONOMICA PRODUCTO 4
01 ENERO 2030 A 31 DICIEMBRE 2030  </t>
  </si>
  <si>
    <t>AÑO 2030</t>
  </si>
  <si>
    <t>ENE2030</t>
  </si>
  <si>
    <t>FEB2030</t>
  </si>
  <si>
    <t>MAR2030</t>
  </si>
  <si>
    <t>ABR2030</t>
  </si>
  <si>
    <t>MAY2030</t>
  </si>
  <si>
    <t>JUN2030</t>
  </si>
  <si>
    <t>JUL2030</t>
  </si>
  <si>
    <t>AGO2030</t>
  </si>
  <si>
    <t>SEP2030</t>
  </si>
  <si>
    <t>OCT2030</t>
  </si>
  <si>
    <t>NOV2030</t>
  </si>
  <si>
    <t>DIC2030</t>
  </si>
  <si>
    <t>AÑO 2031</t>
  </si>
  <si>
    <t>ENE2031</t>
  </si>
  <si>
    <t>FEB2031</t>
  </si>
  <si>
    <t>MAR2031</t>
  </si>
  <si>
    <t>ABR2031</t>
  </si>
  <si>
    <t>MAY2031</t>
  </si>
  <si>
    <t>JUN2031</t>
  </si>
  <si>
    <t>JUL2031</t>
  </si>
  <si>
    <t>AGO2031</t>
  </si>
  <si>
    <t>SEP2031</t>
  </si>
  <si>
    <t>OCT2031</t>
  </si>
  <si>
    <t>NOV2031</t>
  </si>
  <si>
    <t>DIC2031</t>
  </si>
  <si>
    <t xml:space="preserve">PROPUESTA ECONOMICA PRODUCTO 5
01 ENERO 2031 A 31 DICIEMBRE 2031  </t>
  </si>
  <si>
    <t>AÑO 2032 MWh</t>
  </si>
  <si>
    <t xml:space="preserve">ANEXO 7 PRODUCTO 6 - CUADRO DE CANTIDADES DE ENERGÍA </t>
  </si>
  <si>
    <t>Resúmen Periodo Año 2032 MWh</t>
  </si>
  <si>
    <t xml:space="preserve">ANEXO 8 PRODUCTO 7 - CUADRO DE CANTIDADES DE ENERGÍA </t>
  </si>
  <si>
    <t>AÑO 2033 MWh</t>
  </si>
  <si>
    <t>Resúmen Periodo Año 2033 MWh</t>
  </si>
  <si>
    <t>AÑO 2034 MWh</t>
  </si>
  <si>
    <t xml:space="preserve">ANEXO 9 PRODUCTO 8 - CUADRO DE CANTIDADES DE ENERGÍA </t>
  </si>
  <si>
    <t>Resúmen Periodo Año 2034 MWh</t>
  </si>
  <si>
    <t xml:space="preserve">ANEXO 10 PRODUCTO 9 - CUADRO DE CANTIDADES DE ENERGÍA </t>
  </si>
  <si>
    <t>AÑO 2035 MWh</t>
  </si>
  <si>
    <t>Resúmen Periodo Año 2035 MWh</t>
  </si>
  <si>
    <t xml:space="preserve">ANEXO 11 PRODUCTO 10 - CUADRO DE CANTIDADES DE ENERGÍA </t>
  </si>
  <si>
    <t>AÑO 2036 MWh</t>
  </si>
  <si>
    <t>Resúmen Periodo Año 2036 MWh</t>
  </si>
  <si>
    <t>CURVA DE ENERGIA DE REFERENCIA PARA  OFERTAR  ANUAL</t>
  </si>
  <si>
    <t>BLOQUE</t>
  </si>
  <si>
    <t>B1</t>
  </si>
  <si>
    <t>B2</t>
  </si>
  <si>
    <t>B3</t>
  </si>
  <si>
    <t>Subtotal B1</t>
  </si>
  <si>
    <t>Subtotal B2</t>
  </si>
  <si>
    <t>Subtotal B3</t>
  </si>
  <si>
    <t xml:space="preserve">ANEXO 12 PRODUCTO 11 - CUADRO DE CANTIDADES DE ENERGÍA </t>
  </si>
  <si>
    <t>PERIODO 2027 A 2036  MWh</t>
  </si>
  <si>
    <t>PERIODO 2027 a 2036 MWh</t>
  </si>
  <si>
    <t>Resúmen Periodo 2027 a 2036 MWh</t>
  </si>
  <si>
    <t>ANEXO No. 13</t>
  </si>
  <si>
    <t>CP-CDNC2025-002</t>
  </si>
  <si>
    <t>Mayo de 2025</t>
  </si>
  <si>
    <t xml:space="preserve">PROPUESTA ECONOMICA PRODUCTO 6
01 ENERO 2032 A 31 DICIEMBRE 2032  </t>
  </si>
  <si>
    <t>ANEXO No. 18</t>
  </si>
  <si>
    <t>AÑO 2032</t>
  </si>
  <si>
    <t>ENE2032</t>
  </si>
  <si>
    <t>FEB2032</t>
  </si>
  <si>
    <t>ENE2033</t>
  </si>
  <si>
    <t>FEB2033</t>
  </si>
  <si>
    <t>MAR2032</t>
  </si>
  <si>
    <t>ABR2032</t>
  </si>
  <si>
    <t>MAY2032</t>
  </si>
  <si>
    <t>JUN2032</t>
  </si>
  <si>
    <t>JUL2032</t>
  </si>
  <si>
    <t>AGO2032</t>
  </si>
  <si>
    <t>SEP2032</t>
  </si>
  <si>
    <t>OCT2032</t>
  </si>
  <si>
    <t>NOV2032</t>
  </si>
  <si>
    <t>DIC2032</t>
  </si>
  <si>
    <t>PROPUESTA ECONOMICA PRODUCTO 7
01 ENERO 2033 A 31 DICIEMBRE 2033</t>
  </si>
  <si>
    <t>ANEXO No. 19</t>
  </si>
  <si>
    <t>AÑO 2033</t>
  </si>
  <si>
    <t>MAR2033</t>
  </si>
  <si>
    <t>ABR2033</t>
  </si>
  <si>
    <t>MAY2033</t>
  </si>
  <si>
    <t>JUN2033</t>
  </si>
  <si>
    <t>JUL2033</t>
  </si>
  <si>
    <t>AGO2033</t>
  </si>
  <si>
    <t>SEP2033</t>
  </si>
  <si>
    <t>OCT2033</t>
  </si>
  <si>
    <t>NOV2033</t>
  </si>
  <si>
    <t>DIC2033</t>
  </si>
  <si>
    <t>PROPUESTA ECONOMICA PRODUCTO 8
01 ENERO 2034 A 31 DICIEMBRE 2034</t>
  </si>
  <si>
    <t>ANEXO No. 20</t>
  </si>
  <si>
    <t>AÑO 2034</t>
  </si>
  <si>
    <t>ENE2034</t>
  </si>
  <si>
    <t>FEB2034</t>
  </si>
  <si>
    <t>MAR2034</t>
  </si>
  <si>
    <t>ABR2034</t>
  </si>
  <si>
    <t>MAY2034</t>
  </si>
  <si>
    <t>JUN2034</t>
  </si>
  <si>
    <t>JUL2034</t>
  </si>
  <si>
    <t>AGO2034</t>
  </si>
  <si>
    <t>SEP2034</t>
  </si>
  <si>
    <t>OCT2034</t>
  </si>
  <si>
    <t>NOV2034</t>
  </si>
  <si>
    <t>DIC2034</t>
  </si>
  <si>
    <t>PROPUESTA ECONOMICA PRODUCTO 9
01 ENERO 2035 A 31 DICIEMBRE 2035</t>
  </si>
  <si>
    <t>ANEXO No. 21</t>
  </si>
  <si>
    <t>AÑO 2035</t>
  </si>
  <si>
    <t>ENE2035</t>
  </si>
  <si>
    <t>FEB2035</t>
  </si>
  <si>
    <t>ENE2036</t>
  </si>
  <si>
    <t>FEB2036</t>
  </si>
  <si>
    <t>MAR2035</t>
  </si>
  <si>
    <t>ABR2035</t>
  </si>
  <si>
    <t>MAY2035</t>
  </si>
  <si>
    <t>JUN2035</t>
  </si>
  <si>
    <t>JUL2035</t>
  </si>
  <si>
    <t>AGO2035</t>
  </si>
  <si>
    <t>SEP2035</t>
  </si>
  <si>
    <t>OCT2035</t>
  </si>
  <si>
    <t>NOV2035</t>
  </si>
  <si>
    <t>DIC2035</t>
  </si>
  <si>
    <t>PROPUESTA ECONOMICA PRODUCTO 10
01 ENERO 2036 A 31 DICIEMBRE 2036</t>
  </si>
  <si>
    <t>ANEXO No. 22</t>
  </si>
  <si>
    <t>AÑO 2036</t>
  </si>
  <si>
    <t>MAR2036</t>
  </si>
  <si>
    <t>ABR2036</t>
  </si>
  <si>
    <t>MAY2036</t>
  </si>
  <si>
    <t>JUN2036</t>
  </si>
  <si>
    <t>JUL2036</t>
  </si>
  <si>
    <t>AGO2036</t>
  </si>
  <si>
    <t>SEP2036</t>
  </si>
  <si>
    <t>OCT2036</t>
  </si>
  <si>
    <t>NOV2036</t>
  </si>
  <si>
    <t>DIC2036</t>
  </si>
  <si>
    <t>ANEXO No. 14</t>
  </si>
  <si>
    <t>ANEXO No. 15</t>
  </si>
  <si>
    <t>ANEXO No. 16</t>
  </si>
  <si>
    <t>ANEXO No. 17</t>
  </si>
  <si>
    <t>AÑOS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</si>
  <si>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</si>
  <si>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</si>
  <si>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</si>
  <si>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</si>
  <si>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</si>
  <si>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</si>
  <si>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</si>
  <si>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</si>
  <si>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</si>
  <si>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</si>
  <si>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PROPUESTA ECONOMICA PRODUCTO 11
01 ENERO 2027 A 31 DICIEMBRE 2036</t>
  </si>
  <si>
    <t>ANEXO No.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</si>
</sst>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#,##0_ ;[Red]\-#,##0\ "/>
    <numFmt numFmtId="166" formatCode="_ * #,##0.00_ ;_ * \-#,##0.00_ ;_ * &quot;-&quot;??_ ;_ @_ "/>
    <numFmt numFmtId="167" formatCode="#,##0.0000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sz val="10"/>
      <name val="Trebuchet MS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164" fontId="1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  <xf numFmtId="0" fontId="4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17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7" fillId="2" borderId="0" xfId="4" applyFont="1" applyFill="1" applyAlignment="1">
      <alignment vertical="top"/>
    </xf>
    <xf numFmtId="0" fontId="5" fillId="2" borderId="0" xfId="4" applyFont="1" applyFill="1" applyAlignment="1">
      <alignment vertical="top"/>
    </xf>
    <xf numFmtId="0" fontId="7" fillId="2" borderId="0" xfId="4" applyFont="1" applyFill="1"/>
    <xf numFmtId="0" fontId="7" fillId="2" borderId="0" xfId="4" applyFont="1" applyFill="1" applyAlignment="1">
      <alignment horizontal="center"/>
    </xf>
    <xf numFmtId="0" fontId="5" fillId="2" borderId="0" xfId="4" applyFont="1" applyFill="1"/>
    <xf numFmtId="0" fontId="11" fillId="2" borderId="0" xfId="3" applyFont="1" applyFill="1" applyAlignment="1">
      <alignment horizontal="left"/>
    </xf>
    <xf numFmtId="164" fontId="11" fillId="2" borderId="0" xfId="2" applyFont="1" applyFill="1" applyBorder="1" applyAlignment="1" applyProtection="1">
      <alignment horizontal="left"/>
      <protection locked="0"/>
    </xf>
    <xf numFmtId="164" fontId="11" fillId="2" borderId="0" xfId="2" applyFont="1" applyFill="1" applyBorder="1" applyAlignment="1" applyProtection="1">
      <alignment horizontal="center"/>
      <protection locked="0"/>
    </xf>
    <xf numFmtId="0" fontId="7" fillId="2" borderId="0" xfId="4" applyFont="1" applyFill="1" applyProtection="1">
      <protection locked="0"/>
    </xf>
    <xf numFmtId="4" fontId="11" fillId="2" borderId="0" xfId="3" applyNumberFormat="1" applyFont="1" applyFill="1" applyAlignment="1">
      <alignment horizontal="left"/>
    </xf>
    <xf numFmtId="4" fontId="11" fillId="2" borderId="0" xfId="3" applyNumberFormat="1" applyFont="1" applyFill="1" applyAlignment="1">
      <alignment horizontal="center"/>
    </xf>
    <xf numFmtId="4" fontId="11" fillId="2" borderId="0" xfId="3" applyNumberFormat="1" applyFont="1" applyFill="1" applyAlignment="1" applyProtection="1">
      <alignment horizontal="left"/>
      <protection locked="0"/>
    </xf>
    <xf numFmtId="4" fontId="11" fillId="2" borderId="0" xfId="3" applyNumberFormat="1" applyFont="1" applyFill="1" applyAlignment="1" applyProtection="1">
      <alignment horizontal="center"/>
      <protection locked="0"/>
    </xf>
    <xf numFmtId="4" fontId="8" fillId="2" borderId="0" xfId="4" applyNumberFormat="1" applyFont="1" applyFill="1"/>
    <xf numFmtId="0" fontId="12" fillId="2" borderId="0" xfId="3" applyFont="1" applyFill="1" applyAlignment="1">
      <alignment horizontal="left"/>
    </xf>
    <xf numFmtId="4" fontId="8" fillId="2" borderId="0" xfId="4" applyNumberFormat="1" applyFont="1" applyFill="1" applyAlignment="1">
      <alignment horizontal="center"/>
    </xf>
    <xf numFmtId="0" fontId="1" fillId="2" borderId="0" xfId="3" applyFont="1" applyFill="1" applyAlignment="1">
      <alignment horizontal="center" vertical="center"/>
    </xf>
    <xf numFmtId="164" fontId="13" fillId="2" borderId="0" xfId="2" applyFont="1" applyFill="1" applyBorder="1" applyProtection="1"/>
    <xf numFmtId="164" fontId="13" fillId="2" borderId="0" xfId="2" applyFont="1" applyFill="1" applyBorder="1" applyAlignment="1" applyProtection="1">
      <alignment horizontal="center"/>
    </xf>
    <xf numFmtId="164" fontId="14" fillId="2" borderId="0" xfId="2" applyFont="1" applyFill="1" applyBorder="1" applyProtection="1"/>
    <xf numFmtId="166" fontId="9" fillId="2" borderId="0" xfId="4" applyNumberFormat="1" applyFont="1" applyFill="1"/>
    <xf numFmtId="0" fontId="9" fillId="2" borderId="0" xfId="4" applyFont="1" applyFill="1"/>
    <xf numFmtId="0" fontId="17" fillId="2" borderId="0" xfId="0" applyFont="1" applyFill="1"/>
    <xf numFmtId="0" fontId="4" fillId="2" borderId="0" xfId="4" applyFill="1"/>
    <xf numFmtId="0" fontId="9" fillId="2" borderId="0" xfId="0" applyFont="1" applyFill="1"/>
    <xf numFmtId="0" fontId="9" fillId="2" borderId="0" xfId="4" applyFont="1" applyFill="1" applyProtection="1">
      <protection locked="0"/>
    </xf>
    <xf numFmtId="0" fontId="1" fillId="2" borderId="0" xfId="4" applyFont="1" applyFill="1"/>
    <xf numFmtId="0" fontId="1" fillId="2" borderId="0" xfId="4" applyFont="1" applyFill="1" applyProtection="1">
      <protection locked="0"/>
    </xf>
    <xf numFmtId="164" fontId="7" fillId="2" borderId="0" xfId="1" applyFont="1" applyFill="1" applyProtection="1"/>
    <xf numFmtId="4" fontId="18" fillId="2" borderId="0" xfId="3" applyNumberFormat="1" applyFont="1" applyFill="1" applyAlignment="1">
      <alignment horizontal="left"/>
    </xf>
    <xf numFmtId="3" fontId="1" fillId="2" borderId="9" xfId="0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167" fontId="0" fillId="2" borderId="0" xfId="0" applyNumberFormat="1" applyFill="1"/>
    <xf numFmtId="4" fontId="15" fillId="2" borderId="3" xfId="6" applyNumberFormat="1" applyFont="1" applyFill="1" applyBorder="1" applyAlignment="1" applyProtection="1">
      <alignment horizontal="center" vertical="center"/>
    </xf>
    <xf numFmtId="4" fontId="8" fillId="2" borderId="5" xfId="6" applyNumberFormat="1" applyFont="1" applyFill="1" applyBorder="1" applyAlignment="1" applyProtection="1">
      <alignment horizontal="center" vertical="center"/>
    </xf>
    <xf numFmtId="37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0" xfId="4" applyFont="1" applyFill="1"/>
    <xf numFmtId="49" fontId="11" fillId="2" borderId="2" xfId="3" applyNumberFormat="1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center" vertical="center"/>
    </xf>
    <xf numFmtId="9" fontId="19" fillId="2" borderId="3" xfId="2" applyNumberFormat="1" applyFont="1" applyFill="1" applyBorder="1" applyAlignment="1" applyProtection="1">
      <alignment horizontal="center"/>
    </xf>
    <xf numFmtId="9" fontId="11" fillId="2" borderId="6" xfId="5" applyFont="1" applyFill="1" applyBorder="1" applyAlignment="1" applyProtection="1">
      <alignment horizontal="center"/>
    </xf>
    <xf numFmtId="0" fontId="11" fillId="2" borderId="0" xfId="4" applyFont="1" applyFill="1" applyAlignment="1">
      <alignment horizontal="left"/>
    </xf>
    <xf numFmtId="9" fontId="19" fillId="2" borderId="3" xfId="5" applyFont="1" applyFill="1" applyBorder="1" applyAlignment="1" applyProtection="1">
      <alignment horizontal="center" vertical="center"/>
    </xf>
    <xf numFmtId="40" fontId="3" fillId="3" borderId="1" xfId="0" applyNumberFormat="1" applyFont="1" applyFill="1" applyBorder="1" applyAlignment="1">
      <alignment horizontal="center" vertical="center"/>
    </xf>
    <xf numFmtId="39" fontId="3" fillId="2" borderId="1" xfId="0" applyNumberFormat="1" applyFont="1" applyFill="1" applyBorder="1" applyAlignment="1">
      <alignment horizontal="center" vertical="center"/>
    </xf>
    <xf numFmtId="39" fontId="0" fillId="2" borderId="0" xfId="0" applyNumberFormat="1" applyFill="1"/>
    <xf numFmtId="1" fontId="2" fillId="2" borderId="9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0" fontId="3" fillId="3" borderId="22" xfId="0" applyNumberFormat="1" applyFont="1" applyFill="1" applyBorder="1" applyAlignment="1">
      <alignment horizontal="center" vertical="center"/>
    </xf>
    <xf numFmtId="40" fontId="3" fillId="3" borderId="23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0" fontId="3" fillId="3" borderId="25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0" fontId="3" fillId="3" borderId="28" xfId="0" applyNumberFormat="1" applyFont="1" applyFill="1" applyBorder="1" applyAlignment="1">
      <alignment horizontal="center" vertical="center"/>
    </xf>
    <xf numFmtId="40" fontId="3" fillId="3" borderId="29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39" fontId="3" fillId="2" borderId="1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" fontId="19" fillId="2" borderId="3" xfId="6" applyNumberFormat="1" applyFont="1" applyFill="1" applyBorder="1" applyAlignment="1" applyProtection="1">
      <alignment horizontal="center" vertical="center"/>
    </xf>
    <xf numFmtId="4" fontId="11" fillId="2" borderId="5" xfId="6" applyNumberFormat="1" applyFont="1" applyFill="1" applyBorder="1" applyAlignment="1" applyProtection="1">
      <alignment horizontal="center" vertical="center"/>
    </xf>
    <xf numFmtId="49" fontId="11" fillId="2" borderId="34" xfId="3" applyNumberFormat="1" applyFont="1" applyFill="1" applyBorder="1" applyAlignment="1">
      <alignment horizontal="center" vertical="center"/>
    </xf>
    <xf numFmtId="49" fontId="11" fillId="2" borderId="31" xfId="3" applyNumberFormat="1" applyFont="1" applyFill="1" applyBorder="1" applyAlignment="1">
      <alignment horizontal="center" vertical="center"/>
    </xf>
    <xf numFmtId="4" fontId="15" fillId="2" borderId="2" xfId="6" applyNumberFormat="1" applyFont="1" applyFill="1" applyBorder="1" applyAlignment="1" applyProtection="1">
      <alignment horizontal="center" vertical="center"/>
    </xf>
    <xf numFmtId="4" fontId="15" fillId="2" borderId="0" xfId="2" applyNumberFormat="1" applyFont="1" applyFill="1" applyBorder="1" applyAlignment="1" applyProtection="1">
      <alignment vertical="center"/>
      <protection locked="0"/>
    </xf>
    <xf numFmtId="4" fontId="15" fillId="2" borderId="20" xfId="2" applyNumberFormat="1" applyFont="1" applyFill="1" applyBorder="1" applyAlignment="1" applyProtection="1">
      <alignment vertical="center"/>
      <protection locked="0"/>
    </xf>
    <xf numFmtId="4" fontId="15" fillId="2" borderId="24" xfId="2" applyNumberFormat="1" applyFont="1" applyFill="1" applyBorder="1" applyAlignment="1" applyProtection="1">
      <alignment vertical="center"/>
      <protection locked="0"/>
    </xf>
    <xf numFmtId="4" fontId="15" fillId="2" borderId="26" xfId="2" applyNumberFormat="1" applyFont="1" applyFill="1" applyBorder="1" applyAlignment="1" applyProtection="1">
      <alignment vertical="center"/>
      <protection locked="0"/>
    </xf>
    <xf numFmtId="3" fontId="1" fillId="2" borderId="9" xfId="0" applyNumberFormat="1" applyFont="1" applyFill="1" applyBorder="1" applyAlignment="1">
      <alignment horizontal="center" vertical="center" textRotation="90"/>
    </xf>
    <xf numFmtId="3" fontId="1" fillId="2" borderId="11" xfId="0" applyNumberFormat="1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center" vertical="center"/>
    </xf>
    <xf numFmtId="3" fontId="1" fillId="2" borderId="24" xfId="0" applyNumberFormat="1" applyFont="1" applyFill="1" applyBorder="1" applyAlignment="1">
      <alignment horizontal="center" vertical="center"/>
    </xf>
    <xf numFmtId="3" fontId="1" fillId="2" borderId="26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2" borderId="31" xfId="0" applyNumberFormat="1" applyFont="1" applyFill="1" applyBorder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left"/>
    </xf>
    <xf numFmtId="4" fontId="15" fillId="2" borderId="19" xfId="2" applyNumberFormat="1" applyFont="1" applyFill="1" applyBorder="1" applyAlignment="1" applyProtection="1">
      <alignment horizontal="center" vertical="center"/>
      <protection locked="0"/>
    </xf>
    <xf numFmtId="4" fontId="15" fillId="2" borderId="16" xfId="2" applyNumberFormat="1" applyFont="1" applyFill="1" applyBorder="1" applyAlignment="1" applyProtection="1">
      <alignment horizontal="center" vertical="center"/>
      <protection locked="0"/>
    </xf>
    <xf numFmtId="0" fontId="9" fillId="2" borderId="0" xfId="4" applyFont="1" applyFill="1" applyAlignment="1">
      <alignment horizontal="left" wrapText="1"/>
    </xf>
    <xf numFmtId="0" fontId="10" fillId="2" borderId="0" xfId="4" applyFont="1" applyFill="1" applyAlignment="1">
      <alignment horizontal="center" vertical="top"/>
    </xf>
    <xf numFmtId="0" fontId="10" fillId="2" borderId="0" xfId="4" applyFont="1" applyFill="1" applyAlignment="1">
      <alignment horizontal="center" vertical="top" wrapText="1"/>
    </xf>
    <xf numFmtId="0" fontId="11" fillId="2" borderId="13" xfId="3" applyFont="1" applyFill="1" applyBorder="1" applyAlignment="1">
      <alignment horizontal="center" vertical="center" wrapText="1"/>
    </xf>
    <xf numFmtId="0" fontId="11" fillId="2" borderId="14" xfId="3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center" vertical="center" wrapText="1"/>
    </xf>
    <xf numFmtId="0" fontId="1" fillId="2" borderId="16" xfId="3" applyFont="1" applyFill="1" applyBorder="1" applyAlignment="1">
      <alignment horizontal="center" vertical="center" wrapText="1"/>
    </xf>
    <xf numFmtId="0" fontId="1" fillId="2" borderId="17" xfId="4" applyFont="1" applyFill="1" applyBorder="1" applyAlignment="1">
      <alignment horizontal="center" vertical="center" wrapText="1"/>
    </xf>
    <xf numFmtId="0" fontId="1" fillId="2" borderId="18" xfId="4" applyFont="1" applyFill="1" applyBorder="1" applyAlignment="1">
      <alignment horizontal="center" vertical="center" wrapText="1"/>
    </xf>
    <xf numFmtId="0" fontId="1" fillId="2" borderId="35" xfId="4" applyFont="1" applyFill="1" applyBorder="1" applyAlignment="1">
      <alignment horizontal="center" vertical="center" wrapText="1"/>
    </xf>
  </cellXfs>
  <cellStyles count="7">
    <cellStyle name="Millares" xfId="1" builtinId="3"/>
    <cellStyle name="Millares_PLIEGOS_GR-07-006" xfId="2" xr:uid="{00000000-0005-0000-0000-000001000000}"/>
    <cellStyle name="Moneda" xfId="6" builtinId="4"/>
    <cellStyle name="Normal" xfId="0" builtinId="0"/>
    <cellStyle name="Normal_ENE99" xfId="3" xr:uid="{00000000-0005-0000-0000-000004000000}"/>
    <cellStyle name="Normal_GC00-001" xfId="4" xr:uid="{00000000-0005-0000-0000-000005000000}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5"/>
  <sheetViews>
    <sheetView tabSelected="1"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26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30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30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46388</v>
      </c>
      <c r="E8" s="3">
        <v>46419</v>
      </c>
      <c r="F8" s="3">
        <v>46447</v>
      </c>
      <c r="G8" s="3">
        <v>46478</v>
      </c>
      <c r="H8" s="3">
        <v>46508</v>
      </c>
      <c r="I8" s="3">
        <v>46539</v>
      </c>
      <c r="J8" s="3">
        <v>46569</v>
      </c>
      <c r="K8" s="3">
        <v>46600</v>
      </c>
      <c r="L8" s="3">
        <v>46631</v>
      </c>
      <c r="M8" s="3">
        <v>46661</v>
      </c>
      <c r="N8" s="3">
        <v>46692</v>
      </c>
      <c r="O8" s="3">
        <v>46722</v>
      </c>
    </row>
    <row r="9" spans="2:15" x14ac:dyDescent="0.25">
      <c r="B9" s="77" t="s">
        <v>1</v>
      </c>
      <c r="C9" s="4">
        <v>1</v>
      </c>
      <c r="D9" s="50">
        <v>41.5</v>
      </c>
      <c r="E9" s="50">
        <v>41.5</v>
      </c>
      <c r="F9" s="50">
        <v>41.5</v>
      </c>
      <c r="G9" s="50">
        <v>41.5</v>
      </c>
      <c r="H9" s="50">
        <v>41.5</v>
      </c>
      <c r="I9" s="50">
        <v>41.5</v>
      </c>
      <c r="J9" s="50">
        <v>41.5</v>
      </c>
      <c r="K9" s="50">
        <v>41.5</v>
      </c>
      <c r="L9" s="50">
        <v>41.5</v>
      </c>
      <c r="M9" s="50">
        <v>41.5</v>
      </c>
      <c r="N9" s="50">
        <v>41.5</v>
      </c>
      <c r="O9" s="50">
        <v>41.5</v>
      </c>
    </row>
    <row r="10" spans="2:15" x14ac:dyDescent="0.25">
      <c r="B10" s="84"/>
      <c r="C10" s="4">
        <v>2</v>
      </c>
      <c r="D10" s="50">
        <v>41.5</v>
      </c>
      <c r="E10" s="50">
        <v>41.5</v>
      </c>
      <c r="F10" s="50">
        <v>41.5</v>
      </c>
      <c r="G10" s="50">
        <v>41.5</v>
      </c>
      <c r="H10" s="50">
        <v>41.5</v>
      </c>
      <c r="I10" s="50">
        <v>41.5</v>
      </c>
      <c r="J10" s="50">
        <v>41.5</v>
      </c>
      <c r="K10" s="50">
        <v>41.5</v>
      </c>
      <c r="L10" s="50">
        <v>41.5</v>
      </c>
      <c r="M10" s="50">
        <v>41.5</v>
      </c>
      <c r="N10" s="50">
        <v>41.5</v>
      </c>
      <c r="O10" s="50">
        <v>41.5</v>
      </c>
    </row>
    <row r="11" spans="2:15" x14ac:dyDescent="0.25">
      <c r="B11" s="84"/>
      <c r="C11" s="4">
        <v>3</v>
      </c>
      <c r="D11" s="50">
        <v>41.5</v>
      </c>
      <c r="E11" s="50">
        <v>41.5</v>
      </c>
      <c r="F11" s="50">
        <v>41.5</v>
      </c>
      <c r="G11" s="50">
        <v>41.5</v>
      </c>
      <c r="H11" s="50">
        <v>41.5</v>
      </c>
      <c r="I11" s="50">
        <v>41.5</v>
      </c>
      <c r="J11" s="50">
        <v>41.5</v>
      </c>
      <c r="K11" s="50">
        <v>41.5</v>
      </c>
      <c r="L11" s="50">
        <v>41.5</v>
      </c>
      <c r="M11" s="50">
        <v>41.5</v>
      </c>
      <c r="N11" s="50">
        <v>41.5</v>
      </c>
      <c r="O11" s="50">
        <v>41.5</v>
      </c>
    </row>
    <row r="12" spans="2:15" x14ac:dyDescent="0.25">
      <c r="B12" s="78"/>
      <c r="C12" s="4">
        <v>4</v>
      </c>
      <c r="D12" s="50">
        <v>41.5</v>
      </c>
      <c r="E12" s="50">
        <v>41.5</v>
      </c>
      <c r="F12" s="50">
        <v>41.5</v>
      </c>
      <c r="G12" s="50">
        <v>41.5</v>
      </c>
      <c r="H12" s="50">
        <v>41.5</v>
      </c>
      <c r="I12" s="50">
        <v>41.5</v>
      </c>
      <c r="J12" s="50">
        <v>41.5</v>
      </c>
      <c r="K12" s="50">
        <v>41.5</v>
      </c>
      <c r="L12" s="50">
        <v>41.5</v>
      </c>
      <c r="M12" s="50">
        <v>41.5</v>
      </c>
      <c r="N12" s="50">
        <v>41.5</v>
      </c>
      <c r="O12" s="50">
        <v>41.5</v>
      </c>
    </row>
    <row r="13" spans="2:15" x14ac:dyDescent="0.25">
      <c r="B13" s="77" t="s">
        <v>2</v>
      </c>
      <c r="C13" s="4">
        <v>5</v>
      </c>
      <c r="D13" s="50">
        <v>41.5</v>
      </c>
      <c r="E13" s="50">
        <v>41.5</v>
      </c>
      <c r="F13" s="50">
        <v>41.5</v>
      </c>
      <c r="G13" s="50">
        <v>41.5</v>
      </c>
      <c r="H13" s="50">
        <v>41.5</v>
      </c>
      <c r="I13" s="50">
        <v>41.5</v>
      </c>
      <c r="J13" s="50">
        <v>41.5</v>
      </c>
      <c r="K13" s="50">
        <v>41.5</v>
      </c>
      <c r="L13" s="50">
        <v>41.5</v>
      </c>
      <c r="M13" s="50">
        <v>41.5</v>
      </c>
      <c r="N13" s="50">
        <v>41.5</v>
      </c>
      <c r="O13" s="50">
        <v>41.5</v>
      </c>
    </row>
    <row r="14" spans="2:15" x14ac:dyDescent="0.25">
      <c r="B14" s="84"/>
      <c r="C14" s="4">
        <v>6</v>
      </c>
      <c r="D14" s="50">
        <v>41.5</v>
      </c>
      <c r="E14" s="50">
        <v>41.5</v>
      </c>
      <c r="F14" s="50">
        <v>41.5</v>
      </c>
      <c r="G14" s="50">
        <v>41.5</v>
      </c>
      <c r="H14" s="50">
        <v>41.5</v>
      </c>
      <c r="I14" s="50">
        <v>41.5</v>
      </c>
      <c r="J14" s="50">
        <v>41.5</v>
      </c>
      <c r="K14" s="50">
        <v>41.5</v>
      </c>
      <c r="L14" s="50">
        <v>41.5</v>
      </c>
      <c r="M14" s="50">
        <v>41.5</v>
      </c>
      <c r="N14" s="50">
        <v>41.5</v>
      </c>
      <c r="O14" s="50">
        <v>41.5</v>
      </c>
    </row>
    <row r="15" spans="2:15" x14ac:dyDescent="0.25">
      <c r="B15" s="84"/>
      <c r="C15" s="4">
        <v>7</v>
      </c>
      <c r="D15" s="50">
        <v>41.5</v>
      </c>
      <c r="E15" s="50">
        <v>41.5</v>
      </c>
      <c r="F15" s="50">
        <v>41.5</v>
      </c>
      <c r="G15" s="50">
        <v>41.5</v>
      </c>
      <c r="H15" s="50">
        <v>41.5</v>
      </c>
      <c r="I15" s="50">
        <v>41.5</v>
      </c>
      <c r="J15" s="50">
        <v>41.5</v>
      </c>
      <c r="K15" s="50">
        <v>41.5</v>
      </c>
      <c r="L15" s="50">
        <v>41.5</v>
      </c>
      <c r="M15" s="50">
        <v>41.5</v>
      </c>
      <c r="N15" s="50">
        <v>41.5</v>
      </c>
      <c r="O15" s="50">
        <v>41.5</v>
      </c>
    </row>
    <row r="16" spans="2:15" x14ac:dyDescent="0.25">
      <c r="B16" s="84"/>
      <c r="C16" s="4">
        <v>8</v>
      </c>
      <c r="D16" s="50">
        <v>41.5</v>
      </c>
      <c r="E16" s="50">
        <v>41.5</v>
      </c>
      <c r="F16" s="50">
        <v>41.5</v>
      </c>
      <c r="G16" s="50">
        <v>41.5</v>
      </c>
      <c r="H16" s="50">
        <v>41.5</v>
      </c>
      <c r="I16" s="50">
        <v>41.5</v>
      </c>
      <c r="J16" s="50">
        <v>41.5</v>
      </c>
      <c r="K16" s="50">
        <v>41.5</v>
      </c>
      <c r="L16" s="50">
        <v>41.5</v>
      </c>
      <c r="M16" s="50">
        <v>41.5</v>
      </c>
      <c r="N16" s="50">
        <v>41.5</v>
      </c>
      <c r="O16" s="50">
        <v>41.5</v>
      </c>
    </row>
    <row r="17" spans="2:15" x14ac:dyDescent="0.25">
      <c r="B17" s="78"/>
      <c r="C17" s="4">
        <v>9</v>
      </c>
      <c r="D17" s="50">
        <v>41.5</v>
      </c>
      <c r="E17" s="50">
        <v>41.5</v>
      </c>
      <c r="F17" s="50">
        <v>41.5</v>
      </c>
      <c r="G17" s="50">
        <v>41.5</v>
      </c>
      <c r="H17" s="50">
        <v>41.5</v>
      </c>
      <c r="I17" s="50">
        <v>41.5</v>
      </c>
      <c r="J17" s="50">
        <v>41.5</v>
      </c>
      <c r="K17" s="50">
        <v>41.5</v>
      </c>
      <c r="L17" s="50">
        <v>41.5</v>
      </c>
      <c r="M17" s="50">
        <v>41.5</v>
      </c>
      <c r="N17" s="50">
        <v>41.5</v>
      </c>
      <c r="O17" s="50">
        <v>41.5</v>
      </c>
    </row>
    <row r="18" spans="2:15" x14ac:dyDescent="0.25">
      <c r="B18" s="77" t="s">
        <v>3</v>
      </c>
      <c r="C18" s="4">
        <v>10</v>
      </c>
      <c r="D18" s="50">
        <v>41.5</v>
      </c>
      <c r="E18" s="50">
        <v>41.5</v>
      </c>
      <c r="F18" s="50">
        <v>41.5</v>
      </c>
      <c r="G18" s="50">
        <v>41.5</v>
      </c>
      <c r="H18" s="50">
        <v>41.5</v>
      </c>
      <c r="I18" s="50">
        <v>41.5</v>
      </c>
      <c r="J18" s="50">
        <v>41.5</v>
      </c>
      <c r="K18" s="50">
        <v>41.5</v>
      </c>
      <c r="L18" s="50">
        <v>41.5</v>
      </c>
      <c r="M18" s="50">
        <v>41.5</v>
      </c>
      <c r="N18" s="50">
        <v>41.5</v>
      </c>
      <c r="O18" s="50">
        <v>41.5</v>
      </c>
    </row>
    <row r="19" spans="2:15" x14ac:dyDescent="0.25">
      <c r="B19" s="84"/>
      <c r="C19" s="4">
        <v>11</v>
      </c>
      <c r="D19" s="50">
        <v>41.5</v>
      </c>
      <c r="E19" s="50">
        <v>41.5</v>
      </c>
      <c r="F19" s="50">
        <v>41.5</v>
      </c>
      <c r="G19" s="50">
        <v>41.5</v>
      </c>
      <c r="H19" s="50">
        <v>41.5</v>
      </c>
      <c r="I19" s="50">
        <v>41.5</v>
      </c>
      <c r="J19" s="50">
        <v>41.5</v>
      </c>
      <c r="K19" s="50">
        <v>41.5</v>
      </c>
      <c r="L19" s="50">
        <v>41.5</v>
      </c>
      <c r="M19" s="50">
        <v>41.5</v>
      </c>
      <c r="N19" s="50">
        <v>41.5</v>
      </c>
      <c r="O19" s="50">
        <v>41.5</v>
      </c>
    </row>
    <row r="20" spans="2:15" x14ac:dyDescent="0.25">
      <c r="B20" s="78"/>
      <c r="C20" s="4">
        <v>12</v>
      </c>
      <c r="D20" s="50">
        <v>41.5</v>
      </c>
      <c r="E20" s="50">
        <v>41.5</v>
      </c>
      <c r="F20" s="50">
        <v>41.5</v>
      </c>
      <c r="G20" s="50">
        <v>41.5</v>
      </c>
      <c r="H20" s="50">
        <v>41.5</v>
      </c>
      <c r="I20" s="50">
        <v>41.5</v>
      </c>
      <c r="J20" s="50">
        <v>41.5</v>
      </c>
      <c r="K20" s="50">
        <v>41.5</v>
      </c>
      <c r="L20" s="50">
        <v>41.5</v>
      </c>
      <c r="M20" s="50">
        <v>41.5</v>
      </c>
      <c r="N20" s="50">
        <v>41.5</v>
      </c>
      <c r="O20" s="50">
        <v>41.5</v>
      </c>
    </row>
    <row r="21" spans="2:15" x14ac:dyDescent="0.25">
      <c r="B21" s="77" t="s">
        <v>2</v>
      </c>
      <c r="C21" s="4">
        <v>13</v>
      </c>
      <c r="D21" s="50">
        <v>41.5</v>
      </c>
      <c r="E21" s="50">
        <v>41.5</v>
      </c>
      <c r="F21" s="50">
        <v>41.5</v>
      </c>
      <c r="G21" s="50">
        <v>41.5</v>
      </c>
      <c r="H21" s="50">
        <v>41.5</v>
      </c>
      <c r="I21" s="50">
        <v>41.5</v>
      </c>
      <c r="J21" s="50">
        <v>41.5</v>
      </c>
      <c r="K21" s="50">
        <v>41.5</v>
      </c>
      <c r="L21" s="50">
        <v>41.5</v>
      </c>
      <c r="M21" s="50">
        <v>41.5</v>
      </c>
      <c r="N21" s="50">
        <v>41.5</v>
      </c>
      <c r="O21" s="50">
        <v>41.5</v>
      </c>
    </row>
    <row r="22" spans="2:15" x14ac:dyDescent="0.25">
      <c r="B22" s="84"/>
      <c r="C22" s="4">
        <v>14</v>
      </c>
      <c r="D22" s="50">
        <v>41.5</v>
      </c>
      <c r="E22" s="50">
        <v>41.5</v>
      </c>
      <c r="F22" s="50">
        <v>41.5</v>
      </c>
      <c r="G22" s="50">
        <v>41.5</v>
      </c>
      <c r="H22" s="50">
        <v>41.5</v>
      </c>
      <c r="I22" s="50">
        <v>41.5</v>
      </c>
      <c r="J22" s="50">
        <v>41.5</v>
      </c>
      <c r="K22" s="50">
        <v>41.5</v>
      </c>
      <c r="L22" s="50">
        <v>41.5</v>
      </c>
      <c r="M22" s="50">
        <v>41.5</v>
      </c>
      <c r="N22" s="50">
        <v>41.5</v>
      </c>
      <c r="O22" s="50">
        <v>41.5</v>
      </c>
    </row>
    <row r="23" spans="2:15" x14ac:dyDescent="0.25">
      <c r="B23" s="84"/>
      <c r="C23" s="4">
        <v>15</v>
      </c>
      <c r="D23" s="50">
        <v>41.5</v>
      </c>
      <c r="E23" s="50">
        <v>41.5</v>
      </c>
      <c r="F23" s="50">
        <v>41.5</v>
      </c>
      <c r="G23" s="50">
        <v>41.5</v>
      </c>
      <c r="H23" s="50">
        <v>41.5</v>
      </c>
      <c r="I23" s="50">
        <v>41.5</v>
      </c>
      <c r="J23" s="50">
        <v>41.5</v>
      </c>
      <c r="K23" s="50">
        <v>41.5</v>
      </c>
      <c r="L23" s="50">
        <v>41.5</v>
      </c>
      <c r="M23" s="50">
        <v>41.5</v>
      </c>
      <c r="N23" s="50">
        <v>41.5</v>
      </c>
      <c r="O23" s="50">
        <v>41.5</v>
      </c>
    </row>
    <row r="24" spans="2:15" x14ac:dyDescent="0.25">
      <c r="B24" s="84"/>
      <c r="C24" s="4">
        <v>16</v>
      </c>
      <c r="D24" s="50">
        <v>41.5</v>
      </c>
      <c r="E24" s="50">
        <v>41.5</v>
      </c>
      <c r="F24" s="50">
        <v>41.5</v>
      </c>
      <c r="G24" s="50">
        <v>41.5</v>
      </c>
      <c r="H24" s="50">
        <v>41.5</v>
      </c>
      <c r="I24" s="50">
        <v>41.5</v>
      </c>
      <c r="J24" s="50">
        <v>41.5</v>
      </c>
      <c r="K24" s="50">
        <v>41.5</v>
      </c>
      <c r="L24" s="50">
        <v>41.5</v>
      </c>
      <c r="M24" s="50">
        <v>41.5</v>
      </c>
      <c r="N24" s="50">
        <v>41.5</v>
      </c>
      <c r="O24" s="50">
        <v>41.5</v>
      </c>
    </row>
    <row r="25" spans="2:15" x14ac:dyDescent="0.25">
      <c r="B25" s="84"/>
      <c r="C25" s="4">
        <v>17</v>
      </c>
      <c r="D25" s="50">
        <v>41.5</v>
      </c>
      <c r="E25" s="50">
        <v>41.5</v>
      </c>
      <c r="F25" s="50">
        <v>41.5</v>
      </c>
      <c r="G25" s="50">
        <v>41.5</v>
      </c>
      <c r="H25" s="50">
        <v>41.5</v>
      </c>
      <c r="I25" s="50">
        <v>41.5</v>
      </c>
      <c r="J25" s="50">
        <v>41.5</v>
      </c>
      <c r="K25" s="50">
        <v>41.5</v>
      </c>
      <c r="L25" s="50">
        <v>41.5</v>
      </c>
      <c r="M25" s="50">
        <v>41.5</v>
      </c>
      <c r="N25" s="50">
        <v>41.5</v>
      </c>
      <c r="O25" s="50">
        <v>41.5</v>
      </c>
    </row>
    <row r="26" spans="2:15" x14ac:dyDescent="0.25">
      <c r="B26" s="78"/>
      <c r="C26" s="4">
        <v>18</v>
      </c>
      <c r="D26" s="50">
        <v>41.5</v>
      </c>
      <c r="E26" s="50">
        <v>41.5</v>
      </c>
      <c r="F26" s="50">
        <v>41.5</v>
      </c>
      <c r="G26" s="50">
        <v>41.5</v>
      </c>
      <c r="H26" s="50">
        <v>41.5</v>
      </c>
      <c r="I26" s="50">
        <v>41.5</v>
      </c>
      <c r="J26" s="50">
        <v>41.5</v>
      </c>
      <c r="K26" s="50">
        <v>41.5</v>
      </c>
      <c r="L26" s="50">
        <v>41.5</v>
      </c>
      <c r="M26" s="50">
        <v>41.5</v>
      </c>
      <c r="N26" s="50">
        <v>41.5</v>
      </c>
      <c r="O26" s="50">
        <v>41.5</v>
      </c>
    </row>
    <row r="27" spans="2:15" x14ac:dyDescent="0.25">
      <c r="B27" s="77" t="s">
        <v>3</v>
      </c>
      <c r="C27" s="4">
        <v>19</v>
      </c>
      <c r="D27" s="50">
        <v>41.5</v>
      </c>
      <c r="E27" s="50">
        <v>41.5</v>
      </c>
      <c r="F27" s="50">
        <v>41.5</v>
      </c>
      <c r="G27" s="50">
        <v>41.5</v>
      </c>
      <c r="H27" s="50">
        <v>41.5</v>
      </c>
      <c r="I27" s="50">
        <v>41.5</v>
      </c>
      <c r="J27" s="50">
        <v>41.5</v>
      </c>
      <c r="K27" s="50">
        <v>41.5</v>
      </c>
      <c r="L27" s="50">
        <v>41.5</v>
      </c>
      <c r="M27" s="50">
        <v>41.5</v>
      </c>
      <c r="N27" s="50">
        <v>41.5</v>
      </c>
      <c r="O27" s="50">
        <v>41.5</v>
      </c>
    </row>
    <row r="28" spans="2:15" x14ac:dyDescent="0.25">
      <c r="B28" s="84"/>
      <c r="C28" s="4">
        <v>20</v>
      </c>
      <c r="D28" s="50">
        <v>41.5</v>
      </c>
      <c r="E28" s="50">
        <v>41.5</v>
      </c>
      <c r="F28" s="50">
        <v>41.5</v>
      </c>
      <c r="G28" s="50">
        <v>41.5</v>
      </c>
      <c r="H28" s="50">
        <v>41.5</v>
      </c>
      <c r="I28" s="50">
        <v>41.5</v>
      </c>
      <c r="J28" s="50">
        <v>41.5</v>
      </c>
      <c r="K28" s="50">
        <v>41.5</v>
      </c>
      <c r="L28" s="50">
        <v>41.5</v>
      </c>
      <c r="M28" s="50">
        <v>41.5</v>
      </c>
      <c r="N28" s="50">
        <v>41.5</v>
      </c>
      <c r="O28" s="50">
        <v>41.5</v>
      </c>
    </row>
    <row r="29" spans="2:15" x14ac:dyDescent="0.25">
      <c r="B29" s="78"/>
      <c r="C29" s="4">
        <v>21</v>
      </c>
      <c r="D29" s="50">
        <v>41.5</v>
      </c>
      <c r="E29" s="50">
        <v>41.5</v>
      </c>
      <c r="F29" s="50">
        <v>41.5</v>
      </c>
      <c r="G29" s="50">
        <v>41.5</v>
      </c>
      <c r="H29" s="50">
        <v>41.5</v>
      </c>
      <c r="I29" s="50">
        <v>41.5</v>
      </c>
      <c r="J29" s="50">
        <v>41.5</v>
      </c>
      <c r="K29" s="50">
        <v>41.5</v>
      </c>
      <c r="L29" s="50">
        <v>41.5</v>
      </c>
      <c r="M29" s="50">
        <v>41.5</v>
      </c>
      <c r="N29" s="50">
        <v>41.5</v>
      </c>
      <c r="O29" s="50">
        <v>41.5</v>
      </c>
    </row>
    <row r="30" spans="2:15" x14ac:dyDescent="0.25">
      <c r="B30" s="77" t="s">
        <v>2</v>
      </c>
      <c r="C30" s="4">
        <v>22</v>
      </c>
      <c r="D30" s="50">
        <v>41.5</v>
      </c>
      <c r="E30" s="50">
        <v>41.5</v>
      </c>
      <c r="F30" s="50">
        <v>41.5</v>
      </c>
      <c r="G30" s="50">
        <v>41.5</v>
      </c>
      <c r="H30" s="50">
        <v>41.5</v>
      </c>
      <c r="I30" s="50">
        <v>41.5</v>
      </c>
      <c r="J30" s="50">
        <v>41.5</v>
      </c>
      <c r="K30" s="50">
        <v>41.5</v>
      </c>
      <c r="L30" s="50">
        <v>41.5</v>
      </c>
      <c r="M30" s="50">
        <v>41.5</v>
      </c>
      <c r="N30" s="50">
        <v>41.5</v>
      </c>
      <c r="O30" s="50">
        <v>41.5</v>
      </c>
    </row>
    <row r="31" spans="2:15" ht="16.149999999999999" customHeight="1" x14ac:dyDescent="0.25">
      <c r="B31" s="78"/>
      <c r="C31" s="4">
        <v>23</v>
      </c>
      <c r="D31" s="50">
        <v>41.5</v>
      </c>
      <c r="E31" s="50">
        <v>41.5</v>
      </c>
      <c r="F31" s="50">
        <v>41.5</v>
      </c>
      <c r="G31" s="50">
        <v>41.5</v>
      </c>
      <c r="H31" s="50">
        <v>41.5</v>
      </c>
      <c r="I31" s="50">
        <v>41.5</v>
      </c>
      <c r="J31" s="50">
        <v>41.5</v>
      </c>
      <c r="K31" s="50">
        <v>41.5</v>
      </c>
      <c r="L31" s="50">
        <v>41.5</v>
      </c>
      <c r="M31" s="50">
        <v>41.5</v>
      </c>
      <c r="N31" s="50">
        <v>41.5</v>
      </c>
      <c r="O31" s="50">
        <v>41.5</v>
      </c>
    </row>
    <row r="32" spans="2:15" x14ac:dyDescent="0.25">
      <c r="B32" s="36" t="s">
        <v>1</v>
      </c>
      <c r="C32" s="37">
        <v>24</v>
      </c>
      <c r="D32" s="50">
        <v>41.5</v>
      </c>
      <c r="E32" s="50">
        <v>41.5</v>
      </c>
      <c r="F32" s="50">
        <v>41.5</v>
      </c>
      <c r="G32" s="50">
        <v>41.5</v>
      </c>
      <c r="H32" s="50">
        <v>41.5</v>
      </c>
      <c r="I32" s="50">
        <v>41.5</v>
      </c>
      <c r="J32" s="50">
        <v>41.5</v>
      </c>
      <c r="K32" s="50">
        <v>41.5</v>
      </c>
      <c r="L32" s="50">
        <v>41.5</v>
      </c>
      <c r="M32" s="50">
        <v>41.5</v>
      </c>
      <c r="N32" s="50">
        <v>41.5</v>
      </c>
      <c r="O32" s="50">
        <v>41.5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31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207.5</v>
      </c>
      <c r="E35" s="41">
        <f t="shared" si="0"/>
        <v>207.5</v>
      </c>
      <c r="F35" s="41">
        <f t="shared" si="0"/>
        <v>207.5</v>
      </c>
      <c r="G35" s="41">
        <f t="shared" si="0"/>
        <v>207.5</v>
      </c>
      <c r="H35" s="41">
        <f t="shared" ref="H35:O35" si="1">(SUM(H9:H12)+H32)</f>
        <v>207.5</v>
      </c>
      <c r="I35" s="41">
        <f t="shared" si="1"/>
        <v>207.5</v>
      </c>
      <c r="J35" s="41">
        <f t="shared" si="1"/>
        <v>207.5</v>
      </c>
      <c r="K35" s="41">
        <f t="shared" si="1"/>
        <v>207.5</v>
      </c>
      <c r="L35" s="41">
        <f t="shared" si="1"/>
        <v>207.5</v>
      </c>
      <c r="M35" s="41">
        <f t="shared" si="1"/>
        <v>207.5</v>
      </c>
      <c r="N35" s="41">
        <f t="shared" si="1"/>
        <v>207.5</v>
      </c>
      <c r="O35" s="41">
        <f t="shared" si="1"/>
        <v>207.5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539.5</v>
      </c>
      <c r="E36" s="41">
        <f t="shared" si="2"/>
        <v>539.5</v>
      </c>
      <c r="F36" s="41">
        <f t="shared" si="2"/>
        <v>539.5</v>
      </c>
      <c r="G36" s="41">
        <f t="shared" si="2"/>
        <v>539.5</v>
      </c>
      <c r="H36" s="41">
        <f t="shared" ref="H36:O36" si="3">(SUM(H13:H17)+SUM(H21:H26)+H30+H31)</f>
        <v>539.5</v>
      </c>
      <c r="I36" s="41">
        <f t="shared" si="3"/>
        <v>539.5</v>
      </c>
      <c r="J36" s="41">
        <f t="shared" si="3"/>
        <v>539.5</v>
      </c>
      <c r="K36" s="41">
        <f t="shared" si="3"/>
        <v>539.5</v>
      </c>
      <c r="L36" s="41">
        <f t="shared" si="3"/>
        <v>539.5</v>
      </c>
      <c r="M36" s="41">
        <f t="shared" si="3"/>
        <v>539.5</v>
      </c>
      <c r="N36" s="41">
        <f t="shared" si="3"/>
        <v>539.5</v>
      </c>
      <c r="O36" s="41">
        <f t="shared" si="3"/>
        <v>539.5</v>
      </c>
    </row>
    <row r="37" spans="2:16" x14ac:dyDescent="0.25">
      <c r="B37" s="88" t="s">
        <v>3</v>
      </c>
      <c r="C37" s="88"/>
      <c r="D37" s="41">
        <f t="shared" ref="D37:G37" si="4">(SUM(D18:D20)+SUM(D27:D29))</f>
        <v>249</v>
      </c>
      <c r="E37" s="41">
        <f t="shared" si="4"/>
        <v>249</v>
      </c>
      <c r="F37" s="41">
        <f t="shared" si="4"/>
        <v>249</v>
      </c>
      <c r="G37" s="41">
        <f t="shared" si="4"/>
        <v>249</v>
      </c>
      <c r="H37" s="41">
        <f t="shared" ref="H37:O37" si="5">(SUM(H18:H20)+SUM(H27:H29))</f>
        <v>249</v>
      </c>
      <c r="I37" s="41">
        <f t="shared" si="5"/>
        <v>249</v>
      </c>
      <c r="J37" s="41">
        <f t="shared" si="5"/>
        <v>249</v>
      </c>
      <c r="K37" s="41">
        <f t="shared" si="5"/>
        <v>249</v>
      </c>
      <c r="L37" s="41">
        <f t="shared" si="5"/>
        <v>249</v>
      </c>
      <c r="M37" s="41">
        <f t="shared" si="5"/>
        <v>249</v>
      </c>
      <c r="N37" s="41">
        <f t="shared" si="5"/>
        <v>249</v>
      </c>
      <c r="O37" s="41">
        <f t="shared" si="5"/>
        <v>249</v>
      </c>
    </row>
    <row r="38" spans="2:16" x14ac:dyDescent="0.25">
      <c r="B38" s="85" t="s">
        <v>9</v>
      </c>
      <c r="C38" s="86"/>
      <c r="D38" s="41">
        <f t="shared" ref="D38:G38" si="6">D35*D33</f>
        <v>6432.5</v>
      </c>
      <c r="E38" s="41">
        <f t="shared" si="6"/>
        <v>5810</v>
      </c>
      <c r="F38" s="41">
        <f t="shared" si="6"/>
        <v>6432.5</v>
      </c>
      <c r="G38" s="41">
        <f t="shared" si="6"/>
        <v>6225</v>
      </c>
      <c r="H38" s="41">
        <f t="shared" ref="H38:O38" si="7">H35*H33</f>
        <v>6432.5</v>
      </c>
      <c r="I38" s="41">
        <f t="shared" si="7"/>
        <v>6225</v>
      </c>
      <c r="J38" s="41">
        <f t="shared" si="7"/>
        <v>6432.5</v>
      </c>
      <c r="K38" s="41">
        <f t="shared" si="7"/>
        <v>6432.5</v>
      </c>
      <c r="L38" s="41">
        <f t="shared" si="7"/>
        <v>6225</v>
      </c>
      <c r="M38" s="41">
        <f t="shared" si="7"/>
        <v>6432.5</v>
      </c>
      <c r="N38" s="41">
        <f t="shared" si="7"/>
        <v>6225</v>
      </c>
      <c r="O38" s="41">
        <f t="shared" si="7"/>
        <v>6432.5</v>
      </c>
    </row>
    <row r="39" spans="2:16" x14ac:dyDescent="0.25">
      <c r="B39" s="85" t="s">
        <v>10</v>
      </c>
      <c r="C39" s="86"/>
      <c r="D39" s="41">
        <f t="shared" ref="D39:G39" si="8">D33*D36</f>
        <v>16724.5</v>
      </c>
      <c r="E39" s="41">
        <f t="shared" si="8"/>
        <v>15106</v>
      </c>
      <c r="F39" s="41">
        <f t="shared" si="8"/>
        <v>16724.5</v>
      </c>
      <c r="G39" s="41">
        <f t="shared" si="8"/>
        <v>16185</v>
      </c>
      <c r="H39" s="41">
        <f t="shared" ref="H39:O39" si="9">H33*H36</f>
        <v>16724.5</v>
      </c>
      <c r="I39" s="41">
        <f t="shared" si="9"/>
        <v>16185</v>
      </c>
      <c r="J39" s="41">
        <f t="shared" si="9"/>
        <v>16724.5</v>
      </c>
      <c r="K39" s="41">
        <f t="shared" si="9"/>
        <v>16724.5</v>
      </c>
      <c r="L39" s="41">
        <f t="shared" si="9"/>
        <v>16185</v>
      </c>
      <c r="M39" s="41">
        <f t="shared" si="9"/>
        <v>16724.5</v>
      </c>
      <c r="N39" s="41">
        <f t="shared" si="9"/>
        <v>16185</v>
      </c>
      <c r="O39" s="41">
        <f t="shared" si="9"/>
        <v>16724.5</v>
      </c>
    </row>
    <row r="40" spans="2:16" x14ac:dyDescent="0.25">
      <c r="B40" s="85" t="s">
        <v>11</v>
      </c>
      <c r="C40" s="86"/>
      <c r="D40" s="41">
        <f t="shared" ref="D40:G40" si="10">D33*D37</f>
        <v>7719</v>
      </c>
      <c r="E40" s="41">
        <f t="shared" si="10"/>
        <v>6972</v>
      </c>
      <c r="F40" s="41">
        <f t="shared" si="10"/>
        <v>7719</v>
      </c>
      <c r="G40" s="41">
        <f t="shared" si="10"/>
        <v>7470</v>
      </c>
      <c r="H40" s="41">
        <f t="shared" ref="H40:O40" si="11">H33*H37</f>
        <v>7719</v>
      </c>
      <c r="I40" s="41">
        <f t="shared" si="11"/>
        <v>7470</v>
      </c>
      <c r="J40" s="41">
        <f t="shared" si="11"/>
        <v>7719</v>
      </c>
      <c r="K40" s="41">
        <f t="shared" si="11"/>
        <v>7719</v>
      </c>
      <c r="L40" s="41">
        <f t="shared" si="11"/>
        <v>7470</v>
      </c>
      <c r="M40" s="41">
        <f t="shared" si="11"/>
        <v>7719</v>
      </c>
      <c r="N40" s="41">
        <f t="shared" si="11"/>
        <v>7470</v>
      </c>
      <c r="O40" s="41">
        <f t="shared" si="11"/>
        <v>7719</v>
      </c>
    </row>
    <row r="41" spans="2:16" x14ac:dyDescent="0.25">
      <c r="B41" s="81" t="s">
        <v>12</v>
      </c>
      <c r="C41" s="82"/>
      <c r="D41" s="51">
        <f t="shared" ref="D41:G41" si="12">D40+D39+D38</f>
        <v>30876</v>
      </c>
      <c r="E41" s="51">
        <f t="shared" si="12"/>
        <v>27888</v>
      </c>
      <c r="F41" s="51">
        <f t="shared" si="12"/>
        <v>30876</v>
      </c>
      <c r="G41" s="51">
        <f t="shared" si="12"/>
        <v>29880</v>
      </c>
      <c r="H41" s="51">
        <f t="shared" ref="H41:O41" si="13">H40+H39+H38</f>
        <v>30876</v>
      </c>
      <c r="I41" s="51">
        <f t="shared" si="13"/>
        <v>29880</v>
      </c>
      <c r="J41" s="51">
        <f t="shared" si="13"/>
        <v>30876</v>
      </c>
      <c r="K41" s="51">
        <f t="shared" si="13"/>
        <v>30876</v>
      </c>
      <c r="L41" s="51">
        <f t="shared" si="13"/>
        <v>29880</v>
      </c>
      <c r="M41" s="51">
        <f t="shared" si="13"/>
        <v>30876</v>
      </c>
      <c r="N41" s="51">
        <f t="shared" si="13"/>
        <v>29880</v>
      </c>
      <c r="O41" s="51">
        <f t="shared" si="13"/>
        <v>30876</v>
      </c>
      <c r="P41" s="52">
        <f>SUM(D41:O41)</f>
        <v>363540</v>
      </c>
    </row>
    <row r="42" spans="2:16" x14ac:dyDescent="0.25">
      <c r="D42" s="3">
        <v>46388</v>
      </c>
      <c r="E42" s="3">
        <v>46419</v>
      </c>
      <c r="F42" s="3">
        <v>46447</v>
      </c>
      <c r="G42" s="3">
        <v>46478</v>
      </c>
      <c r="H42" s="3">
        <v>46508</v>
      </c>
      <c r="I42" s="3">
        <v>46539</v>
      </c>
      <c r="J42" s="3">
        <v>46569</v>
      </c>
      <c r="K42" s="3">
        <v>46600</v>
      </c>
      <c r="L42" s="3">
        <v>46631</v>
      </c>
      <c r="M42" s="3">
        <v>46661</v>
      </c>
      <c r="N42" s="3">
        <v>46692</v>
      </c>
      <c r="O42" s="3">
        <v>46722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4:O34"/>
    <mergeCell ref="B33:C33"/>
    <mergeCell ref="B35:C35"/>
    <mergeCell ref="B36:C36"/>
    <mergeCell ref="B37:C37"/>
    <mergeCell ref="B38:C38"/>
    <mergeCell ref="B30:B31"/>
    <mergeCell ref="B7:B8"/>
    <mergeCell ref="C7:C8"/>
    <mergeCell ref="B1:O1"/>
    <mergeCell ref="B2:O2"/>
    <mergeCell ref="B3:O3"/>
    <mergeCell ref="B4:O4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27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32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32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46753</v>
      </c>
      <c r="E8" s="3">
        <v>46784</v>
      </c>
      <c r="F8" s="3">
        <v>46813</v>
      </c>
      <c r="G8" s="3">
        <v>46844</v>
      </c>
      <c r="H8" s="3">
        <v>46874</v>
      </c>
      <c r="I8" s="3">
        <v>46905</v>
      </c>
      <c r="J8" s="3">
        <v>46935</v>
      </c>
      <c r="K8" s="3">
        <v>46966</v>
      </c>
      <c r="L8" s="3">
        <v>46997</v>
      </c>
      <c r="M8" s="3">
        <v>47027</v>
      </c>
      <c r="N8" s="3">
        <v>47058</v>
      </c>
      <c r="O8" s="3">
        <v>47088</v>
      </c>
    </row>
    <row r="9" spans="2:15" x14ac:dyDescent="0.25">
      <c r="B9" s="77" t="s">
        <v>1</v>
      </c>
      <c r="C9" s="4">
        <v>1</v>
      </c>
      <c r="D9" s="50">
        <v>43.5</v>
      </c>
      <c r="E9" s="50">
        <v>43.5</v>
      </c>
      <c r="F9" s="50">
        <v>43.5</v>
      </c>
      <c r="G9" s="50">
        <v>43.5</v>
      </c>
      <c r="H9" s="50">
        <v>43.5</v>
      </c>
      <c r="I9" s="50">
        <v>43.5</v>
      </c>
      <c r="J9" s="50">
        <v>43.5</v>
      </c>
      <c r="K9" s="50">
        <v>43.5</v>
      </c>
      <c r="L9" s="50">
        <v>43.5</v>
      </c>
      <c r="M9" s="50">
        <v>43.5</v>
      </c>
      <c r="N9" s="50">
        <v>43.5</v>
      </c>
      <c r="O9" s="50">
        <v>43.5</v>
      </c>
    </row>
    <row r="10" spans="2:15" x14ac:dyDescent="0.25">
      <c r="B10" s="84"/>
      <c r="C10" s="4">
        <v>2</v>
      </c>
      <c r="D10" s="50">
        <v>43.5</v>
      </c>
      <c r="E10" s="50">
        <v>43.5</v>
      </c>
      <c r="F10" s="50">
        <v>43.5</v>
      </c>
      <c r="G10" s="50">
        <v>43.5</v>
      </c>
      <c r="H10" s="50">
        <v>43.5</v>
      </c>
      <c r="I10" s="50">
        <v>43.5</v>
      </c>
      <c r="J10" s="50">
        <v>43.5</v>
      </c>
      <c r="K10" s="50">
        <v>43.5</v>
      </c>
      <c r="L10" s="50">
        <v>43.5</v>
      </c>
      <c r="M10" s="50">
        <v>43.5</v>
      </c>
      <c r="N10" s="50">
        <v>43.5</v>
      </c>
      <c r="O10" s="50">
        <v>43.5</v>
      </c>
    </row>
    <row r="11" spans="2:15" x14ac:dyDescent="0.25">
      <c r="B11" s="84"/>
      <c r="C11" s="4">
        <v>3</v>
      </c>
      <c r="D11" s="50">
        <v>43.5</v>
      </c>
      <c r="E11" s="50">
        <v>43.5</v>
      </c>
      <c r="F11" s="50">
        <v>43.5</v>
      </c>
      <c r="G11" s="50">
        <v>43.5</v>
      </c>
      <c r="H11" s="50">
        <v>43.5</v>
      </c>
      <c r="I11" s="50">
        <v>43.5</v>
      </c>
      <c r="J11" s="50">
        <v>43.5</v>
      </c>
      <c r="K11" s="50">
        <v>43.5</v>
      </c>
      <c r="L11" s="50">
        <v>43.5</v>
      </c>
      <c r="M11" s="50">
        <v>43.5</v>
      </c>
      <c r="N11" s="50">
        <v>43.5</v>
      </c>
      <c r="O11" s="50">
        <v>43.5</v>
      </c>
    </row>
    <row r="12" spans="2:15" x14ac:dyDescent="0.25">
      <c r="B12" s="78"/>
      <c r="C12" s="4">
        <v>4</v>
      </c>
      <c r="D12" s="50">
        <v>43.5</v>
      </c>
      <c r="E12" s="50">
        <v>43.5</v>
      </c>
      <c r="F12" s="50">
        <v>43.5</v>
      </c>
      <c r="G12" s="50">
        <v>43.5</v>
      </c>
      <c r="H12" s="50">
        <v>43.5</v>
      </c>
      <c r="I12" s="50">
        <v>43.5</v>
      </c>
      <c r="J12" s="50">
        <v>43.5</v>
      </c>
      <c r="K12" s="50">
        <v>43.5</v>
      </c>
      <c r="L12" s="50">
        <v>43.5</v>
      </c>
      <c r="M12" s="50">
        <v>43.5</v>
      </c>
      <c r="N12" s="50">
        <v>43.5</v>
      </c>
      <c r="O12" s="50">
        <v>43.5</v>
      </c>
    </row>
    <row r="13" spans="2:15" x14ac:dyDescent="0.25">
      <c r="B13" s="77" t="s">
        <v>2</v>
      </c>
      <c r="C13" s="4">
        <v>5</v>
      </c>
      <c r="D13" s="50">
        <v>43.5</v>
      </c>
      <c r="E13" s="50">
        <v>43.5</v>
      </c>
      <c r="F13" s="50">
        <v>43.5</v>
      </c>
      <c r="G13" s="50">
        <v>43.5</v>
      </c>
      <c r="H13" s="50">
        <v>43.5</v>
      </c>
      <c r="I13" s="50">
        <v>43.5</v>
      </c>
      <c r="J13" s="50">
        <v>43.5</v>
      </c>
      <c r="K13" s="50">
        <v>43.5</v>
      </c>
      <c r="L13" s="50">
        <v>43.5</v>
      </c>
      <c r="M13" s="50">
        <v>43.5</v>
      </c>
      <c r="N13" s="50">
        <v>43.5</v>
      </c>
      <c r="O13" s="50">
        <v>43.5</v>
      </c>
    </row>
    <row r="14" spans="2:15" x14ac:dyDescent="0.25">
      <c r="B14" s="84"/>
      <c r="C14" s="4">
        <v>6</v>
      </c>
      <c r="D14" s="50">
        <v>43.5</v>
      </c>
      <c r="E14" s="50">
        <v>43.5</v>
      </c>
      <c r="F14" s="50">
        <v>43.5</v>
      </c>
      <c r="G14" s="50">
        <v>43.5</v>
      </c>
      <c r="H14" s="50">
        <v>43.5</v>
      </c>
      <c r="I14" s="50">
        <v>43.5</v>
      </c>
      <c r="J14" s="50">
        <v>43.5</v>
      </c>
      <c r="K14" s="50">
        <v>43.5</v>
      </c>
      <c r="L14" s="50">
        <v>43.5</v>
      </c>
      <c r="M14" s="50">
        <v>43.5</v>
      </c>
      <c r="N14" s="50">
        <v>43.5</v>
      </c>
      <c r="O14" s="50">
        <v>43.5</v>
      </c>
    </row>
    <row r="15" spans="2:15" x14ac:dyDescent="0.25">
      <c r="B15" s="84"/>
      <c r="C15" s="4">
        <v>7</v>
      </c>
      <c r="D15" s="50">
        <v>43.5</v>
      </c>
      <c r="E15" s="50">
        <v>43.5</v>
      </c>
      <c r="F15" s="50">
        <v>43.5</v>
      </c>
      <c r="G15" s="50">
        <v>43.5</v>
      </c>
      <c r="H15" s="50">
        <v>43.5</v>
      </c>
      <c r="I15" s="50">
        <v>43.5</v>
      </c>
      <c r="J15" s="50">
        <v>43.5</v>
      </c>
      <c r="K15" s="50">
        <v>43.5</v>
      </c>
      <c r="L15" s="50">
        <v>43.5</v>
      </c>
      <c r="M15" s="50">
        <v>43.5</v>
      </c>
      <c r="N15" s="50">
        <v>43.5</v>
      </c>
      <c r="O15" s="50">
        <v>43.5</v>
      </c>
    </row>
    <row r="16" spans="2:15" x14ac:dyDescent="0.25">
      <c r="B16" s="84"/>
      <c r="C16" s="4">
        <v>8</v>
      </c>
      <c r="D16" s="50">
        <v>43.5</v>
      </c>
      <c r="E16" s="50">
        <v>43.5</v>
      </c>
      <c r="F16" s="50">
        <v>43.5</v>
      </c>
      <c r="G16" s="50">
        <v>43.5</v>
      </c>
      <c r="H16" s="50">
        <v>43.5</v>
      </c>
      <c r="I16" s="50">
        <v>43.5</v>
      </c>
      <c r="J16" s="50">
        <v>43.5</v>
      </c>
      <c r="K16" s="50">
        <v>43.5</v>
      </c>
      <c r="L16" s="50">
        <v>43.5</v>
      </c>
      <c r="M16" s="50">
        <v>43.5</v>
      </c>
      <c r="N16" s="50">
        <v>43.5</v>
      </c>
      <c r="O16" s="50">
        <v>43.5</v>
      </c>
    </row>
    <row r="17" spans="2:15" x14ac:dyDescent="0.25">
      <c r="B17" s="78"/>
      <c r="C17" s="4">
        <v>9</v>
      </c>
      <c r="D17" s="50">
        <v>43.5</v>
      </c>
      <c r="E17" s="50">
        <v>43.5</v>
      </c>
      <c r="F17" s="50">
        <v>43.5</v>
      </c>
      <c r="G17" s="50">
        <v>43.5</v>
      </c>
      <c r="H17" s="50">
        <v>43.5</v>
      </c>
      <c r="I17" s="50">
        <v>43.5</v>
      </c>
      <c r="J17" s="50">
        <v>43.5</v>
      </c>
      <c r="K17" s="50">
        <v>43.5</v>
      </c>
      <c r="L17" s="50">
        <v>43.5</v>
      </c>
      <c r="M17" s="50">
        <v>43.5</v>
      </c>
      <c r="N17" s="50">
        <v>43.5</v>
      </c>
      <c r="O17" s="50">
        <v>43.5</v>
      </c>
    </row>
    <row r="18" spans="2:15" x14ac:dyDescent="0.25">
      <c r="B18" s="77" t="s">
        <v>3</v>
      </c>
      <c r="C18" s="4">
        <v>10</v>
      </c>
      <c r="D18" s="50">
        <v>43.5</v>
      </c>
      <c r="E18" s="50">
        <v>43.5</v>
      </c>
      <c r="F18" s="50">
        <v>43.5</v>
      </c>
      <c r="G18" s="50">
        <v>43.5</v>
      </c>
      <c r="H18" s="50">
        <v>43.5</v>
      </c>
      <c r="I18" s="50">
        <v>43.5</v>
      </c>
      <c r="J18" s="50">
        <v>43.5</v>
      </c>
      <c r="K18" s="50">
        <v>43.5</v>
      </c>
      <c r="L18" s="50">
        <v>43.5</v>
      </c>
      <c r="M18" s="50">
        <v>43.5</v>
      </c>
      <c r="N18" s="50">
        <v>43.5</v>
      </c>
      <c r="O18" s="50">
        <v>43.5</v>
      </c>
    </row>
    <row r="19" spans="2:15" x14ac:dyDescent="0.25">
      <c r="B19" s="84"/>
      <c r="C19" s="4">
        <v>11</v>
      </c>
      <c r="D19" s="50">
        <v>43.5</v>
      </c>
      <c r="E19" s="50">
        <v>43.5</v>
      </c>
      <c r="F19" s="50">
        <v>43.5</v>
      </c>
      <c r="G19" s="50">
        <v>43.5</v>
      </c>
      <c r="H19" s="50">
        <v>43.5</v>
      </c>
      <c r="I19" s="50">
        <v>43.5</v>
      </c>
      <c r="J19" s="50">
        <v>43.5</v>
      </c>
      <c r="K19" s="50">
        <v>43.5</v>
      </c>
      <c r="L19" s="50">
        <v>43.5</v>
      </c>
      <c r="M19" s="50">
        <v>43.5</v>
      </c>
      <c r="N19" s="50">
        <v>43.5</v>
      </c>
      <c r="O19" s="50">
        <v>43.5</v>
      </c>
    </row>
    <row r="20" spans="2:15" x14ac:dyDescent="0.25">
      <c r="B20" s="78"/>
      <c r="C20" s="4">
        <v>12</v>
      </c>
      <c r="D20" s="50">
        <v>43.5</v>
      </c>
      <c r="E20" s="50">
        <v>43.5</v>
      </c>
      <c r="F20" s="50">
        <v>43.5</v>
      </c>
      <c r="G20" s="50">
        <v>43.5</v>
      </c>
      <c r="H20" s="50">
        <v>43.5</v>
      </c>
      <c r="I20" s="50">
        <v>43.5</v>
      </c>
      <c r="J20" s="50">
        <v>43.5</v>
      </c>
      <c r="K20" s="50">
        <v>43.5</v>
      </c>
      <c r="L20" s="50">
        <v>43.5</v>
      </c>
      <c r="M20" s="50">
        <v>43.5</v>
      </c>
      <c r="N20" s="50">
        <v>43.5</v>
      </c>
      <c r="O20" s="50">
        <v>43.5</v>
      </c>
    </row>
    <row r="21" spans="2:15" x14ac:dyDescent="0.25">
      <c r="B21" s="77" t="s">
        <v>2</v>
      </c>
      <c r="C21" s="4">
        <v>13</v>
      </c>
      <c r="D21" s="50">
        <v>43.5</v>
      </c>
      <c r="E21" s="50">
        <v>43.5</v>
      </c>
      <c r="F21" s="50">
        <v>43.5</v>
      </c>
      <c r="G21" s="50">
        <v>43.5</v>
      </c>
      <c r="H21" s="50">
        <v>43.5</v>
      </c>
      <c r="I21" s="50">
        <v>43.5</v>
      </c>
      <c r="J21" s="50">
        <v>43.5</v>
      </c>
      <c r="K21" s="50">
        <v>43.5</v>
      </c>
      <c r="L21" s="50">
        <v>43.5</v>
      </c>
      <c r="M21" s="50">
        <v>43.5</v>
      </c>
      <c r="N21" s="50">
        <v>43.5</v>
      </c>
      <c r="O21" s="50">
        <v>43.5</v>
      </c>
    </row>
    <row r="22" spans="2:15" x14ac:dyDescent="0.25">
      <c r="B22" s="84"/>
      <c r="C22" s="4">
        <v>14</v>
      </c>
      <c r="D22" s="50">
        <v>43.5</v>
      </c>
      <c r="E22" s="50">
        <v>43.5</v>
      </c>
      <c r="F22" s="50">
        <v>43.5</v>
      </c>
      <c r="G22" s="50">
        <v>43.5</v>
      </c>
      <c r="H22" s="50">
        <v>43.5</v>
      </c>
      <c r="I22" s="50">
        <v>43.5</v>
      </c>
      <c r="J22" s="50">
        <v>43.5</v>
      </c>
      <c r="K22" s="50">
        <v>43.5</v>
      </c>
      <c r="L22" s="50">
        <v>43.5</v>
      </c>
      <c r="M22" s="50">
        <v>43.5</v>
      </c>
      <c r="N22" s="50">
        <v>43.5</v>
      </c>
      <c r="O22" s="50">
        <v>43.5</v>
      </c>
    </row>
    <row r="23" spans="2:15" x14ac:dyDescent="0.25">
      <c r="B23" s="84"/>
      <c r="C23" s="4">
        <v>15</v>
      </c>
      <c r="D23" s="50">
        <v>43.5</v>
      </c>
      <c r="E23" s="50">
        <v>43.5</v>
      </c>
      <c r="F23" s="50">
        <v>43.5</v>
      </c>
      <c r="G23" s="50">
        <v>43.5</v>
      </c>
      <c r="H23" s="50">
        <v>43.5</v>
      </c>
      <c r="I23" s="50">
        <v>43.5</v>
      </c>
      <c r="J23" s="50">
        <v>43.5</v>
      </c>
      <c r="K23" s="50">
        <v>43.5</v>
      </c>
      <c r="L23" s="50">
        <v>43.5</v>
      </c>
      <c r="M23" s="50">
        <v>43.5</v>
      </c>
      <c r="N23" s="50">
        <v>43.5</v>
      </c>
      <c r="O23" s="50">
        <v>43.5</v>
      </c>
    </row>
    <row r="24" spans="2:15" x14ac:dyDescent="0.25">
      <c r="B24" s="84"/>
      <c r="C24" s="4">
        <v>16</v>
      </c>
      <c r="D24" s="50">
        <v>43.5</v>
      </c>
      <c r="E24" s="50">
        <v>43.5</v>
      </c>
      <c r="F24" s="50">
        <v>43.5</v>
      </c>
      <c r="G24" s="50">
        <v>43.5</v>
      </c>
      <c r="H24" s="50">
        <v>43.5</v>
      </c>
      <c r="I24" s="50">
        <v>43.5</v>
      </c>
      <c r="J24" s="50">
        <v>43.5</v>
      </c>
      <c r="K24" s="50">
        <v>43.5</v>
      </c>
      <c r="L24" s="50">
        <v>43.5</v>
      </c>
      <c r="M24" s="50">
        <v>43.5</v>
      </c>
      <c r="N24" s="50">
        <v>43.5</v>
      </c>
      <c r="O24" s="50">
        <v>43.5</v>
      </c>
    </row>
    <row r="25" spans="2:15" x14ac:dyDescent="0.25">
      <c r="B25" s="84"/>
      <c r="C25" s="4">
        <v>17</v>
      </c>
      <c r="D25" s="50">
        <v>43.5</v>
      </c>
      <c r="E25" s="50">
        <v>43.5</v>
      </c>
      <c r="F25" s="50">
        <v>43.5</v>
      </c>
      <c r="G25" s="50">
        <v>43.5</v>
      </c>
      <c r="H25" s="50">
        <v>43.5</v>
      </c>
      <c r="I25" s="50">
        <v>43.5</v>
      </c>
      <c r="J25" s="50">
        <v>43.5</v>
      </c>
      <c r="K25" s="50">
        <v>43.5</v>
      </c>
      <c r="L25" s="50">
        <v>43.5</v>
      </c>
      <c r="M25" s="50">
        <v>43.5</v>
      </c>
      <c r="N25" s="50">
        <v>43.5</v>
      </c>
      <c r="O25" s="50">
        <v>43.5</v>
      </c>
    </row>
    <row r="26" spans="2:15" x14ac:dyDescent="0.25">
      <c r="B26" s="78"/>
      <c r="C26" s="4">
        <v>18</v>
      </c>
      <c r="D26" s="50">
        <v>43.5</v>
      </c>
      <c r="E26" s="50">
        <v>43.5</v>
      </c>
      <c r="F26" s="50">
        <v>43.5</v>
      </c>
      <c r="G26" s="50">
        <v>43.5</v>
      </c>
      <c r="H26" s="50">
        <v>43.5</v>
      </c>
      <c r="I26" s="50">
        <v>43.5</v>
      </c>
      <c r="J26" s="50">
        <v>43.5</v>
      </c>
      <c r="K26" s="50">
        <v>43.5</v>
      </c>
      <c r="L26" s="50">
        <v>43.5</v>
      </c>
      <c r="M26" s="50">
        <v>43.5</v>
      </c>
      <c r="N26" s="50">
        <v>43.5</v>
      </c>
      <c r="O26" s="50">
        <v>43.5</v>
      </c>
    </row>
    <row r="27" spans="2:15" x14ac:dyDescent="0.25">
      <c r="B27" s="77" t="s">
        <v>3</v>
      </c>
      <c r="C27" s="4">
        <v>19</v>
      </c>
      <c r="D27" s="50">
        <v>43.5</v>
      </c>
      <c r="E27" s="50">
        <v>43.5</v>
      </c>
      <c r="F27" s="50">
        <v>43.5</v>
      </c>
      <c r="G27" s="50">
        <v>43.5</v>
      </c>
      <c r="H27" s="50">
        <v>43.5</v>
      </c>
      <c r="I27" s="50">
        <v>43.5</v>
      </c>
      <c r="J27" s="50">
        <v>43.5</v>
      </c>
      <c r="K27" s="50">
        <v>43.5</v>
      </c>
      <c r="L27" s="50">
        <v>43.5</v>
      </c>
      <c r="M27" s="50">
        <v>43.5</v>
      </c>
      <c r="N27" s="50">
        <v>43.5</v>
      </c>
      <c r="O27" s="50">
        <v>43.5</v>
      </c>
    </row>
    <row r="28" spans="2:15" x14ac:dyDescent="0.25">
      <c r="B28" s="84"/>
      <c r="C28" s="4">
        <v>20</v>
      </c>
      <c r="D28" s="50">
        <v>43.5</v>
      </c>
      <c r="E28" s="50">
        <v>43.5</v>
      </c>
      <c r="F28" s="50">
        <v>43.5</v>
      </c>
      <c r="G28" s="50">
        <v>43.5</v>
      </c>
      <c r="H28" s="50">
        <v>43.5</v>
      </c>
      <c r="I28" s="50">
        <v>43.5</v>
      </c>
      <c r="J28" s="50">
        <v>43.5</v>
      </c>
      <c r="K28" s="50">
        <v>43.5</v>
      </c>
      <c r="L28" s="50">
        <v>43.5</v>
      </c>
      <c r="M28" s="50">
        <v>43.5</v>
      </c>
      <c r="N28" s="50">
        <v>43.5</v>
      </c>
      <c r="O28" s="50">
        <v>43.5</v>
      </c>
    </row>
    <row r="29" spans="2:15" x14ac:dyDescent="0.25">
      <c r="B29" s="78"/>
      <c r="C29" s="4">
        <v>21</v>
      </c>
      <c r="D29" s="50">
        <v>43.5</v>
      </c>
      <c r="E29" s="50">
        <v>43.5</v>
      </c>
      <c r="F29" s="50">
        <v>43.5</v>
      </c>
      <c r="G29" s="50">
        <v>43.5</v>
      </c>
      <c r="H29" s="50">
        <v>43.5</v>
      </c>
      <c r="I29" s="50">
        <v>43.5</v>
      </c>
      <c r="J29" s="50">
        <v>43.5</v>
      </c>
      <c r="K29" s="50">
        <v>43.5</v>
      </c>
      <c r="L29" s="50">
        <v>43.5</v>
      </c>
      <c r="M29" s="50">
        <v>43.5</v>
      </c>
      <c r="N29" s="50">
        <v>43.5</v>
      </c>
      <c r="O29" s="50">
        <v>43.5</v>
      </c>
    </row>
    <row r="30" spans="2:15" x14ac:dyDescent="0.25">
      <c r="B30" s="77" t="s">
        <v>2</v>
      </c>
      <c r="C30" s="4">
        <v>22</v>
      </c>
      <c r="D30" s="50">
        <v>43.5</v>
      </c>
      <c r="E30" s="50">
        <v>43.5</v>
      </c>
      <c r="F30" s="50">
        <v>43.5</v>
      </c>
      <c r="G30" s="50">
        <v>43.5</v>
      </c>
      <c r="H30" s="50">
        <v>43.5</v>
      </c>
      <c r="I30" s="50">
        <v>43.5</v>
      </c>
      <c r="J30" s="50">
        <v>43.5</v>
      </c>
      <c r="K30" s="50">
        <v>43.5</v>
      </c>
      <c r="L30" s="50">
        <v>43.5</v>
      </c>
      <c r="M30" s="50">
        <v>43.5</v>
      </c>
      <c r="N30" s="50">
        <v>43.5</v>
      </c>
      <c r="O30" s="50">
        <v>43.5</v>
      </c>
    </row>
    <row r="31" spans="2:15" ht="16.149999999999999" customHeight="1" x14ac:dyDescent="0.25">
      <c r="B31" s="78"/>
      <c r="C31" s="4">
        <v>23</v>
      </c>
      <c r="D31" s="50">
        <v>43.5</v>
      </c>
      <c r="E31" s="50">
        <v>43.5</v>
      </c>
      <c r="F31" s="50">
        <v>43.5</v>
      </c>
      <c r="G31" s="50">
        <v>43.5</v>
      </c>
      <c r="H31" s="50">
        <v>43.5</v>
      </c>
      <c r="I31" s="50">
        <v>43.5</v>
      </c>
      <c r="J31" s="50">
        <v>43.5</v>
      </c>
      <c r="K31" s="50">
        <v>43.5</v>
      </c>
      <c r="L31" s="50">
        <v>43.5</v>
      </c>
      <c r="M31" s="50">
        <v>43.5</v>
      </c>
      <c r="N31" s="50">
        <v>43.5</v>
      </c>
      <c r="O31" s="50">
        <v>43.5</v>
      </c>
    </row>
    <row r="32" spans="2:15" x14ac:dyDescent="0.25">
      <c r="B32" s="36" t="s">
        <v>1</v>
      </c>
      <c r="C32" s="37">
        <v>24</v>
      </c>
      <c r="D32" s="50">
        <v>43.5</v>
      </c>
      <c r="E32" s="50">
        <v>43.5</v>
      </c>
      <c r="F32" s="50">
        <v>43.5</v>
      </c>
      <c r="G32" s="50">
        <v>43.5</v>
      </c>
      <c r="H32" s="50">
        <v>43.5</v>
      </c>
      <c r="I32" s="50">
        <v>43.5</v>
      </c>
      <c r="J32" s="50">
        <v>43.5</v>
      </c>
      <c r="K32" s="50">
        <v>43.5</v>
      </c>
      <c r="L32" s="50">
        <v>43.5</v>
      </c>
      <c r="M32" s="50">
        <v>43.5</v>
      </c>
      <c r="N32" s="50">
        <v>43.5</v>
      </c>
      <c r="O32" s="50">
        <v>43.5</v>
      </c>
    </row>
    <row r="33" spans="2:16" x14ac:dyDescent="0.25">
      <c r="B33" s="88" t="s">
        <v>8</v>
      </c>
      <c r="C33" s="88"/>
      <c r="D33" s="5">
        <v>31</v>
      </c>
      <c r="E33" s="4">
        <v>29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33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217.5</v>
      </c>
      <c r="E35" s="41">
        <f t="shared" si="0"/>
        <v>217.5</v>
      </c>
      <c r="F35" s="41">
        <f t="shared" si="0"/>
        <v>217.5</v>
      </c>
      <c r="G35" s="41">
        <f t="shared" si="0"/>
        <v>217.5</v>
      </c>
      <c r="H35" s="41">
        <f t="shared" ref="H35:O35" si="1">(SUM(H9:H12)+H32)</f>
        <v>217.5</v>
      </c>
      <c r="I35" s="41">
        <f t="shared" si="1"/>
        <v>217.5</v>
      </c>
      <c r="J35" s="41">
        <f t="shared" si="1"/>
        <v>217.5</v>
      </c>
      <c r="K35" s="41">
        <f t="shared" si="1"/>
        <v>217.5</v>
      </c>
      <c r="L35" s="41">
        <f t="shared" si="1"/>
        <v>217.5</v>
      </c>
      <c r="M35" s="41">
        <f t="shared" si="1"/>
        <v>217.5</v>
      </c>
      <c r="N35" s="41">
        <f t="shared" si="1"/>
        <v>217.5</v>
      </c>
      <c r="O35" s="41">
        <f t="shared" si="1"/>
        <v>217.5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565.5</v>
      </c>
      <c r="E36" s="41">
        <f t="shared" si="2"/>
        <v>565.5</v>
      </c>
      <c r="F36" s="41">
        <f t="shared" si="2"/>
        <v>565.5</v>
      </c>
      <c r="G36" s="41">
        <f t="shared" si="2"/>
        <v>565.5</v>
      </c>
      <c r="H36" s="41">
        <f t="shared" ref="H36:O36" si="3">(SUM(H13:H17)+SUM(H21:H26)+H30+H31)</f>
        <v>565.5</v>
      </c>
      <c r="I36" s="41">
        <f t="shared" si="3"/>
        <v>565.5</v>
      </c>
      <c r="J36" s="41">
        <f t="shared" si="3"/>
        <v>565.5</v>
      </c>
      <c r="K36" s="41">
        <f t="shared" si="3"/>
        <v>565.5</v>
      </c>
      <c r="L36" s="41">
        <f t="shared" si="3"/>
        <v>565.5</v>
      </c>
      <c r="M36" s="41">
        <f t="shared" si="3"/>
        <v>565.5</v>
      </c>
      <c r="N36" s="41">
        <f t="shared" si="3"/>
        <v>565.5</v>
      </c>
      <c r="O36" s="41">
        <f t="shared" si="3"/>
        <v>565.5</v>
      </c>
    </row>
    <row r="37" spans="2:16" x14ac:dyDescent="0.25">
      <c r="B37" s="88" t="s">
        <v>3</v>
      </c>
      <c r="C37" s="88"/>
      <c r="D37" s="41">
        <f t="shared" ref="D37:G37" si="4">(SUM(D18:D20)+SUM(D27:D29))</f>
        <v>261</v>
      </c>
      <c r="E37" s="41">
        <f t="shared" si="4"/>
        <v>261</v>
      </c>
      <c r="F37" s="41">
        <f t="shared" si="4"/>
        <v>261</v>
      </c>
      <c r="G37" s="41">
        <f t="shared" si="4"/>
        <v>261</v>
      </c>
      <c r="H37" s="41">
        <f t="shared" ref="H37:O37" si="5">(SUM(H18:H20)+SUM(H27:H29))</f>
        <v>261</v>
      </c>
      <c r="I37" s="41">
        <f t="shared" si="5"/>
        <v>261</v>
      </c>
      <c r="J37" s="41">
        <f t="shared" si="5"/>
        <v>261</v>
      </c>
      <c r="K37" s="41">
        <f t="shared" si="5"/>
        <v>261</v>
      </c>
      <c r="L37" s="41">
        <f t="shared" si="5"/>
        <v>261</v>
      </c>
      <c r="M37" s="41">
        <f t="shared" si="5"/>
        <v>261</v>
      </c>
      <c r="N37" s="41">
        <f t="shared" si="5"/>
        <v>261</v>
      </c>
      <c r="O37" s="41">
        <f t="shared" si="5"/>
        <v>261</v>
      </c>
    </row>
    <row r="38" spans="2:16" x14ac:dyDescent="0.25">
      <c r="B38" s="85" t="s">
        <v>9</v>
      </c>
      <c r="C38" s="86"/>
      <c r="D38" s="41">
        <f t="shared" ref="D38:O38" si="6">D35*D33</f>
        <v>6742.5</v>
      </c>
      <c r="E38" s="41">
        <f t="shared" si="6"/>
        <v>6307.5</v>
      </c>
      <c r="F38" s="41">
        <f t="shared" si="6"/>
        <v>6742.5</v>
      </c>
      <c r="G38" s="41">
        <f t="shared" si="6"/>
        <v>6525</v>
      </c>
      <c r="H38" s="41">
        <f t="shared" si="6"/>
        <v>6742.5</v>
      </c>
      <c r="I38" s="41">
        <f t="shared" si="6"/>
        <v>6525</v>
      </c>
      <c r="J38" s="41">
        <f t="shared" si="6"/>
        <v>6742.5</v>
      </c>
      <c r="K38" s="41">
        <f t="shared" si="6"/>
        <v>6742.5</v>
      </c>
      <c r="L38" s="41">
        <f t="shared" si="6"/>
        <v>6525</v>
      </c>
      <c r="M38" s="41">
        <f t="shared" si="6"/>
        <v>6742.5</v>
      </c>
      <c r="N38" s="41">
        <f t="shared" si="6"/>
        <v>6525</v>
      </c>
      <c r="O38" s="41">
        <f t="shared" si="6"/>
        <v>6742.5</v>
      </c>
    </row>
    <row r="39" spans="2:16" x14ac:dyDescent="0.25">
      <c r="B39" s="85" t="s">
        <v>10</v>
      </c>
      <c r="C39" s="86"/>
      <c r="D39" s="41">
        <f t="shared" ref="D39:O39" si="7">D33*D36</f>
        <v>17530.5</v>
      </c>
      <c r="E39" s="41">
        <f t="shared" si="7"/>
        <v>16399.5</v>
      </c>
      <c r="F39" s="41">
        <f t="shared" si="7"/>
        <v>17530.5</v>
      </c>
      <c r="G39" s="41">
        <f t="shared" si="7"/>
        <v>16965</v>
      </c>
      <c r="H39" s="41">
        <f t="shared" si="7"/>
        <v>17530.5</v>
      </c>
      <c r="I39" s="41">
        <f t="shared" si="7"/>
        <v>16965</v>
      </c>
      <c r="J39" s="41">
        <f t="shared" si="7"/>
        <v>17530.5</v>
      </c>
      <c r="K39" s="41">
        <f t="shared" si="7"/>
        <v>17530.5</v>
      </c>
      <c r="L39" s="41">
        <f t="shared" si="7"/>
        <v>16965</v>
      </c>
      <c r="M39" s="41">
        <f t="shared" si="7"/>
        <v>17530.5</v>
      </c>
      <c r="N39" s="41">
        <f t="shared" si="7"/>
        <v>16965</v>
      </c>
      <c r="O39" s="41">
        <f t="shared" si="7"/>
        <v>17530.5</v>
      </c>
    </row>
    <row r="40" spans="2:16" x14ac:dyDescent="0.25">
      <c r="B40" s="85" t="s">
        <v>11</v>
      </c>
      <c r="C40" s="86"/>
      <c r="D40" s="41">
        <f t="shared" ref="D40:O40" si="8">D33*D37</f>
        <v>8091</v>
      </c>
      <c r="E40" s="41">
        <f t="shared" si="8"/>
        <v>7569</v>
      </c>
      <c r="F40" s="41">
        <f t="shared" si="8"/>
        <v>8091</v>
      </c>
      <c r="G40" s="41">
        <f t="shared" si="8"/>
        <v>7830</v>
      </c>
      <c r="H40" s="41">
        <f t="shared" si="8"/>
        <v>8091</v>
      </c>
      <c r="I40" s="41">
        <f t="shared" si="8"/>
        <v>7830</v>
      </c>
      <c r="J40" s="41">
        <f t="shared" si="8"/>
        <v>8091</v>
      </c>
      <c r="K40" s="41">
        <f t="shared" si="8"/>
        <v>8091</v>
      </c>
      <c r="L40" s="41">
        <f t="shared" si="8"/>
        <v>7830</v>
      </c>
      <c r="M40" s="41">
        <f t="shared" si="8"/>
        <v>8091</v>
      </c>
      <c r="N40" s="41">
        <f t="shared" si="8"/>
        <v>7830</v>
      </c>
      <c r="O40" s="41">
        <f t="shared" si="8"/>
        <v>8091</v>
      </c>
    </row>
    <row r="41" spans="2:16" x14ac:dyDescent="0.25">
      <c r="B41" s="81" t="s">
        <v>12</v>
      </c>
      <c r="C41" s="82"/>
      <c r="D41" s="51">
        <f t="shared" ref="D41:O41" si="9">D40+D39+D38</f>
        <v>32364</v>
      </c>
      <c r="E41" s="51">
        <f t="shared" si="9"/>
        <v>30276</v>
      </c>
      <c r="F41" s="51">
        <f t="shared" si="9"/>
        <v>32364</v>
      </c>
      <c r="G41" s="51">
        <f t="shared" si="9"/>
        <v>31320</v>
      </c>
      <c r="H41" s="51">
        <f t="shared" si="9"/>
        <v>32364</v>
      </c>
      <c r="I41" s="51">
        <f t="shared" si="9"/>
        <v>31320</v>
      </c>
      <c r="J41" s="51">
        <f t="shared" si="9"/>
        <v>32364</v>
      </c>
      <c r="K41" s="51">
        <f t="shared" si="9"/>
        <v>32364</v>
      </c>
      <c r="L41" s="51">
        <f t="shared" si="9"/>
        <v>31320</v>
      </c>
      <c r="M41" s="51">
        <f t="shared" si="9"/>
        <v>32364</v>
      </c>
      <c r="N41" s="51">
        <f t="shared" si="9"/>
        <v>31320</v>
      </c>
      <c r="O41" s="51">
        <f t="shared" si="9"/>
        <v>32364</v>
      </c>
      <c r="P41" s="52">
        <f>SUM(D41:O41)</f>
        <v>382104</v>
      </c>
    </row>
    <row r="42" spans="2:16" x14ac:dyDescent="0.25">
      <c r="D42" s="3">
        <v>46753</v>
      </c>
      <c r="E42" s="3">
        <v>46784</v>
      </c>
      <c r="F42" s="3">
        <v>46813</v>
      </c>
      <c r="G42" s="3">
        <v>46844</v>
      </c>
      <c r="H42" s="3">
        <v>46874</v>
      </c>
      <c r="I42" s="3">
        <v>46905</v>
      </c>
      <c r="J42" s="3">
        <v>46935</v>
      </c>
      <c r="K42" s="3">
        <v>46966</v>
      </c>
      <c r="L42" s="3">
        <v>46997</v>
      </c>
      <c r="M42" s="3">
        <v>47027</v>
      </c>
      <c r="N42" s="3">
        <v>47058</v>
      </c>
      <c r="O42" s="3">
        <v>47088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28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34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34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47119</v>
      </c>
      <c r="E8" s="3">
        <v>47150</v>
      </c>
      <c r="F8" s="3">
        <v>47178</v>
      </c>
      <c r="G8" s="3">
        <v>47209</v>
      </c>
      <c r="H8" s="3">
        <v>47239</v>
      </c>
      <c r="I8" s="3">
        <v>47270</v>
      </c>
      <c r="J8" s="3">
        <v>47300</v>
      </c>
      <c r="K8" s="3">
        <v>47331</v>
      </c>
      <c r="L8" s="3">
        <v>47362</v>
      </c>
      <c r="M8" s="3">
        <v>47392</v>
      </c>
      <c r="N8" s="3">
        <v>47423</v>
      </c>
      <c r="O8" s="3">
        <v>47453</v>
      </c>
    </row>
    <row r="9" spans="2:15" x14ac:dyDescent="0.25">
      <c r="B9" s="77" t="s">
        <v>1</v>
      </c>
      <c r="C9" s="4">
        <v>1</v>
      </c>
      <c r="D9" s="50">
        <v>35.9</v>
      </c>
      <c r="E9" s="50">
        <v>35.9</v>
      </c>
      <c r="F9" s="50">
        <v>35.9</v>
      </c>
      <c r="G9" s="50">
        <v>35.9</v>
      </c>
      <c r="H9" s="50">
        <v>35.9</v>
      </c>
      <c r="I9" s="50">
        <v>35.9</v>
      </c>
      <c r="J9" s="50">
        <v>35.9</v>
      </c>
      <c r="K9" s="50">
        <v>35.9</v>
      </c>
      <c r="L9" s="50">
        <v>35.9</v>
      </c>
      <c r="M9" s="50">
        <v>35.9</v>
      </c>
      <c r="N9" s="50">
        <v>35.9</v>
      </c>
      <c r="O9" s="50">
        <v>35.9</v>
      </c>
    </row>
    <row r="10" spans="2:15" x14ac:dyDescent="0.25">
      <c r="B10" s="84"/>
      <c r="C10" s="4">
        <v>2</v>
      </c>
      <c r="D10" s="50">
        <v>35.9</v>
      </c>
      <c r="E10" s="50">
        <v>35.9</v>
      </c>
      <c r="F10" s="50">
        <v>35.9</v>
      </c>
      <c r="G10" s="50">
        <v>35.9</v>
      </c>
      <c r="H10" s="50">
        <v>35.9</v>
      </c>
      <c r="I10" s="50">
        <v>35.9</v>
      </c>
      <c r="J10" s="50">
        <v>35.9</v>
      </c>
      <c r="K10" s="50">
        <v>35.9</v>
      </c>
      <c r="L10" s="50">
        <v>35.9</v>
      </c>
      <c r="M10" s="50">
        <v>35.9</v>
      </c>
      <c r="N10" s="50">
        <v>35.9</v>
      </c>
      <c r="O10" s="50">
        <v>35.9</v>
      </c>
    </row>
    <row r="11" spans="2:15" x14ac:dyDescent="0.25">
      <c r="B11" s="84"/>
      <c r="C11" s="4">
        <v>3</v>
      </c>
      <c r="D11" s="50">
        <v>35.9</v>
      </c>
      <c r="E11" s="50">
        <v>35.9</v>
      </c>
      <c r="F11" s="50">
        <v>35.9</v>
      </c>
      <c r="G11" s="50">
        <v>35.9</v>
      </c>
      <c r="H11" s="50">
        <v>35.9</v>
      </c>
      <c r="I11" s="50">
        <v>35.9</v>
      </c>
      <c r="J11" s="50">
        <v>35.9</v>
      </c>
      <c r="K11" s="50">
        <v>35.9</v>
      </c>
      <c r="L11" s="50">
        <v>35.9</v>
      </c>
      <c r="M11" s="50">
        <v>35.9</v>
      </c>
      <c r="N11" s="50">
        <v>35.9</v>
      </c>
      <c r="O11" s="50">
        <v>35.9</v>
      </c>
    </row>
    <row r="12" spans="2:15" x14ac:dyDescent="0.25">
      <c r="B12" s="78"/>
      <c r="C12" s="4">
        <v>4</v>
      </c>
      <c r="D12" s="50">
        <v>35.9</v>
      </c>
      <c r="E12" s="50">
        <v>35.9</v>
      </c>
      <c r="F12" s="50">
        <v>35.9</v>
      </c>
      <c r="G12" s="50">
        <v>35.9</v>
      </c>
      <c r="H12" s="50">
        <v>35.9</v>
      </c>
      <c r="I12" s="50">
        <v>35.9</v>
      </c>
      <c r="J12" s="50">
        <v>35.9</v>
      </c>
      <c r="K12" s="50">
        <v>35.9</v>
      </c>
      <c r="L12" s="50">
        <v>35.9</v>
      </c>
      <c r="M12" s="50">
        <v>35.9</v>
      </c>
      <c r="N12" s="50">
        <v>35.9</v>
      </c>
      <c r="O12" s="50">
        <v>35.9</v>
      </c>
    </row>
    <row r="13" spans="2:15" x14ac:dyDescent="0.25">
      <c r="B13" s="77" t="s">
        <v>2</v>
      </c>
      <c r="C13" s="4">
        <v>5</v>
      </c>
      <c r="D13" s="50">
        <v>35.9</v>
      </c>
      <c r="E13" s="50">
        <v>35.9</v>
      </c>
      <c r="F13" s="50">
        <v>35.9</v>
      </c>
      <c r="G13" s="50">
        <v>35.9</v>
      </c>
      <c r="H13" s="50">
        <v>35.9</v>
      </c>
      <c r="I13" s="50">
        <v>35.9</v>
      </c>
      <c r="J13" s="50">
        <v>35.9</v>
      </c>
      <c r="K13" s="50">
        <v>35.9</v>
      </c>
      <c r="L13" s="50">
        <v>35.9</v>
      </c>
      <c r="M13" s="50">
        <v>35.9</v>
      </c>
      <c r="N13" s="50">
        <v>35.9</v>
      </c>
      <c r="O13" s="50">
        <v>35.9</v>
      </c>
    </row>
    <row r="14" spans="2:15" x14ac:dyDescent="0.25">
      <c r="B14" s="84"/>
      <c r="C14" s="4">
        <v>6</v>
      </c>
      <c r="D14" s="50">
        <v>35.9</v>
      </c>
      <c r="E14" s="50">
        <v>35.9</v>
      </c>
      <c r="F14" s="50">
        <v>35.9</v>
      </c>
      <c r="G14" s="50">
        <v>35.9</v>
      </c>
      <c r="H14" s="50">
        <v>35.9</v>
      </c>
      <c r="I14" s="50">
        <v>35.9</v>
      </c>
      <c r="J14" s="50">
        <v>35.9</v>
      </c>
      <c r="K14" s="50">
        <v>35.9</v>
      </c>
      <c r="L14" s="50">
        <v>35.9</v>
      </c>
      <c r="M14" s="50">
        <v>35.9</v>
      </c>
      <c r="N14" s="50">
        <v>35.9</v>
      </c>
      <c r="O14" s="50">
        <v>35.9</v>
      </c>
    </row>
    <row r="15" spans="2:15" x14ac:dyDescent="0.25">
      <c r="B15" s="84"/>
      <c r="C15" s="4">
        <v>7</v>
      </c>
      <c r="D15" s="50">
        <v>35.9</v>
      </c>
      <c r="E15" s="50">
        <v>35.9</v>
      </c>
      <c r="F15" s="50">
        <v>35.9</v>
      </c>
      <c r="G15" s="50">
        <v>35.9</v>
      </c>
      <c r="H15" s="50">
        <v>35.9</v>
      </c>
      <c r="I15" s="50">
        <v>35.9</v>
      </c>
      <c r="J15" s="50">
        <v>35.9</v>
      </c>
      <c r="K15" s="50">
        <v>35.9</v>
      </c>
      <c r="L15" s="50">
        <v>35.9</v>
      </c>
      <c r="M15" s="50">
        <v>35.9</v>
      </c>
      <c r="N15" s="50">
        <v>35.9</v>
      </c>
      <c r="O15" s="50">
        <v>35.9</v>
      </c>
    </row>
    <row r="16" spans="2:15" x14ac:dyDescent="0.25">
      <c r="B16" s="84"/>
      <c r="C16" s="4">
        <v>8</v>
      </c>
      <c r="D16" s="50">
        <v>35.9</v>
      </c>
      <c r="E16" s="50">
        <v>35.9</v>
      </c>
      <c r="F16" s="50">
        <v>35.9</v>
      </c>
      <c r="G16" s="50">
        <v>35.9</v>
      </c>
      <c r="H16" s="50">
        <v>35.9</v>
      </c>
      <c r="I16" s="50">
        <v>35.9</v>
      </c>
      <c r="J16" s="50">
        <v>35.9</v>
      </c>
      <c r="K16" s="50">
        <v>35.9</v>
      </c>
      <c r="L16" s="50">
        <v>35.9</v>
      </c>
      <c r="M16" s="50">
        <v>35.9</v>
      </c>
      <c r="N16" s="50">
        <v>35.9</v>
      </c>
      <c r="O16" s="50">
        <v>35.9</v>
      </c>
    </row>
    <row r="17" spans="2:15" x14ac:dyDescent="0.25">
      <c r="B17" s="78"/>
      <c r="C17" s="4">
        <v>9</v>
      </c>
      <c r="D17" s="50">
        <v>35.9</v>
      </c>
      <c r="E17" s="50">
        <v>35.9</v>
      </c>
      <c r="F17" s="50">
        <v>35.9</v>
      </c>
      <c r="G17" s="50">
        <v>35.9</v>
      </c>
      <c r="H17" s="50">
        <v>35.9</v>
      </c>
      <c r="I17" s="50">
        <v>35.9</v>
      </c>
      <c r="J17" s="50">
        <v>35.9</v>
      </c>
      <c r="K17" s="50">
        <v>35.9</v>
      </c>
      <c r="L17" s="50">
        <v>35.9</v>
      </c>
      <c r="M17" s="50">
        <v>35.9</v>
      </c>
      <c r="N17" s="50">
        <v>35.9</v>
      </c>
      <c r="O17" s="50">
        <v>35.9</v>
      </c>
    </row>
    <row r="18" spans="2:15" x14ac:dyDescent="0.25">
      <c r="B18" s="77" t="s">
        <v>3</v>
      </c>
      <c r="C18" s="4">
        <v>10</v>
      </c>
      <c r="D18" s="50">
        <v>35.9</v>
      </c>
      <c r="E18" s="50">
        <v>35.9</v>
      </c>
      <c r="F18" s="50">
        <v>35.9</v>
      </c>
      <c r="G18" s="50">
        <v>35.9</v>
      </c>
      <c r="H18" s="50">
        <v>35.9</v>
      </c>
      <c r="I18" s="50">
        <v>35.9</v>
      </c>
      <c r="J18" s="50">
        <v>35.9</v>
      </c>
      <c r="K18" s="50">
        <v>35.9</v>
      </c>
      <c r="L18" s="50">
        <v>35.9</v>
      </c>
      <c r="M18" s="50">
        <v>35.9</v>
      </c>
      <c r="N18" s="50">
        <v>35.9</v>
      </c>
      <c r="O18" s="50">
        <v>35.9</v>
      </c>
    </row>
    <row r="19" spans="2:15" x14ac:dyDescent="0.25">
      <c r="B19" s="84"/>
      <c r="C19" s="4">
        <v>11</v>
      </c>
      <c r="D19" s="50">
        <v>35.9</v>
      </c>
      <c r="E19" s="50">
        <v>35.9</v>
      </c>
      <c r="F19" s="50">
        <v>35.9</v>
      </c>
      <c r="G19" s="50">
        <v>35.9</v>
      </c>
      <c r="H19" s="50">
        <v>35.9</v>
      </c>
      <c r="I19" s="50">
        <v>35.9</v>
      </c>
      <c r="J19" s="50">
        <v>35.9</v>
      </c>
      <c r="K19" s="50">
        <v>35.9</v>
      </c>
      <c r="L19" s="50">
        <v>35.9</v>
      </c>
      <c r="M19" s="50">
        <v>35.9</v>
      </c>
      <c r="N19" s="50">
        <v>35.9</v>
      </c>
      <c r="O19" s="50">
        <v>35.9</v>
      </c>
    </row>
    <row r="20" spans="2:15" x14ac:dyDescent="0.25">
      <c r="B20" s="78"/>
      <c r="C20" s="4">
        <v>12</v>
      </c>
      <c r="D20" s="50">
        <v>35.9</v>
      </c>
      <c r="E20" s="50">
        <v>35.9</v>
      </c>
      <c r="F20" s="50">
        <v>35.9</v>
      </c>
      <c r="G20" s="50">
        <v>35.9</v>
      </c>
      <c r="H20" s="50">
        <v>35.9</v>
      </c>
      <c r="I20" s="50">
        <v>35.9</v>
      </c>
      <c r="J20" s="50">
        <v>35.9</v>
      </c>
      <c r="K20" s="50">
        <v>35.9</v>
      </c>
      <c r="L20" s="50">
        <v>35.9</v>
      </c>
      <c r="M20" s="50">
        <v>35.9</v>
      </c>
      <c r="N20" s="50">
        <v>35.9</v>
      </c>
      <c r="O20" s="50">
        <v>35.9</v>
      </c>
    </row>
    <row r="21" spans="2:15" x14ac:dyDescent="0.25">
      <c r="B21" s="77" t="s">
        <v>2</v>
      </c>
      <c r="C21" s="4">
        <v>13</v>
      </c>
      <c r="D21" s="50">
        <v>35.9</v>
      </c>
      <c r="E21" s="50">
        <v>35.9</v>
      </c>
      <c r="F21" s="50">
        <v>35.9</v>
      </c>
      <c r="G21" s="50">
        <v>35.9</v>
      </c>
      <c r="H21" s="50">
        <v>35.9</v>
      </c>
      <c r="I21" s="50">
        <v>35.9</v>
      </c>
      <c r="J21" s="50">
        <v>35.9</v>
      </c>
      <c r="K21" s="50">
        <v>35.9</v>
      </c>
      <c r="L21" s="50">
        <v>35.9</v>
      </c>
      <c r="M21" s="50">
        <v>35.9</v>
      </c>
      <c r="N21" s="50">
        <v>35.9</v>
      </c>
      <c r="O21" s="50">
        <v>35.9</v>
      </c>
    </row>
    <row r="22" spans="2:15" x14ac:dyDescent="0.25">
      <c r="B22" s="84"/>
      <c r="C22" s="4">
        <v>14</v>
      </c>
      <c r="D22" s="50">
        <v>35.9</v>
      </c>
      <c r="E22" s="50">
        <v>35.9</v>
      </c>
      <c r="F22" s="50">
        <v>35.9</v>
      </c>
      <c r="G22" s="50">
        <v>35.9</v>
      </c>
      <c r="H22" s="50">
        <v>35.9</v>
      </c>
      <c r="I22" s="50">
        <v>35.9</v>
      </c>
      <c r="J22" s="50">
        <v>35.9</v>
      </c>
      <c r="K22" s="50">
        <v>35.9</v>
      </c>
      <c r="L22" s="50">
        <v>35.9</v>
      </c>
      <c r="M22" s="50">
        <v>35.9</v>
      </c>
      <c r="N22" s="50">
        <v>35.9</v>
      </c>
      <c r="O22" s="50">
        <v>35.9</v>
      </c>
    </row>
    <row r="23" spans="2:15" x14ac:dyDescent="0.25">
      <c r="B23" s="84"/>
      <c r="C23" s="4">
        <v>15</v>
      </c>
      <c r="D23" s="50">
        <v>35.9</v>
      </c>
      <c r="E23" s="50">
        <v>35.9</v>
      </c>
      <c r="F23" s="50">
        <v>35.9</v>
      </c>
      <c r="G23" s="50">
        <v>35.9</v>
      </c>
      <c r="H23" s="50">
        <v>35.9</v>
      </c>
      <c r="I23" s="50">
        <v>35.9</v>
      </c>
      <c r="J23" s="50">
        <v>35.9</v>
      </c>
      <c r="K23" s="50">
        <v>35.9</v>
      </c>
      <c r="L23" s="50">
        <v>35.9</v>
      </c>
      <c r="M23" s="50">
        <v>35.9</v>
      </c>
      <c r="N23" s="50">
        <v>35.9</v>
      </c>
      <c r="O23" s="50">
        <v>35.9</v>
      </c>
    </row>
    <row r="24" spans="2:15" x14ac:dyDescent="0.25">
      <c r="B24" s="84"/>
      <c r="C24" s="4">
        <v>16</v>
      </c>
      <c r="D24" s="50">
        <v>35.9</v>
      </c>
      <c r="E24" s="50">
        <v>35.9</v>
      </c>
      <c r="F24" s="50">
        <v>35.9</v>
      </c>
      <c r="G24" s="50">
        <v>35.9</v>
      </c>
      <c r="H24" s="50">
        <v>35.9</v>
      </c>
      <c r="I24" s="50">
        <v>35.9</v>
      </c>
      <c r="J24" s="50">
        <v>35.9</v>
      </c>
      <c r="K24" s="50">
        <v>35.9</v>
      </c>
      <c r="L24" s="50">
        <v>35.9</v>
      </c>
      <c r="M24" s="50">
        <v>35.9</v>
      </c>
      <c r="N24" s="50">
        <v>35.9</v>
      </c>
      <c r="O24" s="50">
        <v>35.9</v>
      </c>
    </row>
    <row r="25" spans="2:15" x14ac:dyDescent="0.25">
      <c r="B25" s="84"/>
      <c r="C25" s="4">
        <v>17</v>
      </c>
      <c r="D25" s="50">
        <v>35.9</v>
      </c>
      <c r="E25" s="50">
        <v>35.9</v>
      </c>
      <c r="F25" s="50">
        <v>35.9</v>
      </c>
      <c r="G25" s="50">
        <v>35.9</v>
      </c>
      <c r="H25" s="50">
        <v>35.9</v>
      </c>
      <c r="I25" s="50">
        <v>35.9</v>
      </c>
      <c r="J25" s="50">
        <v>35.9</v>
      </c>
      <c r="K25" s="50">
        <v>35.9</v>
      </c>
      <c r="L25" s="50">
        <v>35.9</v>
      </c>
      <c r="M25" s="50">
        <v>35.9</v>
      </c>
      <c r="N25" s="50">
        <v>35.9</v>
      </c>
      <c r="O25" s="50">
        <v>35.9</v>
      </c>
    </row>
    <row r="26" spans="2:15" x14ac:dyDescent="0.25">
      <c r="B26" s="78"/>
      <c r="C26" s="4">
        <v>18</v>
      </c>
      <c r="D26" s="50">
        <v>35.9</v>
      </c>
      <c r="E26" s="50">
        <v>35.9</v>
      </c>
      <c r="F26" s="50">
        <v>35.9</v>
      </c>
      <c r="G26" s="50">
        <v>35.9</v>
      </c>
      <c r="H26" s="50">
        <v>35.9</v>
      </c>
      <c r="I26" s="50">
        <v>35.9</v>
      </c>
      <c r="J26" s="50">
        <v>35.9</v>
      </c>
      <c r="K26" s="50">
        <v>35.9</v>
      </c>
      <c r="L26" s="50">
        <v>35.9</v>
      </c>
      <c r="M26" s="50">
        <v>35.9</v>
      </c>
      <c r="N26" s="50">
        <v>35.9</v>
      </c>
      <c r="O26" s="50">
        <v>35.9</v>
      </c>
    </row>
    <row r="27" spans="2:15" x14ac:dyDescent="0.25">
      <c r="B27" s="77" t="s">
        <v>3</v>
      </c>
      <c r="C27" s="4">
        <v>19</v>
      </c>
      <c r="D27" s="50">
        <v>35.9</v>
      </c>
      <c r="E27" s="50">
        <v>35.9</v>
      </c>
      <c r="F27" s="50">
        <v>35.9</v>
      </c>
      <c r="G27" s="50">
        <v>35.9</v>
      </c>
      <c r="H27" s="50">
        <v>35.9</v>
      </c>
      <c r="I27" s="50">
        <v>35.9</v>
      </c>
      <c r="J27" s="50">
        <v>35.9</v>
      </c>
      <c r="K27" s="50">
        <v>35.9</v>
      </c>
      <c r="L27" s="50">
        <v>35.9</v>
      </c>
      <c r="M27" s="50">
        <v>35.9</v>
      </c>
      <c r="N27" s="50">
        <v>35.9</v>
      </c>
      <c r="O27" s="50">
        <v>35.9</v>
      </c>
    </row>
    <row r="28" spans="2:15" x14ac:dyDescent="0.25">
      <c r="B28" s="84"/>
      <c r="C28" s="4">
        <v>20</v>
      </c>
      <c r="D28" s="50">
        <v>35.9</v>
      </c>
      <c r="E28" s="50">
        <v>35.9</v>
      </c>
      <c r="F28" s="50">
        <v>35.9</v>
      </c>
      <c r="G28" s="50">
        <v>35.9</v>
      </c>
      <c r="H28" s="50">
        <v>35.9</v>
      </c>
      <c r="I28" s="50">
        <v>35.9</v>
      </c>
      <c r="J28" s="50">
        <v>35.9</v>
      </c>
      <c r="K28" s="50">
        <v>35.9</v>
      </c>
      <c r="L28" s="50">
        <v>35.9</v>
      </c>
      <c r="M28" s="50">
        <v>35.9</v>
      </c>
      <c r="N28" s="50">
        <v>35.9</v>
      </c>
      <c r="O28" s="50">
        <v>35.9</v>
      </c>
    </row>
    <row r="29" spans="2:15" x14ac:dyDescent="0.25">
      <c r="B29" s="78"/>
      <c r="C29" s="4">
        <v>21</v>
      </c>
      <c r="D29" s="50">
        <v>35.9</v>
      </c>
      <c r="E29" s="50">
        <v>35.9</v>
      </c>
      <c r="F29" s="50">
        <v>35.9</v>
      </c>
      <c r="G29" s="50">
        <v>35.9</v>
      </c>
      <c r="H29" s="50">
        <v>35.9</v>
      </c>
      <c r="I29" s="50">
        <v>35.9</v>
      </c>
      <c r="J29" s="50">
        <v>35.9</v>
      </c>
      <c r="K29" s="50">
        <v>35.9</v>
      </c>
      <c r="L29" s="50">
        <v>35.9</v>
      </c>
      <c r="M29" s="50">
        <v>35.9</v>
      </c>
      <c r="N29" s="50">
        <v>35.9</v>
      </c>
      <c r="O29" s="50">
        <v>35.9</v>
      </c>
    </row>
    <row r="30" spans="2:15" x14ac:dyDescent="0.25">
      <c r="B30" s="77" t="s">
        <v>2</v>
      </c>
      <c r="C30" s="4">
        <v>22</v>
      </c>
      <c r="D30" s="50">
        <v>35.9</v>
      </c>
      <c r="E30" s="50">
        <v>35.9</v>
      </c>
      <c r="F30" s="50">
        <v>35.9</v>
      </c>
      <c r="G30" s="50">
        <v>35.9</v>
      </c>
      <c r="H30" s="50">
        <v>35.9</v>
      </c>
      <c r="I30" s="50">
        <v>35.9</v>
      </c>
      <c r="J30" s="50">
        <v>35.9</v>
      </c>
      <c r="K30" s="50">
        <v>35.9</v>
      </c>
      <c r="L30" s="50">
        <v>35.9</v>
      </c>
      <c r="M30" s="50">
        <v>35.9</v>
      </c>
      <c r="N30" s="50">
        <v>35.9</v>
      </c>
      <c r="O30" s="50">
        <v>35.9</v>
      </c>
    </row>
    <row r="31" spans="2:15" ht="16.149999999999999" customHeight="1" x14ac:dyDescent="0.25">
      <c r="B31" s="78"/>
      <c r="C31" s="4">
        <v>23</v>
      </c>
      <c r="D31" s="50">
        <v>35.9</v>
      </c>
      <c r="E31" s="50">
        <v>35.9</v>
      </c>
      <c r="F31" s="50">
        <v>35.9</v>
      </c>
      <c r="G31" s="50">
        <v>35.9</v>
      </c>
      <c r="H31" s="50">
        <v>35.9</v>
      </c>
      <c r="I31" s="50">
        <v>35.9</v>
      </c>
      <c r="J31" s="50">
        <v>35.9</v>
      </c>
      <c r="K31" s="50">
        <v>35.9</v>
      </c>
      <c r="L31" s="50">
        <v>35.9</v>
      </c>
      <c r="M31" s="50">
        <v>35.9</v>
      </c>
      <c r="N31" s="50">
        <v>35.9</v>
      </c>
      <c r="O31" s="50">
        <v>35.9</v>
      </c>
    </row>
    <row r="32" spans="2:15" x14ac:dyDescent="0.25">
      <c r="B32" s="36" t="s">
        <v>1</v>
      </c>
      <c r="C32" s="37">
        <v>24</v>
      </c>
      <c r="D32" s="50">
        <v>35.9</v>
      </c>
      <c r="E32" s="50">
        <v>35.9</v>
      </c>
      <c r="F32" s="50">
        <v>35.9</v>
      </c>
      <c r="G32" s="50">
        <v>35.9</v>
      </c>
      <c r="H32" s="50">
        <v>35.9</v>
      </c>
      <c r="I32" s="50">
        <v>35.9</v>
      </c>
      <c r="J32" s="50">
        <v>35.9</v>
      </c>
      <c r="K32" s="50">
        <v>35.9</v>
      </c>
      <c r="L32" s="50">
        <v>35.9</v>
      </c>
      <c r="M32" s="50">
        <v>35.9</v>
      </c>
      <c r="N32" s="50">
        <v>35.9</v>
      </c>
      <c r="O32" s="50">
        <v>35.9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35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179.5</v>
      </c>
      <c r="E35" s="41">
        <f t="shared" si="0"/>
        <v>179.5</v>
      </c>
      <c r="F35" s="41">
        <f t="shared" si="0"/>
        <v>179.5</v>
      </c>
      <c r="G35" s="41">
        <f t="shared" si="0"/>
        <v>179.5</v>
      </c>
      <c r="H35" s="41">
        <f t="shared" ref="H35:O35" si="1">(SUM(H9:H12)+H32)</f>
        <v>179.5</v>
      </c>
      <c r="I35" s="41">
        <f t="shared" si="1"/>
        <v>179.5</v>
      </c>
      <c r="J35" s="41">
        <f t="shared" si="1"/>
        <v>179.5</v>
      </c>
      <c r="K35" s="41">
        <f t="shared" si="1"/>
        <v>179.5</v>
      </c>
      <c r="L35" s="41">
        <f t="shared" si="1"/>
        <v>179.5</v>
      </c>
      <c r="M35" s="41">
        <f t="shared" si="1"/>
        <v>179.5</v>
      </c>
      <c r="N35" s="41">
        <f t="shared" si="1"/>
        <v>179.5</v>
      </c>
      <c r="O35" s="41">
        <f t="shared" si="1"/>
        <v>179.5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466.69999999999993</v>
      </c>
      <c r="E36" s="41">
        <f t="shared" si="2"/>
        <v>466.69999999999993</v>
      </c>
      <c r="F36" s="41">
        <f t="shared" si="2"/>
        <v>466.69999999999993</v>
      </c>
      <c r="G36" s="41">
        <f t="shared" si="2"/>
        <v>466.69999999999993</v>
      </c>
      <c r="H36" s="41">
        <f t="shared" ref="H36:O36" si="3">(SUM(H13:H17)+SUM(H21:H26)+H30+H31)</f>
        <v>466.69999999999993</v>
      </c>
      <c r="I36" s="41">
        <f t="shared" si="3"/>
        <v>466.69999999999993</v>
      </c>
      <c r="J36" s="41">
        <f t="shared" si="3"/>
        <v>466.69999999999993</v>
      </c>
      <c r="K36" s="41">
        <f t="shared" si="3"/>
        <v>466.69999999999993</v>
      </c>
      <c r="L36" s="41">
        <f t="shared" si="3"/>
        <v>466.69999999999993</v>
      </c>
      <c r="M36" s="41">
        <f t="shared" si="3"/>
        <v>466.69999999999993</v>
      </c>
      <c r="N36" s="41">
        <f t="shared" si="3"/>
        <v>466.69999999999993</v>
      </c>
      <c r="O36" s="41">
        <f t="shared" si="3"/>
        <v>466.69999999999993</v>
      </c>
    </row>
    <row r="37" spans="2:16" x14ac:dyDescent="0.25">
      <c r="B37" s="88" t="s">
        <v>3</v>
      </c>
      <c r="C37" s="88"/>
      <c r="D37" s="41">
        <f t="shared" ref="D37:G37" si="4">(SUM(D18:D20)+SUM(D27:D29))</f>
        <v>215.39999999999998</v>
      </c>
      <c r="E37" s="41">
        <f t="shared" si="4"/>
        <v>215.39999999999998</v>
      </c>
      <c r="F37" s="41">
        <f t="shared" si="4"/>
        <v>215.39999999999998</v>
      </c>
      <c r="G37" s="41">
        <f t="shared" si="4"/>
        <v>215.39999999999998</v>
      </c>
      <c r="H37" s="41">
        <f t="shared" ref="H37:O37" si="5">(SUM(H18:H20)+SUM(H27:H29))</f>
        <v>215.39999999999998</v>
      </c>
      <c r="I37" s="41">
        <f t="shared" si="5"/>
        <v>215.39999999999998</v>
      </c>
      <c r="J37" s="41">
        <f t="shared" si="5"/>
        <v>215.39999999999998</v>
      </c>
      <c r="K37" s="41">
        <f t="shared" si="5"/>
        <v>215.39999999999998</v>
      </c>
      <c r="L37" s="41">
        <f t="shared" si="5"/>
        <v>215.39999999999998</v>
      </c>
      <c r="M37" s="41">
        <f t="shared" si="5"/>
        <v>215.39999999999998</v>
      </c>
      <c r="N37" s="41">
        <f t="shared" si="5"/>
        <v>215.39999999999998</v>
      </c>
      <c r="O37" s="41">
        <f t="shared" si="5"/>
        <v>215.39999999999998</v>
      </c>
    </row>
    <row r="38" spans="2:16" x14ac:dyDescent="0.25">
      <c r="B38" s="85" t="s">
        <v>9</v>
      </c>
      <c r="C38" s="86"/>
      <c r="D38" s="41">
        <f t="shared" ref="D38:O38" si="6">D35*D33</f>
        <v>5564.5</v>
      </c>
      <c r="E38" s="41">
        <f t="shared" si="6"/>
        <v>5026</v>
      </c>
      <c r="F38" s="41">
        <f t="shared" si="6"/>
        <v>5564.5</v>
      </c>
      <c r="G38" s="41">
        <f t="shared" si="6"/>
        <v>5385</v>
      </c>
      <c r="H38" s="41">
        <f t="shared" si="6"/>
        <v>5564.5</v>
      </c>
      <c r="I38" s="41">
        <f t="shared" si="6"/>
        <v>5385</v>
      </c>
      <c r="J38" s="41">
        <f t="shared" si="6"/>
        <v>5564.5</v>
      </c>
      <c r="K38" s="41">
        <f t="shared" si="6"/>
        <v>5564.5</v>
      </c>
      <c r="L38" s="41">
        <f t="shared" si="6"/>
        <v>5385</v>
      </c>
      <c r="M38" s="41">
        <f t="shared" si="6"/>
        <v>5564.5</v>
      </c>
      <c r="N38" s="41">
        <f t="shared" si="6"/>
        <v>5385</v>
      </c>
      <c r="O38" s="41">
        <f t="shared" si="6"/>
        <v>5564.5</v>
      </c>
    </row>
    <row r="39" spans="2:16" x14ac:dyDescent="0.25">
      <c r="B39" s="85" t="s">
        <v>10</v>
      </c>
      <c r="C39" s="86"/>
      <c r="D39" s="41">
        <f t="shared" ref="D39:O39" si="7">D33*D36</f>
        <v>14467.699999999997</v>
      </c>
      <c r="E39" s="41">
        <f t="shared" si="7"/>
        <v>13067.599999999999</v>
      </c>
      <c r="F39" s="41">
        <f t="shared" si="7"/>
        <v>14467.699999999997</v>
      </c>
      <c r="G39" s="41">
        <f t="shared" si="7"/>
        <v>14000.999999999998</v>
      </c>
      <c r="H39" s="41">
        <f t="shared" si="7"/>
        <v>14467.699999999997</v>
      </c>
      <c r="I39" s="41">
        <f t="shared" si="7"/>
        <v>14000.999999999998</v>
      </c>
      <c r="J39" s="41">
        <f t="shared" si="7"/>
        <v>14467.699999999997</v>
      </c>
      <c r="K39" s="41">
        <f t="shared" si="7"/>
        <v>14467.699999999997</v>
      </c>
      <c r="L39" s="41">
        <f t="shared" si="7"/>
        <v>14000.999999999998</v>
      </c>
      <c r="M39" s="41">
        <f t="shared" si="7"/>
        <v>14467.699999999997</v>
      </c>
      <c r="N39" s="41">
        <f t="shared" si="7"/>
        <v>14000.999999999998</v>
      </c>
      <c r="O39" s="41">
        <f t="shared" si="7"/>
        <v>14467.699999999997</v>
      </c>
    </row>
    <row r="40" spans="2:16" x14ac:dyDescent="0.25">
      <c r="B40" s="85" t="s">
        <v>11</v>
      </c>
      <c r="C40" s="86"/>
      <c r="D40" s="41">
        <f t="shared" ref="D40:O40" si="8">D33*D37</f>
        <v>6677.4</v>
      </c>
      <c r="E40" s="41">
        <f t="shared" si="8"/>
        <v>6031.1999999999989</v>
      </c>
      <c r="F40" s="41">
        <f t="shared" si="8"/>
        <v>6677.4</v>
      </c>
      <c r="G40" s="41">
        <f t="shared" si="8"/>
        <v>6461.9999999999991</v>
      </c>
      <c r="H40" s="41">
        <f t="shared" si="8"/>
        <v>6677.4</v>
      </c>
      <c r="I40" s="41">
        <f t="shared" si="8"/>
        <v>6461.9999999999991</v>
      </c>
      <c r="J40" s="41">
        <f t="shared" si="8"/>
        <v>6677.4</v>
      </c>
      <c r="K40" s="41">
        <f t="shared" si="8"/>
        <v>6677.4</v>
      </c>
      <c r="L40" s="41">
        <f t="shared" si="8"/>
        <v>6461.9999999999991</v>
      </c>
      <c r="M40" s="41">
        <f t="shared" si="8"/>
        <v>6677.4</v>
      </c>
      <c r="N40" s="41">
        <f t="shared" si="8"/>
        <v>6461.9999999999991</v>
      </c>
      <c r="O40" s="41">
        <f t="shared" si="8"/>
        <v>6677.4</v>
      </c>
    </row>
    <row r="41" spans="2:16" x14ac:dyDescent="0.25">
      <c r="B41" s="81" t="s">
        <v>12</v>
      </c>
      <c r="C41" s="82"/>
      <c r="D41" s="51">
        <f t="shared" ref="D41:O41" si="9">D40+D39+D38</f>
        <v>26709.599999999999</v>
      </c>
      <c r="E41" s="51">
        <f t="shared" si="9"/>
        <v>24124.799999999996</v>
      </c>
      <c r="F41" s="51">
        <f t="shared" si="9"/>
        <v>26709.599999999999</v>
      </c>
      <c r="G41" s="51">
        <f t="shared" si="9"/>
        <v>25847.999999999996</v>
      </c>
      <c r="H41" s="51">
        <f t="shared" si="9"/>
        <v>26709.599999999999</v>
      </c>
      <c r="I41" s="51">
        <f t="shared" si="9"/>
        <v>25847.999999999996</v>
      </c>
      <c r="J41" s="51">
        <f t="shared" si="9"/>
        <v>26709.599999999999</v>
      </c>
      <c r="K41" s="51">
        <f t="shared" si="9"/>
        <v>26709.599999999999</v>
      </c>
      <c r="L41" s="51">
        <f t="shared" si="9"/>
        <v>25847.999999999996</v>
      </c>
      <c r="M41" s="51">
        <f t="shared" si="9"/>
        <v>26709.599999999999</v>
      </c>
      <c r="N41" s="51">
        <f t="shared" si="9"/>
        <v>25847.999999999996</v>
      </c>
      <c r="O41" s="51">
        <f t="shared" si="9"/>
        <v>26709.599999999999</v>
      </c>
      <c r="P41" s="52">
        <f>SUM(D41:O41)</f>
        <v>314484</v>
      </c>
    </row>
    <row r="42" spans="2:16" x14ac:dyDescent="0.25">
      <c r="D42" s="3">
        <v>47119</v>
      </c>
      <c r="E42" s="3">
        <v>47150</v>
      </c>
      <c r="F42" s="3">
        <v>47178</v>
      </c>
      <c r="G42" s="3">
        <v>47209</v>
      </c>
      <c r="H42" s="3">
        <v>47239</v>
      </c>
      <c r="I42" s="3">
        <v>47270</v>
      </c>
      <c r="J42" s="3">
        <v>47300</v>
      </c>
      <c r="K42" s="3">
        <v>47331</v>
      </c>
      <c r="L42" s="3">
        <v>47362</v>
      </c>
      <c r="M42" s="3">
        <v>47392</v>
      </c>
      <c r="N42" s="3">
        <v>47423</v>
      </c>
      <c r="O42" s="3">
        <v>47453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29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36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36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47484</v>
      </c>
      <c r="E8" s="3">
        <v>47515</v>
      </c>
      <c r="F8" s="3">
        <v>47543</v>
      </c>
      <c r="G8" s="3">
        <v>47574</v>
      </c>
      <c r="H8" s="3">
        <v>47604</v>
      </c>
      <c r="I8" s="3">
        <v>47635</v>
      </c>
      <c r="J8" s="3">
        <v>47665</v>
      </c>
      <c r="K8" s="3">
        <v>47696</v>
      </c>
      <c r="L8" s="3">
        <v>47727</v>
      </c>
      <c r="M8" s="3">
        <v>47757</v>
      </c>
      <c r="N8" s="3">
        <v>47788</v>
      </c>
      <c r="O8" s="3">
        <v>47818</v>
      </c>
    </row>
    <row r="9" spans="2:15" x14ac:dyDescent="0.25">
      <c r="B9" s="77" t="s">
        <v>1</v>
      </c>
      <c r="C9" s="4">
        <v>1</v>
      </c>
      <c r="D9" s="50">
        <v>32.700000000000003</v>
      </c>
      <c r="E9" s="50">
        <v>32.700000000000003</v>
      </c>
      <c r="F9" s="50">
        <v>32.700000000000003</v>
      </c>
      <c r="G9" s="50">
        <v>32.700000000000003</v>
      </c>
      <c r="H9" s="50">
        <v>32.700000000000003</v>
      </c>
      <c r="I9" s="50">
        <v>32.700000000000003</v>
      </c>
      <c r="J9" s="50">
        <v>32.700000000000003</v>
      </c>
      <c r="K9" s="50">
        <v>32.700000000000003</v>
      </c>
      <c r="L9" s="50">
        <v>32.700000000000003</v>
      </c>
      <c r="M9" s="50">
        <v>32.700000000000003</v>
      </c>
      <c r="N9" s="50">
        <v>32.700000000000003</v>
      </c>
      <c r="O9" s="50">
        <v>32.700000000000003</v>
      </c>
    </row>
    <row r="10" spans="2:15" x14ac:dyDescent="0.25">
      <c r="B10" s="84"/>
      <c r="C10" s="4">
        <v>2</v>
      </c>
      <c r="D10" s="50">
        <v>32.700000000000003</v>
      </c>
      <c r="E10" s="50">
        <v>32.700000000000003</v>
      </c>
      <c r="F10" s="50">
        <v>32.700000000000003</v>
      </c>
      <c r="G10" s="50">
        <v>32.700000000000003</v>
      </c>
      <c r="H10" s="50">
        <v>32.700000000000003</v>
      </c>
      <c r="I10" s="50">
        <v>32.700000000000003</v>
      </c>
      <c r="J10" s="50">
        <v>32.700000000000003</v>
      </c>
      <c r="K10" s="50">
        <v>32.700000000000003</v>
      </c>
      <c r="L10" s="50">
        <v>32.700000000000003</v>
      </c>
      <c r="M10" s="50">
        <v>32.700000000000003</v>
      </c>
      <c r="N10" s="50">
        <v>32.700000000000003</v>
      </c>
      <c r="O10" s="50">
        <v>32.700000000000003</v>
      </c>
    </row>
    <row r="11" spans="2:15" x14ac:dyDescent="0.25">
      <c r="B11" s="84"/>
      <c r="C11" s="4">
        <v>3</v>
      </c>
      <c r="D11" s="50">
        <v>32.700000000000003</v>
      </c>
      <c r="E11" s="50">
        <v>32.700000000000003</v>
      </c>
      <c r="F11" s="50">
        <v>32.700000000000003</v>
      </c>
      <c r="G11" s="50">
        <v>32.700000000000003</v>
      </c>
      <c r="H11" s="50">
        <v>32.700000000000003</v>
      </c>
      <c r="I11" s="50">
        <v>32.700000000000003</v>
      </c>
      <c r="J11" s="50">
        <v>32.700000000000003</v>
      </c>
      <c r="K11" s="50">
        <v>32.700000000000003</v>
      </c>
      <c r="L11" s="50">
        <v>32.700000000000003</v>
      </c>
      <c r="M11" s="50">
        <v>32.700000000000003</v>
      </c>
      <c r="N11" s="50">
        <v>32.700000000000003</v>
      </c>
      <c r="O11" s="50">
        <v>32.700000000000003</v>
      </c>
    </row>
    <row r="12" spans="2:15" x14ac:dyDescent="0.25">
      <c r="B12" s="78"/>
      <c r="C12" s="4">
        <v>4</v>
      </c>
      <c r="D12" s="50">
        <v>32.700000000000003</v>
      </c>
      <c r="E12" s="50">
        <v>32.700000000000003</v>
      </c>
      <c r="F12" s="50">
        <v>32.700000000000003</v>
      </c>
      <c r="G12" s="50">
        <v>32.700000000000003</v>
      </c>
      <c r="H12" s="50">
        <v>32.700000000000003</v>
      </c>
      <c r="I12" s="50">
        <v>32.700000000000003</v>
      </c>
      <c r="J12" s="50">
        <v>32.700000000000003</v>
      </c>
      <c r="K12" s="50">
        <v>32.700000000000003</v>
      </c>
      <c r="L12" s="50">
        <v>32.700000000000003</v>
      </c>
      <c r="M12" s="50">
        <v>32.700000000000003</v>
      </c>
      <c r="N12" s="50">
        <v>32.700000000000003</v>
      </c>
      <c r="O12" s="50">
        <v>32.700000000000003</v>
      </c>
    </row>
    <row r="13" spans="2:15" x14ac:dyDescent="0.25">
      <c r="B13" s="77" t="s">
        <v>2</v>
      </c>
      <c r="C13" s="4">
        <v>5</v>
      </c>
      <c r="D13" s="50">
        <v>32.700000000000003</v>
      </c>
      <c r="E13" s="50">
        <v>32.700000000000003</v>
      </c>
      <c r="F13" s="50">
        <v>32.700000000000003</v>
      </c>
      <c r="G13" s="50">
        <v>32.700000000000003</v>
      </c>
      <c r="H13" s="50">
        <v>32.700000000000003</v>
      </c>
      <c r="I13" s="50">
        <v>32.700000000000003</v>
      </c>
      <c r="J13" s="50">
        <v>32.700000000000003</v>
      </c>
      <c r="K13" s="50">
        <v>32.700000000000003</v>
      </c>
      <c r="L13" s="50">
        <v>32.700000000000003</v>
      </c>
      <c r="M13" s="50">
        <v>32.700000000000003</v>
      </c>
      <c r="N13" s="50">
        <v>32.700000000000003</v>
      </c>
      <c r="O13" s="50">
        <v>32.700000000000003</v>
      </c>
    </row>
    <row r="14" spans="2:15" x14ac:dyDescent="0.25">
      <c r="B14" s="84"/>
      <c r="C14" s="4">
        <v>6</v>
      </c>
      <c r="D14" s="50">
        <v>32.700000000000003</v>
      </c>
      <c r="E14" s="50">
        <v>32.700000000000003</v>
      </c>
      <c r="F14" s="50">
        <v>32.700000000000003</v>
      </c>
      <c r="G14" s="50">
        <v>32.700000000000003</v>
      </c>
      <c r="H14" s="50">
        <v>32.700000000000003</v>
      </c>
      <c r="I14" s="50">
        <v>32.700000000000003</v>
      </c>
      <c r="J14" s="50">
        <v>32.700000000000003</v>
      </c>
      <c r="K14" s="50">
        <v>32.700000000000003</v>
      </c>
      <c r="L14" s="50">
        <v>32.700000000000003</v>
      </c>
      <c r="M14" s="50">
        <v>32.700000000000003</v>
      </c>
      <c r="N14" s="50">
        <v>32.700000000000003</v>
      </c>
      <c r="O14" s="50">
        <v>32.700000000000003</v>
      </c>
    </row>
    <row r="15" spans="2:15" x14ac:dyDescent="0.25">
      <c r="B15" s="84"/>
      <c r="C15" s="4">
        <v>7</v>
      </c>
      <c r="D15" s="50">
        <v>32.700000000000003</v>
      </c>
      <c r="E15" s="50">
        <v>32.700000000000003</v>
      </c>
      <c r="F15" s="50">
        <v>32.700000000000003</v>
      </c>
      <c r="G15" s="50">
        <v>32.700000000000003</v>
      </c>
      <c r="H15" s="50">
        <v>32.700000000000003</v>
      </c>
      <c r="I15" s="50">
        <v>32.700000000000003</v>
      </c>
      <c r="J15" s="50">
        <v>32.700000000000003</v>
      </c>
      <c r="K15" s="50">
        <v>32.700000000000003</v>
      </c>
      <c r="L15" s="50">
        <v>32.700000000000003</v>
      </c>
      <c r="M15" s="50">
        <v>32.700000000000003</v>
      </c>
      <c r="N15" s="50">
        <v>32.700000000000003</v>
      </c>
      <c r="O15" s="50">
        <v>32.700000000000003</v>
      </c>
    </row>
    <row r="16" spans="2:15" x14ac:dyDescent="0.25">
      <c r="B16" s="84"/>
      <c r="C16" s="4">
        <v>8</v>
      </c>
      <c r="D16" s="50">
        <v>32.700000000000003</v>
      </c>
      <c r="E16" s="50">
        <v>32.700000000000003</v>
      </c>
      <c r="F16" s="50">
        <v>32.700000000000003</v>
      </c>
      <c r="G16" s="50">
        <v>32.700000000000003</v>
      </c>
      <c r="H16" s="50">
        <v>32.700000000000003</v>
      </c>
      <c r="I16" s="50">
        <v>32.700000000000003</v>
      </c>
      <c r="J16" s="50">
        <v>32.700000000000003</v>
      </c>
      <c r="K16" s="50">
        <v>32.700000000000003</v>
      </c>
      <c r="L16" s="50">
        <v>32.700000000000003</v>
      </c>
      <c r="M16" s="50">
        <v>32.700000000000003</v>
      </c>
      <c r="N16" s="50">
        <v>32.700000000000003</v>
      </c>
      <c r="O16" s="50">
        <v>32.700000000000003</v>
      </c>
    </row>
    <row r="17" spans="2:15" x14ac:dyDescent="0.25">
      <c r="B17" s="78"/>
      <c r="C17" s="4">
        <v>9</v>
      </c>
      <c r="D17" s="50">
        <v>32.700000000000003</v>
      </c>
      <c r="E17" s="50">
        <v>32.700000000000003</v>
      </c>
      <c r="F17" s="50">
        <v>32.700000000000003</v>
      </c>
      <c r="G17" s="50">
        <v>32.700000000000003</v>
      </c>
      <c r="H17" s="50">
        <v>32.700000000000003</v>
      </c>
      <c r="I17" s="50">
        <v>32.700000000000003</v>
      </c>
      <c r="J17" s="50">
        <v>32.700000000000003</v>
      </c>
      <c r="K17" s="50">
        <v>32.700000000000003</v>
      </c>
      <c r="L17" s="50">
        <v>32.700000000000003</v>
      </c>
      <c r="M17" s="50">
        <v>32.700000000000003</v>
      </c>
      <c r="N17" s="50">
        <v>32.700000000000003</v>
      </c>
      <c r="O17" s="50">
        <v>32.700000000000003</v>
      </c>
    </row>
    <row r="18" spans="2:15" x14ac:dyDescent="0.25">
      <c r="B18" s="77" t="s">
        <v>3</v>
      </c>
      <c r="C18" s="4">
        <v>10</v>
      </c>
      <c r="D18" s="50">
        <v>32.700000000000003</v>
      </c>
      <c r="E18" s="50">
        <v>32.700000000000003</v>
      </c>
      <c r="F18" s="50">
        <v>32.700000000000003</v>
      </c>
      <c r="G18" s="50">
        <v>32.700000000000003</v>
      </c>
      <c r="H18" s="50">
        <v>32.700000000000003</v>
      </c>
      <c r="I18" s="50">
        <v>32.700000000000003</v>
      </c>
      <c r="J18" s="50">
        <v>32.700000000000003</v>
      </c>
      <c r="K18" s="50">
        <v>32.700000000000003</v>
      </c>
      <c r="L18" s="50">
        <v>32.700000000000003</v>
      </c>
      <c r="M18" s="50">
        <v>32.700000000000003</v>
      </c>
      <c r="N18" s="50">
        <v>32.700000000000003</v>
      </c>
      <c r="O18" s="50">
        <v>32.700000000000003</v>
      </c>
    </row>
    <row r="19" spans="2:15" x14ac:dyDescent="0.25">
      <c r="B19" s="84"/>
      <c r="C19" s="4">
        <v>11</v>
      </c>
      <c r="D19" s="50">
        <v>32.700000000000003</v>
      </c>
      <c r="E19" s="50">
        <v>32.700000000000003</v>
      </c>
      <c r="F19" s="50">
        <v>32.700000000000003</v>
      </c>
      <c r="G19" s="50">
        <v>32.700000000000003</v>
      </c>
      <c r="H19" s="50">
        <v>32.700000000000003</v>
      </c>
      <c r="I19" s="50">
        <v>32.700000000000003</v>
      </c>
      <c r="J19" s="50">
        <v>32.700000000000003</v>
      </c>
      <c r="K19" s="50">
        <v>32.700000000000003</v>
      </c>
      <c r="L19" s="50">
        <v>32.700000000000003</v>
      </c>
      <c r="M19" s="50">
        <v>32.700000000000003</v>
      </c>
      <c r="N19" s="50">
        <v>32.700000000000003</v>
      </c>
      <c r="O19" s="50">
        <v>32.700000000000003</v>
      </c>
    </row>
    <row r="20" spans="2:15" x14ac:dyDescent="0.25">
      <c r="B20" s="78"/>
      <c r="C20" s="4">
        <v>12</v>
      </c>
      <c r="D20" s="50">
        <v>32.700000000000003</v>
      </c>
      <c r="E20" s="50">
        <v>32.700000000000003</v>
      </c>
      <c r="F20" s="50">
        <v>32.700000000000003</v>
      </c>
      <c r="G20" s="50">
        <v>32.700000000000003</v>
      </c>
      <c r="H20" s="50">
        <v>32.700000000000003</v>
      </c>
      <c r="I20" s="50">
        <v>32.700000000000003</v>
      </c>
      <c r="J20" s="50">
        <v>32.700000000000003</v>
      </c>
      <c r="K20" s="50">
        <v>32.700000000000003</v>
      </c>
      <c r="L20" s="50">
        <v>32.700000000000003</v>
      </c>
      <c r="M20" s="50">
        <v>32.700000000000003</v>
      </c>
      <c r="N20" s="50">
        <v>32.700000000000003</v>
      </c>
      <c r="O20" s="50">
        <v>32.700000000000003</v>
      </c>
    </row>
    <row r="21" spans="2:15" x14ac:dyDescent="0.25">
      <c r="B21" s="77" t="s">
        <v>2</v>
      </c>
      <c r="C21" s="4">
        <v>13</v>
      </c>
      <c r="D21" s="50">
        <v>32.700000000000003</v>
      </c>
      <c r="E21" s="50">
        <v>32.700000000000003</v>
      </c>
      <c r="F21" s="50">
        <v>32.700000000000003</v>
      </c>
      <c r="G21" s="50">
        <v>32.700000000000003</v>
      </c>
      <c r="H21" s="50">
        <v>32.700000000000003</v>
      </c>
      <c r="I21" s="50">
        <v>32.700000000000003</v>
      </c>
      <c r="J21" s="50">
        <v>32.700000000000003</v>
      </c>
      <c r="K21" s="50">
        <v>32.700000000000003</v>
      </c>
      <c r="L21" s="50">
        <v>32.700000000000003</v>
      </c>
      <c r="M21" s="50">
        <v>32.700000000000003</v>
      </c>
      <c r="N21" s="50">
        <v>32.700000000000003</v>
      </c>
      <c r="O21" s="50">
        <v>32.700000000000003</v>
      </c>
    </row>
    <row r="22" spans="2:15" x14ac:dyDescent="0.25">
      <c r="B22" s="84"/>
      <c r="C22" s="4">
        <v>14</v>
      </c>
      <c r="D22" s="50">
        <v>32.700000000000003</v>
      </c>
      <c r="E22" s="50">
        <v>32.700000000000003</v>
      </c>
      <c r="F22" s="50">
        <v>32.700000000000003</v>
      </c>
      <c r="G22" s="50">
        <v>32.700000000000003</v>
      </c>
      <c r="H22" s="50">
        <v>32.700000000000003</v>
      </c>
      <c r="I22" s="50">
        <v>32.700000000000003</v>
      </c>
      <c r="J22" s="50">
        <v>32.700000000000003</v>
      </c>
      <c r="K22" s="50">
        <v>32.700000000000003</v>
      </c>
      <c r="L22" s="50">
        <v>32.700000000000003</v>
      </c>
      <c r="M22" s="50">
        <v>32.700000000000003</v>
      </c>
      <c r="N22" s="50">
        <v>32.700000000000003</v>
      </c>
      <c r="O22" s="50">
        <v>32.700000000000003</v>
      </c>
    </row>
    <row r="23" spans="2:15" x14ac:dyDescent="0.25">
      <c r="B23" s="84"/>
      <c r="C23" s="4">
        <v>15</v>
      </c>
      <c r="D23" s="50">
        <v>32.700000000000003</v>
      </c>
      <c r="E23" s="50">
        <v>32.700000000000003</v>
      </c>
      <c r="F23" s="50">
        <v>32.700000000000003</v>
      </c>
      <c r="G23" s="50">
        <v>32.700000000000003</v>
      </c>
      <c r="H23" s="50">
        <v>32.700000000000003</v>
      </c>
      <c r="I23" s="50">
        <v>32.700000000000003</v>
      </c>
      <c r="J23" s="50">
        <v>32.700000000000003</v>
      </c>
      <c r="K23" s="50">
        <v>32.700000000000003</v>
      </c>
      <c r="L23" s="50">
        <v>32.700000000000003</v>
      </c>
      <c r="M23" s="50">
        <v>32.700000000000003</v>
      </c>
      <c r="N23" s="50">
        <v>32.700000000000003</v>
      </c>
      <c r="O23" s="50">
        <v>32.700000000000003</v>
      </c>
    </row>
    <row r="24" spans="2:15" x14ac:dyDescent="0.25">
      <c r="B24" s="84"/>
      <c r="C24" s="4">
        <v>16</v>
      </c>
      <c r="D24" s="50">
        <v>32.700000000000003</v>
      </c>
      <c r="E24" s="50">
        <v>32.700000000000003</v>
      </c>
      <c r="F24" s="50">
        <v>32.700000000000003</v>
      </c>
      <c r="G24" s="50">
        <v>32.700000000000003</v>
      </c>
      <c r="H24" s="50">
        <v>32.700000000000003</v>
      </c>
      <c r="I24" s="50">
        <v>32.700000000000003</v>
      </c>
      <c r="J24" s="50">
        <v>32.700000000000003</v>
      </c>
      <c r="K24" s="50">
        <v>32.700000000000003</v>
      </c>
      <c r="L24" s="50">
        <v>32.700000000000003</v>
      </c>
      <c r="M24" s="50">
        <v>32.700000000000003</v>
      </c>
      <c r="N24" s="50">
        <v>32.700000000000003</v>
      </c>
      <c r="O24" s="50">
        <v>32.700000000000003</v>
      </c>
    </row>
    <row r="25" spans="2:15" x14ac:dyDescent="0.25">
      <c r="B25" s="84"/>
      <c r="C25" s="4">
        <v>17</v>
      </c>
      <c r="D25" s="50">
        <v>32.700000000000003</v>
      </c>
      <c r="E25" s="50">
        <v>32.700000000000003</v>
      </c>
      <c r="F25" s="50">
        <v>32.700000000000003</v>
      </c>
      <c r="G25" s="50">
        <v>32.700000000000003</v>
      </c>
      <c r="H25" s="50">
        <v>32.700000000000003</v>
      </c>
      <c r="I25" s="50">
        <v>32.700000000000003</v>
      </c>
      <c r="J25" s="50">
        <v>32.700000000000003</v>
      </c>
      <c r="K25" s="50">
        <v>32.700000000000003</v>
      </c>
      <c r="L25" s="50">
        <v>32.700000000000003</v>
      </c>
      <c r="M25" s="50">
        <v>32.700000000000003</v>
      </c>
      <c r="N25" s="50">
        <v>32.700000000000003</v>
      </c>
      <c r="O25" s="50">
        <v>32.700000000000003</v>
      </c>
    </row>
    <row r="26" spans="2:15" x14ac:dyDescent="0.25">
      <c r="B26" s="78"/>
      <c r="C26" s="4">
        <v>18</v>
      </c>
      <c r="D26" s="50">
        <v>32.700000000000003</v>
      </c>
      <c r="E26" s="50">
        <v>32.700000000000003</v>
      </c>
      <c r="F26" s="50">
        <v>32.700000000000003</v>
      </c>
      <c r="G26" s="50">
        <v>32.700000000000003</v>
      </c>
      <c r="H26" s="50">
        <v>32.700000000000003</v>
      </c>
      <c r="I26" s="50">
        <v>32.700000000000003</v>
      </c>
      <c r="J26" s="50">
        <v>32.700000000000003</v>
      </c>
      <c r="K26" s="50">
        <v>32.700000000000003</v>
      </c>
      <c r="L26" s="50">
        <v>32.700000000000003</v>
      </c>
      <c r="M26" s="50">
        <v>32.700000000000003</v>
      </c>
      <c r="N26" s="50">
        <v>32.700000000000003</v>
      </c>
      <c r="O26" s="50">
        <v>32.700000000000003</v>
      </c>
    </row>
    <row r="27" spans="2:15" x14ac:dyDescent="0.25">
      <c r="B27" s="77" t="s">
        <v>3</v>
      </c>
      <c r="C27" s="4">
        <v>19</v>
      </c>
      <c r="D27" s="50">
        <v>32.700000000000003</v>
      </c>
      <c r="E27" s="50">
        <v>32.700000000000003</v>
      </c>
      <c r="F27" s="50">
        <v>32.700000000000003</v>
      </c>
      <c r="G27" s="50">
        <v>32.700000000000003</v>
      </c>
      <c r="H27" s="50">
        <v>32.700000000000003</v>
      </c>
      <c r="I27" s="50">
        <v>32.700000000000003</v>
      </c>
      <c r="J27" s="50">
        <v>32.700000000000003</v>
      </c>
      <c r="K27" s="50">
        <v>32.700000000000003</v>
      </c>
      <c r="L27" s="50">
        <v>32.700000000000003</v>
      </c>
      <c r="M27" s="50">
        <v>32.700000000000003</v>
      </c>
      <c r="N27" s="50">
        <v>32.700000000000003</v>
      </c>
      <c r="O27" s="50">
        <v>32.700000000000003</v>
      </c>
    </row>
    <row r="28" spans="2:15" x14ac:dyDescent="0.25">
      <c r="B28" s="84"/>
      <c r="C28" s="4">
        <v>20</v>
      </c>
      <c r="D28" s="50">
        <v>32.700000000000003</v>
      </c>
      <c r="E28" s="50">
        <v>32.700000000000003</v>
      </c>
      <c r="F28" s="50">
        <v>32.700000000000003</v>
      </c>
      <c r="G28" s="50">
        <v>32.700000000000003</v>
      </c>
      <c r="H28" s="50">
        <v>32.700000000000003</v>
      </c>
      <c r="I28" s="50">
        <v>32.700000000000003</v>
      </c>
      <c r="J28" s="50">
        <v>32.700000000000003</v>
      </c>
      <c r="K28" s="50">
        <v>32.700000000000003</v>
      </c>
      <c r="L28" s="50">
        <v>32.700000000000003</v>
      </c>
      <c r="M28" s="50">
        <v>32.700000000000003</v>
      </c>
      <c r="N28" s="50">
        <v>32.700000000000003</v>
      </c>
      <c r="O28" s="50">
        <v>32.700000000000003</v>
      </c>
    </row>
    <row r="29" spans="2:15" x14ac:dyDescent="0.25">
      <c r="B29" s="78"/>
      <c r="C29" s="4">
        <v>21</v>
      </c>
      <c r="D29" s="50">
        <v>32.700000000000003</v>
      </c>
      <c r="E29" s="50">
        <v>32.700000000000003</v>
      </c>
      <c r="F29" s="50">
        <v>32.700000000000003</v>
      </c>
      <c r="G29" s="50">
        <v>32.700000000000003</v>
      </c>
      <c r="H29" s="50">
        <v>32.700000000000003</v>
      </c>
      <c r="I29" s="50">
        <v>32.700000000000003</v>
      </c>
      <c r="J29" s="50">
        <v>32.700000000000003</v>
      </c>
      <c r="K29" s="50">
        <v>32.700000000000003</v>
      </c>
      <c r="L29" s="50">
        <v>32.700000000000003</v>
      </c>
      <c r="M29" s="50">
        <v>32.700000000000003</v>
      </c>
      <c r="N29" s="50">
        <v>32.700000000000003</v>
      </c>
      <c r="O29" s="50">
        <v>32.700000000000003</v>
      </c>
    </row>
    <row r="30" spans="2:15" x14ac:dyDescent="0.25">
      <c r="B30" s="77" t="s">
        <v>2</v>
      </c>
      <c r="C30" s="4">
        <v>22</v>
      </c>
      <c r="D30" s="50">
        <v>32.700000000000003</v>
      </c>
      <c r="E30" s="50">
        <v>32.700000000000003</v>
      </c>
      <c r="F30" s="50">
        <v>32.700000000000003</v>
      </c>
      <c r="G30" s="50">
        <v>32.700000000000003</v>
      </c>
      <c r="H30" s="50">
        <v>32.700000000000003</v>
      </c>
      <c r="I30" s="50">
        <v>32.700000000000003</v>
      </c>
      <c r="J30" s="50">
        <v>32.700000000000003</v>
      </c>
      <c r="K30" s="50">
        <v>32.700000000000003</v>
      </c>
      <c r="L30" s="50">
        <v>32.700000000000003</v>
      </c>
      <c r="M30" s="50">
        <v>32.700000000000003</v>
      </c>
      <c r="N30" s="50">
        <v>32.700000000000003</v>
      </c>
      <c r="O30" s="50">
        <v>32.700000000000003</v>
      </c>
    </row>
    <row r="31" spans="2:15" ht="16.149999999999999" customHeight="1" x14ac:dyDescent="0.25">
      <c r="B31" s="78"/>
      <c r="C31" s="4">
        <v>23</v>
      </c>
      <c r="D31" s="50">
        <v>32.700000000000003</v>
      </c>
      <c r="E31" s="50">
        <v>32.700000000000003</v>
      </c>
      <c r="F31" s="50">
        <v>32.700000000000003</v>
      </c>
      <c r="G31" s="50">
        <v>32.700000000000003</v>
      </c>
      <c r="H31" s="50">
        <v>32.700000000000003</v>
      </c>
      <c r="I31" s="50">
        <v>32.700000000000003</v>
      </c>
      <c r="J31" s="50">
        <v>32.700000000000003</v>
      </c>
      <c r="K31" s="50">
        <v>32.700000000000003</v>
      </c>
      <c r="L31" s="50">
        <v>32.700000000000003</v>
      </c>
      <c r="M31" s="50">
        <v>32.700000000000003</v>
      </c>
      <c r="N31" s="50">
        <v>32.700000000000003</v>
      </c>
      <c r="O31" s="50">
        <v>32.700000000000003</v>
      </c>
    </row>
    <row r="32" spans="2:15" x14ac:dyDescent="0.25">
      <c r="B32" s="36" t="s">
        <v>1</v>
      </c>
      <c r="C32" s="37">
        <v>24</v>
      </c>
      <c r="D32" s="50">
        <v>32.700000000000003</v>
      </c>
      <c r="E32" s="50">
        <v>32.700000000000003</v>
      </c>
      <c r="F32" s="50">
        <v>32.700000000000003</v>
      </c>
      <c r="G32" s="50">
        <v>32.700000000000003</v>
      </c>
      <c r="H32" s="50">
        <v>32.700000000000003</v>
      </c>
      <c r="I32" s="50">
        <v>32.700000000000003</v>
      </c>
      <c r="J32" s="50">
        <v>32.700000000000003</v>
      </c>
      <c r="K32" s="50">
        <v>32.700000000000003</v>
      </c>
      <c r="L32" s="50">
        <v>32.700000000000003</v>
      </c>
      <c r="M32" s="50">
        <v>32.700000000000003</v>
      </c>
      <c r="N32" s="50">
        <v>32.700000000000003</v>
      </c>
      <c r="O32" s="50">
        <v>32.700000000000003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37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163.5</v>
      </c>
      <c r="E35" s="41">
        <f t="shared" si="0"/>
        <v>163.5</v>
      </c>
      <c r="F35" s="41">
        <f t="shared" si="0"/>
        <v>163.5</v>
      </c>
      <c r="G35" s="41">
        <f t="shared" si="0"/>
        <v>163.5</v>
      </c>
      <c r="H35" s="41">
        <f t="shared" ref="H35:O35" si="1">(SUM(H9:H12)+H32)</f>
        <v>163.5</v>
      </c>
      <c r="I35" s="41">
        <f t="shared" si="1"/>
        <v>163.5</v>
      </c>
      <c r="J35" s="41">
        <f t="shared" si="1"/>
        <v>163.5</v>
      </c>
      <c r="K35" s="41">
        <f t="shared" si="1"/>
        <v>163.5</v>
      </c>
      <c r="L35" s="41">
        <f t="shared" si="1"/>
        <v>163.5</v>
      </c>
      <c r="M35" s="41">
        <f t="shared" si="1"/>
        <v>163.5</v>
      </c>
      <c r="N35" s="41">
        <f t="shared" si="1"/>
        <v>163.5</v>
      </c>
      <c r="O35" s="41">
        <f t="shared" si="1"/>
        <v>163.5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425.09999999999997</v>
      </c>
      <c r="E36" s="41">
        <f t="shared" si="2"/>
        <v>425.09999999999997</v>
      </c>
      <c r="F36" s="41">
        <f t="shared" si="2"/>
        <v>425.09999999999997</v>
      </c>
      <c r="G36" s="41">
        <f t="shared" si="2"/>
        <v>425.09999999999997</v>
      </c>
      <c r="H36" s="41">
        <f t="shared" ref="H36:O36" si="3">(SUM(H13:H17)+SUM(H21:H26)+H30+H31)</f>
        <v>425.09999999999997</v>
      </c>
      <c r="I36" s="41">
        <f t="shared" si="3"/>
        <v>425.09999999999997</v>
      </c>
      <c r="J36" s="41">
        <f t="shared" si="3"/>
        <v>425.09999999999997</v>
      </c>
      <c r="K36" s="41">
        <f t="shared" si="3"/>
        <v>425.09999999999997</v>
      </c>
      <c r="L36" s="41">
        <f t="shared" si="3"/>
        <v>425.09999999999997</v>
      </c>
      <c r="M36" s="41">
        <f t="shared" si="3"/>
        <v>425.09999999999997</v>
      </c>
      <c r="N36" s="41">
        <f t="shared" si="3"/>
        <v>425.09999999999997</v>
      </c>
      <c r="O36" s="41">
        <f t="shared" si="3"/>
        <v>425.09999999999997</v>
      </c>
    </row>
    <row r="37" spans="2:16" x14ac:dyDescent="0.25">
      <c r="B37" s="88" t="s">
        <v>3</v>
      </c>
      <c r="C37" s="88"/>
      <c r="D37" s="41">
        <f t="shared" ref="D37:G37" si="4">(SUM(D18:D20)+SUM(D27:D29))</f>
        <v>196.20000000000002</v>
      </c>
      <c r="E37" s="41">
        <f t="shared" si="4"/>
        <v>196.20000000000002</v>
      </c>
      <c r="F37" s="41">
        <f t="shared" si="4"/>
        <v>196.20000000000002</v>
      </c>
      <c r="G37" s="41">
        <f t="shared" si="4"/>
        <v>196.20000000000002</v>
      </c>
      <c r="H37" s="41">
        <f t="shared" ref="H37:O37" si="5">(SUM(H18:H20)+SUM(H27:H29))</f>
        <v>196.20000000000002</v>
      </c>
      <c r="I37" s="41">
        <f t="shared" si="5"/>
        <v>196.20000000000002</v>
      </c>
      <c r="J37" s="41">
        <f t="shared" si="5"/>
        <v>196.20000000000002</v>
      </c>
      <c r="K37" s="41">
        <f t="shared" si="5"/>
        <v>196.20000000000002</v>
      </c>
      <c r="L37" s="41">
        <f t="shared" si="5"/>
        <v>196.20000000000002</v>
      </c>
      <c r="M37" s="41">
        <f t="shared" si="5"/>
        <v>196.20000000000002</v>
      </c>
      <c r="N37" s="41">
        <f t="shared" si="5"/>
        <v>196.20000000000002</v>
      </c>
      <c r="O37" s="41">
        <f t="shared" si="5"/>
        <v>196.20000000000002</v>
      </c>
    </row>
    <row r="38" spans="2:16" x14ac:dyDescent="0.25">
      <c r="B38" s="85" t="s">
        <v>9</v>
      </c>
      <c r="C38" s="86"/>
      <c r="D38" s="41">
        <f t="shared" ref="D38:O38" si="6">D35*D33</f>
        <v>5068.5</v>
      </c>
      <c r="E38" s="41">
        <f t="shared" si="6"/>
        <v>4578</v>
      </c>
      <c r="F38" s="41">
        <f t="shared" si="6"/>
        <v>5068.5</v>
      </c>
      <c r="G38" s="41">
        <f t="shared" si="6"/>
        <v>4905</v>
      </c>
      <c r="H38" s="41">
        <f t="shared" si="6"/>
        <v>5068.5</v>
      </c>
      <c r="I38" s="41">
        <f t="shared" si="6"/>
        <v>4905</v>
      </c>
      <c r="J38" s="41">
        <f t="shared" si="6"/>
        <v>5068.5</v>
      </c>
      <c r="K38" s="41">
        <f t="shared" si="6"/>
        <v>5068.5</v>
      </c>
      <c r="L38" s="41">
        <f t="shared" si="6"/>
        <v>4905</v>
      </c>
      <c r="M38" s="41">
        <f t="shared" si="6"/>
        <v>5068.5</v>
      </c>
      <c r="N38" s="41">
        <f t="shared" si="6"/>
        <v>4905</v>
      </c>
      <c r="O38" s="41">
        <f t="shared" si="6"/>
        <v>5068.5</v>
      </c>
    </row>
    <row r="39" spans="2:16" x14ac:dyDescent="0.25">
      <c r="B39" s="85" t="s">
        <v>10</v>
      </c>
      <c r="C39" s="86"/>
      <c r="D39" s="41">
        <f t="shared" ref="D39:O39" si="7">D33*D36</f>
        <v>13178.099999999999</v>
      </c>
      <c r="E39" s="41">
        <f t="shared" si="7"/>
        <v>11902.8</v>
      </c>
      <c r="F39" s="41">
        <f t="shared" si="7"/>
        <v>13178.099999999999</v>
      </c>
      <c r="G39" s="41">
        <f t="shared" si="7"/>
        <v>12752.999999999998</v>
      </c>
      <c r="H39" s="41">
        <f t="shared" si="7"/>
        <v>13178.099999999999</v>
      </c>
      <c r="I39" s="41">
        <f t="shared" si="7"/>
        <v>12752.999999999998</v>
      </c>
      <c r="J39" s="41">
        <f t="shared" si="7"/>
        <v>13178.099999999999</v>
      </c>
      <c r="K39" s="41">
        <f t="shared" si="7"/>
        <v>13178.099999999999</v>
      </c>
      <c r="L39" s="41">
        <f t="shared" si="7"/>
        <v>12752.999999999998</v>
      </c>
      <c r="M39" s="41">
        <f t="shared" si="7"/>
        <v>13178.099999999999</v>
      </c>
      <c r="N39" s="41">
        <f t="shared" si="7"/>
        <v>12752.999999999998</v>
      </c>
      <c r="O39" s="41">
        <f t="shared" si="7"/>
        <v>13178.099999999999</v>
      </c>
    </row>
    <row r="40" spans="2:16" x14ac:dyDescent="0.25">
      <c r="B40" s="85" t="s">
        <v>11</v>
      </c>
      <c r="C40" s="86"/>
      <c r="D40" s="41">
        <f t="shared" ref="D40:O40" si="8">D33*D37</f>
        <v>6082.2000000000007</v>
      </c>
      <c r="E40" s="41">
        <f t="shared" si="8"/>
        <v>5493.6</v>
      </c>
      <c r="F40" s="41">
        <f t="shared" si="8"/>
        <v>6082.2000000000007</v>
      </c>
      <c r="G40" s="41">
        <f t="shared" si="8"/>
        <v>5886.0000000000009</v>
      </c>
      <c r="H40" s="41">
        <f t="shared" si="8"/>
        <v>6082.2000000000007</v>
      </c>
      <c r="I40" s="41">
        <f t="shared" si="8"/>
        <v>5886.0000000000009</v>
      </c>
      <c r="J40" s="41">
        <f t="shared" si="8"/>
        <v>6082.2000000000007</v>
      </c>
      <c r="K40" s="41">
        <f t="shared" si="8"/>
        <v>6082.2000000000007</v>
      </c>
      <c r="L40" s="41">
        <f t="shared" si="8"/>
        <v>5886.0000000000009</v>
      </c>
      <c r="M40" s="41">
        <f t="shared" si="8"/>
        <v>6082.2000000000007</v>
      </c>
      <c r="N40" s="41">
        <f t="shared" si="8"/>
        <v>5886.0000000000009</v>
      </c>
      <c r="O40" s="41">
        <f t="shared" si="8"/>
        <v>6082.2000000000007</v>
      </c>
    </row>
    <row r="41" spans="2:16" x14ac:dyDescent="0.25">
      <c r="B41" s="81" t="s">
        <v>12</v>
      </c>
      <c r="C41" s="82"/>
      <c r="D41" s="51">
        <f t="shared" ref="D41:O41" si="9">D40+D39+D38</f>
        <v>24328.799999999999</v>
      </c>
      <c r="E41" s="51">
        <f t="shared" si="9"/>
        <v>21974.400000000001</v>
      </c>
      <c r="F41" s="51">
        <f t="shared" si="9"/>
        <v>24328.799999999999</v>
      </c>
      <c r="G41" s="51">
        <f t="shared" si="9"/>
        <v>23544</v>
      </c>
      <c r="H41" s="51">
        <f t="shared" si="9"/>
        <v>24328.799999999999</v>
      </c>
      <c r="I41" s="51">
        <f t="shared" si="9"/>
        <v>23544</v>
      </c>
      <c r="J41" s="51">
        <f t="shared" si="9"/>
        <v>24328.799999999999</v>
      </c>
      <c r="K41" s="51">
        <f t="shared" si="9"/>
        <v>24328.799999999999</v>
      </c>
      <c r="L41" s="51">
        <f t="shared" si="9"/>
        <v>23544</v>
      </c>
      <c r="M41" s="51">
        <f t="shared" si="9"/>
        <v>24328.799999999999</v>
      </c>
      <c r="N41" s="51">
        <f t="shared" si="9"/>
        <v>23544</v>
      </c>
      <c r="O41" s="51">
        <f t="shared" si="9"/>
        <v>24328.799999999999</v>
      </c>
      <c r="P41" s="52">
        <f>SUM(D41:O41)</f>
        <v>286451.99999999994</v>
      </c>
    </row>
    <row r="42" spans="2:16" x14ac:dyDescent="0.25">
      <c r="D42" s="3">
        <v>47484</v>
      </c>
      <c r="E42" s="3">
        <v>47515</v>
      </c>
      <c r="F42" s="3">
        <v>47543</v>
      </c>
      <c r="G42" s="3">
        <v>47574</v>
      </c>
      <c r="H42" s="3">
        <v>47604</v>
      </c>
      <c r="I42" s="3">
        <v>47635</v>
      </c>
      <c r="J42" s="3">
        <v>47665</v>
      </c>
      <c r="K42" s="3">
        <v>47696</v>
      </c>
      <c r="L42" s="3">
        <v>47727</v>
      </c>
      <c r="M42" s="3">
        <v>47757</v>
      </c>
      <c r="N42" s="3">
        <v>47788</v>
      </c>
      <c r="O42" s="3">
        <v>47818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38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39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39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47849</v>
      </c>
      <c r="E8" s="3">
        <v>47880</v>
      </c>
      <c r="F8" s="3">
        <v>47908</v>
      </c>
      <c r="G8" s="3">
        <v>47939</v>
      </c>
      <c r="H8" s="3">
        <v>47969</v>
      </c>
      <c r="I8" s="3">
        <v>48000</v>
      </c>
      <c r="J8" s="3">
        <v>48030</v>
      </c>
      <c r="K8" s="3">
        <v>48061</v>
      </c>
      <c r="L8" s="3">
        <v>48092</v>
      </c>
      <c r="M8" s="3">
        <v>48122</v>
      </c>
      <c r="N8" s="3">
        <v>48153</v>
      </c>
      <c r="O8" s="3">
        <v>48183</v>
      </c>
    </row>
    <row r="9" spans="2:15" x14ac:dyDescent="0.25">
      <c r="B9" s="77" t="s">
        <v>1</v>
      </c>
      <c r="C9" s="4">
        <v>1</v>
      </c>
      <c r="D9" s="50">
        <v>50.7</v>
      </c>
      <c r="E9" s="50">
        <v>50.7</v>
      </c>
      <c r="F9" s="50">
        <v>50.7</v>
      </c>
      <c r="G9" s="50">
        <v>50.7</v>
      </c>
      <c r="H9" s="50">
        <v>50.7</v>
      </c>
      <c r="I9" s="50">
        <v>50.7</v>
      </c>
      <c r="J9" s="50">
        <v>50.7</v>
      </c>
      <c r="K9" s="50">
        <v>50.7</v>
      </c>
      <c r="L9" s="50">
        <v>50.7</v>
      </c>
      <c r="M9" s="50">
        <v>50.7</v>
      </c>
      <c r="N9" s="50">
        <v>50.7</v>
      </c>
      <c r="O9" s="50">
        <v>50.7</v>
      </c>
    </row>
    <row r="10" spans="2:15" x14ac:dyDescent="0.25">
      <c r="B10" s="84"/>
      <c r="C10" s="4">
        <v>2</v>
      </c>
      <c r="D10" s="50">
        <v>50.7</v>
      </c>
      <c r="E10" s="50">
        <v>50.7</v>
      </c>
      <c r="F10" s="50">
        <v>50.7</v>
      </c>
      <c r="G10" s="50">
        <v>50.7</v>
      </c>
      <c r="H10" s="50">
        <v>50.7</v>
      </c>
      <c r="I10" s="50">
        <v>50.7</v>
      </c>
      <c r="J10" s="50">
        <v>50.7</v>
      </c>
      <c r="K10" s="50">
        <v>50.7</v>
      </c>
      <c r="L10" s="50">
        <v>50.7</v>
      </c>
      <c r="M10" s="50">
        <v>50.7</v>
      </c>
      <c r="N10" s="50">
        <v>50.7</v>
      </c>
      <c r="O10" s="50">
        <v>50.7</v>
      </c>
    </row>
    <row r="11" spans="2:15" x14ac:dyDescent="0.25">
      <c r="B11" s="84"/>
      <c r="C11" s="4">
        <v>3</v>
      </c>
      <c r="D11" s="50">
        <v>50.7</v>
      </c>
      <c r="E11" s="50">
        <v>50.7</v>
      </c>
      <c r="F11" s="50">
        <v>50.7</v>
      </c>
      <c r="G11" s="50">
        <v>50.7</v>
      </c>
      <c r="H11" s="50">
        <v>50.7</v>
      </c>
      <c r="I11" s="50">
        <v>50.7</v>
      </c>
      <c r="J11" s="50">
        <v>50.7</v>
      </c>
      <c r="K11" s="50">
        <v>50.7</v>
      </c>
      <c r="L11" s="50">
        <v>50.7</v>
      </c>
      <c r="M11" s="50">
        <v>50.7</v>
      </c>
      <c r="N11" s="50">
        <v>50.7</v>
      </c>
      <c r="O11" s="50">
        <v>50.7</v>
      </c>
    </row>
    <row r="12" spans="2:15" x14ac:dyDescent="0.25">
      <c r="B12" s="78"/>
      <c r="C12" s="4">
        <v>4</v>
      </c>
      <c r="D12" s="50">
        <v>50.7</v>
      </c>
      <c r="E12" s="50">
        <v>50.7</v>
      </c>
      <c r="F12" s="50">
        <v>50.7</v>
      </c>
      <c r="G12" s="50">
        <v>50.7</v>
      </c>
      <c r="H12" s="50">
        <v>50.7</v>
      </c>
      <c r="I12" s="50">
        <v>50.7</v>
      </c>
      <c r="J12" s="50">
        <v>50.7</v>
      </c>
      <c r="K12" s="50">
        <v>50.7</v>
      </c>
      <c r="L12" s="50">
        <v>50.7</v>
      </c>
      <c r="M12" s="50">
        <v>50.7</v>
      </c>
      <c r="N12" s="50">
        <v>50.7</v>
      </c>
      <c r="O12" s="50">
        <v>50.7</v>
      </c>
    </row>
    <row r="13" spans="2:15" x14ac:dyDescent="0.25">
      <c r="B13" s="77" t="s">
        <v>2</v>
      </c>
      <c r="C13" s="4">
        <v>5</v>
      </c>
      <c r="D13" s="50">
        <v>50.7</v>
      </c>
      <c r="E13" s="50">
        <v>50.7</v>
      </c>
      <c r="F13" s="50">
        <v>50.7</v>
      </c>
      <c r="G13" s="50">
        <v>50.7</v>
      </c>
      <c r="H13" s="50">
        <v>50.7</v>
      </c>
      <c r="I13" s="50">
        <v>50.7</v>
      </c>
      <c r="J13" s="50">
        <v>50.7</v>
      </c>
      <c r="K13" s="50">
        <v>50.7</v>
      </c>
      <c r="L13" s="50">
        <v>50.7</v>
      </c>
      <c r="M13" s="50">
        <v>50.7</v>
      </c>
      <c r="N13" s="50">
        <v>50.7</v>
      </c>
      <c r="O13" s="50">
        <v>50.7</v>
      </c>
    </row>
    <row r="14" spans="2:15" x14ac:dyDescent="0.25">
      <c r="B14" s="84"/>
      <c r="C14" s="4">
        <v>6</v>
      </c>
      <c r="D14" s="50">
        <v>50.7</v>
      </c>
      <c r="E14" s="50">
        <v>50.7</v>
      </c>
      <c r="F14" s="50">
        <v>50.7</v>
      </c>
      <c r="G14" s="50">
        <v>50.7</v>
      </c>
      <c r="H14" s="50">
        <v>50.7</v>
      </c>
      <c r="I14" s="50">
        <v>50.7</v>
      </c>
      <c r="J14" s="50">
        <v>50.7</v>
      </c>
      <c r="K14" s="50">
        <v>50.7</v>
      </c>
      <c r="L14" s="50">
        <v>50.7</v>
      </c>
      <c r="M14" s="50">
        <v>50.7</v>
      </c>
      <c r="N14" s="50">
        <v>50.7</v>
      </c>
      <c r="O14" s="50">
        <v>50.7</v>
      </c>
    </row>
    <row r="15" spans="2:15" x14ac:dyDescent="0.25">
      <c r="B15" s="84"/>
      <c r="C15" s="4">
        <v>7</v>
      </c>
      <c r="D15" s="50">
        <v>50.7</v>
      </c>
      <c r="E15" s="50">
        <v>50.7</v>
      </c>
      <c r="F15" s="50">
        <v>50.7</v>
      </c>
      <c r="G15" s="50">
        <v>50.7</v>
      </c>
      <c r="H15" s="50">
        <v>50.7</v>
      </c>
      <c r="I15" s="50">
        <v>50.7</v>
      </c>
      <c r="J15" s="50">
        <v>50.7</v>
      </c>
      <c r="K15" s="50">
        <v>50.7</v>
      </c>
      <c r="L15" s="50">
        <v>50.7</v>
      </c>
      <c r="M15" s="50">
        <v>50.7</v>
      </c>
      <c r="N15" s="50">
        <v>50.7</v>
      </c>
      <c r="O15" s="50">
        <v>50.7</v>
      </c>
    </row>
    <row r="16" spans="2:15" x14ac:dyDescent="0.25">
      <c r="B16" s="84"/>
      <c r="C16" s="4">
        <v>8</v>
      </c>
      <c r="D16" s="50">
        <v>50.7</v>
      </c>
      <c r="E16" s="50">
        <v>50.7</v>
      </c>
      <c r="F16" s="50">
        <v>50.7</v>
      </c>
      <c r="G16" s="50">
        <v>50.7</v>
      </c>
      <c r="H16" s="50">
        <v>50.7</v>
      </c>
      <c r="I16" s="50">
        <v>50.7</v>
      </c>
      <c r="J16" s="50">
        <v>50.7</v>
      </c>
      <c r="K16" s="50">
        <v>50.7</v>
      </c>
      <c r="L16" s="50">
        <v>50.7</v>
      </c>
      <c r="M16" s="50">
        <v>50.7</v>
      </c>
      <c r="N16" s="50">
        <v>50.7</v>
      </c>
      <c r="O16" s="50">
        <v>50.7</v>
      </c>
    </row>
    <row r="17" spans="2:15" x14ac:dyDescent="0.25">
      <c r="B17" s="78"/>
      <c r="C17" s="4">
        <v>9</v>
      </c>
      <c r="D17" s="50">
        <v>50.7</v>
      </c>
      <c r="E17" s="50">
        <v>50.7</v>
      </c>
      <c r="F17" s="50">
        <v>50.7</v>
      </c>
      <c r="G17" s="50">
        <v>50.7</v>
      </c>
      <c r="H17" s="50">
        <v>50.7</v>
      </c>
      <c r="I17" s="50">
        <v>50.7</v>
      </c>
      <c r="J17" s="50">
        <v>50.7</v>
      </c>
      <c r="K17" s="50">
        <v>50.7</v>
      </c>
      <c r="L17" s="50">
        <v>50.7</v>
      </c>
      <c r="M17" s="50">
        <v>50.7</v>
      </c>
      <c r="N17" s="50">
        <v>50.7</v>
      </c>
      <c r="O17" s="50">
        <v>50.7</v>
      </c>
    </row>
    <row r="18" spans="2:15" x14ac:dyDescent="0.25">
      <c r="B18" s="77" t="s">
        <v>3</v>
      </c>
      <c r="C18" s="4">
        <v>10</v>
      </c>
      <c r="D18" s="50">
        <v>50.7</v>
      </c>
      <c r="E18" s="50">
        <v>50.7</v>
      </c>
      <c r="F18" s="50">
        <v>50.7</v>
      </c>
      <c r="G18" s="50">
        <v>50.7</v>
      </c>
      <c r="H18" s="50">
        <v>50.7</v>
      </c>
      <c r="I18" s="50">
        <v>50.7</v>
      </c>
      <c r="J18" s="50">
        <v>50.7</v>
      </c>
      <c r="K18" s="50">
        <v>50.7</v>
      </c>
      <c r="L18" s="50">
        <v>50.7</v>
      </c>
      <c r="M18" s="50">
        <v>50.7</v>
      </c>
      <c r="N18" s="50">
        <v>50.7</v>
      </c>
      <c r="O18" s="50">
        <v>50.7</v>
      </c>
    </row>
    <row r="19" spans="2:15" x14ac:dyDescent="0.25">
      <c r="B19" s="84"/>
      <c r="C19" s="4">
        <v>11</v>
      </c>
      <c r="D19" s="50">
        <v>50.7</v>
      </c>
      <c r="E19" s="50">
        <v>50.7</v>
      </c>
      <c r="F19" s="50">
        <v>50.7</v>
      </c>
      <c r="G19" s="50">
        <v>50.7</v>
      </c>
      <c r="H19" s="50">
        <v>50.7</v>
      </c>
      <c r="I19" s="50">
        <v>50.7</v>
      </c>
      <c r="J19" s="50">
        <v>50.7</v>
      </c>
      <c r="K19" s="50">
        <v>50.7</v>
      </c>
      <c r="L19" s="50">
        <v>50.7</v>
      </c>
      <c r="M19" s="50">
        <v>50.7</v>
      </c>
      <c r="N19" s="50">
        <v>50.7</v>
      </c>
      <c r="O19" s="50">
        <v>50.7</v>
      </c>
    </row>
    <row r="20" spans="2:15" x14ac:dyDescent="0.25">
      <c r="B20" s="78"/>
      <c r="C20" s="4">
        <v>12</v>
      </c>
      <c r="D20" s="50">
        <v>50.7</v>
      </c>
      <c r="E20" s="50">
        <v>50.7</v>
      </c>
      <c r="F20" s="50">
        <v>50.7</v>
      </c>
      <c r="G20" s="50">
        <v>50.7</v>
      </c>
      <c r="H20" s="50">
        <v>50.7</v>
      </c>
      <c r="I20" s="50">
        <v>50.7</v>
      </c>
      <c r="J20" s="50">
        <v>50.7</v>
      </c>
      <c r="K20" s="50">
        <v>50.7</v>
      </c>
      <c r="L20" s="50">
        <v>50.7</v>
      </c>
      <c r="M20" s="50">
        <v>50.7</v>
      </c>
      <c r="N20" s="50">
        <v>50.7</v>
      </c>
      <c r="O20" s="50">
        <v>50.7</v>
      </c>
    </row>
    <row r="21" spans="2:15" x14ac:dyDescent="0.25">
      <c r="B21" s="77" t="s">
        <v>2</v>
      </c>
      <c r="C21" s="4">
        <v>13</v>
      </c>
      <c r="D21" s="50">
        <v>50.7</v>
      </c>
      <c r="E21" s="50">
        <v>50.7</v>
      </c>
      <c r="F21" s="50">
        <v>50.7</v>
      </c>
      <c r="G21" s="50">
        <v>50.7</v>
      </c>
      <c r="H21" s="50">
        <v>50.7</v>
      </c>
      <c r="I21" s="50">
        <v>50.7</v>
      </c>
      <c r="J21" s="50">
        <v>50.7</v>
      </c>
      <c r="K21" s="50">
        <v>50.7</v>
      </c>
      <c r="L21" s="50">
        <v>50.7</v>
      </c>
      <c r="M21" s="50">
        <v>50.7</v>
      </c>
      <c r="N21" s="50">
        <v>50.7</v>
      </c>
      <c r="O21" s="50">
        <v>50.7</v>
      </c>
    </row>
    <row r="22" spans="2:15" x14ac:dyDescent="0.25">
      <c r="B22" s="84"/>
      <c r="C22" s="4">
        <v>14</v>
      </c>
      <c r="D22" s="50">
        <v>50.7</v>
      </c>
      <c r="E22" s="50">
        <v>50.7</v>
      </c>
      <c r="F22" s="50">
        <v>50.7</v>
      </c>
      <c r="G22" s="50">
        <v>50.7</v>
      </c>
      <c r="H22" s="50">
        <v>50.7</v>
      </c>
      <c r="I22" s="50">
        <v>50.7</v>
      </c>
      <c r="J22" s="50">
        <v>50.7</v>
      </c>
      <c r="K22" s="50">
        <v>50.7</v>
      </c>
      <c r="L22" s="50">
        <v>50.7</v>
      </c>
      <c r="M22" s="50">
        <v>50.7</v>
      </c>
      <c r="N22" s="50">
        <v>50.7</v>
      </c>
      <c r="O22" s="50">
        <v>50.7</v>
      </c>
    </row>
    <row r="23" spans="2:15" x14ac:dyDescent="0.25">
      <c r="B23" s="84"/>
      <c r="C23" s="4">
        <v>15</v>
      </c>
      <c r="D23" s="50">
        <v>50.7</v>
      </c>
      <c r="E23" s="50">
        <v>50.7</v>
      </c>
      <c r="F23" s="50">
        <v>50.7</v>
      </c>
      <c r="G23" s="50">
        <v>50.7</v>
      </c>
      <c r="H23" s="50">
        <v>50.7</v>
      </c>
      <c r="I23" s="50">
        <v>50.7</v>
      </c>
      <c r="J23" s="50">
        <v>50.7</v>
      </c>
      <c r="K23" s="50">
        <v>50.7</v>
      </c>
      <c r="L23" s="50">
        <v>50.7</v>
      </c>
      <c r="M23" s="50">
        <v>50.7</v>
      </c>
      <c r="N23" s="50">
        <v>50.7</v>
      </c>
      <c r="O23" s="50">
        <v>50.7</v>
      </c>
    </row>
    <row r="24" spans="2:15" x14ac:dyDescent="0.25">
      <c r="B24" s="84"/>
      <c r="C24" s="4">
        <v>16</v>
      </c>
      <c r="D24" s="50">
        <v>50.7</v>
      </c>
      <c r="E24" s="50">
        <v>50.7</v>
      </c>
      <c r="F24" s="50">
        <v>50.7</v>
      </c>
      <c r="G24" s="50">
        <v>50.7</v>
      </c>
      <c r="H24" s="50">
        <v>50.7</v>
      </c>
      <c r="I24" s="50">
        <v>50.7</v>
      </c>
      <c r="J24" s="50">
        <v>50.7</v>
      </c>
      <c r="K24" s="50">
        <v>50.7</v>
      </c>
      <c r="L24" s="50">
        <v>50.7</v>
      </c>
      <c r="M24" s="50">
        <v>50.7</v>
      </c>
      <c r="N24" s="50">
        <v>50.7</v>
      </c>
      <c r="O24" s="50">
        <v>50.7</v>
      </c>
    </row>
    <row r="25" spans="2:15" x14ac:dyDescent="0.25">
      <c r="B25" s="84"/>
      <c r="C25" s="4">
        <v>17</v>
      </c>
      <c r="D25" s="50">
        <v>50.7</v>
      </c>
      <c r="E25" s="50">
        <v>50.7</v>
      </c>
      <c r="F25" s="50">
        <v>50.7</v>
      </c>
      <c r="G25" s="50">
        <v>50.7</v>
      </c>
      <c r="H25" s="50">
        <v>50.7</v>
      </c>
      <c r="I25" s="50">
        <v>50.7</v>
      </c>
      <c r="J25" s="50">
        <v>50.7</v>
      </c>
      <c r="K25" s="50">
        <v>50.7</v>
      </c>
      <c r="L25" s="50">
        <v>50.7</v>
      </c>
      <c r="M25" s="50">
        <v>50.7</v>
      </c>
      <c r="N25" s="50">
        <v>50.7</v>
      </c>
      <c r="O25" s="50">
        <v>50.7</v>
      </c>
    </row>
    <row r="26" spans="2:15" x14ac:dyDescent="0.25">
      <c r="B26" s="78"/>
      <c r="C26" s="4">
        <v>18</v>
      </c>
      <c r="D26" s="50">
        <v>50.7</v>
      </c>
      <c r="E26" s="50">
        <v>50.7</v>
      </c>
      <c r="F26" s="50">
        <v>50.7</v>
      </c>
      <c r="G26" s="50">
        <v>50.7</v>
      </c>
      <c r="H26" s="50">
        <v>50.7</v>
      </c>
      <c r="I26" s="50">
        <v>50.7</v>
      </c>
      <c r="J26" s="50">
        <v>50.7</v>
      </c>
      <c r="K26" s="50">
        <v>50.7</v>
      </c>
      <c r="L26" s="50">
        <v>50.7</v>
      </c>
      <c r="M26" s="50">
        <v>50.7</v>
      </c>
      <c r="N26" s="50">
        <v>50.7</v>
      </c>
      <c r="O26" s="50">
        <v>50.7</v>
      </c>
    </row>
    <row r="27" spans="2:15" x14ac:dyDescent="0.25">
      <c r="B27" s="77" t="s">
        <v>3</v>
      </c>
      <c r="C27" s="4">
        <v>19</v>
      </c>
      <c r="D27" s="50">
        <v>50.7</v>
      </c>
      <c r="E27" s="50">
        <v>50.7</v>
      </c>
      <c r="F27" s="50">
        <v>50.7</v>
      </c>
      <c r="G27" s="50">
        <v>50.7</v>
      </c>
      <c r="H27" s="50">
        <v>50.7</v>
      </c>
      <c r="I27" s="50">
        <v>50.7</v>
      </c>
      <c r="J27" s="50">
        <v>50.7</v>
      </c>
      <c r="K27" s="50">
        <v>50.7</v>
      </c>
      <c r="L27" s="50">
        <v>50.7</v>
      </c>
      <c r="M27" s="50">
        <v>50.7</v>
      </c>
      <c r="N27" s="50">
        <v>50.7</v>
      </c>
      <c r="O27" s="50">
        <v>50.7</v>
      </c>
    </row>
    <row r="28" spans="2:15" x14ac:dyDescent="0.25">
      <c r="B28" s="84"/>
      <c r="C28" s="4">
        <v>20</v>
      </c>
      <c r="D28" s="50">
        <v>50.7</v>
      </c>
      <c r="E28" s="50">
        <v>50.7</v>
      </c>
      <c r="F28" s="50">
        <v>50.7</v>
      </c>
      <c r="G28" s="50">
        <v>50.7</v>
      </c>
      <c r="H28" s="50">
        <v>50.7</v>
      </c>
      <c r="I28" s="50">
        <v>50.7</v>
      </c>
      <c r="J28" s="50">
        <v>50.7</v>
      </c>
      <c r="K28" s="50">
        <v>50.7</v>
      </c>
      <c r="L28" s="50">
        <v>50.7</v>
      </c>
      <c r="M28" s="50">
        <v>50.7</v>
      </c>
      <c r="N28" s="50">
        <v>50.7</v>
      </c>
      <c r="O28" s="50">
        <v>50.7</v>
      </c>
    </row>
    <row r="29" spans="2:15" x14ac:dyDescent="0.25">
      <c r="B29" s="78"/>
      <c r="C29" s="4">
        <v>21</v>
      </c>
      <c r="D29" s="50">
        <v>50.7</v>
      </c>
      <c r="E29" s="50">
        <v>50.7</v>
      </c>
      <c r="F29" s="50">
        <v>50.7</v>
      </c>
      <c r="G29" s="50">
        <v>50.7</v>
      </c>
      <c r="H29" s="50">
        <v>50.7</v>
      </c>
      <c r="I29" s="50">
        <v>50.7</v>
      </c>
      <c r="J29" s="50">
        <v>50.7</v>
      </c>
      <c r="K29" s="50">
        <v>50.7</v>
      </c>
      <c r="L29" s="50">
        <v>50.7</v>
      </c>
      <c r="M29" s="50">
        <v>50.7</v>
      </c>
      <c r="N29" s="50">
        <v>50.7</v>
      </c>
      <c r="O29" s="50">
        <v>50.7</v>
      </c>
    </row>
    <row r="30" spans="2:15" x14ac:dyDescent="0.25">
      <c r="B30" s="77" t="s">
        <v>2</v>
      </c>
      <c r="C30" s="4">
        <v>22</v>
      </c>
      <c r="D30" s="50">
        <v>50.7</v>
      </c>
      <c r="E30" s="50">
        <v>50.7</v>
      </c>
      <c r="F30" s="50">
        <v>50.7</v>
      </c>
      <c r="G30" s="50">
        <v>50.7</v>
      </c>
      <c r="H30" s="50">
        <v>50.7</v>
      </c>
      <c r="I30" s="50">
        <v>50.7</v>
      </c>
      <c r="J30" s="50">
        <v>50.7</v>
      </c>
      <c r="K30" s="50">
        <v>50.7</v>
      </c>
      <c r="L30" s="50">
        <v>50.7</v>
      </c>
      <c r="M30" s="50">
        <v>50.7</v>
      </c>
      <c r="N30" s="50">
        <v>50.7</v>
      </c>
      <c r="O30" s="50">
        <v>50.7</v>
      </c>
    </row>
    <row r="31" spans="2:15" ht="16.149999999999999" customHeight="1" x14ac:dyDescent="0.25">
      <c r="B31" s="78"/>
      <c r="C31" s="4">
        <v>23</v>
      </c>
      <c r="D31" s="50">
        <v>50.7</v>
      </c>
      <c r="E31" s="50">
        <v>50.7</v>
      </c>
      <c r="F31" s="50">
        <v>50.7</v>
      </c>
      <c r="G31" s="50">
        <v>50.7</v>
      </c>
      <c r="H31" s="50">
        <v>50.7</v>
      </c>
      <c r="I31" s="50">
        <v>50.7</v>
      </c>
      <c r="J31" s="50">
        <v>50.7</v>
      </c>
      <c r="K31" s="50">
        <v>50.7</v>
      </c>
      <c r="L31" s="50">
        <v>50.7</v>
      </c>
      <c r="M31" s="50">
        <v>50.7</v>
      </c>
      <c r="N31" s="50">
        <v>50.7</v>
      </c>
      <c r="O31" s="50">
        <v>50.7</v>
      </c>
    </row>
    <row r="32" spans="2:15" x14ac:dyDescent="0.25">
      <c r="B32" s="36" t="s">
        <v>1</v>
      </c>
      <c r="C32" s="37">
        <v>24</v>
      </c>
      <c r="D32" s="50">
        <v>50.7</v>
      </c>
      <c r="E32" s="50">
        <v>50.7</v>
      </c>
      <c r="F32" s="50">
        <v>50.7</v>
      </c>
      <c r="G32" s="50">
        <v>50.7</v>
      </c>
      <c r="H32" s="50">
        <v>50.7</v>
      </c>
      <c r="I32" s="50">
        <v>50.7</v>
      </c>
      <c r="J32" s="50">
        <v>50.7</v>
      </c>
      <c r="K32" s="50">
        <v>50.7</v>
      </c>
      <c r="L32" s="50">
        <v>50.7</v>
      </c>
      <c r="M32" s="50">
        <v>50.7</v>
      </c>
      <c r="N32" s="50">
        <v>50.7</v>
      </c>
      <c r="O32" s="50">
        <v>50.7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40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253.5</v>
      </c>
      <c r="E35" s="41">
        <f t="shared" si="0"/>
        <v>253.5</v>
      </c>
      <c r="F35" s="41">
        <f t="shared" si="0"/>
        <v>253.5</v>
      </c>
      <c r="G35" s="41">
        <f t="shared" si="0"/>
        <v>253.5</v>
      </c>
      <c r="H35" s="41">
        <f t="shared" ref="H35:O35" si="1">(SUM(H9:H12)+H32)</f>
        <v>253.5</v>
      </c>
      <c r="I35" s="41">
        <f t="shared" si="1"/>
        <v>253.5</v>
      </c>
      <c r="J35" s="41">
        <f t="shared" si="1"/>
        <v>253.5</v>
      </c>
      <c r="K35" s="41">
        <f t="shared" si="1"/>
        <v>253.5</v>
      </c>
      <c r="L35" s="41">
        <f t="shared" si="1"/>
        <v>253.5</v>
      </c>
      <c r="M35" s="41">
        <f t="shared" si="1"/>
        <v>253.5</v>
      </c>
      <c r="N35" s="41">
        <f t="shared" si="1"/>
        <v>253.5</v>
      </c>
      <c r="O35" s="41">
        <f t="shared" si="1"/>
        <v>253.5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659.10000000000014</v>
      </c>
      <c r="E36" s="41">
        <f t="shared" si="2"/>
        <v>659.10000000000014</v>
      </c>
      <c r="F36" s="41">
        <f t="shared" si="2"/>
        <v>659.10000000000014</v>
      </c>
      <c r="G36" s="41">
        <f t="shared" si="2"/>
        <v>659.10000000000014</v>
      </c>
      <c r="H36" s="41">
        <f t="shared" ref="H36:O36" si="3">(SUM(H13:H17)+SUM(H21:H26)+H30+H31)</f>
        <v>659.10000000000014</v>
      </c>
      <c r="I36" s="41">
        <f t="shared" si="3"/>
        <v>659.10000000000014</v>
      </c>
      <c r="J36" s="41">
        <f t="shared" si="3"/>
        <v>659.10000000000014</v>
      </c>
      <c r="K36" s="41">
        <f t="shared" si="3"/>
        <v>659.10000000000014</v>
      </c>
      <c r="L36" s="41">
        <f t="shared" si="3"/>
        <v>659.10000000000014</v>
      </c>
      <c r="M36" s="41">
        <f t="shared" si="3"/>
        <v>659.10000000000014</v>
      </c>
      <c r="N36" s="41">
        <f t="shared" si="3"/>
        <v>659.10000000000014</v>
      </c>
      <c r="O36" s="41">
        <f t="shared" si="3"/>
        <v>659.10000000000014</v>
      </c>
    </row>
    <row r="37" spans="2:16" x14ac:dyDescent="0.25">
      <c r="B37" s="88" t="s">
        <v>3</v>
      </c>
      <c r="C37" s="88"/>
      <c r="D37" s="41">
        <f t="shared" ref="D37:G37" si="4">(SUM(D18:D20)+SUM(D27:D29))</f>
        <v>304.20000000000005</v>
      </c>
      <c r="E37" s="41">
        <f t="shared" si="4"/>
        <v>304.20000000000005</v>
      </c>
      <c r="F37" s="41">
        <f t="shared" si="4"/>
        <v>304.20000000000005</v>
      </c>
      <c r="G37" s="41">
        <f t="shared" si="4"/>
        <v>304.20000000000005</v>
      </c>
      <c r="H37" s="41">
        <f t="shared" ref="H37:O37" si="5">(SUM(H18:H20)+SUM(H27:H29))</f>
        <v>304.20000000000005</v>
      </c>
      <c r="I37" s="41">
        <f t="shared" si="5"/>
        <v>304.20000000000005</v>
      </c>
      <c r="J37" s="41">
        <f t="shared" si="5"/>
        <v>304.20000000000005</v>
      </c>
      <c r="K37" s="41">
        <f t="shared" si="5"/>
        <v>304.20000000000005</v>
      </c>
      <c r="L37" s="41">
        <f t="shared" si="5"/>
        <v>304.20000000000005</v>
      </c>
      <c r="M37" s="41">
        <f t="shared" si="5"/>
        <v>304.20000000000005</v>
      </c>
      <c r="N37" s="41">
        <f t="shared" si="5"/>
        <v>304.20000000000005</v>
      </c>
      <c r="O37" s="41">
        <f t="shared" si="5"/>
        <v>304.20000000000005</v>
      </c>
    </row>
    <row r="38" spans="2:16" x14ac:dyDescent="0.25">
      <c r="B38" s="85" t="s">
        <v>9</v>
      </c>
      <c r="C38" s="86"/>
      <c r="D38" s="41">
        <f t="shared" ref="D38:O38" si="6">D35*D33</f>
        <v>7858.5</v>
      </c>
      <c r="E38" s="41">
        <f t="shared" si="6"/>
        <v>7098</v>
      </c>
      <c r="F38" s="41">
        <f t="shared" si="6"/>
        <v>7858.5</v>
      </c>
      <c r="G38" s="41">
        <f t="shared" si="6"/>
        <v>7605</v>
      </c>
      <c r="H38" s="41">
        <f t="shared" si="6"/>
        <v>7858.5</v>
      </c>
      <c r="I38" s="41">
        <f t="shared" si="6"/>
        <v>7605</v>
      </c>
      <c r="J38" s="41">
        <f t="shared" si="6"/>
        <v>7858.5</v>
      </c>
      <c r="K38" s="41">
        <f t="shared" si="6"/>
        <v>7858.5</v>
      </c>
      <c r="L38" s="41">
        <f t="shared" si="6"/>
        <v>7605</v>
      </c>
      <c r="M38" s="41">
        <f t="shared" si="6"/>
        <v>7858.5</v>
      </c>
      <c r="N38" s="41">
        <f t="shared" si="6"/>
        <v>7605</v>
      </c>
      <c r="O38" s="41">
        <f t="shared" si="6"/>
        <v>7858.5</v>
      </c>
    </row>
    <row r="39" spans="2:16" x14ac:dyDescent="0.25">
      <c r="B39" s="85" t="s">
        <v>10</v>
      </c>
      <c r="C39" s="86"/>
      <c r="D39" s="41">
        <f t="shared" ref="D39:O39" si="7">D33*D36</f>
        <v>20432.100000000006</v>
      </c>
      <c r="E39" s="41">
        <f t="shared" si="7"/>
        <v>18454.800000000003</v>
      </c>
      <c r="F39" s="41">
        <f t="shared" si="7"/>
        <v>20432.100000000006</v>
      </c>
      <c r="G39" s="41">
        <f t="shared" si="7"/>
        <v>19773.000000000004</v>
      </c>
      <c r="H39" s="41">
        <f t="shared" si="7"/>
        <v>20432.100000000006</v>
      </c>
      <c r="I39" s="41">
        <f t="shared" si="7"/>
        <v>19773.000000000004</v>
      </c>
      <c r="J39" s="41">
        <f t="shared" si="7"/>
        <v>20432.100000000006</v>
      </c>
      <c r="K39" s="41">
        <f t="shared" si="7"/>
        <v>20432.100000000006</v>
      </c>
      <c r="L39" s="41">
        <f t="shared" si="7"/>
        <v>19773.000000000004</v>
      </c>
      <c r="M39" s="41">
        <f t="shared" si="7"/>
        <v>20432.100000000006</v>
      </c>
      <c r="N39" s="41">
        <f t="shared" si="7"/>
        <v>19773.000000000004</v>
      </c>
      <c r="O39" s="41">
        <f t="shared" si="7"/>
        <v>20432.100000000006</v>
      </c>
    </row>
    <row r="40" spans="2:16" x14ac:dyDescent="0.25">
      <c r="B40" s="85" t="s">
        <v>11</v>
      </c>
      <c r="C40" s="86"/>
      <c r="D40" s="41">
        <f t="shared" ref="D40:O40" si="8">D33*D37</f>
        <v>9430.2000000000007</v>
      </c>
      <c r="E40" s="41">
        <f t="shared" si="8"/>
        <v>8517.6000000000022</v>
      </c>
      <c r="F40" s="41">
        <f t="shared" si="8"/>
        <v>9430.2000000000007</v>
      </c>
      <c r="G40" s="41">
        <f t="shared" si="8"/>
        <v>9126.0000000000018</v>
      </c>
      <c r="H40" s="41">
        <f t="shared" si="8"/>
        <v>9430.2000000000007</v>
      </c>
      <c r="I40" s="41">
        <f t="shared" si="8"/>
        <v>9126.0000000000018</v>
      </c>
      <c r="J40" s="41">
        <f t="shared" si="8"/>
        <v>9430.2000000000007</v>
      </c>
      <c r="K40" s="41">
        <f t="shared" si="8"/>
        <v>9430.2000000000007</v>
      </c>
      <c r="L40" s="41">
        <f t="shared" si="8"/>
        <v>9126.0000000000018</v>
      </c>
      <c r="M40" s="41">
        <f t="shared" si="8"/>
        <v>9430.2000000000007</v>
      </c>
      <c r="N40" s="41">
        <f t="shared" si="8"/>
        <v>9126.0000000000018</v>
      </c>
      <c r="O40" s="41">
        <f t="shared" si="8"/>
        <v>9430.2000000000007</v>
      </c>
    </row>
    <row r="41" spans="2:16" x14ac:dyDescent="0.25">
      <c r="B41" s="81" t="s">
        <v>12</v>
      </c>
      <c r="C41" s="82"/>
      <c r="D41" s="51">
        <f t="shared" ref="D41:O41" si="9">D40+D39+D38</f>
        <v>37720.800000000003</v>
      </c>
      <c r="E41" s="51">
        <f t="shared" si="9"/>
        <v>34070.400000000009</v>
      </c>
      <c r="F41" s="51">
        <f t="shared" si="9"/>
        <v>37720.800000000003</v>
      </c>
      <c r="G41" s="51">
        <f t="shared" si="9"/>
        <v>36504.000000000007</v>
      </c>
      <c r="H41" s="51">
        <f t="shared" si="9"/>
        <v>37720.800000000003</v>
      </c>
      <c r="I41" s="51">
        <f t="shared" si="9"/>
        <v>36504.000000000007</v>
      </c>
      <c r="J41" s="51">
        <f t="shared" si="9"/>
        <v>37720.800000000003</v>
      </c>
      <c r="K41" s="51">
        <f t="shared" si="9"/>
        <v>37720.800000000003</v>
      </c>
      <c r="L41" s="51">
        <f t="shared" si="9"/>
        <v>36504.000000000007</v>
      </c>
      <c r="M41" s="51">
        <f t="shared" si="9"/>
        <v>37720.800000000003</v>
      </c>
      <c r="N41" s="51">
        <f t="shared" si="9"/>
        <v>36504.000000000007</v>
      </c>
      <c r="O41" s="51">
        <f t="shared" si="9"/>
        <v>37720.800000000003</v>
      </c>
      <c r="P41" s="52">
        <f>SUM(D41:O41)</f>
        <v>444132</v>
      </c>
    </row>
    <row r="42" spans="2:16" x14ac:dyDescent="0.25">
      <c r="D42" s="3">
        <v>47849</v>
      </c>
      <c r="E42" s="3">
        <v>47880</v>
      </c>
      <c r="F42" s="3">
        <v>47908</v>
      </c>
      <c r="G42" s="3">
        <v>47939</v>
      </c>
      <c r="H42" s="3">
        <v>47969</v>
      </c>
      <c r="I42" s="3">
        <v>48000</v>
      </c>
      <c r="J42" s="3">
        <v>48030</v>
      </c>
      <c r="K42" s="3">
        <v>48061</v>
      </c>
      <c r="L42" s="3">
        <v>48092</v>
      </c>
      <c r="M42" s="3">
        <v>48122</v>
      </c>
      <c r="N42" s="3">
        <v>48153</v>
      </c>
      <c r="O42" s="3">
        <v>48183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90B4-2F85-43E7-BA3A-81BBC87060AE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112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111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111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48214</v>
      </c>
      <c r="E8" s="3">
        <v>48245</v>
      </c>
      <c r="F8" s="3">
        <v>48274</v>
      </c>
      <c r="G8" s="3">
        <v>48305</v>
      </c>
      <c r="H8" s="3">
        <v>48335</v>
      </c>
      <c r="I8" s="3">
        <v>48366</v>
      </c>
      <c r="J8" s="3">
        <v>48396</v>
      </c>
      <c r="K8" s="3">
        <v>48427</v>
      </c>
      <c r="L8" s="3">
        <v>48458</v>
      </c>
      <c r="M8" s="3">
        <v>48488</v>
      </c>
      <c r="N8" s="3">
        <v>48519</v>
      </c>
      <c r="O8" s="3">
        <v>48549</v>
      </c>
    </row>
    <row r="9" spans="2:15" x14ac:dyDescent="0.25">
      <c r="B9" s="77" t="s">
        <v>1</v>
      </c>
      <c r="C9" s="4">
        <v>1</v>
      </c>
      <c r="D9" s="50">
        <v>83.7</v>
      </c>
      <c r="E9" s="50">
        <v>83.7</v>
      </c>
      <c r="F9" s="50">
        <v>83.7</v>
      </c>
      <c r="G9" s="50">
        <v>83.7</v>
      </c>
      <c r="H9" s="50">
        <v>83.7</v>
      </c>
      <c r="I9" s="50">
        <v>83.7</v>
      </c>
      <c r="J9" s="50">
        <v>83.7</v>
      </c>
      <c r="K9" s="50">
        <v>83.7</v>
      </c>
      <c r="L9" s="50">
        <v>83.7</v>
      </c>
      <c r="M9" s="50">
        <v>83.7</v>
      </c>
      <c r="N9" s="50">
        <v>83.7</v>
      </c>
      <c r="O9" s="50">
        <v>83.7</v>
      </c>
    </row>
    <row r="10" spans="2:15" x14ac:dyDescent="0.25">
      <c r="B10" s="84"/>
      <c r="C10" s="4">
        <v>2</v>
      </c>
      <c r="D10" s="50">
        <v>83.7</v>
      </c>
      <c r="E10" s="50">
        <v>83.7</v>
      </c>
      <c r="F10" s="50">
        <v>83.7</v>
      </c>
      <c r="G10" s="50">
        <v>83.7</v>
      </c>
      <c r="H10" s="50">
        <v>83.7</v>
      </c>
      <c r="I10" s="50">
        <v>83.7</v>
      </c>
      <c r="J10" s="50">
        <v>83.7</v>
      </c>
      <c r="K10" s="50">
        <v>83.7</v>
      </c>
      <c r="L10" s="50">
        <v>83.7</v>
      </c>
      <c r="M10" s="50">
        <v>83.7</v>
      </c>
      <c r="N10" s="50">
        <v>83.7</v>
      </c>
      <c r="O10" s="50">
        <v>83.7</v>
      </c>
    </row>
    <row r="11" spans="2:15" x14ac:dyDescent="0.25">
      <c r="B11" s="84"/>
      <c r="C11" s="4">
        <v>3</v>
      </c>
      <c r="D11" s="50">
        <v>83.7</v>
      </c>
      <c r="E11" s="50">
        <v>83.7</v>
      </c>
      <c r="F11" s="50">
        <v>83.7</v>
      </c>
      <c r="G11" s="50">
        <v>83.7</v>
      </c>
      <c r="H11" s="50">
        <v>83.7</v>
      </c>
      <c r="I11" s="50">
        <v>83.7</v>
      </c>
      <c r="J11" s="50">
        <v>83.7</v>
      </c>
      <c r="K11" s="50">
        <v>83.7</v>
      </c>
      <c r="L11" s="50">
        <v>83.7</v>
      </c>
      <c r="M11" s="50">
        <v>83.7</v>
      </c>
      <c r="N11" s="50">
        <v>83.7</v>
      </c>
      <c r="O11" s="50">
        <v>83.7</v>
      </c>
    </row>
    <row r="12" spans="2:15" x14ac:dyDescent="0.25">
      <c r="B12" s="78"/>
      <c r="C12" s="4">
        <v>4</v>
      </c>
      <c r="D12" s="50">
        <v>83.7</v>
      </c>
      <c r="E12" s="50">
        <v>83.7</v>
      </c>
      <c r="F12" s="50">
        <v>83.7</v>
      </c>
      <c r="G12" s="50">
        <v>83.7</v>
      </c>
      <c r="H12" s="50">
        <v>83.7</v>
      </c>
      <c r="I12" s="50">
        <v>83.7</v>
      </c>
      <c r="J12" s="50">
        <v>83.7</v>
      </c>
      <c r="K12" s="50">
        <v>83.7</v>
      </c>
      <c r="L12" s="50">
        <v>83.7</v>
      </c>
      <c r="M12" s="50">
        <v>83.7</v>
      </c>
      <c r="N12" s="50">
        <v>83.7</v>
      </c>
      <c r="O12" s="50">
        <v>83.7</v>
      </c>
    </row>
    <row r="13" spans="2:15" x14ac:dyDescent="0.25">
      <c r="B13" s="77" t="s">
        <v>2</v>
      </c>
      <c r="C13" s="4">
        <v>5</v>
      </c>
      <c r="D13" s="50">
        <v>83.7</v>
      </c>
      <c r="E13" s="50">
        <v>83.7</v>
      </c>
      <c r="F13" s="50">
        <v>83.7</v>
      </c>
      <c r="G13" s="50">
        <v>83.7</v>
      </c>
      <c r="H13" s="50">
        <v>83.7</v>
      </c>
      <c r="I13" s="50">
        <v>83.7</v>
      </c>
      <c r="J13" s="50">
        <v>83.7</v>
      </c>
      <c r="K13" s="50">
        <v>83.7</v>
      </c>
      <c r="L13" s="50">
        <v>83.7</v>
      </c>
      <c r="M13" s="50">
        <v>83.7</v>
      </c>
      <c r="N13" s="50">
        <v>83.7</v>
      </c>
      <c r="O13" s="50">
        <v>83.7</v>
      </c>
    </row>
    <row r="14" spans="2:15" x14ac:dyDescent="0.25">
      <c r="B14" s="84"/>
      <c r="C14" s="4">
        <v>6</v>
      </c>
      <c r="D14" s="50">
        <v>83.7</v>
      </c>
      <c r="E14" s="50">
        <v>83.7</v>
      </c>
      <c r="F14" s="50">
        <v>83.7</v>
      </c>
      <c r="G14" s="50">
        <v>83.7</v>
      </c>
      <c r="H14" s="50">
        <v>83.7</v>
      </c>
      <c r="I14" s="50">
        <v>83.7</v>
      </c>
      <c r="J14" s="50">
        <v>83.7</v>
      </c>
      <c r="K14" s="50">
        <v>83.7</v>
      </c>
      <c r="L14" s="50">
        <v>83.7</v>
      </c>
      <c r="M14" s="50">
        <v>83.7</v>
      </c>
      <c r="N14" s="50">
        <v>83.7</v>
      </c>
      <c r="O14" s="50">
        <v>83.7</v>
      </c>
    </row>
    <row r="15" spans="2:15" x14ac:dyDescent="0.25">
      <c r="B15" s="84"/>
      <c r="C15" s="4">
        <v>7</v>
      </c>
      <c r="D15" s="50">
        <v>83.7</v>
      </c>
      <c r="E15" s="50">
        <v>83.7</v>
      </c>
      <c r="F15" s="50">
        <v>83.7</v>
      </c>
      <c r="G15" s="50">
        <v>83.7</v>
      </c>
      <c r="H15" s="50">
        <v>83.7</v>
      </c>
      <c r="I15" s="50">
        <v>83.7</v>
      </c>
      <c r="J15" s="50">
        <v>83.7</v>
      </c>
      <c r="K15" s="50">
        <v>83.7</v>
      </c>
      <c r="L15" s="50">
        <v>83.7</v>
      </c>
      <c r="M15" s="50">
        <v>83.7</v>
      </c>
      <c r="N15" s="50">
        <v>83.7</v>
      </c>
      <c r="O15" s="50">
        <v>83.7</v>
      </c>
    </row>
    <row r="16" spans="2:15" x14ac:dyDescent="0.25">
      <c r="B16" s="84"/>
      <c r="C16" s="4">
        <v>8</v>
      </c>
      <c r="D16" s="50">
        <v>83.7</v>
      </c>
      <c r="E16" s="50">
        <v>83.7</v>
      </c>
      <c r="F16" s="50">
        <v>83.7</v>
      </c>
      <c r="G16" s="50">
        <v>83.7</v>
      </c>
      <c r="H16" s="50">
        <v>83.7</v>
      </c>
      <c r="I16" s="50">
        <v>83.7</v>
      </c>
      <c r="J16" s="50">
        <v>83.7</v>
      </c>
      <c r="K16" s="50">
        <v>83.7</v>
      </c>
      <c r="L16" s="50">
        <v>83.7</v>
      </c>
      <c r="M16" s="50">
        <v>83.7</v>
      </c>
      <c r="N16" s="50">
        <v>83.7</v>
      </c>
      <c r="O16" s="50">
        <v>83.7</v>
      </c>
    </row>
    <row r="17" spans="2:15" x14ac:dyDescent="0.25">
      <c r="B17" s="78"/>
      <c r="C17" s="4">
        <v>9</v>
      </c>
      <c r="D17" s="50">
        <v>83.7</v>
      </c>
      <c r="E17" s="50">
        <v>83.7</v>
      </c>
      <c r="F17" s="50">
        <v>83.7</v>
      </c>
      <c r="G17" s="50">
        <v>83.7</v>
      </c>
      <c r="H17" s="50">
        <v>83.7</v>
      </c>
      <c r="I17" s="50">
        <v>83.7</v>
      </c>
      <c r="J17" s="50">
        <v>83.7</v>
      </c>
      <c r="K17" s="50">
        <v>83.7</v>
      </c>
      <c r="L17" s="50">
        <v>83.7</v>
      </c>
      <c r="M17" s="50">
        <v>83.7</v>
      </c>
      <c r="N17" s="50">
        <v>83.7</v>
      </c>
      <c r="O17" s="50">
        <v>83.7</v>
      </c>
    </row>
    <row r="18" spans="2:15" x14ac:dyDescent="0.25">
      <c r="B18" s="77" t="s">
        <v>3</v>
      </c>
      <c r="C18" s="4">
        <v>10</v>
      </c>
      <c r="D18" s="50">
        <v>83.7</v>
      </c>
      <c r="E18" s="50">
        <v>83.7</v>
      </c>
      <c r="F18" s="50">
        <v>83.7</v>
      </c>
      <c r="G18" s="50">
        <v>83.7</v>
      </c>
      <c r="H18" s="50">
        <v>83.7</v>
      </c>
      <c r="I18" s="50">
        <v>83.7</v>
      </c>
      <c r="J18" s="50">
        <v>83.7</v>
      </c>
      <c r="K18" s="50">
        <v>83.7</v>
      </c>
      <c r="L18" s="50">
        <v>83.7</v>
      </c>
      <c r="M18" s="50">
        <v>83.7</v>
      </c>
      <c r="N18" s="50">
        <v>83.7</v>
      </c>
      <c r="O18" s="50">
        <v>83.7</v>
      </c>
    </row>
    <row r="19" spans="2:15" x14ac:dyDescent="0.25">
      <c r="B19" s="84"/>
      <c r="C19" s="4">
        <v>11</v>
      </c>
      <c r="D19" s="50">
        <v>83.7</v>
      </c>
      <c r="E19" s="50">
        <v>83.7</v>
      </c>
      <c r="F19" s="50">
        <v>83.7</v>
      </c>
      <c r="G19" s="50">
        <v>83.7</v>
      </c>
      <c r="H19" s="50">
        <v>83.7</v>
      </c>
      <c r="I19" s="50">
        <v>83.7</v>
      </c>
      <c r="J19" s="50">
        <v>83.7</v>
      </c>
      <c r="K19" s="50">
        <v>83.7</v>
      </c>
      <c r="L19" s="50">
        <v>83.7</v>
      </c>
      <c r="M19" s="50">
        <v>83.7</v>
      </c>
      <c r="N19" s="50">
        <v>83.7</v>
      </c>
      <c r="O19" s="50">
        <v>83.7</v>
      </c>
    </row>
    <row r="20" spans="2:15" x14ac:dyDescent="0.25">
      <c r="B20" s="78"/>
      <c r="C20" s="4">
        <v>12</v>
      </c>
      <c r="D20" s="50">
        <v>83.7</v>
      </c>
      <c r="E20" s="50">
        <v>83.7</v>
      </c>
      <c r="F20" s="50">
        <v>83.7</v>
      </c>
      <c r="G20" s="50">
        <v>83.7</v>
      </c>
      <c r="H20" s="50">
        <v>83.7</v>
      </c>
      <c r="I20" s="50">
        <v>83.7</v>
      </c>
      <c r="J20" s="50">
        <v>83.7</v>
      </c>
      <c r="K20" s="50">
        <v>83.7</v>
      </c>
      <c r="L20" s="50">
        <v>83.7</v>
      </c>
      <c r="M20" s="50">
        <v>83.7</v>
      </c>
      <c r="N20" s="50">
        <v>83.7</v>
      </c>
      <c r="O20" s="50">
        <v>83.7</v>
      </c>
    </row>
    <row r="21" spans="2:15" x14ac:dyDescent="0.25">
      <c r="B21" s="77" t="s">
        <v>2</v>
      </c>
      <c r="C21" s="4">
        <v>13</v>
      </c>
      <c r="D21" s="50">
        <v>83.7</v>
      </c>
      <c r="E21" s="50">
        <v>83.7</v>
      </c>
      <c r="F21" s="50">
        <v>83.7</v>
      </c>
      <c r="G21" s="50">
        <v>83.7</v>
      </c>
      <c r="H21" s="50">
        <v>83.7</v>
      </c>
      <c r="I21" s="50">
        <v>83.7</v>
      </c>
      <c r="J21" s="50">
        <v>83.7</v>
      </c>
      <c r="K21" s="50">
        <v>83.7</v>
      </c>
      <c r="L21" s="50">
        <v>83.7</v>
      </c>
      <c r="M21" s="50">
        <v>83.7</v>
      </c>
      <c r="N21" s="50">
        <v>83.7</v>
      </c>
      <c r="O21" s="50">
        <v>83.7</v>
      </c>
    </row>
    <row r="22" spans="2:15" x14ac:dyDescent="0.25">
      <c r="B22" s="84"/>
      <c r="C22" s="4">
        <v>14</v>
      </c>
      <c r="D22" s="50">
        <v>83.7</v>
      </c>
      <c r="E22" s="50">
        <v>83.7</v>
      </c>
      <c r="F22" s="50">
        <v>83.7</v>
      </c>
      <c r="G22" s="50">
        <v>83.7</v>
      </c>
      <c r="H22" s="50">
        <v>83.7</v>
      </c>
      <c r="I22" s="50">
        <v>83.7</v>
      </c>
      <c r="J22" s="50">
        <v>83.7</v>
      </c>
      <c r="K22" s="50">
        <v>83.7</v>
      </c>
      <c r="L22" s="50">
        <v>83.7</v>
      </c>
      <c r="M22" s="50">
        <v>83.7</v>
      </c>
      <c r="N22" s="50">
        <v>83.7</v>
      </c>
      <c r="O22" s="50">
        <v>83.7</v>
      </c>
    </row>
    <row r="23" spans="2:15" x14ac:dyDescent="0.25">
      <c r="B23" s="84"/>
      <c r="C23" s="4">
        <v>15</v>
      </c>
      <c r="D23" s="50">
        <v>83.7</v>
      </c>
      <c r="E23" s="50">
        <v>83.7</v>
      </c>
      <c r="F23" s="50">
        <v>83.7</v>
      </c>
      <c r="G23" s="50">
        <v>83.7</v>
      </c>
      <c r="H23" s="50">
        <v>83.7</v>
      </c>
      <c r="I23" s="50">
        <v>83.7</v>
      </c>
      <c r="J23" s="50">
        <v>83.7</v>
      </c>
      <c r="K23" s="50">
        <v>83.7</v>
      </c>
      <c r="L23" s="50">
        <v>83.7</v>
      </c>
      <c r="M23" s="50">
        <v>83.7</v>
      </c>
      <c r="N23" s="50">
        <v>83.7</v>
      </c>
      <c r="O23" s="50">
        <v>83.7</v>
      </c>
    </row>
    <row r="24" spans="2:15" x14ac:dyDescent="0.25">
      <c r="B24" s="84"/>
      <c r="C24" s="4">
        <v>16</v>
      </c>
      <c r="D24" s="50">
        <v>83.7</v>
      </c>
      <c r="E24" s="50">
        <v>83.7</v>
      </c>
      <c r="F24" s="50">
        <v>83.7</v>
      </c>
      <c r="G24" s="50">
        <v>83.7</v>
      </c>
      <c r="H24" s="50">
        <v>83.7</v>
      </c>
      <c r="I24" s="50">
        <v>83.7</v>
      </c>
      <c r="J24" s="50">
        <v>83.7</v>
      </c>
      <c r="K24" s="50">
        <v>83.7</v>
      </c>
      <c r="L24" s="50">
        <v>83.7</v>
      </c>
      <c r="M24" s="50">
        <v>83.7</v>
      </c>
      <c r="N24" s="50">
        <v>83.7</v>
      </c>
      <c r="O24" s="50">
        <v>83.7</v>
      </c>
    </row>
    <row r="25" spans="2:15" x14ac:dyDescent="0.25">
      <c r="B25" s="84"/>
      <c r="C25" s="4">
        <v>17</v>
      </c>
      <c r="D25" s="50">
        <v>83.7</v>
      </c>
      <c r="E25" s="50">
        <v>83.7</v>
      </c>
      <c r="F25" s="50">
        <v>83.7</v>
      </c>
      <c r="G25" s="50">
        <v>83.7</v>
      </c>
      <c r="H25" s="50">
        <v>83.7</v>
      </c>
      <c r="I25" s="50">
        <v>83.7</v>
      </c>
      <c r="J25" s="50">
        <v>83.7</v>
      </c>
      <c r="K25" s="50">
        <v>83.7</v>
      </c>
      <c r="L25" s="50">
        <v>83.7</v>
      </c>
      <c r="M25" s="50">
        <v>83.7</v>
      </c>
      <c r="N25" s="50">
        <v>83.7</v>
      </c>
      <c r="O25" s="50">
        <v>83.7</v>
      </c>
    </row>
    <row r="26" spans="2:15" x14ac:dyDescent="0.25">
      <c r="B26" s="78"/>
      <c r="C26" s="4">
        <v>18</v>
      </c>
      <c r="D26" s="50">
        <v>83.7</v>
      </c>
      <c r="E26" s="50">
        <v>83.7</v>
      </c>
      <c r="F26" s="50">
        <v>83.7</v>
      </c>
      <c r="G26" s="50">
        <v>83.7</v>
      </c>
      <c r="H26" s="50">
        <v>83.7</v>
      </c>
      <c r="I26" s="50">
        <v>83.7</v>
      </c>
      <c r="J26" s="50">
        <v>83.7</v>
      </c>
      <c r="K26" s="50">
        <v>83.7</v>
      </c>
      <c r="L26" s="50">
        <v>83.7</v>
      </c>
      <c r="M26" s="50">
        <v>83.7</v>
      </c>
      <c r="N26" s="50">
        <v>83.7</v>
      </c>
      <c r="O26" s="50">
        <v>83.7</v>
      </c>
    </row>
    <row r="27" spans="2:15" x14ac:dyDescent="0.25">
      <c r="B27" s="77" t="s">
        <v>3</v>
      </c>
      <c r="C27" s="4">
        <v>19</v>
      </c>
      <c r="D27" s="50">
        <v>83.7</v>
      </c>
      <c r="E27" s="50">
        <v>83.7</v>
      </c>
      <c r="F27" s="50">
        <v>83.7</v>
      </c>
      <c r="G27" s="50">
        <v>83.7</v>
      </c>
      <c r="H27" s="50">
        <v>83.7</v>
      </c>
      <c r="I27" s="50">
        <v>83.7</v>
      </c>
      <c r="J27" s="50">
        <v>83.7</v>
      </c>
      <c r="K27" s="50">
        <v>83.7</v>
      </c>
      <c r="L27" s="50">
        <v>83.7</v>
      </c>
      <c r="M27" s="50">
        <v>83.7</v>
      </c>
      <c r="N27" s="50">
        <v>83.7</v>
      </c>
      <c r="O27" s="50">
        <v>83.7</v>
      </c>
    </row>
    <row r="28" spans="2:15" x14ac:dyDescent="0.25">
      <c r="B28" s="84"/>
      <c r="C28" s="4">
        <v>20</v>
      </c>
      <c r="D28" s="50">
        <v>83.7</v>
      </c>
      <c r="E28" s="50">
        <v>83.7</v>
      </c>
      <c r="F28" s="50">
        <v>83.7</v>
      </c>
      <c r="G28" s="50">
        <v>83.7</v>
      </c>
      <c r="H28" s="50">
        <v>83.7</v>
      </c>
      <c r="I28" s="50">
        <v>83.7</v>
      </c>
      <c r="J28" s="50">
        <v>83.7</v>
      </c>
      <c r="K28" s="50">
        <v>83.7</v>
      </c>
      <c r="L28" s="50">
        <v>83.7</v>
      </c>
      <c r="M28" s="50">
        <v>83.7</v>
      </c>
      <c r="N28" s="50">
        <v>83.7</v>
      </c>
      <c r="O28" s="50">
        <v>83.7</v>
      </c>
    </row>
    <row r="29" spans="2:15" x14ac:dyDescent="0.25">
      <c r="B29" s="78"/>
      <c r="C29" s="4">
        <v>21</v>
      </c>
      <c r="D29" s="50">
        <v>83.7</v>
      </c>
      <c r="E29" s="50">
        <v>83.7</v>
      </c>
      <c r="F29" s="50">
        <v>83.7</v>
      </c>
      <c r="G29" s="50">
        <v>83.7</v>
      </c>
      <c r="H29" s="50">
        <v>83.7</v>
      </c>
      <c r="I29" s="50">
        <v>83.7</v>
      </c>
      <c r="J29" s="50">
        <v>83.7</v>
      </c>
      <c r="K29" s="50">
        <v>83.7</v>
      </c>
      <c r="L29" s="50">
        <v>83.7</v>
      </c>
      <c r="M29" s="50">
        <v>83.7</v>
      </c>
      <c r="N29" s="50">
        <v>83.7</v>
      </c>
      <c r="O29" s="50">
        <v>83.7</v>
      </c>
    </row>
    <row r="30" spans="2:15" x14ac:dyDescent="0.25">
      <c r="B30" s="77" t="s">
        <v>2</v>
      </c>
      <c r="C30" s="4">
        <v>22</v>
      </c>
      <c r="D30" s="50">
        <v>83.7</v>
      </c>
      <c r="E30" s="50">
        <v>83.7</v>
      </c>
      <c r="F30" s="50">
        <v>83.7</v>
      </c>
      <c r="G30" s="50">
        <v>83.7</v>
      </c>
      <c r="H30" s="50">
        <v>83.7</v>
      </c>
      <c r="I30" s="50">
        <v>83.7</v>
      </c>
      <c r="J30" s="50">
        <v>83.7</v>
      </c>
      <c r="K30" s="50">
        <v>83.7</v>
      </c>
      <c r="L30" s="50">
        <v>83.7</v>
      </c>
      <c r="M30" s="50">
        <v>83.7</v>
      </c>
      <c r="N30" s="50">
        <v>83.7</v>
      </c>
      <c r="O30" s="50">
        <v>83.7</v>
      </c>
    </row>
    <row r="31" spans="2:15" ht="16.149999999999999" customHeight="1" x14ac:dyDescent="0.25">
      <c r="B31" s="78"/>
      <c r="C31" s="4">
        <v>23</v>
      </c>
      <c r="D31" s="50">
        <v>83.7</v>
      </c>
      <c r="E31" s="50">
        <v>83.7</v>
      </c>
      <c r="F31" s="50">
        <v>83.7</v>
      </c>
      <c r="G31" s="50">
        <v>83.7</v>
      </c>
      <c r="H31" s="50">
        <v>83.7</v>
      </c>
      <c r="I31" s="50">
        <v>83.7</v>
      </c>
      <c r="J31" s="50">
        <v>83.7</v>
      </c>
      <c r="K31" s="50">
        <v>83.7</v>
      </c>
      <c r="L31" s="50">
        <v>83.7</v>
      </c>
      <c r="M31" s="50">
        <v>83.7</v>
      </c>
      <c r="N31" s="50">
        <v>83.7</v>
      </c>
      <c r="O31" s="50">
        <v>83.7</v>
      </c>
    </row>
    <row r="32" spans="2:15" x14ac:dyDescent="0.25">
      <c r="B32" s="36" t="s">
        <v>1</v>
      </c>
      <c r="C32" s="37">
        <v>24</v>
      </c>
      <c r="D32" s="50">
        <v>83.7</v>
      </c>
      <c r="E32" s="50">
        <v>83.7</v>
      </c>
      <c r="F32" s="50">
        <v>83.7</v>
      </c>
      <c r="G32" s="50">
        <v>83.7</v>
      </c>
      <c r="H32" s="50">
        <v>83.7</v>
      </c>
      <c r="I32" s="50">
        <v>83.7</v>
      </c>
      <c r="J32" s="50">
        <v>83.7</v>
      </c>
      <c r="K32" s="50">
        <v>83.7</v>
      </c>
      <c r="L32" s="50">
        <v>83.7</v>
      </c>
      <c r="M32" s="50">
        <v>83.7</v>
      </c>
      <c r="N32" s="50">
        <v>83.7</v>
      </c>
      <c r="O32" s="50">
        <v>83.7</v>
      </c>
    </row>
    <row r="33" spans="2:16" x14ac:dyDescent="0.25">
      <c r="B33" s="88" t="s">
        <v>8</v>
      </c>
      <c r="C33" s="88"/>
      <c r="D33" s="5">
        <v>31</v>
      </c>
      <c r="E33" s="4">
        <v>29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113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418.5</v>
      </c>
      <c r="E35" s="41">
        <f t="shared" si="0"/>
        <v>418.5</v>
      </c>
      <c r="F35" s="41">
        <f t="shared" si="0"/>
        <v>418.5</v>
      </c>
      <c r="G35" s="41">
        <f t="shared" si="0"/>
        <v>418.5</v>
      </c>
      <c r="H35" s="41">
        <f t="shared" ref="H35:O35" si="1">(SUM(H9:H12)+H32)</f>
        <v>418.5</v>
      </c>
      <c r="I35" s="41">
        <f t="shared" si="1"/>
        <v>418.5</v>
      </c>
      <c r="J35" s="41">
        <f t="shared" si="1"/>
        <v>418.5</v>
      </c>
      <c r="K35" s="41">
        <f t="shared" si="1"/>
        <v>418.5</v>
      </c>
      <c r="L35" s="41">
        <f t="shared" si="1"/>
        <v>418.5</v>
      </c>
      <c r="M35" s="41">
        <f t="shared" si="1"/>
        <v>418.5</v>
      </c>
      <c r="N35" s="41">
        <f t="shared" si="1"/>
        <v>418.5</v>
      </c>
      <c r="O35" s="41">
        <f t="shared" si="1"/>
        <v>418.5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1088.1000000000001</v>
      </c>
      <c r="E36" s="41">
        <f t="shared" si="2"/>
        <v>1088.1000000000001</v>
      </c>
      <c r="F36" s="41">
        <f t="shared" si="2"/>
        <v>1088.1000000000001</v>
      </c>
      <c r="G36" s="41">
        <f t="shared" si="2"/>
        <v>1088.1000000000001</v>
      </c>
      <c r="H36" s="41">
        <f t="shared" ref="H36:O36" si="3">(SUM(H13:H17)+SUM(H21:H26)+H30+H31)</f>
        <v>1088.1000000000001</v>
      </c>
      <c r="I36" s="41">
        <f t="shared" si="3"/>
        <v>1088.1000000000001</v>
      </c>
      <c r="J36" s="41">
        <f t="shared" si="3"/>
        <v>1088.1000000000001</v>
      </c>
      <c r="K36" s="41">
        <f t="shared" si="3"/>
        <v>1088.1000000000001</v>
      </c>
      <c r="L36" s="41">
        <f t="shared" si="3"/>
        <v>1088.1000000000001</v>
      </c>
      <c r="M36" s="41">
        <f t="shared" si="3"/>
        <v>1088.1000000000001</v>
      </c>
      <c r="N36" s="41">
        <f t="shared" si="3"/>
        <v>1088.1000000000001</v>
      </c>
      <c r="O36" s="41">
        <f t="shared" si="3"/>
        <v>1088.1000000000001</v>
      </c>
    </row>
    <row r="37" spans="2:16" x14ac:dyDescent="0.25">
      <c r="B37" s="88" t="s">
        <v>3</v>
      </c>
      <c r="C37" s="88"/>
      <c r="D37" s="41">
        <f t="shared" ref="D37:G37" si="4">(SUM(D18:D20)+SUM(D27:D29))</f>
        <v>502.20000000000005</v>
      </c>
      <c r="E37" s="41">
        <f t="shared" si="4"/>
        <v>502.20000000000005</v>
      </c>
      <c r="F37" s="41">
        <f t="shared" si="4"/>
        <v>502.20000000000005</v>
      </c>
      <c r="G37" s="41">
        <f t="shared" si="4"/>
        <v>502.20000000000005</v>
      </c>
      <c r="H37" s="41">
        <f t="shared" ref="H37:O37" si="5">(SUM(H18:H20)+SUM(H27:H29))</f>
        <v>502.20000000000005</v>
      </c>
      <c r="I37" s="41">
        <f t="shared" si="5"/>
        <v>502.20000000000005</v>
      </c>
      <c r="J37" s="41">
        <f t="shared" si="5"/>
        <v>502.20000000000005</v>
      </c>
      <c r="K37" s="41">
        <f t="shared" si="5"/>
        <v>502.20000000000005</v>
      </c>
      <c r="L37" s="41">
        <f t="shared" si="5"/>
        <v>502.20000000000005</v>
      </c>
      <c r="M37" s="41">
        <f t="shared" si="5"/>
        <v>502.20000000000005</v>
      </c>
      <c r="N37" s="41">
        <f t="shared" si="5"/>
        <v>502.20000000000005</v>
      </c>
      <c r="O37" s="41">
        <f t="shared" si="5"/>
        <v>502.20000000000005</v>
      </c>
    </row>
    <row r="38" spans="2:16" x14ac:dyDescent="0.25">
      <c r="B38" s="85" t="s">
        <v>9</v>
      </c>
      <c r="C38" s="86"/>
      <c r="D38" s="41">
        <f t="shared" ref="D38:O38" si="6">D35*D33</f>
        <v>12973.5</v>
      </c>
      <c r="E38" s="41">
        <f t="shared" si="6"/>
        <v>12136.5</v>
      </c>
      <c r="F38" s="41">
        <f t="shared" si="6"/>
        <v>12973.5</v>
      </c>
      <c r="G38" s="41">
        <f t="shared" si="6"/>
        <v>12555</v>
      </c>
      <c r="H38" s="41">
        <f t="shared" si="6"/>
        <v>12973.5</v>
      </c>
      <c r="I38" s="41">
        <f t="shared" si="6"/>
        <v>12555</v>
      </c>
      <c r="J38" s="41">
        <f t="shared" si="6"/>
        <v>12973.5</v>
      </c>
      <c r="K38" s="41">
        <f t="shared" si="6"/>
        <v>12973.5</v>
      </c>
      <c r="L38" s="41">
        <f t="shared" si="6"/>
        <v>12555</v>
      </c>
      <c r="M38" s="41">
        <f t="shared" si="6"/>
        <v>12973.5</v>
      </c>
      <c r="N38" s="41">
        <f t="shared" si="6"/>
        <v>12555</v>
      </c>
      <c r="O38" s="41">
        <f t="shared" si="6"/>
        <v>12973.5</v>
      </c>
    </row>
    <row r="39" spans="2:16" x14ac:dyDescent="0.25">
      <c r="B39" s="85" t="s">
        <v>10</v>
      </c>
      <c r="C39" s="86"/>
      <c r="D39" s="41">
        <f t="shared" ref="D39:O39" si="7">D33*D36</f>
        <v>33731.100000000006</v>
      </c>
      <c r="E39" s="41">
        <f t="shared" si="7"/>
        <v>31554.900000000005</v>
      </c>
      <c r="F39" s="41">
        <f t="shared" si="7"/>
        <v>33731.100000000006</v>
      </c>
      <c r="G39" s="41">
        <f t="shared" si="7"/>
        <v>32643.000000000004</v>
      </c>
      <c r="H39" s="41">
        <f t="shared" si="7"/>
        <v>33731.100000000006</v>
      </c>
      <c r="I39" s="41">
        <f t="shared" si="7"/>
        <v>32643.000000000004</v>
      </c>
      <c r="J39" s="41">
        <f t="shared" si="7"/>
        <v>33731.100000000006</v>
      </c>
      <c r="K39" s="41">
        <f t="shared" si="7"/>
        <v>33731.100000000006</v>
      </c>
      <c r="L39" s="41">
        <f t="shared" si="7"/>
        <v>32643.000000000004</v>
      </c>
      <c r="M39" s="41">
        <f t="shared" si="7"/>
        <v>33731.100000000006</v>
      </c>
      <c r="N39" s="41">
        <f t="shared" si="7"/>
        <v>32643.000000000004</v>
      </c>
      <c r="O39" s="41">
        <f t="shared" si="7"/>
        <v>33731.100000000006</v>
      </c>
    </row>
    <row r="40" spans="2:16" x14ac:dyDescent="0.25">
      <c r="B40" s="85" t="s">
        <v>11</v>
      </c>
      <c r="C40" s="86"/>
      <c r="D40" s="41">
        <f t="shared" ref="D40:O40" si="8">D33*D37</f>
        <v>15568.2</v>
      </c>
      <c r="E40" s="41">
        <f t="shared" si="8"/>
        <v>14563.800000000001</v>
      </c>
      <c r="F40" s="41">
        <f t="shared" si="8"/>
        <v>15568.2</v>
      </c>
      <c r="G40" s="41">
        <f t="shared" si="8"/>
        <v>15066.000000000002</v>
      </c>
      <c r="H40" s="41">
        <f t="shared" si="8"/>
        <v>15568.2</v>
      </c>
      <c r="I40" s="41">
        <f t="shared" si="8"/>
        <v>15066.000000000002</v>
      </c>
      <c r="J40" s="41">
        <f t="shared" si="8"/>
        <v>15568.2</v>
      </c>
      <c r="K40" s="41">
        <f t="shared" si="8"/>
        <v>15568.2</v>
      </c>
      <c r="L40" s="41">
        <f t="shared" si="8"/>
        <v>15066.000000000002</v>
      </c>
      <c r="M40" s="41">
        <f t="shared" si="8"/>
        <v>15568.2</v>
      </c>
      <c r="N40" s="41">
        <f t="shared" si="8"/>
        <v>15066.000000000002</v>
      </c>
      <c r="O40" s="41">
        <f t="shared" si="8"/>
        <v>15568.2</v>
      </c>
    </row>
    <row r="41" spans="2:16" x14ac:dyDescent="0.25">
      <c r="B41" s="81" t="s">
        <v>12</v>
      </c>
      <c r="C41" s="82"/>
      <c r="D41" s="51">
        <f t="shared" ref="D41:O41" si="9">D40+D39+D38</f>
        <v>62272.800000000003</v>
      </c>
      <c r="E41" s="51">
        <f t="shared" si="9"/>
        <v>58255.200000000004</v>
      </c>
      <c r="F41" s="51">
        <f t="shared" si="9"/>
        <v>62272.800000000003</v>
      </c>
      <c r="G41" s="51">
        <f t="shared" si="9"/>
        <v>60264.000000000007</v>
      </c>
      <c r="H41" s="51">
        <f t="shared" si="9"/>
        <v>62272.800000000003</v>
      </c>
      <c r="I41" s="51">
        <f t="shared" si="9"/>
        <v>60264.000000000007</v>
      </c>
      <c r="J41" s="51">
        <f t="shared" si="9"/>
        <v>62272.800000000003</v>
      </c>
      <c r="K41" s="51">
        <f t="shared" si="9"/>
        <v>62272.800000000003</v>
      </c>
      <c r="L41" s="51">
        <f t="shared" si="9"/>
        <v>60264.000000000007</v>
      </c>
      <c r="M41" s="51">
        <f t="shared" si="9"/>
        <v>62272.800000000003</v>
      </c>
      <c r="N41" s="51">
        <f t="shared" si="9"/>
        <v>60264.000000000007</v>
      </c>
      <c r="O41" s="51">
        <f t="shared" si="9"/>
        <v>62272.800000000003</v>
      </c>
      <c r="P41" s="52">
        <f>SUM(D41:O41)</f>
        <v>735220.8</v>
      </c>
    </row>
    <row r="42" spans="2:16" x14ac:dyDescent="0.25">
      <c r="D42" s="3">
        <v>48214</v>
      </c>
      <c r="E42" s="3">
        <v>48245</v>
      </c>
      <c r="F42" s="3">
        <v>48274</v>
      </c>
      <c r="G42" s="3">
        <v>48305</v>
      </c>
      <c r="H42" s="3">
        <v>48335</v>
      </c>
      <c r="I42" s="3">
        <v>48366</v>
      </c>
      <c r="J42" s="3">
        <v>48396</v>
      </c>
      <c r="K42" s="3">
        <v>48427</v>
      </c>
      <c r="L42" s="3">
        <v>48458</v>
      </c>
      <c r="M42" s="3">
        <v>48488</v>
      </c>
      <c r="N42" s="3">
        <v>48519</v>
      </c>
      <c r="O42" s="3">
        <v>48549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7742-D95A-4840-B665-3A3A24497FC1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114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115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115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48580</v>
      </c>
      <c r="E8" s="3">
        <v>48611</v>
      </c>
      <c r="F8" s="3">
        <v>48639</v>
      </c>
      <c r="G8" s="3">
        <v>48670</v>
      </c>
      <c r="H8" s="3">
        <v>48700</v>
      </c>
      <c r="I8" s="3">
        <v>48731</v>
      </c>
      <c r="J8" s="3">
        <v>48761</v>
      </c>
      <c r="K8" s="3">
        <v>48792</v>
      </c>
      <c r="L8" s="3">
        <v>48823</v>
      </c>
      <c r="M8" s="3">
        <v>48853</v>
      </c>
      <c r="N8" s="3">
        <v>48884</v>
      </c>
      <c r="O8" s="3">
        <v>48914</v>
      </c>
    </row>
    <row r="9" spans="2:15" x14ac:dyDescent="0.25">
      <c r="B9" s="77" t="s">
        <v>1</v>
      </c>
      <c r="C9" s="4">
        <v>1</v>
      </c>
      <c r="D9" s="50">
        <v>89</v>
      </c>
      <c r="E9" s="50">
        <v>89</v>
      </c>
      <c r="F9" s="50">
        <v>89</v>
      </c>
      <c r="G9" s="50">
        <v>89</v>
      </c>
      <c r="H9" s="50">
        <v>89</v>
      </c>
      <c r="I9" s="50">
        <v>89</v>
      </c>
      <c r="J9" s="50">
        <v>89</v>
      </c>
      <c r="K9" s="50">
        <v>89</v>
      </c>
      <c r="L9" s="50">
        <v>89</v>
      </c>
      <c r="M9" s="50">
        <v>89</v>
      </c>
      <c r="N9" s="50">
        <v>89</v>
      </c>
      <c r="O9" s="50">
        <v>89</v>
      </c>
    </row>
    <row r="10" spans="2:15" x14ac:dyDescent="0.25">
      <c r="B10" s="84"/>
      <c r="C10" s="4">
        <v>2</v>
      </c>
      <c r="D10" s="50">
        <v>89</v>
      </c>
      <c r="E10" s="50">
        <v>89</v>
      </c>
      <c r="F10" s="50">
        <v>89</v>
      </c>
      <c r="G10" s="50">
        <v>89</v>
      </c>
      <c r="H10" s="50">
        <v>89</v>
      </c>
      <c r="I10" s="50">
        <v>89</v>
      </c>
      <c r="J10" s="50">
        <v>89</v>
      </c>
      <c r="K10" s="50">
        <v>89</v>
      </c>
      <c r="L10" s="50">
        <v>89</v>
      </c>
      <c r="M10" s="50">
        <v>89</v>
      </c>
      <c r="N10" s="50">
        <v>89</v>
      </c>
      <c r="O10" s="50">
        <v>89</v>
      </c>
    </row>
    <row r="11" spans="2:15" x14ac:dyDescent="0.25">
      <c r="B11" s="84"/>
      <c r="C11" s="4">
        <v>3</v>
      </c>
      <c r="D11" s="50">
        <v>89</v>
      </c>
      <c r="E11" s="50">
        <v>89</v>
      </c>
      <c r="F11" s="50">
        <v>89</v>
      </c>
      <c r="G11" s="50">
        <v>89</v>
      </c>
      <c r="H11" s="50">
        <v>89</v>
      </c>
      <c r="I11" s="50">
        <v>89</v>
      </c>
      <c r="J11" s="50">
        <v>89</v>
      </c>
      <c r="K11" s="50">
        <v>89</v>
      </c>
      <c r="L11" s="50">
        <v>89</v>
      </c>
      <c r="M11" s="50">
        <v>89</v>
      </c>
      <c r="N11" s="50">
        <v>89</v>
      </c>
      <c r="O11" s="50">
        <v>89</v>
      </c>
    </row>
    <row r="12" spans="2:15" x14ac:dyDescent="0.25">
      <c r="B12" s="78"/>
      <c r="C12" s="4">
        <v>4</v>
      </c>
      <c r="D12" s="50">
        <v>89</v>
      </c>
      <c r="E12" s="50">
        <v>89</v>
      </c>
      <c r="F12" s="50">
        <v>89</v>
      </c>
      <c r="G12" s="50">
        <v>89</v>
      </c>
      <c r="H12" s="50">
        <v>89</v>
      </c>
      <c r="I12" s="50">
        <v>89</v>
      </c>
      <c r="J12" s="50">
        <v>89</v>
      </c>
      <c r="K12" s="50">
        <v>89</v>
      </c>
      <c r="L12" s="50">
        <v>89</v>
      </c>
      <c r="M12" s="50">
        <v>89</v>
      </c>
      <c r="N12" s="50">
        <v>89</v>
      </c>
      <c r="O12" s="50">
        <v>89</v>
      </c>
    </row>
    <row r="13" spans="2:15" x14ac:dyDescent="0.25">
      <c r="B13" s="77" t="s">
        <v>2</v>
      </c>
      <c r="C13" s="4">
        <v>5</v>
      </c>
      <c r="D13" s="50">
        <v>89</v>
      </c>
      <c r="E13" s="50">
        <v>89</v>
      </c>
      <c r="F13" s="50">
        <v>89</v>
      </c>
      <c r="G13" s="50">
        <v>89</v>
      </c>
      <c r="H13" s="50">
        <v>89</v>
      </c>
      <c r="I13" s="50">
        <v>89</v>
      </c>
      <c r="J13" s="50">
        <v>89</v>
      </c>
      <c r="K13" s="50">
        <v>89</v>
      </c>
      <c r="L13" s="50">
        <v>89</v>
      </c>
      <c r="M13" s="50">
        <v>89</v>
      </c>
      <c r="N13" s="50">
        <v>89</v>
      </c>
      <c r="O13" s="50">
        <v>89</v>
      </c>
    </row>
    <row r="14" spans="2:15" x14ac:dyDescent="0.25">
      <c r="B14" s="84"/>
      <c r="C14" s="4">
        <v>6</v>
      </c>
      <c r="D14" s="50">
        <v>89</v>
      </c>
      <c r="E14" s="50">
        <v>89</v>
      </c>
      <c r="F14" s="50">
        <v>89</v>
      </c>
      <c r="G14" s="50">
        <v>89</v>
      </c>
      <c r="H14" s="50">
        <v>89</v>
      </c>
      <c r="I14" s="50">
        <v>89</v>
      </c>
      <c r="J14" s="50">
        <v>89</v>
      </c>
      <c r="K14" s="50">
        <v>89</v>
      </c>
      <c r="L14" s="50">
        <v>89</v>
      </c>
      <c r="M14" s="50">
        <v>89</v>
      </c>
      <c r="N14" s="50">
        <v>89</v>
      </c>
      <c r="O14" s="50">
        <v>89</v>
      </c>
    </row>
    <row r="15" spans="2:15" x14ac:dyDescent="0.25">
      <c r="B15" s="84"/>
      <c r="C15" s="4">
        <v>7</v>
      </c>
      <c r="D15" s="50">
        <v>89</v>
      </c>
      <c r="E15" s="50">
        <v>89</v>
      </c>
      <c r="F15" s="50">
        <v>89</v>
      </c>
      <c r="G15" s="50">
        <v>89</v>
      </c>
      <c r="H15" s="50">
        <v>89</v>
      </c>
      <c r="I15" s="50">
        <v>89</v>
      </c>
      <c r="J15" s="50">
        <v>89</v>
      </c>
      <c r="K15" s="50">
        <v>89</v>
      </c>
      <c r="L15" s="50">
        <v>89</v>
      </c>
      <c r="M15" s="50">
        <v>89</v>
      </c>
      <c r="N15" s="50">
        <v>89</v>
      </c>
      <c r="O15" s="50">
        <v>89</v>
      </c>
    </row>
    <row r="16" spans="2:15" x14ac:dyDescent="0.25">
      <c r="B16" s="84"/>
      <c r="C16" s="4">
        <v>8</v>
      </c>
      <c r="D16" s="50">
        <v>89</v>
      </c>
      <c r="E16" s="50">
        <v>89</v>
      </c>
      <c r="F16" s="50">
        <v>89</v>
      </c>
      <c r="G16" s="50">
        <v>89</v>
      </c>
      <c r="H16" s="50">
        <v>89</v>
      </c>
      <c r="I16" s="50">
        <v>89</v>
      </c>
      <c r="J16" s="50">
        <v>89</v>
      </c>
      <c r="K16" s="50">
        <v>89</v>
      </c>
      <c r="L16" s="50">
        <v>89</v>
      </c>
      <c r="M16" s="50">
        <v>89</v>
      </c>
      <c r="N16" s="50">
        <v>89</v>
      </c>
      <c r="O16" s="50">
        <v>89</v>
      </c>
    </row>
    <row r="17" spans="2:15" x14ac:dyDescent="0.25">
      <c r="B17" s="78"/>
      <c r="C17" s="4">
        <v>9</v>
      </c>
      <c r="D17" s="50">
        <v>89</v>
      </c>
      <c r="E17" s="50">
        <v>89</v>
      </c>
      <c r="F17" s="50">
        <v>89</v>
      </c>
      <c r="G17" s="50">
        <v>89</v>
      </c>
      <c r="H17" s="50">
        <v>89</v>
      </c>
      <c r="I17" s="50">
        <v>89</v>
      </c>
      <c r="J17" s="50">
        <v>89</v>
      </c>
      <c r="K17" s="50">
        <v>89</v>
      </c>
      <c r="L17" s="50">
        <v>89</v>
      </c>
      <c r="M17" s="50">
        <v>89</v>
      </c>
      <c r="N17" s="50">
        <v>89</v>
      </c>
      <c r="O17" s="50">
        <v>89</v>
      </c>
    </row>
    <row r="18" spans="2:15" x14ac:dyDescent="0.25">
      <c r="B18" s="77" t="s">
        <v>3</v>
      </c>
      <c r="C18" s="4">
        <v>10</v>
      </c>
      <c r="D18" s="50">
        <v>89</v>
      </c>
      <c r="E18" s="50">
        <v>89</v>
      </c>
      <c r="F18" s="50">
        <v>89</v>
      </c>
      <c r="G18" s="50">
        <v>89</v>
      </c>
      <c r="H18" s="50">
        <v>89</v>
      </c>
      <c r="I18" s="50">
        <v>89</v>
      </c>
      <c r="J18" s="50">
        <v>89</v>
      </c>
      <c r="K18" s="50">
        <v>89</v>
      </c>
      <c r="L18" s="50">
        <v>89</v>
      </c>
      <c r="M18" s="50">
        <v>89</v>
      </c>
      <c r="N18" s="50">
        <v>89</v>
      </c>
      <c r="O18" s="50">
        <v>89</v>
      </c>
    </row>
    <row r="19" spans="2:15" x14ac:dyDescent="0.25">
      <c r="B19" s="84"/>
      <c r="C19" s="4">
        <v>11</v>
      </c>
      <c r="D19" s="50">
        <v>89</v>
      </c>
      <c r="E19" s="50">
        <v>89</v>
      </c>
      <c r="F19" s="50">
        <v>89</v>
      </c>
      <c r="G19" s="50">
        <v>89</v>
      </c>
      <c r="H19" s="50">
        <v>89</v>
      </c>
      <c r="I19" s="50">
        <v>89</v>
      </c>
      <c r="J19" s="50">
        <v>89</v>
      </c>
      <c r="K19" s="50">
        <v>89</v>
      </c>
      <c r="L19" s="50">
        <v>89</v>
      </c>
      <c r="M19" s="50">
        <v>89</v>
      </c>
      <c r="N19" s="50">
        <v>89</v>
      </c>
      <c r="O19" s="50">
        <v>89</v>
      </c>
    </row>
    <row r="20" spans="2:15" x14ac:dyDescent="0.25">
      <c r="B20" s="78"/>
      <c r="C20" s="4">
        <v>12</v>
      </c>
      <c r="D20" s="50">
        <v>89</v>
      </c>
      <c r="E20" s="50">
        <v>89</v>
      </c>
      <c r="F20" s="50">
        <v>89</v>
      </c>
      <c r="G20" s="50">
        <v>89</v>
      </c>
      <c r="H20" s="50">
        <v>89</v>
      </c>
      <c r="I20" s="50">
        <v>89</v>
      </c>
      <c r="J20" s="50">
        <v>89</v>
      </c>
      <c r="K20" s="50">
        <v>89</v>
      </c>
      <c r="L20" s="50">
        <v>89</v>
      </c>
      <c r="M20" s="50">
        <v>89</v>
      </c>
      <c r="N20" s="50">
        <v>89</v>
      </c>
      <c r="O20" s="50">
        <v>89</v>
      </c>
    </row>
    <row r="21" spans="2:15" x14ac:dyDescent="0.25">
      <c r="B21" s="77" t="s">
        <v>2</v>
      </c>
      <c r="C21" s="4">
        <v>13</v>
      </c>
      <c r="D21" s="50">
        <v>89</v>
      </c>
      <c r="E21" s="50">
        <v>89</v>
      </c>
      <c r="F21" s="50">
        <v>89</v>
      </c>
      <c r="G21" s="50">
        <v>89</v>
      </c>
      <c r="H21" s="50">
        <v>89</v>
      </c>
      <c r="I21" s="50">
        <v>89</v>
      </c>
      <c r="J21" s="50">
        <v>89</v>
      </c>
      <c r="K21" s="50">
        <v>89</v>
      </c>
      <c r="L21" s="50">
        <v>89</v>
      </c>
      <c r="M21" s="50">
        <v>89</v>
      </c>
      <c r="N21" s="50">
        <v>89</v>
      </c>
      <c r="O21" s="50">
        <v>89</v>
      </c>
    </row>
    <row r="22" spans="2:15" x14ac:dyDescent="0.25">
      <c r="B22" s="84"/>
      <c r="C22" s="4">
        <v>14</v>
      </c>
      <c r="D22" s="50">
        <v>89</v>
      </c>
      <c r="E22" s="50">
        <v>89</v>
      </c>
      <c r="F22" s="50">
        <v>89</v>
      </c>
      <c r="G22" s="50">
        <v>89</v>
      </c>
      <c r="H22" s="50">
        <v>89</v>
      </c>
      <c r="I22" s="50">
        <v>89</v>
      </c>
      <c r="J22" s="50">
        <v>89</v>
      </c>
      <c r="K22" s="50">
        <v>89</v>
      </c>
      <c r="L22" s="50">
        <v>89</v>
      </c>
      <c r="M22" s="50">
        <v>89</v>
      </c>
      <c r="N22" s="50">
        <v>89</v>
      </c>
      <c r="O22" s="50">
        <v>89</v>
      </c>
    </row>
    <row r="23" spans="2:15" x14ac:dyDescent="0.25">
      <c r="B23" s="84"/>
      <c r="C23" s="4">
        <v>15</v>
      </c>
      <c r="D23" s="50">
        <v>89</v>
      </c>
      <c r="E23" s="50">
        <v>89</v>
      </c>
      <c r="F23" s="50">
        <v>89</v>
      </c>
      <c r="G23" s="50">
        <v>89</v>
      </c>
      <c r="H23" s="50">
        <v>89</v>
      </c>
      <c r="I23" s="50">
        <v>89</v>
      </c>
      <c r="J23" s="50">
        <v>89</v>
      </c>
      <c r="K23" s="50">
        <v>89</v>
      </c>
      <c r="L23" s="50">
        <v>89</v>
      </c>
      <c r="M23" s="50">
        <v>89</v>
      </c>
      <c r="N23" s="50">
        <v>89</v>
      </c>
      <c r="O23" s="50">
        <v>89</v>
      </c>
    </row>
    <row r="24" spans="2:15" x14ac:dyDescent="0.25">
      <c r="B24" s="84"/>
      <c r="C24" s="4">
        <v>16</v>
      </c>
      <c r="D24" s="50">
        <v>89</v>
      </c>
      <c r="E24" s="50">
        <v>89</v>
      </c>
      <c r="F24" s="50">
        <v>89</v>
      </c>
      <c r="G24" s="50">
        <v>89</v>
      </c>
      <c r="H24" s="50">
        <v>89</v>
      </c>
      <c r="I24" s="50">
        <v>89</v>
      </c>
      <c r="J24" s="50">
        <v>89</v>
      </c>
      <c r="K24" s="50">
        <v>89</v>
      </c>
      <c r="L24" s="50">
        <v>89</v>
      </c>
      <c r="M24" s="50">
        <v>89</v>
      </c>
      <c r="N24" s="50">
        <v>89</v>
      </c>
      <c r="O24" s="50">
        <v>89</v>
      </c>
    </row>
    <row r="25" spans="2:15" x14ac:dyDescent="0.25">
      <c r="B25" s="84"/>
      <c r="C25" s="4">
        <v>17</v>
      </c>
      <c r="D25" s="50">
        <v>89</v>
      </c>
      <c r="E25" s="50">
        <v>89</v>
      </c>
      <c r="F25" s="50">
        <v>89</v>
      </c>
      <c r="G25" s="50">
        <v>89</v>
      </c>
      <c r="H25" s="50">
        <v>89</v>
      </c>
      <c r="I25" s="50">
        <v>89</v>
      </c>
      <c r="J25" s="50">
        <v>89</v>
      </c>
      <c r="K25" s="50">
        <v>89</v>
      </c>
      <c r="L25" s="50">
        <v>89</v>
      </c>
      <c r="M25" s="50">
        <v>89</v>
      </c>
      <c r="N25" s="50">
        <v>89</v>
      </c>
      <c r="O25" s="50">
        <v>89</v>
      </c>
    </row>
    <row r="26" spans="2:15" x14ac:dyDescent="0.25">
      <c r="B26" s="78"/>
      <c r="C26" s="4">
        <v>18</v>
      </c>
      <c r="D26" s="50">
        <v>89</v>
      </c>
      <c r="E26" s="50">
        <v>89</v>
      </c>
      <c r="F26" s="50">
        <v>89</v>
      </c>
      <c r="G26" s="50">
        <v>89</v>
      </c>
      <c r="H26" s="50">
        <v>89</v>
      </c>
      <c r="I26" s="50">
        <v>89</v>
      </c>
      <c r="J26" s="50">
        <v>89</v>
      </c>
      <c r="K26" s="50">
        <v>89</v>
      </c>
      <c r="L26" s="50">
        <v>89</v>
      </c>
      <c r="M26" s="50">
        <v>89</v>
      </c>
      <c r="N26" s="50">
        <v>89</v>
      </c>
      <c r="O26" s="50">
        <v>89</v>
      </c>
    </row>
    <row r="27" spans="2:15" x14ac:dyDescent="0.25">
      <c r="B27" s="77" t="s">
        <v>3</v>
      </c>
      <c r="C27" s="4">
        <v>19</v>
      </c>
      <c r="D27" s="50">
        <v>89</v>
      </c>
      <c r="E27" s="50">
        <v>89</v>
      </c>
      <c r="F27" s="50">
        <v>89</v>
      </c>
      <c r="G27" s="50">
        <v>89</v>
      </c>
      <c r="H27" s="50">
        <v>89</v>
      </c>
      <c r="I27" s="50">
        <v>89</v>
      </c>
      <c r="J27" s="50">
        <v>89</v>
      </c>
      <c r="K27" s="50">
        <v>89</v>
      </c>
      <c r="L27" s="50">
        <v>89</v>
      </c>
      <c r="M27" s="50">
        <v>89</v>
      </c>
      <c r="N27" s="50">
        <v>89</v>
      </c>
      <c r="O27" s="50">
        <v>89</v>
      </c>
    </row>
    <row r="28" spans="2:15" x14ac:dyDescent="0.25">
      <c r="B28" s="84"/>
      <c r="C28" s="4">
        <v>20</v>
      </c>
      <c r="D28" s="50">
        <v>89</v>
      </c>
      <c r="E28" s="50">
        <v>89</v>
      </c>
      <c r="F28" s="50">
        <v>89</v>
      </c>
      <c r="G28" s="50">
        <v>89</v>
      </c>
      <c r="H28" s="50">
        <v>89</v>
      </c>
      <c r="I28" s="50">
        <v>89</v>
      </c>
      <c r="J28" s="50">
        <v>89</v>
      </c>
      <c r="K28" s="50">
        <v>89</v>
      </c>
      <c r="L28" s="50">
        <v>89</v>
      </c>
      <c r="M28" s="50">
        <v>89</v>
      </c>
      <c r="N28" s="50">
        <v>89</v>
      </c>
      <c r="O28" s="50">
        <v>89</v>
      </c>
    </row>
    <row r="29" spans="2:15" x14ac:dyDescent="0.25">
      <c r="B29" s="78"/>
      <c r="C29" s="4">
        <v>21</v>
      </c>
      <c r="D29" s="50">
        <v>89</v>
      </c>
      <c r="E29" s="50">
        <v>89</v>
      </c>
      <c r="F29" s="50">
        <v>89</v>
      </c>
      <c r="G29" s="50">
        <v>89</v>
      </c>
      <c r="H29" s="50">
        <v>89</v>
      </c>
      <c r="I29" s="50">
        <v>89</v>
      </c>
      <c r="J29" s="50">
        <v>89</v>
      </c>
      <c r="K29" s="50">
        <v>89</v>
      </c>
      <c r="L29" s="50">
        <v>89</v>
      </c>
      <c r="M29" s="50">
        <v>89</v>
      </c>
      <c r="N29" s="50">
        <v>89</v>
      </c>
      <c r="O29" s="50">
        <v>89</v>
      </c>
    </row>
    <row r="30" spans="2:15" x14ac:dyDescent="0.25">
      <c r="B30" s="77" t="s">
        <v>2</v>
      </c>
      <c r="C30" s="4">
        <v>22</v>
      </c>
      <c r="D30" s="50">
        <v>89</v>
      </c>
      <c r="E30" s="50">
        <v>89</v>
      </c>
      <c r="F30" s="50">
        <v>89</v>
      </c>
      <c r="G30" s="50">
        <v>89</v>
      </c>
      <c r="H30" s="50">
        <v>89</v>
      </c>
      <c r="I30" s="50">
        <v>89</v>
      </c>
      <c r="J30" s="50">
        <v>89</v>
      </c>
      <c r="K30" s="50">
        <v>89</v>
      </c>
      <c r="L30" s="50">
        <v>89</v>
      </c>
      <c r="M30" s="50">
        <v>89</v>
      </c>
      <c r="N30" s="50">
        <v>89</v>
      </c>
      <c r="O30" s="50">
        <v>89</v>
      </c>
    </row>
    <row r="31" spans="2:15" ht="16.149999999999999" customHeight="1" x14ac:dyDescent="0.25">
      <c r="B31" s="78"/>
      <c r="C31" s="4">
        <v>23</v>
      </c>
      <c r="D31" s="50">
        <v>89</v>
      </c>
      <c r="E31" s="50">
        <v>89</v>
      </c>
      <c r="F31" s="50">
        <v>89</v>
      </c>
      <c r="G31" s="50">
        <v>89</v>
      </c>
      <c r="H31" s="50">
        <v>89</v>
      </c>
      <c r="I31" s="50">
        <v>89</v>
      </c>
      <c r="J31" s="50">
        <v>89</v>
      </c>
      <c r="K31" s="50">
        <v>89</v>
      </c>
      <c r="L31" s="50">
        <v>89</v>
      </c>
      <c r="M31" s="50">
        <v>89</v>
      </c>
      <c r="N31" s="50">
        <v>89</v>
      </c>
      <c r="O31" s="50">
        <v>89</v>
      </c>
    </row>
    <row r="32" spans="2:15" x14ac:dyDescent="0.25">
      <c r="B32" s="36" t="s">
        <v>1</v>
      </c>
      <c r="C32" s="37">
        <v>24</v>
      </c>
      <c r="D32" s="50">
        <v>89</v>
      </c>
      <c r="E32" s="50">
        <v>89</v>
      </c>
      <c r="F32" s="50">
        <v>89</v>
      </c>
      <c r="G32" s="50">
        <v>89</v>
      </c>
      <c r="H32" s="50">
        <v>89</v>
      </c>
      <c r="I32" s="50">
        <v>89</v>
      </c>
      <c r="J32" s="50">
        <v>89</v>
      </c>
      <c r="K32" s="50">
        <v>89</v>
      </c>
      <c r="L32" s="50">
        <v>89</v>
      </c>
      <c r="M32" s="50">
        <v>89</v>
      </c>
      <c r="N32" s="50">
        <v>89</v>
      </c>
      <c r="O32" s="50">
        <v>89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116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445</v>
      </c>
      <c r="E35" s="41">
        <f t="shared" si="0"/>
        <v>445</v>
      </c>
      <c r="F35" s="41">
        <f t="shared" si="0"/>
        <v>445</v>
      </c>
      <c r="G35" s="41">
        <f t="shared" si="0"/>
        <v>445</v>
      </c>
      <c r="H35" s="41">
        <f t="shared" ref="H35:O35" si="1">(SUM(H9:H12)+H32)</f>
        <v>445</v>
      </c>
      <c r="I35" s="41">
        <f t="shared" si="1"/>
        <v>445</v>
      </c>
      <c r="J35" s="41">
        <f t="shared" si="1"/>
        <v>445</v>
      </c>
      <c r="K35" s="41">
        <f t="shared" si="1"/>
        <v>445</v>
      </c>
      <c r="L35" s="41">
        <f t="shared" si="1"/>
        <v>445</v>
      </c>
      <c r="M35" s="41">
        <f t="shared" si="1"/>
        <v>445</v>
      </c>
      <c r="N35" s="41">
        <f t="shared" si="1"/>
        <v>445</v>
      </c>
      <c r="O35" s="41">
        <f t="shared" si="1"/>
        <v>445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1157</v>
      </c>
      <c r="E36" s="41">
        <f t="shared" si="2"/>
        <v>1157</v>
      </c>
      <c r="F36" s="41">
        <f t="shared" si="2"/>
        <v>1157</v>
      </c>
      <c r="G36" s="41">
        <f t="shared" si="2"/>
        <v>1157</v>
      </c>
      <c r="H36" s="41">
        <f t="shared" ref="H36:O36" si="3">(SUM(H13:H17)+SUM(H21:H26)+H30+H31)</f>
        <v>1157</v>
      </c>
      <c r="I36" s="41">
        <f t="shared" si="3"/>
        <v>1157</v>
      </c>
      <c r="J36" s="41">
        <f t="shared" si="3"/>
        <v>1157</v>
      </c>
      <c r="K36" s="41">
        <f t="shared" si="3"/>
        <v>1157</v>
      </c>
      <c r="L36" s="41">
        <f t="shared" si="3"/>
        <v>1157</v>
      </c>
      <c r="M36" s="41">
        <f t="shared" si="3"/>
        <v>1157</v>
      </c>
      <c r="N36" s="41">
        <f t="shared" si="3"/>
        <v>1157</v>
      </c>
      <c r="O36" s="41">
        <f t="shared" si="3"/>
        <v>1157</v>
      </c>
    </row>
    <row r="37" spans="2:16" x14ac:dyDescent="0.25">
      <c r="B37" s="88" t="s">
        <v>3</v>
      </c>
      <c r="C37" s="88"/>
      <c r="D37" s="41">
        <f t="shared" ref="D37:G37" si="4">(SUM(D18:D20)+SUM(D27:D29))</f>
        <v>534</v>
      </c>
      <c r="E37" s="41">
        <f t="shared" si="4"/>
        <v>534</v>
      </c>
      <c r="F37" s="41">
        <f t="shared" si="4"/>
        <v>534</v>
      </c>
      <c r="G37" s="41">
        <f t="shared" si="4"/>
        <v>534</v>
      </c>
      <c r="H37" s="41">
        <f t="shared" ref="H37:O37" si="5">(SUM(H18:H20)+SUM(H27:H29))</f>
        <v>534</v>
      </c>
      <c r="I37" s="41">
        <f t="shared" si="5"/>
        <v>534</v>
      </c>
      <c r="J37" s="41">
        <f t="shared" si="5"/>
        <v>534</v>
      </c>
      <c r="K37" s="41">
        <f t="shared" si="5"/>
        <v>534</v>
      </c>
      <c r="L37" s="41">
        <f t="shared" si="5"/>
        <v>534</v>
      </c>
      <c r="M37" s="41">
        <f t="shared" si="5"/>
        <v>534</v>
      </c>
      <c r="N37" s="41">
        <f t="shared" si="5"/>
        <v>534</v>
      </c>
      <c r="O37" s="41">
        <f t="shared" si="5"/>
        <v>534</v>
      </c>
    </row>
    <row r="38" spans="2:16" x14ac:dyDescent="0.25">
      <c r="B38" s="85" t="s">
        <v>9</v>
      </c>
      <c r="C38" s="86"/>
      <c r="D38" s="41">
        <f t="shared" ref="D38:O38" si="6">D35*D33</f>
        <v>13795</v>
      </c>
      <c r="E38" s="41">
        <f t="shared" si="6"/>
        <v>12460</v>
      </c>
      <c r="F38" s="41">
        <f t="shared" si="6"/>
        <v>13795</v>
      </c>
      <c r="G38" s="41">
        <f t="shared" si="6"/>
        <v>13350</v>
      </c>
      <c r="H38" s="41">
        <f t="shared" si="6"/>
        <v>13795</v>
      </c>
      <c r="I38" s="41">
        <f t="shared" si="6"/>
        <v>13350</v>
      </c>
      <c r="J38" s="41">
        <f t="shared" si="6"/>
        <v>13795</v>
      </c>
      <c r="K38" s="41">
        <f t="shared" si="6"/>
        <v>13795</v>
      </c>
      <c r="L38" s="41">
        <f t="shared" si="6"/>
        <v>13350</v>
      </c>
      <c r="M38" s="41">
        <f t="shared" si="6"/>
        <v>13795</v>
      </c>
      <c r="N38" s="41">
        <f t="shared" si="6"/>
        <v>13350</v>
      </c>
      <c r="O38" s="41">
        <f t="shared" si="6"/>
        <v>13795</v>
      </c>
    </row>
    <row r="39" spans="2:16" x14ac:dyDescent="0.25">
      <c r="B39" s="85" t="s">
        <v>10</v>
      </c>
      <c r="C39" s="86"/>
      <c r="D39" s="41">
        <f t="shared" ref="D39:O39" si="7">D33*D36</f>
        <v>35867</v>
      </c>
      <c r="E39" s="41">
        <f t="shared" si="7"/>
        <v>32396</v>
      </c>
      <c r="F39" s="41">
        <f t="shared" si="7"/>
        <v>35867</v>
      </c>
      <c r="G39" s="41">
        <f t="shared" si="7"/>
        <v>34710</v>
      </c>
      <c r="H39" s="41">
        <f t="shared" si="7"/>
        <v>35867</v>
      </c>
      <c r="I39" s="41">
        <f t="shared" si="7"/>
        <v>34710</v>
      </c>
      <c r="J39" s="41">
        <f t="shared" si="7"/>
        <v>35867</v>
      </c>
      <c r="K39" s="41">
        <f t="shared" si="7"/>
        <v>35867</v>
      </c>
      <c r="L39" s="41">
        <f t="shared" si="7"/>
        <v>34710</v>
      </c>
      <c r="M39" s="41">
        <f t="shared" si="7"/>
        <v>35867</v>
      </c>
      <c r="N39" s="41">
        <f t="shared" si="7"/>
        <v>34710</v>
      </c>
      <c r="O39" s="41">
        <f t="shared" si="7"/>
        <v>35867</v>
      </c>
    </row>
    <row r="40" spans="2:16" x14ac:dyDescent="0.25">
      <c r="B40" s="85" t="s">
        <v>11</v>
      </c>
      <c r="C40" s="86"/>
      <c r="D40" s="41">
        <f t="shared" ref="D40:O40" si="8">D33*D37</f>
        <v>16554</v>
      </c>
      <c r="E40" s="41">
        <f t="shared" si="8"/>
        <v>14952</v>
      </c>
      <c r="F40" s="41">
        <f t="shared" si="8"/>
        <v>16554</v>
      </c>
      <c r="G40" s="41">
        <f t="shared" si="8"/>
        <v>16020</v>
      </c>
      <c r="H40" s="41">
        <f t="shared" si="8"/>
        <v>16554</v>
      </c>
      <c r="I40" s="41">
        <f t="shared" si="8"/>
        <v>16020</v>
      </c>
      <c r="J40" s="41">
        <f t="shared" si="8"/>
        <v>16554</v>
      </c>
      <c r="K40" s="41">
        <f t="shared" si="8"/>
        <v>16554</v>
      </c>
      <c r="L40" s="41">
        <f t="shared" si="8"/>
        <v>16020</v>
      </c>
      <c r="M40" s="41">
        <f t="shared" si="8"/>
        <v>16554</v>
      </c>
      <c r="N40" s="41">
        <f t="shared" si="8"/>
        <v>16020</v>
      </c>
      <c r="O40" s="41">
        <f t="shared" si="8"/>
        <v>16554</v>
      </c>
    </row>
    <row r="41" spans="2:16" x14ac:dyDescent="0.25">
      <c r="B41" s="81" t="s">
        <v>12</v>
      </c>
      <c r="C41" s="82"/>
      <c r="D41" s="51">
        <f t="shared" ref="D41:O41" si="9">D40+D39+D38</f>
        <v>66216</v>
      </c>
      <c r="E41" s="51">
        <f t="shared" si="9"/>
        <v>59808</v>
      </c>
      <c r="F41" s="51">
        <f t="shared" si="9"/>
        <v>66216</v>
      </c>
      <c r="G41" s="51">
        <f t="shared" si="9"/>
        <v>64080</v>
      </c>
      <c r="H41" s="51">
        <f t="shared" si="9"/>
        <v>66216</v>
      </c>
      <c r="I41" s="51">
        <f t="shared" si="9"/>
        <v>64080</v>
      </c>
      <c r="J41" s="51">
        <f t="shared" si="9"/>
        <v>66216</v>
      </c>
      <c r="K41" s="51">
        <f t="shared" si="9"/>
        <v>66216</v>
      </c>
      <c r="L41" s="51">
        <f t="shared" si="9"/>
        <v>64080</v>
      </c>
      <c r="M41" s="51">
        <f t="shared" si="9"/>
        <v>66216</v>
      </c>
      <c r="N41" s="51">
        <f t="shared" si="9"/>
        <v>64080</v>
      </c>
      <c r="O41" s="51">
        <f t="shared" si="9"/>
        <v>66216</v>
      </c>
      <c r="P41" s="52">
        <f>SUM(D41:O41)</f>
        <v>779640</v>
      </c>
    </row>
    <row r="42" spans="2:16" x14ac:dyDescent="0.25">
      <c r="D42" s="3">
        <v>48580</v>
      </c>
      <c r="E42" s="3">
        <v>48611</v>
      </c>
      <c r="F42" s="3">
        <v>48639</v>
      </c>
      <c r="G42" s="3">
        <v>48670</v>
      </c>
      <c r="H42" s="3">
        <v>48700</v>
      </c>
      <c r="I42" s="3">
        <v>48731</v>
      </c>
      <c r="J42" s="3">
        <v>48761</v>
      </c>
      <c r="K42" s="3">
        <v>48792</v>
      </c>
      <c r="L42" s="3">
        <v>48823</v>
      </c>
      <c r="M42" s="3">
        <v>48853</v>
      </c>
      <c r="N42" s="3">
        <v>48884</v>
      </c>
      <c r="O42" s="3">
        <v>48914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3866-CDED-4804-9BA8-11634492C3E9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118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117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117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48945</v>
      </c>
      <c r="E8" s="3">
        <v>48976</v>
      </c>
      <c r="F8" s="3">
        <v>49004</v>
      </c>
      <c r="G8" s="3">
        <v>49035</v>
      </c>
      <c r="H8" s="3">
        <v>49065</v>
      </c>
      <c r="I8" s="3">
        <v>49096</v>
      </c>
      <c r="J8" s="3">
        <v>49126</v>
      </c>
      <c r="K8" s="3">
        <v>49157</v>
      </c>
      <c r="L8" s="3">
        <v>49188</v>
      </c>
      <c r="M8" s="3">
        <v>49218</v>
      </c>
      <c r="N8" s="3">
        <v>49249</v>
      </c>
      <c r="O8" s="3">
        <v>49279</v>
      </c>
    </row>
    <row r="9" spans="2:15" x14ac:dyDescent="0.25">
      <c r="B9" s="77" t="s">
        <v>1</v>
      </c>
      <c r="C9" s="4">
        <v>1</v>
      </c>
      <c r="D9" s="50">
        <v>90.1</v>
      </c>
      <c r="E9" s="50">
        <v>90.1</v>
      </c>
      <c r="F9" s="50">
        <v>90.1</v>
      </c>
      <c r="G9" s="50">
        <v>90.1</v>
      </c>
      <c r="H9" s="50">
        <v>90.1</v>
      </c>
      <c r="I9" s="50">
        <v>90.1</v>
      </c>
      <c r="J9" s="50">
        <v>90.1</v>
      </c>
      <c r="K9" s="50">
        <v>90.1</v>
      </c>
      <c r="L9" s="50">
        <v>90.1</v>
      </c>
      <c r="M9" s="50">
        <v>90.1</v>
      </c>
      <c r="N9" s="50">
        <v>90.1</v>
      </c>
      <c r="O9" s="50">
        <v>90.1</v>
      </c>
    </row>
    <row r="10" spans="2:15" x14ac:dyDescent="0.25">
      <c r="B10" s="84"/>
      <c r="C10" s="4">
        <v>2</v>
      </c>
      <c r="D10" s="50">
        <v>90.1</v>
      </c>
      <c r="E10" s="50">
        <v>90.1</v>
      </c>
      <c r="F10" s="50">
        <v>90.1</v>
      </c>
      <c r="G10" s="50">
        <v>90.1</v>
      </c>
      <c r="H10" s="50">
        <v>90.1</v>
      </c>
      <c r="I10" s="50">
        <v>90.1</v>
      </c>
      <c r="J10" s="50">
        <v>90.1</v>
      </c>
      <c r="K10" s="50">
        <v>90.1</v>
      </c>
      <c r="L10" s="50">
        <v>90.1</v>
      </c>
      <c r="M10" s="50">
        <v>90.1</v>
      </c>
      <c r="N10" s="50">
        <v>90.1</v>
      </c>
      <c r="O10" s="50">
        <v>90.1</v>
      </c>
    </row>
    <row r="11" spans="2:15" x14ac:dyDescent="0.25">
      <c r="B11" s="84"/>
      <c r="C11" s="4">
        <v>3</v>
      </c>
      <c r="D11" s="50">
        <v>90.1</v>
      </c>
      <c r="E11" s="50">
        <v>90.1</v>
      </c>
      <c r="F11" s="50">
        <v>90.1</v>
      </c>
      <c r="G11" s="50">
        <v>90.1</v>
      </c>
      <c r="H11" s="50">
        <v>90.1</v>
      </c>
      <c r="I11" s="50">
        <v>90.1</v>
      </c>
      <c r="J11" s="50">
        <v>90.1</v>
      </c>
      <c r="K11" s="50">
        <v>90.1</v>
      </c>
      <c r="L11" s="50">
        <v>90.1</v>
      </c>
      <c r="M11" s="50">
        <v>90.1</v>
      </c>
      <c r="N11" s="50">
        <v>90.1</v>
      </c>
      <c r="O11" s="50">
        <v>90.1</v>
      </c>
    </row>
    <row r="12" spans="2:15" x14ac:dyDescent="0.25">
      <c r="B12" s="78"/>
      <c r="C12" s="4">
        <v>4</v>
      </c>
      <c r="D12" s="50">
        <v>90.1</v>
      </c>
      <c r="E12" s="50">
        <v>90.1</v>
      </c>
      <c r="F12" s="50">
        <v>90.1</v>
      </c>
      <c r="G12" s="50">
        <v>90.1</v>
      </c>
      <c r="H12" s="50">
        <v>90.1</v>
      </c>
      <c r="I12" s="50">
        <v>90.1</v>
      </c>
      <c r="J12" s="50">
        <v>90.1</v>
      </c>
      <c r="K12" s="50">
        <v>90.1</v>
      </c>
      <c r="L12" s="50">
        <v>90.1</v>
      </c>
      <c r="M12" s="50">
        <v>90.1</v>
      </c>
      <c r="N12" s="50">
        <v>90.1</v>
      </c>
      <c r="O12" s="50">
        <v>90.1</v>
      </c>
    </row>
    <row r="13" spans="2:15" x14ac:dyDescent="0.25">
      <c r="B13" s="77" t="s">
        <v>2</v>
      </c>
      <c r="C13" s="4">
        <v>5</v>
      </c>
      <c r="D13" s="50">
        <v>90.1</v>
      </c>
      <c r="E13" s="50">
        <v>90.1</v>
      </c>
      <c r="F13" s="50">
        <v>90.1</v>
      </c>
      <c r="G13" s="50">
        <v>90.1</v>
      </c>
      <c r="H13" s="50">
        <v>90.1</v>
      </c>
      <c r="I13" s="50">
        <v>90.1</v>
      </c>
      <c r="J13" s="50">
        <v>90.1</v>
      </c>
      <c r="K13" s="50">
        <v>90.1</v>
      </c>
      <c r="L13" s="50">
        <v>90.1</v>
      </c>
      <c r="M13" s="50">
        <v>90.1</v>
      </c>
      <c r="N13" s="50">
        <v>90.1</v>
      </c>
      <c r="O13" s="50">
        <v>90.1</v>
      </c>
    </row>
    <row r="14" spans="2:15" x14ac:dyDescent="0.25">
      <c r="B14" s="84"/>
      <c r="C14" s="4">
        <v>6</v>
      </c>
      <c r="D14" s="50">
        <v>90.1</v>
      </c>
      <c r="E14" s="50">
        <v>90.1</v>
      </c>
      <c r="F14" s="50">
        <v>90.1</v>
      </c>
      <c r="G14" s="50">
        <v>90.1</v>
      </c>
      <c r="H14" s="50">
        <v>90.1</v>
      </c>
      <c r="I14" s="50">
        <v>90.1</v>
      </c>
      <c r="J14" s="50">
        <v>90.1</v>
      </c>
      <c r="K14" s="50">
        <v>90.1</v>
      </c>
      <c r="L14" s="50">
        <v>90.1</v>
      </c>
      <c r="M14" s="50">
        <v>90.1</v>
      </c>
      <c r="N14" s="50">
        <v>90.1</v>
      </c>
      <c r="O14" s="50">
        <v>90.1</v>
      </c>
    </row>
    <row r="15" spans="2:15" x14ac:dyDescent="0.25">
      <c r="B15" s="84"/>
      <c r="C15" s="4">
        <v>7</v>
      </c>
      <c r="D15" s="50">
        <v>90.1</v>
      </c>
      <c r="E15" s="50">
        <v>90.1</v>
      </c>
      <c r="F15" s="50">
        <v>90.1</v>
      </c>
      <c r="G15" s="50">
        <v>90.1</v>
      </c>
      <c r="H15" s="50">
        <v>90.1</v>
      </c>
      <c r="I15" s="50">
        <v>90.1</v>
      </c>
      <c r="J15" s="50">
        <v>90.1</v>
      </c>
      <c r="K15" s="50">
        <v>90.1</v>
      </c>
      <c r="L15" s="50">
        <v>90.1</v>
      </c>
      <c r="M15" s="50">
        <v>90.1</v>
      </c>
      <c r="N15" s="50">
        <v>90.1</v>
      </c>
      <c r="O15" s="50">
        <v>90.1</v>
      </c>
    </row>
    <row r="16" spans="2:15" x14ac:dyDescent="0.25">
      <c r="B16" s="84"/>
      <c r="C16" s="4">
        <v>8</v>
      </c>
      <c r="D16" s="50">
        <v>90.1</v>
      </c>
      <c r="E16" s="50">
        <v>90.1</v>
      </c>
      <c r="F16" s="50">
        <v>90.1</v>
      </c>
      <c r="G16" s="50">
        <v>90.1</v>
      </c>
      <c r="H16" s="50">
        <v>90.1</v>
      </c>
      <c r="I16" s="50">
        <v>90.1</v>
      </c>
      <c r="J16" s="50">
        <v>90.1</v>
      </c>
      <c r="K16" s="50">
        <v>90.1</v>
      </c>
      <c r="L16" s="50">
        <v>90.1</v>
      </c>
      <c r="M16" s="50">
        <v>90.1</v>
      </c>
      <c r="N16" s="50">
        <v>90.1</v>
      </c>
      <c r="O16" s="50">
        <v>90.1</v>
      </c>
    </row>
    <row r="17" spans="2:15" x14ac:dyDescent="0.25">
      <c r="B17" s="78"/>
      <c r="C17" s="4">
        <v>9</v>
      </c>
      <c r="D17" s="50">
        <v>90.1</v>
      </c>
      <c r="E17" s="50">
        <v>90.1</v>
      </c>
      <c r="F17" s="50">
        <v>90.1</v>
      </c>
      <c r="G17" s="50">
        <v>90.1</v>
      </c>
      <c r="H17" s="50">
        <v>90.1</v>
      </c>
      <c r="I17" s="50">
        <v>90.1</v>
      </c>
      <c r="J17" s="50">
        <v>90.1</v>
      </c>
      <c r="K17" s="50">
        <v>90.1</v>
      </c>
      <c r="L17" s="50">
        <v>90.1</v>
      </c>
      <c r="M17" s="50">
        <v>90.1</v>
      </c>
      <c r="N17" s="50">
        <v>90.1</v>
      </c>
      <c r="O17" s="50">
        <v>90.1</v>
      </c>
    </row>
    <row r="18" spans="2:15" x14ac:dyDescent="0.25">
      <c r="B18" s="77" t="s">
        <v>3</v>
      </c>
      <c r="C18" s="4">
        <v>10</v>
      </c>
      <c r="D18" s="50">
        <v>90.1</v>
      </c>
      <c r="E18" s="50">
        <v>90.1</v>
      </c>
      <c r="F18" s="50">
        <v>90.1</v>
      </c>
      <c r="G18" s="50">
        <v>90.1</v>
      </c>
      <c r="H18" s="50">
        <v>90.1</v>
      </c>
      <c r="I18" s="50">
        <v>90.1</v>
      </c>
      <c r="J18" s="50">
        <v>90.1</v>
      </c>
      <c r="K18" s="50">
        <v>90.1</v>
      </c>
      <c r="L18" s="50">
        <v>90.1</v>
      </c>
      <c r="M18" s="50">
        <v>90.1</v>
      </c>
      <c r="N18" s="50">
        <v>90.1</v>
      </c>
      <c r="O18" s="50">
        <v>90.1</v>
      </c>
    </row>
    <row r="19" spans="2:15" x14ac:dyDescent="0.25">
      <c r="B19" s="84"/>
      <c r="C19" s="4">
        <v>11</v>
      </c>
      <c r="D19" s="50">
        <v>90.1</v>
      </c>
      <c r="E19" s="50">
        <v>90.1</v>
      </c>
      <c r="F19" s="50">
        <v>90.1</v>
      </c>
      <c r="G19" s="50">
        <v>90.1</v>
      </c>
      <c r="H19" s="50">
        <v>90.1</v>
      </c>
      <c r="I19" s="50">
        <v>90.1</v>
      </c>
      <c r="J19" s="50">
        <v>90.1</v>
      </c>
      <c r="K19" s="50">
        <v>90.1</v>
      </c>
      <c r="L19" s="50">
        <v>90.1</v>
      </c>
      <c r="M19" s="50">
        <v>90.1</v>
      </c>
      <c r="N19" s="50">
        <v>90.1</v>
      </c>
      <c r="O19" s="50">
        <v>90.1</v>
      </c>
    </row>
    <row r="20" spans="2:15" x14ac:dyDescent="0.25">
      <c r="B20" s="78"/>
      <c r="C20" s="4">
        <v>12</v>
      </c>
      <c r="D20" s="50">
        <v>90.1</v>
      </c>
      <c r="E20" s="50">
        <v>90.1</v>
      </c>
      <c r="F20" s="50">
        <v>90.1</v>
      </c>
      <c r="G20" s="50">
        <v>90.1</v>
      </c>
      <c r="H20" s="50">
        <v>90.1</v>
      </c>
      <c r="I20" s="50">
        <v>90.1</v>
      </c>
      <c r="J20" s="50">
        <v>90.1</v>
      </c>
      <c r="K20" s="50">
        <v>90.1</v>
      </c>
      <c r="L20" s="50">
        <v>90.1</v>
      </c>
      <c r="M20" s="50">
        <v>90.1</v>
      </c>
      <c r="N20" s="50">
        <v>90.1</v>
      </c>
      <c r="O20" s="50">
        <v>90.1</v>
      </c>
    </row>
    <row r="21" spans="2:15" x14ac:dyDescent="0.25">
      <c r="B21" s="77" t="s">
        <v>2</v>
      </c>
      <c r="C21" s="4">
        <v>13</v>
      </c>
      <c r="D21" s="50">
        <v>90.1</v>
      </c>
      <c r="E21" s="50">
        <v>90.1</v>
      </c>
      <c r="F21" s="50">
        <v>90.1</v>
      </c>
      <c r="G21" s="50">
        <v>90.1</v>
      </c>
      <c r="H21" s="50">
        <v>90.1</v>
      </c>
      <c r="I21" s="50">
        <v>90.1</v>
      </c>
      <c r="J21" s="50">
        <v>90.1</v>
      </c>
      <c r="K21" s="50">
        <v>90.1</v>
      </c>
      <c r="L21" s="50">
        <v>90.1</v>
      </c>
      <c r="M21" s="50">
        <v>90.1</v>
      </c>
      <c r="N21" s="50">
        <v>90.1</v>
      </c>
      <c r="O21" s="50">
        <v>90.1</v>
      </c>
    </row>
    <row r="22" spans="2:15" x14ac:dyDescent="0.25">
      <c r="B22" s="84"/>
      <c r="C22" s="4">
        <v>14</v>
      </c>
      <c r="D22" s="50">
        <v>90.1</v>
      </c>
      <c r="E22" s="50">
        <v>90.1</v>
      </c>
      <c r="F22" s="50">
        <v>90.1</v>
      </c>
      <c r="G22" s="50">
        <v>90.1</v>
      </c>
      <c r="H22" s="50">
        <v>90.1</v>
      </c>
      <c r="I22" s="50">
        <v>90.1</v>
      </c>
      <c r="J22" s="50">
        <v>90.1</v>
      </c>
      <c r="K22" s="50">
        <v>90.1</v>
      </c>
      <c r="L22" s="50">
        <v>90.1</v>
      </c>
      <c r="M22" s="50">
        <v>90.1</v>
      </c>
      <c r="N22" s="50">
        <v>90.1</v>
      </c>
      <c r="O22" s="50">
        <v>90.1</v>
      </c>
    </row>
    <row r="23" spans="2:15" x14ac:dyDescent="0.25">
      <c r="B23" s="84"/>
      <c r="C23" s="4">
        <v>15</v>
      </c>
      <c r="D23" s="50">
        <v>90.1</v>
      </c>
      <c r="E23" s="50">
        <v>90.1</v>
      </c>
      <c r="F23" s="50">
        <v>90.1</v>
      </c>
      <c r="G23" s="50">
        <v>90.1</v>
      </c>
      <c r="H23" s="50">
        <v>90.1</v>
      </c>
      <c r="I23" s="50">
        <v>90.1</v>
      </c>
      <c r="J23" s="50">
        <v>90.1</v>
      </c>
      <c r="K23" s="50">
        <v>90.1</v>
      </c>
      <c r="L23" s="50">
        <v>90.1</v>
      </c>
      <c r="M23" s="50">
        <v>90.1</v>
      </c>
      <c r="N23" s="50">
        <v>90.1</v>
      </c>
      <c r="O23" s="50">
        <v>90.1</v>
      </c>
    </row>
    <row r="24" spans="2:15" x14ac:dyDescent="0.25">
      <c r="B24" s="84"/>
      <c r="C24" s="4">
        <v>16</v>
      </c>
      <c r="D24" s="50">
        <v>90.1</v>
      </c>
      <c r="E24" s="50">
        <v>90.1</v>
      </c>
      <c r="F24" s="50">
        <v>90.1</v>
      </c>
      <c r="G24" s="50">
        <v>90.1</v>
      </c>
      <c r="H24" s="50">
        <v>90.1</v>
      </c>
      <c r="I24" s="50">
        <v>90.1</v>
      </c>
      <c r="J24" s="50">
        <v>90.1</v>
      </c>
      <c r="K24" s="50">
        <v>90.1</v>
      </c>
      <c r="L24" s="50">
        <v>90.1</v>
      </c>
      <c r="M24" s="50">
        <v>90.1</v>
      </c>
      <c r="N24" s="50">
        <v>90.1</v>
      </c>
      <c r="O24" s="50">
        <v>90.1</v>
      </c>
    </row>
    <row r="25" spans="2:15" x14ac:dyDescent="0.25">
      <c r="B25" s="84"/>
      <c r="C25" s="4">
        <v>17</v>
      </c>
      <c r="D25" s="50">
        <v>90.1</v>
      </c>
      <c r="E25" s="50">
        <v>90.1</v>
      </c>
      <c r="F25" s="50">
        <v>90.1</v>
      </c>
      <c r="G25" s="50">
        <v>90.1</v>
      </c>
      <c r="H25" s="50">
        <v>90.1</v>
      </c>
      <c r="I25" s="50">
        <v>90.1</v>
      </c>
      <c r="J25" s="50">
        <v>90.1</v>
      </c>
      <c r="K25" s="50">
        <v>90.1</v>
      </c>
      <c r="L25" s="50">
        <v>90.1</v>
      </c>
      <c r="M25" s="50">
        <v>90.1</v>
      </c>
      <c r="N25" s="50">
        <v>90.1</v>
      </c>
      <c r="O25" s="50">
        <v>90.1</v>
      </c>
    </row>
    <row r="26" spans="2:15" x14ac:dyDescent="0.25">
      <c r="B26" s="78"/>
      <c r="C26" s="4">
        <v>18</v>
      </c>
      <c r="D26" s="50">
        <v>90.1</v>
      </c>
      <c r="E26" s="50">
        <v>90.1</v>
      </c>
      <c r="F26" s="50">
        <v>90.1</v>
      </c>
      <c r="G26" s="50">
        <v>90.1</v>
      </c>
      <c r="H26" s="50">
        <v>90.1</v>
      </c>
      <c r="I26" s="50">
        <v>90.1</v>
      </c>
      <c r="J26" s="50">
        <v>90.1</v>
      </c>
      <c r="K26" s="50">
        <v>90.1</v>
      </c>
      <c r="L26" s="50">
        <v>90.1</v>
      </c>
      <c r="M26" s="50">
        <v>90.1</v>
      </c>
      <c r="N26" s="50">
        <v>90.1</v>
      </c>
      <c r="O26" s="50">
        <v>90.1</v>
      </c>
    </row>
    <row r="27" spans="2:15" x14ac:dyDescent="0.25">
      <c r="B27" s="77" t="s">
        <v>3</v>
      </c>
      <c r="C27" s="4">
        <v>19</v>
      </c>
      <c r="D27" s="50">
        <v>90.1</v>
      </c>
      <c r="E27" s="50">
        <v>90.1</v>
      </c>
      <c r="F27" s="50">
        <v>90.1</v>
      </c>
      <c r="G27" s="50">
        <v>90.1</v>
      </c>
      <c r="H27" s="50">
        <v>90.1</v>
      </c>
      <c r="I27" s="50">
        <v>90.1</v>
      </c>
      <c r="J27" s="50">
        <v>90.1</v>
      </c>
      <c r="K27" s="50">
        <v>90.1</v>
      </c>
      <c r="L27" s="50">
        <v>90.1</v>
      </c>
      <c r="M27" s="50">
        <v>90.1</v>
      </c>
      <c r="N27" s="50">
        <v>90.1</v>
      </c>
      <c r="O27" s="50">
        <v>90.1</v>
      </c>
    </row>
    <row r="28" spans="2:15" x14ac:dyDescent="0.25">
      <c r="B28" s="84"/>
      <c r="C28" s="4">
        <v>20</v>
      </c>
      <c r="D28" s="50">
        <v>90.1</v>
      </c>
      <c r="E28" s="50">
        <v>90.1</v>
      </c>
      <c r="F28" s="50">
        <v>90.1</v>
      </c>
      <c r="G28" s="50">
        <v>90.1</v>
      </c>
      <c r="H28" s="50">
        <v>90.1</v>
      </c>
      <c r="I28" s="50">
        <v>90.1</v>
      </c>
      <c r="J28" s="50">
        <v>90.1</v>
      </c>
      <c r="K28" s="50">
        <v>90.1</v>
      </c>
      <c r="L28" s="50">
        <v>90.1</v>
      </c>
      <c r="M28" s="50">
        <v>90.1</v>
      </c>
      <c r="N28" s="50">
        <v>90.1</v>
      </c>
      <c r="O28" s="50">
        <v>90.1</v>
      </c>
    </row>
    <row r="29" spans="2:15" x14ac:dyDescent="0.25">
      <c r="B29" s="78"/>
      <c r="C29" s="4">
        <v>21</v>
      </c>
      <c r="D29" s="50">
        <v>90.1</v>
      </c>
      <c r="E29" s="50">
        <v>90.1</v>
      </c>
      <c r="F29" s="50">
        <v>90.1</v>
      </c>
      <c r="G29" s="50">
        <v>90.1</v>
      </c>
      <c r="H29" s="50">
        <v>90.1</v>
      </c>
      <c r="I29" s="50">
        <v>90.1</v>
      </c>
      <c r="J29" s="50">
        <v>90.1</v>
      </c>
      <c r="K29" s="50">
        <v>90.1</v>
      </c>
      <c r="L29" s="50">
        <v>90.1</v>
      </c>
      <c r="M29" s="50">
        <v>90.1</v>
      </c>
      <c r="N29" s="50">
        <v>90.1</v>
      </c>
      <c r="O29" s="50">
        <v>90.1</v>
      </c>
    </row>
    <row r="30" spans="2:15" x14ac:dyDescent="0.25">
      <c r="B30" s="77" t="s">
        <v>2</v>
      </c>
      <c r="C30" s="4">
        <v>22</v>
      </c>
      <c r="D30" s="50">
        <v>90.1</v>
      </c>
      <c r="E30" s="50">
        <v>90.1</v>
      </c>
      <c r="F30" s="50">
        <v>90.1</v>
      </c>
      <c r="G30" s="50">
        <v>90.1</v>
      </c>
      <c r="H30" s="50">
        <v>90.1</v>
      </c>
      <c r="I30" s="50">
        <v>90.1</v>
      </c>
      <c r="J30" s="50">
        <v>90.1</v>
      </c>
      <c r="K30" s="50">
        <v>90.1</v>
      </c>
      <c r="L30" s="50">
        <v>90.1</v>
      </c>
      <c r="M30" s="50">
        <v>90.1</v>
      </c>
      <c r="N30" s="50">
        <v>90.1</v>
      </c>
      <c r="O30" s="50">
        <v>90.1</v>
      </c>
    </row>
    <row r="31" spans="2:15" ht="16.149999999999999" customHeight="1" x14ac:dyDescent="0.25">
      <c r="B31" s="78"/>
      <c r="C31" s="4">
        <v>23</v>
      </c>
      <c r="D31" s="50">
        <v>90.1</v>
      </c>
      <c r="E31" s="50">
        <v>90.1</v>
      </c>
      <c r="F31" s="50">
        <v>90.1</v>
      </c>
      <c r="G31" s="50">
        <v>90.1</v>
      </c>
      <c r="H31" s="50">
        <v>90.1</v>
      </c>
      <c r="I31" s="50">
        <v>90.1</v>
      </c>
      <c r="J31" s="50">
        <v>90.1</v>
      </c>
      <c r="K31" s="50">
        <v>90.1</v>
      </c>
      <c r="L31" s="50">
        <v>90.1</v>
      </c>
      <c r="M31" s="50">
        <v>90.1</v>
      </c>
      <c r="N31" s="50">
        <v>90.1</v>
      </c>
      <c r="O31" s="50">
        <v>90.1</v>
      </c>
    </row>
    <row r="32" spans="2:15" x14ac:dyDescent="0.25">
      <c r="B32" s="36" t="s">
        <v>1</v>
      </c>
      <c r="C32" s="37">
        <v>24</v>
      </c>
      <c r="D32" s="50">
        <v>90.1</v>
      </c>
      <c r="E32" s="50">
        <v>90.1</v>
      </c>
      <c r="F32" s="50">
        <v>90.1</v>
      </c>
      <c r="G32" s="50">
        <v>90.1</v>
      </c>
      <c r="H32" s="50">
        <v>90.1</v>
      </c>
      <c r="I32" s="50">
        <v>90.1</v>
      </c>
      <c r="J32" s="50">
        <v>90.1</v>
      </c>
      <c r="K32" s="50">
        <v>90.1</v>
      </c>
      <c r="L32" s="50">
        <v>90.1</v>
      </c>
      <c r="M32" s="50">
        <v>90.1</v>
      </c>
      <c r="N32" s="50">
        <v>90.1</v>
      </c>
      <c r="O32" s="50">
        <v>90.1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119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450.5</v>
      </c>
      <c r="E35" s="41">
        <f t="shared" si="0"/>
        <v>450.5</v>
      </c>
      <c r="F35" s="41">
        <f t="shared" si="0"/>
        <v>450.5</v>
      </c>
      <c r="G35" s="41">
        <f t="shared" si="0"/>
        <v>450.5</v>
      </c>
      <c r="H35" s="41">
        <f t="shared" ref="H35:O35" si="1">(SUM(H9:H12)+H32)</f>
        <v>450.5</v>
      </c>
      <c r="I35" s="41">
        <f t="shared" si="1"/>
        <v>450.5</v>
      </c>
      <c r="J35" s="41">
        <f t="shared" si="1"/>
        <v>450.5</v>
      </c>
      <c r="K35" s="41">
        <f t="shared" si="1"/>
        <v>450.5</v>
      </c>
      <c r="L35" s="41">
        <f t="shared" si="1"/>
        <v>450.5</v>
      </c>
      <c r="M35" s="41">
        <f t="shared" si="1"/>
        <v>450.5</v>
      </c>
      <c r="N35" s="41">
        <f t="shared" si="1"/>
        <v>450.5</v>
      </c>
      <c r="O35" s="41">
        <f t="shared" si="1"/>
        <v>450.5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1171.3</v>
      </c>
      <c r="E36" s="41">
        <f t="shared" si="2"/>
        <v>1171.3</v>
      </c>
      <c r="F36" s="41">
        <f t="shared" si="2"/>
        <v>1171.3</v>
      </c>
      <c r="G36" s="41">
        <f t="shared" si="2"/>
        <v>1171.3</v>
      </c>
      <c r="H36" s="41">
        <f t="shared" ref="H36:O36" si="3">(SUM(H13:H17)+SUM(H21:H26)+H30+H31)</f>
        <v>1171.3</v>
      </c>
      <c r="I36" s="41">
        <f t="shared" si="3"/>
        <v>1171.3</v>
      </c>
      <c r="J36" s="41">
        <f t="shared" si="3"/>
        <v>1171.3</v>
      </c>
      <c r="K36" s="41">
        <f t="shared" si="3"/>
        <v>1171.3</v>
      </c>
      <c r="L36" s="41">
        <f t="shared" si="3"/>
        <v>1171.3</v>
      </c>
      <c r="M36" s="41">
        <f t="shared" si="3"/>
        <v>1171.3</v>
      </c>
      <c r="N36" s="41">
        <f t="shared" si="3"/>
        <v>1171.3</v>
      </c>
      <c r="O36" s="41">
        <f t="shared" si="3"/>
        <v>1171.3</v>
      </c>
    </row>
    <row r="37" spans="2:16" x14ac:dyDescent="0.25">
      <c r="B37" s="88" t="s">
        <v>3</v>
      </c>
      <c r="C37" s="88"/>
      <c r="D37" s="41">
        <f t="shared" ref="D37:G37" si="4">(SUM(D18:D20)+SUM(D27:D29))</f>
        <v>540.59999999999991</v>
      </c>
      <c r="E37" s="41">
        <f t="shared" si="4"/>
        <v>540.59999999999991</v>
      </c>
      <c r="F37" s="41">
        <f t="shared" si="4"/>
        <v>540.59999999999991</v>
      </c>
      <c r="G37" s="41">
        <f t="shared" si="4"/>
        <v>540.59999999999991</v>
      </c>
      <c r="H37" s="41">
        <f t="shared" ref="H37:O37" si="5">(SUM(H18:H20)+SUM(H27:H29))</f>
        <v>540.59999999999991</v>
      </c>
      <c r="I37" s="41">
        <f t="shared" si="5"/>
        <v>540.59999999999991</v>
      </c>
      <c r="J37" s="41">
        <f t="shared" si="5"/>
        <v>540.59999999999991</v>
      </c>
      <c r="K37" s="41">
        <f t="shared" si="5"/>
        <v>540.59999999999991</v>
      </c>
      <c r="L37" s="41">
        <f t="shared" si="5"/>
        <v>540.59999999999991</v>
      </c>
      <c r="M37" s="41">
        <f t="shared" si="5"/>
        <v>540.59999999999991</v>
      </c>
      <c r="N37" s="41">
        <f t="shared" si="5"/>
        <v>540.59999999999991</v>
      </c>
      <c r="O37" s="41">
        <f t="shared" si="5"/>
        <v>540.59999999999991</v>
      </c>
    </row>
    <row r="38" spans="2:16" x14ac:dyDescent="0.25">
      <c r="B38" s="85" t="s">
        <v>9</v>
      </c>
      <c r="C38" s="86"/>
      <c r="D38" s="41">
        <f t="shared" ref="D38:O38" si="6">D35*D33</f>
        <v>13965.5</v>
      </c>
      <c r="E38" s="41">
        <f t="shared" si="6"/>
        <v>12614</v>
      </c>
      <c r="F38" s="41">
        <f t="shared" si="6"/>
        <v>13965.5</v>
      </c>
      <c r="G38" s="41">
        <f t="shared" si="6"/>
        <v>13515</v>
      </c>
      <c r="H38" s="41">
        <f t="shared" si="6"/>
        <v>13965.5</v>
      </c>
      <c r="I38" s="41">
        <f t="shared" si="6"/>
        <v>13515</v>
      </c>
      <c r="J38" s="41">
        <f t="shared" si="6"/>
        <v>13965.5</v>
      </c>
      <c r="K38" s="41">
        <f t="shared" si="6"/>
        <v>13965.5</v>
      </c>
      <c r="L38" s="41">
        <f t="shared" si="6"/>
        <v>13515</v>
      </c>
      <c r="M38" s="41">
        <f t="shared" si="6"/>
        <v>13965.5</v>
      </c>
      <c r="N38" s="41">
        <f t="shared" si="6"/>
        <v>13515</v>
      </c>
      <c r="O38" s="41">
        <f t="shared" si="6"/>
        <v>13965.5</v>
      </c>
    </row>
    <row r="39" spans="2:16" x14ac:dyDescent="0.25">
      <c r="B39" s="85" t="s">
        <v>10</v>
      </c>
      <c r="C39" s="86"/>
      <c r="D39" s="41">
        <f t="shared" ref="D39:O39" si="7">D33*D36</f>
        <v>36310.299999999996</v>
      </c>
      <c r="E39" s="41">
        <f t="shared" si="7"/>
        <v>32796.400000000001</v>
      </c>
      <c r="F39" s="41">
        <f t="shared" si="7"/>
        <v>36310.299999999996</v>
      </c>
      <c r="G39" s="41">
        <f t="shared" si="7"/>
        <v>35139</v>
      </c>
      <c r="H39" s="41">
        <f t="shared" si="7"/>
        <v>36310.299999999996</v>
      </c>
      <c r="I39" s="41">
        <f t="shared" si="7"/>
        <v>35139</v>
      </c>
      <c r="J39" s="41">
        <f t="shared" si="7"/>
        <v>36310.299999999996</v>
      </c>
      <c r="K39" s="41">
        <f t="shared" si="7"/>
        <v>36310.299999999996</v>
      </c>
      <c r="L39" s="41">
        <f t="shared" si="7"/>
        <v>35139</v>
      </c>
      <c r="M39" s="41">
        <f t="shared" si="7"/>
        <v>36310.299999999996</v>
      </c>
      <c r="N39" s="41">
        <f t="shared" si="7"/>
        <v>35139</v>
      </c>
      <c r="O39" s="41">
        <f t="shared" si="7"/>
        <v>36310.299999999996</v>
      </c>
    </row>
    <row r="40" spans="2:16" x14ac:dyDescent="0.25">
      <c r="B40" s="85" t="s">
        <v>11</v>
      </c>
      <c r="C40" s="86"/>
      <c r="D40" s="41">
        <f t="shared" ref="D40:O40" si="8">D33*D37</f>
        <v>16758.599999999999</v>
      </c>
      <c r="E40" s="41">
        <f t="shared" si="8"/>
        <v>15136.799999999997</v>
      </c>
      <c r="F40" s="41">
        <f t="shared" si="8"/>
        <v>16758.599999999999</v>
      </c>
      <c r="G40" s="41">
        <f t="shared" si="8"/>
        <v>16217.999999999996</v>
      </c>
      <c r="H40" s="41">
        <f t="shared" si="8"/>
        <v>16758.599999999999</v>
      </c>
      <c r="I40" s="41">
        <f t="shared" si="8"/>
        <v>16217.999999999996</v>
      </c>
      <c r="J40" s="41">
        <f t="shared" si="8"/>
        <v>16758.599999999999</v>
      </c>
      <c r="K40" s="41">
        <f t="shared" si="8"/>
        <v>16758.599999999999</v>
      </c>
      <c r="L40" s="41">
        <f t="shared" si="8"/>
        <v>16217.999999999996</v>
      </c>
      <c r="M40" s="41">
        <f t="shared" si="8"/>
        <v>16758.599999999999</v>
      </c>
      <c r="N40" s="41">
        <f t="shared" si="8"/>
        <v>16217.999999999996</v>
      </c>
      <c r="O40" s="41">
        <f t="shared" si="8"/>
        <v>16758.599999999999</v>
      </c>
    </row>
    <row r="41" spans="2:16" x14ac:dyDescent="0.25">
      <c r="B41" s="81" t="s">
        <v>12</v>
      </c>
      <c r="C41" s="82"/>
      <c r="D41" s="51">
        <f t="shared" ref="D41:O41" si="9">D40+D39+D38</f>
        <v>67034.399999999994</v>
      </c>
      <c r="E41" s="51">
        <f t="shared" si="9"/>
        <v>60547.199999999997</v>
      </c>
      <c r="F41" s="51">
        <f t="shared" si="9"/>
        <v>67034.399999999994</v>
      </c>
      <c r="G41" s="51">
        <f t="shared" si="9"/>
        <v>64872</v>
      </c>
      <c r="H41" s="51">
        <f t="shared" si="9"/>
        <v>67034.399999999994</v>
      </c>
      <c r="I41" s="51">
        <f t="shared" si="9"/>
        <v>64872</v>
      </c>
      <c r="J41" s="51">
        <f t="shared" si="9"/>
        <v>67034.399999999994</v>
      </c>
      <c r="K41" s="51">
        <f t="shared" si="9"/>
        <v>67034.399999999994</v>
      </c>
      <c r="L41" s="51">
        <f t="shared" si="9"/>
        <v>64872</v>
      </c>
      <c r="M41" s="51">
        <f t="shared" si="9"/>
        <v>67034.399999999994</v>
      </c>
      <c r="N41" s="51">
        <f t="shared" si="9"/>
        <v>64872</v>
      </c>
      <c r="O41" s="51">
        <f t="shared" si="9"/>
        <v>67034.399999999994</v>
      </c>
      <c r="P41" s="52">
        <f>SUM(D41:O41)</f>
        <v>789276.00000000012</v>
      </c>
    </row>
    <row r="42" spans="2:16" x14ac:dyDescent="0.25">
      <c r="D42" s="3">
        <v>48945</v>
      </c>
      <c r="E42" s="3">
        <v>48976</v>
      </c>
      <c r="F42" s="3">
        <v>49004</v>
      </c>
      <c r="G42" s="3">
        <v>49035</v>
      </c>
      <c r="H42" s="3">
        <v>49065</v>
      </c>
      <c r="I42" s="3">
        <v>49096</v>
      </c>
      <c r="J42" s="3">
        <v>49126</v>
      </c>
      <c r="K42" s="3">
        <v>49157</v>
      </c>
      <c r="L42" s="3">
        <v>49188</v>
      </c>
      <c r="M42" s="3">
        <v>49218</v>
      </c>
      <c r="N42" s="3">
        <v>49249</v>
      </c>
      <c r="O42" s="3">
        <v>49279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284B-8D50-412A-AC46-4C6E4E6AC7D1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120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121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121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49310</v>
      </c>
      <c r="E8" s="3">
        <v>49341</v>
      </c>
      <c r="F8" s="3">
        <v>49369</v>
      </c>
      <c r="G8" s="3">
        <v>49400</v>
      </c>
      <c r="H8" s="3">
        <v>49430</v>
      </c>
      <c r="I8" s="3">
        <v>49461</v>
      </c>
      <c r="J8" s="3">
        <v>49491</v>
      </c>
      <c r="K8" s="3">
        <v>49522</v>
      </c>
      <c r="L8" s="3">
        <v>49553</v>
      </c>
      <c r="M8" s="3">
        <v>49583</v>
      </c>
      <c r="N8" s="3">
        <v>49614</v>
      </c>
      <c r="O8" s="3">
        <v>49644</v>
      </c>
    </row>
    <row r="9" spans="2:15" x14ac:dyDescent="0.25">
      <c r="B9" s="77" t="s">
        <v>1</v>
      </c>
      <c r="C9" s="4">
        <v>1</v>
      </c>
      <c r="D9" s="50">
        <v>93.4</v>
      </c>
      <c r="E9" s="50">
        <v>93.4</v>
      </c>
      <c r="F9" s="50">
        <v>93.4</v>
      </c>
      <c r="G9" s="50">
        <v>93.4</v>
      </c>
      <c r="H9" s="50">
        <v>93.4</v>
      </c>
      <c r="I9" s="50">
        <v>93.4</v>
      </c>
      <c r="J9" s="50">
        <v>93.4</v>
      </c>
      <c r="K9" s="50">
        <v>93.4</v>
      </c>
      <c r="L9" s="50">
        <v>93.4</v>
      </c>
      <c r="M9" s="50">
        <v>93.4</v>
      </c>
      <c r="N9" s="50">
        <v>93.4</v>
      </c>
      <c r="O9" s="50">
        <v>93.4</v>
      </c>
    </row>
    <row r="10" spans="2:15" x14ac:dyDescent="0.25">
      <c r="B10" s="84"/>
      <c r="C10" s="4">
        <v>2</v>
      </c>
      <c r="D10" s="50">
        <v>93.4</v>
      </c>
      <c r="E10" s="50">
        <v>93.4</v>
      </c>
      <c r="F10" s="50">
        <v>93.4</v>
      </c>
      <c r="G10" s="50">
        <v>93.4</v>
      </c>
      <c r="H10" s="50">
        <v>93.4</v>
      </c>
      <c r="I10" s="50">
        <v>93.4</v>
      </c>
      <c r="J10" s="50">
        <v>93.4</v>
      </c>
      <c r="K10" s="50">
        <v>93.4</v>
      </c>
      <c r="L10" s="50">
        <v>93.4</v>
      </c>
      <c r="M10" s="50">
        <v>93.4</v>
      </c>
      <c r="N10" s="50">
        <v>93.4</v>
      </c>
      <c r="O10" s="50">
        <v>93.4</v>
      </c>
    </row>
    <row r="11" spans="2:15" x14ac:dyDescent="0.25">
      <c r="B11" s="84"/>
      <c r="C11" s="4">
        <v>3</v>
      </c>
      <c r="D11" s="50">
        <v>93.4</v>
      </c>
      <c r="E11" s="50">
        <v>93.4</v>
      </c>
      <c r="F11" s="50">
        <v>93.4</v>
      </c>
      <c r="G11" s="50">
        <v>93.4</v>
      </c>
      <c r="H11" s="50">
        <v>93.4</v>
      </c>
      <c r="I11" s="50">
        <v>93.4</v>
      </c>
      <c r="J11" s="50">
        <v>93.4</v>
      </c>
      <c r="K11" s="50">
        <v>93.4</v>
      </c>
      <c r="L11" s="50">
        <v>93.4</v>
      </c>
      <c r="M11" s="50">
        <v>93.4</v>
      </c>
      <c r="N11" s="50">
        <v>93.4</v>
      </c>
      <c r="O11" s="50">
        <v>93.4</v>
      </c>
    </row>
    <row r="12" spans="2:15" x14ac:dyDescent="0.25">
      <c r="B12" s="78"/>
      <c r="C12" s="4">
        <v>4</v>
      </c>
      <c r="D12" s="50">
        <v>93.4</v>
      </c>
      <c r="E12" s="50">
        <v>93.4</v>
      </c>
      <c r="F12" s="50">
        <v>93.4</v>
      </c>
      <c r="G12" s="50">
        <v>93.4</v>
      </c>
      <c r="H12" s="50">
        <v>93.4</v>
      </c>
      <c r="I12" s="50">
        <v>93.4</v>
      </c>
      <c r="J12" s="50">
        <v>93.4</v>
      </c>
      <c r="K12" s="50">
        <v>93.4</v>
      </c>
      <c r="L12" s="50">
        <v>93.4</v>
      </c>
      <c r="M12" s="50">
        <v>93.4</v>
      </c>
      <c r="N12" s="50">
        <v>93.4</v>
      </c>
      <c r="O12" s="50">
        <v>93.4</v>
      </c>
    </row>
    <row r="13" spans="2:15" x14ac:dyDescent="0.25">
      <c r="B13" s="77" t="s">
        <v>2</v>
      </c>
      <c r="C13" s="4">
        <v>5</v>
      </c>
      <c r="D13" s="50">
        <v>93.4</v>
      </c>
      <c r="E13" s="50">
        <v>93.4</v>
      </c>
      <c r="F13" s="50">
        <v>93.4</v>
      </c>
      <c r="G13" s="50">
        <v>93.4</v>
      </c>
      <c r="H13" s="50">
        <v>93.4</v>
      </c>
      <c r="I13" s="50">
        <v>93.4</v>
      </c>
      <c r="J13" s="50">
        <v>93.4</v>
      </c>
      <c r="K13" s="50">
        <v>93.4</v>
      </c>
      <c r="L13" s="50">
        <v>93.4</v>
      </c>
      <c r="M13" s="50">
        <v>93.4</v>
      </c>
      <c r="N13" s="50">
        <v>93.4</v>
      </c>
      <c r="O13" s="50">
        <v>93.4</v>
      </c>
    </row>
    <row r="14" spans="2:15" x14ac:dyDescent="0.25">
      <c r="B14" s="84"/>
      <c r="C14" s="4">
        <v>6</v>
      </c>
      <c r="D14" s="50">
        <v>93.4</v>
      </c>
      <c r="E14" s="50">
        <v>93.4</v>
      </c>
      <c r="F14" s="50">
        <v>93.4</v>
      </c>
      <c r="G14" s="50">
        <v>93.4</v>
      </c>
      <c r="H14" s="50">
        <v>93.4</v>
      </c>
      <c r="I14" s="50">
        <v>93.4</v>
      </c>
      <c r="J14" s="50">
        <v>93.4</v>
      </c>
      <c r="K14" s="50">
        <v>93.4</v>
      </c>
      <c r="L14" s="50">
        <v>93.4</v>
      </c>
      <c r="M14" s="50">
        <v>93.4</v>
      </c>
      <c r="N14" s="50">
        <v>93.4</v>
      </c>
      <c r="O14" s="50">
        <v>93.4</v>
      </c>
    </row>
    <row r="15" spans="2:15" x14ac:dyDescent="0.25">
      <c r="B15" s="84"/>
      <c r="C15" s="4">
        <v>7</v>
      </c>
      <c r="D15" s="50">
        <v>93.4</v>
      </c>
      <c r="E15" s="50">
        <v>93.4</v>
      </c>
      <c r="F15" s="50">
        <v>93.4</v>
      </c>
      <c r="G15" s="50">
        <v>93.4</v>
      </c>
      <c r="H15" s="50">
        <v>93.4</v>
      </c>
      <c r="I15" s="50">
        <v>93.4</v>
      </c>
      <c r="J15" s="50">
        <v>93.4</v>
      </c>
      <c r="K15" s="50">
        <v>93.4</v>
      </c>
      <c r="L15" s="50">
        <v>93.4</v>
      </c>
      <c r="M15" s="50">
        <v>93.4</v>
      </c>
      <c r="N15" s="50">
        <v>93.4</v>
      </c>
      <c r="O15" s="50">
        <v>93.4</v>
      </c>
    </row>
    <row r="16" spans="2:15" x14ac:dyDescent="0.25">
      <c r="B16" s="84"/>
      <c r="C16" s="4">
        <v>8</v>
      </c>
      <c r="D16" s="50">
        <v>93.4</v>
      </c>
      <c r="E16" s="50">
        <v>93.4</v>
      </c>
      <c r="F16" s="50">
        <v>93.4</v>
      </c>
      <c r="G16" s="50">
        <v>93.4</v>
      </c>
      <c r="H16" s="50">
        <v>93.4</v>
      </c>
      <c r="I16" s="50">
        <v>93.4</v>
      </c>
      <c r="J16" s="50">
        <v>93.4</v>
      </c>
      <c r="K16" s="50">
        <v>93.4</v>
      </c>
      <c r="L16" s="50">
        <v>93.4</v>
      </c>
      <c r="M16" s="50">
        <v>93.4</v>
      </c>
      <c r="N16" s="50">
        <v>93.4</v>
      </c>
      <c r="O16" s="50">
        <v>93.4</v>
      </c>
    </row>
    <row r="17" spans="2:15" x14ac:dyDescent="0.25">
      <c r="B17" s="78"/>
      <c r="C17" s="4">
        <v>9</v>
      </c>
      <c r="D17" s="50">
        <v>93.4</v>
      </c>
      <c r="E17" s="50">
        <v>93.4</v>
      </c>
      <c r="F17" s="50">
        <v>93.4</v>
      </c>
      <c r="G17" s="50">
        <v>93.4</v>
      </c>
      <c r="H17" s="50">
        <v>93.4</v>
      </c>
      <c r="I17" s="50">
        <v>93.4</v>
      </c>
      <c r="J17" s="50">
        <v>93.4</v>
      </c>
      <c r="K17" s="50">
        <v>93.4</v>
      </c>
      <c r="L17" s="50">
        <v>93.4</v>
      </c>
      <c r="M17" s="50">
        <v>93.4</v>
      </c>
      <c r="N17" s="50">
        <v>93.4</v>
      </c>
      <c r="O17" s="50">
        <v>93.4</v>
      </c>
    </row>
    <row r="18" spans="2:15" x14ac:dyDescent="0.25">
      <c r="B18" s="77" t="s">
        <v>3</v>
      </c>
      <c r="C18" s="4">
        <v>10</v>
      </c>
      <c r="D18" s="50">
        <v>93.4</v>
      </c>
      <c r="E18" s="50">
        <v>93.4</v>
      </c>
      <c r="F18" s="50">
        <v>93.4</v>
      </c>
      <c r="G18" s="50">
        <v>93.4</v>
      </c>
      <c r="H18" s="50">
        <v>93.4</v>
      </c>
      <c r="I18" s="50">
        <v>93.4</v>
      </c>
      <c r="J18" s="50">
        <v>93.4</v>
      </c>
      <c r="K18" s="50">
        <v>93.4</v>
      </c>
      <c r="L18" s="50">
        <v>93.4</v>
      </c>
      <c r="M18" s="50">
        <v>93.4</v>
      </c>
      <c r="N18" s="50">
        <v>93.4</v>
      </c>
      <c r="O18" s="50">
        <v>93.4</v>
      </c>
    </row>
    <row r="19" spans="2:15" x14ac:dyDescent="0.25">
      <c r="B19" s="84"/>
      <c r="C19" s="4">
        <v>11</v>
      </c>
      <c r="D19" s="50">
        <v>93.4</v>
      </c>
      <c r="E19" s="50">
        <v>93.4</v>
      </c>
      <c r="F19" s="50">
        <v>93.4</v>
      </c>
      <c r="G19" s="50">
        <v>93.4</v>
      </c>
      <c r="H19" s="50">
        <v>93.4</v>
      </c>
      <c r="I19" s="50">
        <v>93.4</v>
      </c>
      <c r="J19" s="50">
        <v>93.4</v>
      </c>
      <c r="K19" s="50">
        <v>93.4</v>
      </c>
      <c r="L19" s="50">
        <v>93.4</v>
      </c>
      <c r="M19" s="50">
        <v>93.4</v>
      </c>
      <c r="N19" s="50">
        <v>93.4</v>
      </c>
      <c r="O19" s="50">
        <v>93.4</v>
      </c>
    </row>
    <row r="20" spans="2:15" x14ac:dyDescent="0.25">
      <c r="B20" s="78"/>
      <c r="C20" s="4">
        <v>12</v>
      </c>
      <c r="D20" s="50">
        <v>93.4</v>
      </c>
      <c r="E20" s="50">
        <v>93.4</v>
      </c>
      <c r="F20" s="50">
        <v>93.4</v>
      </c>
      <c r="G20" s="50">
        <v>93.4</v>
      </c>
      <c r="H20" s="50">
        <v>93.4</v>
      </c>
      <c r="I20" s="50">
        <v>93.4</v>
      </c>
      <c r="J20" s="50">
        <v>93.4</v>
      </c>
      <c r="K20" s="50">
        <v>93.4</v>
      </c>
      <c r="L20" s="50">
        <v>93.4</v>
      </c>
      <c r="M20" s="50">
        <v>93.4</v>
      </c>
      <c r="N20" s="50">
        <v>93.4</v>
      </c>
      <c r="O20" s="50">
        <v>93.4</v>
      </c>
    </row>
    <row r="21" spans="2:15" x14ac:dyDescent="0.25">
      <c r="B21" s="77" t="s">
        <v>2</v>
      </c>
      <c r="C21" s="4">
        <v>13</v>
      </c>
      <c r="D21" s="50">
        <v>93.4</v>
      </c>
      <c r="E21" s="50">
        <v>93.4</v>
      </c>
      <c r="F21" s="50">
        <v>93.4</v>
      </c>
      <c r="G21" s="50">
        <v>93.4</v>
      </c>
      <c r="H21" s="50">
        <v>93.4</v>
      </c>
      <c r="I21" s="50">
        <v>93.4</v>
      </c>
      <c r="J21" s="50">
        <v>93.4</v>
      </c>
      <c r="K21" s="50">
        <v>93.4</v>
      </c>
      <c r="L21" s="50">
        <v>93.4</v>
      </c>
      <c r="M21" s="50">
        <v>93.4</v>
      </c>
      <c r="N21" s="50">
        <v>93.4</v>
      </c>
      <c r="O21" s="50">
        <v>93.4</v>
      </c>
    </row>
    <row r="22" spans="2:15" x14ac:dyDescent="0.25">
      <c r="B22" s="84"/>
      <c r="C22" s="4">
        <v>14</v>
      </c>
      <c r="D22" s="50">
        <v>93.4</v>
      </c>
      <c r="E22" s="50">
        <v>93.4</v>
      </c>
      <c r="F22" s="50">
        <v>93.4</v>
      </c>
      <c r="G22" s="50">
        <v>93.4</v>
      </c>
      <c r="H22" s="50">
        <v>93.4</v>
      </c>
      <c r="I22" s="50">
        <v>93.4</v>
      </c>
      <c r="J22" s="50">
        <v>93.4</v>
      </c>
      <c r="K22" s="50">
        <v>93.4</v>
      </c>
      <c r="L22" s="50">
        <v>93.4</v>
      </c>
      <c r="M22" s="50">
        <v>93.4</v>
      </c>
      <c r="N22" s="50">
        <v>93.4</v>
      </c>
      <c r="O22" s="50">
        <v>93.4</v>
      </c>
    </row>
    <row r="23" spans="2:15" x14ac:dyDescent="0.25">
      <c r="B23" s="84"/>
      <c r="C23" s="4">
        <v>15</v>
      </c>
      <c r="D23" s="50">
        <v>93.4</v>
      </c>
      <c r="E23" s="50">
        <v>93.4</v>
      </c>
      <c r="F23" s="50">
        <v>93.4</v>
      </c>
      <c r="G23" s="50">
        <v>93.4</v>
      </c>
      <c r="H23" s="50">
        <v>93.4</v>
      </c>
      <c r="I23" s="50">
        <v>93.4</v>
      </c>
      <c r="J23" s="50">
        <v>93.4</v>
      </c>
      <c r="K23" s="50">
        <v>93.4</v>
      </c>
      <c r="L23" s="50">
        <v>93.4</v>
      </c>
      <c r="M23" s="50">
        <v>93.4</v>
      </c>
      <c r="N23" s="50">
        <v>93.4</v>
      </c>
      <c r="O23" s="50">
        <v>93.4</v>
      </c>
    </row>
    <row r="24" spans="2:15" x14ac:dyDescent="0.25">
      <c r="B24" s="84"/>
      <c r="C24" s="4">
        <v>16</v>
      </c>
      <c r="D24" s="50">
        <v>93.4</v>
      </c>
      <c r="E24" s="50">
        <v>93.4</v>
      </c>
      <c r="F24" s="50">
        <v>93.4</v>
      </c>
      <c r="G24" s="50">
        <v>93.4</v>
      </c>
      <c r="H24" s="50">
        <v>93.4</v>
      </c>
      <c r="I24" s="50">
        <v>93.4</v>
      </c>
      <c r="J24" s="50">
        <v>93.4</v>
      </c>
      <c r="K24" s="50">
        <v>93.4</v>
      </c>
      <c r="L24" s="50">
        <v>93.4</v>
      </c>
      <c r="M24" s="50">
        <v>93.4</v>
      </c>
      <c r="N24" s="50">
        <v>93.4</v>
      </c>
      <c r="O24" s="50">
        <v>93.4</v>
      </c>
    </row>
    <row r="25" spans="2:15" x14ac:dyDescent="0.25">
      <c r="B25" s="84"/>
      <c r="C25" s="4">
        <v>17</v>
      </c>
      <c r="D25" s="50">
        <v>93.4</v>
      </c>
      <c r="E25" s="50">
        <v>93.4</v>
      </c>
      <c r="F25" s="50">
        <v>93.4</v>
      </c>
      <c r="G25" s="50">
        <v>93.4</v>
      </c>
      <c r="H25" s="50">
        <v>93.4</v>
      </c>
      <c r="I25" s="50">
        <v>93.4</v>
      </c>
      <c r="J25" s="50">
        <v>93.4</v>
      </c>
      <c r="K25" s="50">
        <v>93.4</v>
      </c>
      <c r="L25" s="50">
        <v>93.4</v>
      </c>
      <c r="M25" s="50">
        <v>93.4</v>
      </c>
      <c r="N25" s="50">
        <v>93.4</v>
      </c>
      <c r="O25" s="50">
        <v>93.4</v>
      </c>
    </row>
    <row r="26" spans="2:15" x14ac:dyDescent="0.25">
      <c r="B26" s="78"/>
      <c r="C26" s="4">
        <v>18</v>
      </c>
      <c r="D26" s="50">
        <v>93.4</v>
      </c>
      <c r="E26" s="50">
        <v>93.4</v>
      </c>
      <c r="F26" s="50">
        <v>93.4</v>
      </c>
      <c r="G26" s="50">
        <v>93.4</v>
      </c>
      <c r="H26" s="50">
        <v>93.4</v>
      </c>
      <c r="I26" s="50">
        <v>93.4</v>
      </c>
      <c r="J26" s="50">
        <v>93.4</v>
      </c>
      <c r="K26" s="50">
        <v>93.4</v>
      </c>
      <c r="L26" s="50">
        <v>93.4</v>
      </c>
      <c r="M26" s="50">
        <v>93.4</v>
      </c>
      <c r="N26" s="50">
        <v>93.4</v>
      </c>
      <c r="O26" s="50">
        <v>93.4</v>
      </c>
    </row>
    <row r="27" spans="2:15" x14ac:dyDescent="0.25">
      <c r="B27" s="77" t="s">
        <v>3</v>
      </c>
      <c r="C27" s="4">
        <v>19</v>
      </c>
      <c r="D27" s="50">
        <v>93.4</v>
      </c>
      <c r="E27" s="50">
        <v>93.4</v>
      </c>
      <c r="F27" s="50">
        <v>93.4</v>
      </c>
      <c r="G27" s="50">
        <v>93.4</v>
      </c>
      <c r="H27" s="50">
        <v>93.4</v>
      </c>
      <c r="I27" s="50">
        <v>93.4</v>
      </c>
      <c r="J27" s="50">
        <v>93.4</v>
      </c>
      <c r="K27" s="50">
        <v>93.4</v>
      </c>
      <c r="L27" s="50">
        <v>93.4</v>
      </c>
      <c r="M27" s="50">
        <v>93.4</v>
      </c>
      <c r="N27" s="50">
        <v>93.4</v>
      </c>
      <c r="O27" s="50">
        <v>93.4</v>
      </c>
    </row>
    <row r="28" spans="2:15" x14ac:dyDescent="0.25">
      <c r="B28" s="84"/>
      <c r="C28" s="4">
        <v>20</v>
      </c>
      <c r="D28" s="50">
        <v>93.4</v>
      </c>
      <c r="E28" s="50">
        <v>93.4</v>
      </c>
      <c r="F28" s="50">
        <v>93.4</v>
      </c>
      <c r="G28" s="50">
        <v>93.4</v>
      </c>
      <c r="H28" s="50">
        <v>93.4</v>
      </c>
      <c r="I28" s="50">
        <v>93.4</v>
      </c>
      <c r="J28" s="50">
        <v>93.4</v>
      </c>
      <c r="K28" s="50">
        <v>93.4</v>
      </c>
      <c r="L28" s="50">
        <v>93.4</v>
      </c>
      <c r="M28" s="50">
        <v>93.4</v>
      </c>
      <c r="N28" s="50">
        <v>93.4</v>
      </c>
      <c r="O28" s="50">
        <v>93.4</v>
      </c>
    </row>
    <row r="29" spans="2:15" x14ac:dyDescent="0.25">
      <c r="B29" s="78"/>
      <c r="C29" s="4">
        <v>21</v>
      </c>
      <c r="D29" s="50">
        <v>93.4</v>
      </c>
      <c r="E29" s="50">
        <v>93.4</v>
      </c>
      <c r="F29" s="50">
        <v>93.4</v>
      </c>
      <c r="G29" s="50">
        <v>93.4</v>
      </c>
      <c r="H29" s="50">
        <v>93.4</v>
      </c>
      <c r="I29" s="50">
        <v>93.4</v>
      </c>
      <c r="J29" s="50">
        <v>93.4</v>
      </c>
      <c r="K29" s="50">
        <v>93.4</v>
      </c>
      <c r="L29" s="50">
        <v>93.4</v>
      </c>
      <c r="M29" s="50">
        <v>93.4</v>
      </c>
      <c r="N29" s="50">
        <v>93.4</v>
      </c>
      <c r="O29" s="50">
        <v>93.4</v>
      </c>
    </row>
    <row r="30" spans="2:15" x14ac:dyDescent="0.25">
      <c r="B30" s="77" t="s">
        <v>2</v>
      </c>
      <c r="C30" s="4">
        <v>22</v>
      </c>
      <c r="D30" s="50">
        <v>93.4</v>
      </c>
      <c r="E30" s="50">
        <v>93.4</v>
      </c>
      <c r="F30" s="50">
        <v>93.4</v>
      </c>
      <c r="G30" s="50">
        <v>93.4</v>
      </c>
      <c r="H30" s="50">
        <v>93.4</v>
      </c>
      <c r="I30" s="50">
        <v>93.4</v>
      </c>
      <c r="J30" s="50">
        <v>93.4</v>
      </c>
      <c r="K30" s="50">
        <v>93.4</v>
      </c>
      <c r="L30" s="50">
        <v>93.4</v>
      </c>
      <c r="M30" s="50">
        <v>93.4</v>
      </c>
      <c r="N30" s="50">
        <v>93.4</v>
      </c>
      <c r="O30" s="50">
        <v>93.4</v>
      </c>
    </row>
    <row r="31" spans="2:15" ht="16.149999999999999" customHeight="1" x14ac:dyDescent="0.25">
      <c r="B31" s="78"/>
      <c r="C31" s="4">
        <v>23</v>
      </c>
      <c r="D31" s="50">
        <v>93.4</v>
      </c>
      <c r="E31" s="50">
        <v>93.4</v>
      </c>
      <c r="F31" s="50">
        <v>93.4</v>
      </c>
      <c r="G31" s="50">
        <v>93.4</v>
      </c>
      <c r="H31" s="50">
        <v>93.4</v>
      </c>
      <c r="I31" s="50">
        <v>93.4</v>
      </c>
      <c r="J31" s="50">
        <v>93.4</v>
      </c>
      <c r="K31" s="50">
        <v>93.4</v>
      </c>
      <c r="L31" s="50">
        <v>93.4</v>
      </c>
      <c r="M31" s="50">
        <v>93.4</v>
      </c>
      <c r="N31" s="50">
        <v>93.4</v>
      </c>
      <c r="O31" s="50">
        <v>93.4</v>
      </c>
    </row>
    <row r="32" spans="2:15" x14ac:dyDescent="0.25">
      <c r="B32" s="36" t="s">
        <v>1</v>
      </c>
      <c r="C32" s="37">
        <v>24</v>
      </c>
      <c r="D32" s="50">
        <v>93.4</v>
      </c>
      <c r="E32" s="50">
        <v>93.4</v>
      </c>
      <c r="F32" s="50">
        <v>93.4</v>
      </c>
      <c r="G32" s="50">
        <v>93.4</v>
      </c>
      <c r="H32" s="50">
        <v>93.4</v>
      </c>
      <c r="I32" s="50">
        <v>93.4</v>
      </c>
      <c r="J32" s="50">
        <v>93.4</v>
      </c>
      <c r="K32" s="50">
        <v>93.4</v>
      </c>
      <c r="L32" s="50">
        <v>93.4</v>
      </c>
      <c r="M32" s="50">
        <v>93.4</v>
      </c>
      <c r="N32" s="50">
        <v>93.4</v>
      </c>
      <c r="O32" s="50">
        <v>93.4</v>
      </c>
    </row>
    <row r="33" spans="2:16" x14ac:dyDescent="0.25">
      <c r="B33" s="88" t="s">
        <v>8</v>
      </c>
      <c r="C33" s="88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122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467</v>
      </c>
      <c r="E35" s="41">
        <f t="shared" si="0"/>
        <v>467</v>
      </c>
      <c r="F35" s="41">
        <f t="shared" si="0"/>
        <v>467</v>
      </c>
      <c r="G35" s="41">
        <f t="shared" si="0"/>
        <v>467</v>
      </c>
      <c r="H35" s="41">
        <f t="shared" ref="H35:O35" si="1">(SUM(H9:H12)+H32)</f>
        <v>467</v>
      </c>
      <c r="I35" s="41">
        <f t="shared" si="1"/>
        <v>467</v>
      </c>
      <c r="J35" s="41">
        <f t="shared" si="1"/>
        <v>467</v>
      </c>
      <c r="K35" s="41">
        <f t="shared" si="1"/>
        <v>467</v>
      </c>
      <c r="L35" s="41">
        <f t="shared" si="1"/>
        <v>467</v>
      </c>
      <c r="M35" s="41">
        <f t="shared" si="1"/>
        <v>467</v>
      </c>
      <c r="N35" s="41">
        <f t="shared" si="1"/>
        <v>467</v>
      </c>
      <c r="O35" s="41">
        <f t="shared" si="1"/>
        <v>467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1214.2000000000003</v>
      </c>
      <c r="E36" s="41">
        <f t="shared" si="2"/>
        <v>1214.2000000000003</v>
      </c>
      <c r="F36" s="41">
        <f t="shared" si="2"/>
        <v>1214.2000000000003</v>
      </c>
      <c r="G36" s="41">
        <f t="shared" si="2"/>
        <v>1214.2000000000003</v>
      </c>
      <c r="H36" s="41">
        <f t="shared" ref="H36:O36" si="3">(SUM(H13:H17)+SUM(H21:H26)+H30+H31)</f>
        <v>1214.2000000000003</v>
      </c>
      <c r="I36" s="41">
        <f t="shared" si="3"/>
        <v>1214.2000000000003</v>
      </c>
      <c r="J36" s="41">
        <f t="shared" si="3"/>
        <v>1214.2000000000003</v>
      </c>
      <c r="K36" s="41">
        <f t="shared" si="3"/>
        <v>1214.2000000000003</v>
      </c>
      <c r="L36" s="41">
        <f t="shared" si="3"/>
        <v>1214.2000000000003</v>
      </c>
      <c r="M36" s="41">
        <f t="shared" si="3"/>
        <v>1214.2000000000003</v>
      </c>
      <c r="N36" s="41">
        <f t="shared" si="3"/>
        <v>1214.2000000000003</v>
      </c>
      <c r="O36" s="41">
        <f t="shared" si="3"/>
        <v>1214.2000000000003</v>
      </c>
    </row>
    <row r="37" spans="2:16" x14ac:dyDescent="0.25">
      <c r="B37" s="88" t="s">
        <v>3</v>
      </c>
      <c r="C37" s="88"/>
      <c r="D37" s="41">
        <f t="shared" ref="D37:G37" si="4">(SUM(D18:D20)+SUM(D27:D29))</f>
        <v>560.40000000000009</v>
      </c>
      <c r="E37" s="41">
        <f t="shared" si="4"/>
        <v>560.40000000000009</v>
      </c>
      <c r="F37" s="41">
        <f t="shared" si="4"/>
        <v>560.40000000000009</v>
      </c>
      <c r="G37" s="41">
        <f t="shared" si="4"/>
        <v>560.40000000000009</v>
      </c>
      <c r="H37" s="41">
        <f t="shared" ref="H37:O37" si="5">(SUM(H18:H20)+SUM(H27:H29))</f>
        <v>560.40000000000009</v>
      </c>
      <c r="I37" s="41">
        <f t="shared" si="5"/>
        <v>560.40000000000009</v>
      </c>
      <c r="J37" s="41">
        <f t="shared" si="5"/>
        <v>560.40000000000009</v>
      </c>
      <c r="K37" s="41">
        <f t="shared" si="5"/>
        <v>560.40000000000009</v>
      </c>
      <c r="L37" s="41">
        <f t="shared" si="5"/>
        <v>560.40000000000009</v>
      </c>
      <c r="M37" s="41">
        <f t="shared" si="5"/>
        <v>560.40000000000009</v>
      </c>
      <c r="N37" s="41">
        <f t="shared" si="5"/>
        <v>560.40000000000009</v>
      </c>
      <c r="O37" s="41">
        <f t="shared" si="5"/>
        <v>560.40000000000009</v>
      </c>
    </row>
    <row r="38" spans="2:16" x14ac:dyDescent="0.25">
      <c r="B38" s="85" t="s">
        <v>9</v>
      </c>
      <c r="C38" s="86"/>
      <c r="D38" s="41">
        <f t="shared" ref="D38:O38" si="6">D35*D33</f>
        <v>14477</v>
      </c>
      <c r="E38" s="41">
        <f t="shared" si="6"/>
        <v>13076</v>
      </c>
      <c r="F38" s="41">
        <f t="shared" si="6"/>
        <v>14477</v>
      </c>
      <c r="G38" s="41">
        <f t="shared" si="6"/>
        <v>14010</v>
      </c>
      <c r="H38" s="41">
        <f t="shared" si="6"/>
        <v>14477</v>
      </c>
      <c r="I38" s="41">
        <f t="shared" si="6"/>
        <v>14010</v>
      </c>
      <c r="J38" s="41">
        <f t="shared" si="6"/>
        <v>14477</v>
      </c>
      <c r="K38" s="41">
        <f t="shared" si="6"/>
        <v>14477</v>
      </c>
      <c r="L38" s="41">
        <f t="shared" si="6"/>
        <v>14010</v>
      </c>
      <c r="M38" s="41">
        <f t="shared" si="6"/>
        <v>14477</v>
      </c>
      <c r="N38" s="41">
        <f t="shared" si="6"/>
        <v>14010</v>
      </c>
      <c r="O38" s="41">
        <f t="shared" si="6"/>
        <v>14477</v>
      </c>
    </row>
    <row r="39" spans="2:16" x14ac:dyDescent="0.25">
      <c r="B39" s="85" t="s">
        <v>10</v>
      </c>
      <c r="C39" s="86"/>
      <c r="D39" s="41">
        <f t="shared" ref="D39:O39" si="7">D33*D36</f>
        <v>37640.200000000012</v>
      </c>
      <c r="E39" s="41">
        <f t="shared" si="7"/>
        <v>33997.600000000006</v>
      </c>
      <c r="F39" s="41">
        <f t="shared" si="7"/>
        <v>37640.200000000012</v>
      </c>
      <c r="G39" s="41">
        <f t="shared" si="7"/>
        <v>36426.000000000007</v>
      </c>
      <c r="H39" s="41">
        <f t="shared" si="7"/>
        <v>37640.200000000012</v>
      </c>
      <c r="I39" s="41">
        <f t="shared" si="7"/>
        <v>36426.000000000007</v>
      </c>
      <c r="J39" s="41">
        <f t="shared" si="7"/>
        <v>37640.200000000012</v>
      </c>
      <c r="K39" s="41">
        <f t="shared" si="7"/>
        <v>37640.200000000012</v>
      </c>
      <c r="L39" s="41">
        <f t="shared" si="7"/>
        <v>36426.000000000007</v>
      </c>
      <c r="M39" s="41">
        <f t="shared" si="7"/>
        <v>37640.200000000012</v>
      </c>
      <c r="N39" s="41">
        <f t="shared" si="7"/>
        <v>36426.000000000007</v>
      </c>
      <c r="O39" s="41">
        <f t="shared" si="7"/>
        <v>37640.200000000012</v>
      </c>
    </row>
    <row r="40" spans="2:16" x14ac:dyDescent="0.25">
      <c r="B40" s="85" t="s">
        <v>11</v>
      </c>
      <c r="C40" s="86"/>
      <c r="D40" s="41">
        <f t="shared" ref="D40:O40" si="8">D33*D37</f>
        <v>17372.400000000001</v>
      </c>
      <c r="E40" s="41">
        <f t="shared" si="8"/>
        <v>15691.200000000003</v>
      </c>
      <c r="F40" s="41">
        <f t="shared" si="8"/>
        <v>17372.400000000001</v>
      </c>
      <c r="G40" s="41">
        <f t="shared" si="8"/>
        <v>16812.000000000004</v>
      </c>
      <c r="H40" s="41">
        <f t="shared" si="8"/>
        <v>17372.400000000001</v>
      </c>
      <c r="I40" s="41">
        <f t="shared" si="8"/>
        <v>16812.000000000004</v>
      </c>
      <c r="J40" s="41">
        <f t="shared" si="8"/>
        <v>17372.400000000001</v>
      </c>
      <c r="K40" s="41">
        <f t="shared" si="8"/>
        <v>17372.400000000001</v>
      </c>
      <c r="L40" s="41">
        <f t="shared" si="8"/>
        <v>16812.000000000004</v>
      </c>
      <c r="M40" s="41">
        <f t="shared" si="8"/>
        <v>17372.400000000001</v>
      </c>
      <c r="N40" s="41">
        <f t="shared" si="8"/>
        <v>16812.000000000004</v>
      </c>
      <c r="O40" s="41">
        <f t="shared" si="8"/>
        <v>17372.400000000001</v>
      </c>
    </row>
    <row r="41" spans="2:16" x14ac:dyDescent="0.25">
      <c r="B41" s="81" t="s">
        <v>12</v>
      </c>
      <c r="C41" s="82"/>
      <c r="D41" s="51">
        <f t="shared" ref="D41:O41" si="9">D40+D39+D38</f>
        <v>69489.600000000006</v>
      </c>
      <c r="E41" s="51">
        <f t="shared" si="9"/>
        <v>62764.80000000001</v>
      </c>
      <c r="F41" s="51">
        <f t="shared" si="9"/>
        <v>69489.600000000006</v>
      </c>
      <c r="G41" s="51">
        <f t="shared" si="9"/>
        <v>67248.000000000015</v>
      </c>
      <c r="H41" s="51">
        <f t="shared" si="9"/>
        <v>69489.600000000006</v>
      </c>
      <c r="I41" s="51">
        <f t="shared" si="9"/>
        <v>67248.000000000015</v>
      </c>
      <c r="J41" s="51">
        <f t="shared" si="9"/>
        <v>69489.600000000006</v>
      </c>
      <c r="K41" s="51">
        <f t="shared" si="9"/>
        <v>69489.600000000006</v>
      </c>
      <c r="L41" s="51">
        <f t="shared" si="9"/>
        <v>67248.000000000015</v>
      </c>
      <c r="M41" s="51">
        <f t="shared" si="9"/>
        <v>69489.600000000006</v>
      </c>
      <c r="N41" s="51">
        <f t="shared" si="9"/>
        <v>67248.000000000015</v>
      </c>
      <c r="O41" s="51">
        <f t="shared" si="9"/>
        <v>69489.600000000006</v>
      </c>
      <c r="P41" s="52">
        <f>SUM(D41:O41)</f>
        <v>818184</v>
      </c>
    </row>
    <row r="42" spans="2:16" x14ac:dyDescent="0.25">
      <c r="D42" s="3">
        <v>49310</v>
      </c>
      <c r="E42" s="3">
        <v>49341</v>
      </c>
      <c r="F42" s="3">
        <v>49369</v>
      </c>
      <c r="G42" s="3">
        <v>49400</v>
      </c>
      <c r="H42" s="3">
        <v>49430</v>
      </c>
      <c r="I42" s="3">
        <v>49461</v>
      </c>
      <c r="J42" s="3">
        <v>49491</v>
      </c>
      <c r="K42" s="3">
        <v>49522</v>
      </c>
      <c r="L42" s="3">
        <v>49553</v>
      </c>
      <c r="M42" s="3">
        <v>49583</v>
      </c>
      <c r="N42" s="3">
        <v>49614</v>
      </c>
      <c r="O42" s="3">
        <v>49644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0BDB-77FA-4B80-87B9-59CDC00B240D}">
  <dimension ref="B1:P45"/>
  <sheetViews>
    <sheetView topLeftCell="A7" zoomScale="80" zoomScaleNormal="80" workbookViewId="0">
      <selection activeCell="P41" sqref="P41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80" t="s">
        <v>6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2:15" x14ac:dyDescent="0.25">
      <c r="B2" s="80" t="s">
        <v>25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B3" s="80" t="s">
        <v>123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</row>
    <row r="4" spans="2:15" x14ac:dyDescent="0.25">
      <c r="B4" s="80" t="s">
        <v>124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79" t="s">
        <v>0</v>
      </c>
      <c r="C7" s="79" t="s">
        <v>7</v>
      </c>
      <c r="D7" s="81" t="s">
        <v>124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79"/>
      <c r="C8" s="79"/>
      <c r="D8" s="3">
        <v>49675</v>
      </c>
      <c r="E8" s="3">
        <v>49706</v>
      </c>
      <c r="F8" s="3">
        <v>49735</v>
      </c>
      <c r="G8" s="3">
        <v>49766</v>
      </c>
      <c r="H8" s="3">
        <v>49796</v>
      </c>
      <c r="I8" s="3">
        <v>49827</v>
      </c>
      <c r="J8" s="3">
        <v>49857</v>
      </c>
      <c r="K8" s="3">
        <v>49888</v>
      </c>
      <c r="L8" s="3">
        <v>49919</v>
      </c>
      <c r="M8" s="3">
        <v>49949</v>
      </c>
      <c r="N8" s="3">
        <v>49980</v>
      </c>
      <c r="O8" s="3">
        <v>50010</v>
      </c>
    </row>
    <row r="9" spans="2:15" x14ac:dyDescent="0.25">
      <c r="B9" s="77" t="s">
        <v>1</v>
      </c>
      <c r="C9" s="4">
        <v>1</v>
      </c>
      <c r="D9" s="50">
        <v>94.5</v>
      </c>
      <c r="E9" s="50">
        <v>94.5</v>
      </c>
      <c r="F9" s="50">
        <v>94.5</v>
      </c>
      <c r="G9" s="50">
        <v>94.5</v>
      </c>
      <c r="H9" s="50">
        <v>94.5</v>
      </c>
      <c r="I9" s="50">
        <v>94.5</v>
      </c>
      <c r="J9" s="50">
        <v>94.5</v>
      </c>
      <c r="K9" s="50">
        <v>94.5</v>
      </c>
      <c r="L9" s="50">
        <v>94.5</v>
      </c>
      <c r="M9" s="50">
        <v>94.5</v>
      </c>
      <c r="N9" s="50">
        <v>94.5</v>
      </c>
      <c r="O9" s="50">
        <v>94.5</v>
      </c>
    </row>
    <row r="10" spans="2:15" x14ac:dyDescent="0.25">
      <c r="B10" s="84"/>
      <c r="C10" s="4">
        <v>2</v>
      </c>
      <c r="D10" s="50">
        <v>94.5</v>
      </c>
      <c r="E10" s="50">
        <v>94.5</v>
      </c>
      <c r="F10" s="50">
        <v>94.5</v>
      </c>
      <c r="G10" s="50">
        <v>94.5</v>
      </c>
      <c r="H10" s="50">
        <v>94.5</v>
      </c>
      <c r="I10" s="50">
        <v>94.5</v>
      </c>
      <c r="J10" s="50">
        <v>94.5</v>
      </c>
      <c r="K10" s="50">
        <v>94.5</v>
      </c>
      <c r="L10" s="50">
        <v>94.5</v>
      </c>
      <c r="M10" s="50">
        <v>94.5</v>
      </c>
      <c r="N10" s="50">
        <v>94.5</v>
      </c>
      <c r="O10" s="50">
        <v>94.5</v>
      </c>
    </row>
    <row r="11" spans="2:15" x14ac:dyDescent="0.25">
      <c r="B11" s="84"/>
      <c r="C11" s="4">
        <v>3</v>
      </c>
      <c r="D11" s="50">
        <v>94.5</v>
      </c>
      <c r="E11" s="50">
        <v>94.5</v>
      </c>
      <c r="F11" s="50">
        <v>94.5</v>
      </c>
      <c r="G11" s="50">
        <v>94.5</v>
      </c>
      <c r="H11" s="50">
        <v>94.5</v>
      </c>
      <c r="I11" s="50">
        <v>94.5</v>
      </c>
      <c r="J11" s="50">
        <v>94.5</v>
      </c>
      <c r="K11" s="50">
        <v>94.5</v>
      </c>
      <c r="L11" s="50">
        <v>94.5</v>
      </c>
      <c r="M11" s="50">
        <v>94.5</v>
      </c>
      <c r="N11" s="50">
        <v>94.5</v>
      </c>
      <c r="O11" s="50">
        <v>94.5</v>
      </c>
    </row>
    <row r="12" spans="2:15" x14ac:dyDescent="0.25">
      <c r="B12" s="78"/>
      <c r="C12" s="4">
        <v>4</v>
      </c>
      <c r="D12" s="50">
        <v>94.5</v>
      </c>
      <c r="E12" s="50">
        <v>94.5</v>
      </c>
      <c r="F12" s="50">
        <v>94.5</v>
      </c>
      <c r="G12" s="50">
        <v>94.5</v>
      </c>
      <c r="H12" s="50">
        <v>94.5</v>
      </c>
      <c r="I12" s="50">
        <v>94.5</v>
      </c>
      <c r="J12" s="50">
        <v>94.5</v>
      </c>
      <c r="K12" s="50">
        <v>94.5</v>
      </c>
      <c r="L12" s="50">
        <v>94.5</v>
      </c>
      <c r="M12" s="50">
        <v>94.5</v>
      </c>
      <c r="N12" s="50">
        <v>94.5</v>
      </c>
      <c r="O12" s="50">
        <v>94.5</v>
      </c>
    </row>
    <row r="13" spans="2:15" x14ac:dyDescent="0.25">
      <c r="B13" s="77" t="s">
        <v>2</v>
      </c>
      <c r="C13" s="4">
        <v>5</v>
      </c>
      <c r="D13" s="50">
        <v>94.5</v>
      </c>
      <c r="E13" s="50">
        <v>94.5</v>
      </c>
      <c r="F13" s="50">
        <v>94.5</v>
      </c>
      <c r="G13" s="50">
        <v>94.5</v>
      </c>
      <c r="H13" s="50">
        <v>94.5</v>
      </c>
      <c r="I13" s="50">
        <v>94.5</v>
      </c>
      <c r="J13" s="50">
        <v>94.5</v>
      </c>
      <c r="K13" s="50">
        <v>94.5</v>
      </c>
      <c r="L13" s="50">
        <v>94.5</v>
      </c>
      <c r="M13" s="50">
        <v>94.5</v>
      </c>
      <c r="N13" s="50">
        <v>94.5</v>
      </c>
      <c r="O13" s="50">
        <v>94.5</v>
      </c>
    </row>
    <row r="14" spans="2:15" x14ac:dyDescent="0.25">
      <c r="B14" s="84"/>
      <c r="C14" s="4">
        <v>6</v>
      </c>
      <c r="D14" s="50">
        <v>94.5</v>
      </c>
      <c r="E14" s="50">
        <v>94.5</v>
      </c>
      <c r="F14" s="50">
        <v>94.5</v>
      </c>
      <c r="G14" s="50">
        <v>94.5</v>
      </c>
      <c r="H14" s="50">
        <v>94.5</v>
      </c>
      <c r="I14" s="50">
        <v>94.5</v>
      </c>
      <c r="J14" s="50">
        <v>94.5</v>
      </c>
      <c r="K14" s="50">
        <v>94.5</v>
      </c>
      <c r="L14" s="50">
        <v>94.5</v>
      </c>
      <c r="M14" s="50">
        <v>94.5</v>
      </c>
      <c r="N14" s="50">
        <v>94.5</v>
      </c>
      <c r="O14" s="50">
        <v>94.5</v>
      </c>
    </row>
    <row r="15" spans="2:15" x14ac:dyDescent="0.25">
      <c r="B15" s="84"/>
      <c r="C15" s="4">
        <v>7</v>
      </c>
      <c r="D15" s="50">
        <v>94.5</v>
      </c>
      <c r="E15" s="50">
        <v>94.5</v>
      </c>
      <c r="F15" s="50">
        <v>94.5</v>
      </c>
      <c r="G15" s="50">
        <v>94.5</v>
      </c>
      <c r="H15" s="50">
        <v>94.5</v>
      </c>
      <c r="I15" s="50">
        <v>94.5</v>
      </c>
      <c r="J15" s="50">
        <v>94.5</v>
      </c>
      <c r="K15" s="50">
        <v>94.5</v>
      </c>
      <c r="L15" s="50">
        <v>94.5</v>
      </c>
      <c r="M15" s="50">
        <v>94.5</v>
      </c>
      <c r="N15" s="50">
        <v>94.5</v>
      </c>
      <c r="O15" s="50">
        <v>94.5</v>
      </c>
    </row>
    <row r="16" spans="2:15" x14ac:dyDescent="0.25">
      <c r="B16" s="84"/>
      <c r="C16" s="4">
        <v>8</v>
      </c>
      <c r="D16" s="50">
        <v>94.5</v>
      </c>
      <c r="E16" s="50">
        <v>94.5</v>
      </c>
      <c r="F16" s="50">
        <v>94.5</v>
      </c>
      <c r="G16" s="50">
        <v>94.5</v>
      </c>
      <c r="H16" s="50">
        <v>94.5</v>
      </c>
      <c r="I16" s="50">
        <v>94.5</v>
      </c>
      <c r="J16" s="50">
        <v>94.5</v>
      </c>
      <c r="K16" s="50">
        <v>94.5</v>
      </c>
      <c r="L16" s="50">
        <v>94.5</v>
      </c>
      <c r="M16" s="50">
        <v>94.5</v>
      </c>
      <c r="N16" s="50">
        <v>94.5</v>
      </c>
      <c r="O16" s="50">
        <v>94.5</v>
      </c>
    </row>
    <row r="17" spans="2:15" x14ac:dyDescent="0.25">
      <c r="B17" s="78"/>
      <c r="C17" s="4">
        <v>9</v>
      </c>
      <c r="D17" s="50">
        <v>94.5</v>
      </c>
      <c r="E17" s="50">
        <v>94.5</v>
      </c>
      <c r="F17" s="50">
        <v>94.5</v>
      </c>
      <c r="G17" s="50">
        <v>94.5</v>
      </c>
      <c r="H17" s="50">
        <v>94.5</v>
      </c>
      <c r="I17" s="50">
        <v>94.5</v>
      </c>
      <c r="J17" s="50">
        <v>94.5</v>
      </c>
      <c r="K17" s="50">
        <v>94.5</v>
      </c>
      <c r="L17" s="50">
        <v>94.5</v>
      </c>
      <c r="M17" s="50">
        <v>94.5</v>
      </c>
      <c r="N17" s="50">
        <v>94.5</v>
      </c>
      <c r="O17" s="50">
        <v>94.5</v>
      </c>
    </row>
    <row r="18" spans="2:15" x14ac:dyDescent="0.25">
      <c r="B18" s="77" t="s">
        <v>3</v>
      </c>
      <c r="C18" s="4">
        <v>10</v>
      </c>
      <c r="D18" s="50">
        <v>94.5</v>
      </c>
      <c r="E18" s="50">
        <v>94.5</v>
      </c>
      <c r="F18" s="50">
        <v>94.5</v>
      </c>
      <c r="G18" s="50">
        <v>94.5</v>
      </c>
      <c r="H18" s="50">
        <v>94.5</v>
      </c>
      <c r="I18" s="50">
        <v>94.5</v>
      </c>
      <c r="J18" s="50">
        <v>94.5</v>
      </c>
      <c r="K18" s="50">
        <v>94.5</v>
      </c>
      <c r="L18" s="50">
        <v>94.5</v>
      </c>
      <c r="M18" s="50">
        <v>94.5</v>
      </c>
      <c r="N18" s="50">
        <v>94.5</v>
      </c>
      <c r="O18" s="50">
        <v>94.5</v>
      </c>
    </row>
    <row r="19" spans="2:15" x14ac:dyDescent="0.25">
      <c r="B19" s="84"/>
      <c r="C19" s="4">
        <v>11</v>
      </c>
      <c r="D19" s="50">
        <v>94.5</v>
      </c>
      <c r="E19" s="50">
        <v>94.5</v>
      </c>
      <c r="F19" s="50">
        <v>94.5</v>
      </c>
      <c r="G19" s="50">
        <v>94.5</v>
      </c>
      <c r="H19" s="50">
        <v>94.5</v>
      </c>
      <c r="I19" s="50">
        <v>94.5</v>
      </c>
      <c r="J19" s="50">
        <v>94.5</v>
      </c>
      <c r="K19" s="50">
        <v>94.5</v>
      </c>
      <c r="L19" s="50">
        <v>94.5</v>
      </c>
      <c r="M19" s="50">
        <v>94.5</v>
      </c>
      <c r="N19" s="50">
        <v>94.5</v>
      </c>
      <c r="O19" s="50">
        <v>94.5</v>
      </c>
    </row>
    <row r="20" spans="2:15" x14ac:dyDescent="0.25">
      <c r="B20" s="78"/>
      <c r="C20" s="4">
        <v>12</v>
      </c>
      <c r="D20" s="50">
        <v>94.5</v>
      </c>
      <c r="E20" s="50">
        <v>94.5</v>
      </c>
      <c r="F20" s="50">
        <v>94.5</v>
      </c>
      <c r="G20" s="50">
        <v>94.5</v>
      </c>
      <c r="H20" s="50">
        <v>94.5</v>
      </c>
      <c r="I20" s="50">
        <v>94.5</v>
      </c>
      <c r="J20" s="50">
        <v>94.5</v>
      </c>
      <c r="K20" s="50">
        <v>94.5</v>
      </c>
      <c r="L20" s="50">
        <v>94.5</v>
      </c>
      <c r="M20" s="50">
        <v>94.5</v>
      </c>
      <c r="N20" s="50">
        <v>94.5</v>
      </c>
      <c r="O20" s="50">
        <v>94.5</v>
      </c>
    </row>
    <row r="21" spans="2:15" x14ac:dyDescent="0.25">
      <c r="B21" s="77" t="s">
        <v>2</v>
      </c>
      <c r="C21" s="4">
        <v>13</v>
      </c>
      <c r="D21" s="50">
        <v>94.5</v>
      </c>
      <c r="E21" s="50">
        <v>94.5</v>
      </c>
      <c r="F21" s="50">
        <v>94.5</v>
      </c>
      <c r="G21" s="50">
        <v>94.5</v>
      </c>
      <c r="H21" s="50">
        <v>94.5</v>
      </c>
      <c r="I21" s="50">
        <v>94.5</v>
      </c>
      <c r="J21" s="50">
        <v>94.5</v>
      </c>
      <c r="K21" s="50">
        <v>94.5</v>
      </c>
      <c r="L21" s="50">
        <v>94.5</v>
      </c>
      <c r="M21" s="50">
        <v>94.5</v>
      </c>
      <c r="N21" s="50">
        <v>94.5</v>
      </c>
      <c r="O21" s="50">
        <v>94.5</v>
      </c>
    </row>
    <row r="22" spans="2:15" x14ac:dyDescent="0.25">
      <c r="B22" s="84"/>
      <c r="C22" s="4">
        <v>14</v>
      </c>
      <c r="D22" s="50">
        <v>94.5</v>
      </c>
      <c r="E22" s="50">
        <v>94.5</v>
      </c>
      <c r="F22" s="50">
        <v>94.5</v>
      </c>
      <c r="G22" s="50">
        <v>94.5</v>
      </c>
      <c r="H22" s="50">
        <v>94.5</v>
      </c>
      <c r="I22" s="50">
        <v>94.5</v>
      </c>
      <c r="J22" s="50">
        <v>94.5</v>
      </c>
      <c r="K22" s="50">
        <v>94.5</v>
      </c>
      <c r="L22" s="50">
        <v>94.5</v>
      </c>
      <c r="M22" s="50">
        <v>94.5</v>
      </c>
      <c r="N22" s="50">
        <v>94.5</v>
      </c>
      <c r="O22" s="50">
        <v>94.5</v>
      </c>
    </row>
    <row r="23" spans="2:15" x14ac:dyDescent="0.25">
      <c r="B23" s="84"/>
      <c r="C23" s="4">
        <v>15</v>
      </c>
      <c r="D23" s="50">
        <v>94.5</v>
      </c>
      <c r="E23" s="50">
        <v>94.5</v>
      </c>
      <c r="F23" s="50">
        <v>94.5</v>
      </c>
      <c r="G23" s="50">
        <v>94.5</v>
      </c>
      <c r="H23" s="50">
        <v>94.5</v>
      </c>
      <c r="I23" s="50">
        <v>94.5</v>
      </c>
      <c r="J23" s="50">
        <v>94.5</v>
      </c>
      <c r="K23" s="50">
        <v>94.5</v>
      </c>
      <c r="L23" s="50">
        <v>94.5</v>
      </c>
      <c r="M23" s="50">
        <v>94.5</v>
      </c>
      <c r="N23" s="50">
        <v>94.5</v>
      </c>
      <c r="O23" s="50">
        <v>94.5</v>
      </c>
    </row>
    <row r="24" spans="2:15" x14ac:dyDescent="0.25">
      <c r="B24" s="84"/>
      <c r="C24" s="4">
        <v>16</v>
      </c>
      <c r="D24" s="50">
        <v>94.5</v>
      </c>
      <c r="E24" s="50">
        <v>94.5</v>
      </c>
      <c r="F24" s="50">
        <v>94.5</v>
      </c>
      <c r="G24" s="50">
        <v>94.5</v>
      </c>
      <c r="H24" s="50">
        <v>94.5</v>
      </c>
      <c r="I24" s="50">
        <v>94.5</v>
      </c>
      <c r="J24" s="50">
        <v>94.5</v>
      </c>
      <c r="K24" s="50">
        <v>94.5</v>
      </c>
      <c r="L24" s="50">
        <v>94.5</v>
      </c>
      <c r="M24" s="50">
        <v>94.5</v>
      </c>
      <c r="N24" s="50">
        <v>94.5</v>
      </c>
      <c r="O24" s="50">
        <v>94.5</v>
      </c>
    </row>
    <row r="25" spans="2:15" x14ac:dyDescent="0.25">
      <c r="B25" s="84"/>
      <c r="C25" s="4">
        <v>17</v>
      </c>
      <c r="D25" s="50">
        <v>94.5</v>
      </c>
      <c r="E25" s="50">
        <v>94.5</v>
      </c>
      <c r="F25" s="50">
        <v>94.5</v>
      </c>
      <c r="G25" s="50">
        <v>94.5</v>
      </c>
      <c r="H25" s="50">
        <v>94.5</v>
      </c>
      <c r="I25" s="50">
        <v>94.5</v>
      </c>
      <c r="J25" s="50">
        <v>94.5</v>
      </c>
      <c r="K25" s="50">
        <v>94.5</v>
      </c>
      <c r="L25" s="50">
        <v>94.5</v>
      </c>
      <c r="M25" s="50">
        <v>94.5</v>
      </c>
      <c r="N25" s="50">
        <v>94.5</v>
      </c>
      <c r="O25" s="50">
        <v>94.5</v>
      </c>
    </row>
    <row r="26" spans="2:15" x14ac:dyDescent="0.25">
      <c r="B26" s="78"/>
      <c r="C26" s="4">
        <v>18</v>
      </c>
      <c r="D26" s="50">
        <v>94.5</v>
      </c>
      <c r="E26" s="50">
        <v>94.5</v>
      </c>
      <c r="F26" s="50">
        <v>94.5</v>
      </c>
      <c r="G26" s="50">
        <v>94.5</v>
      </c>
      <c r="H26" s="50">
        <v>94.5</v>
      </c>
      <c r="I26" s="50">
        <v>94.5</v>
      </c>
      <c r="J26" s="50">
        <v>94.5</v>
      </c>
      <c r="K26" s="50">
        <v>94.5</v>
      </c>
      <c r="L26" s="50">
        <v>94.5</v>
      </c>
      <c r="M26" s="50">
        <v>94.5</v>
      </c>
      <c r="N26" s="50">
        <v>94.5</v>
      </c>
      <c r="O26" s="50">
        <v>94.5</v>
      </c>
    </row>
    <row r="27" spans="2:15" x14ac:dyDescent="0.25">
      <c r="B27" s="77" t="s">
        <v>3</v>
      </c>
      <c r="C27" s="4">
        <v>19</v>
      </c>
      <c r="D27" s="50">
        <v>94.5</v>
      </c>
      <c r="E27" s="50">
        <v>94.5</v>
      </c>
      <c r="F27" s="50">
        <v>94.5</v>
      </c>
      <c r="G27" s="50">
        <v>94.5</v>
      </c>
      <c r="H27" s="50">
        <v>94.5</v>
      </c>
      <c r="I27" s="50">
        <v>94.5</v>
      </c>
      <c r="J27" s="50">
        <v>94.5</v>
      </c>
      <c r="K27" s="50">
        <v>94.5</v>
      </c>
      <c r="L27" s="50">
        <v>94.5</v>
      </c>
      <c r="M27" s="50">
        <v>94.5</v>
      </c>
      <c r="N27" s="50">
        <v>94.5</v>
      </c>
      <c r="O27" s="50">
        <v>94.5</v>
      </c>
    </row>
    <row r="28" spans="2:15" x14ac:dyDescent="0.25">
      <c r="B28" s="84"/>
      <c r="C28" s="4">
        <v>20</v>
      </c>
      <c r="D28" s="50">
        <v>94.5</v>
      </c>
      <c r="E28" s="50">
        <v>94.5</v>
      </c>
      <c r="F28" s="50">
        <v>94.5</v>
      </c>
      <c r="G28" s="50">
        <v>94.5</v>
      </c>
      <c r="H28" s="50">
        <v>94.5</v>
      </c>
      <c r="I28" s="50">
        <v>94.5</v>
      </c>
      <c r="J28" s="50">
        <v>94.5</v>
      </c>
      <c r="K28" s="50">
        <v>94.5</v>
      </c>
      <c r="L28" s="50">
        <v>94.5</v>
      </c>
      <c r="M28" s="50">
        <v>94.5</v>
      </c>
      <c r="N28" s="50">
        <v>94.5</v>
      </c>
      <c r="O28" s="50">
        <v>94.5</v>
      </c>
    </row>
    <row r="29" spans="2:15" x14ac:dyDescent="0.25">
      <c r="B29" s="78"/>
      <c r="C29" s="4">
        <v>21</v>
      </c>
      <c r="D29" s="50">
        <v>94.5</v>
      </c>
      <c r="E29" s="50">
        <v>94.5</v>
      </c>
      <c r="F29" s="50">
        <v>94.5</v>
      </c>
      <c r="G29" s="50">
        <v>94.5</v>
      </c>
      <c r="H29" s="50">
        <v>94.5</v>
      </c>
      <c r="I29" s="50">
        <v>94.5</v>
      </c>
      <c r="J29" s="50">
        <v>94.5</v>
      </c>
      <c r="K29" s="50">
        <v>94.5</v>
      </c>
      <c r="L29" s="50">
        <v>94.5</v>
      </c>
      <c r="M29" s="50">
        <v>94.5</v>
      </c>
      <c r="N29" s="50">
        <v>94.5</v>
      </c>
      <c r="O29" s="50">
        <v>94.5</v>
      </c>
    </row>
    <row r="30" spans="2:15" x14ac:dyDescent="0.25">
      <c r="B30" s="77" t="s">
        <v>2</v>
      </c>
      <c r="C30" s="4">
        <v>22</v>
      </c>
      <c r="D30" s="50">
        <v>94.5</v>
      </c>
      <c r="E30" s="50">
        <v>94.5</v>
      </c>
      <c r="F30" s="50">
        <v>94.5</v>
      </c>
      <c r="G30" s="50">
        <v>94.5</v>
      </c>
      <c r="H30" s="50">
        <v>94.5</v>
      </c>
      <c r="I30" s="50">
        <v>94.5</v>
      </c>
      <c r="J30" s="50">
        <v>94.5</v>
      </c>
      <c r="K30" s="50">
        <v>94.5</v>
      </c>
      <c r="L30" s="50">
        <v>94.5</v>
      </c>
      <c r="M30" s="50">
        <v>94.5</v>
      </c>
      <c r="N30" s="50">
        <v>94.5</v>
      </c>
      <c r="O30" s="50">
        <v>94.5</v>
      </c>
    </row>
    <row r="31" spans="2:15" ht="16.149999999999999" customHeight="1" x14ac:dyDescent="0.25">
      <c r="B31" s="78"/>
      <c r="C31" s="4">
        <v>23</v>
      </c>
      <c r="D31" s="50">
        <v>94.5</v>
      </c>
      <c r="E31" s="50">
        <v>94.5</v>
      </c>
      <c r="F31" s="50">
        <v>94.5</v>
      </c>
      <c r="G31" s="50">
        <v>94.5</v>
      </c>
      <c r="H31" s="50">
        <v>94.5</v>
      </c>
      <c r="I31" s="50">
        <v>94.5</v>
      </c>
      <c r="J31" s="50">
        <v>94.5</v>
      </c>
      <c r="K31" s="50">
        <v>94.5</v>
      </c>
      <c r="L31" s="50">
        <v>94.5</v>
      </c>
      <c r="M31" s="50">
        <v>94.5</v>
      </c>
      <c r="N31" s="50">
        <v>94.5</v>
      </c>
      <c r="O31" s="50">
        <v>94.5</v>
      </c>
    </row>
    <row r="32" spans="2:15" x14ac:dyDescent="0.25">
      <c r="B32" s="36" t="s">
        <v>1</v>
      </c>
      <c r="C32" s="37">
        <v>24</v>
      </c>
      <c r="D32" s="50">
        <v>94.5</v>
      </c>
      <c r="E32" s="50">
        <v>94.5</v>
      </c>
      <c r="F32" s="50">
        <v>94.5</v>
      </c>
      <c r="G32" s="50">
        <v>94.5</v>
      </c>
      <c r="H32" s="50">
        <v>94.5</v>
      </c>
      <c r="I32" s="50">
        <v>94.5</v>
      </c>
      <c r="J32" s="50">
        <v>94.5</v>
      </c>
      <c r="K32" s="50">
        <v>94.5</v>
      </c>
      <c r="L32" s="50">
        <v>94.5</v>
      </c>
      <c r="M32" s="50">
        <v>94.5</v>
      </c>
      <c r="N32" s="50">
        <v>94.5</v>
      </c>
      <c r="O32" s="50">
        <v>94.5</v>
      </c>
    </row>
    <row r="33" spans="2:16" x14ac:dyDescent="0.25">
      <c r="B33" s="88" t="s">
        <v>8</v>
      </c>
      <c r="C33" s="88"/>
      <c r="D33" s="5">
        <v>31</v>
      </c>
      <c r="E33" s="4">
        <v>29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7" t="s">
        <v>125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</row>
    <row r="35" spans="2:16" x14ac:dyDescent="0.25">
      <c r="B35" s="88" t="s">
        <v>1</v>
      </c>
      <c r="C35" s="88"/>
      <c r="D35" s="41">
        <f t="shared" ref="D35:G35" si="0">(SUM(D9:D12)+D32)</f>
        <v>472.5</v>
      </c>
      <c r="E35" s="41">
        <f t="shared" si="0"/>
        <v>472.5</v>
      </c>
      <c r="F35" s="41">
        <f t="shared" si="0"/>
        <v>472.5</v>
      </c>
      <c r="G35" s="41">
        <f t="shared" si="0"/>
        <v>472.5</v>
      </c>
      <c r="H35" s="41">
        <f t="shared" ref="H35:O35" si="1">(SUM(H9:H12)+H32)</f>
        <v>472.5</v>
      </c>
      <c r="I35" s="41">
        <f t="shared" si="1"/>
        <v>472.5</v>
      </c>
      <c r="J35" s="41">
        <f t="shared" si="1"/>
        <v>472.5</v>
      </c>
      <c r="K35" s="41">
        <f t="shared" si="1"/>
        <v>472.5</v>
      </c>
      <c r="L35" s="41">
        <f t="shared" si="1"/>
        <v>472.5</v>
      </c>
      <c r="M35" s="41">
        <f t="shared" si="1"/>
        <v>472.5</v>
      </c>
      <c r="N35" s="41">
        <f t="shared" si="1"/>
        <v>472.5</v>
      </c>
      <c r="O35" s="41">
        <f t="shared" si="1"/>
        <v>472.5</v>
      </c>
    </row>
    <row r="36" spans="2:16" x14ac:dyDescent="0.25">
      <c r="B36" s="88" t="s">
        <v>2</v>
      </c>
      <c r="C36" s="88"/>
      <c r="D36" s="41">
        <f t="shared" ref="D36:G36" si="2">(SUM(D13:D17)+SUM(D21:D26)+D30+D31)</f>
        <v>1228.5</v>
      </c>
      <c r="E36" s="41">
        <f t="shared" si="2"/>
        <v>1228.5</v>
      </c>
      <c r="F36" s="41">
        <f t="shared" si="2"/>
        <v>1228.5</v>
      </c>
      <c r="G36" s="41">
        <f t="shared" si="2"/>
        <v>1228.5</v>
      </c>
      <c r="H36" s="41">
        <f t="shared" ref="H36:O36" si="3">(SUM(H13:H17)+SUM(H21:H26)+H30+H31)</f>
        <v>1228.5</v>
      </c>
      <c r="I36" s="41">
        <f t="shared" si="3"/>
        <v>1228.5</v>
      </c>
      <c r="J36" s="41">
        <f t="shared" si="3"/>
        <v>1228.5</v>
      </c>
      <c r="K36" s="41">
        <f t="shared" si="3"/>
        <v>1228.5</v>
      </c>
      <c r="L36" s="41">
        <f t="shared" si="3"/>
        <v>1228.5</v>
      </c>
      <c r="M36" s="41">
        <f t="shared" si="3"/>
        <v>1228.5</v>
      </c>
      <c r="N36" s="41">
        <f t="shared" si="3"/>
        <v>1228.5</v>
      </c>
      <c r="O36" s="41">
        <f t="shared" si="3"/>
        <v>1228.5</v>
      </c>
    </row>
    <row r="37" spans="2:16" x14ac:dyDescent="0.25">
      <c r="B37" s="88" t="s">
        <v>3</v>
      </c>
      <c r="C37" s="88"/>
      <c r="D37" s="41">
        <f t="shared" ref="D37:G37" si="4">(SUM(D18:D20)+SUM(D27:D29))</f>
        <v>567</v>
      </c>
      <c r="E37" s="41">
        <f t="shared" si="4"/>
        <v>567</v>
      </c>
      <c r="F37" s="41">
        <f t="shared" si="4"/>
        <v>567</v>
      </c>
      <c r="G37" s="41">
        <f t="shared" si="4"/>
        <v>567</v>
      </c>
      <c r="H37" s="41">
        <f t="shared" ref="H37:O37" si="5">(SUM(H18:H20)+SUM(H27:H29))</f>
        <v>567</v>
      </c>
      <c r="I37" s="41">
        <f t="shared" si="5"/>
        <v>567</v>
      </c>
      <c r="J37" s="41">
        <f t="shared" si="5"/>
        <v>567</v>
      </c>
      <c r="K37" s="41">
        <f t="shared" si="5"/>
        <v>567</v>
      </c>
      <c r="L37" s="41">
        <f t="shared" si="5"/>
        <v>567</v>
      </c>
      <c r="M37" s="41">
        <f t="shared" si="5"/>
        <v>567</v>
      </c>
      <c r="N37" s="41">
        <f t="shared" si="5"/>
        <v>567</v>
      </c>
      <c r="O37" s="41">
        <f t="shared" si="5"/>
        <v>567</v>
      </c>
    </row>
    <row r="38" spans="2:16" x14ac:dyDescent="0.25">
      <c r="B38" s="85" t="s">
        <v>9</v>
      </c>
      <c r="C38" s="86"/>
      <c r="D38" s="41">
        <f t="shared" ref="D38:O38" si="6">D35*D33</f>
        <v>14647.5</v>
      </c>
      <c r="E38" s="41">
        <f t="shared" si="6"/>
        <v>13702.5</v>
      </c>
      <c r="F38" s="41">
        <f t="shared" si="6"/>
        <v>14647.5</v>
      </c>
      <c r="G38" s="41">
        <f t="shared" si="6"/>
        <v>14175</v>
      </c>
      <c r="H38" s="41">
        <f t="shared" si="6"/>
        <v>14647.5</v>
      </c>
      <c r="I38" s="41">
        <f t="shared" si="6"/>
        <v>14175</v>
      </c>
      <c r="J38" s="41">
        <f t="shared" si="6"/>
        <v>14647.5</v>
      </c>
      <c r="K38" s="41">
        <f t="shared" si="6"/>
        <v>14647.5</v>
      </c>
      <c r="L38" s="41">
        <f t="shared" si="6"/>
        <v>14175</v>
      </c>
      <c r="M38" s="41">
        <f t="shared" si="6"/>
        <v>14647.5</v>
      </c>
      <c r="N38" s="41">
        <f t="shared" si="6"/>
        <v>14175</v>
      </c>
      <c r="O38" s="41">
        <f t="shared" si="6"/>
        <v>14647.5</v>
      </c>
    </row>
    <row r="39" spans="2:16" x14ac:dyDescent="0.25">
      <c r="B39" s="85" t="s">
        <v>10</v>
      </c>
      <c r="C39" s="86"/>
      <c r="D39" s="41">
        <f t="shared" ref="D39:O39" si="7">D33*D36</f>
        <v>38083.5</v>
      </c>
      <c r="E39" s="41">
        <f t="shared" si="7"/>
        <v>35626.5</v>
      </c>
      <c r="F39" s="41">
        <f t="shared" si="7"/>
        <v>38083.5</v>
      </c>
      <c r="G39" s="41">
        <f t="shared" si="7"/>
        <v>36855</v>
      </c>
      <c r="H39" s="41">
        <f t="shared" si="7"/>
        <v>38083.5</v>
      </c>
      <c r="I39" s="41">
        <f t="shared" si="7"/>
        <v>36855</v>
      </c>
      <c r="J39" s="41">
        <f t="shared" si="7"/>
        <v>38083.5</v>
      </c>
      <c r="K39" s="41">
        <f t="shared" si="7"/>
        <v>38083.5</v>
      </c>
      <c r="L39" s="41">
        <f t="shared" si="7"/>
        <v>36855</v>
      </c>
      <c r="M39" s="41">
        <f t="shared" si="7"/>
        <v>38083.5</v>
      </c>
      <c r="N39" s="41">
        <f t="shared" si="7"/>
        <v>36855</v>
      </c>
      <c r="O39" s="41">
        <f t="shared" si="7"/>
        <v>38083.5</v>
      </c>
    </row>
    <row r="40" spans="2:16" x14ac:dyDescent="0.25">
      <c r="B40" s="85" t="s">
        <v>11</v>
      </c>
      <c r="C40" s="86"/>
      <c r="D40" s="41">
        <f t="shared" ref="D40:O40" si="8">D33*D37</f>
        <v>17577</v>
      </c>
      <c r="E40" s="41">
        <f t="shared" si="8"/>
        <v>16443</v>
      </c>
      <c r="F40" s="41">
        <f t="shared" si="8"/>
        <v>17577</v>
      </c>
      <c r="G40" s="41">
        <f t="shared" si="8"/>
        <v>17010</v>
      </c>
      <c r="H40" s="41">
        <f t="shared" si="8"/>
        <v>17577</v>
      </c>
      <c r="I40" s="41">
        <f t="shared" si="8"/>
        <v>17010</v>
      </c>
      <c r="J40" s="41">
        <f t="shared" si="8"/>
        <v>17577</v>
      </c>
      <c r="K40" s="41">
        <f t="shared" si="8"/>
        <v>17577</v>
      </c>
      <c r="L40" s="41">
        <f t="shared" si="8"/>
        <v>17010</v>
      </c>
      <c r="M40" s="41">
        <f t="shared" si="8"/>
        <v>17577</v>
      </c>
      <c r="N40" s="41">
        <f t="shared" si="8"/>
        <v>17010</v>
      </c>
      <c r="O40" s="41">
        <f t="shared" si="8"/>
        <v>17577</v>
      </c>
    </row>
    <row r="41" spans="2:16" x14ac:dyDescent="0.25">
      <c r="B41" s="81" t="s">
        <v>12</v>
      </c>
      <c r="C41" s="82"/>
      <c r="D41" s="51">
        <f t="shared" ref="D41:O41" si="9">D40+D39+D38</f>
        <v>70308</v>
      </c>
      <c r="E41" s="51">
        <f t="shared" si="9"/>
        <v>65772</v>
      </c>
      <c r="F41" s="51">
        <f t="shared" si="9"/>
        <v>70308</v>
      </c>
      <c r="G41" s="51">
        <f t="shared" si="9"/>
        <v>68040</v>
      </c>
      <c r="H41" s="51">
        <f t="shared" si="9"/>
        <v>70308</v>
      </c>
      <c r="I41" s="51">
        <f t="shared" si="9"/>
        <v>68040</v>
      </c>
      <c r="J41" s="51">
        <f t="shared" si="9"/>
        <v>70308</v>
      </c>
      <c r="K41" s="51">
        <f t="shared" si="9"/>
        <v>70308</v>
      </c>
      <c r="L41" s="51">
        <f t="shared" si="9"/>
        <v>68040</v>
      </c>
      <c r="M41" s="51">
        <f t="shared" si="9"/>
        <v>70308</v>
      </c>
      <c r="N41" s="51">
        <f t="shared" si="9"/>
        <v>68040</v>
      </c>
      <c r="O41" s="51">
        <f t="shared" si="9"/>
        <v>70308</v>
      </c>
      <c r="P41" s="52">
        <f>SUM(D41:O41)</f>
        <v>830088</v>
      </c>
    </row>
    <row r="42" spans="2:16" x14ac:dyDescent="0.25">
      <c r="D42" s="3">
        <v>49675</v>
      </c>
      <c r="E42" s="3">
        <v>49706</v>
      </c>
      <c r="F42" s="3">
        <v>49735</v>
      </c>
      <c r="G42" s="3">
        <v>49766</v>
      </c>
      <c r="H42" s="3">
        <v>49796</v>
      </c>
      <c r="I42" s="3">
        <v>49827</v>
      </c>
      <c r="J42" s="3">
        <v>49857</v>
      </c>
      <c r="K42" s="3">
        <v>49888</v>
      </c>
      <c r="L42" s="3">
        <v>49919</v>
      </c>
      <c r="M42" s="3">
        <v>49949</v>
      </c>
      <c r="N42" s="3">
        <v>49980</v>
      </c>
      <c r="O42" s="3">
        <v>50010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A95F-D704-4E53-A990-A3508049B49A}">
  <dimension ref="B1:N44"/>
  <sheetViews>
    <sheetView topLeftCell="A7" zoomScale="80" zoomScaleNormal="80" workbookViewId="0">
      <selection activeCell="N41" sqref="N41"/>
    </sheetView>
  </sheetViews>
  <sheetFormatPr baseColWidth="10" defaultColWidth="11.42578125" defaultRowHeight="15" x14ac:dyDescent="0.25"/>
  <cols>
    <col min="1" max="1" width="11.42578125" style="1"/>
    <col min="2" max="2" width="8.7109375" style="1" bestFit="1" customWidth="1"/>
    <col min="3" max="3" width="5.140625" style="1" bestFit="1" customWidth="1"/>
    <col min="4" max="13" width="9.85546875" style="1" bestFit="1" customWidth="1"/>
    <col min="14" max="14" width="12" style="1" bestFit="1" customWidth="1"/>
    <col min="15" max="16384" width="11.42578125" style="1"/>
  </cols>
  <sheetData>
    <row r="1" spans="2:13" x14ac:dyDescent="0.25">
      <c r="C1" s="80" t="s">
        <v>6</v>
      </c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2:13" x14ac:dyDescent="0.25">
      <c r="C2" s="80" t="s">
        <v>126</v>
      </c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2:13" x14ac:dyDescent="0.25">
      <c r="C3" s="80" t="s">
        <v>134</v>
      </c>
      <c r="D3" s="80"/>
      <c r="E3" s="80"/>
      <c r="F3" s="80"/>
      <c r="G3" s="80"/>
      <c r="H3" s="80"/>
      <c r="I3" s="80"/>
      <c r="J3" s="80"/>
      <c r="K3" s="80"/>
      <c r="L3" s="80"/>
      <c r="M3" s="80"/>
    </row>
    <row r="4" spans="2:13" x14ac:dyDescent="0.25">
      <c r="C4" s="80" t="s">
        <v>135</v>
      </c>
      <c r="D4" s="80"/>
      <c r="E4" s="80"/>
      <c r="F4" s="80"/>
      <c r="G4" s="80"/>
      <c r="H4" s="80"/>
      <c r="I4" s="80"/>
      <c r="J4" s="80"/>
      <c r="K4" s="80"/>
      <c r="L4" s="80"/>
      <c r="M4" s="80"/>
    </row>
    <row r="5" spans="2:13" x14ac:dyDescent="0.25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2:13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5" customHeight="1" x14ac:dyDescent="0.25">
      <c r="B7" s="79" t="s">
        <v>127</v>
      </c>
      <c r="C7" s="79" t="s">
        <v>7</v>
      </c>
      <c r="D7" s="79" t="s">
        <v>136</v>
      </c>
      <c r="E7" s="79"/>
      <c r="F7" s="79"/>
      <c r="G7" s="79"/>
      <c r="H7" s="79"/>
      <c r="I7" s="79"/>
      <c r="J7" s="79"/>
      <c r="K7" s="79"/>
      <c r="L7" s="79"/>
      <c r="M7" s="79"/>
    </row>
    <row r="8" spans="2:13" ht="15.75" thickBot="1" x14ac:dyDescent="0.3">
      <c r="B8" s="89"/>
      <c r="C8" s="89"/>
      <c r="D8" s="53">
        <v>2027</v>
      </c>
      <c r="E8" s="53">
        <v>2028</v>
      </c>
      <c r="F8" s="53">
        <v>2029</v>
      </c>
      <c r="G8" s="53">
        <v>2030</v>
      </c>
      <c r="H8" s="53">
        <v>2031</v>
      </c>
      <c r="I8" s="53">
        <v>2032</v>
      </c>
      <c r="J8" s="53">
        <v>2033</v>
      </c>
      <c r="K8" s="53">
        <v>2034</v>
      </c>
      <c r="L8" s="53">
        <v>2035</v>
      </c>
      <c r="M8" s="53">
        <v>2036</v>
      </c>
    </row>
    <row r="9" spans="2:13" ht="14.45" customHeight="1" x14ac:dyDescent="0.25">
      <c r="B9" s="90" t="s">
        <v>128</v>
      </c>
      <c r="C9" s="54">
        <v>1</v>
      </c>
      <c r="D9" s="55">
        <v>2.8</v>
      </c>
      <c r="E9" s="55">
        <v>2.8</v>
      </c>
      <c r="F9" s="55">
        <v>2.8</v>
      </c>
      <c r="G9" s="55">
        <v>2.8</v>
      </c>
      <c r="H9" s="55">
        <v>2.8</v>
      </c>
      <c r="I9" s="55">
        <v>2.8</v>
      </c>
      <c r="J9" s="55">
        <v>2.8</v>
      </c>
      <c r="K9" s="55">
        <v>2.8</v>
      </c>
      <c r="L9" s="55">
        <v>2.8</v>
      </c>
      <c r="M9" s="56">
        <v>2.8</v>
      </c>
    </row>
    <row r="10" spans="2:13" x14ac:dyDescent="0.25">
      <c r="B10" s="91"/>
      <c r="C10" s="57">
        <v>2</v>
      </c>
      <c r="D10" s="50">
        <v>2.8</v>
      </c>
      <c r="E10" s="50">
        <v>2.8</v>
      </c>
      <c r="F10" s="50">
        <v>2.8</v>
      </c>
      <c r="G10" s="50">
        <v>2.8</v>
      </c>
      <c r="H10" s="50">
        <v>2.8</v>
      </c>
      <c r="I10" s="50">
        <v>2.8</v>
      </c>
      <c r="J10" s="50">
        <v>2.8</v>
      </c>
      <c r="K10" s="50">
        <v>2.8</v>
      </c>
      <c r="L10" s="50">
        <v>2.8</v>
      </c>
      <c r="M10" s="58">
        <v>2.8</v>
      </c>
    </row>
    <row r="11" spans="2:13" x14ac:dyDescent="0.25">
      <c r="B11" s="91"/>
      <c r="C11" s="57">
        <v>3</v>
      </c>
      <c r="D11" s="50">
        <v>2.8</v>
      </c>
      <c r="E11" s="50">
        <v>2.8</v>
      </c>
      <c r="F11" s="50">
        <v>2.8</v>
      </c>
      <c r="G11" s="50">
        <v>2.8</v>
      </c>
      <c r="H11" s="50">
        <v>2.8</v>
      </c>
      <c r="I11" s="50">
        <v>2.8</v>
      </c>
      <c r="J11" s="50">
        <v>2.8</v>
      </c>
      <c r="K11" s="50">
        <v>2.8</v>
      </c>
      <c r="L11" s="50">
        <v>2.8</v>
      </c>
      <c r="M11" s="58">
        <v>2.8</v>
      </c>
    </row>
    <row r="12" spans="2:13" x14ac:dyDescent="0.25">
      <c r="B12" s="91"/>
      <c r="C12" s="57">
        <v>4</v>
      </c>
      <c r="D12" s="50">
        <v>2.8</v>
      </c>
      <c r="E12" s="50">
        <v>2.8</v>
      </c>
      <c r="F12" s="50">
        <v>2.8</v>
      </c>
      <c r="G12" s="50">
        <v>2.8</v>
      </c>
      <c r="H12" s="50">
        <v>2.8</v>
      </c>
      <c r="I12" s="50">
        <v>2.8</v>
      </c>
      <c r="J12" s="50">
        <v>2.8</v>
      </c>
      <c r="K12" s="50">
        <v>2.8</v>
      </c>
      <c r="L12" s="50">
        <v>2.8</v>
      </c>
      <c r="M12" s="58">
        <v>2.8</v>
      </c>
    </row>
    <row r="13" spans="2:13" ht="14.45" customHeight="1" x14ac:dyDescent="0.25">
      <c r="B13" s="91"/>
      <c r="C13" s="57">
        <v>5</v>
      </c>
      <c r="D13" s="50">
        <v>2.8</v>
      </c>
      <c r="E13" s="50">
        <v>2.8</v>
      </c>
      <c r="F13" s="50">
        <v>2.8</v>
      </c>
      <c r="G13" s="50">
        <v>2.8</v>
      </c>
      <c r="H13" s="50">
        <v>2.8</v>
      </c>
      <c r="I13" s="50">
        <v>2.8</v>
      </c>
      <c r="J13" s="50">
        <v>2.8</v>
      </c>
      <c r="K13" s="50">
        <v>2.8</v>
      </c>
      <c r="L13" s="50">
        <v>2.8</v>
      </c>
      <c r="M13" s="58">
        <v>2.8</v>
      </c>
    </row>
    <row r="14" spans="2:13" x14ac:dyDescent="0.25">
      <c r="B14" s="91"/>
      <c r="C14" s="57">
        <v>6</v>
      </c>
      <c r="D14" s="50">
        <v>2.8</v>
      </c>
      <c r="E14" s="50">
        <v>2.8</v>
      </c>
      <c r="F14" s="50">
        <v>2.8</v>
      </c>
      <c r="G14" s="50">
        <v>2.8</v>
      </c>
      <c r="H14" s="50">
        <v>2.8</v>
      </c>
      <c r="I14" s="50">
        <v>2.8</v>
      </c>
      <c r="J14" s="50">
        <v>2.8</v>
      </c>
      <c r="K14" s="50">
        <v>2.8</v>
      </c>
      <c r="L14" s="50">
        <v>2.8</v>
      </c>
      <c r="M14" s="58">
        <v>2.8</v>
      </c>
    </row>
    <row r="15" spans="2:13" ht="15.75" thickBot="1" x14ac:dyDescent="0.3">
      <c r="B15" s="92"/>
      <c r="C15" s="59">
        <v>7</v>
      </c>
      <c r="D15" s="60">
        <v>2.8</v>
      </c>
      <c r="E15" s="60">
        <v>2.8</v>
      </c>
      <c r="F15" s="60">
        <v>2.8</v>
      </c>
      <c r="G15" s="60">
        <v>2.8</v>
      </c>
      <c r="H15" s="60">
        <v>2.8</v>
      </c>
      <c r="I15" s="60">
        <v>2.8</v>
      </c>
      <c r="J15" s="60">
        <v>2.8</v>
      </c>
      <c r="K15" s="60">
        <v>2.8</v>
      </c>
      <c r="L15" s="60">
        <v>2.8</v>
      </c>
      <c r="M15" s="61">
        <v>2.8</v>
      </c>
    </row>
    <row r="16" spans="2:13" ht="14.45" customHeight="1" x14ac:dyDescent="0.25">
      <c r="B16" s="93" t="s">
        <v>129</v>
      </c>
      <c r="C16" s="62">
        <v>8</v>
      </c>
      <c r="D16" s="55">
        <v>2.8</v>
      </c>
      <c r="E16" s="55">
        <v>2.8</v>
      </c>
      <c r="F16" s="55">
        <v>2.8</v>
      </c>
      <c r="G16" s="55">
        <v>2.8</v>
      </c>
      <c r="H16" s="55">
        <v>2.8</v>
      </c>
      <c r="I16" s="55">
        <v>2.8</v>
      </c>
      <c r="J16" s="55">
        <v>2.8</v>
      </c>
      <c r="K16" s="55">
        <v>2.8</v>
      </c>
      <c r="L16" s="55">
        <v>2.8</v>
      </c>
      <c r="M16" s="56">
        <v>2.8</v>
      </c>
    </row>
    <row r="17" spans="2:13" x14ac:dyDescent="0.25">
      <c r="B17" s="94"/>
      <c r="C17" s="63">
        <v>9</v>
      </c>
      <c r="D17" s="50">
        <v>2.8</v>
      </c>
      <c r="E17" s="50">
        <v>2.8</v>
      </c>
      <c r="F17" s="50">
        <v>2.8</v>
      </c>
      <c r="G17" s="50">
        <v>2.8</v>
      </c>
      <c r="H17" s="50">
        <v>2.8</v>
      </c>
      <c r="I17" s="50">
        <v>2.8</v>
      </c>
      <c r="J17" s="50">
        <v>2.8</v>
      </c>
      <c r="K17" s="50">
        <v>2.8</v>
      </c>
      <c r="L17" s="50">
        <v>2.8</v>
      </c>
      <c r="M17" s="58">
        <v>2.8</v>
      </c>
    </row>
    <row r="18" spans="2:13" ht="14.45" customHeight="1" x14ac:dyDescent="0.25">
      <c r="B18" s="94"/>
      <c r="C18" s="63">
        <v>10</v>
      </c>
      <c r="D18" s="50">
        <v>2.8</v>
      </c>
      <c r="E18" s="50">
        <v>2.8</v>
      </c>
      <c r="F18" s="50">
        <v>2.8</v>
      </c>
      <c r="G18" s="50">
        <v>2.8</v>
      </c>
      <c r="H18" s="50">
        <v>2.8</v>
      </c>
      <c r="I18" s="50">
        <v>2.8</v>
      </c>
      <c r="J18" s="50">
        <v>2.8</v>
      </c>
      <c r="K18" s="50">
        <v>2.8</v>
      </c>
      <c r="L18" s="50">
        <v>2.8</v>
      </c>
      <c r="M18" s="58">
        <v>2.8</v>
      </c>
    </row>
    <row r="19" spans="2:13" x14ac:dyDescent="0.25">
      <c r="B19" s="94"/>
      <c r="C19" s="63">
        <v>11</v>
      </c>
      <c r="D19" s="50">
        <v>2.8</v>
      </c>
      <c r="E19" s="50">
        <v>2.8</v>
      </c>
      <c r="F19" s="50">
        <v>2.8</v>
      </c>
      <c r="G19" s="50">
        <v>2.8</v>
      </c>
      <c r="H19" s="50">
        <v>2.8</v>
      </c>
      <c r="I19" s="50">
        <v>2.8</v>
      </c>
      <c r="J19" s="50">
        <v>2.8</v>
      </c>
      <c r="K19" s="50">
        <v>2.8</v>
      </c>
      <c r="L19" s="50">
        <v>2.8</v>
      </c>
      <c r="M19" s="58">
        <v>2.8</v>
      </c>
    </row>
    <row r="20" spans="2:13" x14ac:dyDescent="0.25">
      <c r="B20" s="94"/>
      <c r="C20" s="63">
        <v>12</v>
      </c>
      <c r="D20" s="50">
        <v>2.8</v>
      </c>
      <c r="E20" s="50">
        <v>2.8</v>
      </c>
      <c r="F20" s="50">
        <v>2.8</v>
      </c>
      <c r="G20" s="50">
        <v>2.8</v>
      </c>
      <c r="H20" s="50">
        <v>2.8</v>
      </c>
      <c r="I20" s="50">
        <v>2.8</v>
      </c>
      <c r="J20" s="50">
        <v>2.8</v>
      </c>
      <c r="K20" s="50">
        <v>2.8</v>
      </c>
      <c r="L20" s="50">
        <v>2.8</v>
      </c>
      <c r="M20" s="58">
        <v>2.8</v>
      </c>
    </row>
    <row r="21" spans="2:13" ht="14.45" customHeight="1" x14ac:dyDescent="0.25">
      <c r="B21" s="94"/>
      <c r="C21" s="63">
        <v>13</v>
      </c>
      <c r="D21" s="50">
        <v>2.8</v>
      </c>
      <c r="E21" s="50">
        <v>2.8</v>
      </c>
      <c r="F21" s="50">
        <v>2.8</v>
      </c>
      <c r="G21" s="50">
        <v>2.8</v>
      </c>
      <c r="H21" s="50">
        <v>2.8</v>
      </c>
      <c r="I21" s="50">
        <v>2.8</v>
      </c>
      <c r="J21" s="50">
        <v>2.8</v>
      </c>
      <c r="K21" s="50">
        <v>2.8</v>
      </c>
      <c r="L21" s="50">
        <v>2.8</v>
      </c>
      <c r="M21" s="58">
        <v>2.8</v>
      </c>
    </row>
    <row r="22" spans="2:13" x14ac:dyDescent="0.25">
      <c r="B22" s="94"/>
      <c r="C22" s="63">
        <v>14</v>
      </c>
      <c r="D22" s="50">
        <v>2.8</v>
      </c>
      <c r="E22" s="50">
        <v>2.8</v>
      </c>
      <c r="F22" s="50">
        <v>2.8</v>
      </c>
      <c r="G22" s="50">
        <v>2.8</v>
      </c>
      <c r="H22" s="50">
        <v>2.8</v>
      </c>
      <c r="I22" s="50">
        <v>2.8</v>
      </c>
      <c r="J22" s="50">
        <v>2.8</v>
      </c>
      <c r="K22" s="50">
        <v>2.8</v>
      </c>
      <c r="L22" s="50">
        <v>2.8</v>
      </c>
      <c r="M22" s="58">
        <v>2.8</v>
      </c>
    </row>
    <row r="23" spans="2:13" x14ac:dyDescent="0.25">
      <c r="B23" s="94"/>
      <c r="C23" s="63">
        <v>15</v>
      </c>
      <c r="D23" s="50">
        <v>2.8</v>
      </c>
      <c r="E23" s="50">
        <v>2.8</v>
      </c>
      <c r="F23" s="50">
        <v>2.8</v>
      </c>
      <c r="G23" s="50">
        <v>2.8</v>
      </c>
      <c r="H23" s="50">
        <v>2.8</v>
      </c>
      <c r="I23" s="50">
        <v>2.8</v>
      </c>
      <c r="J23" s="50">
        <v>2.8</v>
      </c>
      <c r="K23" s="50">
        <v>2.8</v>
      </c>
      <c r="L23" s="50">
        <v>2.8</v>
      </c>
      <c r="M23" s="58">
        <v>2.8</v>
      </c>
    </row>
    <row r="24" spans="2:13" x14ac:dyDescent="0.25">
      <c r="B24" s="94"/>
      <c r="C24" s="63">
        <v>16</v>
      </c>
      <c r="D24" s="50">
        <v>2.8</v>
      </c>
      <c r="E24" s="50">
        <v>2.8</v>
      </c>
      <c r="F24" s="50">
        <v>2.8</v>
      </c>
      <c r="G24" s="50">
        <v>2.8</v>
      </c>
      <c r="H24" s="50">
        <v>2.8</v>
      </c>
      <c r="I24" s="50">
        <v>2.8</v>
      </c>
      <c r="J24" s="50">
        <v>2.8</v>
      </c>
      <c r="K24" s="50">
        <v>2.8</v>
      </c>
      <c r="L24" s="50">
        <v>2.8</v>
      </c>
      <c r="M24" s="58">
        <v>2.8</v>
      </c>
    </row>
    <row r="25" spans="2:13" ht="15.75" thickBot="1" x14ac:dyDescent="0.3">
      <c r="B25" s="95"/>
      <c r="C25" s="64">
        <v>17</v>
      </c>
      <c r="D25" s="60">
        <v>2.8</v>
      </c>
      <c r="E25" s="60">
        <v>2.8</v>
      </c>
      <c r="F25" s="60">
        <v>2.8</v>
      </c>
      <c r="G25" s="60">
        <v>2.8</v>
      </c>
      <c r="H25" s="60">
        <v>2.8</v>
      </c>
      <c r="I25" s="60">
        <v>2.8</v>
      </c>
      <c r="J25" s="60">
        <v>2.8</v>
      </c>
      <c r="K25" s="60">
        <v>2.8</v>
      </c>
      <c r="L25" s="60">
        <v>2.8</v>
      </c>
      <c r="M25" s="61">
        <v>2.8</v>
      </c>
    </row>
    <row r="26" spans="2:13" ht="14.45" customHeight="1" x14ac:dyDescent="0.25">
      <c r="B26" s="93" t="s">
        <v>130</v>
      </c>
      <c r="C26" s="62">
        <v>18</v>
      </c>
      <c r="D26" s="55">
        <v>2.8</v>
      </c>
      <c r="E26" s="55">
        <v>2.8</v>
      </c>
      <c r="F26" s="55">
        <v>2.8</v>
      </c>
      <c r="G26" s="55">
        <v>2.8</v>
      </c>
      <c r="H26" s="55">
        <v>2.8</v>
      </c>
      <c r="I26" s="55">
        <v>2.8</v>
      </c>
      <c r="J26" s="55">
        <v>2.8</v>
      </c>
      <c r="K26" s="55">
        <v>2.8</v>
      </c>
      <c r="L26" s="55">
        <v>2.8</v>
      </c>
      <c r="M26" s="56">
        <v>2.8</v>
      </c>
    </row>
    <row r="27" spans="2:13" ht="14.45" customHeight="1" x14ac:dyDescent="0.25">
      <c r="B27" s="94"/>
      <c r="C27" s="63">
        <v>19</v>
      </c>
      <c r="D27" s="50">
        <v>2.8</v>
      </c>
      <c r="E27" s="50">
        <v>2.8</v>
      </c>
      <c r="F27" s="50">
        <v>2.8</v>
      </c>
      <c r="G27" s="50">
        <v>2.8</v>
      </c>
      <c r="H27" s="50">
        <v>2.8</v>
      </c>
      <c r="I27" s="50">
        <v>2.8</v>
      </c>
      <c r="J27" s="50">
        <v>2.8</v>
      </c>
      <c r="K27" s="50">
        <v>2.8</v>
      </c>
      <c r="L27" s="50">
        <v>2.8</v>
      </c>
      <c r="M27" s="58">
        <v>2.8</v>
      </c>
    </row>
    <row r="28" spans="2:13" x14ac:dyDescent="0.25">
      <c r="B28" s="94"/>
      <c r="C28" s="63">
        <v>20</v>
      </c>
      <c r="D28" s="50">
        <v>2.8</v>
      </c>
      <c r="E28" s="50">
        <v>2.8</v>
      </c>
      <c r="F28" s="50">
        <v>2.8</v>
      </c>
      <c r="G28" s="50">
        <v>2.8</v>
      </c>
      <c r="H28" s="50">
        <v>2.8</v>
      </c>
      <c r="I28" s="50">
        <v>2.8</v>
      </c>
      <c r="J28" s="50">
        <v>2.8</v>
      </c>
      <c r="K28" s="50">
        <v>2.8</v>
      </c>
      <c r="L28" s="50">
        <v>2.8</v>
      </c>
      <c r="M28" s="58">
        <v>2.8</v>
      </c>
    </row>
    <row r="29" spans="2:13" x14ac:dyDescent="0.25">
      <c r="B29" s="94"/>
      <c r="C29" s="63">
        <v>21</v>
      </c>
      <c r="D29" s="50">
        <v>2.8</v>
      </c>
      <c r="E29" s="50">
        <v>2.8</v>
      </c>
      <c r="F29" s="50">
        <v>2.8</v>
      </c>
      <c r="G29" s="50">
        <v>2.8</v>
      </c>
      <c r="H29" s="50">
        <v>2.8</v>
      </c>
      <c r="I29" s="50">
        <v>2.8</v>
      </c>
      <c r="J29" s="50">
        <v>2.8</v>
      </c>
      <c r="K29" s="50">
        <v>2.8</v>
      </c>
      <c r="L29" s="50">
        <v>2.8</v>
      </c>
      <c r="M29" s="58">
        <v>2.8</v>
      </c>
    </row>
    <row r="30" spans="2:13" ht="14.45" customHeight="1" x14ac:dyDescent="0.25">
      <c r="B30" s="94"/>
      <c r="C30" s="63">
        <v>22</v>
      </c>
      <c r="D30" s="50">
        <v>2.8</v>
      </c>
      <c r="E30" s="50">
        <v>2.8</v>
      </c>
      <c r="F30" s="50">
        <v>2.8</v>
      </c>
      <c r="G30" s="50">
        <v>2.8</v>
      </c>
      <c r="H30" s="50">
        <v>2.8</v>
      </c>
      <c r="I30" s="50">
        <v>2.8</v>
      </c>
      <c r="J30" s="50">
        <v>2.8</v>
      </c>
      <c r="K30" s="50">
        <v>2.8</v>
      </c>
      <c r="L30" s="50">
        <v>2.8</v>
      </c>
      <c r="M30" s="58">
        <v>2.8</v>
      </c>
    </row>
    <row r="31" spans="2:13" x14ac:dyDescent="0.25">
      <c r="B31" s="94"/>
      <c r="C31" s="63">
        <v>23</v>
      </c>
      <c r="D31" s="50">
        <v>2.8</v>
      </c>
      <c r="E31" s="50">
        <v>2.8</v>
      </c>
      <c r="F31" s="50">
        <v>2.8</v>
      </c>
      <c r="G31" s="50">
        <v>2.8</v>
      </c>
      <c r="H31" s="50">
        <v>2.8</v>
      </c>
      <c r="I31" s="50">
        <v>2.8</v>
      </c>
      <c r="J31" s="50">
        <v>2.8</v>
      </c>
      <c r="K31" s="50">
        <v>2.8</v>
      </c>
      <c r="L31" s="50">
        <v>2.8</v>
      </c>
      <c r="M31" s="58">
        <v>2.8</v>
      </c>
    </row>
    <row r="32" spans="2:13" ht="15.75" thickBot="1" x14ac:dyDescent="0.3">
      <c r="B32" s="95"/>
      <c r="C32" s="64">
        <v>24</v>
      </c>
      <c r="D32" s="60">
        <v>2.8</v>
      </c>
      <c r="E32" s="60">
        <v>2.8</v>
      </c>
      <c r="F32" s="60">
        <v>2.8</v>
      </c>
      <c r="G32" s="60">
        <v>2.8</v>
      </c>
      <c r="H32" s="60">
        <v>2.8</v>
      </c>
      <c r="I32" s="60">
        <v>2.8</v>
      </c>
      <c r="J32" s="60">
        <v>2.8</v>
      </c>
      <c r="K32" s="60">
        <v>2.8</v>
      </c>
      <c r="L32" s="60">
        <v>2.8</v>
      </c>
      <c r="M32" s="61">
        <v>2.8</v>
      </c>
    </row>
    <row r="33" spans="2:14" x14ac:dyDescent="0.25">
      <c r="B33" s="96" t="s">
        <v>8</v>
      </c>
      <c r="C33" s="96"/>
      <c r="D33" s="65">
        <v>365</v>
      </c>
      <c r="E33" s="65">
        <v>366</v>
      </c>
      <c r="F33" s="65">
        <v>365</v>
      </c>
      <c r="G33" s="65">
        <v>365</v>
      </c>
      <c r="H33" s="65">
        <v>365</v>
      </c>
      <c r="I33" s="65">
        <v>366</v>
      </c>
      <c r="J33" s="65">
        <v>365</v>
      </c>
      <c r="K33" s="65">
        <v>365</v>
      </c>
      <c r="L33" s="65">
        <v>365</v>
      </c>
      <c r="M33" s="65">
        <v>366</v>
      </c>
    </row>
    <row r="34" spans="2:14" x14ac:dyDescent="0.25">
      <c r="B34" s="87" t="s">
        <v>137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</row>
    <row r="35" spans="2:14" x14ac:dyDescent="0.25">
      <c r="B35" s="87" t="s">
        <v>128</v>
      </c>
      <c r="C35" s="87"/>
      <c r="D35" s="51">
        <f t="shared" ref="D35:H35" si="0">SUM(D9:D15)</f>
        <v>19.600000000000001</v>
      </c>
      <c r="E35" s="51">
        <f t="shared" si="0"/>
        <v>19.600000000000001</v>
      </c>
      <c r="F35" s="51">
        <f t="shared" si="0"/>
        <v>19.600000000000001</v>
      </c>
      <c r="G35" s="51">
        <f t="shared" si="0"/>
        <v>19.600000000000001</v>
      </c>
      <c r="H35" s="51">
        <f t="shared" si="0"/>
        <v>19.600000000000001</v>
      </c>
      <c r="I35" s="51">
        <f t="shared" ref="I35:M35" si="1">SUM(I9:I15)</f>
        <v>19.600000000000001</v>
      </c>
      <c r="J35" s="51">
        <f t="shared" si="1"/>
        <v>19.600000000000001</v>
      </c>
      <c r="K35" s="51">
        <f t="shared" si="1"/>
        <v>19.600000000000001</v>
      </c>
      <c r="L35" s="51">
        <f t="shared" si="1"/>
        <v>19.600000000000001</v>
      </c>
      <c r="M35" s="51">
        <f t="shared" si="1"/>
        <v>19.600000000000001</v>
      </c>
    </row>
    <row r="36" spans="2:14" x14ac:dyDescent="0.25">
      <c r="B36" s="87" t="s">
        <v>129</v>
      </c>
      <c r="C36" s="87"/>
      <c r="D36" s="51">
        <f t="shared" ref="D36:M36" si="2">SUM(D16:D25)</f>
        <v>28.000000000000004</v>
      </c>
      <c r="E36" s="51">
        <f t="shared" si="2"/>
        <v>28.000000000000004</v>
      </c>
      <c r="F36" s="51">
        <f t="shared" si="2"/>
        <v>28.000000000000004</v>
      </c>
      <c r="G36" s="51">
        <f t="shared" si="2"/>
        <v>28.000000000000004</v>
      </c>
      <c r="H36" s="51">
        <f t="shared" si="2"/>
        <v>28.000000000000004</v>
      </c>
      <c r="I36" s="51">
        <f t="shared" si="2"/>
        <v>28.000000000000004</v>
      </c>
      <c r="J36" s="51">
        <f t="shared" si="2"/>
        <v>28.000000000000004</v>
      </c>
      <c r="K36" s="51">
        <f t="shared" si="2"/>
        <v>28.000000000000004</v>
      </c>
      <c r="L36" s="51">
        <f t="shared" si="2"/>
        <v>28.000000000000004</v>
      </c>
      <c r="M36" s="51">
        <f t="shared" si="2"/>
        <v>28.000000000000004</v>
      </c>
    </row>
    <row r="37" spans="2:14" x14ac:dyDescent="0.25">
      <c r="B37" s="87" t="s">
        <v>130</v>
      </c>
      <c r="C37" s="87"/>
      <c r="D37" s="51">
        <f t="shared" ref="D37:M37" si="3">SUM(D26:D32)</f>
        <v>19.600000000000001</v>
      </c>
      <c r="E37" s="51">
        <f t="shared" si="3"/>
        <v>19.600000000000001</v>
      </c>
      <c r="F37" s="51">
        <f t="shared" si="3"/>
        <v>19.600000000000001</v>
      </c>
      <c r="G37" s="51">
        <f t="shared" si="3"/>
        <v>19.600000000000001</v>
      </c>
      <c r="H37" s="51">
        <f t="shared" si="3"/>
        <v>19.600000000000001</v>
      </c>
      <c r="I37" s="51">
        <f t="shared" si="3"/>
        <v>19.600000000000001</v>
      </c>
      <c r="J37" s="51">
        <f t="shared" si="3"/>
        <v>19.600000000000001</v>
      </c>
      <c r="K37" s="51">
        <f t="shared" si="3"/>
        <v>19.600000000000001</v>
      </c>
      <c r="L37" s="51">
        <f t="shared" si="3"/>
        <v>19.600000000000001</v>
      </c>
      <c r="M37" s="51">
        <f t="shared" si="3"/>
        <v>19.600000000000001</v>
      </c>
    </row>
    <row r="38" spans="2:14" x14ac:dyDescent="0.25">
      <c r="B38" s="81" t="s">
        <v>131</v>
      </c>
      <c r="C38" s="82"/>
      <c r="D38" s="66">
        <f t="shared" ref="D38:M38" si="4">D35*D33</f>
        <v>7154.0000000000009</v>
      </c>
      <c r="E38" s="66">
        <f t="shared" si="4"/>
        <v>7173.6</v>
      </c>
      <c r="F38" s="66">
        <f t="shared" si="4"/>
        <v>7154.0000000000009</v>
      </c>
      <c r="G38" s="66">
        <f t="shared" si="4"/>
        <v>7154.0000000000009</v>
      </c>
      <c r="H38" s="66">
        <f t="shared" si="4"/>
        <v>7154.0000000000009</v>
      </c>
      <c r="I38" s="66">
        <f t="shared" si="4"/>
        <v>7173.6</v>
      </c>
      <c r="J38" s="66">
        <f t="shared" si="4"/>
        <v>7154.0000000000009</v>
      </c>
      <c r="K38" s="66">
        <f t="shared" si="4"/>
        <v>7154.0000000000009</v>
      </c>
      <c r="L38" s="66">
        <f t="shared" si="4"/>
        <v>7154.0000000000009</v>
      </c>
      <c r="M38" s="66">
        <f t="shared" si="4"/>
        <v>7173.6</v>
      </c>
    </row>
    <row r="39" spans="2:14" x14ac:dyDescent="0.25">
      <c r="B39" s="81" t="s">
        <v>132</v>
      </c>
      <c r="C39" s="82"/>
      <c r="D39" s="66">
        <f t="shared" ref="D39:M39" si="5">D33*D36</f>
        <v>10220.000000000002</v>
      </c>
      <c r="E39" s="66">
        <f t="shared" si="5"/>
        <v>10248.000000000002</v>
      </c>
      <c r="F39" s="66">
        <f t="shared" si="5"/>
        <v>10220.000000000002</v>
      </c>
      <c r="G39" s="66">
        <f t="shared" si="5"/>
        <v>10220.000000000002</v>
      </c>
      <c r="H39" s="66">
        <f t="shared" si="5"/>
        <v>10220.000000000002</v>
      </c>
      <c r="I39" s="66">
        <f t="shared" si="5"/>
        <v>10248.000000000002</v>
      </c>
      <c r="J39" s="66">
        <f t="shared" si="5"/>
        <v>10220.000000000002</v>
      </c>
      <c r="K39" s="66">
        <f t="shared" si="5"/>
        <v>10220.000000000002</v>
      </c>
      <c r="L39" s="66">
        <f t="shared" si="5"/>
        <v>10220.000000000002</v>
      </c>
      <c r="M39" s="66">
        <f t="shared" si="5"/>
        <v>10248.000000000002</v>
      </c>
    </row>
    <row r="40" spans="2:14" x14ac:dyDescent="0.25">
      <c r="B40" s="81" t="s">
        <v>133</v>
      </c>
      <c r="C40" s="82"/>
      <c r="D40" s="66">
        <f t="shared" ref="D40:M40" si="6">D33*D37</f>
        <v>7154.0000000000009</v>
      </c>
      <c r="E40" s="66">
        <f t="shared" si="6"/>
        <v>7173.6</v>
      </c>
      <c r="F40" s="66">
        <f t="shared" si="6"/>
        <v>7154.0000000000009</v>
      </c>
      <c r="G40" s="66">
        <f t="shared" si="6"/>
        <v>7154.0000000000009</v>
      </c>
      <c r="H40" s="66">
        <f t="shared" si="6"/>
        <v>7154.0000000000009</v>
      </c>
      <c r="I40" s="66">
        <f t="shared" si="6"/>
        <v>7173.6</v>
      </c>
      <c r="J40" s="66">
        <f t="shared" si="6"/>
        <v>7154.0000000000009</v>
      </c>
      <c r="K40" s="66">
        <f t="shared" si="6"/>
        <v>7154.0000000000009</v>
      </c>
      <c r="L40" s="66">
        <f t="shared" si="6"/>
        <v>7154.0000000000009</v>
      </c>
      <c r="M40" s="66">
        <f t="shared" si="6"/>
        <v>7173.6</v>
      </c>
    </row>
    <row r="41" spans="2:14" x14ac:dyDescent="0.25">
      <c r="B41" s="81" t="s">
        <v>12</v>
      </c>
      <c r="C41" s="82"/>
      <c r="D41" s="66">
        <f t="shared" ref="D41:M41" si="7">D40+D39+D38</f>
        <v>24528.000000000004</v>
      </c>
      <c r="E41" s="66">
        <f t="shared" si="7"/>
        <v>24595.200000000004</v>
      </c>
      <c r="F41" s="66">
        <f t="shared" si="7"/>
        <v>24528.000000000004</v>
      </c>
      <c r="G41" s="66">
        <f t="shared" si="7"/>
        <v>24528.000000000004</v>
      </c>
      <c r="H41" s="66">
        <f t="shared" si="7"/>
        <v>24528.000000000004</v>
      </c>
      <c r="I41" s="66">
        <f t="shared" si="7"/>
        <v>24595.200000000004</v>
      </c>
      <c r="J41" s="66">
        <f t="shared" si="7"/>
        <v>24528.000000000004</v>
      </c>
      <c r="K41" s="66">
        <f t="shared" si="7"/>
        <v>24528.000000000004</v>
      </c>
      <c r="L41" s="66">
        <f t="shared" si="7"/>
        <v>24528.000000000004</v>
      </c>
      <c r="M41" s="66">
        <f t="shared" si="7"/>
        <v>24595.200000000004</v>
      </c>
      <c r="N41" s="52">
        <f>SUM(D41:M41)</f>
        <v>245481.60000000003</v>
      </c>
    </row>
    <row r="42" spans="2:14" x14ac:dyDescent="0.25">
      <c r="D42" s="67">
        <v>2027</v>
      </c>
      <c r="E42" s="67">
        <v>2028</v>
      </c>
      <c r="F42" s="67">
        <v>2029</v>
      </c>
      <c r="G42" s="67">
        <v>2030</v>
      </c>
      <c r="H42" s="67">
        <v>2031</v>
      </c>
      <c r="I42" s="67">
        <v>2032</v>
      </c>
      <c r="J42" s="67">
        <v>2033</v>
      </c>
      <c r="K42" s="67">
        <v>2034</v>
      </c>
      <c r="L42" s="67">
        <v>2035</v>
      </c>
      <c r="M42" s="67">
        <v>2036</v>
      </c>
    </row>
    <row r="43" spans="2:14" x14ac:dyDescent="0.25"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2:14" x14ac:dyDescent="0.25">
      <c r="D44" s="38"/>
      <c r="E44" s="38"/>
      <c r="F44" s="38"/>
      <c r="G44" s="38"/>
      <c r="H44" s="38"/>
      <c r="I44" s="38"/>
      <c r="J44" s="38"/>
      <c r="K44" s="38"/>
      <c r="L44" s="38"/>
      <c r="M44" s="38"/>
    </row>
  </sheetData>
  <mergeCells count="19">
    <mergeCell ref="B41:C41"/>
    <mergeCell ref="B9:B15"/>
    <mergeCell ref="B16:B25"/>
    <mergeCell ref="B26:B32"/>
    <mergeCell ref="B33:C33"/>
    <mergeCell ref="B35:C35"/>
    <mergeCell ref="B34:M34"/>
    <mergeCell ref="B36:C36"/>
    <mergeCell ref="B37:C37"/>
    <mergeCell ref="B38:C38"/>
    <mergeCell ref="B39:C39"/>
    <mergeCell ref="B40:C40"/>
    <mergeCell ref="C1:M1"/>
    <mergeCell ref="C2:M2"/>
    <mergeCell ref="C3:M3"/>
    <mergeCell ref="C4:M4"/>
    <mergeCell ref="B7:B8"/>
    <mergeCell ref="C7:C8"/>
    <mergeCell ref="D7:M7"/>
  </mergeCells>
  <pageMargins left="0.7" right="0.7" top="0.75" bottom="0.75" header="0.3" footer="0.3"/>
  <pageSetup paperSize="9" orientation="portrait" r:id="rId1"/>
  <ignoredErrors>
    <ignoredError sqref="D35:M37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41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138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42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43</v>
      </c>
      <c r="B16" s="68">
        <f>'A2P1 '!D41</f>
        <v>30876</v>
      </c>
      <c r="C16" s="46">
        <v>1</v>
      </c>
      <c r="D16" s="39"/>
      <c r="E16" s="97"/>
      <c r="F16" s="8"/>
    </row>
    <row r="17" spans="1:7" ht="18" x14ac:dyDescent="0.25">
      <c r="A17" s="44" t="s">
        <v>44</v>
      </c>
      <c r="B17" s="68">
        <f>'A2P1 '!E41</f>
        <v>27888</v>
      </c>
      <c r="C17" s="46">
        <v>1</v>
      </c>
      <c r="D17" s="39"/>
      <c r="E17" s="97"/>
      <c r="F17" s="8"/>
    </row>
    <row r="18" spans="1:7" ht="18" x14ac:dyDescent="0.25">
      <c r="A18" s="44" t="s">
        <v>45</v>
      </c>
      <c r="B18" s="68">
        <f>'A2P1 '!F41</f>
        <v>30876</v>
      </c>
      <c r="C18" s="46">
        <v>1</v>
      </c>
      <c r="D18" s="39"/>
      <c r="E18" s="97"/>
      <c r="F18" s="8"/>
    </row>
    <row r="19" spans="1:7" ht="18" x14ac:dyDescent="0.25">
      <c r="A19" s="44" t="s">
        <v>46</v>
      </c>
      <c r="B19" s="68">
        <f>'A2P1 '!G41</f>
        <v>29880</v>
      </c>
      <c r="C19" s="49">
        <v>1</v>
      </c>
      <c r="D19" s="39"/>
      <c r="E19" s="97"/>
      <c r="F19" s="8"/>
    </row>
    <row r="20" spans="1:7" ht="18" x14ac:dyDescent="0.25">
      <c r="A20" s="44" t="s">
        <v>47</v>
      </c>
      <c r="B20" s="68">
        <f>'A2P1 '!H41</f>
        <v>30876</v>
      </c>
      <c r="C20" s="46">
        <v>1</v>
      </c>
      <c r="D20" s="39"/>
      <c r="E20" s="97"/>
      <c r="F20" s="8"/>
    </row>
    <row r="21" spans="1:7" ht="18" x14ac:dyDescent="0.25">
      <c r="A21" s="44" t="s">
        <v>48</v>
      </c>
      <c r="B21" s="68">
        <f>'A2P1 '!I41</f>
        <v>29880</v>
      </c>
      <c r="C21" s="46">
        <v>1</v>
      </c>
      <c r="D21" s="39"/>
      <c r="E21" s="97"/>
      <c r="F21" s="8"/>
    </row>
    <row r="22" spans="1:7" ht="18" x14ac:dyDescent="0.25">
      <c r="A22" s="44" t="s">
        <v>49</v>
      </c>
      <c r="B22" s="68">
        <f>'A2P1 '!J41</f>
        <v>30876</v>
      </c>
      <c r="C22" s="46">
        <v>1</v>
      </c>
      <c r="D22" s="39"/>
      <c r="E22" s="97"/>
      <c r="F22" s="8"/>
    </row>
    <row r="23" spans="1:7" ht="18" x14ac:dyDescent="0.25">
      <c r="A23" s="44" t="s">
        <v>50</v>
      </c>
      <c r="B23" s="68">
        <f>'A2P1 '!K41</f>
        <v>30876</v>
      </c>
      <c r="C23" s="49">
        <v>1</v>
      </c>
      <c r="D23" s="39"/>
      <c r="E23" s="97"/>
      <c r="F23" s="8"/>
    </row>
    <row r="24" spans="1:7" ht="18" x14ac:dyDescent="0.25">
      <c r="A24" s="44" t="s">
        <v>51</v>
      </c>
      <c r="B24" s="68">
        <f>'A2P1 '!L41</f>
        <v>29880</v>
      </c>
      <c r="C24" s="46">
        <v>1</v>
      </c>
      <c r="D24" s="39"/>
      <c r="E24" s="97"/>
      <c r="F24" s="8"/>
    </row>
    <row r="25" spans="1:7" ht="18" x14ac:dyDescent="0.25">
      <c r="A25" s="44" t="s">
        <v>52</v>
      </c>
      <c r="B25" s="68">
        <f>'A2P1 '!M41</f>
        <v>30876</v>
      </c>
      <c r="C25" s="46">
        <v>1</v>
      </c>
      <c r="D25" s="39"/>
      <c r="E25" s="97"/>
      <c r="F25" s="8"/>
    </row>
    <row r="26" spans="1:7" ht="18" x14ac:dyDescent="0.25">
      <c r="A26" s="44" t="s">
        <v>53</v>
      </c>
      <c r="B26" s="68">
        <f>'A2P1 '!N41</f>
        <v>29880</v>
      </c>
      <c r="C26" s="46">
        <v>1</v>
      </c>
      <c r="D26" s="39"/>
      <c r="E26" s="97"/>
      <c r="F26" s="8"/>
    </row>
    <row r="27" spans="1:7" ht="18.75" thickBot="1" x14ac:dyDescent="0.3">
      <c r="A27" s="44" t="s">
        <v>54</v>
      </c>
      <c r="B27" s="68">
        <f>'A2P1 '!O41</f>
        <v>30876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363540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55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216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56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57</v>
      </c>
      <c r="B16" s="68">
        <f>+A3P2!D41</f>
        <v>32364</v>
      </c>
      <c r="C16" s="46">
        <v>1</v>
      </c>
      <c r="D16" s="39"/>
      <c r="E16" s="97"/>
      <c r="F16" s="8"/>
    </row>
    <row r="17" spans="1:7" ht="18" x14ac:dyDescent="0.25">
      <c r="A17" s="44" t="s">
        <v>58</v>
      </c>
      <c r="B17" s="68">
        <f>+A3P2!E41</f>
        <v>30276</v>
      </c>
      <c r="C17" s="46">
        <v>1</v>
      </c>
      <c r="D17" s="39"/>
      <c r="E17" s="97"/>
      <c r="F17" s="8"/>
    </row>
    <row r="18" spans="1:7" ht="18" x14ac:dyDescent="0.25">
      <c r="A18" s="44" t="s">
        <v>59</v>
      </c>
      <c r="B18" s="68">
        <f>+A3P2!F41</f>
        <v>32364</v>
      </c>
      <c r="C18" s="46">
        <v>1</v>
      </c>
      <c r="D18" s="39"/>
      <c r="E18" s="97"/>
      <c r="F18" s="8"/>
    </row>
    <row r="19" spans="1:7" ht="18" x14ac:dyDescent="0.25">
      <c r="A19" s="44" t="s">
        <v>60</v>
      </c>
      <c r="B19" s="68">
        <f>+A3P2!G41</f>
        <v>31320</v>
      </c>
      <c r="C19" s="49">
        <v>1</v>
      </c>
      <c r="D19" s="39"/>
      <c r="E19" s="97"/>
      <c r="F19" s="8"/>
    </row>
    <row r="20" spans="1:7" ht="18" x14ac:dyDescent="0.25">
      <c r="A20" s="44" t="s">
        <v>61</v>
      </c>
      <c r="B20" s="68">
        <f>+A3P2!H41</f>
        <v>32364</v>
      </c>
      <c r="C20" s="46">
        <v>1</v>
      </c>
      <c r="D20" s="39"/>
      <c r="E20" s="97"/>
      <c r="F20" s="8"/>
    </row>
    <row r="21" spans="1:7" ht="18" x14ac:dyDescent="0.25">
      <c r="A21" s="44" t="s">
        <v>62</v>
      </c>
      <c r="B21" s="68">
        <f>+A3P2!I41</f>
        <v>31320</v>
      </c>
      <c r="C21" s="46">
        <v>1</v>
      </c>
      <c r="D21" s="39"/>
      <c r="E21" s="97"/>
      <c r="F21" s="8"/>
    </row>
    <row r="22" spans="1:7" ht="18" x14ac:dyDescent="0.25">
      <c r="A22" s="44" t="s">
        <v>63</v>
      </c>
      <c r="B22" s="68">
        <f>+A3P2!J41</f>
        <v>32364</v>
      </c>
      <c r="C22" s="46">
        <v>1</v>
      </c>
      <c r="D22" s="39"/>
      <c r="E22" s="97"/>
      <c r="F22" s="8"/>
    </row>
    <row r="23" spans="1:7" ht="18" x14ac:dyDescent="0.25">
      <c r="A23" s="44" t="s">
        <v>64</v>
      </c>
      <c r="B23" s="68">
        <f>+A3P2!K41</f>
        <v>32364</v>
      </c>
      <c r="C23" s="49">
        <v>1</v>
      </c>
      <c r="D23" s="39"/>
      <c r="E23" s="97"/>
      <c r="F23" s="8"/>
    </row>
    <row r="24" spans="1:7" ht="18" x14ac:dyDescent="0.25">
      <c r="A24" s="44" t="s">
        <v>65</v>
      </c>
      <c r="B24" s="68">
        <f>+A3P2!L41</f>
        <v>31320</v>
      </c>
      <c r="C24" s="46">
        <v>1</v>
      </c>
      <c r="D24" s="39"/>
      <c r="E24" s="97"/>
      <c r="F24" s="8"/>
    </row>
    <row r="25" spans="1:7" ht="18" x14ac:dyDescent="0.25">
      <c r="A25" s="44" t="s">
        <v>66</v>
      </c>
      <c r="B25" s="68">
        <f>+A3P2!M41</f>
        <v>32364</v>
      </c>
      <c r="C25" s="46">
        <v>1</v>
      </c>
      <c r="D25" s="39"/>
      <c r="E25" s="97"/>
      <c r="F25" s="8"/>
    </row>
    <row r="26" spans="1:7" ht="18" x14ac:dyDescent="0.25">
      <c r="A26" s="44" t="s">
        <v>67</v>
      </c>
      <c r="B26" s="68">
        <f>+A3P2!N41</f>
        <v>31320</v>
      </c>
      <c r="C26" s="46">
        <v>1</v>
      </c>
      <c r="D26" s="39"/>
      <c r="E26" s="97"/>
      <c r="F26" s="8"/>
    </row>
    <row r="27" spans="1:7" ht="18.75" thickBot="1" x14ac:dyDescent="0.3">
      <c r="A27" s="44" t="s">
        <v>68</v>
      </c>
      <c r="B27" s="68">
        <f>+A3P2!O41</f>
        <v>32364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382104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82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217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69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70</v>
      </c>
      <c r="B16" s="68">
        <f>+A4P3!D41</f>
        <v>26709.599999999999</v>
      </c>
      <c r="C16" s="46">
        <v>1</v>
      </c>
      <c r="D16" s="39"/>
      <c r="E16" s="97"/>
      <c r="F16" s="8"/>
    </row>
    <row r="17" spans="1:7" ht="18" x14ac:dyDescent="0.25">
      <c r="A17" s="44" t="s">
        <v>71</v>
      </c>
      <c r="B17" s="68">
        <f>+A4P3!E41</f>
        <v>24124.799999999996</v>
      </c>
      <c r="C17" s="46">
        <v>1</v>
      </c>
      <c r="D17" s="39"/>
      <c r="E17" s="97"/>
      <c r="F17" s="8"/>
    </row>
    <row r="18" spans="1:7" ht="18" x14ac:dyDescent="0.25">
      <c r="A18" s="44" t="s">
        <v>72</v>
      </c>
      <c r="B18" s="68">
        <f>+A4P3!F41</f>
        <v>26709.599999999999</v>
      </c>
      <c r="C18" s="46">
        <v>1</v>
      </c>
      <c r="D18" s="39"/>
      <c r="E18" s="97"/>
      <c r="F18" s="8"/>
    </row>
    <row r="19" spans="1:7" ht="18" x14ac:dyDescent="0.25">
      <c r="A19" s="44" t="s">
        <v>73</v>
      </c>
      <c r="B19" s="68">
        <f>+A4P3!G41</f>
        <v>25847.999999999996</v>
      </c>
      <c r="C19" s="49">
        <v>1</v>
      </c>
      <c r="D19" s="39"/>
      <c r="E19" s="97"/>
      <c r="F19" s="8"/>
    </row>
    <row r="20" spans="1:7" ht="18" x14ac:dyDescent="0.25">
      <c r="A20" s="44" t="s">
        <v>74</v>
      </c>
      <c r="B20" s="68">
        <f>+A4P3!H41</f>
        <v>26709.599999999999</v>
      </c>
      <c r="C20" s="46">
        <v>1</v>
      </c>
      <c r="D20" s="39"/>
      <c r="E20" s="97"/>
      <c r="F20" s="8"/>
    </row>
    <row r="21" spans="1:7" ht="18" x14ac:dyDescent="0.25">
      <c r="A21" s="44" t="s">
        <v>75</v>
      </c>
      <c r="B21" s="68">
        <f>+A4P3!I41</f>
        <v>25847.999999999996</v>
      </c>
      <c r="C21" s="46">
        <v>1</v>
      </c>
      <c r="D21" s="39"/>
      <c r="E21" s="97"/>
      <c r="F21" s="8"/>
    </row>
    <row r="22" spans="1:7" ht="18" x14ac:dyDescent="0.25">
      <c r="A22" s="44" t="s">
        <v>76</v>
      </c>
      <c r="B22" s="68">
        <f>+A4P3!J41</f>
        <v>26709.599999999999</v>
      </c>
      <c r="C22" s="46">
        <v>1</v>
      </c>
      <c r="D22" s="39"/>
      <c r="E22" s="97"/>
      <c r="F22" s="8"/>
    </row>
    <row r="23" spans="1:7" ht="18" x14ac:dyDescent="0.25">
      <c r="A23" s="44" t="s">
        <v>77</v>
      </c>
      <c r="B23" s="68">
        <f>+A4P3!K41</f>
        <v>26709.599999999999</v>
      </c>
      <c r="C23" s="49">
        <v>1</v>
      </c>
      <c r="D23" s="39"/>
      <c r="E23" s="97"/>
      <c r="F23" s="8"/>
    </row>
    <row r="24" spans="1:7" ht="18" x14ac:dyDescent="0.25">
      <c r="A24" s="44" t="s">
        <v>78</v>
      </c>
      <c r="B24" s="68">
        <f>+A4P3!L41</f>
        <v>25847.999999999996</v>
      </c>
      <c r="C24" s="46">
        <v>1</v>
      </c>
      <c r="D24" s="39"/>
      <c r="E24" s="97"/>
      <c r="F24" s="8"/>
    </row>
    <row r="25" spans="1:7" ht="18" x14ac:dyDescent="0.25">
      <c r="A25" s="44" t="s">
        <v>79</v>
      </c>
      <c r="B25" s="68">
        <f>+A4P3!M41</f>
        <v>26709.599999999999</v>
      </c>
      <c r="C25" s="46">
        <v>1</v>
      </c>
      <c r="D25" s="39"/>
      <c r="E25" s="97"/>
      <c r="F25" s="8"/>
    </row>
    <row r="26" spans="1:7" ht="18" x14ac:dyDescent="0.25">
      <c r="A26" s="44" t="s">
        <v>80</v>
      </c>
      <c r="B26" s="68">
        <f>+A4P3!N41</f>
        <v>25847.999999999996</v>
      </c>
      <c r="C26" s="46">
        <v>1</v>
      </c>
      <c r="D26" s="39"/>
      <c r="E26" s="97"/>
      <c r="F26" s="8"/>
    </row>
    <row r="27" spans="1:7" ht="18.75" thickBot="1" x14ac:dyDescent="0.3">
      <c r="A27" s="44" t="s">
        <v>81</v>
      </c>
      <c r="B27" s="68">
        <f>+A4P3!O41</f>
        <v>26709.599999999999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314484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83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218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84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85</v>
      </c>
      <c r="B16" s="68">
        <f>+A5P4!D41</f>
        <v>24328.799999999999</v>
      </c>
      <c r="C16" s="46">
        <v>1</v>
      </c>
      <c r="D16" s="39"/>
      <c r="E16" s="97"/>
      <c r="F16" s="8"/>
    </row>
    <row r="17" spans="1:7" ht="18" x14ac:dyDescent="0.25">
      <c r="A17" s="44" t="s">
        <v>86</v>
      </c>
      <c r="B17" s="68">
        <f>+A5P4!E41</f>
        <v>21974.400000000001</v>
      </c>
      <c r="C17" s="46">
        <v>1</v>
      </c>
      <c r="D17" s="39"/>
      <c r="E17" s="97"/>
      <c r="F17" s="8"/>
    </row>
    <row r="18" spans="1:7" ht="18" x14ac:dyDescent="0.25">
      <c r="A18" s="44" t="s">
        <v>87</v>
      </c>
      <c r="B18" s="68">
        <f>+A5P4!F41</f>
        <v>24328.799999999999</v>
      </c>
      <c r="C18" s="46">
        <v>1</v>
      </c>
      <c r="D18" s="39"/>
      <c r="E18" s="97"/>
      <c r="F18" s="8"/>
    </row>
    <row r="19" spans="1:7" ht="18" x14ac:dyDescent="0.25">
      <c r="A19" s="44" t="s">
        <v>88</v>
      </c>
      <c r="B19" s="68">
        <f>+A5P4!G41</f>
        <v>23544</v>
      </c>
      <c r="C19" s="49">
        <v>1</v>
      </c>
      <c r="D19" s="39"/>
      <c r="E19" s="97"/>
      <c r="F19" s="8"/>
    </row>
    <row r="20" spans="1:7" ht="18" x14ac:dyDescent="0.25">
      <c r="A20" s="44" t="s">
        <v>89</v>
      </c>
      <c r="B20" s="68">
        <f>+A5P4!H41</f>
        <v>24328.799999999999</v>
      </c>
      <c r="C20" s="46">
        <v>1</v>
      </c>
      <c r="D20" s="39"/>
      <c r="E20" s="97"/>
      <c r="F20" s="8"/>
    </row>
    <row r="21" spans="1:7" ht="18" x14ac:dyDescent="0.25">
      <c r="A21" s="44" t="s">
        <v>90</v>
      </c>
      <c r="B21" s="68">
        <f>+A5P4!I41</f>
        <v>23544</v>
      </c>
      <c r="C21" s="46">
        <v>1</v>
      </c>
      <c r="D21" s="39"/>
      <c r="E21" s="97"/>
      <c r="F21" s="8"/>
    </row>
    <row r="22" spans="1:7" ht="18" x14ac:dyDescent="0.25">
      <c r="A22" s="44" t="s">
        <v>91</v>
      </c>
      <c r="B22" s="68">
        <f>+A5P4!J41</f>
        <v>24328.799999999999</v>
      </c>
      <c r="C22" s="46">
        <v>1</v>
      </c>
      <c r="D22" s="39"/>
      <c r="E22" s="97"/>
      <c r="F22" s="8"/>
    </row>
    <row r="23" spans="1:7" ht="18" x14ac:dyDescent="0.25">
      <c r="A23" s="44" t="s">
        <v>92</v>
      </c>
      <c r="B23" s="68">
        <f>+A5P4!K41</f>
        <v>24328.799999999999</v>
      </c>
      <c r="C23" s="49">
        <v>1</v>
      </c>
      <c r="D23" s="39"/>
      <c r="E23" s="97"/>
      <c r="F23" s="8"/>
    </row>
    <row r="24" spans="1:7" ht="18" x14ac:dyDescent="0.25">
      <c r="A24" s="44" t="s">
        <v>93</v>
      </c>
      <c r="B24" s="68">
        <f>+A5P4!L41</f>
        <v>23544</v>
      </c>
      <c r="C24" s="46">
        <v>1</v>
      </c>
      <c r="D24" s="39"/>
      <c r="E24" s="97"/>
      <c r="F24" s="8"/>
    </row>
    <row r="25" spans="1:7" ht="18" x14ac:dyDescent="0.25">
      <c r="A25" s="44" t="s">
        <v>94</v>
      </c>
      <c r="B25" s="68">
        <f>+A5P4!M41</f>
        <v>24328.799999999999</v>
      </c>
      <c r="C25" s="46">
        <v>1</v>
      </c>
      <c r="D25" s="39"/>
      <c r="E25" s="97"/>
      <c r="F25" s="8"/>
    </row>
    <row r="26" spans="1:7" ht="18" x14ac:dyDescent="0.25">
      <c r="A26" s="44" t="s">
        <v>95</v>
      </c>
      <c r="B26" s="68">
        <f>+A5P4!N41</f>
        <v>23544</v>
      </c>
      <c r="C26" s="46">
        <v>1</v>
      </c>
      <c r="D26" s="39"/>
      <c r="E26" s="97"/>
      <c r="F26" s="8"/>
    </row>
    <row r="27" spans="1:7" ht="18.75" thickBot="1" x14ac:dyDescent="0.3">
      <c r="A27" s="44" t="s">
        <v>96</v>
      </c>
      <c r="B27" s="68">
        <f>+A5P4!O41</f>
        <v>24328.799999999999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286451.99999999994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110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219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97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98</v>
      </c>
      <c r="B16" s="68">
        <f>+A6P5!D41</f>
        <v>37720.800000000003</v>
      </c>
      <c r="C16" s="46">
        <v>1</v>
      </c>
      <c r="D16" s="39"/>
      <c r="E16" s="97"/>
      <c r="F16" s="8"/>
    </row>
    <row r="17" spans="1:7" ht="18" x14ac:dyDescent="0.25">
      <c r="A17" s="44" t="s">
        <v>99</v>
      </c>
      <c r="B17" s="68">
        <f>+A6P5!E41</f>
        <v>34070.400000000009</v>
      </c>
      <c r="C17" s="46">
        <v>1</v>
      </c>
      <c r="D17" s="39"/>
      <c r="E17" s="97"/>
      <c r="F17" s="8"/>
    </row>
    <row r="18" spans="1:7" ht="18" x14ac:dyDescent="0.25">
      <c r="A18" s="44" t="s">
        <v>100</v>
      </c>
      <c r="B18" s="68">
        <f>+A6P5!F41</f>
        <v>37720.800000000003</v>
      </c>
      <c r="C18" s="46">
        <v>1</v>
      </c>
      <c r="D18" s="39"/>
      <c r="E18" s="97"/>
      <c r="F18" s="8"/>
    </row>
    <row r="19" spans="1:7" ht="18" x14ac:dyDescent="0.25">
      <c r="A19" s="44" t="s">
        <v>101</v>
      </c>
      <c r="B19" s="68">
        <f>+A6P5!G41</f>
        <v>36504.000000000007</v>
      </c>
      <c r="C19" s="49">
        <v>1</v>
      </c>
      <c r="D19" s="39"/>
      <c r="E19" s="97"/>
      <c r="F19" s="8"/>
    </row>
    <row r="20" spans="1:7" ht="18" x14ac:dyDescent="0.25">
      <c r="A20" s="44" t="s">
        <v>102</v>
      </c>
      <c r="B20" s="68">
        <f>+A6P5!H41</f>
        <v>37720.800000000003</v>
      </c>
      <c r="C20" s="46">
        <v>1</v>
      </c>
      <c r="D20" s="39"/>
      <c r="E20" s="97"/>
      <c r="F20" s="8"/>
    </row>
    <row r="21" spans="1:7" ht="18" x14ac:dyDescent="0.25">
      <c r="A21" s="44" t="s">
        <v>103</v>
      </c>
      <c r="B21" s="68">
        <f>+A6P5!I41</f>
        <v>36504.000000000007</v>
      </c>
      <c r="C21" s="46">
        <v>1</v>
      </c>
      <c r="D21" s="39"/>
      <c r="E21" s="97"/>
      <c r="F21" s="8"/>
    </row>
    <row r="22" spans="1:7" ht="18" x14ac:dyDescent="0.25">
      <c r="A22" s="44" t="s">
        <v>104</v>
      </c>
      <c r="B22" s="68">
        <f>+A6P5!J41</f>
        <v>37720.800000000003</v>
      </c>
      <c r="C22" s="46">
        <v>1</v>
      </c>
      <c r="D22" s="39"/>
      <c r="E22" s="97"/>
      <c r="F22" s="8"/>
    </row>
    <row r="23" spans="1:7" ht="18" x14ac:dyDescent="0.25">
      <c r="A23" s="44" t="s">
        <v>105</v>
      </c>
      <c r="B23" s="68">
        <f>+A6P5!K41</f>
        <v>37720.800000000003</v>
      </c>
      <c r="C23" s="49">
        <v>1</v>
      </c>
      <c r="D23" s="39"/>
      <c r="E23" s="97"/>
      <c r="F23" s="8"/>
    </row>
    <row r="24" spans="1:7" ht="18" x14ac:dyDescent="0.25">
      <c r="A24" s="44" t="s">
        <v>106</v>
      </c>
      <c r="B24" s="68">
        <f>+A6P5!L41</f>
        <v>36504.000000000007</v>
      </c>
      <c r="C24" s="46">
        <v>1</v>
      </c>
      <c r="D24" s="39"/>
      <c r="E24" s="97"/>
      <c r="F24" s="8"/>
    </row>
    <row r="25" spans="1:7" ht="18" x14ac:dyDescent="0.25">
      <c r="A25" s="44" t="s">
        <v>107</v>
      </c>
      <c r="B25" s="68">
        <f>+A6P5!M41</f>
        <v>37720.800000000003</v>
      </c>
      <c r="C25" s="46">
        <v>1</v>
      </c>
      <c r="D25" s="39"/>
      <c r="E25" s="97"/>
      <c r="F25" s="8"/>
    </row>
    <row r="26" spans="1:7" ht="18" x14ac:dyDescent="0.25">
      <c r="A26" s="44" t="s">
        <v>108</v>
      </c>
      <c r="B26" s="68">
        <f>+A6P5!N41</f>
        <v>36504.000000000007</v>
      </c>
      <c r="C26" s="46">
        <v>1</v>
      </c>
      <c r="D26" s="39"/>
      <c r="E26" s="97"/>
      <c r="F26" s="8"/>
    </row>
    <row r="27" spans="1:7" ht="18.75" thickBot="1" x14ac:dyDescent="0.3">
      <c r="A27" s="44" t="s">
        <v>109</v>
      </c>
      <c r="B27" s="68">
        <f>+A6P5!O41</f>
        <v>37720.800000000003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444132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4B29-8915-4135-978A-968094A6C446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141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142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143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144</v>
      </c>
      <c r="B16" s="68">
        <f>+A7P6!D41</f>
        <v>62272.800000000003</v>
      </c>
      <c r="C16" s="46">
        <v>1</v>
      </c>
      <c r="D16" s="39"/>
      <c r="E16" s="97"/>
      <c r="F16" s="8"/>
    </row>
    <row r="17" spans="1:7" ht="18" x14ac:dyDescent="0.25">
      <c r="A17" s="44" t="s">
        <v>145</v>
      </c>
      <c r="B17" s="68">
        <f>+A7P6!E41</f>
        <v>58255.200000000004</v>
      </c>
      <c r="C17" s="46">
        <v>1</v>
      </c>
      <c r="D17" s="39"/>
      <c r="E17" s="97"/>
      <c r="F17" s="8"/>
    </row>
    <row r="18" spans="1:7" ht="18" x14ac:dyDescent="0.25">
      <c r="A18" s="44" t="s">
        <v>148</v>
      </c>
      <c r="B18" s="68">
        <f>+A7P6!F41</f>
        <v>62272.800000000003</v>
      </c>
      <c r="C18" s="46">
        <v>1</v>
      </c>
      <c r="D18" s="39"/>
      <c r="E18" s="97"/>
      <c r="F18" s="8"/>
    </row>
    <row r="19" spans="1:7" ht="18" x14ac:dyDescent="0.25">
      <c r="A19" s="44" t="s">
        <v>149</v>
      </c>
      <c r="B19" s="68">
        <f>+A7P6!G41</f>
        <v>60264.000000000007</v>
      </c>
      <c r="C19" s="49">
        <v>1</v>
      </c>
      <c r="D19" s="39"/>
      <c r="E19" s="97"/>
      <c r="F19" s="8"/>
    </row>
    <row r="20" spans="1:7" ht="18" x14ac:dyDescent="0.25">
      <c r="A20" s="44" t="s">
        <v>150</v>
      </c>
      <c r="B20" s="68">
        <f>+A7P6!H41</f>
        <v>62272.800000000003</v>
      </c>
      <c r="C20" s="46">
        <v>1</v>
      </c>
      <c r="D20" s="39"/>
      <c r="E20" s="97"/>
      <c r="F20" s="8"/>
    </row>
    <row r="21" spans="1:7" ht="18" x14ac:dyDescent="0.25">
      <c r="A21" s="44" t="s">
        <v>151</v>
      </c>
      <c r="B21" s="68">
        <f>+A7P6!I41</f>
        <v>60264.000000000007</v>
      </c>
      <c r="C21" s="46">
        <v>1</v>
      </c>
      <c r="D21" s="39"/>
      <c r="E21" s="97"/>
      <c r="F21" s="8"/>
    </row>
    <row r="22" spans="1:7" ht="18" x14ac:dyDescent="0.25">
      <c r="A22" s="44" t="s">
        <v>152</v>
      </c>
      <c r="B22" s="68">
        <f>+A7P6!J41</f>
        <v>62272.800000000003</v>
      </c>
      <c r="C22" s="46">
        <v>1</v>
      </c>
      <c r="D22" s="39"/>
      <c r="E22" s="97"/>
      <c r="F22" s="8"/>
    </row>
    <row r="23" spans="1:7" ht="18" x14ac:dyDescent="0.25">
      <c r="A23" s="44" t="s">
        <v>153</v>
      </c>
      <c r="B23" s="68">
        <f>+A7P6!K41</f>
        <v>62272.800000000003</v>
      </c>
      <c r="C23" s="49">
        <v>1</v>
      </c>
      <c r="D23" s="39"/>
      <c r="E23" s="97"/>
      <c r="F23" s="8"/>
    </row>
    <row r="24" spans="1:7" ht="18" x14ac:dyDescent="0.25">
      <c r="A24" s="44" t="s">
        <v>154</v>
      </c>
      <c r="B24" s="68">
        <f>+A7P6!L41</f>
        <v>60264.000000000007</v>
      </c>
      <c r="C24" s="46">
        <v>1</v>
      </c>
      <c r="D24" s="39"/>
      <c r="E24" s="97"/>
      <c r="F24" s="8"/>
    </row>
    <row r="25" spans="1:7" ht="18" x14ac:dyDescent="0.25">
      <c r="A25" s="44" t="s">
        <v>155</v>
      </c>
      <c r="B25" s="68">
        <f>+A7P6!M41</f>
        <v>62272.800000000003</v>
      </c>
      <c r="C25" s="46">
        <v>1</v>
      </c>
      <c r="D25" s="39"/>
      <c r="E25" s="97"/>
      <c r="F25" s="8"/>
    </row>
    <row r="26" spans="1:7" ht="18" x14ac:dyDescent="0.25">
      <c r="A26" s="44" t="s">
        <v>156</v>
      </c>
      <c r="B26" s="68">
        <f>+A7P6!N41</f>
        <v>60264.000000000007</v>
      </c>
      <c r="C26" s="46">
        <v>1</v>
      </c>
      <c r="D26" s="39"/>
      <c r="E26" s="97"/>
      <c r="F26" s="8"/>
    </row>
    <row r="27" spans="1:7" ht="18.75" thickBot="1" x14ac:dyDescent="0.3">
      <c r="A27" s="44" t="s">
        <v>157</v>
      </c>
      <c r="B27" s="68">
        <f>+A7P6!O41</f>
        <v>62272.800000000003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735220.8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8701-64FF-412E-B470-7371150033CB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158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159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160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146</v>
      </c>
      <c r="B16" s="68">
        <f>+A8P7!D41</f>
        <v>66216</v>
      </c>
      <c r="C16" s="46">
        <v>1</v>
      </c>
      <c r="D16" s="39"/>
      <c r="E16" s="97"/>
      <c r="F16" s="8"/>
    </row>
    <row r="17" spans="1:7" ht="18" x14ac:dyDescent="0.25">
      <c r="A17" s="44" t="s">
        <v>147</v>
      </c>
      <c r="B17" s="68">
        <f>+A8P7!E41</f>
        <v>59808</v>
      </c>
      <c r="C17" s="46">
        <v>1</v>
      </c>
      <c r="D17" s="39"/>
      <c r="E17" s="97"/>
      <c r="F17" s="8"/>
    </row>
    <row r="18" spans="1:7" ht="18" x14ac:dyDescent="0.25">
      <c r="A18" s="44" t="s">
        <v>161</v>
      </c>
      <c r="B18" s="68">
        <f>+A8P7!F41</f>
        <v>66216</v>
      </c>
      <c r="C18" s="46">
        <v>1</v>
      </c>
      <c r="D18" s="39"/>
      <c r="E18" s="97"/>
      <c r="F18" s="8"/>
    </row>
    <row r="19" spans="1:7" ht="18" x14ac:dyDescent="0.25">
      <c r="A19" s="44" t="s">
        <v>162</v>
      </c>
      <c r="B19" s="68">
        <f>+A8P7!G41</f>
        <v>64080</v>
      </c>
      <c r="C19" s="49">
        <v>1</v>
      </c>
      <c r="D19" s="39"/>
      <c r="E19" s="97"/>
      <c r="F19" s="8"/>
    </row>
    <row r="20" spans="1:7" ht="18" x14ac:dyDescent="0.25">
      <c r="A20" s="44" t="s">
        <v>163</v>
      </c>
      <c r="B20" s="68">
        <f>+A8P7!H41</f>
        <v>66216</v>
      </c>
      <c r="C20" s="46">
        <v>1</v>
      </c>
      <c r="D20" s="39"/>
      <c r="E20" s="97"/>
      <c r="F20" s="8"/>
    </row>
    <row r="21" spans="1:7" ht="18" x14ac:dyDescent="0.25">
      <c r="A21" s="44" t="s">
        <v>164</v>
      </c>
      <c r="B21" s="68">
        <f>+A8P7!I41</f>
        <v>64080</v>
      </c>
      <c r="C21" s="46">
        <v>1</v>
      </c>
      <c r="D21" s="39"/>
      <c r="E21" s="97"/>
      <c r="F21" s="8"/>
    </row>
    <row r="22" spans="1:7" ht="18" x14ac:dyDescent="0.25">
      <c r="A22" s="44" t="s">
        <v>165</v>
      </c>
      <c r="B22" s="68">
        <f>+A8P7!J41</f>
        <v>66216</v>
      </c>
      <c r="C22" s="46">
        <v>1</v>
      </c>
      <c r="D22" s="39"/>
      <c r="E22" s="97"/>
      <c r="F22" s="8"/>
    </row>
    <row r="23" spans="1:7" ht="18" x14ac:dyDescent="0.25">
      <c r="A23" s="44" t="s">
        <v>166</v>
      </c>
      <c r="B23" s="68">
        <f>+A8P7!K41</f>
        <v>66216</v>
      </c>
      <c r="C23" s="49">
        <v>1</v>
      </c>
      <c r="D23" s="39"/>
      <c r="E23" s="97"/>
      <c r="F23" s="8"/>
    </row>
    <row r="24" spans="1:7" ht="18" x14ac:dyDescent="0.25">
      <c r="A24" s="44" t="s">
        <v>167</v>
      </c>
      <c r="B24" s="68">
        <f>+A8P7!L41</f>
        <v>64080</v>
      </c>
      <c r="C24" s="46">
        <v>1</v>
      </c>
      <c r="D24" s="39"/>
      <c r="E24" s="97"/>
      <c r="F24" s="8"/>
    </row>
    <row r="25" spans="1:7" ht="18" x14ac:dyDescent="0.25">
      <c r="A25" s="44" t="s">
        <v>168</v>
      </c>
      <c r="B25" s="68">
        <f>+A8P7!M41</f>
        <v>66216</v>
      </c>
      <c r="C25" s="46">
        <v>1</v>
      </c>
      <c r="D25" s="39"/>
      <c r="E25" s="97"/>
      <c r="F25" s="8"/>
    </row>
    <row r="26" spans="1:7" ht="18" x14ac:dyDescent="0.25">
      <c r="A26" s="44" t="s">
        <v>169</v>
      </c>
      <c r="B26" s="68">
        <f>+A8P7!N41</f>
        <v>64080</v>
      </c>
      <c r="C26" s="46">
        <v>1</v>
      </c>
      <c r="D26" s="39"/>
      <c r="E26" s="97"/>
      <c r="F26" s="8"/>
    </row>
    <row r="27" spans="1:7" ht="18.75" thickBot="1" x14ac:dyDescent="0.3">
      <c r="A27" s="44" t="s">
        <v>170</v>
      </c>
      <c r="B27" s="68">
        <f>+A8P7!O41</f>
        <v>66216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779640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4DED-4DFD-45BA-8316-23BA93B07E7A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171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172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173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174</v>
      </c>
      <c r="B16" s="68">
        <f>+A9P8!D41</f>
        <v>67034.399999999994</v>
      </c>
      <c r="C16" s="46">
        <v>1</v>
      </c>
      <c r="D16" s="39"/>
      <c r="E16" s="97"/>
      <c r="F16" s="8"/>
    </row>
    <row r="17" spans="1:7" ht="18" x14ac:dyDescent="0.25">
      <c r="A17" s="44" t="s">
        <v>175</v>
      </c>
      <c r="B17" s="68">
        <f>+A9P8!E41</f>
        <v>60547.199999999997</v>
      </c>
      <c r="C17" s="46">
        <v>1</v>
      </c>
      <c r="D17" s="39"/>
      <c r="E17" s="97"/>
      <c r="F17" s="8"/>
    </row>
    <row r="18" spans="1:7" ht="18" x14ac:dyDescent="0.25">
      <c r="A18" s="44" t="s">
        <v>176</v>
      </c>
      <c r="B18" s="68">
        <f>+A9P8!F41</f>
        <v>67034.399999999994</v>
      </c>
      <c r="C18" s="46">
        <v>1</v>
      </c>
      <c r="D18" s="39"/>
      <c r="E18" s="97"/>
      <c r="F18" s="8"/>
    </row>
    <row r="19" spans="1:7" ht="18" x14ac:dyDescent="0.25">
      <c r="A19" s="44" t="s">
        <v>177</v>
      </c>
      <c r="B19" s="68">
        <f>+A9P8!G41</f>
        <v>64872</v>
      </c>
      <c r="C19" s="49">
        <v>1</v>
      </c>
      <c r="D19" s="39"/>
      <c r="E19" s="97"/>
      <c r="F19" s="8"/>
    </row>
    <row r="20" spans="1:7" ht="18" x14ac:dyDescent="0.25">
      <c r="A20" s="44" t="s">
        <v>178</v>
      </c>
      <c r="B20" s="68">
        <f>+A9P8!H41</f>
        <v>67034.399999999994</v>
      </c>
      <c r="C20" s="46">
        <v>1</v>
      </c>
      <c r="D20" s="39"/>
      <c r="E20" s="97"/>
      <c r="F20" s="8"/>
    </row>
    <row r="21" spans="1:7" ht="18" x14ac:dyDescent="0.25">
      <c r="A21" s="44" t="s">
        <v>179</v>
      </c>
      <c r="B21" s="68">
        <f>+A9P8!I41</f>
        <v>64872</v>
      </c>
      <c r="C21" s="46">
        <v>1</v>
      </c>
      <c r="D21" s="39"/>
      <c r="E21" s="97"/>
      <c r="F21" s="8"/>
    </row>
    <row r="22" spans="1:7" ht="18" x14ac:dyDescent="0.25">
      <c r="A22" s="44" t="s">
        <v>180</v>
      </c>
      <c r="B22" s="68">
        <f>+A9P8!J41</f>
        <v>67034.399999999994</v>
      </c>
      <c r="C22" s="46">
        <v>1</v>
      </c>
      <c r="D22" s="39"/>
      <c r="E22" s="97"/>
      <c r="F22" s="8"/>
    </row>
    <row r="23" spans="1:7" ht="18" x14ac:dyDescent="0.25">
      <c r="A23" s="44" t="s">
        <v>181</v>
      </c>
      <c r="B23" s="68">
        <f>+A9P8!K41</f>
        <v>67034.399999999994</v>
      </c>
      <c r="C23" s="49">
        <v>1</v>
      </c>
      <c r="D23" s="39"/>
      <c r="E23" s="97"/>
      <c r="F23" s="8"/>
    </row>
    <row r="24" spans="1:7" ht="18" x14ac:dyDescent="0.25">
      <c r="A24" s="44" t="s">
        <v>182</v>
      </c>
      <c r="B24" s="68">
        <f>+A9P8!L41</f>
        <v>64872</v>
      </c>
      <c r="C24" s="46">
        <v>1</v>
      </c>
      <c r="D24" s="39"/>
      <c r="E24" s="97"/>
      <c r="F24" s="8"/>
    </row>
    <row r="25" spans="1:7" ht="18" x14ac:dyDescent="0.25">
      <c r="A25" s="44" t="s">
        <v>183</v>
      </c>
      <c r="B25" s="68">
        <f>+A9P8!M41</f>
        <v>67034.399999999994</v>
      </c>
      <c r="C25" s="46">
        <v>1</v>
      </c>
      <c r="D25" s="39"/>
      <c r="E25" s="97"/>
      <c r="F25" s="8"/>
    </row>
    <row r="26" spans="1:7" ht="18" x14ac:dyDescent="0.25">
      <c r="A26" s="44" t="s">
        <v>184</v>
      </c>
      <c r="B26" s="68">
        <f>+A9P8!N41</f>
        <v>64872</v>
      </c>
      <c r="C26" s="46">
        <v>1</v>
      </c>
      <c r="D26" s="39"/>
      <c r="E26" s="97"/>
      <c r="F26" s="8"/>
    </row>
    <row r="27" spans="1:7" ht="18.75" thickBot="1" x14ac:dyDescent="0.3">
      <c r="A27" s="44" t="s">
        <v>185</v>
      </c>
      <c r="B27" s="68">
        <f>+A9P8!O41</f>
        <v>67034.399999999994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789276.00000000012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4A13-BD0E-4E16-8A77-7601E7D78809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186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187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188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189</v>
      </c>
      <c r="B16" s="68">
        <f>+A10P9!D41</f>
        <v>69489.600000000006</v>
      </c>
      <c r="C16" s="46">
        <v>1</v>
      </c>
      <c r="D16" s="39"/>
      <c r="E16" s="97"/>
      <c r="F16" s="8"/>
    </row>
    <row r="17" spans="1:7" ht="18" x14ac:dyDescent="0.25">
      <c r="A17" s="44" t="s">
        <v>190</v>
      </c>
      <c r="B17" s="68">
        <f>+A10P9!E41</f>
        <v>62764.80000000001</v>
      </c>
      <c r="C17" s="46">
        <v>1</v>
      </c>
      <c r="D17" s="39"/>
      <c r="E17" s="97"/>
      <c r="F17" s="8"/>
    </row>
    <row r="18" spans="1:7" ht="18" x14ac:dyDescent="0.25">
      <c r="A18" s="44" t="s">
        <v>193</v>
      </c>
      <c r="B18" s="68">
        <f>+A10P9!F41</f>
        <v>69489.600000000006</v>
      </c>
      <c r="C18" s="46">
        <v>1</v>
      </c>
      <c r="D18" s="39"/>
      <c r="E18" s="97"/>
      <c r="F18" s="8"/>
    </row>
    <row r="19" spans="1:7" ht="18" x14ac:dyDescent="0.25">
      <c r="A19" s="44" t="s">
        <v>194</v>
      </c>
      <c r="B19" s="68">
        <f>+A10P9!G41</f>
        <v>67248.000000000015</v>
      </c>
      <c r="C19" s="49">
        <v>1</v>
      </c>
      <c r="D19" s="39"/>
      <c r="E19" s="97"/>
      <c r="F19" s="8"/>
    </row>
    <row r="20" spans="1:7" ht="18" x14ac:dyDescent="0.25">
      <c r="A20" s="44" t="s">
        <v>195</v>
      </c>
      <c r="B20" s="68">
        <f>+A10P9!H41</f>
        <v>69489.600000000006</v>
      </c>
      <c r="C20" s="46">
        <v>1</v>
      </c>
      <c r="D20" s="39"/>
      <c r="E20" s="97"/>
      <c r="F20" s="8"/>
    </row>
    <row r="21" spans="1:7" ht="18" x14ac:dyDescent="0.25">
      <c r="A21" s="44" t="s">
        <v>196</v>
      </c>
      <c r="B21" s="68">
        <f>+A10P9!I41</f>
        <v>67248.000000000015</v>
      </c>
      <c r="C21" s="46">
        <v>1</v>
      </c>
      <c r="D21" s="39"/>
      <c r="E21" s="97"/>
      <c r="F21" s="8"/>
    </row>
    <row r="22" spans="1:7" ht="18" x14ac:dyDescent="0.25">
      <c r="A22" s="44" t="s">
        <v>197</v>
      </c>
      <c r="B22" s="68">
        <f>+A10P9!J41</f>
        <v>69489.600000000006</v>
      </c>
      <c r="C22" s="46">
        <v>1</v>
      </c>
      <c r="D22" s="39"/>
      <c r="E22" s="97"/>
      <c r="F22" s="8"/>
    </row>
    <row r="23" spans="1:7" ht="18" x14ac:dyDescent="0.25">
      <c r="A23" s="44" t="s">
        <v>198</v>
      </c>
      <c r="B23" s="68">
        <f>+A10P9!K41</f>
        <v>69489.600000000006</v>
      </c>
      <c r="C23" s="49">
        <v>1</v>
      </c>
      <c r="D23" s="39"/>
      <c r="E23" s="97"/>
      <c r="F23" s="8"/>
    </row>
    <row r="24" spans="1:7" ht="18" x14ac:dyDescent="0.25">
      <c r="A24" s="44" t="s">
        <v>199</v>
      </c>
      <c r="B24" s="68">
        <f>+A10P9!L41</f>
        <v>67248.000000000015</v>
      </c>
      <c r="C24" s="46">
        <v>1</v>
      </c>
      <c r="D24" s="39"/>
      <c r="E24" s="97"/>
      <c r="F24" s="8"/>
    </row>
    <row r="25" spans="1:7" ht="18" x14ac:dyDescent="0.25">
      <c r="A25" s="44" t="s">
        <v>200</v>
      </c>
      <c r="B25" s="68">
        <f>+A10P9!M41</f>
        <v>69489.600000000006</v>
      </c>
      <c r="C25" s="46">
        <v>1</v>
      </c>
      <c r="D25" s="39"/>
      <c r="E25" s="97"/>
      <c r="F25" s="8"/>
    </row>
    <row r="26" spans="1:7" ht="18" x14ac:dyDescent="0.25">
      <c r="A26" s="44" t="s">
        <v>201</v>
      </c>
      <c r="B26" s="68">
        <f>+A10P9!N41</f>
        <v>67248.000000000015</v>
      </c>
      <c r="C26" s="46">
        <v>1</v>
      </c>
      <c r="D26" s="39"/>
      <c r="E26" s="97"/>
      <c r="F26" s="8"/>
    </row>
    <row r="27" spans="1:7" ht="18.75" thickBot="1" x14ac:dyDescent="0.3">
      <c r="A27" s="44" t="s">
        <v>202</v>
      </c>
      <c r="B27" s="68">
        <f>+A10P9!O41</f>
        <v>69489.600000000006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818184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352A-64FC-4737-8E0B-61C7A85045FB}">
  <dimension ref="A1:G139"/>
  <sheetViews>
    <sheetView zoomScale="70" zoomScaleNormal="70" workbookViewId="0">
      <selection activeCell="B28" sqref="B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203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204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205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191</v>
      </c>
      <c r="B16" s="68">
        <f>+A11P10!D41</f>
        <v>70308</v>
      </c>
      <c r="C16" s="46">
        <v>1</v>
      </c>
      <c r="D16" s="39"/>
      <c r="E16" s="97"/>
      <c r="F16" s="8"/>
    </row>
    <row r="17" spans="1:7" ht="18" x14ac:dyDescent="0.25">
      <c r="A17" s="44" t="s">
        <v>192</v>
      </c>
      <c r="B17" s="68">
        <f>+A11P10!E41</f>
        <v>65772</v>
      </c>
      <c r="C17" s="46">
        <v>1</v>
      </c>
      <c r="D17" s="39"/>
      <c r="E17" s="97"/>
      <c r="F17" s="8"/>
    </row>
    <row r="18" spans="1:7" ht="18" x14ac:dyDescent="0.25">
      <c r="A18" s="44" t="s">
        <v>206</v>
      </c>
      <c r="B18" s="68">
        <f>+A11P10!F41</f>
        <v>70308</v>
      </c>
      <c r="C18" s="46">
        <v>1</v>
      </c>
      <c r="D18" s="39"/>
      <c r="E18" s="97"/>
      <c r="F18" s="8"/>
    </row>
    <row r="19" spans="1:7" ht="18" x14ac:dyDescent="0.25">
      <c r="A19" s="44" t="s">
        <v>207</v>
      </c>
      <c r="B19" s="68">
        <f>+A11P10!G41</f>
        <v>68040</v>
      </c>
      <c r="C19" s="49">
        <v>1</v>
      </c>
      <c r="D19" s="39"/>
      <c r="E19" s="97"/>
      <c r="F19" s="8"/>
    </row>
    <row r="20" spans="1:7" ht="18" x14ac:dyDescent="0.25">
      <c r="A20" s="44" t="s">
        <v>208</v>
      </c>
      <c r="B20" s="68">
        <f>+A11P10!H41</f>
        <v>70308</v>
      </c>
      <c r="C20" s="46">
        <v>1</v>
      </c>
      <c r="D20" s="39"/>
      <c r="E20" s="97"/>
      <c r="F20" s="8"/>
    </row>
    <row r="21" spans="1:7" ht="18" x14ac:dyDescent="0.25">
      <c r="A21" s="44" t="s">
        <v>209</v>
      </c>
      <c r="B21" s="68">
        <f>+A11P10!I41</f>
        <v>68040</v>
      </c>
      <c r="C21" s="46">
        <v>1</v>
      </c>
      <c r="D21" s="39"/>
      <c r="E21" s="97"/>
      <c r="F21" s="8"/>
    </row>
    <row r="22" spans="1:7" ht="18" x14ac:dyDescent="0.25">
      <c r="A22" s="44" t="s">
        <v>210</v>
      </c>
      <c r="B22" s="68">
        <f>+A11P10!J41</f>
        <v>70308</v>
      </c>
      <c r="C22" s="46">
        <v>1</v>
      </c>
      <c r="D22" s="39"/>
      <c r="E22" s="97"/>
      <c r="F22" s="8"/>
    </row>
    <row r="23" spans="1:7" ht="18" x14ac:dyDescent="0.25">
      <c r="A23" s="44" t="s">
        <v>211</v>
      </c>
      <c r="B23" s="68">
        <f>+A11P10!K41</f>
        <v>70308</v>
      </c>
      <c r="C23" s="49">
        <v>1</v>
      </c>
      <c r="D23" s="39"/>
      <c r="E23" s="97"/>
      <c r="F23" s="8"/>
    </row>
    <row r="24" spans="1:7" ht="18" x14ac:dyDescent="0.25">
      <c r="A24" s="44" t="s">
        <v>212</v>
      </c>
      <c r="B24" s="68">
        <f>+A11P10!L41</f>
        <v>68040</v>
      </c>
      <c r="C24" s="46">
        <v>1</v>
      </c>
      <c r="D24" s="39"/>
      <c r="E24" s="97"/>
      <c r="F24" s="8"/>
    </row>
    <row r="25" spans="1:7" ht="18" x14ac:dyDescent="0.25">
      <c r="A25" s="44" t="s">
        <v>213</v>
      </c>
      <c r="B25" s="68">
        <f>+A11P10!M41</f>
        <v>70308</v>
      </c>
      <c r="C25" s="46">
        <v>1</v>
      </c>
      <c r="D25" s="39"/>
      <c r="E25" s="97"/>
      <c r="F25" s="8"/>
    </row>
    <row r="26" spans="1:7" ht="18" x14ac:dyDescent="0.25">
      <c r="A26" s="44" t="s">
        <v>214</v>
      </c>
      <c r="B26" s="68">
        <f>+A11P10!N41</f>
        <v>68040</v>
      </c>
      <c r="C26" s="46">
        <v>1</v>
      </c>
      <c r="D26" s="39"/>
      <c r="E26" s="97"/>
      <c r="F26" s="8"/>
    </row>
    <row r="27" spans="1:7" ht="18.75" thickBot="1" x14ac:dyDescent="0.3">
      <c r="A27" s="44" t="s">
        <v>215</v>
      </c>
      <c r="B27" s="68">
        <f>+A11P10!O41</f>
        <v>70308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830088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5458-C67F-436D-B461-1EBAEE23218D}">
  <dimension ref="A1:G137"/>
  <sheetViews>
    <sheetView zoomScale="70" zoomScaleNormal="70" workbookViewId="0">
      <selection activeCell="B26" sqref="B26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.6" customHeight="1" x14ac:dyDescent="0.25">
      <c r="A2" s="101" t="s">
        <v>231</v>
      </c>
      <c r="B2" s="100"/>
      <c r="C2" s="100"/>
      <c r="D2" s="100"/>
      <c r="E2" s="100"/>
      <c r="F2" s="6"/>
      <c r="G2" s="7"/>
    </row>
    <row r="3" spans="1:7" ht="18" customHeight="1" x14ac:dyDescent="0.25">
      <c r="A3" s="100" t="s">
        <v>232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139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140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220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8"/>
      <c r="F15" s="8"/>
    </row>
    <row r="16" spans="1:7" ht="18" x14ac:dyDescent="0.25">
      <c r="A16" s="70" t="s">
        <v>221</v>
      </c>
      <c r="B16" s="68">
        <f>+A12P11!D41</f>
        <v>24528.000000000004</v>
      </c>
      <c r="C16" s="46">
        <v>1</v>
      </c>
      <c r="D16" s="72"/>
      <c r="E16" s="74"/>
      <c r="F16" s="8"/>
    </row>
    <row r="17" spans="1:7" ht="18" x14ac:dyDescent="0.25">
      <c r="A17" s="70" t="s">
        <v>222</v>
      </c>
      <c r="B17" s="68">
        <f>+A12P11!E41</f>
        <v>24595.200000000004</v>
      </c>
      <c r="C17" s="46">
        <v>1</v>
      </c>
      <c r="D17" s="72"/>
      <c r="E17" s="75"/>
      <c r="F17" s="8"/>
    </row>
    <row r="18" spans="1:7" ht="18" x14ac:dyDescent="0.25">
      <c r="A18" s="70" t="s">
        <v>223</v>
      </c>
      <c r="B18" s="68">
        <f>+A12P11!F41</f>
        <v>24528.000000000004</v>
      </c>
      <c r="C18" s="46">
        <v>1</v>
      </c>
      <c r="D18" s="72"/>
      <c r="E18" s="75"/>
      <c r="F18" s="8"/>
    </row>
    <row r="19" spans="1:7" ht="18" x14ac:dyDescent="0.25">
      <c r="A19" s="70" t="s">
        <v>224</v>
      </c>
      <c r="B19" s="68">
        <f>+A12P11!G41</f>
        <v>24528.000000000004</v>
      </c>
      <c r="C19" s="46">
        <v>1</v>
      </c>
      <c r="D19" s="72"/>
      <c r="E19" s="75"/>
      <c r="F19" s="8"/>
    </row>
    <row r="20" spans="1:7" ht="18" x14ac:dyDescent="0.25">
      <c r="A20" s="70" t="s">
        <v>225</v>
      </c>
      <c r="B20" s="68">
        <f>+A12P11!H41</f>
        <v>24528.000000000004</v>
      </c>
      <c r="C20" s="46">
        <v>1</v>
      </c>
      <c r="D20" s="72"/>
      <c r="E20" s="75"/>
      <c r="F20" s="8"/>
    </row>
    <row r="21" spans="1:7" ht="18" x14ac:dyDescent="0.25">
      <c r="A21" s="70" t="s">
        <v>226</v>
      </c>
      <c r="B21" s="68">
        <f>+A12P11!I41</f>
        <v>24595.200000000004</v>
      </c>
      <c r="C21" s="46">
        <v>1</v>
      </c>
      <c r="D21" s="72"/>
      <c r="E21" s="75"/>
      <c r="F21" s="8"/>
    </row>
    <row r="22" spans="1:7" ht="18" x14ac:dyDescent="0.25">
      <c r="A22" s="71" t="s">
        <v>227</v>
      </c>
      <c r="B22" s="68">
        <f>+A12P11!J41</f>
        <v>24528.000000000004</v>
      </c>
      <c r="C22" s="46">
        <v>1</v>
      </c>
      <c r="D22" s="72"/>
      <c r="E22" s="75"/>
      <c r="F22" s="8"/>
    </row>
    <row r="23" spans="1:7" ht="18" x14ac:dyDescent="0.25">
      <c r="A23" s="70" t="s">
        <v>228</v>
      </c>
      <c r="B23" s="68">
        <f>+A12P11!K41</f>
        <v>24528.000000000004</v>
      </c>
      <c r="C23" s="46">
        <v>1</v>
      </c>
      <c r="D23" s="72"/>
      <c r="E23" s="75"/>
      <c r="F23" s="8"/>
    </row>
    <row r="24" spans="1:7" ht="18" x14ac:dyDescent="0.25">
      <c r="A24" s="70" t="s">
        <v>229</v>
      </c>
      <c r="B24" s="68">
        <f>+A12P11!L41</f>
        <v>24528.000000000004</v>
      </c>
      <c r="C24" s="46">
        <v>1</v>
      </c>
      <c r="D24" s="72"/>
      <c r="E24" s="75"/>
      <c r="F24" s="8"/>
    </row>
    <row r="25" spans="1:7" ht="18.75" thickBot="1" x14ac:dyDescent="0.3">
      <c r="A25" s="70" t="s">
        <v>230</v>
      </c>
      <c r="B25" s="68">
        <f>+A12P11!M41</f>
        <v>24595.200000000004</v>
      </c>
      <c r="C25" s="46">
        <v>1</v>
      </c>
      <c r="D25" s="72"/>
      <c r="E25" s="76"/>
      <c r="F25" s="8"/>
    </row>
    <row r="26" spans="1:7" ht="18.75" thickBot="1" x14ac:dyDescent="0.3">
      <c r="A26" s="45" t="s">
        <v>19</v>
      </c>
      <c r="B26" s="69">
        <f>SUM(B16:B25)</f>
        <v>245481.60000000003</v>
      </c>
      <c r="C26" s="47">
        <v>1</v>
      </c>
      <c r="D26" s="40"/>
      <c r="E26" s="73"/>
      <c r="F26" s="8"/>
    </row>
    <row r="27" spans="1:7" ht="15.75" x14ac:dyDescent="0.3">
      <c r="A27" s="22"/>
      <c r="B27" s="23"/>
      <c r="C27" s="23"/>
      <c r="D27" s="24"/>
      <c r="E27" s="23"/>
      <c r="F27" s="25"/>
      <c r="G27" s="10"/>
    </row>
    <row r="28" spans="1:7" ht="16.5" x14ac:dyDescent="0.25">
      <c r="A28" s="48" t="s">
        <v>20</v>
      </c>
      <c r="B28" s="26"/>
      <c r="C28" s="26"/>
      <c r="D28" s="27"/>
      <c r="E28" s="27"/>
      <c r="F28" s="28"/>
      <c r="G28" s="29"/>
    </row>
    <row r="29" spans="1:7" ht="15.75" x14ac:dyDescent="0.25">
      <c r="A29" s="27"/>
      <c r="B29" s="27"/>
      <c r="C29" s="27"/>
      <c r="D29" s="27"/>
      <c r="E29" s="27"/>
      <c r="F29" s="30"/>
      <c r="G29" s="29"/>
    </row>
    <row r="30" spans="1:7" ht="15.75" x14ac:dyDescent="0.25">
      <c r="A30" s="99"/>
      <c r="B30" s="99"/>
      <c r="C30" s="99"/>
      <c r="D30" s="99"/>
      <c r="E30" s="99"/>
      <c r="F30" s="99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6.5" x14ac:dyDescent="0.3">
      <c r="A32" s="27"/>
      <c r="B32" s="27"/>
      <c r="C32" s="27"/>
      <c r="D32" s="27"/>
      <c r="E32" s="27"/>
      <c r="F32" s="30"/>
      <c r="G32" s="10"/>
    </row>
    <row r="33" spans="1:7" ht="16.5" x14ac:dyDescent="0.3">
      <c r="A33" s="99"/>
      <c r="B33" s="99"/>
      <c r="C33" s="99"/>
      <c r="D33" s="99"/>
      <c r="E33" s="99"/>
      <c r="F33" s="99"/>
      <c r="G33" s="10"/>
    </row>
    <row r="34" spans="1:7" ht="16.5" x14ac:dyDescent="0.3">
      <c r="A34" s="27"/>
      <c r="B34" s="30"/>
      <c r="C34" s="30"/>
      <c r="D34" s="30"/>
      <c r="E34" s="30"/>
      <c r="F34" s="30"/>
      <c r="G34" s="10"/>
    </row>
    <row r="35" spans="1:7" ht="16.5" x14ac:dyDescent="0.3">
      <c r="A35" s="31"/>
      <c r="B35" s="31"/>
      <c r="C35" s="31"/>
      <c r="D35" s="31"/>
      <c r="E35" s="27"/>
      <c r="F35" s="30"/>
      <c r="G35" s="10"/>
    </row>
    <row r="36" spans="1:7" ht="16.5" x14ac:dyDescent="0.3">
      <c r="A36" s="27"/>
      <c r="B36" s="31"/>
      <c r="C36" s="31"/>
      <c r="D36" s="31"/>
      <c r="E36" s="27"/>
      <c r="F36" s="30"/>
      <c r="G36" s="10"/>
    </row>
    <row r="37" spans="1:7" ht="16.5" x14ac:dyDescent="0.3">
      <c r="A37" s="27"/>
      <c r="B37" s="31"/>
      <c r="C37" s="31"/>
      <c r="D37" s="31"/>
      <c r="E37" s="27"/>
      <c r="F37" s="30"/>
      <c r="G37" s="10"/>
    </row>
    <row r="38" spans="1:7" ht="15.75" x14ac:dyDescent="0.3">
      <c r="A38" s="32"/>
      <c r="B38" s="33"/>
      <c r="C38" s="33"/>
      <c r="D38" s="33"/>
      <c r="E38" s="8"/>
      <c r="F38" s="28"/>
      <c r="G38" s="10"/>
    </row>
    <row r="39" spans="1:7" ht="15.75" x14ac:dyDescent="0.3">
      <c r="A39" s="8"/>
      <c r="B39" s="8"/>
      <c r="C39" s="8"/>
      <c r="D39" s="9"/>
      <c r="E39" s="8"/>
      <c r="F39" s="8"/>
      <c r="G39" s="10"/>
    </row>
    <row r="40" spans="1:7" ht="15.75" x14ac:dyDescent="0.3">
      <c r="A40" s="8"/>
      <c r="B40" s="8"/>
      <c r="C40" s="8"/>
      <c r="D40" s="9"/>
      <c r="E40" s="8"/>
      <c r="F40" s="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6.5" x14ac:dyDescent="0.3">
      <c r="A42" s="27"/>
      <c r="B42" s="27"/>
      <c r="C42" s="27"/>
      <c r="D42" s="9"/>
      <c r="E42" s="34"/>
      <c r="F42" s="8"/>
      <c r="G42" s="10"/>
    </row>
    <row r="43" spans="1:7" ht="16.5" x14ac:dyDescent="0.3">
      <c r="A43" s="27"/>
      <c r="B43" s="27"/>
      <c r="C43" s="27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8"/>
      <c r="F44" s="8"/>
      <c r="G44" s="10"/>
    </row>
    <row r="45" spans="1:7" ht="16.5" x14ac:dyDescent="0.3">
      <c r="A45" s="27"/>
      <c r="B45" s="27"/>
      <c r="C45" s="27"/>
      <c r="D45" s="9"/>
      <c r="E45" s="34"/>
      <c r="F45" s="8"/>
      <c r="G45" s="10"/>
    </row>
    <row r="46" spans="1:7" x14ac:dyDescent="0.25">
      <c r="A46" s="28"/>
      <c r="B46" s="28"/>
      <c r="C46" s="28"/>
      <c r="D46" s="28"/>
      <c r="E46" s="28"/>
      <c r="F46" s="28"/>
    </row>
    <row r="47" spans="1:7" x14ac:dyDescent="0.25">
      <c r="A47" s="28"/>
      <c r="B47" s="28"/>
      <c r="C47" s="28"/>
      <c r="D47" s="28"/>
      <c r="E47" s="28"/>
      <c r="F47" s="28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</sheetData>
  <mergeCells count="10">
    <mergeCell ref="A30:F30"/>
    <mergeCell ref="A33:F33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  <ignoredErrors>
    <ignoredError sqref="A16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A2P1 </vt:lpstr>
      <vt:lpstr>A3P2</vt:lpstr>
      <vt:lpstr>A4P3</vt:lpstr>
      <vt:lpstr>A5P4</vt:lpstr>
      <vt:lpstr>A6P5</vt:lpstr>
      <vt:lpstr>A7P6</vt:lpstr>
      <vt:lpstr>A8P7</vt:lpstr>
      <vt:lpstr>A9P8</vt:lpstr>
      <vt:lpstr>A10P9</vt:lpstr>
      <vt:lpstr>A11P10</vt:lpstr>
      <vt:lpstr>A12P11</vt:lpstr>
      <vt:lpstr>a13P1</vt:lpstr>
      <vt:lpstr>a14P2</vt:lpstr>
      <vt:lpstr>a15P3</vt:lpstr>
      <vt:lpstr>a16P4</vt:lpstr>
      <vt:lpstr>a17P5</vt:lpstr>
      <vt:lpstr>a18P6</vt:lpstr>
      <vt:lpstr>a19P7</vt:lpstr>
      <vt:lpstr>a20P8</vt:lpstr>
      <vt:lpstr>a21P9</vt:lpstr>
      <vt:lpstr>a22P10</vt:lpstr>
      <vt:lpstr>a23P11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jacosta</dc:creator>
  <cp:lastModifiedBy>Jesus Andres Perez Sanchez</cp:lastModifiedBy>
  <dcterms:created xsi:type="dcterms:W3CDTF">2009-10-23T21:44:37Z</dcterms:created>
  <dcterms:modified xsi:type="dcterms:W3CDTF">2025-06-18T15:43:54Z</dcterms:modified>
</cp:coreProperties>
</file>