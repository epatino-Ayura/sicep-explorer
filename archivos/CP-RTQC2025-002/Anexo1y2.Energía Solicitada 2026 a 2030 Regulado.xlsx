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ruitoqueesp1-my.sharepoint.com/personal/dsolano_ruitoqueesp_com/Documents/Mercado Mayorista - One Drive/10.SICEP-CONVOCATORIAS/Convocatorias 2025/CP-RTQC2025-002/Pliego de condiciones de definitivo/"/>
    </mc:Choice>
  </mc:AlternateContent>
  <xr:revisionPtr revIDLastSave="1132" documentId="13_ncr:1_{11F35ADC-379E-4BD7-8991-7E8EB018DC3C}" xr6:coauthVersionLast="47" xr6:coauthVersionMax="47" xr10:uidLastSave="{FBC12FEF-654F-4CE0-8224-02CFE7C3B069}"/>
  <bookViews>
    <workbookView xWindow="-80" yWindow="-80" windowWidth="19360" windowHeight="11440" firstSheet="1" activeTab="1" xr2:uid="{117BC80B-6DD0-4D14-894B-3D9BEC6851BA}"/>
  </bookViews>
  <sheets>
    <sheet name="Producto 1 Plano 26-30" sheetId="18" r:id="rId1"/>
    <sheet name="Anexo 2 Producto 1" sheetId="21" r:id="rId2"/>
    <sheet name="Producto 2 Curvo 26-30" sheetId="22" r:id="rId3"/>
    <sheet name="Anexo 2 Producto 2" sheetId="23" r:id="rId4"/>
  </sheets>
  <definedNames>
    <definedName name="_xlnm._FilterDatabase" localSheetId="0" hidden="1">'Producto 1 Plano 26-30'!$B$2:$B$5</definedName>
    <definedName name="_xlnm._FilterDatabase" localSheetId="2" hidden="1">'Producto 2 Curvo 26-30'!$B$2:$B$5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58" i="21" l="1"/>
  <c r="D57" i="21"/>
  <c r="D56" i="21"/>
  <c r="D55" i="21"/>
  <c r="D54" i="21"/>
  <c r="D53" i="21"/>
  <c r="D52" i="21"/>
  <c r="D51" i="21"/>
  <c r="AA54" i="22" l="1"/>
  <c r="Z54" i="22"/>
  <c r="Y54" i="22"/>
  <c r="X54" i="22"/>
  <c r="W54" i="22"/>
  <c r="V54" i="22"/>
  <c r="U54" i="22"/>
  <c r="T54" i="22"/>
  <c r="S54" i="22"/>
  <c r="R54" i="22"/>
  <c r="Q54" i="22"/>
  <c r="P54" i="22"/>
  <c r="O54" i="22"/>
  <c r="N54" i="22"/>
  <c r="M54" i="22"/>
  <c r="L54" i="22"/>
  <c r="K54" i="22"/>
  <c r="J54" i="22"/>
  <c r="I54" i="22"/>
  <c r="H54" i="22"/>
  <c r="G54" i="22"/>
  <c r="F54" i="22"/>
  <c r="E54" i="22"/>
  <c r="D54" i="22"/>
  <c r="AB53" i="22" l="1"/>
  <c r="AB52" i="22"/>
  <c r="AB51" i="22"/>
  <c r="AB50" i="22"/>
  <c r="AB49" i="22"/>
  <c r="AB48" i="22"/>
  <c r="AB47" i="22"/>
  <c r="AB46" i="22"/>
  <c r="AB45" i="22"/>
  <c r="AB44" i="22"/>
  <c r="AB43" i="22"/>
  <c r="AB42" i="22"/>
  <c r="AB41" i="22"/>
  <c r="AB40" i="22"/>
  <c r="AB39" i="22"/>
  <c r="AB38" i="22"/>
  <c r="AB37" i="22"/>
  <c r="AB36" i="22"/>
  <c r="AB35" i="22"/>
  <c r="AB34" i="22"/>
  <c r="AB33" i="22"/>
  <c r="AB32" i="22"/>
  <c r="AB31" i="22"/>
  <c r="AB30" i="22"/>
  <c r="AB29" i="22"/>
  <c r="AB28" i="22"/>
  <c r="AB27" i="22"/>
  <c r="AB26" i="22"/>
  <c r="AB25" i="22"/>
  <c r="AB24" i="22"/>
  <c r="AB23" i="22"/>
  <c r="AB22" i="22"/>
  <c r="AB21" i="22"/>
  <c r="AB20" i="22"/>
  <c r="AB19" i="22"/>
  <c r="AB18" i="22"/>
  <c r="AB17" i="22"/>
  <c r="AB16" i="22"/>
  <c r="AB15" i="22"/>
  <c r="AB14" i="22"/>
  <c r="AB13" i="22"/>
  <c r="AB12" i="22"/>
  <c r="AB11" i="22"/>
  <c r="AB10" i="22"/>
  <c r="AB9" i="22"/>
  <c r="AB8" i="22"/>
  <c r="AB7" i="22"/>
  <c r="AB6" i="22"/>
  <c r="AD6" i="22" s="1"/>
  <c r="AD38" i="22" l="1"/>
  <c r="AD14" i="22"/>
  <c r="AE14" i="22"/>
  <c r="D19" i="23" s="1"/>
  <c r="AD22" i="22"/>
  <c r="F11" i="23"/>
  <c r="AE6" i="22"/>
  <c r="D11" i="23" s="1"/>
  <c r="F19" i="23"/>
  <c r="AD34" i="22"/>
  <c r="AD46" i="22"/>
  <c r="AD30" i="22"/>
  <c r="AD10" i="22"/>
  <c r="AD18" i="22"/>
  <c r="AD26" i="22"/>
  <c r="AD42" i="22"/>
  <c r="AD50" i="22"/>
  <c r="AE16" i="22" l="1"/>
  <c r="D21" i="23" s="1"/>
  <c r="AE17" i="22"/>
  <c r="D22" i="23" s="1"/>
  <c r="F22" i="23" s="1"/>
  <c r="AE9" i="22"/>
  <c r="D14" i="23" s="1"/>
  <c r="AE7" i="22"/>
  <c r="D12" i="23" s="1"/>
  <c r="F12" i="23" s="1"/>
  <c r="AE10" i="22"/>
  <c r="D15" i="23" s="1"/>
  <c r="F15" i="23" s="1"/>
  <c r="AE13" i="22"/>
  <c r="D18" i="23" s="1"/>
  <c r="F18" i="23" s="1"/>
  <c r="AE15" i="22"/>
  <c r="D20" i="23" s="1"/>
  <c r="F20" i="23" s="1"/>
  <c r="AE11" i="22"/>
  <c r="D16" i="23" s="1"/>
  <c r="F16" i="23" s="1"/>
  <c r="AE12" i="22"/>
  <c r="D17" i="23" s="1"/>
  <c r="F17" i="23" s="1"/>
  <c r="AE8" i="22"/>
  <c r="D13" i="23" s="1"/>
  <c r="F13" i="23" s="1"/>
  <c r="F21" i="23"/>
  <c r="F14" i="23"/>
  <c r="AD54" i="22"/>
  <c r="H22" i="23"/>
  <c r="AB197" i="18"/>
  <c r="AB196" i="18"/>
  <c r="AB195" i="18"/>
  <c r="AB194" i="18"/>
  <c r="AD194" i="18" s="1"/>
  <c r="AB193" i="18"/>
  <c r="AB192" i="18"/>
  <c r="AB191" i="18"/>
  <c r="AB190" i="18"/>
  <c r="AB189" i="18"/>
  <c r="AB188" i="18"/>
  <c r="AB187" i="18"/>
  <c r="AB186" i="18"/>
  <c r="AB185" i="18"/>
  <c r="AB184" i="18"/>
  <c r="AB183" i="18"/>
  <c r="AB182" i="18"/>
  <c r="AB181" i="18"/>
  <c r="AB180" i="18"/>
  <c r="AB179" i="18"/>
  <c r="AB178" i="18"/>
  <c r="AD178" i="18" s="1"/>
  <c r="AB177" i="18"/>
  <c r="AB176" i="18"/>
  <c r="AB175" i="18"/>
  <c r="AB174" i="18"/>
  <c r="AB173" i="18"/>
  <c r="AB172" i="18"/>
  <c r="AB171" i="18"/>
  <c r="AB170" i="18"/>
  <c r="AB169" i="18"/>
  <c r="AB168" i="18"/>
  <c r="AB167" i="18"/>
  <c r="AB166" i="18"/>
  <c r="AB165" i="18"/>
  <c r="AB164" i="18"/>
  <c r="AB163" i="18"/>
  <c r="AB162" i="18"/>
  <c r="AB161" i="18"/>
  <c r="AB160" i="18"/>
  <c r="AB159" i="18"/>
  <c r="AB158" i="18"/>
  <c r="AB157" i="18"/>
  <c r="AB156" i="18"/>
  <c r="AB155" i="18"/>
  <c r="AB154" i="18"/>
  <c r="AB153" i="18"/>
  <c r="AB152" i="18"/>
  <c r="AB151" i="18"/>
  <c r="AB150" i="18"/>
  <c r="AB149" i="18"/>
  <c r="AB148" i="18"/>
  <c r="AB147" i="18"/>
  <c r="AB146" i="18"/>
  <c r="AB145" i="18"/>
  <c r="AB144" i="18"/>
  <c r="AB143" i="18"/>
  <c r="AB142" i="18"/>
  <c r="AB141" i="18"/>
  <c r="AB140" i="18"/>
  <c r="AB139" i="18"/>
  <c r="AB138" i="18"/>
  <c r="AB137" i="18"/>
  <c r="AB136" i="18"/>
  <c r="AB135" i="18"/>
  <c r="AB134" i="18"/>
  <c r="AB133" i="18"/>
  <c r="AB132" i="18"/>
  <c r="AB131" i="18"/>
  <c r="AB130" i="18"/>
  <c r="AB129" i="18"/>
  <c r="AB128" i="18"/>
  <c r="AB127" i="18"/>
  <c r="AB126" i="18"/>
  <c r="AB125" i="18"/>
  <c r="AB124" i="18"/>
  <c r="AB123" i="18"/>
  <c r="AB122" i="18"/>
  <c r="AB121" i="18"/>
  <c r="AB120" i="18"/>
  <c r="AB119" i="18"/>
  <c r="AB118" i="18"/>
  <c r="AB117" i="18"/>
  <c r="AB116" i="18"/>
  <c r="AB115" i="18"/>
  <c r="AB114" i="18"/>
  <c r="AB113" i="18"/>
  <c r="AB112" i="18"/>
  <c r="AB111" i="18"/>
  <c r="AB110" i="18"/>
  <c r="AB109" i="18"/>
  <c r="AB108" i="18"/>
  <c r="AB107" i="18"/>
  <c r="AB106" i="18"/>
  <c r="AD106" i="18" s="1"/>
  <c r="AB105" i="18"/>
  <c r="AB104" i="18"/>
  <c r="AB103" i="18"/>
  <c r="AB102" i="18"/>
  <c r="AB101" i="18"/>
  <c r="AB100" i="18"/>
  <c r="AB99" i="18"/>
  <c r="AB98" i="18"/>
  <c r="AB97" i="18"/>
  <c r="AB96" i="18"/>
  <c r="AB95" i="18"/>
  <c r="AB94" i="18"/>
  <c r="AB93" i="18"/>
  <c r="AB92" i="18"/>
  <c r="AB91" i="18"/>
  <c r="AB90" i="18"/>
  <c r="AB89" i="18"/>
  <c r="AB88" i="18"/>
  <c r="AB87" i="18"/>
  <c r="AB86" i="18"/>
  <c r="AB85" i="18"/>
  <c r="AB84" i="18"/>
  <c r="AB83" i="18"/>
  <c r="AB82" i="18"/>
  <c r="AB81" i="18"/>
  <c r="AB80" i="18"/>
  <c r="AB79" i="18"/>
  <c r="AB78" i="18"/>
  <c r="AB77" i="18"/>
  <c r="AB76" i="18"/>
  <c r="AB75" i="18"/>
  <c r="AB74" i="18"/>
  <c r="AB73" i="18"/>
  <c r="AB72" i="18"/>
  <c r="AB71" i="18"/>
  <c r="AB70" i="18"/>
  <c r="AB69" i="18"/>
  <c r="AB68" i="18"/>
  <c r="AB67" i="18"/>
  <c r="AB66" i="18"/>
  <c r="AB65" i="18"/>
  <c r="AB64" i="18"/>
  <c r="AB63" i="18"/>
  <c r="AB62" i="18"/>
  <c r="AB61" i="18"/>
  <c r="AB60" i="18"/>
  <c r="AB59" i="18"/>
  <c r="AB58" i="18"/>
  <c r="AB57" i="18"/>
  <c r="AB56" i="18"/>
  <c r="AB55" i="18"/>
  <c r="AB54" i="18"/>
  <c r="AB53" i="18"/>
  <c r="AB52" i="18"/>
  <c r="AB51" i="18"/>
  <c r="AB50" i="18"/>
  <c r="AB49" i="18"/>
  <c r="AB48" i="18"/>
  <c r="AB47" i="18"/>
  <c r="AB46" i="18"/>
  <c r="AB45" i="18"/>
  <c r="AB44" i="18"/>
  <c r="AB43" i="18"/>
  <c r="AB42" i="18"/>
  <c r="AB41" i="18"/>
  <c r="AB40" i="18"/>
  <c r="AB39" i="18"/>
  <c r="AB38" i="18"/>
  <c r="AB37" i="18"/>
  <c r="AB36" i="18"/>
  <c r="AB35" i="18"/>
  <c r="AB34" i="18"/>
  <c r="AB33" i="18"/>
  <c r="AB32" i="18"/>
  <c r="AB31" i="18"/>
  <c r="AB30" i="18"/>
  <c r="AB29" i="18"/>
  <c r="AB28" i="18"/>
  <c r="AB27" i="18"/>
  <c r="AB26" i="18"/>
  <c r="AB25" i="18"/>
  <c r="AB24" i="18"/>
  <c r="AB23" i="18"/>
  <c r="AB22" i="18"/>
  <c r="AB21" i="18"/>
  <c r="AB20" i="18"/>
  <c r="AB19" i="18"/>
  <c r="AB18" i="18"/>
  <c r="AB17" i="18"/>
  <c r="AB16" i="18"/>
  <c r="AB15" i="18"/>
  <c r="AB14" i="18"/>
  <c r="AB13" i="18"/>
  <c r="AB12" i="18"/>
  <c r="AB11" i="18"/>
  <c r="AB10" i="18"/>
  <c r="AB9" i="18"/>
  <c r="AB8" i="18"/>
  <c r="AB7" i="18"/>
  <c r="AB6" i="18"/>
  <c r="AD138" i="18" l="1"/>
  <c r="AD114" i="18"/>
  <c r="AD130" i="18"/>
  <c r="AD90" i="18"/>
  <c r="AE37" i="18"/>
  <c r="D42" i="21" s="1"/>
  <c r="F42" i="21" s="1"/>
  <c r="F58" i="21"/>
  <c r="AE53" i="18"/>
  <c r="AE27" i="18"/>
  <c r="D32" i="21" s="1"/>
  <c r="F32" i="21" s="1"/>
  <c r="AE39" i="18"/>
  <c r="D44" i="21" s="1"/>
  <c r="F44" i="21" s="1"/>
  <c r="AE31" i="18"/>
  <c r="D36" i="21" s="1"/>
  <c r="F36" i="21" s="1"/>
  <c r="AE33" i="18"/>
  <c r="D38" i="21" s="1"/>
  <c r="F38" i="21" s="1"/>
  <c r="AD146" i="18"/>
  <c r="F54" i="21"/>
  <c r="AE49" i="18"/>
  <c r="AD58" i="18"/>
  <c r="AD98" i="18"/>
  <c r="AD186" i="18"/>
  <c r="AD122" i="18"/>
  <c r="D23" i="23"/>
  <c r="AD154" i="18"/>
  <c r="AD182" i="18"/>
  <c r="AD162" i="18"/>
  <c r="AD170" i="18"/>
  <c r="AD190" i="18"/>
  <c r="AD150" i="18"/>
  <c r="AD158" i="18"/>
  <c r="AD166" i="18"/>
  <c r="AD174" i="18"/>
  <c r="AD134" i="18"/>
  <c r="AD142" i="18"/>
  <c r="AD94" i="18"/>
  <c r="AD102" i="18"/>
  <c r="AD110" i="18"/>
  <c r="AD118" i="18"/>
  <c r="AD126" i="18"/>
  <c r="AD66" i="18"/>
  <c r="AD74" i="18"/>
  <c r="AD82" i="18"/>
  <c r="AD54" i="18"/>
  <c r="AD62" i="18"/>
  <c r="AD70" i="18"/>
  <c r="AD78" i="18"/>
  <c r="AD86" i="18"/>
  <c r="AD38" i="18"/>
  <c r="AE14" i="18" s="1"/>
  <c r="D19" i="21" s="1"/>
  <c r="AD34" i="18"/>
  <c r="AE13" i="18" s="1"/>
  <c r="D18" i="21" s="1"/>
  <c r="AD6" i="18"/>
  <c r="AE6" i="18" s="1"/>
  <c r="D11" i="21" s="1"/>
  <c r="AD30" i="18"/>
  <c r="AE12" i="18" s="1"/>
  <c r="D17" i="21" s="1"/>
  <c r="AD14" i="18"/>
  <c r="AE8" i="18" s="1"/>
  <c r="D13" i="21" s="1"/>
  <c r="AD22" i="18"/>
  <c r="AE10" i="18" s="1"/>
  <c r="D15" i="21" s="1"/>
  <c r="AD46" i="18"/>
  <c r="AE16" i="18" s="1"/>
  <c r="D21" i="21" s="1"/>
  <c r="AD10" i="18"/>
  <c r="AE7" i="18" s="1"/>
  <c r="D12" i="21" s="1"/>
  <c r="AD18" i="18"/>
  <c r="AE9" i="18" s="1"/>
  <c r="D14" i="21" s="1"/>
  <c r="AD26" i="18"/>
  <c r="AE11" i="18" s="1"/>
  <c r="D16" i="21" s="1"/>
  <c r="AD42" i="18"/>
  <c r="AE15" i="18" s="1"/>
  <c r="D20" i="21" s="1"/>
  <c r="AD50" i="18"/>
  <c r="AE17" i="18" s="1"/>
  <c r="D22" i="21" s="1"/>
  <c r="AE22" i="18" l="1"/>
  <c r="D27" i="21" s="1"/>
  <c r="F27" i="21" s="1"/>
  <c r="F56" i="21"/>
  <c r="AE51" i="18"/>
  <c r="AE19" i="18"/>
  <c r="D24" i="21" s="1"/>
  <c r="F24" i="21" s="1"/>
  <c r="AE32" i="18"/>
  <c r="D37" i="21" s="1"/>
  <c r="F37" i="21" s="1"/>
  <c r="AE30" i="18"/>
  <c r="D35" i="21" s="1"/>
  <c r="AE40" i="18"/>
  <c r="D45" i="21" s="1"/>
  <c r="F45" i="21" s="1"/>
  <c r="AE38" i="18"/>
  <c r="D43" i="21" s="1"/>
  <c r="F43" i="21" s="1"/>
  <c r="F53" i="21"/>
  <c r="AE48" i="18"/>
  <c r="F51" i="21"/>
  <c r="AE46" i="18"/>
  <c r="AE43" i="18"/>
  <c r="D48" i="21" s="1"/>
  <c r="F48" i="21" s="1"/>
  <c r="AE35" i="18"/>
  <c r="D40" i="21" s="1"/>
  <c r="F40" i="21" s="1"/>
  <c r="AE23" i="18"/>
  <c r="D28" i="21" s="1"/>
  <c r="F28" i="21" s="1"/>
  <c r="AE36" i="18"/>
  <c r="D41" i="21" s="1"/>
  <c r="F41" i="21" s="1"/>
  <c r="AE41" i="18"/>
  <c r="D46" i="21" s="1"/>
  <c r="F46" i="21" s="1"/>
  <c r="AE28" i="18"/>
  <c r="D33" i="21" s="1"/>
  <c r="F33" i="21" s="1"/>
  <c r="F50" i="21"/>
  <c r="AE45" i="18"/>
  <c r="D50" i="21" s="1"/>
  <c r="AE24" i="18"/>
  <c r="D29" i="21" s="1"/>
  <c r="F29" i="21" s="1"/>
  <c r="AE20" i="18"/>
  <c r="D25" i="21" s="1"/>
  <c r="AE18" i="18"/>
  <c r="D23" i="21" s="1"/>
  <c r="AE25" i="18"/>
  <c r="D30" i="21" s="1"/>
  <c r="F30" i="21" s="1"/>
  <c r="AE29" i="18"/>
  <c r="D34" i="21" s="1"/>
  <c r="F34" i="21" s="1"/>
  <c r="AE21" i="18"/>
  <c r="D26" i="21" s="1"/>
  <c r="F26" i="21" s="1"/>
  <c r="AE34" i="18"/>
  <c r="D39" i="21" s="1"/>
  <c r="F39" i="21" s="1"/>
  <c r="AE44" i="18"/>
  <c r="D49" i="21" s="1"/>
  <c r="F49" i="21" s="1"/>
  <c r="AE42" i="18"/>
  <c r="D47" i="21" s="1"/>
  <c r="H58" i="21" s="1"/>
  <c r="F57" i="21"/>
  <c r="AE52" i="18"/>
  <c r="F52" i="21"/>
  <c r="AE47" i="18"/>
  <c r="AE26" i="18"/>
  <c r="D31" i="21" s="1"/>
  <c r="F31" i="21" s="1"/>
  <c r="F55" i="21"/>
  <c r="AE50" i="18"/>
  <c r="F23" i="21"/>
  <c r="AD198" i="18"/>
  <c r="H46" i="21" l="1"/>
  <c r="F47" i="21"/>
  <c r="H34" i="21"/>
  <c r="F35" i="21"/>
  <c r="F25" i="21"/>
  <c r="D59" i="21"/>
  <c r="F22" i="21"/>
  <c r="F16" i="21"/>
  <c r="F17" i="21"/>
  <c r="F13" i="21"/>
  <c r="F15" i="21"/>
  <c r="F19" i="21"/>
  <c r="F20" i="21"/>
  <c r="F12" i="21"/>
  <c r="F14" i="21"/>
  <c r="F18" i="21"/>
  <c r="F21" i="21"/>
  <c r="H22" i="21"/>
  <c r="F11" i="21"/>
</calcChain>
</file>

<file path=xl/sharedStrings.xml><?xml version="1.0" encoding="utf-8"?>
<sst xmlns="http://schemas.openxmlformats.org/spreadsheetml/2006/main" count="348" uniqueCount="46">
  <si>
    <t>ANEXO 1 - CANTIDADES DE  ENERGÍA SOLICITADA EN kWh</t>
  </si>
  <si>
    <t>DIA</t>
  </si>
  <si>
    <t>Total</t>
  </si>
  <si>
    <t>No. DÍAS</t>
  </si>
  <si>
    <t>domingo</t>
  </si>
  <si>
    <t>Hábil</t>
  </si>
  <si>
    <t>Sábado</t>
  </si>
  <si>
    <t>Domingo</t>
  </si>
  <si>
    <t>Festivo</t>
  </si>
  <si>
    <t>NOMBRE DEL OFERENTE</t>
  </si>
  <si>
    <t xml:space="preserve"> PRECIOS Y CANTIDADES DE ENERGIA OFERTADA</t>
  </si>
  <si>
    <t>PRODUCTO  1</t>
  </si>
  <si>
    <t>AÑO</t>
  </si>
  <si>
    <t>MES</t>
  </si>
  <si>
    <t>E. Solicitada
[kWh]</t>
  </si>
  <si>
    <t>% E. Ofertado</t>
  </si>
  <si>
    <t>E. Ofertada
[kWh]</t>
  </si>
  <si>
    <t>$/kWh</t>
  </si>
  <si>
    <t>Junio</t>
  </si>
  <si>
    <t>Julio</t>
  </si>
  <si>
    <t>Agosto</t>
  </si>
  <si>
    <t>Septiembre</t>
  </si>
  <si>
    <t>Octubre</t>
  </si>
  <si>
    <t>Noviembre</t>
  </si>
  <si>
    <t>Diciembre</t>
  </si>
  <si>
    <t>Enero</t>
  </si>
  <si>
    <t>Febrero</t>
  </si>
  <si>
    <t>Marzo</t>
  </si>
  <si>
    <t>Abril</t>
  </si>
  <si>
    <t>Mayo</t>
  </si>
  <si>
    <t>E. Solicitada = Energía solicitada por RUITOQUE para el producto.</t>
  </si>
  <si>
    <t>% E. Ofertado = Porcentaje de energía ofertado por el agente respecto a la E. Solicitada.</t>
  </si>
  <si>
    <t>E. Ofertada = Energía ofertada por el agente, producto de la E. Solicitada y el % E. Ofertado.</t>
  </si>
  <si>
    <t>$/kWh = Tarifa de la oferta para todas las horas del mes.</t>
  </si>
  <si>
    <t>PRODUCTO 1</t>
  </si>
  <si>
    <t>Total Producto 1</t>
  </si>
  <si>
    <t>ANEXO 2 - OFERTA PRODUCTO 1</t>
  </si>
  <si>
    <t>PERIODO  01 DE ENERO DEL 2026 A DICIEMBRE 31 DE 2030</t>
  </si>
  <si>
    <t>PERIODO 2026 - 2030</t>
  </si>
  <si>
    <t>ANEXO 2 - OFERTA PRODUCTO 2</t>
  </si>
  <si>
    <t>PRODUCTO  2</t>
  </si>
  <si>
    <t>PRODUCTO 2</t>
  </si>
  <si>
    <t>EN PESOS DE ABRIL 2025</t>
  </si>
  <si>
    <t>PERIODO  01 DE ENERO DEL 2027 A DICIEMBRE 31 DE 2027</t>
  </si>
  <si>
    <t>PERIODO 2027</t>
  </si>
  <si>
    <t>Total Producto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</si>
</sst>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* #,##0_-;\-* #,##0_-;_-* &quot;-&quot;??_-;_-@_-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8"/>
      <color indexed="9"/>
      <name val="Arial"/>
      <family val="2"/>
    </font>
    <font>
      <sz val="8"/>
      <name val="Arial"/>
      <family val="2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Arial"/>
      <family val="2"/>
    </font>
    <font>
      <b/>
      <sz val="12"/>
      <color theme="1"/>
      <name val="Arial"/>
      <family val="2"/>
    </font>
    <font>
      <b/>
      <sz val="10"/>
      <name val="DIN-Regular"/>
      <family val="2"/>
    </font>
    <font>
      <b/>
      <sz val="10"/>
      <color theme="0"/>
      <name val="DIN-Regular"/>
    </font>
    <font>
      <sz val="10"/>
      <name val="DIN-Regular"/>
      <family val="2"/>
    </font>
    <font>
      <b/>
      <sz val="10"/>
      <color theme="1"/>
      <name val="DIN-Regula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2060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11">
    <xf numFmtId="0" fontId="0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/>
    <xf numFmtId="0" fontId="1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81">
    <xf numFmtId="0" fontId="0" fillId="0" borderId="0" xfId="0"/>
    <xf numFmtId="17" fontId="5" fillId="0" borderId="1" xfId="0" applyNumberFormat="1" applyFont="1" applyBorder="1" applyAlignment="1">
      <alignment horizontal="center" vertical="center"/>
    </xf>
    <xf numFmtId="41" fontId="0" fillId="0" borderId="1" xfId="1" applyFont="1" applyBorder="1"/>
    <xf numFmtId="3" fontId="7" fillId="0" borderId="1" xfId="0" applyNumberFormat="1" applyFont="1" applyBorder="1" applyAlignment="1">
      <alignment horizontal="center" vertical="center"/>
    </xf>
    <xf numFmtId="0" fontId="8" fillId="0" borderId="0" xfId="0" applyFont="1"/>
    <xf numFmtId="3" fontId="7" fillId="0" borderId="4" xfId="0" applyNumberFormat="1" applyFont="1" applyBorder="1" applyAlignment="1">
      <alignment horizontal="center" vertical="center"/>
    </xf>
    <xf numFmtId="3" fontId="7" fillId="0" borderId="11" xfId="0" applyNumberFormat="1" applyFont="1" applyBorder="1" applyAlignment="1">
      <alignment horizontal="center" vertical="center"/>
    </xf>
    <xf numFmtId="41" fontId="0" fillId="0" borderId="4" xfId="1" applyFont="1" applyBorder="1"/>
    <xf numFmtId="17" fontId="5" fillId="0" borderId="4" xfId="0" applyNumberFormat="1" applyFont="1" applyBorder="1" applyAlignment="1">
      <alignment horizontal="center" vertical="center"/>
    </xf>
    <xf numFmtId="17" fontId="5" fillId="0" borderId="11" xfId="0" applyNumberFormat="1" applyFont="1" applyBorder="1" applyAlignment="1">
      <alignment horizontal="center" vertical="center"/>
    </xf>
    <xf numFmtId="41" fontId="0" fillId="0" borderId="11" xfId="1" applyFont="1" applyBorder="1"/>
    <xf numFmtId="41" fontId="0" fillId="0" borderId="3" xfId="1" applyFont="1" applyBorder="1"/>
    <xf numFmtId="41" fontId="0" fillId="0" borderId="7" xfId="1" applyFont="1" applyBorder="1"/>
    <xf numFmtId="41" fontId="0" fillId="0" borderId="10" xfId="1" applyFont="1" applyBorder="1"/>
    <xf numFmtId="3" fontId="5" fillId="6" borderId="14" xfId="0" applyNumberFormat="1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 wrapText="1"/>
    </xf>
    <xf numFmtId="3" fontId="2" fillId="0" borderId="13" xfId="0" applyNumberFormat="1" applyFont="1" applyBorder="1"/>
    <xf numFmtId="0" fontId="0" fillId="8" borderId="0" xfId="0" applyFill="1"/>
    <xf numFmtId="0" fontId="12" fillId="0" borderId="24" xfId="0" applyFont="1" applyBorder="1" applyAlignment="1">
      <alignment horizontal="center" vertical="center" wrapText="1"/>
    </xf>
    <xf numFmtId="0" fontId="12" fillId="0" borderId="29" xfId="0" applyFont="1" applyBorder="1" applyAlignment="1">
      <alignment horizontal="center" vertical="center" wrapText="1"/>
    </xf>
    <xf numFmtId="0" fontId="12" fillId="0" borderId="30" xfId="0" applyFont="1" applyBorder="1" applyAlignment="1">
      <alignment horizontal="center" vertical="center" wrapText="1"/>
    </xf>
    <xf numFmtId="0" fontId="12" fillId="0" borderId="31" xfId="0" applyFont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41" fontId="14" fillId="0" borderId="32" xfId="1" applyFont="1" applyBorder="1" applyAlignment="1">
      <alignment horizontal="center" vertical="center"/>
    </xf>
    <xf numFmtId="0" fontId="14" fillId="0" borderId="34" xfId="0" applyFont="1" applyBorder="1" applyAlignment="1">
      <alignment horizontal="center" vertical="center"/>
    </xf>
    <xf numFmtId="0" fontId="14" fillId="0" borderId="32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41" fontId="14" fillId="0" borderId="35" xfId="1" applyFont="1" applyBorder="1" applyAlignment="1">
      <alignment horizontal="center" vertical="center"/>
    </xf>
    <xf numFmtId="0" fontId="14" fillId="0" borderId="36" xfId="0" applyFont="1" applyBorder="1" applyAlignment="1">
      <alignment horizontal="center" vertical="center"/>
    </xf>
    <xf numFmtId="0" fontId="14" fillId="0" borderId="35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41" fontId="14" fillId="0" borderId="37" xfId="1" applyFont="1" applyBorder="1" applyAlignment="1">
      <alignment horizontal="center" vertical="center"/>
    </xf>
    <xf numFmtId="41" fontId="2" fillId="0" borderId="28" xfId="1" applyFont="1" applyBorder="1"/>
    <xf numFmtId="4" fontId="4" fillId="2" borderId="14" xfId="0" applyNumberFormat="1" applyFont="1" applyFill="1" applyBorder="1" applyAlignment="1">
      <alignment horizontal="center" vertical="center"/>
    </xf>
    <xf numFmtId="4" fontId="5" fillId="2" borderId="15" xfId="0" applyNumberFormat="1" applyFont="1" applyFill="1" applyBorder="1" applyAlignment="1">
      <alignment horizontal="center" vertical="center"/>
    </xf>
    <xf numFmtId="3" fontId="5" fillId="3" borderId="15" xfId="0" applyNumberFormat="1" applyFont="1" applyFill="1" applyBorder="1" applyAlignment="1">
      <alignment horizontal="center" vertical="center"/>
    </xf>
    <xf numFmtId="3" fontId="6" fillId="4" borderId="15" xfId="0" applyNumberFormat="1" applyFont="1" applyFill="1" applyBorder="1" applyAlignment="1">
      <alignment horizontal="center" vertical="center"/>
    </xf>
    <xf numFmtId="3" fontId="6" fillId="5" borderId="15" xfId="0" applyNumberFormat="1" applyFont="1" applyFill="1" applyBorder="1" applyAlignment="1">
      <alignment horizontal="center" vertical="center"/>
    </xf>
    <xf numFmtId="3" fontId="5" fillId="3" borderId="38" xfId="0" applyNumberFormat="1" applyFont="1" applyFill="1" applyBorder="1" applyAlignment="1">
      <alignment horizontal="center" vertical="center"/>
    </xf>
    <xf numFmtId="164" fontId="0" fillId="8" borderId="0" xfId="9" applyNumberFormat="1" applyFont="1" applyFill="1"/>
    <xf numFmtId="41" fontId="0" fillId="0" borderId="0" xfId="0" applyNumberFormat="1"/>
    <xf numFmtId="0" fontId="16" fillId="0" borderId="0" xfId="0" applyFont="1"/>
    <xf numFmtId="3" fontId="16" fillId="0" borderId="0" xfId="0" applyNumberFormat="1" applyFont="1"/>
    <xf numFmtId="17" fontId="4" fillId="0" borderId="2" xfId="0" applyNumberFormat="1" applyFont="1" applyBorder="1" applyAlignment="1">
      <alignment horizontal="center" vertical="center" wrapText="1"/>
    </xf>
    <xf numFmtId="17" fontId="4" fillId="0" borderId="6" xfId="0" applyNumberFormat="1" applyFont="1" applyBorder="1" applyAlignment="1">
      <alignment horizontal="center" vertical="center" wrapText="1"/>
    </xf>
    <xf numFmtId="17" fontId="4" fillId="0" borderId="9" xfId="0" applyNumberFormat="1" applyFont="1" applyBorder="1" applyAlignment="1">
      <alignment horizontal="center" vertical="center" wrapText="1"/>
    </xf>
    <xf numFmtId="3" fontId="5" fillId="7" borderId="5" xfId="0" applyNumberFormat="1" applyFont="1" applyFill="1" applyBorder="1" applyAlignment="1">
      <alignment horizontal="center" vertical="center"/>
    </xf>
    <xf numFmtId="3" fontId="5" fillId="7" borderId="8" xfId="0" applyNumberFormat="1" applyFont="1" applyFill="1" applyBorder="1" applyAlignment="1">
      <alignment horizontal="center" vertical="center"/>
    </xf>
    <xf numFmtId="3" fontId="5" fillId="7" borderId="12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17" fontId="12" fillId="0" borderId="21" xfId="0" applyNumberFormat="1" applyFont="1" applyBorder="1" applyAlignment="1">
      <alignment horizontal="center" vertical="center"/>
    </xf>
    <xf numFmtId="17" fontId="12" fillId="0" borderId="22" xfId="0" applyNumberFormat="1" applyFont="1" applyBorder="1" applyAlignment="1">
      <alignment horizontal="center" vertical="center"/>
    </xf>
    <xf numFmtId="0" fontId="12" fillId="0" borderId="16" xfId="0" applyFont="1" applyBorder="1" applyAlignment="1">
      <alignment horizontal="center"/>
    </xf>
    <xf numFmtId="0" fontId="12" fillId="0" borderId="17" xfId="0" applyFont="1" applyBorder="1" applyAlignment="1">
      <alignment horizontal="center"/>
    </xf>
    <xf numFmtId="0" fontId="12" fillId="0" borderId="18" xfId="0" applyFont="1" applyBorder="1" applyAlignment="1">
      <alignment horizontal="center"/>
    </xf>
    <xf numFmtId="0" fontId="12" fillId="9" borderId="19" xfId="0" applyFont="1" applyFill="1" applyBorder="1" applyAlignment="1">
      <alignment horizontal="center"/>
    </xf>
    <xf numFmtId="0" fontId="12" fillId="9" borderId="0" xfId="0" applyFont="1" applyFill="1" applyAlignment="1">
      <alignment horizontal="center"/>
    </xf>
    <xf numFmtId="0" fontId="12" fillId="9" borderId="20" xfId="0" applyFont="1" applyFill="1" applyBorder="1" applyAlignment="1">
      <alignment horizontal="center"/>
    </xf>
    <xf numFmtId="0" fontId="12" fillId="8" borderId="19" xfId="0" applyFont="1" applyFill="1" applyBorder="1" applyAlignment="1">
      <alignment horizontal="center"/>
    </xf>
    <xf numFmtId="0" fontId="12" fillId="8" borderId="0" xfId="0" applyFont="1" applyFill="1" applyAlignment="1">
      <alignment horizontal="center"/>
    </xf>
    <xf numFmtId="0" fontId="12" fillId="8" borderId="20" xfId="0" applyFont="1" applyFill="1" applyBorder="1" applyAlignment="1">
      <alignment horizontal="center"/>
    </xf>
    <xf numFmtId="0" fontId="12" fillId="8" borderId="21" xfId="0" applyFont="1" applyFill="1" applyBorder="1" applyAlignment="1">
      <alignment horizontal="center"/>
    </xf>
    <xf numFmtId="0" fontId="12" fillId="8" borderId="22" xfId="0" applyFont="1" applyFill="1" applyBorder="1" applyAlignment="1">
      <alignment horizontal="center"/>
    </xf>
    <xf numFmtId="0" fontId="12" fillId="8" borderId="23" xfId="0" applyFont="1" applyFill="1" applyBorder="1" applyAlignment="1">
      <alignment horizontal="center"/>
    </xf>
    <xf numFmtId="0" fontId="13" fillId="11" borderId="24" xfId="0" applyFont="1" applyFill="1" applyBorder="1" applyAlignment="1">
      <alignment horizontal="center" vertical="center"/>
    </xf>
    <xf numFmtId="0" fontId="13" fillId="11" borderId="25" xfId="0" applyFont="1" applyFill="1" applyBorder="1" applyAlignment="1">
      <alignment horizontal="center" vertical="center"/>
    </xf>
    <xf numFmtId="0" fontId="13" fillId="11" borderId="26" xfId="0" applyFont="1" applyFill="1" applyBorder="1" applyAlignment="1">
      <alignment horizontal="center" vertical="center"/>
    </xf>
    <xf numFmtId="0" fontId="12" fillId="0" borderId="27" xfId="0" applyFont="1" applyBorder="1" applyAlignment="1">
      <alignment horizontal="center" vertical="center" wrapText="1"/>
    </xf>
    <xf numFmtId="0" fontId="12" fillId="0" borderId="28" xfId="0" applyFont="1" applyBorder="1" applyAlignment="1">
      <alignment horizontal="center" vertical="center" wrapText="1"/>
    </xf>
    <xf numFmtId="0" fontId="12" fillId="0" borderId="21" xfId="0" applyFont="1" applyBorder="1" applyAlignment="1">
      <alignment horizontal="center" vertical="center" wrapText="1"/>
    </xf>
    <xf numFmtId="0" fontId="12" fillId="0" borderId="17" xfId="0" applyFont="1" applyBorder="1" applyAlignment="1">
      <alignment horizontal="center" vertical="center" wrapText="1"/>
    </xf>
    <xf numFmtId="0" fontId="12" fillId="0" borderId="18" xfId="0" applyFont="1" applyBorder="1" applyAlignment="1">
      <alignment horizontal="center" vertical="center" wrapText="1"/>
    </xf>
    <xf numFmtId="9" fontId="15" fillId="10" borderId="33" xfId="8" applyFont="1" applyFill="1" applyBorder="1" applyAlignment="1">
      <alignment horizontal="center" vertical="center"/>
    </xf>
    <xf numFmtId="9" fontId="15" fillId="10" borderId="28" xfId="8" applyFont="1" applyFill="1" applyBorder="1" applyAlignment="1">
      <alignment horizontal="center" vertical="center"/>
    </xf>
    <xf numFmtId="3" fontId="17" fillId="0" borderId="0" xfId="0" applyNumberFormat="1" applyFont="1"/>
    <xf numFmtId="164" fontId="17" fillId="0" borderId="0" xfId="9" applyNumberFormat="1" applyFont="1"/>
  </cellXfs>
  <cellStyles count="11">
    <cellStyle name="Millares" xfId="9" builtinId="3"/>
    <cellStyle name="Millares [0]" xfId="1" builtinId="6"/>
    <cellStyle name="Millares [0] 2" xfId="2" xr:uid="{93D7F860-1C75-4263-816A-682942E58CDA}"/>
    <cellStyle name="Millares [0] 7" xfId="6" xr:uid="{BE9FF9FF-1DFD-4DF0-A618-BAF44101473C}"/>
    <cellStyle name="Millares 2" xfId="4" xr:uid="{35D2CDD0-437D-4DCC-A7AB-A40A1DEC75AF}"/>
    <cellStyle name="Moneda 2" xfId="10" xr:uid="{2AA553C9-4FC6-45EB-AA21-F42F23335B5E}"/>
    <cellStyle name="Normal" xfId="0" builtinId="0"/>
    <cellStyle name="Normal 2" xfId="3" xr:uid="{A42F6DA4-C1E6-4FB1-818D-8A2216579E1C}"/>
    <cellStyle name="Normal 2 2" xfId="7" xr:uid="{3AD0BB55-2400-427C-878A-EDFD953A55F8}"/>
    <cellStyle name="Normal 8" xfId="5" xr:uid="{A206338F-67B4-40FF-B862-7F1FD294666E}"/>
    <cellStyle name="Porcentaje" xfId="8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687917</xdr:colOff>
      <xdr:row>0</xdr:row>
      <xdr:rowOff>0</xdr:rowOff>
    </xdr:from>
    <xdr:to>
      <xdr:col>3</xdr:col>
      <xdr:colOff>19739</xdr:colOff>
      <xdr:row>3</xdr:row>
      <xdr:rowOff>64557</xdr:rowOff>
    </xdr:to>
    <xdr:pic>
      <xdr:nvPicPr>
        <xdr:cNvPr id="4" name="Imagen 2" descr="Interfaz de usuario gráfica&#10;&#10;El contenido generado por IA puede ser incorrecto.">
          <a:extLst>
            <a:ext uri="{FF2B5EF4-FFF2-40B4-BE49-F238E27FC236}">
              <a16:creationId xmlns:a16="http://schemas.microsoft.com/office/drawing/2014/main" id="{B8CCD243-25BF-BAFF-19FC-9E9D975E846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9992" t="36452" r="30436" b="37892"/>
        <a:stretch/>
      </xdr:blipFill>
      <xdr:spPr bwMode="auto">
        <a:xfrm>
          <a:off x="687917" y="0"/>
          <a:ext cx="1728947" cy="617007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666749</xdr:colOff>
      <xdr:row>0</xdr:row>
      <xdr:rowOff>0</xdr:rowOff>
    </xdr:from>
    <xdr:to>
      <xdr:col>3</xdr:col>
      <xdr:colOff>1746</xdr:colOff>
      <xdr:row>3</xdr:row>
      <xdr:rowOff>58207</xdr:rowOff>
    </xdr:to>
    <xdr:pic>
      <xdr:nvPicPr>
        <xdr:cNvPr id="4" name="Imagen 2" descr="Interfaz de usuario gráfica&#10;&#10;El contenido generado por IA puede ser incorrecto.">
          <a:extLst>
            <a:ext uri="{FF2B5EF4-FFF2-40B4-BE49-F238E27FC236}">
              <a16:creationId xmlns:a16="http://schemas.microsoft.com/office/drawing/2014/main" id="{B5B6D86A-5392-4A60-B5EE-F93CC328B21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9992" t="36452" r="30436" b="37892"/>
        <a:stretch/>
      </xdr:blipFill>
      <xdr:spPr bwMode="auto">
        <a:xfrm>
          <a:off x="666749" y="0"/>
          <a:ext cx="1732122" cy="620182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32768-C87A-4B8F-8A46-5C28EF066F4A}">
  <dimension ref="B2:AE198"/>
  <sheetViews>
    <sheetView showGridLines="0" zoomScale="50" zoomScaleNormal="50" workbookViewId="0">
      <pane ySplit="5" topLeftCell="A6" activePane="bottomLeft" state="frozen"/>
      <selection activeCell="M103" sqref="M103"/>
      <selection pane="bottomLeft" activeCell="AE1" sqref="AE1:AE1048576"/>
    </sheetView>
  </sheetViews>
  <sheetFormatPr baseColWidth="10" defaultRowHeight="14.5"/>
  <cols>
    <col min="1" max="1" width="1.81640625" customWidth="1"/>
    <col min="2" max="2" width="10" style="4" customWidth="1"/>
    <col min="3" max="27" width="8.81640625" bestFit="1" customWidth="1"/>
    <col min="28" max="28" width="8.453125" bestFit="1" customWidth="1"/>
    <col min="29" max="29" width="7.453125" customWidth="1"/>
    <col min="30" max="30" width="19.1796875" customWidth="1"/>
    <col min="31" max="31" width="14.90625" style="45" customWidth="1"/>
    <col min="32" max="32" width="17.453125" bestFit="1" customWidth="1"/>
    <col min="250" max="250" width="1.81640625" customWidth="1"/>
    <col min="251" max="251" width="8" customWidth="1"/>
    <col min="252" max="252" width="8" bestFit="1" customWidth="1"/>
    <col min="253" max="253" width="9" bestFit="1" customWidth="1"/>
    <col min="254" max="254" width="12" bestFit="1" customWidth="1"/>
    <col min="255" max="276" width="9" bestFit="1" customWidth="1"/>
    <col min="277" max="277" width="7.81640625" bestFit="1" customWidth="1"/>
    <col min="278" max="278" width="4.54296875" bestFit="1" customWidth="1"/>
    <col min="279" max="279" width="14.1796875" bestFit="1" customWidth="1"/>
    <col min="506" max="506" width="1.81640625" customWidth="1"/>
    <col min="507" max="507" width="8" customWidth="1"/>
    <col min="508" max="508" width="8" bestFit="1" customWidth="1"/>
    <col min="509" max="509" width="9" bestFit="1" customWidth="1"/>
    <col min="510" max="510" width="12" bestFit="1" customWidth="1"/>
    <col min="511" max="532" width="9" bestFit="1" customWidth="1"/>
    <col min="533" max="533" width="7.81640625" bestFit="1" customWidth="1"/>
    <col min="534" max="534" width="4.54296875" bestFit="1" customWidth="1"/>
    <col min="535" max="535" width="14.1796875" bestFit="1" customWidth="1"/>
    <col min="762" max="762" width="1.81640625" customWidth="1"/>
    <col min="763" max="763" width="8" customWidth="1"/>
    <col min="764" max="764" width="8" bestFit="1" customWidth="1"/>
    <col min="765" max="765" width="9" bestFit="1" customWidth="1"/>
    <col min="766" max="766" width="12" bestFit="1" customWidth="1"/>
    <col min="767" max="788" width="9" bestFit="1" customWidth="1"/>
    <col min="789" max="789" width="7.81640625" bestFit="1" customWidth="1"/>
    <col min="790" max="790" width="4.54296875" bestFit="1" customWidth="1"/>
    <col min="791" max="791" width="14.1796875" bestFit="1" customWidth="1"/>
    <col min="1018" max="1018" width="1.81640625" customWidth="1"/>
    <col min="1019" max="1019" width="8" customWidth="1"/>
    <col min="1020" max="1020" width="8" bestFit="1" customWidth="1"/>
    <col min="1021" max="1021" width="9" bestFit="1" customWidth="1"/>
    <col min="1022" max="1022" width="12" bestFit="1" customWidth="1"/>
    <col min="1023" max="1044" width="9" bestFit="1" customWidth="1"/>
    <col min="1045" max="1045" width="7.81640625" bestFit="1" customWidth="1"/>
    <col min="1046" max="1046" width="4.54296875" bestFit="1" customWidth="1"/>
    <col min="1047" max="1047" width="14.1796875" bestFit="1" customWidth="1"/>
    <col min="1274" max="1274" width="1.81640625" customWidth="1"/>
    <col min="1275" max="1275" width="8" customWidth="1"/>
    <col min="1276" max="1276" width="8" bestFit="1" customWidth="1"/>
    <col min="1277" max="1277" width="9" bestFit="1" customWidth="1"/>
    <col min="1278" max="1278" width="12" bestFit="1" customWidth="1"/>
    <col min="1279" max="1300" width="9" bestFit="1" customWidth="1"/>
    <col min="1301" max="1301" width="7.81640625" bestFit="1" customWidth="1"/>
    <col min="1302" max="1302" width="4.54296875" bestFit="1" customWidth="1"/>
    <col min="1303" max="1303" width="14.1796875" bestFit="1" customWidth="1"/>
    <col min="1530" max="1530" width="1.81640625" customWidth="1"/>
    <col min="1531" max="1531" width="8" customWidth="1"/>
    <col min="1532" max="1532" width="8" bestFit="1" customWidth="1"/>
    <col min="1533" max="1533" width="9" bestFit="1" customWidth="1"/>
    <col min="1534" max="1534" width="12" bestFit="1" customWidth="1"/>
    <col min="1535" max="1556" width="9" bestFit="1" customWidth="1"/>
    <col min="1557" max="1557" width="7.81640625" bestFit="1" customWidth="1"/>
    <col min="1558" max="1558" width="4.54296875" bestFit="1" customWidth="1"/>
    <col min="1559" max="1559" width="14.1796875" bestFit="1" customWidth="1"/>
    <col min="1786" max="1786" width="1.81640625" customWidth="1"/>
    <col min="1787" max="1787" width="8" customWidth="1"/>
    <col min="1788" max="1788" width="8" bestFit="1" customWidth="1"/>
    <col min="1789" max="1789" width="9" bestFit="1" customWidth="1"/>
    <col min="1790" max="1790" width="12" bestFit="1" customWidth="1"/>
    <col min="1791" max="1812" width="9" bestFit="1" customWidth="1"/>
    <col min="1813" max="1813" width="7.81640625" bestFit="1" customWidth="1"/>
    <col min="1814" max="1814" width="4.54296875" bestFit="1" customWidth="1"/>
    <col min="1815" max="1815" width="14.1796875" bestFit="1" customWidth="1"/>
    <col min="2042" max="2042" width="1.81640625" customWidth="1"/>
    <col min="2043" max="2043" width="8" customWidth="1"/>
    <col min="2044" max="2044" width="8" bestFit="1" customWidth="1"/>
    <col min="2045" max="2045" width="9" bestFit="1" customWidth="1"/>
    <col min="2046" max="2046" width="12" bestFit="1" customWidth="1"/>
    <col min="2047" max="2068" width="9" bestFit="1" customWidth="1"/>
    <col min="2069" max="2069" width="7.81640625" bestFit="1" customWidth="1"/>
    <col min="2070" max="2070" width="4.54296875" bestFit="1" customWidth="1"/>
    <col min="2071" max="2071" width="14.1796875" bestFit="1" customWidth="1"/>
    <col min="2298" max="2298" width="1.81640625" customWidth="1"/>
    <col min="2299" max="2299" width="8" customWidth="1"/>
    <col min="2300" max="2300" width="8" bestFit="1" customWidth="1"/>
    <col min="2301" max="2301" width="9" bestFit="1" customWidth="1"/>
    <col min="2302" max="2302" width="12" bestFit="1" customWidth="1"/>
    <col min="2303" max="2324" width="9" bestFit="1" customWidth="1"/>
    <col min="2325" max="2325" width="7.81640625" bestFit="1" customWidth="1"/>
    <col min="2326" max="2326" width="4.54296875" bestFit="1" customWidth="1"/>
    <col min="2327" max="2327" width="14.1796875" bestFit="1" customWidth="1"/>
    <col min="2554" max="2554" width="1.81640625" customWidth="1"/>
    <col min="2555" max="2555" width="8" customWidth="1"/>
    <col min="2556" max="2556" width="8" bestFit="1" customWidth="1"/>
    <col min="2557" max="2557" width="9" bestFit="1" customWidth="1"/>
    <col min="2558" max="2558" width="12" bestFit="1" customWidth="1"/>
    <col min="2559" max="2580" width="9" bestFit="1" customWidth="1"/>
    <col min="2581" max="2581" width="7.81640625" bestFit="1" customWidth="1"/>
    <col min="2582" max="2582" width="4.54296875" bestFit="1" customWidth="1"/>
    <col min="2583" max="2583" width="14.1796875" bestFit="1" customWidth="1"/>
    <col min="2810" max="2810" width="1.81640625" customWidth="1"/>
    <col min="2811" max="2811" width="8" customWidth="1"/>
    <col min="2812" max="2812" width="8" bestFit="1" customWidth="1"/>
    <col min="2813" max="2813" width="9" bestFit="1" customWidth="1"/>
    <col min="2814" max="2814" width="12" bestFit="1" customWidth="1"/>
    <col min="2815" max="2836" width="9" bestFit="1" customWidth="1"/>
    <col min="2837" max="2837" width="7.81640625" bestFit="1" customWidth="1"/>
    <col min="2838" max="2838" width="4.54296875" bestFit="1" customWidth="1"/>
    <col min="2839" max="2839" width="14.1796875" bestFit="1" customWidth="1"/>
    <col min="3066" max="3066" width="1.81640625" customWidth="1"/>
    <col min="3067" max="3067" width="8" customWidth="1"/>
    <col min="3068" max="3068" width="8" bestFit="1" customWidth="1"/>
    <col min="3069" max="3069" width="9" bestFit="1" customWidth="1"/>
    <col min="3070" max="3070" width="12" bestFit="1" customWidth="1"/>
    <col min="3071" max="3092" width="9" bestFit="1" customWidth="1"/>
    <col min="3093" max="3093" width="7.81640625" bestFit="1" customWidth="1"/>
    <col min="3094" max="3094" width="4.54296875" bestFit="1" customWidth="1"/>
    <col min="3095" max="3095" width="14.1796875" bestFit="1" customWidth="1"/>
    <col min="3322" max="3322" width="1.81640625" customWidth="1"/>
    <col min="3323" max="3323" width="8" customWidth="1"/>
    <col min="3324" max="3324" width="8" bestFit="1" customWidth="1"/>
    <col min="3325" max="3325" width="9" bestFit="1" customWidth="1"/>
    <col min="3326" max="3326" width="12" bestFit="1" customWidth="1"/>
    <col min="3327" max="3348" width="9" bestFit="1" customWidth="1"/>
    <col min="3349" max="3349" width="7.81640625" bestFit="1" customWidth="1"/>
    <col min="3350" max="3350" width="4.54296875" bestFit="1" customWidth="1"/>
    <col min="3351" max="3351" width="14.1796875" bestFit="1" customWidth="1"/>
    <col min="3578" max="3578" width="1.81640625" customWidth="1"/>
    <col min="3579" max="3579" width="8" customWidth="1"/>
    <col min="3580" max="3580" width="8" bestFit="1" customWidth="1"/>
    <col min="3581" max="3581" width="9" bestFit="1" customWidth="1"/>
    <col min="3582" max="3582" width="12" bestFit="1" customWidth="1"/>
    <col min="3583" max="3604" width="9" bestFit="1" customWidth="1"/>
    <col min="3605" max="3605" width="7.81640625" bestFit="1" customWidth="1"/>
    <col min="3606" max="3606" width="4.54296875" bestFit="1" customWidth="1"/>
    <col min="3607" max="3607" width="14.1796875" bestFit="1" customWidth="1"/>
    <col min="3834" max="3834" width="1.81640625" customWidth="1"/>
    <col min="3835" max="3835" width="8" customWidth="1"/>
    <col min="3836" max="3836" width="8" bestFit="1" customWidth="1"/>
    <col min="3837" max="3837" width="9" bestFit="1" customWidth="1"/>
    <col min="3838" max="3838" width="12" bestFit="1" customWidth="1"/>
    <col min="3839" max="3860" width="9" bestFit="1" customWidth="1"/>
    <col min="3861" max="3861" width="7.81640625" bestFit="1" customWidth="1"/>
    <col min="3862" max="3862" width="4.54296875" bestFit="1" customWidth="1"/>
    <col min="3863" max="3863" width="14.1796875" bestFit="1" customWidth="1"/>
    <col min="4090" max="4090" width="1.81640625" customWidth="1"/>
    <col min="4091" max="4091" width="8" customWidth="1"/>
    <col min="4092" max="4092" width="8" bestFit="1" customWidth="1"/>
    <col min="4093" max="4093" width="9" bestFit="1" customWidth="1"/>
    <col min="4094" max="4094" width="12" bestFit="1" customWidth="1"/>
    <col min="4095" max="4116" width="9" bestFit="1" customWidth="1"/>
    <col min="4117" max="4117" width="7.81640625" bestFit="1" customWidth="1"/>
    <col min="4118" max="4118" width="4.54296875" bestFit="1" customWidth="1"/>
    <col min="4119" max="4119" width="14.1796875" bestFit="1" customWidth="1"/>
    <col min="4346" max="4346" width="1.81640625" customWidth="1"/>
    <col min="4347" max="4347" width="8" customWidth="1"/>
    <col min="4348" max="4348" width="8" bestFit="1" customWidth="1"/>
    <col min="4349" max="4349" width="9" bestFit="1" customWidth="1"/>
    <col min="4350" max="4350" width="12" bestFit="1" customWidth="1"/>
    <col min="4351" max="4372" width="9" bestFit="1" customWidth="1"/>
    <col min="4373" max="4373" width="7.81640625" bestFit="1" customWidth="1"/>
    <col min="4374" max="4374" width="4.54296875" bestFit="1" customWidth="1"/>
    <col min="4375" max="4375" width="14.1796875" bestFit="1" customWidth="1"/>
    <col min="4602" max="4602" width="1.81640625" customWidth="1"/>
    <col min="4603" max="4603" width="8" customWidth="1"/>
    <col min="4604" max="4604" width="8" bestFit="1" customWidth="1"/>
    <col min="4605" max="4605" width="9" bestFit="1" customWidth="1"/>
    <col min="4606" max="4606" width="12" bestFit="1" customWidth="1"/>
    <col min="4607" max="4628" width="9" bestFit="1" customWidth="1"/>
    <col min="4629" max="4629" width="7.81640625" bestFit="1" customWidth="1"/>
    <col min="4630" max="4630" width="4.54296875" bestFit="1" customWidth="1"/>
    <col min="4631" max="4631" width="14.1796875" bestFit="1" customWidth="1"/>
    <col min="4858" max="4858" width="1.81640625" customWidth="1"/>
    <col min="4859" max="4859" width="8" customWidth="1"/>
    <col min="4860" max="4860" width="8" bestFit="1" customWidth="1"/>
    <col min="4861" max="4861" width="9" bestFit="1" customWidth="1"/>
    <col min="4862" max="4862" width="12" bestFit="1" customWidth="1"/>
    <col min="4863" max="4884" width="9" bestFit="1" customWidth="1"/>
    <col min="4885" max="4885" width="7.81640625" bestFit="1" customWidth="1"/>
    <col min="4886" max="4886" width="4.54296875" bestFit="1" customWidth="1"/>
    <col min="4887" max="4887" width="14.1796875" bestFit="1" customWidth="1"/>
    <col min="5114" max="5114" width="1.81640625" customWidth="1"/>
    <col min="5115" max="5115" width="8" customWidth="1"/>
    <col min="5116" max="5116" width="8" bestFit="1" customWidth="1"/>
    <col min="5117" max="5117" width="9" bestFit="1" customWidth="1"/>
    <col min="5118" max="5118" width="12" bestFit="1" customWidth="1"/>
    <col min="5119" max="5140" width="9" bestFit="1" customWidth="1"/>
    <col min="5141" max="5141" width="7.81640625" bestFit="1" customWidth="1"/>
    <col min="5142" max="5142" width="4.54296875" bestFit="1" customWidth="1"/>
    <col min="5143" max="5143" width="14.1796875" bestFit="1" customWidth="1"/>
    <col min="5370" max="5370" width="1.81640625" customWidth="1"/>
    <col min="5371" max="5371" width="8" customWidth="1"/>
    <col min="5372" max="5372" width="8" bestFit="1" customWidth="1"/>
    <col min="5373" max="5373" width="9" bestFit="1" customWidth="1"/>
    <col min="5374" max="5374" width="12" bestFit="1" customWidth="1"/>
    <col min="5375" max="5396" width="9" bestFit="1" customWidth="1"/>
    <col min="5397" max="5397" width="7.81640625" bestFit="1" customWidth="1"/>
    <col min="5398" max="5398" width="4.54296875" bestFit="1" customWidth="1"/>
    <col min="5399" max="5399" width="14.1796875" bestFit="1" customWidth="1"/>
    <col min="5626" max="5626" width="1.81640625" customWidth="1"/>
    <col min="5627" max="5627" width="8" customWidth="1"/>
    <col min="5628" max="5628" width="8" bestFit="1" customWidth="1"/>
    <col min="5629" max="5629" width="9" bestFit="1" customWidth="1"/>
    <col min="5630" max="5630" width="12" bestFit="1" customWidth="1"/>
    <col min="5631" max="5652" width="9" bestFit="1" customWidth="1"/>
    <col min="5653" max="5653" width="7.81640625" bestFit="1" customWidth="1"/>
    <col min="5654" max="5654" width="4.54296875" bestFit="1" customWidth="1"/>
    <col min="5655" max="5655" width="14.1796875" bestFit="1" customWidth="1"/>
    <col min="5882" max="5882" width="1.81640625" customWidth="1"/>
    <col min="5883" max="5883" width="8" customWidth="1"/>
    <col min="5884" max="5884" width="8" bestFit="1" customWidth="1"/>
    <col min="5885" max="5885" width="9" bestFit="1" customWidth="1"/>
    <col min="5886" max="5886" width="12" bestFit="1" customWidth="1"/>
    <col min="5887" max="5908" width="9" bestFit="1" customWidth="1"/>
    <col min="5909" max="5909" width="7.81640625" bestFit="1" customWidth="1"/>
    <col min="5910" max="5910" width="4.54296875" bestFit="1" customWidth="1"/>
    <col min="5911" max="5911" width="14.1796875" bestFit="1" customWidth="1"/>
    <col min="6138" max="6138" width="1.81640625" customWidth="1"/>
    <col min="6139" max="6139" width="8" customWidth="1"/>
    <col min="6140" max="6140" width="8" bestFit="1" customWidth="1"/>
    <col min="6141" max="6141" width="9" bestFit="1" customWidth="1"/>
    <col min="6142" max="6142" width="12" bestFit="1" customWidth="1"/>
    <col min="6143" max="6164" width="9" bestFit="1" customWidth="1"/>
    <col min="6165" max="6165" width="7.81640625" bestFit="1" customWidth="1"/>
    <col min="6166" max="6166" width="4.54296875" bestFit="1" customWidth="1"/>
    <col min="6167" max="6167" width="14.1796875" bestFit="1" customWidth="1"/>
    <col min="6394" max="6394" width="1.81640625" customWidth="1"/>
    <col min="6395" max="6395" width="8" customWidth="1"/>
    <col min="6396" max="6396" width="8" bestFit="1" customWidth="1"/>
    <col min="6397" max="6397" width="9" bestFit="1" customWidth="1"/>
    <col min="6398" max="6398" width="12" bestFit="1" customWidth="1"/>
    <col min="6399" max="6420" width="9" bestFit="1" customWidth="1"/>
    <col min="6421" max="6421" width="7.81640625" bestFit="1" customWidth="1"/>
    <col min="6422" max="6422" width="4.54296875" bestFit="1" customWidth="1"/>
    <col min="6423" max="6423" width="14.1796875" bestFit="1" customWidth="1"/>
    <col min="6650" max="6650" width="1.81640625" customWidth="1"/>
    <col min="6651" max="6651" width="8" customWidth="1"/>
    <col min="6652" max="6652" width="8" bestFit="1" customWidth="1"/>
    <col min="6653" max="6653" width="9" bestFit="1" customWidth="1"/>
    <col min="6654" max="6654" width="12" bestFit="1" customWidth="1"/>
    <col min="6655" max="6676" width="9" bestFit="1" customWidth="1"/>
    <col min="6677" max="6677" width="7.81640625" bestFit="1" customWidth="1"/>
    <col min="6678" max="6678" width="4.54296875" bestFit="1" customWidth="1"/>
    <col min="6679" max="6679" width="14.1796875" bestFit="1" customWidth="1"/>
    <col min="6906" max="6906" width="1.81640625" customWidth="1"/>
    <col min="6907" max="6907" width="8" customWidth="1"/>
    <col min="6908" max="6908" width="8" bestFit="1" customWidth="1"/>
    <col min="6909" max="6909" width="9" bestFit="1" customWidth="1"/>
    <col min="6910" max="6910" width="12" bestFit="1" customWidth="1"/>
    <col min="6911" max="6932" width="9" bestFit="1" customWidth="1"/>
    <col min="6933" max="6933" width="7.81640625" bestFit="1" customWidth="1"/>
    <col min="6934" max="6934" width="4.54296875" bestFit="1" customWidth="1"/>
    <col min="6935" max="6935" width="14.1796875" bestFit="1" customWidth="1"/>
    <col min="7162" max="7162" width="1.81640625" customWidth="1"/>
    <col min="7163" max="7163" width="8" customWidth="1"/>
    <col min="7164" max="7164" width="8" bestFit="1" customWidth="1"/>
    <col min="7165" max="7165" width="9" bestFit="1" customWidth="1"/>
    <col min="7166" max="7166" width="12" bestFit="1" customWidth="1"/>
    <col min="7167" max="7188" width="9" bestFit="1" customWidth="1"/>
    <col min="7189" max="7189" width="7.81640625" bestFit="1" customWidth="1"/>
    <col min="7190" max="7190" width="4.54296875" bestFit="1" customWidth="1"/>
    <col min="7191" max="7191" width="14.1796875" bestFit="1" customWidth="1"/>
    <col min="7418" max="7418" width="1.81640625" customWidth="1"/>
    <col min="7419" max="7419" width="8" customWidth="1"/>
    <col min="7420" max="7420" width="8" bestFit="1" customWidth="1"/>
    <col min="7421" max="7421" width="9" bestFit="1" customWidth="1"/>
    <col min="7422" max="7422" width="12" bestFit="1" customWidth="1"/>
    <col min="7423" max="7444" width="9" bestFit="1" customWidth="1"/>
    <col min="7445" max="7445" width="7.81640625" bestFit="1" customWidth="1"/>
    <col min="7446" max="7446" width="4.54296875" bestFit="1" customWidth="1"/>
    <col min="7447" max="7447" width="14.1796875" bestFit="1" customWidth="1"/>
    <col min="7674" max="7674" width="1.81640625" customWidth="1"/>
    <col min="7675" max="7675" width="8" customWidth="1"/>
    <col min="7676" max="7676" width="8" bestFit="1" customWidth="1"/>
    <col min="7677" max="7677" width="9" bestFit="1" customWidth="1"/>
    <col min="7678" max="7678" width="12" bestFit="1" customWidth="1"/>
    <col min="7679" max="7700" width="9" bestFit="1" customWidth="1"/>
    <col min="7701" max="7701" width="7.81640625" bestFit="1" customWidth="1"/>
    <col min="7702" max="7702" width="4.54296875" bestFit="1" customWidth="1"/>
    <col min="7703" max="7703" width="14.1796875" bestFit="1" customWidth="1"/>
    <col min="7930" max="7930" width="1.81640625" customWidth="1"/>
    <col min="7931" max="7931" width="8" customWidth="1"/>
    <col min="7932" max="7932" width="8" bestFit="1" customWidth="1"/>
    <col min="7933" max="7933" width="9" bestFit="1" customWidth="1"/>
    <col min="7934" max="7934" width="12" bestFit="1" customWidth="1"/>
    <col min="7935" max="7956" width="9" bestFit="1" customWidth="1"/>
    <col min="7957" max="7957" width="7.81640625" bestFit="1" customWidth="1"/>
    <col min="7958" max="7958" width="4.54296875" bestFit="1" customWidth="1"/>
    <col min="7959" max="7959" width="14.1796875" bestFit="1" customWidth="1"/>
    <col min="8186" max="8186" width="1.81640625" customWidth="1"/>
    <col min="8187" max="8187" width="8" customWidth="1"/>
    <col min="8188" max="8188" width="8" bestFit="1" customWidth="1"/>
    <col min="8189" max="8189" width="9" bestFit="1" customWidth="1"/>
    <col min="8190" max="8190" width="12" bestFit="1" customWidth="1"/>
    <col min="8191" max="8212" width="9" bestFit="1" customWidth="1"/>
    <col min="8213" max="8213" width="7.81640625" bestFit="1" customWidth="1"/>
    <col min="8214" max="8214" width="4.54296875" bestFit="1" customWidth="1"/>
    <col min="8215" max="8215" width="14.1796875" bestFit="1" customWidth="1"/>
    <col min="8442" max="8442" width="1.81640625" customWidth="1"/>
    <col min="8443" max="8443" width="8" customWidth="1"/>
    <col min="8444" max="8444" width="8" bestFit="1" customWidth="1"/>
    <col min="8445" max="8445" width="9" bestFit="1" customWidth="1"/>
    <col min="8446" max="8446" width="12" bestFit="1" customWidth="1"/>
    <col min="8447" max="8468" width="9" bestFit="1" customWidth="1"/>
    <col min="8469" max="8469" width="7.81640625" bestFit="1" customWidth="1"/>
    <col min="8470" max="8470" width="4.54296875" bestFit="1" customWidth="1"/>
    <col min="8471" max="8471" width="14.1796875" bestFit="1" customWidth="1"/>
    <col min="8698" max="8698" width="1.81640625" customWidth="1"/>
    <col min="8699" max="8699" width="8" customWidth="1"/>
    <col min="8700" max="8700" width="8" bestFit="1" customWidth="1"/>
    <col min="8701" max="8701" width="9" bestFit="1" customWidth="1"/>
    <col min="8702" max="8702" width="12" bestFit="1" customWidth="1"/>
    <col min="8703" max="8724" width="9" bestFit="1" customWidth="1"/>
    <col min="8725" max="8725" width="7.81640625" bestFit="1" customWidth="1"/>
    <col min="8726" max="8726" width="4.54296875" bestFit="1" customWidth="1"/>
    <col min="8727" max="8727" width="14.1796875" bestFit="1" customWidth="1"/>
    <col min="8954" max="8954" width="1.81640625" customWidth="1"/>
    <col min="8955" max="8955" width="8" customWidth="1"/>
    <col min="8956" max="8956" width="8" bestFit="1" customWidth="1"/>
    <col min="8957" max="8957" width="9" bestFit="1" customWidth="1"/>
    <col min="8958" max="8958" width="12" bestFit="1" customWidth="1"/>
    <col min="8959" max="8980" width="9" bestFit="1" customWidth="1"/>
    <col min="8981" max="8981" width="7.81640625" bestFit="1" customWidth="1"/>
    <col min="8982" max="8982" width="4.54296875" bestFit="1" customWidth="1"/>
    <col min="8983" max="8983" width="14.1796875" bestFit="1" customWidth="1"/>
    <col min="9210" max="9210" width="1.81640625" customWidth="1"/>
    <col min="9211" max="9211" width="8" customWidth="1"/>
    <col min="9212" max="9212" width="8" bestFit="1" customWidth="1"/>
    <col min="9213" max="9213" width="9" bestFit="1" customWidth="1"/>
    <col min="9214" max="9214" width="12" bestFit="1" customWidth="1"/>
    <col min="9215" max="9236" width="9" bestFit="1" customWidth="1"/>
    <col min="9237" max="9237" width="7.81640625" bestFit="1" customWidth="1"/>
    <col min="9238" max="9238" width="4.54296875" bestFit="1" customWidth="1"/>
    <col min="9239" max="9239" width="14.1796875" bestFit="1" customWidth="1"/>
    <col min="9466" max="9466" width="1.81640625" customWidth="1"/>
    <col min="9467" max="9467" width="8" customWidth="1"/>
    <col min="9468" max="9468" width="8" bestFit="1" customWidth="1"/>
    <col min="9469" max="9469" width="9" bestFit="1" customWidth="1"/>
    <col min="9470" max="9470" width="12" bestFit="1" customWidth="1"/>
    <col min="9471" max="9492" width="9" bestFit="1" customWidth="1"/>
    <col min="9493" max="9493" width="7.81640625" bestFit="1" customWidth="1"/>
    <col min="9494" max="9494" width="4.54296875" bestFit="1" customWidth="1"/>
    <col min="9495" max="9495" width="14.1796875" bestFit="1" customWidth="1"/>
    <col min="9722" max="9722" width="1.81640625" customWidth="1"/>
    <col min="9723" max="9723" width="8" customWidth="1"/>
    <col min="9724" max="9724" width="8" bestFit="1" customWidth="1"/>
    <col min="9725" max="9725" width="9" bestFit="1" customWidth="1"/>
    <col min="9726" max="9726" width="12" bestFit="1" customWidth="1"/>
    <col min="9727" max="9748" width="9" bestFit="1" customWidth="1"/>
    <col min="9749" max="9749" width="7.81640625" bestFit="1" customWidth="1"/>
    <col min="9750" max="9750" width="4.54296875" bestFit="1" customWidth="1"/>
    <col min="9751" max="9751" width="14.1796875" bestFit="1" customWidth="1"/>
    <col min="9978" max="9978" width="1.81640625" customWidth="1"/>
    <col min="9979" max="9979" width="8" customWidth="1"/>
    <col min="9980" max="9980" width="8" bestFit="1" customWidth="1"/>
    <col min="9981" max="9981" width="9" bestFit="1" customWidth="1"/>
    <col min="9982" max="9982" width="12" bestFit="1" customWidth="1"/>
    <col min="9983" max="10004" width="9" bestFit="1" customWidth="1"/>
    <col min="10005" max="10005" width="7.81640625" bestFit="1" customWidth="1"/>
    <col min="10006" max="10006" width="4.54296875" bestFit="1" customWidth="1"/>
    <col min="10007" max="10007" width="14.1796875" bestFit="1" customWidth="1"/>
    <col min="10234" max="10234" width="1.81640625" customWidth="1"/>
    <col min="10235" max="10235" width="8" customWidth="1"/>
    <col min="10236" max="10236" width="8" bestFit="1" customWidth="1"/>
    <col min="10237" max="10237" width="9" bestFit="1" customWidth="1"/>
    <col min="10238" max="10238" width="12" bestFit="1" customWidth="1"/>
    <col min="10239" max="10260" width="9" bestFit="1" customWidth="1"/>
    <col min="10261" max="10261" width="7.81640625" bestFit="1" customWidth="1"/>
    <col min="10262" max="10262" width="4.54296875" bestFit="1" customWidth="1"/>
    <col min="10263" max="10263" width="14.1796875" bestFit="1" customWidth="1"/>
    <col min="10490" max="10490" width="1.81640625" customWidth="1"/>
    <col min="10491" max="10491" width="8" customWidth="1"/>
    <col min="10492" max="10492" width="8" bestFit="1" customWidth="1"/>
    <col min="10493" max="10493" width="9" bestFit="1" customWidth="1"/>
    <col min="10494" max="10494" width="12" bestFit="1" customWidth="1"/>
    <col min="10495" max="10516" width="9" bestFit="1" customWidth="1"/>
    <col min="10517" max="10517" width="7.81640625" bestFit="1" customWidth="1"/>
    <col min="10518" max="10518" width="4.54296875" bestFit="1" customWidth="1"/>
    <col min="10519" max="10519" width="14.1796875" bestFit="1" customWidth="1"/>
    <col min="10746" max="10746" width="1.81640625" customWidth="1"/>
    <col min="10747" max="10747" width="8" customWidth="1"/>
    <col min="10748" max="10748" width="8" bestFit="1" customWidth="1"/>
    <col min="10749" max="10749" width="9" bestFit="1" customWidth="1"/>
    <col min="10750" max="10750" width="12" bestFit="1" customWidth="1"/>
    <col min="10751" max="10772" width="9" bestFit="1" customWidth="1"/>
    <col min="10773" max="10773" width="7.81640625" bestFit="1" customWidth="1"/>
    <col min="10774" max="10774" width="4.54296875" bestFit="1" customWidth="1"/>
    <col min="10775" max="10775" width="14.1796875" bestFit="1" customWidth="1"/>
    <col min="11002" max="11002" width="1.81640625" customWidth="1"/>
    <col min="11003" max="11003" width="8" customWidth="1"/>
    <col min="11004" max="11004" width="8" bestFit="1" customWidth="1"/>
    <col min="11005" max="11005" width="9" bestFit="1" customWidth="1"/>
    <col min="11006" max="11006" width="12" bestFit="1" customWidth="1"/>
    <col min="11007" max="11028" width="9" bestFit="1" customWidth="1"/>
    <col min="11029" max="11029" width="7.81640625" bestFit="1" customWidth="1"/>
    <col min="11030" max="11030" width="4.54296875" bestFit="1" customWidth="1"/>
    <col min="11031" max="11031" width="14.1796875" bestFit="1" customWidth="1"/>
    <col min="11258" max="11258" width="1.81640625" customWidth="1"/>
    <col min="11259" max="11259" width="8" customWidth="1"/>
    <col min="11260" max="11260" width="8" bestFit="1" customWidth="1"/>
    <col min="11261" max="11261" width="9" bestFit="1" customWidth="1"/>
    <col min="11262" max="11262" width="12" bestFit="1" customWidth="1"/>
    <col min="11263" max="11284" width="9" bestFit="1" customWidth="1"/>
    <col min="11285" max="11285" width="7.81640625" bestFit="1" customWidth="1"/>
    <col min="11286" max="11286" width="4.54296875" bestFit="1" customWidth="1"/>
    <col min="11287" max="11287" width="14.1796875" bestFit="1" customWidth="1"/>
    <col min="11514" max="11514" width="1.81640625" customWidth="1"/>
    <col min="11515" max="11515" width="8" customWidth="1"/>
    <col min="11516" max="11516" width="8" bestFit="1" customWidth="1"/>
    <col min="11517" max="11517" width="9" bestFit="1" customWidth="1"/>
    <col min="11518" max="11518" width="12" bestFit="1" customWidth="1"/>
    <col min="11519" max="11540" width="9" bestFit="1" customWidth="1"/>
    <col min="11541" max="11541" width="7.81640625" bestFit="1" customWidth="1"/>
    <col min="11542" max="11542" width="4.54296875" bestFit="1" customWidth="1"/>
    <col min="11543" max="11543" width="14.1796875" bestFit="1" customWidth="1"/>
    <col min="11770" max="11770" width="1.81640625" customWidth="1"/>
    <col min="11771" max="11771" width="8" customWidth="1"/>
    <col min="11772" max="11772" width="8" bestFit="1" customWidth="1"/>
    <col min="11773" max="11773" width="9" bestFit="1" customWidth="1"/>
    <col min="11774" max="11774" width="12" bestFit="1" customWidth="1"/>
    <col min="11775" max="11796" width="9" bestFit="1" customWidth="1"/>
    <col min="11797" max="11797" width="7.81640625" bestFit="1" customWidth="1"/>
    <col min="11798" max="11798" width="4.54296875" bestFit="1" customWidth="1"/>
    <col min="11799" max="11799" width="14.1796875" bestFit="1" customWidth="1"/>
    <col min="12026" max="12026" width="1.81640625" customWidth="1"/>
    <col min="12027" max="12027" width="8" customWidth="1"/>
    <col min="12028" max="12028" width="8" bestFit="1" customWidth="1"/>
    <col min="12029" max="12029" width="9" bestFit="1" customWidth="1"/>
    <col min="12030" max="12030" width="12" bestFit="1" customWidth="1"/>
    <col min="12031" max="12052" width="9" bestFit="1" customWidth="1"/>
    <col min="12053" max="12053" width="7.81640625" bestFit="1" customWidth="1"/>
    <col min="12054" max="12054" width="4.54296875" bestFit="1" customWidth="1"/>
    <col min="12055" max="12055" width="14.1796875" bestFit="1" customWidth="1"/>
    <col min="12282" max="12282" width="1.81640625" customWidth="1"/>
    <col min="12283" max="12283" width="8" customWidth="1"/>
    <col min="12284" max="12284" width="8" bestFit="1" customWidth="1"/>
    <col min="12285" max="12285" width="9" bestFit="1" customWidth="1"/>
    <col min="12286" max="12286" width="12" bestFit="1" customWidth="1"/>
    <col min="12287" max="12308" width="9" bestFit="1" customWidth="1"/>
    <col min="12309" max="12309" width="7.81640625" bestFit="1" customWidth="1"/>
    <col min="12310" max="12310" width="4.54296875" bestFit="1" customWidth="1"/>
    <col min="12311" max="12311" width="14.1796875" bestFit="1" customWidth="1"/>
    <col min="12538" max="12538" width="1.81640625" customWidth="1"/>
    <col min="12539" max="12539" width="8" customWidth="1"/>
    <col min="12540" max="12540" width="8" bestFit="1" customWidth="1"/>
    <col min="12541" max="12541" width="9" bestFit="1" customWidth="1"/>
    <col min="12542" max="12542" width="12" bestFit="1" customWidth="1"/>
    <col min="12543" max="12564" width="9" bestFit="1" customWidth="1"/>
    <col min="12565" max="12565" width="7.81640625" bestFit="1" customWidth="1"/>
    <col min="12566" max="12566" width="4.54296875" bestFit="1" customWidth="1"/>
    <col min="12567" max="12567" width="14.1796875" bestFit="1" customWidth="1"/>
    <col min="12794" max="12794" width="1.81640625" customWidth="1"/>
    <col min="12795" max="12795" width="8" customWidth="1"/>
    <col min="12796" max="12796" width="8" bestFit="1" customWidth="1"/>
    <col min="12797" max="12797" width="9" bestFit="1" customWidth="1"/>
    <col min="12798" max="12798" width="12" bestFit="1" customWidth="1"/>
    <col min="12799" max="12820" width="9" bestFit="1" customWidth="1"/>
    <col min="12821" max="12821" width="7.81640625" bestFit="1" customWidth="1"/>
    <col min="12822" max="12822" width="4.54296875" bestFit="1" customWidth="1"/>
    <col min="12823" max="12823" width="14.1796875" bestFit="1" customWidth="1"/>
    <col min="13050" max="13050" width="1.81640625" customWidth="1"/>
    <col min="13051" max="13051" width="8" customWidth="1"/>
    <col min="13052" max="13052" width="8" bestFit="1" customWidth="1"/>
    <col min="13053" max="13053" width="9" bestFit="1" customWidth="1"/>
    <col min="13054" max="13054" width="12" bestFit="1" customWidth="1"/>
    <col min="13055" max="13076" width="9" bestFit="1" customWidth="1"/>
    <col min="13077" max="13077" width="7.81640625" bestFit="1" customWidth="1"/>
    <col min="13078" max="13078" width="4.54296875" bestFit="1" customWidth="1"/>
    <col min="13079" max="13079" width="14.1796875" bestFit="1" customWidth="1"/>
    <col min="13306" max="13306" width="1.81640625" customWidth="1"/>
    <col min="13307" max="13307" width="8" customWidth="1"/>
    <col min="13308" max="13308" width="8" bestFit="1" customWidth="1"/>
    <col min="13309" max="13309" width="9" bestFit="1" customWidth="1"/>
    <col min="13310" max="13310" width="12" bestFit="1" customWidth="1"/>
    <col min="13311" max="13332" width="9" bestFit="1" customWidth="1"/>
    <col min="13333" max="13333" width="7.81640625" bestFit="1" customWidth="1"/>
    <col min="13334" max="13334" width="4.54296875" bestFit="1" customWidth="1"/>
    <col min="13335" max="13335" width="14.1796875" bestFit="1" customWidth="1"/>
    <col min="13562" max="13562" width="1.81640625" customWidth="1"/>
    <col min="13563" max="13563" width="8" customWidth="1"/>
    <col min="13564" max="13564" width="8" bestFit="1" customWidth="1"/>
    <col min="13565" max="13565" width="9" bestFit="1" customWidth="1"/>
    <col min="13566" max="13566" width="12" bestFit="1" customWidth="1"/>
    <col min="13567" max="13588" width="9" bestFit="1" customWidth="1"/>
    <col min="13589" max="13589" width="7.81640625" bestFit="1" customWidth="1"/>
    <col min="13590" max="13590" width="4.54296875" bestFit="1" customWidth="1"/>
    <col min="13591" max="13591" width="14.1796875" bestFit="1" customWidth="1"/>
    <col min="13818" max="13818" width="1.81640625" customWidth="1"/>
    <col min="13819" max="13819" width="8" customWidth="1"/>
    <col min="13820" max="13820" width="8" bestFit="1" customWidth="1"/>
    <col min="13821" max="13821" width="9" bestFit="1" customWidth="1"/>
    <col min="13822" max="13822" width="12" bestFit="1" customWidth="1"/>
    <col min="13823" max="13844" width="9" bestFit="1" customWidth="1"/>
    <col min="13845" max="13845" width="7.81640625" bestFit="1" customWidth="1"/>
    <col min="13846" max="13846" width="4.54296875" bestFit="1" customWidth="1"/>
    <col min="13847" max="13847" width="14.1796875" bestFit="1" customWidth="1"/>
    <col min="14074" max="14074" width="1.81640625" customWidth="1"/>
    <col min="14075" max="14075" width="8" customWidth="1"/>
    <col min="14076" max="14076" width="8" bestFit="1" customWidth="1"/>
    <col min="14077" max="14077" width="9" bestFit="1" customWidth="1"/>
    <col min="14078" max="14078" width="12" bestFit="1" customWidth="1"/>
    <col min="14079" max="14100" width="9" bestFit="1" customWidth="1"/>
    <col min="14101" max="14101" width="7.81640625" bestFit="1" customWidth="1"/>
    <col min="14102" max="14102" width="4.54296875" bestFit="1" customWidth="1"/>
    <col min="14103" max="14103" width="14.1796875" bestFit="1" customWidth="1"/>
    <col min="14330" max="14330" width="1.81640625" customWidth="1"/>
    <col min="14331" max="14331" width="8" customWidth="1"/>
    <col min="14332" max="14332" width="8" bestFit="1" customWidth="1"/>
    <col min="14333" max="14333" width="9" bestFit="1" customWidth="1"/>
    <col min="14334" max="14334" width="12" bestFit="1" customWidth="1"/>
    <col min="14335" max="14356" width="9" bestFit="1" customWidth="1"/>
    <col min="14357" max="14357" width="7.81640625" bestFit="1" customWidth="1"/>
    <col min="14358" max="14358" width="4.54296875" bestFit="1" customWidth="1"/>
    <col min="14359" max="14359" width="14.1796875" bestFit="1" customWidth="1"/>
    <col min="14586" max="14586" width="1.81640625" customWidth="1"/>
    <col min="14587" max="14587" width="8" customWidth="1"/>
    <col min="14588" max="14588" width="8" bestFit="1" customWidth="1"/>
    <col min="14589" max="14589" width="9" bestFit="1" customWidth="1"/>
    <col min="14590" max="14590" width="12" bestFit="1" customWidth="1"/>
    <col min="14591" max="14612" width="9" bestFit="1" customWidth="1"/>
    <col min="14613" max="14613" width="7.81640625" bestFit="1" customWidth="1"/>
    <col min="14614" max="14614" width="4.54296875" bestFit="1" customWidth="1"/>
    <col min="14615" max="14615" width="14.1796875" bestFit="1" customWidth="1"/>
    <col min="14842" max="14842" width="1.81640625" customWidth="1"/>
    <col min="14843" max="14843" width="8" customWidth="1"/>
    <col min="14844" max="14844" width="8" bestFit="1" customWidth="1"/>
    <col min="14845" max="14845" width="9" bestFit="1" customWidth="1"/>
    <col min="14846" max="14846" width="12" bestFit="1" customWidth="1"/>
    <col min="14847" max="14868" width="9" bestFit="1" customWidth="1"/>
    <col min="14869" max="14869" width="7.81640625" bestFit="1" customWidth="1"/>
    <col min="14870" max="14870" width="4.54296875" bestFit="1" customWidth="1"/>
    <col min="14871" max="14871" width="14.1796875" bestFit="1" customWidth="1"/>
    <col min="15098" max="15098" width="1.81640625" customWidth="1"/>
    <col min="15099" max="15099" width="8" customWidth="1"/>
    <col min="15100" max="15100" width="8" bestFit="1" customWidth="1"/>
    <col min="15101" max="15101" width="9" bestFit="1" customWidth="1"/>
    <col min="15102" max="15102" width="12" bestFit="1" customWidth="1"/>
    <col min="15103" max="15124" width="9" bestFit="1" customWidth="1"/>
    <col min="15125" max="15125" width="7.81640625" bestFit="1" customWidth="1"/>
    <col min="15126" max="15126" width="4.54296875" bestFit="1" customWidth="1"/>
    <col min="15127" max="15127" width="14.1796875" bestFit="1" customWidth="1"/>
    <col min="15354" max="15354" width="1.81640625" customWidth="1"/>
    <col min="15355" max="15355" width="8" customWidth="1"/>
    <col min="15356" max="15356" width="8" bestFit="1" customWidth="1"/>
    <col min="15357" max="15357" width="9" bestFit="1" customWidth="1"/>
    <col min="15358" max="15358" width="12" bestFit="1" customWidth="1"/>
    <col min="15359" max="15380" width="9" bestFit="1" customWidth="1"/>
    <col min="15381" max="15381" width="7.81640625" bestFit="1" customWidth="1"/>
    <col min="15382" max="15382" width="4.54296875" bestFit="1" customWidth="1"/>
    <col min="15383" max="15383" width="14.1796875" bestFit="1" customWidth="1"/>
    <col min="15610" max="15610" width="1.81640625" customWidth="1"/>
    <col min="15611" max="15611" width="8" customWidth="1"/>
    <col min="15612" max="15612" width="8" bestFit="1" customWidth="1"/>
    <col min="15613" max="15613" width="9" bestFit="1" customWidth="1"/>
    <col min="15614" max="15614" width="12" bestFit="1" customWidth="1"/>
    <col min="15615" max="15636" width="9" bestFit="1" customWidth="1"/>
    <col min="15637" max="15637" width="7.81640625" bestFit="1" customWidth="1"/>
    <col min="15638" max="15638" width="4.54296875" bestFit="1" customWidth="1"/>
    <col min="15639" max="15639" width="14.1796875" bestFit="1" customWidth="1"/>
    <col min="15866" max="15866" width="1.81640625" customWidth="1"/>
    <col min="15867" max="15867" width="8" customWidth="1"/>
    <col min="15868" max="15868" width="8" bestFit="1" customWidth="1"/>
    <col min="15869" max="15869" width="9" bestFit="1" customWidth="1"/>
    <col min="15870" max="15870" width="12" bestFit="1" customWidth="1"/>
    <col min="15871" max="15892" width="9" bestFit="1" customWidth="1"/>
    <col min="15893" max="15893" width="7.81640625" bestFit="1" customWidth="1"/>
    <col min="15894" max="15894" width="4.54296875" bestFit="1" customWidth="1"/>
    <col min="15895" max="15895" width="14.1796875" bestFit="1" customWidth="1"/>
    <col min="16122" max="16122" width="1.81640625" customWidth="1"/>
    <col min="16123" max="16123" width="8" customWidth="1"/>
    <col min="16124" max="16124" width="8" bestFit="1" customWidth="1"/>
    <col min="16125" max="16125" width="9" bestFit="1" customWidth="1"/>
    <col min="16126" max="16126" width="12" bestFit="1" customWidth="1"/>
    <col min="16127" max="16148" width="9" bestFit="1" customWidth="1"/>
    <col min="16149" max="16149" width="7.81640625" bestFit="1" customWidth="1"/>
    <col min="16150" max="16150" width="4.54296875" bestFit="1" customWidth="1"/>
    <col min="16151" max="16151" width="14.1796875" bestFit="1" customWidth="1"/>
  </cols>
  <sheetData>
    <row r="2" spans="2:31" ht="15.5">
      <c r="B2" s="53" t="s">
        <v>0</v>
      </c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  <c r="AA2" s="53"/>
      <c r="AB2" s="53"/>
    </row>
    <row r="3" spans="2:31" ht="15.5">
      <c r="B3" s="53" t="s">
        <v>34</v>
      </c>
      <c r="C3" s="53"/>
      <c r="D3" s="53"/>
      <c r="E3" s="53"/>
      <c r="F3" s="53"/>
      <c r="G3" s="53"/>
      <c r="H3" s="53"/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  <c r="AA3" s="53"/>
      <c r="AB3" s="53"/>
    </row>
    <row r="4" spans="2:31" ht="16" thickBot="1">
      <c r="B4" s="54" t="s">
        <v>37</v>
      </c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  <c r="U4" s="54"/>
      <c r="V4" s="54"/>
      <c r="W4" s="54"/>
      <c r="X4" s="54"/>
      <c r="Y4" s="54"/>
      <c r="Z4" s="54"/>
      <c r="AA4" s="54"/>
      <c r="AB4" s="54"/>
    </row>
    <row r="5" spans="2:31" ht="25.5" customHeight="1" thickBot="1">
      <c r="B5" s="37"/>
      <c r="C5" s="38" t="s">
        <v>1</v>
      </c>
      <c r="D5" s="39">
        <v>1</v>
      </c>
      <c r="E5" s="39">
        <v>2</v>
      </c>
      <c r="F5" s="39">
        <v>3</v>
      </c>
      <c r="G5" s="39">
        <v>4</v>
      </c>
      <c r="H5" s="39">
        <v>5</v>
      </c>
      <c r="I5" s="39">
        <v>6</v>
      </c>
      <c r="J5" s="40">
        <v>7</v>
      </c>
      <c r="K5" s="40">
        <v>8</v>
      </c>
      <c r="L5" s="40">
        <v>9</v>
      </c>
      <c r="M5" s="40">
        <v>10</v>
      </c>
      <c r="N5" s="40">
        <v>11</v>
      </c>
      <c r="O5" s="40">
        <v>12</v>
      </c>
      <c r="P5" s="40">
        <v>13</v>
      </c>
      <c r="Q5" s="40">
        <v>14</v>
      </c>
      <c r="R5" s="40">
        <v>15</v>
      </c>
      <c r="S5" s="40">
        <v>16</v>
      </c>
      <c r="T5" s="40">
        <v>17</v>
      </c>
      <c r="U5" s="40">
        <v>18</v>
      </c>
      <c r="V5" s="41">
        <v>19</v>
      </c>
      <c r="W5" s="41">
        <v>20</v>
      </c>
      <c r="X5" s="41">
        <v>21</v>
      </c>
      <c r="Y5" s="39">
        <v>22</v>
      </c>
      <c r="Z5" s="39">
        <v>23</v>
      </c>
      <c r="AA5" s="42">
        <v>24</v>
      </c>
      <c r="AB5" s="14" t="s">
        <v>2</v>
      </c>
      <c r="AC5" s="15" t="s">
        <v>3</v>
      </c>
      <c r="AD5" s="16" t="s">
        <v>2</v>
      </c>
    </row>
    <row r="6" spans="2:31">
      <c r="B6" s="47">
        <v>46023</v>
      </c>
      <c r="C6" s="8" t="s">
        <v>5</v>
      </c>
      <c r="D6" s="7">
        <v>5750</v>
      </c>
      <c r="E6" s="7">
        <v>5750</v>
      </c>
      <c r="F6" s="7">
        <v>5750</v>
      </c>
      <c r="G6" s="7">
        <v>5750</v>
      </c>
      <c r="H6" s="7">
        <v>5750</v>
      </c>
      <c r="I6" s="7">
        <v>5750</v>
      </c>
      <c r="J6" s="7">
        <v>5750</v>
      </c>
      <c r="K6" s="7">
        <v>5750</v>
      </c>
      <c r="L6" s="7">
        <v>5750</v>
      </c>
      <c r="M6" s="7">
        <v>5750</v>
      </c>
      <c r="N6" s="7">
        <v>5750</v>
      </c>
      <c r="O6" s="7">
        <v>5750</v>
      </c>
      <c r="P6" s="7">
        <v>5750</v>
      </c>
      <c r="Q6" s="7">
        <v>5750</v>
      </c>
      <c r="R6" s="7">
        <v>5750</v>
      </c>
      <c r="S6" s="7">
        <v>5750</v>
      </c>
      <c r="T6" s="7">
        <v>5750</v>
      </c>
      <c r="U6" s="7">
        <v>5750</v>
      </c>
      <c r="V6" s="7">
        <v>5750</v>
      </c>
      <c r="W6" s="7">
        <v>5750</v>
      </c>
      <c r="X6" s="7">
        <v>5750</v>
      </c>
      <c r="Y6" s="7">
        <v>5750</v>
      </c>
      <c r="Z6" s="7">
        <v>5750</v>
      </c>
      <c r="AA6" s="11">
        <v>5750</v>
      </c>
      <c r="AB6" s="5">
        <f t="shared" ref="AB6:AB53" si="0">(SUM(D6:AA6))</f>
        <v>138000</v>
      </c>
      <c r="AC6" s="5">
        <v>20</v>
      </c>
      <c r="AD6" s="50">
        <f>(AB6*AC6)+(AB7*AC7)+(AB8*AC8)+(AB9*AC9)</f>
        <v>4278000</v>
      </c>
      <c r="AE6" s="46">
        <f>+AD6</f>
        <v>4278000</v>
      </c>
    </row>
    <row r="7" spans="2:31">
      <c r="B7" s="48"/>
      <c r="C7" s="1" t="s">
        <v>6</v>
      </c>
      <c r="D7" s="2">
        <v>5750</v>
      </c>
      <c r="E7" s="2">
        <v>5750</v>
      </c>
      <c r="F7" s="2">
        <v>5750</v>
      </c>
      <c r="G7" s="2">
        <v>5750</v>
      </c>
      <c r="H7" s="2">
        <v>5750</v>
      </c>
      <c r="I7" s="2">
        <v>5750</v>
      </c>
      <c r="J7" s="2">
        <v>5750</v>
      </c>
      <c r="K7" s="2">
        <v>5750</v>
      </c>
      <c r="L7" s="2">
        <v>5750</v>
      </c>
      <c r="M7" s="2">
        <v>5750</v>
      </c>
      <c r="N7" s="2">
        <v>5750</v>
      </c>
      <c r="O7" s="2">
        <v>5750</v>
      </c>
      <c r="P7" s="2">
        <v>5750</v>
      </c>
      <c r="Q7" s="2">
        <v>5750</v>
      </c>
      <c r="R7" s="2">
        <v>5750</v>
      </c>
      <c r="S7" s="2">
        <v>5750</v>
      </c>
      <c r="T7" s="2">
        <v>5750</v>
      </c>
      <c r="U7" s="2">
        <v>5750</v>
      </c>
      <c r="V7" s="2">
        <v>5750</v>
      </c>
      <c r="W7" s="2">
        <v>5750</v>
      </c>
      <c r="X7" s="2">
        <v>5750</v>
      </c>
      <c r="Y7" s="2">
        <v>5750</v>
      </c>
      <c r="Z7" s="2">
        <v>5750</v>
      </c>
      <c r="AA7" s="12">
        <v>5750</v>
      </c>
      <c r="AB7" s="3">
        <f t="shared" si="0"/>
        <v>138000</v>
      </c>
      <c r="AC7" s="3">
        <v>5</v>
      </c>
      <c r="AD7" s="51"/>
      <c r="AE7" s="46">
        <f>+AD10</f>
        <v>3864000</v>
      </c>
    </row>
    <row r="8" spans="2:31">
      <c r="B8" s="48"/>
      <c r="C8" s="1" t="s">
        <v>7</v>
      </c>
      <c r="D8" s="2">
        <v>5750</v>
      </c>
      <c r="E8" s="2">
        <v>5750</v>
      </c>
      <c r="F8" s="2">
        <v>5750</v>
      </c>
      <c r="G8" s="2">
        <v>5750</v>
      </c>
      <c r="H8" s="2">
        <v>5750</v>
      </c>
      <c r="I8" s="2">
        <v>5750</v>
      </c>
      <c r="J8" s="2">
        <v>5750</v>
      </c>
      <c r="K8" s="2">
        <v>5750</v>
      </c>
      <c r="L8" s="2">
        <v>5750</v>
      </c>
      <c r="M8" s="2">
        <v>5750</v>
      </c>
      <c r="N8" s="2">
        <v>5750</v>
      </c>
      <c r="O8" s="2">
        <v>5750</v>
      </c>
      <c r="P8" s="2">
        <v>5750</v>
      </c>
      <c r="Q8" s="2">
        <v>5750</v>
      </c>
      <c r="R8" s="2">
        <v>5750</v>
      </c>
      <c r="S8" s="2">
        <v>5750</v>
      </c>
      <c r="T8" s="2">
        <v>5750</v>
      </c>
      <c r="U8" s="2">
        <v>5750</v>
      </c>
      <c r="V8" s="2">
        <v>5750</v>
      </c>
      <c r="W8" s="2">
        <v>5750</v>
      </c>
      <c r="X8" s="2">
        <v>5750</v>
      </c>
      <c r="Y8" s="2">
        <v>5750</v>
      </c>
      <c r="Z8" s="2">
        <v>5750</v>
      </c>
      <c r="AA8" s="12">
        <v>5750</v>
      </c>
      <c r="AB8" s="3">
        <f t="shared" si="0"/>
        <v>138000</v>
      </c>
      <c r="AC8" s="3">
        <v>4</v>
      </c>
      <c r="AD8" s="51"/>
      <c r="AE8" s="46">
        <f>+AD14</f>
        <v>4278000</v>
      </c>
    </row>
    <row r="9" spans="2:31" ht="15" thickBot="1">
      <c r="B9" s="49"/>
      <c r="C9" s="9" t="s">
        <v>8</v>
      </c>
      <c r="D9" s="10">
        <v>5750</v>
      </c>
      <c r="E9" s="10">
        <v>5750</v>
      </c>
      <c r="F9" s="10">
        <v>5750</v>
      </c>
      <c r="G9" s="10">
        <v>5750</v>
      </c>
      <c r="H9" s="10">
        <v>5750</v>
      </c>
      <c r="I9" s="10">
        <v>5750</v>
      </c>
      <c r="J9" s="10">
        <v>5750</v>
      </c>
      <c r="K9" s="10">
        <v>5750</v>
      </c>
      <c r="L9" s="10">
        <v>5750</v>
      </c>
      <c r="M9" s="10">
        <v>5750</v>
      </c>
      <c r="N9" s="10">
        <v>5750</v>
      </c>
      <c r="O9" s="10">
        <v>5750</v>
      </c>
      <c r="P9" s="10">
        <v>5750</v>
      </c>
      <c r="Q9" s="10">
        <v>5750</v>
      </c>
      <c r="R9" s="10">
        <v>5750</v>
      </c>
      <c r="S9" s="10">
        <v>5750</v>
      </c>
      <c r="T9" s="10">
        <v>5750</v>
      </c>
      <c r="U9" s="10">
        <v>5750</v>
      </c>
      <c r="V9" s="10">
        <v>5750</v>
      </c>
      <c r="W9" s="10">
        <v>5750</v>
      </c>
      <c r="X9" s="10">
        <v>5750</v>
      </c>
      <c r="Y9" s="10">
        <v>5750</v>
      </c>
      <c r="Z9" s="10">
        <v>5750</v>
      </c>
      <c r="AA9" s="13">
        <v>5750</v>
      </c>
      <c r="AB9" s="6">
        <f t="shared" si="0"/>
        <v>138000</v>
      </c>
      <c r="AC9" s="6">
        <v>2</v>
      </c>
      <c r="AD9" s="52"/>
      <c r="AE9" s="46">
        <f>+AD18</f>
        <v>4140000</v>
      </c>
    </row>
    <row r="10" spans="2:31">
      <c r="B10" s="47">
        <v>46054</v>
      </c>
      <c r="C10" s="8" t="s">
        <v>5</v>
      </c>
      <c r="D10" s="7">
        <v>5750</v>
      </c>
      <c r="E10" s="7">
        <v>5750</v>
      </c>
      <c r="F10" s="7">
        <v>5750</v>
      </c>
      <c r="G10" s="7">
        <v>5750</v>
      </c>
      <c r="H10" s="7">
        <v>5750</v>
      </c>
      <c r="I10" s="7">
        <v>5750</v>
      </c>
      <c r="J10" s="7">
        <v>5750</v>
      </c>
      <c r="K10" s="7">
        <v>5750</v>
      </c>
      <c r="L10" s="7">
        <v>5750</v>
      </c>
      <c r="M10" s="7">
        <v>5750</v>
      </c>
      <c r="N10" s="7">
        <v>5750</v>
      </c>
      <c r="O10" s="7">
        <v>5750</v>
      </c>
      <c r="P10" s="7">
        <v>5750</v>
      </c>
      <c r="Q10" s="7">
        <v>5750</v>
      </c>
      <c r="R10" s="7">
        <v>5750</v>
      </c>
      <c r="S10" s="7">
        <v>5750</v>
      </c>
      <c r="T10" s="7">
        <v>5750</v>
      </c>
      <c r="U10" s="7">
        <v>5750</v>
      </c>
      <c r="V10" s="7">
        <v>5750</v>
      </c>
      <c r="W10" s="7">
        <v>5750</v>
      </c>
      <c r="X10" s="7">
        <v>5750</v>
      </c>
      <c r="Y10" s="7">
        <v>5750</v>
      </c>
      <c r="Z10" s="7">
        <v>5750</v>
      </c>
      <c r="AA10" s="11">
        <v>5750</v>
      </c>
      <c r="AB10" s="5">
        <f t="shared" si="0"/>
        <v>138000</v>
      </c>
      <c r="AC10" s="5">
        <v>20</v>
      </c>
      <c r="AD10" s="50">
        <f>(AB10*AC10)+(AB11*AC11)+(AB12*AC12)+(AB13*AC13)</f>
        <v>3864000</v>
      </c>
      <c r="AE10" s="46">
        <f>+AD22</f>
        <v>4278000</v>
      </c>
    </row>
    <row r="11" spans="2:31">
      <c r="B11" s="48"/>
      <c r="C11" s="1" t="s">
        <v>6</v>
      </c>
      <c r="D11" s="2">
        <v>5750</v>
      </c>
      <c r="E11" s="2">
        <v>5750</v>
      </c>
      <c r="F11" s="2">
        <v>5750</v>
      </c>
      <c r="G11" s="2">
        <v>5750</v>
      </c>
      <c r="H11" s="2">
        <v>5750</v>
      </c>
      <c r="I11" s="2">
        <v>5750</v>
      </c>
      <c r="J11" s="2">
        <v>5750</v>
      </c>
      <c r="K11" s="2">
        <v>5750</v>
      </c>
      <c r="L11" s="2">
        <v>5750</v>
      </c>
      <c r="M11" s="2">
        <v>5750</v>
      </c>
      <c r="N11" s="2">
        <v>5750</v>
      </c>
      <c r="O11" s="2">
        <v>5750</v>
      </c>
      <c r="P11" s="2">
        <v>5750</v>
      </c>
      <c r="Q11" s="2">
        <v>5750</v>
      </c>
      <c r="R11" s="2">
        <v>5750</v>
      </c>
      <c r="S11" s="2">
        <v>5750</v>
      </c>
      <c r="T11" s="2">
        <v>5750</v>
      </c>
      <c r="U11" s="2">
        <v>5750</v>
      </c>
      <c r="V11" s="2">
        <v>5750</v>
      </c>
      <c r="W11" s="2">
        <v>5750</v>
      </c>
      <c r="X11" s="2">
        <v>5750</v>
      </c>
      <c r="Y11" s="2">
        <v>5750</v>
      </c>
      <c r="Z11" s="2">
        <v>5750</v>
      </c>
      <c r="AA11" s="12">
        <v>5750</v>
      </c>
      <c r="AB11" s="3">
        <f t="shared" si="0"/>
        <v>138000</v>
      </c>
      <c r="AC11" s="3">
        <v>4</v>
      </c>
      <c r="AD11" s="51"/>
      <c r="AE11" s="46">
        <f>+AD26</f>
        <v>4140000</v>
      </c>
    </row>
    <row r="12" spans="2:31">
      <c r="B12" s="48"/>
      <c r="C12" s="1" t="s">
        <v>7</v>
      </c>
      <c r="D12" s="2">
        <v>5750</v>
      </c>
      <c r="E12" s="2">
        <v>5750</v>
      </c>
      <c r="F12" s="2">
        <v>5750</v>
      </c>
      <c r="G12" s="2">
        <v>5750</v>
      </c>
      <c r="H12" s="2">
        <v>5750</v>
      </c>
      <c r="I12" s="2">
        <v>5750</v>
      </c>
      <c r="J12" s="2">
        <v>5750</v>
      </c>
      <c r="K12" s="2">
        <v>5750</v>
      </c>
      <c r="L12" s="2">
        <v>5750</v>
      </c>
      <c r="M12" s="2">
        <v>5750</v>
      </c>
      <c r="N12" s="2">
        <v>5750</v>
      </c>
      <c r="O12" s="2">
        <v>5750</v>
      </c>
      <c r="P12" s="2">
        <v>5750</v>
      </c>
      <c r="Q12" s="2">
        <v>5750</v>
      </c>
      <c r="R12" s="2">
        <v>5750</v>
      </c>
      <c r="S12" s="2">
        <v>5750</v>
      </c>
      <c r="T12" s="2">
        <v>5750</v>
      </c>
      <c r="U12" s="2">
        <v>5750</v>
      </c>
      <c r="V12" s="2">
        <v>5750</v>
      </c>
      <c r="W12" s="2">
        <v>5750</v>
      </c>
      <c r="X12" s="2">
        <v>5750</v>
      </c>
      <c r="Y12" s="2">
        <v>5750</v>
      </c>
      <c r="Z12" s="2">
        <v>5750</v>
      </c>
      <c r="AA12" s="12">
        <v>5750</v>
      </c>
      <c r="AB12" s="3">
        <f t="shared" si="0"/>
        <v>138000</v>
      </c>
      <c r="AC12" s="3">
        <v>4</v>
      </c>
      <c r="AD12" s="51"/>
      <c r="AE12" s="46">
        <f>+AD30</f>
        <v>4278000</v>
      </c>
    </row>
    <row r="13" spans="2:31" ht="15" thickBot="1">
      <c r="B13" s="49"/>
      <c r="C13" s="9" t="s">
        <v>8</v>
      </c>
      <c r="D13" s="10">
        <v>5750</v>
      </c>
      <c r="E13" s="10">
        <v>5750</v>
      </c>
      <c r="F13" s="10">
        <v>5750</v>
      </c>
      <c r="G13" s="10">
        <v>5750</v>
      </c>
      <c r="H13" s="10">
        <v>5750</v>
      </c>
      <c r="I13" s="10">
        <v>5750</v>
      </c>
      <c r="J13" s="10">
        <v>5750</v>
      </c>
      <c r="K13" s="10">
        <v>5750</v>
      </c>
      <c r="L13" s="10">
        <v>5750</v>
      </c>
      <c r="M13" s="10">
        <v>5750</v>
      </c>
      <c r="N13" s="10">
        <v>5750</v>
      </c>
      <c r="O13" s="10">
        <v>5750</v>
      </c>
      <c r="P13" s="10">
        <v>5750</v>
      </c>
      <c r="Q13" s="10">
        <v>5750</v>
      </c>
      <c r="R13" s="10">
        <v>5750</v>
      </c>
      <c r="S13" s="10">
        <v>5750</v>
      </c>
      <c r="T13" s="10">
        <v>5750</v>
      </c>
      <c r="U13" s="10">
        <v>5750</v>
      </c>
      <c r="V13" s="10">
        <v>5750</v>
      </c>
      <c r="W13" s="10">
        <v>5750</v>
      </c>
      <c r="X13" s="10">
        <v>5750</v>
      </c>
      <c r="Y13" s="10">
        <v>5750</v>
      </c>
      <c r="Z13" s="10">
        <v>5750</v>
      </c>
      <c r="AA13" s="13">
        <v>5750</v>
      </c>
      <c r="AB13" s="6">
        <f t="shared" si="0"/>
        <v>138000</v>
      </c>
      <c r="AC13" s="6">
        <v>0</v>
      </c>
      <c r="AD13" s="52"/>
      <c r="AE13" s="46">
        <f>+AD34</f>
        <v>4278000</v>
      </c>
    </row>
    <row r="14" spans="2:31">
      <c r="B14" s="47">
        <v>46082</v>
      </c>
      <c r="C14" s="8" t="s">
        <v>5</v>
      </c>
      <c r="D14" s="7">
        <v>5750</v>
      </c>
      <c r="E14" s="7">
        <v>5750</v>
      </c>
      <c r="F14" s="7">
        <v>5750</v>
      </c>
      <c r="G14" s="7">
        <v>5750</v>
      </c>
      <c r="H14" s="7">
        <v>5750</v>
      </c>
      <c r="I14" s="7">
        <v>5750</v>
      </c>
      <c r="J14" s="7">
        <v>5750</v>
      </c>
      <c r="K14" s="7">
        <v>5750</v>
      </c>
      <c r="L14" s="7">
        <v>5750</v>
      </c>
      <c r="M14" s="7">
        <v>5750</v>
      </c>
      <c r="N14" s="7">
        <v>5750</v>
      </c>
      <c r="O14" s="7">
        <v>5750</v>
      </c>
      <c r="P14" s="7">
        <v>5750</v>
      </c>
      <c r="Q14" s="7">
        <v>5750</v>
      </c>
      <c r="R14" s="7">
        <v>5750</v>
      </c>
      <c r="S14" s="7">
        <v>5750</v>
      </c>
      <c r="T14" s="7">
        <v>5750</v>
      </c>
      <c r="U14" s="7">
        <v>5750</v>
      </c>
      <c r="V14" s="7">
        <v>5750</v>
      </c>
      <c r="W14" s="7">
        <v>5750</v>
      </c>
      <c r="X14" s="7">
        <v>5750</v>
      </c>
      <c r="Y14" s="7">
        <v>5750</v>
      </c>
      <c r="Z14" s="7">
        <v>5750</v>
      </c>
      <c r="AA14" s="11">
        <v>5750</v>
      </c>
      <c r="AB14" s="5">
        <f t="shared" si="0"/>
        <v>138000</v>
      </c>
      <c r="AC14" s="5">
        <v>21</v>
      </c>
      <c r="AD14" s="50">
        <f>(AB14*AC14)+(AB15*AC15)+(AB16*AC16)+(AB17*AC17)</f>
        <v>4278000</v>
      </c>
      <c r="AE14" s="46">
        <f>+AD38</f>
        <v>4140000</v>
      </c>
    </row>
    <row r="15" spans="2:31">
      <c r="B15" s="48"/>
      <c r="C15" s="1" t="s">
        <v>6</v>
      </c>
      <c r="D15" s="2">
        <v>5750</v>
      </c>
      <c r="E15" s="2">
        <v>5750</v>
      </c>
      <c r="F15" s="2">
        <v>5750</v>
      </c>
      <c r="G15" s="2">
        <v>5750</v>
      </c>
      <c r="H15" s="2">
        <v>5750</v>
      </c>
      <c r="I15" s="2">
        <v>5750</v>
      </c>
      <c r="J15" s="2">
        <v>5750</v>
      </c>
      <c r="K15" s="2">
        <v>5750</v>
      </c>
      <c r="L15" s="2">
        <v>5750</v>
      </c>
      <c r="M15" s="2">
        <v>5750</v>
      </c>
      <c r="N15" s="2">
        <v>5750</v>
      </c>
      <c r="O15" s="2">
        <v>5750</v>
      </c>
      <c r="P15" s="2">
        <v>5750</v>
      </c>
      <c r="Q15" s="2">
        <v>5750</v>
      </c>
      <c r="R15" s="2">
        <v>5750</v>
      </c>
      <c r="S15" s="2">
        <v>5750</v>
      </c>
      <c r="T15" s="2">
        <v>5750</v>
      </c>
      <c r="U15" s="2">
        <v>5750</v>
      </c>
      <c r="V15" s="2">
        <v>5750</v>
      </c>
      <c r="W15" s="2">
        <v>5750</v>
      </c>
      <c r="X15" s="2">
        <v>5750</v>
      </c>
      <c r="Y15" s="2">
        <v>5750</v>
      </c>
      <c r="Z15" s="2">
        <v>5750</v>
      </c>
      <c r="AA15" s="12">
        <v>5750</v>
      </c>
      <c r="AB15" s="3">
        <f t="shared" si="0"/>
        <v>138000</v>
      </c>
      <c r="AC15" s="3">
        <v>4</v>
      </c>
      <c r="AD15" s="51"/>
      <c r="AE15" s="46">
        <f>+AD42</f>
        <v>4278000</v>
      </c>
    </row>
    <row r="16" spans="2:31">
      <c r="B16" s="48"/>
      <c r="C16" s="1" t="s">
        <v>7</v>
      </c>
      <c r="D16" s="2">
        <v>5750</v>
      </c>
      <c r="E16" s="2">
        <v>5750</v>
      </c>
      <c r="F16" s="2">
        <v>5750</v>
      </c>
      <c r="G16" s="2">
        <v>5750</v>
      </c>
      <c r="H16" s="2">
        <v>5750</v>
      </c>
      <c r="I16" s="2">
        <v>5750</v>
      </c>
      <c r="J16" s="2">
        <v>5750</v>
      </c>
      <c r="K16" s="2">
        <v>5750</v>
      </c>
      <c r="L16" s="2">
        <v>5750</v>
      </c>
      <c r="M16" s="2">
        <v>5750</v>
      </c>
      <c r="N16" s="2">
        <v>5750</v>
      </c>
      <c r="O16" s="2">
        <v>5750</v>
      </c>
      <c r="P16" s="2">
        <v>5750</v>
      </c>
      <c r="Q16" s="2">
        <v>5750</v>
      </c>
      <c r="R16" s="2">
        <v>5750</v>
      </c>
      <c r="S16" s="2">
        <v>5750</v>
      </c>
      <c r="T16" s="2">
        <v>5750</v>
      </c>
      <c r="U16" s="2">
        <v>5750</v>
      </c>
      <c r="V16" s="2">
        <v>5750</v>
      </c>
      <c r="W16" s="2">
        <v>5750</v>
      </c>
      <c r="X16" s="2">
        <v>5750</v>
      </c>
      <c r="Y16" s="2">
        <v>5750</v>
      </c>
      <c r="Z16" s="2">
        <v>5750</v>
      </c>
      <c r="AA16" s="12">
        <v>5750</v>
      </c>
      <c r="AB16" s="3">
        <f t="shared" si="0"/>
        <v>138000</v>
      </c>
      <c r="AC16" s="3">
        <v>5</v>
      </c>
      <c r="AD16" s="51"/>
      <c r="AE16" s="46">
        <f>+AD46</f>
        <v>4140000</v>
      </c>
    </row>
    <row r="17" spans="2:31" ht="15" thickBot="1">
      <c r="B17" s="49"/>
      <c r="C17" s="9" t="s">
        <v>8</v>
      </c>
      <c r="D17" s="10">
        <v>5750</v>
      </c>
      <c r="E17" s="10">
        <v>5750</v>
      </c>
      <c r="F17" s="10">
        <v>5750</v>
      </c>
      <c r="G17" s="10">
        <v>5750</v>
      </c>
      <c r="H17" s="10">
        <v>5750</v>
      </c>
      <c r="I17" s="10">
        <v>5750</v>
      </c>
      <c r="J17" s="10">
        <v>5750</v>
      </c>
      <c r="K17" s="10">
        <v>5750</v>
      </c>
      <c r="L17" s="10">
        <v>5750</v>
      </c>
      <c r="M17" s="10">
        <v>5750</v>
      </c>
      <c r="N17" s="10">
        <v>5750</v>
      </c>
      <c r="O17" s="10">
        <v>5750</v>
      </c>
      <c r="P17" s="10">
        <v>5750</v>
      </c>
      <c r="Q17" s="10">
        <v>5750</v>
      </c>
      <c r="R17" s="10">
        <v>5750</v>
      </c>
      <c r="S17" s="10">
        <v>5750</v>
      </c>
      <c r="T17" s="10">
        <v>5750</v>
      </c>
      <c r="U17" s="10">
        <v>5750</v>
      </c>
      <c r="V17" s="10">
        <v>5750</v>
      </c>
      <c r="W17" s="10">
        <v>5750</v>
      </c>
      <c r="X17" s="10">
        <v>5750</v>
      </c>
      <c r="Y17" s="10">
        <v>5750</v>
      </c>
      <c r="Z17" s="10">
        <v>5750</v>
      </c>
      <c r="AA17" s="13">
        <v>5750</v>
      </c>
      <c r="AB17" s="6">
        <f t="shared" si="0"/>
        <v>138000</v>
      </c>
      <c r="AC17" s="6">
        <v>1</v>
      </c>
      <c r="AD17" s="52"/>
      <c r="AE17" s="46">
        <f>+AD50</f>
        <v>4278000</v>
      </c>
    </row>
    <row r="18" spans="2:31">
      <c r="B18" s="47">
        <v>46113</v>
      </c>
      <c r="C18" s="8" t="s">
        <v>5</v>
      </c>
      <c r="D18" s="7">
        <v>5750</v>
      </c>
      <c r="E18" s="7">
        <v>5750</v>
      </c>
      <c r="F18" s="7">
        <v>5750</v>
      </c>
      <c r="G18" s="7">
        <v>5750</v>
      </c>
      <c r="H18" s="7">
        <v>5750</v>
      </c>
      <c r="I18" s="7">
        <v>5750</v>
      </c>
      <c r="J18" s="7">
        <v>5750</v>
      </c>
      <c r="K18" s="7">
        <v>5750</v>
      </c>
      <c r="L18" s="7">
        <v>5750</v>
      </c>
      <c r="M18" s="7">
        <v>5750</v>
      </c>
      <c r="N18" s="7">
        <v>5750</v>
      </c>
      <c r="O18" s="7">
        <v>5750</v>
      </c>
      <c r="P18" s="7">
        <v>5750</v>
      </c>
      <c r="Q18" s="7">
        <v>5750</v>
      </c>
      <c r="R18" s="7">
        <v>5750</v>
      </c>
      <c r="S18" s="7">
        <v>5750</v>
      </c>
      <c r="T18" s="7">
        <v>5750</v>
      </c>
      <c r="U18" s="7">
        <v>5750</v>
      </c>
      <c r="V18" s="7">
        <v>5750</v>
      </c>
      <c r="W18" s="7">
        <v>5750</v>
      </c>
      <c r="X18" s="7">
        <v>5750</v>
      </c>
      <c r="Y18" s="7">
        <v>5750</v>
      </c>
      <c r="Z18" s="7">
        <v>5750</v>
      </c>
      <c r="AA18" s="11">
        <v>5750</v>
      </c>
      <c r="AB18" s="5">
        <f t="shared" si="0"/>
        <v>138000</v>
      </c>
      <c r="AC18" s="5">
        <v>20</v>
      </c>
      <c r="AD18" s="50">
        <f>(AB18*AC18)+(AB19*AC19)+(AB20*AC20)+(AB21*AC21)</f>
        <v>4140000</v>
      </c>
      <c r="AE18" s="46">
        <f>+AD54</f>
        <v>3682800</v>
      </c>
    </row>
    <row r="19" spans="2:31">
      <c r="B19" s="48"/>
      <c r="C19" s="1" t="s">
        <v>6</v>
      </c>
      <c r="D19" s="2">
        <v>5750</v>
      </c>
      <c r="E19" s="2">
        <v>5750</v>
      </c>
      <c r="F19" s="2">
        <v>5750</v>
      </c>
      <c r="G19" s="2">
        <v>5750</v>
      </c>
      <c r="H19" s="2">
        <v>5750</v>
      </c>
      <c r="I19" s="2">
        <v>5750</v>
      </c>
      <c r="J19" s="2">
        <v>5750</v>
      </c>
      <c r="K19" s="2">
        <v>5750</v>
      </c>
      <c r="L19" s="2">
        <v>5750</v>
      </c>
      <c r="M19" s="2">
        <v>5750</v>
      </c>
      <c r="N19" s="2">
        <v>5750</v>
      </c>
      <c r="O19" s="2">
        <v>5750</v>
      </c>
      <c r="P19" s="2">
        <v>5750</v>
      </c>
      <c r="Q19" s="2">
        <v>5750</v>
      </c>
      <c r="R19" s="2">
        <v>5750</v>
      </c>
      <c r="S19" s="2">
        <v>5750</v>
      </c>
      <c r="T19" s="2">
        <v>5750</v>
      </c>
      <c r="U19" s="2">
        <v>5750</v>
      </c>
      <c r="V19" s="2">
        <v>5750</v>
      </c>
      <c r="W19" s="2">
        <v>5750</v>
      </c>
      <c r="X19" s="2">
        <v>5750</v>
      </c>
      <c r="Y19" s="2">
        <v>5750</v>
      </c>
      <c r="Z19" s="2">
        <v>5750</v>
      </c>
      <c r="AA19" s="12">
        <v>5750</v>
      </c>
      <c r="AB19" s="3">
        <f t="shared" si="0"/>
        <v>138000</v>
      </c>
      <c r="AC19" s="3">
        <v>4</v>
      </c>
      <c r="AD19" s="51"/>
      <c r="AE19" s="46">
        <f>+AD58</f>
        <v>3445200</v>
      </c>
    </row>
    <row r="20" spans="2:31">
      <c r="B20" s="48"/>
      <c r="C20" s="1" t="s">
        <v>7</v>
      </c>
      <c r="D20" s="2">
        <v>5750</v>
      </c>
      <c r="E20" s="2">
        <v>5750</v>
      </c>
      <c r="F20" s="2">
        <v>5750</v>
      </c>
      <c r="G20" s="2">
        <v>5750</v>
      </c>
      <c r="H20" s="2">
        <v>5750</v>
      </c>
      <c r="I20" s="2">
        <v>5750</v>
      </c>
      <c r="J20" s="2">
        <v>5750</v>
      </c>
      <c r="K20" s="2">
        <v>5750</v>
      </c>
      <c r="L20" s="2">
        <v>5750</v>
      </c>
      <c r="M20" s="2">
        <v>5750</v>
      </c>
      <c r="N20" s="2">
        <v>5750</v>
      </c>
      <c r="O20" s="2">
        <v>5750</v>
      </c>
      <c r="P20" s="2">
        <v>5750</v>
      </c>
      <c r="Q20" s="2">
        <v>5750</v>
      </c>
      <c r="R20" s="2">
        <v>5750</v>
      </c>
      <c r="S20" s="2">
        <v>5750</v>
      </c>
      <c r="T20" s="2">
        <v>5750</v>
      </c>
      <c r="U20" s="2">
        <v>5750</v>
      </c>
      <c r="V20" s="2">
        <v>5750</v>
      </c>
      <c r="W20" s="2">
        <v>5750</v>
      </c>
      <c r="X20" s="2">
        <v>5750</v>
      </c>
      <c r="Y20" s="2">
        <v>5750</v>
      </c>
      <c r="Z20" s="2">
        <v>5750</v>
      </c>
      <c r="AA20" s="12">
        <v>5750</v>
      </c>
      <c r="AB20" s="3">
        <f t="shared" si="0"/>
        <v>138000</v>
      </c>
      <c r="AC20" s="3">
        <v>4</v>
      </c>
      <c r="AD20" s="51"/>
      <c r="AE20" s="46">
        <f>+AD62</f>
        <v>3682800</v>
      </c>
    </row>
    <row r="21" spans="2:31" ht="15" thickBot="1">
      <c r="B21" s="49"/>
      <c r="C21" s="9" t="s">
        <v>8</v>
      </c>
      <c r="D21" s="10">
        <v>5750</v>
      </c>
      <c r="E21" s="10">
        <v>5750</v>
      </c>
      <c r="F21" s="10">
        <v>5750</v>
      </c>
      <c r="G21" s="10">
        <v>5750</v>
      </c>
      <c r="H21" s="10">
        <v>5750</v>
      </c>
      <c r="I21" s="10">
        <v>5750</v>
      </c>
      <c r="J21" s="10">
        <v>5750</v>
      </c>
      <c r="K21" s="10">
        <v>5750</v>
      </c>
      <c r="L21" s="10">
        <v>5750</v>
      </c>
      <c r="M21" s="10">
        <v>5750</v>
      </c>
      <c r="N21" s="10">
        <v>5750</v>
      </c>
      <c r="O21" s="10">
        <v>5750</v>
      </c>
      <c r="P21" s="10">
        <v>5750</v>
      </c>
      <c r="Q21" s="10">
        <v>5750</v>
      </c>
      <c r="R21" s="10">
        <v>5750</v>
      </c>
      <c r="S21" s="10">
        <v>5750</v>
      </c>
      <c r="T21" s="10">
        <v>5750</v>
      </c>
      <c r="U21" s="10">
        <v>5750</v>
      </c>
      <c r="V21" s="10">
        <v>5750</v>
      </c>
      <c r="W21" s="10">
        <v>5750</v>
      </c>
      <c r="X21" s="10">
        <v>5750</v>
      </c>
      <c r="Y21" s="10">
        <v>5750</v>
      </c>
      <c r="Z21" s="10">
        <v>5750</v>
      </c>
      <c r="AA21" s="13">
        <v>5750</v>
      </c>
      <c r="AB21" s="6">
        <f t="shared" si="0"/>
        <v>138000</v>
      </c>
      <c r="AC21" s="6">
        <v>2</v>
      </c>
      <c r="AD21" s="52"/>
      <c r="AE21" s="46">
        <f>+AD66</f>
        <v>3564000</v>
      </c>
    </row>
    <row r="22" spans="2:31">
      <c r="B22" s="47">
        <v>46143</v>
      </c>
      <c r="C22" s="8" t="s">
        <v>5</v>
      </c>
      <c r="D22" s="7">
        <v>5750</v>
      </c>
      <c r="E22" s="7">
        <v>5750</v>
      </c>
      <c r="F22" s="7">
        <v>5750</v>
      </c>
      <c r="G22" s="7">
        <v>5750</v>
      </c>
      <c r="H22" s="7">
        <v>5750</v>
      </c>
      <c r="I22" s="7">
        <v>5750</v>
      </c>
      <c r="J22" s="7">
        <v>5750</v>
      </c>
      <c r="K22" s="7">
        <v>5750</v>
      </c>
      <c r="L22" s="7">
        <v>5750</v>
      </c>
      <c r="M22" s="7">
        <v>5750</v>
      </c>
      <c r="N22" s="7">
        <v>5750</v>
      </c>
      <c r="O22" s="7">
        <v>5750</v>
      </c>
      <c r="P22" s="7">
        <v>5750</v>
      </c>
      <c r="Q22" s="7">
        <v>5750</v>
      </c>
      <c r="R22" s="7">
        <v>5750</v>
      </c>
      <c r="S22" s="7">
        <v>5750</v>
      </c>
      <c r="T22" s="7">
        <v>5750</v>
      </c>
      <c r="U22" s="7">
        <v>5750</v>
      </c>
      <c r="V22" s="7">
        <v>5750</v>
      </c>
      <c r="W22" s="7">
        <v>5750</v>
      </c>
      <c r="X22" s="7">
        <v>5750</v>
      </c>
      <c r="Y22" s="7">
        <v>5750</v>
      </c>
      <c r="Z22" s="7">
        <v>5750</v>
      </c>
      <c r="AA22" s="11">
        <v>5750</v>
      </c>
      <c r="AB22" s="5">
        <f t="shared" si="0"/>
        <v>138000</v>
      </c>
      <c r="AC22" s="5">
        <v>19</v>
      </c>
      <c r="AD22" s="50">
        <f>(AB22*AC22)+(AB23*AC23)+(AB24*AC24)+(AB25*AC25)</f>
        <v>4278000</v>
      </c>
      <c r="AE22" s="46">
        <f>+AD70</f>
        <v>3682800</v>
      </c>
    </row>
    <row r="23" spans="2:31">
      <c r="B23" s="48"/>
      <c r="C23" s="1" t="s">
        <v>6</v>
      </c>
      <c r="D23" s="2">
        <v>5750</v>
      </c>
      <c r="E23" s="2">
        <v>5750</v>
      </c>
      <c r="F23" s="2">
        <v>5750</v>
      </c>
      <c r="G23" s="2">
        <v>5750</v>
      </c>
      <c r="H23" s="2">
        <v>5750</v>
      </c>
      <c r="I23" s="2">
        <v>5750</v>
      </c>
      <c r="J23" s="2">
        <v>5750</v>
      </c>
      <c r="K23" s="2">
        <v>5750</v>
      </c>
      <c r="L23" s="2">
        <v>5750</v>
      </c>
      <c r="M23" s="2">
        <v>5750</v>
      </c>
      <c r="N23" s="2">
        <v>5750</v>
      </c>
      <c r="O23" s="2">
        <v>5750</v>
      </c>
      <c r="P23" s="2">
        <v>5750</v>
      </c>
      <c r="Q23" s="2">
        <v>5750</v>
      </c>
      <c r="R23" s="2">
        <v>5750</v>
      </c>
      <c r="S23" s="2">
        <v>5750</v>
      </c>
      <c r="T23" s="2">
        <v>5750</v>
      </c>
      <c r="U23" s="2">
        <v>5750</v>
      </c>
      <c r="V23" s="2">
        <v>5750</v>
      </c>
      <c r="W23" s="2">
        <v>5750</v>
      </c>
      <c r="X23" s="2">
        <v>5750</v>
      </c>
      <c r="Y23" s="2">
        <v>5750</v>
      </c>
      <c r="Z23" s="2">
        <v>5750</v>
      </c>
      <c r="AA23" s="12">
        <v>5750</v>
      </c>
      <c r="AB23" s="3">
        <f t="shared" si="0"/>
        <v>138000</v>
      </c>
      <c r="AC23" s="3">
        <v>5</v>
      </c>
      <c r="AD23" s="51"/>
      <c r="AE23" s="46">
        <f>+AD74</f>
        <v>3564000</v>
      </c>
    </row>
    <row r="24" spans="2:31">
      <c r="B24" s="48"/>
      <c r="C24" s="1" t="s">
        <v>7</v>
      </c>
      <c r="D24" s="2">
        <v>5750</v>
      </c>
      <c r="E24" s="2">
        <v>5750</v>
      </c>
      <c r="F24" s="2">
        <v>5750</v>
      </c>
      <c r="G24" s="2">
        <v>5750</v>
      </c>
      <c r="H24" s="2">
        <v>5750</v>
      </c>
      <c r="I24" s="2">
        <v>5750</v>
      </c>
      <c r="J24" s="2">
        <v>5750</v>
      </c>
      <c r="K24" s="2">
        <v>5750</v>
      </c>
      <c r="L24" s="2">
        <v>5750</v>
      </c>
      <c r="M24" s="2">
        <v>5750</v>
      </c>
      <c r="N24" s="2">
        <v>5750</v>
      </c>
      <c r="O24" s="2">
        <v>5750</v>
      </c>
      <c r="P24" s="2">
        <v>5750</v>
      </c>
      <c r="Q24" s="2">
        <v>5750</v>
      </c>
      <c r="R24" s="2">
        <v>5750</v>
      </c>
      <c r="S24" s="2">
        <v>5750</v>
      </c>
      <c r="T24" s="2">
        <v>5750</v>
      </c>
      <c r="U24" s="2">
        <v>5750</v>
      </c>
      <c r="V24" s="2">
        <v>5750</v>
      </c>
      <c r="W24" s="2">
        <v>5750</v>
      </c>
      <c r="X24" s="2">
        <v>5750</v>
      </c>
      <c r="Y24" s="2">
        <v>5750</v>
      </c>
      <c r="Z24" s="2">
        <v>5750</v>
      </c>
      <c r="AA24" s="12">
        <v>5750</v>
      </c>
      <c r="AB24" s="3">
        <f t="shared" si="0"/>
        <v>138000</v>
      </c>
      <c r="AC24" s="3">
        <v>5</v>
      </c>
      <c r="AD24" s="51"/>
      <c r="AE24" s="46">
        <f>+AD78</f>
        <v>3682800</v>
      </c>
    </row>
    <row r="25" spans="2:31" ht="15" thickBot="1">
      <c r="B25" s="49"/>
      <c r="C25" s="9" t="s">
        <v>8</v>
      </c>
      <c r="D25" s="10">
        <v>5750</v>
      </c>
      <c r="E25" s="10">
        <v>5750</v>
      </c>
      <c r="F25" s="10">
        <v>5750</v>
      </c>
      <c r="G25" s="10">
        <v>5750</v>
      </c>
      <c r="H25" s="10">
        <v>5750</v>
      </c>
      <c r="I25" s="10">
        <v>5750</v>
      </c>
      <c r="J25" s="10">
        <v>5750</v>
      </c>
      <c r="K25" s="10">
        <v>5750</v>
      </c>
      <c r="L25" s="10">
        <v>5750</v>
      </c>
      <c r="M25" s="10">
        <v>5750</v>
      </c>
      <c r="N25" s="10">
        <v>5750</v>
      </c>
      <c r="O25" s="10">
        <v>5750</v>
      </c>
      <c r="P25" s="10">
        <v>5750</v>
      </c>
      <c r="Q25" s="10">
        <v>5750</v>
      </c>
      <c r="R25" s="10">
        <v>5750</v>
      </c>
      <c r="S25" s="10">
        <v>5750</v>
      </c>
      <c r="T25" s="10">
        <v>5750</v>
      </c>
      <c r="U25" s="10">
        <v>5750</v>
      </c>
      <c r="V25" s="10">
        <v>5750</v>
      </c>
      <c r="W25" s="10">
        <v>5750</v>
      </c>
      <c r="X25" s="10">
        <v>5750</v>
      </c>
      <c r="Y25" s="10">
        <v>5750</v>
      </c>
      <c r="Z25" s="10">
        <v>5750</v>
      </c>
      <c r="AA25" s="13">
        <v>5750</v>
      </c>
      <c r="AB25" s="6">
        <f t="shared" si="0"/>
        <v>138000</v>
      </c>
      <c r="AC25" s="6">
        <v>2</v>
      </c>
      <c r="AD25" s="52"/>
      <c r="AE25" s="46">
        <f>+AD82</f>
        <v>3682800</v>
      </c>
    </row>
    <row r="26" spans="2:31">
      <c r="B26" s="47">
        <v>46174</v>
      </c>
      <c r="C26" s="8" t="s">
        <v>5</v>
      </c>
      <c r="D26" s="7">
        <v>5750</v>
      </c>
      <c r="E26" s="7">
        <v>5750</v>
      </c>
      <c r="F26" s="7">
        <v>5750</v>
      </c>
      <c r="G26" s="7">
        <v>5750</v>
      </c>
      <c r="H26" s="7">
        <v>5750</v>
      </c>
      <c r="I26" s="7">
        <v>5750</v>
      </c>
      <c r="J26" s="7">
        <v>5750</v>
      </c>
      <c r="K26" s="7">
        <v>5750</v>
      </c>
      <c r="L26" s="7">
        <v>5750</v>
      </c>
      <c r="M26" s="7">
        <v>5750</v>
      </c>
      <c r="N26" s="7">
        <v>5750</v>
      </c>
      <c r="O26" s="7">
        <v>5750</v>
      </c>
      <c r="P26" s="7">
        <v>5750</v>
      </c>
      <c r="Q26" s="7">
        <v>5750</v>
      </c>
      <c r="R26" s="7">
        <v>5750</v>
      </c>
      <c r="S26" s="7">
        <v>5750</v>
      </c>
      <c r="T26" s="7">
        <v>5750</v>
      </c>
      <c r="U26" s="7">
        <v>5750</v>
      </c>
      <c r="V26" s="7">
        <v>5750</v>
      </c>
      <c r="W26" s="7">
        <v>5750</v>
      </c>
      <c r="X26" s="7">
        <v>5750</v>
      </c>
      <c r="Y26" s="7">
        <v>5750</v>
      </c>
      <c r="Z26" s="7">
        <v>5750</v>
      </c>
      <c r="AA26" s="11">
        <v>5750</v>
      </c>
      <c r="AB26" s="5">
        <f t="shared" si="0"/>
        <v>138000</v>
      </c>
      <c r="AC26" s="5">
        <v>19</v>
      </c>
      <c r="AD26" s="50">
        <f>(AB26*AC26)+(AB27*AC27)+(AB28*AC28)+(AB29*AC29)</f>
        <v>4140000</v>
      </c>
      <c r="AE26" s="46">
        <f>+AD86</f>
        <v>3564000</v>
      </c>
    </row>
    <row r="27" spans="2:31">
      <c r="B27" s="48"/>
      <c r="C27" s="1" t="s">
        <v>6</v>
      </c>
      <c r="D27" s="2">
        <v>5750</v>
      </c>
      <c r="E27" s="2">
        <v>5750</v>
      </c>
      <c r="F27" s="2">
        <v>5750</v>
      </c>
      <c r="G27" s="2">
        <v>5750</v>
      </c>
      <c r="H27" s="2">
        <v>5750</v>
      </c>
      <c r="I27" s="2">
        <v>5750</v>
      </c>
      <c r="J27" s="2">
        <v>5750</v>
      </c>
      <c r="K27" s="2">
        <v>5750</v>
      </c>
      <c r="L27" s="2">
        <v>5750</v>
      </c>
      <c r="M27" s="2">
        <v>5750</v>
      </c>
      <c r="N27" s="2">
        <v>5750</v>
      </c>
      <c r="O27" s="2">
        <v>5750</v>
      </c>
      <c r="P27" s="2">
        <v>5750</v>
      </c>
      <c r="Q27" s="2">
        <v>5750</v>
      </c>
      <c r="R27" s="2">
        <v>5750</v>
      </c>
      <c r="S27" s="2">
        <v>5750</v>
      </c>
      <c r="T27" s="2">
        <v>5750</v>
      </c>
      <c r="U27" s="2">
        <v>5750</v>
      </c>
      <c r="V27" s="2">
        <v>5750</v>
      </c>
      <c r="W27" s="2">
        <v>5750</v>
      </c>
      <c r="X27" s="2">
        <v>5750</v>
      </c>
      <c r="Y27" s="2">
        <v>5750</v>
      </c>
      <c r="Z27" s="2">
        <v>5750</v>
      </c>
      <c r="AA27" s="12">
        <v>5750</v>
      </c>
      <c r="AB27" s="3">
        <f t="shared" si="0"/>
        <v>138000</v>
      </c>
      <c r="AC27" s="3">
        <v>4</v>
      </c>
      <c r="AD27" s="51"/>
      <c r="AE27" s="46">
        <f>+AD90</f>
        <v>3682800</v>
      </c>
    </row>
    <row r="28" spans="2:31">
      <c r="B28" s="48"/>
      <c r="C28" s="1" t="s">
        <v>7</v>
      </c>
      <c r="D28" s="2">
        <v>5750</v>
      </c>
      <c r="E28" s="2">
        <v>5750</v>
      </c>
      <c r="F28" s="2">
        <v>5750</v>
      </c>
      <c r="G28" s="2">
        <v>5750</v>
      </c>
      <c r="H28" s="2">
        <v>5750</v>
      </c>
      <c r="I28" s="2">
        <v>5750</v>
      </c>
      <c r="J28" s="2">
        <v>5750</v>
      </c>
      <c r="K28" s="2">
        <v>5750</v>
      </c>
      <c r="L28" s="2">
        <v>5750</v>
      </c>
      <c r="M28" s="2">
        <v>5750</v>
      </c>
      <c r="N28" s="2">
        <v>5750</v>
      </c>
      <c r="O28" s="2">
        <v>5750</v>
      </c>
      <c r="P28" s="2">
        <v>5750</v>
      </c>
      <c r="Q28" s="2">
        <v>5750</v>
      </c>
      <c r="R28" s="2">
        <v>5750</v>
      </c>
      <c r="S28" s="2">
        <v>5750</v>
      </c>
      <c r="T28" s="2">
        <v>5750</v>
      </c>
      <c r="U28" s="2">
        <v>5750</v>
      </c>
      <c r="V28" s="2">
        <v>5750</v>
      </c>
      <c r="W28" s="2">
        <v>5750</v>
      </c>
      <c r="X28" s="2">
        <v>5750</v>
      </c>
      <c r="Y28" s="2">
        <v>5750</v>
      </c>
      <c r="Z28" s="2">
        <v>5750</v>
      </c>
      <c r="AA28" s="12">
        <v>5750</v>
      </c>
      <c r="AB28" s="3">
        <f t="shared" si="0"/>
        <v>138000</v>
      </c>
      <c r="AC28" s="3">
        <v>4</v>
      </c>
      <c r="AD28" s="51"/>
      <c r="AE28" s="46">
        <f>+AD94</f>
        <v>3564000</v>
      </c>
    </row>
    <row r="29" spans="2:31" ht="15" thickBot="1">
      <c r="B29" s="49"/>
      <c r="C29" s="9" t="s">
        <v>8</v>
      </c>
      <c r="D29" s="10">
        <v>5750</v>
      </c>
      <c r="E29" s="10">
        <v>5750</v>
      </c>
      <c r="F29" s="10">
        <v>5750</v>
      </c>
      <c r="G29" s="10">
        <v>5750</v>
      </c>
      <c r="H29" s="10">
        <v>5750</v>
      </c>
      <c r="I29" s="10">
        <v>5750</v>
      </c>
      <c r="J29" s="10">
        <v>5750</v>
      </c>
      <c r="K29" s="10">
        <v>5750</v>
      </c>
      <c r="L29" s="10">
        <v>5750</v>
      </c>
      <c r="M29" s="10">
        <v>5750</v>
      </c>
      <c r="N29" s="10">
        <v>5750</v>
      </c>
      <c r="O29" s="10">
        <v>5750</v>
      </c>
      <c r="P29" s="10">
        <v>5750</v>
      </c>
      <c r="Q29" s="10">
        <v>5750</v>
      </c>
      <c r="R29" s="10">
        <v>5750</v>
      </c>
      <c r="S29" s="10">
        <v>5750</v>
      </c>
      <c r="T29" s="10">
        <v>5750</v>
      </c>
      <c r="U29" s="10">
        <v>5750</v>
      </c>
      <c r="V29" s="10">
        <v>5750</v>
      </c>
      <c r="W29" s="10">
        <v>5750</v>
      </c>
      <c r="X29" s="10">
        <v>5750</v>
      </c>
      <c r="Y29" s="10">
        <v>5750</v>
      </c>
      <c r="Z29" s="10">
        <v>5750</v>
      </c>
      <c r="AA29" s="13">
        <v>5750</v>
      </c>
      <c r="AB29" s="6">
        <f t="shared" si="0"/>
        <v>138000</v>
      </c>
      <c r="AC29" s="6">
        <v>3</v>
      </c>
      <c r="AD29" s="52"/>
      <c r="AE29" s="46">
        <f>+AD98</f>
        <v>3682800</v>
      </c>
    </row>
    <row r="30" spans="2:31">
      <c r="B30" s="47">
        <v>46204</v>
      </c>
      <c r="C30" s="8" t="s">
        <v>5</v>
      </c>
      <c r="D30" s="7">
        <v>5750</v>
      </c>
      <c r="E30" s="7">
        <v>5750</v>
      </c>
      <c r="F30" s="7">
        <v>5750</v>
      </c>
      <c r="G30" s="7">
        <v>5750</v>
      </c>
      <c r="H30" s="7">
        <v>5750</v>
      </c>
      <c r="I30" s="7">
        <v>5750</v>
      </c>
      <c r="J30" s="7">
        <v>5750</v>
      </c>
      <c r="K30" s="7">
        <v>5750</v>
      </c>
      <c r="L30" s="7">
        <v>5750</v>
      </c>
      <c r="M30" s="7">
        <v>5750</v>
      </c>
      <c r="N30" s="7">
        <v>5750</v>
      </c>
      <c r="O30" s="7">
        <v>5750</v>
      </c>
      <c r="P30" s="7">
        <v>5750</v>
      </c>
      <c r="Q30" s="7">
        <v>5750</v>
      </c>
      <c r="R30" s="7">
        <v>5750</v>
      </c>
      <c r="S30" s="7">
        <v>5750</v>
      </c>
      <c r="T30" s="7">
        <v>5750</v>
      </c>
      <c r="U30" s="7">
        <v>5750</v>
      </c>
      <c r="V30" s="7">
        <v>5750</v>
      </c>
      <c r="W30" s="7">
        <v>5750</v>
      </c>
      <c r="X30" s="7">
        <v>5750</v>
      </c>
      <c r="Y30" s="7">
        <v>5750</v>
      </c>
      <c r="Z30" s="7">
        <v>5750</v>
      </c>
      <c r="AA30" s="11">
        <v>5750</v>
      </c>
      <c r="AB30" s="5">
        <f t="shared" si="0"/>
        <v>138000</v>
      </c>
      <c r="AC30" s="5">
        <v>22</v>
      </c>
      <c r="AD30" s="50">
        <f>(AB30*AC30)+(AB31*AC31)+(AB32*AC32)+(AB33*AC33)</f>
        <v>4278000</v>
      </c>
      <c r="AE30" s="46">
        <f>+AD102</f>
        <v>6286800</v>
      </c>
    </row>
    <row r="31" spans="2:31">
      <c r="B31" s="48"/>
      <c r="C31" s="1" t="s">
        <v>6</v>
      </c>
      <c r="D31" s="2">
        <v>5750</v>
      </c>
      <c r="E31" s="2">
        <v>5750</v>
      </c>
      <c r="F31" s="2">
        <v>5750</v>
      </c>
      <c r="G31" s="2">
        <v>5750</v>
      </c>
      <c r="H31" s="2">
        <v>5750</v>
      </c>
      <c r="I31" s="2">
        <v>5750</v>
      </c>
      <c r="J31" s="2">
        <v>5750</v>
      </c>
      <c r="K31" s="2">
        <v>5750</v>
      </c>
      <c r="L31" s="2">
        <v>5750</v>
      </c>
      <c r="M31" s="2">
        <v>5750</v>
      </c>
      <c r="N31" s="2">
        <v>5750</v>
      </c>
      <c r="O31" s="2">
        <v>5750</v>
      </c>
      <c r="P31" s="2">
        <v>5750</v>
      </c>
      <c r="Q31" s="2">
        <v>5750</v>
      </c>
      <c r="R31" s="2">
        <v>5750</v>
      </c>
      <c r="S31" s="2">
        <v>5750</v>
      </c>
      <c r="T31" s="2">
        <v>5750</v>
      </c>
      <c r="U31" s="2">
        <v>5750</v>
      </c>
      <c r="V31" s="2">
        <v>5750</v>
      </c>
      <c r="W31" s="2">
        <v>5750</v>
      </c>
      <c r="X31" s="2">
        <v>5750</v>
      </c>
      <c r="Y31" s="2">
        <v>5750</v>
      </c>
      <c r="Z31" s="2">
        <v>5750</v>
      </c>
      <c r="AA31" s="12">
        <v>5750</v>
      </c>
      <c r="AB31" s="3">
        <f t="shared" si="0"/>
        <v>138000</v>
      </c>
      <c r="AC31" s="3">
        <v>4</v>
      </c>
      <c r="AD31" s="51"/>
      <c r="AE31" s="46">
        <f>+AD106</f>
        <v>5678400</v>
      </c>
    </row>
    <row r="32" spans="2:31">
      <c r="B32" s="48"/>
      <c r="C32" s="1" t="s">
        <v>4</v>
      </c>
      <c r="D32" s="2">
        <v>5750</v>
      </c>
      <c r="E32" s="2">
        <v>5750</v>
      </c>
      <c r="F32" s="2">
        <v>5750</v>
      </c>
      <c r="G32" s="2">
        <v>5750</v>
      </c>
      <c r="H32" s="2">
        <v>5750</v>
      </c>
      <c r="I32" s="2">
        <v>5750</v>
      </c>
      <c r="J32" s="2">
        <v>5750</v>
      </c>
      <c r="K32" s="2">
        <v>5750</v>
      </c>
      <c r="L32" s="2">
        <v>5750</v>
      </c>
      <c r="M32" s="2">
        <v>5750</v>
      </c>
      <c r="N32" s="2">
        <v>5750</v>
      </c>
      <c r="O32" s="2">
        <v>5750</v>
      </c>
      <c r="P32" s="2">
        <v>5750</v>
      </c>
      <c r="Q32" s="2">
        <v>5750</v>
      </c>
      <c r="R32" s="2">
        <v>5750</v>
      </c>
      <c r="S32" s="2">
        <v>5750</v>
      </c>
      <c r="T32" s="2">
        <v>5750</v>
      </c>
      <c r="U32" s="2">
        <v>5750</v>
      </c>
      <c r="V32" s="2">
        <v>5750</v>
      </c>
      <c r="W32" s="2">
        <v>5750</v>
      </c>
      <c r="X32" s="2">
        <v>5750</v>
      </c>
      <c r="Y32" s="2">
        <v>5750</v>
      </c>
      <c r="Z32" s="2">
        <v>5750</v>
      </c>
      <c r="AA32" s="12">
        <v>5750</v>
      </c>
      <c r="AB32" s="3">
        <f t="shared" si="0"/>
        <v>138000</v>
      </c>
      <c r="AC32" s="3">
        <v>4</v>
      </c>
      <c r="AD32" s="51"/>
      <c r="AE32" s="46">
        <f>+AD110</f>
        <v>6286800</v>
      </c>
    </row>
    <row r="33" spans="2:31" ht="15" thickBot="1">
      <c r="B33" s="49"/>
      <c r="C33" s="9" t="s">
        <v>8</v>
      </c>
      <c r="D33" s="10">
        <v>5750</v>
      </c>
      <c r="E33" s="10">
        <v>5750</v>
      </c>
      <c r="F33" s="10">
        <v>5750</v>
      </c>
      <c r="G33" s="10">
        <v>5750</v>
      </c>
      <c r="H33" s="10">
        <v>5750</v>
      </c>
      <c r="I33" s="10">
        <v>5750</v>
      </c>
      <c r="J33" s="10">
        <v>5750</v>
      </c>
      <c r="K33" s="10">
        <v>5750</v>
      </c>
      <c r="L33" s="10">
        <v>5750</v>
      </c>
      <c r="M33" s="10">
        <v>5750</v>
      </c>
      <c r="N33" s="10">
        <v>5750</v>
      </c>
      <c r="O33" s="10">
        <v>5750</v>
      </c>
      <c r="P33" s="10">
        <v>5750</v>
      </c>
      <c r="Q33" s="10">
        <v>5750</v>
      </c>
      <c r="R33" s="10">
        <v>5750</v>
      </c>
      <c r="S33" s="10">
        <v>5750</v>
      </c>
      <c r="T33" s="10">
        <v>5750</v>
      </c>
      <c r="U33" s="10">
        <v>5750</v>
      </c>
      <c r="V33" s="10">
        <v>5750</v>
      </c>
      <c r="W33" s="10">
        <v>5750</v>
      </c>
      <c r="X33" s="10">
        <v>5750</v>
      </c>
      <c r="Y33" s="10">
        <v>5750</v>
      </c>
      <c r="Z33" s="10">
        <v>5750</v>
      </c>
      <c r="AA33" s="13">
        <v>5750</v>
      </c>
      <c r="AB33" s="6">
        <f t="shared" si="0"/>
        <v>138000</v>
      </c>
      <c r="AC33" s="6">
        <v>1</v>
      </c>
      <c r="AD33" s="52"/>
      <c r="AE33" s="46">
        <f>+AD114</f>
        <v>6084000</v>
      </c>
    </row>
    <row r="34" spans="2:31">
      <c r="B34" s="47">
        <v>46235</v>
      </c>
      <c r="C34" s="8" t="s">
        <v>5</v>
      </c>
      <c r="D34" s="7">
        <v>5750</v>
      </c>
      <c r="E34" s="7">
        <v>5750</v>
      </c>
      <c r="F34" s="7">
        <v>5750</v>
      </c>
      <c r="G34" s="7">
        <v>5750</v>
      </c>
      <c r="H34" s="7">
        <v>5750</v>
      </c>
      <c r="I34" s="7">
        <v>5750</v>
      </c>
      <c r="J34" s="7">
        <v>5750</v>
      </c>
      <c r="K34" s="7">
        <v>5750</v>
      </c>
      <c r="L34" s="7">
        <v>5750</v>
      </c>
      <c r="M34" s="7">
        <v>5750</v>
      </c>
      <c r="N34" s="7">
        <v>5750</v>
      </c>
      <c r="O34" s="7">
        <v>5750</v>
      </c>
      <c r="P34" s="7">
        <v>5750</v>
      </c>
      <c r="Q34" s="7">
        <v>5750</v>
      </c>
      <c r="R34" s="7">
        <v>5750</v>
      </c>
      <c r="S34" s="7">
        <v>5750</v>
      </c>
      <c r="T34" s="7">
        <v>5750</v>
      </c>
      <c r="U34" s="7">
        <v>5750</v>
      </c>
      <c r="V34" s="7">
        <v>5750</v>
      </c>
      <c r="W34" s="7">
        <v>5750</v>
      </c>
      <c r="X34" s="7">
        <v>5750</v>
      </c>
      <c r="Y34" s="7">
        <v>5750</v>
      </c>
      <c r="Z34" s="7">
        <v>5750</v>
      </c>
      <c r="AA34" s="11">
        <v>5750</v>
      </c>
      <c r="AB34" s="5">
        <f t="shared" si="0"/>
        <v>138000</v>
      </c>
      <c r="AC34" s="5">
        <v>19</v>
      </c>
      <c r="AD34" s="50">
        <f>(AB34*AC34)+(AB35*AC35)+(AB36*AC36)+(AB37*AC37)</f>
        <v>4278000</v>
      </c>
      <c r="AE34" s="46">
        <f>+AD118</f>
        <v>6286800</v>
      </c>
    </row>
    <row r="35" spans="2:31">
      <c r="B35" s="48"/>
      <c r="C35" s="1" t="s">
        <v>6</v>
      </c>
      <c r="D35" s="2">
        <v>5750</v>
      </c>
      <c r="E35" s="2">
        <v>5750</v>
      </c>
      <c r="F35" s="2">
        <v>5750</v>
      </c>
      <c r="G35" s="2">
        <v>5750</v>
      </c>
      <c r="H35" s="2">
        <v>5750</v>
      </c>
      <c r="I35" s="2">
        <v>5750</v>
      </c>
      <c r="J35" s="2">
        <v>5750</v>
      </c>
      <c r="K35" s="2">
        <v>5750</v>
      </c>
      <c r="L35" s="2">
        <v>5750</v>
      </c>
      <c r="M35" s="2">
        <v>5750</v>
      </c>
      <c r="N35" s="2">
        <v>5750</v>
      </c>
      <c r="O35" s="2">
        <v>5750</v>
      </c>
      <c r="P35" s="2">
        <v>5750</v>
      </c>
      <c r="Q35" s="2">
        <v>5750</v>
      </c>
      <c r="R35" s="2">
        <v>5750</v>
      </c>
      <c r="S35" s="2">
        <v>5750</v>
      </c>
      <c r="T35" s="2">
        <v>5750</v>
      </c>
      <c r="U35" s="2">
        <v>5750</v>
      </c>
      <c r="V35" s="2">
        <v>5750</v>
      </c>
      <c r="W35" s="2">
        <v>5750</v>
      </c>
      <c r="X35" s="2">
        <v>5750</v>
      </c>
      <c r="Y35" s="2">
        <v>5750</v>
      </c>
      <c r="Z35" s="2">
        <v>5750</v>
      </c>
      <c r="AA35" s="12">
        <v>5750</v>
      </c>
      <c r="AB35" s="3">
        <f t="shared" si="0"/>
        <v>138000</v>
      </c>
      <c r="AC35" s="3">
        <v>5</v>
      </c>
      <c r="AD35" s="51"/>
      <c r="AE35" s="46">
        <f>+AD122</f>
        <v>6084000</v>
      </c>
    </row>
    <row r="36" spans="2:31">
      <c r="B36" s="48"/>
      <c r="C36" s="1" t="s">
        <v>7</v>
      </c>
      <c r="D36" s="2">
        <v>5750</v>
      </c>
      <c r="E36" s="2">
        <v>5750</v>
      </c>
      <c r="F36" s="2">
        <v>5750</v>
      </c>
      <c r="G36" s="2">
        <v>5750</v>
      </c>
      <c r="H36" s="2">
        <v>5750</v>
      </c>
      <c r="I36" s="2">
        <v>5750</v>
      </c>
      <c r="J36" s="2">
        <v>5750</v>
      </c>
      <c r="K36" s="2">
        <v>5750</v>
      </c>
      <c r="L36" s="2">
        <v>5750</v>
      </c>
      <c r="M36" s="2">
        <v>5750</v>
      </c>
      <c r="N36" s="2">
        <v>5750</v>
      </c>
      <c r="O36" s="2">
        <v>5750</v>
      </c>
      <c r="P36" s="2">
        <v>5750</v>
      </c>
      <c r="Q36" s="2">
        <v>5750</v>
      </c>
      <c r="R36" s="2">
        <v>5750</v>
      </c>
      <c r="S36" s="2">
        <v>5750</v>
      </c>
      <c r="T36" s="2">
        <v>5750</v>
      </c>
      <c r="U36" s="2">
        <v>5750</v>
      </c>
      <c r="V36" s="2">
        <v>5750</v>
      </c>
      <c r="W36" s="2">
        <v>5750</v>
      </c>
      <c r="X36" s="2">
        <v>5750</v>
      </c>
      <c r="Y36" s="2">
        <v>5750</v>
      </c>
      <c r="Z36" s="2">
        <v>5750</v>
      </c>
      <c r="AA36" s="12">
        <v>5750</v>
      </c>
      <c r="AB36" s="3">
        <f t="shared" si="0"/>
        <v>138000</v>
      </c>
      <c r="AC36" s="3">
        <v>5</v>
      </c>
      <c r="AD36" s="51"/>
      <c r="AE36" s="46">
        <f>+AD126</f>
        <v>6286800</v>
      </c>
    </row>
    <row r="37" spans="2:31" ht="15" thickBot="1">
      <c r="B37" s="49"/>
      <c r="C37" s="9" t="s">
        <v>8</v>
      </c>
      <c r="D37" s="10">
        <v>5750</v>
      </c>
      <c r="E37" s="10">
        <v>5750</v>
      </c>
      <c r="F37" s="10">
        <v>5750</v>
      </c>
      <c r="G37" s="10">
        <v>5750</v>
      </c>
      <c r="H37" s="10">
        <v>5750</v>
      </c>
      <c r="I37" s="10">
        <v>5750</v>
      </c>
      <c r="J37" s="10">
        <v>5750</v>
      </c>
      <c r="K37" s="10">
        <v>5750</v>
      </c>
      <c r="L37" s="10">
        <v>5750</v>
      </c>
      <c r="M37" s="10">
        <v>5750</v>
      </c>
      <c r="N37" s="10">
        <v>5750</v>
      </c>
      <c r="O37" s="10">
        <v>5750</v>
      </c>
      <c r="P37" s="10">
        <v>5750</v>
      </c>
      <c r="Q37" s="10">
        <v>5750</v>
      </c>
      <c r="R37" s="10">
        <v>5750</v>
      </c>
      <c r="S37" s="10">
        <v>5750</v>
      </c>
      <c r="T37" s="10">
        <v>5750</v>
      </c>
      <c r="U37" s="10">
        <v>5750</v>
      </c>
      <c r="V37" s="10">
        <v>5750</v>
      </c>
      <c r="W37" s="10">
        <v>5750</v>
      </c>
      <c r="X37" s="10">
        <v>5750</v>
      </c>
      <c r="Y37" s="10">
        <v>5750</v>
      </c>
      <c r="Z37" s="10">
        <v>5750</v>
      </c>
      <c r="AA37" s="13">
        <v>5750</v>
      </c>
      <c r="AB37" s="6">
        <f t="shared" si="0"/>
        <v>138000</v>
      </c>
      <c r="AC37" s="6">
        <v>2</v>
      </c>
      <c r="AD37" s="52"/>
      <c r="AE37" s="46">
        <f>+AD130</f>
        <v>6286800</v>
      </c>
    </row>
    <row r="38" spans="2:31">
      <c r="B38" s="47">
        <v>46266</v>
      </c>
      <c r="C38" s="8" t="s">
        <v>5</v>
      </c>
      <c r="D38" s="7">
        <v>5750</v>
      </c>
      <c r="E38" s="7">
        <v>5750</v>
      </c>
      <c r="F38" s="7">
        <v>5750</v>
      </c>
      <c r="G38" s="7">
        <v>5750</v>
      </c>
      <c r="H38" s="7">
        <v>5750</v>
      </c>
      <c r="I38" s="7">
        <v>5750</v>
      </c>
      <c r="J38" s="7">
        <v>5750</v>
      </c>
      <c r="K38" s="7">
        <v>5750</v>
      </c>
      <c r="L38" s="7">
        <v>5750</v>
      </c>
      <c r="M38" s="7">
        <v>5750</v>
      </c>
      <c r="N38" s="7">
        <v>5750</v>
      </c>
      <c r="O38" s="7">
        <v>5750</v>
      </c>
      <c r="P38" s="7">
        <v>5750</v>
      </c>
      <c r="Q38" s="7">
        <v>5750</v>
      </c>
      <c r="R38" s="7">
        <v>5750</v>
      </c>
      <c r="S38" s="7">
        <v>5750</v>
      </c>
      <c r="T38" s="7">
        <v>5750</v>
      </c>
      <c r="U38" s="7">
        <v>5750</v>
      </c>
      <c r="V38" s="7">
        <v>5750</v>
      </c>
      <c r="W38" s="7">
        <v>5750</v>
      </c>
      <c r="X38" s="7">
        <v>5750</v>
      </c>
      <c r="Y38" s="7">
        <v>5750</v>
      </c>
      <c r="Z38" s="7">
        <v>5750</v>
      </c>
      <c r="AA38" s="11">
        <v>5750</v>
      </c>
      <c r="AB38" s="5">
        <f t="shared" si="0"/>
        <v>138000</v>
      </c>
      <c r="AC38" s="5">
        <v>22</v>
      </c>
      <c r="AD38" s="50">
        <f>(AB38*AC38)+(AB39*AC39)+(AB40*AC40)+(AB41*AC41)</f>
        <v>4140000</v>
      </c>
      <c r="AE38" s="46">
        <f>+AD134</f>
        <v>6084000</v>
      </c>
    </row>
    <row r="39" spans="2:31">
      <c r="B39" s="48"/>
      <c r="C39" s="1" t="s">
        <v>6</v>
      </c>
      <c r="D39" s="2">
        <v>5750</v>
      </c>
      <c r="E39" s="2">
        <v>5750</v>
      </c>
      <c r="F39" s="2">
        <v>5750</v>
      </c>
      <c r="G39" s="2">
        <v>5750</v>
      </c>
      <c r="H39" s="2">
        <v>5750</v>
      </c>
      <c r="I39" s="2">
        <v>5750</v>
      </c>
      <c r="J39" s="2">
        <v>5750</v>
      </c>
      <c r="K39" s="2">
        <v>5750</v>
      </c>
      <c r="L39" s="2">
        <v>5750</v>
      </c>
      <c r="M39" s="2">
        <v>5750</v>
      </c>
      <c r="N39" s="2">
        <v>5750</v>
      </c>
      <c r="O39" s="2">
        <v>5750</v>
      </c>
      <c r="P39" s="2">
        <v>5750</v>
      </c>
      <c r="Q39" s="2">
        <v>5750</v>
      </c>
      <c r="R39" s="2">
        <v>5750</v>
      </c>
      <c r="S39" s="2">
        <v>5750</v>
      </c>
      <c r="T39" s="2">
        <v>5750</v>
      </c>
      <c r="U39" s="2">
        <v>5750</v>
      </c>
      <c r="V39" s="2">
        <v>5750</v>
      </c>
      <c r="W39" s="2">
        <v>5750</v>
      </c>
      <c r="X39" s="2">
        <v>5750</v>
      </c>
      <c r="Y39" s="2">
        <v>5750</v>
      </c>
      <c r="Z39" s="2">
        <v>5750</v>
      </c>
      <c r="AA39" s="12">
        <v>5750</v>
      </c>
      <c r="AB39" s="3">
        <f t="shared" si="0"/>
        <v>138000</v>
      </c>
      <c r="AC39" s="3">
        <v>4</v>
      </c>
      <c r="AD39" s="51"/>
      <c r="AE39" s="46">
        <f>+AD138</f>
        <v>6286800</v>
      </c>
    </row>
    <row r="40" spans="2:31">
      <c r="B40" s="48"/>
      <c r="C40" s="1" t="s">
        <v>7</v>
      </c>
      <c r="D40" s="2">
        <v>5750</v>
      </c>
      <c r="E40" s="2">
        <v>5750</v>
      </c>
      <c r="F40" s="2">
        <v>5750</v>
      </c>
      <c r="G40" s="2">
        <v>5750</v>
      </c>
      <c r="H40" s="2">
        <v>5750</v>
      </c>
      <c r="I40" s="2">
        <v>5750</v>
      </c>
      <c r="J40" s="2">
        <v>5750</v>
      </c>
      <c r="K40" s="2">
        <v>5750</v>
      </c>
      <c r="L40" s="2">
        <v>5750</v>
      </c>
      <c r="M40" s="2">
        <v>5750</v>
      </c>
      <c r="N40" s="2">
        <v>5750</v>
      </c>
      <c r="O40" s="2">
        <v>5750</v>
      </c>
      <c r="P40" s="2">
        <v>5750</v>
      </c>
      <c r="Q40" s="2">
        <v>5750</v>
      </c>
      <c r="R40" s="2">
        <v>5750</v>
      </c>
      <c r="S40" s="2">
        <v>5750</v>
      </c>
      <c r="T40" s="2">
        <v>5750</v>
      </c>
      <c r="U40" s="2">
        <v>5750</v>
      </c>
      <c r="V40" s="2">
        <v>5750</v>
      </c>
      <c r="W40" s="2">
        <v>5750</v>
      </c>
      <c r="X40" s="2">
        <v>5750</v>
      </c>
      <c r="Y40" s="2">
        <v>5750</v>
      </c>
      <c r="Z40" s="2">
        <v>5750</v>
      </c>
      <c r="AA40" s="12">
        <v>5750</v>
      </c>
      <c r="AB40" s="3">
        <f t="shared" si="0"/>
        <v>138000</v>
      </c>
      <c r="AC40" s="3">
        <v>4</v>
      </c>
      <c r="AD40" s="51"/>
      <c r="AE40" s="46">
        <f>+AD142</f>
        <v>6084000</v>
      </c>
    </row>
    <row r="41" spans="2:31" ht="15" thickBot="1">
      <c r="B41" s="49"/>
      <c r="C41" s="9" t="s">
        <v>8</v>
      </c>
      <c r="D41" s="10">
        <v>5750</v>
      </c>
      <c r="E41" s="10">
        <v>5750</v>
      </c>
      <c r="F41" s="10">
        <v>5750</v>
      </c>
      <c r="G41" s="10">
        <v>5750</v>
      </c>
      <c r="H41" s="10">
        <v>5750</v>
      </c>
      <c r="I41" s="10">
        <v>5750</v>
      </c>
      <c r="J41" s="10">
        <v>5750</v>
      </c>
      <c r="K41" s="10">
        <v>5750</v>
      </c>
      <c r="L41" s="10">
        <v>5750</v>
      </c>
      <c r="M41" s="10">
        <v>5750</v>
      </c>
      <c r="N41" s="10">
        <v>5750</v>
      </c>
      <c r="O41" s="10">
        <v>5750</v>
      </c>
      <c r="P41" s="10">
        <v>5750</v>
      </c>
      <c r="Q41" s="10">
        <v>5750</v>
      </c>
      <c r="R41" s="10">
        <v>5750</v>
      </c>
      <c r="S41" s="10">
        <v>5750</v>
      </c>
      <c r="T41" s="10">
        <v>5750</v>
      </c>
      <c r="U41" s="10">
        <v>5750</v>
      </c>
      <c r="V41" s="10">
        <v>5750</v>
      </c>
      <c r="W41" s="10">
        <v>5750</v>
      </c>
      <c r="X41" s="10">
        <v>5750</v>
      </c>
      <c r="Y41" s="10">
        <v>5750</v>
      </c>
      <c r="Z41" s="10">
        <v>5750</v>
      </c>
      <c r="AA41" s="13">
        <v>5750</v>
      </c>
      <c r="AB41" s="6">
        <f t="shared" si="0"/>
        <v>138000</v>
      </c>
      <c r="AC41" s="6">
        <v>0</v>
      </c>
      <c r="AD41" s="52"/>
      <c r="AE41" s="46">
        <f>+AD146</f>
        <v>6286800</v>
      </c>
    </row>
    <row r="42" spans="2:31">
      <c r="B42" s="47">
        <v>46296</v>
      </c>
      <c r="C42" s="8" t="s">
        <v>5</v>
      </c>
      <c r="D42" s="7">
        <v>5750</v>
      </c>
      <c r="E42" s="7">
        <v>5750</v>
      </c>
      <c r="F42" s="7">
        <v>5750</v>
      </c>
      <c r="G42" s="7">
        <v>5750</v>
      </c>
      <c r="H42" s="7">
        <v>5750</v>
      </c>
      <c r="I42" s="7">
        <v>5750</v>
      </c>
      <c r="J42" s="7">
        <v>5750</v>
      </c>
      <c r="K42" s="7">
        <v>5750</v>
      </c>
      <c r="L42" s="7">
        <v>5750</v>
      </c>
      <c r="M42" s="7">
        <v>5750</v>
      </c>
      <c r="N42" s="7">
        <v>5750</v>
      </c>
      <c r="O42" s="7">
        <v>5750</v>
      </c>
      <c r="P42" s="7">
        <v>5750</v>
      </c>
      <c r="Q42" s="7">
        <v>5750</v>
      </c>
      <c r="R42" s="7">
        <v>5750</v>
      </c>
      <c r="S42" s="7">
        <v>5750</v>
      </c>
      <c r="T42" s="7">
        <v>5750</v>
      </c>
      <c r="U42" s="7">
        <v>5750</v>
      </c>
      <c r="V42" s="7">
        <v>5750</v>
      </c>
      <c r="W42" s="7">
        <v>5750</v>
      </c>
      <c r="X42" s="7">
        <v>5750</v>
      </c>
      <c r="Y42" s="7">
        <v>5750</v>
      </c>
      <c r="Z42" s="7">
        <v>5750</v>
      </c>
      <c r="AA42" s="11">
        <v>5750</v>
      </c>
      <c r="AB42" s="5">
        <f t="shared" si="0"/>
        <v>138000</v>
      </c>
      <c r="AC42" s="5">
        <v>21</v>
      </c>
      <c r="AD42" s="50">
        <f>(AB42*AC42)+(AB43*AC43)+(AB44*AC44)+(AB45*AC45)</f>
        <v>4278000</v>
      </c>
      <c r="AE42" s="46">
        <f>+AD150</f>
        <v>6249600</v>
      </c>
    </row>
    <row r="43" spans="2:31">
      <c r="B43" s="48"/>
      <c r="C43" s="1" t="s">
        <v>6</v>
      </c>
      <c r="D43" s="2">
        <v>5750</v>
      </c>
      <c r="E43" s="2">
        <v>5750</v>
      </c>
      <c r="F43" s="2">
        <v>5750</v>
      </c>
      <c r="G43" s="2">
        <v>5750</v>
      </c>
      <c r="H43" s="2">
        <v>5750</v>
      </c>
      <c r="I43" s="2">
        <v>5750</v>
      </c>
      <c r="J43" s="2">
        <v>5750</v>
      </c>
      <c r="K43" s="2">
        <v>5750</v>
      </c>
      <c r="L43" s="2">
        <v>5750</v>
      </c>
      <c r="M43" s="2">
        <v>5750</v>
      </c>
      <c r="N43" s="2">
        <v>5750</v>
      </c>
      <c r="O43" s="2">
        <v>5750</v>
      </c>
      <c r="P43" s="2">
        <v>5750</v>
      </c>
      <c r="Q43" s="2">
        <v>5750</v>
      </c>
      <c r="R43" s="2">
        <v>5750</v>
      </c>
      <c r="S43" s="2">
        <v>5750</v>
      </c>
      <c r="T43" s="2">
        <v>5750</v>
      </c>
      <c r="U43" s="2">
        <v>5750</v>
      </c>
      <c r="V43" s="2">
        <v>5750</v>
      </c>
      <c r="W43" s="2">
        <v>5750</v>
      </c>
      <c r="X43" s="2">
        <v>5750</v>
      </c>
      <c r="Y43" s="2">
        <v>5750</v>
      </c>
      <c r="Z43" s="2">
        <v>5750</v>
      </c>
      <c r="AA43" s="12">
        <v>5750</v>
      </c>
      <c r="AB43" s="3">
        <f t="shared" si="0"/>
        <v>138000</v>
      </c>
      <c r="AC43" s="3">
        <v>5</v>
      </c>
      <c r="AD43" s="51"/>
      <c r="AE43" s="46">
        <f>+AD154</f>
        <v>5644800</v>
      </c>
    </row>
    <row r="44" spans="2:31">
      <c r="B44" s="48"/>
      <c r="C44" s="1" t="s">
        <v>7</v>
      </c>
      <c r="D44" s="2">
        <v>5750</v>
      </c>
      <c r="E44" s="2">
        <v>5750</v>
      </c>
      <c r="F44" s="2">
        <v>5750</v>
      </c>
      <c r="G44" s="2">
        <v>5750</v>
      </c>
      <c r="H44" s="2">
        <v>5750</v>
      </c>
      <c r="I44" s="2">
        <v>5750</v>
      </c>
      <c r="J44" s="2">
        <v>5750</v>
      </c>
      <c r="K44" s="2">
        <v>5750</v>
      </c>
      <c r="L44" s="2">
        <v>5750</v>
      </c>
      <c r="M44" s="2">
        <v>5750</v>
      </c>
      <c r="N44" s="2">
        <v>5750</v>
      </c>
      <c r="O44" s="2">
        <v>5750</v>
      </c>
      <c r="P44" s="2">
        <v>5750</v>
      </c>
      <c r="Q44" s="2">
        <v>5750</v>
      </c>
      <c r="R44" s="2">
        <v>5750</v>
      </c>
      <c r="S44" s="2">
        <v>5750</v>
      </c>
      <c r="T44" s="2">
        <v>5750</v>
      </c>
      <c r="U44" s="2">
        <v>5750</v>
      </c>
      <c r="V44" s="2">
        <v>5750</v>
      </c>
      <c r="W44" s="2">
        <v>5750</v>
      </c>
      <c r="X44" s="2">
        <v>5750</v>
      </c>
      <c r="Y44" s="2">
        <v>5750</v>
      </c>
      <c r="Z44" s="2">
        <v>5750</v>
      </c>
      <c r="AA44" s="12">
        <v>5750</v>
      </c>
      <c r="AB44" s="3">
        <f t="shared" si="0"/>
        <v>138000</v>
      </c>
      <c r="AC44" s="3">
        <v>4</v>
      </c>
      <c r="AD44" s="51"/>
      <c r="AE44" s="46">
        <f>+AD158</f>
        <v>6249600</v>
      </c>
    </row>
    <row r="45" spans="2:31" ht="15" thickBot="1">
      <c r="B45" s="49"/>
      <c r="C45" s="9" t="s">
        <v>8</v>
      </c>
      <c r="D45" s="10">
        <v>5750</v>
      </c>
      <c r="E45" s="10">
        <v>5750</v>
      </c>
      <c r="F45" s="10">
        <v>5750</v>
      </c>
      <c r="G45" s="10">
        <v>5750</v>
      </c>
      <c r="H45" s="10">
        <v>5750</v>
      </c>
      <c r="I45" s="10">
        <v>5750</v>
      </c>
      <c r="J45" s="10">
        <v>5750</v>
      </c>
      <c r="K45" s="10">
        <v>5750</v>
      </c>
      <c r="L45" s="10">
        <v>5750</v>
      </c>
      <c r="M45" s="10">
        <v>5750</v>
      </c>
      <c r="N45" s="10">
        <v>5750</v>
      </c>
      <c r="O45" s="10">
        <v>5750</v>
      </c>
      <c r="P45" s="10">
        <v>5750</v>
      </c>
      <c r="Q45" s="10">
        <v>5750</v>
      </c>
      <c r="R45" s="10">
        <v>5750</v>
      </c>
      <c r="S45" s="10">
        <v>5750</v>
      </c>
      <c r="T45" s="10">
        <v>5750</v>
      </c>
      <c r="U45" s="10">
        <v>5750</v>
      </c>
      <c r="V45" s="10">
        <v>5750</v>
      </c>
      <c r="W45" s="10">
        <v>5750</v>
      </c>
      <c r="X45" s="10">
        <v>5750</v>
      </c>
      <c r="Y45" s="10">
        <v>5750</v>
      </c>
      <c r="Z45" s="10">
        <v>5750</v>
      </c>
      <c r="AA45" s="13">
        <v>5750</v>
      </c>
      <c r="AB45" s="6">
        <f t="shared" si="0"/>
        <v>138000</v>
      </c>
      <c r="AC45" s="6">
        <v>1</v>
      </c>
      <c r="AD45" s="52"/>
      <c r="AE45" s="46">
        <f>+AD162</f>
        <v>6048000</v>
      </c>
    </row>
    <row r="46" spans="2:31">
      <c r="B46" s="47">
        <v>46327</v>
      </c>
      <c r="C46" s="8" t="s">
        <v>5</v>
      </c>
      <c r="D46" s="7">
        <v>5750</v>
      </c>
      <c r="E46" s="7">
        <v>5750</v>
      </c>
      <c r="F46" s="7">
        <v>5750</v>
      </c>
      <c r="G46" s="7">
        <v>5750</v>
      </c>
      <c r="H46" s="7">
        <v>5750</v>
      </c>
      <c r="I46" s="7">
        <v>5750</v>
      </c>
      <c r="J46" s="7">
        <v>5750</v>
      </c>
      <c r="K46" s="7">
        <v>5750</v>
      </c>
      <c r="L46" s="7">
        <v>5750</v>
      </c>
      <c r="M46" s="7">
        <v>5750</v>
      </c>
      <c r="N46" s="7">
        <v>5750</v>
      </c>
      <c r="O46" s="7">
        <v>5750</v>
      </c>
      <c r="P46" s="7">
        <v>5750</v>
      </c>
      <c r="Q46" s="7">
        <v>5750</v>
      </c>
      <c r="R46" s="7">
        <v>5750</v>
      </c>
      <c r="S46" s="7">
        <v>5750</v>
      </c>
      <c r="T46" s="7">
        <v>5750</v>
      </c>
      <c r="U46" s="7">
        <v>5750</v>
      </c>
      <c r="V46" s="7">
        <v>5750</v>
      </c>
      <c r="W46" s="7">
        <v>5750</v>
      </c>
      <c r="X46" s="7">
        <v>5750</v>
      </c>
      <c r="Y46" s="7">
        <v>5750</v>
      </c>
      <c r="Z46" s="7">
        <v>5750</v>
      </c>
      <c r="AA46" s="11">
        <v>5750</v>
      </c>
      <c r="AB46" s="5">
        <f t="shared" si="0"/>
        <v>138000</v>
      </c>
      <c r="AC46" s="5">
        <v>19</v>
      </c>
      <c r="AD46" s="50">
        <f>(AB46*AC46)+(AB47*AC47)+(AB48*AC48)+(AB49*AC49)</f>
        <v>4140000</v>
      </c>
      <c r="AE46" s="46">
        <f>+AD166</f>
        <v>6249600</v>
      </c>
    </row>
    <row r="47" spans="2:31">
      <c r="B47" s="48"/>
      <c r="C47" s="1" t="s">
        <v>6</v>
      </c>
      <c r="D47" s="2">
        <v>5750</v>
      </c>
      <c r="E47" s="2">
        <v>5750</v>
      </c>
      <c r="F47" s="2">
        <v>5750</v>
      </c>
      <c r="G47" s="2">
        <v>5750</v>
      </c>
      <c r="H47" s="2">
        <v>5750</v>
      </c>
      <c r="I47" s="2">
        <v>5750</v>
      </c>
      <c r="J47" s="2">
        <v>5750</v>
      </c>
      <c r="K47" s="2">
        <v>5750</v>
      </c>
      <c r="L47" s="2">
        <v>5750</v>
      </c>
      <c r="M47" s="2">
        <v>5750</v>
      </c>
      <c r="N47" s="2">
        <v>5750</v>
      </c>
      <c r="O47" s="2">
        <v>5750</v>
      </c>
      <c r="P47" s="2">
        <v>5750</v>
      </c>
      <c r="Q47" s="2">
        <v>5750</v>
      </c>
      <c r="R47" s="2">
        <v>5750</v>
      </c>
      <c r="S47" s="2">
        <v>5750</v>
      </c>
      <c r="T47" s="2">
        <v>5750</v>
      </c>
      <c r="U47" s="2">
        <v>5750</v>
      </c>
      <c r="V47" s="2">
        <v>5750</v>
      </c>
      <c r="W47" s="2">
        <v>5750</v>
      </c>
      <c r="X47" s="2">
        <v>5750</v>
      </c>
      <c r="Y47" s="2">
        <v>5750</v>
      </c>
      <c r="Z47" s="2">
        <v>5750</v>
      </c>
      <c r="AA47" s="12">
        <v>5750</v>
      </c>
      <c r="AB47" s="3">
        <f t="shared" si="0"/>
        <v>138000</v>
      </c>
      <c r="AC47" s="3">
        <v>4</v>
      </c>
      <c r="AD47" s="51"/>
      <c r="AE47" s="46">
        <f>+AD170</f>
        <v>6048000</v>
      </c>
    </row>
    <row r="48" spans="2:31">
      <c r="B48" s="48"/>
      <c r="C48" s="1" t="s">
        <v>7</v>
      </c>
      <c r="D48" s="2">
        <v>5750</v>
      </c>
      <c r="E48" s="2">
        <v>5750</v>
      </c>
      <c r="F48" s="2">
        <v>5750</v>
      </c>
      <c r="G48" s="2">
        <v>5750</v>
      </c>
      <c r="H48" s="2">
        <v>5750</v>
      </c>
      <c r="I48" s="2">
        <v>5750</v>
      </c>
      <c r="J48" s="2">
        <v>5750</v>
      </c>
      <c r="K48" s="2">
        <v>5750</v>
      </c>
      <c r="L48" s="2">
        <v>5750</v>
      </c>
      <c r="M48" s="2">
        <v>5750</v>
      </c>
      <c r="N48" s="2">
        <v>5750</v>
      </c>
      <c r="O48" s="2">
        <v>5750</v>
      </c>
      <c r="P48" s="2">
        <v>5750</v>
      </c>
      <c r="Q48" s="2">
        <v>5750</v>
      </c>
      <c r="R48" s="2">
        <v>5750</v>
      </c>
      <c r="S48" s="2">
        <v>5750</v>
      </c>
      <c r="T48" s="2">
        <v>5750</v>
      </c>
      <c r="U48" s="2">
        <v>5750</v>
      </c>
      <c r="V48" s="2">
        <v>5750</v>
      </c>
      <c r="W48" s="2">
        <v>5750</v>
      </c>
      <c r="X48" s="2">
        <v>5750</v>
      </c>
      <c r="Y48" s="2">
        <v>5750</v>
      </c>
      <c r="Z48" s="2">
        <v>5750</v>
      </c>
      <c r="AA48" s="12">
        <v>5750</v>
      </c>
      <c r="AB48" s="3">
        <f t="shared" si="0"/>
        <v>138000</v>
      </c>
      <c r="AC48" s="3">
        <v>5</v>
      </c>
      <c r="AD48" s="51"/>
      <c r="AE48" s="46">
        <f>+AD174</f>
        <v>6249600</v>
      </c>
    </row>
    <row r="49" spans="2:31" ht="15" thickBot="1">
      <c r="B49" s="49"/>
      <c r="C49" s="9" t="s">
        <v>8</v>
      </c>
      <c r="D49" s="10">
        <v>5750</v>
      </c>
      <c r="E49" s="10">
        <v>5750</v>
      </c>
      <c r="F49" s="10">
        <v>5750</v>
      </c>
      <c r="G49" s="10">
        <v>5750</v>
      </c>
      <c r="H49" s="10">
        <v>5750</v>
      </c>
      <c r="I49" s="10">
        <v>5750</v>
      </c>
      <c r="J49" s="10">
        <v>5750</v>
      </c>
      <c r="K49" s="10">
        <v>5750</v>
      </c>
      <c r="L49" s="10">
        <v>5750</v>
      </c>
      <c r="M49" s="10">
        <v>5750</v>
      </c>
      <c r="N49" s="10">
        <v>5750</v>
      </c>
      <c r="O49" s="10">
        <v>5750</v>
      </c>
      <c r="P49" s="10">
        <v>5750</v>
      </c>
      <c r="Q49" s="10">
        <v>5750</v>
      </c>
      <c r="R49" s="10">
        <v>5750</v>
      </c>
      <c r="S49" s="10">
        <v>5750</v>
      </c>
      <c r="T49" s="10">
        <v>5750</v>
      </c>
      <c r="U49" s="10">
        <v>5750</v>
      </c>
      <c r="V49" s="10">
        <v>5750</v>
      </c>
      <c r="W49" s="10">
        <v>5750</v>
      </c>
      <c r="X49" s="10">
        <v>5750</v>
      </c>
      <c r="Y49" s="10">
        <v>5750</v>
      </c>
      <c r="Z49" s="10">
        <v>5750</v>
      </c>
      <c r="AA49" s="13">
        <v>5750</v>
      </c>
      <c r="AB49" s="6">
        <f t="shared" si="0"/>
        <v>138000</v>
      </c>
      <c r="AC49" s="6">
        <v>2</v>
      </c>
      <c r="AD49" s="52"/>
      <c r="AE49" s="46">
        <f>+AD178</f>
        <v>6249600</v>
      </c>
    </row>
    <row r="50" spans="2:31">
      <c r="B50" s="47">
        <v>46357</v>
      </c>
      <c r="C50" s="8" t="s">
        <v>5</v>
      </c>
      <c r="D50" s="7">
        <v>5750</v>
      </c>
      <c r="E50" s="7">
        <v>5750</v>
      </c>
      <c r="F50" s="7">
        <v>5750</v>
      </c>
      <c r="G50" s="7">
        <v>5750</v>
      </c>
      <c r="H50" s="7">
        <v>5750</v>
      </c>
      <c r="I50" s="7">
        <v>5750</v>
      </c>
      <c r="J50" s="7">
        <v>5750</v>
      </c>
      <c r="K50" s="7">
        <v>5750</v>
      </c>
      <c r="L50" s="7">
        <v>5750</v>
      </c>
      <c r="M50" s="7">
        <v>5750</v>
      </c>
      <c r="N50" s="7">
        <v>5750</v>
      </c>
      <c r="O50" s="7">
        <v>5750</v>
      </c>
      <c r="P50" s="7">
        <v>5750</v>
      </c>
      <c r="Q50" s="7">
        <v>5750</v>
      </c>
      <c r="R50" s="7">
        <v>5750</v>
      </c>
      <c r="S50" s="7">
        <v>5750</v>
      </c>
      <c r="T50" s="7">
        <v>5750</v>
      </c>
      <c r="U50" s="7">
        <v>5750</v>
      </c>
      <c r="V50" s="7">
        <v>5750</v>
      </c>
      <c r="W50" s="7">
        <v>5750</v>
      </c>
      <c r="X50" s="7">
        <v>5750</v>
      </c>
      <c r="Y50" s="7">
        <v>5750</v>
      </c>
      <c r="Z50" s="7">
        <v>5750</v>
      </c>
      <c r="AA50" s="11">
        <v>5750</v>
      </c>
      <c r="AB50" s="5">
        <f t="shared" si="0"/>
        <v>138000</v>
      </c>
      <c r="AC50" s="5">
        <v>21</v>
      </c>
      <c r="AD50" s="50">
        <f>(AB50*AC50)+(AB51*AC51)+(AB52*AC52)+(AB53*AC53)</f>
        <v>4278000</v>
      </c>
      <c r="AE50" s="46">
        <f>+AD182</f>
        <v>6048000</v>
      </c>
    </row>
    <row r="51" spans="2:31">
      <c r="B51" s="48"/>
      <c r="C51" s="1" t="s">
        <v>6</v>
      </c>
      <c r="D51" s="2">
        <v>5750</v>
      </c>
      <c r="E51" s="2">
        <v>5750</v>
      </c>
      <c r="F51" s="2">
        <v>5750</v>
      </c>
      <c r="G51" s="2">
        <v>5750</v>
      </c>
      <c r="H51" s="2">
        <v>5750</v>
      </c>
      <c r="I51" s="2">
        <v>5750</v>
      </c>
      <c r="J51" s="2">
        <v>5750</v>
      </c>
      <c r="K51" s="2">
        <v>5750</v>
      </c>
      <c r="L51" s="2">
        <v>5750</v>
      </c>
      <c r="M51" s="2">
        <v>5750</v>
      </c>
      <c r="N51" s="2">
        <v>5750</v>
      </c>
      <c r="O51" s="2">
        <v>5750</v>
      </c>
      <c r="P51" s="2">
        <v>5750</v>
      </c>
      <c r="Q51" s="2">
        <v>5750</v>
      </c>
      <c r="R51" s="2">
        <v>5750</v>
      </c>
      <c r="S51" s="2">
        <v>5750</v>
      </c>
      <c r="T51" s="2">
        <v>5750</v>
      </c>
      <c r="U51" s="2">
        <v>5750</v>
      </c>
      <c r="V51" s="2">
        <v>5750</v>
      </c>
      <c r="W51" s="2">
        <v>5750</v>
      </c>
      <c r="X51" s="2">
        <v>5750</v>
      </c>
      <c r="Y51" s="2">
        <v>5750</v>
      </c>
      <c r="Z51" s="2">
        <v>5750</v>
      </c>
      <c r="AA51" s="12">
        <v>5750</v>
      </c>
      <c r="AB51" s="3">
        <f t="shared" si="0"/>
        <v>138000</v>
      </c>
      <c r="AC51" s="3">
        <v>4</v>
      </c>
      <c r="AD51" s="51"/>
      <c r="AE51" s="46">
        <f>+AD186</f>
        <v>6249600</v>
      </c>
    </row>
    <row r="52" spans="2:31">
      <c r="B52" s="48"/>
      <c r="C52" s="1" t="s">
        <v>7</v>
      </c>
      <c r="D52" s="2">
        <v>5750</v>
      </c>
      <c r="E52" s="2">
        <v>5750</v>
      </c>
      <c r="F52" s="2">
        <v>5750</v>
      </c>
      <c r="G52" s="2">
        <v>5750</v>
      </c>
      <c r="H52" s="2">
        <v>5750</v>
      </c>
      <c r="I52" s="2">
        <v>5750</v>
      </c>
      <c r="J52" s="2">
        <v>5750</v>
      </c>
      <c r="K52" s="2">
        <v>5750</v>
      </c>
      <c r="L52" s="2">
        <v>5750</v>
      </c>
      <c r="M52" s="2">
        <v>5750</v>
      </c>
      <c r="N52" s="2">
        <v>5750</v>
      </c>
      <c r="O52" s="2">
        <v>5750</v>
      </c>
      <c r="P52" s="2">
        <v>5750</v>
      </c>
      <c r="Q52" s="2">
        <v>5750</v>
      </c>
      <c r="R52" s="2">
        <v>5750</v>
      </c>
      <c r="S52" s="2">
        <v>5750</v>
      </c>
      <c r="T52" s="2">
        <v>5750</v>
      </c>
      <c r="U52" s="2">
        <v>5750</v>
      </c>
      <c r="V52" s="2">
        <v>5750</v>
      </c>
      <c r="W52" s="2">
        <v>5750</v>
      </c>
      <c r="X52" s="2">
        <v>5750</v>
      </c>
      <c r="Y52" s="2">
        <v>5750</v>
      </c>
      <c r="Z52" s="2">
        <v>5750</v>
      </c>
      <c r="AA52" s="12">
        <v>5750</v>
      </c>
      <c r="AB52" s="3">
        <f t="shared" si="0"/>
        <v>138000</v>
      </c>
      <c r="AC52" s="3">
        <v>4</v>
      </c>
      <c r="AD52" s="51"/>
      <c r="AE52" s="46">
        <f>+AD190</f>
        <v>6048000</v>
      </c>
    </row>
    <row r="53" spans="2:31" ht="15" thickBot="1">
      <c r="B53" s="49"/>
      <c r="C53" s="9" t="s">
        <v>8</v>
      </c>
      <c r="D53" s="10">
        <v>5750</v>
      </c>
      <c r="E53" s="10">
        <v>5750</v>
      </c>
      <c r="F53" s="10">
        <v>5750</v>
      </c>
      <c r="G53" s="10">
        <v>5750</v>
      </c>
      <c r="H53" s="10">
        <v>5750</v>
      </c>
      <c r="I53" s="10">
        <v>5750</v>
      </c>
      <c r="J53" s="10">
        <v>5750</v>
      </c>
      <c r="K53" s="10">
        <v>5750</v>
      </c>
      <c r="L53" s="10">
        <v>5750</v>
      </c>
      <c r="M53" s="10">
        <v>5750</v>
      </c>
      <c r="N53" s="10">
        <v>5750</v>
      </c>
      <c r="O53" s="10">
        <v>5750</v>
      </c>
      <c r="P53" s="10">
        <v>5750</v>
      </c>
      <c r="Q53" s="10">
        <v>5750</v>
      </c>
      <c r="R53" s="10">
        <v>5750</v>
      </c>
      <c r="S53" s="10">
        <v>5750</v>
      </c>
      <c r="T53" s="10">
        <v>5750</v>
      </c>
      <c r="U53" s="10">
        <v>5750</v>
      </c>
      <c r="V53" s="10">
        <v>5750</v>
      </c>
      <c r="W53" s="10">
        <v>5750</v>
      </c>
      <c r="X53" s="10">
        <v>5750</v>
      </c>
      <c r="Y53" s="10">
        <v>5750</v>
      </c>
      <c r="Z53" s="10">
        <v>5750</v>
      </c>
      <c r="AA53" s="13">
        <v>5750</v>
      </c>
      <c r="AB53" s="6">
        <f t="shared" si="0"/>
        <v>138000</v>
      </c>
      <c r="AC53" s="6">
        <v>2</v>
      </c>
      <c r="AD53" s="52"/>
      <c r="AE53" s="46">
        <f>+AD194</f>
        <v>6249600</v>
      </c>
    </row>
    <row r="54" spans="2:31">
      <c r="B54" s="47">
        <v>46753</v>
      </c>
      <c r="C54" s="8" t="s">
        <v>5</v>
      </c>
      <c r="D54" s="7">
        <v>4950</v>
      </c>
      <c r="E54" s="7">
        <v>4950</v>
      </c>
      <c r="F54" s="7">
        <v>4950</v>
      </c>
      <c r="G54" s="7">
        <v>4950</v>
      </c>
      <c r="H54" s="7">
        <v>4950</v>
      </c>
      <c r="I54" s="7">
        <v>4950</v>
      </c>
      <c r="J54" s="7">
        <v>4950</v>
      </c>
      <c r="K54" s="7">
        <v>4950</v>
      </c>
      <c r="L54" s="7">
        <v>4950</v>
      </c>
      <c r="M54" s="7">
        <v>4950</v>
      </c>
      <c r="N54" s="7">
        <v>4950</v>
      </c>
      <c r="O54" s="7">
        <v>4950</v>
      </c>
      <c r="P54" s="7">
        <v>4950</v>
      </c>
      <c r="Q54" s="7">
        <v>4950</v>
      </c>
      <c r="R54" s="7">
        <v>4950</v>
      </c>
      <c r="S54" s="7">
        <v>4950</v>
      </c>
      <c r="T54" s="7">
        <v>4950</v>
      </c>
      <c r="U54" s="7">
        <v>4950</v>
      </c>
      <c r="V54" s="7">
        <v>4950</v>
      </c>
      <c r="W54" s="7">
        <v>4950</v>
      </c>
      <c r="X54" s="7">
        <v>4950</v>
      </c>
      <c r="Y54" s="7">
        <v>4950</v>
      </c>
      <c r="Z54" s="7">
        <v>4950</v>
      </c>
      <c r="AA54" s="11">
        <v>4950</v>
      </c>
      <c r="AB54" s="5">
        <f t="shared" ref="AB54:AB101" si="1">(SUM(D54:AA54))</f>
        <v>118800</v>
      </c>
      <c r="AC54" s="5">
        <v>20</v>
      </c>
      <c r="AD54" s="50">
        <f>(AB54*AC54)+(AB55*AC55)+(AB56*AC56)+(AB57*AC57)</f>
        <v>3682800</v>
      </c>
    </row>
    <row r="55" spans="2:31">
      <c r="B55" s="48"/>
      <c r="C55" s="1" t="s">
        <v>6</v>
      </c>
      <c r="D55" s="2">
        <v>4950</v>
      </c>
      <c r="E55" s="2">
        <v>4950</v>
      </c>
      <c r="F55" s="2">
        <v>4950</v>
      </c>
      <c r="G55" s="2">
        <v>4950</v>
      </c>
      <c r="H55" s="2">
        <v>4950</v>
      </c>
      <c r="I55" s="2">
        <v>4950</v>
      </c>
      <c r="J55" s="2">
        <v>4950</v>
      </c>
      <c r="K55" s="2">
        <v>4950</v>
      </c>
      <c r="L55" s="2">
        <v>4950</v>
      </c>
      <c r="M55" s="2">
        <v>4950</v>
      </c>
      <c r="N55" s="2">
        <v>4950</v>
      </c>
      <c r="O55" s="2">
        <v>4950</v>
      </c>
      <c r="P55" s="2">
        <v>4950</v>
      </c>
      <c r="Q55" s="2">
        <v>4950</v>
      </c>
      <c r="R55" s="2">
        <v>4950</v>
      </c>
      <c r="S55" s="2">
        <v>4950</v>
      </c>
      <c r="T55" s="2">
        <v>4950</v>
      </c>
      <c r="U55" s="2">
        <v>4950</v>
      </c>
      <c r="V55" s="2">
        <v>4950</v>
      </c>
      <c r="W55" s="2">
        <v>4950</v>
      </c>
      <c r="X55" s="2">
        <v>4950</v>
      </c>
      <c r="Y55" s="2">
        <v>4950</v>
      </c>
      <c r="Z55" s="2">
        <v>4950</v>
      </c>
      <c r="AA55" s="12">
        <v>4950</v>
      </c>
      <c r="AB55" s="3">
        <f t="shared" si="1"/>
        <v>118800</v>
      </c>
      <c r="AC55" s="3">
        <v>4</v>
      </c>
      <c r="AD55" s="51"/>
    </row>
    <row r="56" spans="2:31">
      <c r="B56" s="48"/>
      <c r="C56" s="1" t="s">
        <v>7</v>
      </c>
      <c r="D56" s="2">
        <v>4950</v>
      </c>
      <c r="E56" s="2">
        <v>4950</v>
      </c>
      <c r="F56" s="2">
        <v>4950</v>
      </c>
      <c r="G56" s="2">
        <v>4950</v>
      </c>
      <c r="H56" s="2">
        <v>4950</v>
      </c>
      <c r="I56" s="2">
        <v>4950</v>
      </c>
      <c r="J56" s="2">
        <v>4950</v>
      </c>
      <c r="K56" s="2">
        <v>4950</v>
      </c>
      <c r="L56" s="2">
        <v>4950</v>
      </c>
      <c r="M56" s="2">
        <v>4950</v>
      </c>
      <c r="N56" s="2">
        <v>4950</v>
      </c>
      <c r="O56" s="2">
        <v>4950</v>
      </c>
      <c r="P56" s="2">
        <v>4950</v>
      </c>
      <c r="Q56" s="2">
        <v>4950</v>
      </c>
      <c r="R56" s="2">
        <v>4950</v>
      </c>
      <c r="S56" s="2">
        <v>4950</v>
      </c>
      <c r="T56" s="2">
        <v>4950</v>
      </c>
      <c r="U56" s="2">
        <v>4950</v>
      </c>
      <c r="V56" s="2">
        <v>4950</v>
      </c>
      <c r="W56" s="2">
        <v>4950</v>
      </c>
      <c r="X56" s="2">
        <v>4950</v>
      </c>
      <c r="Y56" s="2">
        <v>4950</v>
      </c>
      <c r="Z56" s="2">
        <v>4950</v>
      </c>
      <c r="AA56" s="12">
        <v>4950</v>
      </c>
      <c r="AB56" s="3">
        <f t="shared" si="1"/>
        <v>118800</v>
      </c>
      <c r="AC56" s="3">
        <v>5</v>
      </c>
      <c r="AD56" s="51"/>
    </row>
    <row r="57" spans="2:31" ht="15" thickBot="1">
      <c r="B57" s="49"/>
      <c r="C57" s="9" t="s">
        <v>8</v>
      </c>
      <c r="D57" s="10">
        <v>4950</v>
      </c>
      <c r="E57" s="10">
        <v>4950</v>
      </c>
      <c r="F57" s="10">
        <v>4950</v>
      </c>
      <c r="G57" s="10">
        <v>4950</v>
      </c>
      <c r="H57" s="10">
        <v>4950</v>
      </c>
      <c r="I57" s="10">
        <v>4950</v>
      </c>
      <c r="J57" s="10">
        <v>4950</v>
      </c>
      <c r="K57" s="10">
        <v>4950</v>
      </c>
      <c r="L57" s="10">
        <v>4950</v>
      </c>
      <c r="M57" s="10">
        <v>4950</v>
      </c>
      <c r="N57" s="10">
        <v>4950</v>
      </c>
      <c r="O57" s="10">
        <v>4950</v>
      </c>
      <c r="P57" s="10">
        <v>4950</v>
      </c>
      <c r="Q57" s="10">
        <v>4950</v>
      </c>
      <c r="R57" s="10">
        <v>4950</v>
      </c>
      <c r="S57" s="10">
        <v>4950</v>
      </c>
      <c r="T57" s="10">
        <v>4950</v>
      </c>
      <c r="U57" s="10">
        <v>4950</v>
      </c>
      <c r="V57" s="10">
        <v>4950</v>
      </c>
      <c r="W57" s="10">
        <v>4950</v>
      </c>
      <c r="X57" s="10">
        <v>4950</v>
      </c>
      <c r="Y57" s="10">
        <v>4950</v>
      </c>
      <c r="Z57" s="10">
        <v>4950</v>
      </c>
      <c r="AA57" s="13">
        <v>4950</v>
      </c>
      <c r="AB57" s="6">
        <f t="shared" si="1"/>
        <v>118800</v>
      </c>
      <c r="AC57" s="6">
        <v>2</v>
      </c>
      <c r="AD57" s="52"/>
    </row>
    <row r="58" spans="2:31">
      <c r="B58" s="47">
        <v>46784</v>
      </c>
      <c r="C58" s="8" t="s">
        <v>5</v>
      </c>
      <c r="D58" s="7">
        <v>4950</v>
      </c>
      <c r="E58" s="7">
        <v>4950</v>
      </c>
      <c r="F58" s="7">
        <v>4950</v>
      </c>
      <c r="G58" s="7">
        <v>4950</v>
      </c>
      <c r="H58" s="7">
        <v>4950</v>
      </c>
      <c r="I58" s="7">
        <v>4950</v>
      </c>
      <c r="J58" s="7">
        <v>4950</v>
      </c>
      <c r="K58" s="7">
        <v>4950</v>
      </c>
      <c r="L58" s="7">
        <v>4950</v>
      </c>
      <c r="M58" s="7">
        <v>4950</v>
      </c>
      <c r="N58" s="7">
        <v>4950</v>
      </c>
      <c r="O58" s="7">
        <v>4950</v>
      </c>
      <c r="P58" s="7">
        <v>4950</v>
      </c>
      <c r="Q58" s="7">
        <v>4950</v>
      </c>
      <c r="R58" s="7">
        <v>4950</v>
      </c>
      <c r="S58" s="7">
        <v>4950</v>
      </c>
      <c r="T58" s="7">
        <v>4950</v>
      </c>
      <c r="U58" s="7">
        <v>4950</v>
      </c>
      <c r="V58" s="7">
        <v>4950</v>
      </c>
      <c r="W58" s="7">
        <v>4950</v>
      </c>
      <c r="X58" s="7">
        <v>4950</v>
      </c>
      <c r="Y58" s="7">
        <v>4950</v>
      </c>
      <c r="Z58" s="7">
        <v>4950</v>
      </c>
      <c r="AA58" s="11">
        <v>4950</v>
      </c>
      <c r="AB58" s="5">
        <f t="shared" si="1"/>
        <v>118800</v>
      </c>
      <c r="AC58" s="5">
        <v>21</v>
      </c>
      <c r="AD58" s="50">
        <f>(AB58*AC58)+(AB59*AC59)+(AB60*AC60)+(AB61*AC61)</f>
        <v>3445200</v>
      </c>
    </row>
    <row r="59" spans="2:31">
      <c r="B59" s="48"/>
      <c r="C59" s="1" t="s">
        <v>6</v>
      </c>
      <c r="D59" s="2">
        <v>4950</v>
      </c>
      <c r="E59" s="2">
        <v>4950</v>
      </c>
      <c r="F59" s="2">
        <v>4950</v>
      </c>
      <c r="G59" s="2">
        <v>4950</v>
      </c>
      <c r="H59" s="2">
        <v>4950</v>
      </c>
      <c r="I59" s="2">
        <v>4950</v>
      </c>
      <c r="J59" s="2">
        <v>4950</v>
      </c>
      <c r="K59" s="2">
        <v>4950</v>
      </c>
      <c r="L59" s="2">
        <v>4950</v>
      </c>
      <c r="M59" s="2">
        <v>4950</v>
      </c>
      <c r="N59" s="2">
        <v>4950</v>
      </c>
      <c r="O59" s="2">
        <v>4950</v>
      </c>
      <c r="P59" s="2">
        <v>4950</v>
      </c>
      <c r="Q59" s="2">
        <v>4950</v>
      </c>
      <c r="R59" s="2">
        <v>4950</v>
      </c>
      <c r="S59" s="2">
        <v>4950</v>
      </c>
      <c r="T59" s="2">
        <v>4950</v>
      </c>
      <c r="U59" s="2">
        <v>4950</v>
      </c>
      <c r="V59" s="2">
        <v>4950</v>
      </c>
      <c r="W59" s="2">
        <v>4950</v>
      </c>
      <c r="X59" s="2">
        <v>4950</v>
      </c>
      <c r="Y59" s="2">
        <v>4950</v>
      </c>
      <c r="Z59" s="2">
        <v>4950</v>
      </c>
      <c r="AA59" s="12">
        <v>4950</v>
      </c>
      <c r="AB59" s="3">
        <f t="shared" si="1"/>
        <v>118800</v>
      </c>
      <c r="AC59" s="3">
        <v>4</v>
      </c>
      <c r="AD59" s="51"/>
    </row>
    <row r="60" spans="2:31">
      <c r="B60" s="48"/>
      <c r="C60" s="1" t="s">
        <v>7</v>
      </c>
      <c r="D60" s="2">
        <v>4950</v>
      </c>
      <c r="E60" s="2">
        <v>4950</v>
      </c>
      <c r="F60" s="2">
        <v>4950</v>
      </c>
      <c r="G60" s="2">
        <v>4950</v>
      </c>
      <c r="H60" s="2">
        <v>4950</v>
      </c>
      <c r="I60" s="2">
        <v>4950</v>
      </c>
      <c r="J60" s="2">
        <v>4950</v>
      </c>
      <c r="K60" s="2">
        <v>4950</v>
      </c>
      <c r="L60" s="2">
        <v>4950</v>
      </c>
      <c r="M60" s="2">
        <v>4950</v>
      </c>
      <c r="N60" s="2">
        <v>4950</v>
      </c>
      <c r="O60" s="2">
        <v>4950</v>
      </c>
      <c r="P60" s="2">
        <v>4950</v>
      </c>
      <c r="Q60" s="2">
        <v>4950</v>
      </c>
      <c r="R60" s="2">
        <v>4950</v>
      </c>
      <c r="S60" s="2">
        <v>4950</v>
      </c>
      <c r="T60" s="2">
        <v>4950</v>
      </c>
      <c r="U60" s="2">
        <v>4950</v>
      </c>
      <c r="V60" s="2">
        <v>4950</v>
      </c>
      <c r="W60" s="2">
        <v>4950</v>
      </c>
      <c r="X60" s="2">
        <v>4950</v>
      </c>
      <c r="Y60" s="2">
        <v>4950</v>
      </c>
      <c r="Z60" s="2">
        <v>4950</v>
      </c>
      <c r="AA60" s="12">
        <v>4950</v>
      </c>
      <c r="AB60" s="3">
        <f t="shared" si="1"/>
        <v>118800</v>
      </c>
      <c r="AC60" s="3">
        <v>4</v>
      </c>
      <c r="AD60" s="51"/>
    </row>
    <row r="61" spans="2:31" ht="15" thickBot="1">
      <c r="B61" s="49"/>
      <c r="C61" s="9" t="s">
        <v>8</v>
      </c>
      <c r="D61" s="10">
        <v>4950</v>
      </c>
      <c r="E61" s="10">
        <v>4950</v>
      </c>
      <c r="F61" s="10">
        <v>4950</v>
      </c>
      <c r="G61" s="10">
        <v>4950</v>
      </c>
      <c r="H61" s="10">
        <v>4950</v>
      </c>
      <c r="I61" s="10">
        <v>4950</v>
      </c>
      <c r="J61" s="10">
        <v>4950</v>
      </c>
      <c r="K61" s="10">
        <v>4950</v>
      </c>
      <c r="L61" s="10">
        <v>4950</v>
      </c>
      <c r="M61" s="10">
        <v>4950</v>
      </c>
      <c r="N61" s="10">
        <v>4950</v>
      </c>
      <c r="O61" s="10">
        <v>4950</v>
      </c>
      <c r="P61" s="10">
        <v>4950</v>
      </c>
      <c r="Q61" s="10">
        <v>4950</v>
      </c>
      <c r="R61" s="10">
        <v>4950</v>
      </c>
      <c r="S61" s="10">
        <v>4950</v>
      </c>
      <c r="T61" s="10">
        <v>4950</v>
      </c>
      <c r="U61" s="10">
        <v>4950</v>
      </c>
      <c r="V61" s="10">
        <v>4950</v>
      </c>
      <c r="W61" s="10">
        <v>4950</v>
      </c>
      <c r="X61" s="10">
        <v>4950</v>
      </c>
      <c r="Y61" s="10">
        <v>4950</v>
      </c>
      <c r="Z61" s="10">
        <v>4950</v>
      </c>
      <c r="AA61" s="13">
        <v>4950</v>
      </c>
      <c r="AB61" s="6">
        <f t="shared" si="1"/>
        <v>118800</v>
      </c>
      <c r="AC61" s="6">
        <v>0</v>
      </c>
      <c r="AD61" s="52"/>
    </row>
    <row r="62" spans="2:31">
      <c r="B62" s="47">
        <v>46813</v>
      </c>
      <c r="C62" s="8" t="s">
        <v>5</v>
      </c>
      <c r="D62" s="7">
        <v>4950</v>
      </c>
      <c r="E62" s="7">
        <v>4950</v>
      </c>
      <c r="F62" s="7">
        <v>4950</v>
      </c>
      <c r="G62" s="7">
        <v>4950</v>
      </c>
      <c r="H62" s="7">
        <v>4950</v>
      </c>
      <c r="I62" s="7">
        <v>4950</v>
      </c>
      <c r="J62" s="7">
        <v>4950</v>
      </c>
      <c r="K62" s="7">
        <v>4950</v>
      </c>
      <c r="L62" s="7">
        <v>4950</v>
      </c>
      <c r="M62" s="7">
        <v>4950</v>
      </c>
      <c r="N62" s="7">
        <v>4950</v>
      </c>
      <c r="O62" s="7">
        <v>4950</v>
      </c>
      <c r="P62" s="7">
        <v>4950</v>
      </c>
      <c r="Q62" s="7">
        <v>4950</v>
      </c>
      <c r="R62" s="7">
        <v>4950</v>
      </c>
      <c r="S62" s="7">
        <v>4950</v>
      </c>
      <c r="T62" s="7">
        <v>4950</v>
      </c>
      <c r="U62" s="7">
        <v>4950</v>
      </c>
      <c r="V62" s="7">
        <v>4950</v>
      </c>
      <c r="W62" s="7">
        <v>4950</v>
      </c>
      <c r="X62" s="7">
        <v>4950</v>
      </c>
      <c r="Y62" s="7">
        <v>4950</v>
      </c>
      <c r="Z62" s="7">
        <v>4950</v>
      </c>
      <c r="AA62" s="11">
        <v>4950</v>
      </c>
      <c r="AB62" s="5">
        <f t="shared" si="1"/>
        <v>118800</v>
      </c>
      <c r="AC62" s="5">
        <v>22</v>
      </c>
      <c r="AD62" s="50">
        <f>(AB62*AC62)+(AB63*AC63)+(AB64*AC64)+(AB65*AC65)</f>
        <v>3682800</v>
      </c>
    </row>
    <row r="63" spans="2:31">
      <c r="B63" s="48"/>
      <c r="C63" s="1" t="s">
        <v>6</v>
      </c>
      <c r="D63" s="2">
        <v>4950</v>
      </c>
      <c r="E63" s="2">
        <v>4950</v>
      </c>
      <c r="F63" s="2">
        <v>4950</v>
      </c>
      <c r="G63" s="2">
        <v>4950</v>
      </c>
      <c r="H63" s="2">
        <v>4950</v>
      </c>
      <c r="I63" s="2">
        <v>4950</v>
      </c>
      <c r="J63" s="2">
        <v>4950</v>
      </c>
      <c r="K63" s="2">
        <v>4950</v>
      </c>
      <c r="L63" s="2">
        <v>4950</v>
      </c>
      <c r="M63" s="2">
        <v>4950</v>
      </c>
      <c r="N63" s="2">
        <v>4950</v>
      </c>
      <c r="O63" s="2">
        <v>4950</v>
      </c>
      <c r="P63" s="2">
        <v>4950</v>
      </c>
      <c r="Q63" s="2">
        <v>4950</v>
      </c>
      <c r="R63" s="2">
        <v>4950</v>
      </c>
      <c r="S63" s="2">
        <v>4950</v>
      </c>
      <c r="T63" s="2">
        <v>4950</v>
      </c>
      <c r="U63" s="2">
        <v>4950</v>
      </c>
      <c r="V63" s="2">
        <v>4950</v>
      </c>
      <c r="W63" s="2">
        <v>4950</v>
      </c>
      <c r="X63" s="2">
        <v>4950</v>
      </c>
      <c r="Y63" s="2">
        <v>4950</v>
      </c>
      <c r="Z63" s="2">
        <v>4950</v>
      </c>
      <c r="AA63" s="12">
        <v>4950</v>
      </c>
      <c r="AB63" s="3">
        <f t="shared" si="1"/>
        <v>118800</v>
      </c>
      <c r="AC63" s="3">
        <v>4</v>
      </c>
      <c r="AD63" s="51"/>
    </row>
    <row r="64" spans="2:31">
      <c r="B64" s="48"/>
      <c r="C64" s="1" t="s">
        <v>7</v>
      </c>
      <c r="D64" s="2">
        <v>4950</v>
      </c>
      <c r="E64" s="2">
        <v>4950</v>
      </c>
      <c r="F64" s="2">
        <v>4950</v>
      </c>
      <c r="G64" s="2">
        <v>4950</v>
      </c>
      <c r="H64" s="2">
        <v>4950</v>
      </c>
      <c r="I64" s="2">
        <v>4950</v>
      </c>
      <c r="J64" s="2">
        <v>4950</v>
      </c>
      <c r="K64" s="2">
        <v>4950</v>
      </c>
      <c r="L64" s="2">
        <v>4950</v>
      </c>
      <c r="M64" s="2">
        <v>4950</v>
      </c>
      <c r="N64" s="2">
        <v>4950</v>
      </c>
      <c r="O64" s="2">
        <v>4950</v>
      </c>
      <c r="P64" s="2">
        <v>4950</v>
      </c>
      <c r="Q64" s="2">
        <v>4950</v>
      </c>
      <c r="R64" s="2">
        <v>4950</v>
      </c>
      <c r="S64" s="2">
        <v>4950</v>
      </c>
      <c r="T64" s="2">
        <v>4950</v>
      </c>
      <c r="U64" s="2">
        <v>4950</v>
      </c>
      <c r="V64" s="2">
        <v>4950</v>
      </c>
      <c r="W64" s="2">
        <v>4950</v>
      </c>
      <c r="X64" s="2">
        <v>4950</v>
      </c>
      <c r="Y64" s="2">
        <v>4950</v>
      </c>
      <c r="Z64" s="2">
        <v>4950</v>
      </c>
      <c r="AA64" s="12">
        <v>4950</v>
      </c>
      <c r="AB64" s="3">
        <f t="shared" si="1"/>
        <v>118800</v>
      </c>
      <c r="AC64" s="3">
        <v>4</v>
      </c>
      <c r="AD64" s="51"/>
    </row>
    <row r="65" spans="2:30" ht="15" thickBot="1">
      <c r="B65" s="49"/>
      <c r="C65" s="9" t="s">
        <v>8</v>
      </c>
      <c r="D65" s="10">
        <v>4950</v>
      </c>
      <c r="E65" s="10">
        <v>4950</v>
      </c>
      <c r="F65" s="10">
        <v>4950</v>
      </c>
      <c r="G65" s="10">
        <v>4950</v>
      </c>
      <c r="H65" s="10">
        <v>4950</v>
      </c>
      <c r="I65" s="10">
        <v>4950</v>
      </c>
      <c r="J65" s="10">
        <v>4950</v>
      </c>
      <c r="K65" s="10">
        <v>4950</v>
      </c>
      <c r="L65" s="10">
        <v>4950</v>
      </c>
      <c r="M65" s="10">
        <v>4950</v>
      </c>
      <c r="N65" s="10">
        <v>4950</v>
      </c>
      <c r="O65" s="10">
        <v>4950</v>
      </c>
      <c r="P65" s="10">
        <v>4950</v>
      </c>
      <c r="Q65" s="10">
        <v>4950</v>
      </c>
      <c r="R65" s="10">
        <v>4950</v>
      </c>
      <c r="S65" s="10">
        <v>4950</v>
      </c>
      <c r="T65" s="10">
        <v>4950</v>
      </c>
      <c r="U65" s="10">
        <v>4950</v>
      </c>
      <c r="V65" s="10">
        <v>4950</v>
      </c>
      <c r="W65" s="10">
        <v>4950</v>
      </c>
      <c r="X65" s="10">
        <v>4950</v>
      </c>
      <c r="Y65" s="10">
        <v>4950</v>
      </c>
      <c r="Z65" s="10">
        <v>4950</v>
      </c>
      <c r="AA65" s="13">
        <v>4950</v>
      </c>
      <c r="AB65" s="6">
        <f t="shared" si="1"/>
        <v>118800</v>
      </c>
      <c r="AC65" s="6">
        <v>1</v>
      </c>
      <c r="AD65" s="52"/>
    </row>
    <row r="66" spans="2:30">
      <c r="B66" s="47">
        <v>46844</v>
      </c>
      <c r="C66" s="8" t="s">
        <v>5</v>
      </c>
      <c r="D66" s="7">
        <v>4950</v>
      </c>
      <c r="E66" s="7">
        <v>4950</v>
      </c>
      <c r="F66" s="7">
        <v>4950</v>
      </c>
      <c r="G66" s="7">
        <v>4950</v>
      </c>
      <c r="H66" s="7">
        <v>4950</v>
      </c>
      <c r="I66" s="7">
        <v>4950</v>
      </c>
      <c r="J66" s="7">
        <v>4950</v>
      </c>
      <c r="K66" s="7">
        <v>4950</v>
      </c>
      <c r="L66" s="7">
        <v>4950</v>
      </c>
      <c r="M66" s="7">
        <v>4950</v>
      </c>
      <c r="N66" s="7">
        <v>4950</v>
      </c>
      <c r="O66" s="7">
        <v>4950</v>
      </c>
      <c r="P66" s="7">
        <v>4950</v>
      </c>
      <c r="Q66" s="7">
        <v>4950</v>
      </c>
      <c r="R66" s="7">
        <v>4950</v>
      </c>
      <c r="S66" s="7">
        <v>4950</v>
      </c>
      <c r="T66" s="7">
        <v>4950</v>
      </c>
      <c r="U66" s="7">
        <v>4950</v>
      </c>
      <c r="V66" s="7">
        <v>4950</v>
      </c>
      <c r="W66" s="7">
        <v>4950</v>
      </c>
      <c r="X66" s="7">
        <v>4950</v>
      </c>
      <c r="Y66" s="7">
        <v>4950</v>
      </c>
      <c r="Z66" s="7">
        <v>4950</v>
      </c>
      <c r="AA66" s="11">
        <v>4950</v>
      </c>
      <c r="AB66" s="5">
        <f t="shared" si="1"/>
        <v>118800</v>
      </c>
      <c r="AC66" s="5">
        <v>18</v>
      </c>
      <c r="AD66" s="50">
        <f>(AB66*AC66)+(AB67*AC67)+(AB68*AC68)+(AB69*AC69)</f>
        <v>3564000</v>
      </c>
    </row>
    <row r="67" spans="2:30">
      <c r="B67" s="48"/>
      <c r="C67" s="1" t="s">
        <v>6</v>
      </c>
      <c r="D67" s="2">
        <v>4950</v>
      </c>
      <c r="E67" s="2">
        <v>4950</v>
      </c>
      <c r="F67" s="2">
        <v>4950</v>
      </c>
      <c r="G67" s="2">
        <v>4950</v>
      </c>
      <c r="H67" s="2">
        <v>4950</v>
      </c>
      <c r="I67" s="2">
        <v>4950</v>
      </c>
      <c r="J67" s="2">
        <v>4950</v>
      </c>
      <c r="K67" s="2">
        <v>4950</v>
      </c>
      <c r="L67" s="2">
        <v>4950</v>
      </c>
      <c r="M67" s="2">
        <v>4950</v>
      </c>
      <c r="N67" s="2">
        <v>4950</v>
      </c>
      <c r="O67" s="2">
        <v>4950</v>
      </c>
      <c r="P67" s="2">
        <v>4950</v>
      </c>
      <c r="Q67" s="2">
        <v>4950</v>
      </c>
      <c r="R67" s="2">
        <v>4950</v>
      </c>
      <c r="S67" s="2">
        <v>4950</v>
      </c>
      <c r="T67" s="2">
        <v>4950</v>
      </c>
      <c r="U67" s="2">
        <v>4950</v>
      </c>
      <c r="V67" s="2">
        <v>4950</v>
      </c>
      <c r="W67" s="2">
        <v>4950</v>
      </c>
      <c r="X67" s="2">
        <v>4950</v>
      </c>
      <c r="Y67" s="2">
        <v>4950</v>
      </c>
      <c r="Z67" s="2">
        <v>4950</v>
      </c>
      <c r="AA67" s="12">
        <v>4950</v>
      </c>
      <c r="AB67" s="3">
        <f t="shared" si="1"/>
        <v>118800</v>
      </c>
      <c r="AC67" s="3">
        <v>5</v>
      </c>
      <c r="AD67" s="51"/>
    </row>
    <row r="68" spans="2:30">
      <c r="B68" s="48"/>
      <c r="C68" s="1" t="s">
        <v>7</v>
      </c>
      <c r="D68" s="2">
        <v>4950</v>
      </c>
      <c r="E68" s="2">
        <v>4950</v>
      </c>
      <c r="F68" s="2">
        <v>4950</v>
      </c>
      <c r="G68" s="2">
        <v>4950</v>
      </c>
      <c r="H68" s="2">
        <v>4950</v>
      </c>
      <c r="I68" s="2">
        <v>4950</v>
      </c>
      <c r="J68" s="2">
        <v>4950</v>
      </c>
      <c r="K68" s="2">
        <v>4950</v>
      </c>
      <c r="L68" s="2">
        <v>4950</v>
      </c>
      <c r="M68" s="2">
        <v>4950</v>
      </c>
      <c r="N68" s="2">
        <v>4950</v>
      </c>
      <c r="O68" s="2">
        <v>4950</v>
      </c>
      <c r="P68" s="2">
        <v>4950</v>
      </c>
      <c r="Q68" s="2">
        <v>4950</v>
      </c>
      <c r="R68" s="2">
        <v>4950</v>
      </c>
      <c r="S68" s="2">
        <v>4950</v>
      </c>
      <c r="T68" s="2">
        <v>4950</v>
      </c>
      <c r="U68" s="2">
        <v>4950</v>
      </c>
      <c r="V68" s="2">
        <v>4950</v>
      </c>
      <c r="W68" s="2">
        <v>4950</v>
      </c>
      <c r="X68" s="2">
        <v>4950</v>
      </c>
      <c r="Y68" s="2">
        <v>4950</v>
      </c>
      <c r="Z68" s="2">
        <v>4950</v>
      </c>
      <c r="AA68" s="12">
        <v>4950</v>
      </c>
      <c r="AB68" s="3">
        <f t="shared" si="1"/>
        <v>118800</v>
      </c>
      <c r="AC68" s="3">
        <v>5</v>
      </c>
      <c r="AD68" s="51"/>
    </row>
    <row r="69" spans="2:30" ht="15" thickBot="1">
      <c r="B69" s="49"/>
      <c r="C69" s="9" t="s">
        <v>8</v>
      </c>
      <c r="D69" s="10">
        <v>4950</v>
      </c>
      <c r="E69" s="10">
        <v>4950</v>
      </c>
      <c r="F69" s="10">
        <v>4950</v>
      </c>
      <c r="G69" s="10">
        <v>4950</v>
      </c>
      <c r="H69" s="10">
        <v>4950</v>
      </c>
      <c r="I69" s="10">
        <v>4950</v>
      </c>
      <c r="J69" s="10">
        <v>4950</v>
      </c>
      <c r="K69" s="10">
        <v>4950</v>
      </c>
      <c r="L69" s="10">
        <v>4950</v>
      </c>
      <c r="M69" s="10">
        <v>4950</v>
      </c>
      <c r="N69" s="10">
        <v>4950</v>
      </c>
      <c r="O69" s="10">
        <v>4950</v>
      </c>
      <c r="P69" s="10">
        <v>4950</v>
      </c>
      <c r="Q69" s="10">
        <v>4950</v>
      </c>
      <c r="R69" s="10">
        <v>4950</v>
      </c>
      <c r="S69" s="10">
        <v>4950</v>
      </c>
      <c r="T69" s="10">
        <v>4950</v>
      </c>
      <c r="U69" s="10">
        <v>4950</v>
      </c>
      <c r="V69" s="10">
        <v>4950</v>
      </c>
      <c r="W69" s="10">
        <v>4950</v>
      </c>
      <c r="X69" s="10">
        <v>4950</v>
      </c>
      <c r="Y69" s="10">
        <v>4950</v>
      </c>
      <c r="Z69" s="10">
        <v>4950</v>
      </c>
      <c r="AA69" s="13">
        <v>4950</v>
      </c>
      <c r="AB69" s="6">
        <f t="shared" si="1"/>
        <v>118800</v>
      </c>
      <c r="AC69" s="6">
        <v>2</v>
      </c>
      <c r="AD69" s="52"/>
    </row>
    <row r="70" spans="2:30">
      <c r="B70" s="47">
        <v>46874</v>
      </c>
      <c r="C70" s="8" t="s">
        <v>5</v>
      </c>
      <c r="D70" s="7">
        <v>4950</v>
      </c>
      <c r="E70" s="7">
        <v>4950</v>
      </c>
      <c r="F70" s="7">
        <v>4950</v>
      </c>
      <c r="G70" s="7">
        <v>4950</v>
      </c>
      <c r="H70" s="7">
        <v>4950</v>
      </c>
      <c r="I70" s="7">
        <v>4950</v>
      </c>
      <c r="J70" s="7">
        <v>4950</v>
      </c>
      <c r="K70" s="7">
        <v>4950</v>
      </c>
      <c r="L70" s="7">
        <v>4950</v>
      </c>
      <c r="M70" s="7">
        <v>4950</v>
      </c>
      <c r="N70" s="7">
        <v>4950</v>
      </c>
      <c r="O70" s="7">
        <v>4950</v>
      </c>
      <c r="P70" s="7">
        <v>4950</v>
      </c>
      <c r="Q70" s="7">
        <v>4950</v>
      </c>
      <c r="R70" s="7">
        <v>4950</v>
      </c>
      <c r="S70" s="7">
        <v>4950</v>
      </c>
      <c r="T70" s="7">
        <v>4950</v>
      </c>
      <c r="U70" s="7">
        <v>4950</v>
      </c>
      <c r="V70" s="7">
        <v>4950</v>
      </c>
      <c r="W70" s="7">
        <v>4950</v>
      </c>
      <c r="X70" s="7">
        <v>4950</v>
      </c>
      <c r="Y70" s="7">
        <v>4950</v>
      </c>
      <c r="Z70" s="7">
        <v>4950</v>
      </c>
      <c r="AA70" s="11">
        <v>4950</v>
      </c>
      <c r="AB70" s="5">
        <f t="shared" si="1"/>
        <v>118800</v>
      </c>
      <c r="AC70" s="5">
        <v>21</v>
      </c>
      <c r="AD70" s="50">
        <f>(AB70*AC70)+(AB71*AC71)+(AB72*AC72)+(AB73*AC73)</f>
        <v>3682800</v>
      </c>
    </row>
    <row r="71" spans="2:30">
      <c r="B71" s="48"/>
      <c r="C71" s="1" t="s">
        <v>6</v>
      </c>
      <c r="D71" s="2">
        <v>4950</v>
      </c>
      <c r="E71" s="2">
        <v>4950</v>
      </c>
      <c r="F71" s="2">
        <v>4950</v>
      </c>
      <c r="G71" s="2">
        <v>4950</v>
      </c>
      <c r="H71" s="2">
        <v>4950</v>
      </c>
      <c r="I71" s="2">
        <v>4950</v>
      </c>
      <c r="J71" s="2">
        <v>4950</v>
      </c>
      <c r="K71" s="2">
        <v>4950</v>
      </c>
      <c r="L71" s="2">
        <v>4950</v>
      </c>
      <c r="M71" s="2">
        <v>4950</v>
      </c>
      <c r="N71" s="2">
        <v>4950</v>
      </c>
      <c r="O71" s="2">
        <v>4950</v>
      </c>
      <c r="P71" s="2">
        <v>4950</v>
      </c>
      <c r="Q71" s="2">
        <v>4950</v>
      </c>
      <c r="R71" s="2">
        <v>4950</v>
      </c>
      <c r="S71" s="2">
        <v>4950</v>
      </c>
      <c r="T71" s="2">
        <v>4950</v>
      </c>
      <c r="U71" s="2">
        <v>4950</v>
      </c>
      <c r="V71" s="2">
        <v>4950</v>
      </c>
      <c r="W71" s="2">
        <v>4950</v>
      </c>
      <c r="X71" s="2">
        <v>4950</v>
      </c>
      <c r="Y71" s="2">
        <v>4950</v>
      </c>
      <c r="Z71" s="2">
        <v>4950</v>
      </c>
      <c r="AA71" s="12">
        <v>4950</v>
      </c>
      <c r="AB71" s="3">
        <f t="shared" si="1"/>
        <v>118800</v>
      </c>
      <c r="AC71" s="3">
        <v>4</v>
      </c>
      <c r="AD71" s="51"/>
    </row>
    <row r="72" spans="2:30">
      <c r="B72" s="48"/>
      <c r="C72" s="1" t="s">
        <v>7</v>
      </c>
      <c r="D72" s="2">
        <v>4950</v>
      </c>
      <c r="E72" s="2">
        <v>4950</v>
      </c>
      <c r="F72" s="2">
        <v>4950</v>
      </c>
      <c r="G72" s="2">
        <v>4950</v>
      </c>
      <c r="H72" s="2">
        <v>4950</v>
      </c>
      <c r="I72" s="2">
        <v>4950</v>
      </c>
      <c r="J72" s="2">
        <v>4950</v>
      </c>
      <c r="K72" s="2">
        <v>4950</v>
      </c>
      <c r="L72" s="2">
        <v>4950</v>
      </c>
      <c r="M72" s="2">
        <v>4950</v>
      </c>
      <c r="N72" s="2">
        <v>4950</v>
      </c>
      <c r="O72" s="2">
        <v>4950</v>
      </c>
      <c r="P72" s="2">
        <v>4950</v>
      </c>
      <c r="Q72" s="2">
        <v>4950</v>
      </c>
      <c r="R72" s="2">
        <v>4950</v>
      </c>
      <c r="S72" s="2">
        <v>4950</v>
      </c>
      <c r="T72" s="2">
        <v>4950</v>
      </c>
      <c r="U72" s="2">
        <v>4950</v>
      </c>
      <c r="V72" s="2">
        <v>4950</v>
      </c>
      <c r="W72" s="2">
        <v>4950</v>
      </c>
      <c r="X72" s="2">
        <v>4950</v>
      </c>
      <c r="Y72" s="2">
        <v>4950</v>
      </c>
      <c r="Z72" s="2">
        <v>4950</v>
      </c>
      <c r="AA72" s="12">
        <v>4950</v>
      </c>
      <c r="AB72" s="3">
        <f t="shared" si="1"/>
        <v>118800</v>
      </c>
      <c r="AC72" s="3">
        <v>4</v>
      </c>
      <c r="AD72" s="51"/>
    </row>
    <row r="73" spans="2:30" ht="15" thickBot="1">
      <c r="B73" s="49"/>
      <c r="C73" s="9" t="s">
        <v>8</v>
      </c>
      <c r="D73" s="10">
        <v>4950</v>
      </c>
      <c r="E73" s="10">
        <v>4950</v>
      </c>
      <c r="F73" s="10">
        <v>4950</v>
      </c>
      <c r="G73" s="10">
        <v>4950</v>
      </c>
      <c r="H73" s="10">
        <v>4950</v>
      </c>
      <c r="I73" s="10">
        <v>4950</v>
      </c>
      <c r="J73" s="10">
        <v>4950</v>
      </c>
      <c r="K73" s="10">
        <v>4950</v>
      </c>
      <c r="L73" s="10">
        <v>4950</v>
      </c>
      <c r="M73" s="10">
        <v>4950</v>
      </c>
      <c r="N73" s="10">
        <v>4950</v>
      </c>
      <c r="O73" s="10">
        <v>4950</v>
      </c>
      <c r="P73" s="10">
        <v>4950</v>
      </c>
      <c r="Q73" s="10">
        <v>4950</v>
      </c>
      <c r="R73" s="10">
        <v>4950</v>
      </c>
      <c r="S73" s="10">
        <v>4950</v>
      </c>
      <c r="T73" s="10">
        <v>4950</v>
      </c>
      <c r="U73" s="10">
        <v>4950</v>
      </c>
      <c r="V73" s="10">
        <v>4950</v>
      </c>
      <c r="W73" s="10">
        <v>4950</v>
      </c>
      <c r="X73" s="10">
        <v>4950</v>
      </c>
      <c r="Y73" s="10">
        <v>4950</v>
      </c>
      <c r="Z73" s="10">
        <v>4950</v>
      </c>
      <c r="AA73" s="13">
        <v>4950</v>
      </c>
      <c r="AB73" s="6">
        <f t="shared" si="1"/>
        <v>118800</v>
      </c>
      <c r="AC73" s="6">
        <v>2</v>
      </c>
      <c r="AD73" s="52"/>
    </row>
    <row r="74" spans="2:30">
      <c r="B74" s="47">
        <v>46905</v>
      </c>
      <c r="C74" s="8" t="s">
        <v>5</v>
      </c>
      <c r="D74" s="7">
        <v>4950</v>
      </c>
      <c r="E74" s="7">
        <v>4950</v>
      </c>
      <c r="F74" s="7">
        <v>4950</v>
      </c>
      <c r="G74" s="7">
        <v>4950</v>
      </c>
      <c r="H74" s="7">
        <v>4950</v>
      </c>
      <c r="I74" s="7">
        <v>4950</v>
      </c>
      <c r="J74" s="7">
        <v>4950</v>
      </c>
      <c r="K74" s="7">
        <v>4950</v>
      </c>
      <c r="L74" s="7">
        <v>4950</v>
      </c>
      <c r="M74" s="7">
        <v>4950</v>
      </c>
      <c r="N74" s="7">
        <v>4950</v>
      </c>
      <c r="O74" s="7">
        <v>4950</v>
      </c>
      <c r="P74" s="7">
        <v>4950</v>
      </c>
      <c r="Q74" s="7">
        <v>4950</v>
      </c>
      <c r="R74" s="7">
        <v>4950</v>
      </c>
      <c r="S74" s="7">
        <v>4950</v>
      </c>
      <c r="T74" s="7">
        <v>4950</v>
      </c>
      <c r="U74" s="7">
        <v>4950</v>
      </c>
      <c r="V74" s="7">
        <v>4950</v>
      </c>
      <c r="W74" s="7">
        <v>4950</v>
      </c>
      <c r="X74" s="7">
        <v>4950</v>
      </c>
      <c r="Y74" s="7">
        <v>4950</v>
      </c>
      <c r="Z74" s="7">
        <v>4950</v>
      </c>
      <c r="AA74" s="11">
        <v>4950</v>
      </c>
      <c r="AB74" s="5">
        <f t="shared" si="1"/>
        <v>118800</v>
      </c>
      <c r="AC74" s="5">
        <v>20</v>
      </c>
      <c r="AD74" s="50">
        <f>(AB74*AC74)+(AB75*AC75)+(AB76*AC76)+(AB77*AC77)</f>
        <v>3564000</v>
      </c>
    </row>
    <row r="75" spans="2:30">
      <c r="B75" s="48"/>
      <c r="C75" s="1" t="s">
        <v>6</v>
      </c>
      <c r="D75" s="2">
        <v>4950</v>
      </c>
      <c r="E75" s="2">
        <v>4950</v>
      </c>
      <c r="F75" s="2">
        <v>4950</v>
      </c>
      <c r="G75" s="2">
        <v>4950</v>
      </c>
      <c r="H75" s="2">
        <v>4950</v>
      </c>
      <c r="I75" s="2">
        <v>4950</v>
      </c>
      <c r="J75" s="2">
        <v>4950</v>
      </c>
      <c r="K75" s="2">
        <v>4950</v>
      </c>
      <c r="L75" s="2">
        <v>4950</v>
      </c>
      <c r="M75" s="2">
        <v>4950</v>
      </c>
      <c r="N75" s="2">
        <v>4950</v>
      </c>
      <c r="O75" s="2">
        <v>4950</v>
      </c>
      <c r="P75" s="2">
        <v>4950</v>
      </c>
      <c r="Q75" s="2">
        <v>4950</v>
      </c>
      <c r="R75" s="2">
        <v>4950</v>
      </c>
      <c r="S75" s="2">
        <v>4950</v>
      </c>
      <c r="T75" s="2">
        <v>4950</v>
      </c>
      <c r="U75" s="2">
        <v>4950</v>
      </c>
      <c r="V75" s="2">
        <v>4950</v>
      </c>
      <c r="W75" s="2">
        <v>4950</v>
      </c>
      <c r="X75" s="2">
        <v>4950</v>
      </c>
      <c r="Y75" s="2">
        <v>4950</v>
      </c>
      <c r="Z75" s="2">
        <v>4950</v>
      </c>
      <c r="AA75" s="12">
        <v>4950</v>
      </c>
      <c r="AB75" s="3">
        <f t="shared" si="1"/>
        <v>118800</v>
      </c>
      <c r="AC75" s="3">
        <v>4</v>
      </c>
      <c r="AD75" s="51"/>
    </row>
    <row r="76" spans="2:30">
      <c r="B76" s="48"/>
      <c r="C76" s="1" t="s">
        <v>7</v>
      </c>
      <c r="D76" s="2">
        <v>4950</v>
      </c>
      <c r="E76" s="2">
        <v>4950</v>
      </c>
      <c r="F76" s="2">
        <v>4950</v>
      </c>
      <c r="G76" s="2">
        <v>4950</v>
      </c>
      <c r="H76" s="2">
        <v>4950</v>
      </c>
      <c r="I76" s="2">
        <v>4950</v>
      </c>
      <c r="J76" s="2">
        <v>4950</v>
      </c>
      <c r="K76" s="2">
        <v>4950</v>
      </c>
      <c r="L76" s="2">
        <v>4950</v>
      </c>
      <c r="M76" s="2">
        <v>4950</v>
      </c>
      <c r="N76" s="2">
        <v>4950</v>
      </c>
      <c r="O76" s="2">
        <v>4950</v>
      </c>
      <c r="P76" s="2">
        <v>4950</v>
      </c>
      <c r="Q76" s="2">
        <v>4950</v>
      </c>
      <c r="R76" s="2">
        <v>4950</v>
      </c>
      <c r="S76" s="2">
        <v>4950</v>
      </c>
      <c r="T76" s="2">
        <v>4950</v>
      </c>
      <c r="U76" s="2">
        <v>4950</v>
      </c>
      <c r="V76" s="2">
        <v>4950</v>
      </c>
      <c r="W76" s="2">
        <v>4950</v>
      </c>
      <c r="X76" s="2">
        <v>4950</v>
      </c>
      <c r="Y76" s="2">
        <v>4950</v>
      </c>
      <c r="Z76" s="2">
        <v>4950</v>
      </c>
      <c r="AA76" s="12">
        <v>4950</v>
      </c>
      <c r="AB76" s="3">
        <f t="shared" si="1"/>
        <v>118800</v>
      </c>
      <c r="AC76" s="3">
        <v>4</v>
      </c>
      <c r="AD76" s="51"/>
    </row>
    <row r="77" spans="2:30" ht="15" thickBot="1">
      <c r="B77" s="49"/>
      <c r="C77" s="9" t="s">
        <v>8</v>
      </c>
      <c r="D77" s="10">
        <v>4950</v>
      </c>
      <c r="E77" s="10">
        <v>4950</v>
      </c>
      <c r="F77" s="10">
        <v>4950</v>
      </c>
      <c r="G77" s="10">
        <v>4950</v>
      </c>
      <c r="H77" s="10">
        <v>4950</v>
      </c>
      <c r="I77" s="10">
        <v>4950</v>
      </c>
      <c r="J77" s="10">
        <v>4950</v>
      </c>
      <c r="K77" s="10">
        <v>4950</v>
      </c>
      <c r="L77" s="10">
        <v>4950</v>
      </c>
      <c r="M77" s="10">
        <v>4950</v>
      </c>
      <c r="N77" s="10">
        <v>4950</v>
      </c>
      <c r="O77" s="10">
        <v>4950</v>
      </c>
      <c r="P77" s="10">
        <v>4950</v>
      </c>
      <c r="Q77" s="10">
        <v>4950</v>
      </c>
      <c r="R77" s="10">
        <v>4950</v>
      </c>
      <c r="S77" s="10">
        <v>4950</v>
      </c>
      <c r="T77" s="10">
        <v>4950</v>
      </c>
      <c r="U77" s="10">
        <v>4950</v>
      </c>
      <c r="V77" s="10">
        <v>4950</v>
      </c>
      <c r="W77" s="10">
        <v>4950</v>
      </c>
      <c r="X77" s="10">
        <v>4950</v>
      </c>
      <c r="Y77" s="10">
        <v>4950</v>
      </c>
      <c r="Z77" s="10">
        <v>4950</v>
      </c>
      <c r="AA77" s="13">
        <v>4950</v>
      </c>
      <c r="AB77" s="6">
        <f t="shared" si="1"/>
        <v>118800</v>
      </c>
      <c r="AC77" s="6">
        <v>2</v>
      </c>
      <c r="AD77" s="52"/>
    </row>
    <row r="78" spans="2:30">
      <c r="B78" s="47">
        <v>46935</v>
      </c>
      <c r="C78" s="8" t="s">
        <v>5</v>
      </c>
      <c r="D78" s="7">
        <v>4950</v>
      </c>
      <c r="E78" s="7">
        <v>4950</v>
      </c>
      <c r="F78" s="7">
        <v>4950</v>
      </c>
      <c r="G78" s="7">
        <v>4950</v>
      </c>
      <c r="H78" s="7">
        <v>4950</v>
      </c>
      <c r="I78" s="7">
        <v>4950</v>
      </c>
      <c r="J78" s="7">
        <v>4950</v>
      </c>
      <c r="K78" s="7">
        <v>4950</v>
      </c>
      <c r="L78" s="7">
        <v>4950</v>
      </c>
      <c r="M78" s="7">
        <v>4950</v>
      </c>
      <c r="N78" s="7">
        <v>4950</v>
      </c>
      <c r="O78" s="7">
        <v>4950</v>
      </c>
      <c r="P78" s="7">
        <v>4950</v>
      </c>
      <c r="Q78" s="7">
        <v>4950</v>
      </c>
      <c r="R78" s="7">
        <v>4950</v>
      </c>
      <c r="S78" s="7">
        <v>4950</v>
      </c>
      <c r="T78" s="7">
        <v>4950</v>
      </c>
      <c r="U78" s="7">
        <v>4950</v>
      </c>
      <c r="V78" s="7">
        <v>4950</v>
      </c>
      <c r="W78" s="7">
        <v>4950</v>
      </c>
      <c r="X78" s="7">
        <v>4950</v>
      </c>
      <c r="Y78" s="7">
        <v>4950</v>
      </c>
      <c r="Z78" s="7">
        <v>4950</v>
      </c>
      <c r="AA78" s="11">
        <v>4950</v>
      </c>
      <c r="AB78" s="5">
        <f t="shared" si="1"/>
        <v>118800</v>
      </c>
      <c r="AC78" s="5">
        <v>19</v>
      </c>
      <c r="AD78" s="50">
        <f>(AB78*AC78)+(AB79*AC79)+(AB80*AC80)+(AB81*AC81)</f>
        <v>3682800</v>
      </c>
    </row>
    <row r="79" spans="2:30">
      <c r="B79" s="48"/>
      <c r="C79" s="1" t="s">
        <v>6</v>
      </c>
      <c r="D79" s="2">
        <v>4950</v>
      </c>
      <c r="E79" s="2">
        <v>4950</v>
      </c>
      <c r="F79" s="2">
        <v>4950</v>
      </c>
      <c r="G79" s="2">
        <v>4950</v>
      </c>
      <c r="H79" s="2">
        <v>4950</v>
      </c>
      <c r="I79" s="2">
        <v>4950</v>
      </c>
      <c r="J79" s="2">
        <v>4950</v>
      </c>
      <c r="K79" s="2">
        <v>4950</v>
      </c>
      <c r="L79" s="2">
        <v>4950</v>
      </c>
      <c r="M79" s="2">
        <v>4950</v>
      </c>
      <c r="N79" s="2">
        <v>4950</v>
      </c>
      <c r="O79" s="2">
        <v>4950</v>
      </c>
      <c r="P79" s="2">
        <v>4950</v>
      </c>
      <c r="Q79" s="2">
        <v>4950</v>
      </c>
      <c r="R79" s="2">
        <v>4950</v>
      </c>
      <c r="S79" s="2">
        <v>4950</v>
      </c>
      <c r="T79" s="2">
        <v>4950</v>
      </c>
      <c r="U79" s="2">
        <v>4950</v>
      </c>
      <c r="V79" s="2">
        <v>4950</v>
      </c>
      <c r="W79" s="2">
        <v>4950</v>
      </c>
      <c r="X79" s="2">
        <v>4950</v>
      </c>
      <c r="Y79" s="2">
        <v>4950</v>
      </c>
      <c r="Z79" s="2">
        <v>4950</v>
      </c>
      <c r="AA79" s="12">
        <v>4950</v>
      </c>
      <c r="AB79" s="3">
        <f t="shared" si="1"/>
        <v>118800</v>
      </c>
      <c r="AC79" s="3">
        <v>5</v>
      </c>
      <c r="AD79" s="51"/>
    </row>
    <row r="80" spans="2:30">
      <c r="B80" s="48"/>
      <c r="C80" s="1" t="s">
        <v>4</v>
      </c>
      <c r="D80" s="2">
        <v>4950</v>
      </c>
      <c r="E80" s="2">
        <v>4950</v>
      </c>
      <c r="F80" s="2">
        <v>4950</v>
      </c>
      <c r="G80" s="2">
        <v>4950</v>
      </c>
      <c r="H80" s="2">
        <v>4950</v>
      </c>
      <c r="I80" s="2">
        <v>4950</v>
      </c>
      <c r="J80" s="2">
        <v>4950</v>
      </c>
      <c r="K80" s="2">
        <v>4950</v>
      </c>
      <c r="L80" s="2">
        <v>4950</v>
      </c>
      <c r="M80" s="2">
        <v>4950</v>
      </c>
      <c r="N80" s="2">
        <v>4950</v>
      </c>
      <c r="O80" s="2">
        <v>4950</v>
      </c>
      <c r="P80" s="2">
        <v>4950</v>
      </c>
      <c r="Q80" s="2">
        <v>4950</v>
      </c>
      <c r="R80" s="2">
        <v>4950</v>
      </c>
      <c r="S80" s="2">
        <v>4950</v>
      </c>
      <c r="T80" s="2">
        <v>4950</v>
      </c>
      <c r="U80" s="2">
        <v>4950</v>
      </c>
      <c r="V80" s="2">
        <v>4950</v>
      </c>
      <c r="W80" s="2">
        <v>4950</v>
      </c>
      <c r="X80" s="2">
        <v>4950</v>
      </c>
      <c r="Y80" s="2">
        <v>4950</v>
      </c>
      <c r="Z80" s="2">
        <v>4950</v>
      </c>
      <c r="AA80" s="12">
        <v>4950</v>
      </c>
      <c r="AB80" s="3">
        <f t="shared" si="1"/>
        <v>118800</v>
      </c>
      <c r="AC80" s="3">
        <v>5</v>
      </c>
      <c r="AD80" s="51"/>
    </row>
    <row r="81" spans="2:30" ht="15" thickBot="1">
      <c r="B81" s="49"/>
      <c r="C81" s="9" t="s">
        <v>8</v>
      </c>
      <c r="D81" s="10">
        <v>4950</v>
      </c>
      <c r="E81" s="10">
        <v>4950</v>
      </c>
      <c r="F81" s="10">
        <v>4950</v>
      </c>
      <c r="G81" s="10">
        <v>4950</v>
      </c>
      <c r="H81" s="10">
        <v>4950</v>
      </c>
      <c r="I81" s="10">
        <v>4950</v>
      </c>
      <c r="J81" s="10">
        <v>4950</v>
      </c>
      <c r="K81" s="10">
        <v>4950</v>
      </c>
      <c r="L81" s="10">
        <v>4950</v>
      </c>
      <c r="M81" s="10">
        <v>4950</v>
      </c>
      <c r="N81" s="10">
        <v>4950</v>
      </c>
      <c r="O81" s="10">
        <v>4950</v>
      </c>
      <c r="P81" s="10">
        <v>4950</v>
      </c>
      <c r="Q81" s="10">
        <v>4950</v>
      </c>
      <c r="R81" s="10">
        <v>4950</v>
      </c>
      <c r="S81" s="10">
        <v>4950</v>
      </c>
      <c r="T81" s="10">
        <v>4950</v>
      </c>
      <c r="U81" s="10">
        <v>4950</v>
      </c>
      <c r="V81" s="10">
        <v>4950</v>
      </c>
      <c r="W81" s="10">
        <v>4950</v>
      </c>
      <c r="X81" s="10">
        <v>4950</v>
      </c>
      <c r="Y81" s="10">
        <v>4950</v>
      </c>
      <c r="Z81" s="10">
        <v>4950</v>
      </c>
      <c r="AA81" s="13">
        <v>4950</v>
      </c>
      <c r="AB81" s="6">
        <f t="shared" si="1"/>
        <v>118800</v>
      </c>
      <c r="AC81" s="6">
        <v>2</v>
      </c>
      <c r="AD81" s="52"/>
    </row>
    <row r="82" spans="2:30">
      <c r="B82" s="47">
        <v>46966</v>
      </c>
      <c r="C82" s="8" t="s">
        <v>5</v>
      </c>
      <c r="D82" s="7">
        <v>4950</v>
      </c>
      <c r="E82" s="7">
        <v>4950</v>
      </c>
      <c r="F82" s="7">
        <v>4950</v>
      </c>
      <c r="G82" s="7">
        <v>4950</v>
      </c>
      <c r="H82" s="7">
        <v>4950</v>
      </c>
      <c r="I82" s="7">
        <v>4950</v>
      </c>
      <c r="J82" s="7">
        <v>4950</v>
      </c>
      <c r="K82" s="7">
        <v>4950</v>
      </c>
      <c r="L82" s="7">
        <v>4950</v>
      </c>
      <c r="M82" s="7">
        <v>4950</v>
      </c>
      <c r="N82" s="7">
        <v>4950</v>
      </c>
      <c r="O82" s="7">
        <v>4950</v>
      </c>
      <c r="P82" s="7">
        <v>4950</v>
      </c>
      <c r="Q82" s="7">
        <v>4950</v>
      </c>
      <c r="R82" s="7">
        <v>4950</v>
      </c>
      <c r="S82" s="7">
        <v>4950</v>
      </c>
      <c r="T82" s="7">
        <v>4950</v>
      </c>
      <c r="U82" s="7">
        <v>4950</v>
      </c>
      <c r="V82" s="7">
        <v>4950</v>
      </c>
      <c r="W82" s="7">
        <v>4950</v>
      </c>
      <c r="X82" s="7">
        <v>4950</v>
      </c>
      <c r="Y82" s="7">
        <v>4950</v>
      </c>
      <c r="Z82" s="7">
        <v>4950</v>
      </c>
      <c r="AA82" s="11">
        <v>4950</v>
      </c>
      <c r="AB82" s="5">
        <f t="shared" si="1"/>
        <v>118800</v>
      </c>
      <c r="AC82" s="5">
        <v>21</v>
      </c>
      <c r="AD82" s="50">
        <f>(AB82*AC82)+(AB83*AC83)+(AB84*AC84)+(AB85*AC85)</f>
        <v>3682800</v>
      </c>
    </row>
    <row r="83" spans="2:30">
      <c r="B83" s="48"/>
      <c r="C83" s="1" t="s">
        <v>6</v>
      </c>
      <c r="D83" s="2">
        <v>4950</v>
      </c>
      <c r="E83" s="2">
        <v>4950</v>
      </c>
      <c r="F83" s="2">
        <v>4950</v>
      </c>
      <c r="G83" s="2">
        <v>4950</v>
      </c>
      <c r="H83" s="2">
        <v>4950</v>
      </c>
      <c r="I83" s="2">
        <v>4950</v>
      </c>
      <c r="J83" s="2">
        <v>4950</v>
      </c>
      <c r="K83" s="2">
        <v>4950</v>
      </c>
      <c r="L83" s="2">
        <v>4950</v>
      </c>
      <c r="M83" s="2">
        <v>4950</v>
      </c>
      <c r="N83" s="2">
        <v>4950</v>
      </c>
      <c r="O83" s="2">
        <v>4950</v>
      </c>
      <c r="P83" s="2">
        <v>4950</v>
      </c>
      <c r="Q83" s="2">
        <v>4950</v>
      </c>
      <c r="R83" s="2">
        <v>4950</v>
      </c>
      <c r="S83" s="2">
        <v>4950</v>
      </c>
      <c r="T83" s="2">
        <v>4950</v>
      </c>
      <c r="U83" s="2">
        <v>4950</v>
      </c>
      <c r="V83" s="2">
        <v>4950</v>
      </c>
      <c r="W83" s="2">
        <v>4950</v>
      </c>
      <c r="X83" s="2">
        <v>4950</v>
      </c>
      <c r="Y83" s="2">
        <v>4950</v>
      </c>
      <c r="Z83" s="2">
        <v>4950</v>
      </c>
      <c r="AA83" s="12">
        <v>4950</v>
      </c>
      <c r="AB83" s="3">
        <f t="shared" si="1"/>
        <v>118800</v>
      </c>
      <c r="AC83" s="3">
        <v>4</v>
      </c>
      <c r="AD83" s="51"/>
    </row>
    <row r="84" spans="2:30">
      <c r="B84" s="48"/>
      <c r="C84" s="1" t="s">
        <v>7</v>
      </c>
      <c r="D84" s="2">
        <v>4950</v>
      </c>
      <c r="E84" s="2">
        <v>4950</v>
      </c>
      <c r="F84" s="2">
        <v>4950</v>
      </c>
      <c r="G84" s="2">
        <v>4950</v>
      </c>
      <c r="H84" s="2">
        <v>4950</v>
      </c>
      <c r="I84" s="2">
        <v>4950</v>
      </c>
      <c r="J84" s="2">
        <v>4950</v>
      </c>
      <c r="K84" s="2">
        <v>4950</v>
      </c>
      <c r="L84" s="2">
        <v>4950</v>
      </c>
      <c r="M84" s="2">
        <v>4950</v>
      </c>
      <c r="N84" s="2">
        <v>4950</v>
      </c>
      <c r="O84" s="2">
        <v>4950</v>
      </c>
      <c r="P84" s="2">
        <v>4950</v>
      </c>
      <c r="Q84" s="2">
        <v>4950</v>
      </c>
      <c r="R84" s="2">
        <v>4950</v>
      </c>
      <c r="S84" s="2">
        <v>4950</v>
      </c>
      <c r="T84" s="2">
        <v>4950</v>
      </c>
      <c r="U84" s="2">
        <v>4950</v>
      </c>
      <c r="V84" s="2">
        <v>4950</v>
      </c>
      <c r="W84" s="2">
        <v>4950</v>
      </c>
      <c r="X84" s="2">
        <v>4950</v>
      </c>
      <c r="Y84" s="2">
        <v>4950</v>
      </c>
      <c r="Z84" s="2">
        <v>4950</v>
      </c>
      <c r="AA84" s="12">
        <v>4950</v>
      </c>
      <c r="AB84" s="3">
        <f t="shared" si="1"/>
        <v>118800</v>
      </c>
      <c r="AC84" s="3">
        <v>4</v>
      </c>
      <c r="AD84" s="51"/>
    </row>
    <row r="85" spans="2:30" ht="15" thickBot="1">
      <c r="B85" s="49"/>
      <c r="C85" s="9" t="s">
        <v>8</v>
      </c>
      <c r="D85" s="10">
        <v>4950</v>
      </c>
      <c r="E85" s="10">
        <v>4950</v>
      </c>
      <c r="F85" s="10">
        <v>4950</v>
      </c>
      <c r="G85" s="10">
        <v>4950</v>
      </c>
      <c r="H85" s="10">
        <v>4950</v>
      </c>
      <c r="I85" s="10">
        <v>4950</v>
      </c>
      <c r="J85" s="10">
        <v>4950</v>
      </c>
      <c r="K85" s="10">
        <v>4950</v>
      </c>
      <c r="L85" s="10">
        <v>4950</v>
      </c>
      <c r="M85" s="10">
        <v>4950</v>
      </c>
      <c r="N85" s="10">
        <v>4950</v>
      </c>
      <c r="O85" s="10">
        <v>4950</v>
      </c>
      <c r="P85" s="10">
        <v>4950</v>
      </c>
      <c r="Q85" s="10">
        <v>4950</v>
      </c>
      <c r="R85" s="10">
        <v>4950</v>
      </c>
      <c r="S85" s="10">
        <v>4950</v>
      </c>
      <c r="T85" s="10">
        <v>4950</v>
      </c>
      <c r="U85" s="10">
        <v>4950</v>
      </c>
      <c r="V85" s="10">
        <v>4950</v>
      </c>
      <c r="W85" s="10">
        <v>4950</v>
      </c>
      <c r="X85" s="10">
        <v>4950</v>
      </c>
      <c r="Y85" s="10">
        <v>4950</v>
      </c>
      <c r="Z85" s="10">
        <v>4950</v>
      </c>
      <c r="AA85" s="13">
        <v>4950</v>
      </c>
      <c r="AB85" s="6">
        <f t="shared" si="1"/>
        <v>118800</v>
      </c>
      <c r="AC85" s="6">
        <v>2</v>
      </c>
      <c r="AD85" s="52"/>
    </row>
    <row r="86" spans="2:30">
      <c r="B86" s="47">
        <v>46997</v>
      </c>
      <c r="C86" s="8" t="s">
        <v>5</v>
      </c>
      <c r="D86" s="7">
        <v>4950</v>
      </c>
      <c r="E86" s="7">
        <v>4950</v>
      </c>
      <c r="F86" s="7">
        <v>4950</v>
      </c>
      <c r="G86" s="7">
        <v>4950</v>
      </c>
      <c r="H86" s="7">
        <v>4950</v>
      </c>
      <c r="I86" s="7">
        <v>4950</v>
      </c>
      <c r="J86" s="7">
        <v>4950</v>
      </c>
      <c r="K86" s="7">
        <v>4950</v>
      </c>
      <c r="L86" s="7">
        <v>4950</v>
      </c>
      <c r="M86" s="7">
        <v>4950</v>
      </c>
      <c r="N86" s="7">
        <v>4950</v>
      </c>
      <c r="O86" s="7">
        <v>4950</v>
      </c>
      <c r="P86" s="7">
        <v>4950</v>
      </c>
      <c r="Q86" s="7">
        <v>4950</v>
      </c>
      <c r="R86" s="7">
        <v>4950</v>
      </c>
      <c r="S86" s="7">
        <v>4950</v>
      </c>
      <c r="T86" s="7">
        <v>4950</v>
      </c>
      <c r="U86" s="7">
        <v>4950</v>
      </c>
      <c r="V86" s="7">
        <v>4950</v>
      </c>
      <c r="W86" s="7">
        <v>4950</v>
      </c>
      <c r="X86" s="7">
        <v>4950</v>
      </c>
      <c r="Y86" s="7">
        <v>4950</v>
      </c>
      <c r="Z86" s="7">
        <v>4950</v>
      </c>
      <c r="AA86" s="11">
        <v>4950</v>
      </c>
      <c r="AB86" s="5">
        <f t="shared" si="1"/>
        <v>118800</v>
      </c>
      <c r="AC86" s="5">
        <v>21</v>
      </c>
      <c r="AD86" s="50">
        <f>(AB86*AC86)+(AB87*AC87)+(AB88*AC88)+(AB89*AC89)</f>
        <v>3564000</v>
      </c>
    </row>
    <row r="87" spans="2:30">
      <c r="B87" s="48"/>
      <c r="C87" s="1" t="s">
        <v>6</v>
      </c>
      <c r="D87" s="2">
        <v>4950</v>
      </c>
      <c r="E87" s="2">
        <v>4950</v>
      </c>
      <c r="F87" s="2">
        <v>4950</v>
      </c>
      <c r="G87" s="2">
        <v>4950</v>
      </c>
      <c r="H87" s="2">
        <v>4950</v>
      </c>
      <c r="I87" s="2">
        <v>4950</v>
      </c>
      <c r="J87" s="2">
        <v>4950</v>
      </c>
      <c r="K87" s="2">
        <v>4950</v>
      </c>
      <c r="L87" s="2">
        <v>4950</v>
      </c>
      <c r="M87" s="2">
        <v>4950</v>
      </c>
      <c r="N87" s="2">
        <v>4950</v>
      </c>
      <c r="O87" s="2">
        <v>4950</v>
      </c>
      <c r="P87" s="2">
        <v>4950</v>
      </c>
      <c r="Q87" s="2">
        <v>4950</v>
      </c>
      <c r="R87" s="2">
        <v>4950</v>
      </c>
      <c r="S87" s="2">
        <v>4950</v>
      </c>
      <c r="T87" s="2">
        <v>4950</v>
      </c>
      <c r="U87" s="2">
        <v>4950</v>
      </c>
      <c r="V87" s="2">
        <v>4950</v>
      </c>
      <c r="W87" s="2">
        <v>4950</v>
      </c>
      <c r="X87" s="2">
        <v>4950</v>
      </c>
      <c r="Y87" s="2">
        <v>4950</v>
      </c>
      <c r="Z87" s="2">
        <v>4950</v>
      </c>
      <c r="AA87" s="12">
        <v>4950</v>
      </c>
      <c r="AB87" s="3">
        <f t="shared" si="1"/>
        <v>118800</v>
      </c>
      <c r="AC87" s="3">
        <v>5</v>
      </c>
      <c r="AD87" s="51"/>
    </row>
    <row r="88" spans="2:30">
      <c r="B88" s="48"/>
      <c r="C88" s="1" t="s">
        <v>7</v>
      </c>
      <c r="D88" s="2">
        <v>4950</v>
      </c>
      <c r="E88" s="2">
        <v>4950</v>
      </c>
      <c r="F88" s="2">
        <v>4950</v>
      </c>
      <c r="G88" s="2">
        <v>4950</v>
      </c>
      <c r="H88" s="2">
        <v>4950</v>
      </c>
      <c r="I88" s="2">
        <v>4950</v>
      </c>
      <c r="J88" s="2">
        <v>4950</v>
      </c>
      <c r="K88" s="2">
        <v>4950</v>
      </c>
      <c r="L88" s="2">
        <v>4950</v>
      </c>
      <c r="M88" s="2">
        <v>4950</v>
      </c>
      <c r="N88" s="2">
        <v>4950</v>
      </c>
      <c r="O88" s="2">
        <v>4950</v>
      </c>
      <c r="P88" s="2">
        <v>4950</v>
      </c>
      <c r="Q88" s="2">
        <v>4950</v>
      </c>
      <c r="R88" s="2">
        <v>4950</v>
      </c>
      <c r="S88" s="2">
        <v>4950</v>
      </c>
      <c r="T88" s="2">
        <v>4950</v>
      </c>
      <c r="U88" s="2">
        <v>4950</v>
      </c>
      <c r="V88" s="2">
        <v>4950</v>
      </c>
      <c r="W88" s="2">
        <v>4950</v>
      </c>
      <c r="X88" s="2">
        <v>4950</v>
      </c>
      <c r="Y88" s="2">
        <v>4950</v>
      </c>
      <c r="Z88" s="2">
        <v>4950</v>
      </c>
      <c r="AA88" s="12">
        <v>4950</v>
      </c>
      <c r="AB88" s="3">
        <f t="shared" si="1"/>
        <v>118800</v>
      </c>
      <c r="AC88" s="3">
        <v>4</v>
      </c>
      <c r="AD88" s="51"/>
    </row>
    <row r="89" spans="2:30" ht="15" thickBot="1">
      <c r="B89" s="49"/>
      <c r="C89" s="9" t="s">
        <v>8</v>
      </c>
      <c r="D89" s="10">
        <v>4950</v>
      </c>
      <c r="E89" s="10">
        <v>4950</v>
      </c>
      <c r="F89" s="10">
        <v>4950</v>
      </c>
      <c r="G89" s="10">
        <v>4950</v>
      </c>
      <c r="H89" s="10">
        <v>4950</v>
      </c>
      <c r="I89" s="10">
        <v>4950</v>
      </c>
      <c r="J89" s="10">
        <v>4950</v>
      </c>
      <c r="K89" s="10">
        <v>4950</v>
      </c>
      <c r="L89" s="10">
        <v>4950</v>
      </c>
      <c r="M89" s="10">
        <v>4950</v>
      </c>
      <c r="N89" s="10">
        <v>4950</v>
      </c>
      <c r="O89" s="10">
        <v>4950</v>
      </c>
      <c r="P89" s="10">
        <v>4950</v>
      </c>
      <c r="Q89" s="10">
        <v>4950</v>
      </c>
      <c r="R89" s="10">
        <v>4950</v>
      </c>
      <c r="S89" s="10">
        <v>4950</v>
      </c>
      <c r="T89" s="10">
        <v>4950</v>
      </c>
      <c r="U89" s="10">
        <v>4950</v>
      </c>
      <c r="V89" s="10">
        <v>4950</v>
      </c>
      <c r="W89" s="10">
        <v>4950</v>
      </c>
      <c r="X89" s="10">
        <v>4950</v>
      </c>
      <c r="Y89" s="10">
        <v>4950</v>
      </c>
      <c r="Z89" s="10">
        <v>4950</v>
      </c>
      <c r="AA89" s="13">
        <v>4950</v>
      </c>
      <c r="AB89" s="6">
        <f t="shared" si="1"/>
        <v>118800</v>
      </c>
      <c r="AC89" s="6">
        <v>0</v>
      </c>
      <c r="AD89" s="52"/>
    </row>
    <row r="90" spans="2:30">
      <c r="B90" s="47">
        <v>47027</v>
      </c>
      <c r="C90" s="8" t="s">
        <v>5</v>
      </c>
      <c r="D90" s="7">
        <v>4950</v>
      </c>
      <c r="E90" s="7">
        <v>4950</v>
      </c>
      <c r="F90" s="7">
        <v>4950</v>
      </c>
      <c r="G90" s="7">
        <v>4950</v>
      </c>
      <c r="H90" s="7">
        <v>4950</v>
      </c>
      <c r="I90" s="7">
        <v>4950</v>
      </c>
      <c r="J90" s="7">
        <v>4950</v>
      </c>
      <c r="K90" s="7">
        <v>4950</v>
      </c>
      <c r="L90" s="7">
        <v>4950</v>
      </c>
      <c r="M90" s="7">
        <v>4950</v>
      </c>
      <c r="N90" s="7">
        <v>4950</v>
      </c>
      <c r="O90" s="7">
        <v>4950</v>
      </c>
      <c r="P90" s="7">
        <v>4950</v>
      </c>
      <c r="Q90" s="7">
        <v>4950</v>
      </c>
      <c r="R90" s="7">
        <v>4950</v>
      </c>
      <c r="S90" s="7">
        <v>4950</v>
      </c>
      <c r="T90" s="7">
        <v>4950</v>
      </c>
      <c r="U90" s="7">
        <v>4950</v>
      </c>
      <c r="V90" s="7">
        <v>4950</v>
      </c>
      <c r="W90" s="7">
        <v>4950</v>
      </c>
      <c r="X90" s="7">
        <v>4950</v>
      </c>
      <c r="Y90" s="7">
        <v>4950</v>
      </c>
      <c r="Z90" s="7">
        <v>4950</v>
      </c>
      <c r="AA90" s="11">
        <v>4950</v>
      </c>
      <c r="AB90" s="5">
        <f t="shared" si="1"/>
        <v>118800</v>
      </c>
      <c r="AC90" s="5">
        <v>21</v>
      </c>
      <c r="AD90" s="50">
        <f>(AB90*AC90)+(AB91*AC91)+(AB92*AC92)+(AB93*AC93)</f>
        <v>3682800</v>
      </c>
    </row>
    <row r="91" spans="2:30">
      <c r="B91" s="48"/>
      <c r="C91" s="1" t="s">
        <v>6</v>
      </c>
      <c r="D91" s="2">
        <v>4950</v>
      </c>
      <c r="E91" s="2">
        <v>4950</v>
      </c>
      <c r="F91" s="2">
        <v>4950</v>
      </c>
      <c r="G91" s="2">
        <v>4950</v>
      </c>
      <c r="H91" s="2">
        <v>4950</v>
      </c>
      <c r="I91" s="2">
        <v>4950</v>
      </c>
      <c r="J91" s="2">
        <v>4950</v>
      </c>
      <c r="K91" s="2">
        <v>4950</v>
      </c>
      <c r="L91" s="2">
        <v>4950</v>
      </c>
      <c r="M91" s="2">
        <v>4950</v>
      </c>
      <c r="N91" s="2">
        <v>4950</v>
      </c>
      <c r="O91" s="2">
        <v>4950</v>
      </c>
      <c r="P91" s="2">
        <v>4950</v>
      </c>
      <c r="Q91" s="2">
        <v>4950</v>
      </c>
      <c r="R91" s="2">
        <v>4950</v>
      </c>
      <c r="S91" s="2">
        <v>4950</v>
      </c>
      <c r="T91" s="2">
        <v>4950</v>
      </c>
      <c r="U91" s="2">
        <v>4950</v>
      </c>
      <c r="V91" s="2">
        <v>4950</v>
      </c>
      <c r="W91" s="2">
        <v>4950</v>
      </c>
      <c r="X91" s="2">
        <v>4950</v>
      </c>
      <c r="Y91" s="2">
        <v>4950</v>
      </c>
      <c r="Z91" s="2">
        <v>4950</v>
      </c>
      <c r="AA91" s="12">
        <v>4950</v>
      </c>
      <c r="AB91" s="3">
        <f t="shared" si="1"/>
        <v>118800</v>
      </c>
      <c r="AC91" s="3">
        <v>4</v>
      </c>
      <c r="AD91" s="51"/>
    </row>
    <row r="92" spans="2:30">
      <c r="B92" s="48"/>
      <c r="C92" s="1" t="s">
        <v>7</v>
      </c>
      <c r="D92" s="2">
        <v>4950</v>
      </c>
      <c r="E92" s="2">
        <v>4950</v>
      </c>
      <c r="F92" s="2">
        <v>4950</v>
      </c>
      <c r="G92" s="2">
        <v>4950</v>
      </c>
      <c r="H92" s="2">
        <v>4950</v>
      </c>
      <c r="I92" s="2">
        <v>4950</v>
      </c>
      <c r="J92" s="2">
        <v>4950</v>
      </c>
      <c r="K92" s="2">
        <v>4950</v>
      </c>
      <c r="L92" s="2">
        <v>4950</v>
      </c>
      <c r="M92" s="2">
        <v>4950</v>
      </c>
      <c r="N92" s="2">
        <v>4950</v>
      </c>
      <c r="O92" s="2">
        <v>4950</v>
      </c>
      <c r="P92" s="2">
        <v>4950</v>
      </c>
      <c r="Q92" s="2">
        <v>4950</v>
      </c>
      <c r="R92" s="2">
        <v>4950</v>
      </c>
      <c r="S92" s="2">
        <v>4950</v>
      </c>
      <c r="T92" s="2">
        <v>4950</v>
      </c>
      <c r="U92" s="2">
        <v>4950</v>
      </c>
      <c r="V92" s="2">
        <v>4950</v>
      </c>
      <c r="W92" s="2">
        <v>4950</v>
      </c>
      <c r="X92" s="2">
        <v>4950</v>
      </c>
      <c r="Y92" s="2">
        <v>4950</v>
      </c>
      <c r="Z92" s="2">
        <v>4950</v>
      </c>
      <c r="AA92" s="12">
        <v>4950</v>
      </c>
      <c r="AB92" s="3">
        <f t="shared" si="1"/>
        <v>118800</v>
      </c>
      <c r="AC92" s="3">
        <v>5</v>
      </c>
      <c r="AD92" s="51"/>
    </row>
    <row r="93" spans="2:30" ht="15" thickBot="1">
      <c r="B93" s="49"/>
      <c r="C93" s="9" t="s">
        <v>8</v>
      </c>
      <c r="D93" s="10">
        <v>4950</v>
      </c>
      <c r="E93" s="10">
        <v>4950</v>
      </c>
      <c r="F93" s="10">
        <v>4950</v>
      </c>
      <c r="G93" s="10">
        <v>4950</v>
      </c>
      <c r="H93" s="10">
        <v>4950</v>
      </c>
      <c r="I93" s="10">
        <v>4950</v>
      </c>
      <c r="J93" s="10">
        <v>4950</v>
      </c>
      <c r="K93" s="10">
        <v>4950</v>
      </c>
      <c r="L93" s="10">
        <v>4950</v>
      </c>
      <c r="M93" s="10">
        <v>4950</v>
      </c>
      <c r="N93" s="10">
        <v>4950</v>
      </c>
      <c r="O93" s="10">
        <v>4950</v>
      </c>
      <c r="P93" s="10">
        <v>4950</v>
      </c>
      <c r="Q93" s="10">
        <v>4950</v>
      </c>
      <c r="R93" s="10">
        <v>4950</v>
      </c>
      <c r="S93" s="10">
        <v>4950</v>
      </c>
      <c r="T93" s="10">
        <v>4950</v>
      </c>
      <c r="U93" s="10">
        <v>4950</v>
      </c>
      <c r="V93" s="10">
        <v>4950</v>
      </c>
      <c r="W93" s="10">
        <v>4950</v>
      </c>
      <c r="X93" s="10">
        <v>4950</v>
      </c>
      <c r="Y93" s="10">
        <v>4950</v>
      </c>
      <c r="Z93" s="10">
        <v>4950</v>
      </c>
      <c r="AA93" s="13">
        <v>4950</v>
      </c>
      <c r="AB93" s="6">
        <f t="shared" si="1"/>
        <v>118800</v>
      </c>
      <c r="AC93" s="6">
        <v>1</v>
      </c>
      <c r="AD93" s="52"/>
    </row>
    <row r="94" spans="2:30">
      <c r="B94" s="47">
        <v>47058</v>
      </c>
      <c r="C94" s="8" t="s">
        <v>5</v>
      </c>
      <c r="D94" s="7">
        <v>4950</v>
      </c>
      <c r="E94" s="7">
        <v>4950</v>
      </c>
      <c r="F94" s="7">
        <v>4950</v>
      </c>
      <c r="G94" s="7">
        <v>4950</v>
      </c>
      <c r="H94" s="7">
        <v>4950</v>
      </c>
      <c r="I94" s="7">
        <v>4950</v>
      </c>
      <c r="J94" s="7">
        <v>4950</v>
      </c>
      <c r="K94" s="7">
        <v>4950</v>
      </c>
      <c r="L94" s="7">
        <v>4950</v>
      </c>
      <c r="M94" s="7">
        <v>4950</v>
      </c>
      <c r="N94" s="7">
        <v>4950</v>
      </c>
      <c r="O94" s="7">
        <v>4950</v>
      </c>
      <c r="P94" s="7">
        <v>4950</v>
      </c>
      <c r="Q94" s="7">
        <v>4950</v>
      </c>
      <c r="R94" s="7">
        <v>4950</v>
      </c>
      <c r="S94" s="7">
        <v>4950</v>
      </c>
      <c r="T94" s="7">
        <v>4950</v>
      </c>
      <c r="U94" s="7">
        <v>4950</v>
      </c>
      <c r="V94" s="7">
        <v>4950</v>
      </c>
      <c r="W94" s="7">
        <v>4950</v>
      </c>
      <c r="X94" s="7">
        <v>4950</v>
      </c>
      <c r="Y94" s="7">
        <v>4950</v>
      </c>
      <c r="Z94" s="7">
        <v>4950</v>
      </c>
      <c r="AA94" s="11">
        <v>4950</v>
      </c>
      <c r="AB94" s="5">
        <f t="shared" si="1"/>
        <v>118800</v>
      </c>
      <c r="AC94" s="5">
        <v>20</v>
      </c>
      <c r="AD94" s="50">
        <f>(AB94*AC94)+(AB95*AC95)+(AB96*AC96)+(AB97*AC97)</f>
        <v>3564000</v>
      </c>
    </row>
    <row r="95" spans="2:30">
      <c r="B95" s="48"/>
      <c r="C95" s="1" t="s">
        <v>6</v>
      </c>
      <c r="D95" s="2">
        <v>4950</v>
      </c>
      <c r="E95" s="2">
        <v>4950</v>
      </c>
      <c r="F95" s="2">
        <v>4950</v>
      </c>
      <c r="G95" s="2">
        <v>4950</v>
      </c>
      <c r="H95" s="2">
        <v>4950</v>
      </c>
      <c r="I95" s="2">
        <v>4950</v>
      </c>
      <c r="J95" s="2">
        <v>4950</v>
      </c>
      <c r="K95" s="2">
        <v>4950</v>
      </c>
      <c r="L95" s="2">
        <v>4950</v>
      </c>
      <c r="M95" s="2">
        <v>4950</v>
      </c>
      <c r="N95" s="2">
        <v>4950</v>
      </c>
      <c r="O95" s="2">
        <v>4950</v>
      </c>
      <c r="P95" s="2">
        <v>4950</v>
      </c>
      <c r="Q95" s="2">
        <v>4950</v>
      </c>
      <c r="R95" s="2">
        <v>4950</v>
      </c>
      <c r="S95" s="2">
        <v>4950</v>
      </c>
      <c r="T95" s="2">
        <v>4950</v>
      </c>
      <c r="U95" s="2">
        <v>4950</v>
      </c>
      <c r="V95" s="2">
        <v>4950</v>
      </c>
      <c r="W95" s="2">
        <v>4950</v>
      </c>
      <c r="X95" s="2">
        <v>4950</v>
      </c>
      <c r="Y95" s="2">
        <v>4950</v>
      </c>
      <c r="Z95" s="2">
        <v>4950</v>
      </c>
      <c r="AA95" s="12">
        <v>4950</v>
      </c>
      <c r="AB95" s="3">
        <f t="shared" si="1"/>
        <v>118800</v>
      </c>
      <c r="AC95" s="3">
        <v>4</v>
      </c>
      <c r="AD95" s="51"/>
    </row>
    <row r="96" spans="2:30">
      <c r="B96" s="48"/>
      <c r="C96" s="1" t="s">
        <v>7</v>
      </c>
      <c r="D96" s="2">
        <v>4950</v>
      </c>
      <c r="E96" s="2">
        <v>4950</v>
      </c>
      <c r="F96" s="2">
        <v>4950</v>
      </c>
      <c r="G96" s="2">
        <v>4950</v>
      </c>
      <c r="H96" s="2">
        <v>4950</v>
      </c>
      <c r="I96" s="2">
        <v>4950</v>
      </c>
      <c r="J96" s="2">
        <v>4950</v>
      </c>
      <c r="K96" s="2">
        <v>4950</v>
      </c>
      <c r="L96" s="2">
        <v>4950</v>
      </c>
      <c r="M96" s="2">
        <v>4950</v>
      </c>
      <c r="N96" s="2">
        <v>4950</v>
      </c>
      <c r="O96" s="2">
        <v>4950</v>
      </c>
      <c r="P96" s="2">
        <v>4950</v>
      </c>
      <c r="Q96" s="2">
        <v>4950</v>
      </c>
      <c r="R96" s="2">
        <v>4950</v>
      </c>
      <c r="S96" s="2">
        <v>4950</v>
      </c>
      <c r="T96" s="2">
        <v>4950</v>
      </c>
      <c r="U96" s="2">
        <v>4950</v>
      </c>
      <c r="V96" s="2">
        <v>4950</v>
      </c>
      <c r="W96" s="2">
        <v>4950</v>
      </c>
      <c r="X96" s="2">
        <v>4950</v>
      </c>
      <c r="Y96" s="2">
        <v>4950</v>
      </c>
      <c r="Z96" s="2">
        <v>4950</v>
      </c>
      <c r="AA96" s="12">
        <v>4950</v>
      </c>
      <c r="AB96" s="3">
        <f t="shared" si="1"/>
        <v>118800</v>
      </c>
      <c r="AC96" s="3">
        <v>4</v>
      </c>
      <c r="AD96" s="51"/>
    </row>
    <row r="97" spans="2:30" ht="15" thickBot="1">
      <c r="B97" s="49"/>
      <c r="C97" s="9" t="s">
        <v>8</v>
      </c>
      <c r="D97" s="10">
        <v>4950</v>
      </c>
      <c r="E97" s="10">
        <v>4950</v>
      </c>
      <c r="F97" s="10">
        <v>4950</v>
      </c>
      <c r="G97" s="10">
        <v>4950</v>
      </c>
      <c r="H97" s="10">
        <v>4950</v>
      </c>
      <c r="I97" s="10">
        <v>4950</v>
      </c>
      <c r="J97" s="10">
        <v>4950</v>
      </c>
      <c r="K97" s="10">
        <v>4950</v>
      </c>
      <c r="L97" s="10">
        <v>4950</v>
      </c>
      <c r="M97" s="10">
        <v>4950</v>
      </c>
      <c r="N97" s="10">
        <v>4950</v>
      </c>
      <c r="O97" s="10">
        <v>4950</v>
      </c>
      <c r="P97" s="10">
        <v>4950</v>
      </c>
      <c r="Q97" s="10">
        <v>4950</v>
      </c>
      <c r="R97" s="10">
        <v>4950</v>
      </c>
      <c r="S97" s="10">
        <v>4950</v>
      </c>
      <c r="T97" s="10">
        <v>4950</v>
      </c>
      <c r="U97" s="10">
        <v>4950</v>
      </c>
      <c r="V97" s="10">
        <v>4950</v>
      </c>
      <c r="W97" s="10">
        <v>4950</v>
      </c>
      <c r="X97" s="10">
        <v>4950</v>
      </c>
      <c r="Y97" s="10">
        <v>4950</v>
      </c>
      <c r="Z97" s="10">
        <v>4950</v>
      </c>
      <c r="AA97" s="13">
        <v>4950</v>
      </c>
      <c r="AB97" s="6">
        <f t="shared" si="1"/>
        <v>118800</v>
      </c>
      <c r="AC97" s="6">
        <v>2</v>
      </c>
      <c r="AD97" s="52"/>
    </row>
    <row r="98" spans="2:30">
      <c r="B98" s="47">
        <v>47088</v>
      </c>
      <c r="C98" s="8" t="s">
        <v>5</v>
      </c>
      <c r="D98" s="7">
        <v>4950</v>
      </c>
      <c r="E98" s="7">
        <v>4950</v>
      </c>
      <c r="F98" s="7">
        <v>4950</v>
      </c>
      <c r="G98" s="7">
        <v>4950</v>
      </c>
      <c r="H98" s="7">
        <v>4950</v>
      </c>
      <c r="I98" s="7">
        <v>4950</v>
      </c>
      <c r="J98" s="7">
        <v>4950</v>
      </c>
      <c r="K98" s="7">
        <v>4950</v>
      </c>
      <c r="L98" s="7">
        <v>4950</v>
      </c>
      <c r="M98" s="7">
        <v>4950</v>
      </c>
      <c r="N98" s="7">
        <v>4950</v>
      </c>
      <c r="O98" s="7">
        <v>4950</v>
      </c>
      <c r="P98" s="7">
        <v>4950</v>
      </c>
      <c r="Q98" s="7">
        <v>4950</v>
      </c>
      <c r="R98" s="7">
        <v>4950</v>
      </c>
      <c r="S98" s="7">
        <v>4950</v>
      </c>
      <c r="T98" s="7">
        <v>4950</v>
      </c>
      <c r="U98" s="7">
        <v>4950</v>
      </c>
      <c r="V98" s="7">
        <v>4950</v>
      </c>
      <c r="W98" s="7">
        <v>4950</v>
      </c>
      <c r="X98" s="7">
        <v>4950</v>
      </c>
      <c r="Y98" s="7">
        <v>4950</v>
      </c>
      <c r="Z98" s="7">
        <v>4950</v>
      </c>
      <c r="AA98" s="11">
        <v>4950</v>
      </c>
      <c r="AB98" s="5">
        <f t="shared" si="1"/>
        <v>118800</v>
      </c>
      <c r="AC98" s="5">
        <v>19</v>
      </c>
      <c r="AD98" s="50">
        <f>(AB98*AC98)+(AB99*AC99)+(AB100*AC100)+(AB101*AC101)</f>
        <v>3682800</v>
      </c>
    </row>
    <row r="99" spans="2:30">
      <c r="B99" s="48"/>
      <c r="C99" s="1" t="s">
        <v>6</v>
      </c>
      <c r="D99" s="2">
        <v>4950</v>
      </c>
      <c r="E99" s="2">
        <v>4950</v>
      </c>
      <c r="F99" s="2">
        <v>4950</v>
      </c>
      <c r="G99" s="2">
        <v>4950</v>
      </c>
      <c r="H99" s="2">
        <v>4950</v>
      </c>
      <c r="I99" s="2">
        <v>4950</v>
      </c>
      <c r="J99" s="2">
        <v>4950</v>
      </c>
      <c r="K99" s="2">
        <v>4950</v>
      </c>
      <c r="L99" s="2">
        <v>4950</v>
      </c>
      <c r="M99" s="2">
        <v>4950</v>
      </c>
      <c r="N99" s="2">
        <v>4950</v>
      </c>
      <c r="O99" s="2">
        <v>4950</v>
      </c>
      <c r="P99" s="2">
        <v>4950</v>
      </c>
      <c r="Q99" s="2">
        <v>4950</v>
      </c>
      <c r="R99" s="2">
        <v>4950</v>
      </c>
      <c r="S99" s="2">
        <v>4950</v>
      </c>
      <c r="T99" s="2">
        <v>4950</v>
      </c>
      <c r="U99" s="2">
        <v>4950</v>
      </c>
      <c r="V99" s="2">
        <v>4950</v>
      </c>
      <c r="W99" s="2">
        <v>4950</v>
      </c>
      <c r="X99" s="2">
        <v>4950</v>
      </c>
      <c r="Y99" s="2">
        <v>4950</v>
      </c>
      <c r="Z99" s="2">
        <v>4950</v>
      </c>
      <c r="AA99" s="12">
        <v>4950</v>
      </c>
      <c r="AB99" s="3">
        <f t="shared" si="1"/>
        <v>118800</v>
      </c>
      <c r="AC99" s="3">
        <v>5</v>
      </c>
      <c r="AD99" s="51"/>
    </row>
    <row r="100" spans="2:30">
      <c r="B100" s="48"/>
      <c r="C100" s="1" t="s">
        <v>7</v>
      </c>
      <c r="D100" s="2">
        <v>4950</v>
      </c>
      <c r="E100" s="2">
        <v>4950</v>
      </c>
      <c r="F100" s="2">
        <v>4950</v>
      </c>
      <c r="G100" s="2">
        <v>4950</v>
      </c>
      <c r="H100" s="2">
        <v>4950</v>
      </c>
      <c r="I100" s="2">
        <v>4950</v>
      </c>
      <c r="J100" s="2">
        <v>4950</v>
      </c>
      <c r="K100" s="2">
        <v>4950</v>
      </c>
      <c r="L100" s="2">
        <v>4950</v>
      </c>
      <c r="M100" s="2">
        <v>4950</v>
      </c>
      <c r="N100" s="2">
        <v>4950</v>
      </c>
      <c r="O100" s="2">
        <v>4950</v>
      </c>
      <c r="P100" s="2">
        <v>4950</v>
      </c>
      <c r="Q100" s="2">
        <v>4950</v>
      </c>
      <c r="R100" s="2">
        <v>4950</v>
      </c>
      <c r="S100" s="2">
        <v>4950</v>
      </c>
      <c r="T100" s="2">
        <v>4950</v>
      </c>
      <c r="U100" s="2">
        <v>4950</v>
      </c>
      <c r="V100" s="2">
        <v>4950</v>
      </c>
      <c r="W100" s="2">
        <v>4950</v>
      </c>
      <c r="X100" s="2">
        <v>4950</v>
      </c>
      <c r="Y100" s="2">
        <v>4950</v>
      </c>
      <c r="Z100" s="2">
        <v>4950</v>
      </c>
      <c r="AA100" s="12">
        <v>4950</v>
      </c>
      <c r="AB100" s="3">
        <f t="shared" si="1"/>
        <v>118800</v>
      </c>
      <c r="AC100" s="3">
        <v>5</v>
      </c>
      <c r="AD100" s="51"/>
    </row>
    <row r="101" spans="2:30" ht="15" thickBot="1">
      <c r="B101" s="49"/>
      <c r="C101" s="9" t="s">
        <v>8</v>
      </c>
      <c r="D101" s="10">
        <v>4950</v>
      </c>
      <c r="E101" s="10">
        <v>4950</v>
      </c>
      <c r="F101" s="10">
        <v>4950</v>
      </c>
      <c r="G101" s="10">
        <v>4950</v>
      </c>
      <c r="H101" s="10">
        <v>4950</v>
      </c>
      <c r="I101" s="10">
        <v>4950</v>
      </c>
      <c r="J101" s="10">
        <v>4950</v>
      </c>
      <c r="K101" s="10">
        <v>4950</v>
      </c>
      <c r="L101" s="10">
        <v>4950</v>
      </c>
      <c r="M101" s="10">
        <v>4950</v>
      </c>
      <c r="N101" s="10">
        <v>4950</v>
      </c>
      <c r="O101" s="10">
        <v>4950</v>
      </c>
      <c r="P101" s="10">
        <v>4950</v>
      </c>
      <c r="Q101" s="10">
        <v>4950</v>
      </c>
      <c r="R101" s="10">
        <v>4950</v>
      </c>
      <c r="S101" s="10">
        <v>4950</v>
      </c>
      <c r="T101" s="10">
        <v>4950</v>
      </c>
      <c r="U101" s="10">
        <v>4950</v>
      </c>
      <c r="V101" s="10">
        <v>4950</v>
      </c>
      <c r="W101" s="10">
        <v>4950</v>
      </c>
      <c r="X101" s="10">
        <v>4950</v>
      </c>
      <c r="Y101" s="10">
        <v>4950</v>
      </c>
      <c r="Z101" s="10">
        <v>4950</v>
      </c>
      <c r="AA101" s="13">
        <v>4950</v>
      </c>
      <c r="AB101" s="6">
        <f t="shared" si="1"/>
        <v>118800</v>
      </c>
      <c r="AC101" s="6">
        <v>2</v>
      </c>
      <c r="AD101" s="52"/>
    </row>
    <row r="102" spans="2:30">
      <c r="B102" s="47">
        <v>47119</v>
      </c>
      <c r="C102" s="8" t="s">
        <v>5</v>
      </c>
      <c r="D102" s="7">
        <v>8450</v>
      </c>
      <c r="E102" s="7">
        <v>8450</v>
      </c>
      <c r="F102" s="7">
        <v>8450</v>
      </c>
      <c r="G102" s="7">
        <v>8450</v>
      </c>
      <c r="H102" s="7">
        <v>8450</v>
      </c>
      <c r="I102" s="7">
        <v>8450</v>
      </c>
      <c r="J102" s="7">
        <v>8450</v>
      </c>
      <c r="K102" s="7">
        <v>8450</v>
      </c>
      <c r="L102" s="7">
        <v>8450</v>
      </c>
      <c r="M102" s="7">
        <v>8450</v>
      </c>
      <c r="N102" s="7">
        <v>8450</v>
      </c>
      <c r="O102" s="7">
        <v>8450</v>
      </c>
      <c r="P102" s="7">
        <v>8450</v>
      </c>
      <c r="Q102" s="7">
        <v>8450</v>
      </c>
      <c r="R102" s="7">
        <v>8450</v>
      </c>
      <c r="S102" s="7">
        <v>8450</v>
      </c>
      <c r="T102" s="7">
        <v>8450</v>
      </c>
      <c r="U102" s="7">
        <v>8450</v>
      </c>
      <c r="V102" s="7">
        <v>8450</v>
      </c>
      <c r="W102" s="7">
        <v>8450</v>
      </c>
      <c r="X102" s="7">
        <v>8450</v>
      </c>
      <c r="Y102" s="7">
        <v>8450</v>
      </c>
      <c r="Z102" s="7">
        <v>8450</v>
      </c>
      <c r="AA102" s="11">
        <v>8450</v>
      </c>
      <c r="AB102" s="5">
        <f t="shared" ref="AB102:AB149" si="2">(SUM(D102:AA102))</f>
        <v>202800</v>
      </c>
      <c r="AC102" s="5">
        <v>21</v>
      </c>
      <c r="AD102" s="50">
        <f>(AB102*AC102)+(AB103*AC103)+(AB104*AC104)+(AB105*AC105)</f>
        <v>6286800</v>
      </c>
    </row>
    <row r="103" spans="2:30">
      <c r="B103" s="48"/>
      <c r="C103" s="1" t="s">
        <v>6</v>
      </c>
      <c r="D103" s="2">
        <v>8450</v>
      </c>
      <c r="E103" s="2">
        <v>8450</v>
      </c>
      <c r="F103" s="2">
        <v>8450</v>
      </c>
      <c r="G103" s="2">
        <v>8450</v>
      </c>
      <c r="H103" s="2">
        <v>8450</v>
      </c>
      <c r="I103" s="2">
        <v>8450</v>
      </c>
      <c r="J103" s="2">
        <v>8450</v>
      </c>
      <c r="K103" s="2">
        <v>8450</v>
      </c>
      <c r="L103" s="2">
        <v>8450</v>
      </c>
      <c r="M103" s="2">
        <v>8450</v>
      </c>
      <c r="N103" s="2">
        <v>8450</v>
      </c>
      <c r="O103" s="2">
        <v>8450</v>
      </c>
      <c r="P103" s="2">
        <v>8450</v>
      </c>
      <c r="Q103" s="2">
        <v>8450</v>
      </c>
      <c r="R103" s="2">
        <v>8450</v>
      </c>
      <c r="S103" s="2">
        <v>8450</v>
      </c>
      <c r="T103" s="2">
        <v>8450</v>
      </c>
      <c r="U103" s="2">
        <v>8450</v>
      </c>
      <c r="V103" s="2">
        <v>8450</v>
      </c>
      <c r="W103" s="2">
        <v>8450</v>
      </c>
      <c r="X103" s="2">
        <v>8450</v>
      </c>
      <c r="Y103" s="2">
        <v>8450</v>
      </c>
      <c r="Z103" s="2">
        <v>8450</v>
      </c>
      <c r="AA103" s="12">
        <v>8450</v>
      </c>
      <c r="AB103" s="3">
        <f t="shared" si="2"/>
        <v>202800</v>
      </c>
      <c r="AC103" s="3">
        <v>4</v>
      </c>
      <c r="AD103" s="51"/>
    </row>
    <row r="104" spans="2:30">
      <c r="B104" s="48"/>
      <c r="C104" s="1" t="s">
        <v>7</v>
      </c>
      <c r="D104" s="2">
        <v>8450</v>
      </c>
      <c r="E104" s="2">
        <v>8450</v>
      </c>
      <c r="F104" s="2">
        <v>8450</v>
      </c>
      <c r="G104" s="2">
        <v>8450</v>
      </c>
      <c r="H104" s="2">
        <v>8450</v>
      </c>
      <c r="I104" s="2">
        <v>8450</v>
      </c>
      <c r="J104" s="2">
        <v>8450</v>
      </c>
      <c r="K104" s="2">
        <v>8450</v>
      </c>
      <c r="L104" s="2">
        <v>8450</v>
      </c>
      <c r="M104" s="2">
        <v>8450</v>
      </c>
      <c r="N104" s="2">
        <v>8450</v>
      </c>
      <c r="O104" s="2">
        <v>8450</v>
      </c>
      <c r="P104" s="2">
        <v>8450</v>
      </c>
      <c r="Q104" s="2">
        <v>8450</v>
      </c>
      <c r="R104" s="2">
        <v>8450</v>
      </c>
      <c r="S104" s="2">
        <v>8450</v>
      </c>
      <c r="T104" s="2">
        <v>8450</v>
      </c>
      <c r="U104" s="2">
        <v>8450</v>
      </c>
      <c r="V104" s="2">
        <v>8450</v>
      </c>
      <c r="W104" s="2">
        <v>8450</v>
      </c>
      <c r="X104" s="2">
        <v>8450</v>
      </c>
      <c r="Y104" s="2">
        <v>8450</v>
      </c>
      <c r="Z104" s="2">
        <v>8450</v>
      </c>
      <c r="AA104" s="12">
        <v>8450</v>
      </c>
      <c r="AB104" s="3">
        <f t="shared" si="2"/>
        <v>202800</v>
      </c>
      <c r="AC104" s="3">
        <v>4</v>
      </c>
      <c r="AD104" s="51"/>
    </row>
    <row r="105" spans="2:30" ht="15" thickBot="1">
      <c r="B105" s="49"/>
      <c r="C105" s="9" t="s">
        <v>8</v>
      </c>
      <c r="D105" s="10">
        <v>8450</v>
      </c>
      <c r="E105" s="10">
        <v>8450</v>
      </c>
      <c r="F105" s="10">
        <v>8450</v>
      </c>
      <c r="G105" s="10">
        <v>8450</v>
      </c>
      <c r="H105" s="10">
        <v>8450</v>
      </c>
      <c r="I105" s="10">
        <v>8450</v>
      </c>
      <c r="J105" s="10">
        <v>8450</v>
      </c>
      <c r="K105" s="10">
        <v>8450</v>
      </c>
      <c r="L105" s="10">
        <v>8450</v>
      </c>
      <c r="M105" s="10">
        <v>8450</v>
      </c>
      <c r="N105" s="10">
        <v>8450</v>
      </c>
      <c r="O105" s="10">
        <v>8450</v>
      </c>
      <c r="P105" s="10">
        <v>8450</v>
      </c>
      <c r="Q105" s="10">
        <v>8450</v>
      </c>
      <c r="R105" s="10">
        <v>8450</v>
      </c>
      <c r="S105" s="10">
        <v>8450</v>
      </c>
      <c r="T105" s="10">
        <v>8450</v>
      </c>
      <c r="U105" s="10">
        <v>8450</v>
      </c>
      <c r="V105" s="10">
        <v>8450</v>
      </c>
      <c r="W105" s="10">
        <v>8450</v>
      </c>
      <c r="X105" s="10">
        <v>8450</v>
      </c>
      <c r="Y105" s="10">
        <v>8450</v>
      </c>
      <c r="Z105" s="10">
        <v>8450</v>
      </c>
      <c r="AA105" s="13">
        <v>8450</v>
      </c>
      <c r="AB105" s="6">
        <f t="shared" si="2"/>
        <v>202800</v>
      </c>
      <c r="AC105" s="6">
        <v>2</v>
      </c>
      <c r="AD105" s="52"/>
    </row>
    <row r="106" spans="2:30">
      <c r="B106" s="47">
        <v>47150</v>
      </c>
      <c r="C106" s="8" t="s">
        <v>5</v>
      </c>
      <c r="D106" s="7">
        <v>8450</v>
      </c>
      <c r="E106" s="7">
        <v>8450</v>
      </c>
      <c r="F106" s="7">
        <v>8450</v>
      </c>
      <c r="G106" s="7">
        <v>8450</v>
      </c>
      <c r="H106" s="7">
        <v>8450</v>
      </c>
      <c r="I106" s="7">
        <v>8450</v>
      </c>
      <c r="J106" s="7">
        <v>8450</v>
      </c>
      <c r="K106" s="7">
        <v>8450</v>
      </c>
      <c r="L106" s="7">
        <v>8450</v>
      </c>
      <c r="M106" s="7">
        <v>8450</v>
      </c>
      <c r="N106" s="7">
        <v>8450</v>
      </c>
      <c r="O106" s="7">
        <v>8450</v>
      </c>
      <c r="P106" s="7">
        <v>8450</v>
      </c>
      <c r="Q106" s="7">
        <v>8450</v>
      </c>
      <c r="R106" s="7">
        <v>8450</v>
      </c>
      <c r="S106" s="7">
        <v>8450</v>
      </c>
      <c r="T106" s="7">
        <v>8450</v>
      </c>
      <c r="U106" s="7">
        <v>8450</v>
      </c>
      <c r="V106" s="7">
        <v>8450</v>
      </c>
      <c r="W106" s="7">
        <v>8450</v>
      </c>
      <c r="X106" s="7">
        <v>8450</v>
      </c>
      <c r="Y106" s="7">
        <v>8450</v>
      </c>
      <c r="Z106" s="7">
        <v>8450</v>
      </c>
      <c r="AA106" s="11">
        <v>8450</v>
      </c>
      <c r="AB106" s="5">
        <f t="shared" si="2"/>
        <v>202800</v>
      </c>
      <c r="AC106" s="5">
        <v>20</v>
      </c>
      <c r="AD106" s="50">
        <f>(AB106*AC106)+(AB107*AC107)+(AB108*AC108)+(AB109*AC109)</f>
        <v>5678400</v>
      </c>
    </row>
    <row r="107" spans="2:30">
      <c r="B107" s="48"/>
      <c r="C107" s="1" t="s">
        <v>6</v>
      </c>
      <c r="D107" s="2">
        <v>8450</v>
      </c>
      <c r="E107" s="2">
        <v>8450</v>
      </c>
      <c r="F107" s="2">
        <v>8450</v>
      </c>
      <c r="G107" s="2">
        <v>8450</v>
      </c>
      <c r="H107" s="2">
        <v>8450</v>
      </c>
      <c r="I107" s="2">
        <v>8450</v>
      </c>
      <c r="J107" s="2">
        <v>8450</v>
      </c>
      <c r="K107" s="2">
        <v>8450</v>
      </c>
      <c r="L107" s="2">
        <v>8450</v>
      </c>
      <c r="M107" s="2">
        <v>8450</v>
      </c>
      <c r="N107" s="2">
        <v>8450</v>
      </c>
      <c r="O107" s="2">
        <v>8450</v>
      </c>
      <c r="P107" s="2">
        <v>8450</v>
      </c>
      <c r="Q107" s="2">
        <v>8450</v>
      </c>
      <c r="R107" s="2">
        <v>8450</v>
      </c>
      <c r="S107" s="2">
        <v>8450</v>
      </c>
      <c r="T107" s="2">
        <v>8450</v>
      </c>
      <c r="U107" s="2">
        <v>8450</v>
      </c>
      <c r="V107" s="2">
        <v>8450</v>
      </c>
      <c r="W107" s="2">
        <v>8450</v>
      </c>
      <c r="X107" s="2">
        <v>8450</v>
      </c>
      <c r="Y107" s="2">
        <v>8450</v>
      </c>
      <c r="Z107" s="2">
        <v>8450</v>
      </c>
      <c r="AA107" s="12">
        <v>8450</v>
      </c>
      <c r="AB107" s="3">
        <f t="shared" si="2"/>
        <v>202800</v>
      </c>
      <c r="AC107" s="3">
        <v>4</v>
      </c>
      <c r="AD107" s="51"/>
    </row>
    <row r="108" spans="2:30">
      <c r="B108" s="48"/>
      <c r="C108" s="1" t="s">
        <v>7</v>
      </c>
      <c r="D108" s="2">
        <v>8450</v>
      </c>
      <c r="E108" s="2">
        <v>8450</v>
      </c>
      <c r="F108" s="2">
        <v>8450</v>
      </c>
      <c r="G108" s="2">
        <v>8450</v>
      </c>
      <c r="H108" s="2">
        <v>8450</v>
      </c>
      <c r="I108" s="2">
        <v>8450</v>
      </c>
      <c r="J108" s="2">
        <v>8450</v>
      </c>
      <c r="K108" s="2">
        <v>8450</v>
      </c>
      <c r="L108" s="2">
        <v>8450</v>
      </c>
      <c r="M108" s="2">
        <v>8450</v>
      </c>
      <c r="N108" s="2">
        <v>8450</v>
      </c>
      <c r="O108" s="2">
        <v>8450</v>
      </c>
      <c r="P108" s="2">
        <v>8450</v>
      </c>
      <c r="Q108" s="2">
        <v>8450</v>
      </c>
      <c r="R108" s="2">
        <v>8450</v>
      </c>
      <c r="S108" s="2">
        <v>8450</v>
      </c>
      <c r="T108" s="2">
        <v>8450</v>
      </c>
      <c r="U108" s="2">
        <v>8450</v>
      </c>
      <c r="V108" s="2">
        <v>8450</v>
      </c>
      <c r="W108" s="2">
        <v>8450</v>
      </c>
      <c r="X108" s="2">
        <v>8450</v>
      </c>
      <c r="Y108" s="2">
        <v>8450</v>
      </c>
      <c r="Z108" s="2">
        <v>8450</v>
      </c>
      <c r="AA108" s="12">
        <v>8450</v>
      </c>
      <c r="AB108" s="3">
        <f t="shared" si="2"/>
        <v>202800</v>
      </c>
      <c r="AC108" s="3">
        <v>4</v>
      </c>
      <c r="AD108" s="51"/>
    </row>
    <row r="109" spans="2:30" ht="15" thickBot="1">
      <c r="B109" s="49"/>
      <c r="C109" s="9" t="s">
        <v>8</v>
      </c>
      <c r="D109" s="10">
        <v>8450</v>
      </c>
      <c r="E109" s="10">
        <v>8450</v>
      </c>
      <c r="F109" s="10">
        <v>8450</v>
      </c>
      <c r="G109" s="10">
        <v>8450</v>
      </c>
      <c r="H109" s="10">
        <v>8450</v>
      </c>
      <c r="I109" s="10">
        <v>8450</v>
      </c>
      <c r="J109" s="10">
        <v>8450</v>
      </c>
      <c r="K109" s="10">
        <v>8450</v>
      </c>
      <c r="L109" s="10">
        <v>8450</v>
      </c>
      <c r="M109" s="10">
        <v>8450</v>
      </c>
      <c r="N109" s="10">
        <v>8450</v>
      </c>
      <c r="O109" s="10">
        <v>8450</v>
      </c>
      <c r="P109" s="10">
        <v>8450</v>
      </c>
      <c r="Q109" s="10">
        <v>8450</v>
      </c>
      <c r="R109" s="10">
        <v>8450</v>
      </c>
      <c r="S109" s="10">
        <v>8450</v>
      </c>
      <c r="T109" s="10">
        <v>8450</v>
      </c>
      <c r="U109" s="10">
        <v>8450</v>
      </c>
      <c r="V109" s="10">
        <v>8450</v>
      </c>
      <c r="W109" s="10">
        <v>8450</v>
      </c>
      <c r="X109" s="10">
        <v>8450</v>
      </c>
      <c r="Y109" s="10">
        <v>8450</v>
      </c>
      <c r="Z109" s="10">
        <v>8450</v>
      </c>
      <c r="AA109" s="13">
        <v>8450</v>
      </c>
      <c r="AB109" s="6">
        <f t="shared" si="2"/>
        <v>202800</v>
      </c>
      <c r="AC109" s="6">
        <v>0</v>
      </c>
      <c r="AD109" s="52"/>
    </row>
    <row r="110" spans="2:30">
      <c r="B110" s="47">
        <v>47178</v>
      </c>
      <c r="C110" s="8" t="s">
        <v>5</v>
      </c>
      <c r="D110" s="7">
        <v>8450</v>
      </c>
      <c r="E110" s="7">
        <v>8450</v>
      </c>
      <c r="F110" s="7">
        <v>8450</v>
      </c>
      <c r="G110" s="7">
        <v>8450</v>
      </c>
      <c r="H110" s="7">
        <v>8450</v>
      </c>
      <c r="I110" s="7">
        <v>8450</v>
      </c>
      <c r="J110" s="7">
        <v>8450</v>
      </c>
      <c r="K110" s="7">
        <v>8450</v>
      </c>
      <c r="L110" s="7">
        <v>8450</v>
      </c>
      <c r="M110" s="7">
        <v>8450</v>
      </c>
      <c r="N110" s="7">
        <v>8450</v>
      </c>
      <c r="O110" s="7">
        <v>8450</v>
      </c>
      <c r="P110" s="7">
        <v>8450</v>
      </c>
      <c r="Q110" s="7">
        <v>8450</v>
      </c>
      <c r="R110" s="7">
        <v>8450</v>
      </c>
      <c r="S110" s="7">
        <v>8450</v>
      </c>
      <c r="T110" s="7">
        <v>8450</v>
      </c>
      <c r="U110" s="7">
        <v>8450</v>
      </c>
      <c r="V110" s="7">
        <v>8450</v>
      </c>
      <c r="W110" s="7">
        <v>8450</v>
      </c>
      <c r="X110" s="7">
        <v>8450</v>
      </c>
      <c r="Y110" s="7">
        <v>8450</v>
      </c>
      <c r="Z110" s="7">
        <v>8450</v>
      </c>
      <c r="AA110" s="11">
        <v>8450</v>
      </c>
      <c r="AB110" s="5">
        <f t="shared" si="2"/>
        <v>202800</v>
      </c>
      <c r="AC110" s="5">
        <v>19</v>
      </c>
      <c r="AD110" s="50">
        <f>(AB110*AC110)+(AB111*AC111)+(AB112*AC112)+(AB113*AC113)</f>
        <v>6286800</v>
      </c>
    </row>
    <row r="111" spans="2:30">
      <c r="B111" s="48"/>
      <c r="C111" s="1" t="s">
        <v>6</v>
      </c>
      <c r="D111" s="2">
        <v>8450</v>
      </c>
      <c r="E111" s="2">
        <v>8450</v>
      </c>
      <c r="F111" s="2">
        <v>8450</v>
      </c>
      <c r="G111" s="2">
        <v>8450</v>
      </c>
      <c r="H111" s="2">
        <v>8450</v>
      </c>
      <c r="I111" s="2">
        <v>8450</v>
      </c>
      <c r="J111" s="2">
        <v>8450</v>
      </c>
      <c r="K111" s="2">
        <v>8450</v>
      </c>
      <c r="L111" s="2">
        <v>8450</v>
      </c>
      <c r="M111" s="2">
        <v>8450</v>
      </c>
      <c r="N111" s="2">
        <v>8450</v>
      </c>
      <c r="O111" s="2">
        <v>8450</v>
      </c>
      <c r="P111" s="2">
        <v>8450</v>
      </c>
      <c r="Q111" s="2">
        <v>8450</v>
      </c>
      <c r="R111" s="2">
        <v>8450</v>
      </c>
      <c r="S111" s="2">
        <v>8450</v>
      </c>
      <c r="T111" s="2">
        <v>8450</v>
      </c>
      <c r="U111" s="2">
        <v>8450</v>
      </c>
      <c r="V111" s="2">
        <v>8450</v>
      </c>
      <c r="W111" s="2">
        <v>8450</v>
      </c>
      <c r="X111" s="2">
        <v>8450</v>
      </c>
      <c r="Y111" s="2">
        <v>8450</v>
      </c>
      <c r="Z111" s="2">
        <v>8450</v>
      </c>
      <c r="AA111" s="12">
        <v>8450</v>
      </c>
      <c r="AB111" s="3">
        <f t="shared" si="2"/>
        <v>202800</v>
      </c>
      <c r="AC111" s="3">
        <v>5</v>
      </c>
      <c r="AD111" s="51"/>
    </row>
    <row r="112" spans="2:30">
      <c r="B112" s="48"/>
      <c r="C112" s="1" t="s">
        <v>7</v>
      </c>
      <c r="D112" s="2">
        <v>8450</v>
      </c>
      <c r="E112" s="2">
        <v>8450</v>
      </c>
      <c r="F112" s="2">
        <v>8450</v>
      </c>
      <c r="G112" s="2">
        <v>8450</v>
      </c>
      <c r="H112" s="2">
        <v>8450</v>
      </c>
      <c r="I112" s="2">
        <v>8450</v>
      </c>
      <c r="J112" s="2">
        <v>8450</v>
      </c>
      <c r="K112" s="2">
        <v>8450</v>
      </c>
      <c r="L112" s="2">
        <v>8450</v>
      </c>
      <c r="M112" s="2">
        <v>8450</v>
      </c>
      <c r="N112" s="2">
        <v>8450</v>
      </c>
      <c r="O112" s="2">
        <v>8450</v>
      </c>
      <c r="P112" s="2">
        <v>8450</v>
      </c>
      <c r="Q112" s="2">
        <v>8450</v>
      </c>
      <c r="R112" s="2">
        <v>8450</v>
      </c>
      <c r="S112" s="2">
        <v>8450</v>
      </c>
      <c r="T112" s="2">
        <v>8450</v>
      </c>
      <c r="U112" s="2">
        <v>8450</v>
      </c>
      <c r="V112" s="2">
        <v>8450</v>
      </c>
      <c r="W112" s="2">
        <v>8450</v>
      </c>
      <c r="X112" s="2">
        <v>8450</v>
      </c>
      <c r="Y112" s="2">
        <v>8450</v>
      </c>
      <c r="Z112" s="2">
        <v>8450</v>
      </c>
      <c r="AA112" s="12">
        <v>8450</v>
      </c>
      <c r="AB112" s="3">
        <f t="shared" si="2"/>
        <v>202800</v>
      </c>
      <c r="AC112" s="3">
        <v>4</v>
      </c>
      <c r="AD112" s="51"/>
    </row>
    <row r="113" spans="2:30" ht="15" thickBot="1">
      <c r="B113" s="49"/>
      <c r="C113" s="9" t="s">
        <v>8</v>
      </c>
      <c r="D113" s="10">
        <v>8450</v>
      </c>
      <c r="E113" s="10">
        <v>8450</v>
      </c>
      <c r="F113" s="10">
        <v>8450</v>
      </c>
      <c r="G113" s="10">
        <v>8450</v>
      </c>
      <c r="H113" s="10">
        <v>8450</v>
      </c>
      <c r="I113" s="10">
        <v>8450</v>
      </c>
      <c r="J113" s="10">
        <v>8450</v>
      </c>
      <c r="K113" s="10">
        <v>8450</v>
      </c>
      <c r="L113" s="10">
        <v>8450</v>
      </c>
      <c r="M113" s="10">
        <v>8450</v>
      </c>
      <c r="N113" s="10">
        <v>8450</v>
      </c>
      <c r="O113" s="10">
        <v>8450</v>
      </c>
      <c r="P113" s="10">
        <v>8450</v>
      </c>
      <c r="Q113" s="10">
        <v>8450</v>
      </c>
      <c r="R113" s="10">
        <v>8450</v>
      </c>
      <c r="S113" s="10">
        <v>8450</v>
      </c>
      <c r="T113" s="10">
        <v>8450</v>
      </c>
      <c r="U113" s="10">
        <v>8450</v>
      </c>
      <c r="V113" s="10">
        <v>8450</v>
      </c>
      <c r="W113" s="10">
        <v>8450</v>
      </c>
      <c r="X113" s="10">
        <v>8450</v>
      </c>
      <c r="Y113" s="10">
        <v>8450</v>
      </c>
      <c r="Z113" s="10">
        <v>8450</v>
      </c>
      <c r="AA113" s="13">
        <v>8450</v>
      </c>
      <c r="AB113" s="6">
        <f t="shared" si="2"/>
        <v>202800</v>
      </c>
      <c r="AC113" s="6">
        <v>3</v>
      </c>
      <c r="AD113" s="52"/>
    </row>
    <row r="114" spans="2:30">
      <c r="B114" s="47">
        <v>47209</v>
      </c>
      <c r="C114" s="8" t="s">
        <v>5</v>
      </c>
      <c r="D114" s="7">
        <v>8450</v>
      </c>
      <c r="E114" s="7">
        <v>8450</v>
      </c>
      <c r="F114" s="7">
        <v>8450</v>
      </c>
      <c r="G114" s="7">
        <v>8450</v>
      </c>
      <c r="H114" s="7">
        <v>8450</v>
      </c>
      <c r="I114" s="7">
        <v>8450</v>
      </c>
      <c r="J114" s="7">
        <v>8450</v>
      </c>
      <c r="K114" s="7">
        <v>8450</v>
      </c>
      <c r="L114" s="7">
        <v>8450</v>
      </c>
      <c r="M114" s="7">
        <v>8450</v>
      </c>
      <c r="N114" s="7">
        <v>8450</v>
      </c>
      <c r="O114" s="7">
        <v>8450</v>
      </c>
      <c r="P114" s="7">
        <v>8450</v>
      </c>
      <c r="Q114" s="7">
        <v>8450</v>
      </c>
      <c r="R114" s="7">
        <v>8450</v>
      </c>
      <c r="S114" s="7">
        <v>8450</v>
      </c>
      <c r="T114" s="7">
        <v>8450</v>
      </c>
      <c r="U114" s="7">
        <v>8450</v>
      </c>
      <c r="V114" s="7">
        <v>8450</v>
      </c>
      <c r="W114" s="7">
        <v>8450</v>
      </c>
      <c r="X114" s="7">
        <v>8450</v>
      </c>
      <c r="Y114" s="7">
        <v>8450</v>
      </c>
      <c r="Z114" s="7">
        <v>8450</v>
      </c>
      <c r="AA114" s="11">
        <v>8450</v>
      </c>
      <c r="AB114" s="5">
        <f t="shared" si="2"/>
        <v>202800</v>
      </c>
      <c r="AC114" s="5">
        <v>21</v>
      </c>
      <c r="AD114" s="50">
        <f>(AB114*AC114)+(AB115*AC115)+(AB116*AC116)+(AB117*AC117)</f>
        <v>6084000</v>
      </c>
    </row>
    <row r="115" spans="2:30">
      <c r="B115" s="48"/>
      <c r="C115" s="1" t="s">
        <v>6</v>
      </c>
      <c r="D115" s="2">
        <v>8450</v>
      </c>
      <c r="E115" s="2">
        <v>8450</v>
      </c>
      <c r="F115" s="2">
        <v>8450</v>
      </c>
      <c r="G115" s="2">
        <v>8450</v>
      </c>
      <c r="H115" s="2">
        <v>8450</v>
      </c>
      <c r="I115" s="2">
        <v>8450</v>
      </c>
      <c r="J115" s="2">
        <v>8450</v>
      </c>
      <c r="K115" s="2">
        <v>8450</v>
      </c>
      <c r="L115" s="2">
        <v>8450</v>
      </c>
      <c r="M115" s="2">
        <v>8450</v>
      </c>
      <c r="N115" s="2">
        <v>8450</v>
      </c>
      <c r="O115" s="2">
        <v>8450</v>
      </c>
      <c r="P115" s="2">
        <v>8450</v>
      </c>
      <c r="Q115" s="2">
        <v>8450</v>
      </c>
      <c r="R115" s="2">
        <v>8450</v>
      </c>
      <c r="S115" s="2">
        <v>8450</v>
      </c>
      <c r="T115" s="2">
        <v>8450</v>
      </c>
      <c r="U115" s="2">
        <v>8450</v>
      </c>
      <c r="V115" s="2">
        <v>8450</v>
      </c>
      <c r="W115" s="2">
        <v>8450</v>
      </c>
      <c r="X115" s="2">
        <v>8450</v>
      </c>
      <c r="Y115" s="2">
        <v>8450</v>
      </c>
      <c r="Z115" s="2">
        <v>8450</v>
      </c>
      <c r="AA115" s="12">
        <v>8450</v>
      </c>
      <c r="AB115" s="3">
        <f t="shared" si="2"/>
        <v>202800</v>
      </c>
      <c r="AC115" s="3">
        <v>4</v>
      </c>
      <c r="AD115" s="51"/>
    </row>
    <row r="116" spans="2:30">
      <c r="B116" s="48"/>
      <c r="C116" s="1" t="s">
        <v>7</v>
      </c>
      <c r="D116" s="2">
        <v>8450</v>
      </c>
      <c r="E116" s="2">
        <v>8450</v>
      </c>
      <c r="F116" s="2">
        <v>8450</v>
      </c>
      <c r="G116" s="2">
        <v>8450</v>
      </c>
      <c r="H116" s="2">
        <v>8450</v>
      </c>
      <c r="I116" s="2">
        <v>8450</v>
      </c>
      <c r="J116" s="2">
        <v>8450</v>
      </c>
      <c r="K116" s="2">
        <v>8450</v>
      </c>
      <c r="L116" s="2">
        <v>8450</v>
      </c>
      <c r="M116" s="2">
        <v>8450</v>
      </c>
      <c r="N116" s="2">
        <v>8450</v>
      </c>
      <c r="O116" s="2">
        <v>8450</v>
      </c>
      <c r="P116" s="2">
        <v>8450</v>
      </c>
      <c r="Q116" s="2">
        <v>8450</v>
      </c>
      <c r="R116" s="2">
        <v>8450</v>
      </c>
      <c r="S116" s="2">
        <v>8450</v>
      </c>
      <c r="T116" s="2">
        <v>8450</v>
      </c>
      <c r="U116" s="2">
        <v>8450</v>
      </c>
      <c r="V116" s="2">
        <v>8450</v>
      </c>
      <c r="W116" s="2">
        <v>8450</v>
      </c>
      <c r="X116" s="2">
        <v>8450</v>
      </c>
      <c r="Y116" s="2">
        <v>8450</v>
      </c>
      <c r="Z116" s="2">
        <v>8450</v>
      </c>
      <c r="AA116" s="12">
        <v>8450</v>
      </c>
      <c r="AB116" s="3">
        <f t="shared" si="2"/>
        <v>202800</v>
      </c>
      <c r="AC116" s="3">
        <v>5</v>
      </c>
      <c r="AD116" s="51"/>
    </row>
    <row r="117" spans="2:30" ht="15" thickBot="1">
      <c r="B117" s="49"/>
      <c r="C117" s="9" t="s">
        <v>8</v>
      </c>
      <c r="D117" s="10">
        <v>8450</v>
      </c>
      <c r="E117" s="10">
        <v>8450</v>
      </c>
      <c r="F117" s="10">
        <v>8450</v>
      </c>
      <c r="G117" s="10">
        <v>8450</v>
      </c>
      <c r="H117" s="10">
        <v>8450</v>
      </c>
      <c r="I117" s="10">
        <v>8450</v>
      </c>
      <c r="J117" s="10">
        <v>8450</v>
      </c>
      <c r="K117" s="10">
        <v>8450</v>
      </c>
      <c r="L117" s="10">
        <v>8450</v>
      </c>
      <c r="M117" s="10">
        <v>8450</v>
      </c>
      <c r="N117" s="10">
        <v>8450</v>
      </c>
      <c r="O117" s="10">
        <v>8450</v>
      </c>
      <c r="P117" s="10">
        <v>8450</v>
      </c>
      <c r="Q117" s="10">
        <v>8450</v>
      </c>
      <c r="R117" s="10">
        <v>8450</v>
      </c>
      <c r="S117" s="10">
        <v>8450</v>
      </c>
      <c r="T117" s="10">
        <v>8450</v>
      </c>
      <c r="U117" s="10">
        <v>8450</v>
      </c>
      <c r="V117" s="10">
        <v>8450</v>
      </c>
      <c r="W117" s="10">
        <v>8450</v>
      </c>
      <c r="X117" s="10">
        <v>8450</v>
      </c>
      <c r="Y117" s="10">
        <v>8450</v>
      </c>
      <c r="Z117" s="10">
        <v>8450</v>
      </c>
      <c r="AA117" s="13">
        <v>8450</v>
      </c>
      <c r="AB117" s="6">
        <f t="shared" si="2"/>
        <v>202800</v>
      </c>
      <c r="AC117" s="6">
        <v>0</v>
      </c>
      <c r="AD117" s="52"/>
    </row>
    <row r="118" spans="2:30">
      <c r="B118" s="47">
        <v>47239</v>
      </c>
      <c r="C118" s="8" t="s">
        <v>5</v>
      </c>
      <c r="D118" s="7">
        <v>8450</v>
      </c>
      <c r="E118" s="7">
        <v>8450</v>
      </c>
      <c r="F118" s="7">
        <v>8450</v>
      </c>
      <c r="G118" s="7">
        <v>8450</v>
      </c>
      <c r="H118" s="7">
        <v>8450</v>
      </c>
      <c r="I118" s="7">
        <v>8450</v>
      </c>
      <c r="J118" s="7">
        <v>8450</v>
      </c>
      <c r="K118" s="7">
        <v>8450</v>
      </c>
      <c r="L118" s="7">
        <v>8450</v>
      </c>
      <c r="M118" s="7">
        <v>8450</v>
      </c>
      <c r="N118" s="7">
        <v>8450</v>
      </c>
      <c r="O118" s="7">
        <v>8450</v>
      </c>
      <c r="P118" s="7">
        <v>8450</v>
      </c>
      <c r="Q118" s="7">
        <v>8450</v>
      </c>
      <c r="R118" s="7">
        <v>8450</v>
      </c>
      <c r="S118" s="7">
        <v>8450</v>
      </c>
      <c r="T118" s="7">
        <v>8450</v>
      </c>
      <c r="U118" s="7">
        <v>8450</v>
      </c>
      <c r="V118" s="7">
        <v>8450</v>
      </c>
      <c r="W118" s="7">
        <v>8450</v>
      </c>
      <c r="X118" s="7">
        <v>8450</v>
      </c>
      <c r="Y118" s="7">
        <v>8450</v>
      </c>
      <c r="Z118" s="7">
        <v>8450</v>
      </c>
      <c r="AA118" s="11">
        <v>8450</v>
      </c>
      <c r="AB118" s="5">
        <f t="shared" si="2"/>
        <v>202800</v>
      </c>
      <c r="AC118" s="5">
        <v>21</v>
      </c>
      <c r="AD118" s="50">
        <f>(AB118*AC118)+(AB119*AC119)+(AB120*AC120)+(AB121*AC121)</f>
        <v>6286800</v>
      </c>
    </row>
    <row r="119" spans="2:30">
      <c r="B119" s="48"/>
      <c r="C119" s="1" t="s">
        <v>6</v>
      </c>
      <c r="D119" s="2">
        <v>8450</v>
      </c>
      <c r="E119" s="2">
        <v>8450</v>
      </c>
      <c r="F119" s="2">
        <v>8450</v>
      </c>
      <c r="G119" s="2">
        <v>8450</v>
      </c>
      <c r="H119" s="2">
        <v>8450</v>
      </c>
      <c r="I119" s="2">
        <v>8450</v>
      </c>
      <c r="J119" s="2">
        <v>8450</v>
      </c>
      <c r="K119" s="2">
        <v>8450</v>
      </c>
      <c r="L119" s="2">
        <v>8450</v>
      </c>
      <c r="M119" s="2">
        <v>8450</v>
      </c>
      <c r="N119" s="2">
        <v>8450</v>
      </c>
      <c r="O119" s="2">
        <v>8450</v>
      </c>
      <c r="P119" s="2">
        <v>8450</v>
      </c>
      <c r="Q119" s="2">
        <v>8450</v>
      </c>
      <c r="R119" s="2">
        <v>8450</v>
      </c>
      <c r="S119" s="2">
        <v>8450</v>
      </c>
      <c r="T119" s="2">
        <v>8450</v>
      </c>
      <c r="U119" s="2">
        <v>8450</v>
      </c>
      <c r="V119" s="2">
        <v>8450</v>
      </c>
      <c r="W119" s="2">
        <v>8450</v>
      </c>
      <c r="X119" s="2">
        <v>8450</v>
      </c>
      <c r="Y119" s="2">
        <v>8450</v>
      </c>
      <c r="Z119" s="2">
        <v>8450</v>
      </c>
      <c r="AA119" s="12">
        <v>8450</v>
      </c>
      <c r="AB119" s="3">
        <f t="shared" si="2"/>
        <v>202800</v>
      </c>
      <c r="AC119" s="3">
        <v>4</v>
      </c>
      <c r="AD119" s="51"/>
    </row>
    <row r="120" spans="2:30">
      <c r="B120" s="48"/>
      <c r="C120" s="1" t="s">
        <v>7</v>
      </c>
      <c r="D120" s="2">
        <v>8450</v>
      </c>
      <c r="E120" s="2">
        <v>8450</v>
      </c>
      <c r="F120" s="2">
        <v>8450</v>
      </c>
      <c r="G120" s="2">
        <v>8450</v>
      </c>
      <c r="H120" s="2">
        <v>8450</v>
      </c>
      <c r="I120" s="2">
        <v>8450</v>
      </c>
      <c r="J120" s="2">
        <v>8450</v>
      </c>
      <c r="K120" s="2">
        <v>8450</v>
      </c>
      <c r="L120" s="2">
        <v>8450</v>
      </c>
      <c r="M120" s="2">
        <v>8450</v>
      </c>
      <c r="N120" s="2">
        <v>8450</v>
      </c>
      <c r="O120" s="2">
        <v>8450</v>
      </c>
      <c r="P120" s="2">
        <v>8450</v>
      </c>
      <c r="Q120" s="2">
        <v>8450</v>
      </c>
      <c r="R120" s="2">
        <v>8450</v>
      </c>
      <c r="S120" s="2">
        <v>8450</v>
      </c>
      <c r="T120" s="2">
        <v>8450</v>
      </c>
      <c r="U120" s="2">
        <v>8450</v>
      </c>
      <c r="V120" s="2">
        <v>8450</v>
      </c>
      <c r="W120" s="2">
        <v>8450</v>
      </c>
      <c r="X120" s="2">
        <v>8450</v>
      </c>
      <c r="Y120" s="2">
        <v>8450</v>
      </c>
      <c r="Z120" s="2">
        <v>8450</v>
      </c>
      <c r="AA120" s="12">
        <v>8450</v>
      </c>
      <c r="AB120" s="3">
        <f t="shared" si="2"/>
        <v>202800</v>
      </c>
      <c r="AC120" s="3">
        <v>4</v>
      </c>
      <c r="AD120" s="51"/>
    </row>
    <row r="121" spans="2:30" ht="15" thickBot="1">
      <c r="B121" s="49"/>
      <c r="C121" s="9" t="s">
        <v>8</v>
      </c>
      <c r="D121" s="10">
        <v>8450</v>
      </c>
      <c r="E121" s="10">
        <v>8450</v>
      </c>
      <c r="F121" s="10">
        <v>8450</v>
      </c>
      <c r="G121" s="10">
        <v>8450</v>
      </c>
      <c r="H121" s="10">
        <v>8450</v>
      </c>
      <c r="I121" s="10">
        <v>8450</v>
      </c>
      <c r="J121" s="10">
        <v>8450</v>
      </c>
      <c r="K121" s="10">
        <v>8450</v>
      </c>
      <c r="L121" s="10">
        <v>8450</v>
      </c>
      <c r="M121" s="10">
        <v>8450</v>
      </c>
      <c r="N121" s="10">
        <v>8450</v>
      </c>
      <c r="O121" s="10">
        <v>8450</v>
      </c>
      <c r="P121" s="10">
        <v>8450</v>
      </c>
      <c r="Q121" s="10">
        <v>8450</v>
      </c>
      <c r="R121" s="10">
        <v>8450</v>
      </c>
      <c r="S121" s="10">
        <v>8450</v>
      </c>
      <c r="T121" s="10">
        <v>8450</v>
      </c>
      <c r="U121" s="10">
        <v>8450</v>
      </c>
      <c r="V121" s="10">
        <v>8450</v>
      </c>
      <c r="W121" s="10">
        <v>8450</v>
      </c>
      <c r="X121" s="10">
        <v>8450</v>
      </c>
      <c r="Y121" s="10">
        <v>8450</v>
      </c>
      <c r="Z121" s="10">
        <v>8450</v>
      </c>
      <c r="AA121" s="13">
        <v>8450</v>
      </c>
      <c r="AB121" s="6">
        <f t="shared" si="2"/>
        <v>202800</v>
      </c>
      <c r="AC121" s="6">
        <v>2</v>
      </c>
      <c r="AD121" s="52"/>
    </row>
    <row r="122" spans="2:30">
      <c r="B122" s="47">
        <v>47270</v>
      </c>
      <c r="C122" s="8" t="s">
        <v>5</v>
      </c>
      <c r="D122" s="7">
        <v>8450</v>
      </c>
      <c r="E122" s="7">
        <v>8450</v>
      </c>
      <c r="F122" s="7">
        <v>8450</v>
      </c>
      <c r="G122" s="7">
        <v>8450</v>
      </c>
      <c r="H122" s="7">
        <v>8450</v>
      </c>
      <c r="I122" s="7">
        <v>8450</v>
      </c>
      <c r="J122" s="7">
        <v>8450</v>
      </c>
      <c r="K122" s="7">
        <v>8450</v>
      </c>
      <c r="L122" s="7">
        <v>8450</v>
      </c>
      <c r="M122" s="7">
        <v>8450</v>
      </c>
      <c r="N122" s="7">
        <v>8450</v>
      </c>
      <c r="O122" s="7">
        <v>8450</v>
      </c>
      <c r="P122" s="7">
        <v>8450</v>
      </c>
      <c r="Q122" s="7">
        <v>8450</v>
      </c>
      <c r="R122" s="7">
        <v>8450</v>
      </c>
      <c r="S122" s="7">
        <v>8450</v>
      </c>
      <c r="T122" s="7">
        <v>8450</v>
      </c>
      <c r="U122" s="7">
        <v>8450</v>
      </c>
      <c r="V122" s="7">
        <v>8450</v>
      </c>
      <c r="W122" s="7">
        <v>8450</v>
      </c>
      <c r="X122" s="7">
        <v>8450</v>
      </c>
      <c r="Y122" s="7">
        <v>8450</v>
      </c>
      <c r="Z122" s="7">
        <v>8450</v>
      </c>
      <c r="AA122" s="11">
        <v>8450</v>
      </c>
      <c r="AB122" s="5">
        <f t="shared" si="2"/>
        <v>202800</v>
      </c>
      <c r="AC122" s="5">
        <v>19</v>
      </c>
      <c r="AD122" s="50">
        <f>(AB122*AC122)+(AB123*AC123)+(AB124*AC124)+(AB125*AC125)</f>
        <v>6084000</v>
      </c>
    </row>
    <row r="123" spans="2:30">
      <c r="B123" s="48"/>
      <c r="C123" s="1" t="s">
        <v>6</v>
      </c>
      <c r="D123" s="2">
        <v>8450</v>
      </c>
      <c r="E123" s="2">
        <v>8450</v>
      </c>
      <c r="F123" s="2">
        <v>8450</v>
      </c>
      <c r="G123" s="2">
        <v>8450</v>
      </c>
      <c r="H123" s="2">
        <v>8450</v>
      </c>
      <c r="I123" s="2">
        <v>8450</v>
      </c>
      <c r="J123" s="2">
        <v>8450</v>
      </c>
      <c r="K123" s="2">
        <v>8450</v>
      </c>
      <c r="L123" s="2">
        <v>8450</v>
      </c>
      <c r="M123" s="2">
        <v>8450</v>
      </c>
      <c r="N123" s="2">
        <v>8450</v>
      </c>
      <c r="O123" s="2">
        <v>8450</v>
      </c>
      <c r="P123" s="2">
        <v>8450</v>
      </c>
      <c r="Q123" s="2">
        <v>8450</v>
      </c>
      <c r="R123" s="2">
        <v>8450</v>
      </c>
      <c r="S123" s="2">
        <v>8450</v>
      </c>
      <c r="T123" s="2">
        <v>8450</v>
      </c>
      <c r="U123" s="2">
        <v>8450</v>
      </c>
      <c r="V123" s="2">
        <v>8450</v>
      </c>
      <c r="W123" s="2">
        <v>8450</v>
      </c>
      <c r="X123" s="2">
        <v>8450</v>
      </c>
      <c r="Y123" s="2">
        <v>8450</v>
      </c>
      <c r="Z123" s="2">
        <v>8450</v>
      </c>
      <c r="AA123" s="12">
        <v>8450</v>
      </c>
      <c r="AB123" s="3">
        <f t="shared" si="2"/>
        <v>202800</v>
      </c>
      <c r="AC123" s="3">
        <v>5</v>
      </c>
      <c r="AD123" s="51"/>
    </row>
    <row r="124" spans="2:30">
      <c r="B124" s="48"/>
      <c r="C124" s="1" t="s">
        <v>7</v>
      </c>
      <c r="D124" s="2">
        <v>8450</v>
      </c>
      <c r="E124" s="2">
        <v>8450</v>
      </c>
      <c r="F124" s="2">
        <v>8450</v>
      </c>
      <c r="G124" s="2">
        <v>8450</v>
      </c>
      <c r="H124" s="2">
        <v>8450</v>
      </c>
      <c r="I124" s="2">
        <v>8450</v>
      </c>
      <c r="J124" s="2">
        <v>8450</v>
      </c>
      <c r="K124" s="2">
        <v>8450</v>
      </c>
      <c r="L124" s="2">
        <v>8450</v>
      </c>
      <c r="M124" s="2">
        <v>8450</v>
      </c>
      <c r="N124" s="2">
        <v>8450</v>
      </c>
      <c r="O124" s="2">
        <v>8450</v>
      </c>
      <c r="P124" s="2">
        <v>8450</v>
      </c>
      <c r="Q124" s="2">
        <v>8450</v>
      </c>
      <c r="R124" s="2">
        <v>8450</v>
      </c>
      <c r="S124" s="2">
        <v>8450</v>
      </c>
      <c r="T124" s="2">
        <v>8450</v>
      </c>
      <c r="U124" s="2">
        <v>8450</v>
      </c>
      <c r="V124" s="2">
        <v>8450</v>
      </c>
      <c r="W124" s="2">
        <v>8450</v>
      </c>
      <c r="X124" s="2">
        <v>8450</v>
      </c>
      <c r="Y124" s="2">
        <v>8450</v>
      </c>
      <c r="Z124" s="2">
        <v>8450</v>
      </c>
      <c r="AA124" s="12">
        <v>8450</v>
      </c>
      <c r="AB124" s="3">
        <f t="shared" si="2"/>
        <v>202800</v>
      </c>
      <c r="AC124" s="3">
        <v>4</v>
      </c>
      <c r="AD124" s="51"/>
    </row>
    <row r="125" spans="2:30" ht="15" thickBot="1">
      <c r="B125" s="49"/>
      <c r="C125" s="9" t="s">
        <v>8</v>
      </c>
      <c r="D125" s="10">
        <v>8450</v>
      </c>
      <c r="E125" s="10">
        <v>8450</v>
      </c>
      <c r="F125" s="10">
        <v>8450</v>
      </c>
      <c r="G125" s="10">
        <v>8450</v>
      </c>
      <c r="H125" s="10">
        <v>8450</v>
      </c>
      <c r="I125" s="10">
        <v>8450</v>
      </c>
      <c r="J125" s="10">
        <v>8450</v>
      </c>
      <c r="K125" s="10">
        <v>8450</v>
      </c>
      <c r="L125" s="10">
        <v>8450</v>
      </c>
      <c r="M125" s="10">
        <v>8450</v>
      </c>
      <c r="N125" s="10">
        <v>8450</v>
      </c>
      <c r="O125" s="10">
        <v>8450</v>
      </c>
      <c r="P125" s="10">
        <v>8450</v>
      </c>
      <c r="Q125" s="10">
        <v>8450</v>
      </c>
      <c r="R125" s="10">
        <v>8450</v>
      </c>
      <c r="S125" s="10">
        <v>8450</v>
      </c>
      <c r="T125" s="10">
        <v>8450</v>
      </c>
      <c r="U125" s="10">
        <v>8450</v>
      </c>
      <c r="V125" s="10">
        <v>8450</v>
      </c>
      <c r="W125" s="10">
        <v>8450</v>
      </c>
      <c r="X125" s="10">
        <v>8450</v>
      </c>
      <c r="Y125" s="10">
        <v>8450</v>
      </c>
      <c r="Z125" s="10">
        <v>8450</v>
      </c>
      <c r="AA125" s="13">
        <v>8450</v>
      </c>
      <c r="AB125" s="6">
        <f t="shared" si="2"/>
        <v>202800</v>
      </c>
      <c r="AC125" s="6">
        <v>2</v>
      </c>
      <c r="AD125" s="52"/>
    </row>
    <row r="126" spans="2:30">
      <c r="B126" s="47">
        <v>47300</v>
      </c>
      <c r="C126" s="8" t="s">
        <v>5</v>
      </c>
      <c r="D126" s="7">
        <v>8450</v>
      </c>
      <c r="E126" s="7">
        <v>8450</v>
      </c>
      <c r="F126" s="7">
        <v>8450</v>
      </c>
      <c r="G126" s="7">
        <v>8450</v>
      </c>
      <c r="H126" s="7">
        <v>8450</v>
      </c>
      <c r="I126" s="7">
        <v>8450</v>
      </c>
      <c r="J126" s="7">
        <v>8450</v>
      </c>
      <c r="K126" s="7">
        <v>8450</v>
      </c>
      <c r="L126" s="7">
        <v>8450</v>
      </c>
      <c r="M126" s="7">
        <v>8450</v>
      </c>
      <c r="N126" s="7">
        <v>8450</v>
      </c>
      <c r="O126" s="7">
        <v>8450</v>
      </c>
      <c r="P126" s="7">
        <v>8450</v>
      </c>
      <c r="Q126" s="7">
        <v>8450</v>
      </c>
      <c r="R126" s="7">
        <v>8450</v>
      </c>
      <c r="S126" s="7">
        <v>8450</v>
      </c>
      <c r="T126" s="7">
        <v>8450</v>
      </c>
      <c r="U126" s="7">
        <v>8450</v>
      </c>
      <c r="V126" s="7">
        <v>8450</v>
      </c>
      <c r="W126" s="7">
        <v>8450</v>
      </c>
      <c r="X126" s="7">
        <v>8450</v>
      </c>
      <c r="Y126" s="7">
        <v>8450</v>
      </c>
      <c r="Z126" s="7">
        <v>8450</v>
      </c>
      <c r="AA126" s="11">
        <v>8450</v>
      </c>
      <c r="AB126" s="5">
        <f t="shared" si="2"/>
        <v>202800</v>
      </c>
      <c r="AC126" s="5">
        <v>20</v>
      </c>
      <c r="AD126" s="50">
        <f>(AB126*AC126)+(AB127*AC127)+(AB128*AC128)+(AB129*AC129)</f>
        <v>6286800</v>
      </c>
    </row>
    <row r="127" spans="2:30">
      <c r="B127" s="48"/>
      <c r="C127" s="1" t="s">
        <v>6</v>
      </c>
      <c r="D127" s="2">
        <v>8450</v>
      </c>
      <c r="E127" s="2">
        <v>8450</v>
      </c>
      <c r="F127" s="2">
        <v>8450</v>
      </c>
      <c r="G127" s="2">
        <v>8450</v>
      </c>
      <c r="H127" s="2">
        <v>8450</v>
      </c>
      <c r="I127" s="2">
        <v>8450</v>
      </c>
      <c r="J127" s="2">
        <v>8450</v>
      </c>
      <c r="K127" s="2">
        <v>8450</v>
      </c>
      <c r="L127" s="2">
        <v>8450</v>
      </c>
      <c r="M127" s="2">
        <v>8450</v>
      </c>
      <c r="N127" s="2">
        <v>8450</v>
      </c>
      <c r="O127" s="2">
        <v>8450</v>
      </c>
      <c r="P127" s="2">
        <v>8450</v>
      </c>
      <c r="Q127" s="2">
        <v>8450</v>
      </c>
      <c r="R127" s="2">
        <v>8450</v>
      </c>
      <c r="S127" s="2">
        <v>8450</v>
      </c>
      <c r="T127" s="2">
        <v>8450</v>
      </c>
      <c r="U127" s="2">
        <v>8450</v>
      </c>
      <c r="V127" s="2">
        <v>8450</v>
      </c>
      <c r="W127" s="2">
        <v>8450</v>
      </c>
      <c r="X127" s="2">
        <v>8450</v>
      </c>
      <c r="Y127" s="2">
        <v>8450</v>
      </c>
      <c r="Z127" s="2">
        <v>8450</v>
      </c>
      <c r="AA127" s="12">
        <v>8450</v>
      </c>
      <c r="AB127" s="3">
        <f t="shared" si="2"/>
        <v>202800</v>
      </c>
      <c r="AC127" s="3">
        <v>4</v>
      </c>
      <c r="AD127" s="51"/>
    </row>
    <row r="128" spans="2:30">
      <c r="B128" s="48"/>
      <c r="C128" s="1" t="s">
        <v>4</v>
      </c>
      <c r="D128" s="2">
        <v>8450</v>
      </c>
      <c r="E128" s="2">
        <v>8450</v>
      </c>
      <c r="F128" s="2">
        <v>8450</v>
      </c>
      <c r="G128" s="2">
        <v>8450</v>
      </c>
      <c r="H128" s="2">
        <v>8450</v>
      </c>
      <c r="I128" s="2">
        <v>8450</v>
      </c>
      <c r="J128" s="2">
        <v>8450</v>
      </c>
      <c r="K128" s="2">
        <v>8450</v>
      </c>
      <c r="L128" s="2">
        <v>8450</v>
      </c>
      <c r="M128" s="2">
        <v>8450</v>
      </c>
      <c r="N128" s="2">
        <v>8450</v>
      </c>
      <c r="O128" s="2">
        <v>8450</v>
      </c>
      <c r="P128" s="2">
        <v>8450</v>
      </c>
      <c r="Q128" s="2">
        <v>8450</v>
      </c>
      <c r="R128" s="2">
        <v>8450</v>
      </c>
      <c r="S128" s="2">
        <v>8450</v>
      </c>
      <c r="T128" s="2">
        <v>8450</v>
      </c>
      <c r="U128" s="2">
        <v>8450</v>
      </c>
      <c r="V128" s="2">
        <v>8450</v>
      </c>
      <c r="W128" s="2">
        <v>8450</v>
      </c>
      <c r="X128" s="2">
        <v>8450</v>
      </c>
      <c r="Y128" s="2">
        <v>8450</v>
      </c>
      <c r="Z128" s="2">
        <v>8450</v>
      </c>
      <c r="AA128" s="12">
        <v>8450</v>
      </c>
      <c r="AB128" s="3">
        <f t="shared" si="2"/>
        <v>202800</v>
      </c>
      <c r="AC128" s="3">
        <v>5</v>
      </c>
      <c r="AD128" s="51"/>
    </row>
    <row r="129" spans="2:30" ht="15" thickBot="1">
      <c r="B129" s="49"/>
      <c r="C129" s="9" t="s">
        <v>8</v>
      </c>
      <c r="D129" s="10">
        <v>8450</v>
      </c>
      <c r="E129" s="10">
        <v>8450</v>
      </c>
      <c r="F129" s="10">
        <v>8450</v>
      </c>
      <c r="G129" s="10">
        <v>8450</v>
      </c>
      <c r="H129" s="10">
        <v>8450</v>
      </c>
      <c r="I129" s="10">
        <v>8450</v>
      </c>
      <c r="J129" s="10">
        <v>8450</v>
      </c>
      <c r="K129" s="10">
        <v>8450</v>
      </c>
      <c r="L129" s="10">
        <v>8450</v>
      </c>
      <c r="M129" s="10">
        <v>8450</v>
      </c>
      <c r="N129" s="10">
        <v>8450</v>
      </c>
      <c r="O129" s="10">
        <v>8450</v>
      </c>
      <c r="P129" s="10">
        <v>8450</v>
      </c>
      <c r="Q129" s="10">
        <v>8450</v>
      </c>
      <c r="R129" s="10">
        <v>8450</v>
      </c>
      <c r="S129" s="10">
        <v>8450</v>
      </c>
      <c r="T129" s="10">
        <v>8450</v>
      </c>
      <c r="U129" s="10">
        <v>8450</v>
      </c>
      <c r="V129" s="10">
        <v>8450</v>
      </c>
      <c r="W129" s="10">
        <v>8450</v>
      </c>
      <c r="X129" s="10">
        <v>8450</v>
      </c>
      <c r="Y129" s="10">
        <v>8450</v>
      </c>
      <c r="Z129" s="10">
        <v>8450</v>
      </c>
      <c r="AA129" s="13">
        <v>8450</v>
      </c>
      <c r="AB129" s="6">
        <f t="shared" si="2"/>
        <v>202800</v>
      </c>
      <c r="AC129" s="6">
        <v>2</v>
      </c>
      <c r="AD129" s="52"/>
    </row>
    <row r="130" spans="2:30">
      <c r="B130" s="47">
        <v>47331</v>
      </c>
      <c r="C130" s="8" t="s">
        <v>5</v>
      </c>
      <c r="D130" s="7">
        <v>8450</v>
      </c>
      <c r="E130" s="7">
        <v>8450</v>
      </c>
      <c r="F130" s="7">
        <v>8450</v>
      </c>
      <c r="G130" s="7">
        <v>8450</v>
      </c>
      <c r="H130" s="7">
        <v>8450</v>
      </c>
      <c r="I130" s="7">
        <v>8450</v>
      </c>
      <c r="J130" s="7">
        <v>8450</v>
      </c>
      <c r="K130" s="7">
        <v>8450</v>
      </c>
      <c r="L130" s="7">
        <v>8450</v>
      </c>
      <c r="M130" s="7">
        <v>8450</v>
      </c>
      <c r="N130" s="7">
        <v>8450</v>
      </c>
      <c r="O130" s="7">
        <v>8450</v>
      </c>
      <c r="P130" s="7">
        <v>8450</v>
      </c>
      <c r="Q130" s="7">
        <v>8450</v>
      </c>
      <c r="R130" s="7">
        <v>8450</v>
      </c>
      <c r="S130" s="7">
        <v>8450</v>
      </c>
      <c r="T130" s="7">
        <v>8450</v>
      </c>
      <c r="U130" s="7">
        <v>8450</v>
      </c>
      <c r="V130" s="7">
        <v>8450</v>
      </c>
      <c r="W130" s="7">
        <v>8450</v>
      </c>
      <c r="X130" s="7">
        <v>8450</v>
      </c>
      <c r="Y130" s="7">
        <v>8450</v>
      </c>
      <c r="Z130" s="7">
        <v>8450</v>
      </c>
      <c r="AA130" s="11">
        <v>8450</v>
      </c>
      <c r="AB130" s="5">
        <f t="shared" si="2"/>
        <v>202800</v>
      </c>
      <c r="AC130" s="5">
        <v>21</v>
      </c>
      <c r="AD130" s="50">
        <f>(AB130*AC130)+(AB131*AC131)+(AB132*AC132)+(AB133*AC133)</f>
        <v>6286800</v>
      </c>
    </row>
    <row r="131" spans="2:30">
      <c r="B131" s="48"/>
      <c r="C131" s="1" t="s">
        <v>6</v>
      </c>
      <c r="D131" s="2">
        <v>8450</v>
      </c>
      <c r="E131" s="2">
        <v>8450</v>
      </c>
      <c r="F131" s="2">
        <v>8450</v>
      </c>
      <c r="G131" s="2">
        <v>8450</v>
      </c>
      <c r="H131" s="2">
        <v>8450</v>
      </c>
      <c r="I131" s="2">
        <v>8450</v>
      </c>
      <c r="J131" s="2">
        <v>8450</v>
      </c>
      <c r="K131" s="2">
        <v>8450</v>
      </c>
      <c r="L131" s="2">
        <v>8450</v>
      </c>
      <c r="M131" s="2">
        <v>8450</v>
      </c>
      <c r="N131" s="2">
        <v>8450</v>
      </c>
      <c r="O131" s="2">
        <v>8450</v>
      </c>
      <c r="P131" s="2">
        <v>8450</v>
      </c>
      <c r="Q131" s="2">
        <v>8450</v>
      </c>
      <c r="R131" s="2">
        <v>8450</v>
      </c>
      <c r="S131" s="2">
        <v>8450</v>
      </c>
      <c r="T131" s="2">
        <v>8450</v>
      </c>
      <c r="U131" s="2">
        <v>8450</v>
      </c>
      <c r="V131" s="2">
        <v>8450</v>
      </c>
      <c r="W131" s="2">
        <v>8450</v>
      </c>
      <c r="X131" s="2">
        <v>8450</v>
      </c>
      <c r="Y131" s="2">
        <v>8450</v>
      </c>
      <c r="Z131" s="2">
        <v>8450</v>
      </c>
      <c r="AA131" s="12">
        <v>8450</v>
      </c>
      <c r="AB131" s="3">
        <f t="shared" si="2"/>
        <v>202800</v>
      </c>
      <c r="AC131" s="3">
        <v>4</v>
      </c>
      <c r="AD131" s="51"/>
    </row>
    <row r="132" spans="2:30">
      <c r="B132" s="48"/>
      <c r="C132" s="1" t="s">
        <v>7</v>
      </c>
      <c r="D132" s="2">
        <v>8450</v>
      </c>
      <c r="E132" s="2">
        <v>8450</v>
      </c>
      <c r="F132" s="2">
        <v>8450</v>
      </c>
      <c r="G132" s="2">
        <v>8450</v>
      </c>
      <c r="H132" s="2">
        <v>8450</v>
      </c>
      <c r="I132" s="2">
        <v>8450</v>
      </c>
      <c r="J132" s="2">
        <v>8450</v>
      </c>
      <c r="K132" s="2">
        <v>8450</v>
      </c>
      <c r="L132" s="2">
        <v>8450</v>
      </c>
      <c r="M132" s="2">
        <v>8450</v>
      </c>
      <c r="N132" s="2">
        <v>8450</v>
      </c>
      <c r="O132" s="2">
        <v>8450</v>
      </c>
      <c r="P132" s="2">
        <v>8450</v>
      </c>
      <c r="Q132" s="2">
        <v>8450</v>
      </c>
      <c r="R132" s="2">
        <v>8450</v>
      </c>
      <c r="S132" s="2">
        <v>8450</v>
      </c>
      <c r="T132" s="2">
        <v>8450</v>
      </c>
      <c r="U132" s="2">
        <v>8450</v>
      </c>
      <c r="V132" s="2">
        <v>8450</v>
      </c>
      <c r="W132" s="2">
        <v>8450</v>
      </c>
      <c r="X132" s="2">
        <v>8450</v>
      </c>
      <c r="Y132" s="2">
        <v>8450</v>
      </c>
      <c r="Z132" s="2">
        <v>8450</v>
      </c>
      <c r="AA132" s="12">
        <v>8450</v>
      </c>
      <c r="AB132" s="3">
        <f t="shared" si="2"/>
        <v>202800</v>
      </c>
      <c r="AC132" s="3">
        <v>4</v>
      </c>
      <c r="AD132" s="51"/>
    </row>
    <row r="133" spans="2:30" ht="15" thickBot="1">
      <c r="B133" s="49"/>
      <c r="C133" s="9" t="s">
        <v>8</v>
      </c>
      <c r="D133" s="10">
        <v>8450</v>
      </c>
      <c r="E133" s="10">
        <v>8450</v>
      </c>
      <c r="F133" s="10">
        <v>8450</v>
      </c>
      <c r="G133" s="10">
        <v>8450</v>
      </c>
      <c r="H133" s="10">
        <v>8450</v>
      </c>
      <c r="I133" s="10">
        <v>8450</v>
      </c>
      <c r="J133" s="10">
        <v>8450</v>
      </c>
      <c r="K133" s="10">
        <v>8450</v>
      </c>
      <c r="L133" s="10">
        <v>8450</v>
      </c>
      <c r="M133" s="10">
        <v>8450</v>
      </c>
      <c r="N133" s="10">
        <v>8450</v>
      </c>
      <c r="O133" s="10">
        <v>8450</v>
      </c>
      <c r="P133" s="10">
        <v>8450</v>
      </c>
      <c r="Q133" s="10">
        <v>8450</v>
      </c>
      <c r="R133" s="10">
        <v>8450</v>
      </c>
      <c r="S133" s="10">
        <v>8450</v>
      </c>
      <c r="T133" s="10">
        <v>8450</v>
      </c>
      <c r="U133" s="10">
        <v>8450</v>
      </c>
      <c r="V133" s="10">
        <v>8450</v>
      </c>
      <c r="W133" s="10">
        <v>8450</v>
      </c>
      <c r="X133" s="10">
        <v>8450</v>
      </c>
      <c r="Y133" s="10">
        <v>8450</v>
      </c>
      <c r="Z133" s="10">
        <v>8450</v>
      </c>
      <c r="AA133" s="13">
        <v>8450</v>
      </c>
      <c r="AB133" s="6">
        <f t="shared" si="2"/>
        <v>202800</v>
      </c>
      <c r="AC133" s="6">
        <v>2</v>
      </c>
      <c r="AD133" s="52"/>
    </row>
    <row r="134" spans="2:30">
      <c r="B134" s="47">
        <v>47362</v>
      </c>
      <c r="C134" s="8" t="s">
        <v>5</v>
      </c>
      <c r="D134" s="7">
        <v>8450</v>
      </c>
      <c r="E134" s="7">
        <v>8450</v>
      </c>
      <c r="F134" s="7">
        <v>8450</v>
      </c>
      <c r="G134" s="7">
        <v>8450</v>
      </c>
      <c r="H134" s="7">
        <v>8450</v>
      </c>
      <c r="I134" s="7">
        <v>8450</v>
      </c>
      <c r="J134" s="7">
        <v>8450</v>
      </c>
      <c r="K134" s="7">
        <v>8450</v>
      </c>
      <c r="L134" s="7">
        <v>8450</v>
      </c>
      <c r="M134" s="7">
        <v>8450</v>
      </c>
      <c r="N134" s="7">
        <v>8450</v>
      </c>
      <c r="O134" s="7">
        <v>8450</v>
      </c>
      <c r="P134" s="7">
        <v>8450</v>
      </c>
      <c r="Q134" s="7">
        <v>8450</v>
      </c>
      <c r="R134" s="7">
        <v>8450</v>
      </c>
      <c r="S134" s="7">
        <v>8450</v>
      </c>
      <c r="T134" s="7">
        <v>8450</v>
      </c>
      <c r="U134" s="7">
        <v>8450</v>
      </c>
      <c r="V134" s="7">
        <v>8450</v>
      </c>
      <c r="W134" s="7">
        <v>8450</v>
      </c>
      <c r="X134" s="7">
        <v>8450</v>
      </c>
      <c r="Y134" s="7">
        <v>8450</v>
      </c>
      <c r="Z134" s="7">
        <v>8450</v>
      </c>
      <c r="AA134" s="11">
        <v>8450</v>
      </c>
      <c r="AB134" s="5">
        <f t="shared" si="2"/>
        <v>202800</v>
      </c>
      <c r="AC134" s="5">
        <v>20</v>
      </c>
      <c r="AD134" s="50">
        <f>(AB134*AC134)+(AB135*AC135)+(AB136*AC136)+(AB137*AC137)</f>
        <v>6084000</v>
      </c>
    </row>
    <row r="135" spans="2:30">
      <c r="B135" s="48"/>
      <c r="C135" s="1" t="s">
        <v>6</v>
      </c>
      <c r="D135" s="2">
        <v>8450</v>
      </c>
      <c r="E135" s="2">
        <v>8450</v>
      </c>
      <c r="F135" s="2">
        <v>8450</v>
      </c>
      <c r="G135" s="2">
        <v>8450</v>
      </c>
      <c r="H135" s="2">
        <v>8450</v>
      </c>
      <c r="I135" s="2">
        <v>8450</v>
      </c>
      <c r="J135" s="2">
        <v>8450</v>
      </c>
      <c r="K135" s="2">
        <v>8450</v>
      </c>
      <c r="L135" s="2">
        <v>8450</v>
      </c>
      <c r="M135" s="2">
        <v>8450</v>
      </c>
      <c r="N135" s="2">
        <v>8450</v>
      </c>
      <c r="O135" s="2">
        <v>8450</v>
      </c>
      <c r="P135" s="2">
        <v>8450</v>
      </c>
      <c r="Q135" s="2">
        <v>8450</v>
      </c>
      <c r="R135" s="2">
        <v>8450</v>
      </c>
      <c r="S135" s="2">
        <v>8450</v>
      </c>
      <c r="T135" s="2">
        <v>8450</v>
      </c>
      <c r="U135" s="2">
        <v>8450</v>
      </c>
      <c r="V135" s="2">
        <v>8450</v>
      </c>
      <c r="W135" s="2">
        <v>8450</v>
      </c>
      <c r="X135" s="2">
        <v>8450</v>
      </c>
      <c r="Y135" s="2">
        <v>8450</v>
      </c>
      <c r="Z135" s="2">
        <v>8450</v>
      </c>
      <c r="AA135" s="12">
        <v>8450</v>
      </c>
      <c r="AB135" s="3">
        <f t="shared" si="2"/>
        <v>202800</v>
      </c>
      <c r="AC135" s="3">
        <v>5</v>
      </c>
      <c r="AD135" s="51"/>
    </row>
    <row r="136" spans="2:30">
      <c r="B136" s="48"/>
      <c r="C136" s="1" t="s">
        <v>7</v>
      </c>
      <c r="D136" s="2">
        <v>8450</v>
      </c>
      <c r="E136" s="2">
        <v>8450</v>
      </c>
      <c r="F136" s="2">
        <v>8450</v>
      </c>
      <c r="G136" s="2">
        <v>8450</v>
      </c>
      <c r="H136" s="2">
        <v>8450</v>
      </c>
      <c r="I136" s="2">
        <v>8450</v>
      </c>
      <c r="J136" s="2">
        <v>8450</v>
      </c>
      <c r="K136" s="2">
        <v>8450</v>
      </c>
      <c r="L136" s="2">
        <v>8450</v>
      </c>
      <c r="M136" s="2">
        <v>8450</v>
      </c>
      <c r="N136" s="2">
        <v>8450</v>
      </c>
      <c r="O136" s="2">
        <v>8450</v>
      </c>
      <c r="P136" s="2">
        <v>8450</v>
      </c>
      <c r="Q136" s="2">
        <v>8450</v>
      </c>
      <c r="R136" s="2">
        <v>8450</v>
      </c>
      <c r="S136" s="2">
        <v>8450</v>
      </c>
      <c r="T136" s="2">
        <v>8450</v>
      </c>
      <c r="U136" s="2">
        <v>8450</v>
      </c>
      <c r="V136" s="2">
        <v>8450</v>
      </c>
      <c r="W136" s="2">
        <v>8450</v>
      </c>
      <c r="X136" s="2">
        <v>8450</v>
      </c>
      <c r="Y136" s="2">
        <v>8450</v>
      </c>
      <c r="Z136" s="2">
        <v>8450</v>
      </c>
      <c r="AA136" s="12">
        <v>8450</v>
      </c>
      <c r="AB136" s="3">
        <f t="shared" si="2"/>
        <v>202800</v>
      </c>
      <c r="AC136" s="3">
        <v>5</v>
      </c>
      <c r="AD136" s="51"/>
    </row>
    <row r="137" spans="2:30" ht="15" thickBot="1">
      <c r="B137" s="49"/>
      <c r="C137" s="9" t="s">
        <v>8</v>
      </c>
      <c r="D137" s="10">
        <v>8450</v>
      </c>
      <c r="E137" s="10">
        <v>8450</v>
      </c>
      <c r="F137" s="10">
        <v>8450</v>
      </c>
      <c r="G137" s="10">
        <v>8450</v>
      </c>
      <c r="H137" s="10">
        <v>8450</v>
      </c>
      <c r="I137" s="10">
        <v>8450</v>
      </c>
      <c r="J137" s="10">
        <v>8450</v>
      </c>
      <c r="K137" s="10">
        <v>8450</v>
      </c>
      <c r="L137" s="10">
        <v>8450</v>
      </c>
      <c r="M137" s="10">
        <v>8450</v>
      </c>
      <c r="N137" s="10">
        <v>8450</v>
      </c>
      <c r="O137" s="10">
        <v>8450</v>
      </c>
      <c r="P137" s="10">
        <v>8450</v>
      </c>
      <c r="Q137" s="10">
        <v>8450</v>
      </c>
      <c r="R137" s="10">
        <v>8450</v>
      </c>
      <c r="S137" s="10">
        <v>8450</v>
      </c>
      <c r="T137" s="10">
        <v>8450</v>
      </c>
      <c r="U137" s="10">
        <v>8450</v>
      </c>
      <c r="V137" s="10">
        <v>8450</v>
      </c>
      <c r="W137" s="10">
        <v>8450</v>
      </c>
      <c r="X137" s="10">
        <v>8450</v>
      </c>
      <c r="Y137" s="10">
        <v>8450</v>
      </c>
      <c r="Z137" s="10">
        <v>8450</v>
      </c>
      <c r="AA137" s="13">
        <v>8450</v>
      </c>
      <c r="AB137" s="6">
        <f t="shared" si="2"/>
        <v>202800</v>
      </c>
      <c r="AC137" s="6">
        <v>0</v>
      </c>
      <c r="AD137" s="52"/>
    </row>
    <row r="138" spans="2:30">
      <c r="B138" s="47">
        <v>47392</v>
      </c>
      <c r="C138" s="8" t="s">
        <v>5</v>
      </c>
      <c r="D138" s="7">
        <v>8450</v>
      </c>
      <c r="E138" s="7">
        <v>8450</v>
      </c>
      <c r="F138" s="7">
        <v>8450</v>
      </c>
      <c r="G138" s="7">
        <v>8450</v>
      </c>
      <c r="H138" s="7">
        <v>8450</v>
      </c>
      <c r="I138" s="7">
        <v>8450</v>
      </c>
      <c r="J138" s="7">
        <v>8450</v>
      </c>
      <c r="K138" s="7">
        <v>8450</v>
      </c>
      <c r="L138" s="7">
        <v>8450</v>
      </c>
      <c r="M138" s="7">
        <v>8450</v>
      </c>
      <c r="N138" s="7">
        <v>8450</v>
      </c>
      <c r="O138" s="7">
        <v>8450</v>
      </c>
      <c r="P138" s="7">
        <v>8450</v>
      </c>
      <c r="Q138" s="7">
        <v>8450</v>
      </c>
      <c r="R138" s="7">
        <v>8450</v>
      </c>
      <c r="S138" s="7">
        <v>8450</v>
      </c>
      <c r="T138" s="7">
        <v>8450</v>
      </c>
      <c r="U138" s="7">
        <v>8450</v>
      </c>
      <c r="V138" s="7">
        <v>8450</v>
      </c>
      <c r="W138" s="7">
        <v>8450</v>
      </c>
      <c r="X138" s="7">
        <v>8450</v>
      </c>
      <c r="Y138" s="7">
        <v>8450</v>
      </c>
      <c r="Z138" s="7">
        <v>8450</v>
      </c>
      <c r="AA138" s="11">
        <v>8450</v>
      </c>
      <c r="AB138" s="5">
        <f t="shared" si="2"/>
        <v>202800</v>
      </c>
      <c r="AC138" s="5">
        <v>22</v>
      </c>
      <c r="AD138" s="50">
        <f>(AB138*AC138)+(AB139*AC139)+(AB140*AC140)+(AB141*AC141)</f>
        <v>6286800</v>
      </c>
    </row>
    <row r="139" spans="2:30">
      <c r="B139" s="48"/>
      <c r="C139" s="1" t="s">
        <v>6</v>
      </c>
      <c r="D139" s="2">
        <v>8450</v>
      </c>
      <c r="E139" s="2">
        <v>8450</v>
      </c>
      <c r="F139" s="2">
        <v>8450</v>
      </c>
      <c r="G139" s="2">
        <v>8450</v>
      </c>
      <c r="H139" s="2">
        <v>8450</v>
      </c>
      <c r="I139" s="2">
        <v>8450</v>
      </c>
      <c r="J139" s="2">
        <v>8450</v>
      </c>
      <c r="K139" s="2">
        <v>8450</v>
      </c>
      <c r="L139" s="2">
        <v>8450</v>
      </c>
      <c r="M139" s="2">
        <v>8450</v>
      </c>
      <c r="N139" s="2">
        <v>8450</v>
      </c>
      <c r="O139" s="2">
        <v>8450</v>
      </c>
      <c r="P139" s="2">
        <v>8450</v>
      </c>
      <c r="Q139" s="2">
        <v>8450</v>
      </c>
      <c r="R139" s="2">
        <v>8450</v>
      </c>
      <c r="S139" s="2">
        <v>8450</v>
      </c>
      <c r="T139" s="2">
        <v>8450</v>
      </c>
      <c r="U139" s="2">
        <v>8450</v>
      </c>
      <c r="V139" s="2">
        <v>8450</v>
      </c>
      <c r="W139" s="2">
        <v>8450</v>
      </c>
      <c r="X139" s="2">
        <v>8450</v>
      </c>
      <c r="Y139" s="2">
        <v>8450</v>
      </c>
      <c r="Z139" s="2">
        <v>8450</v>
      </c>
      <c r="AA139" s="12">
        <v>8450</v>
      </c>
      <c r="AB139" s="3">
        <f t="shared" si="2"/>
        <v>202800</v>
      </c>
      <c r="AC139" s="3">
        <v>4</v>
      </c>
      <c r="AD139" s="51"/>
    </row>
    <row r="140" spans="2:30">
      <c r="B140" s="48"/>
      <c r="C140" s="1" t="s">
        <v>7</v>
      </c>
      <c r="D140" s="2">
        <v>8450</v>
      </c>
      <c r="E140" s="2">
        <v>8450</v>
      </c>
      <c r="F140" s="2">
        <v>8450</v>
      </c>
      <c r="G140" s="2">
        <v>8450</v>
      </c>
      <c r="H140" s="2">
        <v>8450</v>
      </c>
      <c r="I140" s="2">
        <v>8450</v>
      </c>
      <c r="J140" s="2">
        <v>8450</v>
      </c>
      <c r="K140" s="2">
        <v>8450</v>
      </c>
      <c r="L140" s="2">
        <v>8450</v>
      </c>
      <c r="M140" s="2">
        <v>8450</v>
      </c>
      <c r="N140" s="2">
        <v>8450</v>
      </c>
      <c r="O140" s="2">
        <v>8450</v>
      </c>
      <c r="P140" s="2">
        <v>8450</v>
      </c>
      <c r="Q140" s="2">
        <v>8450</v>
      </c>
      <c r="R140" s="2">
        <v>8450</v>
      </c>
      <c r="S140" s="2">
        <v>8450</v>
      </c>
      <c r="T140" s="2">
        <v>8450</v>
      </c>
      <c r="U140" s="2">
        <v>8450</v>
      </c>
      <c r="V140" s="2">
        <v>8450</v>
      </c>
      <c r="W140" s="2">
        <v>8450</v>
      </c>
      <c r="X140" s="2">
        <v>8450</v>
      </c>
      <c r="Y140" s="2">
        <v>8450</v>
      </c>
      <c r="Z140" s="2">
        <v>8450</v>
      </c>
      <c r="AA140" s="12">
        <v>8450</v>
      </c>
      <c r="AB140" s="3">
        <f t="shared" si="2"/>
        <v>202800</v>
      </c>
      <c r="AC140" s="3">
        <v>4</v>
      </c>
      <c r="AD140" s="51"/>
    </row>
    <row r="141" spans="2:30" ht="15" thickBot="1">
      <c r="B141" s="49"/>
      <c r="C141" s="9" t="s">
        <v>8</v>
      </c>
      <c r="D141" s="10">
        <v>8450</v>
      </c>
      <c r="E141" s="10">
        <v>8450</v>
      </c>
      <c r="F141" s="10">
        <v>8450</v>
      </c>
      <c r="G141" s="10">
        <v>8450</v>
      </c>
      <c r="H141" s="10">
        <v>8450</v>
      </c>
      <c r="I141" s="10">
        <v>8450</v>
      </c>
      <c r="J141" s="10">
        <v>8450</v>
      </c>
      <c r="K141" s="10">
        <v>8450</v>
      </c>
      <c r="L141" s="10">
        <v>8450</v>
      </c>
      <c r="M141" s="10">
        <v>8450</v>
      </c>
      <c r="N141" s="10">
        <v>8450</v>
      </c>
      <c r="O141" s="10">
        <v>8450</v>
      </c>
      <c r="P141" s="10">
        <v>8450</v>
      </c>
      <c r="Q141" s="10">
        <v>8450</v>
      </c>
      <c r="R141" s="10">
        <v>8450</v>
      </c>
      <c r="S141" s="10">
        <v>8450</v>
      </c>
      <c r="T141" s="10">
        <v>8450</v>
      </c>
      <c r="U141" s="10">
        <v>8450</v>
      </c>
      <c r="V141" s="10">
        <v>8450</v>
      </c>
      <c r="W141" s="10">
        <v>8450</v>
      </c>
      <c r="X141" s="10">
        <v>8450</v>
      </c>
      <c r="Y141" s="10">
        <v>8450</v>
      </c>
      <c r="Z141" s="10">
        <v>8450</v>
      </c>
      <c r="AA141" s="13">
        <v>8450</v>
      </c>
      <c r="AB141" s="6">
        <f t="shared" si="2"/>
        <v>202800</v>
      </c>
      <c r="AC141" s="6">
        <v>1</v>
      </c>
      <c r="AD141" s="52"/>
    </row>
    <row r="142" spans="2:30">
      <c r="B142" s="47">
        <v>47423</v>
      </c>
      <c r="C142" s="8" t="s">
        <v>5</v>
      </c>
      <c r="D142" s="7">
        <v>8450</v>
      </c>
      <c r="E142" s="7">
        <v>8450</v>
      </c>
      <c r="F142" s="7">
        <v>8450</v>
      </c>
      <c r="G142" s="7">
        <v>8450</v>
      </c>
      <c r="H142" s="7">
        <v>8450</v>
      </c>
      <c r="I142" s="7">
        <v>8450</v>
      </c>
      <c r="J142" s="7">
        <v>8450</v>
      </c>
      <c r="K142" s="7">
        <v>8450</v>
      </c>
      <c r="L142" s="7">
        <v>8450</v>
      </c>
      <c r="M142" s="7">
        <v>8450</v>
      </c>
      <c r="N142" s="7">
        <v>8450</v>
      </c>
      <c r="O142" s="7">
        <v>8450</v>
      </c>
      <c r="P142" s="7">
        <v>8450</v>
      </c>
      <c r="Q142" s="7">
        <v>8450</v>
      </c>
      <c r="R142" s="7">
        <v>8450</v>
      </c>
      <c r="S142" s="7">
        <v>8450</v>
      </c>
      <c r="T142" s="7">
        <v>8450</v>
      </c>
      <c r="U142" s="7">
        <v>8450</v>
      </c>
      <c r="V142" s="7">
        <v>8450</v>
      </c>
      <c r="W142" s="7">
        <v>8450</v>
      </c>
      <c r="X142" s="7">
        <v>8450</v>
      </c>
      <c r="Y142" s="7">
        <v>8450</v>
      </c>
      <c r="Z142" s="7">
        <v>8450</v>
      </c>
      <c r="AA142" s="11">
        <v>8450</v>
      </c>
      <c r="AB142" s="5">
        <f t="shared" si="2"/>
        <v>202800</v>
      </c>
      <c r="AC142" s="5">
        <v>20</v>
      </c>
      <c r="AD142" s="50">
        <f>(AB142*AC142)+(AB143*AC143)+(AB144*AC144)+(AB145*AC145)</f>
        <v>6084000</v>
      </c>
    </row>
    <row r="143" spans="2:30">
      <c r="B143" s="48"/>
      <c r="C143" s="1" t="s">
        <v>6</v>
      </c>
      <c r="D143" s="2">
        <v>8450</v>
      </c>
      <c r="E143" s="2">
        <v>8450</v>
      </c>
      <c r="F143" s="2">
        <v>8450</v>
      </c>
      <c r="G143" s="2">
        <v>8450</v>
      </c>
      <c r="H143" s="2">
        <v>8450</v>
      </c>
      <c r="I143" s="2">
        <v>8450</v>
      </c>
      <c r="J143" s="2">
        <v>8450</v>
      </c>
      <c r="K143" s="2">
        <v>8450</v>
      </c>
      <c r="L143" s="2">
        <v>8450</v>
      </c>
      <c r="M143" s="2">
        <v>8450</v>
      </c>
      <c r="N143" s="2">
        <v>8450</v>
      </c>
      <c r="O143" s="2">
        <v>8450</v>
      </c>
      <c r="P143" s="2">
        <v>8450</v>
      </c>
      <c r="Q143" s="2">
        <v>8450</v>
      </c>
      <c r="R143" s="2">
        <v>8450</v>
      </c>
      <c r="S143" s="2">
        <v>8450</v>
      </c>
      <c r="T143" s="2">
        <v>8450</v>
      </c>
      <c r="U143" s="2">
        <v>8450</v>
      </c>
      <c r="V143" s="2">
        <v>8450</v>
      </c>
      <c r="W143" s="2">
        <v>8450</v>
      </c>
      <c r="X143" s="2">
        <v>8450</v>
      </c>
      <c r="Y143" s="2">
        <v>8450</v>
      </c>
      <c r="Z143" s="2">
        <v>8450</v>
      </c>
      <c r="AA143" s="12">
        <v>8450</v>
      </c>
      <c r="AB143" s="3">
        <f t="shared" si="2"/>
        <v>202800</v>
      </c>
      <c r="AC143" s="3">
        <v>4</v>
      </c>
      <c r="AD143" s="51"/>
    </row>
    <row r="144" spans="2:30">
      <c r="B144" s="48"/>
      <c r="C144" s="1" t="s">
        <v>7</v>
      </c>
      <c r="D144" s="2">
        <v>8450</v>
      </c>
      <c r="E144" s="2">
        <v>8450</v>
      </c>
      <c r="F144" s="2">
        <v>8450</v>
      </c>
      <c r="G144" s="2">
        <v>8450</v>
      </c>
      <c r="H144" s="2">
        <v>8450</v>
      </c>
      <c r="I144" s="2">
        <v>8450</v>
      </c>
      <c r="J144" s="2">
        <v>8450</v>
      </c>
      <c r="K144" s="2">
        <v>8450</v>
      </c>
      <c r="L144" s="2">
        <v>8450</v>
      </c>
      <c r="M144" s="2">
        <v>8450</v>
      </c>
      <c r="N144" s="2">
        <v>8450</v>
      </c>
      <c r="O144" s="2">
        <v>8450</v>
      </c>
      <c r="P144" s="2">
        <v>8450</v>
      </c>
      <c r="Q144" s="2">
        <v>8450</v>
      </c>
      <c r="R144" s="2">
        <v>8450</v>
      </c>
      <c r="S144" s="2">
        <v>8450</v>
      </c>
      <c r="T144" s="2">
        <v>8450</v>
      </c>
      <c r="U144" s="2">
        <v>8450</v>
      </c>
      <c r="V144" s="2">
        <v>8450</v>
      </c>
      <c r="W144" s="2">
        <v>8450</v>
      </c>
      <c r="X144" s="2">
        <v>8450</v>
      </c>
      <c r="Y144" s="2">
        <v>8450</v>
      </c>
      <c r="Z144" s="2">
        <v>8450</v>
      </c>
      <c r="AA144" s="12">
        <v>8450</v>
      </c>
      <c r="AB144" s="3">
        <f t="shared" si="2"/>
        <v>202800</v>
      </c>
      <c r="AC144" s="3">
        <v>4</v>
      </c>
      <c r="AD144" s="51"/>
    </row>
    <row r="145" spans="2:30" ht="15" thickBot="1">
      <c r="B145" s="49"/>
      <c r="C145" s="9" t="s">
        <v>8</v>
      </c>
      <c r="D145" s="10">
        <v>8450</v>
      </c>
      <c r="E145" s="10">
        <v>8450</v>
      </c>
      <c r="F145" s="10">
        <v>8450</v>
      </c>
      <c r="G145" s="10">
        <v>8450</v>
      </c>
      <c r="H145" s="10">
        <v>8450</v>
      </c>
      <c r="I145" s="10">
        <v>8450</v>
      </c>
      <c r="J145" s="10">
        <v>8450</v>
      </c>
      <c r="K145" s="10">
        <v>8450</v>
      </c>
      <c r="L145" s="10">
        <v>8450</v>
      </c>
      <c r="M145" s="10">
        <v>8450</v>
      </c>
      <c r="N145" s="10">
        <v>8450</v>
      </c>
      <c r="O145" s="10">
        <v>8450</v>
      </c>
      <c r="P145" s="10">
        <v>8450</v>
      </c>
      <c r="Q145" s="10">
        <v>8450</v>
      </c>
      <c r="R145" s="10">
        <v>8450</v>
      </c>
      <c r="S145" s="10">
        <v>8450</v>
      </c>
      <c r="T145" s="10">
        <v>8450</v>
      </c>
      <c r="U145" s="10">
        <v>8450</v>
      </c>
      <c r="V145" s="10">
        <v>8450</v>
      </c>
      <c r="W145" s="10">
        <v>8450</v>
      </c>
      <c r="X145" s="10">
        <v>8450</v>
      </c>
      <c r="Y145" s="10">
        <v>8450</v>
      </c>
      <c r="Z145" s="10">
        <v>8450</v>
      </c>
      <c r="AA145" s="13">
        <v>8450</v>
      </c>
      <c r="AB145" s="6">
        <f t="shared" si="2"/>
        <v>202800</v>
      </c>
      <c r="AC145" s="6">
        <v>2</v>
      </c>
      <c r="AD145" s="52"/>
    </row>
    <row r="146" spans="2:30">
      <c r="B146" s="47">
        <v>47453</v>
      </c>
      <c r="C146" s="8" t="s">
        <v>5</v>
      </c>
      <c r="D146" s="7">
        <v>8450</v>
      </c>
      <c r="E146" s="7">
        <v>8450</v>
      </c>
      <c r="F146" s="7">
        <v>8450</v>
      </c>
      <c r="G146" s="7">
        <v>8450</v>
      </c>
      <c r="H146" s="7">
        <v>8450</v>
      </c>
      <c r="I146" s="7">
        <v>8450</v>
      </c>
      <c r="J146" s="7">
        <v>8450</v>
      </c>
      <c r="K146" s="7">
        <v>8450</v>
      </c>
      <c r="L146" s="7">
        <v>8450</v>
      </c>
      <c r="M146" s="7">
        <v>8450</v>
      </c>
      <c r="N146" s="7">
        <v>8450</v>
      </c>
      <c r="O146" s="7">
        <v>8450</v>
      </c>
      <c r="P146" s="7">
        <v>8450</v>
      </c>
      <c r="Q146" s="7">
        <v>8450</v>
      </c>
      <c r="R146" s="7">
        <v>8450</v>
      </c>
      <c r="S146" s="7">
        <v>8450</v>
      </c>
      <c r="T146" s="7">
        <v>8450</v>
      </c>
      <c r="U146" s="7">
        <v>8450</v>
      </c>
      <c r="V146" s="7">
        <v>8450</v>
      </c>
      <c r="W146" s="7">
        <v>8450</v>
      </c>
      <c r="X146" s="7">
        <v>8450</v>
      </c>
      <c r="Y146" s="7">
        <v>8450</v>
      </c>
      <c r="Z146" s="7">
        <v>8450</v>
      </c>
      <c r="AA146" s="11">
        <v>8450</v>
      </c>
      <c r="AB146" s="5">
        <f t="shared" si="2"/>
        <v>202800</v>
      </c>
      <c r="AC146" s="5">
        <v>20</v>
      </c>
      <c r="AD146" s="50">
        <f>(AB146*AC146)+(AB147*AC147)+(AB148*AC148)+(AB149*AC149)</f>
        <v>6286800</v>
      </c>
    </row>
    <row r="147" spans="2:30">
      <c r="B147" s="48"/>
      <c r="C147" s="1" t="s">
        <v>6</v>
      </c>
      <c r="D147" s="2">
        <v>8450</v>
      </c>
      <c r="E147" s="2">
        <v>8450</v>
      </c>
      <c r="F147" s="2">
        <v>8450</v>
      </c>
      <c r="G147" s="2">
        <v>8450</v>
      </c>
      <c r="H147" s="2">
        <v>8450</v>
      </c>
      <c r="I147" s="2">
        <v>8450</v>
      </c>
      <c r="J147" s="2">
        <v>8450</v>
      </c>
      <c r="K147" s="2">
        <v>8450</v>
      </c>
      <c r="L147" s="2">
        <v>8450</v>
      </c>
      <c r="M147" s="2">
        <v>8450</v>
      </c>
      <c r="N147" s="2">
        <v>8450</v>
      </c>
      <c r="O147" s="2">
        <v>8450</v>
      </c>
      <c r="P147" s="2">
        <v>8450</v>
      </c>
      <c r="Q147" s="2">
        <v>8450</v>
      </c>
      <c r="R147" s="2">
        <v>8450</v>
      </c>
      <c r="S147" s="2">
        <v>8450</v>
      </c>
      <c r="T147" s="2">
        <v>8450</v>
      </c>
      <c r="U147" s="2">
        <v>8450</v>
      </c>
      <c r="V147" s="2">
        <v>8450</v>
      </c>
      <c r="W147" s="2">
        <v>8450</v>
      </c>
      <c r="X147" s="2">
        <v>8450</v>
      </c>
      <c r="Y147" s="2">
        <v>8450</v>
      </c>
      <c r="Z147" s="2">
        <v>8450</v>
      </c>
      <c r="AA147" s="12">
        <v>8450</v>
      </c>
      <c r="AB147" s="3">
        <f t="shared" si="2"/>
        <v>202800</v>
      </c>
      <c r="AC147" s="3">
        <v>4</v>
      </c>
      <c r="AD147" s="51"/>
    </row>
    <row r="148" spans="2:30">
      <c r="B148" s="48"/>
      <c r="C148" s="1" t="s">
        <v>7</v>
      </c>
      <c r="D148" s="2">
        <v>8450</v>
      </c>
      <c r="E148" s="2">
        <v>8450</v>
      </c>
      <c r="F148" s="2">
        <v>8450</v>
      </c>
      <c r="G148" s="2">
        <v>8450</v>
      </c>
      <c r="H148" s="2">
        <v>8450</v>
      </c>
      <c r="I148" s="2">
        <v>8450</v>
      </c>
      <c r="J148" s="2">
        <v>8450</v>
      </c>
      <c r="K148" s="2">
        <v>8450</v>
      </c>
      <c r="L148" s="2">
        <v>8450</v>
      </c>
      <c r="M148" s="2">
        <v>8450</v>
      </c>
      <c r="N148" s="2">
        <v>8450</v>
      </c>
      <c r="O148" s="2">
        <v>8450</v>
      </c>
      <c r="P148" s="2">
        <v>8450</v>
      </c>
      <c r="Q148" s="2">
        <v>8450</v>
      </c>
      <c r="R148" s="2">
        <v>8450</v>
      </c>
      <c r="S148" s="2">
        <v>8450</v>
      </c>
      <c r="T148" s="2">
        <v>8450</v>
      </c>
      <c r="U148" s="2">
        <v>8450</v>
      </c>
      <c r="V148" s="2">
        <v>8450</v>
      </c>
      <c r="W148" s="2">
        <v>8450</v>
      </c>
      <c r="X148" s="2">
        <v>8450</v>
      </c>
      <c r="Y148" s="2">
        <v>8450</v>
      </c>
      <c r="Z148" s="2">
        <v>8450</v>
      </c>
      <c r="AA148" s="12">
        <v>8450</v>
      </c>
      <c r="AB148" s="3">
        <f t="shared" si="2"/>
        <v>202800</v>
      </c>
      <c r="AC148" s="3">
        <v>5</v>
      </c>
      <c r="AD148" s="51"/>
    </row>
    <row r="149" spans="2:30" ht="15" thickBot="1">
      <c r="B149" s="49"/>
      <c r="C149" s="9" t="s">
        <v>8</v>
      </c>
      <c r="D149" s="10">
        <v>8450</v>
      </c>
      <c r="E149" s="10">
        <v>8450</v>
      </c>
      <c r="F149" s="10">
        <v>8450</v>
      </c>
      <c r="G149" s="10">
        <v>8450</v>
      </c>
      <c r="H149" s="10">
        <v>8450</v>
      </c>
      <c r="I149" s="10">
        <v>8450</v>
      </c>
      <c r="J149" s="10">
        <v>8450</v>
      </c>
      <c r="K149" s="10">
        <v>8450</v>
      </c>
      <c r="L149" s="10">
        <v>8450</v>
      </c>
      <c r="M149" s="10">
        <v>8450</v>
      </c>
      <c r="N149" s="10">
        <v>8450</v>
      </c>
      <c r="O149" s="10">
        <v>8450</v>
      </c>
      <c r="P149" s="10">
        <v>8450</v>
      </c>
      <c r="Q149" s="10">
        <v>8450</v>
      </c>
      <c r="R149" s="10">
        <v>8450</v>
      </c>
      <c r="S149" s="10">
        <v>8450</v>
      </c>
      <c r="T149" s="10">
        <v>8450</v>
      </c>
      <c r="U149" s="10">
        <v>8450</v>
      </c>
      <c r="V149" s="10">
        <v>8450</v>
      </c>
      <c r="W149" s="10">
        <v>8450</v>
      </c>
      <c r="X149" s="10">
        <v>8450</v>
      </c>
      <c r="Y149" s="10">
        <v>8450</v>
      </c>
      <c r="Z149" s="10">
        <v>8450</v>
      </c>
      <c r="AA149" s="13">
        <v>8450</v>
      </c>
      <c r="AB149" s="6">
        <f t="shared" si="2"/>
        <v>202800</v>
      </c>
      <c r="AC149" s="6">
        <v>2</v>
      </c>
      <c r="AD149" s="52"/>
    </row>
    <row r="150" spans="2:30">
      <c r="B150" s="47">
        <v>47484</v>
      </c>
      <c r="C150" s="8" t="s">
        <v>5</v>
      </c>
      <c r="D150" s="7">
        <v>8400</v>
      </c>
      <c r="E150" s="7">
        <v>8400</v>
      </c>
      <c r="F150" s="7">
        <v>8400</v>
      </c>
      <c r="G150" s="7">
        <v>8400</v>
      </c>
      <c r="H150" s="7">
        <v>8400</v>
      </c>
      <c r="I150" s="7">
        <v>8400</v>
      </c>
      <c r="J150" s="7">
        <v>8400</v>
      </c>
      <c r="K150" s="7">
        <v>8400</v>
      </c>
      <c r="L150" s="7">
        <v>8400</v>
      </c>
      <c r="M150" s="7">
        <v>8400</v>
      </c>
      <c r="N150" s="7">
        <v>8400</v>
      </c>
      <c r="O150" s="7">
        <v>8400</v>
      </c>
      <c r="P150" s="7">
        <v>8400</v>
      </c>
      <c r="Q150" s="7">
        <v>8400</v>
      </c>
      <c r="R150" s="7">
        <v>8400</v>
      </c>
      <c r="S150" s="7">
        <v>8400</v>
      </c>
      <c r="T150" s="7">
        <v>8400</v>
      </c>
      <c r="U150" s="7">
        <v>8400</v>
      </c>
      <c r="V150" s="7">
        <v>8400</v>
      </c>
      <c r="W150" s="7">
        <v>8400</v>
      </c>
      <c r="X150" s="7">
        <v>8400</v>
      </c>
      <c r="Y150" s="7">
        <v>8400</v>
      </c>
      <c r="Z150" s="7">
        <v>8400</v>
      </c>
      <c r="AA150" s="11">
        <v>8400</v>
      </c>
      <c r="AB150" s="5">
        <f t="shared" ref="AB150:AB197" si="3">(SUM(D150:AA150))</f>
        <v>201600</v>
      </c>
      <c r="AC150" s="5">
        <v>21</v>
      </c>
      <c r="AD150" s="50">
        <f>(AB150*AC150)+(AB151*AC151)+(AB152*AC152)+(AB153*AC153)</f>
        <v>6249600</v>
      </c>
    </row>
    <row r="151" spans="2:30">
      <c r="B151" s="48"/>
      <c r="C151" s="1" t="s">
        <v>6</v>
      </c>
      <c r="D151" s="2">
        <v>8400</v>
      </c>
      <c r="E151" s="2">
        <v>8400</v>
      </c>
      <c r="F151" s="2">
        <v>8400</v>
      </c>
      <c r="G151" s="2">
        <v>8400</v>
      </c>
      <c r="H151" s="2">
        <v>8400</v>
      </c>
      <c r="I151" s="2">
        <v>8400</v>
      </c>
      <c r="J151" s="2">
        <v>8400</v>
      </c>
      <c r="K151" s="2">
        <v>8400</v>
      </c>
      <c r="L151" s="2">
        <v>8400</v>
      </c>
      <c r="M151" s="2">
        <v>8400</v>
      </c>
      <c r="N151" s="2">
        <v>8400</v>
      </c>
      <c r="O151" s="2">
        <v>8400</v>
      </c>
      <c r="P151" s="2">
        <v>8400</v>
      </c>
      <c r="Q151" s="2">
        <v>8400</v>
      </c>
      <c r="R151" s="2">
        <v>8400</v>
      </c>
      <c r="S151" s="2">
        <v>8400</v>
      </c>
      <c r="T151" s="2">
        <v>8400</v>
      </c>
      <c r="U151" s="2">
        <v>8400</v>
      </c>
      <c r="V151" s="2">
        <v>8400</v>
      </c>
      <c r="W151" s="2">
        <v>8400</v>
      </c>
      <c r="X151" s="2">
        <v>8400</v>
      </c>
      <c r="Y151" s="2">
        <v>8400</v>
      </c>
      <c r="Z151" s="2">
        <v>8400</v>
      </c>
      <c r="AA151" s="12">
        <v>8400</v>
      </c>
      <c r="AB151" s="3">
        <f t="shared" si="3"/>
        <v>201600</v>
      </c>
      <c r="AC151" s="3">
        <v>4</v>
      </c>
      <c r="AD151" s="51"/>
    </row>
    <row r="152" spans="2:30">
      <c r="B152" s="48"/>
      <c r="C152" s="1" t="s">
        <v>7</v>
      </c>
      <c r="D152" s="2">
        <v>8400</v>
      </c>
      <c r="E152" s="2">
        <v>8400</v>
      </c>
      <c r="F152" s="2">
        <v>8400</v>
      </c>
      <c r="G152" s="2">
        <v>8400</v>
      </c>
      <c r="H152" s="2">
        <v>8400</v>
      </c>
      <c r="I152" s="2">
        <v>8400</v>
      </c>
      <c r="J152" s="2">
        <v>8400</v>
      </c>
      <c r="K152" s="2">
        <v>8400</v>
      </c>
      <c r="L152" s="2">
        <v>8400</v>
      </c>
      <c r="M152" s="2">
        <v>8400</v>
      </c>
      <c r="N152" s="2">
        <v>8400</v>
      </c>
      <c r="O152" s="2">
        <v>8400</v>
      </c>
      <c r="P152" s="2">
        <v>8400</v>
      </c>
      <c r="Q152" s="2">
        <v>8400</v>
      </c>
      <c r="R152" s="2">
        <v>8400</v>
      </c>
      <c r="S152" s="2">
        <v>8400</v>
      </c>
      <c r="T152" s="2">
        <v>8400</v>
      </c>
      <c r="U152" s="2">
        <v>8400</v>
      </c>
      <c r="V152" s="2">
        <v>8400</v>
      </c>
      <c r="W152" s="2">
        <v>8400</v>
      </c>
      <c r="X152" s="2">
        <v>8400</v>
      </c>
      <c r="Y152" s="2">
        <v>8400</v>
      </c>
      <c r="Z152" s="2">
        <v>8400</v>
      </c>
      <c r="AA152" s="12">
        <v>8400</v>
      </c>
      <c r="AB152" s="3">
        <f t="shared" si="3"/>
        <v>201600</v>
      </c>
      <c r="AC152" s="3">
        <v>4</v>
      </c>
      <c r="AD152" s="51"/>
    </row>
    <row r="153" spans="2:30" ht="15" thickBot="1">
      <c r="B153" s="49"/>
      <c r="C153" s="9" t="s">
        <v>8</v>
      </c>
      <c r="D153" s="10">
        <v>8400</v>
      </c>
      <c r="E153" s="10">
        <v>8400</v>
      </c>
      <c r="F153" s="10">
        <v>8400</v>
      </c>
      <c r="G153" s="10">
        <v>8400</v>
      </c>
      <c r="H153" s="10">
        <v>8400</v>
      </c>
      <c r="I153" s="10">
        <v>8400</v>
      </c>
      <c r="J153" s="10">
        <v>8400</v>
      </c>
      <c r="K153" s="10">
        <v>8400</v>
      </c>
      <c r="L153" s="10">
        <v>8400</v>
      </c>
      <c r="M153" s="10">
        <v>8400</v>
      </c>
      <c r="N153" s="10">
        <v>8400</v>
      </c>
      <c r="O153" s="10">
        <v>8400</v>
      </c>
      <c r="P153" s="10">
        <v>8400</v>
      </c>
      <c r="Q153" s="10">
        <v>8400</v>
      </c>
      <c r="R153" s="10">
        <v>8400</v>
      </c>
      <c r="S153" s="10">
        <v>8400</v>
      </c>
      <c r="T153" s="10">
        <v>8400</v>
      </c>
      <c r="U153" s="10">
        <v>8400</v>
      </c>
      <c r="V153" s="10">
        <v>8400</v>
      </c>
      <c r="W153" s="10">
        <v>8400</v>
      </c>
      <c r="X153" s="10">
        <v>8400</v>
      </c>
      <c r="Y153" s="10">
        <v>8400</v>
      </c>
      <c r="Z153" s="10">
        <v>8400</v>
      </c>
      <c r="AA153" s="13">
        <v>8400</v>
      </c>
      <c r="AB153" s="6">
        <f t="shared" si="3"/>
        <v>201600</v>
      </c>
      <c r="AC153" s="6">
        <v>2</v>
      </c>
      <c r="AD153" s="52"/>
    </row>
    <row r="154" spans="2:30">
      <c r="B154" s="47">
        <v>47515</v>
      </c>
      <c r="C154" s="8" t="s">
        <v>5</v>
      </c>
      <c r="D154" s="7">
        <v>8400</v>
      </c>
      <c r="E154" s="7">
        <v>8400</v>
      </c>
      <c r="F154" s="7">
        <v>8400</v>
      </c>
      <c r="G154" s="7">
        <v>8400</v>
      </c>
      <c r="H154" s="7">
        <v>8400</v>
      </c>
      <c r="I154" s="7">
        <v>8400</v>
      </c>
      <c r="J154" s="7">
        <v>8400</v>
      </c>
      <c r="K154" s="7">
        <v>8400</v>
      </c>
      <c r="L154" s="7">
        <v>8400</v>
      </c>
      <c r="M154" s="7">
        <v>8400</v>
      </c>
      <c r="N154" s="7">
        <v>8400</v>
      </c>
      <c r="O154" s="7">
        <v>8400</v>
      </c>
      <c r="P154" s="7">
        <v>8400</v>
      </c>
      <c r="Q154" s="7">
        <v>8400</v>
      </c>
      <c r="R154" s="7">
        <v>8400</v>
      </c>
      <c r="S154" s="7">
        <v>8400</v>
      </c>
      <c r="T154" s="7">
        <v>8400</v>
      </c>
      <c r="U154" s="7">
        <v>8400</v>
      </c>
      <c r="V154" s="7">
        <v>8400</v>
      </c>
      <c r="W154" s="7">
        <v>8400</v>
      </c>
      <c r="X154" s="7">
        <v>8400</v>
      </c>
      <c r="Y154" s="7">
        <v>8400</v>
      </c>
      <c r="Z154" s="7">
        <v>8400</v>
      </c>
      <c r="AA154" s="11">
        <v>8400</v>
      </c>
      <c r="AB154" s="5">
        <f t="shared" si="3"/>
        <v>201600</v>
      </c>
      <c r="AC154" s="5">
        <v>20</v>
      </c>
      <c r="AD154" s="50">
        <f>(AB154*AC154)+(AB155*AC155)+(AB156*AC156)+(AB157*AC157)</f>
        <v>5644800</v>
      </c>
    </row>
    <row r="155" spans="2:30">
      <c r="B155" s="48"/>
      <c r="C155" s="1" t="s">
        <v>6</v>
      </c>
      <c r="D155" s="2">
        <v>8400</v>
      </c>
      <c r="E155" s="2">
        <v>8400</v>
      </c>
      <c r="F155" s="2">
        <v>8400</v>
      </c>
      <c r="G155" s="2">
        <v>8400</v>
      </c>
      <c r="H155" s="2">
        <v>8400</v>
      </c>
      <c r="I155" s="2">
        <v>8400</v>
      </c>
      <c r="J155" s="2">
        <v>8400</v>
      </c>
      <c r="K155" s="2">
        <v>8400</v>
      </c>
      <c r="L155" s="2">
        <v>8400</v>
      </c>
      <c r="M155" s="2">
        <v>8400</v>
      </c>
      <c r="N155" s="2">
        <v>8400</v>
      </c>
      <c r="O155" s="2">
        <v>8400</v>
      </c>
      <c r="P155" s="2">
        <v>8400</v>
      </c>
      <c r="Q155" s="2">
        <v>8400</v>
      </c>
      <c r="R155" s="2">
        <v>8400</v>
      </c>
      <c r="S155" s="2">
        <v>8400</v>
      </c>
      <c r="T155" s="2">
        <v>8400</v>
      </c>
      <c r="U155" s="2">
        <v>8400</v>
      </c>
      <c r="V155" s="2">
        <v>8400</v>
      </c>
      <c r="W155" s="2">
        <v>8400</v>
      </c>
      <c r="X155" s="2">
        <v>8400</v>
      </c>
      <c r="Y155" s="2">
        <v>8400</v>
      </c>
      <c r="Z155" s="2">
        <v>8400</v>
      </c>
      <c r="AA155" s="12">
        <v>8400</v>
      </c>
      <c r="AB155" s="3">
        <f t="shared" si="3"/>
        <v>201600</v>
      </c>
      <c r="AC155" s="3">
        <v>4</v>
      </c>
      <c r="AD155" s="51"/>
    </row>
    <row r="156" spans="2:30">
      <c r="B156" s="48"/>
      <c r="C156" s="1" t="s">
        <v>7</v>
      </c>
      <c r="D156" s="2">
        <v>8400</v>
      </c>
      <c r="E156" s="2">
        <v>8400</v>
      </c>
      <c r="F156" s="2">
        <v>8400</v>
      </c>
      <c r="G156" s="2">
        <v>8400</v>
      </c>
      <c r="H156" s="2">
        <v>8400</v>
      </c>
      <c r="I156" s="2">
        <v>8400</v>
      </c>
      <c r="J156" s="2">
        <v>8400</v>
      </c>
      <c r="K156" s="2">
        <v>8400</v>
      </c>
      <c r="L156" s="2">
        <v>8400</v>
      </c>
      <c r="M156" s="2">
        <v>8400</v>
      </c>
      <c r="N156" s="2">
        <v>8400</v>
      </c>
      <c r="O156" s="2">
        <v>8400</v>
      </c>
      <c r="P156" s="2">
        <v>8400</v>
      </c>
      <c r="Q156" s="2">
        <v>8400</v>
      </c>
      <c r="R156" s="2">
        <v>8400</v>
      </c>
      <c r="S156" s="2">
        <v>8400</v>
      </c>
      <c r="T156" s="2">
        <v>8400</v>
      </c>
      <c r="U156" s="2">
        <v>8400</v>
      </c>
      <c r="V156" s="2">
        <v>8400</v>
      </c>
      <c r="W156" s="2">
        <v>8400</v>
      </c>
      <c r="X156" s="2">
        <v>8400</v>
      </c>
      <c r="Y156" s="2">
        <v>8400</v>
      </c>
      <c r="Z156" s="2">
        <v>8400</v>
      </c>
      <c r="AA156" s="12">
        <v>8400</v>
      </c>
      <c r="AB156" s="3">
        <f t="shared" si="3"/>
        <v>201600</v>
      </c>
      <c r="AC156" s="3">
        <v>4</v>
      </c>
      <c r="AD156" s="51"/>
    </row>
    <row r="157" spans="2:30" ht="15" thickBot="1">
      <c r="B157" s="49"/>
      <c r="C157" s="9" t="s">
        <v>8</v>
      </c>
      <c r="D157" s="10">
        <v>8400</v>
      </c>
      <c r="E157" s="10">
        <v>8400</v>
      </c>
      <c r="F157" s="10">
        <v>8400</v>
      </c>
      <c r="G157" s="10">
        <v>8400</v>
      </c>
      <c r="H157" s="10">
        <v>8400</v>
      </c>
      <c r="I157" s="10">
        <v>8400</v>
      </c>
      <c r="J157" s="10">
        <v>8400</v>
      </c>
      <c r="K157" s="10">
        <v>8400</v>
      </c>
      <c r="L157" s="10">
        <v>8400</v>
      </c>
      <c r="M157" s="10">
        <v>8400</v>
      </c>
      <c r="N157" s="10">
        <v>8400</v>
      </c>
      <c r="O157" s="10">
        <v>8400</v>
      </c>
      <c r="P157" s="10">
        <v>8400</v>
      </c>
      <c r="Q157" s="10">
        <v>8400</v>
      </c>
      <c r="R157" s="10">
        <v>8400</v>
      </c>
      <c r="S157" s="10">
        <v>8400</v>
      </c>
      <c r="T157" s="10">
        <v>8400</v>
      </c>
      <c r="U157" s="10">
        <v>8400</v>
      </c>
      <c r="V157" s="10">
        <v>8400</v>
      </c>
      <c r="W157" s="10">
        <v>8400</v>
      </c>
      <c r="X157" s="10">
        <v>8400</v>
      </c>
      <c r="Y157" s="10">
        <v>8400</v>
      </c>
      <c r="Z157" s="10">
        <v>8400</v>
      </c>
      <c r="AA157" s="13">
        <v>8400</v>
      </c>
      <c r="AB157" s="6">
        <f t="shared" si="3"/>
        <v>201600</v>
      </c>
      <c r="AC157" s="6">
        <v>0</v>
      </c>
      <c r="AD157" s="52"/>
    </row>
    <row r="158" spans="2:30">
      <c r="B158" s="47">
        <v>47543</v>
      </c>
      <c r="C158" s="8" t="s">
        <v>5</v>
      </c>
      <c r="D158" s="7">
        <v>8400</v>
      </c>
      <c r="E158" s="7">
        <v>8400</v>
      </c>
      <c r="F158" s="7">
        <v>8400</v>
      </c>
      <c r="G158" s="7">
        <v>8400</v>
      </c>
      <c r="H158" s="7">
        <v>8400</v>
      </c>
      <c r="I158" s="7">
        <v>8400</v>
      </c>
      <c r="J158" s="7">
        <v>8400</v>
      </c>
      <c r="K158" s="7">
        <v>8400</v>
      </c>
      <c r="L158" s="7">
        <v>8400</v>
      </c>
      <c r="M158" s="7">
        <v>8400</v>
      </c>
      <c r="N158" s="7">
        <v>8400</v>
      </c>
      <c r="O158" s="7">
        <v>8400</v>
      </c>
      <c r="P158" s="7">
        <v>8400</v>
      </c>
      <c r="Q158" s="7">
        <v>8400</v>
      </c>
      <c r="R158" s="7">
        <v>8400</v>
      </c>
      <c r="S158" s="7">
        <v>8400</v>
      </c>
      <c r="T158" s="7">
        <v>8400</v>
      </c>
      <c r="U158" s="7">
        <v>8400</v>
      </c>
      <c r="V158" s="7">
        <v>8400</v>
      </c>
      <c r="W158" s="7">
        <v>8400</v>
      </c>
      <c r="X158" s="7">
        <v>8400</v>
      </c>
      <c r="Y158" s="7">
        <v>8400</v>
      </c>
      <c r="Z158" s="7">
        <v>8400</v>
      </c>
      <c r="AA158" s="11">
        <v>8400</v>
      </c>
      <c r="AB158" s="5">
        <f t="shared" si="3"/>
        <v>201600</v>
      </c>
      <c r="AC158" s="5">
        <v>20</v>
      </c>
      <c r="AD158" s="50">
        <f>(AB158*AC158)+(AB159*AC159)+(AB160*AC160)+(AB161*AC161)</f>
        <v>6249600</v>
      </c>
    </row>
    <row r="159" spans="2:30">
      <c r="B159" s="48"/>
      <c r="C159" s="1" t="s">
        <v>6</v>
      </c>
      <c r="D159" s="2">
        <v>8400</v>
      </c>
      <c r="E159" s="2">
        <v>8400</v>
      </c>
      <c r="F159" s="2">
        <v>8400</v>
      </c>
      <c r="G159" s="2">
        <v>8400</v>
      </c>
      <c r="H159" s="2">
        <v>8400</v>
      </c>
      <c r="I159" s="2">
        <v>8400</v>
      </c>
      <c r="J159" s="2">
        <v>8400</v>
      </c>
      <c r="K159" s="2">
        <v>8400</v>
      </c>
      <c r="L159" s="2">
        <v>8400</v>
      </c>
      <c r="M159" s="2">
        <v>8400</v>
      </c>
      <c r="N159" s="2">
        <v>8400</v>
      </c>
      <c r="O159" s="2">
        <v>8400</v>
      </c>
      <c r="P159" s="2">
        <v>8400</v>
      </c>
      <c r="Q159" s="2">
        <v>8400</v>
      </c>
      <c r="R159" s="2">
        <v>8400</v>
      </c>
      <c r="S159" s="2">
        <v>8400</v>
      </c>
      <c r="T159" s="2">
        <v>8400</v>
      </c>
      <c r="U159" s="2">
        <v>8400</v>
      </c>
      <c r="V159" s="2">
        <v>8400</v>
      </c>
      <c r="W159" s="2">
        <v>8400</v>
      </c>
      <c r="X159" s="2">
        <v>8400</v>
      </c>
      <c r="Y159" s="2">
        <v>8400</v>
      </c>
      <c r="Z159" s="2">
        <v>8400</v>
      </c>
      <c r="AA159" s="12">
        <v>8400</v>
      </c>
      <c r="AB159" s="3">
        <f t="shared" si="3"/>
        <v>201600</v>
      </c>
      <c r="AC159" s="3">
        <v>5</v>
      </c>
      <c r="AD159" s="51"/>
    </row>
    <row r="160" spans="2:30">
      <c r="B160" s="48"/>
      <c r="C160" s="1" t="s">
        <v>7</v>
      </c>
      <c r="D160" s="2">
        <v>8400</v>
      </c>
      <c r="E160" s="2">
        <v>8400</v>
      </c>
      <c r="F160" s="2">
        <v>8400</v>
      </c>
      <c r="G160" s="2">
        <v>8400</v>
      </c>
      <c r="H160" s="2">
        <v>8400</v>
      </c>
      <c r="I160" s="2">
        <v>8400</v>
      </c>
      <c r="J160" s="2">
        <v>8400</v>
      </c>
      <c r="K160" s="2">
        <v>8400</v>
      </c>
      <c r="L160" s="2">
        <v>8400</v>
      </c>
      <c r="M160" s="2">
        <v>8400</v>
      </c>
      <c r="N160" s="2">
        <v>8400</v>
      </c>
      <c r="O160" s="2">
        <v>8400</v>
      </c>
      <c r="P160" s="2">
        <v>8400</v>
      </c>
      <c r="Q160" s="2">
        <v>8400</v>
      </c>
      <c r="R160" s="2">
        <v>8400</v>
      </c>
      <c r="S160" s="2">
        <v>8400</v>
      </c>
      <c r="T160" s="2">
        <v>8400</v>
      </c>
      <c r="U160" s="2">
        <v>8400</v>
      </c>
      <c r="V160" s="2">
        <v>8400</v>
      </c>
      <c r="W160" s="2">
        <v>8400</v>
      </c>
      <c r="X160" s="2">
        <v>8400</v>
      </c>
      <c r="Y160" s="2">
        <v>8400</v>
      </c>
      <c r="Z160" s="2">
        <v>8400</v>
      </c>
      <c r="AA160" s="12">
        <v>8400</v>
      </c>
      <c r="AB160" s="3">
        <f t="shared" si="3"/>
        <v>201600</v>
      </c>
      <c r="AC160" s="3">
        <v>5</v>
      </c>
      <c r="AD160" s="51"/>
    </row>
    <row r="161" spans="2:30" ht="15" thickBot="1">
      <c r="B161" s="49"/>
      <c r="C161" s="9" t="s">
        <v>8</v>
      </c>
      <c r="D161" s="10">
        <v>8400</v>
      </c>
      <c r="E161" s="10">
        <v>8400</v>
      </c>
      <c r="F161" s="10">
        <v>8400</v>
      </c>
      <c r="G161" s="10">
        <v>8400</v>
      </c>
      <c r="H161" s="10">
        <v>8400</v>
      </c>
      <c r="I161" s="10">
        <v>8400</v>
      </c>
      <c r="J161" s="10">
        <v>8400</v>
      </c>
      <c r="K161" s="10">
        <v>8400</v>
      </c>
      <c r="L161" s="10">
        <v>8400</v>
      </c>
      <c r="M161" s="10">
        <v>8400</v>
      </c>
      <c r="N161" s="10">
        <v>8400</v>
      </c>
      <c r="O161" s="10">
        <v>8400</v>
      </c>
      <c r="P161" s="10">
        <v>8400</v>
      </c>
      <c r="Q161" s="10">
        <v>8400</v>
      </c>
      <c r="R161" s="10">
        <v>8400</v>
      </c>
      <c r="S161" s="10">
        <v>8400</v>
      </c>
      <c r="T161" s="10">
        <v>8400</v>
      </c>
      <c r="U161" s="10">
        <v>8400</v>
      </c>
      <c r="V161" s="10">
        <v>8400</v>
      </c>
      <c r="W161" s="10">
        <v>8400</v>
      </c>
      <c r="X161" s="10">
        <v>8400</v>
      </c>
      <c r="Y161" s="10">
        <v>8400</v>
      </c>
      <c r="Z161" s="10">
        <v>8400</v>
      </c>
      <c r="AA161" s="13">
        <v>8400</v>
      </c>
      <c r="AB161" s="6">
        <f t="shared" si="3"/>
        <v>201600</v>
      </c>
      <c r="AC161" s="6">
        <v>1</v>
      </c>
      <c r="AD161" s="52"/>
    </row>
    <row r="162" spans="2:30">
      <c r="B162" s="47">
        <v>47574</v>
      </c>
      <c r="C162" s="8" t="s">
        <v>5</v>
      </c>
      <c r="D162" s="7">
        <v>8400</v>
      </c>
      <c r="E162" s="7">
        <v>8400</v>
      </c>
      <c r="F162" s="7">
        <v>8400</v>
      </c>
      <c r="G162" s="7">
        <v>8400</v>
      </c>
      <c r="H162" s="7">
        <v>8400</v>
      </c>
      <c r="I162" s="7">
        <v>8400</v>
      </c>
      <c r="J162" s="7">
        <v>8400</v>
      </c>
      <c r="K162" s="7">
        <v>8400</v>
      </c>
      <c r="L162" s="7">
        <v>8400</v>
      </c>
      <c r="M162" s="7">
        <v>8400</v>
      </c>
      <c r="N162" s="7">
        <v>8400</v>
      </c>
      <c r="O162" s="7">
        <v>8400</v>
      </c>
      <c r="P162" s="7">
        <v>8400</v>
      </c>
      <c r="Q162" s="7">
        <v>8400</v>
      </c>
      <c r="R162" s="7">
        <v>8400</v>
      </c>
      <c r="S162" s="7">
        <v>8400</v>
      </c>
      <c r="T162" s="7">
        <v>8400</v>
      </c>
      <c r="U162" s="7">
        <v>8400</v>
      </c>
      <c r="V162" s="7">
        <v>8400</v>
      </c>
      <c r="W162" s="7">
        <v>8400</v>
      </c>
      <c r="X162" s="7">
        <v>8400</v>
      </c>
      <c r="Y162" s="7">
        <v>8400</v>
      </c>
      <c r="Z162" s="7">
        <v>8400</v>
      </c>
      <c r="AA162" s="11">
        <v>8400</v>
      </c>
      <c r="AB162" s="5">
        <f t="shared" si="3"/>
        <v>201600</v>
      </c>
      <c r="AC162" s="5">
        <v>20</v>
      </c>
      <c r="AD162" s="50">
        <f>(AB162*AC162)+(AB163*AC163)+(AB164*AC164)+(AB165*AC165)</f>
        <v>6048000</v>
      </c>
    </row>
    <row r="163" spans="2:30">
      <c r="B163" s="48"/>
      <c r="C163" s="1" t="s">
        <v>6</v>
      </c>
      <c r="D163" s="2">
        <v>8400</v>
      </c>
      <c r="E163" s="2">
        <v>8400</v>
      </c>
      <c r="F163" s="2">
        <v>8400</v>
      </c>
      <c r="G163" s="2">
        <v>8400</v>
      </c>
      <c r="H163" s="2">
        <v>8400</v>
      </c>
      <c r="I163" s="2">
        <v>8400</v>
      </c>
      <c r="J163" s="2">
        <v>8400</v>
      </c>
      <c r="K163" s="2">
        <v>8400</v>
      </c>
      <c r="L163" s="2">
        <v>8400</v>
      </c>
      <c r="M163" s="2">
        <v>8400</v>
      </c>
      <c r="N163" s="2">
        <v>8400</v>
      </c>
      <c r="O163" s="2">
        <v>8400</v>
      </c>
      <c r="P163" s="2">
        <v>8400</v>
      </c>
      <c r="Q163" s="2">
        <v>8400</v>
      </c>
      <c r="R163" s="2">
        <v>8400</v>
      </c>
      <c r="S163" s="2">
        <v>8400</v>
      </c>
      <c r="T163" s="2">
        <v>8400</v>
      </c>
      <c r="U163" s="2">
        <v>8400</v>
      </c>
      <c r="V163" s="2">
        <v>8400</v>
      </c>
      <c r="W163" s="2">
        <v>8400</v>
      </c>
      <c r="X163" s="2">
        <v>8400</v>
      </c>
      <c r="Y163" s="2">
        <v>8400</v>
      </c>
      <c r="Z163" s="2">
        <v>8400</v>
      </c>
      <c r="AA163" s="12">
        <v>8400</v>
      </c>
      <c r="AB163" s="3">
        <f t="shared" si="3"/>
        <v>201600</v>
      </c>
      <c r="AC163" s="3">
        <v>4</v>
      </c>
      <c r="AD163" s="51"/>
    </row>
    <row r="164" spans="2:30">
      <c r="B164" s="48"/>
      <c r="C164" s="1" t="s">
        <v>7</v>
      </c>
      <c r="D164" s="2">
        <v>8400</v>
      </c>
      <c r="E164" s="2">
        <v>8400</v>
      </c>
      <c r="F164" s="2">
        <v>8400</v>
      </c>
      <c r="G164" s="2">
        <v>8400</v>
      </c>
      <c r="H164" s="2">
        <v>8400</v>
      </c>
      <c r="I164" s="2">
        <v>8400</v>
      </c>
      <c r="J164" s="2">
        <v>8400</v>
      </c>
      <c r="K164" s="2">
        <v>8400</v>
      </c>
      <c r="L164" s="2">
        <v>8400</v>
      </c>
      <c r="M164" s="2">
        <v>8400</v>
      </c>
      <c r="N164" s="2">
        <v>8400</v>
      </c>
      <c r="O164" s="2">
        <v>8400</v>
      </c>
      <c r="P164" s="2">
        <v>8400</v>
      </c>
      <c r="Q164" s="2">
        <v>8400</v>
      </c>
      <c r="R164" s="2">
        <v>8400</v>
      </c>
      <c r="S164" s="2">
        <v>8400</v>
      </c>
      <c r="T164" s="2">
        <v>8400</v>
      </c>
      <c r="U164" s="2">
        <v>8400</v>
      </c>
      <c r="V164" s="2">
        <v>8400</v>
      </c>
      <c r="W164" s="2">
        <v>8400</v>
      </c>
      <c r="X164" s="2">
        <v>8400</v>
      </c>
      <c r="Y164" s="2">
        <v>8400</v>
      </c>
      <c r="Z164" s="2">
        <v>8400</v>
      </c>
      <c r="AA164" s="12">
        <v>8400</v>
      </c>
      <c r="AB164" s="3">
        <f t="shared" si="3"/>
        <v>201600</v>
      </c>
      <c r="AC164" s="3">
        <v>4</v>
      </c>
      <c r="AD164" s="51"/>
    </row>
    <row r="165" spans="2:30" ht="15" thickBot="1">
      <c r="B165" s="49"/>
      <c r="C165" s="9" t="s">
        <v>8</v>
      </c>
      <c r="D165" s="10">
        <v>8400</v>
      </c>
      <c r="E165" s="10">
        <v>8400</v>
      </c>
      <c r="F165" s="10">
        <v>8400</v>
      </c>
      <c r="G165" s="10">
        <v>8400</v>
      </c>
      <c r="H165" s="10">
        <v>8400</v>
      </c>
      <c r="I165" s="10">
        <v>8400</v>
      </c>
      <c r="J165" s="10">
        <v>8400</v>
      </c>
      <c r="K165" s="10">
        <v>8400</v>
      </c>
      <c r="L165" s="10">
        <v>8400</v>
      </c>
      <c r="M165" s="10">
        <v>8400</v>
      </c>
      <c r="N165" s="10">
        <v>8400</v>
      </c>
      <c r="O165" s="10">
        <v>8400</v>
      </c>
      <c r="P165" s="10">
        <v>8400</v>
      </c>
      <c r="Q165" s="10">
        <v>8400</v>
      </c>
      <c r="R165" s="10">
        <v>8400</v>
      </c>
      <c r="S165" s="10">
        <v>8400</v>
      </c>
      <c r="T165" s="10">
        <v>8400</v>
      </c>
      <c r="U165" s="10">
        <v>8400</v>
      </c>
      <c r="V165" s="10">
        <v>8400</v>
      </c>
      <c r="W165" s="10">
        <v>8400</v>
      </c>
      <c r="X165" s="10">
        <v>8400</v>
      </c>
      <c r="Y165" s="10">
        <v>8400</v>
      </c>
      <c r="Z165" s="10">
        <v>8400</v>
      </c>
      <c r="AA165" s="13">
        <v>8400</v>
      </c>
      <c r="AB165" s="6">
        <f t="shared" si="3"/>
        <v>201600</v>
      </c>
      <c r="AC165" s="6">
        <v>2</v>
      </c>
      <c r="AD165" s="52"/>
    </row>
    <row r="166" spans="2:30">
      <c r="B166" s="47">
        <v>47604</v>
      </c>
      <c r="C166" s="8" t="s">
        <v>5</v>
      </c>
      <c r="D166" s="7">
        <v>8400</v>
      </c>
      <c r="E166" s="7">
        <v>8400</v>
      </c>
      <c r="F166" s="7">
        <v>8400</v>
      </c>
      <c r="G166" s="7">
        <v>8400</v>
      </c>
      <c r="H166" s="7">
        <v>8400</v>
      </c>
      <c r="I166" s="7">
        <v>8400</v>
      </c>
      <c r="J166" s="7">
        <v>8400</v>
      </c>
      <c r="K166" s="7">
        <v>8400</v>
      </c>
      <c r="L166" s="7">
        <v>8400</v>
      </c>
      <c r="M166" s="7">
        <v>8400</v>
      </c>
      <c r="N166" s="7">
        <v>8400</v>
      </c>
      <c r="O166" s="7">
        <v>8400</v>
      </c>
      <c r="P166" s="7">
        <v>8400</v>
      </c>
      <c r="Q166" s="7">
        <v>8400</v>
      </c>
      <c r="R166" s="7">
        <v>8400</v>
      </c>
      <c r="S166" s="7">
        <v>8400</v>
      </c>
      <c r="T166" s="7">
        <v>8400</v>
      </c>
      <c r="U166" s="7">
        <v>8400</v>
      </c>
      <c r="V166" s="7">
        <v>8400</v>
      </c>
      <c r="W166" s="7">
        <v>8400</v>
      </c>
      <c r="X166" s="7">
        <v>8400</v>
      </c>
      <c r="Y166" s="7">
        <v>8400</v>
      </c>
      <c r="Z166" s="7">
        <v>8400</v>
      </c>
      <c r="AA166" s="11">
        <v>8400</v>
      </c>
      <c r="AB166" s="5">
        <f t="shared" si="3"/>
        <v>201600</v>
      </c>
      <c r="AC166" s="5">
        <v>22</v>
      </c>
      <c r="AD166" s="50">
        <f>(AB166*AC166)+(AB167*AC167)+(AB168*AC168)+(AB169*AC169)</f>
        <v>6249600</v>
      </c>
    </row>
    <row r="167" spans="2:30">
      <c r="B167" s="48"/>
      <c r="C167" s="1" t="s">
        <v>6</v>
      </c>
      <c r="D167" s="2">
        <v>8400</v>
      </c>
      <c r="E167" s="2">
        <v>8400</v>
      </c>
      <c r="F167" s="2">
        <v>8400</v>
      </c>
      <c r="G167" s="2">
        <v>8400</v>
      </c>
      <c r="H167" s="2">
        <v>8400</v>
      </c>
      <c r="I167" s="2">
        <v>8400</v>
      </c>
      <c r="J167" s="2">
        <v>8400</v>
      </c>
      <c r="K167" s="2">
        <v>8400</v>
      </c>
      <c r="L167" s="2">
        <v>8400</v>
      </c>
      <c r="M167" s="2">
        <v>8400</v>
      </c>
      <c r="N167" s="2">
        <v>8400</v>
      </c>
      <c r="O167" s="2">
        <v>8400</v>
      </c>
      <c r="P167" s="2">
        <v>8400</v>
      </c>
      <c r="Q167" s="2">
        <v>8400</v>
      </c>
      <c r="R167" s="2">
        <v>8400</v>
      </c>
      <c r="S167" s="2">
        <v>8400</v>
      </c>
      <c r="T167" s="2">
        <v>8400</v>
      </c>
      <c r="U167" s="2">
        <v>8400</v>
      </c>
      <c r="V167" s="2">
        <v>8400</v>
      </c>
      <c r="W167" s="2">
        <v>8400</v>
      </c>
      <c r="X167" s="2">
        <v>8400</v>
      </c>
      <c r="Y167" s="2">
        <v>8400</v>
      </c>
      <c r="Z167" s="2">
        <v>8400</v>
      </c>
      <c r="AA167" s="12">
        <v>8400</v>
      </c>
      <c r="AB167" s="3">
        <f t="shared" si="3"/>
        <v>201600</v>
      </c>
      <c r="AC167" s="3">
        <v>4</v>
      </c>
      <c r="AD167" s="51"/>
    </row>
    <row r="168" spans="2:30">
      <c r="B168" s="48"/>
      <c r="C168" s="1" t="s">
        <v>7</v>
      </c>
      <c r="D168" s="2">
        <v>8400</v>
      </c>
      <c r="E168" s="2">
        <v>8400</v>
      </c>
      <c r="F168" s="2">
        <v>8400</v>
      </c>
      <c r="G168" s="2">
        <v>8400</v>
      </c>
      <c r="H168" s="2">
        <v>8400</v>
      </c>
      <c r="I168" s="2">
        <v>8400</v>
      </c>
      <c r="J168" s="2">
        <v>8400</v>
      </c>
      <c r="K168" s="2">
        <v>8400</v>
      </c>
      <c r="L168" s="2">
        <v>8400</v>
      </c>
      <c r="M168" s="2">
        <v>8400</v>
      </c>
      <c r="N168" s="2">
        <v>8400</v>
      </c>
      <c r="O168" s="2">
        <v>8400</v>
      </c>
      <c r="P168" s="2">
        <v>8400</v>
      </c>
      <c r="Q168" s="2">
        <v>8400</v>
      </c>
      <c r="R168" s="2">
        <v>8400</v>
      </c>
      <c r="S168" s="2">
        <v>8400</v>
      </c>
      <c r="T168" s="2">
        <v>8400</v>
      </c>
      <c r="U168" s="2">
        <v>8400</v>
      </c>
      <c r="V168" s="2">
        <v>8400</v>
      </c>
      <c r="W168" s="2">
        <v>8400</v>
      </c>
      <c r="X168" s="2">
        <v>8400</v>
      </c>
      <c r="Y168" s="2">
        <v>8400</v>
      </c>
      <c r="Z168" s="2">
        <v>8400</v>
      </c>
      <c r="AA168" s="12">
        <v>8400</v>
      </c>
      <c r="AB168" s="3">
        <f t="shared" si="3"/>
        <v>201600</v>
      </c>
      <c r="AC168" s="3">
        <v>4</v>
      </c>
      <c r="AD168" s="51"/>
    </row>
    <row r="169" spans="2:30" ht="15" thickBot="1">
      <c r="B169" s="49"/>
      <c r="C169" s="9" t="s">
        <v>8</v>
      </c>
      <c r="D169" s="10">
        <v>8400</v>
      </c>
      <c r="E169" s="10">
        <v>8400</v>
      </c>
      <c r="F169" s="10">
        <v>8400</v>
      </c>
      <c r="G169" s="10">
        <v>8400</v>
      </c>
      <c r="H169" s="10">
        <v>8400</v>
      </c>
      <c r="I169" s="10">
        <v>8400</v>
      </c>
      <c r="J169" s="10">
        <v>8400</v>
      </c>
      <c r="K169" s="10">
        <v>8400</v>
      </c>
      <c r="L169" s="10">
        <v>8400</v>
      </c>
      <c r="M169" s="10">
        <v>8400</v>
      </c>
      <c r="N169" s="10">
        <v>8400</v>
      </c>
      <c r="O169" s="10">
        <v>8400</v>
      </c>
      <c r="P169" s="10">
        <v>8400</v>
      </c>
      <c r="Q169" s="10">
        <v>8400</v>
      </c>
      <c r="R169" s="10">
        <v>8400</v>
      </c>
      <c r="S169" s="10">
        <v>8400</v>
      </c>
      <c r="T169" s="10">
        <v>8400</v>
      </c>
      <c r="U169" s="10">
        <v>8400</v>
      </c>
      <c r="V169" s="10">
        <v>8400</v>
      </c>
      <c r="W169" s="10">
        <v>8400</v>
      </c>
      <c r="X169" s="10">
        <v>8400</v>
      </c>
      <c r="Y169" s="10">
        <v>8400</v>
      </c>
      <c r="Z169" s="10">
        <v>8400</v>
      </c>
      <c r="AA169" s="13">
        <v>8400</v>
      </c>
      <c r="AB169" s="6">
        <f t="shared" si="3"/>
        <v>201600</v>
      </c>
      <c r="AC169" s="6">
        <v>1</v>
      </c>
      <c r="AD169" s="52"/>
    </row>
    <row r="170" spans="2:30">
      <c r="B170" s="47">
        <v>47635</v>
      </c>
      <c r="C170" s="8" t="s">
        <v>5</v>
      </c>
      <c r="D170" s="7">
        <v>8400</v>
      </c>
      <c r="E170" s="7">
        <v>8400</v>
      </c>
      <c r="F170" s="7">
        <v>8400</v>
      </c>
      <c r="G170" s="7">
        <v>8400</v>
      </c>
      <c r="H170" s="7">
        <v>8400</v>
      </c>
      <c r="I170" s="7">
        <v>8400</v>
      </c>
      <c r="J170" s="7">
        <v>8400</v>
      </c>
      <c r="K170" s="7">
        <v>8400</v>
      </c>
      <c r="L170" s="7">
        <v>8400</v>
      </c>
      <c r="M170" s="7">
        <v>8400</v>
      </c>
      <c r="N170" s="7">
        <v>8400</v>
      </c>
      <c r="O170" s="7">
        <v>8400</v>
      </c>
      <c r="P170" s="7">
        <v>8400</v>
      </c>
      <c r="Q170" s="7">
        <v>8400</v>
      </c>
      <c r="R170" s="7">
        <v>8400</v>
      </c>
      <c r="S170" s="7">
        <v>8400</v>
      </c>
      <c r="T170" s="7">
        <v>8400</v>
      </c>
      <c r="U170" s="7">
        <v>8400</v>
      </c>
      <c r="V170" s="7">
        <v>8400</v>
      </c>
      <c r="W170" s="7">
        <v>8400</v>
      </c>
      <c r="X170" s="7">
        <v>8400</v>
      </c>
      <c r="Y170" s="7">
        <v>8400</v>
      </c>
      <c r="Z170" s="7">
        <v>8400</v>
      </c>
      <c r="AA170" s="11">
        <v>8400</v>
      </c>
      <c r="AB170" s="5">
        <f t="shared" si="3"/>
        <v>201600</v>
      </c>
      <c r="AC170" s="5">
        <v>18</v>
      </c>
      <c r="AD170" s="50">
        <f>(AB170*AC170)+(AB171*AC171)+(AB172*AC172)+(AB173*AC173)</f>
        <v>6048000</v>
      </c>
    </row>
    <row r="171" spans="2:30">
      <c r="B171" s="48"/>
      <c r="C171" s="1" t="s">
        <v>6</v>
      </c>
      <c r="D171" s="2">
        <v>8400</v>
      </c>
      <c r="E171" s="2">
        <v>8400</v>
      </c>
      <c r="F171" s="2">
        <v>8400</v>
      </c>
      <c r="G171" s="2">
        <v>8400</v>
      </c>
      <c r="H171" s="2">
        <v>8400</v>
      </c>
      <c r="I171" s="2">
        <v>8400</v>
      </c>
      <c r="J171" s="2">
        <v>8400</v>
      </c>
      <c r="K171" s="2">
        <v>8400</v>
      </c>
      <c r="L171" s="2">
        <v>8400</v>
      </c>
      <c r="M171" s="2">
        <v>8400</v>
      </c>
      <c r="N171" s="2">
        <v>8400</v>
      </c>
      <c r="O171" s="2">
        <v>8400</v>
      </c>
      <c r="P171" s="2">
        <v>8400</v>
      </c>
      <c r="Q171" s="2">
        <v>8400</v>
      </c>
      <c r="R171" s="2">
        <v>8400</v>
      </c>
      <c r="S171" s="2">
        <v>8400</v>
      </c>
      <c r="T171" s="2">
        <v>8400</v>
      </c>
      <c r="U171" s="2">
        <v>8400</v>
      </c>
      <c r="V171" s="2">
        <v>8400</v>
      </c>
      <c r="W171" s="2">
        <v>8400</v>
      </c>
      <c r="X171" s="2">
        <v>8400</v>
      </c>
      <c r="Y171" s="2">
        <v>8400</v>
      </c>
      <c r="Z171" s="2">
        <v>8400</v>
      </c>
      <c r="AA171" s="12">
        <v>8400</v>
      </c>
      <c r="AB171" s="3">
        <f t="shared" si="3"/>
        <v>201600</v>
      </c>
      <c r="AC171" s="3">
        <v>5</v>
      </c>
      <c r="AD171" s="51"/>
    </row>
    <row r="172" spans="2:30">
      <c r="B172" s="48"/>
      <c r="C172" s="1" t="s">
        <v>7</v>
      </c>
      <c r="D172" s="2">
        <v>8400</v>
      </c>
      <c r="E172" s="2">
        <v>8400</v>
      </c>
      <c r="F172" s="2">
        <v>8400</v>
      </c>
      <c r="G172" s="2">
        <v>8400</v>
      </c>
      <c r="H172" s="2">
        <v>8400</v>
      </c>
      <c r="I172" s="2">
        <v>8400</v>
      </c>
      <c r="J172" s="2">
        <v>8400</v>
      </c>
      <c r="K172" s="2">
        <v>8400</v>
      </c>
      <c r="L172" s="2">
        <v>8400</v>
      </c>
      <c r="M172" s="2">
        <v>8400</v>
      </c>
      <c r="N172" s="2">
        <v>8400</v>
      </c>
      <c r="O172" s="2">
        <v>8400</v>
      </c>
      <c r="P172" s="2">
        <v>8400</v>
      </c>
      <c r="Q172" s="2">
        <v>8400</v>
      </c>
      <c r="R172" s="2">
        <v>8400</v>
      </c>
      <c r="S172" s="2">
        <v>8400</v>
      </c>
      <c r="T172" s="2">
        <v>8400</v>
      </c>
      <c r="U172" s="2">
        <v>8400</v>
      </c>
      <c r="V172" s="2">
        <v>8400</v>
      </c>
      <c r="W172" s="2">
        <v>8400</v>
      </c>
      <c r="X172" s="2">
        <v>8400</v>
      </c>
      <c r="Y172" s="2">
        <v>8400</v>
      </c>
      <c r="Z172" s="2">
        <v>8400</v>
      </c>
      <c r="AA172" s="12">
        <v>8400</v>
      </c>
      <c r="AB172" s="3">
        <f t="shared" si="3"/>
        <v>201600</v>
      </c>
      <c r="AC172" s="3">
        <v>5</v>
      </c>
      <c r="AD172" s="51"/>
    </row>
    <row r="173" spans="2:30" ht="15" thickBot="1">
      <c r="B173" s="49"/>
      <c r="C173" s="9" t="s">
        <v>8</v>
      </c>
      <c r="D173" s="10">
        <v>8400</v>
      </c>
      <c r="E173" s="10">
        <v>8400</v>
      </c>
      <c r="F173" s="10">
        <v>8400</v>
      </c>
      <c r="G173" s="10">
        <v>8400</v>
      </c>
      <c r="H173" s="10">
        <v>8400</v>
      </c>
      <c r="I173" s="10">
        <v>8400</v>
      </c>
      <c r="J173" s="10">
        <v>8400</v>
      </c>
      <c r="K173" s="10">
        <v>8400</v>
      </c>
      <c r="L173" s="10">
        <v>8400</v>
      </c>
      <c r="M173" s="10">
        <v>8400</v>
      </c>
      <c r="N173" s="10">
        <v>8400</v>
      </c>
      <c r="O173" s="10">
        <v>8400</v>
      </c>
      <c r="P173" s="10">
        <v>8400</v>
      </c>
      <c r="Q173" s="10">
        <v>8400</v>
      </c>
      <c r="R173" s="10">
        <v>8400</v>
      </c>
      <c r="S173" s="10">
        <v>8400</v>
      </c>
      <c r="T173" s="10">
        <v>8400</v>
      </c>
      <c r="U173" s="10">
        <v>8400</v>
      </c>
      <c r="V173" s="10">
        <v>8400</v>
      </c>
      <c r="W173" s="10">
        <v>8400</v>
      </c>
      <c r="X173" s="10">
        <v>8400</v>
      </c>
      <c r="Y173" s="10">
        <v>8400</v>
      </c>
      <c r="Z173" s="10">
        <v>8400</v>
      </c>
      <c r="AA173" s="13">
        <v>8400</v>
      </c>
      <c r="AB173" s="6">
        <f t="shared" si="3"/>
        <v>201600</v>
      </c>
      <c r="AC173" s="6">
        <v>2</v>
      </c>
      <c r="AD173" s="52"/>
    </row>
    <row r="174" spans="2:30">
      <c r="B174" s="47">
        <v>47665</v>
      </c>
      <c r="C174" s="8" t="s">
        <v>5</v>
      </c>
      <c r="D174" s="7">
        <v>8400</v>
      </c>
      <c r="E174" s="7">
        <v>8400</v>
      </c>
      <c r="F174" s="7">
        <v>8400</v>
      </c>
      <c r="G174" s="7">
        <v>8400</v>
      </c>
      <c r="H174" s="7">
        <v>8400</v>
      </c>
      <c r="I174" s="7">
        <v>8400</v>
      </c>
      <c r="J174" s="7">
        <v>8400</v>
      </c>
      <c r="K174" s="7">
        <v>8400</v>
      </c>
      <c r="L174" s="7">
        <v>8400</v>
      </c>
      <c r="M174" s="7">
        <v>8400</v>
      </c>
      <c r="N174" s="7">
        <v>8400</v>
      </c>
      <c r="O174" s="7">
        <v>8400</v>
      </c>
      <c r="P174" s="7">
        <v>8400</v>
      </c>
      <c r="Q174" s="7">
        <v>8400</v>
      </c>
      <c r="R174" s="7">
        <v>8400</v>
      </c>
      <c r="S174" s="7">
        <v>8400</v>
      </c>
      <c r="T174" s="7">
        <v>8400</v>
      </c>
      <c r="U174" s="7">
        <v>8400</v>
      </c>
      <c r="V174" s="7">
        <v>8400</v>
      </c>
      <c r="W174" s="7">
        <v>8400</v>
      </c>
      <c r="X174" s="7">
        <v>8400</v>
      </c>
      <c r="Y174" s="7">
        <v>8400</v>
      </c>
      <c r="Z174" s="7">
        <v>8400</v>
      </c>
      <c r="AA174" s="11">
        <v>8400</v>
      </c>
      <c r="AB174" s="5">
        <f t="shared" si="3"/>
        <v>201600</v>
      </c>
      <c r="AC174" s="5">
        <v>22</v>
      </c>
      <c r="AD174" s="50">
        <f>(AB174*AC174)+(AB175*AC175)+(AB176*AC176)+(AB177*AC177)</f>
        <v>6249600</v>
      </c>
    </row>
    <row r="175" spans="2:30">
      <c r="B175" s="48"/>
      <c r="C175" s="1" t="s">
        <v>6</v>
      </c>
      <c r="D175" s="2">
        <v>8400</v>
      </c>
      <c r="E175" s="2">
        <v>8400</v>
      </c>
      <c r="F175" s="2">
        <v>8400</v>
      </c>
      <c r="G175" s="2">
        <v>8400</v>
      </c>
      <c r="H175" s="2">
        <v>8400</v>
      </c>
      <c r="I175" s="2">
        <v>8400</v>
      </c>
      <c r="J175" s="2">
        <v>8400</v>
      </c>
      <c r="K175" s="2">
        <v>8400</v>
      </c>
      <c r="L175" s="2">
        <v>8400</v>
      </c>
      <c r="M175" s="2">
        <v>8400</v>
      </c>
      <c r="N175" s="2">
        <v>8400</v>
      </c>
      <c r="O175" s="2">
        <v>8400</v>
      </c>
      <c r="P175" s="2">
        <v>8400</v>
      </c>
      <c r="Q175" s="2">
        <v>8400</v>
      </c>
      <c r="R175" s="2">
        <v>8400</v>
      </c>
      <c r="S175" s="2">
        <v>8400</v>
      </c>
      <c r="T175" s="2">
        <v>8400</v>
      </c>
      <c r="U175" s="2">
        <v>8400</v>
      </c>
      <c r="V175" s="2">
        <v>8400</v>
      </c>
      <c r="W175" s="2">
        <v>8400</v>
      </c>
      <c r="X175" s="2">
        <v>8400</v>
      </c>
      <c r="Y175" s="2">
        <v>8400</v>
      </c>
      <c r="Z175" s="2">
        <v>8400</v>
      </c>
      <c r="AA175" s="12">
        <v>8400</v>
      </c>
      <c r="AB175" s="3">
        <f t="shared" si="3"/>
        <v>201600</v>
      </c>
      <c r="AC175" s="3">
        <v>3</v>
      </c>
      <c r="AD175" s="51"/>
    </row>
    <row r="176" spans="2:30">
      <c r="B176" s="48"/>
      <c r="C176" s="1" t="s">
        <v>4</v>
      </c>
      <c r="D176" s="2">
        <v>8400</v>
      </c>
      <c r="E176" s="2">
        <v>8400</v>
      </c>
      <c r="F176" s="2">
        <v>8400</v>
      </c>
      <c r="G176" s="2">
        <v>8400</v>
      </c>
      <c r="H176" s="2">
        <v>8400</v>
      </c>
      <c r="I176" s="2">
        <v>8400</v>
      </c>
      <c r="J176" s="2">
        <v>8400</v>
      </c>
      <c r="K176" s="2">
        <v>8400</v>
      </c>
      <c r="L176" s="2">
        <v>8400</v>
      </c>
      <c r="M176" s="2">
        <v>8400</v>
      </c>
      <c r="N176" s="2">
        <v>8400</v>
      </c>
      <c r="O176" s="2">
        <v>8400</v>
      </c>
      <c r="P176" s="2">
        <v>8400</v>
      </c>
      <c r="Q176" s="2">
        <v>8400</v>
      </c>
      <c r="R176" s="2">
        <v>8400</v>
      </c>
      <c r="S176" s="2">
        <v>8400</v>
      </c>
      <c r="T176" s="2">
        <v>8400</v>
      </c>
      <c r="U176" s="2">
        <v>8400</v>
      </c>
      <c r="V176" s="2">
        <v>8400</v>
      </c>
      <c r="W176" s="2">
        <v>8400</v>
      </c>
      <c r="X176" s="2">
        <v>8400</v>
      </c>
      <c r="Y176" s="2">
        <v>8400</v>
      </c>
      <c r="Z176" s="2">
        <v>8400</v>
      </c>
      <c r="AA176" s="12">
        <v>8400</v>
      </c>
      <c r="AB176" s="3">
        <f t="shared" si="3"/>
        <v>201600</v>
      </c>
      <c r="AC176" s="3">
        <v>4</v>
      </c>
      <c r="AD176" s="51"/>
    </row>
    <row r="177" spans="2:30" ht="15" thickBot="1">
      <c r="B177" s="49"/>
      <c r="C177" s="9" t="s">
        <v>8</v>
      </c>
      <c r="D177" s="10">
        <v>8400</v>
      </c>
      <c r="E177" s="10">
        <v>8400</v>
      </c>
      <c r="F177" s="10">
        <v>8400</v>
      </c>
      <c r="G177" s="10">
        <v>8400</v>
      </c>
      <c r="H177" s="10">
        <v>8400</v>
      </c>
      <c r="I177" s="10">
        <v>8400</v>
      </c>
      <c r="J177" s="10">
        <v>8400</v>
      </c>
      <c r="K177" s="10">
        <v>8400</v>
      </c>
      <c r="L177" s="10">
        <v>8400</v>
      </c>
      <c r="M177" s="10">
        <v>8400</v>
      </c>
      <c r="N177" s="10">
        <v>8400</v>
      </c>
      <c r="O177" s="10">
        <v>8400</v>
      </c>
      <c r="P177" s="10">
        <v>8400</v>
      </c>
      <c r="Q177" s="10">
        <v>8400</v>
      </c>
      <c r="R177" s="10">
        <v>8400</v>
      </c>
      <c r="S177" s="10">
        <v>8400</v>
      </c>
      <c r="T177" s="10">
        <v>8400</v>
      </c>
      <c r="U177" s="10">
        <v>8400</v>
      </c>
      <c r="V177" s="10">
        <v>8400</v>
      </c>
      <c r="W177" s="10">
        <v>8400</v>
      </c>
      <c r="X177" s="10">
        <v>8400</v>
      </c>
      <c r="Y177" s="10">
        <v>8400</v>
      </c>
      <c r="Z177" s="10">
        <v>8400</v>
      </c>
      <c r="AA177" s="13">
        <v>8400</v>
      </c>
      <c r="AB177" s="6">
        <f t="shared" si="3"/>
        <v>201600</v>
      </c>
      <c r="AC177" s="6">
        <v>2</v>
      </c>
      <c r="AD177" s="52"/>
    </row>
    <row r="178" spans="2:30">
      <c r="B178" s="47">
        <v>47696</v>
      </c>
      <c r="C178" s="8" t="s">
        <v>5</v>
      </c>
      <c r="D178" s="7">
        <v>8400</v>
      </c>
      <c r="E178" s="7">
        <v>8400</v>
      </c>
      <c r="F178" s="7">
        <v>8400</v>
      </c>
      <c r="G178" s="7">
        <v>8400</v>
      </c>
      <c r="H178" s="7">
        <v>8400</v>
      </c>
      <c r="I178" s="7">
        <v>8400</v>
      </c>
      <c r="J178" s="7">
        <v>8400</v>
      </c>
      <c r="K178" s="7">
        <v>8400</v>
      </c>
      <c r="L178" s="7">
        <v>8400</v>
      </c>
      <c r="M178" s="7">
        <v>8400</v>
      </c>
      <c r="N178" s="7">
        <v>8400</v>
      </c>
      <c r="O178" s="7">
        <v>8400</v>
      </c>
      <c r="P178" s="7">
        <v>8400</v>
      </c>
      <c r="Q178" s="7">
        <v>8400</v>
      </c>
      <c r="R178" s="7">
        <v>8400</v>
      </c>
      <c r="S178" s="7">
        <v>8400</v>
      </c>
      <c r="T178" s="7">
        <v>8400</v>
      </c>
      <c r="U178" s="7">
        <v>8400</v>
      </c>
      <c r="V178" s="7">
        <v>8400</v>
      </c>
      <c r="W178" s="7">
        <v>8400</v>
      </c>
      <c r="X178" s="7">
        <v>8400</v>
      </c>
      <c r="Y178" s="7">
        <v>8400</v>
      </c>
      <c r="Z178" s="7">
        <v>8400</v>
      </c>
      <c r="AA178" s="11">
        <v>8400</v>
      </c>
      <c r="AB178" s="5">
        <f t="shared" si="3"/>
        <v>201600</v>
      </c>
      <c r="AC178" s="5">
        <v>20</v>
      </c>
      <c r="AD178" s="50">
        <f>(AB178*AC178)+(AB179*AC179)+(AB180*AC180)+(AB181*AC181)</f>
        <v>6249600</v>
      </c>
    </row>
    <row r="179" spans="2:30">
      <c r="B179" s="48"/>
      <c r="C179" s="1" t="s">
        <v>6</v>
      </c>
      <c r="D179" s="2">
        <v>8400</v>
      </c>
      <c r="E179" s="2">
        <v>8400</v>
      </c>
      <c r="F179" s="2">
        <v>8400</v>
      </c>
      <c r="G179" s="2">
        <v>8400</v>
      </c>
      <c r="H179" s="2">
        <v>8400</v>
      </c>
      <c r="I179" s="2">
        <v>8400</v>
      </c>
      <c r="J179" s="2">
        <v>8400</v>
      </c>
      <c r="K179" s="2">
        <v>8400</v>
      </c>
      <c r="L179" s="2">
        <v>8400</v>
      </c>
      <c r="M179" s="2">
        <v>8400</v>
      </c>
      <c r="N179" s="2">
        <v>8400</v>
      </c>
      <c r="O179" s="2">
        <v>8400</v>
      </c>
      <c r="P179" s="2">
        <v>8400</v>
      </c>
      <c r="Q179" s="2">
        <v>8400</v>
      </c>
      <c r="R179" s="2">
        <v>8400</v>
      </c>
      <c r="S179" s="2">
        <v>8400</v>
      </c>
      <c r="T179" s="2">
        <v>8400</v>
      </c>
      <c r="U179" s="2">
        <v>8400</v>
      </c>
      <c r="V179" s="2">
        <v>8400</v>
      </c>
      <c r="W179" s="2">
        <v>8400</v>
      </c>
      <c r="X179" s="2">
        <v>8400</v>
      </c>
      <c r="Y179" s="2">
        <v>8400</v>
      </c>
      <c r="Z179" s="2">
        <v>8400</v>
      </c>
      <c r="AA179" s="12">
        <v>8400</v>
      </c>
      <c r="AB179" s="3">
        <f t="shared" si="3"/>
        <v>201600</v>
      </c>
      <c r="AC179" s="3">
        <v>5</v>
      </c>
      <c r="AD179" s="51"/>
    </row>
    <row r="180" spans="2:30">
      <c r="B180" s="48"/>
      <c r="C180" s="1" t="s">
        <v>7</v>
      </c>
      <c r="D180" s="2">
        <v>8400</v>
      </c>
      <c r="E180" s="2">
        <v>8400</v>
      </c>
      <c r="F180" s="2">
        <v>8400</v>
      </c>
      <c r="G180" s="2">
        <v>8400</v>
      </c>
      <c r="H180" s="2">
        <v>8400</v>
      </c>
      <c r="I180" s="2">
        <v>8400</v>
      </c>
      <c r="J180" s="2">
        <v>8400</v>
      </c>
      <c r="K180" s="2">
        <v>8400</v>
      </c>
      <c r="L180" s="2">
        <v>8400</v>
      </c>
      <c r="M180" s="2">
        <v>8400</v>
      </c>
      <c r="N180" s="2">
        <v>8400</v>
      </c>
      <c r="O180" s="2">
        <v>8400</v>
      </c>
      <c r="P180" s="2">
        <v>8400</v>
      </c>
      <c r="Q180" s="2">
        <v>8400</v>
      </c>
      <c r="R180" s="2">
        <v>8400</v>
      </c>
      <c r="S180" s="2">
        <v>8400</v>
      </c>
      <c r="T180" s="2">
        <v>8400</v>
      </c>
      <c r="U180" s="2">
        <v>8400</v>
      </c>
      <c r="V180" s="2">
        <v>8400</v>
      </c>
      <c r="W180" s="2">
        <v>8400</v>
      </c>
      <c r="X180" s="2">
        <v>8400</v>
      </c>
      <c r="Y180" s="2">
        <v>8400</v>
      </c>
      <c r="Z180" s="2">
        <v>8400</v>
      </c>
      <c r="AA180" s="12">
        <v>8400</v>
      </c>
      <c r="AB180" s="3">
        <f t="shared" si="3"/>
        <v>201600</v>
      </c>
      <c r="AC180" s="3">
        <v>4</v>
      </c>
      <c r="AD180" s="51"/>
    </row>
    <row r="181" spans="2:30" ht="15" thickBot="1">
      <c r="B181" s="49"/>
      <c r="C181" s="9" t="s">
        <v>8</v>
      </c>
      <c r="D181" s="10">
        <v>8400</v>
      </c>
      <c r="E181" s="10">
        <v>8400</v>
      </c>
      <c r="F181" s="10">
        <v>8400</v>
      </c>
      <c r="G181" s="10">
        <v>8400</v>
      </c>
      <c r="H181" s="10">
        <v>8400</v>
      </c>
      <c r="I181" s="10">
        <v>8400</v>
      </c>
      <c r="J181" s="10">
        <v>8400</v>
      </c>
      <c r="K181" s="10">
        <v>8400</v>
      </c>
      <c r="L181" s="10">
        <v>8400</v>
      </c>
      <c r="M181" s="10">
        <v>8400</v>
      </c>
      <c r="N181" s="10">
        <v>8400</v>
      </c>
      <c r="O181" s="10">
        <v>8400</v>
      </c>
      <c r="P181" s="10">
        <v>8400</v>
      </c>
      <c r="Q181" s="10">
        <v>8400</v>
      </c>
      <c r="R181" s="10">
        <v>8400</v>
      </c>
      <c r="S181" s="10">
        <v>8400</v>
      </c>
      <c r="T181" s="10">
        <v>8400</v>
      </c>
      <c r="U181" s="10">
        <v>8400</v>
      </c>
      <c r="V181" s="10">
        <v>8400</v>
      </c>
      <c r="W181" s="10">
        <v>8400</v>
      </c>
      <c r="X181" s="10">
        <v>8400</v>
      </c>
      <c r="Y181" s="10">
        <v>8400</v>
      </c>
      <c r="Z181" s="10">
        <v>8400</v>
      </c>
      <c r="AA181" s="13">
        <v>8400</v>
      </c>
      <c r="AB181" s="6">
        <f t="shared" si="3"/>
        <v>201600</v>
      </c>
      <c r="AC181" s="6">
        <v>2</v>
      </c>
      <c r="AD181" s="52"/>
    </row>
    <row r="182" spans="2:30">
      <c r="B182" s="47">
        <v>47727</v>
      </c>
      <c r="C182" s="8" t="s">
        <v>5</v>
      </c>
      <c r="D182" s="7">
        <v>8400</v>
      </c>
      <c r="E182" s="7">
        <v>8400</v>
      </c>
      <c r="F182" s="7">
        <v>8400</v>
      </c>
      <c r="G182" s="7">
        <v>8400</v>
      </c>
      <c r="H182" s="7">
        <v>8400</v>
      </c>
      <c r="I182" s="7">
        <v>8400</v>
      </c>
      <c r="J182" s="7">
        <v>8400</v>
      </c>
      <c r="K182" s="7">
        <v>8400</v>
      </c>
      <c r="L182" s="7">
        <v>8400</v>
      </c>
      <c r="M182" s="7">
        <v>8400</v>
      </c>
      <c r="N182" s="7">
        <v>8400</v>
      </c>
      <c r="O182" s="7">
        <v>8400</v>
      </c>
      <c r="P182" s="7">
        <v>8400</v>
      </c>
      <c r="Q182" s="7">
        <v>8400</v>
      </c>
      <c r="R182" s="7">
        <v>8400</v>
      </c>
      <c r="S182" s="7">
        <v>8400</v>
      </c>
      <c r="T182" s="7">
        <v>8400</v>
      </c>
      <c r="U182" s="7">
        <v>8400</v>
      </c>
      <c r="V182" s="7">
        <v>8400</v>
      </c>
      <c r="W182" s="7">
        <v>8400</v>
      </c>
      <c r="X182" s="7">
        <v>8400</v>
      </c>
      <c r="Y182" s="7">
        <v>8400</v>
      </c>
      <c r="Z182" s="7">
        <v>8400</v>
      </c>
      <c r="AA182" s="11">
        <v>8400</v>
      </c>
      <c r="AB182" s="5">
        <f t="shared" si="3"/>
        <v>201600</v>
      </c>
      <c r="AC182" s="5">
        <v>21</v>
      </c>
      <c r="AD182" s="50">
        <f>(AB182*AC182)+(AB183*AC183)+(AB184*AC184)+(AB185*AC185)</f>
        <v>6048000</v>
      </c>
    </row>
    <row r="183" spans="2:30">
      <c r="B183" s="48"/>
      <c r="C183" s="1" t="s">
        <v>6</v>
      </c>
      <c r="D183" s="2">
        <v>8400</v>
      </c>
      <c r="E183" s="2">
        <v>8400</v>
      </c>
      <c r="F183" s="2">
        <v>8400</v>
      </c>
      <c r="G183" s="2">
        <v>8400</v>
      </c>
      <c r="H183" s="2">
        <v>8400</v>
      </c>
      <c r="I183" s="2">
        <v>8400</v>
      </c>
      <c r="J183" s="2">
        <v>8400</v>
      </c>
      <c r="K183" s="2">
        <v>8400</v>
      </c>
      <c r="L183" s="2">
        <v>8400</v>
      </c>
      <c r="M183" s="2">
        <v>8400</v>
      </c>
      <c r="N183" s="2">
        <v>8400</v>
      </c>
      <c r="O183" s="2">
        <v>8400</v>
      </c>
      <c r="P183" s="2">
        <v>8400</v>
      </c>
      <c r="Q183" s="2">
        <v>8400</v>
      </c>
      <c r="R183" s="2">
        <v>8400</v>
      </c>
      <c r="S183" s="2">
        <v>8400</v>
      </c>
      <c r="T183" s="2">
        <v>8400</v>
      </c>
      <c r="U183" s="2">
        <v>8400</v>
      </c>
      <c r="V183" s="2">
        <v>8400</v>
      </c>
      <c r="W183" s="2">
        <v>8400</v>
      </c>
      <c r="X183" s="2">
        <v>8400</v>
      </c>
      <c r="Y183" s="2">
        <v>8400</v>
      </c>
      <c r="Z183" s="2">
        <v>8400</v>
      </c>
      <c r="AA183" s="12">
        <v>8400</v>
      </c>
      <c r="AB183" s="3">
        <f t="shared" si="3"/>
        <v>201600</v>
      </c>
      <c r="AC183" s="3">
        <v>4</v>
      </c>
      <c r="AD183" s="51"/>
    </row>
    <row r="184" spans="2:30">
      <c r="B184" s="48"/>
      <c r="C184" s="1" t="s">
        <v>7</v>
      </c>
      <c r="D184" s="2">
        <v>8400</v>
      </c>
      <c r="E184" s="2">
        <v>8400</v>
      </c>
      <c r="F184" s="2">
        <v>8400</v>
      </c>
      <c r="G184" s="2">
        <v>8400</v>
      </c>
      <c r="H184" s="2">
        <v>8400</v>
      </c>
      <c r="I184" s="2">
        <v>8400</v>
      </c>
      <c r="J184" s="2">
        <v>8400</v>
      </c>
      <c r="K184" s="2">
        <v>8400</v>
      </c>
      <c r="L184" s="2">
        <v>8400</v>
      </c>
      <c r="M184" s="2">
        <v>8400</v>
      </c>
      <c r="N184" s="2">
        <v>8400</v>
      </c>
      <c r="O184" s="2">
        <v>8400</v>
      </c>
      <c r="P184" s="2">
        <v>8400</v>
      </c>
      <c r="Q184" s="2">
        <v>8400</v>
      </c>
      <c r="R184" s="2">
        <v>8400</v>
      </c>
      <c r="S184" s="2">
        <v>8400</v>
      </c>
      <c r="T184" s="2">
        <v>8400</v>
      </c>
      <c r="U184" s="2">
        <v>8400</v>
      </c>
      <c r="V184" s="2">
        <v>8400</v>
      </c>
      <c r="W184" s="2">
        <v>8400</v>
      </c>
      <c r="X184" s="2">
        <v>8400</v>
      </c>
      <c r="Y184" s="2">
        <v>8400</v>
      </c>
      <c r="Z184" s="2">
        <v>8400</v>
      </c>
      <c r="AA184" s="12">
        <v>8400</v>
      </c>
      <c r="AB184" s="3">
        <f t="shared" si="3"/>
        <v>201600</v>
      </c>
      <c r="AC184" s="3">
        <v>5</v>
      </c>
      <c r="AD184" s="51"/>
    </row>
    <row r="185" spans="2:30" ht="15" thickBot="1">
      <c r="B185" s="49"/>
      <c r="C185" s="9" t="s">
        <v>8</v>
      </c>
      <c r="D185" s="10">
        <v>8400</v>
      </c>
      <c r="E185" s="10">
        <v>8400</v>
      </c>
      <c r="F185" s="10">
        <v>8400</v>
      </c>
      <c r="G185" s="10">
        <v>8400</v>
      </c>
      <c r="H185" s="10">
        <v>8400</v>
      </c>
      <c r="I185" s="10">
        <v>8400</v>
      </c>
      <c r="J185" s="10">
        <v>8400</v>
      </c>
      <c r="K185" s="10">
        <v>8400</v>
      </c>
      <c r="L185" s="10">
        <v>8400</v>
      </c>
      <c r="M185" s="10">
        <v>8400</v>
      </c>
      <c r="N185" s="10">
        <v>8400</v>
      </c>
      <c r="O185" s="10">
        <v>8400</v>
      </c>
      <c r="P185" s="10">
        <v>8400</v>
      </c>
      <c r="Q185" s="10">
        <v>8400</v>
      </c>
      <c r="R185" s="10">
        <v>8400</v>
      </c>
      <c r="S185" s="10">
        <v>8400</v>
      </c>
      <c r="T185" s="10">
        <v>8400</v>
      </c>
      <c r="U185" s="10">
        <v>8400</v>
      </c>
      <c r="V185" s="10">
        <v>8400</v>
      </c>
      <c r="W185" s="10">
        <v>8400</v>
      </c>
      <c r="X185" s="10">
        <v>8400</v>
      </c>
      <c r="Y185" s="10">
        <v>8400</v>
      </c>
      <c r="Z185" s="10">
        <v>8400</v>
      </c>
      <c r="AA185" s="13">
        <v>8400</v>
      </c>
      <c r="AB185" s="6">
        <f t="shared" si="3"/>
        <v>201600</v>
      </c>
      <c r="AC185" s="6">
        <v>0</v>
      </c>
      <c r="AD185" s="52"/>
    </row>
    <row r="186" spans="2:30">
      <c r="B186" s="47">
        <v>47757</v>
      </c>
      <c r="C186" s="8" t="s">
        <v>5</v>
      </c>
      <c r="D186" s="7">
        <v>8400</v>
      </c>
      <c r="E186" s="7">
        <v>8400</v>
      </c>
      <c r="F186" s="7">
        <v>8400</v>
      </c>
      <c r="G186" s="7">
        <v>8400</v>
      </c>
      <c r="H186" s="7">
        <v>8400</v>
      </c>
      <c r="I186" s="7">
        <v>8400</v>
      </c>
      <c r="J186" s="7">
        <v>8400</v>
      </c>
      <c r="K186" s="7">
        <v>8400</v>
      </c>
      <c r="L186" s="7">
        <v>8400</v>
      </c>
      <c r="M186" s="7">
        <v>8400</v>
      </c>
      <c r="N186" s="7">
        <v>8400</v>
      </c>
      <c r="O186" s="7">
        <v>8400</v>
      </c>
      <c r="P186" s="7">
        <v>8400</v>
      </c>
      <c r="Q186" s="7">
        <v>8400</v>
      </c>
      <c r="R186" s="7">
        <v>8400</v>
      </c>
      <c r="S186" s="7">
        <v>8400</v>
      </c>
      <c r="T186" s="7">
        <v>8400</v>
      </c>
      <c r="U186" s="7">
        <v>8400</v>
      </c>
      <c r="V186" s="7">
        <v>8400</v>
      </c>
      <c r="W186" s="7">
        <v>8400</v>
      </c>
      <c r="X186" s="7">
        <v>8400</v>
      </c>
      <c r="Y186" s="7">
        <v>8400</v>
      </c>
      <c r="Z186" s="7">
        <v>8400</v>
      </c>
      <c r="AA186" s="11">
        <v>8400</v>
      </c>
      <c r="AB186" s="5">
        <f t="shared" si="3"/>
        <v>201600</v>
      </c>
      <c r="AC186" s="5">
        <v>22</v>
      </c>
      <c r="AD186" s="50">
        <f>(AB186*AC186)+(AB187*AC187)+(AB188*AC188)+(AB189*AC189)</f>
        <v>6249600</v>
      </c>
    </row>
    <row r="187" spans="2:30">
      <c r="B187" s="48"/>
      <c r="C187" s="1" t="s">
        <v>6</v>
      </c>
      <c r="D187" s="2">
        <v>8400</v>
      </c>
      <c r="E187" s="2">
        <v>8400</v>
      </c>
      <c r="F187" s="2">
        <v>8400</v>
      </c>
      <c r="G187" s="2">
        <v>8400</v>
      </c>
      <c r="H187" s="2">
        <v>8400</v>
      </c>
      <c r="I187" s="2">
        <v>8400</v>
      </c>
      <c r="J187" s="2">
        <v>8400</v>
      </c>
      <c r="K187" s="2">
        <v>8400</v>
      </c>
      <c r="L187" s="2">
        <v>8400</v>
      </c>
      <c r="M187" s="2">
        <v>8400</v>
      </c>
      <c r="N187" s="2">
        <v>8400</v>
      </c>
      <c r="O187" s="2">
        <v>8400</v>
      </c>
      <c r="P187" s="2">
        <v>8400</v>
      </c>
      <c r="Q187" s="2">
        <v>8400</v>
      </c>
      <c r="R187" s="2">
        <v>8400</v>
      </c>
      <c r="S187" s="2">
        <v>8400</v>
      </c>
      <c r="T187" s="2">
        <v>8400</v>
      </c>
      <c r="U187" s="2">
        <v>8400</v>
      </c>
      <c r="V187" s="2">
        <v>8400</v>
      </c>
      <c r="W187" s="2">
        <v>8400</v>
      </c>
      <c r="X187" s="2">
        <v>8400</v>
      </c>
      <c r="Y187" s="2">
        <v>8400</v>
      </c>
      <c r="Z187" s="2">
        <v>8400</v>
      </c>
      <c r="AA187" s="12">
        <v>8400</v>
      </c>
      <c r="AB187" s="3">
        <f t="shared" si="3"/>
        <v>201600</v>
      </c>
      <c r="AC187" s="3">
        <v>4</v>
      </c>
      <c r="AD187" s="51"/>
    </row>
    <row r="188" spans="2:30">
      <c r="B188" s="48"/>
      <c r="C188" s="1" t="s">
        <v>7</v>
      </c>
      <c r="D188" s="2">
        <v>8400</v>
      </c>
      <c r="E188" s="2">
        <v>8400</v>
      </c>
      <c r="F188" s="2">
        <v>8400</v>
      </c>
      <c r="G188" s="2">
        <v>8400</v>
      </c>
      <c r="H188" s="2">
        <v>8400</v>
      </c>
      <c r="I188" s="2">
        <v>8400</v>
      </c>
      <c r="J188" s="2">
        <v>8400</v>
      </c>
      <c r="K188" s="2">
        <v>8400</v>
      </c>
      <c r="L188" s="2">
        <v>8400</v>
      </c>
      <c r="M188" s="2">
        <v>8400</v>
      </c>
      <c r="N188" s="2">
        <v>8400</v>
      </c>
      <c r="O188" s="2">
        <v>8400</v>
      </c>
      <c r="P188" s="2">
        <v>8400</v>
      </c>
      <c r="Q188" s="2">
        <v>8400</v>
      </c>
      <c r="R188" s="2">
        <v>8400</v>
      </c>
      <c r="S188" s="2">
        <v>8400</v>
      </c>
      <c r="T188" s="2">
        <v>8400</v>
      </c>
      <c r="U188" s="2">
        <v>8400</v>
      </c>
      <c r="V188" s="2">
        <v>8400</v>
      </c>
      <c r="W188" s="2">
        <v>8400</v>
      </c>
      <c r="X188" s="2">
        <v>8400</v>
      </c>
      <c r="Y188" s="2">
        <v>8400</v>
      </c>
      <c r="Z188" s="2">
        <v>8400</v>
      </c>
      <c r="AA188" s="12">
        <v>8400</v>
      </c>
      <c r="AB188" s="3">
        <f t="shared" si="3"/>
        <v>201600</v>
      </c>
      <c r="AC188" s="3">
        <v>4</v>
      </c>
      <c r="AD188" s="51"/>
    </row>
    <row r="189" spans="2:30" ht="15" thickBot="1">
      <c r="B189" s="49"/>
      <c r="C189" s="9" t="s">
        <v>8</v>
      </c>
      <c r="D189" s="10">
        <v>8400</v>
      </c>
      <c r="E189" s="10">
        <v>8400</v>
      </c>
      <c r="F189" s="10">
        <v>8400</v>
      </c>
      <c r="G189" s="10">
        <v>8400</v>
      </c>
      <c r="H189" s="10">
        <v>8400</v>
      </c>
      <c r="I189" s="10">
        <v>8400</v>
      </c>
      <c r="J189" s="10">
        <v>8400</v>
      </c>
      <c r="K189" s="10">
        <v>8400</v>
      </c>
      <c r="L189" s="10">
        <v>8400</v>
      </c>
      <c r="M189" s="10">
        <v>8400</v>
      </c>
      <c r="N189" s="10">
        <v>8400</v>
      </c>
      <c r="O189" s="10">
        <v>8400</v>
      </c>
      <c r="P189" s="10">
        <v>8400</v>
      </c>
      <c r="Q189" s="10">
        <v>8400</v>
      </c>
      <c r="R189" s="10">
        <v>8400</v>
      </c>
      <c r="S189" s="10">
        <v>8400</v>
      </c>
      <c r="T189" s="10">
        <v>8400</v>
      </c>
      <c r="U189" s="10">
        <v>8400</v>
      </c>
      <c r="V189" s="10">
        <v>8400</v>
      </c>
      <c r="W189" s="10">
        <v>8400</v>
      </c>
      <c r="X189" s="10">
        <v>8400</v>
      </c>
      <c r="Y189" s="10">
        <v>8400</v>
      </c>
      <c r="Z189" s="10">
        <v>8400</v>
      </c>
      <c r="AA189" s="13">
        <v>8400</v>
      </c>
      <c r="AB189" s="6">
        <f t="shared" si="3"/>
        <v>201600</v>
      </c>
      <c r="AC189" s="6">
        <v>1</v>
      </c>
      <c r="AD189" s="52"/>
    </row>
    <row r="190" spans="2:30">
      <c r="B190" s="47">
        <v>47788</v>
      </c>
      <c r="C190" s="8" t="s">
        <v>5</v>
      </c>
      <c r="D190" s="7">
        <v>8400</v>
      </c>
      <c r="E190" s="7">
        <v>8400</v>
      </c>
      <c r="F190" s="7">
        <v>8400</v>
      </c>
      <c r="G190" s="7">
        <v>8400</v>
      </c>
      <c r="H190" s="7">
        <v>8400</v>
      </c>
      <c r="I190" s="7">
        <v>8400</v>
      </c>
      <c r="J190" s="7">
        <v>8400</v>
      </c>
      <c r="K190" s="7">
        <v>8400</v>
      </c>
      <c r="L190" s="7">
        <v>8400</v>
      </c>
      <c r="M190" s="7">
        <v>8400</v>
      </c>
      <c r="N190" s="7">
        <v>8400</v>
      </c>
      <c r="O190" s="7">
        <v>8400</v>
      </c>
      <c r="P190" s="7">
        <v>8400</v>
      </c>
      <c r="Q190" s="7">
        <v>8400</v>
      </c>
      <c r="R190" s="7">
        <v>8400</v>
      </c>
      <c r="S190" s="7">
        <v>8400</v>
      </c>
      <c r="T190" s="7">
        <v>8400</v>
      </c>
      <c r="U190" s="7">
        <v>8400</v>
      </c>
      <c r="V190" s="7">
        <v>8400</v>
      </c>
      <c r="W190" s="7">
        <v>8400</v>
      </c>
      <c r="X190" s="7">
        <v>8400</v>
      </c>
      <c r="Y190" s="7">
        <v>8400</v>
      </c>
      <c r="Z190" s="7">
        <v>8400</v>
      </c>
      <c r="AA190" s="11">
        <v>8400</v>
      </c>
      <c r="AB190" s="5">
        <f t="shared" si="3"/>
        <v>201600</v>
      </c>
      <c r="AC190" s="5">
        <v>19</v>
      </c>
      <c r="AD190" s="50">
        <f>(AB190*AC190)+(AB191*AC191)+(AB192*AC192)+(AB193*AC193)</f>
        <v>6048000</v>
      </c>
    </row>
    <row r="191" spans="2:30">
      <c r="B191" s="48"/>
      <c r="C191" s="1" t="s">
        <v>6</v>
      </c>
      <c r="D191" s="2">
        <v>8400</v>
      </c>
      <c r="E191" s="2">
        <v>8400</v>
      </c>
      <c r="F191" s="2">
        <v>8400</v>
      </c>
      <c r="G191" s="2">
        <v>8400</v>
      </c>
      <c r="H191" s="2">
        <v>8400</v>
      </c>
      <c r="I191" s="2">
        <v>8400</v>
      </c>
      <c r="J191" s="2">
        <v>8400</v>
      </c>
      <c r="K191" s="2">
        <v>8400</v>
      </c>
      <c r="L191" s="2">
        <v>8400</v>
      </c>
      <c r="M191" s="2">
        <v>8400</v>
      </c>
      <c r="N191" s="2">
        <v>8400</v>
      </c>
      <c r="O191" s="2">
        <v>8400</v>
      </c>
      <c r="P191" s="2">
        <v>8400</v>
      </c>
      <c r="Q191" s="2">
        <v>8400</v>
      </c>
      <c r="R191" s="2">
        <v>8400</v>
      </c>
      <c r="S191" s="2">
        <v>8400</v>
      </c>
      <c r="T191" s="2">
        <v>8400</v>
      </c>
      <c r="U191" s="2">
        <v>8400</v>
      </c>
      <c r="V191" s="2">
        <v>8400</v>
      </c>
      <c r="W191" s="2">
        <v>8400</v>
      </c>
      <c r="X191" s="2">
        <v>8400</v>
      </c>
      <c r="Y191" s="2">
        <v>8400</v>
      </c>
      <c r="Z191" s="2">
        <v>8400</v>
      </c>
      <c r="AA191" s="12">
        <v>8400</v>
      </c>
      <c r="AB191" s="3">
        <f t="shared" si="3"/>
        <v>201600</v>
      </c>
      <c r="AC191" s="3">
        <v>5</v>
      </c>
      <c r="AD191" s="51"/>
    </row>
    <row r="192" spans="2:30">
      <c r="B192" s="48"/>
      <c r="C192" s="1" t="s">
        <v>7</v>
      </c>
      <c r="D192" s="2">
        <v>8400</v>
      </c>
      <c r="E192" s="2">
        <v>8400</v>
      </c>
      <c r="F192" s="2">
        <v>8400</v>
      </c>
      <c r="G192" s="2">
        <v>8400</v>
      </c>
      <c r="H192" s="2">
        <v>8400</v>
      </c>
      <c r="I192" s="2">
        <v>8400</v>
      </c>
      <c r="J192" s="2">
        <v>8400</v>
      </c>
      <c r="K192" s="2">
        <v>8400</v>
      </c>
      <c r="L192" s="2">
        <v>8400</v>
      </c>
      <c r="M192" s="2">
        <v>8400</v>
      </c>
      <c r="N192" s="2">
        <v>8400</v>
      </c>
      <c r="O192" s="2">
        <v>8400</v>
      </c>
      <c r="P192" s="2">
        <v>8400</v>
      </c>
      <c r="Q192" s="2">
        <v>8400</v>
      </c>
      <c r="R192" s="2">
        <v>8400</v>
      </c>
      <c r="S192" s="2">
        <v>8400</v>
      </c>
      <c r="T192" s="2">
        <v>8400</v>
      </c>
      <c r="U192" s="2">
        <v>8400</v>
      </c>
      <c r="V192" s="2">
        <v>8400</v>
      </c>
      <c r="W192" s="2">
        <v>8400</v>
      </c>
      <c r="X192" s="2">
        <v>8400</v>
      </c>
      <c r="Y192" s="2">
        <v>8400</v>
      </c>
      <c r="Z192" s="2">
        <v>8400</v>
      </c>
      <c r="AA192" s="12">
        <v>8400</v>
      </c>
      <c r="AB192" s="3">
        <f t="shared" si="3"/>
        <v>201600</v>
      </c>
      <c r="AC192" s="3">
        <v>4</v>
      </c>
      <c r="AD192" s="51"/>
    </row>
    <row r="193" spans="2:30" ht="15" thickBot="1">
      <c r="B193" s="49"/>
      <c r="C193" s="9" t="s">
        <v>8</v>
      </c>
      <c r="D193" s="10">
        <v>8400</v>
      </c>
      <c r="E193" s="10">
        <v>8400</v>
      </c>
      <c r="F193" s="10">
        <v>8400</v>
      </c>
      <c r="G193" s="10">
        <v>8400</v>
      </c>
      <c r="H193" s="10">
        <v>8400</v>
      </c>
      <c r="I193" s="10">
        <v>8400</v>
      </c>
      <c r="J193" s="10">
        <v>8400</v>
      </c>
      <c r="K193" s="10">
        <v>8400</v>
      </c>
      <c r="L193" s="10">
        <v>8400</v>
      </c>
      <c r="M193" s="10">
        <v>8400</v>
      </c>
      <c r="N193" s="10">
        <v>8400</v>
      </c>
      <c r="O193" s="10">
        <v>8400</v>
      </c>
      <c r="P193" s="10">
        <v>8400</v>
      </c>
      <c r="Q193" s="10">
        <v>8400</v>
      </c>
      <c r="R193" s="10">
        <v>8400</v>
      </c>
      <c r="S193" s="10">
        <v>8400</v>
      </c>
      <c r="T193" s="10">
        <v>8400</v>
      </c>
      <c r="U193" s="10">
        <v>8400</v>
      </c>
      <c r="V193" s="10">
        <v>8400</v>
      </c>
      <c r="W193" s="10">
        <v>8400</v>
      </c>
      <c r="X193" s="10">
        <v>8400</v>
      </c>
      <c r="Y193" s="10">
        <v>8400</v>
      </c>
      <c r="Z193" s="10">
        <v>8400</v>
      </c>
      <c r="AA193" s="13">
        <v>8400</v>
      </c>
      <c r="AB193" s="6">
        <f t="shared" si="3"/>
        <v>201600</v>
      </c>
      <c r="AC193" s="6">
        <v>2</v>
      </c>
      <c r="AD193" s="52"/>
    </row>
    <row r="194" spans="2:30">
      <c r="B194" s="47">
        <v>47818</v>
      </c>
      <c r="C194" s="8" t="s">
        <v>5</v>
      </c>
      <c r="D194" s="7">
        <v>8400</v>
      </c>
      <c r="E194" s="7">
        <v>8400</v>
      </c>
      <c r="F194" s="7">
        <v>8400</v>
      </c>
      <c r="G194" s="7">
        <v>8400</v>
      </c>
      <c r="H194" s="7">
        <v>8400</v>
      </c>
      <c r="I194" s="7">
        <v>8400</v>
      </c>
      <c r="J194" s="7">
        <v>8400</v>
      </c>
      <c r="K194" s="7">
        <v>8400</v>
      </c>
      <c r="L194" s="7">
        <v>8400</v>
      </c>
      <c r="M194" s="7">
        <v>8400</v>
      </c>
      <c r="N194" s="7">
        <v>8400</v>
      </c>
      <c r="O194" s="7">
        <v>8400</v>
      </c>
      <c r="P194" s="7">
        <v>8400</v>
      </c>
      <c r="Q194" s="7">
        <v>8400</v>
      </c>
      <c r="R194" s="7">
        <v>8400</v>
      </c>
      <c r="S194" s="7">
        <v>8400</v>
      </c>
      <c r="T194" s="7">
        <v>8400</v>
      </c>
      <c r="U194" s="7">
        <v>8400</v>
      </c>
      <c r="V194" s="7">
        <v>8400</v>
      </c>
      <c r="W194" s="7">
        <v>8400</v>
      </c>
      <c r="X194" s="7">
        <v>8400</v>
      </c>
      <c r="Y194" s="7">
        <v>8400</v>
      </c>
      <c r="Z194" s="7">
        <v>8400</v>
      </c>
      <c r="AA194" s="11">
        <v>8400</v>
      </c>
      <c r="AB194" s="5">
        <f t="shared" si="3"/>
        <v>201600</v>
      </c>
      <c r="AC194" s="5">
        <v>21</v>
      </c>
      <c r="AD194" s="50">
        <f>(AB194*AC194)+(AB195*AC195)+(AB196*AC196)+(AB197*AC197)</f>
        <v>6249600</v>
      </c>
    </row>
    <row r="195" spans="2:30">
      <c r="B195" s="48"/>
      <c r="C195" s="1" t="s">
        <v>6</v>
      </c>
      <c r="D195" s="2">
        <v>8400</v>
      </c>
      <c r="E195" s="2">
        <v>8400</v>
      </c>
      <c r="F195" s="2">
        <v>8400</v>
      </c>
      <c r="G195" s="2">
        <v>8400</v>
      </c>
      <c r="H195" s="2">
        <v>8400</v>
      </c>
      <c r="I195" s="2">
        <v>8400</v>
      </c>
      <c r="J195" s="2">
        <v>8400</v>
      </c>
      <c r="K195" s="2">
        <v>8400</v>
      </c>
      <c r="L195" s="2">
        <v>8400</v>
      </c>
      <c r="M195" s="2">
        <v>8400</v>
      </c>
      <c r="N195" s="2">
        <v>8400</v>
      </c>
      <c r="O195" s="2">
        <v>8400</v>
      </c>
      <c r="P195" s="2">
        <v>8400</v>
      </c>
      <c r="Q195" s="2">
        <v>8400</v>
      </c>
      <c r="R195" s="2">
        <v>8400</v>
      </c>
      <c r="S195" s="2">
        <v>8400</v>
      </c>
      <c r="T195" s="2">
        <v>8400</v>
      </c>
      <c r="U195" s="2">
        <v>8400</v>
      </c>
      <c r="V195" s="2">
        <v>8400</v>
      </c>
      <c r="W195" s="2">
        <v>8400</v>
      </c>
      <c r="X195" s="2">
        <v>8400</v>
      </c>
      <c r="Y195" s="2">
        <v>8400</v>
      </c>
      <c r="Z195" s="2">
        <v>8400</v>
      </c>
      <c r="AA195" s="12">
        <v>8400</v>
      </c>
      <c r="AB195" s="3">
        <f t="shared" si="3"/>
        <v>201600</v>
      </c>
      <c r="AC195" s="3">
        <v>4</v>
      </c>
      <c r="AD195" s="51"/>
    </row>
    <row r="196" spans="2:30">
      <c r="B196" s="48"/>
      <c r="C196" s="1" t="s">
        <v>7</v>
      </c>
      <c r="D196" s="2">
        <v>8400</v>
      </c>
      <c r="E196" s="2">
        <v>8400</v>
      </c>
      <c r="F196" s="2">
        <v>8400</v>
      </c>
      <c r="G196" s="2">
        <v>8400</v>
      </c>
      <c r="H196" s="2">
        <v>8400</v>
      </c>
      <c r="I196" s="2">
        <v>8400</v>
      </c>
      <c r="J196" s="2">
        <v>8400</v>
      </c>
      <c r="K196" s="2">
        <v>8400</v>
      </c>
      <c r="L196" s="2">
        <v>8400</v>
      </c>
      <c r="M196" s="2">
        <v>8400</v>
      </c>
      <c r="N196" s="2">
        <v>8400</v>
      </c>
      <c r="O196" s="2">
        <v>8400</v>
      </c>
      <c r="P196" s="2">
        <v>8400</v>
      </c>
      <c r="Q196" s="2">
        <v>8400</v>
      </c>
      <c r="R196" s="2">
        <v>8400</v>
      </c>
      <c r="S196" s="2">
        <v>8400</v>
      </c>
      <c r="T196" s="2">
        <v>8400</v>
      </c>
      <c r="U196" s="2">
        <v>8400</v>
      </c>
      <c r="V196" s="2">
        <v>8400</v>
      </c>
      <c r="W196" s="2">
        <v>8400</v>
      </c>
      <c r="X196" s="2">
        <v>8400</v>
      </c>
      <c r="Y196" s="2">
        <v>8400</v>
      </c>
      <c r="Z196" s="2">
        <v>8400</v>
      </c>
      <c r="AA196" s="12">
        <v>8400</v>
      </c>
      <c r="AB196" s="3">
        <f t="shared" si="3"/>
        <v>201600</v>
      </c>
      <c r="AC196" s="3">
        <v>4</v>
      </c>
      <c r="AD196" s="51"/>
    </row>
    <row r="197" spans="2:30" ht="15" thickBot="1">
      <c r="B197" s="49"/>
      <c r="C197" s="9" t="s">
        <v>8</v>
      </c>
      <c r="D197" s="10">
        <v>8400</v>
      </c>
      <c r="E197" s="10">
        <v>8400</v>
      </c>
      <c r="F197" s="10">
        <v>8400</v>
      </c>
      <c r="G197" s="10">
        <v>8400</v>
      </c>
      <c r="H197" s="10">
        <v>8400</v>
      </c>
      <c r="I197" s="10">
        <v>8400</v>
      </c>
      <c r="J197" s="10">
        <v>8400</v>
      </c>
      <c r="K197" s="10">
        <v>8400</v>
      </c>
      <c r="L197" s="10">
        <v>8400</v>
      </c>
      <c r="M197" s="10">
        <v>8400</v>
      </c>
      <c r="N197" s="10">
        <v>8400</v>
      </c>
      <c r="O197" s="10">
        <v>8400</v>
      </c>
      <c r="P197" s="10">
        <v>8400</v>
      </c>
      <c r="Q197" s="10">
        <v>8400</v>
      </c>
      <c r="R197" s="10">
        <v>8400</v>
      </c>
      <c r="S197" s="10">
        <v>8400</v>
      </c>
      <c r="T197" s="10">
        <v>8400</v>
      </c>
      <c r="U197" s="10">
        <v>8400</v>
      </c>
      <c r="V197" s="10">
        <v>8400</v>
      </c>
      <c r="W197" s="10">
        <v>8400</v>
      </c>
      <c r="X197" s="10">
        <v>8400</v>
      </c>
      <c r="Y197" s="10">
        <v>8400</v>
      </c>
      <c r="Z197" s="10">
        <v>8400</v>
      </c>
      <c r="AA197" s="13">
        <v>8400</v>
      </c>
      <c r="AB197" s="6">
        <f t="shared" si="3"/>
        <v>201600</v>
      </c>
      <c r="AC197" s="6">
        <v>2</v>
      </c>
      <c r="AD197" s="52"/>
    </row>
    <row r="198" spans="2:30" ht="15" thickBot="1">
      <c r="AD198" s="17">
        <f>SUM(AD6:AD197)</f>
        <v>241456800</v>
      </c>
    </row>
  </sheetData>
  <mergeCells count="99">
    <mergeCell ref="B2:AB2"/>
    <mergeCell ref="B3:AB3"/>
    <mergeCell ref="B4:AB4"/>
    <mergeCell ref="B6:B9"/>
    <mergeCell ref="AD6:AD9"/>
    <mergeCell ref="B22:B25"/>
    <mergeCell ref="AD22:AD25"/>
    <mergeCell ref="B26:B29"/>
    <mergeCell ref="AD26:AD29"/>
    <mergeCell ref="B30:B33"/>
    <mergeCell ref="AD30:AD33"/>
    <mergeCell ref="B10:B13"/>
    <mergeCell ref="AD10:AD13"/>
    <mergeCell ref="B14:B17"/>
    <mergeCell ref="AD14:AD17"/>
    <mergeCell ref="B18:B21"/>
    <mergeCell ref="AD18:AD21"/>
    <mergeCell ref="B46:B49"/>
    <mergeCell ref="AD46:AD49"/>
    <mergeCell ref="B50:B53"/>
    <mergeCell ref="AD50:AD53"/>
    <mergeCell ref="B34:B37"/>
    <mergeCell ref="AD34:AD37"/>
    <mergeCell ref="B38:B41"/>
    <mergeCell ref="AD38:AD41"/>
    <mergeCell ref="B42:B45"/>
    <mergeCell ref="AD42:AD45"/>
    <mergeCell ref="B66:B69"/>
    <mergeCell ref="AD66:AD69"/>
    <mergeCell ref="B70:B73"/>
    <mergeCell ref="AD70:AD73"/>
    <mergeCell ref="B74:B77"/>
    <mergeCell ref="AD74:AD77"/>
    <mergeCell ref="B54:B57"/>
    <mergeCell ref="AD54:AD57"/>
    <mergeCell ref="B58:B61"/>
    <mergeCell ref="AD58:AD61"/>
    <mergeCell ref="B62:B65"/>
    <mergeCell ref="AD62:AD65"/>
    <mergeCell ref="B90:B93"/>
    <mergeCell ref="AD90:AD93"/>
    <mergeCell ref="B94:B97"/>
    <mergeCell ref="AD94:AD97"/>
    <mergeCell ref="B98:B101"/>
    <mergeCell ref="AD98:AD101"/>
    <mergeCell ref="B78:B81"/>
    <mergeCell ref="AD78:AD81"/>
    <mergeCell ref="B82:B85"/>
    <mergeCell ref="AD82:AD85"/>
    <mergeCell ref="B86:B89"/>
    <mergeCell ref="AD86:AD89"/>
    <mergeCell ref="B114:B117"/>
    <mergeCell ref="AD114:AD117"/>
    <mergeCell ref="B118:B121"/>
    <mergeCell ref="AD118:AD121"/>
    <mergeCell ref="B122:B125"/>
    <mergeCell ref="AD122:AD125"/>
    <mergeCell ref="B102:B105"/>
    <mergeCell ref="AD102:AD105"/>
    <mergeCell ref="B106:B109"/>
    <mergeCell ref="AD106:AD109"/>
    <mergeCell ref="B110:B113"/>
    <mergeCell ref="AD110:AD113"/>
    <mergeCell ref="B138:B141"/>
    <mergeCell ref="AD138:AD141"/>
    <mergeCell ref="B142:B145"/>
    <mergeCell ref="AD142:AD145"/>
    <mergeCell ref="B146:B149"/>
    <mergeCell ref="AD146:AD149"/>
    <mergeCell ref="B126:B129"/>
    <mergeCell ref="AD126:AD129"/>
    <mergeCell ref="B130:B133"/>
    <mergeCell ref="AD130:AD133"/>
    <mergeCell ref="B134:B137"/>
    <mergeCell ref="AD134:AD137"/>
    <mergeCell ref="B162:B165"/>
    <mergeCell ref="AD162:AD165"/>
    <mergeCell ref="B166:B169"/>
    <mergeCell ref="AD166:AD169"/>
    <mergeCell ref="B170:B173"/>
    <mergeCell ref="AD170:AD173"/>
    <mergeCell ref="B150:B153"/>
    <mergeCell ref="AD150:AD153"/>
    <mergeCell ref="B154:B157"/>
    <mergeCell ref="AD154:AD157"/>
    <mergeCell ref="B158:B161"/>
    <mergeCell ref="AD158:AD161"/>
    <mergeCell ref="B186:B189"/>
    <mergeCell ref="AD186:AD189"/>
    <mergeCell ref="B190:B193"/>
    <mergeCell ref="AD190:AD193"/>
    <mergeCell ref="B194:B197"/>
    <mergeCell ref="AD194:AD197"/>
    <mergeCell ref="B174:B177"/>
    <mergeCell ref="AD174:AD177"/>
    <mergeCell ref="B178:B181"/>
    <mergeCell ref="AD178:AD181"/>
    <mergeCell ref="B182:B185"/>
    <mergeCell ref="AD182:AD185"/>
  </mergeCells>
  <phoneticPr fontId="9" type="noConversion"/>
  <conditionalFormatting sqref="D6:AA197">
    <cfRule type="cellIs" dxfId="1" priority="1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4DF29-3962-48C6-91B0-432C77D06C94}">
  <dimension ref="B3:H66"/>
  <sheetViews>
    <sheetView showGridLines="0" tabSelected="1" zoomScale="90" zoomScaleNormal="90" workbookViewId="0">
      <selection activeCell="G2" sqref="B2:G59"/>
    </sheetView>
  </sheetViews>
  <sheetFormatPr baseColWidth="10" defaultColWidth="11.453125" defaultRowHeight="14.5"/>
  <cols>
    <col min="1" max="3" width="11.453125" style="18"/>
    <col min="4" max="4" width="15.26953125" style="18" customWidth="1"/>
    <col min="5" max="5" width="11.453125" style="18"/>
    <col min="6" max="6" width="12.7265625" style="18" bestFit="1" customWidth="1"/>
    <col min="7" max="7" width="11.453125" style="18"/>
    <col min="8" max="8" width="14.1796875" style="80" bestFit="1" customWidth="1"/>
    <col min="9" max="16384" width="11.453125" style="18"/>
  </cols>
  <sheetData>
    <row r="3" spans="2:7" ht="15" thickBot="1"/>
    <row r="4" spans="2:7">
      <c r="B4" s="57" t="s">
        <v>36</v>
      </c>
      <c r="C4" s="58"/>
      <c r="D4" s="58"/>
      <c r="E4" s="58"/>
      <c r="F4" s="58"/>
      <c r="G4" s="59"/>
    </row>
    <row r="5" spans="2:7">
      <c r="B5" s="60" t="s">
        <v>9</v>
      </c>
      <c r="C5" s="61"/>
      <c r="D5" s="61"/>
      <c r="E5" s="61"/>
      <c r="F5" s="61"/>
      <c r="G5" s="62"/>
    </row>
    <row r="6" spans="2:7">
      <c r="B6" s="63" t="s">
        <v>10</v>
      </c>
      <c r="C6" s="64"/>
      <c r="D6" s="64"/>
      <c r="E6" s="64"/>
      <c r="F6" s="64"/>
      <c r="G6" s="65"/>
    </row>
    <row r="7" spans="2:7" ht="15" thickBot="1">
      <c r="B7" s="66" t="s">
        <v>42</v>
      </c>
      <c r="C7" s="67"/>
      <c r="D7" s="67"/>
      <c r="E7" s="67"/>
      <c r="F7" s="67"/>
      <c r="G7" s="68"/>
    </row>
    <row r="8" spans="2:7" ht="15" thickBot="1">
      <c r="B8" s="69" t="s">
        <v>11</v>
      </c>
      <c r="C8" s="70"/>
      <c r="D8" s="70"/>
      <c r="E8" s="70"/>
      <c r="F8" s="70"/>
      <c r="G8" s="71"/>
    </row>
    <row r="9" spans="2:7" ht="15.75" customHeight="1" thickBot="1">
      <c r="B9" s="72" t="s">
        <v>12</v>
      </c>
      <c r="C9" s="72" t="s">
        <v>13</v>
      </c>
      <c r="D9" s="75" t="s">
        <v>38</v>
      </c>
      <c r="E9" s="75"/>
      <c r="F9" s="75"/>
      <c r="G9" s="76"/>
    </row>
    <row r="10" spans="2:7" ht="26.5" thickBot="1">
      <c r="B10" s="73"/>
      <c r="C10" s="74"/>
      <c r="D10" s="19" t="s">
        <v>14</v>
      </c>
      <c r="E10" s="21" t="s">
        <v>15</v>
      </c>
      <c r="F10" s="20" t="s">
        <v>16</v>
      </c>
      <c r="G10" s="22" t="s">
        <v>17</v>
      </c>
    </row>
    <row r="11" spans="2:7">
      <c r="B11" s="33">
        <v>2026</v>
      </c>
      <c r="C11" s="34" t="s">
        <v>25</v>
      </c>
      <c r="D11" s="35">
        <f>+'Producto 1 Plano 26-30'!AE6</f>
        <v>4278000</v>
      </c>
      <c r="E11" s="77"/>
      <c r="F11" s="26">
        <f t="shared" ref="F11:F22" si="0">+E11*D11</f>
        <v>0</v>
      </c>
      <c r="G11" s="27"/>
    </row>
    <row r="12" spans="2:7">
      <c r="B12" s="23">
        <v>2026</v>
      </c>
      <c r="C12" s="24" t="s">
        <v>26</v>
      </c>
      <c r="D12" s="25">
        <f>+'Producto 1 Plano 26-30'!AE7</f>
        <v>3864000</v>
      </c>
      <c r="E12" s="77"/>
      <c r="F12" s="26">
        <f t="shared" si="0"/>
        <v>0</v>
      </c>
      <c r="G12" s="27"/>
    </row>
    <row r="13" spans="2:7">
      <c r="B13" s="23">
        <v>2026</v>
      </c>
      <c r="C13" s="24" t="s">
        <v>27</v>
      </c>
      <c r="D13" s="25">
        <f>+'Producto 1 Plano 26-30'!AE8</f>
        <v>4278000</v>
      </c>
      <c r="E13" s="77"/>
      <c r="F13" s="26">
        <f t="shared" si="0"/>
        <v>0</v>
      </c>
      <c r="G13" s="27"/>
    </row>
    <row r="14" spans="2:7">
      <c r="B14" s="23">
        <v>2026</v>
      </c>
      <c r="C14" s="24" t="s">
        <v>28</v>
      </c>
      <c r="D14" s="25">
        <f>+'Producto 1 Plano 26-30'!AE9</f>
        <v>4140000</v>
      </c>
      <c r="E14" s="77"/>
      <c r="F14" s="26">
        <f t="shared" si="0"/>
        <v>0</v>
      </c>
      <c r="G14" s="27"/>
    </row>
    <row r="15" spans="2:7">
      <c r="B15" s="23">
        <v>2026</v>
      </c>
      <c r="C15" s="24" t="s">
        <v>29</v>
      </c>
      <c r="D15" s="25">
        <f>+'Producto 1 Plano 26-30'!AE10</f>
        <v>4278000</v>
      </c>
      <c r="E15" s="77"/>
      <c r="F15" s="26">
        <f t="shared" si="0"/>
        <v>0</v>
      </c>
      <c r="G15" s="27"/>
    </row>
    <row r="16" spans="2:7">
      <c r="B16" s="23">
        <v>2026</v>
      </c>
      <c r="C16" s="24" t="s">
        <v>18</v>
      </c>
      <c r="D16" s="25">
        <f>+'Producto 1 Plano 26-30'!AE11</f>
        <v>4140000</v>
      </c>
      <c r="E16" s="77"/>
      <c r="F16" s="26">
        <f t="shared" si="0"/>
        <v>0</v>
      </c>
      <c r="G16" s="27"/>
    </row>
    <row r="17" spans="2:8">
      <c r="B17" s="23">
        <v>2026</v>
      </c>
      <c r="C17" s="24" t="s">
        <v>19</v>
      </c>
      <c r="D17" s="25">
        <f>+'Producto 1 Plano 26-30'!AE12</f>
        <v>4278000</v>
      </c>
      <c r="E17" s="77"/>
      <c r="F17" s="26">
        <f t="shared" si="0"/>
        <v>0</v>
      </c>
      <c r="G17" s="27"/>
    </row>
    <row r="18" spans="2:8">
      <c r="B18" s="23">
        <v>2026</v>
      </c>
      <c r="C18" s="24" t="s">
        <v>20</v>
      </c>
      <c r="D18" s="25">
        <f>+'Producto 1 Plano 26-30'!AE13</f>
        <v>4278000</v>
      </c>
      <c r="E18" s="77"/>
      <c r="F18" s="26">
        <f t="shared" si="0"/>
        <v>0</v>
      </c>
      <c r="G18" s="27"/>
    </row>
    <row r="19" spans="2:8">
      <c r="B19" s="23">
        <v>2026</v>
      </c>
      <c r="C19" s="24" t="s">
        <v>21</v>
      </c>
      <c r="D19" s="25">
        <f>+'Producto 1 Plano 26-30'!AE14</f>
        <v>4140000</v>
      </c>
      <c r="E19" s="77"/>
      <c r="F19" s="26">
        <f t="shared" si="0"/>
        <v>0</v>
      </c>
      <c r="G19" s="27"/>
    </row>
    <row r="20" spans="2:8">
      <c r="B20" s="23">
        <v>2026</v>
      </c>
      <c r="C20" s="24" t="s">
        <v>22</v>
      </c>
      <c r="D20" s="25">
        <f>+'Producto 1 Plano 26-30'!AE15</f>
        <v>4278000</v>
      </c>
      <c r="E20" s="77"/>
      <c r="F20" s="26">
        <f t="shared" si="0"/>
        <v>0</v>
      </c>
      <c r="G20" s="27"/>
    </row>
    <row r="21" spans="2:8">
      <c r="B21" s="23">
        <v>2026</v>
      </c>
      <c r="C21" s="24" t="s">
        <v>23</v>
      </c>
      <c r="D21" s="25">
        <f>+'Producto 1 Plano 26-30'!AE16</f>
        <v>4140000</v>
      </c>
      <c r="E21" s="77"/>
      <c r="F21" s="26">
        <f t="shared" si="0"/>
        <v>0</v>
      </c>
      <c r="G21" s="27"/>
    </row>
    <row r="22" spans="2:8" ht="15" thickBot="1">
      <c r="B22" s="28">
        <v>2026</v>
      </c>
      <c r="C22" s="29" t="s">
        <v>24</v>
      </c>
      <c r="D22" s="30">
        <f>+'Producto 1 Plano 26-30'!AE17</f>
        <v>4278000</v>
      </c>
      <c r="E22" s="78"/>
      <c r="F22" s="31">
        <f t="shared" si="0"/>
        <v>0</v>
      </c>
      <c r="G22" s="32"/>
      <c r="H22" s="80">
        <f>SUM(D11:D22)</f>
        <v>50370000</v>
      </c>
    </row>
    <row r="23" spans="2:8">
      <c r="B23" s="33">
        <v>2028</v>
      </c>
      <c r="C23" s="34" t="s">
        <v>25</v>
      </c>
      <c r="D23" s="35">
        <f>+'Producto 1 Plano 26-30'!AE18</f>
        <v>3682800</v>
      </c>
      <c r="E23" s="77"/>
      <c r="F23" s="26">
        <f t="shared" ref="F23:F34" si="1">+E23*D23</f>
        <v>0</v>
      </c>
      <c r="G23" s="27"/>
    </row>
    <row r="24" spans="2:8">
      <c r="B24" s="23">
        <v>2028</v>
      </c>
      <c r="C24" s="24" t="s">
        <v>26</v>
      </c>
      <c r="D24" s="25">
        <f>+'Producto 1 Plano 26-30'!AE19</f>
        <v>3445200</v>
      </c>
      <c r="E24" s="77"/>
      <c r="F24" s="26">
        <f t="shared" si="1"/>
        <v>0</v>
      </c>
      <c r="G24" s="27"/>
    </row>
    <row r="25" spans="2:8">
      <c r="B25" s="23">
        <v>2028</v>
      </c>
      <c r="C25" s="24" t="s">
        <v>27</v>
      </c>
      <c r="D25" s="25">
        <f>+'Producto 1 Plano 26-30'!AE20</f>
        <v>3682800</v>
      </c>
      <c r="E25" s="77"/>
      <c r="F25" s="26">
        <f t="shared" si="1"/>
        <v>0</v>
      </c>
      <c r="G25" s="27"/>
    </row>
    <row r="26" spans="2:8">
      <c r="B26" s="23">
        <v>2028</v>
      </c>
      <c r="C26" s="24" t="s">
        <v>28</v>
      </c>
      <c r="D26" s="25">
        <f>+'Producto 1 Plano 26-30'!AE21</f>
        <v>3564000</v>
      </c>
      <c r="E26" s="77"/>
      <c r="F26" s="26">
        <f t="shared" si="1"/>
        <v>0</v>
      </c>
      <c r="G26" s="27"/>
    </row>
    <row r="27" spans="2:8">
      <c r="B27" s="23">
        <v>2028</v>
      </c>
      <c r="C27" s="24" t="s">
        <v>29</v>
      </c>
      <c r="D27" s="25">
        <f>+'Producto 1 Plano 26-30'!AE22</f>
        <v>3682800</v>
      </c>
      <c r="E27" s="77"/>
      <c r="F27" s="26">
        <f t="shared" si="1"/>
        <v>0</v>
      </c>
      <c r="G27" s="27"/>
    </row>
    <row r="28" spans="2:8">
      <c r="B28" s="23">
        <v>2028</v>
      </c>
      <c r="C28" s="24" t="s">
        <v>18</v>
      </c>
      <c r="D28" s="25">
        <f>+'Producto 1 Plano 26-30'!AE23</f>
        <v>3564000</v>
      </c>
      <c r="E28" s="77"/>
      <c r="F28" s="26">
        <f t="shared" si="1"/>
        <v>0</v>
      </c>
      <c r="G28" s="27"/>
    </row>
    <row r="29" spans="2:8">
      <c r="B29" s="23">
        <v>2028</v>
      </c>
      <c r="C29" s="24" t="s">
        <v>19</v>
      </c>
      <c r="D29" s="25">
        <f>+'Producto 1 Plano 26-30'!AE24</f>
        <v>3682800</v>
      </c>
      <c r="E29" s="77"/>
      <c r="F29" s="26">
        <f t="shared" si="1"/>
        <v>0</v>
      </c>
      <c r="G29" s="27"/>
    </row>
    <row r="30" spans="2:8">
      <c r="B30" s="23">
        <v>2028</v>
      </c>
      <c r="C30" s="24" t="s">
        <v>20</v>
      </c>
      <c r="D30" s="25">
        <f>+'Producto 1 Plano 26-30'!AE25</f>
        <v>3682800</v>
      </c>
      <c r="E30" s="77"/>
      <c r="F30" s="26">
        <f t="shared" si="1"/>
        <v>0</v>
      </c>
      <c r="G30" s="27"/>
    </row>
    <row r="31" spans="2:8">
      <c r="B31" s="23">
        <v>2028</v>
      </c>
      <c r="C31" s="24" t="s">
        <v>21</v>
      </c>
      <c r="D31" s="25">
        <f>+'Producto 1 Plano 26-30'!AE26</f>
        <v>3564000</v>
      </c>
      <c r="E31" s="77"/>
      <c r="F31" s="26">
        <f t="shared" si="1"/>
        <v>0</v>
      </c>
      <c r="G31" s="27"/>
    </row>
    <row r="32" spans="2:8">
      <c r="B32" s="23">
        <v>2028</v>
      </c>
      <c r="C32" s="24" t="s">
        <v>22</v>
      </c>
      <c r="D32" s="25">
        <f>+'Producto 1 Plano 26-30'!AE27</f>
        <v>3682800</v>
      </c>
      <c r="E32" s="77"/>
      <c r="F32" s="26">
        <f t="shared" si="1"/>
        <v>0</v>
      </c>
      <c r="G32" s="27"/>
    </row>
    <row r="33" spans="2:8">
      <c r="B33" s="23">
        <v>2028</v>
      </c>
      <c r="C33" s="24" t="s">
        <v>23</v>
      </c>
      <c r="D33" s="25">
        <f>+'Producto 1 Plano 26-30'!AE28</f>
        <v>3564000</v>
      </c>
      <c r="E33" s="77"/>
      <c r="F33" s="26">
        <f t="shared" si="1"/>
        <v>0</v>
      </c>
      <c r="G33" s="27"/>
    </row>
    <row r="34" spans="2:8" ht="15" thickBot="1">
      <c r="B34" s="28">
        <v>2028</v>
      </c>
      <c r="C34" s="29" t="s">
        <v>24</v>
      </c>
      <c r="D34" s="30">
        <f>+'Producto 1 Plano 26-30'!AE29</f>
        <v>3682800</v>
      </c>
      <c r="E34" s="78"/>
      <c r="F34" s="31">
        <f t="shared" si="1"/>
        <v>0</v>
      </c>
      <c r="G34" s="32"/>
      <c r="H34" s="80">
        <f>SUM(D23:D34)</f>
        <v>43480800</v>
      </c>
    </row>
    <row r="35" spans="2:8">
      <c r="B35" s="33">
        <v>2029</v>
      </c>
      <c r="C35" s="34" t="s">
        <v>25</v>
      </c>
      <c r="D35" s="35">
        <f>+'Producto 1 Plano 26-30'!AE30</f>
        <v>6286800</v>
      </c>
      <c r="E35" s="77"/>
      <c r="F35" s="26">
        <f t="shared" ref="F35:F46" si="2">+E35*D35</f>
        <v>0</v>
      </c>
      <c r="G35" s="27"/>
    </row>
    <row r="36" spans="2:8">
      <c r="B36" s="23">
        <v>2029</v>
      </c>
      <c r="C36" s="24" t="s">
        <v>26</v>
      </c>
      <c r="D36" s="25">
        <f>+'Producto 1 Plano 26-30'!AE31</f>
        <v>5678400</v>
      </c>
      <c r="E36" s="77"/>
      <c r="F36" s="26">
        <f t="shared" si="2"/>
        <v>0</v>
      </c>
      <c r="G36" s="27"/>
    </row>
    <row r="37" spans="2:8">
      <c r="B37" s="23">
        <v>2029</v>
      </c>
      <c r="C37" s="24" t="s">
        <v>27</v>
      </c>
      <c r="D37" s="25">
        <f>+'Producto 1 Plano 26-30'!AE32</f>
        <v>6286800</v>
      </c>
      <c r="E37" s="77"/>
      <c r="F37" s="26">
        <f t="shared" si="2"/>
        <v>0</v>
      </c>
      <c r="G37" s="27"/>
    </row>
    <row r="38" spans="2:8">
      <c r="B38" s="23">
        <v>2029</v>
      </c>
      <c r="C38" s="24" t="s">
        <v>28</v>
      </c>
      <c r="D38" s="25">
        <f>+'Producto 1 Plano 26-30'!AE33</f>
        <v>6084000</v>
      </c>
      <c r="E38" s="77"/>
      <c r="F38" s="26">
        <f t="shared" si="2"/>
        <v>0</v>
      </c>
      <c r="G38" s="27"/>
    </row>
    <row r="39" spans="2:8">
      <c r="B39" s="23">
        <v>2029</v>
      </c>
      <c r="C39" s="24" t="s">
        <v>29</v>
      </c>
      <c r="D39" s="25">
        <f>+'Producto 1 Plano 26-30'!AE34</f>
        <v>6286800</v>
      </c>
      <c r="E39" s="77"/>
      <c r="F39" s="26">
        <f t="shared" si="2"/>
        <v>0</v>
      </c>
      <c r="G39" s="27"/>
    </row>
    <row r="40" spans="2:8">
      <c r="B40" s="23">
        <v>2029</v>
      </c>
      <c r="C40" s="24" t="s">
        <v>18</v>
      </c>
      <c r="D40" s="25">
        <f>+'Producto 1 Plano 26-30'!AE35</f>
        <v>6084000</v>
      </c>
      <c r="E40" s="77"/>
      <c r="F40" s="26">
        <f t="shared" si="2"/>
        <v>0</v>
      </c>
      <c r="G40" s="27"/>
    </row>
    <row r="41" spans="2:8">
      <c r="B41" s="23">
        <v>2029</v>
      </c>
      <c r="C41" s="24" t="s">
        <v>19</v>
      </c>
      <c r="D41" s="25">
        <f>+'Producto 1 Plano 26-30'!AE36</f>
        <v>6286800</v>
      </c>
      <c r="E41" s="77"/>
      <c r="F41" s="26">
        <f t="shared" si="2"/>
        <v>0</v>
      </c>
      <c r="G41" s="27"/>
    </row>
    <row r="42" spans="2:8">
      <c r="B42" s="23">
        <v>2029</v>
      </c>
      <c r="C42" s="24" t="s">
        <v>20</v>
      </c>
      <c r="D42" s="25">
        <f>+'Producto 1 Plano 26-30'!AE37</f>
        <v>6286800</v>
      </c>
      <c r="E42" s="77"/>
      <c r="F42" s="26">
        <f t="shared" si="2"/>
        <v>0</v>
      </c>
      <c r="G42" s="27"/>
    </row>
    <row r="43" spans="2:8">
      <c r="B43" s="23">
        <v>2029</v>
      </c>
      <c r="C43" s="24" t="s">
        <v>21</v>
      </c>
      <c r="D43" s="25">
        <f>+'Producto 1 Plano 26-30'!AE38</f>
        <v>6084000</v>
      </c>
      <c r="E43" s="77"/>
      <c r="F43" s="26">
        <f t="shared" si="2"/>
        <v>0</v>
      </c>
      <c r="G43" s="27"/>
    </row>
    <row r="44" spans="2:8">
      <c r="B44" s="23">
        <v>2029</v>
      </c>
      <c r="C44" s="24" t="s">
        <v>22</v>
      </c>
      <c r="D44" s="25">
        <f>+'Producto 1 Plano 26-30'!AE39</f>
        <v>6286800</v>
      </c>
      <c r="E44" s="77"/>
      <c r="F44" s="26">
        <f t="shared" si="2"/>
        <v>0</v>
      </c>
      <c r="G44" s="27"/>
    </row>
    <row r="45" spans="2:8">
      <c r="B45" s="23">
        <v>2029</v>
      </c>
      <c r="C45" s="24" t="s">
        <v>23</v>
      </c>
      <c r="D45" s="25">
        <f>+'Producto 1 Plano 26-30'!AE40</f>
        <v>6084000</v>
      </c>
      <c r="E45" s="77"/>
      <c r="F45" s="26">
        <f t="shared" si="2"/>
        <v>0</v>
      </c>
      <c r="G45" s="27"/>
    </row>
    <row r="46" spans="2:8" ht="15" thickBot="1">
      <c r="B46" s="28">
        <v>2029</v>
      </c>
      <c r="C46" s="29" t="s">
        <v>24</v>
      </c>
      <c r="D46" s="30">
        <f>+'Producto 1 Plano 26-30'!AE41</f>
        <v>6286800</v>
      </c>
      <c r="E46" s="78"/>
      <c r="F46" s="31">
        <f t="shared" si="2"/>
        <v>0</v>
      </c>
      <c r="G46" s="32"/>
      <c r="H46" s="80">
        <f>SUM(D35:D46)</f>
        <v>74022000</v>
      </c>
    </row>
    <row r="47" spans="2:8">
      <c r="B47" s="33">
        <v>2030</v>
      </c>
      <c r="C47" s="34" t="s">
        <v>25</v>
      </c>
      <c r="D47" s="35">
        <f>+'Producto 1 Plano 26-30'!AE42</f>
        <v>6249600</v>
      </c>
      <c r="E47" s="77"/>
      <c r="F47" s="26">
        <f t="shared" ref="F47:F58" si="3">+E47*D47</f>
        <v>0</v>
      </c>
      <c r="G47" s="27"/>
    </row>
    <row r="48" spans="2:8">
      <c r="B48" s="23">
        <v>2030</v>
      </c>
      <c r="C48" s="24" t="s">
        <v>26</v>
      </c>
      <c r="D48" s="25">
        <f>+'Producto 1 Plano 26-30'!AE43</f>
        <v>5644800</v>
      </c>
      <c r="E48" s="77"/>
      <c r="F48" s="26">
        <f t="shared" si="3"/>
        <v>0</v>
      </c>
      <c r="G48" s="27"/>
    </row>
    <row r="49" spans="2:8">
      <c r="B49" s="23">
        <v>2030</v>
      </c>
      <c r="C49" s="24" t="s">
        <v>27</v>
      </c>
      <c r="D49" s="25">
        <f>+'Producto 1 Plano 26-30'!AE44</f>
        <v>6249600</v>
      </c>
      <c r="E49" s="77"/>
      <c r="F49" s="26">
        <f t="shared" si="3"/>
        <v>0</v>
      </c>
      <c r="G49" s="27"/>
    </row>
    <row r="50" spans="2:8">
      <c r="B50" s="23">
        <v>2030</v>
      </c>
      <c r="C50" s="24" t="s">
        <v>28</v>
      </c>
      <c r="D50" s="25">
        <f>+'Producto 1 Plano 26-30'!AE45</f>
        <v>6048000</v>
      </c>
      <c r="E50" s="77"/>
      <c r="F50" s="26">
        <f t="shared" si="3"/>
        <v>0</v>
      </c>
      <c r="G50" s="27"/>
    </row>
    <row r="51" spans="2:8">
      <c r="B51" s="23">
        <v>2030</v>
      </c>
      <c r="C51" s="24" t="s">
        <v>29</v>
      </c>
      <c r="D51" s="25">
        <f>+'Producto 1 Plano 26-30'!AE46</f>
        <v>6249600</v>
      </c>
      <c r="E51" s="77"/>
      <c r="F51" s="26">
        <f t="shared" si="3"/>
        <v>0</v>
      </c>
      <c r="G51" s="27"/>
    </row>
    <row r="52" spans="2:8">
      <c r="B52" s="23">
        <v>2030</v>
      </c>
      <c r="C52" s="24" t="s">
        <v>18</v>
      </c>
      <c r="D52" s="25">
        <f>+'Producto 1 Plano 26-30'!AE47</f>
        <v>6048000</v>
      </c>
      <c r="E52" s="77"/>
      <c r="F52" s="26">
        <f t="shared" si="3"/>
        <v>0</v>
      </c>
      <c r="G52" s="27"/>
    </row>
    <row r="53" spans="2:8">
      <c r="B53" s="23">
        <v>2030</v>
      </c>
      <c r="C53" s="24" t="s">
        <v>19</v>
      </c>
      <c r="D53" s="25">
        <f>+'Producto 1 Plano 26-30'!AE48</f>
        <v>6249600</v>
      </c>
      <c r="E53" s="77"/>
      <c r="F53" s="26">
        <f t="shared" si="3"/>
        <v>0</v>
      </c>
      <c r="G53" s="27"/>
    </row>
    <row r="54" spans="2:8">
      <c r="B54" s="23">
        <v>2030</v>
      </c>
      <c r="C54" s="24" t="s">
        <v>20</v>
      </c>
      <c r="D54" s="25">
        <f>+'Producto 1 Plano 26-30'!AE49</f>
        <v>6249600</v>
      </c>
      <c r="E54" s="77"/>
      <c r="F54" s="26">
        <f t="shared" si="3"/>
        <v>0</v>
      </c>
      <c r="G54" s="27"/>
    </row>
    <row r="55" spans="2:8">
      <c r="B55" s="23">
        <v>2030</v>
      </c>
      <c r="C55" s="24" t="s">
        <v>21</v>
      </c>
      <c r="D55" s="25">
        <f>+'Producto 1 Plano 26-30'!AE50</f>
        <v>6048000</v>
      </c>
      <c r="E55" s="77"/>
      <c r="F55" s="26">
        <f t="shared" si="3"/>
        <v>0</v>
      </c>
      <c r="G55" s="27"/>
    </row>
    <row r="56" spans="2:8">
      <c r="B56" s="23">
        <v>2030</v>
      </c>
      <c r="C56" s="24" t="s">
        <v>22</v>
      </c>
      <c r="D56" s="25">
        <f>+'Producto 1 Plano 26-30'!AE51</f>
        <v>6249600</v>
      </c>
      <c r="E56" s="77"/>
      <c r="F56" s="26">
        <f t="shared" si="3"/>
        <v>0</v>
      </c>
      <c r="G56" s="27"/>
    </row>
    <row r="57" spans="2:8">
      <c r="B57" s="23">
        <v>2030</v>
      </c>
      <c r="C57" s="24" t="s">
        <v>23</v>
      </c>
      <c r="D57" s="25">
        <f>+'Producto 1 Plano 26-30'!AE52</f>
        <v>6048000</v>
      </c>
      <c r="E57" s="77"/>
      <c r="F57" s="26">
        <f t="shared" si="3"/>
        <v>0</v>
      </c>
      <c r="G57" s="27"/>
    </row>
    <row r="58" spans="2:8" ht="15" thickBot="1">
      <c r="B58" s="28">
        <v>2030</v>
      </c>
      <c r="C58" s="29" t="s">
        <v>24</v>
      </c>
      <c r="D58" s="30">
        <f>+'Producto 1 Plano 26-30'!AE53</f>
        <v>6249600</v>
      </c>
      <c r="E58" s="78"/>
      <c r="F58" s="31">
        <f t="shared" si="3"/>
        <v>0</v>
      </c>
      <c r="G58" s="32"/>
      <c r="H58" s="80">
        <f>SUM(D47:D58)</f>
        <v>73584000</v>
      </c>
    </row>
    <row r="59" spans="2:8" ht="15" thickBot="1">
      <c r="B59" s="55" t="s">
        <v>35</v>
      </c>
      <c r="C59" s="56"/>
      <c r="D59" s="36">
        <f>+SUM(D11:D58)</f>
        <v>241456800</v>
      </c>
    </row>
    <row r="61" spans="2:8">
      <c r="B61" s="18" t="s">
        <v>30</v>
      </c>
    </row>
    <row r="62" spans="2:8">
      <c r="B62" s="18" t="s">
        <v>31</v>
      </c>
    </row>
    <row r="63" spans="2:8">
      <c r="B63" s="18" t="s">
        <v>32</v>
      </c>
    </row>
    <row r="64" spans="2:8">
      <c r="B64" s="18" t="s">
        <v>33</v>
      </c>
    </row>
    <row r="66" spans="4:4">
      <c r="D66" s="43"/>
    </row>
  </sheetData>
  <mergeCells count="13">
    <mergeCell ref="B59:C59"/>
    <mergeCell ref="B4:G4"/>
    <mergeCell ref="B5:G5"/>
    <mergeCell ref="B6:G6"/>
    <mergeCell ref="B7:G7"/>
    <mergeCell ref="B8:G8"/>
    <mergeCell ref="B9:B10"/>
    <mergeCell ref="C9:C10"/>
    <mergeCell ref="D9:G9"/>
    <mergeCell ref="E11:E22"/>
    <mergeCell ref="E23:E34"/>
    <mergeCell ref="E35:E46"/>
    <mergeCell ref="E47:E58"/>
  </mergeCells>
  <phoneticPr fontId="9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8408C-9E72-4F41-939F-DF5BFEBD7226}">
  <dimension ref="B2:BD54"/>
  <sheetViews>
    <sheetView showGridLines="0" zoomScale="50" zoomScaleNormal="50" workbookViewId="0">
      <pane ySplit="5" topLeftCell="A6" activePane="bottomLeft" state="frozen"/>
      <selection activeCell="H22" sqref="H22"/>
      <selection pane="bottomLeft" activeCell="B2" sqref="B2:AD53"/>
    </sheetView>
  </sheetViews>
  <sheetFormatPr baseColWidth="10" defaultRowHeight="14.5"/>
  <cols>
    <col min="1" max="1" width="1.81640625" customWidth="1"/>
    <col min="2" max="2" width="10" style="4" customWidth="1"/>
    <col min="3" max="27" width="8.81640625" bestFit="1" customWidth="1"/>
    <col min="28" max="28" width="8.453125" bestFit="1" customWidth="1"/>
    <col min="29" max="29" width="7.453125" customWidth="1"/>
    <col min="30" max="30" width="19.1796875" customWidth="1"/>
    <col min="31" max="31" width="14.90625" customWidth="1"/>
    <col min="32" max="32" width="17.453125" bestFit="1" customWidth="1"/>
    <col min="250" max="250" width="1.81640625" customWidth="1"/>
    <col min="251" max="251" width="8" customWidth="1"/>
    <col min="252" max="252" width="8" bestFit="1" customWidth="1"/>
    <col min="253" max="253" width="9" bestFit="1" customWidth="1"/>
    <col min="254" max="254" width="12" bestFit="1" customWidth="1"/>
    <col min="255" max="276" width="9" bestFit="1" customWidth="1"/>
    <col min="277" max="277" width="7.81640625" bestFit="1" customWidth="1"/>
    <col min="278" max="278" width="4.54296875" bestFit="1" customWidth="1"/>
    <col min="279" max="279" width="14.1796875" bestFit="1" customWidth="1"/>
    <col min="506" max="506" width="1.81640625" customWidth="1"/>
    <col min="507" max="507" width="8" customWidth="1"/>
    <col min="508" max="508" width="8" bestFit="1" customWidth="1"/>
    <col min="509" max="509" width="9" bestFit="1" customWidth="1"/>
    <col min="510" max="510" width="12" bestFit="1" customWidth="1"/>
    <col min="511" max="532" width="9" bestFit="1" customWidth="1"/>
    <col min="533" max="533" width="7.81640625" bestFit="1" customWidth="1"/>
    <col min="534" max="534" width="4.54296875" bestFit="1" customWidth="1"/>
    <col min="535" max="535" width="14.1796875" bestFit="1" customWidth="1"/>
    <col min="762" max="762" width="1.81640625" customWidth="1"/>
    <col min="763" max="763" width="8" customWidth="1"/>
    <col min="764" max="764" width="8" bestFit="1" customWidth="1"/>
    <col min="765" max="765" width="9" bestFit="1" customWidth="1"/>
    <col min="766" max="766" width="12" bestFit="1" customWidth="1"/>
    <col min="767" max="788" width="9" bestFit="1" customWidth="1"/>
    <col min="789" max="789" width="7.81640625" bestFit="1" customWidth="1"/>
    <col min="790" max="790" width="4.54296875" bestFit="1" customWidth="1"/>
    <col min="791" max="791" width="14.1796875" bestFit="1" customWidth="1"/>
    <col min="1018" max="1018" width="1.81640625" customWidth="1"/>
    <col min="1019" max="1019" width="8" customWidth="1"/>
    <col min="1020" max="1020" width="8" bestFit="1" customWidth="1"/>
    <col min="1021" max="1021" width="9" bestFit="1" customWidth="1"/>
    <col min="1022" max="1022" width="12" bestFit="1" customWidth="1"/>
    <col min="1023" max="1044" width="9" bestFit="1" customWidth="1"/>
    <col min="1045" max="1045" width="7.81640625" bestFit="1" customWidth="1"/>
    <col min="1046" max="1046" width="4.54296875" bestFit="1" customWidth="1"/>
    <col min="1047" max="1047" width="14.1796875" bestFit="1" customWidth="1"/>
    <col min="1274" max="1274" width="1.81640625" customWidth="1"/>
    <col min="1275" max="1275" width="8" customWidth="1"/>
    <col min="1276" max="1276" width="8" bestFit="1" customWidth="1"/>
    <col min="1277" max="1277" width="9" bestFit="1" customWidth="1"/>
    <col min="1278" max="1278" width="12" bestFit="1" customWidth="1"/>
    <col min="1279" max="1300" width="9" bestFit="1" customWidth="1"/>
    <col min="1301" max="1301" width="7.81640625" bestFit="1" customWidth="1"/>
    <col min="1302" max="1302" width="4.54296875" bestFit="1" customWidth="1"/>
    <col min="1303" max="1303" width="14.1796875" bestFit="1" customWidth="1"/>
    <col min="1530" max="1530" width="1.81640625" customWidth="1"/>
    <col min="1531" max="1531" width="8" customWidth="1"/>
    <col min="1532" max="1532" width="8" bestFit="1" customWidth="1"/>
    <col min="1533" max="1533" width="9" bestFit="1" customWidth="1"/>
    <col min="1534" max="1534" width="12" bestFit="1" customWidth="1"/>
    <col min="1535" max="1556" width="9" bestFit="1" customWidth="1"/>
    <col min="1557" max="1557" width="7.81640625" bestFit="1" customWidth="1"/>
    <col min="1558" max="1558" width="4.54296875" bestFit="1" customWidth="1"/>
    <col min="1559" max="1559" width="14.1796875" bestFit="1" customWidth="1"/>
    <col min="1786" max="1786" width="1.81640625" customWidth="1"/>
    <col min="1787" max="1787" width="8" customWidth="1"/>
    <col min="1788" max="1788" width="8" bestFit="1" customWidth="1"/>
    <col min="1789" max="1789" width="9" bestFit="1" customWidth="1"/>
    <col min="1790" max="1790" width="12" bestFit="1" customWidth="1"/>
    <col min="1791" max="1812" width="9" bestFit="1" customWidth="1"/>
    <col min="1813" max="1813" width="7.81640625" bestFit="1" customWidth="1"/>
    <col min="1814" max="1814" width="4.54296875" bestFit="1" customWidth="1"/>
    <col min="1815" max="1815" width="14.1796875" bestFit="1" customWidth="1"/>
    <col min="2042" max="2042" width="1.81640625" customWidth="1"/>
    <col min="2043" max="2043" width="8" customWidth="1"/>
    <col min="2044" max="2044" width="8" bestFit="1" customWidth="1"/>
    <col min="2045" max="2045" width="9" bestFit="1" customWidth="1"/>
    <col min="2046" max="2046" width="12" bestFit="1" customWidth="1"/>
    <col min="2047" max="2068" width="9" bestFit="1" customWidth="1"/>
    <col min="2069" max="2069" width="7.81640625" bestFit="1" customWidth="1"/>
    <col min="2070" max="2070" width="4.54296875" bestFit="1" customWidth="1"/>
    <col min="2071" max="2071" width="14.1796875" bestFit="1" customWidth="1"/>
    <col min="2298" max="2298" width="1.81640625" customWidth="1"/>
    <col min="2299" max="2299" width="8" customWidth="1"/>
    <col min="2300" max="2300" width="8" bestFit="1" customWidth="1"/>
    <col min="2301" max="2301" width="9" bestFit="1" customWidth="1"/>
    <col min="2302" max="2302" width="12" bestFit="1" customWidth="1"/>
    <col min="2303" max="2324" width="9" bestFit="1" customWidth="1"/>
    <col min="2325" max="2325" width="7.81640625" bestFit="1" customWidth="1"/>
    <col min="2326" max="2326" width="4.54296875" bestFit="1" customWidth="1"/>
    <col min="2327" max="2327" width="14.1796875" bestFit="1" customWidth="1"/>
    <col min="2554" max="2554" width="1.81640625" customWidth="1"/>
    <col min="2555" max="2555" width="8" customWidth="1"/>
    <col min="2556" max="2556" width="8" bestFit="1" customWidth="1"/>
    <col min="2557" max="2557" width="9" bestFit="1" customWidth="1"/>
    <col min="2558" max="2558" width="12" bestFit="1" customWidth="1"/>
    <col min="2559" max="2580" width="9" bestFit="1" customWidth="1"/>
    <col min="2581" max="2581" width="7.81640625" bestFit="1" customWidth="1"/>
    <col min="2582" max="2582" width="4.54296875" bestFit="1" customWidth="1"/>
    <col min="2583" max="2583" width="14.1796875" bestFit="1" customWidth="1"/>
    <col min="2810" max="2810" width="1.81640625" customWidth="1"/>
    <col min="2811" max="2811" width="8" customWidth="1"/>
    <col min="2812" max="2812" width="8" bestFit="1" customWidth="1"/>
    <col min="2813" max="2813" width="9" bestFit="1" customWidth="1"/>
    <col min="2814" max="2814" width="12" bestFit="1" customWidth="1"/>
    <col min="2815" max="2836" width="9" bestFit="1" customWidth="1"/>
    <col min="2837" max="2837" width="7.81640625" bestFit="1" customWidth="1"/>
    <col min="2838" max="2838" width="4.54296875" bestFit="1" customWidth="1"/>
    <col min="2839" max="2839" width="14.1796875" bestFit="1" customWidth="1"/>
    <col min="3066" max="3066" width="1.81640625" customWidth="1"/>
    <col min="3067" max="3067" width="8" customWidth="1"/>
    <col min="3068" max="3068" width="8" bestFit="1" customWidth="1"/>
    <col min="3069" max="3069" width="9" bestFit="1" customWidth="1"/>
    <col min="3070" max="3070" width="12" bestFit="1" customWidth="1"/>
    <col min="3071" max="3092" width="9" bestFit="1" customWidth="1"/>
    <col min="3093" max="3093" width="7.81640625" bestFit="1" customWidth="1"/>
    <col min="3094" max="3094" width="4.54296875" bestFit="1" customWidth="1"/>
    <col min="3095" max="3095" width="14.1796875" bestFit="1" customWidth="1"/>
    <col min="3322" max="3322" width="1.81640625" customWidth="1"/>
    <col min="3323" max="3323" width="8" customWidth="1"/>
    <col min="3324" max="3324" width="8" bestFit="1" customWidth="1"/>
    <col min="3325" max="3325" width="9" bestFit="1" customWidth="1"/>
    <col min="3326" max="3326" width="12" bestFit="1" customWidth="1"/>
    <col min="3327" max="3348" width="9" bestFit="1" customWidth="1"/>
    <col min="3349" max="3349" width="7.81640625" bestFit="1" customWidth="1"/>
    <col min="3350" max="3350" width="4.54296875" bestFit="1" customWidth="1"/>
    <col min="3351" max="3351" width="14.1796875" bestFit="1" customWidth="1"/>
    <col min="3578" max="3578" width="1.81640625" customWidth="1"/>
    <col min="3579" max="3579" width="8" customWidth="1"/>
    <col min="3580" max="3580" width="8" bestFit="1" customWidth="1"/>
    <col min="3581" max="3581" width="9" bestFit="1" customWidth="1"/>
    <col min="3582" max="3582" width="12" bestFit="1" customWidth="1"/>
    <col min="3583" max="3604" width="9" bestFit="1" customWidth="1"/>
    <col min="3605" max="3605" width="7.81640625" bestFit="1" customWidth="1"/>
    <col min="3606" max="3606" width="4.54296875" bestFit="1" customWidth="1"/>
    <col min="3607" max="3607" width="14.1796875" bestFit="1" customWidth="1"/>
    <col min="3834" max="3834" width="1.81640625" customWidth="1"/>
    <col min="3835" max="3835" width="8" customWidth="1"/>
    <col min="3836" max="3836" width="8" bestFit="1" customWidth="1"/>
    <col min="3837" max="3837" width="9" bestFit="1" customWidth="1"/>
    <col min="3838" max="3838" width="12" bestFit="1" customWidth="1"/>
    <col min="3839" max="3860" width="9" bestFit="1" customWidth="1"/>
    <col min="3861" max="3861" width="7.81640625" bestFit="1" customWidth="1"/>
    <col min="3862" max="3862" width="4.54296875" bestFit="1" customWidth="1"/>
    <col min="3863" max="3863" width="14.1796875" bestFit="1" customWidth="1"/>
    <col min="4090" max="4090" width="1.81640625" customWidth="1"/>
    <col min="4091" max="4091" width="8" customWidth="1"/>
    <col min="4092" max="4092" width="8" bestFit="1" customWidth="1"/>
    <col min="4093" max="4093" width="9" bestFit="1" customWidth="1"/>
    <col min="4094" max="4094" width="12" bestFit="1" customWidth="1"/>
    <col min="4095" max="4116" width="9" bestFit="1" customWidth="1"/>
    <col min="4117" max="4117" width="7.81640625" bestFit="1" customWidth="1"/>
    <col min="4118" max="4118" width="4.54296875" bestFit="1" customWidth="1"/>
    <col min="4119" max="4119" width="14.1796875" bestFit="1" customWidth="1"/>
    <col min="4346" max="4346" width="1.81640625" customWidth="1"/>
    <col min="4347" max="4347" width="8" customWidth="1"/>
    <col min="4348" max="4348" width="8" bestFit="1" customWidth="1"/>
    <col min="4349" max="4349" width="9" bestFit="1" customWidth="1"/>
    <col min="4350" max="4350" width="12" bestFit="1" customWidth="1"/>
    <col min="4351" max="4372" width="9" bestFit="1" customWidth="1"/>
    <col min="4373" max="4373" width="7.81640625" bestFit="1" customWidth="1"/>
    <col min="4374" max="4374" width="4.54296875" bestFit="1" customWidth="1"/>
    <col min="4375" max="4375" width="14.1796875" bestFit="1" customWidth="1"/>
    <col min="4602" max="4602" width="1.81640625" customWidth="1"/>
    <col min="4603" max="4603" width="8" customWidth="1"/>
    <col min="4604" max="4604" width="8" bestFit="1" customWidth="1"/>
    <col min="4605" max="4605" width="9" bestFit="1" customWidth="1"/>
    <col min="4606" max="4606" width="12" bestFit="1" customWidth="1"/>
    <col min="4607" max="4628" width="9" bestFit="1" customWidth="1"/>
    <col min="4629" max="4629" width="7.81640625" bestFit="1" customWidth="1"/>
    <col min="4630" max="4630" width="4.54296875" bestFit="1" customWidth="1"/>
    <col min="4631" max="4631" width="14.1796875" bestFit="1" customWidth="1"/>
    <col min="4858" max="4858" width="1.81640625" customWidth="1"/>
    <col min="4859" max="4859" width="8" customWidth="1"/>
    <col min="4860" max="4860" width="8" bestFit="1" customWidth="1"/>
    <col min="4861" max="4861" width="9" bestFit="1" customWidth="1"/>
    <col min="4862" max="4862" width="12" bestFit="1" customWidth="1"/>
    <col min="4863" max="4884" width="9" bestFit="1" customWidth="1"/>
    <col min="4885" max="4885" width="7.81640625" bestFit="1" customWidth="1"/>
    <col min="4886" max="4886" width="4.54296875" bestFit="1" customWidth="1"/>
    <col min="4887" max="4887" width="14.1796875" bestFit="1" customWidth="1"/>
    <col min="5114" max="5114" width="1.81640625" customWidth="1"/>
    <col min="5115" max="5115" width="8" customWidth="1"/>
    <col min="5116" max="5116" width="8" bestFit="1" customWidth="1"/>
    <col min="5117" max="5117" width="9" bestFit="1" customWidth="1"/>
    <col min="5118" max="5118" width="12" bestFit="1" customWidth="1"/>
    <col min="5119" max="5140" width="9" bestFit="1" customWidth="1"/>
    <col min="5141" max="5141" width="7.81640625" bestFit="1" customWidth="1"/>
    <col min="5142" max="5142" width="4.54296875" bestFit="1" customWidth="1"/>
    <col min="5143" max="5143" width="14.1796875" bestFit="1" customWidth="1"/>
    <col min="5370" max="5370" width="1.81640625" customWidth="1"/>
    <col min="5371" max="5371" width="8" customWidth="1"/>
    <col min="5372" max="5372" width="8" bestFit="1" customWidth="1"/>
    <col min="5373" max="5373" width="9" bestFit="1" customWidth="1"/>
    <col min="5374" max="5374" width="12" bestFit="1" customWidth="1"/>
    <col min="5375" max="5396" width="9" bestFit="1" customWidth="1"/>
    <col min="5397" max="5397" width="7.81640625" bestFit="1" customWidth="1"/>
    <col min="5398" max="5398" width="4.54296875" bestFit="1" customWidth="1"/>
    <col min="5399" max="5399" width="14.1796875" bestFit="1" customWidth="1"/>
    <col min="5626" max="5626" width="1.81640625" customWidth="1"/>
    <col min="5627" max="5627" width="8" customWidth="1"/>
    <col min="5628" max="5628" width="8" bestFit="1" customWidth="1"/>
    <col min="5629" max="5629" width="9" bestFit="1" customWidth="1"/>
    <col min="5630" max="5630" width="12" bestFit="1" customWidth="1"/>
    <col min="5631" max="5652" width="9" bestFit="1" customWidth="1"/>
    <col min="5653" max="5653" width="7.81640625" bestFit="1" customWidth="1"/>
    <col min="5654" max="5654" width="4.54296875" bestFit="1" customWidth="1"/>
    <col min="5655" max="5655" width="14.1796875" bestFit="1" customWidth="1"/>
    <col min="5882" max="5882" width="1.81640625" customWidth="1"/>
    <col min="5883" max="5883" width="8" customWidth="1"/>
    <col min="5884" max="5884" width="8" bestFit="1" customWidth="1"/>
    <col min="5885" max="5885" width="9" bestFit="1" customWidth="1"/>
    <col min="5886" max="5886" width="12" bestFit="1" customWidth="1"/>
    <col min="5887" max="5908" width="9" bestFit="1" customWidth="1"/>
    <col min="5909" max="5909" width="7.81640625" bestFit="1" customWidth="1"/>
    <col min="5910" max="5910" width="4.54296875" bestFit="1" customWidth="1"/>
    <col min="5911" max="5911" width="14.1796875" bestFit="1" customWidth="1"/>
    <col min="6138" max="6138" width="1.81640625" customWidth="1"/>
    <col min="6139" max="6139" width="8" customWidth="1"/>
    <col min="6140" max="6140" width="8" bestFit="1" customWidth="1"/>
    <col min="6141" max="6141" width="9" bestFit="1" customWidth="1"/>
    <col min="6142" max="6142" width="12" bestFit="1" customWidth="1"/>
    <col min="6143" max="6164" width="9" bestFit="1" customWidth="1"/>
    <col min="6165" max="6165" width="7.81640625" bestFit="1" customWidth="1"/>
    <col min="6166" max="6166" width="4.54296875" bestFit="1" customWidth="1"/>
    <col min="6167" max="6167" width="14.1796875" bestFit="1" customWidth="1"/>
    <col min="6394" max="6394" width="1.81640625" customWidth="1"/>
    <col min="6395" max="6395" width="8" customWidth="1"/>
    <col min="6396" max="6396" width="8" bestFit="1" customWidth="1"/>
    <col min="6397" max="6397" width="9" bestFit="1" customWidth="1"/>
    <col min="6398" max="6398" width="12" bestFit="1" customWidth="1"/>
    <col min="6399" max="6420" width="9" bestFit="1" customWidth="1"/>
    <col min="6421" max="6421" width="7.81640625" bestFit="1" customWidth="1"/>
    <col min="6422" max="6422" width="4.54296875" bestFit="1" customWidth="1"/>
    <col min="6423" max="6423" width="14.1796875" bestFit="1" customWidth="1"/>
    <col min="6650" max="6650" width="1.81640625" customWidth="1"/>
    <col min="6651" max="6651" width="8" customWidth="1"/>
    <col min="6652" max="6652" width="8" bestFit="1" customWidth="1"/>
    <col min="6653" max="6653" width="9" bestFit="1" customWidth="1"/>
    <col min="6654" max="6654" width="12" bestFit="1" customWidth="1"/>
    <col min="6655" max="6676" width="9" bestFit="1" customWidth="1"/>
    <col min="6677" max="6677" width="7.81640625" bestFit="1" customWidth="1"/>
    <col min="6678" max="6678" width="4.54296875" bestFit="1" customWidth="1"/>
    <col min="6679" max="6679" width="14.1796875" bestFit="1" customWidth="1"/>
    <col min="6906" max="6906" width="1.81640625" customWidth="1"/>
    <col min="6907" max="6907" width="8" customWidth="1"/>
    <col min="6908" max="6908" width="8" bestFit="1" customWidth="1"/>
    <col min="6909" max="6909" width="9" bestFit="1" customWidth="1"/>
    <col min="6910" max="6910" width="12" bestFit="1" customWidth="1"/>
    <col min="6911" max="6932" width="9" bestFit="1" customWidth="1"/>
    <col min="6933" max="6933" width="7.81640625" bestFit="1" customWidth="1"/>
    <col min="6934" max="6934" width="4.54296875" bestFit="1" customWidth="1"/>
    <col min="6935" max="6935" width="14.1796875" bestFit="1" customWidth="1"/>
    <col min="7162" max="7162" width="1.81640625" customWidth="1"/>
    <col min="7163" max="7163" width="8" customWidth="1"/>
    <col min="7164" max="7164" width="8" bestFit="1" customWidth="1"/>
    <col min="7165" max="7165" width="9" bestFit="1" customWidth="1"/>
    <col min="7166" max="7166" width="12" bestFit="1" customWidth="1"/>
    <col min="7167" max="7188" width="9" bestFit="1" customWidth="1"/>
    <col min="7189" max="7189" width="7.81640625" bestFit="1" customWidth="1"/>
    <col min="7190" max="7190" width="4.54296875" bestFit="1" customWidth="1"/>
    <col min="7191" max="7191" width="14.1796875" bestFit="1" customWidth="1"/>
    <col min="7418" max="7418" width="1.81640625" customWidth="1"/>
    <col min="7419" max="7419" width="8" customWidth="1"/>
    <col min="7420" max="7420" width="8" bestFit="1" customWidth="1"/>
    <col min="7421" max="7421" width="9" bestFit="1" customWidth="1"/>
    <col min="7422" max="7422" width="12" bestFit="1" customWidth="1"/>
    <col min="7423" max="7444" width="9" bestFit="1" customWidth="1"/>
    <col min="7445" max="7445" width="7.81640625" bestFit="1" customWidth="1"/>
    <col min="7446" max="7446" width="4.54296875" bestFit="1" customWidth="1"/>
    <col min="7447" max="7447" width="14.1796875" bestFit="1" customWidth="1"/>
    <col min="7674" max="7674" width="1.81640625" customWidth="1"/>
    <col min="7675" max="7675" width="8" customWidth="1"/>
    <col min="7676" max="7676" width="8" bestFit="1" customWidth="1"/>
    <col min="7677" max="7677" width="9" bestFit="1" customWidth="1"/>
    <col min="7678" max="7678" width="12" bestFit="1" customWidth="1"/>
    <col min="7679" max="7700" width="9" bestFit="1" customWidth="1"/>
    <col min="7701" max="7701" width="7.81640625" bestFit="1" customWidth="1"/>
    <col min="7702" max="7702" width="4.54296875" bestFit="1" customWidth="1"/>
    <col min="7703" max="7703" width="14.1796875" bestFit="1" customWidth="1"/>
    <col min="7930" max="7930" width="1.81640625" customWidth="1"/>
    <col min="7931" max="7931" width="8" customWidth="1"/>
    <col min="7932" max="7932" width="8" bestFit="1" customWidth="1"/>
    <col min="7933" max="7933" width="9" bestFit="1" customWidth="1"/>
    <col min="7934" max="7934" width="12" bestFit="1" customWidth="1"/>
    <col min="7935" max="7956" width="9" bestFit="1" customWidth="1"/>
    <col min="7957" max="7957" width="7.81640625" bestFit="1" customWidth="1"/>
    <col min="7958" max="7958" width="4.54296875" bestFit="1" customWidth="1"/>
    <col min="7959" max="7959" width="14.1796875" bestFit="1" customWidth="1"/>
    <col min="8186" max="8186" width="1.81640625" customWidth="1"/>
    <col min="8187" max="8187" width="8" customWidth="1"/>
    <col min="8188" max="8188" width="8" bestFit="1" customWidth="1"/>
    <col min="8189" max="8189" width="9" bestFit="1" customWidth="1"/>
    <col min="8190" max="8190" width="12" bestFit="1" customWidth="1"/>
    <col min="8191" max="8212" width="9" bestFit="1" customWidth="1"/>
    <col min="8213" max="8213" width="7.81640625" bestFit="1" customWidth="1"/>
    <col min="8214" max="8214" width="4.54296875" bestFit="1" customWidth="1"/>
    <col min="8215" max="8215" width="14.1796875" bestFit="1" customWidth="1"/>
    <col min="8442" max="8442" width="1.81640625" customWidth="1"/>
    <col min="8443" max="8443" width="8" customWidth="1"/>
    <col min="8444" max="8444" width="8" bestFit="1" customWidth="1"/>
    <col min="8445" max="8445" width="9" bestFit="1" customWidth="1"/>
    <col min="8446" max="8446" width="12" bestFit="1" customWidth="1"/>
    <col min="8447" max="8468" width="9" bestFit="1" customWidth="1"/>
    <col min="8469" max="8469" width="7.81640625" bestFit="1" customWidth="1"/>
    <col min="8470" max="8470" width="4.54296875" bestFit="1" customWidth="1"/>
    <col min="8471" max="8471" width="14.1796875" bestFit="1" customWidth="1"/>
    <col min="8698" max="8698" width="1.81640625" customWidth="1"/>
    <col min="8699" max="8699" width="8" customWidth="1"/>
    <col min="8700" max="8700" width="8" bestFit="1" customWidth="1"/>
    <col min="8701" max="8701" width="9" bestFit="1" customWidth="1"/>
    <col min="8702" max="8702" width="12" bestFit="1" customWidth="1"/>
    <col min="8703" max="8724" width="9" bestFit="1" customWidth="1"/>
    <col min="8725" max="8725" width="7.81640625" bestFit="1" customWidth="1"/>
    <col min="8726" max="8726" width="4.54296875" bestFit="1" customWidth="1"/>
    <col min="8727" max="8727" width="14.1796875" bestFit="1" customWidth="1"/>
    <col min="8954" max="8954" width="1.81640625" customWidth="1"/>
    <col min="8955" max="8955" width="8" customWidth="1"/>
    <col min="8956" max="8956" width="8" bestFit="1" customWidth="1"/>
    <col min="8957" max="8957" width="9" bestFit="1" customWidth="1"/>
    <col min="8958" max="8958" width="12" bestFit="1" customWidth="1"/>
    <col min="8959" max="8980" width="9" bestFit="1" customWidth="1"/>
    <col min="8981" max="8981" width="7.81640625" bestFit="1" customWidth="1"/>
    <col min="8982" max="8982" width="4.54296875" bestFit="1" customWidth="1"/>
    <col min="8983" max="8983" width="14.1796875" bestFit="1" customWidth="1"/>
    <col min="9210" max="9210" width="1.81640625" customWidth="1"/>
    <col min="9211" max="9211" width="8" customWidth="1"/>
    <col min="9212" max="9212" width="8" bestFit="1" customWidth="1"/>
    <col min="9213" max="9213" width="9" bestFit="1" customWidth="1"/>
    <col min="9214" max="9214" width="12" bestFit="1" customWidth="1"/>
    <col min="9215" max="9236" width="9" bestFit="1" customWidth="1"/>
    <col min="9237" max="9237" width="7.81640625" bestFit="1" customWidth="1"/>
    <col min="9238" max="9238" width="4.54296875" bestFit="1" customWidth="1"/>
    <col min="9239" max="9239" width="14.1796875" bestFit="1" customWidth="1"/>
    <col min="9466" max="9466" width="1.81640625" customWidth="1"/>
    <col min="9467" max="9467" width="8" customWidth="1"/>
    <col min="9468" max="9468" width="8" bestFit="1" customWidth="1"/>
    <col min="9469" max="9469" width="9" bestFit="1" customWidth="1"/>
    <col min="9470" max="9470" width="12" bestFit="1" customWidth="1"/>
    <col min="9471" max="9492" width="9" bestFit="1" customWidth="1"/>
    <col min="9493" max="9493" width="7.81640625" bestFit="1" customWidth="1"/>
    <col min="9494" max="9494" width="4.54296875" bestFit="1" customWidth="1"/>
    <col min="9495" max="9495" width="14.1796875" bestFit="1" customWidth="1"/>
    <col min="9722" max="9722" width="1.81640625" customWidth="1"/>
    <col min="9723" max="9723" width="8" customWidth="1"/>
    <col min="9724" max="9724" width="8" bestFit="1" customWidth="1"/>
    <col min="9725" max="9725" width="9" bestFit="1" customWidth="1"/>
    <col min="9726" max="9726" width="12" bestFit="1" customWidth="1"/>
    <col min="9727" max="9748" width="9" bestFit="1" customWidth="1"/>
    <col min="9749" max="9749" width="7.81640625" bestFit="1" customWidth="1"/>
    <col min="9750" max="9750" width="4.54296875" bestFit="1" customWidth="1"/>
    <col min="9751" max="9751" width="14.1796875" bestFit="1" customWidth="1"/>
    <col min="9978" max="9978" width="1.81640625" customWidth="1"/>
    <col min="9979" max="9979" width="8" customWidth="1"/>
    <col min="9980" max="9980" width="8" bestFit="1" customWidth="1"/>
    <col min="9981" max="9981" width="9" bestFit="1" customWidth="1"/>
    <col min="9982" max="9982" width="12" bestFit="1" customWidth="1"/>
    <col min="9983" max="10004" width="9" bestFit="1" customWidth="1"/>
    <col min="10005" max="10005" width="7.81640625" bestFit="1" customWidth="1"/>
    <col min="10006" max="10006" width="4.54296875" bestFit="1" customWidth="1"/>
    <col min="10007" max="10007" width="14.1796875" bestFit="1" customWidth="1"/>
    <col min="10234" max="10234" width="1.81640625" customWidth="1"/>
    <col min="10235" max="10235" width="8" customWidth="1"/>
    <col min="10236" max="10236" width="8" bestFit="1" customWidth="1"/>
    <col min="10237" max="10237" width="9" bestFit="1" customWidth="1"/>
    <col min="10238" max="10238" width="12" bestFit="1" customWidth="1"/>
    <col min="10239" max="10260" width="9" bestFit="1" customWidth="1"/>
    <col min="10261" max="10261" width="7.81640625" bestFit="1" customWidth="1"/>
    <col min="10262" max="10262" width="4.54296875" bestFit="1" customWidth="1"/>
    <col min="10263" max="10263" width="14.1796875" bestFit="1" customWidth="1"/>
    <col min="10490" max="10490" width="1.81640625" customWidth="1"/>
    <col min="10491" max="10491" width="8" customWidth="1"/>
    <col min="10492" max="10492" width="8" bestFit="1" customWidth="1"/>
    <col min="10493" max="10493" width="9" bestFit="1" customWidth="1"/>
    <col min="10494" max="10494" width="12" bestFit="1" customWidth="1"/>
    <col min="10495" max="10516" width="9" bestFit="1" customWidth="1"/>
    <col min="10517" max="10517" width="7.81640625" bestFit="1" customWidth="1"/>
    <col min="10518" max="10518" width="4.54296875" bestFit="1" customWidth="1"/>
    <col min="10519" max="10519" width="14.1796875" bestFit="1" customWidth="1"/>
    <col min="10746" max="10746" width="1.81640625" customWidth="1"/>
    <col min="10747" max="10747" width="8" customWidth="1"/>
    <col min="10748" max="10748" width="8" bestFit="1" customWidth="1"/>
    <col min="10749" max="10749" width="9" bestFit="1" customWidth="1"/>
    <col min="10750" max="10750" width="12" bestFit="1" customWidth="1"/>
    <col min="10751" max="10772" width="9" bestFit="1" customWidth="1"/>
    <col min="10773" max="10773" width="7.81640625" bestFit="1" customWidth="1"/>
    <col min="10774" max="10774" width="4.54296875" bestFit="1" customWidth="1"/>
    <col min="10775" max="10775" width="14.1796875" bestFit="1" customWidth="1"/>
    <col min="11002" max="11002" width="1.81640625" customWidth="1"/>
    <col min="11003" max="11003" width="8" customWidth="1"/>
    <col min="11004" max="11004" width="8" bestFit="1" customWidth="1"/>
    <col min="11005" max="11005" width="9" bestFit="1" customWidth="1"/>
    <col min="11006" max="11006" width="12" bestFit="1" customWidth="1"/>
    <col min="11007" max="11028" width="9" bestFit="1" customWidth="1"/>
    <col min="11029" max="11029" width="7.81640625" bestFit="1" customWidth="1"/>
    <col min="11030" max="11030" width="4.54296875" bestFit="1" customWidth="1"/>
    <col min="11031" max="11031" width="14.1796875" bestFit="1" customWidth="1"/>
    <col min="11258" max="11258" width="1.81640625" customWidth="1"/>
    <col min="11259" max="11259" width="8" customWidth="1"/>
    <col min="11260" max="11260" width="8" bestFit="1" customWidth="1"/>
    <col min="11261" max="11261" width="9" bestFit="1" customWidth="1"/>
    <col min="11262" max="11262" width="12" bestFit="1" customWidth="1"/>
    <col min="11263" max="11284" width="9" bestFit="1" customWidth="1"/>
    <col min="11285" max="11285" width="7.81640625" bestFit="1" customWidth="1"/>
    <col min="11286" max="11286" width="4.54296875" bestFit="1" customWidth="1"/>
    <col min="11287" max="11287" width="14.1796875" bestFit="1" customWidth="1"/>
    <col min="11514" max="11514" width="1.81640625" customWidth="1"/>
    <col min="11515" max="11515" width="8" customWidth="1"/>
    <col min="11516" max="11516" width="8" bestFit="1" customWidth="1"/>
    <col min="11517" max="11517" width="9" bestFit="1" customWidth="1"/>
    <col min="11518" max="11518" width="12" bestFit="1" customWidth="1"/>
    <col min="11519" max="11540" width="9" bestFit="1" customWidth="1"/>
    <col min="11541" max="11541" width="7.81640625" bestFit="1" customWidth="1"/>
    <col min="11542" max="11542" width="4.54296875" bestFit="1" customWidth="1"/>
    <col min="11543" max="11543" width="14.1796875" bestFit="1" customWidth="1"/>
    <col min="11770" max="11770" width="1.81640625" customWidth="1"/>
    <col min="11771" max="11771" width="8" customWidth="1"/>
    <col min="11772" max="11772" width="8" bestFit="1" customWidth="1"/>
    <col min="11773" max="11773" width="9" bestFit="1" customWidth="1"/>
    <col min="11774" max="11774" width="12" bestFit="1" customWidth="1"/>
    <col min="11775" max="11796" width="9" bestFit="1" customWidth="1"/>
    <col min="11797" max="11797" width="7.81640625" bestFit="1" customWidth="1"/>
    <col min="11798" max="11798" width="4.54296875" bestFit="1" customWidth="1"/>
    <col min="11799" max="11799" width="14.1796875" bestFit="1" customWidth="1"/>
    <col min="12026" max="12026" width="1.81640625" customWidth="1"/>
    <col min="12027" max="12027" width="8" customWidth="1"/>
    <col min="12028" max="12028" width="8" bestFit="1" customWidth="1"/>
    <col min="12029" max="12029" width="9" bestFit="1" customWidth="1"/>
    <col min="12030" max="12030" width="12" bestFit="1" customWidth="1"/>
    <col min="12031" max="12052" width="9" bestFit="1" customWidth="1"/>
    <col min="12053" max="12053" width="7.81640625" bestFit="1" customWidth="1"/>
    <col min="12054" max="12054" width="4.54296875" bestFit="1" customWidth="1"/>
    <col min="12055" max="12055" width="14.1796875" bestFit="1" customWidth="1"/>
    <col min="12282" max="12282" width="1.81640625" customWidth="1"/>
    <col min="12283" max="12283" width="8" customWidth="1"/>
    <col min="12284" max="12284" width="8" bestFit="1" customWidth="1"/>
    <col min="12285" max="12285" width="9" bestFit="1" customWidth="1"/>
    <col min="12286" max="12286" width="12" bestFit="1" customWidth="1"/>
    <col min="12287" max="12308" width="9" bestFit="1" customWidth="1"/>
    <col min="12309" max="12309" width="7.81640625" bestFit="1" customWidth="1"/>
    <col min="12310" max="12310" width="4.54296875" bestFit="1" customWidth="1"/>
    <col min="12311" max="12311" width="14.1796875" bestFit="1" customWidth="1"/>
    <col min="12538" max="12538" width="1.81640625" customWidth="1"/>
    <col min="12539" max="12539" width="8" customWidth="1"/>
    <col min="12540" max="12540" width="8" bestFit="1" customWidth="1"/>
    <col min="12541" max="12541" width="9" bestFit="1" customWidth="1"/>
    <col min="12542" max="12542" width="12" bestFit="1" customWidth="1"/>
    <col min="12543" max="12564" width="9" bestFit="1" customWidth="1"/>
    <col min="12565" max="12565" width="7.81640625" bestFit="1" customWidth="1"/>
    <col min="12566" max="12566" width="4.54296875" bestFit="1" customWidth="1"/>
    <col min="12567" max="12567" width="14.1796875" bestFit="1" customWidth="1"/>
    <col min="12794" max="12794" width="1.81640625" customWidth="1"/>
    <col min="12795" max="12795" width="8" customWidth="1"/>
    <col min="12796" max="12796" width="8" bestFit="1" customWidth="1"/>
    <col min="12797" max="12797" width="9" bestFit="1" customWidth="1"/>
    <col min="12798" max="12798" width="12" bestFit="1" customWidth="1"/>
    <col min="12799" max="12820" width="9" bestFit="1" customWidth="1"/>
    <col min="12821" max="12821" width="7.81640625" bestFit="1" customWidth="1"/>
    <col min="12822" max="12822" width="4.54296875" bestFit="1" customWidth="1"/>
    <col min="12823" max="12823" width="14.1796875" bestFit="1" customWidth="1"/>
    <col min="13050" max="13050" width="1.81640625" customWidth="1"/>
    <col min="13051" max="13051" width="8" customWidth="1"/>
    <col min="13052" max="13052" width="8" bestFit="1" customWidth="1"/>
    <col min="13053" max="13053" width="9" bestFit="1" customWidth="1"/>
    <col min="13054" max="13054" width="12" bestFit="1" customWidth="1"/>
    <col min="13055" max="13076" width="9" bestFit="1" customWidth="1"/>
    <col min="13077" max="13077" width="7.81640625" bestFit="1" customWidth="1"/>
    <col min="13078" max="13078" width="4.54296875" bestFit="1" customWidth="1"/>
    <col min="13079" max="13079" width="14.1796875" bestFit="1" customWidth="1"/>
    <col min="13306" max="13306" width="1.81640625" customWidth="1"/>
    <col min="13307" max="13307" width="8" customWidth="1"/>
    <col min="13308" max="13308" width="8" bestFit="1" customWidth="1"/>
    <col min="13309" max="13309" width="9" bestFit="1" customWidth="1"/>
    <col min="13310" max="13310" width="12" bestFit="1" customWidth="1"/>
    <col min="13311" max="13332" width="9" bestFit="1" customWidth="1"/>
    <col min="13333" max="13333" width="7.81640625" bestFit="1" customWidth="1"/>
    <col min="13334" max="13334" width="4.54296875" bestFit="1" customWidth="1"/>
    <col min="13335" max="13335" width="14.1796875" bestFit="1" customWidth="1"/>
    <col min="13562" max="13562" width="1.81640625" customWidth="1"/>
    <col min="13563" max="13563" width="8" customWidth="1"/>
    <col min="13564" max="13564" width="8" bestFit="1" customWidth="1"/>
    <col min="13565" max="13565" width="9" bestFit="1" customWidth="1"/>
    <col min="13566" max="13566" width="12" bestFit="1" customWidth="1"/>
    <col min="13567" max="13588" width="9" bestFit="1" customWidth="1"/>
    <col min="13589" max="13589" width="7.81640625" bestFit="1" customWidth="1"/>
    <col min="13590" max="13590" width="4.54296875" bestFit="1" customWidth="1"/>
    <col min="13591" max="13591" width="14.1796875" bestFit="1" customWidth="1"/>
    <col min="13818" max="13818" width="1.81640625" customWidth="1"/>
    <col min="13819" max="13819" width="8" customWidth="1"/>
    <col min="13820" max="13820" width="8" bestFit="1" customWidth="1"/>
    <col min="13821" max="13821" width="9" bestFit="1" customWidth="1"/>
    <col min="13822" max="13822" width="12" bestFit="1" customWidth="1"/>
    <col min="13823" max="13844" width="9" bestFit="1" customWidth="1"/>
    <col min="13845" max="13845" width="7.81640625" bestFit="1" customWidth="1"/>
    <col min="13846" max="13846" width="4.54296875" bestFit="1" customWidth="1"/>
    <col min="13847" max="13847" width="14.1796875" bestFit="1" customWidth="1"/>
    <col min="14074" max="14074" width="1.81640625" customWidth="1"/>
    <col min="14075" max="14075" width="8" customWidth="1"/>
    <col min="14076" max="14076" width="8" bestFit="1" customWidth="1"/>
    <col min="14077" max="14077" width="9" bestFit="1" customWidth="1"/>
    <col min="14078" max="14078" width="12" bestFit="1" customWidth="1"/>
    <col min="14079" max="14100" width="9" bestFit="1" customWidth="1"/>
    <col min="14101" max="14101" width="7.81640625" bestFit="1" customWidth="1"/>
    <col min="14102" max="14102" width="4.54296875" bestFit="1" customWidth="1"/>
    <col min="14103" max="14103" width="14.1796875" bestFit="1" customWidth="1"/>
    <col min="14330" max="14330" width="1.81640625" customWidth="1"/>
    <col min="14331" max="14331" width="8" customWidth="1"/>
    <col min="14332" max="14332" width="8" bestFit="1" customWidth="1"/>
    <col min="14333" max="14333" width="9" bestFit="1" customWidth="1"/>
    <col min="14334" max="14334" width="12" bestFit="1" customWidth="1"/>
    <col min="14335" max="14356" width="9" bestFit="1" customWidth="1"/>
    <col min="14357" max="14357" width="7.81640625" bestFit="1" customWidth="1"/>
    <col min="14358" max="14358" width="4.54296875" bestFit="1" customWidth="1"/>
    <col min="14359" max="14359" width="14.1796875" bestFit="1" customWidth="1"/>
    <col min="14586" max="14586" width="1.81640625" customWidth="1"/>
    <col min="14587" max="14587" width="8" customWidth="1"/>
    <col min="14588" max="14588" width="8" bestFit="1" customWidth="1"/>
    <col min="14589" max="14589" width="9" bestFit="1" customWidth="1"/>
    <col min="14590" max="14590" width="12" bestFit="1" customWidth="1"/>
    <col min="14591" max="14612" width="9" bestFit="1" customWidth="1"/>
    <col min="14613" max="14613" width="7.81640625" bestFit="1" customWidth="1"/>
    <col min="14614" max="14614" width="4.54296875" bestFit="1" customWidth="1"/>
    <col min="14615" max="14615" width="14.1796875" bestFit="1" customWidth="1"/>
    <col min="14842" max="14842" width="1.81640625" customWidth="1"/>
    <col min="14843" max="14843" width="8" customWidth="1"/>
    <col min="14844" max="14844" width="8" bestFit="1" customWidth="1"/>
    <col min="14845" max="14845" width="9" bestFit="1" customWidth="1"/>
    <col min="14846" max="14846" width="12" bestFit="1" customWidth="1"/>
    <col min="14847" max="14868" width="9" bestFit="1" customWidth="1"/>
    <col min="14869" max="14869" width="7.81640625" bestFit="1" customWidth="1"/>
    <col min="14870" max="14870" width="4.54296875" bestFit="1" customWidth="1"/>
    <col min="14871" max="14871" width="14.1796875" bestFit="1" customWidth="1"/>
    <col min="15098" max="15098" width="1.81640625" customWidth="1"/>
    <col min="15099" max="15099" width="8" customWidth="1"/>
    <col min="15100" max="15100" width="8" bestFit="1" customWidth="1"/>
    <col min="15101" max="15101" width="9" bestFit="1" customWidth="1"/>
    <col min="15102" max="15102" width="12" bestFit="1" customWidth="1"/>
    <col min="15103" max="15124" width="9" bestFit="1" customWidth="1"/>
    <col min="15125" max="15125" width="7.81640625" bestFit="1" customWidth="1"/>
    <col min="15126" max="15126" width="4.54296875" bestFit="1" customWidth="1"/>
    <col min="15127" max="15127" width="14.1796875" bestFit="1" customWidth="1"/>
    <col min="15354" max="15354" width="1.81640625" customWidth="1"/>
    <col min="15355" max="15355" width="8" customWidth="1"/>
    <col min="15356" max="15356" width="8" bestFit="1" customWidth="1"/>
    <col min="15357" max="15357" width="9" bestFit="1" customWidth="1"/>
    <col min="15358" max="15358" width="12" bestFit="1" customWidth="1"/>
    <col min="15359" max="15380" width="9" bestFit="1" customWidth="1"/>
    <col min="15381" max="15381" width="7.81640625" bestFit="1" customWidth="1"/>
    <col min="15382" max="15382" width="4.54296875" bestFit="1" customWidth="1"/>
    <col min="15383" max="15383" width="14.1796875" bestFit="1" customWidth="1"/>
    <col min="15610" max="15610" width="1.81640625" customWidth="1"/>
    <col min="15611" max="15611" width="8" customWidth="1"/>
    <col min="15612" max="15612" width="8" bestFit="1" customWidth="1"/>
    <col min="15613" max="15613" width="9" bestFit="1" customWidth="1"/>
    <col min="15614" max="15614" width="12" bestFit="1" customWidth="1"/>
    <col min="15615" max="15636" width="9" bestFit="1" customWidth="1"/>
    <col min="15637" max="15637" width="7.81640625" bestFit="1" customWidth="1"/>
    <col min="15638" max="15638" width="4.54296875" bestFit="1" customWidth="1"/>
    <col min="15639" max="15639" width="14.1796875" bestFit="1" customWidth="1"/>
    <col min="15866" max="15866" width="1.81640625" customWidth="1"/>
    <col min="15867" max="15867" width="8" customWidth="1"/>
    <col min="15868" max="15868" width="8" bestFit="1" customWidth="1"/>
    <col min="15869" max="15869" width="9" bestFit="1" customWidth="1"/>
    <col min="15870" max="15870" width="12" bestFit="1" customWidth="1"/>
    <col min="15871" max="15892" width="9" bestFit="1" customWidth="1"/>
    <col min="15893" max="15893" width="7.81640625" bestFit="1" customWidth="1"/>
    <col min="15894" max="15894" width="4.54296875" bestFit="1" customWidth="1"/>
    <col min="15895" max="15895" width="14.1796875" bestFit="1" customWidth="1"/>
    <col min="16122" max="16122" width="1.81640625" customWidth="1"/>
    <col min="16123" max="16123" width="8" customWidth="1"/>
    <col min="16124" max="16124" width="8" bestFit="1" customWidth="1"/>
    <col min="16125" max="16125" width="9" bestFit="1" customWidth="1"/>
    <col min="16126" max="16126" width="12" bestFit="1" customWidth="1"/>
    <col min="16127" max="16148" width="9" bestFit="1" customWidth="1"/>
    <col min="16149" max="16149" width="7.81640625" bestFit="1" customWidth="1"/>
    <col min="16150" max="16150" width="4.54296875" bestFit="1" customWidth="1"/>
    <col min="16151" max="16151" width="14.1796875" bestFit="1" customWidth="1"/>
  </cols>
  <sheetData>
    <row r="2" spans="2:56" ht="15.5">
      <c r="B2" s="53" t="s">
        <v>0</v>
      </c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  <c r="AA2" s="53"/>
      <c r="AB2" s="53"/>
    </row>
    <row r="3" spans="2:56" ht="15.5">
      <c r="B3" s="53" t="s">
        <v>41</v>
      </c>
      <c r="C3" s="53"/>
      <c r="D3" s="53"/>
      <c r="E3" s="53"/>
      <c r="F3" s="53"/>
      <c r="G3" s="53"/>
      <c r="H3" s="53"/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  <c r="AA3" s="53"/>
      <c r="AB3" s="53"/>
    </row>
    <row r="4" spans="2:56" ht="16" thickBot="1">
      <c r="B4" s="54" t="s">
        <v>43</v>
      </c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  <c r="U4" s="54"/>
      <c r="V4" s="54"/>
      <c r="W4" s="54"/>
      <c r="X4" s="54"/>
      <c r="Y4" s="54"/>
      <c r="Z4" s="54"/>
      <c r="AA4" s="54"/>
      <c r="AB4" s="54"/>
    </row>
    <row r="5" spans="2:56" ht="25.5" customHeight="1" thickBot="1">
      <c r="B5" s="37"/>
      <c r="C5" s="38" t="s">
        <v>1</v>
      </c>
      <c r="D5" s="39">
        <v>1</v>
      </c>
      <c r="E5" s="39">
        <v>2</v>
      </c>
      <c r="F5" s="39">
        <v>3</v>
      </c>
      <c r="G5" s="39">
        <v>4</v>
      </c>
      <c r="H5" s="39">
        <v>5</v>
      </c>
      <c r="I5" s="39">
        <v>6</v>
      </c>
      <c r="J5" s="40">
        <v>7</v>
      </c>
      <c r="K5" s="40">
        <v>8</v>
      </c>
      <c r="L5" s="40">
        <v>9</v>
      </c>
      <c r="M5" s="40">
        <v>10</v>
      </c>
      <c r="N5" s="40">
        <v>11</v>
      </c>
      <c r="O5" s="40">
        <v>12</v>
      </c>
      <c r="P5" s="40">
        <v>13</v>
      </c>
      <c r="Q5" s="40">
        <v>14</v>
      </c>
      <c r="R5" s="40">
        <v>15</v>
      </c>
      <c r="S5" s="40">
        <v>16</v>
      </c>
      <c r="T5" s="40">
        <v>17</v>
      </c>
      <c r="U5" s="40">
        <v>18</v>
      </c>
      <c r="V5" s="41">
        <v>19</v>
      </c>
      <c r="W5" s="41">
        <v>20</v>
      </c>
      <c r="X5" s="41">
        <v>21</v>
      </c>
      <c r="Y5" s="39">
        <v>22</v>
      </c>
      <c r="Z5" s="39">
        <v>23</v>
      </c>
      <c r="AA5" s="42">
        <v>24</v>
      </c>
      <c r="AB5" s="14" t="s">
        <v>2</v>
      </c>
      <c r="AC5" s="15" t="s">
        <v>3</v>
      </c>
      <c r="AD5" s="16" t="s">
        <v>2</v>
      </c>
    </row>
    <row r="6" spans="2:56">
      <c r="B6" s="47">
        <v>46388</v>
      </c>
      <c r="C6" s="8" t="s">
        <v>5</v>
      </c>
      <c r="D6" s="7">
        <v>0</v>
      </c>
      <c r="E6" s="7">
        <v>0</v>
      </c>
      <c r="F6" s="7">
        <v>0</v>
      </c>
      <c r="G6" s="7">
        <v>0</v>
      </c>
      <c r="H6" s="7">
        <v>0</v>
      </c>
      <c r="I6" s="7">
        <v>0</v>
      </c>
      <c r="J6" s="7">
        <v>0</v>
      </c>
      <c r="K6" s="7">
        <v>647.4601148781951</v>
      </c>
      <c r="L6" s="7">
        <v>1004.4904720210512</v>
      </c>
      <c r="M6" s="7">
        <v>1167.543857735337</v>
      </c>
      <c r="N6" s="7">
        <v>1461.8983720210517</v>
      </c>
      <c r="O6" s="7">
        <v>1476.690686306765</v>
      </c>
      <c r="P6" s="7">
        <v>1225.3090148781932</v>
      </c>
      <c r="Q6" s="7">
        <v>1597.7785005924816</v>
      </c>
      <c r="R6" s="7">
        <v>1870.6236577353379</v>
      </c>
      <c r="S6" s="7">
        <v>1922.1171863067643</v>
      </c>
      <c r="T6" s="7">
        <v>1664.5898291639078</v>
      </c>
      <c r="U6" s="7">
        <v>1241.1438863067642</v>
      </c>
      <c r="V6" s="7">
        <v>985.97171487819355</v>
      </c>
      <c r="W6" s="7">
        <v>645.24688630676269</v>
      </c>
      <c r="X6" s="7">
        <v>81.457714878194608</v>
      </c>
      <c r="Y6" s="7">
        <v>0</v>
      </c>
      <c r="Z6" s="7">
        <v>0</v>
      </c>
      <c r="AA6" s="11">
        <v>0</v>
      </c>
      <c r="AB6" s="5">
        <f t="shared" ref="AB6:AB21" si="0">(SUM(D6:AA6))</f>
        <v>16992.321894008997</v>
      </c>
      <c r="AC6" s="5">
        <v>19</v>
      </c>
      <c r="AD6" s="50">
        <f>(AB6*AC6)+(AB7*AC7)+(AB8*AC8)+(AB9*AC9)</f>
        <v>326421.35305751674</v>
      </c>
      <c r="AE6" s="79">
        <f>+AD6</f>
        <v>326421.35305751674</v>
      </c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4"/>
      <c r="AR6" s="44"/>
      <c r="AS6" s="44"/>
      <c r="AT6" s="44"/>
      <c r="AU6" s="44"/>
      <c r="AV6" s="44"/>
      <c r="AW6" s="44"/>
      <c r="AX6" s="44"/>
      <c r="AY6" s="44"/>
      <c r="AZ6" s="44"/>
      <c r="BA6" s="44"/>
      <c r="BB6" s="44"/>
      <c r="BC6" s="44"/>
      <c r="BD6" s="44"/>
    </row>
    <row r="7" spans="2:56">
      <c r="B7" s="48"/>
      <c r="C7" s="1" t="s">
        <v>6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36.173114878194589</v>
      </c>
      <c r="M7" s="2">
        <v>133.569014878194</v>
      </c>
      <c r="N7" s="2">
        <v>304.8810898781943</v>
      </c>
      <c r="O7" s="2">
        <v>158.30986487819436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34.319189878193264</v>
      </c>
      <c r="V7" s="2">
        <v>46.1951398781938</v>
      </c>
      <c r="W7" s="2">
        <v>0</v>
      </c>
      <c r="X7" s="2">
        <v>0</v>
      </c>
      <c r="Y7" s="2">
        <v>0</v>
      </c>
      <c r="Z7" s="2">
        <v>0</v>
      </c>
      <c r="AA7" s="12">
        <v>0</v>
      </c>
      <c r="AB7" s="3">
        <f t="shared" si="0"/>
        <v>713.44741426916426</v>
      </c>
      <c r="AC7" s="3">
        <v>5</v>
      </c>
      <c r="AD7" s="51"/>
      <c r="AE7" s="79">
        <f>+AD10</f>
        <v>434392.41230855335</v>
      </c>
      <c r="AG7" s="44"/>
      <c r="AH7" s="44"/>
      <c r="AI7" s="44"/>
      <c r="AJ7" s="44"/>
      <c r="AK7" s="44"/>
      <c r="AL7" s="44"/>
      <c r="AM7" s="44"/>
      <c r="AN7" s="44"/>
      <c r="AO7" s="44"/>
      <c r="AP7" s="44"/>
      <c r="AQ7" s="44"/>
      <c r="AR7" s="44"/>
      <c r="AS7" s="44"/>
      <c r="AT7" s="44"/>
      <c r="AU7" s="44"/>
      <c r="AV7" s="44"/>
      <c r="AW7" s="44"/>
      <c r="AX7" s="44"/>
      <c r="AY7" s="44"/>
      <c r="AZ7" s="44"/>
      <c r="BA7" s="44"/>
      <c r="BB7" s="44"/>
      <c r="BC7" s="44"/>
      <c r="BD7" s="44"/>
    </row>
    <row r="8" spans="2:56">
      <c r="B8" s="48"/>
      <c r="C8" s="1" t="s">
        <v>7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12">
        <v>0</v>
      </c>
      <c r="AB8" s="3">
        <f t="shared" si="0"/>
        <v>0</v>
      </c>
      <c r="AC8" s="3">
        <v>5</v>
      </c>
      <c r="AD8" s="51"/>
      <c r="AE8" s="79">
        <f>+AD14</f>
        <v>495573.33661322651</v>
      </c>
      <c r="AG8" s="44"/>
      <c r="AH8" s="44"/>
      <c r="AI8" s="44"/>
      <c r="AJ8" s="44"/>
      <c r="AK8" s="44"/>
      <c r="AL8" s="44"/>
      <c r="AM8" s="44"/>
      <c r="AN8" s="44"/>
      <c r="AO8" s="44"/>
      <c r="AP8" s="44"/>
      <c r="AQ8" s="44"/>
      <c r="AR8" s="44"/>
      <c r="AS8" s="44"/>
      <c r="AT8" s="44"/>
      <c r="AU8" s="44"/>
      <c r="AV8" s="44"/>
      <c r="AW8" s="44"/>
      <c r="AX8" s="44"/>
      <c r="AY8" s="44"/>
      <c r="AZ8" s="44"/>
      <c r="BA8" s="44"/>
      <c r="BB8" s="44"/>
      <c r="BC8" s="44"/>
      <c r="BD8" s="44"/>
    </row>
    <row r="9" spans="2:56" ht="15" thickBot="1">
      <c r="B9" s="49"/>
      <c r="C9" s="9" t="s">
        <v>8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3">
        <v>0</v>
      </c>
      <c r="AB9" s="6">
        <f t="shared" si="0"/>
        <v>0</v>
      </c>
      <c r="AC9" s="6">
        <v>2</v>
      </c>
      <c r="AD9" s="52"/>
      <c r="AE9" s="79">
        <f>+AD18</f>
        <v>377862.61546165048</v>
      </c>
      <c r="AG9" s="44"/>
      <c r="AH9" s="44"/>
      <c r="AI9" s="44"/>
      <c r="AJ9" s="44"/>
      <c r="AK9" s="44"/>
      <c r="AL9" s="44"/>
      <c r="AM9" s="44"/>
      <c r="AN9" s="44"/>
      <c r="AO9" s="44"/>
      <c r="AP9" s="44"/>
      <c r="AQ9" s="44"/>
      <c r="AR9" s="44"/>
      <c r="AS9" s="44"/>
      <c r="AT9" s="44"/>
      <c r="AU9" s="44"/>
      <c r="AV9" s="44"/>
      <c r="AW9" s="44"/>
      <c r="AX9" s="44"/>
      <c r="AY9" s="44"/>
      <c r="AZ9" s="44"/>
      <c r="BA9" s="44"/>
      <c r="BB9" s="44"/>
      <c r="BC9" s="44"/>
      <c r="BD9" s="44"/>
    </row>
    <row r="10" spans="2:56">
      <c r="B10" s="47">
        <v>46419</v>
      </c>
      <c r="C10" s="8" t="s">
        <v>5</v>
      </c>
      <c r="D10" s="7">
        <v>0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163.48151953257158</v>
      </c>
      <c r="K10" s="7">
        <v>1258.6461745325728</v>
      </c>
      <c r="L10" s="7">
        <v>1628.6696545325731</v>
      </c>
      <c r="M10" s="7">
        <v>1685.4242695325718</v>
      </c>
      <c r="N10" s="7">
        <v>1871.5925395325723</v>
      </c>
      <c r="O10" s="7">
        <v>1763.1138445325721</v>
      </c>
      <c r="P10" s="7">
        <v>1479.013589532572</v>
      </c>
      <c r="Q10" s="7">
        <v>1836.4811095325722</v>
      </c>
      <c r="R10" s="7">
        <v>2095.0373845325721</v>
      </c>
      <c r="S10" s="7">
        <v>2098.0518295325714</v>
      </c>
      <c r="T10" s="7">
        <v>1957.5830245325717</v>
      </c>
      <c r="U10" s="7">
        <v>1453.9364395325715</v>
      </c>
      <c r="V10" s="7">
        <v>1028.9766445325718</v>
      </c>
      <c r="W10" s="7">
        <v>747.17491453257219</v>
      </c>
      <c r="X10" s="7">
        <v>218.0042995325708</v>
      </c>
      <c r="Y10" s="7">
        <v>0</v>
      </c>
      <c r="Z10" s="7">
        <v>0</v>
      </c>
      <c r="AA10" s="11">
        <v>0</v>
      </c>
      <c r="AB10" s="5">
        <f t="shared" si="0"/>
        <v>21285.187237988583</v>
      </c>
      <c r="AC10" s="5">
        <v>20</v>
      </c>
      <c r="AD10" s="50">
        <f>(AB10*AC10)+(AB11*AC11)+(AB12*AC12)+(AB13*AC13)</f>
        <v>434392.41230855335</v>
      </c>
      <c r="AE10" s="79">
        <f>+AD22</f>
        <v>827761.93478700414</v>
      </c>
      <c r="AG10" s="44"/>
      <c r="AH10" s="44"/>
      <c r="AI10" s="44"/>
      <c r="AJ10" s="44"/>
      <c r="AK10" s="44"/>
      <c r="AL10" s="44"/>
      <c r="AM10" s="44"/>
      <c r="AN10" s="44"/>
      <c r="AO10" s="44"/>
      <c r="AP10" s="44"/>
      <c r="AQ10" s="44"/>
      <c r="AR10" s="44"/>
      <c r="AS10" s="44"/>
      <c r="AT10" s="44"/>
      <c r="AU10" s="44"/>
      <c r="AV10" s="44"/>
      <c r="AW10" s="44"/>
      <c r="AX10" s="44"/>
      <c r="AY10" s="44"/>
      <c r="AZ10" s="44"/>
      <c r="BA10" s="44"/>
      <c r="BB10" s="44"/>
      <c r="BC10" s="44"/>
      <c r="BD10" s="44"/>
    </row>
    <row r="11" spans="2:56">
      <c r="B11" s="48"/>
      <c r="C11" s="1" t="s">
        <v>6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81.846689532572086</v>
      </c>
      <c r="L11" s="2">
        <v>385.80916453257203</v>
      </c>
      <c r="M11" s="2">
        <v>556.05391453257266</v>
      </c>
      <c r="N11" s="2">
        <v>676.8739645325727</v>
      </c>
      <c r="O11" s="2">
        <v>457.46243953257226</v>
      </c>
      <c r="P11" s="2">
        <v>14.120714532572546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12">
        <v>0</v>
      </c>
      <c r="AB11" s="3">
        <f t="shared" si="0"/>
        <v>2172.1668871954344</v>
      </c>
      <c r="AC11" s="3">
        <v>4</v>
      </c>
      <c r="AD11" s="51"/>
      <c r="AE11" s="79">
        <f>+AD26</f>
        <v>708535.19211697415</v>
      </c>
      <c r="AG11" s="44"/>
      <c r="AH11" s="44"/>
      <c r="AI11" s="44"/>
      <c r="AJ11" s="44"/>
      <c r="AK11" s="44"/>
      <c r="AL11" s="44"/>
      <c r="AM11" s="44"/>
      <c r="AN11" s="44"/>
      <c r="AO11" s="44"/>
      <c r="AP11" s="44"/>
      <c r="AQ11" s="44"/>
      <c r="AR11" s="44"/>
      <c r="AS11" s="44"/>
      <c r="AT11" s="44"/>
      <c r="AU11" s="44"/>
      <c r="AV11" s="44"/>
      <c r="AW11" s="44"/>
      <c r="AX11" s="44"/>
      <c r="AY11" s="44"/>
      <c r="AZ11" s="44"/>
      <c r="BA11" s="44"/>
      <c r="BB11" s="44"/>
      <c r="BC11" s="44"/>
      <c r="BD11" s="44"/>
    </row>
    <row r="12" spans="2:56">
      <c r="B12" s="48"/>
      <c r="C12" s="1" t="s">
        <v>7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12">
        <v>0</v>
      </c>
      <c r="AB12" s="3">
        <f t="shared" si="0"/>
        <v>0</v>
      </c>
      <c r="AC12" s="3">
        <v>4</v>
      </c>
      <c r="AD12" s="51"/>
      <c r="AE12" s="79">
        <f>+AD30</f>
        <v>765698.29803394875</v>
      </c>
      <c r="AG12" s="44"/>
      <c r="AH12" s="44"/>
      <c r="AI12" s="44"/>
      <c r="AJ12" s="44"/>
      <c r="AK12" s="44"/>
      <c r="AL12" s="44"/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44"/>
      <c r="AZ12" s="44"/>
      <c r="BA12" s="44"/>
      <c r="BB12" s="44"/>
      <c r="BC12" s="44"/>
      <c r="BD12" s="44"/>
    </row>
    <row r="13" spans="2:56" ht="15" thickBot="1">
      <c r="B13" s="49"/>
      <c r="C13" s="9" t="s">
        <v>8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3">
        <v>0</v>
      </c>
      <c r="AB13" s="6">
        <f t="shared" si="0"/>
        <v>0</v>
      </c>
      <c r="AC13" s="6">
        <v>0</v>
      </c>
      <c r="AD13" s="52"/>
      <c r="AE13" s="79">
        <f>+AD34</f>
        <v>823563.37334260426</v>
      </c>
      <c r="AG13" s="44"/>
      <c r="AH13" s="44"/>
      <c r="AI13" s="44"/>
      <c r="AJ13" s="44"/>
      <c r="AK13" s="44"/>
      <c r="AL13" s="44"/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44"/>
      <c r="AZ13" s="44"/>
      <c r="BA13" s="44"/>
      <c r="BB13" s="44"/>
      <c r="BC13" s="44"/>
      <c r="BD13" s="44"/>
    </row>
    <row r="14" spans="2:56">
      <c r="B14" s="47">
        <v>46447</v>
      </c>
      <c r="C14" s="8" t="s">
        <v>5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468.22712987819335</v>
      </c>
      <c r="K14" s="7">
        <v>1568.458514878195</v>
      </c>
      <c r="L14" s="7">
        <v>1974.9927748781934</v>
      </c>
      <c r="M14" s="7">
        <v>2098.695314878194</v>
      </c>
      <c r="N14" s="7">
        <v>2085.336224878195</v>
      </c>
      <c r="O14" s="7">
        <v>1918.5419698781955</v>
      </c>
      <c r="P14" s="7">
        <v>1911.3206398781933</v>
      </c>
      <c r="Q14" s="7">
        <v>2017.4435248781947</v>
      </c>
      <c r="R14" s="7">
        <v>2208.5231998781951</v>
      </c>
      <c r="S14" s="7">
        <v>2319.9291298781955</v>
      </c>
      <c r="T14" s="7">
        <v>2147.4921598781921</v>
      </c>
      <c r="U14" s="7">
        <v>1019.3168098781936</v>
      </c>
      <c r="V14" s="7">
        <v>740.03020487819424</v>
      </c>
      <c r="W14" s="7">
        <v>482.74388987819481</v>
      </c>
      <c r="X14" s="7">
        <v>285.43867487819404</v>
      </c>
      <c r="Y14" s="7">
        <v>67.050869878193765</v>
      </c>
      <c r="Z14" s="7">
        <v>0</v>
      </c>
      <c r="AA14" s="11">
        <v>0</v>
      </c>
      <c r="AB14" s="5">
        <f t="shared" si="0"/>
        <v>23313.541033051104</v>
      </c>
      <c r="AC14" s="5">
        <v>20</v>
      </c>
      <c r="AD14" s="50">
        <f>(AB14*AC14)+(AB15*AC15)+(AB16*AC16)+(AB17*AC17)</f>
        <v>495573.33661322651</v>
      </c>
      <c r="AE14" s="79">
        <f>+AD38</f>
        <v>755928.84329454973</v>
      </c>
      <c r="AG14" s="44"/>
      <c r="AH14" s="44"/>
      <c r="AI14" s="44"/>
      <c r="AJ14" s="44"/>
      <c r="AK14" s="44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44"/>
      <c r="AZ14" s="44"/>
      <c r="BA14" s="44"/>
      <c r="BB14" s="44"/>
      <c r="BC14" s="44"/>
      <c r="BD14" s="44"/>
    </row>
    <row r="15" spans="2:56">
      <c r="B15" s="48"/>
      <c r="C15" s="1" t="s">
        <v>6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497.23243487819468</v>
      </c>
      <c r="L15" s="2">
        <v>764.90215487819444</v>
      </c>
      <c r="M15" s="2">
        <v>841.65721487819405</v>
      </c>
      <c r="N15" s="2">
        <v>1060.9909348781941</v>
      </c>
      <c r="O15" s="2">
        <v>751.09447487819432</v>
      </c>
      <c r="P15" s="2">
        <v>390.41785487819453</v>
      </c>
      <c r="Q15" s="2">
        <v>291.08281487819409</v>
      </c>
      <c r="R15" s="2">
        <v>303.41875487819397</v>
      </c>
      <c r="S15" s="2">
        <v>357.34303487819358</v>
      </c>
      <c r="T15" s="2">
        <v>480.57247487819512</v>
      </c>
      <c r="U15" s="2">
        <v>416.79745487819389</v>
      </c>
      <c r="V15" s="2">
        <v>187.7269948781925</v>
      </c>
      <c r="W15" s="2">
        <v>74.901194878193266</v>
      </c>
      <c r="X15" s="2">
        <v>0</v>
      </c>
      <c r="Y15" s="2">
        <v>0</v>
      </c>
      <c r="Z15" s="2">
        <v>0</v>
      </c>
      <c r="AA15" s="12">
        <v>0</v>
      </c>
      <c r="AB15" s="3">
        <f t="shared" si="0"/>
        <v>6418.1377934165221</v>
      </c>
      <c r="AC15" s="3">
        <v>4</v>
      </c>
      <c r="AD15" s="51"/>
      <c r="AE15" s="79">
        <f>+AD42</f>
        <v>563447.77223220293</v>
      </c>
      <c r="AG15" s="44"/>
      <c r="AH15" s="44"/>
      <c r="AI15" s="44"/>
      <c r="AJ15" s="44"/>
      <c r="AK15" s="44"/>
      <c r="AL15" s="44"/>
      <c r="AM15" s="44"/>
      <c r="AN15" s="44"/>
      <c r="AO15" s="44"/>
      <c r="AP15" s="44"/>
      <c r="AQ15" s="44"/>
      <c r="AR15" s="44"/>
      <c r="AS15" s="44"/>
      <c r="AT15" s="44"/>
      <c r="AU15" s="44"/>
      <c r="AV15" s="44"/>
      <c r="AW15" s="44"/>
      <c r="AX15" s="44"/>
      <c r="AY15" s="44"/>
      <c r="AZ15" s="44"/>
      <c r="BA15" s="44"/>
      <c r="BB15" s="44"/>
      <c r="BC15" s="44"/>
      <c r="BD15" s="44"/>
    </row>
    <row r="16" spans="2:56">
      <c r="B16" s="48"/>
      <c r="C16" s="1" t="s">
        <v>7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12">
        <v>0</v>
      </c>
      <c r="AB16" s="3">
        <f t="shared" si="0"/>
        <v>0</v>
      </c>
      <c r="AC16" s="3">
        <v>4</v>
      </c>
      <c r="AD16" s="51"/>
      <c r="AE16" s="79">
        <f>+AD46</f>
        <v>839712.89535913139</v>
      </c>
      <c r="AG16" s="44"/>
      <c r="AH16" s="44"/>
      <c r="AI16" s="44"/>
      <c r="AJ16" s="44"/>
      <c r="AK16" s="44"/>
      <c r="AL16" s="44"/>
      <c r="AM16" s="44"/>
      <c r="AN16" s="44"/>
      <c r="AO16" s="44"/>
      <c r="AP16" s="44"/>
      <c r="AQ16" s="44"/>
      <c r="AR16" s="44"/>
      <c r="AS16" s="44"/>
      <c r="AT16" s="44"/>
      <c r="AU16" s="44"/>
      <c r="AV16" s="44"/>
      <c r="AW16" s="44"/>
      <c r="AX16" s="44"/>
      <c r="AY16" s="44"/>
      <c r="AZ16" s="44"/>
      <c r="BA16" s="44"/>
      <c r="BB16" s="44"/>
      <c r="BC16" s="44"/>
      <c r="BD16" s="44"/>
    </row>
    <row r="17" spans="2:56" ht="15" thickBot="1">
      <c r="B17" s="49"/>
      <c r="C17" s="9" t="s">
        <v>8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260.74171487819331</v>
      </c>
      <c r="V17" s="10">
        <v>510.09961487819288</v>
      </c>
      <c r="W17" s="10">
        <v>359.57971487819304</v>
      </c>
      <c r="X17" s="10">
        <v>79.567214878193099</v>
      </c>
      <c r="Y17" s="10">
        <v>0</v>
      </c>
      <c r="Z17" s="10">
        <v>0</v>
      </c>
      <c r="AA17" s="13">
        <v>0</v>
      </c>
      <c r="AB17" s="6">
        <f t="shared" si="0"/>
        <v>1209.9882595127722</v>
      </c>
      <c r="AC17" s="6">
        <v>3</v>
      </c>
      <c r="AD17" s="52"/>
      <c r="AE17" s="79">
        <f>+AD50</f>
        <v>482777.09502492519</v>
      </c>
      <c r="AG17" s="44"/>
      <c r="AH17" s="44"/>
      <c r="AI17" s="44"/>
      <c r="AJ17" s="44"/>
      <c r="AK17" s="44"/>
      <c r="AL17" s="44"/>
      <c r="AM17" s="44"/>
      <c r="AN17" s="44"/>
      <c r="AO17" s="44"/>
      <c r="AP17" s="44"/>
      <c r="AQ17" s="44"/>
      <c r="AR17" s="44"/>
      <c r="AS17" s="44"/>
      <c r="AT17" s="44"/>
      <c r="AU17" s="44"/>
      <c r="AV17" s="44"/>
      <c r="AW17" s="44"/>
      <c r="AX17" s="44"/>
      <c r="AY17" s="44"/>
      <c r="AZ17" s="44"/>
      <c r="BA17" s="44"/>
      <c r="BB17" s="44"/>
      <c r="BC17" s="44"/>
      <c r="BD17" s="44"/>
    </row>
    <row r="18" spans="2:56">
      <c r="B18" s="47">
        <v>46478</v>
      </c>
      <c r="C18" s="8" t="s">
        <v>5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834.53926753131122</v>
      </c>
      <c r="L18" s="7">
        <v>1320.9292551970402</v>
      </c>
      <c r="M18" s="7">
        <v>1336.5246075109292</v>
      </c>
      <c r="N18" s="7">
        <v>1498.94639287052</v>
      </c>
      <c r="O18" s="7">
        <v>1515.6848442520238</v>
      </c>
      <c r="P18" s="7">
        <v>1600.9320488862493</v>
      </c>
      <c r="Q18" s="7">
        <v>1582.3285069850465</v>
      </c>
      <c r="R18" s="7">
        <v>1735.4529721134538</v>
      </c>
      <c r="S18" s="7">
        <v>1724.9974968293636</v>
      </c>
      <c r="T18" s="7">
        <v>1633.8562435041129</v>
      </c>
      <c r="U18" s="7">
        <v>427.62390380005689</v>
      </c>
      <c r="V18" s="7">
        <v>137.43271644316673</v>
      </c>
      <c r="W18" s="7">
        <v>2.8604448120761479</v>
      </c>
      <c r="X18" s="7">
        <v>0</v>
      </c>
      <c r="Y18" s="7">
        <v>0</v>
      </c>
      <c r="Z18" s="7">
        <v>0</v>
      </c>
      <c r="AA18" s="11">
        <v>0</v>
      </c>
      <c r="AB18" s="5">
        <f t="shared" si="0"/>
        <v>15352.108700735351</v>
      </c>
      <c r="AC18" s="5">
        <v>22</v>
      </c>
      <c r="AD18" s="50">
        <f>(AB18*AC18)+(AB19*AC19)+(AB20*AC20)+(AB21*AC21)</f>
        <v>377862.61546165048</v>
      </c>
      <c r="AG18" s="44"/>
      <c r="AH18" s="44"/>
      <c r="AI18" s="44"/>
      <c r="AJ18" s="44"/>
      <c r="AK18" s="44"/>
      <c r="AL18" s="44"/>
      <c r="AM18" s="44"/>
      <c r="AN18" s="44"/>
      <c r="AO18" s="44"/>
      <c r="AP18" s="44"/>
      <c r="AQ18" s="44"/>
      <c r="AR18" s="44"/>
      <c r="AS18" s="44"/>
      <c r="AT18" s="44"/>
      <c r="AU18" s="44"/>
      <c r="AV18" s="44"/>
      <c r="AW18" s="44"/>
      <c r="AX18" s="44"/>
      <c r="AY18" s="44"/>
      <c r="AZ18" s="44"/>
      <c r="BA18" s="44"/>
      <c r="BB18" s="44"/>
      <c r="BC18" s="44"/>
      <c r="BD18" s="44"/>
    </row>
    <row r="19" spans="2:56">
      <c r="B19" s="48"/>
      <c r="C19" s="1" t="s">
        <v>6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376.50497094267746</v>
      </c>
      <c r="L19" s="2">
        <v>872.51461703136044</v>
      </c>
      <c r="M19" s="2">
        <v>1049.0338309713973</v>
      </c>
      <c r="N19" s="2">
        <v>1328.8201713079809</v>
      </c>
      <c r="O19" s="2">
        <v>1363.167824931201</v>
      </c>
      <c r="P19" s="2">
        <v>1181.8523671983673</v>
      </c>
      <c r="Q19" s="2">
        <v>987.09550992216055</v>
      </c>
      <c r="R19" s="2">
        <v>858.53094496120002</v>
      </c>
      <c r="S19" s="2">
        <v>814.58310442097252</v>
      </c>
      <c r="T19" s="2">
        <v>724.81759875393323</v>
      </c>
      <c r="U19" s="2">
        <v>291.20756566489382</v>
      </c>
      <c r="V19" s="2">
        <v>150.2978689806325</v>
      </c>
      <c r="W19" s="2">
        <v>30.629636281409454</v>
      </c>
      <c r="X19" s="2">
        <v>0</v>
      </c>
      <c r="Y19" s="2">
        <v>0</v>
      </c>
      <c r="Z19" s="2">
        <v>0</v>
      </c>
      <c r="AA19" s="12">
        <v>0</v>
      </c>
      <c r="AB19" s="3">
        <f t="shared" si="0"/>
        <v>10029.056011368186</v>
      </c>
      <c r="AC19" s="3">
        <v>4</v>
      </c>
      <c r="AD19" s="51"/>
      <c r="AG19" s="44"/>
      <c r="AH19" s="44"/>
      <c r="AI19" s="44"/>
      <c r="AJ19" s="44"/>
      <c r="AK19" s="44"/>
      <c r="AL19" s="44"/>
      <c r="AM19" s="44"/>
      <c r="AN19" s="44"/>
      <c r="AO19" s="44"/>
      <c r="AP19" s="44"/>
      <c r="AQ19" s="44"/>
      <c r="AR19" s="44"/>
      <c r="AS19" s="44"/>
      <c r="AT19" s="44"/>
      <c r="AU19" s="44"/>
      <c r="AV19" s="44"/>
      <c r="AW19" s="44"/>
      <c r="AX19" s="44"/>
      <c r="AY19" s="44"/>
      <c r="AZ19" s="44"/>
      <c r="BA19" s="44"/>
      <c r="BB19" s="44"/>
      <c r="BC19" s="44"/>
      <c r="BD19" s="44"/>
    </row>
    <row r="20" spans="2:56">
      <c r="B20" s="48"/>
      <c r="C20" s="1" t="s">
        <v>7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12">
        <v>0</v>
      </c>
      <c r="AB20" s="3">
        <f t="shared" si="0"/>
        <v>0</v>
      </c>
      <c r="AC20" s="3">
        <v>4</v>
      </c>
      <c r="AD20" s="51"/>
      <c r="AG20" s="44"/>
      <c r="AH20" s="44"/>
      <c r="AI20" s="44"/>
      <c r="AJ20" s="44"/>
      <c r="AK20" s="44"/>
      <c r="AL20" s="44"/>
      <c r="AM20" s="44"/>
      <c r="AN20" s="44"/>
      <c r="AO20" s="44"/>
      <c r="AP20" s="44"/>
      <c r="AQ20" s="44"/>
      <c r="AR20" s="44"/>
      <c r="AS20" s="44"/>
      <c r="AT20" s="44"/>
      <c r="AU20" s="44"/>
      <c r="AV20" s="44"/>
      <c r="AW20" s="44"/>
      <c r="AX20" s="44"/>
      <c r="AY20" s="44"/>
      <c r="AZ20" s="44"/>
      <c r="BA20" s="44"/>
      <c r="BB20" s="44"/>
      <c r="BC20" s="44"/>
      <c r="BD20" s="44"/>
    </row>
    <row r="21" spans="2:56" ht="15" thickBot="1">
      <c r="B21" s="49"/>
      <c r="C21" s="9" t="s">
        <v>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64.118414385269389</v>
      </c>
      <c r="V21" s="10">
        <v>254.88631096093837</v>
      </c>
      <c r="W21" s="10">
        <v>154.39938953508317</v>
      </c>
      <c r="X21" s="10">
        <v>0</v>
      </c>
      <c r="Y21" s="10">
        <v>0</v>
      </c>
      <c r="Z21" s="10">
        <v>0</v>
      </c>
      <c r="AA21" s="13">
        <v>0</v>
      </c>
      <c r="AB21" s="6">
        <f t="shared" si="0"/>
        <v>473.40411488129092</v>
      </c>
      <c r="AC21" s="6">
        <v>0</v>
      </c>
      <c r="AD21" s="52"/>
      <c r="AG21" s="44"/>
      <c r="AH21" s="44"/>
      <c r="AI21" s="44"/>
      <c r="AJ21" s="44"/>
      <c r="AK21" s="44"/>
      <c r="AL21" s="44"/>
      <c r="AM21" s="44"/>
      <c r="AN21" s="44"/>
      <c r="AO21" s="44"/>
      <c r="AP21" s="44"/>
      <c r="AQ21" s="44"/>
      <c r="AR21" s="44"/>
      <c r="AS21" s="44"/>
      <c r="AT21" s="44"/>
      <c r="AU21" s="44"/>
      <c r="AV21" s="44"/>
      <c r="AW21" s="44"/>
      <c r="AX21" s="44"/>
      <c r="AY21" s="44"/>
      <c r="AZ21" s="44"/>
      <c r="BA21" s="44"/>
      <c r="BB21" s="44"/>
      <c r="BC21" s="44"/>
      <c r="BD21" s="44"/>
    </row>
    <row r="22" spans="2:56">
      <c r="B22" s="47">
        <v>46508</v>
      </c>
      <c r="C22" s="8" t="s">
        <v>5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135.45398915019496</v>
      </c>
      <c r="K22" s="7">
        <v>1249.2612854335857</v>
      </c>
      <c r="L22" s="7">
        <v>1853.9754603428823</v>
      </c>
      <c r="M22" s="7">
        <v>1878.259547960643</v>
      </c>
      <c r="N22" s="7">
        <v>2066.4484092793282</v>
      </c>
      <c r="O22" s="7">
        <v>2091.8149354272841</v>
      </c>
      <c r="P22" s="7">
        <v>2161.7065065999132</v>
      </c>
      <c r="Q22" s="7">
        <v>2153.5086980621918</v>
      </c>
      <c r="R22" s="7">
        <v>2323.157966627602</v>
      </c>
      <c r="S22" s="7">
        <v>2308.7280166955757</v>
      </c>
      <c r="T22" s="7">
        <v>2207.7908207483683</v>
      </c>
      <c r="U22" s="7">
        <v>960.88411863747001</v>
      </c>
      <c r="V22" s="7">
        <v>654.38625545829609</v>
      </c>
      <c r="W22" s="7">
        <v>500.64754239858956</v>
      </c>
      <c r="X22" s="7">
        <v>361.55823290442817</v>
      </c>
      <c r="Y22" s="7">
        <v>193.32587532056539</v>
      </c>
      <c r="Z22" s="7">
        <v>0</v>
      </c>
      <c r="AA22" s="11">
        <v>0</v>
      </c>
      <c r="AB22" s="5">
        <f t="shared" ref="AB22:AB53" si="1">(SUM(D22:AA22))</f>
        <v>23100.907661046916</v>
      </c>
      <c r="AC22" s="5">
        <v>19</v>
      </c>
      <c r="AD22" s="50">
        <f>(AB22*AC22)+(AB23*AC23)+(AB24*AC24)+(AB25*AC25)</f>
        <v>827761.93478700414</v>
      </c>
      <c r="AG22" s="44"/>
      <c r="AH22" s="44"/>
      <c r="AI22" s="44"/>
      <c r="AJ22" s="44"/>
      <c r="AK22" s="44"/>
      <c r="AL22" s="44"/>
      <c r="AM22" s="44"/>
      <c r="AN22" s="44"/>
      <c r="AO22" s="44"/>
      <c r="AP22" s="44"/>
      <c r="AQ22" s="44"/>
      <c r="AR22" s="44"/>
      <c r="AS22" s="44"/>
      <c r="AT22" s="44"/>
      <c r="AU22" s="44"/>
      <c r="AV22" s="44"/>
      <c r="AW22" s="44"/>
      <c r="AX22" s="44"/>
      <c r="AY22" s="44"/>
      <c r="AZ22" s="44"/>
      <c r="BA22" s="44"/>
      <c r="BB22" s="44"/>
      <c r="BC22" s="44"/>
      <c r="BD22" s="44"/>
    </row>
    <row r="23" spans="2:56">
      <c r="B23" s="48"/>
      <c r="C23" s="1" t="s">
        <v>6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258.44566156331302</v>
      </c>
      <c r="M23" s="2">
        <v>416.97878559792156</v>
      </c>
      <c r="N23" s="2">
        <v>668.25682839974434</v>
      </c>
      <c r="O23" s="2">
        <v>699.10469311999714</v>
      </c>
      <c r="P23" s="2">
        <v>536.26402944065728</v>
      </c>
      <c r="Q23" s="2">
        <v>361.35155208480637</v>
      </c>
      <c r="R23" s="2">
        <v>245.88682918877569</v>
      </c>
      <c r="S23" s="2">
        <v>206.41697035639001</v>
      </c>
      <c r="T23" s="2">
        <v>125.79795032848408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12">
        <v>0</v>
      </c>
      <c r="AB23" s="3">
        <f t="shared" si="1"/>
        <v>3518.5033000800895</v>
      </c>
      <c r="AC23" s="3">
        <v>4</v>
      </c>
      <c r="AD23" s="51"/>
      <c r="AG23" s="44"/>
      <c r="AH23" s="44"/>
      <c r="AI23" s="44"/>
      <c r="AJ23" s="44"/>
      <c r="AK23" s="44"/>
      <c r="AL23" s="44"/>
      <c r="AM23" s="44"/>
      <c r="AN23" s="44"/>
      <c r="AO23" s="44"/>
      <c r="AP23" s="44"/>
      <c r="AQ23" s="44"/>
      <c r="AR23" s="44"/>
      <c r="AS23" s="44"/>
      <c r="AT23" s="44"/>
      <c r="AU23" s="44"/>
      <c r="AV23" s="44"/>
      <c r="AW23" s="44"/>
      <c r="AX23" s="44"/>
      <c r="AY23" s="44"/>
      <c r="AZ23" s="44"/>
      <c r="BA23" s="44"/>
      <c r="BB23" s="44"/>
      <c r="BC23" s="44"/>
      <c r="BD23" s="44"/>
    </row>
    <row r="24" spans="2:56">
      <c r="B24" s="48"/>
      <c r="C24" s="1" t="s">
        <v>7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89.519761965527636</v>
      </c>
      <c r="N24" s="2">
        <v>132.27316112218472</v>
      </c>
      <c r="O24" s="2">
        <v>202.19706793470914</v>
      </c>
      <c r="P24" s="2">
        <v>643.18186177496443</v>
      </c>
      <c r="Q24" s="2">
        <v>480.21968014631756</v>
      </c>
      <c r="R24" s="2">
        <v>381.26796535260496</v>
      </c>
      <c r="S24" s="2">
        <v>475.25183747785439</v>
      </c>
      <c r="T24" s="2">
        <v>568.70015898900726</v>
      </c>
      <c r="U24" s="2">
        <v>0</v>
      </c>
      <c r="V24" s="2">
        <v>97.091690580087814</v>
      </c>
      <c r="W24" s="2">
        <v>299.84227431710372</v>
      </c>
      <c r="X24" s="2">
        <v>411.29459378948047</v>
      </c>
      <c r="Y24" s="2">
        <v>227.3511118799255</v>
      </c>
      <c r="Z24" s="2">
        <v>0</v>
      </c>
      <c r="AA24" s="12">
        <v>0</v>
      </c>
      <c r="AB24" s="3">
        <f t="shared" si="1"/>
        <v>4008.1911653297675</v>
      </c>
      <c r="AC24" s="3">
        <v>5</v>
      </c>
      <c r="AD24" s="51"/>
      <c r="AG24" s="44"/>
      <c r="AH24" s="44"/>
      <c r="AI24" s="44"/>
      <c r="AJ24" s="44"/>
      <c r="AK24" s="44"/>
      <c r="AL24" s="44"/>
      <c r="AM24" s="44"/>
      <c r="AN24" s="44"/>
      <c r="AO24" s="44"/>
      <c r="AP24" s="44"/>
      <c r="AQ24" s="44"/>
      <c r="AR24" s="44"/>
      <c r="AS24" s="44"/>
      <c r="AT24" s="44"/>
      <c r="AU24" s="44"/>
      <c r="AV24" s="44"/>
      <c r="AW24" s="44"/>
      <c r="AX24" s="44"/>
      <c r="AY24" s="44"/>
      <c r="AZ24" s="44"/>
      <c r="BA24" s="44"/>
      <c r="BB24" s="44"/>
      <c r="BC24" s="44"/>
      <c r="BD24" s="44"/>
    </row>
    <row r="25" spans="2:56" ht="15" thickBot="1">
      <c r="B25" s="49"/>
      <c r="C25" s="9" t="s">
        <v>8</v>
      </c>
      <c r="D25" s="10">
        <v>3491.2211888995939</v>
      </c>
      <c r="E25" s="10">
        <v>3158.4393362012679</v>
      </c>
      <c r="F25" s="10">
        <v>3016.6286974885556</v>
      </c>
      <c r="G25" s="10">
        <v>2952.2883019230449</v>
      </c>
      <c r="H25" s="10">
        <v>2707.8751354881533</v>
      </c>
      <c r="I25" s="10">
        <v>2794.3571225381424</v>
      </c>
      <c r="J25" s="10">
        <v>3251.3058207281588</v>
      </c>
      <c r="K25" s="10">
        <v>4032.5690922208</v>
      </c>
      <c r="L25" s="10">
        <v>4647.8032267333256</v>
      </c>
      <c r="M25" s="10">
        <v>4984.0926695296675</v>
      </c>
      <c r="N25" s="10">
        <v>5693.8971785743934</v>
      </c>
      <c r="O25" s="10">
        <v>5956.4774801120084</v>
      </c>
      <c r="P25" s="10">
        <v>6205.4071862229548</v>
      </c>
      <c r="Q25" s="10">
        <v>6225.5381478868139</v>
      </c>
      <c r="R25" s="10">
        <v>6308.0567082383313</v>
      </c>
      <c r="S25" s="10">
        <v>6368.6721977766165</v>
      </c>
      <c r="T25" s="10">
        <v>6369.2108826817284</v>
      </c>
      <c r="U25" s="10">
        <v>6551.3375391073432</v>
      </c>
      <c r="V25" s="10">
        <v>6979.6624496738095</v>
      </c>
      <c r="W25" s="10">
        <v>6754.0424559252469</v>
      </c>
      <c r="X25" s="10">
        <v>6249.5575823345589</v>
      </c>
      <c r="Y25" s="10">
        <v>5078.9895525206002</v>
      </c>
      <c r="Z25" s="10">
        <v>4425.2412520586131</v>
      </c>
      <c r="AA25" s="13">
        <v>4040.5688618507802</v>
      </c>
      <c r="AB25" s="6">
        <f t="shared" si="1"/>
        <v>118243.2400667145</v>
      </c>
      <c r="AC25" s="6">
        <v>3</v>
      </c>
      <c r="AD25" s="52"/>
      <c r="AG25" s="44"/>
      <c r="AH25" s="44"/>
      <c r="AI25" s="44"/>
      <c r="AJ25" s="44"/>
      <c r="AK25" s="44"/>
      <c r="AL25" s="44"/>
      <c r="AM25" s="44"/>
      <c r="AN25" s="44"/>
      <c r="AO25" s="44"/>
      <c r="AP25" s="44"/>
      <c r="AQ25" s="44"/>
      <c r="AR25" s="44"/>
      <c r="AS25" s="44"/>
      <c r="AT25" s="44"/>
      <c r="AU25" s="44"/>
      <c r="AV25" s="44"/>
      <c r="AW25" s="44"/>
      <c r="AX25" s="44"/>
      <c r="AY25" s="44"/>
      <c r="AZ25" s="44"/>
      <c r="BA25" s="44"/>
      <c r="BB25" s="44"/>
      <c r="BC25" s="44"/>
      <c r="BD25" s="44"/>
    </row>
    <row r="26" spans="2:56">
      <c r="B26" s="47">
        <v>46539</v>
      </c>
      <c r="C26" s="8" t="s">
        <v>5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525.22544093633019</v>
      </c>
      <c r="K26" s="7">
        <v>1729.3321617652664</v>
      </c>
      <c r="L26" s="7">
        <v>2354.0061992580822</v>
      </c>
      <c r="M26" s="7">
        <v>2388.4955514590893</v>
      </c>
      <c r="N26" s="7">
        <v>2609.9161238189486</v>
      </c>
      <c r="O26" s="7">
        <v>2645.2758060020992</v>
      </c>
      <c r="P26" s="7">
        <v>2695.554212939041</v>
      </c>
      <c r="Q26" s="7">
        <v>2701.5378710705781</v>
      </c>
      <c r="R26" s="7">
        <v>2890.9733596547753</v>
      </c>
      <c r="S26" s="7">
        <v>2872.3213781133718</v>
      </c>
      <c r="T26" s="7">
        <v>2758.5289425369201</v>
      </c>
      <c r="U26" s="7">
        <v>1460.6102599351127</v>
      </c>
      <c r="V26" s="7">
        <v>1135.1666859285724</v>
      </c>
      <c r="W26" s="7">
        <v>957.65886605528817</v>
      </c>
      <c r="X26" s="7">
        <v>775.78567460461034</v>
      </c>
      <c r="Y26" s="7">
        <v>562.93081796798299</v>
      </c>
      <c r="Z26" s="7">
        <v>200.8734494761477</v>
      </c>
      <c r="AA26" s="11">
        <v>0</v>
      </c>
      <c r="AB26" s="5">
        <f t="shared" si="1"/>
        <v>31264.192801522215</v>
      </c>
      <c r="AC26" s="5">
        <v>21</v>
      </c>
      <c r="AD26" s="50">
        <f>(AB26*AC26)+(AB27*AC27)+(AB28*AC28)+(AB29*AC29)</f>
        <v>708535.19211697415</v>
      </c>
      <c r="AG26" s="44"/>
      <c r="AH26" s="44"/>
      <c r="AI26" s="44"/>
      <c r="AJ26" s="44"/>
      <c r="AK26" s="44"/>
      <c r="AL26" s="44"/>
      <c r="AM26" s="44"/>
      <c r="AN26" s="44"/>
      <c r="AO26" s="44"/>
      <c r="AP26" s="44"/>
      <c r="AQ26" s="44"/>
      <c r="AR26" s="44"/>
      <c r="AS26" s="44"/>
      <c r="AT26" s="44"/>
      <c r="AU26" s="44"/>
      <c r="AV26" s="44"/>
      <c r="AW26" s="44"/>
      <c r="AX26" s="44"/>
      <c r="AY26" s="44"/>
      <c r="AZ26" s="44"/>
      <c r="BA26" s="44"/>
      <c r="BB26" s="44"/>
      <c r="BC26" s="44"/>
      <c r="BD26" s="44"/>
    </row>
    <row r="27" spans="2:56">
      <c r="B27" s="48"/>
      <c r="C27" s="1" t="s">
        <v>6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561.24793034782817</v>
      </c>
      <c r="L27" s="2">
        <v>1076.8327923475417</v>
      </c>
      <c r="M27" s="2">
        <v>1260.318406543239</v>
      </c>
      <c r="N27" s="2">
        <v>1551.1466249244008</v>
      </c>
      <c r="O27" s="2">
        <v>1586.8498222170099</v>
      </c>
      <c r="P27" s="2">
        <v>1398.3786785794459</v>
      </c>
      <c r="Q27" s="2">
        <v>1195.9356652750268</v>
      </c>
      <c r="R27" s="2">
        <v>1062.2972491551943</v>
      </c>
      <c r="S27" s="2">
        <v>1016.6149897902883</v>
      </c>
      <c r="T27" s="2">
        <v>923.30685311062314</v>
      </c>
      <c r="U27" s="2">
        <v>534.41749422750684</v>
      </c>
      <c r="V27" s="2">
        <v>395.76747823465791</v>
      </c>
      <c r="W27" s="2">
        <v>266.96741785813816</v>
      </c>
      <c r="X27" s="2">
        <v>166.70441864102136</v>
      </c>
      <c r="Y27" s="2">
        <v>0</v>
      </c>
      <c r="Z27" s="2">
        <v>0</v>
      </c>
      <c r="AA27" s="12">
        <v>0</v>
      </c>
      <c r="AB27" s="3">
        <f t="shared" si="1"/>
        <v>12996.785821251926</v>
      </c>
      <c r="AC27" s="3">
        <v>4</v>
      </c>
      <c r="AD27" s="51"/>
      <c r="AG27" s="44"/>
      <c r="AH27" s="44"/>
      <c r="AI27" s="44"/>
      <c r="AJ27" s="44"/>
      <c r="AK27" s="44"/>
      <c r="AL27" s="44"/>
      <c r="AM27" s="44"/>
      <c r="AN27" s="44"/>
      <c r="AO27" s="44"/>
      <c r="AP27" s="44"/>
      <c r="AQ27" s="44"/>
      <c r="AR27" s="44"/>
      <c r="AS27" s="44"/>
      <c r="AT27" s="44"/>
      <c r="AU27" s="44"/>
      <c r="AV27" s="44"/>
      <c r="AW27" s="44"/>
      <c r="AX27" s="44"/>
      <c r="AY27" s="44"/>
      <c r="AZ27" s="44"/>
      <c r="BA27" s="44"/>
      <c r="BB27" s="44"/>
      <c r="BC27" s="44"/>
      <c r="BD27" s="44"/>
    </row>
    <row r="28" spans="2:56">
      <c r="B28" s="48"/>
      <c r="C28" s="1" t="s">
        <v>7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12">
        <v>0</v>
      </c>
      <c r="AB28" s="3">
        <f t="shared" si="1"/>
        <v>0</v>
      </c>
      <c r="AC28" s="3">
        <v>4</v>
      </c>
      <c r="AD28" s="51"/>
      <c r="AG28" s="44"/>
      <c r="AH28" s="44"/>
      <c r="AI28" s="44"/>
      <c r="AJ28" s="44"/>
      <c r="AK28" s="44"/>
      <c r="AL28" s="44"/>
      <c r="AM28" s="44"/>
      <c r="AN28" s="44"/>
      <c r="AO28" s="44"/>
      <c r="AP28" s="44"/>
      <c r="AQ28" s="44"/>
      <c r="AR28" s="44"/>
      <c r="AS28" s="44"/>
      <c r="AT28" s="44"/>
      <c r="AU28" s="44"/>
      <c r="AV28" s="44"/>
      <c r="AW28" s="44"/>
      <c r="AX28" s="44"/>
      <c r="AY28" s="44"/>
      <c r="AZ28" s="44"/>
      <c r="BA28" s="44"/>
      <c r="BB28" s="44"/>
      <c r="BC28" s="44"/>
      <c r="BD28" s="44"/>
    </row>
    <row r="29" spans="2:56" ht="15" thickBot="1">
      <c r="B29" s="49"/>
      <c r="C29" s="9" t="s">
        <v>8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3">
        <v>0</v>
      </c>
      <c r="AB29" s="6">
        <f t="shared" si="1"/>
        <v>0</v>
      </c>
      <c r="AC29" s="6">
        <v>1</v>
      </c>
      <c r="AD29" s="52"/>
      <c r="AG29" s="44"/>
      <c r="AH29" s="44"/>
      <c r="AI29" s="44"/>
      <c r="AJ29" s="44"/>
      <c r="AK29" s="44"/>
      <c r="AL29" s="44"/>
      <c r="AM29" s="44"/>
      <c r="AN29" s="44"/>
      <c r="AO29" s="44"/>
      <c r="AP29" s="44"/>
      <c r="AQ29" s="44"/>
      <c r="AR29" s="44"/>
      <c r="AS29" s="44"/>
      <c r="AT29" s="44"/>
      <c r="AU29" s="44"/>
      <c r="AV29" s="44"/>
      <c r="AW29" s="44"/>
      <c r="AX29" s="44"/>
      <c r="AY29" s="44"/>
      <c r="AZ29" s="44"/>
      <c r="BA29" s="44"/>
      <c r="BB29" s="44"/>
      <c r="BC29" s="44"/>
      <c r="BD29" s="44"/>
    </row>
    <row r="30" spans="2:56">
      <c r="B30" s="47">
        <v>46569</v>
      </c>
      <c r="C30" s="8" t="s">
        <v>5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643.61127612651933</v>
      </c>
      <c r="L30" s="7">
        <v>1195.8928073947304</v>
      </c>
      <c r="M30" s="7">
        <v>1208.4476292806478</v>
      </c>
      <c r="N30" s="7">
        <v>1361.0830352666183</v>
      </c>
      <c r="O30" s="7">
        <v>1375.5716491618366</v>
      </c>
      <c r="P30" s="7">
        <v>1466.1923942651754</v>
      </c>
      <c r="Q30" s="7">
        <v>1443.7480113101431</v>
      </c>
      <c r="R30" s="7">
        <v>1591.2892628147088</v>
      </c>
      <c r="S30" s="7">
        <v>1581.4551471930195</v>
      </c>
      <c r="T30" s="7">
        <v>1494.5113451428269</v>
      </c>
      <c r="U30" s="7">
        <v>302.51256558431533</v>
      </c>
      <c r="V30" s="7">
        <v>17.258260414464093</v>
      </c>
      <c r="W30" s="7">
        <v>0</v>
      </c>
      <c r="X30" s="7">
        <v>0</v>
      </c>
      <c r="Y30" s="7">
        <v>0</v>
      </c>
      <c r="Z30" s="7">
        <v>0</v>
      </c>
      <c r="AA30" s="11">
        <v>0</v>
      </c>
      <c r="AB30" s="5">
        <f t="shared" si="1"/>
        <v>13681.573383955007</v>
      </c>
      <c r="AC30" s="5">
        <v>20</v>
      </c>
      <c r="AD30" s="50">
        <f>(AB30*AC30)+(AB31*AC31)+(AB32*AC32)+(AB33*AC33)</f>
        <v>765698.29803394875</v>
      </c>
      <c r="AG30" s="44"/>
      <c r="AH30" s="44"/>
      <c r="AI30" s="44"/>
      <c r="AJ30" s="44"/>
      <c r="AK30" s="44"/>
      <c r="AL30" s="44"/>
      <c r="AM30" s="44"/>
      <c r="AN30" s="44"/>
      <c r="AO30" s="44"/>
      <c r="AP30" s="44"/>
      <c r="AQ30" s="44"/>
      <c r="AR30" s="44"/>
      <c r="AS30" s="44"/>
      <c r="AT30" s="44"/>
      <c r="AU30" s="44"/>
      <c r="AV30" s="44"/>
      <c r="AW30" s="44"/>
      <c r="AX30" s="44"/>
      <c r="AY30" s="44"/>
      <c r="AZ30" s="44"/>
      <c r="BA30" s="44"/>
      <c r="BB30" s="44"/>
      <c r="BC30" s="44"/>
      <c r="BD30" s="44"/>
    </row>
    <row r="31" spans="2:56">
      <c r="B31" s="48"/>
      <c r="C31" s="1" t="s">
        <v>6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137.79798024343245</v>
      </c>
      <c r="K31" s="2">
        <v>1006.5645728672868</v>
      </c>
      <c r="L31" s="2">
        <v>1563.1677169819416</v>
      </c>
      <c r="M31" s="2">
        <v>1761.2508596192631</v>
      </c>
      <c r="N31" s="2">
        <v>2075.2164406108709</v>
      </c>
      <c r="O31" s="2">
        <v>2113.7600700551811</v>
      </c>
      <c r="P31" s="2">
        <v>1910.2947652037528</v>
      </c>
      <c r="Q31" s="2">
        <v>1691.7460334348459</v>
      </c>
      <c r="R31" s="2">
        <v>1547.4757724766368</v>
      </c>
      <c r="S31" s="2">
        <v>1498.1591787074776</v>
      </c>
      <c r="T31" s="2">
        <v>1397.4277451934147</v>
      </c>
      <c r="U31" s="2">
        <v>1041.4658302099538</v>
      </c>
      <c r="V31" s="2">
        <v>908.74518130164279</v>
      </c>
      <c r="W31" s="2">
        <v>761.38011441511333</v>
      </c>
      <c r="X31" s="2">
        <v>631.46446582943872</v>
      </c>
      <c r="Y31" s="2">
        <v>185.37591862535385</v>
      </c>
      <c r="Z31" s="2">
        <v>0</v>
      </c>
      <c r="AA31" s="12">
        <v>0</v>
      </c>
      <c r="AB31" s="3">
        <f t="shared" si="1"/>
        <v>20231.292645775604</v>
      </c>
      <c r="AC31" s="3">
        <v>5</v>
      </c>
      <c r="AD31" s="51"/>
      <c r="AG31" s="44"/>
      <c r="AH31" s="44"/>
      <c r="AI31" s="44"/>
      <c r="AJ31" s="44"/>
      <c r="AK31" s="44"/>
      <c r="AL31" s="44"/>
      <c r="AM31" s="44"/>
      <c r="AN31" s="44"/>
      <c r="AO31" s="44"/>
      <c r="AP31" s="44"/>
      <c r="AQ31" s="44"/>
      <c r="AR31" s="44"/>
      <c r="AS31" s="44"/>
      <c r="AT31" s="44"/>
      <c r="AU31" s="44"/>
      <c r="AV31" s="44"/>
      <c r="AW31" s="44"/>
      <c r="AX31" s="44"/>
      <c r="AY31" s="44"/>
      <c r="AZ31" s="44"/>
      <c r="BA31" s="44"/>
      <c r="BB31" s="44"/>
      <c r="BC31" s="44"/>
      <c r="BD31" s="44"/>
    </row>
    <row r="32" spans="2:56">
      <c r="B32" s="48"/>
      <c r="C32" s="1" t="s">
        <v>4</v>
      </c>
      <c r="D32" s="2">
        <v>1147.6426478368121</v>
      </c>
      <c r="E32" s="2">
        <v>850.11872968100772</v>
      </c>
      <c r="F32" s="2">
        <v>687.78353158838252</v>
      </c>
      <c r="G32" s="2">
        <v>574.36736044354438</v>
      </c>
      <c r="H32" s="2">
        <v>488.0878034502644</v>
      </c>
      <c r="I32" s="2">
        <v>452.08313236245317</v>
      </c>
      <c r="J32" s="2">
        <v>761.49178902815061</v>
      </c>
      <c r="K32" s="2">
        <v>1212.1027831204372</v>
      </c>
      <c r="L32" s="2">
        <v>1572.9489473242711</v>
      </c>
      <c r="M32" s="2">
        <v>1789.0835597861706</v>
      </c>
      <c r="N32" s="2">
        <v>1944.3244783863222</v>
      </c>
      <c r="O32" s="2">
        <v>2060.0901397851426</v>
      </c>
      <c r="P32" s="2">
        <v>2547.4807817371966</v>
      </c>
      <c r="Q32" s="2">
        <v>2391.7457061693335</v>
      </c>
      <c r="R32" s="2">
        <v>2283.9549668157838</v>
      </c>
      <c r="S32" s="2">
        <v>2393.6603294118127</v>
      </c>
      <c r="T32" s="2">
        <v>2500.5654371196256</v>
      </c>
      <c r="U32" s="2">
        <v>1892.2556613413697</v>
      </c>
      <c r="V32" s="2">
        <v>2110.1870961502227</v>
      </c>
      <c r="W32" s="2">
        <v>2307.7599244767403</v>
      </c>
      <c r="X32" s="2">
        <v>2339.0779220910667</v>
      </c>
      <c r="Y32" s="2">
        <v>1974.8035307180294</v>
      </c>
      <c r="Z32" s="2">
        <v>1599.4878116586538</v>
      </c>
      <c r="AA32" s="12">
        <v>1329.7132145732642</v>
      </c>
      <c r="AB32" s="3">
        <f t="shared" si="1"/>
        <v>39210.817285056066</v>
      </c>
      <c r="AC32" s="3">
        <v>4</v>
      </c>
      <c r="AD32" s="51"/>
      <c r="AG32" s="44"/>
      <c r="AH32" s="44"/>
      <c r="AI32" s="44"/>
      <c r="AJ32" s="44"/>
      <c r="AK32" s="44"/>
      <c r="AL32" s="44"/>
      <c r="AM32" s="44"/>
      <c r="AN32" s="44"/>
      <c r="AO32" s="44"/>
      <c r="AP32" s="44"/>
      <c r="AQ32" s="44"/>
      <c r="AR32" s="44"/>
      <c r="AS32" s="44"/>
      <c r="AT32" s="44"/>
      <c r="AU32" s="44"/>
      <c r="AV32" s="44"/>
      <c r="AW32" s="44"/>
      <c r="AX32" s="44"/>
      <c r="AY32" s="44"/>
      <c r="AZ32" s="44"/>
      <c r="BA32" s="44"/>
      <c r="BB32" s="44"/>
      <c r="BC32" s="44"/>
      <c r="BD32" s="44"/>
    </row>
    <row r="33" spans="2:56" ht="15" thickBot="1">
      <c r="B33" s="49"/>
      <c r="C33" s="9" t="s">
        <v>8</v>
      </c>
      <c r="D33" s="10">
        <v>3441.4226062142993</v>
      </c>
      <c r="E33" s="10">
        <v>3108.7805764980885</v>
      </c>
      <c r="F33" s="10">
        <v>2967.0295215224096</v>
      </c>
      <c r="G33" s="10">
        <v>2902.7161594802283</v>
      </c>
      <c r="H33" s="10">
        <v>2658.4056866793867</v>
      </c>
      <c r="I33" s="10">
        <v>2744.8513371045551</v>
      </c>
      <c r="J33" s="10">
        <v>3201.6080418636284</v>
      </c>
      <c r="K33" s="10">
        <v>3982.538176106741</v>
      </c>
      <c r="L33" s="10">
        <v>4597.5138113330531</v>
      </c>
      <c r="M33" s="10">
        <v>4933.6619573838998</v>
      </c>
      <c r="N33" s="10">
        <v>5643.1682320676791</v>
      </c>
      <c r="O33" s="10">
        <v>5905.6382067935774</v>
      </c>
      <c r="P33" s="10">
        <v>6154.4633215827189</v>
      </c>
      <c r="Q33" s="10">
        <v>6174.5858249395233</v>
      </c>
      <c r="R33" s="10">
        <v>6257.0697139557633</v>
      </c>
      <c r="S33" s="10">
        <v>6317.6597350424481</v>
      </c>
      <c r="T33" s="10">
        <v>6318.1981936115108</v>
      </c>
      <c r="U33" s="10">
        <v>6500.2532054406174</v>
      </c>
      <c r="V33" s="10">
        <v>6928.398149263634</v>
      </c>
      <c r="W33" s="10">
        <v>6702.8729529329439</v>
      </c>
      <c r="X33" s="10">
        <v>6198.600045766766</v>
      </c>
      <c r="Y33" s="10">
        <v>5028.5238465961274</v>
      </c>
      <c r="Z33" s="10">
        <v>4375.0502276895886</v>
      </c>
      <c r="AA33" s="13">
        <v>3990.5394630040028</v>
      </c>
      <c r="AB33" s="6">
        <f t="shared" si="1"/>
        <v>117033.54899287317</v>
      </c>
      <c r="AC33" s="6">
        <v>2</v>
      </c>
      <c r="AD33" s="52"/>
      <c r="AG33" s="44"/>
      <c r="AH33" s="44"/>
      <c r="AI33" s="44"/>
      <c r="AJ33" s="44"/>
      <c r="AK33" s="44"/>
      <c r="AL33" s="44"/>
      <c r="AM33" s="44"/>
      <c r="AN33" s="44"/>
      <c r="AO33" s="44"/>
      <c r="AP33" s="44"/>
      <c r="AQ33" s="44"/>
      <c r="AR33" s="44"/>
      <c r="AS33" s="44"/>
      <c r="AT33" s="44"/>
      <c r="AU33" s="44"/>
      <c r="AV33" s="44"/>
      <c r="AW33" s="44"/>
      <c r="AX33" s="44"/>
      <c r="AY33" s="44"/>
      <c r="AZ33" s="44"/>
      <c r="BA33" s="44"/>
      <c r="BB33" s="44"/>
      <c r="BC33" s="44"/>
      <c r="BD33" s="44"/>
    </row>
    <row r="34" spans="2:56">
      <c r="B34" s="47">
        <v>46600</v>
      </c>
      <c r="C34" s="8" t="s">
        <v>5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754.86923131788103</v>
      </c>
      <c r="K34" s="7">
        <v>2014.5441505075107</v>
      </c>
      <c r="L34" s="7">
        <v>2736.9131026384916</v>
      </c>
      <c r="M34" s="7">
        <v>2811.6633059524943</v>
      </c>
      <c r="N34" s="7">
        <v>3052.6131474612985</v>
      </c>
      <c r="O34" s="7">
        <v>3094.1223890642091</v>
      </c>
      <c r="P34" s="7">
        <v>3133.2520687446981</v>
      </c>
      <c r="Q34" s="7">
        <v>3147.6119118149982</v>
      </c>
      <c r="R34" s="7">
        <v>3348.6533871714887</v>
      </c>
      <c r="S34" s="7">
        <v>3327.4032640457312</v>
      </c>
      <c r="T34" s="7">
        <v>3205.7000083362932</v>
      </c>
      <c r="U34" s="7">
        <v>1877.3104858649972</v>
      </c>
      <c r="V34" s="7">
        <v>1539.2873902489582</v>
      </c>
      <c r="W34" s="7">
        <v>1347.7226062624386</v>
      </c>
      <c r="X34" s="7">
        <v>1139.8719583889747</v>
      </c>
      <c r="Y34" s="7">
        <v>898.63667256724477</v>
      </c>
      <c r="Z34" s="7">
        <v>415.6917117158452</v>
      </c>
      <c r="AA34" s="11">
        <v>110.93594116486035</v>
      </c>
      <c r="AB34" s="5">
        <f t="shared" si="1"/>
        <v>37956.802733268414</v>
      </c>
      <c r="AC34" s="5">
        <v>21</v>
      </c>
      <c r="AD34" s="50">
        <f>(AB34*AC34)+(AB35*AC35)+(AB36*AC36)+(AB37*AC37)</f>
        <v>823563.37334260426</v>
      </c>
      <c r="AG34" s="44"/>
      <c r="AH34" s="44"/>
      <c r="AI34" s="44"/>
      <c r="AJ34" s="44"/>
      <c r="AK34" s="44"/>
      <c r="AL34" s="44"/>
      <c r="AM34" s="44"/>
      <c r="AN34" s="44"/>
      <c r="AO34" s="44"/>
      <c r="AP34" s="44"/>
      <c r="AQ34" s="44"/>
      <c r="AR34" s="44"/>
      <c r="AS34" s="44"/>
      <c r="AT34" s="44"/>
      <c r="AU34" s="44"/>
      <c r="AV34" s="44"/>
      <c r="AW34" s="44"/>
      <c r="AX34" s="44"/>
      <c r="AY34" s="44"/>
      <c r="AZ34" s="44"/>
      <c r="BA34" s="44"/>
      <c r="BB34" s="44"/>
      <c r="BC34" s="44"/>
      <c r="BD34" s="44"/>
    </row>
    <row r="35" spans="2:56">
      <c r="B35" s="48"/>
      <c r="C35" s="1" t="s">
        <v>6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312.75601341667249</v>
      </c>
      <c r="M35" s="2">
        <v>474.78159683469357</v>
      </c>
      <c r="N35" s="2">
        <v>731.59525475652936</v>
      </c>
      <c r="O35" s="2">
        <v>763.12269300601542</v>
      </c>
      <c r="P35" s="2">
        <v>596.69467553338222</v>
      </c>
      <c r="Q35" s="2">
        <v>417.92890425843785</v>
      </c>
      <c r="R35" s="2">
        <v>299.9205119722597</v>
      </c>
      <c r="S35" s="2">
        <v>259.58113845844287</v>
      </c>
      <c r="T35" s="2">
        <v>177.18609430502642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12">
        <v>0</v>
      </c>
      <c r="AB35" s="3">
        <f t="shared" si="1"/>
        <v>4033.5668825414591</v>
      </c>
      <c r="AC35" s="3">
        <v>3</v>
      </c>
      <c r="AD35" s="51"/>
      <c r="AG35" s="44"/>
      <c r="AH35" s="44"/>
      <c r="AI35" s="44"/>
      <c r="AJ35" s="44"/>
      <c r="AK35" s="44"/>
      <c r="AL35" s="44"/>
      <c r="AM35" s="44"/>
      <c r="AN35" s="44"/>
      <c r="AO35" s="44"/>
      <c r="AP35" s="44"/>
      <c r="AQ35" s="44"/>
      <c r="AR35" s="44"/>
      <c r="AS35" s="44"/>
      <c r="AT35" s="44"/>
      <c r="AU35" s="44"/>
      <c r="AV35" s="44"/>
      <c r="AW35" s="44"/>
      <c r="AX35" s="44"/>
      <c r="AY35" s="44"/>
      <c r="AZ35" s="44"/>
      <c r="BA35" s="44"/>
      <c r="BB35" s="44"/>
      <c r="BC35" s="44"/>
      <c r="BD35" s="44"/>
    </row>
    <row r="36" spans="2:56">
      <c r="B36" s="48"/>
      <c r="C36" s="1" t="s">
        <v>7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12">
        <v>0</v>
      </c>
      <c r="AB36" s="3">
        <f t="shared" si="1"/>
        <v>0</v>
      </c>
      <c r="AC36" s="3">
        <v>5</v>
      </c>
      <c r="AD36" s="51"/>
      <c r="AG36" s="44"/>
      <c r="AH36" s="44"/>
      <c r="AI36" s="44"/>
      <c r="AJ36" s="44"/>
      <c r="AK36" s="44"/>
      <c r="AL36" s="44"/>
      <c r="AM36" s="44"/>
      <c r="AN36" s="44"/>
      <c r="AO36" s="44"/>
      <c r="AP36" s="44"/>
      <c r="AQ36" s="44"/>
      <c r="AR36" s="44"/>
      <c r="AS36" s="44"/>
      <c r="AT36" s="44"/>
      <c r="AU36" s="44"/>
      <c r="AV36" s="44"/>
      <c r="AW36" s="44"/>
      <c r="AX36" s="44"/>
      <c r="AY36" s="44"/>
      <c r="AZ36" s="44"/>
      <c r="BA36" s="44"/>
      <c r="BB36" s="44"/>
      <c r="BC36" s="44"/>
      <c r="BD36" s="44"/>
    </row>
    <row r="37" spans="2:56" ht="15" thickBot="1">
      <c r="B37" s="49"/>
      <c r="C37" s="9" t="s">
        <v>8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323.23563672639278</v>
      </c>
      <c r="O37" s="10">
        <v>457.41808853193555</v>
      </c>
      <c r="P37" s="10">
        <v>584.62488240643813</v>
      </c>
      <c r="Q37" s="10">
        <v>594.91210417228319</v>
      </c>
      <c r="R37" s="10">
        <v>637.08031969565548</v>
      </c>
      <c r="S37" s="10">
        <v>668.05573923783857</v>
      </c>
      <c r="T37" s="10">
        <v>668.33101526157373</v>
      </c>
      <c r="U37" s="10">
        <v>767.07801090425471</v>
      </c>
      <c r="V37" s="10">
        <v>985.95843084681951</v>
      </c>
      <c r="W37" s="10">
        <v>870.66324777233194</v>
      </c>
      <c r="X37" s="10">
        <v>612.86395041144135</v>
      </c>
      <c r="Y37" s="10">
        <v>14.686222204664517</v>
      </c>
      <c r="Z37" s="10">
        <v>0</v>
      </c>
      <c r="AA37" s="13">
        <v>0</v>
      </c>
      <c r="AB37" s="6">
        <f t="shared" si="1"/>
        <v>7184.9076481716302</v>
      </c>
      <c r="AC37" s="6">
        <v>2</v>
      </c>
      <c r="AD37" s="52"/>
      <c r="AG37" s="44"/>
      <c r="AH37" s="44"/>
      <c r="AI37" s="44"/>
      <c r="AJ37" s="44"/>
      <c r="AK37" s="44"/>
      <c r="AL37" s="44"/>
      <c r="AM37" s="44"/>
      <c r="AN37" s="44"/>
      <c r="AO37" s="44"/>
      <c r="AP37" s="44"/>
      <c r="AQ37" s="44"/>
      <c r="AR37" s="44"/>
      <c r="AS37" s="44"/>
      <c r="AT37" s="44"/>
      <c r="AU37" s="44"/>
      <c r="AV37" s="44"/>
      <c r="AW37" s="44"/>
      <c r="AX37" s="44"/>
      <c r="AY37" s="44"/>
      <c r="AZ37" s="44"/>
      <c r="BA37" s="44"/>
      <c r="BB37" s="44"/>
      <c r="BC37" s="44"/>
      <c r="BD37" s="44"/>
    </row>
    <row r="38" spans="2:56">
      <c r="B38" s="47">
        <v>46631</v>
      </c>
      <c r="C38" s="8" t="s">
        <v>5</v>
      </c>
      <c r="D38" s="7">
        <v>0</v>
      </c>
      <c r="E38" s="7">
        <v>0</v>
      </c>
      <c r="F38" s="7">
        <v>0</v>
      </c>
      <c r="G38" s="7">
        <v>0</v>
      </c>
      <c r="H38" s="7">
        <v>0</v>
      </c>
      <c r="I38" s="7">
        <v>0</v>
      </c>
      <c r="J38" s="7">
        <v>0</v>
      </c>
      <c r="K38" s="7">
        <v>750.60848365320851</v>
      </c>
      <c r="L38" s="7">
        <v>1350.2407938679005</v>
      </c>
      <c r="M38" s="7">
        <v>1431.1358396563023</v>
      </c>
      <c r="N38" s="7">
        <v>1593.9566718365659</v>
      </c>
      <c r="O38" s="7">
        <v>1611.5616121580456</v>
      </c>
      <c r="P38" s="7">
        <v>1696.2438213535788</v>
      </c>
      <c r="Q38" s="7">
        <v>1678.0441207723834</v>
      </c>
      <c r="R38" s="7">
        <v>1831.7556272097452</v>
      </c>
      <c r="S38" s="7">
        <v>1820.6048876275693</v>
      </c>
      <c r="T38" s="7">
        <v>1729.6522296332244</v>
      </c>
      <c r="U38" s="7">
        <v>521.92331674714819</v>
      </c>
      <c r="V38" s="7">
        <v>230.58311387246749</v>
      </c>
      <c r="W38" s="7">
        <v>95.875631869548556</v>
      </c>
      <c r="X38" s="7">
        <v>0</v>
      </c>
      <c r="Y38" s="7">
        <v>0</v>
      </c>
      <c r="Z38" s="7">
        <v>0</v>
      </c>
      <c r="AA38" s="11">
        <v>0</v>
      </c>
      <c r="AB38" s="5">
        <f t="shared" si="1"/>
        <v>16342.186150257688</v>
      </c>
      <c r="AC38" s="5">
        <v>22</v>
      </c>
      <c r="AD38" s="50">
        <f>(AB38*AC38)+(AB39*AC39)+(AB40*AC40)+(AB41*AC41)</f>
        <v>755928.84329454973</v>
      </c>
      <c r="AG38" s="44"/>
      <c r="AH38" s="44"/>
      <c r="AI38" s="44"/>
      <c r="AJ38" s="44"/>
      <c r="AK38" s="44"/>
      <c r="AL38" s="44"/>
      <c r="AM38" s="44"/>
      <c r="AN38" s="44"/>
      <c r="AO38" s="44"/>
      <c r="AP38" s="44"/>
      <c r="AQ38" s="44"/>
      <c r="AR38" s="44"/>
      <c r="AS38" s="44"/>
      <c r="AT38" s="44"/>
      <c r="AU38" s="44"/>
      <c r="AV38" s="44"/>
      <c r="AW38" s="44"/>
      <c r="AX38" s="44"/>
      <c r="AY38" s="44"/>
      <c r="AZ38" s="44"/>
      <c r="BA38" s="44"/>
      <c r="BB38" s="44"/>
      <c r="BC38" s="44"/>
      <c r="BD38" s="44"/>
    </row>
    <row r="39" spans="2:56">
      <c r="B39" s="48"/>
      <c r="C39" s="1" t="s">
        <v>6</v>
      </c>
      <c r="D39" s="2">
        <v>1672.1536636588592</v>
      </c>
      <c r="E39" s="2">
        <v>1409.620036064734</v>
      </c>
      <c r="F39" s="2">
        <v>1235.947144734876</v>
      </c>
      <c r="G39" s="2">
        <v>1185.8152011513901</v>
      </c>
      <c r="H39" s="2">
        <v>1125.6971340349473</v>
      </c>
      <c r="I39" s="2">
        <v>1267.3779117844795</v>
      </c>
      <c r="J39" s="2">
        <v>2220.0319519875829</v>
      </c>
      <c r="K39" s="2">
        <v>3441.6063400893536</v>
      </c>
      <c r="L39" s="2">
        <v>4221.2659910734646</v>
      </c>
      <c r="M39" s="2">
        <v>4498.7301690742952</v>
      </c>
      <c r="N39" s="2">
        <v>4938.5162139165368</v>
      </c>
      <c r="O39" s="2">
        <v>4992.506050298095</v>
      </c>
      <c r="P39" s="2">
        <v>4707.5028298794141</v>
      </c>
      <c r="Q39" s="2">
        <v>4401.371558908967</v>
      </c>
      <c r="R39" s="2">
        <v>4199.2855619191741</v>
      </c>
      <c r="S39" s="2">
        <v>4130.2055384008954</v>
      </c>
      <c r="T39" s="2">
        <v>3989.1063816190467</v>
      </c>
      <c r="U39" s="2">
        <v>3719.4546874965636</v>
      </c>
      <c r="V39" s="2">
        <v>3618.9778050657901</v>
      </c>
      <c r="W39" s="2">
        <v>3367.5569978855374</v>
      </c>
      <c r="X39" s="2">
        <v>3076.3909008037167</v>
      </c>
      <c r="Y39" s="2">
        <v>2286.676560854095</v>
      </c>
      <c r="Z39" s="2">
        <v>1806.1816052166248</v>
      </c>
      <c r="AA39" s="12">
        <v>1467.6338346447026</v>
      </c>
      <c r="AB39" s="3">
        <f t="shared" si="1"/>
        <v>72979.612070563133</v>
      </c>
      <c r="AC39" s="3">
        <v>4</v>
      </c>
      <c r="AD39" s="51"/>
      <c r="AG39" s="44"/>
      <c r="AH39" s="44"/>
      <c r="AI39" s="44"/>
      <c r="AJ39" s="44"/>
      <c r="AK39" s="44"/>
      <c r="AL39" s="44"/>
      <c r="AM39" s="44"/>
      <c r="AN39" s="44"/>
      <c r="AO39" s="44"/>
      <c r="AP39" s="44"/>
      <c r="AQ39" s="44"/>
      <c r="AR39" s="44"/>
      <c r="AS39" s="44"/>
      <c r="AT39" s="44"/>
      <c r="AU39" s="44"/>
      <c r="AV39" s="44"/>
      <c r="AW39" s="44"/>
      <c r="AX39" s="44"/>
      <c r="AY39" s="44"/>
      <c r="AZ39" s="44"/>
      <c r="BA39" s="44"/>
      <c r="BB39" s="44"/>
      <c r="BC39" s="44"/>
      <c r="BD39" s="44"/>
    </row>
    <row r="40" spans="2:56">
      <c r="B40" s="48"/>
      <c r="C40" s="1" t="s">
        <v>7</v>
      </c>
      <c r="D40" s="2">
        <v>610.59157795772592</v>
      </c>
      <c r="E40" s="2">
        <v>335.77457785579685</v>
      </c>
      <c r="F40" s="2">
        <v>185.82874349297666</v>
      </c>
      <c r="G40" s="2">
        <v>81.06845359672198</v>
      </c>
      <c r="H40" s="2">
        <v>1.3737212538936727</v>
      </c>
      <c r="I40" s="2">
        <v>0</v>
      </c>
      <c r="J40" s="2">
        <v>253.91161332709248</v>
      </c>
      <c r="K40" s="2">
        <v>669.24599928340956</v>
      </c>
      <c r="L40" s="2">
        <v>1002.5525144687032</v>
      </c>
      <c r="M40" s="2">
        <v>1202.1918113129561</v>
      </c>
      <c r="N40" s="2">
        <v>1420.4247150591964</v>
      </c>
      <c r="O40" s="2">
        <v>1522.352430618949</v>
      </c>
      <c r="P40" s="2">
        <v>1946.934246679326</v>
      </c>
      <c r="Q40" s="2">
        <v>1837.4401049253554</v>
      </c>
      <c r="R40" s="2">
        <v>1732.3511372227388</v>
      </c>
      <c r="S40" s="2">
        <v>1837.2510060703553</v>
      </c>
      <c r="T40" s="2">
        <v>1940.0428586092676</v>
      </c>
      <c r="U40" s="2">
        <v>1327.5821092361355</v>
      </c>
      <c r="V40" s="2">
        <v>1524.8353915262308</v>
      </c>
      <c r="W40" s="2">
        <v>1723.9908733105876</v>
      </c>
      <c r="X40" s="2">
        <v>1779.8030487153585</v>
      </c>
      <c r="Y40" s="2">
        <v>1378.3093254292824</v>
      </c>
      <c r="Z40" s="2">
        <v>1027.9520819527572</v>
      </c>
      <c r="AA40" s="12">
        <v>778.76658475219574</v>
      </c>
      <c r="AB40" s="3">
        <f t="shared" si="1"/>
        <v>26120.574926657013</v>
      </c>
      <c r="AC40" s="3">
        <v>4</v>
      </c>
      <c r="AD40" s="51"/>
      <c r="AG40" s="44"/>
      <c r="AH40" s="44"/>
      <c r="AI40" s="44"/>
      <c r="AJ40" s="44"/>
      <c r="AK40" s="44"/>
      <c r="AL40" s="44"/>
      <c r="AM40" s="44"/>
      <c r="AN40" s="44"/>
      <c r="AO40" s="44"/>
      <c r="AP40" s="44"/>
      <c r="AQ40" s="44"/>
      <c r="AR40" s="44"/>
      <c r="AS40" s="44"/>
      <c r="AT40" s="44"/>
      <c r="AU40" s="44"/>
      <c r="AV40" s="44"/>
      <c r="AW40" s="44"/>
      <c r="AX40" s="44"/>
      <c r="AY40" s="44"/>
      <c r="AZ40" s="44"/>
      <c r="BA40" s="44"/>
      <c r="BB40" s="44"/>
      <c r="BC40" s="44"/>
      <c r="BD40" s="44"/>
    </row>
    <row r="41" spans="2:56" ht="15" thickBot="1">
      <c r="B41" s="49"/>
      <c r="C41" s="9" t="s">
        <v>8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3">
        <v>0</v>
      </c>
      <c r="AB41" s="6">
        <f t="shared" si="1"/>
        <v>0</v>
      </c>
      <c r="AC41" s="6">
        <v>0</v>
      </c>
      <c r="AD41" s="52"/>
      <c r="AG41" s="44"/>
      <c r="AH41" s="44"/>
      <c r="AI41" s="44"/>
      <c r="AJ41" s="44"/>
      <c r="AK41" s="44"/>
      <c r="AL41" s="44"/>
      <c r="AM41" s="44"/>
      <c r="AN41" s="44"/>
      <c r="AO41" s="44"/>
      <c r="AP41" s="44"/>
      <c r="AQ41" s="44"/>
      <c r="AR41" s="44"/>
      <c r="AS41" s="44"/>
      <c r="AT41" s="44"/>
      <c r="AU41" s="44"/>
      <c r="AV41" s="44"/>
      <c r="AW41" s="44"/>
      <c r="AX41" s="44"/>
      <c r="AY41" s="44"/>
      <c r="AZ41" s="44"/>
      <c r="BA41" s="44"/>
      <c r="BB41" s="44"/>
      <c r="BC41" s="44"/>
      <c r="BD41" s="44"/>
    </row>
    <row r="42" spans="2:56">
      <c r="B42" s="47">
        <v>46661</v>
      </c>
      <c r="C42" s="8" t="s">
        <v>5</v>
      </c>
      <c r="D42" s="7">
        <v>0</v>
      </c>
      <c r="E42" s="7">
        <v>0</v>
      </c>
      <c r="F42" s="7">
        <v>0</v>
      </c>
      <c r="G42" s="7">
        <v>0</v>
      </c>
      <c r="H42" s="7">
        <v>0</v>
      </c>
      <c r="I42" s="7">
        <v>0</v>
      </c>
      <c r="J42" s="7">
        <v>0</v>
      </c>
      <c r="K42" s="7">
        <v>795.27377597653685</v>
      </c>
      <c r="L42" s="7">
        <v>1400.4188271697817</v>
      </c>
      <c r="M42" s="7">
        <v>1481.3315693469849</v>
      </c>
      <c r="N42" s="7">
        <v>1647.6615817086072</v>
      </c>
      <c r="O42" s="7">
        <v>1666.3401885340777</v>
      </c>
      <c r="P42" s="7">
        <v>1748.9763966967196</v>
      </c>
      <c r="Q42" s="7">
        <v>1732.2391145728659</v>
      </c>
      <c r="R42" s="7">
        <v>1888.0764560917521</v>
      </c>
      <c r="S42" s="7">
        <v>1877.0421006647109</v>
      </c>
      <c r="T42" s="7">
        <v>1784.1382733838986</v>
      </c>
      <c r="U42" s="7">
        <v>570.98986492932431</v>
      </c>
      <c r="V42" s="7">
        <v>277.55289052989974</v>
      </c>
      <c r="W42" s="7">
        <v>140.29165136301333</v>
      </c>
      <c r="X42" s="7">
        <v>28.883980872563349</v>
      </c>
      <c r="Y42" s="7">
        <v>0</v>
      </c>
      <c r="Z42" s="7">
        <v>0</v>
      </c>
      <c r="AA42" s="11">
        <v>0</v>
      </c>
      <c r="AB42" s="5">
        <f t="shared" si="1"/>
        <v>17039.216671840735</v>
      </c>
      <c r="AC42" s="5">
        <v>20</v>
      </c>
      <c r="AD42" s="50">
        <f>(AB42*AC42)+(AB43*AC43)+(AB44*AC44)+(AB45*AC45)</f>
        <v>563447.77223220293</v>
      </c>
      <c r="AG42" s="44"/>
      <c r="AH42" s="44"/>
      <c r="AI42" s="44"/>
      <c r="AJ42" s="44"/>
      <c r="AK42" s="44"/>
      <c r="AL42" s="44"/>
      <c r="AM42" s="44"/>
      <c r="AN42" s="44"/>
      <c r="AO42" s="44"/>
      <c r="AP42" s="44"/>
      <c r="AQ42" s="44"/>
      <c r="AR42" s="44"/>
      <c r="AS42" s="44"/>
      <c r="AT42" s="44"/>
      <c r="AU42" s="44"/>
      <c r="AV42" s="44"/>
      <c r="AW42" s="44"/>
      <c r="AX42" s="44"/>
      <c r="AY42" s="44"/>
      <c r="AZ42" s="44"/>
      <c r="BA42" s="44"/>
      <c r="BB42" s="44"/>
      <c r="BC42" s="44"/>
      <c r="BD42" s="44"/>
    </row>
    <row r="43" spans="2:56">
      <c r="B43" s="48"/>
      <c r="C43" s="1" t="s">
        <v>6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30.157680064487973</v>
      </c>
      <c r="K43" s="2">
        <v>891.68804744291617</v>
      </c>
      <c r="L43" s="2">
        <v>1443.716215758129</v>
      </c>
      <c r="M43" s="2">
        <v>1640.1712224543858</v>
      </c>
      <c r="N43" s="2">
        <v>1951.556176746195</v>
      </c>
      <c r="O43" s="2">
        <v>1989.7829984724835</v>
      </c>
      <c r="P43" s="2">
        <v>1787.9900680148464</v>
      </c>
      <c r="Q43" s="2">
        <v>1571.2376882238505</v>
      </c>
      <c r="R43" s="2">
        <v>1428.153250521297</v>
      </c>
      <c r="S43" s="2">
        <v>1379.2420123908739</v>
      </c>
      <c r="T43" s="2">
        <v>1279.3385365975719</v>
      </c>
      <c r="U43" s="2">
        <v>1018.7721311852965</v>
      </c>
      <c r="V43" s="2">
        <v>885.96015007292795</v>
      </c>
      <c r="W43" s="2">
        <v>740.15930693229052</v>
      </c>
      <c r="X43" s="2">
        <v>613.55096782560202</v>
      </c>
      <c r="Y43" s="2">
        <v>77.344553611461336</v>
      </c>
      <c r="Z43" s="2">
        <v>0</v>
      </c>
      <c r="AA43" s="12">
        <v>0</v>
      </c>
      <c r="AB43" s="3">
        <f t="shared" si="1"/>
        <v>18728.821006314614</v>
      </c>
      <c r="AC43" s="3">
        <v>5</v>
      </c>
      <c r="AD43" s="51"/>
      <c r="AG43" s="44"/>
      <c r="AH43" s="44"/>
      <c r="AI43" s="44"/>
      <c r="AJ43" s="44"/>
      <c r="AK43" s="44"/>
      <c r="AL43" s="44"/>
      <c r="AM43" s="44"/>
      <c r="AN43" s="44"/>
      <c r="AO43" s="44"/>
      <c r="AP43" s="44"/>
      <c r="AQ43" s="44"/>
      <c r="AR43" s="44"/>
      <c r="AS43" s="44"/>
      <c r="AT43" s="44"/>
      <c r="AU43" s="44"/>
      <c r="AV43" s="44"/>
      <c r="AW43" s="44"/>
      <c r="AX43" s="44"/>
      <c r="AY43" s="44"/>
      <c r="AZ43" s="44"/>
      <c r="BA43" s="44"/>
      <c r="BB43" s="44"/>
      <c r="BC43" s="44"/>
      <c r="BD43" s="44"/>
    </row>
    <row r="44" spans="2:56">
      <c r="B44" s="48"/>
      <c r="C44" s="1" t="s">
        <v>7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72.737134186955601</v>
      </c>
      <c r="O44" s="2">
        <v>142.05614297785013</v>
      </c>
      <c r="P44" s="2">
        <v>533.94181395628277</v>
      </c>
      <c r="Q44" s="2">
        <v>418.67207360165889</v>
      </c>
      <c r="R44" s="2">
        <v>319.37975023673846</v>
      </c>
      <c r="S44" s="2">
        <v>412.95561634985194</v>
      </c>
      <c r="T44" s="2">
        <v>506.62470572665313</v>
      </c>
      <c r="U44" s="2">
        <v>0</v>
      </c>
      <c r="V44" s="2">
        <v>32.33814327769538</v>
      </c>
      <c r="W44" s="2">
        <v>235.22310074605622</v>
      </c>
      <c r="X44" s="2">
        <v>348.75507578018602</v>
      </c>
      <c r="Y44" s="2">
        <v>78.291563328488095</v>
      </c>
      <c r="Z44" s="2">
        <v>0</v>
      </c>
      <c r="AA44" s="12">
        <v>0</v>
      </c>
      <c r="AB44" s="3">
        <f t="shared" si="1"/>
        <v>3100.9751201684167</v>
      </c>
      <c r="AC44" s="3">
        <v>5</v>
      </c>
      <c r="AD44" s="51"/>
      <c r="AG44" s="44"/>
      <c r="AH44" s="44"/>
      <c r="AI44" s="44"/>
      <c r="AJ44" s="44"/>
      <c r="AK44" s="44"/>
      <c r="AL44" s="44"/>
      <c r="AM44" s="44"/>
      <c r="AN44" s="44"/>
      <c r="AO44" s="44"/>
      <c r="AP44" s="44"/>
      <c r="AQ44" s="44"/>
      <c r="AR44" s="44"/>
      <c r="AS44" s="44"/>
      <c r="AT44" s="44"/>
      <c r="AU44" s="44"/>
      <c r="AV44" s="44"/>
      <c r="AW44" s="44"/>
      <c r="AX44" s="44"/>
      <c r="AY44" s="44"/>
      <c r="AZ44" s="44"/>
      <c r="BA44" s="44"/>
      <c r="BB44" s="44"/>
      <c r="BC44" s="44"/>
      <c r="BD44" s="44"/>
    </row>
    <row r="45" spans="2:56" ht="15" thickBot="1">
      <c r="B45" s="49"/>
      <c r="C45" s="9" t="s">
        <v>8</v>
      </c>
      <c r="D45" s="10">
        <v>3306.6283043483977</v>
      </c>
      <c r="E45" s="10">
        <v>2976.7204116055768</v>
      </c>
      <c r="F45" s="10">
        <v>2836.1344733794444</v>
      </c>
      <c r="G45" s="10">
        <v>2772.3497322730864</v>
      </c>
      <c r="H45" s="10">
        <v>2530.0473589816211</v>
      </c>
      <c r="I45" s="10">
        <v>2615.7824730707239</v>
      </c>
      <c r="J45" s="10">
        <v>3068.7848855793832</v>
      </c>
      <c r="K45" s="10">
        <v>3843.2007625997958</v>
      </c>
      <c r="L45" s="10">
        <v>4453.1216318260313</v>
      </c>
      <c r="M45" s="10">
        <v>4786.506822529841</v>
      </c>
      <c r="N45" s="10">
        <v>5490.1813406550164</v>
      </c>
      <c r="O45" s="10">
        <v>5750.4939546201122</v>
      </c>
      <c r="P45" s="10">
        <v>5997.2738619926449</v>
      </c>
      <c r="Q45" s="10">
        <v>6017.2309692914932</v>
      </c>
      <c r="R45" s="10">
        <v>6099.0368855005672</v>
      </c>
      <c r="S45" s="10">
        <v>6159.1288894935815</v>
      </c>
      <c r="T45" s="10">
        <v>6159.662922225406</v>
      </c>
      <c r="U45" s="10">
        <v>6340.316975948147</v>
      </c>
      <c r="V45" s="10">
        <v>6764.9428006692415</v>
      </c>
      <c r="W45" s="10">
        <v>6541.2712990693262</v>
      </c>
      <c r="X45" s="10">
        <v>6041.1432415522977</v>
      </c>
      <c r="Y45" s="10">
        <v>4880.6844337875627</v>
      </c>
      <c r="Z45" s="10">
        <v>4232.582013415712</v>
      </c>
      <c r="AA45" s="13">
        <v>3851.2317185579768</v>
      </c>
      <c r="AB45" s="6">
        <f t="shared" si="1"/>
        <v>113514.45816297301</v>
      </c>
      <c r="AC45" s="6">
        <v>1</v>
      </c>
      <c r="AD45" s="52"/>
      <c r="AG45" s="44"/>
      <c r="AH45" s="44"/>
      <c r="AI45" s="44"/>
      <c r="AJ45" s="44"/>
      <c r="AK45" s="44"/>
      <c r="AL45" s="44"/>
      <c r="AM45" s="44"/>
      <c r="AN45" s="44"/>
      <c r="AO45" s="44"/>
      <c r="AP45" s="44"/>
      <c r="AQ45" s="44"/>
      <c r="AR45" s="44"/>
      <c r="AS45" s="44"/>
      <c r="AT45" s="44"/>
      <c r="AU45" s="44"/>
      <c r="AV45" s="44"/>
      <c r="AW45" s="44"/>
      <c r="AX45" s="44"/>
      <c r="AY45" s="44"/>
      <c r="AZ45" s="44"/>
      <c r="BA45" s="44"/>
      <c r="BB45" s="44"/>
      <c r="BC45" s="44"/>
      <c r="BD45" s="44"/>
    </row>
    <row r="46" spans="2:56">
      <c r="B46" s="47">
        <v>46692</v>
      </c>
      <c r="C46" s="8" t="s">
        <v>5</v>
      </c>
      <c r="D46" s="7">
        <v>0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  <c r="J46" s="7">
        <v>874.52298360461759</v>
      </c>
      <c r="K46" s="7">
        <v>2174.2153383556365</v>
      </c>
      <c r="L46" s="7">
        <v>2919.3229638495231</v>
      </c>
      <c r="M46" s="7">
        <v>2998.2783742956544</v>
      </c>
      <c r="N46" s="7">
        <v>3254.2727035821249</v>
      </c>
      <c r="O46" s="7">
        <v>3300.2105501258307</v>
      </c>
      <c r="P46" s="7">
        <v>3330.3309888972913</v>
      </c>
      <c r="Q46" s="7">
        <v>3350.7229411761969</v>
      </c>
      <c r="R46" s="7">
        <v>3561.1029528615745</v>
      </c>
      <c r="S46" s="7">
        <v>3537.9817781901766</v>
      </c>
      <c r="T46" s="7">
        <v>3410.5815457161748</v>
      </c>
      <c r="U46" s="7">
        <v>2059.2679638027212</v>
      </c>
      <c r="V46" s="7">
        <v>1713.1662117373289</v>
      </c>
      <c r="W46" s="7">
        <v>1510.4978201995855</v>
      </c>
      <c r="X46" s="7">
        <v>1283.9395082463916</v>
      </c>
      <c r="Y46" s="7">
        <v>1023.2465430922219</v>
      </c>
      <c r="Z46" s="7">
        <v>524.66886057504018</v>
      </c>
      <c r="AA46" s="11">
        <v>210.3200117202644</v>
      </c>
      <c r="AB46" s="5">
        <f t="shared" si="1"/>
        <v>41036.650040028348</v>
      </c>
      <c r="AC46" s="5">
        <v>20</v>
      </c>
      <c r="AD46" s="50">
        <f>(AB46*AC46)+(AB47*AC47)+(AB48*AC48)+(AB49*AC49)</f>
        <v>839712.89535913139</v>
      </c>
      <c r="AG46" s="44"/>
      <c r="AH46" s="44"/>
      <c r="AI46" s="44"/>
      <c r="AJ46" s="44"/>
      <c r="AK46" s="44"/>
      <c r="AL46" s="44"/>
      <c r="AM46" s="44"/>
      <c r="AN46" s="44"/>
      <c r="AO46" s="44"/>
      <c r="AP46" s="44"/>
      <c r="AQ46" s="44"/>
      <c r="AR46" s="44"/>
      <c r="AS46" s="44"/>
      <c r="AT46" s="44"/>
      <c r="AU46" s="44"/>
      <c r="AV46" s="44"/>
      <c r="AW46" s="44"/>
      <c r="AX46" s="44"/>
      <c r="AY46" s="44"/>
      <c r="AZ46" s="44"/>
      <c r="BA46" s="44"/>
      <c r="BB46" s="44"/>
      <c r="BC46" s="44"/>
      <c r="BD46" s="44"/>
    </row>
    <row r="47" spans="2:56">
      <c r="B47" s="48"/>
      <c r="C47" s="1" t="s">
        <v>6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118.41420552571621</v>
      </c>
      <c r="M47" s="2">
        <v>276.74392221156995</v>
      </c>
      <c r="N47" s="2">
        <v>527.69956046356776</v>
      </c>
      <c r="O47" s="2">
        <v>558.50784555391306</v>
      </c>
      <c r="P47" s="2">
        <v>395.87611605076006</v>
      </c>
      <c r="Q47" s="2">
        <v>221.18806172006353</v>
      </c>
      <c r="R47" s="2">
        <v>105.87148687386163</v>
      </c>
      <c r="S47" s="2">
        <v>66.452270198374123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12">
        <v>0</v>
      </c>
      <c r="AB47" s="3">
        <f t="shared" si="1"/>
        <v>2270.7534685978267</v>
      </c>
      <c r="AC47" s="3">
        <v>4</v>
      </c>
      <c r="AD47" s="51"/>
      <c r="AG47" s="44"/>
      <c r="AH47" s="44"/>
      <c r="AI47" s="44"/>
      <c r="AJ47" s="44"/>
      <c r="AK47" s="44"/>
      <c r="AL47" s="44"/>
      <c r="AM47" s="44"/>
      <c r="AN47" s="44"/>
      <c r="AO47" s="44"/>
      <c r="AP47" s="44"/>
      <c r="AQ47" s="44"/>
      <c r="AR47" s="44"/>
      <c r="AS47" s="44"/>
      <c r="AT47" s="44"/>
      <c r="AU47" s="44"/>
      <c r="AV47" s="44"/>
      <c r="AW47" s="44"/>
      <c r="AX47" s="44"/>
      <c r="AY47" s="44"/>
      <c r="AZ47" s="44"/>
      <c r="BA47" s="44"/>
      <c r="BB47" s="44"/>
      <c r="BC47" s="44"/>
      <c r="BD47" s="44"/>
    </row>
    <row r="48" spans="2:56">
      <c r="B48" s="48"/>
      <c r="C48" s="1" t="s">
        <v>7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12">
        <v>0</v>
      </c>
      <c r="AB48" s="3">
        <f t="shared" si="1"/>
        <v>0</v>
      </c>
      <c r="AC48" s="3">
        <v>4</v>
      </c>
      <c r="AD48" s="51"/>
      <c r="AG48" s="44"/>
      <c r="AH48" s="44"/>
      <c r="AI48" s="44"/>
      <c r="AJ48" s="44"/>
      <c r="AK48" s="44"/>
      <c r="AL48" s="44"/>
      <c r="AM48" s="44"/>
      <c r="AN48" s="44"/>
      <c r="AO48" s="44"/>
      <c r="AP48" s="44"/>
      <c r="AQ48" s="44"/>
      <c r="AR48" s="44"/>
      <c r="AS48" s="44"/>
      <c r="AT48" s="44"/>
      <c r="AU48" s="44"/>
      <c r="AV48" s="44"/>
      <c r="AW48" s="44"/>
      <c r="AX48" s="44"/>
      <c r="AY48" s="44"/>
      <c r="AZ48" s="44"/>
      <c r="BA48" s="44"/>
      <c r="BB48" s="44"/>
      <c r="BC48" s="44"/>
      <c r="BD48" s="44"/>
    </row>
    <row r="49" spans="2:56" ht="15" thickBot="1">
      <c r="B49" s="49"/>
      <c r="C49" s="9" t="s">
        <v>8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128.65478454169619</v>
      </c>
      <c r="O49" s="10">
        <v>259.7764823032968</v>
      </c>
      <c r="P49" s="10">
        <v>384.0816396111004</v>
      </c>
      <c r="Q49" s="10">
        <v>394.13420583743863</v>
      </c>
      <c r="R49" s="10">
        <v>435.34054792317187</v>
      </c>
      <c r="S49" s="10">
        <v>465.60940606816098</v>
      </c>
      <c r="T49" s="10">
        <v>465.87840293846455</v>
      </c>
      <c r="U49" s="10">
        <v>562.63779026483382</v>
      </c>
      <c r="V49" s="10">
        <v>776.52546248618535</v>
      </c>
      <c r="W49" s="10">
        <v>663.86020749166562</v>
      </c>
      <c r="X49" s="10">
        <v>411.94141262052165</v>
      </c>
      <c r="Y49" s="10">
        <v>0</v>
      </c>
      <c r="Z49" s="10">
        <v>0</v>
      </c>
      <c r="AA49" s="13">
        <v>0</v>
      </c>
      <c r="AB49" s="6">
        <f t="shared" si="1"/>
        <v>4948.4403420865365</v>
      </c>
      <c r="AC49" s="6">
        <v>2</v>
      </c>
      <c r="AD49" s="52"/>
      <c r="AG49" s="44"/>
      <c r="AH49" s="44"/>
      <c r="AI49" s="44"/>
      <c r="AJ49" s="44"/>
      <c r="AK49" s="44"/>
      <c r="AL49" s="44"/>
      <c r="AM49" s="44"/>
      <c r="AN49" s="44"/>
      <c r="AO49" s="44"/>
      <c r="AP49" s="44"/>
      <c r="AQ49" s="44"/>
      <c r="AR49" s="44"/>
      <c r="AS49" s="44"/>
      <c r="AT49" s="44"/>
      <c r="AU49" s="44"/>
      <c r="AV49" s="44"/>
      <c r="AW49" s="44"/>
      <c r="AX49" s="44"/>
      <c r="AY49" s="44"/>
      <c r="AZ49" s="44"/>
      <c r="BA49" s="44"/>
      <c r="BB49" s="44"/>
      <c r="BC49" s="44"/>
      <c r="BD49" s="44"/>
    </row>
    <row r="50" spans="2:56">
      <c r="B50" s="47">
        <v>46722</v>
      </c>
      <c r="C50" s="8" t="s">
        <v>5</v>
      </c>
      <c r="D50" s="7">
        <v>0</v>
      </c>
      <c r="E50" s="7">
        <v>0</v>
      </c>
      <c r="F50" s="7">
        <v>0</v>
      </c>
      <c r="G50" s="7">
        <v>0</v>
      </c>
      <c r="H50" s="7">
        <v>0</v>
      </c>
      <c r="I50" s="7">
        <v>0</v>
      </c>
      <c r="J50" s="7">
        <v>0</v>
      </c>
      <c r="K50" s="7">
        <v>890.32692828018276</v>
      </c>
      <c r="L50" s="7">
        <v>1509.3995162025976</v>
      </c>
      <c r="M50" s="7">
        <v>1639.4070936004252</v>
      </c>
      <c r="N50" s="7">
        <v>1816.3127929325201</v>
      </c>
      <c r="O50" s="7">
        <v>1837.1339396228943</v>
      </c>
      <c r="P50" s="7">
        <v>1914.6010758765942</v>
      </c>
      <c r="Q50" s="7">
        <v>1901.5584869838015</v>
      </c>
      <c r="R50" s="7">
        <v>2062.7665952942471</v>
      </c>
      <c r="S50" s="7">
        <v>2050.5862126250631</v>
      </c>
      <c r="T50" s="7">
        <v>1954.1929621986101</v>
      </c>
      <c r="U50" s="7">
        <v>727.35259472084294</v>
      </c>
      <c r="V50" s="7">
        <v>428.61828047955987</v>
      </c>
      <c r="W50" s="7">
        <v>284.90516068978536</v>
      </c>
      <c r="X50" s="7">
        <v>162.03896425857309</v>
      </c>
      <c r="Y50" s="7">
        <v>0</v>
      </c>
      <c r="Z50" s="7">
        <v>0</v>
      </c>
      <c r="AA50" s="11">
        <v>0</v>
      </c>
      <c r="AB50" s="5">
        <f t="shared" si="1"/>
        <v>19179.200603765701</v>
      </c>
      <c r="AC50" s="5">
        <v>22</v>
      </c>
      <c r="AD50" s="50">
        <f>(AB50*AC50)+(AB51*AC51)+(AB52*AC52)+(AB53*AC53)</f>
        <v>482777.09502492519</v>
      </c>
      <c r="AG50" s="44"/>
      <c r="AH50" s="44"/>
      <c r="AI50" s="44"/>
      <c r="AJ50" s="44"/>
      <c r="AK50" s="44"/>
      <c r="AL50" s="44"/>
      <c r="AM50" s="44"/>
      <c r="AN50" s="44"/>
      <c r="AO50" s="44"/>
      <c r="AP50" s="44"/>
      <c r="AQ50" s="44"/>
      <c r="AR50" s="44"/>
      <c r="AS50" s="44"/>
      <c r="AT50" s="44"/>
      <c r="AU50" s="44"/>
      <c r="AV50" s="44"/>
      <c r="AW50" s="44"/>
      <c r="AX50" s="44"/>
      <c r="AY50" s="44"/>
      <c r="AZ50" s="44"/>
      <c r="BA50" s="44"/>
      <c r="BB50" s="44"/>
      <c r="BC50" s="44"/>
      <c r="BD50" s="44"/>
    </row>
    <row r="51" spans="2:56">
      <c r="B51" s="48"/>
      <c r="C51" s="1" t="s">
        <v>6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702.5998039073703</v>
      </c>
      <c r="L51" s="2">
        <v>1241.6633217376809</v>
      </c>
      <c r="M51" s="2">
        <v>1433.5044868874102</v>
      </c>
      <c r="N51" s="2">
        <v>1737.5764138187299</v>
      </c>
      <c r="O51" s="2">
        <v>1774.9054600123986</v>
      </c>
      <c r="P51" s="2">
        <v>1577.8517348414996</v>
      </c>
      <c r="Q51" s="2">
        <v>1366.1898902931832</v>
      </c>
      <c r="R51" s="2">
        <v>1226.4658603218229</v>
      </c>
      <c r="S51" s="2">
        <v>1178.703326448793</v>
      </c>
      <c r="T51" s="2">
        <v>1081.1461324581758</v>
      </c>
      <c r="U51" s="2">
        <v>868.47210384492939</v>
      </c>
      <c r="V51" s="2">
        <v>733.78602738082679</v>
      </c>
      <c r="W51" s="2">
        <v>594.03318670732051</v>
      </c>
      <c r="X51" s="2">
        <v>476.79716197346232</v>
      </c>
      <c r="Y51" s="2">
        <v>0</v>
      </c>
      <c r="Z51" s="2">
        <v>0</v>
      </c>
      <c r="AA51" s="12">
        <v>0</v>
      </c>
      <c r="AB51" s="3">
        <f t="shared" si="1"/>
        <v>15993.694910633601</v>
      </c>
      <c r="AC51" s="3">
        <v>3</v>
      </c>
      <c r="AD51" s="51"/>
      <c r="AG51" s="44"/>
      <c r="AH51" s="44"/>
      <c r="AI51" s="44"/>
      <c r="AJ51" s="44"/>
      <c r="AK51" s="44"/>
      <c r="AL51" s="44"/>
      <c r="AM51" s="44"/>
      <c r="AN51" s="44"/>
      <c r="AO51" s="44"/>
      <c r="AP51" s="44"/>
      <c r="AQ51" s="44"/>
      <c r="AR51" s="44"/>
      <c r="AS51" s="44"/>
      <c r="AT51" s="44"/>
      <c r="AU51" s="44"/>
      <c r="AV51" s="44"/>
      <c r="AW51" s="44"/>
      <c r="AX51" s="44"/>
      <c r="AY51" s="44"/>
      <c r="AZ51" s="44"/>
      <c r="BA51" s="44"/>
      <c r="BB51" s="44"/>
      <c r="BC51" s="44"/>
      <c r="BD51" s="44"/>
    </row>
    <row r="52" spans="2:56">
      <c r="B52" s="48"/>
      <c r="C52" s="1" t="s">
        <v>7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11.966436297675918</v>
      </c>
      <c r="P52" s="2">
        <v>353.25541501066078</v>
      </c>
      <c r="Q52" s="2">
        <v>284.79002601857047</v>
      </c>
      <c r="R52" s="2">
        <v>186.11613009717001</v>
      </c>
      <c r="S52" s="2">
        <v>279.1620330758517</v>
      </c>
      <c r="T52" s="2">
        <v>371.31961065695265</v>
      </c>
      <c r="U52" s="2">
        <v>0</v>
      </c>
      <c r="V52" s="2">
        <v>0</v>
      </c>
      <c r="W52" s="2">
        <v>94.596957670542395</v>
      </c>
      <c r="X52" s="2">
        <v>213.73557668097354</v>
      </c>
      <c r="Y52" s="2">
        <v>0</v>
      </c>
      <c r="Z52" s="2">
        <v>0</v>
      </c>
      <c r="AA52" s="12">
        <v>0</v>
      </c>
      <c r="AB52" s="3">
        <f t="shared" si="1"/>
        <v>1794.9421855083974</v>
      </c>
      <c r="AC52" s="3">
        <v>4</v>
      </c>
      <c r="AD52" s="51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44"/>
      <c r="AU52" s="44"/>
      <c r="AV52" s="44"/>
      <c r="AW52" s="44"/>
      <c r="AX52" s="44"/>
      <c r="AY52" s="44"/>
      <c r="AZ52" s="44"/>
      <c r="BA52" s="44"/>
      <c r="BB52" s="44"/>
      <c r="BC52" s="44"/>
      <c r="BD52" s="44"/>
    </row>
    <row r="53" spans="2:56" ht="15" thickBot="1">
      <c r="B53" s="49"/>
      <c r="C53" s="9" t="s">
        <v>8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68.162950994089726</v>
      </c>
      <c r="P53" s="10">
        <v>188.65503150157684</v>
      </c>
      <c r="Q53" s="10">
        <v>198.39923395692264</v>
      </c>
      <c r="R53" s="10">
        <v>238.34156616216495</v>
      </c>
      <c r="S53" s="10">
        <v>267.68192316315992</v>
      </c>
      <c r="T53" s="10">
        <v>267.94266851962595</v>
      </c>
      <c r="U53" s="10">
        <v>362.09011496889877</v>
      </c>
      <c r="V53" s="10">
        <v>569.41675514230894</v>
      </c>
      <c r="W53" s="10">
        <v>460.20752143705585</v>
      </c>
      <c r="X53" s="10">
        <v>216.01636822689426</v>
      </c>
      <c r="Y53" s="10">
        <v>0</v>
      </c>
      <c r="Z53" s="10">
        <v>0</v>
      </c>
      <c r="AA53" s="13">
        <v>0</v>
      </c>
      <c r="AB53" s="6">
        <f t="shared" si="1"/>
        <v>2836.9141340726978</v>
      </c>
      <c r="AC53" s="6">
        <v>2</v>
      </c>
      <c r="AD53" s="52"/>
      <c r="AG53" s="44"/>
      <c r="AH53" s="44"/>
      <c r="AI53" s="44"/>
      <c r="AJ53" s="44"/>
      <c r="AK53" s="44"/>
      <c r="AL53" s="44"/>
      <c r="AM53" s="44"/>
      <c r="AN53" s="44"/>
      <c r="AO53" s="44"/>
      <c r="AP53" s="44"/>
      <c r="AQ53" s="44"/>
      <c r="AR53" s="44"/>
      <c r="AS53" s="44"/>
      <c r="AT53" s="44"/>
      <c r="AU53" s="44"/>
      <c r="AV53" s="44"/>
      <c r="AW53" s="44"/>
      <c r="AX53" s="44"/>
      <c r="AY53" s="44"/>
      <c r="AZ53" s="44"/>
      <c r="BA53" s="44"/>
      <c r="BB53" s="44"/>
      <c r="BC53" s="44"/>
      <c r="BD53" s="44"/>
    </row>
    <row r="54" spans="2:56" ht="15" thickBot="1">
      <c r="D54">
        <f>+SUMPRODUCT(D6:D53,$AC$6:$AC$53)</f>
        <v>34384.688641289365</v>
      </c>
      <c r="E54">
        <f>+SUMPRODUCT(E6:E53,$AC$6:$AC$53)</f>
        <v>29051.65294761171</v>
      </c>
      <c r="F54">
        <f>+SUMPRODUCT(F6:F53,$AC$6:$AC$53)</f>
        <v>26258.317288154874</v>
      </c>
      <c r="G54">
        <f>+SUMPRODUCT(G6:G53,$AC$6:$AC$53)</f>
        <v>24799.651017769305</v>
      </c>
      <c r="H54">
        <f>+SUMPRODUCT(H6:H53,$AC$6:$AC$53)</f>
        <v>22431.118773761274</v>
      </c>
      <c r="I54">
        <f>+SUMPRODUCT(I6:I53,$AC$6:$AC$53)</f>
        <v>23366.400691481995</v>
      </c>
      <c r="J54">
        <f>+SUMPRODUCT(J6:J53,$AC$6:$AC$53)</f>
        <v>92587.684721901809</v>
      </c>
      <c r="K54">
        <f>+SUMPRODUCT(K6:K53,$AC$6:$AC$53)</f>
        <v>360787.84920679143</v>
      </c>
      <c r="L54">
        <f>+SUMPRODUCT(L6:L53,$AC$6:$AC$53)</f>
        <v>524143.47542035161</v>
      </c>
      <c r="M54">
        <f>+SUMPRODUCT(M6:M53,$AC$6:$AC$53)</f>
        <v>554489.31750870938</v>
      </c>
      <c r="N54">
        <f>+SUMPRODUCT(N6:N53,$AC$6:$AC$53)</f>
        <v>619674.41327799775</v>
      </c>
      <c r="O54">
        <f>+SUMPRODUCT(O6:O53,$AC$6:$AC$53)</f>
        <v>621679.84332849516</v>
      </c>
      <c r="P54">
        <f>+SUMPRODUCT(P6:P53,$AC$6:$AC$53)</f>
        <v>624160.15890608833</v>
      </c>
      <c r="Q54">
        <f>+SUMPRODUCT(Q6:Q53,$AC$6:$AC$53)</f>
        <v>628749.42667980469</v>
      </c>
      <c r="R54">
        <f>+SUMPRODUCT(R6:R53,$AC$6:$AC$53)</f>
        <v>668484.31831136334</v>
      </c>
      <c r="S54">
        <f>+SUMPRODUCT(S6:S53,$AC$6:$AC$53)</f>
        <v>670238.43800297403</v>
      </c>
      <c r="T54">
        <f>+SUMPRODUCT(T6:T53,$AC$6:$AC$53)</f>
        <v>639165.16407119518</v>
      </c>
      <c r="U54">
        <f>+SUMPRODUCT(U6:U53,$AC$6:$AC$53)</f>
        <v>345912.87150652485</v>
      </c>
      <c r="V54">
        <f>+SUMPRODUCT(V6:V53,$AC$6:$AC$53)</f>
        <v>272154.97845230612</v>
      </c>
      <c r="W54">
        <f>+SUMPRODUCT(W6:W53,$AC$6:$AC$53)</f>
        <v>224947.35902807931</v>
      </c>
      <c r="X54">
        <f>+SUMPRODUCT(X6:X53,$AC$6:$AC$53)</f>
        <v>170202.22544203239</v>
      </c>
      <c r="Y54">
        <f>+SUMPRODUCT(Y6:Y53,$AC$6:$AC$53)</f>
        <v>111777.10382592156</v>
      </c>
      <c r="Z54">
        <f>+SUMPRODUCT(Z6:Z53,$AC$6:$AC$53)</f>
        <v>67434.137816815521</v>
      </c>
      <c r="AA54">
        <f>+SUMPRODUCT(AA6:AA53,$AC$6:$AC$53)</f>
        <v>44794.526764866314</v>
      </c>
      <c r="AD54" s="17">
        <f>SUM(AD6:AD53)</f>
        <v>7401675.1216322873</v>
      </c>
    </row>
  </sheetData>
  <mergeCells count="27">
    <mergeCell ref="B2:AB2"/>
    <mergeCell ref="B3:AB3"/>
    <mergeCell ref="B4:AB4"/>
    <mergeCell ref="B14:B17"/>
    <mergeCell ref="AD14:AD17"/>
    <mergeCell ref="B18:B21"/>
    <mergeCell ref="AD18:AD21"/>
    <mergeCell ref="B22:B25"/>
    <mergeCell ref="AD22:AD25"/>
    <mergeCell ref="B6:B9"/>
    <mergeCell ref="AD6:AD9"/>
    <mergeCell ref="B10:B13"/>
    <mergeCell ref="AD10:AD13"/>
    <mergeCell ref="B38:B41"/>
    <mergeCell ref="AD38:AD41"/>
    <mergeCell ref="B42:B45"/>
    <mergeCell ref="AD42:AD45"/>
    <mergeCell ref="B46:B49"/>
    <mergeCell ref="AD46:AD49"/>
    <mergeCell ref="B26:B29"/>
    <mergeCell ref="AD26:AD29"/>
    <mergeCell ref="B30:B33"/>
    <mergeCell ref="AD30:AD33"/>
    <mergeCell ref="B34:B37"/>
    <mergeCell ref="AD34:AD37"/>
    <mergeCell ref="B50:B53"/>
    <mergeCell ref="AD50:AD53"/>
  </mergeCells>
  <conditionalFormatting sqref="D6:AA53">
    <cfRule type="cellIs" dxfId="0" priority="1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8DA44-3186-48C2-863E-E6B0E2FF9D4B}">
  <dimension ref="B3:H30"/>
  <sheetViews>
    <sheetView showGridLines="0" zoomScale="90" zoomScaleNormal="90" workbookViewId="0">
      <selection activeCell="G2" sqref="B2:G23"/>
    </sheetView>
  </sheetViews>
  <sheetFormatPr baseColWidth="10" defaultColWidth="11.453125" defaultRowHeight="14.5"/>
  <cols>
    <col min="1" max="3" width="11.453125" style="18"/>
    <col min="4" max="4" width="15.26953125" style="18" customWidth="1"/>
    <col min="5" max="5" width="11.453125" style="18"/>
    <col min="6" max="6" width="12.7265625" style="18" bestFit="1" customWidth="1"/>
    <col min="7" max="7" width="11.453125" style="18"/>
    <col min="8" max="8" width="12.6328125" style="45" bestFit="1" customWidth="1"/>
    <col min="9" max="16384" width="11.453125" style="18"/>
  </cols>
  <sheetData>
    <row r="3" spans="2:7" ht="15" thickBot="1"/>
    <row r="4" spans="2:7">
      <c r="B4" s="57" t="s">
        <v>39</v>
      </c>
      <c r="C4" s="58"/>
      <c r="D4" s="58"/>
      <c r="E4" s="58"/>
      <c r="F4" s="58"/>
      <c r="G4" s="59"/>
    </row>
    <row r="5" spans="2:7">
      <c r="B5" s="60" t="s">
        <v>9</v>
      </c>
      <c r="C5" s="61"/>
      <c r="D5" s="61"/>
      <c r="E5" s="61"/>
      <c r="F5" s="61"/>
      <c r="G5" s="62"/>
    </row>
    <row r="6" spans="2:7">
      <c r="B6" s="63" t="s">
        <v>10</v>
      </c>
      <c r="C6" s="64"/>
      <c r="D6" s="64"/>
      <c r="E6" s="64"/>
      <c r="F6" s="64"/>
      <c r="G6" s="65"/>
    </row>
    <row r="7" spans="2:7" ht="15" thickBot="1">
      <c r="B7" s="66" t="s">
        <v>42</v>
      </c>
      <c r="C7" s="67"/>
      <c r="D7" s="67"/>
      <c r="E7" s="67"/>
      <c r="F7" s="67"/>
      <c r="G7" s="68"/>
    </row>
    <row r="8" spans="2:7" ht="15" thickBot="1">
      <c r="B8" s="69" t="s">
        <v>40</v>
      </c>
      <c r="C8" s="70"/>
      <c r="D8" s="70"/>
      <c r="E8" s="70"/>
      <c r="F8" s="70"/>
      <c r="G8" s="71"/>
    </row>
    <row r="9" spans="2:7" ht="15.75" customHeight="1" thickBot="1">
      <c r="B9" s="72" t="s">
        <v>12</v>
      </c>
      <c r="C9" s="72" t="s">
        <v>13</v>
      </c>
      <c r="D9" s="75" t="s">
        <v>44</v>
      </c>
      <c r="E9" s="75"/>
      <c r="F9" s="75"/>
      <c r="G9" s="76"/>
    </row>
    <row r="10" spans="2:7" ht="26.5" thickBot="1">
      <c r="B10" s="73"/>
      <c r="C10" s="74"/>
      <c r="D10" s="19" t="s">
        <v>14</v>
      </c>
      <c r="E10" s="21" t="s">
        <v>15</v>
      </c>
      <c r="F10" s="20" t="s">
        <v>16</v>
      </c>
      <c r="G10" s="22" t="s">
        <v>17</v>
      </c>
    </row>
    <row r="11" spans="2:7">
      <c r="B11" s="33">
        <v>2027</v>
      </c>
      <c r="C11" s="34" t="s">
        <v>25</v>
      </c>
      <c r="D11" s="35">
        <f>+'Producto 2 Curvo 26-30'!AE6</f>
        <v>326421.35305751674</v>
      </c>
      <c r="E11" s="77"/>
      <c r="F11" s="26">
        <f t="shared" ref="F11:F22" si="0">+E11*D11</f>
        <v>0</v>
      </c>
      <c r="G11" s="27"/>
    </row>
    <row r="12" spans="2:7">
      <c r="B12" s="23">
        <v>2027</v>
      </c>
      <c r="C12" s="24" t="s">
        <v>26</v>
      </c>
      <c r="D12" s="25">
        <f>+'Producto 2 Curvo 26-30'!AE7</f>
        <v>434392.41230855335</v>
      </c>
      <c r="E12" s="77"/>
      <c r="F12" s="26">
        <f t="shared" si="0"/>
        <v>0</v>
      </c>
      <c r="G12" s="27"/>
    </row>
    <row r="13" spans="2:7">
      <c r="B13" s="23">
        <v>2027</v>
      </c>
      <c r="C13" s="24" t="s">
        <v>27</v>
      </c>
      <c r="D13" s="25">
        <f>+'Producto 2 Curvo 26-30'!AE8</f>
        <v>495573.33661322651</v>
      </c>
      <c r="E13" s="77"/>
      <c r="F13" s="26">
        <f t="shared" si="0"/>
        <v>0</v>
      </c>
      <c r="G13" s="27"/>
    </row>
    <row r="14" spans="2:7">
      <c r="B14" s="23">
        <v>2027</v>
      </c>
      <c r="C14" s="24" t="s">
        <v>28</v>
      </c>
      <c r="D14" s="25">
        <f>+'Producto 2 Curvo 26-30'!AE9</f>
        <v>377862.61546165048</v>
      </c>
      <c r="E14" s="77"/>
      <c r="F14" s="26">
        <f t="shared" si="0"/>
        <v>0</v>
      </c>
      <c r="G14" s="27"/>
    </row>
    <row r="15" spans="2:7">
      <c r="B15" s="23">
        <v>2027</v>
      </c>
      <c r="C15" s="24" t="s">
        <v>29</v>
      </c>
      <c r="D15" s="25">
        <f>+'Producto 2 Curvo 26-30'!AE10</f>
        <v>827761.93478700414</v>
      </c>
      <c r="E15" s="77"/>
      <c r="F15" s="26">
        <f t="shared" si="0"/>
        <v>0</v>
      </c>
      <c r="G15" s="27"/>
    </row>
    <row r="16" spans="2:7">
      <c r="B16" s="23">
        <v>2027</v>
      </c>
      <c r="C16" s="24" t="s">
        <v>18</v>
      </c>
      <c r="D16" s="25">
        <f>+'Producto 2 Curvo 26-30'!AE11</f>
        <v>708535.19211697415</v>
      </c>
      <c r="E16" s="77"/>
      <c r="F16" s="26">
        <f t="shared" si="0"/>
        <v>0</v>
      </c>
      <c r="G16" s="27"/>
    </row>
    <row r="17" spans="2:8">
      <c r="B17" s="23">
        <v>2027</v>
      </c>
      <c r="C17" s="24" t="s">
        <v>19</v>
      </c>
      <c r="D17" s="25">
        <f>+'Producto 2 Curvo 26-30'!AE12</f>
        <v>765698.29803394875</v>
      </c>
      <c r="E17" s="77"/>
      <c r="F17" s="26">
        <f t="shared" si="0"/>
        <v>0</v>
      </c>
      <c r="G17" s="27"/>
    </row>
    <row r="18" spans="2:8">
      <c r="B18" s="23">
        <v>2027</v>
      </c>
      <c r="C18" s="24" t="s">
        <v>20</v>
      </c>
      <c r="D18" s="25">
        <f>+'Producto 2 Curvo 26-30'!AE13</f>
        <v>823563.37334260426</v>
      </c>
      <c r="E18" s="77"/>
      <c r="F18" s="26">
        <f t="shared" si="0"/>
        <v>0</v>
      </c>
      <c r="G18" s="27"/>
    </row>
    <row r="19" spans="2:8">
      <c r="B19" s="23">
        <v>2027</v>
      </c>
      <c r="C19" s="24" t="s">
        <v>21</v>
      </c>
      <c r="D19" s="25">
        <f>+'Producto 2 Curvo 26-30'!AE14</f>
        <v>755928.84329454973</v>
      </c>
      <c r="E19" s="77"/>
      <c r="F19" s="26">
        <f t="shared" si="0"/>
        <v>0</v>
      </c>
      <c r="G19" s="27"/>
    </row>
    <row r="20" spans="2:8">
      <c r="B20" s="23">
        <v>2027</v>
      </c>
      <c r="C20" s="24" t="s">
        <v>22</v>
      </c>
      <c r="D20" s="25">
        <f>+'Producto 2 Curvo 26-30'!AE15</f>
        <v>563447.77223220293</v>
      </c>
      <c r="E20" s="77"/>
      <c r="F20" s="26">
        <f t="shared" si="0"/>
        <v>0</v>
      </c>
      <c r="G20" s="27"/>
    </row>
    <row r="21" spans="2:8">
      <c r="B21" s="23">
        <v>2027</v>
      </c>
      <c r="C21" s="24" t="s">
        <v>23</v>
      </c>
      <c r="D21" s="25">
        <f>+'Producto 2 Curvo 26-30'!AE16</f>
        <v>839712.89535913139</v>
      </c>
      <c r="E21" s="77"/>
      <c r="F21" s="26">
        <f t="shared" si="0"/>
        <v>0</v>
      </c>
      <c r="G21" s="27"/>
    </row>
    <row r="22" spans="2:8" ht="15" thickBot="1">
      <c r="B22" s="28">
        <v>2027</v>
      </c>
      <c r="C22" s="29" t="s">
        <v>24</v>
      </c>
      <c r="D22" s="30">
        <f>+'Producto 2 Curvo 26-30'!AE17</f>
        <v>482777.09502492519</v>
      </c>
      <c r="E22" s="78"/>
      <c r="F22" s="31">
        <f t="shared" si="0"/>
        <v>0</v>
      </c>
      <c r="G22" s="32"/>
      <c r="H22" s="45">
        <f>SUM(D11:D22)</f>
        <v>7401675.1216322873</v>
      </c>
    </row>
    <row r="23" spans="2:8" ht="15" thickBot="1">
      <c r="B23" s="55" t="s">
        <v>45</v>
      </c>
      <c r="C23" s="56"/>
      <c r="D23" s="36">
        <f>+SUM(D11:D22)</f>
        <v>7401675.1216322873</v>
      </c>
    </row>
    <row r="25" spans="2:8">
      <c r="B25" s="18" t="s">
        <v>30</v>
      </c>
    </row>
    <row r="26" spans="2:8">
      <c r="B26" s="18" t="s">
        <v>31</v>
      </c>
    </row>
    <row r="27" spans="2:8">
      <c r="B27" s="18" t="s">
        <v>32</v>
      </c>
    </row>
    <row r="28" spans="2:8">
      <c r="B28" s="18" t="s">
        <v>33</v>
      </c>
    </row>
    <row r="30" spans="2:8">
      <c r="D30" s="43"/>
    </row>
  </sheetData>
  <mergeCells count="10">
    <mergeCell ref="B23:C23"/>
    <mergeCell ref="B4:G4"/>
    <mergeCell ref="B5:G5"/>
    <mergeCell ref="B6:G6"/>
    <mergeCell ref="B7:G7"/>
    <mergeCell ref="B8:G8"/>
    <mergeCell ref="B9:B10"/>
    <mergeCell ref="C9:C10"/>
    <mergeCell ref="D9:G9"/>
    <mergeCell ref="E11:E2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Producto 1 Plano 26-30</vt:lpstr>
      <vt:lpstr>Anexo 2 Producto 1</vt:lpstr>
      <vt:lpstr>Producto 2 Curvo 26-30</vt:lpstr>
      <vt:lpstr>Anexo 2 Producto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Melissa Gonzalez Parra</dc:creator>
  <cp:lastModifiedBy>Daniel Bohorquez</cp:lastModifiedBy>
  <dcterms:created xsi:type="dcterms:W3CDTF">2021-03-30T14:28:44Z</dcterms:created>
  <dcterms:modified xsi:type="dcterms:W3CDTF">2025-04-28T23:29:18Z</dcterms:modified>
</cp:coreProperties>
</file>