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ttps://vatiasaesp.sharepoint.com/sites/300.COMERCIAL/Documentos compartidos/330-MEM/Ulises/LICITACIONES/LICITACIONES 2025/VATIA/CP-GNCC2025-004/1. PLIEGOS DE CONDICIONES/Definitivos/"/>
    </mc:Choice>
  </mc:AlternateContent>
  <xr:revisionPtr revIDLastSave="417" documentId="14_{21DD504B-CFE5-4A8C-AA99-75B8C27FF60A}" xr6:coauthVersionLast="47" xr6:coauthVersionMax="47" xr10:uidLastSave="{D261B56C-ADB5-408B-83BE-6806293A3F43}"/>
  <bookViews>
    <workbookView xWindow="-28910" yWindow="-110" windowWidth="29020" windowHeight="15700" tabRatio="802" xr2:uid="{00000000-000D-0000-FFFF-FFFF00000000}"/>
  </bookViews>
  <sheets>
    <sheet name="PRODUCTO 01" sheetId="78" r:id="rId1"/>
    <sheet name="Cantidades horarias PROD 01" sheetId="81" r:id="rId2"/>
    <sheet name="calendario" sheetId="17" state="hidden" r:id="rId3"/>
    <sheet name="curvas típicas de referencia" sheetId="3" state="hidden" r:id="rId4"/>
  </sheets>
  <definedNames>
    <definedName name="_xlnm._FilterDatabase" localSheetId="2" hidden="1">calendario!$A$2:$D$38</definedName>
    <definedName name="_xlnm._FilterDatabase" localSheetId="1" hidden="1">'Cantidades horarias PROD 01'!$D$8:$AG$123</definedName>
    <definedName name="_xlnm.Print_Area" localSheetId="0">'PRODUCTO 01'!$A$1:$I$45</definedName>
    <definedName name="Z_5E23C26A_5DA4_4377_864E_D3BECE131DEC_.wvu.PrintArea" localSheetId="0" hidden="1">'PRODUCTO 01'!#REF!</definedName>
    <definedName name="Z_66AA70F6_2777_42C7_BDA0_CD16FFB959D9_.wvu.PrintArea" localSheetId="0" hidden="1">'PRODUCTO 01'!#REF!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" i="81" l="1"/>
  <c r="B9" i="81"/>
  <c r="B10" i="81" s="1"/>
  <c r="C9" i="81"/>
  <c r="C10" i="81" s="1"/>
  <c r="C11" i="81" s="1"/>
  <c r="C12" i="81" s="1"/>
  <c r="C13" i="81" s="1"/>
  <c r="B14" i="81"/>
  <c r="C14" i="81"/>
  <c r="B15" i="81"/>
  <c r="C15" i="81"/>
  <c r="B16" i="81"/>
  <c r="C16" i="81"/>
  <c r="B17" i="81"/>
  <c r="C17" i="81"/>
  <c r="D17" i="81"/>
  <c r="D18" i="81"/>
  <c r="B19" i="81"/>
  <c r="C19" i="81"/>
  <c r="B20" i="81"/>
  <c r="C20" i="81"/>
  <c r="B21" i="81"/>
  <c r="C21" i="81"/>
  <c r="B22" i="81"/>
  <c r="C22" i="81"/>
  <c r="D23" i="81"/>
  <c r="B24" i="81"/>
  <c r="C24" i="81"/>
  <c r="B25" i="81"/>
  <c r="C25" i="81"/>
  <c r="B26" i="81"/>
  <c r="C26" i="81"/>
  <c r="B27" i="81"/>
  <c r="C27" i="81"/>
  <c r="D28" i="81"/>
  <c r="B29" i="81"/>
  <c r="C29" i="81"/>
  <c r="B30" i="81"/>
  <c r="C30" i="81"/>
  <c r="B31" i="81"/>
  <c r="C31" i="81"/>
  <c r="B32" i="81"/>
  <c r="C32" i="81"/>
  <c r="D33" i="81"/>
  <c r="B34" i="81"/>
  <c r="C34" i="81"/>
  <c r="B35" i="81"/>
  <c r="C35" i="81"/>
  <c r="B36" i="81"/>
  <c r="C36" i="81"/>
  <c r="B37" i="81"/>
  <c r="C37" i="81"/>
  <c r="D38" i="81"/>
  <c r="B39" i="81"/>
  <c r="C39" i="81"/>
  <c r="B40" i="81"/>
  <c r="C40" i="81"/>
  <c r="B41" i="81"/>
  <c r="C41" i="81"/>
  <c r="B42" i="81"/>
  <c r="C42" i="81"/>
  <c r="D43" i="81"/>
  <c r="B44" i="81"/>
  <c r="C44" i="81"/>
  <c r="B45" i="81"/>
  <c r="C45" i="81"/>
  <c r="B46" i="81"/>
  <c r="C46" i="81"/>
  <c r="B47" i="81"/>
  <c r="C47" i="81"/>
  <c r="D48" i="81"/>
  <c r="B49" i="81"/>
  <c r="C49" i="81"/>
  <c r="B50" i="81"/>
  <c r="C50" i="81"/>
  <c r="B51" i="81"/>
  <c r="C51" i="81"/>
  <c r="B52" i="81"/>
  <c r="C52" i="81"/>
  <c r="D53" i="81"/>
  <c r="B54" i="81"/>
  <c r="C54" i="81"/>
  <c r="B55" i="81"/>
  <c r="C55" i="81"/>
  <c r="B56" i="81"/>
  <c r="C56" i="81"/>
  <c r="B57" i="81"/>
  <c r="C57" i="81"/>
  <c r="D58" i="81"/>
  <c r="B59" i="81"/>
  <c r="C59" i="81"/>
  <c r="D59" i="81" s="1"/>
  <c r="B60" i="81"/>
  <c r="C60" i="81"/>
  <c r="B61" i="81"/>
  <c r="C61" i="81"/>
  <c r="B62" i="81"/>
  <c r="C62" i="81"/>
  <c r="D63" i="81"/>
  <c r="B64" i="81"/>
  <c r="C64" i="81"/>
  <c r="B65" i="81"/>
  <c r="C65" i="81"/>
  <c r="B66" i="81"/>
  <c r="D66" i="81" s="1"/>
  <c r="C66" i="81"/>
  <c r="B67" i="81"/>
  <c r="C67" i="81"/>
  <c r="B68" i="81"/>
  <c r="C68" i="81"/>
  <c r="D68" i="81"/>
  <c r="B69" i="81"/>
  <c r="C69" i="81"/>
  <c r="B70" i="81"/>
  <c r="C70" i="81"/>
  <c r="B71" i="81"/>
  <c r="D71" i="81" s="1"/>
  <c r="C71" i="81"/>
  <c r="B72" i="81"/>
  <c r="C72" i="81"/>
  <c r="B73" i="81"/>
  <c r="C73" i="81"/>
  <c r="D73" i="81"/>
  <c r="B74" i="81"/>
  <c r="C74" i="81"/>
  <c r="B75" i="81"/>
  <c r="C75" i="81"/>
  <c r="B76" i="81"/>
  <c r="C76" i="81"/>
  <c r="B77" i="81"/>
  <c r="C77" i="81"/>
  <c r="B78" i="81"/>
  <c r="C78" i="81"/>
  <c r="D78" i="81"/>
  <c r="B79" i="81"/>
  <c r="C79" i="81"/>
  <c r="B80" i="81"/>
  <c r="C80" i="81"/>
  <c r="B81" i="81"/>
  <c r="C81" i="81"/>
  <c r="B82" i="81"/>
  <c r="C82" i="81"/>
  <c r="B83" i="81"/>
  <c r="C83" i="81"/>
  <c r="D83" i="81"/>
  <c r="B84" i="81"/>
  <c r="C84" i="81"/>
  <c r="B85" i="81"/>
  <c r="C85" i="81"/>
  <c r="B86" i="81"/>
  <c r="C86" i="81"/>
  <c r="B87" i="81"/>
  <c r="C87" i="81"/>
  <c r="B88" i="81"/>
  <c r="C88" i="81"/>
  <c r="D88" i="81"/>
  <c r="B89" i="81"/>
  <c r="C89" i="81"/>
  <c r="B90" i="81"/>
  <c r="C90" i="81"/>
  <c r="B91" i="81"/>
  <c r="C91" i="81"/>
  <c r="B92" i="81"/>
  <c r="C92" i="81"/>
  <c r="B93" i="81"/>
  <c r="C93" i="81"/>
  <c r="D93" i="81"/>
  <c r="B94" i="81"/>
  <c r="C94" i="81"/>
  <c r="D94" i="81"/>
  <c r="B95" i="81"/>
  <c r="C95" i="81"/>
  <c r="B96" i="81"/>
  <c r="C96" i="81"/>
  <c r="B97" i="81"/>
  <c r="C97" i="81"/>
  <c r="B98" i="81"/>
  <c r="C98" i="81"/>
  <c r="D98" i="81"/>
  <c r="B99" i="81"/>
  <c r="C99" i="81"/>
  <c r="B100" i="81"/>
  <c r="C100" i="81"/>
  <c r="B101" i="81"/>
  <c r="C101" i="81"/>
  <c r="B102" i="81"/>
  <c r="C102" i="81"/>
  <c r="B103" i="81"/>
  <c r="C103" i="81"/>
  <c r="D103" i="81"/>
  <c r="B104" i="81"/>
  <c r="C104" i="81"/>
  <c r="B105" i="81"/>
  <c r="C105" i="81"/>
  <c r="B106" i="81"/>
  <c r="C106" i="81"/>
  <c r="B107" i="81"/>
  <c r="C107" i="81"/>
  <c r="B108" i="81"/>
  <c r="C108" i="81"/>
  <c r="D108" i="81"/>
  <c r="B109" i="81"/>
  <c r="C109" i="81"/>
  <c r="B110" i="81"/>
  <c r="C110" i="81"/>
  <c r="B111" i="81"/>
  <c r="D111" i="81" s="1"/>
  <c r="C111" i="81"/>
  <c r="B112" i="81"/>
  <c r="C112" i="81"/>
  <c r="B113" i="81"/>
  <c r="C113" i="81"/>
  <c r="D113" i="81"/>
  <c r="B114" i="81"/>
  <c r="C114" i="81"/>
  <c r="B115" i="81"/>
  <c r="C115" i="81"/>
  <c r="B116" i="81"/>
  <c r="C116" i="81"/>
  <c r="B117" i="81"/>
  <c r="C117" i="81"/>
  <c r="B118" i="81"/>
  <c r="C118" i="81"/>
  <c r="D118" i="81"/>
  <c r="B119" i="81"/>
  <c r="C119" i="81"/>
  <c r="B120" i="81"/>
  <c r="C120" i="81"/>
  <c r="B121" i="81"/>
  <c r="C121" i="81"/>
  <c r="B122" i="81"/>
  <c r="C122" i="81"/>
  <c r="D123" i="81"/>
  <c r="H43" i="81"/>
  <c r="H38" i="81"/>
  <c r="H123" i="81"/>
  <c r="H118" i="81"/>
  <c r="H113" i="81"/>
  <c r="H108" i="81"/>
  <c r="H103" i="81"/>
  <c r="H98" i="81"/>
  <c r="H93" i="81"/>
  <c r="H88" i="81"/>
  <c r="H83" i="81"/>
  <c r="H78" i="81"/>
  <c r="H73" i="81"/>
  <c r="H68" i="81"/>
  <c r="D29" i="81" l="1"/>
  <c r="D52" i="81"/>
  <c r="D75" i="81"/>
  <c r="D84" i="81"/>
  <c r="D61" i="81"/>
  <c r="D57" i="81"/>
  <c r="D40" i="81"/>
  <c r="D35" i="81"/>
  <c r="D22" i="81"/>
  <c r="D16" i="81"/>
  <c r="D47" i="81"/>
  <c r="D34" i="81"/>
  <c r="D21" i="81"/>
  <c r="D95" i="81"/>
  <c r="D90" i="81"/>
  <c r="D79" i="81"/>
  <c r="D74" i="81"/>
  <c r="D69" i="81"/>
  <c r="D45" i="81"/>
  <c r="D39" i="81"/>
  <c r="D26" i="81"/>
  <c r="D10" i="81"/>
  <c r="B11" i="81"/>
  <c r="D115" i="81"/>
  <c r="D62" i="81"/>
  <c r="D67" i="81"/>
  <c r="D87" i="81"/>
  <c r="D76" i="81"/>
  <c r="D54" i="81"/>
  <c r="D31" i="81"/>
  <c r="D55" i="81"/>
  <c r="D82" i="81"/>
  <c r="D121" i="81"/>
  <c r="D25" i="81"/>
  <c r="D119" i="81"/>
  <c r="D110" i="81"/>
  <c r="D99" i="81"/>
  <c r="D9" i="81"/>
  <c r="D104" i="81"/>
  <c r="D44" i="81"/>
  <c r="D114" i="81"/>
  <c r="D49" i="81"/>
  <c r="D30" i="81"/>
  <c r="D42" i="81"/>
  <c r="D102" i="81"/>
  <c r="D92" i="81"/>
  <c r="D81" i="81"/>
  <c r="D107" i="81"/>
  <c r="D86" i="81"/>
  <c r="D91" i="81"/>
  <c r="D70" i="81"/>
  <c r="D15" i="81"/>
  <c r="D122" i="81"/>
  <c r="D106" i="81"/>
  <c r="D32" i="81"/>
  <c r="D105" i="81"/>
  <c r="D100" i="81"/>
  <c r="D77" i="81"/>
  <c r="D36" i="81"/>
  <c r="D109" i="81"/>
  <c r="D72" i="81"/>
  <c r="D46" i="81"/>
  <c r="D41" i="81"/>
  <c r="D19" i="81"/>
  <c r="D14" i="81"/>
  <c r="D80" i="81"/>
  <c r="D24" i="81"/>
  <c r="D112" i="81"/>
  <c r="D89" i="81"/>
  <c r="D50" i="81"/>
  <c r="D56" i="81"/>
  <c r="D116" i="81"/>
  <c r="D60" i="81"/>
  <c r="D51" i="81"/>
  <c r="D117" i="81"/>
  <c r="D85" i="81"/>
  <c r="D120" i="81"/>
  <c r="D97" i="81"/>
  <c r="D65" i="81"/>
  <c r="D27" i="81"/>
  <c r="D101" i="81"/>
  <c r="D96" i="81"/>
  <c r="D64" i="81"/>
  <c r="D37" i="81"/>
  <c r="D20" i="81"/>
  <c r="O43" i="81"/>
  <c r="N43" i="81"/>
  <c r="D11" i="81" l="1"/>
  <c r="B12" i="81"/>
  <c r="AB43" i="81"/>
  <c r="AD43" i="81"/>
  <c r="AA43" i="81"/>
  <c r="R43" i="81"/>
  <c r="Z43" i="81"/>
  <c r="AG42" i="81"/>
  <c r="AE43" i="81"/>
  <c r="P43" i="81"/>
  <c r="AG37" i="81"/>
  <c r="S43" i="81"/>
  <c r="AG36" i="81"/>
  <c r="X43" i="81"/>
  <c r="L43" i="81"/>
  <c r="AG41" i="81"/>
  <c r="Q43" i="81"/>
  <c r="Y43" i="81"/>
  <c r="M43" i="81"/>
  <c r="U43" i="81"/>
  <c r="AC43" i="81"/>
  <c r="W43" i="81"/>
  <c r="AG39" i="81"/>
  <c r="I43" i="81"/>
  <c r="V43" i="81"/>
  <c r="AF43" i="81"/>
  <c r="AG40" i="81"/>
  <c r="K43" i="81"/>
  <c r="AG35" i="81"/>
  <c r="J43" i="81"/>
  <c r="T43" i="81"/>
  <c r="AG80" i="81"/>
  <c r="AG104" i="81"/>
  <c r="AG84" i="81"/>
  <c r="AG64" i="81"/>
  <c r="N38" i="81"/>
  <c r="R38" i="81"/>
  <c r="AE38" i="81"/>
  <c r="O38" i="81"/>
  <c r="Y38" i="81"/>
  <c r="AA38" i="81"/>
  <c r="B13" i="81" l="1"/>
  <c r="D12" i="81"/>
  <c r="AG114" i="81"/>
  <c r="AG110" i="81"/>
  <c r="AG99" i="81"/>
  <c r="AB38" i="81"/>
  <c r="Q38" i="81"/>
  <c r="R113" i="81"/>
  <c r="O113" i="81"/>
  <c r="AF113" i="81"/>
  <c r="S113" i="81"/>
  <c r="AA113" i="81"/>
  <c r="P113" i="81"/>
  <c r="U113" i="81"/>
  <c r="AD113" i="81"/>
  <c r="AB113" i="81"/>
  <c r="W113" i="81"/>
  <c r="Q113" i="81"/>
  <c r="S38" i="81"/>
  <c r="X113" i="81"/>
  <c r="AC113" i="81"/>
  <c r="AG65" i="81"/>
  <c r="AG79" i="81"/>
  <c r="AG69" i="81"/>
  <c r="J113" i="81"/>
  <c r="AG90" i="81"/>
  <c r="AG74" i="81"/>
  <c r="AG94" i="81"/>
  <c r="AG111" i="81"/>
  <c r="M113" i="81"/>
  <c r="AE113" i="81"/>
  <c r="AG95" i="81"/>
  <c r="T113" i="81"/>
  <c r="V113" i="81"/>
  <c r="N113" i="81"/>
  <c r="AG119" i="81"/>
  <c r="AG109" i="81"/>
  <c r="AC83" i="81"/>
  <c r="AG91" i="81"/>
  <c r="AG89" i="81"/>
  <c r="Y113" i="81"/>
  <c r="Z113" i="81"/>
  <c r="K113" i="81"/>
  <c r="AG81" i="81"/>
  <c r="W38" i="81"/>
  <c r="AG101" i="81"/>
  <c r="I98" i="81"/>
  <c r="R98" i="81"/>
  <c r="K98" i="81"/>
  <c r="AD98" i="81"/>
  <c r="AG105" i="81"/>
  <c r="AD93" i="81"/>
  <c r="R93" i="81"/>
  <c r="X93" i="81"/>
  <c r="K93" i="81"/>
  <c r="W93" i="81"/>
  <c r="J93" i="81"/>
  <c r="V93" i="81"/>
  <c r="U93" i="81"/>
  <c r="Q93" i="81"/>
  <c r="AA93" i="81"/>
  <c r="Z93" i="81"/>
  <c r="L93" i="81"/>
  <c r="AF93" i="81"/>
  <c r="AE93" i="81"/>
  <c r="AB93" i="81"/>
  <c r="AC93" i="81"/>
  <c r="S93" i="81"/>
  <c r="P93" i="81"/>
  <c r="O93" i="81"/>
  <c r="Y93" i="81"/>
  <c r="T93" i="81"/>
  <c r="N93" i="81"/>
  <c r="M93" i="81"/>
  <c r="AG115" i="81"/>
  <c r="AG85" i="81"/>
  <c r="AG75" i="81"/>
  <c r="I113" i="81"/>
  <c r="AG120" i="81"/>
  <c r="U38" i="81"/>
  <c r="X38" i="81"/>
  <c r="V38" i="81"/>
  <c r="Z38" i="81"/>
  <c r="P38" i="81"/>
  <c r="I38" i="81"/>
  <c r="AC38" i="81"/>
  <c r="AD38" i="81"/>
  <c r="T38" i="81"/>
  <c r="J38" i="81"/>
  <c r="AF38" i="81"/>
  <c r="L38" i="81"/>
  <c r="K38" i="81"/>
  <c r="M38" i="81"/>
  <c r="AA98" i="81" l="1"/>
  <c r="T98" i="81"/>
  <c r="P98" i="81"/>
  <c r="AC98" i="81"/>
  <c r="Z98" i="81"/>
  <c r="S98" i="81"/>
  <c r="J123" i="81"/>
  <c r="AG38" i="81"/>
  <c r="D15" i="78" s="1"/>
  <c r="AF98" i="81"/>
  <c r="O123" i="81"/>
  <c r="AG112" i="81"/>
  <c r="J98" i="81"/>
  <c r="O83" i="81"/>
  <c r="V83" i="81"/>
  <c r="W98" i="81"/>
  <c r="AG121" i="81"/>
  <c r="T83" i="81"/>
  <c r="X98" i="81"/>
  <c r="AB83" i="81"/>
  <c r="L113" i="81"/>
  <c r="AG113" i="81" s="1"/>
  <c r="F109" i="81" s="1"/>
  <c r="N98" i="81"/>
  <c r="U98" i="81"/>
  <c r="L98" i="81"/>
  <c r="Y83" i="81"/>
  <c r="V98" i="81"/>
  <c r="AB123" i="81"/>
  <c r="J83" i="81"/>
  <c r="Q83" i="81"/>
  <c r="Q98" i="81"/>
  <c r="W83" i="81"/>
  <c r="AG96" i="81"/>
  <c r="L83" i="81"/>
  <c r="AD83" i="81"/>
  <c r="I83" i="81"/>
  <c r="R83" i="81"/>
  <c r="X83" i="81"/>
  <c r="AE98" i="81"/>
  <c r="U83" i="81"/>
  <c r="AA123" i="81"/>
  <c r="M83" i="81"/>
  <c r="AA83" i="81"/>
  <c r="Z123" i="81"/>
  <c r="K83" i="81"/>
  <c r="AE83" i="81"/>
  <c r="Q123" i="81"/>
  <c r="U123" i="81"/>
  <c r="P83" i="81"/>
  <c r="N83" i="81"/>
  <c r="V123" i="81"/>
  <c r="W123" i="81"/>
  <c r="S83" i="81"/>
  <c r="AF83" i="81"/>
  <c r="AB98" i="81"/>
  <c r="M98" i="81"/>
  <c r="O98" i="81"/>
  <c r="Y98" i="81"/>
  <c r="L123" i="81"/>
  <c r="Z83" i="81"/>
  <c r="S123" i="81"/>
  <c r="K123" i="81"/>
  <c r="AC123" i="81"/>
  <c r="X123" i="81"/>
  <c r="AF123" i="81"/>
  <c r="M123" i="81"/>
  <c r="N123" i="81"/>
  <c r="Y123" i="81"/>
  <c r="P123" i="81"/>
  <c r="R123" i="81"/>
  <c r="T123" i="81"/>
  <c r="AD123" i="81"/>
  <c r="AE123" i="81"/>
  <c r="X68" i="81"/>
  <c r="AG116" i="81"/>
  <c r="I123" i="81"/>
  <c r="AF103" i="81"/>
  <c r="T103" i="81"/>
  <c r="AE103" i="81"/>
  <c r="S103" i="81"/>
  <c r="AC103" i="81"/>
  <c r="Q103" i="81"/>
  <c r="Z103" i="81"/>
  <c r="N103" i="81"/>
  <c r="W103" i="81"/>
  <c r="V103" i="81"/>
  <c r="R103" i="81"/>
  <c r="P103" i="81"/>
  <c r="L103" i="81"/>
  <c r="I103" i="81"/>
  <c r="AD103" i="81"/>
  <c r="AB103" i="81"/>
  <c r="AA103" i="81"/>
  <c r="Y103" i="81"/>
  <c r="K103" i="81"/>
  <c r="J103" i="81"/>
  <c r="M103" i="81"/>
  <c r="X103" i="81"/>
  <c r="U103" i="81"/>
  <c r="O103" i="81"/>
  <c r="AG70" i="81"/>
  <c r="AG92" i="81"/>
  <c r="I93" i="81"/>
  <c r="AG93" i="81" s="1"/>
  <c r="F89" i="81" s="1"/>
  <c r="AG100" i="81"/>
  <c r="AG97" i="81"/>
  <c r="AB68" i="81" l="1"/>
  <c r="AG86" i="81"/>
  <c r="L108" i="81"/>
  <c r="Y68" i="81"/>
  <c r="J108" i="81"/>
  <c r="Z68" i="81"/>
  <c r="L68" i="81"/>
  <c r="K108" i="81"/>
  <c r="M68" i="81"/>
  <c r="Q68" i="81"/>
  <c r="AD68" i="81"/>
  <c r="W108" i="81"/>
  <c r="U68" i="81"/>
  <c r="D26" i="78"/>
  <c r="F26" i="78" s="1"/>
  <c r="D28" i="78"/>
  <c r="D30" i="78"/>
  <c r="F30" i="78" s="1"/>
  <c r="AG98" i="81"/>
  <c r="F94" i="81" s="1"/>
  <c r="K68" i="81"/>
  <c r="I73" i="81"/>
  <c r="AG71" i="81"/>
  <c r="N68" i="81"/>
  <c r="AB73" i="81"/>
  <c r="AA73" i="81"/>
  <c r="AG83" i="81"/>
  <c r="F79" i="81" s="1"/>
  <c r="AG82" i="81"/>
  <c r="AG123" i="81"/>
  <c r="F119" i="81" s="1"/>
  <c r="R68" i="81"/>
  <c r="U108" i="81"/>
  <c r="I68" i="81"/>
  <c r="S73" i="81"/>
  <c r="J73" i="81"/>
  <c r="N73" i="81"/>
  <c r="AG122" i="81"/>
  <c r="V73" i="81"/>
  <c r="X73" i="81"/>
  <c r="AE73" i="81"/>
  <c r="Y73" i="81"/>
  <c r="M73" i="81"/>
  <c r="K73" i="81"/>
  <c r="AF68" i="81"/>
  <c r="AF73" i="81"/>
  <c r="W73" i="81"/>
  <c r="U73" i="81"/>
  <c r="AD73" i="81"/>
  <c r="AC73" i="81"/>
  <c r="O73" i="81"/>
  <c r="Q73" i="81"/>
  <c r="P73" i="81"/>
  <c r="AA68" i="81"/>
  <c r="L73" i="81"/>
  <c r="R73" i="81"/>
  <c r="Z73" i="81"/>
  <c r="AG76" i="81"/>
  <c r="T73" i="81"/>
  <c r="S68" i="81"/>
  <c r="AC68" i="81"/>
  <c r="P108" i="81"/>
  <c r="O108" i="81"/>
  <c r="AE108" i="81"/>
  <c r="Y108" i="81"/>
  <c r="AA108" i="81"/>
  <c r="N108" i="81"/>
  <c r="Q108" i="81"/>
  <c r="J68" i="81"/>
  <c r="AG66" i="81"/>
  <c r="AB108" i="81"/>
  <c r="AC108" i="81"/>
  <c r="T108" i="81"/>
  <c r="O68" i="81"/>
  <c r="V68" i="81"/>
  <c r="W68" i="81"/>
  <c r="M108" i="81"/>
  <c r="AD108" i="81"/>
  <c r="T68" i="81"/>
  <c r="P68" i="81"/>
  <c r="AG103" i="81"/>
  <c r="F99" i="81" s="1"/>
  <c r="V108" i="81"/>
  <c r="AE68" i="81"/>
  <c r="X108" i="81"/>
  <c r="AF108" i="81"/>
  <c r="AG102" i="81"/>
  <c r="S108" i="81"/>
  <c r="AC78" i="81"/>
  <c r="Q78" i="81"/>
  <c r="AF78" i="81"/>
  <c r="S78" i="81"/>
  <c r="T78" i="81"/>
  <c r="R78" i="81"/>
  <c r="AD78" i="81"/>
  <c r="M78" i="81"/>
  <c r="AA78" i="81"/>
  <c r="K78" i="81"/>
  <c r="Z78" i="81"/>
  <c r="J78" i="81"/>
  <c r="V78" i="81"/>
  <c r="U78" i="81"/>
  <c r="P78" i="81"/>
  <c r="O78" i="81"/>
  <c r="AE78" i="81"/>
  <c r="AB78" i="81"/>
  <c r="Y78" i="81"/>
  <c r="X78" i="81"/>
  <c r="N78" i="81"/>
  <c r="L78" i="81"/>
  <c r="W78" i="81"/>
  <c r="Z108" i="81"/>
  <c r="AA118" i="81"/>
  <c r="O118" i="81"/>
  <c r="Z118" i="81"/>
  <c r="N118" i="81"/>
  <c r="Y118" i="81"/>
  <c r="M118" i="81"/>
  <c r="X118" i="81"/>
  <c r="L118" i="81"/>
  <c r="W118" i="81"/>
  <c r="K118" i="81"/>
  <c r="AF118" i="81"/>
  <c r="T118" i="81"/>
  <c r="R118" i="81"/>
  <c r="Q118" i="81"/>
  <c r="J118" i="81"/>
  <c r="V118" i="81"/>
  <c r="U118" i="81"/>
  <c r="P118" i="81"/>
  <c r="S118" i="81"/>
  <c r="AE118" i="81"/>
  <c r="AD118" i="81"/>
  <c r="AC118" i="81"/>
  <c r="AB118" i="81"/>
  <c r="R108" i="81"/>
  <c r="AG106" i="81"/>
  <c r="I108" i="81"/>
  <c r="AF88" i="81"/>
  <c r="Y88" i="81"/>
  <c r="M88" i="81"/>
  <c r="AA88" i="81"/>
  <c r="N88" i="81"/>
  <c r="Z88" i="81"/>
  <c r="X88" i="81"/>
  <c r="J88" i="81"/>
  <c r="W88" i="81"/>
  <c r="AD88" i="81"/>
  <c r="K88" i="81"/>
  <c r="AB88" i="81"/>
  <c r="U88" i="81"/>
  <c r="V88" i="81"/>
  <c r="AC88" i="81"/>
  <c r="O88" i="81"/>
  <c r="T88" i="81"/>
  <c r="S88" i="81"/>
  <c r="R88" i="81"/>
  <c r="L88" i="81"/>
  <c r="AE88" i="81"/>
  <c r="Q88" i="81"/>
  <c r="P88" i="81"/>
  <c r="H13" i="81"/>
  <c r="H18" i="81"/>
  <c r="H23" i="81"/>
  <c r="H28" i="81"/>
  <c r="H33" i="81"/>
  <c r="H48" i="81"/>
  <c r="H53" i="81"/>
  <c r="H58" i="81"/>
  <c r="D32" i="78" l="1"/>
  <c r="F32" i="78" s="1"/>
  <c r="D27" i="78"/>
  <c r="F27" i="78" s="1"/>
  <c r="D24" i="78"/>
  <c r="F24" i="78" s="1"/>
  <c r="AG67" i="81"/>
  <c r="AG73" i="81"/>
  <c r="AG72" i="81"/>
  <c r="F28" i="78"/>
  <c r="AG107" i="81"/>
  <c r="AG108" i="81"/>
  <c r="D29" i="78" s="1"/>
  <c r="AG68" i="81"/>
  <c r="D21" i="78" s="1"/>
  <c r="AG87" i="81"/>
  <c r="I88" i="81"/>
  <c r="AG88" i="81" s="1"/>
  <c r="D25" i="78" s="1"/>
  <c r="AG77" i="81"/>
  <c r="I78" i="81"/>
  <c r="AG78" i="81" s="1"/>
  <c r="D23" i="78" s="1"/>
  <c r="AG117" i="81"/>
  <c r="I118" i="81"/>
  <c r="AG118" i="81" s="1"/>
  <c r="D31" i="78" s="1"/>
  <c r="H63" i="81"/>
  <c r="F69" i="81" l="1"/>
  <c r="D22" i="78"/>
  <c r="F22" i="78" s="1"/>
  <c r="F114" i="81"/>
  <c r="F31" i="78"/>
  <c r="F74" i="81"/>
  <c r="F23" i="78"/>
  <c r="F84" i="81"/>
  <c r="F25" i="78"/>
  <c r="F64" i="81"/>
  <c r="F21" i="78"/>
  <c r="F104" i="81"/>
  <c r="F29" i="78"/>
  <c r="D36" i="17"/>
  <c r="C36" i="17"/>
  <c r="D33" i="17"/>
  <c r="C33" i="17"/>
  <c r="D30" i="17"/>
  <c r="C30" i="17"/>
  <c r="D27" i="17"/>
  <c r="C27" i="17"/>
  <c r="D24" i="17"/>
  <c r="C24" i="17"/>
  <c r="D21" i="17"/>
  <c r="C21" i="17"/>
  <c r="D18" i="17"/>
  <c r="C18" i="17"/>
  <c r="D15" i="17"/>
  <c r="C15" i="17"/>
  <c r="D12" i="17"/>
  <c r="C12" i="17"/>
  <c r="D9" i="17"/>
  <c r="C9" i="17"/>
  <c r="D6" i="17"/>
  <c r="C6" i="17"/>
  <c r="D3" i="17"/>
  <c r="C3" i="17"/>
  <c r="O63" i="81" l="1"/>
  <c r="U63" i="81"/>
  <c r="K28" i="81"/>
  <c r="O48" i="81"/>
  <c r="R48" i="81"/>
  <c r="V18" i="81"/>
  <c r="U48" i="81"/>
  <c r="P53" i="81"/>
  <c r="X28" i="81"/>
  <c r="AC53" i="81"/>
  <c r="J58" i="81"/>
  <c r="Q18" i="81"/>
  <c r="L23" i="81"/>
  <c r="U53" i="81"/>
  <c r="AF13" i="81"/>
  <c r="X53" i="81"/>
  <c r="M13" i="81"/>
  <c r="Q23" i="81"/>
  <c r="AA23" i="81"/>
  <c r="X48" i="81"/>
  <c r="Q13" i="81"/>
  <c r="AF18" i="81"/>
  <c r="AC63" i="81"/>
  <c r="T53" i="81"/>
  <c r="O23" i="81"/>
  <c r="R18" i="81"/>
  <c r="W63" i="81"/>
  <c r="AD28" i="81"/>
  <c r="AA18" i="81"/>
  <c r="N33" i="81"/>
  <c r="S48" i="81"/>
  <c r="R53" i="81"/>
  <c r="V58" i="81"/>
  <c r="AB28" i="81"/>
  <c r="J18" i="81"/>
  <c r="W18" i="81"/>
  <c r="Q33" i="81"/>
  <c r="Y18" i="81"/>
  <c r="AC33" i="81"/>
  <c r="T28" i="81"/>
  <c r="V63" i="81"/>
  <c r="N28" i="81"/>
  <c r="Z53" i="81"/>
  <c r="L18" i="81"/>
  <c r="M63" i="81"/>
  <c r="AC18" i="81"/>
  <c r="J48" i="81"/>
  <c r="M28" i="81"/>
  <c r="N18" i="81"/>
  <c r="T18" i="81"/>
  <c r="W58" i="81"/>
  <c r="Y63" i="81"/>
  <c r="AG12" i="81"/>
  <c r="AG31" i="81"/>
  <c r="K48" i="81"/>
  <c r="I18" i="81"/>
  <c r="AG14" i="81"/>
  <c r="Y23" i="81"/>
  <c r="I23" i="81"/>
  <c r="AG19" i="81"/>
  <c r="X23" i="81"/>
  <c r="AG26" i="81"/>
  <c r="K53" i="81"/>
  <c r="N48" i="81"/>
  <c r="N63" i="81"/>
  <c r="AG17" i="81"/>
  <c r="Y33" i="81"/>
  <c r="I53" i="81"/>
  <c r="AG49" i="81"/>
  <c r="Z33" i="81"/>
  <c r="AE33" i="81"/>
  <c r="AA58" i="81"/>
  <c r="AG10" i="81"/>
  <c r="T23" i="81"/>
  <c r="AG30" i="81"/>
  <c r="X18" i="81"/>
  <c r="AG32" i="81"/>
  <c r="AG50" i="81"/>
  <c r="AG51" i="81"/>
  <c r="Z23" i="81"/>
  <c r="W53" i="81"/>
  <c r="J23" i="81"/>
  <c r="Y48" i="81"/>
  <c r="AC58" i="81"/>
  <c r="AB63" i="81"/>
  <c r="AF63" i="81"/>
  <c r="R28" i="81"/>
  <c r="AG55" i="81"/>
  <c r="AG56" i="81"/>
  <c r="P23" i="81"/>
  <c r="W13" i="81"/>
  <c r="AB18" i="81"/>
  <c r="AF58" i="81"/>
  <c r="AB33" i="81"/>
  <c r="V53" i="81"/>
  <c r="T63" i="81"/>
  <c r="U28" i="81"/>
  <c r="V23" i="81"/>
  <c r="V13" i="81"/>
  <c r="Y53" i="81"/>
  <c r="AG34" i="81"/>
  <c r="AG15" i="81"/>
  <c r="AA53" i="81"/>
  <c r="K58" i="81"/>
  <c r="J28" i="81"/>
  <c r="O58" i="81"/>
  <c r="L28" i="81"/>
  <c r="AB58" i="81"/>
  <c r="R13" i="81"/>
  <c r="W33" i="81"/>
  <c r="X63" i="81"/>
  <c r="R23" i="81"/>
  <c r="AD23" i="81"/>
  <c r="L13" i="81"/>
  <c r="AG61" i="81"/>
  <c r="AD63" i="81"/>
  <c r="AE28" i="81"/>
  <c r="P33" i="81"/>
  <c r="J63" i="81"/>
  <c r="AF23" i="81"/>
  <c r="AF53" i="81"/>
  <c r="Q58" i="81"/>
  <c r="U18" i="81"/>
  <c r="S28" i="81"/>
  <c r="I13" i="81"/>
  <c r="AG9" i="81"/>
  <c r="K33" i="81"/>
  <c r="AF28" i="81"/>
  <c r="AG16" i="81"/>
  <c r="Q48" i="81"/>
  <c r="L63" i="81"/>
  <c r="J53" i="81"/>
  <c r="AC28" i="81"/>
  <c r="M18" i="81"/>
  <c r="R63" i="81"/>
  <c r="O28" i="81"/>
  <c r="AG25" i="81"/>
  <c r="M48" i="81"/>
  <c r="AE23" i="81"/>
  <c r="S63" i="81"/>
  <c r="P28" i="81"/>
  <c r="M53" i="81"/>
  <c r="X58" i="81"/>
  <c r="Y58" i="81"/>
  <c r="S33" i="81"/>
  <c r="Y13" i="81"/>
  <c r="K13" i="81"/>
  <c r="AG47" i="81"/>
  <c r="Y28" i="81"/>
  <c r="P13" i="81"/>
  <c r="O33" i="81"/>
  <c r="U23" i="81"/>
  <c r="W48" i="81"/>
  <c r="L48" i="81"/>
  <c r="AB48" i="81"/>
  <c r="AA33" i="81"/>
  <c r="AC48" i="81"/>
  <c r="AD53" i="81"/>
  <c r="Z13" i="81"/>
  <c r="AE13" i="81"/>
  <c r="U13" i="81"/>
  <c r="W23" i="81"/>
  <c r="AG45" i="81"/>
  <c r="AG27" i="81"/>
  <c r="AD48" i="81"/>
  <c r="AC23" i="81"/>
  <c r="AB53" i="81"/>
  <c r="T13" i="81"/>
  <c r="I63" i="81"/>
  <c r="AG59" i="81"/>
  <c r="AD58" i="81"/>
  <c r="J33" i="81"/>
  <c r="S58" i="81"/>
  <c r="L33" i="81"/>
  <c r="Z48" i="81"/>
  <c r="T33" i="81"/>
  <c r="T58" i="81"/>
  <c r="M33" i="81"/>
  <c r="L53" i="81"/>
  <c r="AG11" i="81"/>
  <c r="V33" i="81"/>
  <c r="AD18" i="81"/>
  <c r="AG52" i="81"/>
  <c r="Q28" i="81"/>
  <c r="U58" i="81"/>
  <c r="AE53" i="81"/>
  <c r="AA13" i="81"/>
  <c r="AA48" i="81"/>
  <c r="O53" i="81"/>
  <c r="R33" i="81"/>
  <c r="AD33" i="81"/>
  <c r="AA28" i="81"/>
  <c r="AE58" i="81"/>
  <c r="AE18" i="81"/>
  <c r="AF33" i="81"/>
  <c r="X33" i="81"/>
  <c r="AE48" i="81"/>
  <c r="R58" i="81"/>
  <c r="AG22" i="81"/>
  <c r="M23" i="81"/>
  <c r="S53" i="81"/>
  <c r="O13" i="81"/>
  <c r="S23" i="81"/>
  <c r="AG57" i="81"/>
  <c r="K18" i="81"/>
  <c r="P63" i="81"/>
  <c r="P48" i="81"/>
  <c r="V48" i="81"/>
  <c r="M58" i="81"/>
  <c r="AF48" i="81"/>
  <c r="Z18" i="81"/>
  <c r="O18" i="81"/>
  <c r="Q53" i="81"/>
  <c r="AD13" i="81"/>
  <c r="P18" i="81"/>
  <c r="Z63" i="81"/>
  <c r="Z28" i="81"/>
  <c r="I58" i="81"/>
  <c r="AG54" i="81"/>
  <c r="AG20" i="81"/>
  <c r="AG46" i="81"/>
  <c r="X13" i="81"/>
  <c r="N13" i="81"/>
  <c r="S13" i="81"/>
  <c r="AC13" i="81"/>
  <c r="N23" i="81"/>
  <c r="U33" i="81"/>
  <c r="AG62" i="81"/>
  <c r="P58" i="81"/>
  <c r="AE63" i="81"/>
  <c r="I28" i="81"/>
  <c r="AG24" i="81"/>
  <c r="AB23" i="81"/>
  <c r="K23" i="81"/>
  <c r="Q63" i="81"/>
  <c r="AA63" i="81"/>
  <c r="W28" i="81"/>
  <c r="N58" i="81"/>
  <c r="I33" i="81"/>
  <c r="AG29" i="81"/>
  <c r="N53" i="81"/>
  <c r="S18" i="81"/>
  <c r="AG44" i="81"/>
  <c r="I48" i="81"/>
  <c r="AG21" i="81"/>
  <c r="T48" i="81"/>
  <c r="K63" i="81"/>
  <c r="V28" i="81"/>
  <c r="AB13" i="81"/>
  <c r="J13" i="81"/>
  <c r="AG60" i="81"/>
  <c r="Z58" i="81"/>
  <c r="L58" i="81"/>
  <c r="AG28" i="81" l="1"/>
  <c r="AG23" i="81"/>
  <c r="AG43" i="81"/>
  <c r="AG58" i="81"/>
  <c r="D19" i="78" s="1"/>
  <c r="AG53" i="81"/>
  <c r="D18" i="78" s="1"/>
  <c r="AG18" i="81"/>
  <c r="D11" i="78" s="1"/>
  <c r="AG13" i="81"/>
  <c r="D10" i="78" s="1"/>
  <c r="F15" i="78"/>
  <c r="F34" i="81" s="1"/>
  <c r="AG63" i="81"/>
  <c r="D20" i="78" s="1"/>
  <c r="AG48" i="81"/>
  <c r="AG33" i="81"/>
  <c r="D14" i="78" s="1"/>
  <c r="D17" i="78" l="1"/>
  <c r="F17" i="78" s="1"/>
  <c r="F44" i="81" s="1"/>
  <c r="D16" i="78"/>
  <c r="F16" i="78" s="1"/>
  <c r="F39" i="81" s="1"/>
  <c r="D12" i="78"/>
  <c r="F12" i="78" s="1"/>
  <c r="F19" i="81" s="1"/>
  <c r="D13" i="78"/>
  <c r="F13" i="78" s="1"/>
  <c r="F24" i="81" s="1"/>
  <c r="F10" i="78"/>
  <c r="F18" i="78"/>
  <c r="F49" i="81" s="1"/>
  <c r="F14" i="78"/>
  <c r="F29" i="81" s="1"/>
  <c r="F19" i="78"/>
  <c r="F54" i="81" s="1"/>
  <c r="F59" i="81"/>
  <c r="F20" i="78"/>
  <c r="D33" i="78" l="1"/>
  <c r="F9" i="81"/>
  <c r="F11" i="78"/>
  <c r="F33" i="78" s="1"/>
  <c r="G33" i="78" s="1"/>
  <c r="E33" i="78" l="1"/>
  <c r="F14" i="8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8A3E0D4-DE08-44C9-9D2A-53EBE165255F}" keepAlive="1" name="Consulta - PROD1" description="Conexión a la consulta 'PROD1' en el libro." type="5" refreshedVersion="0" background="1">
    <dbPr connection="Provider=Microsoft.Mashup.OleDb.1;Data Source=$Workbook$;Location=PROD1;Extended Properties=&quot;&quot;" command="SELECT * FROM [PROD1]"/>
  </connection>
  <connection id="2" xr16:uid="{5FA8A21C-641D-4A93-B889-E6ADF802C5DA}" keepAlive="1" name="Consulta - PROD10" description="Conexión a la consulta 'PROD10' en el libro." type="5" refreshedVersion="0" background="1">
    <dbPr connection="Provider=Microsoft.Mashup.OleDb.1;Data Source=$Workbook$;Location=PROD10;Extended Properties=&quot;&quot;" command="SELECT * FROM [PROD10]"/>
  </connection>
  <connection id="3" xr16:uid="{F446239A-AC23-475C-904C-54486C698534}" keepAlive="1" name="Consulta - PROD2" description="Conexión a la consulta 'PROD2' en el libro." type="5" refreshedVersion="0" background="1">
    <dbPr connection="Provider=Microsoft.Mashup.OleDb.1;Data Source=$Workbook$;Location=PROD2;Extended Properties=&quot;&quot;" command="SELECT * FROM [PROD2]"/>
  </connection>
  <connection id="4" xr16:uid="{FCF87F2C-C9BF-4B14-B85C-61AF1DCA3940}" keepAlive="1" name="Consulta - PROD3" description="Conexión a la consulta 'PROD3' en el libro." type="5" refreshedVersion="0" background="1">
    <dbPr connection="Provider=Microsoft.Mashup.OleDb.1;Data Source=$Workbook$;Location=PROD3;Extended Properties=&quot;&quot;" command="SELECT * FROM [PROD3]"/>
  </connection>
  <connection id="5" xr16:uid="{B8FA39C5-8B46-4D46-BBED-BA548A17F249}" keepAlive="1" name="Consulta - PROD4" description="Conexión a la consulta 'PROD4' en el libro." type="5" refreshedVersion="0" background="1">
    <dbPr connection="Provider=Microsoft.Mashup.OleDb.1;Data Source=$Workbook$;Location=PROD4;Extended Properties=&quot;&quot;" command="SELECT * FROM [PROD4]"/>
  </connection>
  <connection id="6" xr16:uid="{8C8475CF-9379-4D48-822D-C7D5A52F38A9}" keepAlive="1" name="Consulta - PROD5" description="Conexión a la consulta 'PROD5' en el libro." type="5" refreshedVersion="0" background="1">
    <dbPr connection="Provider=Microsoft.Mashup.OleDb.1;Data Source=$Workbook$;Location=PROD5;Extended Properties=&quot;&quot;" command="SELECT * FROM [PROD5]"/>
  </connection>
  <connection id="7" xr16:uid="{7DD54380-FFD8-4E45-BA62-06FEF9DCA097}" keepAlive="1" name="Consulta - PROD6" description="Conexión a la consulta 'PROD6' en el libro." type="5" refreshedVersion="0" background="1">
    <dbPr connection="Provider=Microsoft.Mashup.OleDb.1;Data Source=$Workbook$;Location=PROD6;Extended Properties=&quot;&quot;" command="SELECT * FROM [PROD6]"/>
  </connection>
  <connection id="8" xr16:uid="{FE6BB54F-53B2-405E-B85A-7B6473ADB1E6}" keepAlive="1" name="Consulta - PROD7" description="Conexión a la consulta 'PROD7' en el libro." type="5" refreshedVersion="0" background="1">
    <dbPr connection="Provider=Microsoft.Mashup.OleDb.1;Data Source=$Workbook$;Location=PROD7;Extended Properties=&quot;&quot;" command="SELECT * FROM [PROD7]"/>
  </connection>
  <connection id="9" xr16:uid="{667A10F4-3319-41ED-B3C6-4E8B7406CD07}" keepAlive="1" name="Consulta - PROD8" description="Conexión a la consulta 'PROD8' en el libro." type="5" refreshedVersion="0" background="1">
    <dbPr connection="Provider=Microsoft.Mashup.OleDb.1;Data Source=$Workbook$;Location=PROD8;Extended Properties=&quot;&quot;" command="SELECT * FROM [PROD8]"/>
  </connection>
  <connection id="10" xr16:uid="{2BFA1283-5640-4897-BBF8-72575EEB46AF}" keepAlive="1" name="Consulta - PROD9" description="Conexión a la consulta 'PROD9' en el libro." type="5" refreshedVersion="0" background="1">
    <dbPr connection="Provider=Microsoft.Mashup.OleDb.1;Data Source=$Workbook$;Location=PROD9;Extended Properties=&quot;&quot;" command="SELECT * FROM [PROD9]"/>
  </connection>
  <connection id="11" xr16:uid="{65868055-7E64-477C-B9B1-1ADC21CEF35A}" keepAlive="1" name="Consulta - RESUMEN" description="Conexión a la consulta 'RESUMEN' en el libro." type="5" refreshedVersion="7" background="1" saveData="1">
    <dbPr connection="Provider=Microsoft.Mashup.OleDb.1;Data Source=$Workbook$;Location=RESUMEN;Extended Properties=&quot;&quot;" command="SELECT * FROM [RESUMEN]"/>
  </connection>
  <connection id="12" xr16:uid="{E5DB1A28-8BB4-4A7D-88F0-7F5321FB06EF}" keepAlive="1" name="Consulta - TIPO" description="Conexión a la consulta 'TIPO' en el libro." type="5" refreshedVersion="0" background="1">
    <dbPr connection="Provider=Microsoft.Mashup.OleDb.1;Data Source=$Workbook$;Location=TIPO;Extended Properties=&quot;&quot;" command="SELECT * FROM [TIPO]"/>
  </connection>
</connections>
</file>

<file path=xl/sharedStrings.xml><?xml version="1.0" encoding="utf-8"?>
<sst xmlns="http://schemas.openxmlformats.org/spreadsheetml/2006/main" count="244" uniqueCount="67">
  <si>
    <t>CANTIDAD EN:</t>
  </si>
  <si>
    <t>KWh</t>
  </si>
  <si>
    <t>MODALIDAD:</t>
  </si>
  <si>
    <t>PAGUE LO CONTRATADO</t>
  </si>
  <si>
    <t>OFERENTE:</t>
  </si>
  <si>
    <t>MES DE SUMINISTRO</t>
  </si>
  <si>
    <t xml:space="preserve">ENERGÍA SOLICITADA (KWh) </t>
  </si>
  <si>
    <t>% ENERGÍA OFRECIDA</t>
  </si>
  <si>
    <t>ENERGÍA OFRECIDA (KWh)</t>
  </si>
  <si>
    <t>PRECIO OFERTADO ($/KWh)</t>
  </si>
  <si>
    <t>TOTAL</t>
  </si>
  <si>
    <t>Nota</t>
  </si>
  <si>
    <t>2. La energia ofertada se despachara conforme a las cantidades horarias de este anexo</t>
  </si>
  <si>
    <t>XXXXXXXXXXXXXXXXXXXXXXXX</t>
  </si>
  <si>
    <t>REPRESENTANTE LEGAL</t>
  </si>
  <si>
    <t xml:space="preserve">XXXXXXXXXXXXXXXXXXXXXX S.A E.S.P </t>
  </si>
  <si>
    <t>CUADRO DE CANTIDADES HORARIAS OFRECIDAS</t>
  </si>
  <si>
    <t>Cantidad Ofrecida</t>
  </si>
  <si>
    <t>Tipo de día</t>
  </si>
  <si>
    <t>N° días
mes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</si>
  <si>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</si>
  <si>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</si>
  <si>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</si>
  <si>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</si>
  <si>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</si>
  <si>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</si>
  <si>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</si>
  <si>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</si>
  <si>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</si>
  <si>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</si>
  <si>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</si>
  <si>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</si>
  <si>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</si>
  <si>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</si>
  <si>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</si>
  <si>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</si>
  <si>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</si>
  <si>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</si>
  <si>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</si>
  <si>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</si>
  <si>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</si>
  <si>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</si>
  <si>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</si>
  <si>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H24</t>
  </si>
  <si>
    <t>Cuenta de TIPO</t>
  </si>
  <si>
    <t>MES</t>
  </si>
  <si>
    <t>TIPO</t>
  </si>
  <si>
    <t>1ORD</t>
  </si>
  <si>
    <t>2SÁB</t>
  </si>
  <si>
    <t>3FES</t>
  </si>
  <si>
    <t>tipo día</t>
  </si>
  <si>
    <t>Habil</t>
  </si>
  <si>
    <t>Sabado</t>
  </si>
  <si>
    <t>Festivo</t>
  </si>
  <si>
    <t>CURVA ACTUALIZADA CON DEMANDAS PROYECCION DEMANDA REGULADA MATRICIAL 2014 (Enero 2014)</t>
  </si>
  <si>
    <t>AÑO</t>
  </si>
  <si>
    <t>LLAVE</t>
  </si>
  <si>
    <t>OR</t>
  </si>
  <si>
    <t>DO</t>
  </si>
  <si>
    <t>FE</t>
  </si>
  <si>
    <t>SA</t>
  </si>
  <si>
    <t xml:space="preserve"> CANTIDADES DE ENERGIA (KWh)  - PRODUCTO 1</t>
  </si>
  <si>
    <t>CP-GNCC2025-004-PROD01</t>
  </si>
  <si>
    <t>1. $/kWh expresados en pesos de octubre 2025.</t>
  </si>
  <si>
    <t>CP-GNCC2025-004</t>
  </si>
  <si>
    <t>1. $/kWh expresados en pesos de octubre de 2025.</t>
  </si>
  <si>
    <t>XXXXXXXXXXXXXXXXXX.SA.E.S.P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</si>
</sst>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-* #,##0_-;\-* #,##0_-;_-* &quot;-&quot;_-;_-@_-"/>
    <numFmt numFmtId="43" formatCode="_-* #,##0.00_-;\-* #,##0.00_-;_-* &quot;-&quot;??_-;_-@_-"/>
    <numFmt numFmtId="164" formatCode="_-&quot;$&quot;* #,##0.00_-;\-&quot;$&quot;* #,##0.00_-;_-&quot;$&quot;* &quot;-&quot;??_-;_-@_-"/>
    <numFmt numFmtId="165" formatCode="_(&quot;$&quot;\ * #,##0_);_(&quot;$&quot;\ * \(#,##0\);_(&quot;$&quot;\ * &quot;-&quot;_);_(@_)"/>
    <numFmt numFmtId="166" formatCode="_(&quot;$&quot;\ * #,##0.00_);_(&quot;$&quot;\ * \(#,##0.00\);_(&quot;$&quot;\ * &quot;-&quot;??_);_(@_)"/>
    <numFmt numFmtId="167" formatCode="_(* #,##0.00_);_(* \(#,##0.00\);_(* &quot;-&quot;??_);_(@_)"/>
    <numFmt numFmtId="168" formatCode="_ * #,##0.00_ ;_ * \-#,##0.00_ ;_ * &quot;-&quot;??_ ;_ @_ "/>
    <numFmt numFmtId="169" formatCode="mmm"/>
    <numFmt numFmtId="170" formatCode="#0"/>
    <numFmt numFmtId="171" formatCode="_ * #,##0_ ;_ * \-#,##0_ ;_ * &quot;-&quot;??_ ;_ @_ "/>
    <numFmt numFmtId="172" formatCode="_(* #,##0_);_(* \(#,##0\);_(* &quot;-&quot;??_);_(@_)"/>
    <numFmt numFmtId="173" formatCode="_ * #,##0.00000_ ;_ * \-#,##0.00000_ ;_ * &quot;-&quot;??_ ;_ @_ "/>
    <numFmt numFmtId="174" formatCode="#,##0_ ;\-#,##0\ "/>
    <numFmt numFmtId="175" formatCode="[$-C0A]mmm\-yy;@"/>
    <numFmt numFmtId="176" formatCode="#,##0.0000"/>
  </numFmts>
  <fonts count="30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10"/>
      <name val="Times New Roman"/>
      <family val="1"/>
    </font>
    <font>
      <sz val="10"/>
      <name val="Arial"/>
      <family val="2"/>
    </font>
    <font>
      <sz val="11"/>
      <name val="Frutiger CE 55 Roman"/>
    </font>
    <font>
      <b/>
      <sz val="11"/>
      <name val="Frutiger CE 55 Roman"/>
    </font>
    <font>
      <b/>
      <i/>
      <sz val="11"/>
      <name val="Frutiger CE 55 Roman"/>
    </font>
    <font>
      <b/>
      <sz val="11"/>
      <color indexed="9"/>
      <name val="Frutiger CE 55 Roman"/>
    </font>
    <font>
      <b/>
      <i/>
      <sz val="11"/>
      <color indexed="9"/>
      <name val="Frutiger CE 55 Roman"/>
    </font>
    <font>
      <i/>
      <sz val="11"/>
      <name val="Frutiger CE 55 Roman"/>
    </font>
    <font>
      <b/>
      <sz val="18"/>
      <name val="Frutiger CE 55 Roman"/>
    </font>
    <font>
      <sz val="18"/>
      <name val="Frutiger CE 55 Roman"/>
    </font>
    <font>
      <b/>
      <sz val="18"/>
      <color indexed="10"/>
      <name val="Frutiger CE 55 Roman"/>
    </font>
    <font>
      <b/>
      <sz val="10"/>
      <name val="Arial"/>
      <family val="2"/>
    </font>
    <font>
      <b/>
      <sz val="13"/>
      <name val="Frutiger CE 55 Roman"/>
    </font>
    <font>
      <sz val="13"/>
      <name val="Frutiger CE 55 Roman"/>
    </font>
    <font>
      <sz val="13"/>
      <color indexed="10"/>
      <name val="Frutiger CE 55 Roman"/>
    </font>
    <font>
      <i/>
      <sz val="13"/>
      <name val="Frutiger CE 55 Roman"/>
    </font>
    <font>
      <sz val="10"/>
      <name val="Tahoma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3"/>
      <color theme="1"/>
      <name val="Frutiger CE 55 Roman"/>
    </font>
    <font>
      <b/>
      <sz val="13"/>
      <color theme="0"/>
      <name val="Frutiger CE 55 Roman"/>
    </font>
    <font>
      <sz val="10"/>
      <name val="Arial"/>
      <family val="2"/>
    </font>
    <font>
      <b/>
      <sz val="12"/>
      <color theme="0"/>
      <name val="Frutiger CE 55 Roman"/>
    </font>
    <font>
      <b/>
      <sz val="10"/>
      <color rgb="FFFF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249977111117893"/>
        <bgColor indexed="64"/>
      </patternFill>
    </fill>
  </fills>
  <borders count="30">
    <border>
      <left/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dotted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22"/>
      </bottom>
      <diagonal/>
    </border>
    <border>
      <left style="dotted">
        <color indexed="64"/>
      </left>
      <right style="dotted">
        <color indexed="64"/>
      </right>
      <top style="hair">
        <color indexed="22"/>
      </top>
      <bottom style="hair">
        <color indexed="2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22"/>
      </bottom>
      <diagonal/>
    </border>
    <border>
      <left style="thin">
        <color indexed="64"/>
      </left>
      <right style="thin">
        <color indexed="64"/>
      </right>
      <top style="hair">
        <color indexed="22"/>
      </top>
      <bottom style="hair">
        <color indexed="22"/>
      </bottom>
      <diagonal/>
    </border>
    <border>
      <left style="medium">
        <color indexed="64"/>
      </left>
      <right style="medium">
        <color indexed="64"/>
      </right>
      <top style="hair">
        <color indexed="22"/>
      </top>
      <bottom style="hair">
        <color indexed="22"/>
      </bottom>
      <diagonal/>
    </border>
    <border>
      <left style="thin">
        <color indexed="64"/>
      </left>
      <right style="thin">
        <color indexed="64"/>
      </right>
      <top style="hair">
        <color indexed="22"/>
      </top>
      <bottom/>
      <diagonal/>
    </border>
    <border>
      <left style="thin">
        <color indexed="64"/>
      </left>
      <right style="thin">
        <color indexed="64"/>
      </right>
      <top style="hair">
        <color indexed="22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22"/>
      </top>
      <bottom style="thin">
        <color indexed="64"/>
      </bottom>
      <diagonal/>
    </border>
    <border>
      <left style="medium">
        <color indexed="64"/>
      </left>
      <right style="dotted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</borders>
  <cellStyleXfs count="43">
    <xf numFmtId="0" fontId="0" fillId="0" borderId="0"/>
    <xf numFmtId="168" fontId="2" fillId="0" borderId="0" applyFont="0" applyFill="0" applyBorder="0" applyAlignment="0" applyProtection="0"/>
    <xf numFmtId="41" fontId="24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5" fillId="0" borderId="0" applyFont="0" applyFill="0" applyBorder="0" applyAlignment="0" applyProtection="0"/>
    <xf numFmtId="176" fontId="20" fillId="0" borderId="0" applyFont="0" applyFill="0" applyBorder="0" applyAlignment="0" applyProtection="0"/>
    <xf numFmtId="43" fontId="22" fillId="0" borderId="0" applyFont="0" applyFill="0" applyBorder="0" applyAlignment="0" applyProtection="0"/>
    <xf numFmtId="167" fontId="5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43" fontId="24" fillId="0" borderId="0" applyFont="0" applyFill="0" applyBorder="0" applyAlignment="0" applyProtection="0"/>
    <xf numFmtId="167" fontId="2" fillId="0" borderId="0" applyFont="0" applyFill="0" applyBorder="0" applyAlignment="0" applyProtection="0"/>
    <xf numFmtId="165" fontId="22" fillId="0" borderId="0" applyFont="0" applyFill="0" applyBorder="0" applyAlignment="0" applyProtection="0"/>
    <xf numFmtId="166" fontId="5" fillId="0" borderId="0" applyFont="0" applyFill="0" applyBorder="0" applyAlignment="0" applyProtection="0"/>
    <xf numFmtId="164" fontId="24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0" fontId="20" fillId="0" borderId="0"/>
    <xf numFmtId="0" fontId="22" fillId="0" borderId="0"/>
    <xf numFmtId="0" fontId="5" fillId="0" borderId="0"/>
    <xf numFmtId="0" fontId="22" fillId="0" borderId="0"/>
    <xf numFmtId="0" fontId="5" fillId="0" borderId="0"/>
    <xf numFmtId="0" fontId="5" fillId="0" borderId="0"/>
    <xf numFmtId="0" fontId="24" fillId="0" borderId="0"/>
    <xf numFmtId="0" fontId="22" fillId="0" borderId="0"/>
    <xf numFmtId="0" fontId="3" fillId="0" borderId="0"/>
    <xf numFmtId="0" fontId="4" fillId="0" borderId="0"/>
    <xf numFmtId="166" fontId="23" fillId="4" borderId="1"/>
    <xf numFmtId="166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1" fillId="0" borderId="0"/>
  </cellStyleXfs>
  <cellXfs count="80">
    <xf numFmtId="0" fontId="0" fillId="0" borderId="0" xfId="0"/>
    <xf numFmtId="0" fontId="0" fillId="0" borderId="0" xfId="0" applyAlignment="1">
      <alignment horizontal="center"/>
    </xf>
    <xf numFmtId="168" fontId="0" fillId="0" borderId="0" xfId="1" applyFont="1"/>
    <xf numFmtId="0" fontId="0" fillId="0" borderId="2" xfId="0" applyBorder="1"/>
    <xf numFmtId="0" fontId="0" fillId="0" borderId="2" xfId="0" applyBorder="1" applyAlignment="1">
      <alignment horizontal="center"/>
    </xf>
    <xf numFmtId="173" fontId="0" fillId="0" borderId="0" xfId="1" applyNumberFormat="1" applyFont="1"/>
    <xf numFmtId="173" fontId="0" fillId="0" borderId="0" xfId="0" applyNumberFormat="1"/>
    <xf numFmtId="168" fontId="15" fillId="0" borderId="0" xfId="1" applyFont="1"/>
    <xf numFmtId="0" fontId="7" fillId="2" borderId="4" xfId="32" applyFont="1" applyFill="1" applyBorder="1" applyAlignment="1" applyProtection="1">
      <alignment horizontal="center" vertical="center" wrapText="1"/>
      <protection locked="0"/>
    </xf>
    <xf numFmtId="0" fontId="7" fillId="2" borderId="5" xfId="32" applyFont="1" applyFill="1" applyBorder="1" applyAlignment="1" applyProtection="1">
      <alignment horizontal="center" vertical="center" wrapText="1"/>
      <protection locked="0"/>
    </xf>
    <xf numFmtId="0" fontId="7" fillId="2" borderId="6" xfId="32" applyFont="1" applyFill="1" applyBorder="1" applyAlignment="1" applyProtection="1">
      <alignment horizontal="center" vertical="center" wrapText="1"/>
      <protection locked="0"/>
    </xf>
    <xf numFmtId="0" fontId="7" fillId="2" borderId="7" xfId="32" applyFont="1" applyFill="1" applyBorder="1" applyAlignment="1" applyProtection="1">
      <alignment horizontal="center" vertical="center" wrapText="1"/>
      <protection locked="0"/>
    </xf>
    <xf numFmtId="0" fontId="7" fillId="2" borderId="8" xfId="32" applyFont="1" applyFill="1" applyBorder="1" applyAlignment="1" applyProtection="1">
      <alignment horizontal="center" vertical="center" wrapText="1"/>
      <protection locked="0"/>
    </xf>
    <xf numFmtId="0" fontId="7" fillId="2" borderId="9" xfId="32" applyFont="1" applyFill="1" applyBorder="1" applyAlignment="1" applyProtection="1">
      <alignment horizontal="center" vertical="center" wrapText="1"/>
      <protection locked="0"/>
    </xf>
    <xf numFmtId="0" fontId="7" fillId="2" borderId="10" xfId="32" applyFont="1" applyFill="1" applyBorder="1" applyAlignment="1" applyProtection="1">
      <alignment horizontal="center" vertical="center" wrapText="1"/>
      <protection locked="0"/>
    </xf>
    <xf numFmtId="0" fontId="16" fillId="2" borderId="0" xfId="33" applyFont="1" applyFill="1" applyAlignment="1">
      <alignment vertical="top"/>
    </xf>
    <xf numFmtId="0" fontId="16" fillId="2" borderId="0" xfId="33" applyFont="1" applyFill="1" applyAlignment="1">
      <alignment vertical="center"/>
    </xf>
    <xf numFmtId="0" fontId="17" fillId="2" borderId="0" xfId="33" applyFont="1" applyFill="1" applyAlignment="1">
      <alignment vertical="top"/>
    </xf>
    <xf numFmtId="0" fontId="17" fillId="2" borderId="0" xfId="33" applyFont="1" applyFill="1"/>
    <xf numFmtId="0" fontId="16" fillId="2" borderId="0" xfId="32" applyFont="1" applyFill="1" applyAlignment="1">
      <alignment horizontal="left"/>
    </xf>
    <xf numFmtId="4" fontId="16" fillId="2" borderId="0" xfId="32" applyNumberFormat="1" applyFont="1" applyFill="1" applyAlignment="1">
      <alignment horizontal="left"/>
    </xf>
    <xf numFmtId="0" fontId="16" fillId="2" borderId="0" xfId="33" applyFont="1" applyFill="1"/>
    <xf numFmtId="4" fontId="16" fillId="2" borderId="0" xfId="33" applyNumberFormat="1" applyFont="1" applyFill="1"/>
    <xf numFmtId="171" fontId="17" fillId="2" borderId="0" xfId="1" applyNumberFormat="1" applyFont="1" applyFill="1" applyProtection="1"/>
    <xf numFmtId="4" fontId="18" fillId="2" borderId="0" xfId="33" applyNumberFormat="1" applyFont="1" applyFill="1" applyAlignment="1">
      <alignment horizontal="center" vertical="center" wrapText="1"/>
    </xf>
    <xf numFmtId="0" fontId="17" fillId="0" borderId="0" xfId="33" applyFont="1"/>
    <xf numFmtId="0" fontId="17" fillId="0" borderId="0" xfId="33" applyFont="1" applyAlignment="1">
      <alignment horizontal="left" wrapText="1"/>
    </xf>
    <xf numFmtId="0" fontId="16" fillId="0" borderId="0" xfId="33" applyFont="1"/>
    <xf numFmtId="0" fontId="19" fillId="0" borderId="0" xfId="33" applyFont="1"/>
    <xf numFmtId="10" fontId="25" fillId="6" borderId="2" xfId="36" applyNumberFormat="1" applyFont="1" applyFill="1" applyBorder="1" applyAlignment="1" applyProtection="1">
      <alignment horizontal="center" vertical="center"/>
      <protection locked="0"/>
    </xf>
    <xf numFmtId="0" fontId="28" fillId="5" borderId="2" xfId="32" applyFont="1" applyFill="1" applyBorder="1" applyAlignment="1">
      <alignment horizontal="center" vertical="center" wrapText="1"/>
    </xf>
    <xf numFmtId="172" fontId="16" fillId="2" borderId="0" xfId="15" applyNumberFormat="1" applyFont="1" applyFill="1" applyBorder="1" applyProtection="1"/>
    <xf numFmtId="171" fontId="25" fillId="2" borderId="2" xfId="1" applyNumberFormat="1" applyFont="1" applyFill="1" applyBorder="1" applyProtection="1"/>
    <xf numFmtId="167" fontId="16" fillId="2" borderId="0" xfId="15" applyFont="1" applyFill="1" applyBorder="1" applyProtection="1"/>
    <xf numFmtId="10" fontId="16" fillId="2" borderId="0" xfId="36" applyNumberFormat="1" applyFont="1" applyFill="1" applyBorder="1" applyAlignment="1" applyProtection="1">
      <alignment horizontal="center"/>
    </xf>
    <xf numFmtId="0" fontId="17" fillId="2" borderId="0" xfId="33" applyFont="1" applyFill="1" applyProtection="1">
      <protection locked="0"/>
    </xf>
    <xf numFmtId="4" fontId="16" fillId="2" borderId="0" xfId="33" applyNumberFormat="1" applyFont="1" applyFill="1" applyProtection="1">
      <protection locked="0"/>
    </xf>
    <xf numFmtId="0" fontId="9" fillId="3" borderId="13" xfId="32" applyFont="1" applyFill="1" applyBorder="1" applyAlignment="1" applyProtection="1">
      <alignment horizontal="center" vertical="center"/>
      <protection locked="0"/>
    </xf>
    <xf numFmtId="172" fontId="7" fillId="2" borderId="15" xfId="41" applyNumberFormat="1" applyFont="1" applyFill="1" applyBorder="1" applyAlignment="1" applyProtection="1">
      <alignment vertical="center"/>
      <protection locked="0"/>
    </xf>
    <xf numFmtId="0" fontId="9" fillId="3" borderId="16" xfId="32" applyFont="1" applyFill="1" applyBorder="1" applyAlignment="1" applyProtection="1">
      <alignment horizontal="center" vertical="center"/>
      <protection locked="0"/>
    </xf>
    <xf numFmtId="172" fontId="7" fillId="2" borderId="17" xfId="41" applyNumberFormat="1" applyFont="1" applyFill="1" applyBorder="1" applyAlignment="1" applyProtection="1">
      <alignment vertical="center"/>
      <protection locked="0"/>
    </xf>
    <xf numFmtId="0" fontId="9" fillId="3" borderId="18" xfId="32" applyFont="1" applyFill="1" applyBorder="1" applyAlignment="1" applyProtection="1">
      <alignment horizontal="center" vertical="center"/>
      <protection locked="0"/>
    </xf>
    <xf numFmtId="0" fontId="9" fillId="3" borderId="19" xfId="32" applyFont="1" applyFill="1" applyBorder="1" applyAlignment="1" applyProtection="1">
      <alignment horizontal="center" vertical="center"/>
      <protection locked="0"/>
    </xf>
    <xf numFmtId="172" fontId="7" fillId="2" borderId="20" xfId="41" applyNumberFormat="1" applyFont="1" applyFill="1" applyBorder="1" applyAlignment="1" applyProtection="1">
      <alignment vertical="center"/>
      <protection locked="0"/>
    </xf>
    <xf numFmtId="0" fontId="10" fillId="3" borderId="12" xfId="32" applyFont="1" applyFill="1" applyBorder="1" applyAlignment="1" applyProtection="1">
      <alignment horizontal="center" vertical="center"/>
      <protection locked="0"/>
    </xf>
    <xf numFmtId="172" fontId="11" fillId="2" borderId="21" xfId="41" applyNumberFormat="1" applyFont="1" applyFill="1" applyBorder="1" applyAlignment="1" applyProtection="1">
      <alignment vertical="center"/>
      <protection locked="0"/>
    </xf>
    <xf numFmtId="172" fontId="8" fillId="2" borderId="22" xfId="41" applyNumberFormat="1" applyFont="1" applyFill="1" applyBorder="1" applyAlignment="1" applyProtection="1">
      <alignment vertical="center"/>
      <protection locked="0"/>
    </xf>
    <xf numFmtId="0" fontId="16" fillId="2" borderId="28" xfId="32" applyFont="1" applyFill="1" applyBorder="1" applyAlignment="1">
      <alignment horizontal="center" vertical="center"/>
    </xf>
    <xf numFmtId="172" fontId="16" fillId="2" borderId="28" xfId="15" applyNumberFormat="1" applyFont="1" applyFill="1" applyBorder="1" applyProtection="1"/>
    <xf numFmtId="167" fontId="16" fillId="2" borderId="28" xfId="15" applyFont="1" applyFill="1" applyBorder="1" applyProtection="1"/>
    <xf numFmtId="10" fontId="16" fillId="2" borderId="28" xfId="36" applyNumberFormat="1" applyFont="1" applyFill="1" applyBorder="1" applyAlignment="1" applyProtection="1">
      <alignment horizontal="center"/>
    </xf>
    <xf numFmtId="0" fontId="26" fillId="5" borderId="2" xfId="32" applyFont="1" applyFill="1" applyBorder="1" applyAlignment="1">
      <alignment horizontal="center" vertical="center" wrapText="1"/>
    </xf>
    <xf numFmtId="175" fontId="16" fillId="2" borderId="2" xfId="32" applyNumberFormat="1" applyFont="1" applyFill="1" applyBorder="1" applyAlignment="1">
      <alignment horizontal="center" vertical="center"/>
    </xf>
    <xf numFmtId="0" fontId="19" fillId="0" borderId="0" xfId="33" applyFont="1" applyAlignment="1" applyProtection="1">
      <alignment horizontal="left" wrapText="1"/>
      <protection locked="0"/>
    </xf>
    <xf numFmtId="4" fontId="16" fillId="2" borderId="11" xfId="33" applyNumberFormat="1" applyFont="1" applyFill="1" applyBorder="1"/>
    <xf numFmtId="0" fontId="17" fillId="2" borderId="11" xfId="33" applyFont="1" applyFill="1" applyBorder="1"/>
    <xf numFmtId="0" fontId="12" fillId="0" borderId="0" xfId="32" applyFont="1" applyAlignment="1" applyProtection="1">
      <alignment horizontal="left" vertical="center"/>
      <protection locked="0"/>
    </xf>
    <xf numFmtId="0" fontId="13" fillId="0" borderId="0" xfId="33" applyFont="1" applyAlignment="1" applyProtection="1">
      <alignment vertical="center"/>
      <protection locked="0"/>
    </xf>
    <xf numFmtId="3" fontId="14" fillId="0" borderId="0" xfId="32" applyNumberFormat="1" applyFont="1" applyAlignment="1" applyProtection="1">
      <alignment horizontal="left" vertical="center"/>
      <protection locked="0"/>
    </xf>
    <xf numFmtId="169" fontId="14" fillId="0" borderId="0" xfId="32" applyNumberFormat="1" applyFont="1" applyAlignment="1" applyProtection="1">
      <alignment horizontal="left" vertical="center"/>
      <protection locked="0"/>
    </xf>
    <xf numFmtId="0" fontId="6" fillId="0" borderId="0" xfId="33" applyFont="1" applyAlignment="1" applyProtection="1">
      <alignment vertical="center"/>
      <protection locked="0"/>
    </xf>
    <xf numFmtId="174" fontId="7" fillId="0" borderId="25" xfId="40" applyNumberFormat="1" applyFont="1" applyBorder="1" applyAlignment="1" applyProtection="1">
      <alignment horizontal="center" vertical="center"/>
      <protection locked="0"/>
    </xf>
    <xf numFmtId="14" fontId="0" fillId="0" borderId="0" xfId="0" applyNumberFormat="1"/>
    <xf numFmtId="9" fontId="29" fillId="0" borderId="0" xfId="36" applyFont="1"/>
    <xf numFmtId="0" fontId="2" fillId="0" borderId="0" xfId="0" applyFont="1"/>
    <xf numFmtId="0" fontId="2" fillId="0" borderId="2" xfId="0" applyFont="1" applyBorder="1"/>
    <xf numFmtId="168" fontId="6" fillId="2" borderId="14" xfId="1" applyFont="1" applyFill="1" applyBorder="1" applyAlignment="1" applyProtection="1">
      <alignment vertical="center"/>
      <protection locked="0"/>
    </xf>
    <xf numFmtId="0" fontId="16" fillId="2" borderId="0" xfId="32" applyFont="1" applyFill="1" applyAlignment="1">
      <alignment horizontal="center" vertical="center"/>
    </xf>
    <xf numFmtId="0" fontId="19" fillId="0" borderId="0" xfId="33" applyFont="1" applyAlignment="1" applyProtection="1">
      <alignment horizontal="left" wrapText="1"/>
      <protection locked="0"/>
    </xf>
    <xf numFmtId="166" fontId="25" fillId="6" borderId="2" xfId="35" applyFont="1" applyFill="1" applyBorder="1" applyAlignment="1" applyProtection="1">
      <alignment horizontal="center" vertical="center"/>
      <protection locked="0"/>
    </xf>
    <xf numFmtId="0" fontId="16" fillId="2" borderId="0" xfId="33" applyFont="1" applyFill="1" applyAlignment="1">
      <alignment horizontal="center" vertical="center"/>
    </xf>
    <xf numFmtId="17" fontId="9" fillId="3" borderId="29" xfId="33" applyNumberFormat="1" applyFont="1" applyFill="1" applyBorder="1" applyAlignment="1" applyProtection="1">
      <alignment horizontal="center" vertical="center"/>
      <protection locked="0"/>
    </xf>
    <xf numFmtId="17" fontId="9" fillId="3" borderId="23" xfId="33" applyNumberFormat="1" applyFont="1" applyFill="1" applyBorder="1" applyAlignment="1" applyProtection="1">
      <alignment horizontal="center" vertical="center"/>
      <protection locked="0"/>
    </xf>
    <xf numFmtId="174" fontId="7" fillId="0" borderId="24" xfId="40" applyNumberFormat="1" applyFont="1" applyBorder="1" applyAlignment="1" applyProtection="1">
      <alignment horizontal="center" vertical="center"/>
      <protection locked="0"/>
    </xf>
    <xf numFmtId="174" fontId="7" fillId="0" borderId="25" xfId="40" applyNumberFormat="1" applyFont="1" applyBorder="1" applyAlignment="1" applyProtection="1">
      <alignment horizontal="center" vertical="center"/>
      <protection locked="0"/>
    </xf>
    <xf numFmtId="174" fontId="7" fillId="0" borderId="26" xfId="40" applyNumberFormat="1" applyFont="1" applyBorder="1" applyAlignment="1" applyProtection="1">
      <alignment horizontal="center" vertical="center"/>
      <protection locked="0"/>
    </xf>
    <xf numFmtId="170" fontId="7" fillId="0" borderId="0" xfId="32" applyNumberFormat="1" applyFont="1" applyAlignment="1" applyProtection="1">
      <alignment horizontal="center" vertical="center"/>
      <protection locked="0"/>
    </xf>
    <xf numFmtId="0" fontId="12" fillId="0" borderId="0" xfId="33" applyFont="1" applyAlignment="1" applyProtection="1">
      <alignment horizontal="center" vertical="center"/>
      <protection locked="0"/>
    </xf>
    <xf numFmtId="0" fontId="0" fillId="0" borderId="27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43">
    <cellStyle name="Millares" xfId="1" builtinId="3"/>
    <cellStyle name="Millares [0] 2" xfId="2" xr:uid="{00000000-0005-0000-0000-000001000000}"/>
    <cellStyle name="Millares 10" xfId="3" xr:uid="{00000000-0005-0000-0000-000002000000}"/>
    <cellStyle name="Millares 11" xfId="4" xr:uid="{00000000-0005-0000-0000-000003000000}"/>
    <cellStyle name="Millares 12" xfId="5" xr:uid="{00000000-0005-0000-0000-000004000000}"/>
    <cellStyle name="Millares 2" xfId="6" xr:uid="{00000000-0005-0000-0000-000005000000}"/>
    <cellStyle name="Millares 2 2" xfId="40" xr:uid="{C4535CAD-B510-4F9C-BDB4-24FC3952C885}"/>
    <cellStyle name="Millares 3" xfId="7" xr:uid="{00000000-0005-0000-0000-000006000000}"/>
    <cellStyle name="Millares 4" xfId="8" xr:uid="{00000000-0005-0000-0000-000007000000}"/>
    <cellStyle name="Millares 4 2" xfId="9" xr:uid="{00000000-0005-0000-0000-000008000000}"/>
    <cellStyle name="Millares 5" xfId="10" xr:uid="{00000000-0005-0000-0000-000009000000}"/>
    <cellStyle name="Millares 6" xfId="11" xr:uid="{00000000-0005-0000-0000-00000A000000}"/>
    <cellStyle name="Millares 7" xfId="12" xr:uid="{00000000-0005-0000-0000-00000B000000}"/>
    <cellStyle name="Millares 8" xfId="13" xr:uid="{00000000-0005-0000-0000-00000C000000}"/>
    <cellStyle name="Millares 9" xfId="14" xr:uid="{00000000-0005-0000-0000-00000D000000}"/>
    <cellStyle name="Millares_DEMANDA COMERCIAL MR(2008-2009) 2 2" xfId="41" xr:uid="{84FEBE0B-726F-4E89-8C0C-1CCDAC1DEF4E}"/>
    <cellStyle name="Millares_PLIEGOS_GR-07-006" xfId="15" xr:uid="{00000000-0005-0000-0000-000010000000}"/>
    <cellStyle name="Moneda" xfId="35" builtinId="4"/>
    <cellStyle name="Moneda [0] 2" xfId="16" xr:uid="{00000000-0005-0000-0000-000011000000}"/>
    <cellStyle name="Moneda 2" xfId="17" xr:uid="{00000000-0005-0000-0000-000012000000}"/>
    <cellStyle name="Moneda 3" xfId="18" xr:uid="{00000000-0005-0000-0000-000013000000}"/>
    <cellStyle name="Moneda 4" xfId="19" xr:uid="{00000000-0005-0000-0000-000014000000}"/>
    <cellStyle name="Moneda 5" xfId="20" xr:uid="{00000000-0005-0000-0000-000015000000}"/>
    <cellStyle name="Moneda 6" xfId="21" xr:uid="{00000000-0005-0000-0000-000016000000}"/>
    <cellStyle name="Moneda 7" xfId="22" xr:uid="{00000000-0005-0000-0000-000017000000}"/>
    <cellStyle name="Moneda 8" xfId="23" xr:uid="{00000000-0005-0000-0000-000018000000}"/>
    <cellStyle name="Moneda 9" xfId="39" xr:uid="{AFB9D481-D75F-4DFA-A693-CA725493BB3F}"/>
    <cellStyle name="Normal" xfId="0" builtinId="0"/>
    <cellStyle name="Normal 2" xfId="24" xr:uid="{00000000-0005-0000-0000-00001A000000}"/>
    <cellStyle name="Normal 2 2 2" xfId="25" xr:uid="{00000000-0005-0000-0000-00001B000000}"/>
    <cellStyle name="Normal 2 2 2 2" xfId="26" xr:uid="{00000000-0005-0000-0000-00001C000000}"/>
    <cellStyle name="Normal 2 3 2" xfId="27" xr:uid="{00000000-0005-0000-0000-00001D000000}"/>
    <cellStyle name="Normal 3" xfId="28" xr:uid="{00000000-0005-0000-0000-00001E000000}"/>
    <cellStyle name="Normal 3 2" xfId="29" xr:uid="{00000000-0005-0000-0000-00001F000000}"/>
    <cellStyle name="Normal 4" xfId="30" xr:uid="{00000000-0005-0000-0000-000020000000}"/>
    <cellStyle name="Normal 5" xfId="31" xr:uid="{00000000-0005-0000-0000-000021000000}"/>
    <cellStyle name="Normal 6" xfId="37" xr:uid="{0B31D6B2-1DA3-4045-B6BF-0AF1E292263B}"/>
    <cellStyle name="Normal 7" xfId="42" xr:uid="{A61CEFDC-F97E-4F68-A712-7CAA996D650B}"/>
    <cellStyle name="Normal_ENE99" xfId="32" xr:uid="{00000000-0005-0000-0000-000022000000}"/>
    <cellStyle name="Normal_GC00-001" xfId="33" xr:uid="{00000000-0005-0000-0000-000023000000}"/>
    <cellStyle name="Opción" xfId="34" xr:uid="{00000000-0005-0000-0000-000024000000}"/>
    <cellStyle name="Porcentaje" xfId="36" builtinId="5"/>
    <cellStyle name="Porcentaje 2" xfId="38" xr:uid="{1D38ABE4-5A48-401C-9A62-33FE9D047EBB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32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s-CO"/>
              <a:t>Curva típica de referencia 2009  [p.u.]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'curvas típicas de referencia'!#REF!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val>
            <c:numRef>
              <c:f>'curvas típicas de referencia'!#REF!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'curvas típicas de referencia'!#REF!</c15:sqref>
                        </c15:formulaRef>
                      </c:ext>
                    </c:extLst>
                    <c:strCache>
                      <c:ptCount val="1"/>
                      <c:pt idx="0">
                        <c:v>#¡REF!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332F-4D05-B477-0D33C90AA502}"/>
            </c:ext>
          </c:extLst>
        </c:ser>
        <c:ser>
          <c:idx val="1"/>
          <c:order val="1"/>
          <c:tx>
            <c:v>'curvas típicas de referencia'!#REF!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val>
            <c:numRef>
              <c:f>'curvas típicas de referencia'!#REF!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'curvas típicas de referencia'!#REF!</c15:sqref>
                        </c15:formulaRef>
                      </c:ext>
                    </c:extLst>
                    <c:strCache>
                      <c:ptCount val="1"/>
                      <c:pt idx="0">
                        <c:v>#¡REF!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332F-4D05-B477-0D33C90AA502}"/>
            </c:ext>
          </c:extLst>
        </c:ser>
        <c:ser>
          <c:idx val="2"/>
          <c:order val="2"/>
          <c:tx>
            <c:v>'curvas típicas de referencia'!#REF!</c:v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val>
            <c:numRef>
              <c:f>'curvas típicas de referencia'!#REF!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'curvas típicas de referencia'!#REF!</c15:sqref>
                        </c15:formulaRef>
                      </c:ext>
                    </c:extLst>
                    <c:strCache>
                      <c:ptCount val="1"/>
                      <c:pt idx="0">
                        <c:v>#¡REF!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332F-4D05-B477-0D33C90AA5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19426896"/>
        <c:axId val="1"/>
      </c:lineChart>
      <c:catAx>
        <c:axId val="14194268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numFmt formatCode="#,##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141942689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1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2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" r="0.75" t="1" header="0" footer="0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32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s-CO"/>
              <a:t>Curva típica de referencia 2010  [p.u.]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'curvas típicas de referencia'!#REF!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val>
            <c:numRef>
              <c:f>'curvas típicas de referencia'!#REF!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'curvas típicas de referencia'!#REF!</c15:sqref>
                        </c15:formulaRef>
                      </c:ext>
                    </c:extLst>
                    <c:strCache>
                      <c:ptCount val="1"/>
                      <c:pt idx="0">
                        <c:v>#¡REF!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DCC0-452A-8A2D-29DC9241F481}"/>
            </c:ext>
          </c:extLst>
        </c:ser>
        <c:ser>
          <c:idx val="1"/>
          <c:order val="1"/>
          <c:tx>
            <c:v>'curvas típicas de referencia'!#REF!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val>
            <c:numRef>
              <c:f>'curvas típicas de referencia'!#REF!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'curvas típicas de referencia'!#REF!</c15:sqref>
                        </c15:formulaRef>
                      </c:ext>
                    </c:extLst>
                    <c:strCache>
                      <c:ptCount val="1"/>
                      <c:pt idx="0">
                        <c:v>#¡REF!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DCC0-452A-8A2D-29DC9241F481}"/>
            </c:ext>
          </c:extLst>
        </c:ser>
        <c:ser>
          <c:idx val="2"/>
          <c:order val="2"/>
          <c:tx>
            <c:v>'curvas típicas de referencia'!#REF!</c:v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val>
            <c:numRef>
              <c:f>'curvas típicas de referencia'!#REF!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'curvas típicas de referencia'!#REF!</c15:sqref>
                        </c15:formulaRef>
                      </c:ext>
                    </c:extLst>
                    <c:strCache>
                      <c:ptCount val="1"/>
                      <c:pt idx="0">
                        <c:v>#¡REF!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DCC0-452A-8A2D-29DC9241F4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19436096"/>
        <c:axId val="1"/>
      </c:lineChart>
      <c:catAx>
        <c:axId val="14194360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numFmt formatCode="#,##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141943609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1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2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" r="0.75" t="1" header="0" footer="0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8</xdr:col>
      <xdr:colOff>9525</xdr:colOff>
      <xdr:row>0</xdr:row>
      <xdr:rowOff>0</xdr:rowOff>
    </xdr:to>
    <xdr:graphicFrame macro="">
      <xdr:nvGraphicFramePr>
        <xdr:cNvPr id="11879" name="Chart 1">
          <a:extLst>
            <a:ext uri="{FF2B5EF4-FFF2-40B4-BE49-F238E27FC236}">
              <a16:creationId xmlns:a16="http://schemas.microsoft.com/office/drawing/2014/main" id="{D59D3E89-6814-4CA2-8941-287393E1B9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9525</xdr:colOff>
      <xdr:row>0</xdr:row>
      <xdr:rowOff>0</xdr:rowOff>
    </xdr:from>
    <xdr:to>
      <xdr:col>16</xdr:col>
      <xdr:colOff>733425</xdr:colOff>
      <xdr:row>0</xdr:row>
      <xdr:rowOff>0</xdr:rowOff>
    </xdr:to>
    <xdr:graphicFrame macro="">
      <xdr:nvGraphicFramePr>
        <xdr:cNvPr id="11880" name="Chart 2">
          <a:extLst>
            <a:ext uri="{FF2B5EF4-FFF2-40B4-BE49-F238E27FC236}">
              <a16:creationId xmlns:a16="http://schemas.microsoft.com/office/drawing/2014/main" id="{14A02008-8B25-44AA-B7DB-8593368B83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2E760-D73B-4716-9F49-2D2C0876A43B}">
  <sheetPr>
    <pageSetUpPr fitToPage="1"/>
  </sheetPr>
  <dimension ref="A1:IU57"/>
  <sheetViews>
    <sheetView showGridLines="0" tabSelected="1" view="pageBreakPreview" topLeftCell="A8" zoomScaleNormal="85" zoomScaleSheetLayoutView="100" workbookViewId="0">
      <selection activeCell="D21" sqref="D21:D32"/>
    </sheetView>
  </sheetViews>
  <sheetFormatPr baseColWidth="10" defaultColWidth="0" defaultRowHeight="0" customHeight="1" zeroHeight="1"/>
  <cols>
    <col min="1" max="1" width="5.453125" style="18" customWidth="1"/>
    <col min="2" max="2" width="1" style="18" customWidth="1"/>
    <col min="3" max="3" width="19" style="18" customWidth="1"/>
    <col min="4" max="4" width="23.54296875" style="18" customWidth="1"/>
    <col min="5" max="5" width="19.54296875" style="18" customWidth="1"/>
    <col min="6" max="6" width="22.54296875" style="18" bestFit="1" customWidth="1"/>
    <col min="7" max="7" width="16.54296875" style="18" customWidth="1"/>
    <col min="8" max="8" width="1.453125" style="18" customWidth="1"/>
    <col min="9" max="9" width="8.453125" style="18" customWidth="1"/>
    <col min="10" max="10" width="1.54296875" style="18" hidden="1" customWidth="1"/>
    <col min="11" max="255" width="3.453125" style="18" hidden="1" customWidth="1"/>
    <col min="256" max="16384" width="5.54296875" style="18" hidden="1"/>
  </cols>
  <sheetData>
    <row r="1" spans="1:12" s="17" customFormat="1" ht="26.25" customHeight="1">
      <c r="A1" s="15"/>
      <c r="B1" s="15"/>
      <c r="C1" s="70" t="s">
        <v>64</v>
      </c>
      <c r="D1" s="70"/>
      <c r="E1" s="70"/>
      <c r="F1" s="70"/>
      <c r="G1" s="70"/>
      <c r="H1" s="16"/>
      <c r="I1" s="16"/>
    </row>
    <row r="2" spans="1:12" ht="34.5" customHeight="1">
      <c r="C2" s="70" t="s">
        <v>62</v>
      </c>
      <c r="D2" s="70"/>
      <c r="E2" s="70"/>
      <c r="F2" s="70"/>
      <c r="G2" s="70"/>
      <c r="H2" s="16"/>
      <c r="I2" s="16"/>
    </row>
    <row r="3" spans="1:12" ht="16.5">
      <c r="C3" s="19" t="s">
        <v>0</v>
      </c>
      <c r="D3" s="20" t="s">
        <v>1</v>
      </c>
    </row>
    <row r="4" spans="1:12" ht="16.5">
      <c r="C4" s="21" t="s">
        <v>2</v>
      </c>
      <c r="D4" s="22" t="s">
        <v>3</v>
      </c>
    </row>
    <row r="5" spans="1:12" ht="16.5">
      <c r="C5" s="21" t="s">
        <v>4</v>
      </c>
      <c r="D5" s="36"/>
      <c r="E5" s="35"/>
      <c r="F5" s="35"/>
      <c r="G5" s="35"/>
    </row>
    <row r="6" spans="1:12" ht="16.5">
      <c r="C6" s="21"/>
      <c r="D6" s="36"/>
      <c r="E6" s="35"/>
      <c r="F6" s="35"/>
      <c r="G6" s="35"/>
    </row>
    <row r="7" spans="1:12" ht="16.5">
      <c r="B7" s="23"/>
      <c r="C7" s="19"/>
      <c r="D7" s="20"/>
      <c r="E7" s="20"/>
    </row>
    <row r="8" spans="1:12" ht="19.5" customHeight="1">
      <c r="C8"/>
      <c r="D8"/>
      <c r="E8"/>
      <c r="F8"/>
      <c r="G8"/>
      <c r="H8" s="64"/>
      <c r="I8" s="64"/>
      <c r="J8" s="64"/>
      <c r="K8" s="24"/>
      <c r="L8" s="24"/>
    </row>
    <row r="9" spans="1:12" ht="49.5" customHeight="1">
      <c r="C9" s="51" t="s">
        <v>5</v>
      </c>
      <c r="D9" s="30" t="s">
        <v>6</v>
      </c>
      <c r="E9" s="51" t="s">
        <v>7</v>
      </c>
      <c r="F9" s="51" t="s">
        <v>8</v>
      </c>
      <c r="G9" s="51" t="s">
        <v>9</v>
      </c>
      <c r="H9" s="64"/>
      <c r="I9" s="64"/>
      <c r="J9" s="64"/>
      <c r="K9" s="24"/>
      <c r="L9" s="24"/>
    </row>
    <row r="10" spans="1:12" ht="16.5">
      <c r="C10" s="52">
        <v>46054</v>
      </c>
      <c r="D10" s="32">
        <f>+_xlfn.XLOOKUP(_xlfn.CONCAT(C10,"TOTAL"),'Cantidades horarias PROD 01'!D:D,'Cantidades horarias PROD 01'!AG:AG)</f>
        <v>4396573.1789270183</v>
      </c>
      <c r="E10" s="29">
        <v>1</v>
      </c>
      <c r="F10" s="32">
        <f t="shared" ref="F10:F32" si="0">ROUND(D10*$E10,2)</f>
        <v>4396573.18</v>
      </c>
      <c r="G10" s="69"/>
      <c r="H10" s="64"/>
      <c r="I10" s="64"/>
      <c r="J10" s="64"/>
      <c r="K10" s="24"/>
      <c r="L10" s="24"/>
    </row>
    <row r="11" spans="1:12" ht="16.5">
      <c r="C11" s="52">
        <v>46082</v>
      </c>
      <c r="D11" s="32">
        <f>+_xlfn.XLOOKUP(_xlfn.CONCAT(C11,"TOTAL"),'Cantidades horarias PROD 01'!D:D,'Cantidades horarias PROD 01'!AG:AG)</f>
        <v>9669031.7410849407</v>
      </c>
      <c r="E11" s="29">
        <v>1</v>
      </c>
      <c r="F11" s="32">
        <f t="shared" si="0"/>
        <v>9669031.7400000002</v>
      </c>
      <c r="G11" s="69"/>
      <c r="H11" s="64"/>
      <c r="I11" s="64"/>
      <c r="J11" s="64"/>
      <c r="K11" s="24"/>
      <c r="L11" s="24"/>
    </row>
    <row r="12" spans="1:12" ht="16.5">
      <c r="C12" s="52">
        <v>46113</v>
      </c>
      <c r="D12" s="32">
        <f>+_xlfn.XLOOKUP(_xlfn.CONCAT(C12,"TOTAL"),'Cantidades horarias PROD 01'!D:D,'Cantidades horarias PROD 01'!AG:AG)</f>
        <v>10071257.22191702</v>
      </c>
      <c r="E12" s="29">
        <v>1</v>
      </c>
      <c r="F12" s="32">
        <f t="shared" si="0"/>
        <v>10071257.220000001</v>
      </c>
      <c r="G12" s="69"/>
      <c r="H12" s="64"/>
      <c r="I12" s="64"/>
      <c r="J12" s="64"/>
      <c r="K12" s="24"/>
      <c r="L12" s="24"/>
    </row>
    <row r="13" spans="1:12" ht="16.5">
      <c r="C13" s="52">
        <v>46143</v>
      </c>
      <c r="D13" s="32">
        <f>+_xlfn.XLOOKUP(_xlfn.CONCAT(C13,"TOTAL"),'Cantidades horarias PROD 01'!D:D,'Cantidades horarias PROD 01'!AG:AG)</f>
        <v>9866307.0719546229</v>
      </c>
      <c r="E13" s="29">
        <v>1</v>
      </c>
      <c r="F13" s="32">
        <f t="shared" si="0"/>
        <v>9866307.0700000003</v>
      </c>
      <c r="G13" s="69"/>
      <c r="H13" s="64"/>
      <c r="I13" s="64"/>
      <c r="J13" s="64"/>
      <c r="K13" s="24"/>
      <c r="L13" s="24"/>
    </row>
    <row r="14" spans="1:12" ht="16.5">
      <c r="C14" s="52">
        <v>46174</v>
      </c>
      <c r="D14" s="32">
        <f>+_xlfn.XLOOKUP(_xlfn.CONCAT(C14,"TOTAL"),'Cantidades horarias PROD 01'!D:D,'Cantidades horarias PROD 01'!AG:AG)</f>
        <v>12364563.93917994</v>
      </c>
      <c r="E14" s="29">
        <v>1</v>
      </c>
      <c r="F14" s="32">
        <f t="shared" si="0"/>
        <v>12364563.939999999</v>
      </c>
      <c r="G14" s="69"/>
      <c r="H14" s="64"/>
      <c r="I14" s="64"/>
      <c r="J14" s="64"/>
      <c r="K14" s="24"/>
      <c r="L14" s="24"/>
    </row>
    <row r="15" spans="1:12" ht="16.5">
      <c r="C15" s="52">
        <v>46204</v>
      </c>
      <c r="D15" s="32">
        <f>+_xlfn.XLOOKUP(_xlfn.CONCAT(C15,"TOTAL"),'Cantidades horarias PROD 01'!D:D,'Cantidades horarias PROD 01'!AG:AG)</f>
        <v>12776719.279978186</v>
      </c>
      <c r="E15" s="29">
        <v>1</v>
      </c>
      <c r="F15" s="32">
        <f t="shared" si="0"/>
        <v>12776719.279999999</v>
      </c>
      <c r="G15" s="69"/>
      <c r="H15" s="64"/>
      <c r="I15" s="64"/>
      <c r="J15" s="64"/>
      <c r="K15" s="24"/>
      <c r="L15" s="24"/>
    </row>
    <row r="16" spans="1:12" ht="16.5">
      <c r="C16" s="52">
        <v>46235</v>
      </c>
      <c r="D16" s="32">
        <f>+_xlfn.XLOOKUP(_xlfn.CONCAT(C16,"TOTAL"),'Cantidades horarias PROD 01'!D:D,'Cantidades horarias PROD 01'!AG:AG)</f>
        <v>12207908.989486102</v>
      </c>
      <c r="E16" s="29">
        <v>1</v>
      </c>
      <c r="F16" s="32">
        <f t="shared" si="0"/>
        <v>12207908.99</v>
      </c>
      <c r="G16" s="69"/>
      <c r="H16" s="64"/>
      <c r="I16" s="64"/>
      <c r="J16" s="64"/>
      <c r="K16" s="24"/>
      <c r="L16" s="24"/>
    </row>
    <row r="17" spans="3:12" ht="16.5">
      <c r="C17" s="52">
        <v>46266</v>
      </c>
      <c r="D17" s="32">
        <f>+_xlfn.XLOOKUP(_xlfn.CONCAT(C17,"TOTAL"),'Cantidades horarias PROD 01'!D:D,'Cantidades horarias PROD 01'!AG:AG)</f>
        <v>11954828.507184209</v>
      </c>
      <c r="E17" s="29">
        <v>1</v>
      </c>
      <c r="F17" s="32">
        <f t="shared" si="0"/>
        <v>11954828.51</v>
      </c>
      <c r="G17" s="69"/>
      <c r="H17" s="64"/>
      <c r="I17" s="64"/>
      <c r="J17" s="64"/>
      <c r="K17" s="24"/>
      <c r="L17" s="24"/>
    </row>
    <row r="18" spans="3:12" ht="16.5">
      <c r="C18" s="52">
        <v>46296</v>
      </c>
      <c r="D18" s="32">
        <f>+_xlfn.XLOOKUP(_xlfn.CONCAT(C18,"TOTAL"),'Cantidades horarias PROD 01'!D:D,'Cantidades horarias PROD 01'!AG:AG)</f>
        <v>13185122.417152233</v>
      </c>
      <c r="E18" s="29">
        <v>1</v>
      </c>
      <c r="F18" s="32">
        <f t="shared" si="0"/>
        <v>13185122.42</v>
      </c>
      <c r="G18" s="69"/>
      <c r="H18" s="64"/>
      <c r="I18" s="64"/>
      <c r="J18" s="64"/>
      <c r="K18" s="24"/>
      <c r="L18" s="24"/>
    </row>
    <row r="19" spans="3:12" ht="16.5">
      <c r="C19" s="52">
        <v>46327</v>
      </c>
      <c r="D19" s="32">
        <f>+_xlfn.XLOOKUP(_xlfn.CONCAT(C19,"TOTAL"),'Cantidades horarias PROD 01'!D:D,'Cantidades horarias PROD 01'!AG:AG)</f>
        <v>11780438.897407383</v>
      </c>
      <c r="E19" s="29">
        <v>1</v>
      </c>
      <c r="F19" s="32">
        <f t="shared" si="0"/>
        <v>11780438.9</v>
      </c>
      <c r="G19" s="69"/>
      <c r="H19" s="64"/>
      <c r="I19" s="64"/>
      <c r="J19" s="64"/>
      <c r="K19" s="24"/>
      <c r="L19" s="24"/>
    </row>
    <row r="20" spans="3:12" ht="16.5">
      <c r="C20" s="52">
        <v>46357</v>
      </c>
      <c r="D20" s="32">
        <f>+_xlfn.XLOOKUP(_xlfn.CONCAT(C20,"TOTAL"),'Cantidades horarias PROD 01'!D:D,'Cantidades horarias PROD 01'!AG:AG)</f>
        <v>13169893.566318398</v>
      </c>
      <c r="E20" s="29">
        <v>1</v>
      </c>
      <c r="F20" s="32">
        <f t="shared" si="0"/>
        <v>13169893.57</v>
      </c>
      <c r="G20" s="69"/>
      <c r="H20" s="64"/>
      <c r="I20" s="64"/>
      <c r="J20" s="64"/>
      <c r="K20" s="24"/>
      <c r="L20" s="24"/>
    </row>
    <row r="21" spans="3:12" ht="16.5">
      <c r="C21" s="52">
        <v>46388</v>
      </c>
      <c r="D21" s="32">
        <f>+_xlfn.XLOOKUP(_xlfn.CONCAT(C21,"TOTAL"),'Cantidades horarias PROD 01'!D:D,'Cantidades horarias PROD 01'!AG:AG)</f>
        <v>14876875.221809534</v>
      </c>
      <c r="E21" s="29">
        <v>1</v>
      </c>
      <c r="F21" s="32">
        <f t="shared" si="0"/>
        <v>14876875.220000001</v>
      </c>
      <c r="G21" s="69"/>
      <c r="H21" s="64"/>
      <c r="I21" s="64"/>
      <c r="J21" s="64"/>
      <c r="K21" s="24"/>
      <c r="L21" s="24"/>
    </row>
    <row r="22" spans="3:12" ht="16.5">
      <c r="C22" s="52">
        <v>46419</v>
      </c>
      <c r="D22" s="32">
        <f>+_xlfn.XLOOKUP(_xlfn.CONCAT(C22,"TOTAL"),'Cantidades horarias PROD 01'!D:D,'Cantidades horarias PROD 01'!AG:AG)</f>
        <v>13124749.149292586</v>
      </c>
      <c r="E22" s="29">
        <v>1</v>
      </c>
      <c r="F22" s="32">
        <f t="shared" si="0"/>
        <v>13124749.15</v>
      </c>
      <c r="G22" s="69"/>
      <c r="H22" s="64"/>
      <c r="I22" s="64"/>
      <c r="J22" s="64"/>
      <c r="K22" s="24"/>
      <c r="L22" s="24"/>
    </row>
    <row r="23" spans="3:12" ht="19.5" customHeight="1">
      <c r="C23" s="52">
        <v>46447</v>
      </c>
      <c r="D23" s="32">
        <f>+_xlfn.XLOOKUP(_xlfn.CONCAT(C23,"TOTAL"),'Cantidades horarias PROD 01'!D:D,'Cantidades horarias PROD 01'!AG:AG)</f>
        <v>14570746.370078476</v>
      </c>
      <c r="E23" s="29">
        <v>1</v>
      </c>
      <c r="F23" s="32">
        <f t="shared" si="0"/>
        <v>14570746.369999999</v>
      </c>
      <c r="G23" s="69"/>
      <c r="H23" s="64"/>
      <c r="I23" s="64"/>
      <c r="J23" s="64"/>
      <c r="K23" s="24"/>
      <c r="L23" s="24"/>
    </row>
    <row r="24" spans="3:12" ht="16.5" customHeight="1">
      <c r="C24" s="52">
        <v>46478</v>
      </c>
      <c r="D24" s="32">
        <f>+_xlfn.XLOOKUP(_xlfn.CONCAT(C24,"TOTAL"),'Cantidades horarias PROD 01'!D:D,'Cantidades horarias PROD 01'!AG:AG)</f>
        <v>14169969.745224277</v>
      </c>
      <c r="E24" s="29">
        <v>1</v>
      </c>
      <c r="F24" s="32">
        <f t="shared" si="0"/>
        <v>14169969.75</v>
      </c>
      <c r="G24" s="69"/>
      <c r="H24" s="26"/>
      <c r="I24" s="25"/>
      <c r="J24" s="25"/>
    </row>
    <row r="25" spans="3:12" ht="16.5">
      <c r="C25" s="52">
        <v>46508</v>
      </c>
      <c r="D25" s="32">
        <f>+_xlfn.XLOOKUP(_xlfn.CONCAT(C25,"TOTAL"),'Cantidades horarias PROD 01'!D:D,'Cantidades horarias PROD 01'!AG:AG)</f>
        <v>16057148.726751532</v>
      </c>
      <c r="E25" s="29">
        <v>1</v>
      </c>
      <c r="F25" s="32">
        <f t="shared" si="0"/>
        <v>16057148.73</v>
      </c>
      <c r="G25" s="69"/>
      <c r="H25" s="26"/>
      <c r="I25" s="25"/>
      <c r="J25" s="25"/>
    </row>
    <row r="26" spans="3:12" ht="16.5">
      <c r="C26" s="52">
        <v>46539</v>
      </c>
      <c r="D26" s="32">
        <f>+_xlfn.XLOOKUP(_xlfn.CONCAT(C26,"TOTAL"),'Cantidades horarias PROD 01'!D:D,'Cantidades horarias PROD 01'!AG:AG)</f>
        <v>13725395.631057851</v>
      </c>
      <c r="E26" s="29">
        <v>1</v>
      </c>
      <c r="F26" s="32">
        <f t="shared" si="0"/>
        <v>13725395.630000001</v>
      </c>
      <c r="G26" s="69"/>
      <c r="H26" s="26"/>
      <c r="I26" s="25"/>
      <c r="J26" s="25"/>
    </row>
    <row r="27" spans="3:12" ht="16.5">
      <c r="C27" s="52">
        <v>46569</v>
      </c>
      <c r="D27" s="32">
        <f>+_xlfn.XLOOKUP(_xlfn.CONCAT(C27,"TOTAL"),'Cantidades horarias PROD 01'!D:D,'Cantidades horarias PROD 01'!AG:AG)</f>
        <v>14099291.290886724</v>
      </c>
      <c r="E27" s="29">
        <v>1</v>
      </c>
      <c r="F27" s="32">
        <f t="shared" si="0"/>
        <v>14099291.289999999</v>
      </c>
      <c r="G27" s="69"/>
      <c r="I27" s="25"/>
      <c r="J27" s="25"/>
    </row>
    <row r="28" spans="3:12" ht="16.5">
      <c r="C28" s="52">
        <v>46600</v>
      </c>
      <c r="D28" s="32">
        <f>+_xlfn.XLOOKUP(_xlfn.CONCAT(C28,"TOTAL"),'Cantidades horarias PROD 01'!D:D,'Cantidades horarias PROD 01'!AG:AG)</f>
        <v>13990119.680333864</v>
      </c>
      <c r="E28" s="29">
        <v>1</v>
      </c>
      <c r="F28" s="32">
        <f t="shared" si="0"/>
        <v>13990119.68</v>
      </c>
      <c r="G28" s="69"/>
      <c r="H28" s="25"/>
      <c r="I28" s="25"/>
      <c r="J28" s="25"/>
    </row>
    <row r="29" spans="3:12" ht="16.5">
      <c r="C29" s="52">
        <v>46631</v>
      </c>
      <c r="D29" s="32">
        <f>+_xlfn.XLOOKUP(_xlfn.CONCAT(C29,"TOTAL"),'Cantidades horarias PROD 01'!D:D,'Cantidades horarias PROD 01'!AG:AG)</f>
        <v>13864286.474981906</v>
      </c>
      <c r="E29" s="29">
        <v>1</v>
      </c>
      <c r="F29" s="32">
        <f t="shared" si="0"/>
        <v>13864286.470000001</v>
      </c>
      <c r="G29" s="69"/>
    </row>
    <row r="30" spans="3:12" ht="16.5">
      <c r="C30" s="52">
        <v>46661</v>
      </c>
      <c r="D30" s="32">
        <f>+_xlfn.XLOOKUP(_xlfn.CONCAT(C30,"TOTAL"),'Cantidades horarias PROD 01'!D:D,'Cantidades horarias PROD 01'!AG:AG)</f>
        <v>14181969.941638771</v>
      </c>
      <c r="E30" s="29">
        <v>1</v>
      </c>
      <c r="F30" s="32">
        <f t="shared" si="0"/>
        <v>14181969.939999999</v>
      </c>
      <c r="G30" s="69"/>
    </row>
    <row r="31" spans="3:12" ht="15" customHeight="1">
      <c r="C31" s="52">
        <v>46692</v>
      </c>
      <c r="D31" s="32">
        <f>+_xlfn.XLOOKUP(_xlfn.CONCAT(C31,"TOTAL"),'Cantidades horarias PROD 01'!D:D,'Cantidades horarias PROD 01'!AG:AG)</f>
        <v>13731318.892959878</v>
      </c>
      <c r="E31" s="29">
        <v>1</v>
      </c>
      <c r="F31" s="32">
        <f t="shared" si="0"/>
        <v>13731318.890000001</v>
      </c>
      <c r="G31" s="69"/>
    </row>
    <row r="32" spans="3:12" ht="15" customHeight="1">
      <c r="C32" s="52">
        <v>46722</v>
      </c>
      <c r="D32" s="32">
        <f>+_xlfn.XLOOKUP(_xlfn.CONCAT(C32,"TOTAL"),'Cantidades horarias PROD 01'!D:D,'Cantidades horarias PROD 01'!AG:AG)</f>
        <v>14420455.051203875</v>
      </c>
      <c r="E32" s="29">
        <v>1</v>
      </c>
      <c r="F32" s="32">
        <f t="shared" si="0"/>
        <v>14420455.050000001</v>
      </c>
      <c r="G32" s="69"/>
    </row>
    <row r="33" spans="3:8" ht="16.5">
      <c r="C33" s="47" t="s">
        <v>10</v>
      </c>
      <c r="D33" s="48">
        <f>SUM(D10:D32)</f>
        <v>292254970.98680931</v>
      </c>
      <c r="E33" s="50">
        <f>IFERROR(F33/D33,0)</f>
        <v>1.0000000000109175</v>
      </c>
      <c r="F33" s="48">
        <f>SUM(F10:F32)</f>
        <v>292254970.99000001</v>
      </c>
      <c r="G33" s="49">
        <f>+(SUM(F10:F20)*G10+SUM(F21:F32)*G21)/F33</f>
        <v>0</v>
      </c>
    </row>
    <row r="34" spans="3:8" ht="16.5">
      <c r="C34" s="67"/>
      <c r="D34" s="31"/>
      <c r="E34" s="34"/>
      <c r="F34" s="31"/>
      <c r="G34" s="33"/>
    </row>
    <row r="35" spans="3:8" ht="16.5">
      <c r="C35" s="27" t="s">
        <v>11</v>
      </c>
      <c r="D35" s="31"/>
      <c r="E35" s="34"/>
      <c r="F35" s="31"/>
      <c r="G35" s="33"/>
    </row>
    <row r="36" spans="3:8" ht="16.5">
      <c r="C36" s="28" t="s">
        <v>65</v>
      </c>
      <c r="D36" s="31"/>
      <c r="E36" s="34"/>
      <c r="F36" s="31"/>
      <c r="G36" s="33"/>
    </row>
    <row r="37" spans="3:8" ht="17" customHeight="1">
      <c r="C37" s="28" t="s">
        <v>12</v>
      </c>
      <c r="D37" s="31"/>
      <c r="E37" s="34"/>
      <c r="F37" s="31"/>
      <c r="G37" s="33"/>
    </row>
    <row r="38" spans="3:8" ht="16.5">
      <c r="C38" s="54" t="s">
        <v>13</v>
      </c>
      <c r="D38" s="26"/>
      <c r="E38" s="26"/>
      <c r="F38" s="26"/>
      <c r="G38" s="26"/>
    </row>
    <row r="39" spans="3:8" ht="16.5">
      <c r="C39" s="22" t="s">
        <v>14</v>
      </c>
      <c r="D39" s="26"/>
      <c r="E39" s="26"/>
      <c r="F39" s="26"/>
      <c r="G39" s="26"/>
    </row>
    <row r="40" spans="3:8" ht="16.5">
      <c r="C40" s="21" t="s">
        <v>66</v>
      </c>
    </row>
    <row r="41" spans="3:8" ht="16.5" hidden="1">
      <c r="C41" s="68"/>
      <c r="D41" s="68"/>
      <c r="E41" s="68"/>
      <c r="F41" s="68"/>
      <c r="G41" s="68"/>
    </row>
    <row r="42" spans="3:8" ht="16.5" hidden="1">
      <c r="C42" s="68"/>
      <c r="D42" s="68"/>
      <c r="E42" s="68"/>
      <c r="F42" s="68"/>
      <c r="G42" s="68"/>
    </row>
    <row r="43" spans="3:8" ht="16.5">
      <c r="E43" s="35"/>
      <c r="F43" s="53"/>
      <c r="G43" s="53"/>
    </row>
    <row r="44" spans="3:8" ht="16.5">
      <c r="D44" s="55"/>
      <c r="E44" s="35"/>
      <c r="F44" s="35"/>
      <c r="G44" s="35"/>
    </row>
    <row r="45" spans="3:8" ht="17" customHeight="1">
      <c r="F45" s="35"/>
      <c r="G45" s="35"/>
      <c r="H45" s="22"/>
    </row>
    <row r="46" spans="3:8" ht="0" hidden="1" customHeight="1">
      <c r="C46" s="22" t="s">
        <v>15</v>
      </c>
    </row>
    <row r="47" spans="3:8" ht="0" hidden="1" customHeight="1">
      <c r="G47" s="22"/>
    </row>
    <row r="48" spans="3:8" ht="0" hidden="1" customHeight="1">
      <c r="C48" s="27" t="s">
        <v>11</v>
      </c>
      <c r="D48" s="26"/>
      <c r="E48" s="26"/>
      <c r="F48" s="26"/>
      <c r="G48" s="26"/>
    </row>
    <row r="49" spans="3:7" ht="0" hidden="1" customHeight="1">
      <c r="C49" s="28" t="s">
        <v>63</v>
      </c>
      <c r="D49" s="26"/>
      <c r="E49" s="26"/>
      <c r="F49" s="26"/>
      <c r="G49" s="26"/>
    </row>
    <row r="50" spans="3:7" ht="0" hidden="1" customHeight="1">
      <c r="C50" s="28" t="s">
        <v>12</v>
      </c>
    </row>
    <row r="51" spans="3:7" ht="0" hidden="1" customHeight="1">
      <c r="C51" s="68"/>
      <c r="D51" s="68"/>
      <c r="E51" s="68"/>
      <c r="F51" s="68"/>
      <c r="G51" s="68"/>
    </row>
    <row r="52" spans="3:7" ht="0" hidden="1" customHeight="1">
      <c r="C52" s="68"/>
      <c r="D52" s="68"/>
      <c r="E52" s="68"/>
      <c r="F52" s="68"/>
      <c r="G52" s="68"/>
    </row>
    <row r="53" spans="3:7" ht="0" hidden="1" customHeight="1">
      <c r="E53" s="35"/>
      <c r="F53" s="53"/>
      <c r="G53" s="53"/>
    </row>
    <row r="54" spans="3:7" ht="0" hidden="1" customHeight="1">
      <c r="C54" s="54" t="s">
        <v>13</v>
      </c>
      <c r="D54" s="55"/>
      <c r="E54" s="35"/>
      <c r="F54" s="35"/>
      <c r="G54" s="35"/>
    </row>
    <row r="55" spans="3:7" ht="0" hidden="1" customHeight="1">
      <c r="C55" s="22" t="s">
        <v>14</v>
      </c>
      <c r="F55" s="35"/>
      <c r="G55" s="35"/>
    </row>
    <row r="56" spans="3:7" ht="0" hidden="1" customHeight="1">
      <c r="C56" s="22" t="s">
        <v>15</v>
      </c>
    </row>
    <row r="57" spans="3:7" ht="0" hidden="1" customHeight="1">
      <c r="G57" s="22"/>
    </row>
  </sheetData>
  <sheetProtection selectLockedCells="1"/>
  <protectedRanges>
    <protectedRange algorithmName="SHA-512" hashValue="ae/Js8yeMw6wHjGREqu83BjAYnjwv1NHxpvnTe57rDwDMNDPGlnZwgp89HjM7G0cg/2ItV/6+CjQlsfmX7La6g==" saltValue="fv5wd7mgDmwpGOJN+Z7vlA==" spinCount="100000" sqref="C9:G9 C10:E16 C17:C20 E17:E20 D17:D32" name="Rango1"/>
    <protectedRange algorithmName="SHA-512" hashValue="ae/Js8yeMw6wHjGREqu83BjAYnjwv1NHxpvnTe57rDwDMNDPGlnZwgp89HjM7G0cg/2ItV/6+CjQlsfmX7La6g==" saltValue="fv5wd7mgDmwpGOJN+Z7vlA==" spinCount="100000" sqref="G10:G20" name="Rango1_1_1"/>
    <protectedRange algorithmName="SHA-512" hashValue="ae/Js8yeMw6wHjGREqu83BjAYnjwv1NHxpvnTe57rDwDMNDPGlnZwgp89HjM7G0cg/2ItV/6+CjQlsfmX7La6g==" saltValue="fv5wd7mgDmwpGOJN+Z7vlA==" spinCount="100000" sqref="C21:C32 E21:E32" name="Rango1_2"/>
    <protectedRange algorithmName="SHA-512" hashValue="ae/Js8yeMw6wHjGREqu83BjAYnjwv1NHxpvnTe57rDwDMNDPGlnZwgp89HjM7G0cg/2ItV/6+CjQlsfmX7La6g==" saltValue="fv5wd7mgDmwpGOJN+Z7vlA==" spinCount="100000" sqref="G21:G32" name="Rango1_1_1_2"/>
  </protectedRanges>
  <mergeCells count="6">
    <mergeCell ref="C51:G52"/>
    <mergeCell ref="G21:G32"/>
    <mergeCell ref="C1:G1"/>
    <mergeCell ref="C2:G2"/>
    <mergeCell ref="G10:G20"/>
    <mergeCell ref="C41:G42"/>
  </mergeCells>
  <dataValidations count="1">
    <dataValidation type="textLength" allowBlank="1" showInputMessage="1" showErrorMessage="1" errorTitle="SOLO 2 DECIMALES" error="Por favor introduzca un valor con maximo 2 decimales" sqref="E10:E32" xr:uid="{5C824E16-90A8-497E-AB20-B249C6E8C909}">
      <formula1>1</formula1>
      <formula2>6</formula2>
    </dataValidation>
  </dataValidations>
  <printOptions horizontalCentered="1" verticalCentered="1"/>
  <pageMargins left="0.74803149606299213" right="0.27559055118110237" top="1.5748031496062993" bottom="1.3779527559055118" header="0" footer="0"/>
  <pageSetup scale="82" fitToHeight="0" orientation="portrait" cellComments="asDisplayed" r:id="rId1"/>
  <headerFooter alignWithMargins="0">
    <oddHeader>&amp;R&amp;11 1 de 1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17EE0-3581-4D15-BFC8-A3F213F19E9D}">
  <dimension ref="A1:AG123"/>
  <sheetViews>
    <sheetView showGridLines="0" topLeftCell="E1" zoomScaleNormal="100" workbookViewId="0">
      <selection activeCell="F9" sqref="F9:F12"/>
    </sheetView>
  </sheetViews>
  <sheetFormatPr baseColWidth="10" defaultColWidth="11.453125" defaultRowHeight="12.5"/>
  <cols>
    <col min="1" max="3" width="11.453125" hidden="1" customWidth="1"/>
    <col min="4" max="4" width="10.36328125" hidden="1" customWidth="1"/>
    <col min="6" max="6" width="13.6328125" bestFit="1" customWidth="1"/>
    <col min="9" max="9" width="14.453125" bestFit="1" customWidth="1"/>
    <col min="10" max="32" width="11.81640625" bestFit="1" customWidth="1"/>
    <col min="33" max="33" width="14.453125" bestFit="1" customWidth="1"/>
    <col min="34" max="34" width="2.453125" customWidth="1"/>
  </cols>
  <sheetData>
    <row r="1" spans="1:33" ht="23">
      <c r="E1" s="77" t="s">
        <v>16</v>
      </c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  <c r="AA1" s="77"/>
      <c r="AB1" s="77"/>
      <c r="AC1" s="77"/>
      <c r="AD1" s="77"/>
      <c r="AE1" s="77"/>
      <c r="AF1" s="77"/>
      <c r="AG1" s="77"/>
    </row>
    <row r="2" spans="1:33" ht="23">
      <c r="E2" s="77" t="s">
        <v>61</v>
      </c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7"/>
      <c r="R2" s="77"/>
      <c r="S2" s="77"/>
      <c r="T2" s="77"/>
      <c r="U2" s="77"/>
      <c r="V2" s="77"/>
      <c r="W2" s="77"/>
      <c r="X2" s="77"/>
      <c r="Y2" s="77"/>
      <c r="Z2" s="77"/>
      <c r="AA2" s="77"/>
      <c r="AB2" s="77"/>
      <c r="AC2" s="77"/>
      <c r="AD2" s="77"/>
      <c r="AE2" s="77"/>
      <c r="AF2" s="77"/>
      <c r="AG2" s="77"/>
    </row>
    <row r="3" spans="1:33" ht="23">
      <c r="E3" s="77" t="s">
        <v>3</v>
      </c>
      <c r="F3" s="77"/>
      <c r="G3" s="77"/>
      <c r="H3" s="77"/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  <c r="T3" s="77"/>
      <c r="U3" s="77"/>
      <c r="V3" s="77"/>
      <c r="W3" s="77"/>
      <c r="X3" s="77"/>
      <c r="Y3" s="77"/>
      <c r="Z3" s="77"/>
      <c r="AA3" s="77"/>
      <c r="AB3" s="77"/>
      <c r="AC3" s="77"/>
      <c r="AD3" s="77"/>
      <c r="AE3" s="77"/>
      <c r="AF3" s="77"/>
      <c r="AG3" s="77"/>
    </row>
    <row r="4" spans="1:33" ht="23">
      <c r="E4" s="77"/>
      <c r="F4" s="77"/>
      <c r="G4" s="77"/>
      <c r="H4" s="77"/>
      <c r="I4" s="77"/>
      <c r="J4" s="77"/>
      <c r="K4" s="77"/>
      <c r="L4" s="77"/>
      <c r="M4" s="77"/>
      <c r="N4" s="77"/>
      <c r="O4" s="77"/>
      <c r="P4" s="77"/>
      <c r="Q4" s="77"/>
      <c r="R4" s="77"/>
      <c r="S4" s="77"/>
      <c r="T4" s="77"/>
      <c r="U4" s="77"/>
      <c r="V4" s="77"/>
      <c r="W4" s="77"/>
      <c r="X4" s="77"/>
      <c r="Y4" s="77"/>
      <c r="Z4" s="77"/>
      <c r="AA4" s="77"/>
      <c r="AB4" s="77"/>
      <c r="AC4" s="77"/>
      <c r="AD4" s="77"/>
      <c r="AE4" s="77"/>
      <c r="AF4" s="77"/>
      <c r="AG4" s="77"/>
    </row>
    <row r="5" spans="1:33" ht="23">
      <c r="E5" s="77" t="s">
        <v>4</v>
      </c>
      <c r="F5" s="77"/>
      <c r="G5" s="77"/>
      <c r="H5" s="77"/>
      <c r="I5" s="77"/>
      <c r="J5" s="77"/>
      <c r="K5" s="77"/>
      <c r="L5" s="77"/>
      <c r="M5" s="77"/>
      <c r="N5" s="77"/>
      <c r="O5" s="77"/>
      <c r="P5" s="77"/>
      <c r="Q5" s="77"/>
      <c r="R5" s="77"/>
      <c r="S5" s="77"/>
      <c r="T5" s="77"/>
      <c r="U5" s="77"/>
      <c r="V5" s="77"/>
      <c r="W5" s="77"/>
      <c r="X5" s="77"/>
      <c r="Y5" s="77"/>
      <c r="Z5" s="77"/>
      <c r="AA5" s="77"/>
      <c r="AB5" s="77"/>
      <c r="AC5" s="77"/>
      <c r="AD5" s="77"/>
      <c r="AE5" s="77"/>
      <c r="AF5" s="77"/>
      <c r="AG5" s="77"/>
    </row>
    <row r="6" spans="1:33" ht="23">
      <c r="E6" s="56"/>
      <c r="F6" s="57"/>
      <c r="G6" s="57"/>
      <c r="H6" s="58"/>
      <c r="I6" s="63"/>
      <c r="J6" s="59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7"/>
      <c r="AB6" s="57"/>
      <c r="AC6" s="57"/>
      <c r="AD6" s="57"/>
      <c r="AE6" s="57"/>
      <c r="AF6" s="57"/>
      <c r="AG6" s="57"/>
    </row>
    <row r="7" spans="1:33" ht="14.5" thickBot="1">
      <c r="E7" s="60"/>
      <c r="F7" s="60"/>
      <c r="G7" s="76"/>
      <c r="H7" s="76"/>
      <c r="I7" s="60"/>
      <c r="J7" s="60"/>
      <c r="K7" s="60"/>
      <c r="L7" s="60"/>
      <c r="M7" s="60"/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  <c r="AA7" s="60"/>
      <c r="AB7" s="60"/>
      <c r="AC7" s="60"/>
      <c r="AD7" s="60"/>
      <c r="AE7" s="60"/>
      <c r="AF7" s="60"/>
      <c r="AG7" s="60"/>
    </row>
    <row r="8" spans="1:33" ht="28.5" thickBot="1">
      <c r="B8" s="64" t="s">
        <v>45</v>
      </c>
      <c r="C8" s="64" t="s">
        <v>55</v>
      </c>
      <c r="D8" s="64" t="s">
        <v>56</v>
      </c>
      <c r="E8" s="8"/>
      <c r="F8" s="9" t="s">
        <v>17</v>
      </c>
      <c r="G8" s="9" t="s">
        <v>18</v>
      </c>
      <c r="H8" s="10" t="s">
        <v>19</v>
      </c>
      <c r="I8" s="11" t="s">
        <v>20</v>
      </c>
      <c r="J8" s="12" t="s">
        <v>21</v>
      </c>
      <c r="K8" s="12" t="s">
        <v>22</v>
      </c>
      <c r="L8" s="12" t="s">
        <v>23</v>
      </c>
      <c r="M8" s="12" t="s">
        <v>24</v>
      </c>
      <c r="N8" s="12" t="s">
        <v>25</v>
      </c>
      <c r="O8" s="12" t="s">
        <v>26</v>
      </c>
      <c r="P8" s="12" t="s">
        <v>27</v>
      </c>
      <c r="Q8" s="12" t="s">
        <v>28</v>
      </c>
      <c r="R8" s="12" t="s">
        <v>29</v>
      </c>
      <c r="S8" s="12" t="s">
        <v>30</v>
      </c>
      <c r="T8" s="12" t="s">
        <v>31</v>
      </c>
      <c r="U8" s="12" t="s">
        <v>32</v>
      </c>
      <c r="V8" s="12" t="s">
        <v>33</v>
      </c>
      <c r="W8" s="12" t="s">
        <v>34</v>
      </c>
      <c r="X8" s="12" t="s">
        <v>35</v>
      </c>
      <c r="Y8" s="12" t="s">
        <v>36</v>
      </c>
      <c r="Z8" s="12" t="s">
        <v>37</v>
      </c>
      <c r="AA8" s="12" t="s">
        <v>38</v>
      </c>
      <c r="AB8" s="12" t="s">
        <v>39</v>
      </c>
      <c r="AC8" s="12" t="s">
        <v>40</v>
      </c>
      <c r="AD8" s="12" t="s">
        <v>41</v>
      </c>
      <c r="AE8" s="12" t="s">
        <v>42</v>
      </c>
      <c r="AF8" s="13" t="s">
        <v>43</v>
      </c>
      <c r="AG8" s="14" t="s">
        <v>10</v>
      </c>
    </row>
    <row r="9" spans="1:33" ht="14.5" thickBot="1">
      <c r="A9" s="62"/>
      <c r="B9">
        <f t="shared" ref="B9" si="0">+MONTH(E9)</f>
        <v>2</v>
      </c>
      <c r="C9">
        <f t="shared" ref="C9" si="1">+YEAR(E9)</f>
        <v>2026</v>
      </c>
      <c r="D9" t="str">
        <f t="shared" ref="D9" si="2">+_xlfn.CONCAT(B9:C9,G9)</f>
        <v>22026OR</v>
      </c>
      <c r="E9" s="71">
        <v>46054</v>
      </c>
      <c r="F9" s="73">
        <f>+'PRODUCTO 01'!F10</f>
        <v>4396573.18</v>
      </c>
      <c r="G9" s="37" t="s">
        <v>57</v>
      </c>
      <c r="H9" s="37">
        <v>10</v>
      </c>
      <c r="I9" s="66">
        <v>12212.703274797268</v>
      </c>
      <c r="J9" s="66">
        <v>12212.703274797268</v>
      </c>
      <c r="K9" s="66">
        <v>12212.703274797268</v>
      </c>
      <c r="L9" s="66">
        <v>12212.703274797268</v>
      </c>
      <c r="M9" s="66">
        <v>12212.703274797268</v>
      </c>
      <c r="N9" s="66">
        <v>12212.703274797268</v>
      </c>
      <c r="O9" s="66">
        <v>12212.703274797268</v>
      </c>
      <c r="P9" s="66">
        <v>12212.703274797268</v>
      </c>
      <c r="Q9" s="66">
        <v>12212.703274797268</v>
      </c>
      <c r="R9" s="66">
        <v>12212.703274797268</v>
      </c>
      <c r="S9" s="66">
        <v>12212.703274797268</v>
      </c>
      <c r="T9" s="66">
        <v>12212.703274797268</v>
      </c>
      <c r="U9" s="66">
        <v>12212.703274797268</v>
      </c>
      <c r="V9" s="66">
        <v>12212.703274797268</v>
      </c>
      <c r="W9" s="66">
        <v>12212.703274797268</v>
      </c>
      <c r="X9" s="66">
        <v>12212.703274797268</v>
      </c>
      <c r="Y9" s="66">
        <v>12212.703274797268</v>
      </c>
      <c r="Z9" s="66">
        <v>12212.703274797268</v>
      </c>
      <c r="AA9" s="66">
        <v>12212.703274797268</v>
      </c>
      <c r="AB9" s="66">
        <v>12212.703274797268</v>
      </c>
      <c r="AC9" s="66">
        <v>12212.703274797268</v>
      </c>
      <c r="AD9" s="66">
        <v>12212.703274797268</v>
      </c>
      <c r="AE9" s="66">
        <v>12212.703274797268</v>
      </c>
      <c r="AF9" s="66">
        <v>12212.703274797268</v>
      </c>
      <c r="AG9" s="38">
        <f>+SUM(I9:AF9)*H9</f>
        <v>2931048.7859513434</v>
      </c>
    </row>
    <row r="10" spans="1:33" ht="14.5" thickBot="1">
      <c r="A10" s="62"/>
      <c r="B10">
        <f>+B9</f>
        <v>2</v>
      </c>
      <c r="C10">
        <f>+C9</f>
        <v>2026</v>
      </c>
      <c r="D10" t="str">
        <f>+_xlfn.CONCAT(B10:C10,G10)</f>
        <v>22026SA</v>
      </c>
      <c r="E10" s="72"/>
      <c r="F10" s="73"/>
      <c r="G10" s="39" t="s">
        <v>60</v>
      </c>
      <c r="H10" s="39">
        <v>3</v>
      </c>
      <c r="I10" s="66">
        <v>12212.703274797268</v>
      </c>
      <c r="J10" s="66">
        <v>12212.703274797268</v>
      </c>
      <c r="K10" s="66">
        <v>12212.703274797268</v>
      </c>
      <c r="L10" s="66">
        <v>12212.703274797268</v>
      </c>
      <c r="M10" s="66">
        <v>12212.703274797268</v>
      </c>
      <c r="N10" s="66">
        <v>12212.703274797268</v>
      </c>
      <c r="O10" s="66">
        <v>12212.703274797268</v>
      </c>
      <c r="P10" s="66">
        <v>12212.703274797268</v>
      </c>
      <c r="Q10" s="66">
        <v>12212.703274797268</v>
      </c>
      <c r="R10" s="66">
        <v>12212.703274797268</v>
      </c>
      <c r="S10" s="66">
        <v>12212.703274797268</v>
      </c>
      <c r="T10" s="66">
        <v>12212.703274797268</v>
      </c>
      <c r="U10" s="66">
        <v>12212.703274797268</v>
      </c>
      <c r="V10" s="66">
        <v>12212.703274797268</v>
      </c>
      <c r="W10" s="66">
        <v>12212.703274797268</v>
      </c>
      <c r="X10" s="66">
        <v>12212.703274797268</v>
      </c>
      <c r="Y10" s="66">
        <v>12212.703274797268</v>
      </c>
      <c r="Z10" s="66">
        <v>12212.703274797268</v>
      </c>
      <c r="AA10" s="66">
        <v>12212.703274797268</v>
      </c>
      <c r="AB10" s="66">
        <v>12212.703274797268</v>
      </c>
      <c r="AC10" s="66">
        <v>12212.703274797268</v>
      </c>
      <c r="AD10" s="66">
        <v>12212.703274797268</v>
      </c>
      <c r="AE10" s="66">
        <v>12212.703274797268</v>
      </c>
      <c r="AF10" s="66">
        <v>12212.703274797268</v>
      </c>
      <c r="AG10" s="40">
        <f>+SUM(I10:AF10)*H10</f>
        <v>879314.63578540308</v>
      </c>
    </row>
    <row r="11" spans="1:33" ht="14.5" thickBot="1">
      <c r="A11" s="62"/>
      <c r="B11">
        <f t="shared" ref="B11:B13" si="3">+B10</f>
        <v>2</v>
      </c>
      <c r="C11">
        <f t="shared" ref="C11:C13" si="4">+C10</f>
        <v>2026</v>
      </c>
      <c r="D11" t="str">
        <f>+_xlfn.CONCAT(B11:C11,G11)</f>
        <v>22026DO</v>
      </c>
      <c r="E11" s="72"/>
      <c r="F11" s="73"/>
      <c r="G11" s="41" t="s">
        <v>58</v>
      </c>
      <c r="H11" s="41">
        <v>2</v>
      </c>
      <c r="I11" s="66">
        <v>12212.703274797268</v>
      </c>
      <c r="J11" s="66">
        <v>12212.703274797268</v>
      </c>
      <c r="K11" s="66">
        <v>12212.703274797268</v>
      </c>
      <c r="L11" s="66">
        <v>12212.703274797268</v>
      </c>
      <c r="M11" s="66">
        <v>12212.703274797268</v>
      </c>
      <c r="N11" s="66">
        <v>12212.703274797268</v>
      </c>
      <c r="O11" s="66">
        <v>12212.703274797268</v>
      </c>
      <c r="P11" s="66">
        <v>12212.703274797268</v>
      </c>
      <c r="Q11" s="66">
        <v>12212.703274797268</v>
      </c>
      <c r="R11" s="66">
        <v>12212.703274797268</v>
      </c>
      <c r="S11" s="66">
        <v>12212.703274797268</v>
      </c>
      <c r="T11" s="66">
        <v>12212.703274797268</v>
      </c>
      <c r="U11" s="66">
        <v>12212.703274797268</v>
      </c>
      <c r="V11" s="66">
        <v>12212.703274797268</v>
      </c>
      <c r="W11" s="66">
        <v>12212.703274797268</v>
      </c>
      <c r="X11" s="66">
        <v>12212.703274797268</v>
      </c>
      <c r="Y11" s="66">
        <v>12212.703274797268</v>
      </c>
      <c r="Z11" s="66">
        <v>12212.703274797268</v>
      </c>
      <c r="AA11" s="66">
        <v>12212.703274797268</v>
      </c>
      <c r="AB11" s="66">
        <v>12212.703274797268</v>
      </c>
      <c r="AC11" s="66">
        <v>12212.703274797268</v>
      </c>
      <c r="AD11" s="66">
        <v>12212.703274797268</v>
      </c>
      <c r="AE11" s="66">
        <v>12212.703274797268</v>
      </c>
      <c r="AF11" s="66">
        <v>12212.703274797268</v>
      </c>
      <c r="AG11" s="40">
        <f>+SUM(I11:AF11)*H11</f>
        <v>586209.75719026872</v>
      </c>
    </row>
    <row r="12" spans="1:33" ht="14">
      <c r="A12" s="62"/>
      <c r="B12">
        <f t="shared" si="3"/>
        <v>2</v>
      </c>
      <c r="C12">
        <f t="shared" si="4"/>
        <v>2026</v>
      </c>
      <c r="D12" t="str">
        <f>+_xlfn.CONCAT(B12:C12,G12)</f>
        <v>22026FE</v>
      </c>
      <c r="E12" s="72"/>
      <c r="F12" s="73"/>
      <c r="G12" s="42" t="s">
        <v>59</v>
      </c>
      <c r="H12" s="42">
        <v>0</v>
      </c>
      <c r="I12" s="66">
        <v>0</v>
      </c>
      <c r="J12" s="66">
        <v>0</v>
      </c>
      <c r="K12" s="66">
        <v>0</v>
      </c>
      <c r="L12" s="66">
        <v>0</v>
      </c>
      <c r="M12" s="66">
        <v>0</v>
      </c>
      <c r="N12" s="66">
        <v>0</v>
      </c>
      <c r="O12" s="66">
        <v>0</v>
      </c>
      <c r="P12" s="66">
        <v>0</v>
      </c>
      <c r="Q12" s="66">
        <v>0</v>
      </c>
      <c r="R12" s="66">
        <v>0</v>
      </c>
      <c r="S12" s="66">
        <v>0</v>
      </c>
      <c r="T12" s="66">
        <v>0</v>
      </c>
      <c r="U12" s="66">
        <v>0</v>
      </c>
      <c r="V12" s="66">
        <v>0</v>
      </c>
      <c r="W12" s="66">
        <v>0</v>
      </c>
      <c r="X12" s="66">
        <v>0</v>
      </c>
      <c r="Y12" s="66">
        <v>0</v>
      </c>
      <c r="Z12" s="66">
        <v>0</v>
      </c>
      <c r="AA12" s="66">
        <v>0</v>
      </c>
      <c r="AB12" s="66">
        <v>0</v>
      </c>
      <c r="AC12" s="66">
        <v>0</v>
      </c>
      <c r="AD12" s="66">
        <v>0</v>
      </c>
      <c r="AE12" s="66">
        <v>0</v>
      </c>
      <c r="AF12" s="66">
        <v>0</v>
      </c>
      <c r="AG12" s="43">
        <f>+SUM(I12:AF12)*H12</f>
        <v>0</v>
      </c>
    </row>
    <row r="13" spans="1:33" ht="15" thickBot="1">
      <c r="A13" s="62"/>
      <c r="B13">
        <f t="shared" si="3"/>
        <v>2</v>
      </c>
      <c r="C13">
        <f t="shared" si="4"/>
        <v>2026</v>
      </c>
      <c r="D13" t="str">
        <f>+_xlfn.CONCAT(E9,G13)</f>
        <v>46054TOTAL</v>
      </c>
      <c r="E13" s="72"/>
      <c r="F13" s="61"/>
      <c r="G13" s="44" t="s">
        <v>10</v>
      </c>
      <c r="H13" s="44">
        <f>+SUM(H9:H12)</f>
        <v>15</v>
      </c>
      <c r="I13" s="45">
        <f t="shared" ref="I13:AF13" si="5">+SUMPRODUCT(I9:I12,$H9:$H12)</f>
        <v>183190.54912195902</v>
      </c>
      <c r="J13" s="45">
        <f t="shared" si="5"/>
        <v>183190.54912195902</v>
      </c>
      <c r="K13" s="45">
        <f t="shared" si="5"/>
        <v>183190.54912195902</v>
      </c>
      <c r="L13" s="45">
        <f t="shared" si="5"/>
        <v>183190.54912195902</v>
      </c>
      <c r="M13" s="45">
        <f t="shared" si="5"/>
        <v>183190.54912195902</v>
      </c>
      <c r="N13" s="45">
        <f t="shared" si="5"/>
        <v>183190.54912195902</v>
      </c>
      <c r="O13" s="45">
        <f t="shared" si="5"/>
        <v>183190.54912195902</v>
      </c>
      <c r="P13" s="45">
        <f t="shared" si="5"/>
        <v>183190.54912195902</v>
      </c>
      <c r="Q13" s="45">
        <f t="shared" si="5"/>
        <v>183190.54912195902</v>
      </c>
      <c r="R13" s="45">
        <f t="shared" si="5"/>
        <v>183190.54912195902</v>
      </c>
      <c r="S13" s="45">
        <f t="shared" si="5"/>
        <v>183190.54912195902</v>
      </c>
      <c r="T13" s="45">
        <f t="shared" si="5"/>
        <v>183190.54912195902</v>
      </c>
      <c r="U13" s="45">
        <f t="shared" si="5"/>
        <v>183190.54912195902</v>
      </c>
      <c r="V13" s="45">
        <f t="shared" si="5"/>
        <v>183190.54912195902</v>
      </c>
      <c r="W13" s="45">
        <f t="shared" si="5"/>
        <v>183190.54912195902</v>
      </c>
      <c r="X13" s="45">
        <f t="shared" si="5"/>
        <v>183190.54912195902</v>
      </c>
      <c r="Y13" s="45">
        <f t="shared" si="5"/>
        <v>183190.54912195902</v>
      </c>
      <c r="Z13" s="45">
        <f t="shared" si="5"/>
        <v>183190.54912195902</v>
      </c>
      <c r="AA13" s="45">
        <f t="shared" si="5"/>
        <v>183190.54912195902</v>
      </c>
      <c r="AB13" s="45">
        <f t="shared" si="5"/>
        <v>183190.54912195902</v>
      </c>
      <c r="AC13" s="45">
        <f t="shared" si="5"/>
        <v>183190.54912195902</v>
      </c>
      <c r="AD13" s="45">
        <f t="shared" si="5"/>
        <v>183190.54912195902</v>
      </c>
      <c r="AE13" s="45">
        <f t="shared" si="5"/>
        <v>183190.54912195902</v>
      </c>
      <c r="AF13" s="45">
        <f t="shared" si="5"/>
        <v>183190.54912195902</v>
      </c>
      <c r="AG13" s="46">
        <f>SUM(I13:AF13)</f>
        <v>4396573.1789270183</v>
      </c>
    </row>
    <row r="14" spans="1:33" ht="14.5" thickBot="1">
      <c r="A14" s="62"/>
      <c r="B14">
        <f t="shared" ref="B14:B17" si="6">+MONTH(E14)</f>
        <v>3</v>
      </c>
      <c r="C14">
        <f t="shared" ref="C14:C17" si="7">+YEAR(E14)</f>
        <v>2026</v>
      </c>
      <c r="D14" t="str">
        <f>+_xlfn.CONCAT(B14:C14,G14)</f>
        <v>32026OR</v>
      </c>
      <c r="E14" s="71">
        <v>46082</v>
      </c>
      <c r="F14" s="73">
        <f>+'PRODUCTO 01'!F11</f>
        <v>9669031.7400000002</v>
      </c>
      <c r="G14" s="37" t="s">
        <v>57</v>
      </c>
      <c r="H14" s="37">
        <v>21</v>
      </c>
      <c r="I14" s="66">
        <v>13236.774668875256</v>
      </c>
      <c r="J14" s="66">
        <v>13195.262193102839</v>
      </c>
      <c r="K14" s="66">
        <v>13054.010207771867</v>
      </c>
      <c r="L14" s="66">
        <v>12784.700197133479</v>
      </c>
      <c r="M14" s="66">
        <v>13117.74746199201</v>
      </c>
      <c r="N14" s="66">
        <v>13236.774668875256</v>
      </c>
      <c r="O14" s="66">
        <v>12726.205878103639</v>
      </c>
      <c r="P14" s="66">
        <v>12726.205878103639</v>
      </c>
      <c r="Q14" s="66">
        <v>12726.205878103639</v>
      </c>
      <c r="R14" s="66">
        <v>12726.205878103639</v>
      </c>
      <c r="S14" s="66">
        <v>12726.205878103639</v>
      </c>
      <c r="T14" s="66">
        <v>12726.205878103639</v>
      </c>
      <c r="U14" s="66">
        <v>12726.205878103639</v>
      </c>
      <c r="V14" s="66">
        <v>12726.205878103639</v>
      </c>
      <c r="W14" s="66">
        <v>12726.205878103639</v>
      </c>
      <c r="X14" s="66">
        <v>12726.205878103639</v>
      </c>
      <c r="Y14" s="66">
        <v>12726.205878103639</v>
      </c>
      <c r="Z14" s="66">
        <v>12726.205878103639</v>
      </c>
      <c r="AA14" s="66">
        <v>12726.205878103639</v>
      </c>
      <c r="AB14" s="66">
        <v>13214.199256815313</v>
      </c>
      <c r="AC14" s="66">
        <v>13214.199256815313</v>
      </c>
      <c r="AD14" s="66">
        <v>13214.199256815313</v>
      </c>
      <c r="AE14" s="66">
        <v>13214.199256815313</v>
      </c>
      <c r="AF14" s="66">
        <v>13214.199256815313</v>
      </c>
      <c r="AG14" s="38">
        <f>+SUM(I14:AF14)*H14</f>
        <v>6512875.7840406671</v>
      </c>
    </row>
    <row r="15" spans="1:33" ht="14.5" thickBot="1">
      <c r="A15" s="62"/>
      <c r="B15">
        <f t="shared" si="6"/>
        <v>3</v>
      </c>
      <c r="C15">
        <f t="shared" si="7"/>
        <v>2026</v>
      </c>
      <c r="D15" t="str">
        <f>+_xlfn.CONCAT(B15:C15,G15)</f>
        <v>32026SA</v>
      </c>
      <c r="E15" s="72">
        <v>46082</v>
      </c>
      <c r="F15" s="73"/>
      <c r="G15" s="39" t="s">
        <v>60</v>
      </c>
      <c r="H15" s="39">
        <v>4</v>
      </c>
      <c r="I15" s="66">
        <v>13185.979991740385</v>
      </c>
      <c r="J15" s="66">
        <v>13185.979991740385</v>
      </c>
      <c r="K15" s="66">
        <v>13185.979991740385</v>
      </c>
      <c r="L15" s="66">
        <v>13185.979991740385</v>
      </c>
      <c r="M15" s="66">
        <v>13185.979991740385</v>
      </c>
      <c r="N15" s="66">
        <v>13185.979991740385</v>
      </c>
      <c r="O15" s="66">
        <v>12673.586944093127</v>
      </c>
      <c r="P15" s="66">
        <v>12673.586944093127</v>
      </c>
      <c r="Q15" s="66">
        <v>12673.586944093127</v>
      </c>
      <c r="R15" s="66">
        <v>12673.586944093127</v>
      </c>
      <c r="S15" s="66">
        <v>12673.586944093127</v>
      </c>
      <c r="T15" s="66">
        <v>12673.586944093127</v>
      </c>
      <c r="U15" s="66">
        <v>12792.107857407836</v>
      </c>
      <c r="V15" s="66">
        <v>12264.91710225536</v>
      </c>
      <c r="W15" s="66">
        <v>12171.5941495142</v>
      </c>
      <c r="X15" s="66">
        <v>12792.107857407836</v>
      </c>
      <c r="Y15" s="66">
        <v>12792.107857407836</v>
      </c>
      <c r="Z15" s="66">
        <v>12792.107857407836</v>
      </c>
      <c r="AA15" s="66">
        <v>12792.107857407836</v>
      </c>
      <c r="AB15" s="66">
        <v>13304.500905055094</v>
      </c>
      <c r="AC15" s="66">
        <v>13304.500905055094</v>
      </c>
      <c r="AD15" s="66">
        <v>13304.500905055094</v>
      </c>
      <c r="AE15" s="66">
        <v>13304.500905055094</v>
      </c>
      <c r="AF15" s="66">
        <v>13304.500905055094</v>
      </c>
      <c r="AG15" s="40">
        <f>+SUM(I15:AF15)*H15</f>
        <v>1240307.8267163408</v>
      </c>
    </row>
    <row r="16" spans="1:33" ht="14.5" thickBot="1">
      <c r="A16" s="62"/>
      <c r="B16">
        <f t="shared" si="6"/>
        <v>3</v>
      </c>
      <c r="C16">
        <f t="shared" si="7"/>
        <v>2026</v>
      </c>
      <c r="D16" t="str">
        <f>+_xlfn.CONCAT(B16:C16,G16)</f>
        <v>32026DO</v>
      </c>
      <c r="E16" s="72">
        <v>46082</v>
      </c>
      <c r="F16" s="73"/>
      <c r="G16" s="41" t="s">
        <v>58</v>
      </c>
      <c r="H16" s="41">
        <v>5</v>
      </c>
      <c r="I16" s="66">
        <v>13304.500905055093</v>
      </c>
      <c r="J16" s="66">
        <v>13304.500905055093</v>
      </c>
      <c r="K16" s="66">
        <v>13304.500905055093</v>
      </c>
      <c r="L16" s="66">
        <v>13304.500905055093</v>
      </c>
      <c r="M16" s="66">
        <v>13304.500905055093</v>
      </c>
      <c r="N16" s="66">
        <v>13304.500905055093</v>
      </c>
      <c r="O16" s="66">
        <v>13304.500905055093</v>
      </c>
      <c r="P16" s="66">
        <v>13304.500905055093</v>
      </c>
      <c r="Q16" s="66">
        <v>13304.500905055093</v>
      </c>
      <c r="R16" s="66">
        <v>13304.500905055093</v>
      </c>
      <c r="S16" s="66">
        <v>13304.500905055093</v>
      </c>
      <c r="T16" s="66">
        <v>13304.500905055093</v>
      </c>
      <c r="U16" s="66">
        <v>13304.500905055093</v>
      </c>
      <c r="V16" s="66">
        <v>13304.500905055093</v>
      </c>
      <c r="W16" s="66">
        <v>13304.500905055093</v>
      </c>
      <c r="X16" s="66">
        <v>13304.500905055093</v>
      </c>
      <c r="Y16" s="66">
        <v>13304.500905055093</v>
      </c>
      <c r="Z16" s="66">
        <v>13304.500905055093</v>
      </c>
      <c r="AA16" s="66">
        <v>13304.500905055093</v>
      </c>
      <c r="AB16" s="66">
        <v>13304.500905055093</v>
      </c>
      <c r="AC16" s="66">
        <v>13304.500905055093</v>
      </c>
      <c r="AD16" s="66">
        <v>13304.500905055093</v>
      </c>
      <c r="AE16" s="66">
        <v>13304.500905055093</v>
      </c>
      <c r="AF16" s="66">
        <v>13304.500905055093</v>
      </c>
      <c r="AG16" s="40">
        <f>+SUM(I16:AF16)*H16</f>
        <v>1596540.1086066107</v>
      </c>
    </row>
    <row r="17" spans="1:33" ht="14">
      <c r="A17" s="62"/>
      <c r="B17">
        <f t="shared" si="6"/>
        <v>3</v>
      </c>
      <c r="C17">
        <f t="shared" si="7"/>
        <v>2026</v>
      </c>
      <c r="D17" t="str">
        <f>+_xlfn.CONCAT(B17:C17,G17)</f>
        <v>32026FE</v>
      </c>
      <c r="E17" s="72">
        <v>46082</v>
      </c>
      <c r="F17" s="73"/>
      <c r="G17" s="42" t="s">
        <v>59</v>
      </c>
      <c r="H17" s="42">
        <v>1</v>
      </c>
      <c r="I17" s="66">
        <v>13304.500905055094</v>
      </c>
      <c r="J17" s="66">
        <v>13304.500905055094</v>
      </c>
      <c r="K17" s="66">
        <v>13304.500905055094</v>
      </c>
      <c r="L17" s="66">
        <v>13304.500905055094</v>
      </c>
      <c r="M17" s="66">
        <v>13304.500905055094</v>
      </c>
      <c r="N17" s="66">
        <v>13304.500905055094</v>
      </c>
      <c r="O17" s="66">
        <v>13304.500905055094</v>
      </c>
      <c r="P17" s="66">
        <v>13304.500905055094</v>
      </c>
      <c r="Q17" s="66">
        <v>13304.500905055094</v>
      </c>
      <c r="R17" s="66">
        <v>13304.500905055094</v>
      </c>
      <c r="S17" s="66">
        <v>13304.500905055094</v>
      </c>
      <c r="T17" s="66">
        <v>13304.500905055094</v>
      </c>
      <c r="U17" s="66">
        <v>13304.500905055094</v>
      </c>
      <c r="V17" s="66">
        <v>13304.500905055094</v>
      </c>
      <c r="W17" s="66">
        <v>13304.500905055094</v>
      </c>
      <c r="X17" s="66">
        <v>13304.500905055094</v>
      </c>
      <c r="Y17" s="66">
        <v>13304.500905055094</v>
      </c>
      <c r="Z17" s="66">
        <v>13304.500905055094</v>
      </c>
      <c r="AA17" s="66">
        <v>13304.500905055094</v>
      </c>
      <c r="AB17" s="66">
        <v>13304.500905055094</v>
      </c>
      <c r="AC17" s="66">
        <v>13304.500905055094</v>
      </c>
      <c r="AD17" s="66">
        <v>13304.500905055094</v>
      </c>
      <c r="AE17" s="66">
        <v>13304.500905055094</v>
      </c>
      <c r="AF17" s="66">
        <v>13304.500905055094</v>
      </c>
      <c r="AG17" s="43">
        <f>+SUM(I17:AF17)*H17</f>
        <v>319308.02172132215</v>
      </c>
    </row>
    <row r="18" spans="1:33" ht="15" thickBot="1">
      <c r="A18" s="62"/>
      <c r="D18" t="str">
        <f t="shared" ref="D18:D58" si="8">+_xlfn.CONCAT(E18,G18)</f>
        <v>46082TOTAL</v>
      </c>
      <c r="E18" s="72">
        <v>46082</v>
      </c>
      <c r="F18" s="61"/>
      <c r="G18" s="44" t="s">
        <v>10</v>
      </c>
      <c r="H18" s="44">
        <f>+SUM(H14:H17)</f>
        <v>31</v>
      </c>
      <c r="I18" s="45">
        <f t="shared" ref="I18:AF18" si="9">+SUMPRODUCT(I14:I17,$H14:$H17)</f>
        <v>410543.1934436725</v>
      </c>
      <c r="J18" s="45">
        <f t="shared" si="9"/>
        <v>409671.43145245174</v>
      </c>
      <c r="K18" s="45">
        <f t="shared" si="9"/>
        <v>406705.13976050133</v>
      </c>
      <c r="L18" s="45">
        <f t="shared" si="9"/>
        <v>401049.6295370952</v>
      </c>
      <c r="M18" s="45">
        <f t="shared" si="9"/>
        <v>408043.62209912436</v>
      </c>
      <c r="N18" s="45">
        <f t="shared" si="9"/>
        <v>410543.1934436725</v>
      </c>
      <c r="O18" s="45">
        <f t="shared" si="9"/>
        <v>397771.67664687952</v>
      </c>
      <c r="P18" s="45">
        <f t="shared" si="9"/>
        <v>397771.67664687952</v>
      </c>
      <c r="Q18" s="45">
        <f t="shared" si="9"/>
        <v>397771.67664687952</v>
      </c>
      <c r="R18" s="45">
        <f t="shared" si="9"/>
        <v>397771.67664687952</v>
      </c>
      <c r="S18" s="45">
        <f t="shared" si="9"/>
        <v>397771.67664687952</v>
      </c>
      <c r="T18" s="45">
        <f t="shared" si="9"/>
        <v>397771.67664687952</v>
      </c>
      <c r="U18" s="45">
        <f t="shared" si="9"/>
        <v>398245.76030013838</v>
      </c>
      <c r="V18" s="45">
        <f t="shared" si="9"/>
        <v>396136.99727952841</v>
      </c>
      <c r="W18" s="45">
        <f t="shared" si="9"/>
        <v>395763.70546856383</v>
      </c>
      <c r="X18" s="45">
        <f t="shared" si="9"/>
        <v>398245.76030013838</v>
      </c>
      <c r="Y18" s="45">
        <f t="shared" si="9"/>
        <v>398245.76030013838</v>
      </c>
      <c r="Z18" s="45">
        <f t="shared" si="9"/>
        <v>398245.76030013838</v>
      </c>
      <c r="AA18" s="45">
        <f t="shared" si="9"/>
        <v>398245.76030013838</v>
      </c>
      <c r="AB18" s="45">
        <f t="shared" si="9"/>
        <v>410543.1934436725</v>
      </c>
      <c r="AC18" s="45">
        <f t="shared" si="9"/>
        <v>410543.1934436725</v>
      </c>
      <c r="AD18" s="45">
        <f t="shared" si="9"/>
        <v>410543.1934436725</v>
      </c>
      <c r="AE18" s="45">
        <f t="shared" si="9"/>
        <v>410543.1934436725</v>
      </c>
      <c r="AF18" s="45">
        <f t="shared" si="9"/>
        <v>410543.1934436725</v>
      </c>
      <c r="AG18" s="46">
        <f>SUM(I18:AF18)</f>
        <v>9669031.7410849407</v>
      </c>
    </row>
    <row r="19" spans="1:33" ht="14.5" thickBot="1">
      <c r="A19" s="62"/>
      <c r="B19">
        <f t="shared" ref="B19:B22" si="10">+MONTH(E19)</f>
        <v>4</v>
      </c>
      <c r="C19">
        <f t="shared" ref="C19:C22" si="11">+YEAR(E19)</f>
        <v>2026</v>
      </c>
      <c r="D19" t="str">
        <f t="shared" ref="D19:D22" si="12">+_xlfn.CONCAT(B19:C19,G19)</f>
        <v>42026OR</v>
      </c>
      <c r="E19" s="71">
        <v>46113</v>
      </c>
      <c r="F19" s="73">
        <f>+'PRODUCTO 01'!F12</f>
        <v>10071257.220000001</v>
      </c>
      <c r="G19" s="37" t="s">
        <v>57</v>
      </c>
      <c r="H19" s="37">
        <v>20</v>
      </c>
      <c r="I19" s="66">
        <v>13689.237029057691</v>
      </c>
      <c r="J19" s="66">
        <v>13689.237029057691</v>
      </c>
      <c r="K19" s="66">
        <v>13632.407667077428</v>
      </c>
      <c r="L19" s="66">
        <v>13390.353217108732</v>
      </c>
      <c r="M19" s="66">
        <v>13655.234987180014</v>
      </c>
      <c r="N19" s="66">
        <v>13693.884333081896</v>
      </c>
      <c r="O19" s="66">
        <v>13748.317126021397</v>
      </c>
      <c r="P19" s="66">
        <v>13975.704517524424</v>
      </c>
      <c r="Q19" s="66">
        <v>14268.407898037785</v>
      </c>
      <c r="R19" s="66">
        <v>14682.856494326024</v>
      </c>
      <c r="S19" s="66">
        <v>14799.452215819814</v>
      </c>
      <c r="T19" s="66">
        <v>14795.298735361252</v>
      </c>
      <c r="U19" s="66">
        <v>14815.768487962332</v>
      </c>
      <c r="V19" s="66">
        <v>14954.4058351529</v>
      </c>
      <c r="W19" s="66">
        <v>14824.466008267156</v>
      </c>
      <c r="X19" s="66">
        <v>14977.205133381247</v>
      </c>
      <c r="Y19" s="66">
        <v>14334.273977653302</v>
      </c>
      <c r="Z19" s="66">
        <v>13814.858729372039</v>
      </c>
      <c r="AA19" s="66">
        <v>13791.430449562296</v>
      </c>
      <c r="AB19" s="66">
        <v>13689.248220747404</v>
      </c>
      <c r="AC19" s="66">
        <v>13689.237029057691</v>
      </c>
      <c r="AD19" s="66">
        <v>13689.237029057691</v>
      </c>
      <c r="AE19" s="66">
        <v>13689.237029057691</v>
      </c>
      <c r="AF19" s="66">
        <v>13689.237029057691</v>
      </c>
      <c r="AG19" s="38">
        <f>+SUM(I19:AF19)*H19</f>
        <v>6759579.9241596721</v>
      </c>
    </row>
    <row r="20" spans="1:33" ht="14.5" thickBot="1">
      <c r="A20" s="62"/>
      <c r="B20">
        <f t="shared" si="10"/>
        <v>4</v>
      </c>
      <c r="C20">
        <f t="shared" si="11"/>
        <v>2026</v>
      </c>
      <c r="D20" t="str">
        <f t="shared" si="12"/>
        <v>42026SA</v>
      </c>
      <c r="E20" s="72">
        <v>46113</v>
      </c>
      <c r="F20" s="73"/>
      <c r="G20" s="39" t="s">
        <v>60</v>
      </c>
      <c r="H20" s="39">
        <v>4</v>
      </c>
      <c r="I20" s="66">
        <v>13689.237029057693</v>
      </c>
      <c r="J20" s="66">
        <v>13599.618050786565</v>
      </c>
      <c r="K20" s="66">
        <v>12955.502592516066</v>
      </c>
      <c r="L20" s="66">
        <v>12736.643236386177</v>
      </c>
      <c r="M20" s="66">
        <v>12907.013551144382</v>
      </c>
      <c r="N20" s="66">
        <v>13457.016113122243</v>
      </c>
      <c r="O20" s="66">
        <v>13748.317126021397</v>
      </c>
      <c r="P20" s="66">
        <v>13975.70451752442</v>
      </c>
      <c r="Q20" s="66">
        <v>14268.407898037787</v>
      </c>
      <c r="R20" s="66">
        <v>14682.856494326023</v>
      </c>
      <c r="S20" s="66">
        <v>14799.452215819811</v>
      </c>
      <c r="T20" s="66">
        <v>14795.29873536125</v>
      </c>
      <c r="U20" s="66">
        <v>14815.768487962332</v>
      </c>
      <c r="V20" s="66">
        <v>14954.405835152904</v>
      </c>
      <c r="W20" s="66">
        <v>14824.466008267156</v>
      </c>
      <c r="X20" s="66">
        <v>14977.205133381252</v>
      </c>
      <c r="Y20" s="66">
        <v>14334.273977653305</v>
      </c>
      <c r="Z20" s="66">
        <v>13814.858729372043</v>
      </c>
      <c r="AA20" s="66">
        <v>13791.430449562295</v>
      </c>
      <c r="AB20" s="66">
        <v>13689.24822074741</v>
      </c>
      <c r="AC20" s="66">
        <v>13689.237029057693</v>
      </c>
      <c r="AD20" s="66">
        <v>13689.237029057693</v>
      </c>
      <c r="AE20" s="66">
        <v>13510.269464794255</v>
      </c>
      <c r="AF20" s="66">
        <v>12295.058442734255</v>
      </c>
      <c r="AG20" s="40">
        <f>+SUM(I20:AF20)*H20</f>
        <v>1336002.1054713856</v>
      </c>
    </row>
    <row r="21" spans="1:33" ht="14.5" thickBot="1">
      <c r="A21" s="62"/>
      <c r="B21">
        <f t="shared" si="10"/>
        <v>4</v>
      </c>
      <c r="C21">
        <f t="shared" si="11"/>
        <v>2026</v>
      </c>
      <c r="D21" t="str">
        <f t="shared" si="12"/>
        <v>42026DO</v>
      </c>
      <c r="E21" s="72">
        <v>46113</v>
      </c>
      <c r="F21" s="73"/>
      <c r="G21" s="41" t="s">
        <v>58</v>
      </c>
      <c r="H21" s="41">
        <v>4</v>
      </c>
      <c r="I21" s="66">
        <v>13689.237029057693</v>
      </c>
      <c r="J21" s="66">
        <v>13542.340977820695</v>
      </c>
      <c r="K21" s="66">
        <v>12903.471660881482</v>
      </c>
      <c r="L21" s="66">
        <v>12557.912205798189</v>
      </c>
      <c r="M21" s="66">
        <v>12218.456018150611</v>
      </c>
      <c r="N21" s="66">
        <v>12410.955027300462</v>
      </c>
      <c r="O21" s="66">
        <v>13448.393839953234</v>
      </c>
      <c r="P21" s="66">
        <v>13975.70451752442</v>
      </c>
      <c r="Q21" s="66">
        <v>14268.407898037787</v>
      </c>
      <c r="R21" s="66">
        <v>14682.856494326023</v>
      </c>
      <c r="S21" s="66">
        <v>14799.452215819811</v>
      </c>
      <c r="T21" s="66">
        <v>14795.29873536125</v>
      </c>
      <c r="U21" s="66">
        <v>14815.768487962332</v>
      </c>
      <c r="V21" s="66">
        <v>14954.405835152904</v>
      </c>
      <c r="W21" s="66">
        <v>14824.466008267156</v>
      </c>
      <c r="X21" s="66">
        <v>14977.205133381252</v>
      </c>
      <c r="Y21" s="66">
        <v>14334.273977653305</v>
      </c>
      <c r="Z21" s="66">
        <v>13814.858729372043</v>
      </c>
      <c r="AA21" s="66">
        <v>13791.430449562295</v>
      </c>
      <c r="AB21" s="66">
        <v>13689.24822074741</v>
      </c>
      <c r="AC21" s="66">
        <v>13689.237029057693</v>
      </c>
      <c r="AD21" s="66">
        <v>13689.237029057693</v>
      </c>
      <c r="AE21" s="66">
        <v>13689.237029057693</v>
      </c>
      <c r="AF21" s="66">
        <v>13689.237029057693</v>
      </c>
      <c r="AG21" s="40">
        <f>+SUM(I21:AF21)*H21</f>
        <v>1333004.3663134445</v>
      </c>
    </row>
    <row r="22" spans="1:33" ht="14">
      <c r="A22" s="62"/>
      <c r="B22">
        <f t="shared" si="10"/>
        <v>4</v>
      </c>
      <c r="C22">
        <f t="shared" si="11"/>
        <v>2026</v>
      </c>
      <c r="D22" t="str">
        <f t="shared" si="12"/>
        <v>42026FE</v>
      </c>
      <c r="E22" s="72">
        <v>46113</v>
      </c>
      <c r="F22" s="73"/>
      <c r="G22" s="42" t="s">
        <v>59</v>
      </c>
      <c r="H22" s="42">
        <v>2</v>
      </c>
      <c r="I22" s="66">
        <v>13689.237029057693</v>
      </c>
      <c r="J22" s="66">
        <v>12209.504982742699</v>
      </c>
      <c r="K22" s="66">
        <v>9684.3715784748783</v>
      </c>
      <c r="L22" s="66">
        <v>8553.3497231290676</v>
      </c>
      <c r="M22" s="66">
        <v>8400.083010531569</v>
      </c>
      <c r="N22" s="66">
        <v>12570.224716902303</v>
      </c>
      <c r="O22" s="66">
        <v>13748.317126021397</v>
      </c>
      <c r="P22" s="66">
        <v>13975.70451752442</v>
      </c>
      <c r="Q22" s="66">
        <v>14268.407898037787</v>
      </c>
      <c r="R22" s="66">
        <v>14682.856494326023</v>
      </c>
      <c r="S22" s="66">
        <v>14799.452215819811</v>
      </c>
      <c r="T22" s="66">
        <v>14795.29873536125</v>
      </c>
      <c r="U22" s="66">
        <v>14815.768487962332</v>
      </c>
      <c r="V22" s="66">
        <v>14954.405835152904</v>
      </c>
      <c r="W22" s="66">
        <v>14824.466008267156</v>
      </c>
      <c r="X22" s="66">
        <v>14977.205133381252</v>
      </c>
      <c r="Y22" s="66">
        <v>14334.273977653305</v>
      </c>
      <c r="Z22" s="66">
        <v>13814.858729372043</v>
      </c>
      <c r="AA22" s="66">
        <v>13791.430449562295</v>
      </c>
      <c r="AB22" s="66">
        <v>13689.24822074741</v>
      </c>
      <c r="AC22" s="66">
        <v>13689.237029057693</v>
      </c>
      <c r="AD22" s="66">
        <v>13689.237029057693</v>
      </c>
      <c r="AE22" s="66">
        <v>13689.237029057693</v>
      </c>
      <c r="AF22" s="66">
        <v>13689.237029057693</v>
      </c>
      <c r="AG22" s="43">
        <f>+SUM(I22:AF22)*H22</f>
        <v>642670.82597251679</v>
      </c>
    </row>
    <row r="23" spans="1:33" ht="15" thickBot="1">
      <c r="A23" s="62"/>
      <c r="D23" t="str">
        <f t="shared" si="8"/>
        <v>46113TOTAL</v>
      </c>
      <c r="E23" s="72">
        <v>46113</v>
      </c>
      <c r="F23" s="61"/>
      <c r="G23" s="44" t="s">
        <v>10</v>
      </c>
      <c r="H23" s="44">
        <f>+SUM(H19:H22)</f>
        <v>30</v>
      </c>
      <c r="I23" s="45">
        <f t="shared" ref="I23:AF23" si="13">+SUMPRODUCT(I19:I22,$H19:$H22)</f>
        <v>410677.11087173078</v>
      </c>
      <c r="J23" s="45">
        <f t="shared" si="13"/>
        <v>406771.58666106826</v>
      </c>
      <c r="K23" s="45">
        <f t="shared" si="13"/>
        <v>395452.79351208848</v>
      </c>
      <c r="L23" s="45">
        <f t="shared" si="13"/>
        <v>386091.98555717024</v>
      </c>
      <c r="M23" s="45">
        <f t="shared" si="13"/>
        <v>390406.74404184334</v>
      </c>
      <c r="N23" s="45">
        <f t="shared" si="13"/>
        <v>402490.02065713331</v>
      </c>
      <c r="O23" s="45">
        <f t="shared" si="13"/>
        <v>411249.82063636929</v>
      </c>
      <c r="P23" s="45">
        <f t="shared" si="13"/>
        <v>419271.13552573271</v>
      </c>
      <c r="Q23" s="45">
        <f t="shared" si="13"/>
        <v>428052.23694113351</v>
      </c>
      <c r="R23" s="45">
        <f t="shared" si="13"/>
        <v>440485.69482978078</v>
      </c>
      <c r="S23" s="45">
        <f t="shared" si="13"/>
        <v>443983.56647459441</v>
      </c>
      <c r="T23" s="45">
        <f t="shared" si="13"/>
        <v>443858.9620608376</v>
      </c>
      <c r="U23" s="45">
        <f t="shared" si="13"/>
        <v>444473.05463886994</v>
      </c>
      <c r="V23" s="45">
        <f t="shared" si="13"/>
        <v>448632.17505458707</v>
      </c>
      <c r="W23" s="45">
        <f t="shared" si="13"/>
        <v>444733.98024801473</v>
      </c>
      <c r="X23" s="45">
        <f t="shared" si="13"/>
        <v>449316.15400143748</v>
      </c>
      <c r="Y23" s="45">
        <f t="shared" si="13"/>
        <v>430028.21932959906</v>
      </c>
      <c r="Z23" s="45">
        <f t="shared" si="13"/>
        <v>414445.76188116125</v>
      </c>
      <c r="AA23" s="45">
        <f t="shared" si="13"/>
        <v>413742.91348686884</v>
      </c>
      <c r="AB23" s="45">
        <f t="shared" si="13"/>
        <v>410677.4466224222</v>
      </c>
      <c r="AC23" s="45">
        <f t="shared" si="13"/>
        <v>410677.11087173078</v>
      </c>
      <c r="AD23" s="45">
        <f t="shared" si="13"/>
        <v>410677.11087173078</v>
      </c>
      <c r="AE23" s="45">
        <f t="shared" si="13"/>
        <v>409961.24061467702</v>
      </c>
      <c r="AF23" s="45">
        <f t="shared" si="13"/>
        <v>405100.39652643702</v>
      </c>
      <c r="AG23" s="46">
        <f>SUM(I23:AF23)</f>
        <v>10071257.22191702</v>
      </c>
    </row>
    <row r="24" spans="1:33" ht="14.5" thickBot="1">
      <c r="A24" s="62"/>
      <c r="B24">
        <f t="shared" ref="B24:B27" si="14">+MONTH(E24)</f>
        <v>5</v>
      </c>
      <c r="C24">
        <f t="shared" ref="C24:C27" si="15">+YEAR(E24)</f>
        <v>2026</v>
      </c>
      <c r="D24" t="str">
        <f t="shared" ref="D24:D27" si="16">+_xlfn.CONCAT(B24:C24,G24)</f>
        <v>52026OR</v>
      </c>
      <c r="E24" s="71">
        <v>46143</v>
      </c>
      <c r="F24" s="73">
        <f>+'PRODUCTO 01'!F13</f>
        <v>9866307.0700000003</v>
      </c>
      <c r="G24" s="37" t="s">
        <v>57</v>
      </c>
      <c r="H24" s="37">
        <v>19</v>
      </c>
      <c r="I24" s="66">
        <v>12814.676723773797</v>
      </c>
      <c r="J24" s="66">
        <v>12814.676548785377</v>
      </c>
      <c r="K24" s="66">
        <v>12814.676762226121</v>
      </c>
      <c r="L24" s="66">
        <v>12750.637724069815</v>
      </c>
      <c r="M24" s="66">
        <v>12814.676548785377</v>
      </c>
      <c r="N24" s="66">
        <v>12827.217778745624</v>
      </c>
      <c r="O24" s="66">
        <v>12909.320128434712</v>
      </c>
      <c r="P24" s="66">
        <v>13341.393902347712</v>
      </c>
      <c r="Q24" s="66">
        <v>14105.488377125472</v>
      </c>
      <c r="R24" s="66">
        <v>14234.654046237702</v>
      </c>
      <c r="S24" s="66">
        <v>13928.992480577816</v>
      </c>
      <c r="T24" s="66">
        <v>13772.448904424878</v>
      </c>
      <c r="U24" s="66">
        <v>13748.424610613491</v>
      </c>
      <c r="V24" s="66">
        <v>13664.719425629419</v>
      </c>
      <c r="W24" s="66">
        <v>13938.22280472165</v>
      </c>
      <c r="X24" s="66">
        <v>14078.803984796135</v>
      </c>
      <c r="Y24" s="66">
        <v>13691.5490807927</v>
      </c>
      <c r="Z24" s="66">
        <v>12973.863214612087</v>
      </c>
      <c r="AA24" s="66">
        <v>12945.198178628601</v>
      </c>
      <c r="AB24" s="66">
        <v>12814.831756070875</v>
      </c>
      <c r="AC24" s="66">
        <v>12814.677030321011</v>
      </c>
      <c r="AD24" s="66">
        <v>12814.677015336521</v>
      </c>
      <c r="AE24" s="66">
        <v>12814.676978002271</v>
      </c>
      <c r="AF24" s="66">
        <v>12814.676835522579</v>
      </c>
      <c r="AG24" s="38">
        <f>+SUM(I24:AF24)*H24</f>
        <v>6046620.4359710533</v>
      </c>
    </row>
    <row r="25" spans="1:33" ht="14.5" thickBot="1">
      <c r="A25" s="62"/>
      <c r="B25">
        <f t="shared" si="14"/>
        <v>5</v>
      </c>
      <c r="C25">
        <f t="shared" si="15"/>
        <v>2026</v>
      </c>
      <c r="D25" t="str">
        <f t="shared" si="16"/>
        <v>52026SA</v>
      </c>
      <c r="E25" s="72">
        <v>46143</v>
      </c>
      <c r="F25" s="73"/>
      <c r="G25" s="39" t="s">
        <v>60</v>
      </c>
      <c r="H25" s="39">
        <v>5</v>
      </c>
      <c r="I25" s="66">
        <v>12814.676723773799</v>
      </c>
      <c r="J25" s="66">
        <v>12814.676548785374</v>
      </c>
      <c r="K25" s="66">
        <v>12814.676762226118</v>
      </c>
      <c r="L25" s="66">
        <v>12814.676548785374</v>
      </c>
      <c r="M25" s="66">
        <v>12814.676548785374</v>
      </c>
      <c r="N25" s="66">
        <v>12827.21777874562</v>
      </c>
      <c r="O25" s="66">
        <v>12909.320128434709</v>
      </c>
      <c r="P25" s="66">
        <v>13341.393902347709</v>
      </c>
      <c r="Q25" s="66">
        <v>14105.488377125474</v>
      </c>
      <c r="R25" s="66">
        <v>14234.654046237702</v>
      </c>
      <c r="S25" s="66">
        <v>13928.992480577814</v>
      </c>
      <c r="T25" s="66">
        <v>13772.44890442488</v>
      </c>
      <c r="U25" s="66">
        <v>13748.424610613485</v>
      </c>
      <c r="V25" s="66">
        <v>13664.719425629422</v>
      </c>
      <c r="W25" s="66">
        <v>13938.222804721652</v>
      </c>
      <c r="X25" s="66">
        <v>14078.803984796139</v>
      </c>
      <c r="Y25" s="66">
        <v>13691.549080792702</v>
      </c>
      <c r="Z25" s="66">
        <v>12973.863214612084</v>
      </c>
      <c r="AA25" s="66">
        <v>12945.198178628598</v>
      </c>
      <c r="AB25" s="66">
        <v>12814.831756070878</v>
      </c>
      <c r="AC25" s="66">
        <v>12814.677030321014</v>
      </c>
      <c r="AD25" s="66">
        <v>12814.677015336521</v>
      </c>
      <c r="AE25" s="66">
        <v>12814.67697800227</v>
      </c>
      <c r="AF25" s="66">
        <v>12814.676835522579</v>
      </c>
      <c r="AG25" s="40">
        <f>+SUM(I25:AF25)*H25</f>
        <v>1591536.0983264865</v>
      </c>
    </row>
    <row r="26" spans="1:33" ht="14.5" thickBot="1">
      <c r="A26" s="62"/>
      <c r="B26">
        <f t="shared" si="14"/>
        <v>5</v>
      </c>
      <c r="C26">
        <f t="shared" si="15"/>
        <v>2026</v>
      </c>
      <c r="D26" t="str">
        <f t="shared" si="16"/>
        <v>52026DO</v>
      </c>
      <c r="E26" s="72">
        <v>46143</v>
      </c>
      <c r="F26" s="73"/>
      <c r="G26" s="41" t="s">
        <v>58</v>
      </c>
      <c r="H26" s="41">
        <v>5</v>
      </c>
      <c r="I26" s="66">
        <v>12814.676723773799</v>
      </c>
      <c r="J26" s="66">
        <v>12814.676548785374</v>
      </c>
      <c r="K26" s="66">
        <v>12814.676762226118</v>
      </c>
      <c r="L26" s="66">
        <v>12814.676548785374</v>
      </c>
      <c r="M26" s="66">
        <v>12814.676548785374</v>
      </c>
      <c r="N26" s="66">
        <v>12827.21777874562</v>
      </c>
      <c r="O26" s="66">
        <v>12909.320128434709</v>
      </c>
      <c r="P26" s="66">
        <v>13341.393902347709</v>
      </c>
      <c r="Q26" s="66">
        <v>14105.488377125474</v>
      </c>
      <c r="R26" s="66">
        <v>14234.654046237702</v>
      </c>
      <c r="S26" s="66">
        <v>13928.992480577814</v>
      </c>
      <c r="T26" s="66">
        <v>13772.44890442488</v>
      </c>
      <c r="U26" s="66">
        <v>13748.424610613485</v>
      </c>
      <c r="V26" s="66">
        <v>13664.719425629422</v>
      </c>
      <c r="W26" s="66">
        <v>13938.222804721652</v>
      </c>
      <c r="X26" s="66">
        <v>14078.803984796139</v>
      </c>
      <c r="Y26" s="66">
        <v>13691.549080792702</v>
      </c>
      <c r="Z26" s="66">
        <v>12973.863214612084</v>
      </c>
      <c r="AA26" s="66">
        <v>12945.198178628598</v>
      </c>
      <c r="AB26" s="66">
        <v>12814.831756070878</v>
      </c>
      <c r="AC26" s="66">
        <v>12814.677030321014</v>
      </c>
      <c r="AD26" s="66">
        <v>12814.677015336521</v>
      </c>
      <c r="AE26" s="66">
        <v>12814.67697800227</v>
      </c>
      <c r="AF26" s="66">
        <v>12814.676835522579</v>
      </c>
      <c r="AG26" s="40">
        <f>+SUM(I26:AF26)*H26</f>
        <v>1591536.0983264865</v>
      </c>
    </row>
    <row r="27" spans="1:33" ht="14">
      <c r="A27" s="62"/>
      <c r="B27">
        <f t="shared" si="14"/>
        <v>5</v>
      </c>
      <c r="C27">
        <f t="shared" si="15"/>
        <v>2026</v>
      </c>
      <c r="D27" t="str">
        <f t="shared" si="16"/>
        <v>52026FE</v>
      </c>
      <c r="E27" s="72">
        <v>46143</v>
      </c>
      <c r="F27" s="73"/>
      <c r="G27" s="42" t="s">
        <v>59</v>
      </c>
      <c r="H27" s="42">
        <v>2</v>
      </c>
      <c r="I27" s="66">
        <v>12814.676723773799</v>
      </c>
      <c r="J27" s="66">
        <v>12814.676548785374</v>
      </c>
      <c r="K27" s="66">
        <v>12814.676762226118</v>
      </c>
      <c r="L27" s="66">
        <v>12814.676548785374</v>
      </c>
      <c r="M27" s="66">
        <v>12814.676548785374</v>
      </c>
      <c r="N27" s="66">
        <v>12827.21777874562</v>
      </c>
      <c r="O27" s="66">
        <v>12909.320128434709</v>
      </c>
      <c r="P27" s="66">
        <v>13341.393902347707</v>
      </c>
      <c r="Q27" s="66">
        <v>14105.488377125475</v>
      </c>
      <c r="R27" s="66">
        <v>14234.654046237702</v>
      </c>
      <c r="S27" s="66">
        <v>13928.992480577814</v>
      </c>
      <c r="T27" s="66">
        <v>13772.44890442488</v>
      </c>
      <c r="U27" s="66">
        <v>13748.424610613485</v>
      </c>
      <c r="V27" s="66">
        <v>13664.719425629424</v>
      </c>
      <c r="W27" s="66">
        <v>13938.222804721652</v>
      </c>
      <c r="X27" s="66">
        <v>14078.803984796141</v>
      </c>
      <c r="Y27" s="66">
        <v>13691.549080792702</v>
      </c>
      <c r="Z27" s="66">
        <v>12973.863214612084</v>
      </c>
      <c r="AA27" s="66">
        <v>12945.198178628598</v>
      </c>
      <c r="AB27" s="66">
        <v>12814.831756070878</v>
      </c>
      <c r="AC27" s="66">
        <v>12814.677030321014</v>
      </c>
      <c r="AD27" s="66">
        <v>12814.677015336521</v>
      </c>
      <c r="AE27" s="66">
        <v>12814.67697800227</v>
      </c>
      <c r="AF27" s="66">
        <v>12814.676835522579</v>
      </c>
      <c r="AG27" s="43">
        <f>+SUM(I27:AF27)*H27</f>
        <v>636614.43933059461</v>
      </c>
    </row>
    <row r="28" spans="1:33" ht="15" thickBot="1">
      <c r="A28" s="62"/>
      <c r="D28" t="str">
        <f t="shared" si="8"/>
        <v>46143TOTAL</v>
      </c>
      <c r="E28" s="72">
        <v>46143</v>
      </c>
      <c r="F28" s="61"/>
      <c r="G28" s="44" t="s">
        <v>10</v>
      </c>
      <c r="H28" s="44">
        <f>+SUM(H24:H27)</f>
        <v>31</v>
      </c>
      <c r="I28" s="45">
        <f t="shared" ref="I28:AF28" si="17">+SUMPRODUCT(I24:I27,$H24:$H27)</f>
        <v>397254.97843698773</v>
      </c>
      <c r="J28" s="45">
        <f t="shared" si="17"/>
        <v>397254.9730123466</v>
      </c>
      <c r="K28" s="45">
        <f t="shared" si="17"/>
        <v>397254.97962900973</v>
      </c>
      <c r="L28" s="45">
        <f t="shared" si="17"/>
        <v>396038.23534275097</v>
      </c>
      <c r="M28" s="45">
        <f t="shared" si="17"/>
        <v>397254.9730123466</v>
      </c>
      <c r="N28" s="45">
        <f t="shared" si="17"/>
        <v>397643.75114111428</v>
      </c>
      <c r="O28" s="45">
        <f t="shared" si="17"/>
        <v>400188.92398147605</v>
      </c>
      <c r="P28" s="45">
        <f t="shared" si="17"/>
        <v>413583.21097277908</v>
      </c>
      <c r="Q28" s="45">
        <f t="shared" si="17"/>
        <v>437270.13969088963</v>
      </c>
      <c r="R28" s="45">
        <f t="shared" si="17"/>
        <v>441274.27543336875</v>
      </c>
      <c r="S28" s="45">
        <f t="shared" si="17"/>
        <v>431798.7668979122</v>
      </c>
      <c r="T28" s="45">
        <f t="shared" si="17"/>
        <v>426945.91603717126</v>
      </c>
      <c r="U28" s="45">
        <f t="shared" si="17"/>
        <v>426201.16292901814</v>
      </c>
      <c r="V28" s="45">
        <f t="shared" si="17"/>
        <v>423606.30219451198</v>
      </c>
      <c r="W28" s="45">
        <f t="shared" si="17"/>
        <v>432084.90694637119</v>
      </c>
      <c r="X28" s="45">
        <f t="shared" si="17"/>
        <v>436442.92352868023</v>
      </c>
      <c r="Y28" s="45">
        <f t="shared" si="17"/>
        <v>424438.0215045737</v>
      </c>
      <c r="Z28" s="45">
        <f t="shared" si="17"/>
        <v>402189.75965297461</v>
      </c>
      <c r="AA28" s="45">
        <f t="shared" si="17"/>
        <v>401301.14353748661</v>
      </c>
      <c r="AB28" s="45">
        <f t="shared" si="17"/>
        <v>397259.78443819721</v>
      </c>
      <c r="AC28" s="45">
        <f t="shared" si="17"/>
        <v>397254.98793995136</v>
      </c>
      <c r="AD28" s="45">
        <f t="shared" si="17"/>
        <v>397254.98747543216</v>
      </c>
      <c r="AE28" s="45">
        <f t="shared" si="17"/>
        <v>397254.98631807038</v>
      </c>
      <c r="AF28" s="45">
        <f t="shared" si="17"/>
        <v>397254.98190119996</v>
      </c>
      <c r="AG28" s="46">
        <f>SUM(I28:AF28)</f>
        <v>9866307.0719546229</v>
      </c>
    </row>
    <row r="29" spans="1:33" ht="14.5" thickBot="1">
      <c r="A29" s="62"/>
      <c r="B29">
        <f t="shared" ref="B29:B32" si="18">+MONTH(E29)</f>
        <v>6</v>
      </c>
      <c r="C29">
        <f t="shared" ref="C29:C32" si="19">+YEAR(E29)</f>
        <v>2026</v>
      </c>
      <c r="D29" t="str">
        <f t="shared" ref="D29:D32" si="20">+_xlfn.CONCAT(B29:C29,G29)</f>
        <v>62026OR</v>
      </c>
      <c r="E29" s="71">
        <v>46174</v>
      </c>
      <c r="F29" s="73">
        <f>+'PRODUCTO 01'!F14</f>
        <v>12364563.939999999</v>
      </c>
      <c r="G29" s="37" t="s">
        <v>57</v>
      </c>
      <c r="H29" s="37">
        <v>19</v>
      </c>
      <c r="I29" s="66">
        <v>16815.555349565529</v>
      </c>
      <c r="J29" s="66">
        <v>16672.681046220347</v>
      </c>
      <c r="K29" s="66">
        <v>16400.200036901293</v>
      </c>
      <c r="L29" s="66">
        <v>15610.825172413048</v>
      </c>
      <c r="M29" s="66">
        <v>16543.098076339913</v>
      </c>
      <c r="N29" s="66">
        <v>16826.732729938722</v>
      </c>
      <c r="O29" s="66">
        <v>16905.701732678841</v>
      </c>
      <c r="P29" s="66">
        <v>17143.379397335371</v>
      </c>
      <c r="Q29" s="66">
        <v>17606.507827621408</v>
      </c>
      <c r="R29" s="66">
        <v>18192.895028721494</v>
      </c>
      <c r="S29" s="66">
        <v>18270.095527856745</v>
      </c>
      <c r="T29" s="66">
        <v>18181.525415090517</v>
      </c>
      <c r="U29" s="66">
        <v>18342.888518921809</v>
      </c>
      <c r="V29" s="66">
        <v>17973.157396433202</v>
      </c>
      <c r="W29" s="66">
        <v>17696.642534369832</v>
      </c>
      <c r="X29" s="66">
        <v>17405.128182374381</v>
      </c>
      <c r="Y29" s="66">
        <v>17226.020393315248</v>
      </c>
      <c r="Z29" s="66">
        <v>16976.084484696748</v>
      </c>
      <c r="AA29" s="66">
        <v>16986.470945269291</v>
      </c>
      <c r="AB29" s="66">
        <v>16815.837898300411</v>
      </c>
      <c r="AC29" s="66">
        <v>16815.555367260265</v>
      </c>
      <c r="AD29" s="66">
        <v>16815.555348204402</v>
      </c>
      <c r="AE29" s="66">
        <v>16815.555347115489</v>
      </c>
      <c r="AF29" s="66">
        <v>16815.555353648928</v>
      </c>
      <c r="AG29" s="38">
        <f>+SUM(I29:AF29)*H29</f>
        <v>7825219.3331012707</v>
      </c>
    </row>
    <row r="30" spans="1:33" ht="14.5" thickBot="1">
      <c r="A30" s="62"/>
      <c r="B30">
        <f t="shared" si="18"/>
        <v>6</v>
      </c>
      <c r="C30">
        <f t="shared" si="19"/>
        <v>2026</v>
      </c>
      <c r="D30" t="str">
        <f t="shared" si="20"/>
        <v>62026SA</v>
      </c>
      <c r="E30" s="72">
        <v>46174</v>
      </c>
      <c r="F30" s="73"/>
      <c r="G30" s="39" t="s">
        <v>60</v>
      </c>
      <c r="H30" s="39">
        <v>4</v>
      </c>
      <c r="I30" s="66">
        <v>16813.235956143861</v>
      </c>
      <c r="J30" s="66">
        <v>16813.235955054952</v>
      </c>
      <c r="K30" s="66">
        <v>16813.235913132019</v>
      </c>
      <c r="L30" s="66">
        <v>16813.239279649206</v>
      </c>
      <c r="M30" s="66">
        <v>16813.239084334382</v>
      </c>
      <c r="N30" s="66">
        <v>16824.41333651706</v>
      </c>
      <c r="O30" s="66">
        <v>16903.382339257183</v>
      </c>
      <c r="P30" s="66">
        <v>17141.060003913713</v>
      </c>
      <c r="Q30" s="66">
        <v>17604.188434199739</v>
      </c>
      <c r="R30" s="66">
        <v>18190.575635299832</v>
      </c>
      <c r="S30" s="66">
        <v>18267.77613443508</v>
      </c>
      <c r="T30" s="66">
        <v>18179.206021668855</v>
      </c>
      <c r="U30" s="66">
        <v>18340.569125500133</v>
      </c>
      <c r="V30" s="66">
        <v>17970.83800301154</v>
      </c>
      <c r="W30" s="66">
        <v>17694.323140948167</v>
      </c>
      <c r="X30" s="66">
        <v>17402.80878895272</v>
      </c>
      <c r="Y30" s="66">
        <v>17223.700999893586</v>
      </c>
      <c r="Z30" s="66">
        <v>16973.765091275083</v>
      </c>
      <c r="AA30" s="66">
        <v>16984.15155184763</v>
      </c>
      <c r="AB30" s="66">
        <v>16813.51850487875</v>
      </c>
      <c r="AC30" s="66">
        <v>16813.235973838608</v>
      </c>
      <c r="AD30" s="66">
        <v>16813.235954782729</v>
      </c>
      <c r="AE30" s="66">
        <v>16813.23595369382</v>
      </c>
      <c r="AF30" s="66">
        <v>16238.830922904745</v>
      </c>
      <c r="AG30" s="40">
        <f>+SUM(I30:AF30)*H30</f>
        <v>1653036.0084205335</v>
      </c>
    </row>
    <row r="31" spans="1:33" ht="14.5" thickBot="1">
      <c r="A31" s="62"/>
      <c r="B31">
        <f t="shared" si="18"/>
        <v>6</v>
      </c>
      <c r="C31">
        <f t="shared" si="19"/>
        <v>2026</v>
      </c>
      <c r="D31" t="str">
        <f t="shared" si="20"/>
        <v>62026DO</v>
      </c>
      <c r="E31" s="72">
        <v>46174</v>
      </c>
      <c r="F31" s="73"/>
      <c r="G31" s="41" t="s">
        <v>58</v>
      </c>
      <c r="H31" s="41">
        <v>4</v>
      </c>
      <c r="I31" s="66">
        <v>16813.235956143861</v>
      </c>
      <c r="J31" s="66">
        <v>16813.235955054952</v>
      </c>
      <c r="K31" s="66">
        <v>16813.235913132019</v>
      </c>
      <c r="L31" s="66">
        <v>16740.236087365993</v>
      </c>
      <c r="M31" s="66">
        <v>15285.594339165997</v>
      </c>
      <c r="N31" s="66">
        <v>16058.15903927396</v>
      </c>
      <c r="O31" s="66">
        <v>16903.382339257183</v>
      </c>
      <c r="P31" s="66">
        <v>17141.060003913713</v>
      </c>
      <c r="Q31" s="66">
        <v>17604.188434199739</v>
      </c>
      <c r="R31" s="66">
        <v>18190.575635299832</v>
      </c>
      <c r="S31" s="66">
        <v>18267.77613443508</v>
      </c>
      <c r="T31" s="66">
        <v>18179.206021668855</v>
      </c>
      <c r="U31" s="66">
        <v>18340.569125500133</v>
      </c>
      <c r="V31" s="66">
        <v>17970.83800301154</v>
      </c>
      <c r="W31" s="66">
        <v>17694.323140948167</v>
      </c>
      <c r="X31" s="66">
        <v>17402.80878895272</v>
      </c>
      <c r="Y31" s="66">
        <v>17223.700999893586</v>
      </c>
      <c r="Z31" s="66">
        <v>16973.765091275083</v>
      </c>
      <c r="AA31" s="66">
        <v>16984.15155184763</v>
      </c>
      <c r="AB31" s="66">
        <v>16813.51850487875</v>
      </c>
      <c r="AC31" s="66">
        <v>16813.235973838608</v>
      </c>
      <c r="AD31" s="66">
        <v>16813.235954782729</v>
      </c>
      <c r="AE31" s="66">
        <v>16813.23595369382</v>
      </c>
      <c r="AF31" s="66">
        <v>16813.235960227266</v>
      </c>
      <c r="AG31" s="40">
        <f>+SUM(I31:AF31)*H31</f>
        <v>1645866.0196310449</v>
      </c>
    </row>
    <row r="32" spans="1:33" ht="14">
      <c r="A32" s="62"/>
      <c r="B32">
        <f t="shared" si="18"/>
        <v>6</v>
      </c>
      <c r="C32">
        <f t="shared" si="19"/>
        <v>2026</v>
      </c>
      <c r="D32" t="str">
        <f t="shared" si="20"/>
        <v>62026FE</v>
      </c>
      <c r="E32" s="72">
        <v>46174</v>
      </c>
      <c r="F32" s="73"/>
      <c r="G32" s="42" t="s">
        <v>59</v>
      </c>
      <c r="H32" s="42">
        <v>3</v>
      </c>
      <c r="I32" s="66">
        <v>16798.546464473318</v>
      </c>
      <c r="J32" s="66">
        <v>16798.546463384409</v>
      </c>
      <c r="K32" s="66">
        <v>16798.546421461477</v>
      </c>
      <c r="L32" s="66">
        <v>16798.54978797866</v>
      </c>
      <c r="M32" s="66">
        <v>16798.54959266384</v>
      </c>
      <c r="N32" s="66">
        <v>16809.723844846518</v>
      </c>
      <c r="O32" s="66">
        <v>16888.692847586641</v>
      </c>
      <c r="P32" s="66">
        <v>17126.370512243167</v>
      </c>
      <c r="Q32" s="66">
        <v>17589.498942529197</v>
      </c>
      <c r="R32" s="66">
        <v>18175.88614362929</v>
      </c>
      <c r="S32" s="66">
        <v>18253.086642764538</v>
      </c>
      <c r="T32" s="66">
        <v>18164.516529998309</v>
      </c>
      <c r="U32" s="66">
        <v>18325.879633829591</v>
      </c>
      <c r="V32" s="66">
        <v>17956.148511340998</v>
      </c>
      <c r="W32" s="66">
        <v>17679.633649277621</v>
      </c>
      <c r="X32" s="66">
        <v>17388.119297282177</v>
      </c>
      <c r="Y32" s="66">
        <v>17209.011508223044</v>
      </c>
      <c r="Z32" s="66">
        <v>16959.075599604537</v>
      </c>
      <c r="AA32" s="66">
        <v>16969.462060177084</v>
      </c>
      <c r="AB32" s="66">
        <v>16798.829013208207</v>
      </c>
      <c r="AC32" s="66">
        <v>16798.546482168062</v>
      </c>
      <c r="AD32" s="66">
        <v>16798.546463112183</v>
      </c>
      <c r="AE32" s="66">
        <v>16798.546462023278</v>
      </c>
      <c r="AF32" s="66">
        <v>16798.546468556724</v>
      </c>
      <c r="AG32" s="43">
        <f>+SUM(I32:AF32)*H32</f>
        <v>1240442.5780270884</v>
      </c>
    </row>
    <row r="33" spans="1:33" ht="15" thickBot="1">
      <c r="A33" s="62"/>
      <c r="D33" t="str">
        <f t="shared" si="8"/>
        <v>46174TOTAL</v>
      </c>
      <c r="E33" s="72">
        <v>46174</v>
      </c>
      <c r="F33" s="61"/>
      <c r="G33" s="44" t="s">
        <v>10</v>
      </c>
      <c r="H33" s="44">
        <f>+SUM(H29:H32)</f>
        <v>30</v>
      </c>
      <c r="I33" s="45">
        <f t="shared" ref="I33:AF33" si="21">+SUMPRODUCT(I29:I32,$H29:$H32)</f>
        <v>504397.07868431596</v>
      </c>
      <c r="J33" s="45">
        <f t="shared" si="21"/>
        <v>501682.46690877946</v>
      </c>
      <c r="K33" s="45">
        <f t="shared" si="21"/>
        <v>496505.32727056521</v>
      </c>
      <c r="L33" s="45">
        <f t="shared" si="21"/>
        <v>481215.2291078447</v>
      </c>
      <c r="M33" s="45">
        <f t="shared" si="21"/>
        <v>493109.84592245141</v>
      </c>
      <c r="N33" s="45">
        <f t="shared" si="21"/>
        <v>501667.38290653931</v>
      </c>
      <c r="O33" s="45">
        <f t="shared" si="21"/>
        <v>507101.47017771535</v>
      </c>
      <c r="P33" s="45">
        <f t="shared" si="21"/>
        <v>514231.80011741119</v>
      </c>
      <c r="Q33" s="45">
        <f t="shared" si="21"/>
        <v>528125.65302599221</v>
      </c>
      <c r="R33" s="45">
        <f t="shared" si="21"/>
        <v>545717.26905899495</v>
      </c>
      <c r="S33" s="45">
        <f t="shared" si="21"/>
        <v>548033.28403305251</v>
      </c>
      <c r="T33" s="45">
        <f t="shared" si="21"/>
        <v>545376.18065006554</v>
      </c>
      <c r="U33" s="45">
        <f t="shared" si="21"/>
        <v>550217.07376500417</v>
      </c>
      <c r="V33" s="45">
        <f t="shared" si="21"/>
        <v>539125.1400903461</v>
      </c>
      <c r="W33" s="45">
        <f t="shared" si="21"/>
        <v>530829.69422844506</v>
      </c>
      <c r="X33" s="45">
        <f t="shared" si="21"/>
        <v>522084.26366858161</v>
      </c>
      <c r="Y33" s="45">
        <f t="shared" si="21"/>
        <v>516711.02999680751</v>
      </c>
      <c r="Z33" s="45">
        <f t="shared" si="21"/>
        <v>509212.95273825253</v>
      </c>
      <c r="AA33" s="45">
        <f t="shared" si="21"/>
        <v>509524.54655542888</v>
      </c>
      <c r="AB33" s="45">
        <f t="shared" si="21"/>
        <v>504405.55514636252</v>
      </c>
      <c r="AC33" s="45">
        <f t="shared" si="21"/>
        <v>504397.07921515801</v>
      </c>
      <c r="AD33" s="45">
        <f t="shared" si="21"/>
        <v>504397.07864348206</v>
      </c>
      <c r="AE33" s="45">
        <f t="shared" si="21"/>
        <v>504397.07861081464</v>
      </c>
      <c r="AF33" s="45">
        <f t="shared" si="21"/>
        <v>502099.45865752781</v>
      </c>
      <c r="AG33" s="46">
        <f>SUM(I33:AF33)</f>
        <v>12364563.93917994</v>
      </c>
    </row>
    <row r="34" spans="1:33" ht="14">
      <c r="A34" s="62"/>
      <c r="B34">
        <f t="shared" ref="B34" si="22">+MONTH(E34)</f>
        <v>7</v>
      </c>
      <c r="C34">
        <f t="shared" ref="C34" si="23">+YEAR(E34)</f>
        <v>2026</v>
      </c>
      <c r="D34" t="str">
        <f t="shared" ref="D34" si="24">+_xlfn.CONCAT(B34:C34,G34)</f>
        <v>72026OR</v>
      </c>
      <c r="E34" s="71">
        <v>46204</v>
      </c>
      <c r="F34" s="73">
        <f>+'PRODUCTO 01'!F15</f>
        <v>12776719.279999999</v>
      </c>
      <c r="G34" s="37" t="s">
        <v>57</v>
      </c>
      <c r="H34" s="37">
        <v>22</v>
      </c>
      <c r="I34" s="66">
        <v>16786.805232250234</v>
      </c>
      <c r="J34" s="66">
        <v>16549.897159439864</v>
      </c>
      <c r="K34" s="66">
        <v>16071.953016817568</v>
      </c>
      <c r="L34" s="66">
        <v>15107.769050706172</v>
      </c>
      <c r="M34" s="66">
        <v>16321.802745260446</v>
      </c>
      <c r="N34" s="66">
        <v>16789.860914715857</v>
      </c>
      <c r="O34" s="66">
        <v>16878.709629582827</v>
      </c>
      <c r="P34" s="66">
        <v>17175.32180355534</v>
      </c>
      <c r="Q34" s="66">
        <v>17690.36789006395</v>
      </c>
      <c r="R34" s="66">
        <v>18359.218424239702</v>
      </c>
      <c r="S34" s="66">
        <v>18240.253353788848</v>
      </c>
      <c r="T34" s="66">
        <v>18232.326402206891</v>
      </c>
      <c r="U34" s="66">
        <v>18361.907371580422</v>
      </c>
      <c r="V34" s="66">
        <v>17817.57800018592</v>
      </c>
      <c r="W34" s="66">
        <v>17826.05280985979</v>
      </c>
      <c r="X34" s="66">
        <v>17956.183880339471</v>
      </c>
      <c r="Y34" s="66">
        <v>17418.422529991411</v>
      </c>
      <c r="Z34" s="66">
        <v>16995.896884590387</v>
      </c>
      <c r="AA34" s="66">
        <v>17009.376587429026</v>
      </c>
      <c r="AB34" s="66">
        <v>16787.34148409007</v>
      </c>
      <c r="AC34" s="66">
        <v>16786.80528732677</v>
      </c>
      <c r="AD34" s="66">
        <v>16786.80492932929</v>
      </c>
      <c r="AE34" s="66">
        <v>16786.80492932929</v>
      </c>
      <c r="AF34" s="66">
        <v>16786.80492932929</v>
      </c>
      <c r="AG34" s="38">
        <f>+SUM(I34:AF34)*H34</f>
        <v>9053533.8354121968</v>
      </c>
    </row>
    <row r="35" spans="1:33" ht="14">
      <c r="A35" s="62"/>
      <c r="B35">
        <f>+MONTH(E35)</f>
        <v>7</v>
      </c>
      <c r="C35">
        <f>+YEAR(E35)</f>
        <v>2026</v>
      </c>
      <c r="D35" t="str">
        <f>+_xlfn.CONCAT(B35:C35,G35)</f>
        <v>72026SA</v>
      </c>
      <c r="E35" s="72">
        <v>46204</v>
      </c>
      <c r="F35" s="74"/>
      <c r="G35" s="39" t="s">
        <v>60</v>
      </c>
      <c r="H35" s="39">
        <v>4</v>
      </c>
      <c r="I35" s="66">
        <v>16791.637503422506</v>
      </c>
      <c r="J35" s="66">
        <v>16791.637200501562</v>
      </c>
      <c r="K35" s="66">
        <v>16791.637200501562</v>
      </c>
      <c r="L35" s="66">
        <v>16791.637200501562</v>
      </c>
      <c r="M35" s="66">
        <v>16791.637309371785</v>
      </c>
      <c r="N35" s="66">
        <v>16794.693185888136</v>
      </c>
      <c r="O35" s="66">
        <v>16883.541900755114</v>
      </c>
      <c r="P35" s="66">
        <v>17180.154074727609</v>
      </c>
      <c r="Q35" s="66">
        <v>17695.200161236222</v>
      </c>
      <c r="R35" s="66">
        <v>18364.05069541197</v>
      </c>
      <c r="S35" s="66">
        <v>18245.085624961117</v>
      </c>
      <c r="T35" s="66">
        <v>18237.15867337917</v>
      </c>
      <c r="U35" s="66">
        <v>18366.739642752702</v>
      </c>
      <c r="V35" s="66">
        <v>17822.410271358189</v>
      </c>
      <c r="W35" s="66">
        <v>17830.885081032073</v>
      </c>
      <c r="X35" s="66">
        <v>17961.01615151174</v>
      </c>
      <c r="Y35" s="66">
        <v>17423.254801163686</v>
      </c>
      <c r="Z35" s="66">
        <v>17000.729155762667</v>
      </c>
      <c r="AA35" s="66">
        <v>17014.208858601305</v>
      </c>
      <c r="AB35" s="66">
        <v>16792.173755262353</v>
      </c>
      <c r="AC35" s="66">
        <v>16791.637558499038</v>
      </c>
      <c r="AD35" s="66">
        <v>16791.637200501562</v>
      </c>
      <c r="AE35" s="66">
        <v>16791.637200501562</v>
      </c>
      <c r="AF35" s="66">
        <v>16203.243773511043</v>
      </c>
      <c r="AG35" s="40">
        <f>+SUM(I35:AF35)*H35</f>
        <v>1656590.5767244648</v>
      </c>
    </row>
    <row r="36" spans="1:33" ht="14">
      <c r="A36" s="62"/>
      <c r="B36">
        <f>+MONTH(E36)</f>
        <v>7</v>
      </c>
      <c r="C36">
        <f>+YEAR(E36)</f>
        <v>2026</v>
      </c>
      <c r="D36" t="str">
        <f>+_xlfn.CONCAT(B36:C36,G36)</f>
        <v>72026DO</v>
      </c>
      <c r="E36" s="72">
        <v>46204</v>
      </c>
      <c r="F36" s="74"/>
      <c r="G36" s="41" t="s">
        <v>58</v>
      </c>
      <c r="H36" s="41">
        <v>4</v>
      </c>
      <c r="I36" s="66">
        <v>16791.637503422506</v>
      </c>
      <c r="J36" s="66">
        <v>16791.637200501562</v>
      </c>
      <c r="K36" s="66">
        <v>16791.637200501562</v>
      </c>
      <c r="L36" s="66">
        <v>16791.637200501562</v>
      </c>
      <c r="M36" s="66">
        <v>15921.957533753535</v>
      </c>
      <c r="N36" s="66">
        <v>16617.606458167458</v>
      </c>
      <c r="O36" s="66">
        <v>16883.541900755114</v>
      </c>
      <c r="P36" s="66">
        <v>17180.154074727609</v>
      </c>
      <c r="Q36" s="66">
        <v>17695.200161236222</v>
      </c>
      <c r="R36" s="66">
        <v>18364.05069541197</v>
      </c>
      <c r="S36" s="66">
        <v>18245.085624961117</v>
      </c>
      <c r="T36" s="66">
        <v>18237.15867337917</v>
      </c>
      <c r="U36" s="66">
        <v>18366.739642752702</v>
      </c>
      <c r="V36" s="66">
        <v>17822.410271358189</v>
      </c>
      <c r="W36" s="66">
        <v>17830.885081032073</v>
      </c>
      <c r="X36" s="66">
        <v>17961.01615151174</v>
      </c>
      <c r="Y36" s="66">
        <v>17423.254801163686</v>
      </c>
      <c r="Z36" s="66">
        <v>17000.729155762667</v>
      </c>
      <c r="AA36" s="66">
        <v>17014.208858601305</v>
      </c>
      <c r="AB36" s="66">
        <v>16792.173755262353</v>
      </c>
      <c r="AC36" s="66">
        <v>16791.637558499038</v>
      </c>
      <c r="AD36" s="66">
        <v>16791.637200501562</v>
      </c>
      <c r="AE36" s="66">
        <v>16791.637200501562</v>
      </c>
      <c r="AF36" s="66">
        <v>16791.637200501562</v>
      </c>
      <c r="AG36" s="40">
        <f>+SUM(I36:AF36)*H36</f>
        <v>1654757.0844190712</v>
      </c>
    </row>
    <row r="37" spans="1:33" ht="14">
      <c r="A37" s="62"/>
      <c r="B37">
        <f>+MONTH(E37)</f>
        <v>7</v>
      </c>
      <c r="C37">
        <f>+YEAR(E37)</f>
        <v>2026</v>
      </c>
      <c r="D37" t="str">
        <f>+_xlfn.CONCAT(B37:C37,G37)</f>
        <v>72026FE</v>
      </c>
      <c r="E37" s="72">
        <v>46204</v>
      </c>
      <c r="F37" s="74"/>
      <c r="G37" s="42" t="s">
        <v>59</v>
      </c>
      <c r="H37" s="42">
        <v>1</v>
      </c>
      <c r="I37" s="66">
        <v>16768.856796467498</v>
      </c>
      <c r="J37" s="66">
        <v>16768.856493546551</v>
      </c>
      <c r="K37" s="66">
        <v>16408.487063131994</v>
      </c>
      <c r="L37" s="66">
        <v>15918.536969384135</v>
      </c>
      <c r="M37" s="66">
        <v>15628.028338261138</v>
      </c>
      <c r="N37" s="66">
        <v>16771.912478933125</v>
      </c>
      <c r="O37" s="66">
        <v>16860.761193800103</v>
      </c>
      <c r="P37" s="66">
        <v>17157.373367772601</v>
      </c>
      <c r="Q37" s="66">
        <v>17672.419454281211</v>
      </c>
      <c r="R37" s="66">
        <v>18341.269988456963</v>
      </c>
      <c r="S37" s="66">
        <v>18222.30491800611</v>
      </c>
      <c r="T37" s="66">
        <v>18214.377966424159</v>
      </c>
      <c r="U37" s="66">
        <v>18343.958935797695</v>
      </c>
      <c r="V37" s="66">
        <v>17799.629564403182</v>
      </c>
      <c r="W37" s="66">
        <v>17808.104374077062</v>
      </c>
      <c r="X37" s="66">
        <v>17938.235444556733</v>
      </c>
      <c r="Y37" s="66">
        <v>17400.474094208679</v>
      </c>
      <c r="Z37" s="66">
        <v>16977.948448807656</v>
      </c>
      <c r="AA37" s="66">
        <v>16991.428151646294</v>
      </c>
      <c r="AB37" s="66">
        <v>16769.393048307345</v>
      </c>
      <c r="AC37" s="66">
        <v>16768.856851544031</v>
      </c>
      <c r="AD37" s="66">
        <v>16768.856493546551</v>
      </c>
      <c r="AE37" s="66">
        <v>16768.856493546551</v>
      </c>
      <c r="AF37" s="66">
        <v>16768.856493546551</v>
      </c>
      <c r="AG37" s="43">
        <f>+SUM(I37:AF37)*H37</f>
        <v>411837.78342245397</v>
      </c>
    </row>
    <row r="38" spans="1:33" ht="15" thickBot="1">
      <c r="A38" s="62"/>
      <c r="D38" t="str">
        <f>+_xlfn.CONCAT(E38,G38)</f>
        <v>46204TOTAL</v>
      </c>
      <c r="E38" s="72">
        <v>46204</v>
      </c>
      <c r="F38" s="61"/>
      <c r="G38" s="44" t="s">
        <v>10</v>
      </c>
      <c r="H38" s="44">
        <f>+SUM(H34:H37)</f>
        <v>31</v>
      </c>
      <c r="I38" s="45">
        <f t="shared" ref="I38:AF38" si="25">+SUMPRODUCT(I34:I37,$H34:$H37)</f>
        <v>520411.67193335266</v>
      </c>
      <c r="J38" s="45">
        <f t="shared" si="25"/>
        <v>515199.69160523603</v>
      </c>
      <c r="K38" s="45">
        <f t="shared" si="25"/>
        <v>504324.55103713094</v>
      </c>
      <c r="L38" s="45">
        <f t="shared" si="25"/>
        <v>482622.55368893238</v>
      </c>
      <c r="M38" s="45">
        <f t="shared" si="25"/>
        <v>505562.06810649222</v>
      </c>
      <c r="N38" s="45">
        <f t="shared" si="25"/>
        <v>519798.05117890437</v>
      </c>
      <c r="O38" s="45">
        <f t="shared" si="25"/>
        <v>523260.70825066313</v>
      </c>
      <c r="P38" s="45">
        <f t="shared" si="25"/>
        <v>532455.6856438109</v>
      </c>
      <c r="Q38" s="45">
        <f t="shared" si="25"/>
        <v>548422.11432557786</v>
      </c>
      <c r="R38" s="45">
        <f t="shared" si="25"/>
        <v>569156.48088502616</v>
      </c>
      <c r="S38" s="45">
        <f t="shared" si="25"/>
        <v>565468.56370104966</v>
      </c>
      <c r="T38" s="45">
        <f t="shared" si="25"/>
        <v>565222.82820200897</v>
      </c>
      <c r="U38" s="45">
        <f t="shared" si="25"/>
        <v>569239.83825258864</v>
      </c>
      <c r="V38" s="45">
        <f t="shared" si="25"/>
        <v>552365.62773935893</v>
      </c>
      <c r="W38" s="45">
        <f t="shared" si="25"/>
        <v>552628.34683924902</v>
      </c>
      <c r="X38" s="45">
        <f t="shared" si="25"/>
        <v>556662.41002411896</v>
      </c>
      <c r="Y38" s="45">
        <f t="shared" si="25"/>
        <v>539991.80816332914</v>
      </c>
      <c r="Z38" s="45">
        <f t="shared" si="25"/>
        <v>526893.51315589761</v>
      </c>
      <c r="AA38" s="45">
        <f t="shared" si="25"/>
        <v>527311.38394389534</v>
      </c>
      <c r="AB38" s="45">
        <f t="shared" si="25"/>
        <v>520428.29574038769</v>
      </c>
      <c r="AC38" s="45">
        <f t="shared" si="25"/>
        <v>520411.67364072526</v>
      </c>
      <c r="AD38" s="45">
        <f t="shared" si="25"/>
        <v>520411.66254280339</v>
      </c>
      <c r="AE38" s="45">
        <f t="shared" si="25"/>
        <v>520411.66254280339</v>
      </c>
      <c r="AF38" s="45">
        <f t="shared" si="25"/>
        <v>518058.08883484133</v>
      </c>
      <c r="AG38" s="46">
        <f>SUM(I38:AF38)</f>
        <v>12776719.279978186</v>
      </c>
    </row>
    <row r="39" spans="1:33" ht="14">
      <c r="A39" s="62"/>
      <c r="B39">
        <f>+MONTH(E39)</f>
        <v>8</v>
      </c>
      <c r="C39">
        <f>+YEAR(E39)</f>
        <v>2026</v>
      </c>
      <c r="D39" t="str">
        <f>+_xlfn.CONCAT(B39:C39,G39)</f>
        <v>82026OR</v>
      </c>
      <c r="E39" s="71">
        <v>46235</v>
      </c>
      <c r="F39" s="73">
        <f>+'PRODUCTO 01'!F16</f>
        <v>12207908.99</v>
      </c>
      <c r="G39" s="37" t="s">
        <v>57</v>
      </c>
      <c r="H39" s="37">
        <v>19</v>
      </c>
      <c r="I39" s="66">
        <v>15924.632954491939</v>
      </c>
      <c r="J39" s="66">
        <v>15924.632954491939</v>
      </c>
      <c r="K39" s="66">
        <v>15924.632954491939</v>
      </c>
      <c r="L39" s="66">
        <v>15701.4233612876</v>
      </c>
      <c r="M39" s="66">
        <v>15924.632954491939</v>
      </c>
      <c r="N39" s="66">
        <v>15928.276405649431</v>
      </c>
      <c r="O39" s="66">
        <v>15984.679504954154</v>
      </c>
      <c r="P39" s="66">
        <v>16217.972399974597</v>
      </c>
      <c r="Q39" s="66">
        <v>17177.466769637609</v>
      </c>
      <c r="R39" s="66">
        <v>17441.430120890367</v>
      </c>
      <c r="S39" s="66">
        <v>17567.33051385569</v>
      </c>
      <c r="T39" s="66">
        <v>17085.808897206341</v>
      </c>
      <c r="U39" s="66">
        <v>17101.12231109642</v>
      </c>
      <c r="V39" s="66">
        <v>17231.696375218227</v>
      </c>
      <c r="W39" s="66">
        <v>16844.683391571674</v>
      </c>
      <c r="X39" s="66">
        <v>16990.848862043182</v>
      </c>
      <c r="Y39" s="66">
        <v>16345.705483669672</v>
      </c>
      <c r="Z39" s="66">
        <v>16095.396751279734</v>
      </c>
      <c r="AA39" s="66">
        <v>16103.042642773255</v>
      </c>
      <c r="AB39" s="66">
        <v>15924.731584151039</v>
      </c>
      <c r="AC39" s="66">
        <v>15924.632954491939</v>
      </c>
      <c r="AD39" s="66">
        <v>15924.632954491939</v>
      </c>
      <c r="AE39" s="66">
        <v>15924.632954491939</v>
      </c>
      <c r="AF39" s="66">
        <v>15924.632954491939</v>
      </c>
      <c r="AG39" s="38">
        <f>+SUM(I39:AF39)*H39</f>
        <v>7469634.9012126941</v>
      </c>
    </row>
    <row r="40" spans="1:33" ht="14">
      <c r="A40" s="62"/>
      <c r="B40">
        <f>+MONTH(E40)</f>
        <v>8</v>
      </c>
      <c r="C40">
        <f>+YEAR(E40)</f>
        <v>2026</v>
      </c>
      <c r="D40" t="str">
        <f>+_xlfn.CONCAT(B40:C40,G40)</f>
        <v>82026SA</v>
      </c>
      <c r="E40" s="72">
        <v>46235</v>
      </c>
      <c r="F40" s="74"/>
      <c r="G40" s="39" t="s">
        <v>60</v>
      </c>
      <c r="H40" s="39">
        <v>5</v>
      </c>
      <c r="I40" s="66">
        <v>15965.046551340722</v>
      </c>
      <c r="J40" s="66">
        <v>15965.046551340722</v>
      </c>
      <c r="K40" s="66">
        <v>15965.046551340722</v>
      </c>
      <c r="L40" s="66">
        <v>15965.046551340722</v>
      </c>
      <c r="M40" s="66">
        <v>15965.046551340722</v>
      </c>
      <c r="N40" s="66">
        <v>15968.690002498213</v>
      </c>
      <c r="O40" s="66">
        <v>16025.093101802941</v>
      </c>
      <c r="P40" s="66">
        <v>16281.487625575048</v>
      </c>
      <c r="Q40" s="66">
        <v>17240.98199523806</v>
      </c>
      <c r="R40" s="66">
        <v>17504.945346490818</v>
      </c>
      <c r="S40" s="66">
        <v>17630.845739456145</v>
      </c>
      <c r="T40" s="66">
        <v>17149.324122806796</v>
      </c>
      <c r="U40" s="66">
        <v>17164.637536696871</v>
      </c>
      <c r="V40" s="66">
        <v>17295.211600818675</v>
      </c>
      <c r="W40" s="66">
        <v>16908.198617172126</v>
      </c>
      <c r="X40" s="66">
        <v>17054.364087643626</v>
      </c>
      <c r="Y40" s="66">
        <v>16409.220709270121</v>
      </c>
      <c r="Z40" s="66">
        <v>16135.810348128518</v>
      </c>
      <c r="AA40" s="66">
        <v>16143.456239622037</v>
      </c>
      <c r="AB40" s="66">
        <v>15965.145180999822</v>
      </c>
      <c r="AC40" s="66">
        <v>15965.046551340722</v>
      </c>
      <c r="AD40" s="66">
        <v>15965.046551340722</v>
      </c>
      <c r="AE40" s="66">
        <v>15965.046551340722</v>
      </c>
      <c r="AF40" s="66">
        <v>15965.046551340722</v>
      </c>
      <c r="AG40" s="40">
        <f>+SUM(I40:AF40)*H40</f>
        <v>1972814.1560814315</v>
      </c>
    </row>
    <row r="41" spans="1:33" ht="14">
      <c r="A41" s="62"/>
      <c r="B41">
        <f>+MONTH(E41)</f>
        <v>8</v>
      </c>
      <c r="C41">
        <f>+YEAR(E41)</f>
        <v>2026</v>
      </c>
      <c r="D41" t="str">
        <f>+_xlfn.CONCAT(B41:C41,G41)</f>
        <v>82026DO</v>
      </c>
      <c r="E41" s="72">
        <v>46235</v>
      </c>
      <c r="F41" s="74"/>
      <c r="G41" s="41" t="s">
        <v>58</v>
      </c>
      <c r="H41" s="41">
        <v>5</v>
      </c>
      <c r="I41" s="66">
        <v>15965.046551340722</v>
      </c>
      <c r="J41" s="66">
        <v>15965.046551340722</v>
      </c>
      <c r="K41" s="66">
        <v>15965.046551340722</v>
      </c>
      <c r="L41" s="66">
        <v>15965.046551340722</v>
      </c>
      <c r="M41" s="66">
        <v>15965.046551340722</v>
      </c>
      <c r="N41" s="66">
        <v>15968.690002498213</v>
      </c>
      <c r="O41" s="66">
        <v>16025.093101802941</v>
      </c>
      <c r="P41" s="66">
        <v>16281.487625575048</v>
      </c>
      <c r="Q41" s="66">
        <v>17240.98199523806</v>
      </c>
      <c r="R41" s="66">
        <v>17504.945346490818</v>
      </c>
      <c r="S41" s="66">
        <v>17630.845739456145</v>
      </c>
      <c r="T41" s="66">
        <v>17149.324122806796</v>
      </c>
      <c r="U41" s="66">
        <v>17164.637536696871</v>
      </c>
      <c r="V41" s="66">
        <v>17295.211600818675</v>
      </c>
      <c r="W41" s="66">
        <v>16908.198617172126</v>
      </c>
      <c r="X41" s="66">
        <v>17054.364087643626</v>
      </c>
      <c r="Y41" s="66">
        <v>16409.220709270121</v>
      </c>
      <c r="Z41" s="66">
        <v>16135.810348128518</v>
      </c>
      <c r="AA41" s="66">
        <v>16143.456239622037</v>
      </c>
      <c r="AB41" s="66">
        <v>15965.145180999822</v>
      </c>
      <c r="AC41" s="66">
        <v>15965.046551340722</v>
      </c>
      <c r="AD41" s="66">
        <v>15965.046551340722</v>
      </c>
      <c r="AE41" s="66">
        <v>15965.046551340722</v>
      </c>
      <c r="AF41" s="66">
        <v>15965.046551340722</v>
      </c>
      <c r="AG41" s="40">
        <f>+SUM(I41:AF41)*H41</f>
        <v>1972814.1560814315</v>
      </c>
    </row>
    <row r="42" spans="1:33" ht="14">
      <c r="A42" s="62"/>
      <c r="B42">
        <f>+MONTH(E42)</f>
        <v>8</v>
      </c>
      <c r="C42">
        <f>+YEAR(E42)</f>
        <v>2026</v>
      </c>
      <c r="D42" t="str">
        <f>+_xlfn.CONCAT(B42:C42,G42)</f>
        <v>82026FE</v>
      </c>
      <c r="E42" s="72">
        <v>46235</v>
      </c>
      <c r="F42" s="74"/>
      <c r="G42" s="42" t="s">
        <v>59</v>
      </c>
      <c r="H42" s="42">
        <v>2</v>
      </c>
      <c r="I42" s="66">
        <v>16038.38225296509</v>
      </c>
      <c r="J42" s="66">
        <v>16038.38225296509</v>
      </c>
      <c r="K42" s="66">
        <v>16038.38225296509</v>
      </c>
      <c r="L42" s="66">
        <v>16038.38225296509</v>
      </c>
      <c r="M42" s="66">
        <v>16038.38225296509</v>
      </c>
      <c r="N42" s="66">
        <v>16042.025704122583</v>
      </c>
      <c r="O42" s="66">
        <v>16098.428803427307</v>
      </c>
      <c r="P42" s="66">
        <v>16354.823327199416</v>
      </c>
      <c r="Q42" s="66">
        <v>17314.317696862428</v>
      </c>
      <c r="R42" s="66">
        <v>17578.281048115186</v>
      </c>
      <c r="S42" s="66">
        <v>17704.181441080513</v>
      </c>
      <c r="T42" s="66">
        <v>17222.659824431164</v>
      </c>
      <c r="U42" s="66">
        <v>17237.973238321239</v>
      </c>
      <c r="V42" s="66">
        <v>17368.547302443043</v>
      </c>
      <c r="W42" s="66">
        <v>16981.534318796494</v>
      </c>
      <c r="X42" s="66">
        <v>17127.699789267994</v>
      </c>
      <c r="Y42" s="66">
        <v>16482.556410894489</v>
      </c>
      <c r="Z42" s="66">
        <v>16209.146049752888</v>
      </c>
      <c r="AA42" s="66">
        <v>16216.791941246405</v>
      </c>
      <c r="AB42" s="66">
        <v>16038.48088262419</v>
      </c>
      <c r="AC42" s="66">
        <v>16038.38225296509</v>
      </c>
      <c r="AD42" s="66">
        <v>16038.38225296509</v>
      </c>
      <c r="AE42" s="66">
        <v>16038.38225296509</v>
      </c>
      <c r="AF42" s="66">
        <v>16038.38225296509</v>
      </c>
      <c r="AG42" s="43">
        <f>+SUM(I42:AF42)*H42</f>
        <v>792645.77611054224</v>
      </c>
    </row>
    <row r="43" spans="1:33" ht="15" thickBot="1">
      <c r="A43" s="62"/>
      <c r="D43" t="str">
        <f t="shared" si="8"/>
        <v>46235TOTAL</v>
      </c>
      <c r="E43" s="72">
        <v>46235</v>
      </c>
      <c r="F43" s="61"/>
      <c r="G43" s="44" t="s">
        <v>10</v>
      </c>
      <c r="H43" s="44">
        <f>+SUM(H39:H42)</f>
        <v>31</v>
      </c>
      <c r="I43" s="45">
        <f t="shared" ref="I43:AF43" si="26">+SUMPRODUCT(I39:I42,$H39:$H42)</f>
        <v>494295.25615468429</v>
      </c>
      <c r="J43" s="45">
        <f t="shared" si="26"/>
        <v>494295.25615468429</v>
      </c>
      <c r="K43" s="45">
        <f t="shared" si="26"/>
        <v>494295.25615468429</v>
      </c>
      <c r="L43" s="45">
        <f t="shared" si="26"/>
        <v>490054.27388380183</v>
      </c>
      <c r="M43" s="45">
        <f t="shared" si="26"/>
        <v>494295.25615468429</v>
      </c>
      <c r="N43" s="45">
        <f t="shared" si="26"/>
        <v>494408.20314056653</v>
      </c>
      <c r="O43" s="45">
        <f t="shared" si="26"/>
        <v>496156.69921901298</v>
      </c>
      <c r="P43" s="45">
        <f t="shared" si="26"/>
        <v>503665.99850966659</v>
      </c>
      <c r="Q43" s="45">
        <f t="shared" si="26"/>
        <v>533410.32396922004</v>
      </c>
      <c r="R43" s="45">
        <f t="shared" si="26"/>
        <v>541593.18785805546</v>
      </c>
      <c r="S43" s="45">
        <f t="shared" si="26"/>
        <v>545496.10003998061</v>
      </c>
      <c r="T43" s="45">
        <f t="shared" si="26"/>
        <v>530568.92992385081</v>
      </c>
      <c r="U43" s="45">
        <f t="shared" si="26"/>
        <v>531043.64575444313</v>
      </c>
      <c r="V43" s="45">
        <f t="shared" si="26"/>
        <v>535091.44174221915</v>
      </c>
      <c r="W43" s="45">
        <f t="shared" si="26"/>
        <v>523094.03924917604</v>
      </c>
      <c r="X43" s="45">
        <f t="shared" si="26"/>
        <v>527625.16883379268</v>
      </c>
      <c r="Y43" s="45">
        <f t="shared" si="26"/>
        <v>507625.72410421399</v>
      </c>
      <c r="Z43" s="45">
        <f t="shared" si="26"/>
        <v>499588.93385510589</v>
      </c>
      <c r="AA43" s="45">
        <f t="shared" si="26"/>
        <v>499825.95649140503</v>
      </c>
      <c r="AB43" s="45">
        <f t="shared" si="26"/>
        <v>494298.31367411639</v>
      </c>
      <c r="AC43" s="45">
        <f t="shared" si="26"/>
        <v>494295.25615468429</v>
      </c>
      <c r="AD43" s="45">
        <f t="shared" si="26"/>
        <v>494295.25615468429</v>
      </c>
      <c r="AE43" s="45">
        <f t="shared" si="26"/>
        <v>494295.25615468429</v>
      </c>
      <c r="AF43" s="45">
        <f t="shared" si="26"/>
        <v>494295.25615468429</v>
      </c>
      <c r="AG43" s="46">
        <f>SUM(I43:AF43)</f>
        <v>12207908.989486102</v>
      </c>
    </row>
    <row r="44" spans="1:33" ht="14">
      <c r="A44" s="62"/>
      <c r="B44">
        <f t="shared" ref="B44:B47" si="27">+MONTH(E44)</f>
        <v>9</v>
      </c>
      <c r="C44">
        <f t="shared" ref="C44:C47" si="28">+YEAR(E44)</f>
        <v>2026</v>
      </c>
      <c r="D44" t="str">
        <f t="shared" ref="D44:D47" si="29">+_xlfn.CONCAT(B44:C44,G44)</f>
        <v>92026OR</v>
      </c>
      <c r="E44" s="71">
        <v>46266</v>
      </c>
      <c r="F44" s="73">
        <f>+'PRODUCTO 01'!F17</f>
        <v>11954828.51</v>
      </c>
      <c r="G44" s="37" t="s">
        <v>57</v>
      </c>
      <c r="H44" s="37">
        <v>22</v>
      </c>
      <c r="I44" s="66">
        <v>16229.702520142462</v>
      </c>
      <c r="J44" s="66">
        <v>15927.77275551735</v>
      </c>
      <c r="K44" s="66">
        <v>15416.719260712982</v>
      </c>
      <c r="L44" s="66">
        <v>14938.951118468043</v>
      </c>
      <c r="M44" s="66">
        <v>15690.020824523281</v>
      </c>
      <c r="N44" s="66">
        <v>16242.960332639261</v>
      </c>
      <c r="O44" s="66">
        <v>16309.05199529894</v>
      </c>
      <c r="P44" s="66">
        <v>17206.545144116699</v>
      </c>
      <c r="Q44" s="66">
        <v>17840.620932437672</v>
      </c>
      <c r="R44" s="66">
        <v>17819.218149524804</v>
      </c>
      <c r="S44" s="66">
        <v>17363.132403451949</v>
      </c>
      <c r="T44" s="66">
        <v>17267.503516694062</v>
      </c>
      <c r="U44" s="66">
        <v>17250.507173199203</v>
      </c>
      <c r="V44" s="66">
        <v>17544.727897606015</v>
      </c>
      <c r="W44" s="66">
        <v>17253.478106692954</v>
      </c>
      <c r="X44" s="66">
        <v>17378.495658040614</v>
      </c>
      <c r="Y44" s="66">
        <v>16706.2887468761</v>
      </c>
      <c r="Z44" s="66">
        <v>16332.842631868763</v>
      </c>
      <c r="AA44" s="66">
        <v>16310.918637245333</v>
      </c>
      <c r="AB44" s="66">
        <v>16229.704150123913</v>
      </c>
      <c r="AC44" s="66">
        <v>16229.702520142462</v>
      </c>
      <c r="AD44" s="66">
        <v>16229.702520142462</v>
      </c>
      <c r="AE44" s="66">
        <v>16229.702520142462</v>
      </c>
      <c r="AF44" s="66">
        <v>16229.702520142462</v>
      </c>
      <c r="AG44" s="38">
        <f>+SUM(I44:AF44)*H44</f>
        <v>8759915.3847865071</v>
      </c>
    </row>
    <row r="45" spans="1:33" ht="14">
      <c r="A45" s="62"/>
      <c r="B45">
        <f t="shared" si="27"/>
        <v>9</v>
      </c>
      <c r="C45">
        <f t="shared" si="28"/>
        <v>2026</v>
      </c>
      <c r="D45" t="str">
        <f t="shared" si="29"/>
        <v>92026SA</v>
      </c>
      <c r="E45" s="72">
        <v>46266</v>
      </c>
      <c r="F45" s="74"/>
      <c r="G45" s="39" t="s">
        <v>60</v>
      </c>
      <c r="H45" s="39">
        <v>4</v>
      </c>
      <c r="I45" s="66">
        <v>16229.70252014246</v>
      </c>
      <c r="J45" s="66">
        <v>16229.70252014246</v>
      </c>
      <c r="K45" s="66">
        <v>16229.70252014246</v>
      </c>
      <c r="L45" s="66">
        <v>16229.70252014246</v>
      </c>
      <c r="M45" s="66">
        <v>16229.70252014246</v>
      </c>
      <c r="N45" s="66">
        <v>16242.960332639259</v>
      </c>
      <c r="O45" s="66">
        <v>16309.051995298936</v>
      </c>
      <c r="P45" s="66">
        <v>17206.545144116702</v>
      </c>
      <c r="Q45" s="66">
        <v>17840.62093243768</v>
      </c>
      <c r="R45" s="66">
        <v>17819.218149524797</v>
      </c>
      <c r="S45" s="66">
        <v>17363.132403451949</v>
      </c>
      <c r="T45" s="66">
        <v>17267.503516694062</v>
      </c>
      <c r="U45" s="66">
        <v>17250.507173199199</v>
      </c>
      <c r="V45" s="66">
        <v>17544.727897606008</v>
      </c>
      <c r="W45" s="66">
        <v>17253.478106692946</v>
      </c>
      <c r="X45" s="66">
        <v>17378.495658040611</v>
      </c>
      <c r="Y45" s="66">
        <v>16706.288746876093</v>
      </c>
      <c r="Z45" s="66">
        <v>16332.842631868762</v>
      </c>
      <c r="AA45" s="66">
        <v>16310.918637245333</v>
      </c>
      <c r="AB45" s="66">
        <v>16229.704150123911</v>
      </c>
      <c r="AC45" s="66">
        <v>16229.70252014246</v>
      </c>
      <c r="AD45" s="66">
        <v>16229.70252014246</v>
      </c>
      <c r="AE45" s="66">
        <v>16229.70252014246</v>
      </c>
      <c r="AF45" s="66">
        <v>15023.708118254784</v>
      </c>
      <c r="AG45" s="40">
        <f>+SUM(I45:AF45)*H45</f>
        <v>1599669.2950208434</v>
      </c>
    </row>
    <row r="46" spans="1:33" ht="14">
      <c r="A46" s="62"/>
      <c r="B46">
        <f t="shared" si="27"/>
        <v>9</v>
      </c>
      <c r="C46">
        <f t="shared" si="28"/>
        <v>2026</v>
      </c>
      <c r="D46" t="str">
        <f t="shared" si="29"/>
        <v>92026DO</v>
      </c>
      <c r="E46" s="72">
        <v>46266</v>
      </c>
      <c r="F46" s="74"/>
      <c r="G46" s="41" t="s">
        <v>58</v>
      </c>
      <c r="H46" s="41">
        <v>4</v>
      </c>
      <c r="I46" s="66">
        <v>16229.70252014246</v>
      </c>
      <c r="J46" s="66">
        <v>16229.70252014246</v>
      </c>
      <c r="K46" s="66">
        <v>16229.70252014246</v>
      </c>
      <c r="L46" s="66">
        <v>15658.183804868153</v>
      </c>
      <c r="M46" s="66">
        <v>14488.859922534568</v>
      </c>
      <c r="N46" s="66">
        <v>16242.960332639259</v>
      </c>
      <c r="O46" s="66">
        <v>16309.051995298936</v>
      </c>
      <c r="P46" s="66">
        <v>17206.545144116702</v>
      </c>
      <c r="Q46" s="66">
        <v>17840.62093243768</v>
      </c>
      <c r="R46" s="66">
        <v>17819.218149524797</v>
      </c>
      <c r="S46" s="66">
        <v>17363.132403451949</v>
      </c>
      <c r="T46" s="66">
        <v>17267.503516694062</v>
      </c>
      <c r="U46" s="66">
        <v>17250.507173199199</v>
      </c>
      <c r="V46" s="66">
        <v>17544.727897606008</v>
      </c>
      <c r="W46" s="66">
        <v>17253.478106692946</v>
      </c>
      <c r="X46" s="66">
        <v>17378.495658040611</v>
      </c>
      <c r="Y46" s="66">
        <v>16706.288746876093</v>
      </c>
      <c r="Z46" s="66">
        <v>16332.842631868762</v>
      </c>
      <c r="AA46" s="66">
        <v>16310.918637245333</v>
      </c>
      <c r="AB46" s="66">
        <v>16229.704150123911</v>
      </c>
      <c r="AC46" s="66">
        <v>16229.70252014246</v>
      </c>
      <c r="AD46" s="66">
        <v>16229.70252014246</v>
      </c>
      <c r="AE46" s="66">
        <v>16229.70252014246</v>
      </c>
      <c r="AF46" s="66">
        <v>16229.70252014246</v>
      </c>
      <c r="AG46" s="40">
        <f>+SUM(I46:AF46)*H46</f>
        <v>1595243.8273768653</v>
      </c>
    </row>
    <row r="47" spans="1:33" ht="14">
      <c r="A47" s="62"/>
      <c r="B47">
        <f t="shared" si="27"/>
        <v>9</v>
      </c>
      <c r="C47">
        <f t="shared" si="28"/>
        <v>2026</v>
      </c>
      <c r="D47" t="str">
        <f t="shared" si="29"/>
        <v>92026FE</v>
      </c>
      <c r="E47" s="72">
        <v>46266</v>
      </c>
      <c r="F47" s="74"/>
      <c r="G47" s="42" t="s">
        <v>59</v>
      </c>
      <c r="H47" s="42">
        <v>0</v>
      </c>
      <c r="I47" s="66">
        <v>0</v>
      </c>
      <c r="J47" s="66">
        <v>0</v>
      </c>
      <c r="K47" s="66">
        <v>0</v>
      </c>
      <c r="L47" s="66">
        <v>0</v>
      </c>
      <c r="M47" s="66">
        <v>0</v>
      </c>
      <c r="N47" s="66">
        <v>0</v>
      </c>
      <c r="O47" s="66">
        <v>0</v>
      </c>
      <c r="P47" s="66">
        <v>0</v>
      </c>
      <c r="Q47" s="66">
        <v>0</v>
      </c>
      <c r="R47" s="66">
        <v>0</v>
      </c>
      <c r="S47" s="66">
        <v>0</v>
      </c>
      <c r="T47" s="66">
        <v>0</v>
      </c>
      <c r="U47" s="66">
        <v>0</v>
      </c>
      <c r="V47" s="66">
        <v>0</v>
      </c>
      <c r="W47" s="66">
        <v>0</v>
      </c>
      <c r="X47" s="66">
        <v>0</v>
      </c>
      <c r="Y47" s="66">
        <v>0</v>
      </c>
      <c r="Z47" s="66">
        <v>0</v>
      </c>
      <c r="AA47" s="66">
        <v>0</v>
      </c>
      <c r="AB47" s="66">
        <v>0</v>
      </c>
      <c r="AC47" s="66">
        <v>0</v>
      </c>
      <c r="AD47" s="66">
        <v>0</v>
      </c>
      <c r="AE47" s="66">
        <v>0</v>
      </c>
      <c r="AF47" s="66">
        <v>0</v>
      </c>
      <c r="AG47" s="43">
        <f>+SUM(I47:AF47)*H47</f>
        <v>0</v>
      </c>
    </row>
    <row r="48" spans="1:33" ht="15" thickBot="1">
      <c r="A48" s="62"/>
      <c r="D48" t="str">
        <f t="shared" si="8"/>
        <v>46266TOTAL</v>
      </c>
      <c r="E48" s="72">
        <v>46266</v>
      </c>
      <c r="F48" s="61"/>
      <c r="G48" s="44" t="s">
        <v>10</v>
      </c>
      <c r="H48" s="44">
        <f>+SUM(H44:H47)</f>
        <v>30</v>
      </c>
      <c r="I48" s="45">
        <f t="shared" ref="I48:AF48" si="30">+SUMPRODUCT(I44:I47,$H44:$H47)</f>
        <v>486891.07560427382</v>
      </c>
      <c r="J48" s="45">
        <f t="shared" si="30"/>
        <v>480248.62078252132</v>
      </c>
      <c r="K48" s="45">
        <f t="shared" si="30"/>
        <v>469005.44389682525</v>
      </c>
      <c r="L48" s="45">
        <f t="shared" si="30"/>
        <v>456208.46990633936</v>
      </c>
      <c r="M48" s="45">
        <f t="shared" si="30"/>
        <v>468054.70791022026</v>
      </c>
      <c r="N48" s="45">
        <f t="shared" si="30"/>
        <v>487288.80997917778</v>
      </c>
      <c r="O48" s="45">
        <f t="shared" si="30"/>
        <v>489271.55985896819</v>
      </c>
      <c r="P48" s="45">
        <f t="shared" si="30"/>
        <v>516196.354323501</v>
      </c>
      <c r="Q48" s="45">
        <f t="shared" si="30"/>
        <v>535218.62797313021</v>
      </c>
      <c r="R48" s="45">
        <f t="shared" si="30"/>
        <v>534576.54448574409</v>
      </c>
      <c r="S48" s="45">
        <f t="shared" si="30"/>
        <v>520893.97210355848</v>
      </c>
      <c r="T48" s="45">
        <f t="shared" si="30"/>
        <v>518025.1055008219</v>
      </c>
      <c r="U48" s="45">
        <f t="shared" si="30"/>
        <v>517515.21519597608</v>
      </c>
      <c r="V48" s="45">
        <f t="shared" si="30"/>
        <v>526341.83692818042</v>
      </c>
      <c r="W48" s="45">
        <f t="shared" si="30"/>
        <v>517604.34320078854</v>
      </c>
      <c r="X48" s="45">
        <f t="shared" si="30"/>
        <v>521354.8697412184</v>
      </c>
      <c r="Y48" s="45">
        <f t="shared" si="30"/>
        <v>501188.66240628291</v>
      </c>
      <c r="Z48" s="45">
        <f t="shared" si="30"/>
        <v>489985.27895606286</v>
      </c>
      <c r="AA48" s="45">
        <f t="shared" si="30"/>
        <v>489327.55911736004</v>
      </c>
      <c r="AB48" s="45">
        <f t="shared" si="30"/>
        <v>486891.12450371741</v>
      </c>
      <c r="AC48" s="45">
        <f t="shared" si="30"/>
        <v>486891.07560427382</v>
      </c>
      <c r="AD48" s="45">
        <f t="shared" si="30"/>
        <v>486891.07560427382</v>
      </c>
      <c r="AE48" s="45">
        <f t="shared" si="30"/>
        <v>486891.07560427382</v>
      </c>
      <c r="AF48" s="45">
        <f t="shared" si="30"/>
        <v>482067.09799672314</v>
      </c>
      <c r="AG48" s="46">
        <f>SUM(I48:AF48)</f>
        <v>11954828.507184209</v>
      </c>
    </row>
    <row r="49" spans="1:33" ht="14">
      <c r="A49" s="62"/>
      <c r="B49">
        <f t="shared" ref="B49:B52" si="31">+MONTH(E49)</f>
        <v>10</v>
      </c>
      <c r="C49">
        <f t="shared" ref="C49:C52" si="32">+YEAR(E49)</f>
        <v>2026</v>
      </c>
      <c r="D49" t="str">
        <f t="shared" ref="D49:D52" si="33">+_xlfn.CONCAT(B49:C49,G49)</f>
        <v>102026OR</v>
      </c>
      <c r="E49" s="71">
        <v>46296</v>
      </c>
      <c r="F49" s="73">
        <f>+'PRODUCTO 01'!F18</f>
        <v>13185122.42</v>
      </c>
      <c r="G49" s="37" t="s">
        <v>57</v>
      </c>
      <c r="H49" s="37">
        <v>21</v>
      </c>
      <c r="I49" s="66">
        <v>17186.84799274839</v>
      </c>
      <c r="J49" s="66">
        <v>14617.292011478001</v>
      </c>
      <c r="K49" s="66">
        <v>12789.893423340511</v>
      </c>
      <c r="L49" s="66">
        <v>11637.76593833552</v>
      </c>
      <c r="M49" s="66">
        <v>13245.240779959269</v>
      </c>
      <c r="N49" s="66">
        <v>17052.40336843596</v>
      </c>
      <c r="O49" s="66">
        <v>18198.822756949481</v>
      </c>
      <c r="P49" s="66">
        <v>18852.476352925642</v>
      </c>
      <c r="Q49" s="66">
        <v>19304.90167412104</v>
      </c>
      <c r="R49" s="66">
        <v>19774.808058024806</v>
      </c>
      <c r="S49" s="66">
        <v>19672.447506048906</v>
      </c>
      <c r="T49" s="66">
        <v>19518.012885541903</v>
      </c>
      <c r="U49" s="66">
        <v>19383.222921129589</v>
      </c>
      <c r="V49" s="66">
        <v>19419.981166994392</v>
      </c>
      <c r="W49" s="66">
        <v>19283.614077238755</v>
      </c>
      <c r="X49" s="66">
        <v>18976.821380164365</v>
      </c>
      <c r="Y49" s="66">
        <v>18588.949095535074</v>
      </c>
      <c r="Z49" s="66">
        <v>18178.605827104999</v>
      </c>
      <c r="AA49" s="66">
        <v>18157.570597608399</v>
      </c>
      <c r="AB49" s="66">
        <v>18113.507304005794</v>
      </c>
      <c r="AC49" s="66">
        <v>18113.507306628471</v>
      </c>
      <c r="AD49" s="66">
        <v>18113.507312083624</v>
      </c>
      <c r="AE49" s="66">
        <v>18113.507319112385</v>
      </c>
      <c r="AF49" s="66">
        <v>17648.987726499956</v>
      </c>
      <c r="AG49" s="38">
        <f>+SUM(I49:AF49)*H49</f>
        <v>8902796.5904223192</v>
      </c>
    </row>
    <row r="50" spans="1:33" ht="14">
      <c r="A50" s="62"/>
      <c r="B50">
        <f t="shared" si="31"/>
        <v>10</v>
      </c>
      <c r="C50">
        <f t="shared" si="32"/>
        <v>2026</v>
      </c>
      <c r="D50" t="str">
        <f t="shared" si="33"/>
        <v>102026SA</v>
      </c>
      <c r="E50" s="72">
        <v>46296</v>
      </c>
      <c r="F50" s="74"/>
      <c r="G50" s="39" t="s">
        <v>60</v>
      </c>
      <c r="H50" s="39">
        <v>5</v>
      </c>
      <c r="I50" s="66">
        <v>18113.506961799569</v>
      </c>
      <c r="J50" s="66">
        <v>17944.207006288212</v>
      </c>
      <c r="K50" s="66">
        <v>15004.131995862845</v>
      </c>
      <c r="L50" s="66">
        <v>14020.824908198076</v>
      </c>
      <c r="M50" s="66">
        <v>14836.923093345336</v>
      </c>
      <c r="N50" s="66">
        <v>17004.478375500781</v>
      </c>
      <c r="O50" s="66">
        <v>18198.822756949481</v>
      </c>
      <c r="P50" s="66">
        <v>18852.476352925642</v>
      </c>
      <c r="Q50" s="66">
        <v>19304.901674121043</v>
      </c>
      <c r="R50" s="66">
        <v>19774.80805802481</v>
      </c>
      <c r="S50" s="66">
        <v>19672.447506048909</v>
      </c>
      <c r="T50" s="66">
        <v>19518.012885541906</v>
      </c>
      <c r="U50" s="66">
        <v>19383.222921129585</v>
      </c>
      <c r="V50" s="66">
        <v>19419.981166994399</v>
      </c>
      <c r="W50" s="66">
        <v>19283.614077238748</v>
      </c>
      <c r="X50" s="66">
        <v>18976.821380164369</v>
      </c>
      <c r="Y50" s="66">
        <v>18588.949095535074</v>
      </c>
      <c r="Z50" s="66">
        <v>18178.605827104999</v>
      </c>
      <c r="AA50" s="66">
        <v>18157.570597608399</v>
      </c>
      <c r="AB50" s="66">
        <v>18113.507304005798</v>
      </c>
      <c r="AC50" s="66">
        <v>18113.507306628471</v>
      </c>
      <c r="AD50" s="66">
        <v>18113.507312083628</v>
      </c>
      <c r="AE50" s="66">
        <v>17528.282635117124</v>
      </c>
      <c r="AF50" s="66">
        <v>11994.3345066646</v>
      </c>
      <c r="AG50" s="40">
        <f>+SUM(I50:AF50)*H50</f>
        <v>2140487.2285244092</v>
      </c>
    </row>
    <row r="51" spans="1:33" ht="14">
      <c r="A51" s="62"/>
      <c r="B51">
        <f t="shared" si="31"/>
        <v>10</v>
      </c>
      <c r="C51">
        <f t="shared" si="32"/>
        <v>2026</v>
      </c>
      <c r="D51" t="str">
        <f t="shared" si="33"/>
        <v>102026DO</v>
      </c>
      <c r="E51" s="72">
        <v>46296</v>
      </c>
      <c r="F51" s="74"/>
      <c r="G51" s="41" t="s">
        <v>58</v>
      </c>
      <c r="H51" s="41">
        <v>4</v>
      </c>
      <c r="I51" s="66">
        <v>18113.506961799569</v>
      </c>
      <c r="J51" s="66">
        <v>17782.922970082989</v>
      </c>
      <c r="K51" s="66">
        <v>14913.118619633373</v>
      </c>
      <c r="L51" s="66">
        <v>13314.697641422841</v>
      </c>
      <c r="M51" s="66">
        <v>11841.70400181177</v>
      </c>
      <c r="N51" s="66">
        <v>13464.080000439484</v>
      </c>
      <c r="O51" s="66">
        <v>18052.895334552508</v>
      </c>
      <c r="P51" s="66">
        <v>18852.476352925642</v>
      </c>
      <c r="Q51" s="66">
        <v>19304.901674121043</v>
      </c>
      <c r="R51" s="66">
        <v>19774.80805802481</v>
      </c>
      <c r="S51" s="66">
        <v>19672.447506048909</v>
      </c>
      <c r="T51" s="66">
        <v>19518.012885541906</v>
      </c>
      <c r="U51" s="66">
        <v>19383.222921129585</v>
      </c>
      <c r="V51" s="66">
        <v>19419.981166994399</v>
      </c>
      <c r="W51" s="66">
        <v>18438.263455198903</v>
      </c>
      <c r="X51" s="66">
        <v>18976.821380164369</v>
      </c>
      <c r="Y51" s="66">
        <v>18588.949095535074</v>
      </c>
      <c r="Z51" s="66">
        <v>18178.605827104999</v>
      </c>
      <c r="AA51" s="66">
        <v>18157.570597608399</v>
      </c>
      <c r="AB51" s="66">
        <v>18113.507304005798</v>
      </c>
      <c r="AC51" s="66">
        <v>18113.507306628471</v>
      </c>
      <c r="AD51" s="66">
        <v>18113.507312083628</v>
      </c>
      <c r="AE51" s="66">
        <v>18113.507319112388</v>
      </c>
      <c r="AF51" s="66">
        <v>18113.507320266366</v>
      </c>
      <c r="AG51" s="40">
        <f>+SUM(I51:AF51)*H51</f>
        <v>1705266.0920489489</v>
      </c>
    </row>
    <row r="52" spans="1:33" ht="14">
      <c r="A52" s="62"/>
      <c r="B52">
        <f t="shared" si="31"/>
        <v>10</v>
      </c>
      <c r="C52">
        <f t="shared" si="32"/>
        <v>2026</v>
      </c>
      <c r="D52" t="str">
        <f t="shared" si="33"/>
        <v>102026FE</v>
      </c>
      <c r="E52" s="72">
        <v>46296</v>
      </c>
      <c r="F52" s="74"/>
      <c r="G52" s="42" t="s">
        <v>59</v>
      </c>
      <c r="H52" s="42">
        <v>1</v>
      </c>
      <c r="I52" s="66">
        <v>18113.506961799569</v>
      </c>
      <c r="J52" s="66">
        <v>16895.860797075089</v>
      </c>
      <c r="K52" s="66">
        <v>15943.226655282357</v>
      </c>
      <c r="L52" s="66">
        <v>15397.613839840065</v>
      </c>
      <c r="M52" s="66">
        <v>15106.855602488722</v>
      </c>
      <c r="N52" s="66">
        <v>17237.671438585705</v>
      </c>
      <c r="O52" s="66">
        <v>18198.822756949481</v>
      </c>
      <c r="P52" s="66">
        <v>18852.476352925642</v>
      </c>
      <c r="Q52" s="66">
        <v>19304.901674121043</v>
      </c>
      <c r="R52" s="66">
        <v>19774.80805802481</v>
      </c>
      <c r="S52" s="66">
        <v>19672.447506048909</v>
      </c>
      <c r="T52" s="66">
        <v>19518.012885541906</v>
      </c>
      <c r="U52" s="66">
        <v>19383.222921129585</v>
      </c>
      <c r="V52" s="66">
        <v>19419.981166994399</v>
      </c>
      <c r="W52" s="66">
        <v>19283.614077238748</v>
      </c>
      <c r="X52" s="66">
        <v>18976.821380164369</v>
      </c>
      <c r="Y52" s="66">
        <v>18588.949095535074</v>
      </c>
      <c r="Z52" s="66">
        <v>18178.605827104999</v>
      </c>
      <c r="AA52" s="66">
        <v>18157.570597608399</v>
      </c>
      <c r="AB52" s="66">
        <v>18113.507304005798</v>
      </c>
      <c r="AC52" s="66">
        <v>18113.507306628471</v>
      </c>
      <c r="AD52" s="66">
        <v>18113.507312083628</v>
      </c>
      <c r="AE52" s="66">
        <v>18113.507319112388</v>
      </c>
      <c r="AF52" s="66">
        <v>18113.507320266366</v>
      </c>
      <c r="AG52" s="43">
        <f>+SUM(I52:AF52)*H52</f>
        <v>436572.50615655555</v>
      </c>
    </row>
    <row r="53" spans="1:33" ht="15" thickBot="1">
      <c r="A53" s="62"/>
      <c r="D53" t="str">
        <f t="shared" si="8"/>
        <v>46296TOTAL</v>
      </c>
      <c r="E53" s="72">
        <v>46296</v>
      </c>
      <c r="F53" s="61"/>
      <c r="G53" s="44" t="s">
        <v>10</v>
      </c>
      <c r="H53" s="44">
        <f>+SUM(H49:H52)</f>
        <v>31</v>
      </c>
      <c r="I53" s="45">
        <f t="shared" ref="I53:AF53" si="34">+SUMPRODUCT(I49:I52,$H49:$H52)</f>
        <v>542058.87746571191</v>
      </c>
      <c r="J53" s="45">
        <f t="shared" si="34"/>
        <v>484711.71994988614</v>
      </c>
      <c r="K53" s="45">
        <f t="shared" si="34"/>
        <v>419204.12300328078</v>
      </c>
      <c r="L53" s="45">
        <f t="shared" si="34"/>
        <v>383153.61365156772</v>
      </c>
      <c r="M53" s="45">
        <f t="shared" si="34"/>
        <v>414808.34345560719</v>
      </c>
      <c r="N53" s="45">
        <f t="shared" si="34"/>
        <v>514216.85405500268</v>
      </c>
      <c r="O53" s="45">
        <f t="shared" si="34"/>
        <v>563579.795775846</v>
      </c>
      <c r="P53" s="45">
        <f t="shared" si="34"/>
        <v>584426.76694069488</v>
      </c>
      <c r="Q53" s="45">
        <f t="shared" si="34"/>
        <v>598451.95189775224</v>
      </c>
      <c r="R53" s="45">
        <f t="shared" si="34"/>
        <v>613019.04979876906</v>
      </c>
      <c r="S53" s="45">
        <f t="shared" si="34"/>
        <v>609845.87268751615</v>
      </c>
      <c r="T53" s="45">
        <f t="shared" si="34"/>
        <v>605058.39945179899</v>
      </c>
      <c r="U53" s="45">
        <f t="shared" si="34"/>
        <v>600879.91055501718</v>
      </c>
      <c r="V53" s="45">
        <f t="shared" si="34"/>
        <v>602019.41617682623</v>
      </c>
      <c r="W53" s="45">
        <f t="shared" si="34"/>
        <v>594410.63390624186</v>
      </c>
      <c r="X53" s="45">
        <f t="shared" si="34"/>
        <v>588281.46278509533</v>
      </c>
      <c r="Y53" s="45">
        <f t="shared" si="34"/>
        <v>576257.42196158727</v>
      </c>
      <c r="Z53" s="45">
        <f t="shared" si="34"/>
        <v>563536.78064025496</v>
      </c>
      <c r="AA53" s="45">
        <f t="shared" si="34"/>
        <v>562884.68852586043</v>
      </c>
      <c r="AB53" s="45">
        <f t="shared" si="34"/>
        <v>561518.72642417962</v>
      </c>
      <c r="AC53" s="45">
        <f t="shared" si="34"/>
        <v>561518.72650548269</v>
      </c>
      <c r="AD53" s="45">
        <f t="shared" si="34"/>
        <v>561518.72667459236</v>
      </c>
      <c r="AE53" s="45">
        <f t="shared" si="34"/>
        <v>558592.60347250768</v>
      </c>
      <c r="AF53" s="45">
        <f t="shared" si="34"/>
        <v>521167.95139115391</v>
      </c>
      <c r="AG53" s="46">
        <f>SUM(I53:AF53)</f>
        <v>13185122.417152233</v>
      </c>
    </row>
    <row r="54" spans="1:33" ht="14">
      <c r="A54" s="62"/>
      <c r="B54">
        <f t="shared" ref="B54:B57" si="35">+MONTH(E54)</f>
        <v>11</v>
      </c>
      <c r="C54">
        <f t="shared" ref="C54:C57" si="36">+YEAR(E54)</f>
        <v>2026</v>
      </c>
      <c r="D54" t="str">
        <f t="shared" ref="D54:D57" si="37">+_xlfn.CONCAT(B54:C54,G54)</f>
        <v>112026OR</v>
      </c>
      <c r="E54" s="71">
        <v>46327</v>
      </c>
      <c r="F54" s="73">
        <f>+'PRODUCTO 01'!F19</f>
        <v>11780438.9</v>
      </c>
      <c r="G54" s="37" t="s">
        <v>57</v>
      </c>
      <c r="H54" s="37">
        <v>19</v>
      </c>
      <c r="I54" s="66">
        <v>15965.635881565468</v>
      </c>
      <c r="J54" s="66">
        <v>15658.893818873186</v>
      </c>
      <c r="K54" s="66">
        <v>15171.12259277211</v>
      </c>
      <c r="L54" s="66">
        <v>14891.488874706783</v>
      </c>
      <c r="M54" s="66">
        <v>15288.002853642285</v>
      </c>
      <c r="N54" s="66">
        <v>15975.659920968452</v>
      </c>
      <c r="O54" s="66">
        <v>16040.516291470245</v>
      </c>
      <c r="P54" s="66">
        <v>16383.703462753409</v>
      </c>
      <c r="Q54" s="66">
        <v>16741.515017071903</v>
      </c>
      <c r="R54" s="66">
        <v>16899.200596298208</v>
      </c>
      <c r="S54" s="66">
        <v>16967.774840417358</v>
      </c>
      <c r="T54" s="66">
        <v>17231.283161569536</v>
      </c>
      <c r="U54" s="66">
        <v>17424.573785149016</v>
      </c>
      <c r="V54" s="66">
        <v>17660.325340293908</v>
      </c>
      <c r="W54" s="66">
        <v>17855.954966866353</v>
      </c>
      <c r="X54" s="66">
        <v>17463.731504632702</v>
      </c>
      <c r="Y54" s="66">
        <v>16415.682989861449</v>
      </c>
      <c r="Z54" s="66">
        <v>16022.990430597338</v>
      </c>
      <c r="AA54" s="66">
        <v>15991.840142471994</v>
      </c>
      <c r="AB54" s="66">
        <v>15965.649278095632</v>
      </c>
      <c r="AC54" s="66">
        <v>15965.649270469745</v>
      </c>
      <c r="AD54" s="66">
        <v>15965.649038231772</v>
      </c>
      <c r="AE54" s="66">
        <v>15965.648455552247</v>
      </c>
      <c r="AF54" s="66">
        <v>15965.647893446183</v>
      </c>
      <c r="AG54" s="38">
        <f>+SUM(I54:AF54)*H54</f>
        <v>7445684.6677477686</v>
      </c>
    </row>
    <row r="55" spans="1:33" ht="14">
      <c r="A55" s="62"/>
      <c r="B55">
        <f t="shared" si="35"/>
        <v>11</v>
      </c>
      <c r="C55">
        <f t="shared" si="36"/>
        <v>2026</v>
      </c>
      <c r="D55" t="str">
        <f t="shared" si="37"/>
        <v>112026SA</v>
      </c>
      <c r="E55" s="72">
        <v>46327</v>
      </c>
      <c r="F55" s="74"/>
      <c r="G55" s="39" t="s">
        <v>60</v>
      </c>
      <c r="H55" s="39">
        <v>4</v>
      </c>
      <c r="I55" s="66">
        <v>15972.495184920595</v>
      </c>
      <c r="J55" s="66">
        <v>15972.49517244952</v>
      </c>
      <c r="K55" s="66">
        <v>15972.495164470243</v>
      </c>
      <c r="L55" s="66">
        <v>15972.495159978444</v>
      </c>
      <c r="M55" s="66">
        <v>15972.49516887374</v>
      </c>
      <c r="N55" s="66">
        <v>15982.519224323587</v>
      </c>
      <c r="O55" s="66">
        <v>16047.375594825367</v>
      </c>
      <c r="P55" s="66">
        <v>16390.562766108535</v>
      </c>
      <c r="Q55" s="66">
        <v>16748.374320427036</v>
      </c>
      <c r="R55" s="66">
        <v>16906.059899653334</v>
      </c>
      <c r="S55" s="66">
        <v>16974.634143772484</v>
      </c>
      <c r="T55" s="66">
        <v>17238.142464924658</v>
      </c>
      <c r="U55" s="66">
        <v>17431.433088504145</v>
      </c>
      <c r="V55" s="66">
        <v>17667.18464364903</v>
      </c>
      <c r="W55" s="66">
        <v>17862.814270221479</v>
      </c>
      <c r="X55" s="66">
        <v>17470.590807987828</v>
      </c>
      <c r="Y55" s="66">
        <v>16422.542293216575</v>
      </c>
      <c r="Z55" s="66">
        <v>16029.849733952467</v>
      </c>
      <c r="AA55" s="66">
        <v>15998.699445827124</v>
      </c>
      <c r="AB55" s="66">
        <v>15972.508581450758</v>
      </c>
      <c r="AC55" s="66">
        <v>15972.508573824869</v>
      </c>
      <c r="AD55" s="66">
        <v>15972.508341586901</v>
      </c>
      <c r="AE55" s="66">
        <v>15972.507758907373</v>
      </c>
      <c r="AF55" s="66">
        <v>15217.730088961122</v>
      </c>
      <c r="AG55" s="40">
        <f>+SUM(I55:AF55)*H55</f>
        <v>1576564.0875712691</v>
      </c>
    </row>
    <row r="56" spans="1:33" ht="14">
      <c r="A56" s="62"/>
      <c r="B56">
        <f t="shared" si="35"/>
        <v>11</v>
      </c>
      <c r="C56">
        <f t="shared" si="36"/>
        <v>2026</v>
      </c>
      <c r="D56" t="str">
        <f t="shared" si="37"/>
        <v>112026DO</v>
      </c>
      <c r="E56" s="72">
        <v>46327</v>
      </c>
      <c r="F56" s="74"/>
      <c r="G56" s="41" t="s">
        <v>58</v>
      </c>
      <c r="H56" s="41">
        <v>5</v>
      </c>
      <c r="I56" s="66">
        <v>15956.855973270907</v>
      </c>
      <c r="J56" s="66">
        <v>15956.855960799832</v>
      </c>
      <c r="K56" s="66">
        <v>15956.855952820555</v>
      </c>
      <c r="L56" s="66">
        <v>15956.855948328757</v>
      </c>
      <c r="M56" s="66">
        <v>15366.334239960212</v>
      </c>
      <c r="N56" s="66">
        <v>15966.880012673899</v>
      </c>
      <c r="O56" s="66">
        <v>16031.736383175681</v>
      </c>
      <c r="P56" s="66">
        <v>16374.923554458848</v>
      </c>
      <c r="Q56" s="66">
        <v>16732.73510877735</v>
      </c>
      <c r="R56" s="66">
        <v>16890.420688003644</v>
      </c>
      <c r="S56" s="66">
        <v>16958.994932122798</v>
      </c>
      <c r="T56" s="66">
        <v>17222.503253274968</v>
      </c>
      <c r="U56" s="66">
        <v>17415.793876854459</v>
      </c>
      <c r="V56" s="66">
        <v>17651.545431999344</v>
      </c>
      <c r="W56" s="66">
        <v>17847.175058571789</v>
      </c>
      <c r="X56" s="66">
        <v>17454.951596338138</v>
      </c>
      <c r="Y56" s="66">
        <v>16406.903081566888</v>
      </c>
      <c r="Z56" s="66">
        <v>16014.210522302779</v>
      </c>
      <c r="AA56" s="66">
        <v>15983.060234177436</v>
      </c>
      <c r="AB56" s="66">
        <v>15956.86936980107</v>
      </c>
      <c r="AC56" s="66">
        <v>15956.869362175183</v>
      </c>
      <c r="AD56" s="66">
        <v>15956.869129937211</v>
      </c>
      <c r="AE56" s="66">
        <v>15956.868547257685</v>
      </c>
      <c r="AF56" s="66">
        <v>15956.867985151612</v>
      </c>
      <c r="AG56" s="40">
        <f>+SUM(I56:AF56)*H56</f>
        <v>1969649.6810190054</v>
      </c>
    </row>
    <row r="57" spans="1:33" ht="14">
      <c r="A57" s="62"/>
      <c r="B57">
        <f t="shared" si="35"/>
        <v>11</v>
      </c>
      <c r="C57">
        <f t="shared" si="36"/>
        <v>2026</v>
      </c>
      <c r="D57" t="str">
        <f t="shared" si="37"/>
        <v>112026FE</v>
      </c>
      <c r="E57" s="72">
        <v>46327</v>
      </c>
      <c r="F57" s="74"/>
      <c r="G57" s="42" t="s">
        <v>59</v>
      </c>
      <c r="H57" s="42">
        <v>2</v>
      </c>
      <c r="I57" s="66">
        <v>15946.429832171116</v>
      </c>
      <c r="J57" s="66">
        <v>15946.429819700041</v>
      </c>
      <c r="K57" s="66">
        <v>15946.429811720764</v>
      </c>
      <c r="L57" s="66">
        <v>15946.429807228964</v>
      </c>
      <c r="M57" s="66">
        <v>15946.42981612426</v>
      </c>
      <c r="N57" s="66">
        <v>15956.453871574107</v>
      </c>
      <c r="O57" s="66">
        <v>16021.310242075888</v>
      </c>
      <c r="P57" s="66">
        <v>16364.497413359055</v>
      </c>
      <c r="Q57" s="66">
        <v>16722.308967677556</v>
      </c>
      <c r="R57" s="66">
        <v>16879.994546903854</v>
      </c>
      <c r="S57" s="66">
        <v>16948.568791023004</v>
      </c>
      <c r="T57" s="66">
        <v>17212.077112175179</v>
      </c>
      <c r="U57" s="66">
        <v>17405.367735754666</v>
      </c>
      <c r="V57" s="66">
        <v>17641.119290899551</v>
      </c>
      <c r="W57" s="66">
        <v>17836.748917471999</v>
      </c>
      <c r="X57" s="66">
        <v>17444.525455238349</v>
      </c>
      <c r="Y57" s="66">
        <v>16396.476940467095</v>
      </c>
      <c r="Z57" s="66">
        <v>16003.784381202988</v>
      </c>
      <c r="AA57" s="66">
        <v>15972.634093077644</v>
      </c>
      <c r="AB57" s="66">
        <v>15946.443228701279</v>
      </c>
      <c r="AC57" s="66">
        <v>15946.443221075389</v>
      </c>
      <c r="AD57" s="66">
        <v>15946.442988837422</v>
      </c>
      <c r="AE57" s="66">
        <v>15946.442406157894</v>
      </c>
      <c r="AF57" s="66">
        <v>15946.44184405182</v>
      </c>
      <c r="AG57" s="43">
        <f>+SUM(I57:AF57)*H57</f>
        <v>788540.46106933989</v>
      </c>
    </row>
    <row r="58" spans="1:33" ht="15" thickBot="1">
      <c r="A58" s="62"/>
      <c r="D58" t="str">
        <f t="shared" si="8"/>
        <v>46327TOTAL</v>
      </c>
      <c r="E58" s="72">
        <v>46327</v>
      </c>
      <c r="F58" s="61"/>
      <c r="G58" s="44" t="s">
        <v>10</v>
      </c>
      <c r="H58" s="44">
        <f>+SUM(H54:H57)</f>
        <v>30</v>
      </c>
      <c r="I58" s="45">
        <f t="shared" ref="I58:AF58" si="38">+SUMPRODUCT(I54:I57,$H54:$H57)</f>
        <v>478914.20202012308</v>
      </c>
      <c r="J58" s="45">
        <f t="shared" si="38"/>
        <v>473086.10269178788</v>
      </c>
      <c r="K58" s="45">
        <f t="shared" si="38"/>
        <v>463818.44930809533</v>
      </c>
      <c r="L58" s="45">
        <f t="shared" si="38"/>
        <v>458505.40861544432</v>
      </c>
      <c r="M58" s="45">
        <f t="shared" si="38"/>
        <v>463086.56572674797</v>
      </c>
      <c r="N58" s="45">
        <f t="shared" si="38"/>
        <v>479214.92320221267</v>
      </c>
      <c r="O58" s="45">
        <f t="shared" si="38"/>
        <v>481160.61431726627</v>
      </c>
      <c r="P58" s="45">
        <f t="shared" si="38"/>
        <v>491456.22945576126</v>
      </c>
      <c r="Q58" s="45">
        <f t="shared" si="38"/>
        <v>502190.57608531608</v>
      </c>
      <c r="R58" s="45">
        <f t="shared" si="38"/>
        <v>506921.14346210525</v>
      </c>
      <c r="S58" s="45">
        <f t="shared" si="38"/>
        <v>508978.37078567978</v>
      </c>
      <c r="T58" s="45">
        <f t="shared" si="38"/>
        <v>516883.62042024505</v>
      </c>
      <c r="U58" s="45">
        <f t="shared" si="38"/>
        <v>522682.33912762947</v>
      </c>
      <c r="V58" s="45">
        <f t="shared" si="38"/>
        <v>529754.88578197616</v>
      </c>
      <c r="W58" s="45">
        <f t="shared" si="38"/>
        <v>535623.77457914967</v>
      </c>
      <c r="X58" s="45">
        <f t="shared" si="38"/>
        <v>523857.07071214006</v>
      </c>
      <c r="Y58" s="45">
        <f t="shared" si="38"/>
        <v>492415.61526900239</v>
      </c>
      <c r="Z58" s="45">
        <f t="shared" si="38"/>
        <v>480634.83849107911</v>
      </c>
      <c r="AA58" s="45">
        <f t="shared" si="38"/>
        <v>479700.32984731888</v>
      </c>
      <c r="AB58" s="45">
        <f t="shared" si="38"/>
        <v>478914.60391602799</v>
      </c>
      <c r="AC58" s="45">
        <f t="shared" si="38"/>
        <v>478914.60368725139</v>
      </c>
      <c r="AD58" s="45">
        <f t="shared" si="38"/>
        <v>478914.5967201122</v>
      </c>
      <c r="AE58" s="45">
        <f t="shared" si="38"/>
        <v>478914.57923972647</v>
      </c>
      <c r="AF58" s="45">
        <f t="shared" si="38"/>
        <v>475895.45394518366</v>
      </c>
      <c r="AG58" s="46">
        <f>SUM(I58:AF58)</f>
        <v>11780438.897407383</v>
      </c>
    </row>
    <row r="59" spans="1:33" ht="14">
      <c r="A59" s="62"/>
      <c r="B59">
        <f t="shared" ref="B59:B62" si="39">+MONTH(E59)</f>
        <v>12</v>
      </c>
      <c r="C59">
        <f t="shared" ref="C59:C62" si="40">+YEAR(E59)</f>
        <v>2026</v>
      </c>
      <c r="D59" t="str">
        <f t="shared" ref="D59:D62" si="41">+_xlfn.CONCAT(B59:C59,G59)</f>
        <v>122026OR</v>
      </c>
      <c r="E59" s="71">
        <v>46357</v>
      </c>
      <c r="F59" s="73">
        <f>+AG63</f>
        <v>13169893.566318398</v>
      </c>
      <c r="G59" s="37" t="s">
        <v>57</v>
      </c>
      <c r="H59" s="37">
        <v>21</v>
      </c>
      <c r="I59" s="66">
        <v>17223.026875654148</v>
      </c>
      <c r="J59" s="66">
        <v>16942.967490031249</v>
      </c>
      <c r="K59" s="66">
        <v>16298.28655540784</v>
      </c>
      <c r="L59" s="66">
        <v>15752.041282065795</v>
      </c>
      <c r="M59" s="66">
        <v>16514.246774444749</v>
      </c>
      <c r="N59" s="66">
        <v>17221.81494409261</v>
      </c>
      <c r="O59" s="66">
        <v>17307.970064966477</v>
      </c>
      <c r="P59" s="66">
        <v>18116.752465887945</v>
      </c>
      <c r="Q59" s="66">
        <v>18695.464270649867</v>
      </c>
      <c r="R59" s="66">
        <v>19138.14687973075</v>
      </c>
      <c r="S59" s="66">
        <v>19133.900685742457</v>
      </c>
      <c r="T59" s="66">
        <v>18966.960015155008</v>
      </c>
      <c r="U59" s="66">
        <v>18961.986427820448</v>
      </c>
      <c r="V59" s="66">
        <v>18940.261572814179</v>
      </c>
      <c r="W59" s="66">
        <v>18754.187581177815</v>
      </c>
      <c r="X59" s="66">
        <v>18102.224370291031</v>
      </c>
      <c r="Y59" s="66">
        <v>17616.92772501977</v>
      </c>
      <c r="Z59" s="66">
        <v>17331.250298901803</v>
      </c>
      <c r="AA59" s="66">
        <v>17298.990641768694</v>
      </c>
      <c r="AB59" s="66">
        <v>17269.76558132326</v>
      </c>
      <c r="AC59" s="66">
        <v>17269.765751409115</v>
      </c>
      <c r="AD59" s="66">
        <v>17269.765777815137</v>
      </c>
      <c r="AE59" s="66">
        <v>17269.765777815137</v>
      </c>
      <c r="AF59" s="66">
        <v>17269.765792377286</v>
      </c>
      <c r="AG59" s="38">
        <f>+SUM(I59:AF59)*H59</f>
        <v>8917990.947649613</v>
      </c>
    </row>
    <row r="60" spans="1:33" ht="14">
      <c r="A60" s="62"/>
      <c r="B60">
        <f t="shared" si="39"/>
        <v>12</v>
      </c>
      <c r="C60">
        <f t="shared" si="40"/>
        <v>2026</v>
      </c>
      <c r="D60" t="str">
        <f t="shared" si="41"/>
        <v>122026SA</v>
      </c>
      <c r="E60" s="72">
        <v>46357</v>
      </c>
      <c r="F60" s="74"/>
      <c r="G60" s="39" t="s">
        <v>60</v>
      </c>
      <c r="H60" s="39">
        <v>4</v>
      </c>
      <c r="I60" s="66">
        <v>17269.765845965976</v>
      </c>
      <c r="J60" s="66">
        <v>17269.76558132326</v>
      </c>
      <c r="K60" s="66">
        <v>17269.76558132326</v>
      </c>
      <c r="L60" s="66">
        <v>17248.308259511694</v>
      </c>
      <c r="M60" s="66">
        <v>17269.76558132326</v>
      </c>
      <c r="N60" s="66">
        <v>17275.159665209187</v>
      </c>
      <c r="O60" s="66">
        <v>17307.970064966481</v>
      </c>
      <c r="P60" s="66">
        <v>18116.752465887945</v>
      </c>
      <c r="Q60" s="66">
        <v>18695.46427064986</v>
      </c>
      <c r="R60" s="66">
        <v>19138.14687973075</v>
      </c>
      <c r="S60" s="66">
        <v>19133.900685742465</v>
      </c>
      <c r="T60" s="66">
        <v>18966.960015155</v>
      </c>
      <c r="U60" s="66">
        <v>18961.986427820444</v>
      </c>
      <c r="V60" s="66">
        <v>18665.736386576802</v>
      </c>
      <c r="W60" s="66">
        <v>17599.728436569116</v>
      </c>
      <c r="X60" s="66">
        <v>17701.420926906132</v>
      </c>
      <c r="Y60" s="66">
        <v>17616.927725019777</v>
      </c>
      <c r="Z60" s="66">
        <v>17331.250298901796</v>
      </c>
      <c r="AA60" s="66">
        <v>17298.990641768702</v>
      </c>
      <c r="AB60" s="66">
        <v>17269.76558132326</v>
      </c>
      <c r="AC60" s="66">
        <v>17269.765751409115</v>
      </c>
      <c r="AD60" s="66">
        <v>17269.765777815137</v>
      </c>
      <c r="AE60" s="66">
        <v>17269.765777815137</v>
      </c>
      <c r="AF60" s="66">
        <v>16808.620199378329</v>
      </c>
      <c r="AG60" s="40">
        <f>+SUM(I60:AF60)*H60</f>
        <v>1704101.7953123713</v>
      </c>
    </row>
    <row r="61" spans="1:33" ht="14">
      <c r="A61" s="62"/>
      <c r="B61">
        <f t="shared" si="39"/>
        <v>12</v>
      </c>
      <c r="C61">
        <f t="shared" si="40"/>
        <v>2026</v>
      </c>
      <c r="D61" t="str">
        <f t="shared" si="41"/>
        <v>122026DO</v>
      </c>
      <c r="E61" s="72">
        <v>46357</v>
      </c>
      <c r="F61" s="74"/>
      <c r="G61" s="41" t="s">
        <v>58</v>
      </c>
      <c r="H61" s="41">
        <v>4</v>
      </c>
      <c r="I61" s="66">
        <v>17269.765845965976</v>
      </c>
      <c r="J61" s="66">
        <v>17269.76558132326</v>
      </c>
      <c r="K61" s="66">
        <v>17269.76558132326</v>
      </c>
      <c r="L61" s="66">
        <v>17198.107103954437</v>
      </c>
      <c r="M61" s="66">
        <v>16514.06083615376</v>
      </c>
      <c r="N61" s="66">
        <v>16861.622621600363</v>
      </c>
      <c r="O61" s="66">
        <v>17307.970064966481</v>
      </c>
      <c r="P61" s="66">
        <v>18116.752465887945</v>
      </c>
      <c r="Q61" s="66">
        <v>18695.46427064986</v>
      </c>
      <c r="R61" s="66">
        <v>19138.14687973075</v>
      </c>
      <c r="S61" s="66">
        <v>19133.900685742465</v>
      </c>
      <c r="T61" s="66">
        <v>18966.960015155</v>
      </c>
      <c r="U61" s="66">
        <v>18961.986427820444</v>
      </c>
      <c r="V61" s="66">
        <v>18791.07114312398</v>
      </c>
      <c r="W61" s="66">
        <v>16556.423197124554</v>
      </c>
      <c r="X61" s="66">
        <v>18102.224370291031</v>
      </c>
      <c r="Y61" s="66">
        <v>17616.927725019777</v>
      </c>
      <c r="Z61" s="66">
        <v>17331.250298901796</v>
      </c>
      <c r="AA61" s="66">
        <v>17298.990641768702</v>
      </c>
      <c r="AB61" s="66">
        <v>17269.76558132326</v>
      </c>
      <c r="AC61" s="66">
        <v>17269.765751409115</v>
      </c>
      <c r="AD61" s="66">
        <v>17269.765777815137</v>
      </c>
      <c r="AE61" s="66">
        <v>17269.765777815137</v>
      </c>
      <c r="AF61" s="66">
        <v>17269.765792377282</v>
      </c>
      <c r="AG61" s="40">
        <f>+SUM(I61:AF61)*H61</f>
        <v>1698999.9377489749</v>
      </c>
    </row>
    <row r="62" spans="1:33" ht="14">
      <c r="A62" s="62"/>
      <c r="B62">
        <f t="shared" si="39"/>
        <v>12</v>
      </c>
      <c r="C62">
        <f t="shared" si="40"/>
        <v>2026</v>
      </c>
      <c r="D62" t="str">
        <f t="shared" si="41"/>
        <v>122026FE</v>
      </c>
      <c r="E62" s="72">
        <v>46357</v>
      </c>
      <c r="F62" s="74"/>
      <c r="G62" s="42" t="s">
        <v>59</v>
      </c>
      <c r="H62" s="42">
        <v>2</v>
      </c>
      <c r="I62" s="66">
        <v>17269.765845965976</v>
      </c>
      <c r="J62" s="66">
        <v>17269.76558132326</v>
      </c>
      <c r="K62" s="66">
        <v>16413.301999232863</v>
      </c>
      <c r="L62" s="66">
        <v>15763.594014650358</v>
      </c>
      <c r="M62" s="66">
        <v>15695.004016670866</v>
      </c>
      <c r="N62" s="66">
        <v>17275.159665209187</v>
      </c>
      <c r="O62" s="66">
        <v>17307.970064966481</v>
      </c>
      <c r="P62" s="66">
        <v>18116.752465887945</v>
      </c>
      <c r="Q62" s="66">
        <v>18695.46427064986</v>
      </c>
      <c r="R62" s="66">
        <v>19138.14687973075</v>
      </c>
      <c r="S62" s="66">
        <v>19133.900685742465</v>
      </c>
      <c r="T62" s="66">
        <v>18966.960015155</v>
      </c>
      <c r="U62" s="66">
        <v>18961.986427820444</v>
      </c>
      <c r="V62" s="66">
        <v>18940.261572814172</v>
      </c>
      <c r="W62" s="66">
        <v>18754.187581177819</v>
      </c>
      <c r="X62" s="66">
        <v>18102.224370291031</v>
      </c>
      <c r="Y62" s="66">
        <v>17616.927725019777</v>
      </c>
      <c r="Z62" s="66">
        <v>17331.250298901796</v>
      </c>
      <c r="AA62" s="66">
        <v>17298.990641768702</v>
      </c>
      <c r="AB62" s="66">
        <v>17269.76558132326</v>
      </c>
      <c r="AC62" s="66">
        <v>17269.765751409115</v>
      </c>
      <c r="AD62" s="66">
        <v>17269.765777815137</v>
      </c>
      <c r="AE62" s="66">
        <v>17269.765777815137</v>
      </c>
      <c r="AF62" s="66">
        <v>17269.765792377282</v>
      </c>
      <c r="AG62" s="43">
        <f>+SUM(I62:AF62)*H62</f>
        <v>848800.88560743735</v>
      </c>
    </row>
    <row r="63" spans="1:33" ht="15" thickBot="1">
      <c r="A63" s="62"/>
      <c r="D63" t="str">
        <f t="shared" ref="D63" si="42">+_xlfn.CONCAT(E63,G63)</f>
        <v>46357TOTAL</v>
      </c>
      <c r="E63" s="72">
        <v>46357</v>
      </c>
      <c r="F63" s="75"/>
      <c r="G63" s="44" t="s">
        <v>10</v>
      </c>
      <c r="H63" s="44">
        <f>+SUM(H59:H62)</f>
        <v>31</v>
      </c>
      <c r="I63" s="45">
        <f t="shared" ref="I63:AF63" si="43">+SUMPRODUCT(I59:I62,$H59:$H62)</f>
        <v>534381.22284839686</v>
      </c>
      <c r="J63" s="45">
        <f t="shared" si="43"/>
        <v>528499.9731038888</v>
      </c>
      <c r="K63" s="45">
        <f t="shared" si="43"/>
        <v>513248.74631261639</v>
      </c>
      <c r="L63" s="45">
        <f t="shared" si="43"/>
        <v>500105.71640654688</v>
      </c>
      <c r="M63" s="45">
        <f t="shared" si="43"/>
        <v>513324.49596658954</v>
      </c>
      <c r="N63" s="45">
        <f t="shared" si="43"/>
        <v>532755.56230360141</v>
      </c>
      <c r="O63" s="45">
        <f t="shared" si="43"/>
        <v>536547.0720139608</v>
      </c>
      <c r="P63" s="45">
        <f t="shared" si="43"/>
        <v>561619.3264425263</v>
      </c>
      <c r="Q63" s="45">
        <f t="shared" si="43"/>
        <v>579559.3923901458</v>
      </c>
      <c r="R63" s="45">
        <f t="shared" si="43"/>
        <v>593282.55327165325</v>
      </c>
      <c r="S63" s="45">
        <f t="shared" si="43"/>
        <v>593150.92125801626</v>
      </c>
      <c r="T63" s="45">
        <f t="shared" si="43"/>
        <v>587975.76046980522</v>
      </c>
      <c r="U63" s="45">
        <f t="shared" si="43"/>
        <v>587821.57926243392</v>
      </c>
      <c r="V63" s="45">
        <f t="shared" si="43"/>
        <v>585453.24629352929</v>
      </c>
      <c r="W63" s="45">
        <f t="shared" si="43"/>
        <v>567970.92090186442</v>
      </c>
      <c r="X63" s="45">
        <f t="shared" si="43"/>
        <v>559565.74170548236</v>
      </c>
      <c r="Y63" s="45">
        <f t="shared" si="43"/>
        <v>546124.75947561301</v>
      </c>
      <c r="Z63" s="45">
        <f t="shared" si="43"/>
        <v>537268.75926595577</v>
      </c>
      <c r="AA63" s="45">
        <f t="shared" si="43"/>
        <v>536268.70989482966</v>
      </c>
      <c r="AB63" s="45">
        <f t="shared" si="43"/>
        <v>535362.73302102101</v>
      </c>
      <c r="AC63" s="45">
        <f t="shared" si="43"/>
        <v>535362.73829368257</v>
      </c>
      <c r="AD63" s="45">
        <f t="shared" si="43"/>
        <v>535362.73911226925</v>
      </c>
      <c r="AE63" s="45">
        <f t="shared" si="43"/>
        <v>535362.73911226925</v>
      </c>
      <c r="AF63" s="45">
        <f t="shared" si="43"/>
        <v>533518.15719169995</v>
      </c>
      <c r="AG63" s="46">
        <f>SUM(I63:AF63)</f>
        <v>13169893.566318398</v>
      </c>
    </row>
    <row r="64" spans="1:33" ht="14">
      <c r="B64">
        <f>+MONTH(E64)</f>
        <v>1</v>
      </c>
      <c r="C64">
        <f>+YEAR(E64)</f>
        <v>2027</v>
      </c>
      <c r="D64" t="str">
        <f>+_xlfn.CONCAT(B64:C64,G64)</f>
        <v>12027OR</v>
      </c>
      <c r="E64" s="71">
        <v>46388</v>
      </c>
      <c r="F64" s="73">
        <f>+AG68</f>
        <v>14876875.221809534</v>
      </c>
      <c r="G64" s="37" t="s">
        <v>57</v>
      </c>
      <c r="H64" s="37">
        <v>19</v>
      </c>
      <c r="I64" s="66">
        <v>17228.857990264132</v>
      </c>
      <c r="J64" s="66">
        <v>16881.81300891202</v>
      </c>
      <c r="K64" s="66">
        <v>16674.157142260341</v>
      </c>
      <c r="L64" s="66">
        <v>16614.948671033861</v>
      </c>
      <c r="M64" s="66">
        <v>16619.044965709068</v>
      </c>
      <c r="N64" s="66">
        <v>16958.200641364794</v>
      </c>
      <c r="O64" s="66">
        <v>17939.267743638946</v>
      </c>
      <c r="P64" s="66">
        <v>19524.889283181408</v>
      </c>
      <c r="Q64" s="66">
        <v>21775.06214583054</v>
      </c>
      <c r="R64" s="66">
        <v>23014.792024651237</v>
      </c>
      <c r="S64" s="66">
        <v>23226.722882946837</v>
      </c>
      <c r="T64" s="66">
        <v>23572.297086357212</v>
      </c>
      <c r="U64" s="66">
        <v>23345.412087627225</v>
      </c>
      <c r="V64" s="66">
        <v>24042.104550603319</v>
      </c>
      <c r="W64" s="66">
        <v>25099.534152906112</v>
      </c>
      <c r="X64" s="66">
        <v>25576.698154623562</v>
      </c>
      <c r="Y64" s="66">
        <v>24093.898910363783</v>
      </c>
      <c r="Z64" s="66">
        <v>23623.300921666902</v>
      </c>
      <c r="AA64" s="66">
        <v>22696.499618370846</v>
      </c>
      <c r="AB64" s="66">
        <v>21865.478794812108</v>
      </c>
      <c r="AC64" s="66">
        <v>20880.765292395587</v>
      </c>
      <c r="AD64" s="66">
        <v>19571.934313577211</v>
      </c>
      <c r="AE64" s="66">
        <v>18457.583098820502</v>
      </c>
      <c r="AF64" s="66">
        <v>17877.268004867343</v>
      </c>
      <c r="AG64" s="38">
        <f>ROUND(SUM(I64:AF64)*H64,2)</f>
        <v>9446050.0999999996</v>
      </c>
    </row>
    <row r="65" spans="2:33" ht="14">
      <c r="B65">
        <f t="shared" ref="B65:B122" si="44">+MONTH(E65)</f>
        <v>1</v>
      </c>
      <c r="C65">
        <f t="shared" ref="C65:C122" si="45">+YEAR(E65)</f>
        <v>2027</v>
      </c>
      <c r="D65" t="str">
        <f t="shared" ref="D65:D122" si="46">+_xlfn.CONCAT(B65:C65,G65)</f>
        <v>12027SA</v>
      </c>
      <c r="E65" s="72">
        <v>46388</v>
      </c>
      <c r="F65" s="74"/>
      <c r="G65" s="39" t="s">
        <v>60</v>
      </c>
      <c r="H65" s="39">
        <v>5</v>
      </c>
      <c r="I65" s="66">
        <v>17244.932744888705</v>
      </c>
      <c r="J65" s="66">
        <v>16874.843179572945</v>
      </c>
      <c r="K65" s="66">
        <v>16644.894048833714</v>
      </c>
      <c r="L65" s="66">
        <v>16545.898183752906</v>
      </c>
      <c r="M65" s="66">
        <v>16511.874767936031</v>
      </c>
      <c r="N65" s="66">
        <v>16679.248146564991</v>
      </c>
      <c r="O65" s="66">
        <v>17286.749836731491</v>
      </c>
      <c r="P65" s="66">
        <v>18403.534111859048</v>
      </c>
      <c r="Q65" s="66">
        <v>21216.740344542133</v>
      </c>
      <c r="R65" s="66">
        <v>23041.677807687884</v>
      </c>
      <c r="S65" s="66">
        <v>22709.455190793473</v>
      </c>
      <c r="T65" s="66">
        <v>22959.564148315505</v>
      </c>
      <c r="U65" s="66">
        <v>22853.40470035794</v>
      </c>
      <c r="V65" s="66">
        <v>22799.511911073576</v>
      </c>
      <c r="W65" s="66">
        <v>22505.201590875298</v>
      </c>
      <c r="X65" s="66">
        <v>22879.517493421321</v>
      </c>
      <c r="Y65" s="66">
        <v>21577.101382646189</v>
      </c>
      <c r="Z65" s="66">
        <v>21683.472922193403</v>
      </c>
      <c r="AA65" s="66">
        <v>21233.639544089761</v>
      </c>
      <c r="AB65" s="66">
        <v>20649.458621747948</v>
      </c>
      <c r="AC65" s="66">
        <v>19864.961681197779</v>
      </c>
      <c r="AD65" s="66">
        <v>18655.238615018217</v>
      </c>
      <c r="AE65" s="66">
        <v>17619.821781455154</v>
      </c>
      <c r="AF65" s="66">
        <v>17045.96760913598</v>
      </c>
      <c r="AG65" s="40">
        <f>ROUND(SUM(I65:AF65)*H65,2)</f>
        <v>2377433.5499999998</v>
      </c>
    </row>
    <row r="66" spans="2:33" ht="14">
      <c r="B66">
        <f t="shared" si="44"/>
        <v>1</v>
      </c>
      <c r="C66">
        <f t="shared" si="45"/>
        <v>2027</v>
      </c>
      <c r="D66" t="str">
        <f t="shared" si="46"/>
        <v>12027DO</v>
      </c>
      <c r="E66" s="72">
        <v>46388</v>
      </c>
      <c r="F66" s="74"/>
      <c r="G66" s="41" t="s">
        <v>58</v>
      </c>
      <c r="H66" s="41">
        <v>5</v>
      </c>
      <c r="I66" s="66">
        <v>16361.05971410446</v>
      </c>
      <c r="J66" s="66">
        <v>16070.076112224779</v>
      </c>
      <c r="K66" s="66">
        <v>15879.082488335396</v>
      </c>
      <c r="L66" s="66">
        <v>15750.914792806105</v>
      </c>
      <c r="M66" s="66">
        <v>15741.456265328321</v>
      </c>
      <c r="N66" s="66">
        <v>15572.372154714418</v>
      </c>
      <c r="O66" s="66">
        <v>15233.744738657022</v>
      </c>
      <c r="P66" s="66">
        <v>16915.145532411243</v>
      </c>
      <c r="Q66" s="66">
        <v>19872.394629602113</v>
      </c>
      <c r="R66" s="66">
        <v>21925.705572141174</v>
      </c>
      <c r="S66" s="66">
        <v>21093.708503225971</v>
      </c>
      <c r="T66" s="66">
        <v>20844.408879010465</v>
      </c>
      <c r="U66" s="66">
        <v>20384.634179900037</v>
      </c>
      <c r="V66" s="66">
        <v>19920.009406092548</v>
      </c>
      <c r="W66" s="66">
        <v>19233.635663749832</v>
      </c>
      <c r="X66" s="66">
        <v>19653.077949803301</v>
      </c>
      <c r="Y66" s="66">
        <v>18541.795390804731</v>
      </c>
      <c r="Z66" s="66">
        <v>18730.767662893842</v>
      </c>
      <c r="AA66" s="66">
        <v>18678.319271654611</v>
      </c>
      <c r="AB66" s="66">
        <v>18342.347597408709</v>
      </c>
      <c r="AC66" s="66">
        <v>17787.494854764209</v>
      </c>
      <c r="AD66" s="66">
        <v>17180.132996606499</v>
      </c>
      <c r="AE66" s="66">
        <v>16674.787881288463</v>
      </c>
      <c r="AF66" s="66">
        <v>16289.885086804043</v>
      </c>
      <c r="AG66" s="40">
        <f>ROUND(SUM(I66:AF66)*H66,2)</f>
        <v>2163384.79</v>
      </c>
    </row>
    <row r="67" spans="2:33" ht="14">
      <c r="B67">
        <f t="shared" si="44"/>
        <v>1</v>
      </c>
      <c r="C67">
        <f t="shared" si="45"/>
        <v>2027</v>
      </c>
      <c r="D67" t="str">
        <f t="shared" si="46"/>
        <v>12027FE</v>
      </c>
      <c r="E67" s="72">
        <v>46388</v>
      </c>
      <c r="F67" s="74"/>
      <c r="G67" s="42" t="s">
        <v>59</v>
      </c>
      <c r="H67" s="42">
        <v>2</v>
      </c>
      <c r="I67" s="66">
        <v>16644.368808651489</v>
      </c>
      <c r="J67" s="66">
        <v>16365.062047797213</v>
      </c>
      <c r="K67" s="66">
        <v>16190.231709834854</v>
      </c>
      <c r="L67" s="66">
        <v>16073.327916098138</v>
      </c>
      <c r="M67" s="66">
        <v>16063.883054641437</v>
      </c>
      <c r="N67" s="66">
        <v>15779.749434325884</v>
      </c>
      <c r="O67" s="66">
        <v>15448.99717126265</v>
      </c>
      <c r="P67" s="66">
        <v>16908.850390065858</v>
      </c>
      <c r="Q67" s="66">
        <v>22005.323141955723</v>
      </c>
      <c r="R67" s="66">
        <v>24896.554255979165</v>
      </c>
      <c r="S67" s="66">
        <v>23695.2518934072</v>
      </c>
      <c r="T67" s="66">
        <v>21895.099924286249</v>
      </c>
      <c r="U67" s="66">
        <v>20173.337327235095</v>
      </c>
      <c r="V67" s="66">
        <v>19636.422423566986</v>
      </c>
      <c r="W67" s="66">
        <v>19540.843637057085</v>
      </c>
      <c r="X67" s="66">
        <v>19987.966616370868</v>
      </c>
      <c r="Y67" s="66">
        <v>18802.434156722498</v>
      </c>
      <c r="Z67" s="66">
        <v>19012.771765886955</v>
      </c>
      <c r="AA67" s="66">
        <v>18922.342445041089</v>
      </c>
      <c r="AB67" s="66">
        <v>18605.731024810328</v>
      </c>
      <c r="AC67" s="66">
        <v>17977.673463996445</v>
      </c>
      <c r="AD67" s="66">
        <v>17297.138897418237</v>
      </c>
      <c r="AE67" s="66">
        <v>16742.394080499042</v>
      </c>
      <c r="AF67" s="66">
        <v>16337.636970842674</v>
      </c>
      <c r="AG67" s="43">
        <f>ROUND(SUM(I67:AF67)*H67,2)</f>
        <v>890006.79</v>
      </c>
    </row>
    <row r="68" spans="2:33" ht="15" thickBot="1">
      <c r="B68">
        <f t="shared" si="44"/>
        <v>1</v>
      </c>
      <c r="C68">
        <f t="shared" si="45"/>
        <v>2027</v>
      </c>
      <c r="D68" t="str">
        <f>+_xlfn.CONCAT(E68,G68)</f>
        <v>46388TOTAL</v>
      </c>
      <c r="E68" s="72">
        <v>46388</v>
      </c>
      <c r="F68" s="61"/>
      <c r="G68" s="44" t="s">
        <v>10</v>
      </c>
      <c r="H68" s="44">
        <f>+SUM(H64:H67)</f>
        <v>31</v>
      </c>
      <c r="I68" s="45">
        <f t="shared" ref="I68:AF68" si="47">+SUMPRODUCT(I64:I67,$H64:$H67)</f>
        <v>528667.00172728731</v>
      </c>
      <c r="J68" s="45">
        <f t="shared" si="47"/>
        <v>518209.16772391147</v>
      </c>
      <c r="K68" s="45">
        <f t="shared" si="47"/>
        <v>511809.33180846175</v>
      </c>
      <c r="L68" s="45">
        <f t="shared" si="47"/>
        <v>509314.74546463473</v>
      </c>
      <c r="M68" s="45">
        <f t="shared" si="47"/>
        <v>509156.27562407695</v>
      </c>
      <c r="N68" s="45">
        <f t="shared" si="47"/>
        <v>515023.41256097989</v>
      </c>
      <c r="O68" s="45">
        <f t="shared" si="47"/>
        <v>534346.55434860778</v>
      </c>
      <c r="P68" s="45">
        <f t="shared" si="47"/>
        <v>581383.99538192991</v>
      </c>
      <c r="Q68" s="45">
        <f t="shared" si="47"/>
        <v>663182.50192541291</v>
      </c>
      <c r="R68" s="45">
        <f t="shared" si="47"/>
        <v>711911.0738794771</v>
      </c>
      <c r="S68" s="45">
        <f t="shared" si="47"/>
        <v>707714.05703290156</v>
      </c>
      <c r="T68" s="45">
        <f t="shared" si="47"/>
        <v>710683.70962598943</v>
      </c>
      <c r="U68" s="45">
        <f t="shared" si="47"/>
        <v>700099.69872067729</v>
      </c>
      <c r="V68" s="45">
        <f t="shared" si="47"/>
        <v>709670.43789442768</v>
      </c>
      <c r="W68" s="45">
        <f t="shared" si="47"/>
        <v>724667.02245245595</v>
      </c>
      <c r="X68" s="45">
        <f t="shared" si="47"/>
        <v>738596.17538671254</v>
      </c>
      <c r="Y68" s="45">
        <f t="shared" si="47"/>
        <v>695983.43147761154</v>
      </c>
      <c r="Z68" s="45">
        <f t="shared" si="47"/>
        <v>688939.46396888129</v>
      </c>
      <c r="AA68" s="45">
        <f t="shared" si="47"/>
        <v>668637.97171785019</v>
      </c>
      <c r="AB68" s="45">
        <f t="shared" si="47"/>
        <v>647614.59024683409</v>
      </c>
      <c r="AC68" s="45">
        <f t="shared" si="47"/>
        <v>620952.17016331898</v>
      </c>
      <c r="AD68" s="45">
        <f t="shared" si="47"/>
        <v>585637.887810927</v>
      </c>
      <c r="AE68" s="45">
        <f t="shared" si="47"/>
        <v>555651.91535230563</v>
      </c>
      <c r="AF68" s="45">
        <f t="shared" si="47"/>
        <v>539022.62951386499</v>
      </c>
      <c r="AG68" s="46">
        <f>SUM(I68:AF68)</f>
        <v>14876875.221809534</v>
      </c>
    </row>
    <row r="69" spans="2:33" ht="14">
      <c r="B69">
        <f t="shared" si="44"/>
        <v>2</v>
      </c>
      <c r="C69">
        <f t="shared" si="45"/>
        <v>2027</v>
      </c>
      <c r="D69" t="str">
        <f t="shared" si="46"/>
        <v>22027OR</v>
      </c>
      <c r="E69" s="71">
        <v>46419</v>
      </c>
      <c r="F69" s="73">
        <f>+AG73</f>
        <v>13124749.149292586</v>
      </c>
      <c r="G69" s="37" t="s">
        <v>57</v>
      </c>
      <c r="H69" s="37">
        <v>20</v>
      </c>
      <c r="I69" s="66">
        <v>16918.361605586608</v>
      </c>
      <c r="J69" s="66">
        <v>16549.970108506499</v>
      </c>
      <c r="K69" s="66">
        <v>16313.08059881577</v>
      </c>
      <c r="L69" s="66">
        <v>16239.755399403837</v>
      </c>
      <c r="M69" s="66">
        <v>16154.990658798057</v>
      </c>
      <c r="N69" s="66">
        <v>16414.043037366726</v>
      </c>
      <c r="O69" s="66">
        <v>16942.028866682806</v>
      </c>
      <c r="P69" s="66">
        <v>18023.001289755099</v>
      </c>
      <c r="Q69" s="66">
        <v>19852.506111659277</v>
      </c>
      <c r="R69" s="66">
        <v>21177.462259995405</v>
      </c>
      <c r="S69" s="66">
        <v>21730.088452681601</v>
      </c>
      <c r="T69" s="66">
        <v>21797.195416323895</v>
      </c>
      <c r="U69" s="66">
        <v>21565.417945689296</v>
      </c>
      <c r="V69" s="66">
        <v>21004.206413151715</v>
      </c>
      <c r="W69" s="66">
        <v>22392.727885222546</v>
      </c>
      <c r="X69" s="66">
        <v>23688.444249093653</v>
      </c>
      <c r="Y69" s="66">
        <v>22628.825468759234</v>
      </c>
      <c r="Z69" s="66">
        <v>22642.818140490093</v>
      </c>
      <c r="AA69" s="66">
        <v>22031.68632253875</v>
      </c>
      <c r="AB69" s="66">
        <v>21311.647411363942</v>
      </c>
      <c r="AC69" s="66">
        <v>20356.760654383925</v>
      </c>
      <c r="AD69" s="66">
        <v>19208.885965632679</v>
      </c>
      <c r="AE69" s="66">
        <v>18254.641113974627</v>
      </c>
      <c r="AF69" s="66">
        <v>17721.061146048414</v>
      </c>
      <c r="AG69" s="38">
        <f>+SUM(I69:AF69)*H69</f>
        <v>9418392.1304384898</v>
      </c>
    </row>
    <row r="70" spans="2:33" ht="14">
      <c r="B70">
        <f t="shared" si="44"/>
        <v>2</v>
      </c>
      <c r="C70">
        <f t="shared" si="45"/>
        <v>2027</v>
      </c>
      <c r="D70" t="str">
        <f t="shared" si="46"/>
        <v>22027SA</v>
      </c>
      <c r="E70" s="72">
        <v>46419</v>
      </c>
      <c r="F70" s="74"/>
      <c r="G70" s="39" t="s">
        <v>60</v>
      </c>
      <c r="H70" s="39">
        <v>4</v>
      </c>
      <c r="I70" s="66">
        <v>17064.032738566879</v>
      </c>
      <c r="J70" s="66">
        <v>16718.449368934282</v>
      </c>
      <c r="K70" s="66">
        <v>16540.847645225087</v>
      </c>
      <c r="L70" s="66">
        <v>16444.238183759146</v>
      </c>
      <c r="M70" s="66">
        <v>16438.668918405023</v>
      </c>
      <c r="N70" s="66">
        <v>16719.358037969032</v>
      </c>
      <c r="O70" s="66">
        <v>17595.372247433268</v>
      </c>
      <c r="P70" s="66">
        <v>19127.071817768672</v>
      </c>
      <c r="Q70" s="66">
        <v>22194.569516395637</v>
      </c>
      <c r="R70" s="66">
        <v>24440.558204571978</v>
      </c>
      <c r="S70" s="66">
        <v>24730.165217767171</v>
      </c>
      <c r="T70" s="66">
        <v>24634.781869914608</v>
      </c>
      <c r="U70" s="66">
        <v>24029.686877971209</v>
      </c>
      <c r="V70" s="66">
        <v>22816.123773831707</v>
      </c>
      <c r="W70" s="66">
        <v>23815.782424292513</v>
      </c>
      <c r="X70" s="66">
        <v>24711.344244928179</v>
      </c>
      <c r="Y70" s="66">
        <v>23477.449156632279</v>
      </c>
      <c r="Z70" s="66">
        <v>23066.261556934307</v>
      </c>
      <c r="AA70" s="66">
        <v>22184.959505145463</v>
      </c>
      <c r="AB70" s="66">
        <v>21427.51876524587</v>
      </c>
      <c r="AC70" s="66">
        <v>20520.288096460597</v>
      </c>
      <c r="AD70" s="66">
        <v>19214.765612658917</v>
      </c>
      <c r="AE70" s="66">
        <v>18091.56915564452</v>
      </c>
      <c r="AF70" s="66">
        <v>17483.458106543818</v>
      </c>
      <c r="AG70" s="40">
        <f>+SUM(I70:AF70)*H70</f>
        <v>1973949.2841720006</v>
      </c>
    </row>
    <row r="71" spans="2:33" ht="14">
      <c r="B71">
        <f t="shared" si="44"/>
        <v>2</v>
      </c>
      <c r="C71">
        <f t="shared" si="45"/>
        <v>2027</v>
      </c>
      <c r="D71" t="str">
        <f t="shared" si="46"/>
        <v>22027DO</v>
      </c>
      <c r="E71" s="72">
        <v>46419</v>
      </c>
      <c r="F71" s="74"/>
      <c r="G71" s="41" t="s">
        <v>58</v>
      </c>
      <c r="H71" s="41">
        <v>4</v>
      </c>
      <c r="I71" s="66">
        <v>16474.910238282406</v>
      </c>
      <c r="J71" s="66">
        <v>16179.483366150296</v>
      </c>
      <c r="K71" s="66">
        <v>15981.18104374492</v>
      </c>
      <c r="L71" s="66">
        <v>15849.780541960636</v>
      </c>
      <c r="M71" s="66">
        <v>15844.688442075152</v>
      </c>
      <c r="N71" s="66">
        <v>15667.37459902819</v>
      </c>
      <c r="O71" s="66">
        <v>15320.857229414627</v>
      </c>
      <c r="P71" s="66">
        <v>16916.226453528969</v>
      </c>
      <c r="Q71" s="66">
        <v>19716.161176953006</v>
      </c>
      <c r="R71" s="66">
        <v>22252.773374195611</v>
      </c>
      <c r="S71" s="66">
        <v>21957.058274888674</v>
      </c>
      <c r="T71" s="66">
        <v>21181.195605260371</v>
      </c>
      <c r="U71" s="66">
        <v>20179.694446308458</v>
      </c>
      <c r="V71" s="66">
        <v>18120.862383392265</v>
      </c>
      <c r="W71" s="66">
        <v>18495.395799733567</v>
      </c>
      <c r="X71" s="66">
        <v>19734.669084251931</v>
      </c>
      <c r="Y71" s="66">
        <v>18811.109724227259</v>
      </c>
      <c r="Z71" s="66">
        <v>18909.617136468329</v>
      </c>
      <c r="AA71" s="66">
        <v>18806.613036265146</v>
      </c>
      <c r="AB71" s="66">
        <v>18436.088385757252</v>
      </c>
      <c r="AC71" s="66">
        <v>17874.506988206071</v>
      </c>
      <c r="AD71" s="66">
        <v>17264.860254726147</v>
      </c>
      <c r="AE71" s="66">
        <v>16758.044390356656</v>
      </c>
      <c r="AF71" s="66">
        <v>16368.781695347883</v>
      </c>
      <c r="AG71" s="40">
        <f>+SUM(I71:AF71)*H71</f>
        <v>1732407.734682095</v>
      </c>
    </row>
    <row r="72" spans="2:33" ht="14">
      <c r="B72">
        <f t="shared" si="44"/>
        <v>2</v>
      </c>
      <c r="C72">
        <f t="shared" si="45"/>
        <v>2027</v>
      </c>
      <c r="D72" t="str">
        <f t="shared" si="46"/>
        <v>22027FE</v>
      </c>
      <c r="E72" s="72">
        <v>46419</v>
      </c>
      <c r="F72" s="74"/>
      <c r="G72" s="42" t="s">
        <v>59</v>
      </c>
      <c r="H72" s="42">
        <v>0</v>
      </c>
      <c r="I72" s="66">
        <v>0</v>
      </c>
      <c r="J72" s="66">
        <v>0</v>
      </c>
      <c r="K72" s="66">
        <v>0</v>
      </c>
      <c r="L72" s="66">
        <v>0</v>
      </c>
      <c r="M72" s="66">
        <v>0</v>
      </c>
      <c r="N72" s="66">
        <v>0</v>
      </c>
      <c r="O72" s="66">
        <v>0</v>
      </c>
      <c r="P72" s="66">
        <v>0</v>
      </c>
      <c r="Q72" s="66">
        <v>0</v>
      </c>
      <c r="R72" s="66">
        <v>0</v>
      </c>
      <c r="S72" s="66">
        <v>0</v>
      </c>
      <c r="T72" s="66">
        <v>0</v>
      </c>
      <c r="U72" s="66">
        <v>0</v>
      </c>
      <c r="V72" s="66">
        <v>0</v>
      </c>
      <c r="W72" s="66">
        <v>0</v>
      </c>
      <c r="X72" s="66">
        <v>0</v>
      </c>
      <c r="Y72" s="66">
        <v>0</v>
      </c>
      <c r="Z72" s="66">
        <v>0</v>
      </c>
      <c r="AA72" s="66">
        <v>0</v>
      </c>
      <c r="AB72" s="66">
        <v>0</v>
      </c>
      <c r="AC72" s="66">
        <v>0</v>
      </c>
      <c r="AD72" s="66">
        <v>0</v>
      </c>
      <c r="AE72" s="66">
        <v>0</v>
      </c>
      <c r="AF72" s="66">
        <v>0</v>
      </c>
      <c r="AG72" s="43">
        <f>+SUM(I72:AF72)*H72</f>
        <v>0</v>
      </c>
    </row>
    <row r="73" spans="2:33" ht="15" thickBot="1">
      <c r="B73">
        <f t="shared" si="44"/>
        <v>2</v>
      </c>
      <c r="C73">
        <f t="shared" si="45"/>
        <v>2027</v>
      </c>
      <c r="D73" t="str">
        <f>+_xlfn.CONCAT(E73,G73)</f>
        <v>46419TOTAL</v>
      </c>
      <c r="E73" s="72">
        <v>46419</v>
      </c>
      <c r="F73" s="61"/>
      <c r="G73" s="44" t="s">
        <v>10</v>
      </c>
      <c r="H73" s="44">
        <f>+SUM(H69:H72)</f>
        <v>28</v>
      </c>
      <c r="I73" s="45">
        <f t="shared" ref="I73:AF73" si="48">+SUMPRODUCT(I69:I72,$H69:$H72)</f>
        <v>472523.00401912926</v>
      </c>
      <c r="J73" s="45">
        <f t="shared" si="48"/>
        <v>462591.13311046828</v>
      </c>
      <c r="K73" s="45">
        <f t="shared" si="48"/>
        <v>456349.72673219541</v>
      </c>
      <c r="L73" s="45">
        <f t="shared" si="48"/>
        <v>453971.18289095588</v>
      </c>
      <c r="M73" s="45">
        <f t="shared" si="48"/>
        <v>452233.24261788186</v>
      </c>
      <c r="N73" s="45">
        <f t="shared" si="48"/>
        <v>457827.79129532346</v>
      </c>
      <c r="O73" s="45">
        <f t="shared" si="48"/>
        <v>470505.4952410477</v>
      </c>
      <c r="P73" s="45">
        <f t="shared" si="48"/>
        <v>504633.21888029261</v>
      </c>
      <c r="Q73" s="45">
        <f t="shared" si="48"/>
        <v>564693.04500658019</v>
      </c>
      <c r="R73" s="45">
        <f t="shared" si="48"/>
        <v>610322.57151497842</v>
      </c>
      <c r="S73" s="45">
        <f t="shared" si="48"/>
        <v>621350.66302425542</v>
      </c>
      <c r="T73" s="45">
        <f t="shared" si="48"/>
        <v>619207.81822717784</v>
      </c>
      <c r="U73" s="45">
        <f t="shared" si="48"/>
        <v>608145.88421090448</v>
      </c>
      <c r="V73" s="45">
        <f t="shared" si="48"/>
        <v>583832.07289193012</v>
      </c>
      <c r="W73" s="45">
        <f t="shared" si="48"/>
        <v>617099.27060055523</v>
      </c>
      <c r="X73" s="45">
        <f t="shared" si="48"/>
        <v>651552.93829859351</v>
      </c>
      <c r="Y73" s="45">
        <f t="shared" si="48"/>
        <v>621730.74489862274</v>
      </c>
      <c r="Z73" s="45">
        <f t="shared" si="48"/>
        <v>620759.87758341245</v>
      </c>
      <c r="AA73" s="45">
        <f t="shared" si="48"/>
        <v>604600.01661641733</v>
      </c>
      <c r="AB73" s="45">
        <f t="shared" si="48"/>
        <v>585687.37683129136</v>
      </c>
      <c r="AC73" s="45">
        <f t="shared" si="48"/>
        <v>560714.3934263452</v>
      </c>
      <c r="AD73" s="45">
        <f t="shared" si="48"/>
        <v>530096.2227821938</v>
      </c>
      <c r="AE73" s="45">
        <f t="shared" si="48"/>
        <v>504491.2764634972</v>
      </c>
      <c r="AF73" s="45">
        <f t="shared" si="48"/>
        <v>489830.18212853512</v>
      </c>
      <c r="AG73" s="46">
        <f>SUM(I73:AF73)</f>
        <v>13124749.149292586</v>
      </c>
    </row>
    <row r="74" spans="2:33" ht="14">
      <c r="B74">
        <f t="shared" si="44"/>
        <v>3</v>
      </c>
      <c r="C74">
        <f t="shared" si="45"/>
        <v>2027</v>
      </c>
      <c r="D74" t="str">
        <f t="shared" si="46"/>
        <v>32027OR</v>
      </c>
      <c r="E74" s="71">
        <v>46447</v>
      </c>
      <c r="F74" s="73">
        <f>+AG78</f>
        <v>14570746.370078476</v>
      </c>
      <c r="G74" s="37" t="s">
        <v>57</v>
      </c>
      <c r="H74" s="37">
        <v>20</v>
      </c>
      <c r="I74" s="66">
        <v>17123.428875586829</v>
      </c>
      <c r="J74" s="66">
        <v>16777.715784679753</v>
      </c>
      <c r="K74" s="66">
        <v>16567.888256509028</v>
      </c>
      <c r="L74" s="66">
        <v>16509.156728391761</v>
      </c>
      <c r="M74" s="66">
        <v>16503.640262505818</v>
      </c>
      <c r="N74" s="66">
        <v>16827.849762503389</v>
      </c>
      <c r="O74" s="66">
        <v>17837.951507040234</v>
      </c>
      <c r="P74" s="66">
        <v>19325.23400960306</v>
      </c>
      <c r="Q74" s="66">
        <v>21056.603413145855</v>
      </c>
      <c r="R74" s="66">
        <v>21908.447296090195</v>
      </c>
      <c r="S74" s="66">
        <v>22388.017074152831</v>
      </c>
      <c r="T74" s="66">
        <v>22813.722194297829</v>
      </c>
      <c r="U74" s="66">
        <v>22697.743926377505</v>
      </c>
      <c r="V74" s="66">
        <v>23397.201961753486</v>
      </c>
      <c r="W74" s="66">
        <v>24690.20018198801</v>
      </c>
      <c r="X74" s="66">
        <v>25048.740289256159</v>
      </c>
      <c r="Y74" s="66">
        <v>23893.110207889116</v>
      </c>
      <c r="Z74" s="66">
        <v>23458.097530811312</v>
      </c>
      <c r="AA74" s="66">
        <v>22540.0985776827</v>
      </c>
      <c r="AB74" s="66">
        <v>21686.885980431613</v>
      </c>
      <c r="AC74" s="66">
        <v>20711.745206561889</v>
      </c>
      <c r="AD74" s="66">
        <v>19423.92241356157</v>
      </c>
      <c r="AE74" s="66">
        <v>18329.977018949685</v>
      </c>
      <c r="AF74" s="66">
        <v>17755.271174826663</v>
      </c>
      <c r="AG74" s="38">
        <f>+SUM(I74:AF74)*H74</f>
        <v>9785452.9926919248</v>
      </c>
    </row>
    <row r="75" spans="2:33" ht="14">
      <c r="B75">
        <f t="shared" si="44"/>
        <v>3</v>
      </c>
      <c r="C75">
        <f t="shared" si="45"/>
        <v>2027</v>
      </c>
      <c r="D75" t="str">
        <f t="shared" si="46"/>
        <v>32027SA</v>
      </c>
      <c r="E75" s="72">
        <v>46447</v>
      </c>
      <c r="F75" s="74"/>
      <c r="G75" s="39" t="s">
        <v>60</v>
      </c>
      <c r="H75" s="39">
        <v>4</v>
      </c>
      <c r="I75" s="66">
        <v>17173.888217799315</v>
      </c>
      <c r="J75" s="66">
        <v>16809.350149896258</v>
      </c>
      <c r="K75" s="66">
        <v>16584.253274729857</v>
      </c>
      <c r="L75" s="66">
        <v>16489.656603051626</v>
      </c>
      <c r="M75" s="66">
        <v>16447.783782560055</v>
      </c>
      <c r="N75" s="66">
        <v>16605.672969017225</v>
      </c>
      <c r="O75" s="66">
        <v>17261.879092785301</v>
      </c>
      <c r="P75" s="66">
        <v>18289.639477743174</v>
      </c>
      <c r="Q75" s="66">
        <v>19740.199573051614</v>
      </c>
      <c r="R75" s="66">
        <v>20601.657926596348</v>
      </c>
      <c r="S75" s="66">
        <v>20952.476960790242</v>
      </c>
      <c r="T75" s="66">
        <v>21300.937338940414</v>
      </c>
      <c r="U75" s="66">
        <v>21140.737852294813</v>
      </c>
      <c r="V75" s="66">
        <v>21434.100155427652</v>
      </c>
      <c r="W75" s="66">
        <v>22219.313601331894</v>
      </c>
      <c r="X75" s="66">
        <v>22472.390303433782</v>
      </c>
      <c r="Y75" s="66">
        <v>21497.458651690082</v>
      </c>
      <c r="Z75" s="66">
        <v>21630.796872202474</v>
      </c>
      <c r="AA75" s="66">
        <v>21174.308853448198</v>
      </c>
      <c r="AB75" s="66">
        <v>20569.273185108796</v>
      </c>
      <c r="AC75" s="66">
        <v>19793.150549575555</v>
      </c>
      <c r="AD75" s="66">
        <v>18595.037714071703</v>
      </c>
      <c r="AE75" s="66">
        <v>17570.252740692624</v>
      </c>
      <c r="AF75" s="66">
        <v>17003.263624841493</v>
      </c>
      <c r="AG75" s="40">
        <f>+SUM(I75:AF75)*H75</f>
        <v>1853429.9178843219</v>
      </c>
    </row>
    <row r="76" spans="2:33" ht="14">
      <c r="B76">
        <f t="shared" si="44"/>
        <v>3</v>
      </c>
      <c r="C76">
        <f t="shared" si="45"/>
        <v>2027</v>
      </c>
      <c r="D76" t="str">
        <f t="shared" si="46"/>
        <v>32027DO</v>
      </c>
      <c r="E76" s="72">
        <v>46447</v>
      </c>
      <c r="F76" s="74"/>
      <c r="G76" s="41" t="s">
        <v>58</v>
      </c>
      <c r="H76" s="41">
        <v>4</v>
      </c>
      <c r="I76" s="66">
        <v>16475.751328102779</v>
      </c>
      <c r="J76" s="66">
        <v>16180.672964155394</v>
      </c>
      <c r="K76" s="66">
        <v>15980.592216490826</v>
      </c>
      <c r="L76" s="66">
        <v>15854.163582930843</v>
      </c>
      <c r="M76" s="66">
        <v>15818.909059255973</v>
      </c>
      <c r="N76" s="66">
        <v>15553.3978361472</v>
      </c>
      <c r="O76" s="66">
        <v>15190.282430441832</v>
      </c>
      <c r="P76" s="66">
        <v>15332.007611262201</v>
      </c>
      <c r="Q76" s="66">
        <v>17454.740283919928</v>
      </c>
      <c r="R76" s="66">
        <v>19216.260247437574</v>
      </c>
      <c r="S76" s="66">
        <v>19296.393447634578</v>
      </c>
      <c r="T76" s="66">
        <v>19166.128034038687</v>
      </c>
      <c r="U76" s="66">
        <v>18614.382665372574</v>
      </c>
      <c r="V76" s="66">
        <v>18264.260882450137</v>
      </c>
      <c r="W76" s="66">
        <v>18895.11118612162</v>
      </c>
      <c r="X76" s="66">
        <v>19204.998286586469</v>
      </c>
      <c r="Y76" s="66">
        <v>18390.523289330111</v>
      </c>
      <c r="Z76" s="66">
        <v>18660.317431597832</v>
      </c>
      <c r="AA76" s="66">
        <v>18609.343311596029</v>
      </c>
      <c r="AB76" s="66">
        <v>18265.371029498743</v>
      </c>
      <c r="AC76" s="66">
        <v>17683.336940150773</v>
      </c>
      <c r="AD76" s="66">
        <v>17078.609759543495</v>
      </c>
      <c r="AE76" s="66">
        <v>16564.866809506864</v>
      </c>
      <c r="AF76" s="66">
        <v>16184.361000232304</v>
      </c>
      <c r="AG76" s="40">
        <f>+SUM(I76:AF76)*H76</f>
        <v>1671739.1265352191</v>
      </c>
    </row>
    <row r="77" spans="2:33" ht="14">
      <c r="B77">
        <f t="shared" si="44"/>
        <v>3</v>
      </c>
      <c r="C77">
        <f t="shared" si="45"/>
        <v>2027</v>
      </c>
      <c r="D77" t="str">
        <f t="shared" si="46"/>
        <v>32027FE</v>
      </c>
      <c r="E77" s="72">
        <v>46447</v>
      </c>
      <c r="F77" s="74"/>
      <c r="G77" s="42" t="s">
        <v>59</v>
      </c>
      <c r="H77" s="42">
        <v>3</v>
      </c>
      <c r="I77" s="66">
        <v>16520.5599008973</v>
      </c>
      <c r="J77" s="66">
        <v>16244.063637195379</v>
      </c>
      <c r="K77" s="66">
        <v>16063.956979024944</v>
      </c>
      <c r="L77" s="66">
        <v>15951.25126246947</v>
      </c>
      <c r="M77" s="66">
        <v>15928.636147074512</v>
      </c>
      <c r="N77" s="66">
        <v>15605.09791658287</v>
      </c>
      <c r="O77" s="66">
        <v>15289.131226458167</v>
      </c>
      <c r="P77" s="66">
        <v>15419.674228805807</v>
      </c>
      <c r="Q77" s="66">
        <v>17183.090996191302</v>
      </c>
      <c r="R77" s="66">
        <v>20171.634007224678</v>
      </c>
      <c r="S77" s="66">
        <v>20138.293673807751</v>
      </c>
      <c r="T77" s="66">
        <v>18624.035644466952</v>
      </c>
      <c r="U77" s="66">
        <v>18102.757026680654</v>
      </c>
      <c r="V77" s="66">
        <v>18348.35468013904</v>
      </c>
      <c r="W77" s="66">
        <v>19067.375654931242</v>
      </c>
      <c r="X77" s="66">
        <v>19395.344763860117</v>
      </c>
      <c r="Y77" s="66">
        <v>18521.249908142618</v>
      </c>
      <c r="Z77" s="66">
        <v>18802.938280898561</v>
      </c>
      <c r="AA77" s="66">
        <v>18703.082435953431</v>
      </c>
      <c r="AB77" s="66">
        <v>18390.447779016416</v>
      </c>
      <c r="AC77" s="66">
        <v>17765.639692798431</v>
      </c>
      <c r="AD77" s="66">
        <v>17097.925386097206</v>
      </c>
      <c r="AE77" s="66">
        <v>16549.624284200632</v>
      </c>
      <c r="AF77" s="66">
        <v>16157.278809418718</v>
      </c>
      <c r="AG77" s="43">
        <f>+SUM(I77:AF77)*H77</f>
        <v>1260124.3329670085</v>
      </c>
    </row>
    <row r="78" spans="2:33" ht="15" thickBot="1">
      <c r="B78">
        <f t="shared" si="44"/>
        <v>3</v>
      </c>
      <c r="C78">
        <f t="shared" si="45"/>
        <v>2027</v>
      </c>
      <c r="D78" t="str">
        <f>+_xlfn.CONCAT(E78,G78)</f>
        <v>46447TOTAL</v>
      </c>
      <c r="E78" s="72">
        <v>46447</v>
      </c>
      <c r="F78" s="61"/>
      <c r="G78" s="44" t="s">
        <v>10</v>
      </c>
      <c r="H78" s="44">
        <f>+SUM(H74:H77)</f>
        <v>31</v>
      </c>
      <c r="I78" s="45">
        <f t="shared" ref="I78:AF78" si="49">+SUMPRODUCT(I74:I77,$H74:$H77)</f>
        <v>526628.81539803685</v>
      </c>
      <c r="J78" s="45">
        <f t="shared" si="49"/>
        <v>516246.59906138782</v>
      </c>
      <c r="K78" s="45">
        <f t="shared" si="49"/>
        <v>509809.01803213812</v>
      </c>
      <c r="L78" s="45">
        <f t="shared" si="49"/>
        <v>507412.16909917357</v>
      </c>
      <c r="M78" s="45">
        <f t="shared" si="49"/>
        <v>506925.48505860404</v>
      </c>
      <c r="N78" s="45">
        <f t="shared" si="49"/>
        <v>512008.57222047407</v>
      </c>
      <c r="O78" s="45">
        <f t="shared" si="49"/>
        <v>532435.06991308776</v>
      </c>
      <c r="P78" s="45">
        <f t="shared" si="49"/>
        <v>567250.29123450012</v>
      </c>
      <c r="Q78" s="45">
        <f t="shared" si="49"/>
        <v>621461.10067937721</v>
      </c>
      <c r="R78" s="45">
        <f t="shared" si="49"/>
        <v>657955.5206396135</v>
      </c>
      <c r="S78" s="45">
        <f t="shared" si="49"/>
        <v>669170.70413817919</v>
      </c>
      <c r="T78" s="45">
        <f t="shared" si="49"/>
        <v>674014.81231127388</v>
      </c>
      <c r="U78" s="45">
        <f t="shared" si="49"/>
        <v>667283.63167826156</v>
      </c>
      <c r="V78" s="45">
        <f t="shared" si="49"/>
        <v>681782.54742699792</v>
      </c>
      <c r="W78" s="45">
        <f t="shared" si="49"/>
        <v>715463.82975436805</v>
      </c>
      <c r="X78" s="45">
        <f t="shared" si="49"/>
        <v>725870.39443678444</v>
      </c>
      <c r="Y78" s="45">
        <f t="shared" si="49"/>
        <v>692977.88164629089</v>
      </c>
      <c r="Z78" s="45">
        <f t="shared" si="49"/>
        <v>686735.22267412313</v>
      </c>
      <c r="AA78" s="45">
        <f t="shared" si="49"/>
        <v>666045.82752169122</v>
      </c>
      <c r="AB78" s="45">
        <f t="shared" si="49"/>
        <v>644247.63980411168</v>
      </c>
      <c r="AC78" s="45">
        <f t="shared" si="49"/>
        <v>617437.77316853846</v>
      </c>
      <c r="AD78" s="45">
        <f t="shared" si="49"/>
        <v>582466.81432398374</v>
      </c>
      <c r="AE78" s="45">
        <f t="shared" si="49"/>
        <v>552788.89143239358</v>
      </c>
      <c r="AF78" s="45">
        <f t="shared" si="49"/>
        <v>536327.75842508452</v>
      </c>
      <c r="AG78" s="46">
        <f>SUM(I78:AF78)</f>
        <v>14570746.370078476</v>
      </c>
    </row>
    <row r="79" spans="2:33" ht="14">
      <c r="B79">
        <f t="shared" si="44"/>
        <v>4</v>
      </c>
      <c r="C79">
        <f t="shared" si="45"/>
        <v>2027</v>
      </c>
      <c r="D79" t="str">
        <f t="shared" si="46"/>
        <v>42027OR</v>
      </c>
      <c r="E79" s="71">
        <v>46478</v>
      </c>
      <c r="F79" s="73">
        <f>+AG83</f>
        <v>14169969.745224277</v>
      </c>
      <c r="G79" s="37" t="s">
        <v>57</v>
      </c>
      <c r="H79" s="37">
        <v>22</v>
      </c>
      <c r="I79" s="66">
        <v>17467.978035151569</v>
      </c>
      <c r="J79" s="66">
        <v>17097.754921169249</v>
      </c>
      <c r="K79" s="66">
        <v>16857.865384565859</v>
      </c>
      <c r="L79" s="66">
        <v>16779.328424726908</v>
      </c>
      <c r="M79" s="66">
        <v>16695.903413726137</v>
      </c>
      <c r="N79" s="66">
        <v>16951.022115281023</v>
      </c>
      <c r="O79" s="66">
        <v>17540.486869619068</v>
      </c>
      <c r="P79" s="66">
        <v>18479.975164024872</v>
      </c>
      <c r="Q79" s="66">
        <v>19422.816796470994</v>
      </c>
      <c r="R79" s="66">
        <v>20219.314736985954</v>
      </c>
      <c r="S79" s="66">
        <v>20775.666918099858</v>
      </c>
      <c r="T79" s="66">
        <v>21170.419469247401</v>
      </c>
      <c r="U79" s="66">
        <v>21319.793892779617</v>
      </c>
      <c r="V79" s="66">
        <v>22102.527979060731</v>
      </c>
      <c r="W79" s="66">
        <v>22605.680074198739</v>
      </c>
      <c r="X79" s="66">
        <v>23975.988377807542</v>
      </c>
      <c r="Y79" s="66">
        <v>23379.987363333741</v>
      </c>
      <c r="Z79" s="66">
        <v>23108.534884523488</v>
      </c>
      <c r="AA79" s="66">
        <v>22535.832200219858</v>
      </c>
      <c r="AB79" s="66">
        <v>21867.499469369013</v>
      </c>
      <c r="AC79" s="66">
        <v>20906.119491053993</v>
      </c>
      <c r="AD79" s="66">
        <v>19759.508341101518</v>
      </c>
      <c r="AE79" s="66">
        <v>18806.006147269389</v>
      </c>
      <c r="AF79" s="66">
        <v>18269.374031347452</v>
      </c>
      <c r="AG79" s="38">
        <f>+SUM(I79:AF79)*H79</f>
        <v>10518098.459024947</v>
      </c>
    </row>
    <row r="80" spans="2:33" ht="14">
      <c r="B80">
        <f t="shared" si="44"/>
        <v>4</v>
      </c>
      <c r="C80">
        <f t="shared" si="45"/>
        <v>2027</v>
      </c>
      <c r="D80" t="str">
        <f t="shared" si="46"/>
        <v>42027SA</v>
      </c>
      <c r="E80" s="72">
        <v>46478</v>
      </c>
      <c r="F80" s="74"/>
      <c r="G80" s="39" t="s">
        <v>60</v>
      </c>
      <c r="H80" s="39">
        <v>4</v>
      </c>
      <c r="I80" s="66">
        <v>17442.703394027129</v>
      </c>
      <c r="J80" s="66">
        <v>17095.945000169719</v>
      </c>
      <c r="K80" s="66">
        <v>16919.664652007054</v>
      </c>
      <c r="L80" s="66">
        <v>16827.353968673899</v>
      </c>
      <c r="M80" s="66">
        <v>16824.334323645708</v>
      </c>
      <c r="N80" s="66">
        <v>17105.223203599307</v>
      </c>
      <c r="O80" s="66">
        <v>18043.691255211972</v>
      </c>
      <c r="P80" s="66">
        <v>19425.974763452257</v>
      </c>
      <c r="Q80" s="66">
        <v>20582.307698364813</v>
      </c>
      <c r="R80" s="66">
        <v>21357.612975132211</v>
      </c>
      <c r="S80" s="66">
        <v>21933.148604247348</v>
      </c>
      <c r="T80" s="66">
        <v>22273.11068434651</v>
      </c>
      <c r="U80" s="66">
        <v>22200.11937953865</v>
      </c>
      <c r="V80" s="66">
        <v>23234.21522565791</v>
      </c>
      <c r="W80" s="66">
        <v>23493.357218010286</v>
      </c>
      <c r="X80" s="66">
        <v>24830.380593916238</v>
      </c>
      <c r="Y80" s="66">
        <v>24057.497957162781</v>
      </c>
      <c r="Z80" s="66">
        <v>23361.897361899344</v>
      </c>
      <c r="AA80" s="66">
        <v>22527.396967574652</v>
      </c>
      <c r="AB80" s="66">
        <v>21818.173863096985</v>
      </c>
      <c r="AC80" s="66">
        <v>20905.796893484352</v>
      </c>
      <c r="AD80" s="66">
        <v>19597.812244952416</v>
      </c>
      <c r="AE80" s="66">
        <v>18474.546560071278</v>
      </c>
      <c r="AF80" s="66">
        <v>17867.75215615725</v>
      </c>
      <c r="AG80" s="40">
        <f>+SUM(I80:AF80)*H80</f>
        <v>1952800.0677776001</v>
      </c>
    </row>
    <row r="81" spans="2:33" ht="14">
      <c r="B81">
        <f t="shared" si="44"/>
        <v>4</v>
      </c>
      <c r="C81">
        <f t="shared" si="45"/>
        <v>2027</v>
      </c>
      <c r="D81" t="str">
        <f t="shared" si="46"/>
        <v>42027DO</v>
      </c>
      <c r="E81" s="72">
        <v>46478</v>
      </c>
      <c r="F81" s="74"/>
      <c r="G81" s="41" t="s">
        <v>58</v>
      </c>
      <c r="H81" s="41">
        <v>4</v>
      </c>
      <c r="I81" s="66">
        <v>16840.68196395515</v>
      </c>
      <c r="J81" s="66">
        <v>16547.272834584488</v>
      </c>
      <c r="K81" s="66">
        <v>16344.230925585296</v>
      </c>
      <c r="L81" s="66">
        <v>16216.547286829205</v>
      </c>
      <c r="M81" s="66">
        <v>16206.143446552604</v>
      </c>
      <c r="N81" s="66">
        <v>16050.780668868376</v>
      </c>
      <c r="O81" s="66">
        <v>15777.429671046353</v>
      </c>
      <c r="P81" s="66">
        <v>16009.454835259759</v>
      </c>
      <c r="Q81" s="66">
        <v>17113.252559944136</v>
      </c>
      <c r="R81" s="66">
        <v>18605.927247784206</v>
      </c>
      <c r="S81" s="66">
        <v>18787.093769443018</v>
      </c>
      <c r="T81" s="66">
        <v>18813.730317033049</v>
      </c>
      <c r="U81" s="66">
        <v>18333.750496556575</v>
      </c>
      <c r="V81" s="66">
        <v>18490.598302181537</v>
      </c>
      <c r="W81" s="66">
        <v>18526.534727476952</v>
      </c>
      <c r="X81" s="66">
        <v>19830.684024364135</v>
      </c>
      <c r="Y81" s="66">
        <v>19372.043621175719</v>
      </c>
      <c r="Z81" s="66">
        <v>19194.895021068787</v>
      </c>
      <c r="AA81" s="66">
        <v>19129.548808415384</v>
      </c>
      <c r="AB81" s="66">
        <v>18806.175806905532</v>
      </c>
      <c r="AC81" s="66">
        <v>18244.505885359424</v>
      </c>
      <c r="AD81" s="66">
        <v>17641.950381733695</v>
      </c>
      <c r="AE81" s="66">
        <v>17133.330231170643</v>
      </c>
      <c r="AF81" s="66">
        <v>16751.24177213835</v>
      </c>
      <c r="AG81" s="40">
        <f>+SUM(I81:AF81)*H81</f>
        <v>1699071.2184217295</v>
      </c>
    </row>
    <row r="82" spans="2:33" ht="14">
      <c r="B82">
        <f t="shared" si="44"/>
        <v>4</v>
      </c>
      <c r="C82">
        <f t="shared" si="45"/>
        <v>2027</v>
      </c>
      <c r="D82" t="str">
        <f t="shared" si="46"/>
        <v>42027FE</v>
      </c>
      <c r="E82" s="72">
        <v>46478</v>
      </c>
      <c r="F82" s="74"/>
      <c r="G82" s="42" t="s">
        <v>59</v>
      </c>
      <c r="H82" s="42">
        <v>0</v>
      </c>
      <c r="I82" s="66">
        <v>0</v>
      </c>
      <c r="J82" s="66">
        <v>0</v>
      </c>
      <c r="K82" s="66">
        <v>0</v>
      </c>
      <c r="L82" s="66">
        <v>0</v>
      </c>
      <c r="M82" s="66">
        <v>0</v>
      </c>
      <c r="N82" s="66">
        <v>0</v>
      </c>
      <c r="O82" s="66">
        <v>0</v>
      </c>
      <c r="P82" s="66">
        <v>0</v>
      </c>
      <c r="Q82" s="66">
        <v>0</v>
      </c>
      <c r="R82" s="66">
        <v>0</v>
      </c>
      <c r="S82" s="66">
        <v>0</v>
      </c>
      <c r="T82" s="66">
        <v>0</v>
      </c>
      <c r="U82" s="66">
        <v>0</v>
      </c>
      <c r="V82" s="66">
        <v>0</v>
      </c>
      <c r="W82" s="66">
        <v>0</v>
      </c>
      <c r="X82" s="66">
        <v>0</v>
      </c>
      <c r="Y82" s="66">
        <v>0</v>
      </c>
      <c r="Z82" s="66">
        <v>0</v>
      </c>
      <c r="AA82" s="66">
        <v>0</v>
      </c>
      <c r="AB82" s="66">
        <v>0</v>
      </c>
      <c r="AC82" s="66">
        <v>0</v>
      </c>
      <c r="AD82" s="66">
        <v>0</v>
      </c>
      <c r="AE82" s="66">
        <v>0</v>
      </c>
      <c r="AF82" s="66">
        <v>0</v>
      </c>
      <c r="AG82" s="43">
        <f>+SUM(I82:AF82)*H82</f>
        <v>0</v>
      </c>
    </row>
    <row r="83" spans="2:33" ht="15" thickBot="1">
      <c r="B83">
        <f t="shared" si="44"/>
        <v>4</v>
      </c>
      <c r="C83">
        <f t="shared" si="45"/>
        <v>2027</v>
      </c>
      <c r="D83" t="str">
        <f>+_xlfn.CONCAT(E83,G83)</f>
        <v>46478TOTAL</v>
      </c>
      <c r="E83" s="72">
        <v>46478</v>
      </c>
      <c r="F83" s="61"/>
      <c r="G83" s="44" t="s">
        <v>10</v>
      </c>
      <c r="H83" s="44">
        <f>+SUM(H79:H82)</f>
        <v>30</v>
      </c>
      <c r="I83" s="45">
        <f t="shared" ref="I83:AF83" si="50">+SUMPRODUCT(I79:I82,$H79:$H82)</f>
        <v>521429.05820526363</v>
      </c>
      <c r="J83" s="45">
        <f t="shared" si="50"/>
        <v>510723.47960474039</v>
      </c>
      <c r="K83" s="45">
        <f t="shared" si="50"/>
        <v>503928.62077081832</v>
      </c>
      <c r="L83" s="45">
        <f t="shared" si="50"/>
        <v>501320.83036600437</v>
      </c>
      <c r="M83" s="45">
        <f t="shared" si="50"/>
        <v>499431.78618276818</v>
      </c>
      <c r="N83" s="45">
        <f t="shared" si="50"/>
        <v>505546.50202605326</v>
      </c>
      <c r="O83" s="45">
        <f t="shared" si="50"/>
        <v>521175.19483665284</v>
      </c>
      <c r="P83" s="45">
        <f t="shared" si="50"/>
        <v>548301.17200339527</v>
      </c>
      <c r="Q83" s="45">
        <f t="shared" si="50"/>
        <v>578084.21055559767</v>
      </c>
      <c r="R83" s="45">
        <f t="shared" si="50"/>
        <v>604679.08510535664</v>
      </c>
      <c r="S83" s="45">
        <f t="shared" si="50"/>
        <v>619945.64169295831</v>
      </c>
      <c r="T83" s="45">
        <f t="shared" si="50"/>
        <v>630096.59232896101</v>
      </c>
      <c r="U83" s="45">
        <f t="shared" si="50"/>
        <v>631170.94514553249</v>
      </c>
      <c r="V83" s="45">
        <f t="shared" si="50"/>
        <v>653154.86965069396</v>
      </c>
      <c r="W83" s="45">
        <f t="shared" si="50"/>
        <v>665404.52941432118</v>
      </c>
      <c r="X83" s="45">
        <f t="shared" si="50"/>
        <v>706116.00278488733</v>
      </c>
      <c r="Y83" s="45">
        <f t="shared" si="50"/>
        <v>688077.88830669632</v>
      </c>
      <c r="Z83" s="45">
        <f t="shared" si="50"/>
        <v>678614.93699138914</v>
      </c>
      <c r="AA83" s="45">
        <f t="shared" si="50"/>
        <v>662416.09150879702</v>
      </c>
      <c r="AB83" s="45">
        <f t="shared" si="50"/>
        <v>643582.38700612832</v>
      </c>
      <c r="AC83" s="45">
        <f t="shared" si="50"/>
        <v>616535.83991856291</v>
      </c>
      <c r="AD83" s="45">
        <f t="shared" si="50"/>
        <v>583668.2340109779</v>
      </c>
      <c r="AE83" s="45">
        <f t="shared" si="50"/>
        <v>556163.64240489423</v>
      </c>
      <c r="AF83" s="45">
        <f t="shared" si="50"/>
        <v>540402.20440282638</v>
      </c>
      <c r="AG83" s="46">
        <f>SUM(I83:AF83)</f>
        <v>14169969.745224277</v>
      </c>
    </row>
    <row r="84" spans="2:33" ht="14">
      <c r="B84">
        <f t="shared" si="44"/>
        <v>5</v>
      </c>
      <c r="C84">
        <f t="shared" si="45"/>
        <v>2027</v>
      </c>
      <c r="D84" t="str">
        <f t="shared" si="46"/>
        <v>52027OR</v>
      </c>
      <c r="E84" s="71">
        <v>46508</v>
      </c>
      <c r="F84" s="73">
        <f>+AG88</f>
        <v>16057148.726751532</v>
      </c>
      <c r="G84" s="37" t="s">
        <v>57</v>
      </c>
      <c r="H84" s="37">
        <v>19</v>
      </c>
      <c r="I84" s="66">
        <v>19388.4589001315</v>
      </c>
      <c r="J84" s="66">
        <v>19040.489517676975</v>
      </c>
      <c r="K84" s="66">
        <v>18827.788881817345</v>
      </c>
      <c r="L84" s="66">
        <v>18766.616770253127</v>
      </c>
      <c r="M84" s="66">
        <v>18757.987886090898</v>
      </c>
      <c r="N84" s="66">
        <v>19100.57842336765</v>
      </c>
      <c r="O84" s="66">
        <v>20170.066146325244</v>
      </c>
      <c r="P84" s="66">
        <v>22049.711153473268</v>
      </c>
      <c r="Q84" s="66">
        <v>24284.48755026306</v>
      </c>
      <c r="R84" s="66">
        <v>24465.04446394664</v>
      </c>
      <c r="S84" s="66">
        <v>24132.436851254126</v>
      </c>
      <c r="T84" s="66">
        <v>24097.456348961827</v>
      </c>
      <c r="U84" s="66">
        <v>23823.877053858454</v>
      </c>
      <c r="V84" s="66">
        <v>24244.960097951418</v>
      </c>
      <c r="W84" s="66">
        <v>25901.811798447779</v>
      </c>
      <c r="X84" s="66">
        <v>27253.3177219217</v>
      </c>
      <c r="Y84" s="66">
        <v>26998.016585249894</v>
      </c>
      <c r="Z84" s="66">
        <v>25749.72461734639</v>
      </c>
      <c r="AA84" s="66">
        <v>24792.679838879591</v>
      </c>
      <c r="AB84" s="66">
        <v>23969.296569534792</v>
      </c>
      <c r="AC84" s="66">
        <v>22987.374302293541</v>
      </c>
      <c r="AD84" s="66">
        <v>21696.162374103074</v>
      </c>
      <c r="AE84" s="66">
        <v>20600.146970791753</v>
      </c>
      <c r="AF84" s="66">
        <v>20023.151216258117</v>
      </c>
      <c r="AG84" s="38">
        <f>+SUM(I84:AF84)*H84</f>
        <v>10281311.198763765</v>
      </c>
    </row>
    <row r="85" spans="2:33" ht="14">
      <c r="B85">
        <f t="shared" si="44"/>
        <v>5</v>
      </c>
      <c r="C85">
        <f t="shared" si="45"/>
        <v>2027</v>
      </c>
      <c r="D85" t="str">
        <f t="shared" si="46"/>
        <v>52027SA</v>
      </c>
      <c r="E85" s="72">
        <v>46508</v>
      </c>
      <c r="F85" s="74"/>
      <c r="G85" s="39" t="s">
        <v>60</v>
      </c>
      <c r="H85" s="39">
        <v>4</v>
      </c>
      <c r="I85" s="66">
        <v>19400.829278010795</v>
      </c>
      <c r="J85" s="66">
        <v>19035.404871076349</v>
      </c>
      <c r="K85" s="66">
        <v>18810.875660421843</v>
      </c>
      <c r="L85" s="66">
        <v>18716.711650887391</v>
      </c>
      <c r="M85" s="66">
        <v>18671.721772639503</v>
      </c>
      <c r="N85" s="66">
        <v>18845.520750714542</v>
      </c>
      <c r="O85" s="66">
        <v>19556.905007910165</v>
      </c>
      <c r="P85" s="66">
        <v>20970.172016401601</v>
      </c>
      <c r="Q85" s="66">
        <v>22915.978681590663</v>
      </c>
      <c r="R85" s="66">
        <v>23051.126762347274</v>
      </c>
      <c r="S85" s="66">
        <v>22640.31939330438</v>
      </c>
      <c r="T85" s="66">
        <v>22469.591837986412</v>
      </c>
      <c r="U85" s="66">
        <v>22197.477476637221</v>
      </c>
      <c r="V85" s="66">
        <v>22227.840507428296</v>
      </c>
      <c r="W85" s="66">
        <v>23370.80827702691</v>
      </c>
      <c r="X85" s="66">
        <v>24614.259968590504</v>
      </c>
      <c r="Y85" s="66">
        <v>24540.380485937942</v>
      </c>
      <c r="Z85" s="66">
        <v>23864.905980619707</v>
      </c>
      <c r="AA85" s="66">
        <v>23377.283613662748</v>
      </c>
      <c r="AB85" s="66">
        <v>22805.66664250629</v>
      </c>
      <c r="AC85" s="66">
        <v>22024.76754462887</v>
      </c>
      <c r="AD85" s="66">
        <v>20821.494784146609</v>
      </c>
      <c r="AE85" s="66">
        <v>19791.84632278069</v>
      </c>
      <c r="AF85" s="66">
        <v>19225.609901994278</v>
      </c>
      <c r="AG85" s="40">
        <f>+SUM(I85:AF85)*H85</f>
        <v>2055789.9967570042</v>
      </c>
    </row>
    <row r="86" spans="2:33" ht="14">
      <c r="B86">
        <f t="shared" si="44"/>
        <v>5</v>
      </c>
      <c r="C86">
        <f t="shared" si="45"/>
        <v>2027</v>
      </c>
      <c r="D86" t="str">
        <f t="shared" si="46"/>
        <v>52027DO</v>
      </c>
      <c r="E86" s="72">
        <v>46508</v>
      </c>
      <c r="F86" s="74"/>
      <c r="G86" s="41" t="s">
        <v>58</v>
      </c>
      <c r="H86" s="41">
        <v>5</v>
      </c>
      <c r="I86" s="66">
        <v>18555.189886004038</v>
      </c>
      <c r="J86" s="66">
        <v>18265.897759988242</v>
      </c>
      <c r="K86" s="66">
        <v>18061.91566583914</v>
      </c>
      <c r="L86" s="66">
        <v>17937.430678118846</v>
      </c>
      <c r="M86" s="66">
        <v>17925.331631298042</v>
      </c>
      <c r="N86" s="66">
        <v>17794.324017270788</v>
      </c>
      <c r="O86" s="66">
        <v>17570.318866101479</v>
      </c>
      <c r="P86" s="66">
        <v>18214.174428279272</v>
      </c>
      <c r="Q86" s="66">
        <v>20694.961176438861</v>
      </c>
      <c r="R86" s="66">
        <v>21006.32005599124</v>
      </c>
      <c r="S86" s="66">
        <v>20180.13824727734</v>
      </c>
      <c r="T86" s="66">
        <v>19568.536856250968</v>
      </c>
      <c r="U86" s="66">
        <v>18926.586114890342</v>
      </c>
      <c r="V86" s="66">
        <v>19018.418829052294</v>
      </c>
      <c r="W86" s="66">
        <v>20106.556722897709</v>
      </c>
      <c r="X86" s="66">
        <v>21401.745311432529</v>
      </c>
      <c r="Y86" s="66">
        <v>21519.642586105736</v>
      </c>
      <c r="Z86" s="66">
        <v>20948.849782520025</v>
      </c>
      <c r="AA86" s="66">
        <v>20841.709903925253</v>
      </c>
      <c r="AB86" s="66">
        <v>20511.345242188894</v>
      </c>
      <c r="AC86" s="66">
        <v>19958.764138053713</v>
      </c>
      <c r="AD86" s="66">
        <v>19367.339405987401</v>
      </c>
      <c r="AE86" s="66">
        <v>18862.793111465173</v>
      </c>
      <c r="AF86" s="66">
        <v>18486.782809614044</v>
      </c>
      <c r="AG86" s="40">
        <f>+SUM(I86:AF86)*H86</f>
        <v>2328625.3661349565</v>
      </c>
    </row>
    <row r="87" spans="2:33" ht="14">
      <c r="B87">
        <f t="shared" si="44"/>
        <v>5</v>
      </c>
      <c r="C87">
        <f t="shared" si="45"/>
        <v>2027</v>
      </c>
      <c r="D87" t="str">
        <f t="shared" si="46"/>
        <v>52027FE</v>
      </c>
      <c r="E87" s="72">
        <v>46508</v>
      </c>
      <c r="F87" s="74"/>
      <c r="G87" s="42" t="s">
        <v>59</v>
      </c>
      <c r="H87" s="42">
        <v>3</v>
      </c>
      <c r="I87" s="66">
        <v>18712.217530988302</v>
      </c>
      <c r="J87" s="66">
        <v>18433.802607686426</v>
      </c>
      <c r="K87" s="66">
        <v>18250.237591127512</v>
      </c>
      <c r="L87" s="66">
        <v>18138.352186016229</v>
      </c>
      <c r="M87" s="66">
        <v>18110.389162095627</v>
      </c>
      <c r="N87" s="66">
        <v>17800.258560083181</v>
      </c>
      <c r="O87" s="66">
        <v>17517.720925883183</v>
      </c>
      <c r="P87" s="66">
        <v>18028.591792661489</v>
      </c>
      <c r="Q87" s="66">
        <v>20155.258440748526</v>
      </c>
      <c r="R87" s="66">
        <v>20461.700788754973</v>
      </c>
      <c r="S87" s="66">
        <v>19687.150699508842</v>
      </c>
      <c r="T87" s="66">
        <v>18772.138073511192</v>
      </c>
      <c r="U87" s="66">
        <v>18952.833682604978</v>
      </c>
      <c r="V87" s="66">
        <v>19061.964455823028</v>
      </c>
      <c r="W87" s="66">
        <v>20130.245125535075</v>
      </c>
      <c r="X87" s="66">
        <v>21446.538136645246</v>
      </c>
      <c r="Y87" s="66">
        <v>21468.755294330411</v>
      </c>
      <c r="Z87" s="66">
        <v>20964.738157065043</v>
      </c>
      <c r="AA87" s="66">
        <v>20835.003628612245</v>
      </c>
      <c r="AB87" s="66">
        <v>20572.678059064001</v>
      </c>
      <c r="AC87" s="66">
        <v>19946.912752404067</v>
      </c>
      <c r="AD87" s="66">
        <v>19279.297628648594</v>
      </c>
      <c r="AE87" s="66">
        <v>18733.823522116978</v>
      </c>
      <c r="AF87" s="66">
        <v>18346.77956335236</v>
      </c>
      <c r="AG87" s="43">
        <f>+SUM(I87:AF87)*H87</f>
        <v>1391422.1650958026</v>
      </c>
    </row>
    <row r="88" spans="2:33" ht="15" thickBot="1">
      <c r="B88">
        <f t="shared" si="44"/>
        <v>5</v>
      </c>
      <c r="C88">
        <f t="shared" si="45"/>
        <v>2027</v>
      </c>
      <c r="D88" t="str">
        <f>+_xlfn.CONCAT(E88,G88)</f>
        <v>46508TOTAL</v>
      </c>
      <c r="E88" s="72">
        <v>46508</v>
      </c>
      <c r="F88" s="61"/>
      <c r="G88" s="44" t="s">
        <v>10</v>
      </c>
      <c r="H88" s="44">
        <f>+SUM(H84:H87)</f>
        <v>31</v>
      </c>
      <c r="I88" s="45">
        <f t="shared" ref="I88:AF88" si="51">+SUMPRODUCT(I84:I87,$H84:$H87)</f>
        <v>594896.63823752676</v>
      </c>
      <c r="J88" s="45">
        <f t="shared" si="51"/>
        <v>584541.81694316841</v>
      </c>
      <c r="K88" s="45">
        <f t="shared" si="51"/>
        <v>578031.78249879519</v>
      </c>
      <c r="L88" s="45">
        <f t="shared" si="51"/>
        <v>575534.77518700191</v>
      </c>
      <c r="M88" s="45">
        <f t="shared" si="51"/>
        <v>575046.48256906215</v>
      </c>
      <c r="N88" s="45">
        <f t="shared" si="51"/>
        <v>580665.46881344705</v>
      </c>
      <c r="O88" s="45">
        <f t="shared" si="51"/>
        <v>601863.63391997723</v>
      </c>
      <c r="P88" s="45">
        <f t="shared" si="51"/>
        <v>647981.84750097943</v>
      </c>
      <c r="Q88" s="45">
        <f t="shared" si="51"/>
        <v>717009.75938580069</v>
      </c>
      <c r="R88" s="45">
        <f t="shared" si="51"/>
        <v>723457.05451059644</v>
      </c>
      <c r="S88" s="45">
        <f t="shared" si="51"/>
        <v>709039.72108195908</v>
      </c>
      <c r="T88" s="45">
        <f t="shared" si="51"/>
        <v>701889.13648400875</v>
      </c>
      <c r="U88" s="45">
        <f t="shared" si="51"/>
        <v>692935.00555212621</v>
      </c>
      <c r="V88" s="45">
        <f t="shared" si="51"/>
        <v>701843.59140352067</v>
      </c>
      <c r="W88" s="45">
        <f t="shared" si="51"/>
        <v>746541.17626970925</v>
      </c>
      <c r="X88" s="45">
        <f t="shared" si="51"/>
        <v>787618.41755797283</v>
      </c>
      <c r="Y88" s="45">
        <f t="shared" si="51"/>
        <v>783128.31587701966</v>
      </c>
      <c r="Z88" s="45">
        <f t="shared" si="51"/>
        <v>752342.85503585543</v>
      </c>
      <c r="AA88" s="45">
        <f t="shared" si="51"/>
        <v>731283.61179882637</v>
      </c>
      <c r="AB88" s="45">
        <f t="shared" si="51"/>
        <v>710914.06177932268</v>
      </c>
      <c r="AC88" s="45">
        <f t="shared" si="51"/>
        <v>684493.74086957355</v>
      </c>
      <c r="AD88" s="45">
        <f t="shared" si="51"/>
        <v>650187.65416042763</v>
      </c>
      <c r="AE88" s="45">
        <f t="shared" si="51"/>
        <v>621085.613859843</v>
      </c>
      <c r="AF88" s="45">
        <f t="shared" si="51"/>
        <v>604816.56545500865</v>
      </c>
      <c r="AG88" s="46">
        <f>SUM(I88:AF88)</f>
        <v>16057148.726751532</v>
      </c>
    </row>
    <row r="89" spans="2:33" ht="14">
      <c r="B89">
        <f t="shared" si="44"/>
        <v>6</v>
      </c>
      <c r="C89">
        <f t="shared" si="45"/>
        <v>2027</v>
      </c>
      <c r="D89" t="str">
        <f t="shared" si="46"/>
        <v>62027OR</v>
      </c>
      <c r="E89" s="71">
        <v>46539</v>
      </c>
      <c r="F89" s="73">
        <f>+AG93</f>
        <v>13725395.631057851</v>
      </c>
      <c r="G89" s="37" t="s">
        <v>57</v>
      </c>
      <c r="H89" s="37">
        <v>21</v>
      </c>
      <c r="I89" s="66">
        <v>16693.666760124728</v>
      </c>
      <c r="J89" s="66">
        <v>16345.188805477639</v>
      </c>
      <c r="K89" s="66">
        <v>16132.131459273509</v>
      </c>
      <c r="L89" s="66">
        <v>16071.881260555183</v>
      </c>
      <c r="M89" s="66">
        <v>16060.76240237626</v>
      </c>
      <c r="N89" s="66">
        <v>16403.431644401982</v>
      </c>
      <c r="O89" s="66">
        <v>17454.416871093032</v>
      </c>
      <c r="P89" s="66">
        <v>18879.854680724169</v>
      </c>
      <c r="Q89" s="66">
        <v>20431.881783034427</v>
      </c>
      <c r="R89" s="66">
        <v>21548.208874945627</v>
      </c>
      <c r="S89" s="66">
        <v>21988.89046139492</v>
      </c>
      <c r="T89" s="66">
        <v>22048.828137585122</v>
      </c>
      <c r="U89" s="66">
        <v>22197.836705223188</v>
      </c>
      <c r="V89" s="66">
        <v>22037.021341770174</v>
      </c>
      <c r="W89" s="66">
        <v>22529.1966066407</v>
      </c>
      <c r="X89" s="66">
        <v>22972.863817150341</v>
      </c>
      <c r="Y89" s="66">
        <v>23212.01754005544</v>
      </c>
      <c r="Z89" s="66">
        <v>23020.934999564706</v>
      </c>
      <c r="AA89" s="66">
        <v>22126.385734226162</v>
      </c>
      <c r="AB89" s="66">
        <v>21281.66133217905</v>
      </c>
      <c r="AC89" s="66">
        <v>20298.665414890806</v>
      </c>
      <c r="AD89" s="66">
        <v>19004.971979575654</v>
      </c>
      <c r="AE89" s="66">
        <v>17907.495194243322</v>
      </c>
      <c r="AF89" s="66">
        <v>17330.552811943537</v>
      </c>
      <c r="AG89" s="38">
        <f>+SUM(I89:AF89)*H89</f>
        <v>9953553.6789874416</v>
      </c>
    </row>
    <row r="90" spans="2:33" ht="14">
      <c r="B90">
        <f t="shared" si="44"/>
        <v>6</v>
      </c>
      <c r="C90">
        <f t="shared" si="45"/>
        <v>2027</v>
      </c>
      <c r="D90" t="str">
        <f t="shared" si="46"/>
        <v>62027SA</v>
      </c>
      <c r="E90" s="72">
        <v>46539</v>
      </c>
      <c r="F90" s="74"/>
      <c r="G90" s="39" t="s">
        <v>60</v>
      </c>
      <c r="H90" s="39">
        <v>4</v>
      </c>
      <c r="I90" s="66">
        <v>16725.106868432522</v>
      </c>
      <c r="J90" s="66">
        <v>16359.023527441013</v>
      </c>
      <c r="K90" s="66">
        <v>16133.424355198642</v>
      </c>
      <c r="L90" s="66">
        <v>16037.01023251327</v>
      </c>
      <c r="M90" s="66">
        <v>15989.509040817085</v>
      </c>
      <c r="N90" s="66">
        <v>16161.327180463832</v>
      </c>
      <c r="O90" s="66">
        <v>16854.007154589963</v>
      </c>
      <c r="P90" s="66">
        <v>17814.846082832762</v>
      </c>
      <c r="Q90" s="66">
        <v>19078.007883854807</v>
      </c>
      <c r="R90" s="66">
        <v>20146.670156020169</v>
      </c>
      <c r="S90" s="66">
        <v>20511.497086056159</v>
      </c>
      <c r="T90" s="66">
        <v>20435.672608697918</v>
      </c>
      <c r="U90" s="66">
        <v>20585.041502959022</v>
      </c>
      <c r="V90" s="66">
        <v>20029.95622512143</v>
      </c>
      <c r="W90" s="66">
        <v>20007.586464240361</v>
      </c>
      <c r="X90" s="66">
        <v>20345.064680462143</v>
      </c>
      <c r="Y90" s="66">
        <v>20767.078469494933</v>
      </c>
      <c r="Z90" s="66">
        <v>21150.25134418274</v>
      </c>
      <c r="AA90" s="66">
        <v>20725.220297091138</v>
      </c>
      <c r="AB90" s="66">
        <v>20133.451501601045</v>
      </c>
      <c r="AC90" s="66">
        <v>19349.749013431589</v>
      </c>
      <c r="AD90" s="66">
        <v>18141.780005859087</v>
      </c>
      <c r="AE90" s="66">
        <v>17106.776225819587</v>
      </c>
      <c r="AF90" s="66">
        <v>16539.501659464633</v>
      </c>
      <c r="AG90" s="40">
        <f>+SUM(I90:AF90)*H90</f>
        <v>1788510.2382665835</v>
      </c>
    </row>
    <row r="91" spans="2:33" ht="14">
      <c r="B91">
        <f t="shared" si="44"/>
        <v>6</v>
      </c>
      <c r="C91">
        <f t="shared" si="45"/>
        <v>2027</v>
      </c>
      <c r="D91" t="str">
        <f t="shared" si="46"/>
        <v>62027DO</v>
      </c>
      <c r="E91" s="72">
        <v>46539</v>
      </c>
      <c r="F91" s="74"/>
      <c r="G91" s="41" t="s">
        <v>58</v>
      </c>
      <c r="H91" s="41">
        <v>4</v>
      </c>
      <c r="I91" s="66">
        <v>15878.519921169578</v>
      </c>
      <c r="J91" s="66">
        <v>15587.06667301882</v>
      </c>
      <c r="K91" s="66">
        <v>15382.235700114317</v>
      </c>
      <c r="L91" s="66">
        <v>15256.622454919207</v>
      </c>
      <c r="M91" s="66">
        <v>15246.218936415258</v>
      </c>
      <c r="N91" s="66">
        <v>15108.611737064395</v>
      </c>
      <c r="O91" s="66">
        <v>14856.819093774995</v>
      </c>
      <c r="P91" s="66">
        <v>14796.462372058773</v>
      </c>
      <c r="Q91" s="66">
        <v>16005.805242221404</v>
      </c>
      <c r="R91" s="66">
        <v>17782.718288789198</v>
      </c>
      <c r="S91" s="66">
        <v>18005.184054530997</v>
      </c>
      <c r="T91" s="66">
        <v>17021.645241818675</v>
      </c>
      <c r="U91" s="66">
        <v>17241.470859107761</v>
      </c>
      <c r="V91" s="66">
        <v>16801.377653478907</v>
      </c>
      <c r="W91" s="66">
        <v>16725.428954283954</v>
      </c>
      <c r="X91" s="66">
        <v>17118.234774342338</v>
      </c>
      <c r="Y91" s="66">
        <v>17730.818348300887</v>
      </c>
      <c r="Z91" s="66">
        <v>18220.646787382455</v>
      </c>
      <c r="AA91" s="66">
        <v>18178.287297099381</v>
      </c>
      <c r="AB91" s="66">
        <v>17830.218272181781</v>
      </c>
      <c r="AC91" s="66">
        <v>17275.459062451278</v>
      </c>
      <c r="AD91" s="66">
        <v>16682.619833801342</v>
      </c>
      <c r="AE91" s="66">
        <v>16177.852990794878</v>
      </c>
      <c r="AF91" s="66">
        <v>15800.024745993389</v>
      </c>
      <c r="AG91" s="40">
        <f>+SUM(I91:AF91)*H91</f>
        <v>1586841.3971804555</v>
      </c>
    </row>
    <row r="92" spans="2:33" ht="14">
      <c r="B92">
        <f t="shared" si="44"/>
        <v>6</v>
      </c>
      <c r="C92">
        <f t="shared" si="45"/>
        <v>2027</v>
      </c>
      <c r="D92" t="str">
        <f t="shared" si="46"/>
        <v>62027FE</v>
      </c>
      <c r="E92" s="72">
        <v>46539</v>
      </c>
      <c r="F92" s="74"/>
      <c r="G92" s="42" t="s">
        <v>59</v>
      </c>
      <c r="H92" s="42">
        <v>1</v>
      </c>
      <c r="I92" s="66">
        <v>16065.55250998365</v>
      </c>
      <c r="J92" s="66">
        <v>15784.233297193074</v>
      </c>
      <c r="K92" s="66">
        <v>15599.810850504175</v>
      </c>
      <c r="L92" s="66">
        <v>15486.279231492366</v>
      </c>
      <c r="M92" s="66">
        <v>15460.198694623052</v>
      </c>
      <c r="N92" s="66">
        <v>15143.810914704671</v>
      </c>
      <c r="O92" s="66">
        <v>14834.979339058578</v>
      </c>
      <c r="P92" s="66">
        <v>14889.208189314768</v>
      </c>
      <c r="Q92" s="66">
        <v>15546.298959287431</v>
      </c>
      <c r="R92" s="66">
        <v>17321.425681802539</v>
      </c>
      <c r="S92" s="66">
        <v>17601.09115897811</v>
      </c>
      <c r="T92" s="66">
        <v>16698.974527634979</v>
      </c>
      <c r="U92" s="66">
        <v>17358.251781930208</v>
      </c>
      <c r="V92" s="66">
        <v>16885.517496171778</v>
      </c>
      <c r="W92" s="66">
        <v>16788.841269429424</v>
      </c>
      <c r="X92" s="66">
        <v>17202.689714506025</v>
      </c>
      <c r="Y92" s="66">
        <v>17719.669963786859</v>
      </c>
      <c r="Z92" s="66">
        <v>18274.607132933896</v>
      </c>
      <c r="AA92" s="66">
        <v>18210.276517341805</v>
      </c>
      <c r="AB92" s="66">
        <v>17927.604754755353</v>
      </c>
      <c r="AC92" s="66">
        <v>17297.358019990119</v>
      </c>
      <c r="AD92" s="66">
        <v>16625.816474385705</v>
      </c>
      <c r="AE92" s="66">
        <v>16078.854788937484</v>
      </c>
      <c r="AF92" s="66">
        <v>15688.965354623355</v>
      </c>
      <c r="AG92" s="43">
        <f>+SUM(I92:AF92)*H92</f>
        <v>396490.31662336941</v>
      </c>
    </row>
    <row r="93" spans="2:33" ht="15" thickBot="1">
      <c r="B93">
        <f t="shared" si="44"/>
        <v>6</v>
      </c>
      <c r="C93">
        <f t="shared" si="45"/>
        <v>2027</v>
      </c>
      <c r="D93" t="str">
        <f>+_xlfn.CONCAT(E93,G93)</f>
        <v>46539TOTAL</v>
      </c>
      <c r="E93" s="72">
        <v>46539</v>
      </c>
      <c r="F93" s="61"/>
      <c r="G93" s="44" t="s">
        <v>10</v>
      </c>
      <c r="H93" s="44">
        <f>+SUM(H89:H92)</f>
        <v>30</v>
      </c>
      <c r="I93" s="45">
        <f t="shared" ref="I93:AF93" si="52">+SUMPRODUCT(I89:I92,$H89:$H92)</f>
        <v>497047.06163101137</v>
      </c>
      <c r="J93" s="45">
        <f t="shared" si="52"/>
        <v>486817.5590140628</v>
      </c>
      <c r="K93" s="45">
        <f t="shared" si="52"/>
        <v>480437.21171649976</v>
      </c>
      <c r="L93" s="45">
        <f t="shared" si="52"/>
        <v>478170.31645288115</v>
      </c>
      <c r="M93" s="45">
        <f t="shared" si="52"/>
        <v>477679.12105345388</v>
      </c>
      <c r="N93" s="45">
        <f t="shared" si="52"/>
        <v>484695.63111725921</v>
      </c>
      <c r="O93" s="45">
        <f t="shared" si="52"/>
        <v>508221.03862547199</v>
      </c>
      <c r="P93" s="45">
        <f t="shared" si="52"/>
        <v>541811.39030408859</v>
      </c>
      <c r="Q93" s="45">
        <f t="shared" si="52"/>
        <v>584951.06890731526</v>
      </c>
      <c r="R93" s="45">
        <f t="shared" si="52"/>
        <v>621551.3658348982</v>
      </c>
      <c r="S93" s="45">
        <f t="shared" si="52"/>
        <v>633434.5154106199</v>
      </c>
      <c r="T93" s="45">
        <f t="shared" si="52"/>
        <v>629553.63681898906</v>
      </c>
      <c r="U93" s="45">
        <f t="shared" si="52"/>
        <v>634818.87203988433</v>
      </c>
      <c r="V93" s="45">
        <f t="shared" si="52"/>
        <v>626988.30118774681</v>
      </c>
      <c r="W93" s="45">
        <f t="shared" si="52"/>
        <v>636834.03168298129</v>
      </c>
      <c r="X93" s="45">
        <f t="shared" si="52"/>
        <v>649486.02769388107</v>
      </c>
      <c r="Y93" s="45">
        <f t="shared" si="52"/>
        <v>659163.62557613431</v>
      </c>
      <c r="Z93" s="45">
        <f t="shared" si="52"/>
        <v>659197.83465005353</v>
      </c>
      <c r="AA93" s="45">
        <f t="shared" si="52"/>
        <v>638478.40731285338</v>
      </c>
      <c r="AB93" s="45">
        <f t="shared" si="52"/>
        <v>616697.17182564677</v>
      </c>
      <c r="AC93" s="45">
        <f t="shared" si="52"/>
        <v>590070.16403622855</v>
      </c>
      <c r="AD93" s="45">
        <f t="shared" si="52"/>
        <v>555027.82740411616</v>
      </c>
      <c r="AE93" s="45">
        <f t="shared" si="52"/>
        <v>525274.77073450515</v>
      </c>
      <c r="AF93" s="45">
        <f t="shared" si="52"/>
        <v>508988.6800272697</v>
      </c>
      <c r="AG93" s="46">
        <f>SUM(I93:AF93)</f>
        <v>13725395.631057851</v>
      </c>
    </row>
    <row r="94" spans="2:33" ht="14">
      <c r="B94">
        <f t="shared" si="44"/>
        <v>7</v>
      </c>
      <c r="C94">
        <f t="shared" si="45"/>
        <v>2027</v>
      </c>
      <c r="D94" t="str">
        <f t="shared" si="46"/>
        <v>72027OR</v>
      </c>
      <c r="E94" s="71">
        <v>46569</v>
      </c>
      <c r="F94" s="73">
        <f>+AG98</f>
        <v>14099291.290886724</v>
      </c>
      <c r="G94" s="37" t="s">
        <v>57</v>
      </c>
      <c r="H94" s="37">
        <v>20</v>
      </c>
      <c r="I94" s="66">
        <v>16655.023960168859</v>
      </c>
      <c r="J94" s="66">
        <v>16306.914168715704</v>
      </c>
      <c r="K94" s="66">
        <v>16094.063315321348</v>
      </c>
      <c r="L94" s="66">
        <v>16032.718871300103</v>
      </c>
      <c r="M94" s="66">
        <v>16024.219828997686</v>
      </c>
      <c r="N94" s="66">
        <v>16347.400942007394</v>
      </c>
      <c r="O94" s="66">
        <v>17407.905196632353</v>
      </c>
      <c r="P94" s="66">
        <v>18907.238368080019</v>
      </c>
      <c r="Q94" s="66">
        <v>20499.255815522691</v>
      </c>
      <c r="R94" s="66">
        <v>21764.286285765291</v>
      </c>
      <c r="S94" s="66">
        <v>21793.033316634868</v>
      </c>
      <c r="T94" s="66">
        <v>22027.050716456779</v>
      </c>
      <c r="U94" s="66">
        <v>22115.477679880525</v>
      </c>
      <c r="V94" s="66">
        <v>21581.927858422914</v>
      </c>
      <c r="W94" s="66">
        <v>22687.921111552379</v>
      </c>
      <c r="X94" s="66">
        <v>24052.056960628372</v>
      </c>
      <c r="Y94" s="66">
        <v>23553.259292684394</v>
      </c>
      <c r="Z94" s="66">
        <v>23042.232885326826</v>
      </c>
      <c r="AA94" s="66">
        <v>22113.906347510343</v>
      </c>
      <c r="AB94" s="66">
        <v>21240.416659605522</v>
      </c>
      <c r="AC94" s="66">
        <v>20256.89305174716</v>
      </c>
      <c r="AD94" s="66">
        <v>18964.708060923564</v>
      </c>
      <c r="AE94" s="66">
        <v>17867.835047931476</v>
      </c>
      <c r="AF94" s="66">
        <v>17290.499398439129</v>
      </c>
      <c r="AG94" s="38">
        <f>+SUM(I94:AF94)*H94</f>
        <v>9492524.9028051142</v>
      </c>
    </row>
    <row r="95" spans="2:33" ht="14">
      <c r="B95">
        <f t="shared" si="44"/>
        <v>7</v>
      </c>
      <c r="C95">
        <f t="shared" si="45"/>
        <v>2027</v>
      </c>
      <c r="D95" t="str">
        <f t="shared" si="46"/>
        <v>72027SA</v>
      </c>
      <c r="E95" s="72">
        <v>46569</v>
      </c>
      <c r="F95" s="74"/>
      <c r="G95" s="39" t="s">
        <v>60</v>
      </c>
      <c r="H95" s="39">
        <v>5</v>
      </c>
      <c r="I95" s="66">
        <v>16662.227204300045</v>
      </c>
      <c r="J95" s="66">
        <v>16296.626713317435</v>
      </c>
      <c r="K95" s="66">
        <v>16071.92984638624</v>
      </c>
      <c r="L95" s="66">
        <v>15977.646272245362</v>
      </c>
      <c r="M95" s="66">
        <v>15932.681931653573</v>
      </c>
      <c r="N95" s="66">
        <v>16086.672288880824</v>
      </c>
      <c r="O95" s="66">
        <v>16788.095525253455</v>
      </c>
      <c r="P95" s="66">
        <v>17820.266153617224</v>
      </c>
      <c r="Q95" s="66">
        <v>19122.62578256123</v>
      </c>
      <c r="R95" s="66">
        <v>20341.892015136487</v>
      </c>
      <c r="S95" s="66">
        <v>20292.178016170619</v>
      </c>
      <c r="T95" s="66">
        <v>20390.108751494834</v>
      </c>
      <c r="U95" s="66">
        <v>20479.938087809249</v>
      </c>
      <c r="V95" s="66">
        <v>19555.420382299664</v>
      </c>
      <c r="W95" s="66">
        <v>20147.259288491146</v>
      </c>
      <c r="X95" s="66">
        <v>21403.311990736114</v>
      </c>
      <c r="Y95" s="66">
        <v>21086.012139419272</v>
      </c>
      <c r="Z95" s="66">
        <v>21148.260217586925</v>
      </c>
      <c r="AA95" s="66">
        <v>20690.294639730531</v>
      </c>
      <c r="AB95" s="66">
        <v>20068.78067823423</v>
      </c>
      <c r="AC95" s="66">
        <v>19286.524479864776</v>
      </c>
      <c r="AD95" s="66">
        <v>18082.485374605531</v>
      </c>
      <c r="AE95" s="66">
        <v>17052.13708339669</v>
      </c>
      <c r="AF95" s="66">
        <v>16485.720332394932</v>
      </c>
      <c r="AG95" s="40">
        <f>+SUM(I95:AF95)*H95</f>
        <v>2236345.4759779321</v>
      </c>
    </row>
    <row r="96" spans="2:33" ht="14">
      <c r="B96">
        <f t="shared" si="44"/>
        <v>7</v>
      </c>
      <c r="C96">
        <f t="shared" si="45"/>
        <v>2027</v>
      </c>
      <c r="D96" t="str">
        <f t="shared" si="46"/>
        <v>72027DO</v>
      </c>
      <c r="E96" s="72">
        <v>46569</v>
      </c>
      <c r="F96" s="74"/>
      <c r="G96" s="41" t="s">
        <v>58</v>
      </c>
      <c r="H96" s="41">
        <v>4</v>
      </c>
      <c r="I96" s="66">
        <v>15775.124688170379</v>
      </c>
      <c r="J96" s="66">
        <v>15486.899053444089</v>
      </c>
      <c r="K96" s="66">
        <v>15282.779878496214</v>
      </c>
      <c r="L96" s="66">
        <v>15159.042873147604</v>
      </c>
      <c r="M96" s="66">
        <v>15147.080972789698</v>
      </c>
      <c r="N96" s="66">
        <v>14997.694839760528</v>
      </c>
      <c r="O96" s="66">
        <v>14762.594004625289</v>
      </c>
      <c r="P96" s="66">
        <v>14776.052711698681</v>
      </c>
      <c r="Q96" s="66">
        <v>15577.209516401021</v>
      </c>
      <c r="R96" s="66">
        <v>17625.372409537726</v>
      </c>
      <c r="S96" s="66">
        <v>17081.302775945987</v>
      </c>
      <c r="T96" s="66">
        <v>16908.887576579182</v>
      </c>
      <c r="U96" s="66">
        <v>17104.828232702086</v>
      </c>
      <c r="V96" s="66">
        <v>16291.676834732487</v>
      </c>
      <c r="W96" s="66">
        <v>16830.175814064696</v>
      </c>
      <c r="X96" s="66">
        <v>18138.085618782239</v>
      </c>
      <c r="Y96" s="66">
        <v>18013.044900546371</v>
      </c>
      <c r="Z96" s="66">
        <v>18181.877858711294</v>
      </c>
      <c r="AA96" s="66">
        <v>18103.21703349947</v>
      </c>
      <c r="AB96" s="66">
        <v>17726.62576257149</v>
      </c>
      <c r="AC96" s="66">
        <v>17176.823785755034</v>
      </c>
      <c r="AD96" s="66">
        <v>16589.040783460536</v>
      </c>
      <c r="AE96" s="66">
        <v>16086.293752334688</v>
      </c>
      <c r="AF96" s="66">
        <v>15711.751364461352</v>
      </c>
      <c r="AG96" s="40">
        <f>+SUM(I96:AF96)*H96</f>
        <v>1578133.9321688723</v>
      </c>
    </row>
    <row r="97" spans="2:33" ht="14">
      <c r="B97">
        <f t="shared" si="44"/>
        <v>7</v>
      </c>
      <c r="C97">
        <f t="shared" si="45"/>
        <v>2027</v>
      </c>
      <c r="D97" t="str">
        <f t="shared" si="46"/>
        <v>72027FE</v>
      </c>
      <c r="E97" s="72">
        <v>46569</v>
      </c>
      <c r="F97" s="74"/>
      <c r="G97" s="42" t="s">
        <v>59</v>
      </c>
      <c r="H97" s="42">
        <v>2</v>
      </c>
      <c r="I97" s="66">
        <v>16005.601750018492</v>
      </c>
      <c r="J97" s="66">
        <v>15726.745452996631</v>
      </c>
      <c r="K97" s="66">
        <v>15543.085405229551</v>
      </c>
      <c r="L97" s="66">
        <v>15430.796875068871</v>
      </c>
      <c r="M97" s="66">
        <v>15403.771443858523</v>
      </c>
      <c r="N97" s="66">
        <v>15077.8154786451</v>
      </c>
      <c r="O97" s="66">
        <v>14788.791696379712</v>
      </c>
      <c r="P97" s="66">
        <v>14920.12501960092</v>
      </c>
      <c r="Q97" s="66">
        <v>15573.019782649069</v>
      </c>
      <c r="R97" s="66">
        <v>17289.147229100556</v>
      </c>
      <c r="S97" s="66">
        <v>16808.892572803081</v>
      </c>
      <c r="T97" s="66">
        <v>16685.697751237287</v>
      </c>
      <c r="U97" s="66">
        <v>17281.445813291957</v>
      </c>
      <c r="V97" s="66">
        <v>16436.033491867616</v>
      </c>
      <c r="W97" s="66">
        <v>16952.750815467625</v>
      </c>
      <c r="X97" s="66">
        <v>18281.315536356375</v>
      </c>
      <c r="Y97" s="66">
        <v>18061.242570696664</v>
      </c>
      <c r="Z97" s="66">
        <v>18292.64697187108</v>
      </c>
      <c r="AA97" s="66">
        <v>18192.51021892158</v>
      </c>
      <c r="AB97" s="66">
        <v>17878.053699892094</v>
      </c>
      <c r="AC97" s="66">
        <v>17250.62759681699</v>
      </c>
      <c r="AD97" s="66">
        <v>16581.18031410109</v>
      </c>
      <c r="AE97" s="66">
        <v>16034.982332754877</v>
      </c>
      <c r="AF97" s="66">
        <v>15647.210147776868</v>
      </c>
      <c r="AG97" s="43">
        <f>+SUM(I97:AF97)*H97</f>
        <v>792286.97993480531</v>
      </c>
    </row>
    <row r="98" spans="2:33" ht="15" thickBot="1">
      <c r="B98">
        <f t="shared" si="44"/>
        <v>7</v>
      </c>
      <c r="C98">
        <f t="shared" si="45"/>
        <v>2027</v>
      </c>
      <c r="D98" t="str">
        <f>+_xlfn.CONCAT(E98,G98)</f>
        <v>46569TOTAL</v>
      </c>
      <c r="E98" s="72">
        <v>46569</v>
      </c>
      <c r="F98" s="61"/>
      <c r="G98" s="44" t="s">
        <v>10</v>
      </c>
      <c r="H98" s="44">
        <f>+SUM(H94:H97)</f>
        <v>31</v>
      </c>
      <c r="I98" s="45">
        <f t="shared" ref="I98:AF98" si="53">+SUMPRODUCT(I94:I97,$H94:$H97)</f>
        <v>511523.31747759588</v>
      </c>
      <c r="J98" s="45">
        <f t="shared" si="53"/>
        <v>501022.50406067085</v>
      </c>
      <c r="K98" s="45">
        <f t="shared" si="53"/>
        <v>494458.20586280216</v>
      </c>
      <c r="L98" s="45">
        <f t="shared" si="53"/>
        <v>492040.37402995699</v>
      </c>
      <c r="M98" s="45">
        <f t="shared" si="53"/>
        <v>491543.6730170974</v>
      </c>
      <c r="N98" s="45">
        <f t="shared" si="53"/>
        <v>497527.7906008843</v>
      </c>
      <c r="O98" s="45">
        <f t="shared" si="53"/>
        <v>520726.54097017489</v>
      </c>
      <c r="P98" s="45">
        <f t="shared" si="53"/>
        <v>556190.55901568313</v>
      </c>
      <c r="Q98" s="45">
        <f t="shared" si="53"/>
        <v>599053.12285416212</v>
      </c>
      <c r="R98" s="45">
        <f t="shared" si="53"/>
        <v>642074.96988734032</v>
      </c>
      <c r="S98" s="45">
        <f t="shared" si="53"/>
        <v>639264.55266294058</v>
      </c>
      <c r="T98" s="45">
        <f t="shared" si="53"/>
        <v>643498.50389540102</v>
      </c>
      <c r="U98" s="45">
        <f t="shared" si="53"/>
        <v>647691.44859404908</v>
      </c>
      <c r="V98" s="45">
        <f t="shared" si="53"/>
        <v>627454.43340262177</v>
      </c>
      <c r="W98" s="45">
        <f t="shared" si="53"/>
        <v>655720.92356069724</v>
      </c>
      <c r="X98" s="45">
        <f t="shared" si="53"/>
        <v>697172.67271408963</v>
      </c>
      <c r="Y98" s="45">
        <f t="shared" si="53"/>
        <v>684669.91129436309</v>
      </c>
      <c r="Z98" s="45">
        <f t="shared" si="53"/>
        <v>675898.76417305844</v>
      </c>
      <c r="AA98" s="45">
        <f t="shared" si="53"/>
        <v>654527.48872070061</v>
      </c>
      <c r="AB98" s="45">
        <f t="shared" si="53"/>
        <v>631814.84703335166</v>
      </c>
      <c r="AC98" s="45">
        <f t="shared" si="53"/>
        <v>604779.03377092117</v>
      </c>
      <c r="AD98" s="45">
        <f t="shared" si="53"/>
        <v>569225.1118535432</v>
      </c>
      <c r="AE98" s="45">
        <f t="shared" si="53"/>
        <v>539032.52605046146</v>
      </c>
      <c r="AF98" s="45">
        <f t="shared" si="53"/>
        <v>522380.01538415643</v>
      </c>
      <c r="AG98" s="46">
        <f>SUM(I98:AF98)</f>
        <v>14099291.290886724</v>
      </c>
    </row>
    <row r="99" spans="2:33" ht="14">
      <c r="B99">
        <f t="shared" si="44"/>
        <v>8</v>
      </c>
      <c r="C99">
        <f t="shared" si="45"/>
        <v>2027</v>
      </c>
      <c r="D99" t="str">
        <f t="shared" si="46"/>
        <v>82027OR</v>
      </c>
      <c r="E99" s="71">
        <v>46600</v>
      </c>
      <c r="F99" s="73">
        <f>+AG103</f>
        <v>13990119.680333864</v>
      </c>
      <c r="G99" s="37" t="s">
        <v>57</v>
      </c>
      <c r="H99" s="37">
        <v>21</v>
      </c>
      <c r="I99" s="66">
        <v>16540.304400707417</v>
      </c>
      <c r="J99" s="66">
        <v>16192.089983789694</v>
      </c>
      <c r="K99" s="66">
        <v>15979.104421775985</v>
      </c>
      <c r="L99" s="66">
        <v>15917.65518446183</v>
      </c>
      <c r="M99" s="66">
        <v>15908.918316392694</v>
      </c>
      <c r="N99" s="66">
        <v>16233.083466640735</v>
      </c>
      <c r="O99" s="66">
        <v>17234.090034920438</v>
      </c>
      <c r="P99" s="66">
        <v>18663.731819737604</v>
      </c>
      <c r="Q99" s="66">
        <v>21205.497838557771</v>
      </c>
      <c r="R99" s="66">
        <v>21601.30952617048</v>
      </c>
      <c r="S99" s="66">
        <v>22143.674680228632</v>
      </c>
      <c r="T99" s="66">
        <v>21383.432565491781</v>
      </c>
      <c r="U99" s="66">
        <v>21211.624733223096</v>
      </c>
      <c r="V99" s="66">
        <v>22102.98481095058</v>
      </c>
      <c r="W99" s="66">
        <v>22379.183426772765</v>
      </c>
      <c r="X99" s="66">
        <v>23780.00690798659</v>
      </c>
      <c r="Y99" s="66">
        <v>23056.945380599875</v>
      </c>
      <c r="Z99" s="66">
        <v>22862.656461004117</v>
      </c>
      <c r="AA99" s="66">
        <v>21965.576263621744</v>
      </c>
      <c r="AB99" s="66">
        <v>21124.678982025613</v>
      </c>
      <c r="AC99" s="66">
        <v>20141.94320678142</v>
      </c>
      <c r="AD99" s="66">
        <v>18849.839191626459</v>
      </c>
      <c r="AE99" s="66">
        <v>17753.10023300305</v>
      </c>
      <c r="AF99" s="66">
        <v>17175.720880823716</v>
      </c>
      <c r="AG99" s="38">
        <f>+SUM(I99:AF99)*H99</f>
        <v>9899550.2070631757</v>
      </c>
    </row>
    <row r="100" spans="2:33" ht="14">
      <c r="B100">
        <f t="shared" si="44"/>
        <v>8</v>
      </c>
      <c r="C100">
        <f t="shared" si="45"/>
        <v>2027</v>
      </c>
      <c r="D100" t="str">
        <f t="shared" si="46"/>
        <v>82027SA</v>
      </c>
      <c r="E100" s="72">
        <v>46600</v>
      </c>
      <c r="F100" s="74"/>
      <c r="G100" s="39" t="s">
        <v>60</v>
      </c>
      <c r="H100" s="39">
        <v>3</v>
      </c>
      <c r="I100" s="66">
        <v>16551.173399073286</v>
      </c>
      <c r="J100" s="66">
        <v>16185.461269817932</v>
      </c>
      <c r="K100" s="66">
        <v>15960.711841921287</v>
      </c>
      <c r="L100" s="66">
        <v>15866.397311791237</v>
      </c>
      <c r="M100" s="66">
        <v>15821.307902574576</v>
      </c>
      <c r="N100" s="66">
        <v>15976.445991799812</v>
      </c>
      <c r="O100" s="66">
        <v>16618.835453092554</v>
      </c>
      <c r="P100" s="66">
        <v>17581.478068089837</v>
      </c>
      <c r="Q100" s="66">
        <v>19833.676468641384</v>
      </c>
      <c r="R100" s="66">
        <v>20183.9329703408</v>
      </c>
      <c r="S100" s="66">
        <v>20648.186024495357</v>
      </c>
      <c r="T100" s="66">
        <v>19752.027221599907</v>
      </c>
      <c r="U100" s="66">
        <v>19581.443610293783</v>
      </c>
      <c r="V100" s="66">
        <v>20081.702188096089</v>
      </c>
      <c r="W100" s="66">
        <v>19843.416328491658</v>
      </c>
      <c r="X100" s="66">
        <v>21135.965796128734</v>
      </c>
      <c r="Y100" s="66">
        <v>20594.397757547962</v>
      </c>
      <c r="Z100" s="66">
        <v>20973.407376560863</v>
      </c>
      <c r="AA100" s="66">
        <v>20546.785563902529</v>
      </c>
      <c r="AB100" s="66">
        <v>19957.621731972689</v>
      </c>
      <c r="AC100" s="66">
        <v>19175.830366515947</v>
      </c>
      <c r="AD100" s="66">
        <v>17971.23347198069</v>
      </c>
      <c r="AE100" s="66">
        <v>16940.36913558887</v>
      </c>
      <c r="AF100" s="66">
        <v>16373.906137703269</v>
      </c>
      <c r="AG100" s="40">
        <f>+SUM(I100:AF100)*H100</f>
        <v>1332467.1401640631</v>
      </c>
    </row>
    <row r="101" spans="2:33" ht="14">
      <c r="B101">
        <f t="shared" si="44"/>
        <v>8</v>
      </c>
      <c r="C101">
        <f t="shared" si="45"/>
        <v>2027</v>
      </c>
      <c r="D101" t="str">
        <f t="shared" si="46"/>
        <v>82027DO</v>
      </c>
      <c r="E101" s="72">
        <v>46600</v>
      </c>
      <c r="F101" s="74"/>
      <c r="G101" s="41" t="s">
        <v>58</v>
      </c>
      <c r="H101" s="41">
        <v>5</v>
      </c>
      <c r="I101" s="66">
        <v>15707.566733943484</v>
      </c>
      <c r="J101" s="66">
        <v>15418.243492757954</v>
      </c>
      <c r="K101" s="66">
        <v>15213.833561868358</v>
      </c>
      <c r="L101" s="66">
        <v>15089.522000528441</v>
      </c>
      <c r="M101" s="66">
        <v>15077.344393584568</v>
      </c>
      <c r="N101" s="66">
        <v>14928.377784829116</v>
      </c>
      <c r="O101" s="66">
        <v>14634.233192510936</v>
      </c>
      <c r="P101" s="66">
        <v>14580.412755176741</v>
      </c>
      <c r="Q101" s="66">
        <v>17416.945959823992</v>
      </c>
      <c r="R101" s="66">
        <v>17856.138994489276</v>
      </c>
      <c r="S101" s="66">
        <v>17921.143845324274</v>
      </c>
      <c r="T101" s="66">
        <v>16393.298509842421</v>
      </c>
      <c r="U101" s="66">
        <v>16256.649736856994</v>
      </c>
      <c r="V101" s="66">
        <v>16868.446285360198</v>
      </c>
      <c r="W101" s="66">
        <v>16575.702767632498</v>
      </c>
      <c r="X101" s="66">
        <v>17920.406513323396</v>
      </c>
      <c r="Y101" s="66">
        <v>17570.777907672156</v>
      </c>
      <c r="Z101" s="66">
        <v>18055.636451761075</v>
      </c>
      <c r="AA101" s="66">
        <v>18009.190432781234</v>
      </c>
      <c r="AB101" s="66">
        <v>17662.42760768862</v>
      </c>
      <c r="AC101" s="66">
        <v>17110.246752611052</v>
      </c>
      <c r="AD101" s="66">
        <v>16519.547354265462</v>
      </c>
      <c r="AE101" s="66">
        <v>16015.098419559657</v>
      </c>
      <c r="AF101" s="66">
        <v>15639.474882648525</v>
      </c>
      <c r="AG101" s="40">
        <f>+SUM(I101:AF101)*H101</f>
        <v>1972203.3316842022</v>
      </c>
    </row>
    <row r="102" spans="2:33" ht="14">
      <c r="B102">
        <f t="shared" si="44"/>
        <v>8</v>
      </c>
      <c r="C102">
        <f t="shared" si="45"/>
        <v>2027</v>
      </c>
      <c r="D102" t="str">
        <f t="shared" si="46"/>
        <v>82027FE</v>
      </c>
      <c r="E102" s="72">
        <v>46600</v>
      </c>
      <c r="F102" s="74"/>
      <c r="G102" s="42" t="s">
        <v>59</v>
      </c>
      <c r="H102" s="42">
        <v>2</v>
      </c>
      <c r="I102" s="66">
        <v>15857.229255893304</v>
      </c>
      <c r="J102" s="66">
        <v>15578.691142051983</v>
      </c>
      <c r="K102" s="66">
        <v>15394.81347471325</v>
      </c>
      <c r="L102" s="66">
        <v>15283.05511172871</v>
      </c>
      <c r="M102" s="66">
        <v>15254.492550127092</v>
      </c>
      <c r="N102" s="66">
        <v>14924.547808982232</v>
      </c>
      <c r="O102" s="66">
        <v>14569.694967781896</v>
      </c>
      <c r="P102" s="66">
        <v>14628.568217054972</v>
      </c>
      <c r="Q102" s="66">
        <v>16852.526111592582</v>
      </c>
      <c r="R102" s="66">
        <v>17287.638676579161</v>
      </c>
      <c r="S102" s="66">
        <v>17406.23843786235</v>
      </c>
      <c r="T102" s="66">
        <v>15987.884072892884</v>
      </c>
      <c r="U102" s="66">
        <v>16323.442557721619</v>
      </c>
      <c r="V102" s="66">
        <v>16902.111693669416</v>
      </c>
      <c r="W102" s="66">
        <v>16588.437161485315</v>
      </c>
      <c r="X102" s="66">
        <v>17953.711190111808</v>
      </c>
      <c r="Y102" s="66">
        <v>17507.716579328542</v>
      </c>
      <c r="Z102" s="66">
        <v>18060.805533127841</v>
      </c>
      <c r="AA102" s="66">
        <v>17992.448583892448</v>
      </c>
      <c r="AB102" s="66">
        <v>17715.280645340412</v>
      </c>
      <c r="AC102" s="66">
        <v>17089.767844739723</v>
      </c>
      <c r="AD102" s="66">
        <v>16422.377101819449</v>
      </c>
      <c r="AE102" s="66">
        <v>15877.246112613895</v>
      </c>
      <c r="AF102" s="66">
        <v>15490.775880100129</v>
      </c>
      <c r="AG102" s="43">
        <f>+SUM(I102:AF102)*H102</f>
        <v>785899.00142242201</v>
      </c>
    </row>
    <row r="103" spans="2:33" ht="15" thickBot="1">
      <c r="B103">
        <f t="shared" si="44"/>
        <v>8</v>
      </c>
      <c r="C103">
        <f t="shared" si="45"/>
        <v>2027</v>
      </c>
      <c r="D103" t="str">
        <f>+_xlfn.CONCAT(E103,G103)</f>
        <v>46600TOTAL</v>
      </c>
      <c r="E103" s="72">
        <v>46600</v>
      </c>
      <c r="F103" s="61"/>
      <c r="G103" s="44" t="s">
        <v>10</v>
      </c>
      <c r="H103" s="44">
        <f>+SUM(H99:H102)</f>
        <v>31</v>
      </c>
      <c r="I103" s="45">
        <f t="shared" ref="I103:AF103" si="54">+SUMPRODUCT(I99:I102,$H99:$H102)</f>
        <v>507252.20479357964</v>
      </c>
      <c r="J103" s="45">
        <f t="shared" si="54"/>
        <v>496838.87321693107</v>
      </c>
      <c r="K103" s="45">
        <f t="shared" si="54"/>
        <v>490302.12314182782</v>
      </c>
      <c r="L103" s="45">
        <f t="shared" si="54"/>
        <v>487883.67103517172</v>
      </c>
      <c r="M103" s="45">
        <f t="shared" si="54"/>
        <v>487446.91542014736</v>
      </c>
      <c r="N103" s="45">
        <f t="shared" si="54"/>
        <v>493315.07531696494</v>
      </c>
      <c r="O103" s="45">
        <f t="shared" si="54"/>
        <v>514082.95299072535</v>
      </c>
      <c r="P103" s="45">
        <f t="shared" si="54"/>
        <v>546842.00262875285</v>
      </c>
      <c r="Q103" s="45">
        <f t="shared" si="54"/>
        <v>625606.26603794249</v>
      </c>
      <c r="R103" s="45">
        <f t="shared" si="54"/>
        <v>638035.27128620725</v>
      </c>
      <c r="S103" s="45">
        <f t="shared" si="54"/>
        <v>651379.92246063345</v>
      </c>
      <c r="T103" s="45">
        <f t="shared" si="54"/>
        <v>622250.42623512505</v>
      </c>
      <c r="U103" s="45">
        <f t="shared" si="54"/>
        <v>618118.58402829454</v>
      </c>
      <c r="V103" s="45">
        <f t="shared" si="54"/>
        <v>642554.24240839027</v>
      </c>
      <c r="W103" s="45">
        <f t="shared" si="54"/>
        <v>645548.48910883616</v>
      </c>
      <c r="X103" s="45">
        <f t="shared" si="54"/>
        <v>688297.4974029453</v>
      </c>
      <c r="Y103" s="45">
        <f t="shared" si="54"/>
        <v>668848.36896225903</v>
      </c>
      <c r="Z103" s="45">
        <f t="shared" si="54"/>
        <v>669435.80113583012</v>
      </c>
      <c r="AA103" s="45">
        <f t="shared" si="54"/>
        <v>648948.30755945516</v>
      </c>
      <c r="AB103" s="45">
        <f t="shared" si="54"/>
        <v>627233.82314757979</v>
      </c>
      <c r="AC103" s="45">
        <f t="shared" si="54"/>
        <v>600239.0678944923</v>
      </c>
      <c r="AD103" s="45">
        <f t="shared" si="54"/>
        <v>565202.81441506383</v>
      </c>
      <c r="AE103" s="45">
        <f t="shared" si="54"/>
        <v>535466.19662285678</v>
      </c>
      <c r="AF103" s="45">
        <f t="shared" si="54"/>
        <v>518990.78308385063</v>
      </c>
      <c r="AG103" s="46">
        <f>SUM(I103:AF103)</f>
        <v>13990119.680333864</v>
      </c>
    </row>
    <row r="104" spans="2:33" ht="14">
      <c r="B104">
        <f t="shared" si="44"/>
        <v>9</v>
      </c>
      <c r="C104">
        <f t="shared" si="45"/>
        <v>2027</v>
      </c>
      <c r="D104" t="str">
        <f t="shared" si="46"/>
        <v>92027OR</v>
      </c>
      <c r="E104" s="71">
        <v>46631</v>
      </c>
      <c r="F104" s="73">
        <f>+AG108</f>
        <v>13864286.474981906</v>
      </c>
      <c r="G104" s="37" t="s">
        <v>57</v>
      </c>
      <c r="H104" s="37">
        <v>22</v>
      </c>
      <c r="I104" s="66">
        <v>16669.949687777764</v>
      </c>
      <c r="J104" s="66">
        <v>16321.103181163395</v>
      </c>
      <c r="K104" s="66">
        <v>16107.656055168925</v>
      </c>
      <c r="L104" s="66">
        <v>16046.938532464184</v>
      </c>
      <c r="M104" s="66">
        <v>16036.097940721818</v>
      </c>
      <c r="N104" s="66">
        <v>16385.009421846768</v>
      </c>
      <c r="O104" s="66">
        <v>17409.228097349227</v>
      </c>
      <c r="P104" s="66">
        <v>20198.528023822695</v>
      </c>
      <c r="Q104" s="66">
        <v>22030.379375003224</v>
      </c>
      <c r="R104" s="66">
        <v>21837.97793038137</v>
      </c>
      <c r="S104" s="66">
        <v>21199.424592948271</v>
      </c>
      <c r="T104" s="66">
        <v>21252.99075668618</v>
      </c>
      <c r="U104" s="66">
        <v>20999.230251441248</v>
      </c>
      <c r="V104" s="66">
        <v>22231.481303789475</v>
      </c>
      <c r="W104" s="66">
        <v>22739.360890283846</v>
      </c>
      <c r="X104" s="66">
        <v>24089.773680177695</v>
      </c>
      <c r="Y104" s="66">
        <v>23349.795990229646</v>
      </c>
      <c r="Z104" s="66">
        <v>22905.364755973904</v>
      </c>
      <c r="AA104" s="66">
        <v>22020.185304481201</v>
      </c>
      <c r="AB104" s="66">
        <v>21266.813651775654</v>
      </c>
      <c r="AC104" s="66">
        <v>20282.282892262141</v>
      </c>
      <c r="AD104" s="66">
        <v>18986.181113627405</v>
      </c>
      <c r="AE104" s="66">
        <v>17886.591233706757</v>
      </c>
      <c r="AF104" s="66">
        <v>17308.78645649071</v>
      </c>
      <c r="AG104" s="38">
        <f>+SUM(I104:AF104)*H104</f>
        <v>10462344.884630617</v>
      </c>
    </row>
    <row r="105" spans="2:33" ht="14">
      <c r="B105">
        <f t="shared" si="44"/>
        <v>9</v>
      </c>
      <c r="C105">
        <f t="shared" si="45"/>
        <v>2027</v>
      </c>
      <c r="D105" t="str">
        <f t="shared" si="46"/>
        <v>92027SA</v>
      </c>
      <c r="E105" s="72">
        <v>46631</v>
      </c>
      <c r="F105" s="74"/>
      <c r="G105" s="39" t="s">
        <v>60</v>
      </c>
      <c r="H105" s="39">
        <v>4</v>
      </c>
      <c r="I105" s="66">
        <v>16720.364776465594</v>
      </c>
      <c r="J105" s="66">
        <v>16353.234123147235</v>
      </c>
      <c r="K105" s="66">
        <v>16126.462965664497</v>
      </c>
      <c r="L105" s="66">
        <v>16029.220836395196</v>
      </c>
      <c r="M105" s="66">
        <v>15982.23205031814</v>
      </c>
      <c r="N105" s="66">
        <v>16160.458605933456</v>
      </c>
      <c r="O105" s="66">
        <v>16826.348206231542</v>
      </c>
      <c r="P105" s="66">
        <v>19151.02641154877</v>
      </c>
      <c r="Q105" s="66">
        <v>20694.421243728597</v>
      </c>
      <c r="R105" s="66">
        <v>20454.811744044346</v>
      </c>
      <c r="S105" s="66">
        <v>19741.936542859199</v>
      </c>
      <c r="T105" s="66">
        <v>19659.157455007407</v>
      </c>
      <c r="U105" s="66">
        <v>19403.916312837366</v>
      </c>
      <c r="V105" s="66">
        <v>20239.910553999682</v>
      </c>
      <c r="W105" s="66">
        <v>20232.405787749871</v>
      </c>
      <c r="X105" s="66">
        <v>21476.373206888929</v>
      </c>
      <c r="Y105" s="66">
        <v>20919.317405908401</v>
      </c>
      <c r="Z105" s="66">
        <v>21049.691186409826</v>
      </c>
      <c r="AA105" s="66">
        <v>20635.734701350179</v>
      </c>
      <c r="AB105" s="66">
        <v>20133.550952129241</v>
      </c>
      <c r="AC105" s="66">
        <v>19346.862624358379</v>
      </c>
      <c r="AD105" s="66">
        <v>18134.438226236558</v>
      </c>
      <c r="AE105" s="66">
        <v>17095.356750125131</v>
      </c>
      <c r="AF105" s="66">
        <v>16526.800129674608</v>
      </c>
      <c r="AG105" s="40">
        <f>+SUM(I105:AF105)*H105</f>
        <v>1796376.1311960486</v>
      </c>
    </row>
    <row r="106" spans="2:33" ht="14">
      <c r="B106">
        <f t="shared" si="44"/>
        <v>9</v>
      </c>
      <c r="C106">
        <f t="shared" si="45"/>
        <v>2027</v>
      </c>
      <c r="D106" t="str">
        <f t="shared" si="46"/>
        <v>92027DO</v>
      </c>
      <c r="E106" s="72">
        <v>46631</v>
      </c>
      <c r="F106" s="74"/>
      <c r="G106" s="41" t="s">
        <v>58</v>
      </c>
      <c r="H106" s="41">
        <v>4</v>
      </c>
      <c r="I106" s="66">
        <v>15891.650522973563</v>
      </c>
      <c r="J106" s="66">
        <v>15598.706655767901</v>
      </c>
      <c r="K106" s="66">
        <v>15393.433099131596</v>
      </c>
      <c r="L106" s="66">
        <v>15267.053672379725</v>
      </c>
      <c r="M106" s="66">
        <v>15256.346804373798</v>
      </c>
      <c r="N106" s="66">
        <v>15122.573283718586</v>
      </c>
      <c r="O106" s="66">
        <v>14840.473956366031</v>
      </c>
      <c r="P106" s="66">
        <v>17031.577169174456</v>
      </c>
      <c r="Q106" s="66">
        <v>19042.872363758725</v>
      </c>
      <c r="R106" s="66">
        <v>18598.852211770776</v>
      </c>
      <c r="S106" s="66">
        <v>16959.514271094493</v>
      </c>
      <c r="T106" s="66">
        <v>16086.886286213236</v>
      </c>
      <c r="U106" s="66">
        <v>16075.126728446474</v>
      </c>
      <c r="V106" s="66">
        <v>17028.286906270878</v>
      </c>
      <c r="W106" s="66">
        <v>16965.877171534248</v>
      </c>
      <c r="X106" s="66">
        <v>18265.805394266932</v>
      </c>
      <c r="Y106" s="66">
        <v>17899.087956960957</v>
      </c>
      <c r="Z106" s="66">
        <v>18136.120224385184</v>
      </c>
      <c r="AA106" s="66">
        <v>18106.947660468904</v>
      </c>
      <c r="AB106" s="66">
        <v>17848.425321503888</v>
      </c>
      <c r="AC106" s="66">
        <v>17289.844536206678</v>
      </c>
      <c r="AD106" s="66">
        <v>16693.105196845001</v>
      </c>
      <c r="AE106" s="66">
        <v>16186.029681004135</v>
      </c>
      <c r="AF106" s="66">
        <v>15806.767714193389</v>
      </c>
      <c r="AG106" s="40">
        <f>+SUM(I106:AF106)*H106</f>
        <v>1605565.4591552385</v>
      </c>
    </row>
    <row r="107" spans="2:33" ht="14">
      <c r="B107">
        <f t="shared" si="44"/>
        <v>9</v>
      </c>
      <c r="C107">
        <f t="shared" si="45"/>
        <v>2027</v>
      </c>
      <c r="D107" t="str">
        <f t="shared" si="46"/>
        <v>92027FE</v>
      </c>
      <c r="E107" s="72">
        <v>46631</v>
      </c>
      <c r="F107" s="74"/>
      <c r="G107" s="42" t="s">
        <v>59</v>
      </c>
      <c r="H107" s="42">
        <v>0</v>
      </c>
      <c r="I107" s="66">
        <v>0</v>
      </c>
      <c r="J107" s="66">
        <v>0</v>
      </c>
      <c r="K107" s="66">
        <v>0</v>
      </c>
      <c r="L107" s="66">
        <v>0</v>
      </c>
      <c r="M107" s="66">
        <v>0</v>
      </c>
      <c r="N107" s="66">
        <v>0</v>
      </c>
      <c r="O107" s="66">
        <v>0</v>
      </c>
      <c r="P107" s="66">
        <v>0</v>
      </c>
      <c r="Q107" s="66">
        <v>0</v>
      </c>
      <c r="R107" s="66">
        <v>0</v>
      </c>
      <c r="S107" s="66">
        <v>0</v>
      </c>
      <c r="T107" s="66">
        <v>0</v>
      </c>
      <c r="U107" s="66">
        <v>0</v>
      </c>
      <c r="V107" s="66">
        <v>0</v>
      </c>
      <c r="W107" s="66">
        <v>0</v>
      </c>
      <c r="X107" s="66">
        <v>0</v>
      </c>
      <c r="Y107" s="66">
        <v>0</v>
      </c>
      <c r="Z107" s="66">
        <v>0</v>
      </c>
      <c r="AA107" s="66">
        <v>0</v>
      </c>
      <c r="AB107" s="66">
        <v>0</v>
      </c>
      <c r="AC107" s="66">
        <v>0</v>
      </c>
      <c r="AD107" s="66">
        <v>0</v>
      </c>
      <c r="AE107" s="66">
        <v>0</v>
      </c>
      <c r="AF107" s="66">
        <v>0</v>
      </c>
      <c r="AG107" s="43">
        <f>+SUM(I107:AF107)*H107</f>
        <v>0</v>
      </c>
    </row>
    <row r="108" spans="2:33" ht="15" thickBot="1">
      <c r="B108">
        <f t="shared" si="44"/>
        <v>9</v>
      </c>
      <c r="C108">
        <f t="shared" si="45"/>
        <v>2027</v>
      </c>
      <c r="D108" t="str">
        <f>+_xlfn.CONCAT(E108,G108)</f>
        <v>46631TOTAL</v>
      </c>
      <c r="E108" s="72">
        <v>46631</v>
      </c>
      <c r="F108" s="61"/>
      <c r="G108" s="44" t="s">
        <v>10</v>
      </c>
      <c r="H108" s="44">
        <f>+SUM(H104:H107)</f>
        <v>30</v>
      </c>
      <c r="I108" s="45">
        <f t="shared" ref="I108:AF108" si="55">+SUMPRODUCT(I104:I107,$H104:$H107)</f>
        <v>497186.95432886743</v>
      </c>
      <c r="J108" s="45">
        <f t="shared" si="55"/>
        <v>486872.03310125525</v>
      </c>
      <c r="K108" s="45">
        <f t="shared" si="55"/>
        <v>480448.01747290074</v>
      </c>
      <c r="L108" s="45">
        <f t="shared" si="55"/>
        <v>478217.74574931175</v>
      </c>
      <c r="M108" s="45">
        <f t="shared" si="55"/>
        <v>477748.47011464776</v>
      </c>
      <c r="N108" s="45">
        <f t="shared" si="55"/>
        <v>485602.33483923704</v>
      </c>
      <c r="O108" s="45">
        <f t="shared" si="55"/>
        <v>509670.3067920733</v>
      </c>
      <c r="P108" s="45">
        <f t="shared" si="55"/>
        <v>589098.03084699216</v>
      </c>
      <c r="Q108" s="45">
        <f t="shared" si="55"/>
        <v>643617.5206800201</v>
      </c>
      <c r="R108" s="45">
        <f t="shared" si="55"/>
        <v>636650.17029165057</v>
      </c>
      <c r="S108" s="45">
        <f t="shared" si="55"/>
        <v>613193.14430067677</v>
      </c>
      <c r="T108" s="45">
        <f t="shared" si="55"/>
        <v>610549.97161197849</v>
      </c>
      <c r="U108" s="45">
        <f t="shared" si="55"/>
        <v>603899.23769684287</v>
      </c>
      <c r="V108" s="45">
        <f t="shared" si="55"/>
        <v>638165.37852445082</v>
      </c>
      <c r="W108" s="45">
        <f t="shared" si="55"/>
        <v>649059.07142338122</v>
      </c>
      <c r="X108" s="45">
        <f t="shared" si="55"/>
        <v>688943.73536853283</v>
      </c>
      <c r="Y108" s="45">
        <f t="shared" si="55"/>
        <v>668969.13323652965</v>
      </c>
      <c r="Z108" s="45">
        <f t="shared" si="55"/>
        <v>660661.27027460583</v>
      </c>
      <c r="AA108" s="45">
        <f t="shared" si="55"/>
        <v>639414.80614586279</v>
      </c>
      <c r="AB108" s="45">
        <f t="shared" si="55"/>
        <v>619797.80543359695</v>
      </c>
      <c r="AC108" s="45">
        <f t="shared" si="55"/>
        <v>592757.05227202736</v>
      </c>
      <c r="AD108" s="45">
        <f t="shared" si="55"/>
        <v>557006.15819212911</v>
      </c>
      <c r="AE108" s="45">
        <f t="shared" si="55"/>
        <v>526630.55286606576</v>
      </c>
      <c r="AF108" s="45">
        <f t="shared" si="55"/>
        <v>510127.57341826765</v>
      </c>
      <c r="AG108" s="46">
        <f>SUM(I108:AF108)</f>
        <v>13864286.474981906</v>
      </c>
    </row>
    <row r="109" spans="2:33" ht="14">
      <c r="B109">
        <f t="shared" si="44"/>
        <v>10</v>
      </c>
      <c r="C109">
        <f t="shared" si="45"/>
        <v>2027</v>
      </c>
      <c r="D109" t="str">
        <f t="shared" si="46"/>
        <v>102027OR</v>
      </c>
      <c r="E109" s="71">
        <v>46661</v>
      </c>
      <c r="F109" s="73">
        <f>+AG113</f>
        <v>14181969.941638771</v>
      </c>
      <c r="G109" s="37" t="s">
        <v>57</v>
      </c>
      <c r="H109" s="37">
        <v>20</v>
      </c>
      <c r="I109" s="66">
        <v>16690.711181323546</v>
      </c>
      <c r="J109" s="66">
        <v>16342.448747340648</v>
      </c>
      <c r="K109" s="66">
        <v>16129.4162444669</v>
      </c>
      <c r="L109" s="66">
        <v>16067.893681780761</v>
      </c>
      <c r="M109" s="66">
        <v>16059.314550473955</v>
      </c>
      <c r="N109" s="66">
        <v>16384.452959763414</v>
      </c>
      <c r="O109" s="66">
        <v>17435.60434967613</v>
      </c>
      <c r="P109" s="66">
        <v>19706.847592146234</v>
      </c>
      <c r="Q109" s="66">
        <v>21176.268567495925</v>
      </c>
      <c r="R109" s="66">
        <v>22040.846025504703</v>
      </c>
      <c r="S109" s="66">
        <v>22109.801216318909</v>
      </c>
      <c r="T109" s="66">
        <v>22053.585310554728</v>
      </c>
      <c r="U109" s="66">
        <v>21576.565237785406</v>
      </c>
      <c r="V109" s="66">
        <v>22283.292434300514</v>
      </c>
      <c r="W109" s="66">
        <v>23093.748099840999</v>
      </c>
      <c r="X109" s="66">
        <v>23551.745489856057</v>
      </c>
      <c r="Y109" s="66">
        <v>23386.020318587267</v>
      </c>
      <c r="Z109" s="66">
        <v>22846.087509598463</v>
      </c>
      <c r="AA109" s="66">
        <v>21989.985518611382</v>
      </c>
      <c r="AB109" s="66">
        <v>21277.22529687556</v>
      </c>
      <c r="AC109" s="66">
        <v>20294.217080426242</v>
      </c>
      <c r="AD109" s="66">
        <v>19001.501402609276</v>
      </c>
      <c r="AE109" s="66">
        <v>17904.197991613088</v>
      </c>
      <c r="AF109" s="66">
        <v>17326.626574670274</v>
      </c>
      <c r="AG109" s="38">
        <f>+SUM(I109:AF109)*H109</f>
        <v>9534568.0676324069</v>
      </c>
    </row>
    <row r="110" spans="2:33" ht="14">
      <c r="B110">
        <f t="shared" si="44"/>
        <v>10</v>
      </c>
      <c r="C110">
        <f t="shared" si="45"/>
        <v>2027</v>
      </c>
      <c r="D110" t="str">
        <f t="shared" si="46"/>
        <v>102027SA</v>
      </c>
      <c r="E110" s="72">
        <v>46661</v>
      </c>
      <c r="F110" s="74"/>
      <c r="G110" s="39" t="s">
        <v>60</v>
      </c>
      <c r="H110" s="39">
        <v>5</v>
      </c>
      <c r="I110" s="66">
        <v>16715.055507303503</v>
      </c>
      <c r="J110" s="66">
        <v>16348.910611247678</v>
      </c>
      <c r="K110" s="66">
        <v>16123.618589793905</v>
      </c>
      <c r="L110" s="66">
        <v>16028.918776325369</v>
      </c>
      <c r="M110" s="66">
        <v>15984.176162997497</v>
      </c>
      <c r="N110" s="66">
        <v>16140.69590277592</v>
      </c>
      <c r="O110" s="66">
        <v>16833.928234959592</v>
      </c>
      <c r="P110" s="66">
        <v>18638.823529636007</v>
      </c>
      <c r="Q110" s="66">
        <v>19819.532534474129</v>
      </c>
      <c r="R110" s="66">
        <v>20639.085266933114</v>
      </c>
      <c r="S110" s="66">
        <v>20630.95658872294</v>
      </c>
      <c r="T110" s="66">
        <v>20438.713469138893</v>
      </c>
      <c r="U110" s="66">
        <v>19961.911693123162</v>
      </c>
      <c r="V110" s="66">
        <v>20276.603399850752</v>
      </c>
      <c r="W110" s="66">
        <v>20572.449997215372</v>
      </c>
      <c r="X110" s="66">
        <v>20922.13180740696</v>
      </c>
      <c r="Y110" s="66">
        <v>20937.868138699439</v>
      </c>
      <c r="Z110" s="66">
        <v>20971.133867862536</v>
      </c>
      <c r="AA110" s="66">
        <v>20585.620524576199</v>
      </c>
      <c r="AB110" s="66">
        <v>20123.411497177149</v>
      </c>
      <c r="AC110" s="66">
        <v>19340.363914562269</v>
      </c>
      <c r="AD110" s="66">
        <v>18133.977009871553</v>
      </c>
      <c r="AE110" s="66">
        <v>17101.474458313096</v>
      </c>
      <c r="AF110" s="66">
        <v>16534.412064728316</v>
      </c>
      <c r="AG110" s="40">
        <f>+SUM(I110:AF110)*H110</f>
        <v>2249018.867738477</v>
      </c>
    </row>
    <row r="111" spans="2:33" ht="14">
      <c r="B111">
        <f t="shared" si="44"/>
        <v>10</v>
      </c>
      <c r="C111">
        <f t="shared" si="45"/>
        <v>2027</v>
      </c>
      <c r="D111" t="str">
        <f t="shared" si="46"/>
        <v>102027DO</v>
      </c>
      <c r="E111" s="72">
        <v>46661</v>
      </c>
      <c r="F111" s="74"/>
      <c r="G111" s="41" t="s">
        <v>58</v>
      </c>
      <c r="H111" s="41">
        <v>5</v>
      </c>
      <c r="I111" s="66">
        <v>15867.263098763764</v>
      </c>
      <c r="J111" s="66">
        <v>15577.608145525772</v>
      </c>
      <c r="K111" s="66">
        <v>15373.195172080745</v>
      </c>
      <c r="L111" s="66">
        <v>15248.667063428347</v>
      </c>
      <c r="M111" s="66">
        <v>15236.438058488322</v>
      </c>
      <c r="N111" s="66">
        <v>15087.601899232905</v>
      </c>
      <c r="O111" s="66">
        <v>14842.73853737647</v>
      </c>
      <c r="P111" s="66">
        <v>15963.445907451596</v>
      </c>
      <c r="Q111" s="66">
        <v>17362.696467484784</v>
      </c>
      <c r="R111" s="66">
        <v>18514.70980273914</v>
      </c>
      <c r="S111" s="66">
        <v>17656.96969065466</v>
      </c>
      <c r="T111" s="66">
        <v>16891.491818455896</v>
      </c>
      <c r="U111" s="66">
        <v>16629.957875284847</v>
      </c>
      <c r="V111" s="66">
        <v>17057.325479611914</v>
      </c>
      <c r="W111" s="66">
        <v>17298.373890869298</v>
      </c>
      <c r="X111" s="66">
        <v>17700.317031662991</v>
      </c>
      <c r="Y111" s="66">
        <v>17907.959306990244</v>
      </c>
      <c r="Z111" s="66">
        <v>18047.074152428584</v>
      </c>
      <c r="AA111" s="66">
        <v>18042.579896391897</v>
      </c>
      <c r="AB111" s="66">
        <v>17823.483244930932</v>
      </c>
      <c r="AC111" s="66">
        <v>17270.43742521678</v>
      </c>
      <c r="AD111" s="66">
        <v>16678.678984998085</v>
      </c>
      <c r="AE111" s="66">
        <v>16173.675166053916</v>
      </c>
      <c r="AF111" s="66">
        <v>15797.637418627379</v>
      </c>
      <c r="AG111" s="40">
        <f>+SUM(I111:AF111)*H111</f>
        <v>2000251.6276737466</v>
      </c>
    </row>
    <row r="112" spans="2:33" ht="14">
      <c r="B112">
        <f t="shared" si="44"/>
        <v>10</v>
      </c>
      <c r="C112">
        <f t="shared" si="45"/>
        <v>2027</v>
      </c>
      <c r="D112" t="str">
        <f t="shared" si="46"/>
        <v>102027FE</v>
      </c>
      <c r="E112" s="72">
        <v>46661</v>
      </c>
      <c r="F112" s="74"/>
      <c r="G112" s="42" t="s">
        <v>59</v>
      </c>
      <c r="H112" s="42">
        <v>1</v>
      </c>
      <c r="I112" s="66">
        <v>16006.241710776958</v>
      </c>
      <c r="J112" s="66">
        <v>15727.635618869463</v>
      </c>
      <c r="K112" s="66">
        <v>15543.763192970266</v>
      </c>
      <c r="L112" s="66">
        <v>15431.928891418605</v>
      </c>
      <c r="M112" s="66">
        <v>15403.552703779736</v>
      </c>
      <c r="N112" s="66">
        <v>15074.907876875548</v>
      </c>
      <c r="O112" s="66">
        <v>14770.007990932159</v>
      </c>
      <c r="P112" s="66">
        <v>15670.110646315257</v>
      </c>
      <c r="Q112" s="66">
        <v>16776.359620552026</v>
      </c>
      <c r="R112" s="66">
        <v>17923.376501724539</v>
      </c>
      <c r="S112" s="66">
        <v>17117.497065554729</v>
      </c>
      <c r="T112" s="66">
        <v>16655.490831694013</v>
      </c>
      <c r="U112" s="66">
        <v>16686.084471234626</v>
      </c>
      <c r="V112" s="66">
        <v>17080.216907511993</v>
      </c>
      <c r="W112" s="66">
        <v>17300.715747875242</v>
      </c>
      <c r="X112" s="66">
        <v>17723.168616493087</v>
      </c>
      <c r="Y112" s="66">
        <v>17834.786249750705</v>
      </c>
      <c r="Z112" s="66">
        <v>18042.033699461193</v>
      </c>
      <c r="AA112" s="66">
        <v>18015.221356973478</v>
      </c>
      <c r="AB112" s="66">
        <v>17866.082072716556</v>
      </c>
      <c r="AC112" s="66">
        <v>17240.62175341012</v>
      </c>
      <c r="AD112" s="66">
        <v>16572.913502927775</v>
      </c>
      <c r="AE112" s="66">
        <v>16027.641041205039</v>
      </c>
      <c r="AF112" s="66">
        <v>15641.020523118854</v>
      </c>
      <c r="AG112" s="43">
        <f>+SUM(I112:AF112)*H112</f>
        <v>398131.37859414192</v>
      </c>
    </row>
    <row r="113" spans="2:33" ht="15" thickBot="1">
      <c r="B113">
        <f t="shared" si="44"/>
        <v>10</v>
      </c>
      <c r="C113">
        <f t="shared" si="45"/>
        <v>2027</v>
      </c>
      <c r="D113" t="str">
        <f>+_xlfn.CONCAT(E113,G113)</f>
        <v>46661TOTAL</v>
      </c>
      <c r="E113" s="72">
        <v>46661</v>
      </c>
      <c r="F113" s="61"/>
      <c r="G113" s="44" t="s">
        <v>10</v>
      </c>
      <c r="H113" s="44">
        <f>+SUM(H109:H112)</f>
        <v>31</v>
      </c>
      <c r="I113" s="45">
        <f t="shared" ref="I113:AF113" si="56">+SUMPRODUCT(I109:I112,$H109:$H112)</f>
        <v>512732.05836758425</v>
      </c>
      <c r="J113" s="45">
        <f t="shared" si="56"/>
        <v>502209.20434954966</v>
      </c>
      <c r="K113" s="45">
        <f t="shared" si="56"/>
        <v>495616.15689168149</v>
      </c>
      <c r="L113" s="45">
        <f t="shared" si="56"/>
        <v>493177.73172580241</v>
      </c>
      <c r="M113" s="45">
        <f t="shared" si="56"/>
        <v>492692.9148206879</v>
      </c>
      <c r="N113" s="45">
        <f t="shared" si="56"/>
        <v>498905.45608218788</v>
      </c>
      <c r="O113" s="45">
        <f t="shared" si="56"/>
        <v>521865.42884613504</v>
      </c>
      <c r="P113" s="45">
        <f t="shared" si="56"/>
        <v>582818.409674678</v>
      </c>
      <c r="Q113" s="45">
        <f t="shared" si="56"/>
        <v>626212.87598026509</v>
      </c>
      <c r="R113" s="45">
        <f t="shared" si="56"/>
        <v>654509.27236017981</v>
      </c>
      <c r="S113" s="45">
        <f t="shared" si="56"/>
        <v>650753.15278882091</v>
      </c>
      <c r="T113" s="45">
        <f t="shared" si="56"/>
        <v>644378.22348076245</v>
      </c>
      <c r="U113" s="45">
        <f t="shared" si="56"/>
        <v>631176.73706898279</v>
      </c>
      <c r="V113" s="45">
        <f t="shared" si="56"/>
        <v>649415.70999083563</v>
      </c>
      <c r="W113" s="45">
        <f t="shared" si="56"/>
        <v>668529.79718511866</v>
      </c>
      <c r="X113" s="45">
        <f t="shared" si="56"/>
        <v>681870.32260896394</v>
      </c>
      <c r="Y113" s="45">
        <f t="shared" si="56"/>
        <v>679784.32984994445</v>
      </c>
      <c r="Z113" s="45">
        <f t="shared" si="56"/>
        <v>670054.823992886</v>
      </c>
      <c r="AA113" s="45">
        <f t="shared" si="56"/>
        <v>650955.9338340417</v>
      </c>
      <c r="AB113" s="45">
        <f t="shared" si="56"/>
        <v>633145.06172076822</v>
      </c>
      <c r="AC113" s="45">
        <f t="shared" si="56"/>
        <v>606178.97006083024</v>
      </c>
      <c r="AD113" s="45">
        <f t="shared" si="56"/>
        <v>570666.22152946156</v>
      </c>
      <c r="AE113" s="45">
        <f t="shared" si="56"/>
        <v>540487.34899530187</v>
      </c>
      <c r="AF113" s="45">
        <f t="shared" si="56"/>
        <v>523833.79943330277</v>
      </c>
      <c r="AG113" s="46">
        <f>SUM(I113:AF113)</f>
        <v>14181969.941638771</v>
      </c>
    </row>
    <row r="114" spans="2:33" ht="14">
      <c r="B114">
        <f t="shared" si="44"/>
        <v>11</v>
      </c>
      <c r="C114">
        <f t="shared" si="45"/>
        <v>2027</v>
      </c>
      <c r="D114" t="str">
        <f t="shared" si="46"/>
        <v>112027OR</v>
      </c>
      <c r="E114" s="71">
        <v>46692</v>
      </c>
      <c r="F114" s="73">
        <f>+AG118</f>
        <v>13731318.892959878</v>
      </c>
      <c r="G114" s="37" t="s">
        <v>57</v>
      </c>
      <c r="H114" s="37">
        <v>20</v>
      </c>
      <c r="I114" s="66">
        <v>16723.866970740626</v>
      </c>
      <c r="J114" s="66">
        <v>16374.995822668565</v>
      </c>
      <c r="K114" s="66">
        <v>16161.509461920728</v>
      </c>
      <c r="L114" s="66">
        <v>16100.769987327838</v>
      </c>
      <c r="M114" s="66">
        <v>16089.821041908755</v>
      </c>
      <c r="N114" s="66">
        <v>16431.685486047943</v>
      </c>
      <c r="O114" s="66">
        <v>17460.481733094613</v>
      </c>
      <c r="P114" s="66">
        <v>19079.048684278019</v>
      </c>
      <c r="Q114" s="66">
        <v>20356.611768836927</v>
      </c>
      <c r="R114" s="66">
        <v>20556.965970078887</v>
      </c>
      <c r="S114" s="66">
        <v>21011.442355166495</v>
      </c>
      <c r="T114" s="66">
        <v>21822.252242365172</v>
      </c>
      <c r="U114" s="66">
        <v>22043.328995900443</v>
      </c>
      <c r="V114" s="66">
        <v>23170.968877267213</v>
      </c>
      <c r="W114" s="66">
        <v>24681.810902356243</v>
      </c>
      <c r="X114" s="66">
        <v>24949.044628152289</v>
      </c>
      <c r="Y114" s="66">
        <v>23390.208783716134</v>
      </c>
      <c r="Z114" s="66">
        <v>22883.692451845334</v>
      </c>
      <c r="AA114" s="66">
        <v>22019.205714807031</v>
      </c>
      <c r="AB114" s="66">
        <v>21320.29651663376</v>
      </c>
      <c r="AC114" s="66">
        <v>20335.806114428913</v>
      </c>
      <c r="AD114" s="66">
        <v>19039.846537203583</v>
      </c>
      <c r="AE114" s="66">
        <v>17940.402259855422</v>
      </c>
      <c r="AF114" s="66">
        <v>17362.616073063113</v>
      </c>
      <c r="AG114" s="38">
        <f>+SUM(I114:AF114)*H114</f>
        <v>9546133.5875932798</v>
      </c>
    </row>
    <row r="115" spans="2:33" ht="14">
      <c r="B115">
        <f t="shared" si="44"/>
        <v>11</v>
      </c>
      <c r="C115">
        <f t="shared" si="45"/>
        <v>2027</v>
      </c>
      <c r="D115" t="str">
        <f t="shared" si="46"/>
        <v>112027SA</v>
      </c>
      <c r="E115" s="72">
        <v>46692</v>
      </c>
      <c r="F115" s="74"/>
      <c r="G115" s="39" t="s">
        <v>60</v>
      </c>
      <c r="H115" s="39">
        <v>4</v>
      </c>
      <c r="I115" s="66">
        <v>16786.611906252059</v>
      </c>
      <c r="J115" s="66">
        <v>16419.896674212501</v>
      </c>
      <c r="K115" s="66">
        <v>16193.678570343118</v>
      </c>
      <c r="L115" s="66">
        <v>16096.822980816651</v>
      </c>
      <c r="M115" s="66">
        <v>16049.432471502703</v>
      </c>
      <c r="N115" s="66">
        <v>16219.879534061691</v>
      </c>
      <c r="O115" s="66">
        <v>16888.899926847625</v>
      </c>
      <c r="P115" s="66">
        <v>18041.581909666344</v>
      </c>
      <c r="Q115" s="66">
        <v>19029.226734729295</v>
      </c>
      <c r="R115" s="66">
        <v>19181.508169632638</v>
      </c>
      <c r="S115" s="66">
        <v>19560.262254734138</v>
      </c>
      <c r="T115" s="66">
        <v>20234.65907157863</v>
      </c>
      <c r="U115" s="66">
        <v>20455.426675591079</v>
      </c>
      <c r="V115" s="66">
        <v>21187.7849692159</v>
      </c>
      <c r="W115" s="66">
        <v>22183.217423162896</v>
      </c>
      <c r="X115" s="66">
        <v>22344.029300190152</v>
      </c>
      <c r="Y115" s="66">
        <v>20968.203909164822</v>
      </c>
      <c r="Z115" s="66">
        <v>21036.904844961711</v>
      </c>
      <c r="AA115" s="66">
        <v>20644.06235430676</v>
      </c>
      <c r="AB115" s="66">
        <v>20197.897366531266</v>
      </c>
      <c r="AC115" s="66">
        <v>19412.580245303005</v>
      </c>
      <c r="AD115" s="66">
        <v>18201.840000634533</v>
      </c>
      <c r="AE115" s="66">
        <v>17164.29265159824</v>
      </c>
      <c r="AF115" s="66">
        <v>16596.347732050177</v>
      </c>
      <c r="AG115" s="40">
        <f>+SUM(I115:AF115)*H115</f>
        <v>1804380.1907083516</v>
      </c>
    </row>
    <row r="116" spans="2:33" ht="14">
      <c r="B116">
        <f t="shared" si="44"/>
        <v>11</v>
      </c>
      <c r="C116">
        <f t="shared" si="45"/>
        <v>2027</v>
      </c>
      <c r="D116" t="str">
        <f t="shared" si="46"/>
        <v>112027DO</v>
      </c>
      <c r="E116" s="72">
        <v>46692</v>
      </c>
      <c r="F116" s="74"/>
      <c r="G116" s="41" t="s">
        <v>58</v>
      </c>
      <c r="H116" s="41">
        <v>4</v>
      </c>
      <c r="I116" s="66">
        <v>15896.7216042664</v>
      </c>
      <c r="J116" s="66">
        <v>15604.644066321554</v>
      </c>
      <c r="K116" s="66">
        <v>15399.284401117933</v>
      </c>
      <c r="L116" s="66">
        <v>15273.499667219061</v>
      </c>
      <c r="M116" s="66">
        <v>15262.909437032708</v>
      </c>
      <c r="N116" s="66">
        <v>15123.51429568964</v>
      </c>
      <c r="O116" s="66">
        <v>14845.811927765651</v>
      </c>
      <c r="P116" s="66">
        <v>14975.697378698653</v>
      </c>
      <c r="Q116" s="66">
        <v>15823.372218581393</v>
      </c>
      <c r="R116" s="66">
        <v>16133.565765438083</v>
      </c>
      <c r="S116" s="66">
        <v>15944.866672890126</v>
      </c>
      <c r="T116" s="66">
        <v>16279.276109442864</v>
      </c>
      <c r="U116" s="66">
        <v>17063.02364629048</v>
      </c>
      <c r="V116" s="66">
        <v>17910.997540660803</v>
      </c>
      <c r="W116" s="66">
        <v>18852.614379213126</v>
      </c>
      <c r="X116" s="66">
        <v>19069.34707345103</v>
      </c>
      <c r="Y116" s="66">
        <v>17884.1204235492</v>
      </c>
      <c r="Z116" s="66">
        <v>18060.410853170484</v>
      </c>
      <c r="AA116" s="66">
        <v>18050.813751425714</v>
      </c>
      <c r="AB116" s="66">
        <v>17849.187294610219</v>
      </c>
      <c r="AC116" s="66">
        <v>17293.453757416763</v>
      </c>
      <c r="AD116" s="66">
        <v>16699.646666245506</v>
      </c>
      <c r="AE116" s="66">
        <v>16194.032060192716</v>
      </c>
      <c r="AF116" s="66">
        <v>15815.94616827903</v>
      </c>
      <c r="AG116" s="40">
        <f>+SUM(I116:AF116)*H116</f>
        <v>1589227.0286358765</v>
      </c>
    </row>
    <row r="117" spans="2:33" ht="14">
      <c r="B117">
        <f t="shared" si="44"/>
        <v>11</v>
      </c>
      <c r="C117">
        <f t="shared" si="45"/>
        <v>2027</v>
      </c>
      <c r="D117" t="str">
        <f t="shared" si="46"/>
        <v>112027FE</v>
      </c>
      <c r="E117" s="72">
        <v>46692</v>
      </c>
      <c r="F117" s="74"/>
      <c r="G117" s="42" t="s">
        <v>59</v>
      </c>
      <c r="H117" s="42">
        <v>2</v>
      </c>
      <c r="I117" s="66">
        <v>16014.260070604241</v>
      </c>
      <c r="J117" s="66">
        <v>15732.844952409079</v>
      </c>
      <c r="K117" s="66">
        <v>15548.04850590207</v>
      </c>
      <c r="L117" s="66">
        <v>15434.717796743591</v>
      </c>
      <c r="M117" s="66">
        <v>15407.749230442976</v>
      </c>
      <c r="N117" s="66">
        <v>15087.428541553512</v>
      </c>
      <c r="O117" s="66">
        <v>14749.132093591754</v>
      </c>
      <c r="P117" s="66">
        <v>14992.31034708574</v>
      </c>
      <c r="Q117" s="66">
        <v>15323.350699382783</v>
      </c>
      <c r="R117" s="66">
        <v>15493.83961688538</v>
      </c>
      <c r="S117" s="66">
        <v>15543.425491106394</v>
      </c>
      <c r="T117" s="66">
        <v>16367.159357291881</v>
      </c>
      <c r="U117" s="66">
        <v>17099.761207489813</v>
      </c>
      <c r="V117" s="66">
        <v>17914.639027009725</v>
      </c>
      <c r="W117" s="66">
        <v>18834.996461412833</v>
      </c>
      <c r="X117" s="66">
        <v>19072.142480310089</v>
      </c>
      <c r="Y117" s="66">
        <v>17790.530084839331</v>
      </c>
      <c r="Z117" s="66">
        <v>18034.916965725464</v>
      </c>
      <c r="AA117" s="66">
        <v>18003.582966985647</v>
      </c>
      <c r="AB117" s="66">
        <v>17871.338465244</v>
      </c>
      <c r="AC117" s="66">
        <v>17241.959403582732</v>
      </c>
      <c r="AD117" s="66">
        <v>16570.945274132893</v>
      </c>
      <c r="AE117" s="66">
        <v>16024.515513296152</v>
      </c>
      <c r="AF117" s="66">
        <v>15635.448458156137</v>
      </c>
      <c r="AG117" s="43">
        <f>+SUM(I117:AF117)*H117</f>
        <v>791578.08602236852</v>
      </c>
    </row>
    <row r="118" spans="2:33" ht="15" thickBot="1">
      <c r="B118">
        <f t="shared" si="44"/>
        <v>11</v>
      </c>
      <c r="C118">
        <f t="shared" si="45"/>
        <v>2027</v>
      </c>
      <c r="D118" t="str">
        <f>+_xlfn.CONCAT(E118,G118)</f>
        <v>46692TOTAL</v>
      </c>
      <c r="E118" s="72">
        <v>46692</v>
      </c>
      <c r="F118" s="61"/>
      <c r="G118" s="44" t="s">
        <v>10</v>
      </c>
      <c r="H118" s="44">
        <f>+SUM(H114:H117)</f>
        <v>30</v>
      </c>
      <c r="I118" s="45">
        <f t="shared" ref="I118:AF118" si="57">+SUMPRODUCT(I114:I117,$H114:$H117)</f>
        <v>497239.1935980948</v>
      </c>
      <c r="J118" s="45">
        <f t="shared" si="57"/>
        <v>487063.76932032563</v>
      </c>
      <c r="K118" s="45">
        <f t="shared" si="57"/>
        <v>480698.13813606289</v>
      </c>
      <c r="L118" s="45">
        <f t="shared" si="57"/>
        <v>478366.12593218678</v>
      </c>
      <c r="M118" s="45">
        <f t="shared" si="57"/>
        <v>477861.2869332027</v>
      </c>
      <c r="N118" s="45">
        <f t="shared" si="57"/>
        <v>484182.14212307124</v>
      </c>
      <c r="O118" s="45">
        <f t="shared" si="57"/>
        <v>505646.74626752886</v>
      </c>
      <c r="P118" s="45">
        <f t="shared" si="57"/>
        <v>543634.71153319185</v>
      </c>
      <c r="Q118" s="45">
        <f t="shared" si="57"/>
        <v>577189.33258874679</v>
      </c>
      <c r="R118" s="45">
        <f t="shared" si="57"/>
        <v>583387.29437563149</v>
      </c>
      <c r="S118" s="45">
        <f t="shared" si="57"/>
        <v>593336.21379603969</v>
      </c>
      <c r="T118" s="45">
        <f t="shared" si="57"/>
        <v>615235.10428597312</v>
      </c>
      <c r="U118" s="45">
        <f t="shared" si="57"/>
        <v>625139.90362051479</v>
      </c>
      <c r="V118" s="45">
        <f t="shared" si="57"/>
        <v>655643.78563887055</v>
      </c>
      <c r="W118" s="45">
        <f t="shared" si="57"/>
        <v>695449.53817945463</v>
      </c>
      <c r="X118" s="45">
        <f t="shared" si="57"/>
        <v>702778.68301823072</v>
      </c>
      <c r="Y118" s="45">
        <f t="shared" si="57"/>
        <v>658794.5331748575</v>
      </c>
      <c r="Z118" s="45">
        <f t="shared" si="57"/>
        <v>650132.94576088642</v>
      </c>
      <c r="AA118" s="45">
        <f t="shared" si="57"/>
        <v>631170.78465304186</v>
      </c>
      <c r="AB118" s="45">
        <f t="shared" si="57"/>
        <v>614336.9459077291</v>
      </c>
      <c r="AC118" s="45">
        <f t="shared" si="57"/>
        <v>588024.17710662284</v>
      </c>
      <c r="AD118" s="45">
        <f t="shared" si="57"/>
        <v>553544.76795985759</v>
      </c>
      <c r="AE118" s="45">
        <f t="shared" si="57"/>
        <v>524290.37507086457</v>
      </c>
      <c r="AF118" s="45">
        <f t="shared" si="57"/>
        <v>508172.39397889137</v>
      </c>
      <c r="AG118" s="46">
        <f>SUM(I118:AF118)</f>
        <v>13731318.892959878</v>
      </c>
    </row>
    <row r="119" spans="2:33" ht="14">
      <c r="B119">
        <f t="shared" si="44"/>
        <v>12</v>
      </c>
      <c r="C119">
        <f t="shared" si="45"/>
        <v>2027</v>
      </c>
      <c r="D119" t="str">
        <f t="shared" si="46"/>
        <v>122027OR</v>
      </c>
      <c r="E119" s="71">
        <v>46722</v>
      </c>
      <c r="F119" s="73">
        <f>+AG123</f>
        <v>14420455.051203875</v>
      </c>
      <c r="G119" s="37" t="s">
        <v>57</v>
      </c>
      <c r="H119" s="37">
        <v>22</v>
      </c>
      <c r="I119" s="66">
        <v>16725.47443272073</v>
      </c>
      <c r="J119" s="66">
        <v>16376.733129200411</v>
      </c>
      <c r="K119" s="66">
        <v>16163.257222992661</v>
      </c>
      <c r="L119" s="66">
        <v>16101.068131554675</v>
      </c>
      <c r="M119" s="66">
        <v>16093.602900029224</v>
      </c>
      <c r="N119" s="66">
        <v>16425.179791047882</v>
      </c>
      <c r="O119" s="66">
        <v>17403.106656324231</v>
      </c>
      <c r="P119" s="66">
        <v>20012.203956792368</v>
      </c>
      <c r="Q119" s="66">
        <v>21713.276530795036</v>
      </c>
      <c r="R119" s="66">
        <v>22478.159880642143</v>
      </c>
      <c r="S119" s="66">
        <v>22756.813263323958</v>
      </c>
      <c r="T119" s="66">
        <v>22680.814497820145</v>
      </c>
      <c r="U119" s="66">
        <v>22478.311245105448</v>
      </c>
      <c r="V119" s="66">
        <v>23055.219690667625</v>
      </c>
      <c r="W119" s="66">
        <v>23771.390672910729</v>
      </c>
      <c r="X119" s="66">
        <v>23506.050235902963</v>
      </c>
      <c r="Y119" s="66">
        <v>23170.723166538573</v>
      </c>
      <c r="Z119" s="66">
        <v>22903.076303182108</v>
      </c>
      <c r="AA119" s="66">
        <v>22032.490337405688</v>
      </c>
      <c r="AB119" s="66">
        <v>21330.926184722401</v>
      </c>
      <c r="AC119" s="66">
        <v>20343.940036821339</v>
      </c>
      <c r="AD119" s="66">
        <v>19046.296929031032</v>
      </c>
      <c r="AE119" s="66">
        <v>17944.530081231325</v>
      </c>
      <c r="AF119" s="66">
        <v>17365.367435079635</v>
      </c>
      <c r="AG119" s="38">
        <f>+SUM(I119:AF119)*H119</f>
        <v>10601316.279660532</v>
      </c>
    </row>
    <row r="120" spans="2:33" ht="14">
      <c r="B120">
        <f t="shared" si="44"/>
        <v>12</v>
      </c>
      <c r="C120">
        <f t="shared" si="45"/>
        <v>2027</v>
      </c>
      <c r="D120" t="str">
        <f t="shared" si="46"/>
        <v>122027SA</v>
      </c>
      <c r="E120" s="72">
        <v>46722</v>
      </c>
      <c r="F120" s="74"/>
      <c r="G120" s="39" t="s">
        <v>60</v>
      </c>
      <c r="H120" s="39">
        <v>3</v>
      </c>
      <c r="I120" s="66">
        <v>16755.147459091171</v>
      </c>
      <c r="J120" s="66">
        <v>16387.718026008959</v>
      </c>
      <c r="K120" s="66">
        <v>16160.878880956478</v>
      </c>
      <c r="L120" s="66">
        <v>16065.091635474993</v>
      </c>
      <c r="M120" s="66">
        <v>16021.236914855952</v>
      </c>
      <c r="N120" s="66">
        <v>16183.143533200106</v>
      </c>
      <c r="O120" s="66">
        <v>16800.023535013344</v>
      </c>
      <c r="P120" s="66">
        <v>18940.707190514451</v>
      </c>
      <c r="Q120" s="66">
        <v>20351.860122862148</v>
      </c>
      <c r="R120" s="66">
        <v>21314.671817071972</v>
      </c>
      <c r="S120" s="66">
        <v>21272.954938875591</v>
      </c>
      <c r="T120" s="66">
        <v>21059.189941399782</v>
      </c>
      <c r="U120" s="66">
        <v>20855.132928611187</v>
      </c>
      <c r="V120" s="66">
        <v>21037.578019884619</v>
      </c>
      <c r="W120" s="66">
        <v>21238.357003924368</v>
      </c>
      <c r="X120" s="66">
        <v>20864.7396214332</v>
      </c>
      <c r="Y120" s="66">
        <v>20711.116843940737</v>
      </c>
      <c r="Z120" s="66">
        <v>21018.18937886471</v>
      </c>
      <c r="AA120" s="66">
        <v>20621.888207651831</v>
      </c>
      <c r="AB120" s="66">
        <v>20169.920513007091</v>
      </c>
      <c r="AC120" s="66">
        <v>19382.501104688119</v>
      </c>
      <c r="AD120" s="66">
        <v>18170.757760619501</v>
      </c>
      <c r="AE120" s="66">
        <v>17133.367800818702</v>
      </c>
      <c r="AF120" s="66">
        <v>16564.601279407794</v>
      </c>
      <c r="AG120" s="40">
        <f>+SUM(I120:AF120)*H120</f>
        <v>1365242.3233745305</v>
      </c>
    </row>
    <row r="121" spans="2:33" ht="14">
      <c r="B121">
        <f t="shared" si="44"/>
        <v>12</v>
      </c>
      <c r="C121">
        <f t="shared" si="45"/>
        <v>2027</v>
      </c>
      <c r="D121" t="str">
        <f t="shared" si="46"/>
        <v>122027DO</v>
      </c>
      <c r="E121" s="72">
        <v>46722</v>
      </c>
      <c r="F121" s="74"/>
      <c r="G121" s="41" t="s">
        <v>58</v>
      </c>
      <c r="H121" s="41">
        <v>4</v>
      </c>
      <c r="I121" s="66">
        <v>15874.895089864609</v>
      </c>
      <c r="J121" s="66">
        <v>15584.637465531059</v>
      </c>
      <c r="K121" s="66">
        <v>15380.024772771407</v>
      </c>
      <c r="L121" s="66">
        <v>15255.199758180624</v>
      </c>
      <c r="M121" s="66">
        <v>15242.844822452778</v>
      </c>
      <c r="N121" s="66">
        <v>15096.754301073464</v>
      </c>
      <c r="O121" s="66">
        <v>14770.722478271222</v>
      </c>
      <c r="P121" s="66">
        <v>17019.095604595659</v>
      </c>
      <c r="Q121" s="66">
        <v>18935.720552309609</v>
      </c>
      <c r="R121" s="66">
        <v>19856.618840631651</v>
      </c>
      <c r="S121" s="66">
        <v>18817.419695173805</v>
      </c>
      <c r="T121" s="66">
        <v>18051.474749827164</v>
      </c>
      <c r="U121" s="66">
        <v>17708.845954179829</v>
      </c>
      <c r="V121" s="66">
        <v>17775.570823367183</v>
      </c>
      <c r="W121" s="66">
        <v>17921.170807138555</v>
      </c>
      <c r="X121" s="66">
        <v>17600.266587814542</v>
      </c>
      <c r="Y121" s="66">
        <v>17638.645555404841</v>
      </c>
      <c r="Z121" s="66">
        <v>18052.488187601797</v>
      </c>
      <c r="AA121" s="66">
        <v>18038.988351732121</v>
      </c>
      <c r="AB121" s="66">
        <v>17833.389192557373</v>
      </c>
      <c r="AC121" s="66">
        <v>17278.541543752537</v>
      </c>
      <c r="AD121" s="66">
        <v>16685.231813819646</v>
      </c>
      <c r="AE121" s="66">
        <v>16179.299275134785</v>
      </c>
      <c r="AF121" s="66">
        <v>15802.697273239879</v>
      </c>
      <c r="AG121" s="40">
        <f>+SUM(I121:AF121)*H121</f>
        <v>1633602.1739857048</v>
      </c>
    </row>
    <row r="122" spans="2:33" ht="14">
      <c r="B122">
        <f t="shared" si="44"/>
        <v>12</v>
      </c>
      <c r="C122">
        <f t="shared" si="45"/>
        <v>2027</v>
      </c>
      <c r="D122" t="str">
        <f t="shared" si="46"/>
        <v>122027FE</v>
      </c>
      <c r="E122" s="72">
        <v>46722</v>
      </c>
      <c r="F122" s="74"/>
      <c r="G122" s="42" t="s">
        <v>59</v>
      </c>
      <c r="H122" s="42">
        <v>2</v>
      </c>
      <c r="I122" s="66">
        <v>16118.737446749559</v>
      </c>
      <c r="J122" s="66">
        <v>15838.362849619454</v>
      </c>
      <c r="K122" s="66">
        <v>15654.44062566679</v>
      </c>
      <c r="L122" s="66">
        <v>15540.731132247927</v>
      </c>
      <c r="M122" s="66">
        <v>15517.055602209017</v>
      </c>
      <c r="N122" s="66">
        <v>15210.665387358486</v>
      </c>
      <c r="O122" s="66">
        <v>14844.759260968691</v>
      </c>
      <c r="P122" s="66">
        <v>16716.597810793723</v>
      </c>
      <c r="Q122" s="66">
        <v>18707.65901451619</v>
      </c>
      <c r="R122" s="66">
        <v>19918.570842203033</v>
      </c>
      <c r="S122" s="66">
        <v>18657.599928524527</v>
      </c>
      <c r="T122" s="66">
        <v>17584.429974202798</v>
      </c>
      <c r="U122" s="66">
        <v>17709.973140115471</v>
      </c>
      <c r="V122" s="66">
        <v>17975.633136272212</v>
      </c>
      <c r="W122" s="66">
        <v>18100.15125627795</v>
      </c>
      <c r="X122" s="66">
        <v>17798.244278670591</v>
      </c>
      <c r="Y122" s="66">
        <v>17746.169628152562</v>
      </c>
      <c r="Z122" s="66">
        <v>18215.246269821509</v>
      </c>
      <c r="AA122" s="66">
        <v>18177.91698153668</v>
      </c>
      <c r="AB122" s="66">
        <v>18029.556872004381</v>
      </c>
      <c r="AC122" s="66">
        <v>17400.038419050004</v>
      </c>
      <c r="AD122" s="66">
        <v>16724.187974924011</v>
      </c>
      <c r="AE122" s="66">
        <v>16175.406434518973</v>
      </c>
      <c r="AF122" s="66">
        <v>15785.002825148898</v>
      </c>
      <c r="AG122" s="43">
        <f>+SUM(I122:AF122)*H122</f>
        <v>820294.27418310684</v>
      </c>
    </row>
    <row r="123" spans="2:33" ht="15" thickBot="1">
      <c r="D123" t="str">
        <f>+_xlfn.CONCAT(E123,G123)</f>
        <v>46722TOTAL</v>
      </c>
      <c r="E123" s="72">
        <v>46722</v>
      </c>
      <c r="F123" s="75"/>
      <c r="G123" s="44" t="s">
        <v>10</v>
      </c>
      <c r="H123" s="44">
        <f>+SUM(H119:H122)</f>
        <v>31</v>
      </c>
      <c r="I123" s="45">
        <f t="shared" ref="I123:AF123" si="58">+SUMPRODUCT(I119:I122,$H119:$H122)</f>
        <v>513962.93515008711</v>
      </c>
      <c r="J123" s="45">
        <f t="shared" si="58"/>
        <v>503466.55848179909</v>
      </c>
      <c r="K123" s="45">
        <f t="shared" si="58"/>
        <v>496903.27589112718</v>
      </c>
      <c r="L123" s="45">
        <f t="shared" si="58"/>
        <v>494521.03509784618</v>
      </c>
      <c r="M123" s="45">
        <f t="shared" si="58"/>
        <v>494128.46503943997</v>
      </c>
      <c r="N123" s="45">
        <f t="shared" si="58"/>
        <v>500711.73398166453</v>
      </c>
      <c r="O123" s="45">
        <f t="shared" si="58"/>
        <v>522040.8254791954</v>
      </c>
      <c r="P123" s="45">
        <f t="shared" si="58"/>
        <v>598600.18666094553</v>
      </c>
      <c r="Q123" s="45">
        <f t="shared" si="58"/>
        <v>651905.86428434798</v>
      </c>
      <c r="R123" s="45">
        <f t="shared" si="58"/>
        <v>677727.14987227577</v>
      </c>
      <c r="S123" s="45">
        <f t="shared" si="58"/>
        <v>677053.63524749805</v>
      </c>
      <c r="T123" s="45">
        <f t="shared" si="58"/>
        <v>669530.24772395683</v>
      </c>
      <c r="U123" s="45">
        <f t="shared" si="58"/>
        <v>663343.57627510373</v>
      </c>
      <c r="V123" s="45">
        <f t="shared" si="58"/>
        <v>677381.11682035471</v>
      </c>
      <c r="W123" s="45">
        <f t="shared" si="58"/>
        <v>694570.65155691921</v>
      </c>
      <c r="X123" s="45">
        <f t="shared" si="58"/>
        <v>685724.87896276417</v>
      </c>
      <c r="Y123" s="45">
        <f t="shared" si="58"/>
        <v>677936.18167359533</v>
      </c>
      <c r="Z123" s="45">
        <f t="shared" si="58"/>
        <v>675562.6920966506</v>
      </c>
      <c r="AA123" s="45">
        <f t="shared" si="58"/>
        <v>655092.23941588239</v>
      </c>
      <c r="AB123" s="45">
        <f t="shared" si="58"/>
        <v>637182.80811715242</v>
      </c>
      <c r="AC123" s="45">
        <f t="shared" si="58"/>
        <v>609628.42713724391</v>
      </c>
      <c r="AD123" s="45">
        <f t="shared" si="58"/>
        <v>573720.10892566771</v>
      </c>
      <c r="AE123" s="45">
        <f t="shared" si="58"/>
        <v>543247.77515912231</v>
      </c>
      <c r="AF123" s="45">
        <f t="shared" si="58"/>
        <v>526512.68215323263</v>
      </c>
      <c r="AG123" s="46">
        <f>SUM(I123:AF123)</f>
        <v>14420455.051203875</v>
      </c>
    </row>
  </sheetData>
  <protectedRanges>
    <protectedRange algorithmName="SHA-512" hashValue="ddMXVrQS0fgB43c0atEM6OKu6oDWAMpeJLqJjfuwWmQe8OHAIs2JeDVHZWeRY9WToyZdUZnhWoqdJcb06CPmZw==" saltValue="nLR4AFgxssXjR1gopeih9Q==" spinCount="100000" sqref="E1:AG5" name="Rango2_1_2_2"/>
    <protectedRange algorithmName="SHA-512" hashValue="ddMXVrQS0fgB43c0atEM6OKu6oDWAMpeJLqJjfuwWmQe8OHAIs2JeDVHZWeRY9WToyZdUZnhWoqdJcb06CPmZw==" saltValue="nLR4AFgxssXjR1gopeih9Q==" spinCount="100000" sqref="E68:AG68 E64:H67 AG64:AG67 E73:AG73 AG69:AG72 E78:AG78 AG74:AG77 E83:AG83 AG79:AG82 E88:AG88 AG84:AG87 E93:AG93 AG89:AG92 E98:AG98 AG94:AG97 E103:AG103 AG99:AG102 E108:AG108 AG104:AG107 E113:AG113 AG109:AG112 E118:AG118 AG114:AG117 E123:AG123 E119:H122 AG119:AG122 E69:H72 E74:H77 E79:H82 E84:H87 E89:H92 E94:H97 E99:H102 E104:H107 E109:H112 E114:H117" name="Rango2_1_2"/>
  </protectedRanges>
  <autoFilter ref="D8:AG123" xr:uid="{A4417EE0-3581-4D15-BFC8-A3F213F19E9D}"/>
  <mergeCells count="52">
    <mergeCell ref="G7:H7"/>
    <mergeCell ref="E1:AG1"/>
    <mergeCell ref="E2:AG2"/>
    <mergeCell ref="E3:AG3"/>
    <mergeCell ref="E4:AG4"/>
    <mergeCell ref="E5:AG5"/>
    <mergeCell ref="F9:F12"/>
    <mergeCell ref="F14:F17"/>
    <mergeCell ref="F19:F22"/>
    <mergeCell ref="F24:F27"/>
    <mergeCell ref="F54:F57"/>
    <mergeCell ref="F39:F42"/>
    <mergeCell ref="F34:F37"/>
    <mergeCell ref="F114:F117"/>
    <mergeCell ref="F119:F123"/>
    <mergeCell ref="F59:F63"/>
    <mergeCell ref="F29:F32"/>
    <mergeCell ref="F44:F47"/>
    <mergeCell ref="F49:F52"/>
    <mergeCell ref="F89:F92"/>
    <mergeCell ref="F94:F97"/>
    <mergeCell ref="F99:F102"/>
    <mergeCell ref="F104:F107"/>
    <mergeCell ref="F109:F112"/>
    <mergeCell ref="F64:F67"/>
    <mergeCell ref="F69:F72"/>
    <mergeCell ref="F74:F77"/>
    <mergeCell ref="F79:F82"/>
    <mergeCell ref="F84:F87"/>
    <mergeCell ref="E9:E13"/>
    <mergeCell ref="E14:E18"/>
    <mergeCell ref="E19:E23"/>
    <mergeCell ref="E24:E28"/>
    <mergeCell ref="E29:E33"/>
    <mergeCell ref="E34:E38"/>
    <mergeCell ref="E39:E43"/>
    <mergeCell ref="E44:E48"/>
    <mergeCell ref="E49:E53"/>
    <mergeCell ref="E54:E58"/>
    <mergeCell ref="E59:E63"/>
    <mergeCell ref="E64:E68"/>
    <mergeCell ref="E69:E73"/>
    <mergeCell ref="E74:E78"/>
    <mergeCell ref="E79:E83"/>
    <mergeCell ref="E109:E113"/>
    <mergeCell ref="E114:E118"/>
    <mergeCell ref="E119:E123"/>
    <mergeCell ref="E84:E88"/>
    <mergeCell ref="E89:E93"/>
    <mergeCell ref="E94:E98"/>
    <mergeCell ref="E99:E103"/>
    <mergeCell ref="E104:E10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21"/>
  <dimension ref="A1:G38"/>
  <sheetViews>
    <sheetView workbookViewId="0">
      <selection activeCell="G36" sqref="G36"/>
    </sheetView>
  </sheetViews>
  <sheetFormatPr baseColWidth="10" defaultColWidth="11.453125" defaultRowHeight="12.5"/>
  <cols>
    <col min="1" max="1" width="6.453125" style="1" customWidth="1"/>
    <col min="2" max="2" width="6" style="1" bestFit="1" customWidth="1"/>
    <col min="3" max="3" width="9.54296875" style="1" bestFit="1" customWidth="1"/>
    <col min="4" max="4" width="9.54296875" bestFit="1" customWidth="1"/>
  </cols>
  <sheetData>
    <row r="1" spans="1:7">
      <c r="A1" s="78" t="s">
        <v>44</v>
      </c>
      <c r="B1" s="79"/>
      <c r="C1" s="79"/>
      <c r="D1" s="79"/>
    </row>
    <row r="2" spans="1:7">
      <c r="A2" s="4" t="s">
        <v>45</v>
      </c>
      <c r="B2" s="4" t="s">
        <v>46</v>
      </c>
      <c r="C2" s="4">
        <v>2014</v>
      </c>
      <c r="D2" s="4">
        <v>2015</v>
      </c>
      <c r="E2" s="4">
        <v>2016</v>
      </c>
      <c r="F2" s="4">
        <v>2017</v>
      </c>
      <c r="G2" s="4">
        <v>2018</v>
      </c>
    </row>
    <row r="3" spans="1:7">
      <c r="A3" s="4">
        <v>1</v>
      </c>
      <c r="B3" s="4" t="s">
        <v>47</v>
      </c>
      <c r="C3" s="3">
        <f>31-C4-C5</f>
        <v>21</v>
      </c>
      <c r="D3" s="3">
        <f>31-D4-D5</f>
        <v>20</v>
      </c>
      <c r="E3" s="3">
        <v>19</v>
      </c>
      <c r="F3" s="65">
        <v>21</v>
      </c>
      <c r="G3" s="65">
        <v>21</v>
      </c>
    </row>
    <row r="4" spans="1:7">
      <c r="A4" s="4">
        <v>1</v>
      </c>
      <c r="B4" s="4" t="s">
        <v>48</v>
      </c>
      <c r="C4" s="3">
        <v>4</v>
      </c>
      <c r="D4" s="3">
        <v>5</v>
      </c>
      <c r="E4" s="3">
        <v>5</v>
      </c>
      <c r="F4" s="65">
        <v>4</v>
      </c>
      <c r="G4" s="65">
        <v>4</v>
      </c>
    </row>
    <row r="5" spans="1:7">
      <c r="A5" s="4">
        <v>1</v>
      </c>
      <c r="B5" s="4" t="s">
        <v>49</v>
      </c>
      <c r="C5" s="3">
        <v>6</v>
      </c>
      <c r="D5" s="3">
        <v>6</v>
      </c>
      <c r="E5" s="3">
        <v>7</v>
      </c>
      <c r="F5" s="65">
        <v>6</v>
      </c>
      <c r="G5" s="65">
        <v>6</v>
      </c>
    </row>
    <row r="6" spans="1:7">
      <c r="A6" s="4">
        <v>2</v>
      </c>
      <c r="B6" s="4" t="s">
        <v>47</v>
      </c>
      <c r="C6" s="3">
        <f>28-C7-C8</f>
        <v>20</v>
      </c>
      <c r="D6" s="3">
        <f>28-D7-D8</f>
        <v>20</v>
      </c>
      <c r="E6" s="3">
        <v>21</v>
      </c>
      <c r="F6" s="65">
        <v>20</v>
      </c>
      <c r="G6" s="65">
        <v>20</v>
      </c>
    </row>
    <row r="7" spans="1:7">
      <c r="A7" s="4">
        <v>2</v>
      </c>
      <c r="B7" s="4" t="s">
        <v>48</v>
      </c>
      <c r="C7" s="3">
        <v>4</v>
      </c>
      <c r="D7" s="3">
        <v>4</v>
      </c>
      <c r="E7" s="3">
        <v>4</v>
      </c>
      <c r="F7" s="65">
        <v>4</v>
      </c>
      <c r="G7" s="65">
        <v>4</v>
      </c>
    </row>
    <row r="8" spans="1:7">
      <c r="A8" s="4">
        <v>2</v>
      </c>
      <c r="B8" s="4" t="s">
        <v>49</v>
      </c>
      <c r="C8" s="3">
        <v>4</v>
      </c>
      <c r="D8" s="3">
        <v>4</v>
      </c>
      <c r="E8" s="3">
        <v>4</v>
      </c>
      <c r="F8" s="65">
        <v>4</v>
      </c>
      <c r="G8" s="65">
        <v>4</v>
      </c>
    </row>
    <row r="9" spans="1:7">
      <c r="A9" s="4">
        <v>3</v>
      </c>
      <c r="B9" s="4" t="s">
        <v>47</v>
      </c>
      <c r="C9" s="3">
        <f>31-C10-C11</f>
        <v>20</v>
      </c>
      <c r="D9" s="3">
        <f>31-D10-D11</f>
        <v>21</v>
      </c>
      <c r="E9" s="3">
        <v>20</v>
      </c>
      <c r="F9" s="65">
        <v>22</v>
      </c>
      <c r="G9" s="65">
        <v>19</v>
      </c>
    </row>
    <row r="10" spans="1:7">
      <c r="A10" s="4">
        <v>3</v>
      </c>
      <c r="B10" s="4" t="s">
        <v>48</v>
      </c>
      <c r="C10" s="3">
        <v>5</v>
      </c>
      <c r="D10" s="3">
        <v>4</v>
      </c>
      <c r="E10" s="3">
        <v>4</v>
      </c>
      <c r="F10" s="65">
        <v>4</v>
      </c>
      <c r="G10" s="65">
        <v>5</v>
      </c>
    </row>
    <row r="11" spans="1:7">
      <c r="A11" s="4">
        <v>3</v>
      </c>
      <c r="B11" s="4" t="s">
        <v>49</v>
      </c>
      <c r="C11" s="3">
        <v>6</v>
      </c>
      <c r="D11" s="3">
        <v>6</v>
      </c>
      <c r="E11" s="3">
        <v>7</v>
      </c>
      <c r="F11" s="65">
        <v>5</v>
      </c>
      <c r="G11" s="65">
        <v>7</v>
      </c>
    </row>
    <row r="12" spans="1:7">
      <c r="A12" s="4">
        <v>4</v>
      </c>
      <c r="B12" s="4" t="s">
        <v>47</v>
      </c>
      <c r="C12" s="3">
        <f>30-C13-C14</f>
        <v>20</v>
      </c>
      <c r="D12" s="3">
        <f>30-D13-D14</f>
        <v>20</v>
      </c>
      <c r="E12" s="3">
        <v>21</v>
      </c>
      <c r="F12" s="65">
        <v>18</v>
      </c>
      <c r="G12" s="65">
        <v>21</v>
      </c>
    </row>
    <row r="13" spans="1:7">
      <c r="A13" s="4">
        <v>4</v>
      </c>
      <c r="B13" s="4" t="s">
        <v>48</v>
      </c>
      <c r="C13" s="3">
        <v>4</v>
      </c>
      <c r="D13" s="3">
        <v>4</v>
      </c>
      <c r="E13" s="3">
        <v>5</v>
      </c>
      <c r="F13" s="65">
        <v>5</v>
      </c>
      <c r="G13" s="65">
        <v>4</v>
      </c>
    </row>
    <row r="14" spans="1:7">
      <c r="A14" s="4">
        <v>4</v>
      </c>
      <c r="B14" s="4" t="s">
        <v>49</v>
      </c>
      <c r="C14" s="3">
        <v>6</v>
      </c>
      <c r="D14" s="3">
        <v>6</v>
      </c>
      <c r="E14" s="3">
        <v>4</v>
      </c>
      <c r="F14" s="65">
        <v>7</v>
      </c>
      <c r="G14" s="65">
        <v>5</v>
      </c>
    </row>
    <row r="15" spans="1:7">
      <c r="A15" s="4">
        <v>5</v>
      </c>
      <c r="B15" s="4" t="s">
        <v>47</v>
      </c>
      <c r="C15" s="3">
        <f>31-C16-C17</f>
        <v>21</v>
      </c>
      <c r="D15" s="3">
        <f>31-D16-D17</f>
        <v>19</v>
      </c>
      <c r="E15" s="3">
        <v>20</v>
      </c>
      <c r="F15" s="65">
        <v>21</v>
      </c>
      <c r="G15" s="65">
        <v>21</v>
      </c>
    </row>
    <row r="16" spans="1:7">
      <c r="A16" s="4">
        <v>5</v>
      </c>
      <c r="B16" s="4" t="s">
        <v>48</v>
      </c>
      <c r="C16" s="3">
        <v>5</v>
      </c>
      <c r="D16" s="3">
        <v>5</v>
      </c>
      <c r="E16" s="3">
        <v>4</v>
      </c>
      <c r="F16" s="65">
        <v>4</v>
      </c>
      <c r="G16" s="65">
        <v>4</v>
      </c>
    </row>
    <row r="17" spans="1:7">
      <c r="A17" s="4">
        <v>5</v>
      </c>
      <c r="B17" s="4" t="s">
        <v>49</v>
      </c>
      <c r="C17" s="3">
        <v>5</v>
      </c>
      <c r="D17" s="3">
        <v>7</v>
      </c>
      <c r="E17" s="3">
        <v>7</v>
      </c>
      <c r="F17" s="65">
        <v>6</v>
      </c>
      <c r="G17" s="65">
        <v>6</v>
      </c>
    </row>
    <row r="18" spans="1:7">
      <c r="A18" s="4">
        <v>6</v>
      </c>
      <c r="B18" s="4" t="s">
        <v>47</v>
      </c>
      <c r="C18" s="3">
        <f>30-C19-C20</f>
        <v>18</v>
      </c>
      <c r="D18" s="3">
        <f>30-D19-D20</f>
        <v>19</v>
      </c>
      <c r="E18" s="3">
        <v>21</v>
      </c>
      <c r="F18" s="65">
        <v>20</v>
      </c>
      <c r="G18" s="65">
        <v>19</v>
      </c>
    </row>
    <row r="19" spans="1:7">
      <c r="A19" s="4">
        <v>6</v>
      </c>
      <c r="B19" s="4" t="s">
        <v>48</v>
      </c>
      <c r="C19" s="3">
        <v>4</v>
      </c>
      <c r="D19" s="3">
        <v>4</v>
      </c>
      <c r="E19" s="3">
        <v>4</v>
      </c>
      <c r="F19" s="65">
        <v>4</v>
      </c>
      <c r="G19" s="65">
        <v>5</v>
      </c>
    </row>
    <row r="20" spans="1:7">
      <c r="A20" s="4">
        <v>6</v>
      </c>
      <c r="B20" s="4" t="s">
        <v>49</v>
      </c>
      <c r="C20" s="3">
        <v>8</v>
      </c>
      <c r="D20" s="3">
        <v>7</v>
      </c>
      <c r="E20" s="3">
        <v>5</v>
      </c>
      <c r="F20" s="65">
        <v>6</v>
      </c>
      <c r="G20" s="65">
        <v>6</v>
      </c>
    </row>
    <row r="21" spans="1:7">
      <c r="A21" s="4">
        <v>7</v>
      </c>
      <c r="B21" s="4" t="s">
        <v>47</v>
      </c>
      <c r="C21" s="3">
        <f>31-C22-C23</f>
        <v>23</v>
      </c>
      <c r="D21" s="3">
        <f>31-D22-D23</f>
        <v>22</v>
      </c>
      <c r="E21" s="3">
        <v>19</v>
      </c>
      <c r="F21" s="65">
        <v>19</v>
      </c>
      <c r="G21" s="65">
        <v>20</v>
      </c>
    </row>
    <row r="22" spans="1:7">
      <c r="A22" s="4">
        <v>7</v>
      </c>
      <c r="B22" s="4" t="s">
        <v>48</v>
      </c>
      <c r="C22" s="3">
        <v>4</v>
      </c>
      <c r="D22" s="3">
        <v>4</v>
      </c>
      <c r="E22" s="3">
        <v>5</v>
      </c>
      <c r="F22" s="65">
        <v>5</v>
      </c>
      <c r="G22" s="65">
        <v>4</v>
      </c>
    </row>
    <row r="23" spans="1:7">
      <c r="A23" s="4">
        <v>7</v>
      </c>
      <c r="B23" s="4" t="s">
        <v>49</v>
      </c>
      <c r="C23" s="3">
        <v>4</v>
      </c>
      <c r="D23" s="3">
        <v>5</v>
      </c>
      <c r="E23" s="3">
        <v>7</v>
      </c>
      <c r="F23" s="65">
        <v>7</v>
      </c>
      <c r="G23" s="65">
        <v>7</v>
      </c>
    </row>
    <row r="24" spans="1:7">
      <c r="A24" s="4">
        <v>8</v>
      </c>
      <c r="B24" s="4" t="s">
        <v>47</v>
      </c>
      <c r="C24" s="3">
        <f>31-C25-C26</f>
        <v>19</v>
      </c>
      <c r="D24" s="3">
        <f>31-D25-D26</f>
        <v>19</v>
      </c>
      <c r="E24" s="3">
        <v>22</v>
      </c>
      <c r="F24" s="65">
        <v>21</v>
      </c>
      <c r="G24" s="65">
        <v>21</v>
      </c>
    </row>
    <row r="25" spans="1:7">
      <c r="A25" s="4">
        <v>8</v>
      </c>
      <c r="B25" s="4" t="s">
        <v>48</v>
      </c>
      <c r="C25" s="3">
        <v>5</v>
      </c>
      <c r="D25" s="3">
        <v>5</v>
      </c>
      <c r="E25" s="3">
        <v>4</v>
      </c>
      <c r="F25" s="65">
        <v>4</v>
      </c>
      <c r="G25" s="65">
        <v>4</v>
      </c>
    </row>
    <row r="26" spans="1:7">
      <c r="A26" s="4">
        <v>8</v>
      </c>
      <c r="B26" s="4" t="s">
        <v>49</v>
      </c>
      <c r="C26" s="3">
        <v>7</v>
      </c>
      <c r="D26" s="3">
        <v>7</v>
      </c>
      <c r="E26" s="3">
        <v>5</v>
      </c>
      <c r="F26" s="65">
        <v>6</v>
      </c>
      <c r="G26" s="65">
        <v>6</v>
      </c>
    </row>
    <row r="27" spans="1:7">
      <c r="A27" s="4">
        <v>9</v>
      </c>
      <c r="B27" s="4" t="s">
        <v>47</v>
      </c>
      <c r="C27" s="3">
        <f>30-C28-C29</f>
        <v>22</v>
      </c>
      <c r="D27" s="3">
        <f>30-D28-D29</f>
        <v>22</v>
      </c>
      <c r="E27" s="3">
        <v>22</v>
      </c>
      <c r="F27" s="65">
        <v>21</v>
      </c>
      <c r="G27" s="65">
        <v>20</v>
      </c>
    </row>
    <row r="28" spans="1:7">
      <c r="A28" s="4">
        <v>9</v>
      </c>
      <c r="B28" s="4" t="s">
        <v>48</v>
      </c>
      <c r="C28" s="3">
        <v>4</v>
      </c>
      <c r="D28" s="3">
        <v>4</v>
      </c>
      <c r="E28" s="3">
        <v>4</v>
      </c>
      <c r="F28" s="65">
        <v>5</v>
      </c>
      <c r="G28" s="65">
        <v>5</v>
      </c>
    </row>
    <row r="29" spans="1:7">
      <c r="A29" s="4">
        <v>9</v>
      </c>
      <c r="B29" s="4" t="s">
        <v>49</v>
      </c>
      <c r="C29" s="3">
        <v>4</v>
      </c>
      <c r="D29" s="3">
        <v>4</v>
      </c>
      <c r="E29" s="3">
        <v>4</v>
      </c>
      <c r="F29" s="65">
        <v>4</v>
      </c>
      <c r="G29" s="65">
        <v>5</v>
      </c>
    </row>
    <row r="30" spans="1:7">
      <c r="A30" s="4">
        <v>10</v>
      </c>
      <c r="B30" s="4" t="s">
        <v>47</v>
      </c>
      <c r="C30" s="3">
        <f>31-C31-C32</f>
        <v>22</v>
      </c>
      <c r="D30" s="3">
        <f>31-D31-D32</f>
        <v>21</v>
      </c>
      <c r="E30" s="3">
        <v>20</v>
      </c>
      <c r="F30" s="65">
        <v>21</v>
      </c>
      <c r="G30" s="65">
        <v>22</v>
      </c>
    </row>
    <row r="31" spans="1:7">
      <c r="A31" s="4">
        <v>10</v>
      </c>
      <c r="B31" s="4" t="s">
        <v>48</v>
      </c>
      <c r="C31" s="3">
        <v>4</v>
      </c>
      <c r="D31" s="3">
        <v>5</v>
      </c>
      <c r="E31" s="3">
        <v>5</v>
      </c>
      <c r="F31" s="65">
        <v>4</v>
      </c>
      <c r="G31" s="65">
        <v>4</v>
      </c>
    </row>
    <row r="32" spans="1:7">
      <c r="A32" s="4">
        <v>10</v>
      </c>
      <c r="B32" s="4" t="s">
        <v>49</v>
      </c>
      <c r="C32" s="3">
        <v>5</v>
      </c>
      <c r="D32" s="3">
        <v>5</v>
      </c>
      <c r="E32" s="3">
        <v>6</v>
      </c>
      <c r="F32" s="65">
        <v>6</v>
      </c>
      <c r="G32" s="65">
        <v>5</v>
      </c>
    </row>
    <row r="33" spans="1:7">
      <c r="A33" s="4">
        <v>11</v>
      </c>
      <c r="B33" s="4" t="s">
        <v>47</v>
      </c>
      <c r="C33" s="3">
        <f>30-C34-C35</f>
        <v>18</v>
      </c>
      <c r="D33" s="3">
        <f>30-D34-D35</f>
        <v>19</v>
      </c>
      <c r="E33" s="3">
        <v>20</v>
      </c>
      <c r="F33" s="65">
        <v>20</v>
      </c>
      <c r="G33" s="65">
        <v>20</v>
      </c>
    </row>
    <row r="34" spans="1:7">
      <c r="A34" s="4">
        <v>11</v>
      </c>
      <c r="B34" s="4" t="s">
        <v>48</v>
      </c>
      <c r="C34" s="3">
        <v>5</v>
      </c>
      <c r="D34" s="3">
        <v>4</v>
      </c>
      <c r="E34" s="3">
        <v>4</v>
      </c>
      <c r="F34" s="65">
        <v>4</v>
      </c>
      <c r="G34" s="65">
        <v>4</v>
      </c>
    </row>
    <row r="35" spans="1:7">
      <c r="A35" s="4">
        <v>11</v>
      </c>
      <c r="B35" s="4" t="s">
        <v>49</v>
      </c>
      <c r="C35" s="3">
        <v>7</v>
      </c>
      <c r="D35" s="3">
        <v>7</v>
      </c>
      <c r="E35" s="3">
        <v>6</v>
      </c>
      <c r="F35" s="65">
        <v>6</v>
      </c>
      <c r="G35" s="65">
        <v>6</v>
      </c>
    </row>
    <row r="36" spans="1:7">
      <c r="A36" s="4">
        <v>12</v>
      </c>
      <c r="B36" s="4" t="s">
        <v>47</v>
      </c>
      <c r="C36" s="3">
        <f>31-C37-C38</f>
        <v>21</v>
      </c>
      <c r="D36" s="3">
        <f>31-D37-D38</f>
        <v>21</v>
      </c>
      <c r="E36" s="3">
        <v>21</v>
      </c>
      <c r="F36" s="65">
        <v>19</v>
      </c>
      <c r="G36" s="65">
        <v>20</v>
      </c>
    </row>
    <row r="37" spans="1:7">
      <c r="A37" s="4">
        <v>12</v>
      </c>
      <c r="B37" s="4" t="s">
        <v>48</v>
      </c>
      <c r="C37" s="3">
        <v>4</v>
      </c>
      <c r="D37" s="3">
        <v>4</v>
      </c>
      <c r="E37" s="3">
        <v>5</v>
      </c>
      <c r="F37" s="65">
        <v>5</v>
      </c>
      <c r="G37" s="65">
        <v>5</v>
      </c>
    </row>
    <row r="38" spans="1:7">
      <c r="A38" s="4">
        <v>12</v>
      </c>
      <c r="B38" s="4" t="s">
        <v>49</v>
      </c>
      <c r="C38" s="3">
        <v>6</v>
      </c>
      <c r="D38" s="3">
        <v>6</v>
      </c>
      <c r="E38" s="3">
        <v>5</v>
      </c>
      <c r="F38" s="65">
        <v>7</v>
      </c>
      <c r="G38" s="65">
        <v>6</v>
      </c>
    </row>
  </sheetData>
  <mergeCells count="1">
    <mergeCell ref="A1:D1"/>
  </mergeCells>
  <phoneticPr fontId="3" type="noConversion"/>
  <pageMargins left="0.75" right="0.75" top="1" bottom="1" header="0" footer="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22"/>
  <dimension ref="A2:Z8"/>
  <sheetViews>
    <sheetView workbookViewId="0">
      <selection activeCell="G18" sqref="G18"/>
    </sheetView>
  </sheetViews>
  <sheetFormatPr baseColWidth="10" defaultColWidth="11.453125" defaultRowHeight="12.5"/>
  <cols>
    <col min="1" max="1" width="8.453125" bestFit="1" customWidth="1"/>
  </cols>
  <sheetData>
    <row r="2" spans="1:26">
      <c r="A2" t="s">
        <v>50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R2" t="s">
        <v>36</v>
      </c>
      <c r="S2" t="s">
        <v>37</v>
      </c>
      <c r="T2" t="s">
        <v>38</v>
      </c>
      <c r="U2" t="s">
        <v>39</v>
      </c>
      <c r="V2" t="s">
        <v>40</v>
      </c>
      <c r="W2" t="s">
        <v>41</v>
      </c>
      <c r="X2" t="s">
        <v>42</v>
      </c>
      <c r="Y2" t="s">
        <v>43</v>
      </c>
    </row>
    <row r="3" spans="1:26">
      <c r="A3" s="2" t="s">
        <v>51</v>
      </c>
      <c r="B3" s="5">
        <v>2.783452681817198E-2</v>
      </c>
      <c r="C3" s="5">
        <v>2.668252126108818E-2</v>
      </c>
      <c r="D3" s="5">
        <v>2.5923893384829134E-2</v>
      </c>
      <c r="E3" s="5">
        <v>2.5439158181316032E-2</v>
      </c>
      <c r="F3" s="5">
        <v>2.5556096856230455E-2</v>
      </c>
      <c r="G3" s="5">
        <v>2.7259444786907006E-2</v>
      </c>
      <c r="H3" s="5">
        <v>3.2350134566888754E-2</v>
      </c>
      <c r="I3" s="5">
        <v>4.045576103192499E-2</v>
      </c>
      <c r="J3" s="5">
        <v>4.7464292858427598E-2</v>
      </c>
      <c r="K3" s="5">
        <v>5.169277716438446E-2</v>
      </c>
      <c r="L3" s="5">
        <v>5.4607079437588628E-2</v>
      </c>
      <c r="M3" s="5">
        <v>5.4936429550185031E-2</v>
      </c>
      <c r="N3" s="5">
        <v>5.2911056418191681E-2</v>
      </c>
      <c r="O3" s="5">
        <v>5.4485015191331893E-2</v>
      </c>
      <c r="P3" s="5">
        <v>5.6958238973630178E-2</v>
      </c>
      <c r="Q3" s="5">
        <v>5.7105703269245391E-2</v>
      </c>
      <c r="R3" s="5">
        <v>5.4820803913341029E-2</v>
      </c>
      <c r="S3" s="5">
        <v>5.108054271396599E-2</v>
      </c>
      <c r="T3" s="5">
        <v>4.7845563950176334E-2</v>
      </c>
      <c r="U3" s="5">
        <v>4.457508769852557E-2</v>
      </c>
      <c r="V3" s="5">
        <v>4.0435267573066501E-2</v>
      </c>
      <c r="W3" s="5">
        <v>3.6298963462989185E-2</v>
      </c>
      <c r="X3" s="5">
        <v>3.2954022238606676E-2</v>
      </c>
      <c r="Y3" s="5">
        <v>3.032761869898741E-2</v>
      </c>
      <c r="Z3" s="6"/>
    </row>
    <row r="4" spans="1:26">
      <c r="A4" s="2" t="s">
        <v>52</v>
      </c>
      <c r="B4" s="5">
        <v>3.1933620692589905E-2</v>
      </c>
      <c r="C4" s="5">
        <v>3.028507916146447E-2</v>
      </c>
      <c r="D4" s="5">
        <v>2.9353180394062206E-2</v>
      </c>
      <c r="E4" s="5">
        <v>2.8733579354856629E-2</v>
      </c>
      <c r="F4" s="5">
        <v>2.8654972019213198E-2</v>
      </c>
      <c r="G4" s="5">
        <v>2.9977252709770662E-2</v>
      </c>
      <c r="H4" s="5">
        <v>3.4030119073676562E-2</v>
      </c>
      <c r="I4" s="5">
        <v>4.0020468312107316E-2</v>
      </c>
      <c r="J4" s="5">
        <v>4.6345254196304329E-2</v>
      </c>
      <c r="K4" s="5">
        <v>5.1632170995532432E-2</v>
      </c>
      <c r="L4" s="5">
        <v>5.5400723466864081E-2</v>
      </c>
      <c r="M4" s="5">
        <v>5.5432950534748331E-2</v>
      </c>
      <c r="N4" s="5">
        <v>5.2958110753523802E-2</v>
      </c>
      <c r="O4" s="5">
        <v>5.1848023271953363E-2</v>
      </c>
      <c r="P4" s="5">
        <v>5.0438564407365091E-2</v>
      </c>
      <c r="Q4" s="5">
        <v>4.9277928088675836E-2</v>
      </c>
      <c r="R4" s="5">
        <v>4.7857003747290683E-2</v>
      </c>
      <c r="S4" s="5">
        <v>4.7139299793538647E-2</v>
      </c>
      <c r="T4" s="5">
        <v>4.6673457030399823E-2</v>
      </c>
      <c r="U4" s="5">
        <v>4.4979657301066199E-2</v>
      </c>
      <c r="V4" s="5">
        <v>4.2158325011537622E-2</v>
      </c>
      <c r="W4" s="5">
        <v>3.8032949074158828E-2</v>
      </c>
      <c r="X4" s="5">
        <v>3.4562919866015868E-2</v>
      </c>
      <c r="Y4" s="5">
        <v>3.2274390743284039E-2</v>
      </c>
      <c r="Z4" s="6"/>
    </row>
    <row r="5" spans="1:26">
      <c r="A5" s="2" t="s">
        <v>53</v>
      </c>
      <c r="B5" s="5">
        <v>3.6926199666856431E-2</v>
      </c>
      <c r="C5" s="5">
        <v>3.5565247268949142E-2</v>
      </c>
      <c r="D5" s="5">
        <v>3.4193693308989387E-2</v>
      </c>
      <c r="E5" s="5">
        <v>3.3394424684678396E-2</v>
      </c>
      <c r="F5" s="5">
        <v>3.2854151350900668E-2</v>
      </c>
      <c r="G5" s="5">
        <v>3.2653618991756707E-2</v>
      </c>
      <c r="H5" s="5">
        <v>3.3632199282738529E-2</v>
      </c>
      <c r="I5" s="5">
        <v>3.6341608036133136E-2</v>
      </c>
      <c r="J5" s="5">
        <v>4.0377423292748481E-2</v>
      </c>
      <c r="K5" s="5">
        <v>4.3732240795238811E-2</v>
      </c>
      <c r="L5" s="5">
        <v>4.7238598159283107E-2</v>
      </c>
      <c r="M5" s="5">
        <v>4.9884901021565071E-2</v>
      </c>
      <c r="N5" s="5">
        <v>5.0097655159372999E-2</v>
      </c>
      <c r="O5" s="5">
        <v>4.9054338067127098E-2</v>
      </c>
      <c r="P5" s="5">
        <v>4.794935081160881E-2</v>
      </c>
      <c r="Q5" s="5">
        <v>4.7121268851251244E-2</v>
      </c>
      <c r="R5" s="5">
        <v>4.674481308955606E-2</v>
      </c>
      <c r="S5" s="5">
        <v>4.6327024665165285E-2</v>
      </c>
      <c r="T5" s="5">
        <v>4.7122858145358215E-2</v>
      </c>
      <c r="U5" s="5">
        <v>4.6196154090168702E-2</v>
      </c>
      <c r="V5" s="5">
        <v>4.4346623846216106E-2</v>
      </c>
      <c r="W5" s="5">
        <v>4.1928398559943049E-2</v>
      </c>
      <c r="X5" s="5">
        <v>3.9253216982729003E-2</v>
      </c>
      <c r="Y5" s="5">
        <v>3.7063991871665793E-2</v>
      </c>
      <c r="Z5" s="6"/>
    </row>
    <row r="6" spans="1:2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8" spans="1:26" ht="13">
      <c r="A8" s="7" t="s">
        <v>54</v>
      </c>
    </row>
  </sheetData>
  <phoneticPr fontId="3" type="noConversion"/>
  <pageMargins left="0.75" right="0.75" top="1" bottom="1" header="0" footer="0"/>
  <pageSetup orientation="portrait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92acecb-3b57-4957-8fda-f6aa1cc77d9c">
      <Terms xmlns="http://schemas.microsoft.com/office/infopath/2007/PartnerControls"/>
    </lcf76f155ced4ddcb4097134ff3c332f>
    <TaxCatchAll xmlns="f3c667da-9417-4ddc-85c8-f81090c15048" xsi:nil="true"/>
  </documentManagement>
</p:properties>
</file>

<file path=customXml/item3.xml>��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6F128B553CF4D45A32557018C565B05" ma:contentTypeVersion="12" ma:contentTypeDescription="Crear nuevo documento." ma:contentTypeScope="" ma:versionID="27071b4ba969c46b67a557af22ed490c">
  <xsd:schema xmlns:xsd="http://www.w3.org/2001/XMLSchema" xmlns:xs="http://www.w3.org/2001/XMLSchema" xmlns:p="http://schemas.microsoft.com/office/2006/metadata/properties" xmlns:ns2="392acecb-3b57-4957-8fda-f6aa1cc77d9c" xmlns:ns3="f3c667da-9417-4ddc-85c8-f81090c15048" targetNamespace="http://schemas.microsoft.com/office/2006/metadata/properties" ma:root="true" ma:fieldsID="d1441f010a6d59d81991ced2de0cbde2" ns2:_="" ns3:_="">
    <xsd:import namespace="392acecb-3b57-4957-8fda-f6aa1cc77d9c"/>
    <xsd:import namespace="f3c667da-9417-4ddc-85c8-f81090c1504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2acecb-3b57-4957-8fda-f6aa1cc77d9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5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d9e25b11-b3c7-4f85-8ccd-351089f0799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c667da-9417-4ddc-85c8-f81090c15048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26d04c72-668a-4dc8-8232-5e0773635f0f}" ma:internalName="TaxCatchAll" ma:showField="CatchAllData" ma:web="f3c667da-9417-4ddc-85c8-f81090c1504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808B470-77AE-4F45-A3C5-2E42492EEC1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4D02478-90EC-468F-9F9C-14A89ABA6CD1}">
  <ds:schemaRefs>
    <ds:schemaRef ds:uri="http://schemas.microsoft.com/office/2006/metadata/properties"/>
    <ds:schemaRef ds:uri="http://schemas.microsoft.com/office/infopath/2007/PartnerControls"/>
    <ds:schemaRef ds:uri="392acecb-3b57-4957-8fda-f6aa1cc77d9c"/>
    <ds:schemaRef ds:uri="f3c667da-9417-4ddc-85c8-f81090c15048"/>
  </ds:schemaRefs>
</ds:datastoreItem>
</file>

<file path=customXml/itemProps3.xml><?xml version="1.0" encoding="utf-8"?>
<ds:datastoreItem xmlns:ds="http://schemas.openxmlformats.org/officeDocument/2006/customXml" ds:itemID="{63285D7F-B4FB-4ADD-AC8D-74C77A1FF4D1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3B5E85FC-DFDC-434E-A5D5-FB91B310DEA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92acecb-3b57-4957-8fda-f6aa1cc77d9c"/>
    <ds:schemaRef ds:uri="f3c667da-9417-4ddc-85c8-f81090c1504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PRODUCTO 01</vt:lpstr>
      <vt:lpstr>Cantidades horarias PROD 01</vt:lpstr>
      <vt:lpstr>calendario</vt:lpstr>
      <vt:lpstr>curvas típicas de referencia</vt:lpstr>
      <vt:lpstr>'PRODUCTO 01'!Área_de_impresión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Camilo Andres Ruiz Morales</dc:creator>
  <cp:keywords/>
  <dc:description/>
  <cp:lastModifiedBy>Eder Ortiz Hungría</cp:lastModifiedBy>
  <cp:revision/>
  <cp:lastPrinted>2025-12-01T19:30:55Z</cp:lastPrinted>
  <dcterms:created xsi:type="dcterms:W3CDTF">2008-04-02T00:00:31Z</dcterms:created>
  <dcterms:modified xsi:type="dcterms:W3CDTF">2025-12-12T13:10:17Z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0x01010016F128B553CF4D45A32557018C565B05</vt:lpwstr>
  </property>
  <property fmtid="{D5CDD505-2E9C-101B-9397-08002B2CF9AE}" pid="3" name="MediaServiceImageTags">
    <vt:lpwstr/>
  </property>
</Properties>
</file>