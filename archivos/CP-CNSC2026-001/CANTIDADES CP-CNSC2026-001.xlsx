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RAS ENERGIA AÑO 2025\PROCESOS DE COMPRADE ENERGIA\PROCESO COMPRA ENERGÍA SICEP\AÑO 2026\CP CNSC2026-001\3. ADENDA Y PLIEGO DEFINITIVO\Adenda y pliego\"/>
    </mc:Choice>
  </mc:AlternateContent>
  <xr:revisionPtr revIDLastSave="0" documentId="13_ncr:1_{55F729BB-0089-4F31-9FA1-F2A602C9F088}" xr6:coauthVersionLast="47" xr6:coauthVersionMax="47" xr10:uidLastSave="{00000000-0000-0000-0000-000000000000}"/>
  <bookViews>
    <workbookView xWindow="-110" yWindow="-110" windowWidth="19420" windowHeight="10300" tabRatio="598" xr2:uid="{D0603849-4D70-4D94-86F2-F3E2C6C23002}"/>
  </bookViews>
  <sheets>
    <sheet name="OF P1" sheetId="16" r:id="rId1"/>
    <sheet name="CURVA P1" sheetId="17" r:id="rId2"/>
    <sheet name="OF P2" sheetId="30" r:id="rId3"/>
    <sheet name="PLANA P2" sheetId="31" r:id="rId4"/>
    <sheet name="OF P3" sheetId="21" r:id="rId5"/>
    <sheet name="CURVA P3" sheetId="22" r:id="rId6"/>
    <sheet name="OF P4" sheetId="32" r:id="rId7"/>
    <sheet name="PLANA P4" sheetId="33" r:id="rId8"/>
    <sheet name="OF P5" sheetId="34" r:id="rId9"/>
    <sheet name="CURVA P5" sheetId="35" r:id="rId10"/>
    <sheet name="OF P6" sheetId="38" r:id="rId11"/>
    <sheet name="PLANA P6 " sheetId="39" r:id="rId12"/>
    <sheet name="OF P7" sheetId="36" r:id="rId13"/>
    <sheet name="CURVA P7" sheetId="37" r:id="rId14"/>
    <sheet name="OF P8" sheetId="40" r:id="rId15"/>
    <sheet name="PLANA P8" sheetId="4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4" i="41" l="1"/>
  <c r="AC54" i="41" s="1"/>
  <c r="AA53" i="41"/>
  <c r="AC53" i="41" s="1"/>
  <c r="AA52" i="41"/>
  <c r="AC52" i="41" s="1"/>
  <c r="AA51" i="41"/>
  <c r="AC51" i="41" s="1"/>
  <c r="AA50" i="41"/>
  <c r="AC50" i="41" s="1"/>
  <c r="AA49" i="41"/>
  <c r="AC49" i="41" s="1"/>
  <c r="AA48" i="41"/>
  <c r="AC48" i="41" s="1"/>
  <c r="AA47" i="41"/>
  <c r="AC47" i="41" s="1"/>
  <c r="AA46" i="41"/>
  <c r="AC46" i="41" s="1"/>
  <c r="AA45" i="41"/>
  <c r="AC45" i="41" s="1"/>
  <c r="AA44" i="41"/>
  <c r="AC44" i="41" s="1"/>
  <c r="AC43" i="41"/>
  <c r="AA43" i="41"/>
  <c r="AA42" i="41"/>
  <c r="AC42" i="41" s="1"/>
  <c r="AA41" i="41"/>
  <c r="AC41" i="41" s="1"/>
  <c r="AA40" i="41"/>
  <c r="AC40" i="41" s="1"/>
  <c r="AA39" i="41"/>
  <c r="AC39" i="41" s="1"/>
  <c r="AA38" i="41"/>
  <c r="AC38" i="41" s="1"/>
  <c r="AA37" i="41"/>
  <c r="AC37" i="41" s="1"/>
  <c r="AA36" i="41"/>
  <c r="AC36" i="41" s="1"/>
  <c r="AA35" i="41"/>
  <c r="AC35" i="41" s="1"/>
  <c r="AD35" i="41" s="1"/>
  <c r="D13" i="40" s="1"/>
  <c r="AA34" i="41"/>
  <c r="AC34" i="41" s="1"/>
  <c r="AA33" i="41"/>
  <c r="AC33" i="41" s="1"/>
  <c r="AA32" i="41"/>
  <c r="AC32" i="41" s="1"/>
  <c r="AA31" i="41"/>
  <c r="AC31" i="41" s="1"/>
  <c r="AA30" i="41"/>
  <c r="AC30" i="41" s="1"/>
  <c r="AA29" i="41"/>
  <c r="AC29" i="41" s="1"/>
  <c r="AA28" i="41"/>
  <c r="AC28" i="41" s="1"/>
  <c r="AA27" i="41"/>
  <c r="AC27" i="41" s="1"/>
  <c r="AD27" i="41" s="1"/>
  <c r="D11" i="40" s="1"/>
  <c r="AA26" i="41"/>
  <c r="AC26" i="41" s="1"/>
  <c r="AA25" i="41"/>
  <c r="AC25" i="41" s="1"/>
  <c r="AA24" i="41"/>
  <c r="AC24" i="41" s="1"/>
  <c r="AA23" i="41"/>
  <c r="AC23" i="41" s="1"/>
  <c r="AA22" i="41"/>
  <c r="AC22" i="41" s="1"/>
  <c r="AA21" i="41"/>
  <c r="AC21" i="41" s="1"/>
  <c r="AA20" i="41"/>
  <c r="AC20" i="41" s="1"/>
  <c r="AA19" i="41"/>
  <c r="AC19" i="41" s="1"/>
  <c r="AA18" i="41"/>
  <c r="AC18" i="41" s="1"/>
  <c r="AA17" i="41"/>
  <c r="AC17" i="41" s="1"/>
  <c r="AA16" i="41"/>
  <c r="AC16" i="41" s="1"/>
  <c r="AA15" i="41"/>
  <c r="AC15" i="41" s="1"/>
  <c r="AA14" i="41"/>
  <c r="AC14" i="41" s="1"/>
  <c r="AA13" i="41"/>
  <c r="AC13" i="41" s="1"/>
  <c r="AA12" i="41"/>
  <c r="AC12" i="41" s="1"/>
  <c r="AC11" i="41"/>
  <c r="AA11" i="41"/>
  <c r="AA10" i="41"/>
  <c r="AC10" i="41" s="1"/>
  <c r="AA9" i="41"/>
  <c r="AC9" i="41" s="1"/>
  <c r="AA8" i="41"/>
  <c r="AC8" i="41" s="1"/>
  <c r="AA7" i="41"/>
  <c r="AC7" i="41" s="1"/>
  <c r="AA54" i="39"/>
  <c r="AC54" i="39" s="1"/>
  <c r="AA53" i="39"/>
  <c r="AC53" i="39" s="1"/>
  <c r="AA52" i="39"/>
  <c r="AC52" i="39" s="1"/>
  <c r="AA51" i="39"/>
  <c r="AC51" i="39" s="1"/>
  <c r="AA50" i="39"/>
  <c r="AC50" i="39" s="1"/>
  <c r="AA49" i="39"/>
  <c r="AC49" i="39" s="1"/>
  <c r="AA48" i="39"/>
  <c r="AC48" i="39" s="1"/>
  <c r="AA47" i="39"/>
  <c r="AC47" i="39" s="1"/>
  <c r="AA46" i="39"/>
  <c r="AC46" i="39" s="1"/>
  <c r="AA45" i="39"/>
  <c r="AC45" i="39" s="1"/>
  <c r="AA44" i="39"/>
  <c r="AC44" i="39" s="1"/>
  <c r="AC43" i="39"/>
  <c r="AA43" i="39"/>
  <c r="AA42" i="39"/>
  <c r="AC42" i="39" s="1"/>
  <c r="AA41" i="39"/>
  <c r="AC41" i="39" s="1"/>
  <c r="AA40" i="39"/>
  <c r="AC40" i="39" s="1"/>
  <c r="AA39" i="39"/>
  <c r="AC39" i="39" s="1"/>
  <c r="AD39" i="39" s="1"/>
  <c r="D14" i="38" s="1"/>
  <c r="AA38" i="39"/>
  <c r="AC38" i="39" s="1"/>
  <c r="AA37" i="39"/>
  <c r="AC37" i="39" s="1"/>
  <c r="AA36" i="39"/>
  <c r="AC36" i="39" s="1"/>
  <c r="AA35" i="39"/>
  <c r="AC35" i="39" s="1"/>
  <c r="AA34" i="39"/>
  <c r="AC34" i="39" s="1"/>
  <c r="AA33" i="39"/>
  <c r="AC33" i="39" s="1"/>
  <c r="AA32" i="39"/>
  <c r="AC32" i="39" s="1"/>
  <c r="AA31" i="39"/>
  <c r="AC31" i="39" s="1"/>
  <c r="AA30" i="39"/>
  <c r="AC30" i="39" s="1"/>
  <c r="AA29" i="39"/>
  <c r="AC29" i="39" s="1"/>
  <c r="AA28" i="39"/>
  <c r="AC28" i="39" s="1"/>
  <c r="AA27" i="39"/>
  <c r="AC27" i="39" s="1"/>
  <c r="AD27" i="39" s="1"/>
  <c r="D11" i="38" s="1"/>
  <c r="AA26" i="39"/>
  <c r="AC26" i="39" s="1"/>
  <c r="AA25" i="39"/>
  <c r="AC25" i="39" s="1"/>
  <c r="AA24" i="39"/>
  <c r="AC24" i="39" s="1"/>
  <c r="AA23" i="39"/>
  <c r="AC23" i="39" s="1"/>
  <c r="AA22" i="39"/>
  <c r="AC22" i="39" s="1"/>
  <c r="AA21" i="39"/>
  <c r="AC21" i="39" s="1"/>
  <c r="AA20" i="39"/>
  <c r="AC20" i="39" s="1"/>
  <c r="AA19" i="39"/>
  <c r="AC19" i="39" s="1"/>
  <c r="AD19" i="39" s="1"/>
  <c r="D9" i="38" s="1"/>
  <c r="AA18" i="39"/>
  <c r="AC18" i="39" s="1"/>
  <c r="AA17" i="39"/>
  <c r="AC17" i="39" s="1"/>
  <c r="AA16" i="39"/>
  <c r="AC16" i="39" s="1"/>
  <c r="AA15" i="39"/>
  <c r="AC15" i="39" s="1"/>
  <c r="AA14" i="39"/>
  <c r="AC14" i="39" s="1"/>
  <c r="AA13" i="39"/>
  <c r="AC13" i="39" s="1"/>
  <c r="AA12" i="39"/>
  <c r="AC12" i="39" s="1"/>
  <c r="AA11" i="39"/>
  <c r="AC11" i="39" s="1"/>
  <c r="AD11" i="39" s="1"/>
  <c r="D7" i="38" s="1"/>
  <c r="AA10" i="39"/>
  <c r="AC10" i="39" s="1"/>
  <c r="AA9" i="39"/>
  <c r="AC9" i="39" s="1"/>
  <c r="AA8" i="39"/>
  <c r="AC8" i="39" s="1"/>
  <c r="AA7" i="39"/>
  <c r="AC7" i="39" s="1"/>
  <c r="AD7" i="39" s="1"/>
  <c r="AA54" i="37"/>
  <c r="AC54" i="37" s="1"/>
  <c r="AC53" i="37"/>
  <c r="AA53" i="37"/>
  <c r="AA52" i="37"/>
  <c r="AC52" i="37" s="1"/>
  <c r="AA51" i="37"/>
  <c r="AC51" i="37" s="1"/>
  <c r="AA50" i="37"/>
  <c r="AC50" i="37" s="1"/>
  <c r="AA49" i="37"/>
  <c r="AC49" i="37" s="1"/>
  <c r="AA48" i="37"/>
  <c r="AC48" i="37" s="1"/>
  <c r="AA47" i="37"/>
  <c r="AC47" i="37" s="1"/>
  <c r="AA46" i="37"/>
  <c r="AC46" i="37" s="1"/>
  <c r="AA45" i="37"/>
  <c r="AC45" i="37" s="1"/>
  <c r="AA44" i="37"/>
  <c r="AC44" i="37" s="1"/>
  <c r="AA43" i="37"/>
  <c r="AC43" i="37" s="1"/>
  <c r="AA42" i="37"/>
  <c r="AC42" i="37" s="1"/>
  <c r="AA41" i="37"/>
  <c r="AC41" i="37" s="1"/>
  <c r="AA40" i="37"/>
  <c r="AC40" i="37" s="1"/>
  <c r="AC39" i="37"/>
  <c r="AA39" i="37"/>
  <c r="AA38" i="37"/>
  <c r="AC38" i="37" s="1"/>
  <c r="AC37" i="37"/>
  <c r="AA37" i="37"/>
  <c r="AA36" i="37"/>
  <c r="AC36" i="37" s="1"/>
  <c r="AA35" i="37"/>
  <c r="AC35" i="37" s="1"/>
  <c r="AA34" i="37"/>
  <c r="AC34" i="37" s="1"/>
  <c r="AA33" i="37"/>
  <c r="AC33" i="37" s="1"/>
  <c r="AA32" i="37"/>
  <c r="AC32" i="37" s="1"/>
  <c r="AA31" i="37"/>
  <c r="AC31" i="37" s="1"/>
  <c r="AA30" i="37"/>
  <c r="AC30" i="37" s="1"/>
  <c r="AA29" i="37"/>
  <c r="AC29" i="37" s="1"/>
  <c r="AA28" i="37"/>
  <c r="AC28" i="37" s="1"/>
  <c r="AA27" i="37"/>
  <c r="AC27" i="37" s="1"/>
  <c r="AA26" i="37"/>
  <c r="AC26" i="37" s="1"/>
  <c r="AA25" i="37"/>
  <c r="AC25" i="37" s="1"/>
  <c r="AA24" i="37"/>
  <c r="AC24" i="37" s="1"/>
  <c r="AA23" i="37"/>
  <c r="AC23" i="37" s="1"/>
  <c r="AA22" i="37"/>
  <c r="AC22" i="37" s="1"/>
  <c r="AA21" i="37"/>
  <c r="AC21" i="37" s="1"/>
  <c r="AA20" i="37"/>
  <c r="AC20" i="37" s="1"/>
  <c r="AA19" i="37"/>
  <c r="AC19" i="37" s="1"/>
  <c r="AA18" i="37"/>
  <c r="AC18" i="37" s="1"/>
  <c r="AA17" i="37"/>
  <c r="AC17" i="37" s="1"/>
  <c r="AA16" i="37"/>
  <c r="AC16" i="37" s="1"/>
  <c r="AA15" i="37"/>
  <c r="AC15" i="37" s="1"/>
  <c r="AA14" i="37"/>
  <c r="AC14" i="37" s="1"/>
  <c r="AA13" i="37"/>
  <c r="AC13" i="37" s="1"/>
  <c r="AA12" i="37"/>
  <c r="AC12" i="37" s="1"/>
  <c r="AA11" i="37"/>
  <c r="AC11" i="37" s="1"/>
  <c r="AA10" i="37"/>
  <c r="AC10" i="37" s="1"/>
  <c r="AA9" i="37"/>
  <c r="AC9" i="37" s="1"/>
  <c r="AA8" i="37"/>
  <c r="AC8" i="37" s="1"/>
  <c r="AC7" i="37"/>
  <c r="AA7" i="37"/>
  <c r="AA54" i="35"/>
  <c r="AC54" i="35" s="1"/>
  <c r="AA53" i="35"/>
  <c r="AC53" i="35" s="1"/>
  <c r="AA52" i="35"/>
  <c r="AC52" i="35" s="1"/>
  <c r="AA51" i="35"/>
  <c r="AC51" i="35" s="1"/>
  <c r="AA50" i="35"/>
  <c r="AC50" i="35" s="1"/>
  <c r="AA49" i="35"/>
  <c r="AC49" i="35" s="1"/>
  <c r="AA48" i="35"/>
  <c r="AC48" i="35" s="1"/>
  <c r="AA47" i="35"/>
  <c r="AC47" i="35" s="1"/>
  <c r="AA46" i="35"/>
  <c r="AC46" i="35" s="1"/>
  <c r="AA45" i="35"/>
  <c r="AC45" i="35" s="1"/>
  <c r="AA44" i="35"/>
  <c r="AC44" i="35" s="1"/>
  <c r="AA43" i="35"/>
  <c r="AC43" i="35" s="1"/>
  <c r="AA42" i="35"/>
  <c r="AC42" i="35" s="1"/>
  <c r="AA41" i="35"/>
  <c r="AC41" i="35" s="1"/>
  <c r="AA40" i="35"/>
  <c r="AC40" i="35" s="1"/>
  <c r="AA39" i="35"/>
  <c r="AC39" i="35" s="1"/>
  <c r="AA38" i="35"/>
  <c r="AC38" i="35" s="1"/>
  <c r="AA37" i="35"/>
  <c r="AC37" i="35" s="1"/>
  <c r="AC36" i="35"/>
  <c r="AA36" i="35"/>
  <c r="AA35" i="35"/>
  <c r="AC35" i="35" s="1"/>
  <c r="AA34" i="35"/>
  <c r="AC34" i="35" s="1"/>
  <c r="AA33" i="35"/>
  <c r="AC33" i="35" s="1"/>
  <c r="AA32" i="35"/>
  <c r="AC32" i="35" s="1"/>
  <c r="AA31" i="35"/>
  <c r="AC31" i="35" s="1"/>
  <c r="AA30" i="35"/>
  <c r="AC30" i="35" s="1"/>
  <c r="AA29" i="35"/>
  <c r="AC29" i="35" s="1"/>
  <c r="AA28" i="35"/>
  <c r="AC28" i="35" s="1"/>
  <c r="AA27" i="35"/>
  <c r="AC27" i="35" s="1"/>
  <c r="AA26" i="35"/>
  <c r="AC26" i="35" s="1"/>
  <c r="AA25" i="35"/>
  <c r="AC25" i="35" s="1"/>
  <c r="AA24" i="35"/>
  <c r="AC24" i="35" s="1"/>
  <c r="AA23" i="35"/>
  <c r="AC23" i="35" s="1"/>
  <c r="AA22" i="35"/>
  <c r="AC22" i="35" s="1"/>
  <c r="AA21" i="35"/>
  <c r="AC21" i="35" s="1"/>
  <c r="AA20" i="35"/>
  <c r="AC20" i="35" s="1"/>
  <c r="AA19" i="35"/>
  <c r="AC19" i="35" s="1"/>
  <c r="AA18" i="35"/>
  <c r="AC18" i="35" s="1"/>
  <c r="AA17" i="35"/>
  <c r="AC17" i="35" s="1"/>
  <c r="AA16" i="35"/>
  <c r="AC16" i="35" s="1"/>
  <c r="AA15" i="35"/>
  <c r="AC15" i="35" s="1"/>
  <c r="AA14" i="35"/>
  <c r="AC14" i="35" s="1"/>
  <c r="AA13" i="35"/>
  <c r="AC13" i="35" s="1"/>
  <c r="AA12" i="35"/>
  <c r="AC12" i="35" s="1"/>
  <c r="AA11" i="35"/>
  <c r="AC11" i="35" s="1"/>
  <c r="AA10" i="35"/>
  <c r="AC10" i="35" s="1"/>
  <c r="AA9" i="35"/>
  <c r="AC9" i="35" s="1"/>
  <c r="AA8" i="35"/>
  <c r="AC8" i="35" s="1"/>
  <c r="AA7" i="35"/>
  <c r="AC7" i="35" s="1"/>
  <c r="AD15" i="41" l="1"/>
  <c r="D8" i="40" s="1"/>
  <c r="AD7" i="41"/>
  <c r="AD47" i="41"/>
  <c r="D16" i="40" s="1"/>
  <c r="AD27" i="37"/>
  <c r="D11" i="36" s="1"/>
  <c r="AD11" i="37"/>
  <c r="D7" i="36" s="1"/>
  <c r="AD47" i="37"/>
  <c r="D16" i="36" s="1"/>
  <c r="AD19" i="37"/>
  <c r="D9" i="36" s="1"/>
  <c r="AD51" i="37"/>
  <c r="D17" i="36" s="1"/>
  <c r="AD35" i="37"/>
  <c r="D13" i="36" s="1"/>
  <c r="AD39" i="41"/>
  <c r="D14" i="40" s="1"/>
  <c r="AD19" i="41"/>
  <c r="D9" i="40" s="1"/>
  <c r="AD31" i="41"/>
  <c r="D12" i="40" s="1"/>
  <c r="AD51" i="41"/>
  <c r="D17" i="40" s="1"/>
  <c r="D6" i="40"/>
  <c r="AD11" i="41"/>
  <c r="D7" i="40" s="1"/>
  <c r="AD23" i="41"/>
  <c r="D10" i="40" s="1"/>
  <c r="AD43" i="41"/>
  <c r="D15" i="40" s="1"/>
  <c r="AD47" i="39"/>
  <c r="D16" i="38" s="1"/>
  <c r="AD35" i="39"/>
  <c r="D13" i="38" s="1"/>
  <c r="AD31" i="39"/>
  <c r="D12" i="38" s="1"/>
  <c r="AD51" i="39"/>
  <c r="D17" i="38" s="1"/>
  <c r="D6" i="38"/>
  <c r="AD43" i="39"/>
  <c r="D15" i="38" s="1"/>
  <c r="AD23" i="39"/>
  <c r="D10" i="38" s="1"/>
  <c r="AD15" i="39"/>
  <c r="D8" i="38" s="1"/>
  <c r="AD11" i="35"/>
  <c r="D7" i="34" s="1"/>
  <c r="AD23" i="35"/>
  <c r="D10" i="34" s="1"/>
  <c r="AD39" i="35"/>
  <c r="D14" i="34" s="1"/>
  <c r="AD31" i="35"/>
  <c r="D12" i="34" s="1"/>
  <c r="AD47" i="35"/>
  <c r="D16" i="34" s="1"/>
  <c r="AD51" i="35"/>
  <c r="D17" i="34" s="1"/>
  <c r="AD15" i="35"/>
  <c r="D8" i="34" s="1"/>
  <c r="AD43" i="35"/>
  <c r="D15" i="34" s="1"/>
  <c r="AD31" i="37"/>
  <c r="D12" i="36" s="1"/>
  <c r="AD39" i="37"/>
  <c r="D14" i="36" s="1"/>
  <c r="AD35" i="35"/>
  <c r="D13" i="34" s="1"/>
  <c r="AD7" i="35"/>
  <c r="AD27" i="35"/>
  <c r="D11" i="34" s="1"/>
  <c r="AD15" i="37"/>
  <c r="D8" i="36" s="1"/>
  <c r="AD23" i="37"/>
  <c r="D10" i="36" s="1"/>
  <c r="AD7" i="37"/>
  <c r="AD43" i="37"/>
  <c r="D15" i="36" s="1"/>
  <c r="AD19" i="35"/>
  <c r="D9" i="34" s="1"/>
  <c r="AD55" i="41" l="1"/>
  <c r="C4" i="41" s="1"/>
  <c r="D18" i="40"/>
  <c r="D18" i="38"/>
  <c r="AD55" i="39"/>
  <c r="C4" i="39" s="1"/>
  <c r="AD55" i="37"/>
  <c r="C4" i="37" s="1"/>
  <c r="D6" i="36"/>
  <c r="D18" i="36" s="1"/>
  <c r="AD55" i="35"/>
  <c r="C4" i="35" s="1"/>
  <c r="D6" i="34"/>
  <c r="D18" i="34" s="1"/>
  <c r="AA54" i="33" l="1"/>
  <c r="AC54" i="33" s="1"/>
  <c r="AA53" i="33"/>
  <c r="AC53" i="33" s="1"/>
  <c r="AA52" i="33"/>
  <c r="AC52" i="33" s="1"/>
  <c r="AA51" i="33"/>
  <c r="AC51" i="33" s="1"/>
  <c r="AA50" i="33"/>
  <c r="AC50" i="33" s="1"/>
  <c r="AA49" i="33"/>
  <c r="AC49" i="33" s="1"/>
  <c r="AC48" i="33"/>
  <c r="AA48" i="33"/>
  <c r="AA47" i="33"/>
  <c r="AC47" i="33" s="1"/>
  <c r="AA46" i="33"/>
  <c r="AC46" i="33" s="1"/>
  <c r="AA45" i="33"/>
  <c r="AC45" i="33" s="1"/>
  <c r="AC44" i="33"/>
  <c r="AA44" i="33"/>
  <c r="AC43" i="33"/>
  <c r="AA43" i="33"/>
  <c r="AA42" i="33"/>
  <c r="AC42" i="33" s="1"/>
  <c r="AA41" i="33"/>
  <c r="AC41" i="33" s="1"/>
  <c r="AA40" i="33"/>
  <c r="AC40" i="33" s="1"/>
  <c r="AC39" i="33"/>
  <c r="AA39" i="33"/>
  <c r="AA38" i="33"/>
  <c r="AC38" i="33" s="1"/>
  <c r="AA37" i="33"/>
  <c r="AC37" i="33" s="1"/>
  <c r="AA36" i="33"/>
  <c r="AC36" i="33" s="1"/>
  <c r="AA35" i="33"/>
  <c r="AC35" i="33" s="1"/>
  <c r="AA34" i="33"/>
  <c r="AC34" i="33" s="1"/>
  <c r="AC33" i="33"/>
  <c r="AA33" i="33"/>
  <c r="AA32" i="33"/>
  <c r="AC32" i="33" s="1"/>
  <c r="AA31" i="33"/>
  <c r="AC31" i="33" s="1"/>
  <c r="AA30" i="33"/>
  <c r="AC30" i="33" s="1"/>
  <c r="AA29" i="33"/>
  <c r="AC29" i="33" s="1"/>
  <c r="AA28" i="33"/>
  <c r="AC28" i="33" s="1"/>
  <c r="AA27" i="33"/>
  <c r="AC27" i="33" s="1"/>
  <c r="AD27" i="33" s="1"/>
  <c r="D11" i="32" s="1"/>
  <c r="AA26" i="33"/>
  <c r="AC26" i="33" s="1"/>
  <c r="AA25" i="33"/>
  <c r="AC25" i="33" s="1"/>
  <c r="AA24" i="33"/>
  <c r="AC24" i="33" s="1"/>
  <c r="AA23" i="33"/>
  <c r="AC23" i="33" s="1"/>
  <c r="AD23" i="33" s="1"/>
  <c r="D10" i="32" s="1"/>
  <c r="AA22" i="33"/>
  <c r="AC22" i="33" s="1"/>
  <c r="AA21" i="33"/>
  <c r="AC21" i="33" s="1"/>
  <c r="AA20" i="33"/>
  <c r="AC20" i="33" s="1"/>
  <c r="AA19" i="33"/>
  <c r="AC19" i="33" s="1"/>
  <c r="AD19" i="33" s="1"/>
  <c r="D9" i="32" s="1"/>
  <c r="AA18" i="33"/>
  <c r="AC18" i="33" s="1"/>
  <c r="AA17" i="33"/>
  <c r="AC17" i="33" s="1"/>
  <c r="AA16" i="33"/>
  <c r="AC16" i="33" s="1"/>
  <c r="AA15" i="33"/>
  <c r="AC15" i="33" s="1"/>
  <c r="AA14" i="33"/>
  <c r="AC14" i="33" s="1"/>
  <c r="AA13" i="33"/>
  <c r="AC13" i="33" s="1"/>
  <c r="AC12" i="33"/>
  <c r="AA12" i="33"/>
  <c r="AA11" i="33"/>
  <c r="AC11" i="33" s="1"/>
  <c r="AD11" i="33" s="1"/>
  <c r="D7" i="32" s="1"/>
  <c r="AA10" i="33"/>
  <c r="AC10" i="33" s="1"/>
  <c r="AA9" i="33"/>
  <c r="AC9" i="33" s="1"/>
  <c r="AA8" i="33"/>
  <c r="AC8" i="33" s="1"/>
  <c r="AA7" i="33"/>
  <c r="AC7" i="33" s="1"/>
  <c r="AD47" i="33" l="1"/>
  <c r="D16" i="32" s="1"/>
  <c r="AD39" i="33"/>
  <c r="D14" i="32" s="1"/>
  <c r="AD31" i="33"/>
  <c r="D12" i="32" s="1"/>
  <c r="AD15" i="33"/>
  <c r="D8" i="32" s="1"/>
  <c r="AD51" i="33"/>
  <c r="D17" i="32" s="1"/>
  <c r="AD43" i="33"/>
  <c r="D15" i="32" s="1"/>
  <c r="AD7" i="33"/>
  <c r="AD35" i="33"/>
  <c r="D13" i="32" s="1"/>
  <c r="AD55" i="33" l="1"/>
  <c r="C4" i="33" s="1"/>
  <c r="D6" i="32"/>
  <c r="D18" i="32" s="1"/>
  <c r="AA54" i="31" l="1"/>
  <c r="AC54" i="31" s="1"/>
  <c r="AA53" i="31"/>
  <c r="AC53" i="31" s="1"/>
  <c r="AA52" i="31"/>
  <c r="AC52" i="31" s="1"/>
  <c r="AA51" i="31"/>
  <c r="AC51" i="31" s="1"/>
  <c r="AA50" i="31"/>
  <c r="AC50" i="31" s="1"/>
  <c r="AA49" i="31"/>
  <c r="AC49" i="31" s="1"/>
  <c r="AA48" i="31"/>
  <c r="AC48" i="31" s="1"/>
  <c r="AA47" i="31"/>
  <c r="AC47" i="31" s="1"/>
  <c r="AA46" i="31"/>
  <c r="AC46" i="31" s="1"/>
  <c r="AA45" i="31"/>
  <c r="AC45" i="31" s="1"/>
  <c r="AA44" i="31"/>
  <c r="AC44" i="31" s="1"/>
  <c r="AA43" i="31"/>
  <c r="AC43" i="31" s="1"/>
  <c r="AC42" i="31"/>
  <c r="AA42" i="31"/>
  <c r="AA41" i="31"/>
  <c r="AC41" i="31" s="1"/>
  <c r="AA40" i="31"/>
  <c r="AC40" i="31" s="1"/>
  <c r="AA39" i="31"/>
  <c r="AC39" i="31" s="1"/>
  <c r="AA38" i="31"/>
  <c r="AC38" i="31" s="1"/>
  <c r="AA37" i="31"/>
  <c r="AC37" i="31" s="1"/>
  <c r="AA36" i="31"/>
  <c r="AC36" i="31" s="1"/>
  <c r="AA35" i="31"/>
  <c r="AC35" i="31" s="1"/>
  <c r="AA34" i="31"/>
  <c r="AC34" i="31" s="1"/>
  <c r="AC33" i="31"/>
  <c r="AA33" i="31"/>
  <c r="AA32" i="31"/>
  <c r="AC32" i="31" s="1"/>
  <c r="AA31" i="31"/>
  <c r="AC31" i="31" s="1"/>
  <c r="AA30" i="31"/>
  <c r="AC30" i="31" s="1"/>
  <c r="AA29" i="31"/>
  <c r="AC29" i="31" s="1"/>
  <c r="AA28" i="31"/>
  <c r="AC28" i="31" s="1"/>
  <c r="AA27" i="31"/>
  <c r="AC27" i="31" s="1"/>
  <c r="AA26" i="31"/>
  <c r="AC26" i="31" s="1"/>
  <c r="AA25" i="31"/>
  <c r="AC25" i="31" s="1"/>
  <c r="AA24" i="31"/>
  <c r="AC24" i="31" s="1"/>
  <c r="AA23" i="31"/>
  <c r="AC23" i="31" s="1"/>
  <c r="AA22" i="31"/>
  <c r="AC22" i="31" s="1"/>
  <c r="AA21" i="31"/>
  <c r="AC21" i="31" s="1"/>
  <c r="AA20" i="31"/>
  <c r="AC20" i="31" s="1"/>
  <c r="AA19" i="31"/>
  <c r="AC19" i="31" s="1"/>
  <c r="AA18" i="31"/>
  <c r="AC18" i="31" s="1"/>
  <c r="AA17" i="31"/>
  <c r="AC17" i="31" s="1"/>
  <c r="AA16" i="31"/>
  <c r="AC16" i="31" s="1"/>
  <c r="AA15" i="31"/>
  <c r="AC15" i="31" s="1"/>
  <c r="AC14" i="31"/>
  <c r="AA14" i="31"/>
  <c r="AA13" i="31"/>
  <c r="AC13" i="31" s="1"/>
  <c r="AA12" i="31"/>
  <c r="AC12" i="31" s="1"/>
  <c r="AA11" i="31"/>
  <c r="AC11" i="31" s="1"/>
  <c r="AA10" i="31"/>
  <c r="AC10" i="31" s="1"/>
  <c r="AA9" i="31"/>
  <c r="AC9" i="31" s="1"/>
  <c r="AA8" i="31"/>
  <c r="AC8" i="31" s="1"/>
  <c r="AA7" i="31"/>
  <c r="AC7" i="31" s="1"/>
  <c r="AD27" i="31" l="1"/>
  <c r="D11" i="30" s="1"/>
  <c r="AD43" i="31"/>
  <c r="D15" i="30" s="1"/>
  <c r="AD51" i="31"/>
  <c r="D17" i="30" s="1"/>
  <c r="AD47" i="31"/>
  <c r="D16" i="30" s="1"/>
  <c r="AD23" i="31"/>
  <c r="D10" i="30" s="1"/>
  <c r="AD31" i="31"/>
  <c r="D12" i="30" s="1"/>
  <c r="AD39" i="31"/>
  <c r="D14" i="30" s="1"/>
  <c r="AD15" i="31"/>
  <c r="D8" i="30" s="1"/>
  <c r="AD7" i="31"/>
  <c r="D6" i="30" s="1"/>
  <c r="AD11" i="31"/>
  <c r="D7" i="30" s="1"/>
  <c r="AD19" i="31"/>
  <c r="D9" i="30" s="1"/>
  <c r="AD35" i="31"/>
  <c r="D13" i="30" s="1"/>
  <c r="D18" i="30" l="1"/>
  <c r="AD55" i="31"/>
  <c r="C4" i="31" s="1"/>
  <c r="AA54" i="22" l="1"/>
  <c r="AC54" i="22" s="1"/>
  <c r="AA53" i="22"/>
  <c r="AC53" i="22" s="1"/>
  <c r="AA52" i="22"/>
  <c r="AC52" i="22" s="1"/>
  <c r="AA51" i="22"/>
  <c r="AC51" i="22" s="1"/>
  <c r="AA50" i="22"/>
  <c r="AC50" i="22" s="1"/>
  <c r="AA49" i="22"/>
  <c r="AC49" i="22" s="1"/>
  <c r="AA48" i="22"/>
  <c r="AC48" i="22" s="1"/>
  <c r="AA47" i="22"/>
  <c r="AC47" i="22" s="1"/>
  <c r="AA46" i="22"/>
  <c r="AC46" i="22" s="1"/>
  <c r="AA45" i="22"/>
  <c r="AC45" i="22" s="1"/>
  <c r="AA44" i="22"/>
  <c r="AC44" i="22" s="1"/>
  <c r="AA43" i="22"/>
  <c r="AC43" i="22" s="1"/>
  <c r="AA42" i="22"/>
  <c r="AC42" i="22" s="1"/>
  <c r="AA41" i="22"/>
  <c r="AC41" i="22" s="1"/>
  <c r="AA40" i="22"/>
  <c r="AC40" i="22" s="1"/>
  <c r="AA39" i="22"/>
  <c r="AC39" i="22" s="1"/>
  <c r="AA38" i="22"/>
  <c r="AC38" i="22" s="1"/>
  <c r="AA37" i="22"/>
  <c r="AC37" i="22" s="1"/>
  <c r="AA36" i="22"/>
  <c r="AC36" i="22" s="1"/>
  <c r="AA35" i="22"/>
  <c r="AC35" i="22" s="1"/>
  <c r="AA34" i="22"/>
  <c r="AC34" i="22" s="1"/>
  <c r="AA33" i="22"/>
  <c r="AC33" i="22" s="1"/>
  <c r="AA32" i="22"/>
  <c r="AC32" i="22" s="1"/>
  <c r="AA31" i="22"/>
  <c r="AC31" i="22" s="1"/>
  <c r="AA30" i="22"/>
  <c r="AC30" i="22" s="1"/>
  <c r="AA29" i="22"/>
  <c r="AC29" i="22" s="1"/>
  <c r="AA28" i="22"/>
  <c r="AC28" i="22" s="1"/>
  <c r="AA27" i="22"/>
  <c r="AC27" i="22" s="1"/>
  <c r="AA26" i="22"/>
  <c r="AC26" i="22" s="1"/>
  <c r="AA25" i="22"/>
  <c r="AC25" i="22" s="1"/>
  <c r="AA24" i="22"/>
  <c r="AC24" i="22" s="1"/>
  <c r="AA23" i="22"/>
  <c r="AC23" i="22" s="1"/>
  <c r="AA22" i="22"/>
  <c r="AC22" i="22" s="1"/>
  <c r="AA21" i="22"/>
  <c r="AC21" i="22" s="1"/>
  <c r="AA20" i="22"/>
  <c r="AC20" i="22" s="1"/>
  <c r="AA19" i="22"/>
  <c r="AC19" i="22" s="1"/>
  <c r="AA18" i="22"/>
  <c r="AC18" i="22" s="1"/>
  <c r="AA17" i="22"/>
  <c r="AC17" i="22" s="1"/>
  <c r="AA16" i="22"/>
  <c r="AC16" i="22" s="1"/>
  <c r="AA15" i="22"/>
  <c r="AC15" i="22" s="1"/>
  <c r="AA14" i="22"/>
  <c r="AC14" i="22" s="1"/>
  <c r="AA13" i="22"/>
  <c r="AC13" i="22" s="1"/>
  <c r="AA12" i="22"/>
  <c r="AC12" i="22" s="1"/>
  <c r="AA11" i="22"/>
  <c r="AC11" i="22" s="1"/>
  <c r="AA10" i="22"/>
  <c r="AC10" i="22" s="1"/>
  <c r="AA9" i="22"/>
  <c r="AC9" i="22" s="1"/>
  <c r="AA8" i="22"/>
  <c r="AC8" i="22" s="1"/>
  <c r="AA7" i="22"/>
  <c r="AC7" i="22" s="1"/>
  <c r="AD43" i="22" l="1"/>
  <c r="D15" i="21" s="1"/>
  <c r="AD31" i="22"/>
  <c r="D12" i="21" s="1"/>
  <c r="AD19" i="22"/>
  <c r="D9" i="21" s="1"/>
  <c r="AD11" i="22"/>
  <c r="D7" i="21" s="1"/>
  <c r="AD23" i="22"/>
  <c r="D10" i="21" s="1"/>
  <c r="AD27" i="22"/>
  <c r="D11" i="21" s="1"/>
  <c r="AD39" i="22"/>
  <c r="D14" i="21" s="1"/>
  <c r="AD47" i="22"/>
  <c r="D16" i="21" s="1"/>
  <c r="AD7" i="22"/>
  <c r="AD15" i="22"/>
  <c r="D8" i="21" s="1"/>
  <c r="AD51" i="22"/>
  <c r="D17" i="21" s="1"/>
  <c r="AD35" i="22"/>
  <c r="D13" i="21" s="1"/>
  <c r="AD55" i="22" l="1"/>
  <c r="C4" i="22" s="1"/>
  <c r="D6" i="21"/>
  <c r="D18" i="21" s="1"/>
  <c r="AA54" i="17" l="1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25" i="17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A12" i="17"/>
  <c r="AA11" i="17"/>
  <c r="AA10" i="17"/>
  <c r="AA9" i="17"/>
  <c r="AA8" i="17"/>
  <c r="AA7" i="17"/>
  <c r="AC30" i="17" l="1"/>
  <c r="AC43" i="17"/>
  <c r="AC21" i="17"/>
  <c r="AC46" i="17"/>
  <c r="AC11" i="17"/>
  <c r="AC23" i="17"/>
  <c r="AC35" i="17"/>
  <c r="AC47" i="17"/>
  <c r="AC7" i="17"/>
  <c r="AC20" i="17"/>
  <c r="AC45" i="17"/>
  <c r="AC22" i="17"/>
  <c r="AC12" i="17"/>
  <c r="AC24" i="17"/>
  <c r="AC36" i="17"/>
  <c r="AC48" i="17"/>
  <c r="AC42" i="17"/>
  <c r="AC44" i="17"/>
  <c r="AC10" i="17"/>
  <c r="AC34" i="17"/>
  <c r="AC13" i="17"/>
  <c r="AC25" i="17"/>
  <c r="AC37" i="17"/>
  <c r="AC49" i="17"/>
  <c r="AC18" i="17"/>
  <c r="AC32" i="17"/>
  <c r="AC50" i="17"/>
  <c r="AC31" i="17"/>
  <c r="AC9" i="17"/>
  <c r="AC14" i="17"/>
  <c r="AC26" i="17"/>
  <c r="AC15" i="17"/>
  <c r="AC27" i="17"/>
  <c r="AC39" i="17"/>
  <c r="AC51" i="17"/>
  <c r="AC54" i="17"/>
  <c r="AC8" i="17"/>
  <c r="AC33" i="17"/>
  <c r="AC38" i="17"/>
  <c r="AC16" i="17"/>
  <c r="AC28" i="17"/>
  <c r="AC40" i="17"/>
  <c r="AC52" i="17"/>
  <c r="AC19" i="17"/>
  <c r="AC17" i="17"/>
  <c r="AC29" i="17"/>
  <c r="AC41" i="17"/>
  <c r="AC53" i="17"/>
  <c r="AD35" i="17" l="1"/>
  <c r="AD31" i="17"/>
  <c r="AD23" i="17"/>
  <c r="AD43" i="17"/>
  <c r="AD19" i="17"/>
  <c r="D13" i="16"/>
  <c r="AD11" i="17"/>
  <c r="AD51" i="17"/>
  <c r="AD39" i="17"/>
  <c r="AD47" i="17"/>
  <c r="AD7" i="17"/>
  <c r="AD27" i="17"/>
  <c r="AD15" i="17"/>
  <c r="D12" i="16" l="1"/>
  <c r="AD55" i="17"/>
  <c r="C4" i="17" s="1"/>
  <c r="D17" i="16"/>
  <c r="D16" i="16"/>
  <c r="D7" i="16"/>
  <c r="D6" i="16"/>
  <c r="D14" i="16"/>
  <c r="D9" i="16"/>
  <c r="D8" i="16"/>
  <c r="D15" i="16"/>
  <c r="D11" i="16"/>
  <c r="D10" i="16"/>
  <c r="D18" i="16" l="1"/>
</calcChain>
</file>

<file path=xl/sharedStrings.xml><?xml version="1.0" encoding="utf-8"?>
<sst xmlns="http://schemas.openxmlformats.org/spreadsheetml/2006/main" count="720" uniqueCount="51">
  <si>
    <t>MES</t>
  </si>
  <si>
    <t>%</t>
  </si>
  <si>
    <t>PRECIO $/kWh</t>
  </si>
  <si>
    <t>$/kWh</t>
  </si>
  <si>
    <t>OFERTA PRODUCTO 2</t>
  </si>
  <si>
    <t>ENERGIA  SOLICITADA (KWh)</t>
  </si>
  <si>
    <t>ENERGIA  OFERTADA (KWh)</t>
  </si>
  <si>
    <t>OFERTA PRODUCTO 5</t>
  </si>
  <si>
    <t>Curva de distribucion en kwh</t>
  </si>
  <si>
    <t xml:space="preserve">TOTAL </t>
  </si>
  <si>
    <t>DÍA</t>
  </si>
  <si>
    <t>HORA 01</t>
  </si>
  <si>
    <t>HORA 02</t>
  </si>
  <si>
    <t>HORA 03</t>
  </si>
  <si>
    <t>HORA 04</t>
  </si>
  <si>
    <t>HORA 05</t>
  </si>
  <si>
    <t>HORA 06</t>
  </si>
  <si>
    <t>HORA 07</t>
  </si>
  <si>
    <t>HORA 08</t>
  </si>
  <si>
    <t>HORA 09</t>
  </si>
  <si>
    <t>HORA 10</t>
  </si>
  <si>
    <t>HORA 11</t>
  </si>
  <si>
    <t>HORA 12</t>
  </si>
  <si>
    <t>HORA 13</t>
  </si>
  <si>
    <t>HORA 14</t>
  </si>
  <si>
    <t>HORA 15</t>
  </si>
  <si>
    <t>HORA 16</t>
  </si>
  <si>
    <t>HORA 17</t>
  </si>
  <si>
    <t>HORA 18</t>
  </si>
  <si>
    <t>HORA 19</t>
  </si>
  <si>
    <t>HORA 20</t>
  </si>
  <si>
    <t>HORA 21</t>
  </si>
  <si>
    <t>HORA 22</t>
  </si>
  <si>
    <t>HORA 23</t>
  </si>
  <si>
    <t>HORA 24</t>
  </si>
  <si>
    <t>TOTAL DÍA</t>
  </si>
  <si>
    <t>NUMERO DÍAS</t>
  </si>
  <si>
    <t>TOTAL DÍA MES</t>
  </si>
  <si>
    <t>TOTAL MES</t>
  </si>
  <si>
    <t>Hábil</t>
  </si>
  <si>
    <t>Sábado</t>
  </si>
  <si>
    <t>Domingo</t>
  </si>
  <si>
    <t>Festivo</t>
  </si>
  <si>
    <t>* La energia a ofertar debe ser expresada únicamente en kilovatio (kWh) redondeado a cero decimales</t>
  </si>
  <si>
    <t>* La energia a ofertar debe ser expresada únicamente en kilovatio (kWh) redondeado a cero decimales - PLANA</t>
  </si>
  <si>
    <t>OFERTA PRODUCTO 1</t>
  </si>
  <si>
    <t>OFERTA PRODUCTO 6</t>
  </si>
  <si>
    <t>OFERTA PRODUCTO 7</t>
  </si>
  <si>
    <t>OFERTA PRODUCTO 8</t>
  </si>
  <si>
    <t>OFERTA PRODUCTO 3</t>
  </si>
  <si>
    <t>OFERTA PRODUCTO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</si>
</sst>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[$-C0A]mmm\-yy;@"/>
    <numFmt numFmtId="167" formatCode="_(* #,##0_);_(* \(#,##0\);_(* &quot;-&quot;??_);_(@_)"/>
    <numFmt numFmtId="168" formatCode="[$-C0A]dd\-mmm\-yy;@"/>
    <numFmt numFmtId="169" formatCode="0_);\(0\)"/>
    <numFmt numFmtId="170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/>
        </stop>
      </gradientFill>
    </fill>
    <fill>
      <patternFill patternType="solid">
        <fgColor theme="6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C5E0B3"/>
      </patternFill>
    </fill>
    <fill>
      <patternFill patternType="solid">
        <fgColor theme="2" tint="-0.499984740745262"/>
        <bgColor rgb="FFC5E0B3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indexed="64"/>
      </left>
      <right style="hair">
        <color indexed="64"/>
      </right>
      <top style="dashDotDot">
        <color indexed="64"/>
      </top>
      <bottom/>
      <diagonal/>
    </border>
    <border>
      <left style="hair">
        <color indexed="64"/>
      </left>
      <right style="hair">
        <color indexed="64"/>
      </right>
      <top style="dashDotDot">
        <color auto="1"/>
      </top>
      <bottom style="hair">
        <color indexed="64"/>
      </bottom>
      <diagonal/>
    </border>
    <border>
      <left style="hair">
        <color indexed="64"/>
      </left>
      <right style="dashDotDot">
        <color indexed="64"/>
      </right>
      <top style="dashDotDot">
        <color indexed="64"/>
      </top>
      <bottom style="hair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indexed="64"/>
      </left>
      <right style="hair">
        <color indexed="64"/>
      </right>
      <top/>
      <bottom style="dashDot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5" fillId="0" borderId="0"/>
    <xf numFmtId="17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2">
    <xf numFmtId="0" fontId="0" fillId="0" borderId="0" xfId="0"/>
    <xf numFmtId="2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17" fontId="0" fillId="0" borderId="5" xfId="0" applyNumberFormat="1" applyBorder="1" applyAlignment="1">
      <alignment horizontal="center"/>
    </xf>
    <xf numFmtId="164" fontId="0" fillId="0" borderId="6" xfId="1" applyNumberFormat="1" applyFont="1" applyBorder="1"/>
    <xf numFmtId="17" fontId="0" fillId="0" borderId="10" xfId="0" applyNumberFormat="1" applyBorder="1" applyAlignment="1">
      <alignment horizontal="center"/>
    </xf>
    <xf numFmtId="164" fontId="0" fillId="0" borderId="11" xfId="1" applyNumberFormat="1" applyFont="1" applyBorder="1"/>
    <xf numFmtId="0" fontId="0" fillId="0" borderId="11" xfId="0" applyBorder="1"/>
    <xf numFmtId="164" fontId="0" fillId="0" borderId="0" xfId="0" applyNumberFormat="1"/>
    <xf numFmtId="166" fontId="3" fillId="4" borderId="17" xfId="2" applyNumberFormat="1" applyFont="1" applyFill="1" applyBorder="1" applyAlignment="1">
      <alignment horizontal="center" vertical="center" wrapText="1"/>
    </xf>
    <xf numFmtId="168" fontId="3" fillId="4" borderId="17" xfId="2" applyNumberFormat="1" applyFont="1" applyFill="1" applyBorder="1" applyAlignment="1">
      <alignment horizontal="center" vertical="center" wrapText="1"/>
    </xf>
    <xf numFmtId="166" fontId="3" fillId="0" borderId="17" xfId="2" applyNumberFormat="1" applyFont="1" applyFill="1" applyBorder="1" applyAlignment="1">
      <alignment horizontal="center" vertical="center" wrapText="1"/>
    </xf>
    <xf numFmtId="1" fontId="3" fillId="0" borderId="17" xfId="2" applyNumberFormat="1" applyFont="1" applyFill="1" applyBorder="1" applyAlignment="1">
      <alignment horizontal="center" vertical="center" wrapText="1"/>
    </xf>
    <xf numFmtId="168" fontId="4" fillId="0" borderId="19" xfId="2" applyNumberFormat="1" applyFont="1" applyBorder="1" applyAlignment="1">
      <alignment horizontal="center" vertical="center" wrapText="1"/>
    </xf>
    <xf numFmtId="167" fontId="4" fillId="0" borderId="19" xfId="2" applyNumberFormat="1" applyFont="1" applyBorder="1" applyAlignment="1">
      <alignment vertical="center" wrapText="1"/>
    </xf>
    <xf numFmtId="167" fontId="4" fillId="0" borderId="20" xfId="2" applyNumberFormat="1" applyFont="1" applyBorder="1" applyAlignment="1">
      <alignment vertical="center" wrapText="1"/>
    </xf>
    <xf numFmtId="169" fontId="4" fillId="0" borderId="20" xfId="2" applyNumberFormat="1" applyFont="1" applyBorder="1" applyAlignment="1">
      <alignment horizontal="center" vertical="center" wrapText="1"/>
    </xf>
    <xf numFmtId="168" fontId="4" fillId="0" borderId="23" xfId="2" applyNumberFormat="1" applyFont="1" applyBorder="1" applyAlignment="1">
      <alignment horizontal="center" vertical="center" wrapText="1"/>
    </xf>
    <xf numFmtId="168" fontId="4" fillId="0" borderId="26" xfId="2" applyNumberFormat="1" applyFont="1" applyBorder="1" applyAlignment="1">
      <alignment horizontal="center" vertical="center" wrapText="1"/>
    </xf>
    <xf numFmtId="43" fontId="0" fillId="0" borderId="0" xfId="0" applyNumberFormat="1"/>
    <xf numFmtId="0" fontId="0" fillId="6" borderId="0" xfId="0" applyFill="1"/>
    <xf numFmtId="164" fontId="0" fillId="0" borderId="0" xfId="1" applyNumberFormat="1" applyFont="1"/>
    <xf numFmtId="3" fontId="0" fillId="0" borderId="0" xfId="0" applyNumberFormat="1"/>
    <xf numFmtId="0" fontId="7" fillId="7" borderId="28" xfId="4" applyFont="1" applyFill="1" applyBorder="1" applyAlignment="1">
      <alignment horizontal="center" vertical="center" wrapText="1" readingOrder="1"/>
    </xf>
    <xf numFmtId="167" fontId="2" fillId="3" borderId="0" xfId="0" applyNumberFormat="1" applyFont="1" applyFill="1"/>
    <xf numFmtId="165" fontId="0" fillId="0" borderId="0" xfId="0" applyNumberFormat="1"/>
    <xf numFmtId="164" fontId="2" fillId="3" borderId="14" xfId="0" applyNumberFormat="1" applyFont="1" applyFill="1" applyBorder="1"/>
    <xf numFmtId="0" fontId="0" fillId="6" borderId="0" xfId="0" applyFill="1" applyAlignment="1">
      <alignment horizontal="left"/>
    </xf>
    <xf numFmtId="166" fontId="3" fillId="4" borderId="17" xfId="2" applyNumberFormat="1" applyFont="1" applyFill="1" applyBorder="1" applyAlignment="1">
      <alignment horizontal="left" vertical="center" wrapText="1"/>
    </xf>
    <xf numFmtId="168" fontId="3" fillId="4" borderId="17" xfId="2" applyNumberFormat="1" applyFont="1" applyFill="1" applyBorder="1" applyAlignment="1">
      <alignment horizontal="left" vertical="center" wrapText="1"/>
    </xf>
    <xf numFmtId="166" fontId="3" fillId="6" borderId="17" xfId="2" applyNumberFormat="1" applyFont="1" applyFill="1" applyBorder="1" applyAlignment="1">
      <alignment horizontal="left" vertical="center" wrapText="1"/>
    </xf>
    <xf numFmtId="1" fontId="3" fillId="6" borderId="17" xfId="2" applyNumberFormat="1" applyFont="1" applyFill="1" applyBorder="1" applyAlignment="1">
      <alignment horizontal="left" vertical="center" wrapText="1"/>
    </xf>
    <xf numFmtId="168" fontId="4" fillId="6" borderId="19" xfId="2" applyNumberFormat="1" applyFont="1" applyFill="1" applyBorder="1" applyAlignment="1">
      <alignment horizontal="left" vertical="center" wrapText="1"/>
    </xf>
    <xf numFmtId="167" fontId="4" fillId="6" borderId="20" xfId="2" applyNumberFormat="1" applyFont="1" applyFill="1" applyBorder="1" applyAlignment="1">
      <alignment horizontal="left" vertical="center" wrapText="1"/>
    </xf>
    <xf numFmtId="168" fontId="4" fillId="6" borderId="23" xfId="2" applyNumberFormat="1" applyFont="1" applyFill="1" applyBorder="1" applyAlignment="1">
      <alignment horizontal="left" vertical="center" wrapText="1"/>
    </xf>
    <xf numFmtId="168" fontId="4" fillId="6" borderId="26" xfId="2" applyNumberFormat="1" applyFont="1" applyFill="1" applyBorder="1" applyAlignment="1">
      <alignment horizontal="left" vertical="center" wrapText="1"/>
    </xf>
    <xf numFmtId="168" fontId="4" fillId="0" borderId="19" xfId="2" applyNumberFormat="1" applyFont="1" applyBorder="1" applyAlignment="1">
      <alignment horizontal="left" vertical="center" wrapText="1"/>
    </xf>
    <xf numFmtId="167" fontId="4" fillId="0" borderId="20" xfId="2" applyNumberFormat="1" applyFont="1" applyBorder="1" applyAlignment="1">
      <alignment horizontal="left" vertical="center" wrapText="1"/>
    </xf>
    <xf numFmtId="168" fontId="4" fillId="0" borderId="23" xfId="2" applyNumberFormat="1" applyFont="1" applyBorder="1" applyAlignment="1">
      <alignment horizontal="left" vertical="center" wrapText="1"/>
    </xf>
    <xf numFmtId="168" fontId="4" fillId="0" borderId="26" xfId="2" applyNumberFormat="1" applyFont="1" applyBorder="1" applyAlignment="1">
      <alignment horizontal="left" vertical="center" wrapText="1"/>
    </xf>
    <xf numFmtId="167" fontId="2" fillId="3" borderId="0" xfId="0" applyNumberFormat="1" applyFont="1" applyFill="1" applyAlignment="1">
      <alignment horizontal="left"/>
    </xf>
    <xf numFmtId="43" fontId="0" fillId="0" borderId="6" xfId="1" applyFont="1" applyBorder="1"/>
    <xf numFmtId="43" fontId="0" fillId="0" borderId="11" xfId="1" applyFont="1" applyBorder="1"/>
    <xf numFmtId="43" fontId="2" fillId="3" borderId="14" xfId="1" applyFont="1" applyFill="1" applyBorder="1"/>
    <xf numFmtId="43" fontId="0" fillId="0" borderId="0" xfId="1" applyFont="1"/>
    <xf numFmtId="43" fontId="4" fillId="0" borderId="19" xfId="1" applyFont="1" applyBorder="1" applyAlignment="1">
      <alignment vertical="center" wrapText="1"/>
    </xf>
    <xf numFmtId="165" fontId="4" fillId="0" borderId="20" xfId="2" applyFont="1" applyBorder="1" applyAlignment="1">
      <alignment vertical="center" wrapText="1"/>
    </xf>
    <xf numFmtId="165" fontId="2" fillId="3" borderId="0" xfId="0" applyNumberFormat="1" applyFont="1" applyFill="1"/>
    <xf numFmtId="43" fontId="2" fillId="3" borderId="0" xfId="1" applyFont="1" applyFill="1"/>
    <xf numFmtId="43" fontId="4" fillId="0" borderId="19" xfId="2" applyNumberFormat="1" applyFont="1" applyBorder="1" applyAlignment="1">
      <alignment vertical="center" wrapText="1"/>
    </xf>
    <xf numFmtId="43" fontId="4" fillId="0" borderId="20" xfId="2" applyNumberFormat="1" applyFont="1" applyBorder="1" applyAlignment="1">
      <alignment vertical="center" wrapText="1"/>
    </xf>
    <xf numFmtId="43" fontId="4" fillId="0" borderId="20" xfId="2" applyNumberFormat="1" applyFont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166" fontId="3" fillId="6" borderId="17" xfId="2" applyNumberFormat="1" applyFont="1" applyFill="1" applyBorder="1" applyAlignment="1">
      <alignment horizontal="center" vertical="center" wrapText="1"/>
    </xf>
    <xf numFmtId="169" fontId="4" fillId="6" borderId="20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8" borderId="28" xfId="4" applyFont="1" applyFill="1" applyBorder="1" applyAlignment="1">
      <alignment horizontal="center" vertical="center" wrapText="1" readingOrder="1"/>
    </xf>
    <xf numFmtId="1" fontId="3" fillId="6" borderId="17" xfId="2" applyNumberFormat="1" applyFont="1" applyFill="1" applyBorder="1" applyAlignment="1">
      <alignment horizontal="center" vertical="center" wrapText="1"/>
    </xf>
    <xf numFmtId="168" fontId="4" fillId="6" borderId="19" xfId="2" applyNumberFormat="1" applyFont="1" applyFill="1" applyBorder="1" applyAlignment="1">
      <alignment horizontal="center" vertical="center" wrapText="1"/>
    </xf>
    <xf numFmtId="167" fontId="4" fillId="6" borderId="20" xfId="2" applyNumberFormat="1" applyFont="1" applyFill="1" applyBorder="1" applyAlignment="1">
      <alignment vertical="center" wrapText="1"/>
    </xf>
    <xf numFmtId="168" fontId="4" fillId="6" borderId="23" xfId="2" applyNumberFormat="1" applyFont="1" applyFill="1" applyBorder="1" applyAlignment="1">
      <alignment horizontal="center" vertical="center" wrapText="1"/>
    </xf>
    <xf numFmtId="168" fontId="4" fillId="6" borderId="26" xfId="2" applyNumberFormat="1" applyFont="1" applyFill="1" applyBorder="1" applyAlignment="1">
      <alignment horizontal="center" vertical="center" wrapText="1"/>
    </xf>
    <xf numFmtId="17" fontId="0" fillId="0" borderId="2" xfId="0" applyNumberFormat="1" applyBorder="1" applyAlignment="1">
      <alignment horizontal="center"/>
    </xf>
    <xf numFmtId="164" fontId="0" fillId="0" borderId="3" xfId="1" applyNumberFormat="1" applyFont="1" applyBorder="1"/>
    <xf numFmtId="2" fontId="0" fillId="0" borderId="3" xfId="0" applyNumberFormat="1" applyBorder="1" applyAlignment="1">
      <alignment horizontal="center" vertical="center"/>
    </xf>
    <xf numFmtId="43" fontId="0" fillId="6" borderId="0" xfId="0" applyNumberFormat="1" applyFill="1"/>
    <xf numFmtId="164" fontId="0" fillId="6" borderId="0" xfId="0" applyNumberFormat="1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0" fontId="0" fillId="0" borderId="0" xfId="0" applyAlignment="1">
      <alignment horizontal="justify" wrapText="1"/>
    </xf>
    <xf numFmtId="166" fontId="4" fillId="0" borderId="18" xfId="2" applyNumberFormat="1" applyFont="1" applyBorder="1" applyAlignment="1">
      <alignment horizontal="center" vertical="center" wrapText="1"/>
    </xf>
    <xf numFmtId="166" fontId="4" fillId="0" borderId="22" xfId="2" applyNumberFormat="1" applyFont="1" applyBorder="1" applyAlignment="1">
      <alignment horizontal="center" vertical="center" wrapText="1"/>
    </xf>
    <xf numFmtId="166" fontId="4" fillId="0" borderId="25" xfId="2" applyNumberFormat="1" applyFont="1" applyBorder="1" applyAlignment="1">
      <alignment horizontal="center" vertical="center" wrapText="1"/>
    </xf>
    <xf numFmtId="165" fontId="4" fillId="0" borderId="21" xfId="2" applyFont="1" applyBorder="1" applyAlignment="1">
      <alignment horizontal="center" vertical="center" wrapText="1"/>
    </xf>
    <xf numFmtId="165" fontId="4" fillId="0" borderId="24" xfId="2" applyFont="1" applyBorder="1" applyAlignment="1">
      <alignment horizontal="center" vertical="center" wrapText="1"/>
    </xf>
    <xf numFmtId="165" fontId="4" fillId="0" borderId="27" xfId="2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6" fontId="3" fillId="4" borderId="17" xfId="2" applyNumberFormat="1" applyFont="1" applyFill="1" applyBorder="1" applyAlignment="1">
      <alignment horizontal="center" vertical="center" wrapText="1"/>
    </xf>
    <xf numFmtId="167" fontId="3" fillId="5" borderId="15" xfId="2" applyNumberFormat="1" applyFont="1" applyFill="1" applyBorder="1" applyAlignment="1">
      <alignment horizontal="center" vertical="center" wrapText="1"/>
    </xf>
    <xf numFmtId="167" fontId="3" fillId="5" borderId="16" xfId="2" applyNumberFormat="1" applyFont="1" applyFill="1" applyBorder="1" applyAlignment="1">
      <alignment horizontal="center" vertical="center" wrapText="1"/>
    </xf>
    <xf numFmtId="43" fontId="4" fillId="0" borderId="21" xfId="1" applyFont="1" applyBorder="1" applyAlignment="1">
      <alignment horizontal="center" vertical="center" wrapText="1"/>
    </xf>
    <xf numFmtId="43" fontId="4" fillId="0" borderId="24" xfId="1" applyFont="1" applyBorder="1" applyAlignment="1">
      <alignment horizontal="center" vertical="center" wrapText="1"/>
    </xf>
    <xf numFmtId="43" fontId="4" fillId="0" borderId="27" xfId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6" fontId="4" fillId="0" borderId="18" xfId="2" applyNumberFormat="1" applyFont="1" applyBorder="1" applyAlignment="1">
      <alignment horizontal="left" vertical="center" wrapText="1"/>
    </xf>
    <xf numFmtId="166" fontId="4" fillId="0" borderId="22" xfId="2" applyNumberFormat="1" applyFont="1" applyBorder="1" applyAlignment="1">
      <alignment horizontal="left" vertical="center" wrapText="1"/>
    </xf>
    <xf numFmtId="166" fontId="4" fillId="0" borderId="25" xfId="2" applyNumberFormat="1" applyFont="1" applyBorder="1" applyAlignment="1">
      <alignment horizontal="left" vertical="center" wrapText="1"/>
    </xf>
    <xf numFmtId="167" fontId="4" fillId="0" borderId="21" xfId="2" applyNumberFormat="1" applyFont="1" applyBorder="1" applyAlignment="1">
      <alignment horizontal="left" vertical="center" wrapText="1"/>
    </xf>
    <xf numFmtId="167" fontId="4" fillId="0" borderId="24" xfId="2" applyNumberFormat="1" applyFont="1" applyBorder="1" applyAlignment="1">
      <alignment horizontal="left" vertical="center" wrapText="1"/>
    </xf>
    <xf numFmtId="167" fontId="4" fillId="0" borderId="27" xfId="2" applyNumberFormat="1" applyFont="1" applyBorder="1" applyAlignment="1">
      <alignment horizontal="left" vertical="center" wrapText="1"/>
    </xf>
    <xf numFmtId="166" fontId="4" fillId="6" borderId="18" xfId="2" applyNumberFormat="1" applyFont="1" applyFill="1" applyBorder="1" applyAlignment="1">
      <alignment horizontal="left" vertical="center" wrapText="1"/>
    </xf>
    <xf numFmtId="166" fontId="4" fillId="6" borderId="22" xfId="2" applyNumberFormat="1" applyFont="1" applyFill="1" applyBorder="1" applyAlignment="1">
      <alignment horizontal="left" vertical="center" wrapText="1"/>
    </xf>
    <xf numFmtId="166" fontId="4" fillId="6" borderId="25" xfId="2" applyNumberFormat="1" applyFont="1" applyFill="1" applyBorder="1" applyAlignment="1">
      <alignment horizontal="left" vertical="center" wrapText="1"/>
    </xf>
    <xf numFmtId="167" fontId="4" fillId="6" borderId="21" xfId="2" applyNumberFormat="1" applyFont="1" applyFill="1" applyBorder="1" applyAlignment="1">
      <alignment horizontal="left" vertical="center" wrapText="1"/>
    </xf>
    <xf numFmtId="167" fontId="4" fillId="6" borderId="24" xfId="2" applyNumberFormat="1" applyFont="1" applyFill="1" applyBorder="1" applyAlignment="1">
      <alignment horizontal="left" vertical="center" wrapText="1"/>
    </xf>
    <xf numFmtId="167" fontId="4" fillId="6" borderId="27" xfId="2" applyNumberFormat="1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66" fontId="3" fillId="4" borderId="17" xfId="2" applyNumberFormat="1" applyFont="1" applyFill="1" applyBorder="1" applyAlignment="1">
      <alignment horizontal="left" vertical="center" wrapText="1"/>
    </xf>
    <xf numFmtId="167" fontId="3" fillId="5" borderId="15" xfId="2" applyNumberFormat="1" applyFont="1" applyFill="1" applyBorder="1" applyAlignment="1">
      <alignment horizontal="left" vertical="center" wrapText="1"/>
    </xf>
    <xf numFmtId="167" fontId="3" fillId="5" borderId="16" xfId="2" applyNumberFormat="1" applyFont="1" applyFill="1" applyBorder="1" applyAlignment="1">
      <alignment horizontal="left" vertical="center" wrapText="1"/>
    </xf>
    <xf numFmtId="167" fontId="4" fillId="0" borderId="21" xfId="2" applyNumberFormat="1" applyFont="1" applyBorder="1" applyAlignment="1">
      <alignment horizontal="center" vertical="center" wrapText="1"/>
    </xf>
    <xf numFmtId="167" fontId="4" fillId="0" borderId="24" xfId="2" applyNumberFormat="1" applyFont="1" applyBorder="1" applyAlignment="1">
      <alignment horizontal="center" vertical="center" wrapText="1"/>
    </xf>
    <xf numFmtId="167" fontId="4" fillId="0" borderId="27" xfId="2" applyNumberFormat="1" applyFont="1" applyBorder="1" applyAlignment="1">
      <alignment horizontal="center" vertical="center" wrapText="1"/>
    </xf>
    <xf numFmtId="166" fontId="4" fillId="6" borderId="18" xfId="2" applyNumberFormat="1" applyFont="1" applyFill="1" applyBorder="1" applyAlignment="1">
      <alignment horizontal="center" vertical="center" wrapText="1"/>
    </xf>
    <xf numFmtId="166" fontId="4" fillId="6" borderId="22" xfId="2" applyNumberFormat="1" applyFont="1" applyFill="1" applyBorder="1" applyAlignment="1">
      <alignment horizontal="center" vertical="center" wrapText="1"/>
    </xf>
    <xf numFmtId="166" fontId="4" fillId="6" borderId="25" xfId="2" applyNumberFormat="1" applyFont="1" applyFill="1" applyBorder="1" applyAlignment="1">
      <alignment horizontal="center" vertical="center" wrapText="1"/>
    </xf>
    <xf numFmtId="167" fontId="4" fillId="6" borderId="21" xfId="2" applyNumberFormat="1" applyFont="1" applyFill="1" applyBorder="1" applyAlignment="1">
      <alignment horizontal="center" vertical="center" wrapText="1"/>
    </xf>
    <xf numFmtId="167" fontId="4" fillId="6" borderId="24" xfId="2" applyNumberFormat="1" applyFont="1" applyFill="1" applyBorder="1" applyAlignment="1">
      <alignment horizontal="center" vertical="center" wrapText="1"/>
    </xf>
    <xf numFmtId="167" fontId="4" fillId="6" borderId="27" xfId="2" applyNumberFormat="1" applyFont="1" applyFill="1" applyBorder="1" applyAlignment="1">
      <alignment horizontal="center" vertical="center" wrapText="1"/>
    </xf>
    <xf numFmtId="43" fontId="0" fillId="0" borderId="29" xfId="1" applyFont="1" applyBorder="1" applyAlignment="1">
      <alignment horizontal="center" vertical="center"/>
    </xf>
    <xf numFmtId="43" fontId="0" fillId="0" borderId="30" xfId="1" applyFont="1" applyBorder="1" applyAlignment="1">
      <alignment horizontal="center" vertical="center"/>
    </xf>
  </cellXfs>
  <cellStyles count="14">
    <cellStyle name="Hipervínculo" xfId="9" xr:uid="{A6C1D0A9-8A59-4ED4-AB42-01F00E4DF0B0}"/>
    <cellStyle name="Millares" xfId="1" builtinId="3"/>
    <cellStyle name="Millares [0] 2" xfId="3" xr:uid="{9AA47B74-586C-4EB3-A64B-1CA2623FD25D}"/>
    <cellStyle name="Millares [0] 2 2" xfId="12" xr:uid="{D63F650E-BB92-42FD-BF7F-190BEE985254}"/>
    <cellStyle name="Millares [0] 3" xfId="10" xr:uid="{6D13AE8C-C3A9-471A-B305-80421A156E9D}"/>
    <cellStyle name="Millares 2" xfId="8" xr:uid="{519D4CAA-9C02-43A2-9BF2-3E79ADED5710}"/>
    <cellStyle name="Millares 2 2 2" xfId="2" xr:uid="{F3EF14F5-8C09-446A-8A64-95C276110155}"/>
    <cellStyle name="Millares 3" xfId="6" xr:uid="{90FBDCC2-E5A3-4509-8584-0E17DCCEF5AA}"/>
    <cellStyle name="Millares 4" xfId="11" xr:uid="{EC60B4E2-5804-476B-A910-8F2664BA5089}"/>
    <cellStyle name="Moneda 2" xfId="13" xr:uid="{6053A034-9304-4F93-8CE4-643170D794F5}"/>
    <cellStyle name="Normal" xfId="0" builtinId="0"/>
    <cellStyle name="Normal 2" xfId="4" xr:uid="{14FFD09C-F474-42A4-87A1-8E5B8BFBC77F}"/>
    <cellStyle name="Normal 2 2 3" xfId="5" xr:uid="{7A8B2A5B-3373-41DF-97EC-0414CC33D333}"/>
    <cellStyle name="Porcentaje 2" xfId="7" xr:uid="{B560073C-CEE0-45AC-B1AA-5081C21E2EB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6C5F6B4-4E91-41A3-94DD-2DFC918A3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B2B0-F7D6-4041-A1F1-C02321A83719}">
  <sheetPr>
    <tabColor rgb="FF00B0F0"/>
  </sheetPr>
  <dimension ref="C1:L19"/>
  <sheetViews>
    <sheetView showGridLines="0" tabSelected="1" workbookViewId="0">
      <selection activeCell="F6" sqref="F6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  <col min="12" max="12" width="11.08984375" bestFit="1" customWidth="1"/>
  </cols>
  <sheetData>
    <row r="1" spans="3:12" ht="14.5" customHeight="1" x14ac:dyDescent="0.35">
      <c r="C1" s="76" t="s">
        <v>43</v>
      </c>
      <c r="D1" s="76"/>
      <c r="E1" s="76"/>
      <c r="F1" s="76"/>
      <c r="G1" s="76"/>
    </row>
    <row r="2" spans="3:12" x14ac:dyDescent="0.35">
      <c r="C2" s="76"/>
      <c r="D2" s="76"/>
      <c r="E2" s="76"/>
      <c r="F2" s="76"/>
      <c r="G2" s="76"/>
    </row>
    <row r="3" spans="3:12" ht="15" thickBot="1" x14ac:dyDescent="0.4"/>
    <row r="4" spans="3:12" ht="15" thickBot="1" x14ac:dyDescent="0.4">
      <c r="C4" s="67" t="s">
        <v>45</v>
      </c>
      <c r="D4" s="68"/>
      <c r="E4" s="68"/>
      <c r="F4" s="68"/>
      <c r="G4" s="69"/>
    </row>
    <row r="5" spans="3:12" ht="32" thickBot="1" x14ac:dyDescent="0.4">
      <c r="C5" s="23" t="s">
        <v>0</v>
      </c>
      <c r="D5" s="23" t="s">
        <v>5</v>
      </c>
      <c r="E5" s="23" t="s">
        <v>1</v>
      </c>
      <c r="F5" s="23" t="s">
        <v>6</v>
      </c>
      <c r="G5" s="23" t="s">
        <v>2</v>
      </c>
    </row>
    <row r="6" spans="3:12" x14ac:dyDescent="0.35">
      <c r="C6" s="3">
        <v>46388</v>
      </c>
      <c r="D6" s="41">
        <f>+VLOOKUP(C6,'CURVA P1'!$A$4:$AD$55,30,FALSE)</f>
        <v>25304277</v>
      </c>
      <c r="E6" s="70" t="s">
        <v>1</v>
      </c>
      <c r="F6" s="1"/>
      <c r="G6" s="73" t="s">
        <v>3</v>
      </c>
    </row>
    <row r="7" spans="3:12" x14ac:dyDescent="0.35">
      <c r="C7" s="3">
        <v>46419</v>
      </c>
      <c r="D7" s="41">
        <f>+VLOOKUP(C7,'CURVA P1'!$A$4:$AD$55,30,FALSE)</f>
        <v>28029704</v>
      </c>
      <c r="E7" s="71"/>
      <c r="F7" s="1"/>
      <c r="G7" s="74"/>
    </row>
    <row r="8" spans="3:12" x14ac:dyDescent="0.35">
      <c r="C8" s="3">
        <v>46447</v>
      </c>
      <c r="D8" s="41">
        <f>+VLOOKUP(C8,'CURVA P1'!$A$4:$AD$55,30,FALSE)</f>
        <v>25291862</v>
      </c>
      <c r="E8" s="71"/>
      <c r="F8" s="1"/>
      <c r="G8" s="74"/>
    </row>
    <row r="9" spans="3:12" x14ac:dyDescent="0.35">
      <c r="C9" s="3">
        <v>46478</v>
      </c>
      <c r="D9" s="41">
        <f>+VLOOKUP(C9,'CURVA P1'!$A$4:$AD$55,30,FALSE)</f>
        <v>27525548</v>
      </c>
      <c r="E9" s="71"/>
      <c r="F9" s="1"/>
      <c r="G9" s="74"/>
    </row>
    <row r="10" spans="3:12" x14ac:dyDescent="0.35">
      <c r="C10" s="3">
        <v>46508</v>
      </c>
      <c r="D10" s="41">
        <f>+VLOOKUP(C10,'CURVA P1'!$A$4:$AD$55,30,FALSE)</f>
        <v>13154393</v>
      </c>
      <c r="E10" s="71"/>
      <c r="F10" s="1"/>
      <c r="G10" s="74"/>
    </row>
    <row r="11" spans="3:12" x14ac:dyDescent="0.35">
      <c r="C11" s="3">
        <v>46539</v>
      </c>
      <c r="D11" s="41">
        <f>+VLOOKUP(C11,'CURVA P1'!$A$4:$AD$55,30,FALSE)</f>
        <v>17074122</v>
      </c>
      <c r="E11" s="71"/>
      <c r="F11" s="1"/>
      <c r="G11" s="74"/>
    </row>
    <row r="12" spans="3:12" x14ac:dyDescent="0.35">
      <c r="C12" s="3">
        <v>46569</v>
      </c>
      <c r="D12" s="41">
        <f>+VLOOKUP(C12,'CURVA P1'!$A$4:$AD$55,30,FALSE)</f>
        <v>17311574</v>
      </c>
      <c r="E12" s="71"/>
      <c r="F12" s="1"/>
      <c r="G12" s="74"/>
    </row>
    <row r="13" spans="3:12" x14ac:dyDescent="0.35">
      <c r="C13" s="3">
        <v>46600</v>
      </c>
      <c r="D13" s="41">
        <f>+VLOOKUP(C13,'CURVA P1'!$A$4:$AD$55,30,FALSE)</f>
        <v>15080035</v>
      </c>
      <c r="E13" s="71"/>
      <c r="F13" s="1"/>
      <c r="G13" s="74"/>
    </row>
    <row r="14" spans="3:12" x14ac:dyDescent="0.35">
      <c r="C14" s="3">
        <v>46631</v>
      </c>
      <c r="D14" s="41">
        <f>+VLOOKUP(C14,'CURVA P1'!$A$4:$AD$55,30,FALSE)</f>
        <v>18243088</v>
      </c>
      <c r="E14" s="71"/>
      <c r="F14" s="1"/>
      <c r="G14" s="74"/>
    </row>
    <row r="15" spans="3:12" x14ac:dyDescent="0.35">
      <c r="C15" s="3">
        <v>46661</v>
      </c>
      <c r="D15" s="41">
        <f>+VLOOKUP(C15,'CURVA P1'!$A$4:$AD$55,30,FALSE)</f>
        <v>15262944</v>
      </c>
      <c r="E15" s="71"/>
      <c r="F15" s="1"/>
      <c r="G15" s="74"/>
      <c r="L15" s="44"/>
    </row>
    <row r="16" spans="3:12" x14ac:dyDescent="0.35">
      <c r="C16" s="3">
        <v>46692</v>
      </c>
      <c r="D16" s="41">
        <f>+VLOOKUP(C16,'CURVA P1'!$A$4:$AD$55,30,FALSE)</f>
        <v>16004038</v>
      </c>
      <c r="E16" s="71"/>
      <c r="F16" s="1"/>
      <c r="G16" s="74"/>
    </row>
    <row r="17" spans="3:7" ht="15" thickBot="1" x14ac:dyDescent="0.4">
      <c r="C17" s="5">
        <v>46722</v>
      </c>
      <c r="D17" s="42">
        <f>+VLOOKUP(C17,'CURVA P1'!$A$4:$AD$55,30,FALSE)</f>
        <v>27710319</v>
      </c>
      <c r="E17" s="72"/>
      <c r="F17" s="7"/>
      <c r="G17" s="75"/>
    </row>
    <row r="18" spans="3:7" ht="15" thickBot="1" x14ac:dyDescent="0.4">
      <c r="D18" s="43">
        <f>SUM(D6:D17)</f>
        <v>245991904</v>
      </c>
    </row>
    <row r="19" spans="3:7" x14ac:dyDescent="0.35">
      <c r="D19" s="21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2752-BC92-4A3C-A7DF-65FA0A38A715}">
  <dimension ref="A1:AD55"/>
  <sheetViews>
    <sheetView showGridLines="0" topLeftCell="O35" zoomScale="84" zoomScaleNormal="84" workbookViewId="0">
      <selection activeCell="C7" sqref="C7:Z54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11.453125" bestFit="1" customWidth="1"/>
    <col min="27" max="27" width="11.90625" bestFit="1" customWidth="1"/>
    <col min="28" max="28" width="10.453125" bestFit="1" customWidth="1"/>
    <col min="29" max="29" width="12.81640625" bestFit="1" customWidth="1"/>
    <col min="30" max="30" width="18.26953125" customWidth="1"/>
  </cols>
  <sheetData>
    <row r="1" spans="1:30" x14ac:dyDescent="0.35">
      <c r="A1" s="83" t="s">
        <v>8</v>
      </c>
      <c r="B1" s="83"/>
      <c r="C1" s="83"/>
      <c r="D1" s="83"/>
    </row>
    <row r="2" spans="1:30" x14ac:dyDescent="0.35">
      <c r="A2" s="84" t="s">
        <v>43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4" spans="1:30" x14ac:dyDescent="0.35">
      <c r="A4" s="85" t="s">
        <v>9</v>
      </c>
      <c r="B4" s="85"/>
      <c r="C4" s="86">
        <f>+AD55</f>
        <v>245991904</v>
      </c>
      <c r="D4" s="8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11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35">
      <c r="A7" s="77">
        <v>46388</v>
      </c>
      <c r="B7" s="13" t="s">
        <v>39</v>
      </c>
      <c r="C7" s="45">
        <v>37248</v>
      </c>
      <c r="D7" s="45">
        <v>35118</v>
      </c>
      <c r="E7" s="45">
        <v>32896</v>
      </c>
      <c r="F7" s="45">
        <v>31262</v>
      </c>
      <c r="G7" s="45">
        <v>30750</v>
      </c>
      <c r="H7" s="45">
        <v>31722</v>
      </c>
      <c r="I7" s="45">
        <v>32412</v>
      </c>
      <c r="J7" s="45">
        <v>28281</v>
      </c>
      <c r="K7" s="45">
        <v>30447</v>
      </c>
      <c r="L7" s="45">
        <v>31240</v>
      </c>
      <c r="M7" s="45">
        <v>32281</v>
      </c>
      <c r="N7" s="45">
        <v>32734</v>
      </c>
      <c r="O7" s="45">
        <v>29379</v>
      </c>
      <c r="P7" s="45">
        <v>36827</v>
      </c>
      <c r="Q7" s="45">
        <v>46494</v>
      </c>
      <c r="R7" s="45">
        <v>50740</v>
      </c>
      <c r="S7" s="45">
        <v>51409</v>
      </c>
      <c r="T7" s="45">
        <v>41632</v>
      </c>
      <c r="U7" s="45">
        <v>43396</v>
      </c>
      <c r="V7" s="45">
        <v>42080</v>
      </c>
      <c r="W7" s="45">
        <v>40696</v>
      </c>
      <c r="X7" s="45">
        <v>39109</v>
      </c>
      <c r="Y7" s="45">
        <v>36089</v>
      </c>
      <c r="Z7" s="45">
        <v>32035</v>
      </c>
      <c r="AA7" s="46">
        <f>SUM(C7:Z7)</f>
        <v>876277</v>
      </c>
      <c r="AB7" s="16">
        <v>19</v>
      </c>
      <c r="AC7" s="46">
        <f>+AA7*AB7</f>
        <v>16649263</v>
      </c>
      <c r="AD7" s="80">
        <f>+SUM(AC7:AC10)</f>
        <v>25304277</v>
      </c>
    </row>
    <row r="8" spans="1:30" x14ac:dyDescent="0.35">
      <c r="A8" s="78"/>
      <c r="B8" s="17" t="s">
        <v>40</v>
      </c>
      <c r="C8" s="45">
        <v>38710</v>
      </c>
      <c r="D8" s="45">
        <v>36183</v>
      </c>
      <c r="E8" s="45">
        <v>33656</v>
      </c>
      <c r="F8" s="45">
        <v>31822</v>
      </c>
      <c r="G8" s="45">
        <v>31041</v>
      </c>
      <c r="H8" s="45">
        <v>31349</v>
      </c>
      <c r="I8" s="45">
        <v>31480</v>
      </c>
      <c r="J8" s="45">
        <v>27052</v>
      </c>
      <c r="K8" s="45">
        <v>29594</v>
      </c>
      <c r="L8" s="45">
        <v>30506</v>
      </c>
      <c r="M8" s="45">
        <v>31160</v>
      </c>
      <c r="N8" s="45">
        <v>31056</v>
      </c>
      <c r="O8" s="45">
        <v>28964</v>
      </c>
      <c r="P8" s="45">
        <v>32947</v>
      </c>
      <c r="Q8" s="45">
        <v>39165</v>
      </c>
      <c r="R8" s="45">
        <v>42672</v>
      </c>
      <c r="S8" s="45">
        <v>43251</v>
      </c>
      <c r="T8" s="45">
        <v>37051</v>
      </c>
      <c r="U8" s="45">
        <v>40950</v>
      </c>
      <c r="V8" s="45">
        <v>40111</v>
      </c>
      <c r="W8" s="45">
        <v>38305</v>
      </c>
      <c r="X8" s="45">
        <v>36574</v>
      </c>
      <c r="Y8" s="45">
        <v>34391</v>
      </c>
      <c r="Z8" s="45">
        <v>31362</v>
      </c>
      <c r="AA8" s="46">
        <f t="shared" ref="AA8:AA54" si="0">SUM(C8:Z8)</f>
        <v>829352</v>
      </c>
      <c r="AB8" s="16">
        <v>5</v>
      </c>
      <c r="AC8" s="46">
        <f t="shared" ref="AC8:AC54" si="1">+AA8*AB8</f>
        <v>4146760</v>
      </c>
      <c r="AD8" s="81"/>
    </row>
    <row r="9" spans="1:30" x14ac:dyDescent="0.35">
      <c r="A9" s="78"/>
      <c r="B9" s="17" t="s">
        <v>41</v>
      </c>
      <c r="C9" s="45">
        <v>37871</v>
      </c>
      <c r="D9" s="45">
        <v>35577</v>
      </c>
      <c r="E9" s="45">
        <v>33182</v>
      </c>
      <c r="F9" s="45">
        <v>31304</v>
      </c>
      <c r="G9" s="45">
        <v>30221</v>
      </c>
      <c r="H9" s="45">
        <v>29677</v>
      </c>
      <c r="I9" s="45">
        <v>28762</v>
      </c>
      <c r="J9" s="45">
        <v>20692</v>
      </c>
      <c r="K9" s="45">
        <v>19523</v>
      </c>
      <c r="L9" s="45">
        <v>18827</v>
      </c>
      <c r="M9" s="45">
        <v>17990</v>
      </c>
      <c r="N9" s="45">
        <v>17819</v>
      </c>
      <c r="O9" s="45">
        <v>18647</v>
      </c>
      <c r="P9" s="45">
        <v>22195</v>
      </c>
      <c r="Q9" s="45">
        <v>27165</v>
      </c>
      <c r="R9" s="45">
        <v>31111</v>
      </c>
      <c r="S9" s="45">
        <v>32943</v>
      </c>
      <c r="T9" s="45">
        <v>29254</v>
      </c>
      <c r="U9" s="45">
        <v>34005</v>
      </c>
      <c r="V9" s="45">
        <v>35178</v>
      </c>
      <c r="W9" s="45">
        <v>34996</v>
      </c>
      <c r="X9" s="45">
        <v>34318</v>
      </c>
      <c r="Y9" s="45">
        <v>32027</v>
      </c>
      <c r="Z9" s="45">
        <v>28444</v>
      </c>
      <c r="AA9" s="46">
        <f t="shared" si="0"/>
        <v>681728</v>
      </c>
      <c r="AB9" s="16">
        <v>5</v>
      </c>
      <c r="AC9" s="46">
        <f t="shared" si="1"/>
        <v>3408640</v>
      </c>
      <c r="AD9" s="81"/>
    </row>
    <row r="10" spans="1:30" x14ac:dyDescent="0.35">
      <c r="A10" s="79"/>
      <c r="B10" s="18" t="s">
        <v>42</v>
      </c>
      <c r="C10" s="45">
        <v>29468</v>
      </c>
      <c r="D10" s="45">
        <v>27973</v>
      </c>
      <c r="E10" s="45">
        <v>26944</v>
      </c>
      <c r="F10" s="45">
        <v>25745</v>
      </c>
      <c r="G10" s="45">
        <v>25165</v>
      </c>
      <c r="H10" s="45">
        <v>24639</v>
      </c>
      <c r="I10" s="45">
        <v>23131</v>
      </c>
      <c r="J10" s="45">
        <v>14721</v>
      </c>
      <c r="K10" s="45">
        <v>13287</v>
      </c>
      <c r="L10" s="45">
        <v>12548</v>
      </c>
      <c r="M10" s="45">
        <v>12382</v>
      </c>
      <c r="N10" s="45">
        <v>12189</v>
      </c>
      <c r="O10" s="45">
        <v>12871</v>
      </c>
      <c r="P10" s="45">
        <v>16743</v>
      </c>
      <c r="Q10" s="45">
        <v>21618</v>
      </c>
      <c r="R10" s="45">
        <v>25356</v>
      </c>
      <c r="S10" s="45">
        <v>26770</v>
      </c>
      <c r="T10" s="45">
        <v>25073</v>
      </c>
      <c r="U10" s="45">
        <v>30174</v>
      </c>
      <c r="V10" s="45">
        <v>30945</v>
      </c>
      <c r="W10" s="45">
        <v>30495</v>
      </c>
      <c r="X10" s="45">
        <v>29502</v>
      </c>
      <c r="Y10" s="45">
        <v>27422</v>
      </c>
      <c r="Z10" s="45">
        <v>24646</v>
      </c>
      <c r="AA10" s="46">
        <f t="shared" si="0"/>
        <v>549807</v>
      </c>
      <c r="AB10" s="16">
        <v>2</v>
      </c>
      <c r="AC10" s="46">
        <f t="shared" si="1"/>
        <v>1099614</v>
      </c>
      <c r="AD10" s="82"/>
    </row>
    <row r="11" spans="1:30" x14ac:dyDescent="0.35">
      <c r="A11" s="77">
        <v>46419</v>
      </c>
      <c r="B11" s="13" t="s">
        <v>39</v>
      </c>
      <c r="C11" s="45">
        <v>43294</v>
      </c>
      <c r="D11" s="45">
        <v>40025</v>
      </c>
      <c r="E11" s="45">
        <v>37696</v>
      </c>
      <c r="F11" s="45">
        <v>36185</v>
      </c>
      <c r="G11" s="45">
        <v>36222</v>
      </c>
      <c r="H11" s="45">
        <v>39336</v>
      </c>
      <c r="I11" s="45">
        <v>41181</v>
      </c>
      <c r="J11" s="45">
        <v>37842</v>
      </c>
      <c r="K11" s="45">
        <v>40129</v>
      </c>
      <c r="L11" s="45">
        <v>40909</v>
      </c>
      <c r="M11" s="45">
        <v>42188</v>
      </c>
      <c r="N11" s="45">
        <v>41164</v>
      </c>
      <c r="O11" s="45">
        <v>35366</v>
      </c>
      <c r="P11" s="45">
        <v>45184</v>
      </c>
      <c r="Q11" s="45">
        <v>56077</v>
      </c>
      <c r="R11" s="45">
        <v>60514</v>
      </c>
      <c r="S11" s="45">
        <v>60806</v>
      </c>
      <c r="T11" s="45">
        <v>47984</v>
      </c>
      <c r="U11" s="45">
        <v>48803</v>
      </c>
      <c r="V11" s="45">
        <v>48340</v>
      </c>
      <c r="W11" s="45">
        <v>47291</v>
      </c>
      <c r="X11" s="45">
        <v>44982</v>
      </c>
      <c r="Y11" s="45">
        <v>40273</v>
      </c>
      <c r="Z11" s="45">
        <v>35135</v>
      </c>
      <c r="AA11" s="46">
        <f t="shared" si="0"/>
        <v>1046926</v>
      </c>
      <c r="AB11" s="16">
        <v>20</v>
      </c>
      <c r="AC11" s="46">
        <f t="shared" si="1"/>
        <v>20938520</v>
      </c>
      <c r="AD11" s="80">
        <f>+SUM(AC11:AC14)</f>
        <v>28029704</v>
      </c>
    </row>
    <row r="12" spans="1:30" x14ac:dyDescent="0.35">
      <c r="A12" s="78"/>
      <c r="B12" s="17" t="s">
        <v>40</v>
      </c>
      <c r="C12" s="45">
        <v>41350</v>
      </c>
      <c r="D12" s="45">
        <v>38223</v>
      </c>
      <c r="E12" s="45">
        <v>35957</v>
      </c>
      <c r="F12" s="45">
        <v>34485</v>
      </c>
      <c r="G12" s="45">
        <v>33891</v>
      </c>
      <c r="H12" s="45">
        <v>34857</v>
      </c>
      <c r="I12" s="45">
        <v>36427</v>
      </c>
      <c r="J12" s="45">
        <v>33741</v>
      </c>
      <c r="K12" s="45">
        <v>36867</v>
      </c>
      <c r="L12" s="45">
        <v>38016</v>
      </c>
      <c r="M12" s="45">
        <v>38658</v>
      </c>
      <c r="N12" s="45">
        <v>38247</v>
      </c>
      <c r="O12" s="45">
        <v>35231</v>
      </c>
      <c r="P12" s="45">
        <v>38717</v>
      </c>
      <c r="Q12" s="45">
        <v>44762</v>
      </c>
      <c r="R12" s="45">
        <v>48320</v>
      </c>
      <c r="S12" s="45">
        <v>48632</v>
      </c>
      <c r="T12" s="45">
        <v>40250</v>
      </c>
      <c r="U12" s="45">
        <v>44069</v>
      </c>
      <c r="V12" s="45">
        <v>44367</v>
      </c>
      <c r="W12" s="45">
        <v>42510</v>
      </c>
      <c r="X12" s="45">
        <v>40505</v>
      </c>
      <c r="Y12" s="45">
        <v>37888</v>
      </c>
      <c r="Z12" s="45">
        <v>34485</v>
      </c>
      <c r="AA12" s="46">
        <f t="shared" si="0"/>
        <v>940455</v>
      </c>
      <c r="AB12" s="16">
        <v>4</v>
      </c>
      <c r="AC12" s="46">
        <f t="shared" si="1"/>
        <v>3761820</v>
      </c>
      <c r="AD12" s="81"/>
    </row>
    <row r="13" spans="1:30" x14ac:dyDescent="0.35">
      <c r="A13" s="78"/>
      <c r="B13" s="17" t="s">
        <v>41</v>
      </c>
      <c r="C13" s="45">
        <v>42881</v>
      </c>
      <c r="D13" s="45">
        <v>39574</v>
      </c>
      <c r="E13" s="45">
        <v>37218</v>
      </c>
      <c r="F13" s="45">
        <v>35283</v>
      </c>
      <c r="G13" s="45">
        <v>34290</v>
      </c>
      <c r="H13" s="45">
        <v>34020</v>
      </c>
      <c r="I13" s="45">
        <v>33687</v>
      </c>
      <c r="J13" s="45">
        <v>26521</v>
      </c>
      <c r="K13" s="45">
        <v>25675</v>
      </c>
      <c r="L13" s="45">
        <v>25515</v>
      </c>
      <c r="M13" s="45">
        <v>24991</v>
      </c>
      <c r="N13" s="45">
        <v>25163</v>
      </c>
      <c r="O13" s="45">
        <v>25840</v>
      </c>
      <c r="P13" s="45">
        <v>29171</v>
      </c>
      <c r="Q13" s="45">
        <v>34548</v>
      </c>
      <c r="R13" s="45">
        <v>39001</v>
      </c>
      <c r="S13" s="45">
        <v>41019</v>
      </c>
      <c r="T13" s="45">
        <v>35491</v>
      </c>
      <c r="U13" s="45">
        <v>40305</v>
      </c>
      <c r="V13" s="45">
        <v>42684</v>
      </c>
      <c r="W13" s="45">
        <v>42946</v>
      </c>
      <c r="X13" s="45">
        <v>42429</v>
      </c>
      <c r="Y13" s="45">
        <v>39312</v>
      </c>
      <c r="Z13" s="45">
        <v>34777</v>
      </c>
      <c r="AA13" s="46">
        <f t="shared" si="0"/>
        <v>832341</v>
      </c>
      <c r="AB13" s="16">
        <v>4</v>
      </c>
      <c r="AC13" s="46">
        <f t="shared" si="1"/>
        <v>3329364</v>
      </c>
      <c r="AD13" s="81"/>
    </row>
    <row r="14" spans="1:30" x14ac:dyDescent="0.35">
      <c r="A14" s="79"/>
      <c r="B14" s="18" t="s">
        <v>42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6">
        <f t="shared" si="0"/>
        <v>0</v>
      </c>
      <c r="AB14" s="16">
        <v>0</v>
      </c>
      <c r="AC14" s="46">
        <f t="shared" si="1"/>
        <v>0</v>
      </c>
      <c r="AD14" s="82"/>
    </row>
    <row r="15" spans="1:30" x14ac:dyDescent="0.35">
      <c r="A15" s="77">
        <v>46447</v>
      </c>
      <c r="B15" s="13" t="s">
        <v>39</v>
      </c>
      <c r="C15" s="45">
        <v>37729</v>
      </c>
      <c r="D15" s="45">
        <v>34621</v>
      </c>
      <c r="E15" s="45">
        <v>32460</v>
      </c>
      <c r="F15" s="45">
        <v>30894</v>
      </c>
      <c r="G15" s="45">
        <v>30741</v>
      </c>
      <c r="H15" s="45">
        <v>32816</v>
      </c>
      <c r="I15" s="45">
        <v>33190</v>
      </c>
      <c r="J15" s="45">
        <v>29179</v>
      </c>
      <c r="K15" s="45">
        <v>30792</v>
      </c>
      <c r="L15" s="45">
        <v>31010</v>
      </c>
      <c r="M15" s="45">
        <v>31754</v>
      </c>
      <c r="N15" s="45">
        <v>31065</v>
      </c>
      <c r="O15" s="45">
        <v>26560</v>
      </c>
      <c r="P15" s="45">
        <v>35769</v>
      </c>
      <c r="Q15" s="45">
        <v>46061</v>
      </c>
      <c r="R15" s="45">
        <v>50253</v>
      </c>
      <c r="S15" s="45">
        <v>50950</v>
      </c>
      <c r="T15" s="45">
        <v>40177</v>
      </c>
      <c r="U15" s="45">
        <v>41222</v>
      </c>
      <c r="V15" s="45">
        <v>41105</v>
      </c>
      <c r="W15" s="45">
        <v>40703</v>
      </c>
      <c r="X15" s="45">
        <v>39329</v>
      </c>
      <c r="Y15" s="45">
        <v>35616</v>
      </c>
      <c r="Z15" s="45">
        <v>31174</v>
      </c>
      <c r="AA15" s="46">
        <f t="shared" si="0"/>
        <v>865170</v>
      </c>
      <c r="AB15" s="16">
        <v>20</v>
      </c>
      <c r="AC15" s="46">
        <f t="shared" si="1"/>
        <v>17303400</v>
      </c>
      <c r="AD15" s="80">
        <f>+SUM(AC15:AC18)</f>
        <v>25291862</v>
      </c>
    </row>
    <row r="16" spans="1:30" x14ac:dyDescent="0.35">
      <c r="A16" s="78"/>
      <c r="B16" s="17" t="s">
        <v>40</v>
      </c>
      <c r="C16" s="45">
        <v>39316</v>
      </c>
      <c r="D16" s="45">
        <v>36116</v>
      </c>
      <c r="E16" s="45">
        <v>33761</v>
      </c>
      <c r="F16" s="45">
        <v>31847</v>
      </c>
      <c r="G16" s="45">
        <v>30935</v>
      </c>
      <c r="H16" s="45">
        <v>31051</v>
      </c>
      <c r="I16" s="45">
        <v>31522</v>
      </c>
      <c r="J16" s="45">
        <v>28107</v>
      </c>
      <c r="K16" s="45">
        <v>30316</v>
      </c>
      <c r="L16" s="45">
        <v>30890</v>
      </c>
      <c r="M16" s="45">
        <v>31428</v>
      </c>
      <c r="N16" s="45">
        <v>30676</v>
      </c>
      <c r="O16" s="45">
        <v>27774</v>
      </c>
      <c r="P16" s="45">
        <v>31654</v>
      </c>
      <c r="Q16" s="45">
        <v>37994</v>
      </c>
      <c r="R16" s="45">
        <v>41646</v>
      </c>
      <c r="S16" s="45">
        <v>42410</v>
      </c>
      <c r="T16" s="45">
        <v>35865</v>
      </c>
      <c r="U16" s="45">
        <v>39228</v>
      </c>
      <c r="V16" s="45">
        <v>39337</v>
      </c>
      <c r="W16" s="45">
        <v>38231</v>
      </c>
      <c r="X16" s="45">
        <v>37177</v>
      </c>
      <c r="Y16" s="45">
        <v>35563</v>
      </c>
      <c r="Z16" s="45">
        <v>32763</v>
      </c>
      <c r="AA16" s="46">
        <f t="shared" si="0"/>
        <v>825607</v>
      </c>
      <c r="AB16" s="16">
        <v>4</v>
      </c>
      <c r="AC16" s="46">
        <f t="shared" si="1"/>
        <v>3302428</v>
      </c>
      <c r="AD16" s="81"/>
    </row>
    <row r="17" spans="1:30" x14ac:dyDescent="0.35">
      <c r="A17" s="78"/>
      <c r="B17" s="17" t="s">
        <v>41</v>
      </c>
      <c r="C17" s="45">
        <v>39988</v>
      </c>
      <c r="D17" s="45">
        <v>36807</v>
      </c>
      <c r="E17" s="45">
        <v>34552</v>
      </c>
      <c r="F17" s="45">
        <v>32720</v>
      </c>
      <c r="G17" s="45">
        <v>31567</v>
      </c>
      <c r="H17" s="45">
        <v>30776</v>
      </c>
      <c r="I17" s="45">
        <v>29575</v>
      </c>
      <c r="J17" s="45">
        <v>21638</v>
      </c>
      <c r="K17" s="45">
        <v>20065</v>
      </c>
      <c r="L17" s="45">
        <v>18749</v>
      </c>
      <c r="M17" s="45">
        <v>17380</v>
      </c>
      <c r="N17" s="45">
        <v>17238</v>
      </c>
      <c r="O17" s="45">
        <v>18278</v>
      </c>
      <c r="P17" s="45">
        <v>22057</v>
      </c>
      <c r="Q17" s="45">
        <v>27518</v>
      </c>
      <c r="R17" s="45">
        <v>31786</v>
      </c>
      <c r="S17" s="45">
        <v>33826</v>
      </c>
      <c r="T17" s="45">
        <v>29626</v>
      </c>
      <c r="U17" s="45">
        <v>33937</v>
      </c>
      <c r="V17" s="45">
        <v>36445</v>
      </c>
      <c r="W17" s="45">
        <v>37159</v>
      </c>
      <c r="X17" s="45">
        <v>37096</v>
      </c>
      <c r="Y17" s="45">
        <v>34079</v>
      </c>
      <c r="Z17" s="45">
        <v>30171</v>
      </c>
      <c r="AA17" s="46">
        <f t="shared" si="0"/>
        <v>703033</v>
      </c>
      <c r="AB17" s="16">
        <v>4</v>
      </c>
      <c r="AC17" s="46">
        <f t="shared" si="1"/>
        <v>2812132</v>
      </c>
      <c r="AD17" s="81"/>
    </row>
    <row r="18" spans="1:30" x14ac:dyDescent="0.35">
      <c r="A18" s="79"/>
      <c r="B18" s="18" t="s">
        <v>42</v>
      </c>
      <c r="C18" s="45">
        <v>31268</v>
      </c>
      <c r="D18" s="45">
        <v>28072</v>
      </c>
      <c r="E18" s="45">
        <v>26059</v>
      </c>
      <c r="F18" s="45">
        <v>24682</v>
      </c>
      <c r="G18" s="45">
        <v>24119</v>
      </c>
      <c r="H18" s="45">
        <v>23847</v>
      </c>
      <c r="I18" s="45">
        <v>23876</v>
      </c>
      <c r="J18" s="45">
        <v>18128</v>
      </c>
      <c r="K18" s="45">
        <v>18088</v>
      </c>
      <c r="L18" s="45">
        <v>18261</v>
      </c>
      <c r="M18" s="45">
        <v>18869</v>
      </c>
      <c r="N18" s="45">
        <v>19308</v>
      </c>
      <c r="O18" s="45">
        <v>18659</v>
      </c>
      <c r="P18" s="45">
        <v>23077</v>
      </c>
      <c r="Q18" s="45">
        <v>27871</v>
      </c>
      <c r="R18" s="45">
        <v>30854</v>
      </c>
      <c r="S18" s="45">
        <v>31939</v>
      </c>
      <c r="T18" s="45">
        <v>27241</v>
      </c>
      <c r="U18" s="45">
        <v>32230</v>
      </c>
      <c r="V18" s="45">
        <v>34672</v>
      </c>
      <c r="W18" s="45">
        <v>34854</v>
      </c>
      <c r="X18" s="45">
        <v>33693</v>
      </c>
      <c r="Y18" s="45">
        <v>29639</v>
      </c>
      <c r="Z18" s="45">
        <v>25328</v>
      </c>
      <c r="AA18" s="46">
        <f t="shared" si="0"/>
        <v>624634</v>
      </c>
      <c r="AB18" s="16">
        <v>3</v>
      </c>
      <c r="AC18" s="46">
        <f t="shared" si="1"/>
        <v>1873902</v>
      </c>
      <c r="AD18" s="82"/>
    </row>
    <row r="19" spans="1:30" x14ac:dyDescent="0.35">
      <c r="A19" s="77">
        <v>46478</v>
      </c>
      <c r="B19" s="13" t="s">
        <v>39</v>
      </c>
      <c r="C19" s="45">
        <v>39930</v>
      </c>
      <c r="D19" s="45">
        <v>36681</v>
      </c>
      <c r="E19" s="45">
        <v>34461</v>
      </c>
      <c r="F19" s="45">
        <v>32893</v>
      </c>
      <c r="G19" s="45">
        <v>32807</v>
      </c>
      <c r="H19" s="45">
        <v>34006</v>
      </c>
      <c r="I19" s="45">
        <v>35074</v>
      </c>
      <c r="J19" s="45">
        <v>32283</v>
      </c>
      <c r="K19" s="45">
        <v>35085</v>
      </c>
      <c r="L19" s="45">
        <v>35862</v>
      </c>
      <c r="M19" s="45">
        <v>37322</v>
      </c>
      <c r="N19" s="45">
        <v>37078</v>
      </c>
      <c r="O19" s="45">
        <v>31824</v>
      </c>
      <c r="P19" s="45">
        <v>41151</v>
      </c>
      <c r="Q19" s="45">
        <v>52186</v>
      </c>
      <c r="R19" s="45">
        <v>56141</v>
      </c>
      <c r="S19" s="45">
        <v>56206</v>
      </c>
      <c r="T19" s="45">
        <v>44555</v>
      </c>
      <c r="U19" s="45">
        <v>45580</v>
      </c>
      <c r="V19" s="45">
        <v>45013</v>
      </c>
      <c r="W19" s="45">
        <v>44359</v>
      </c>
      <c r="X19" s="45">
        <v>42704</v>
      </c>
      <c r="Y19" s="45">
        <v>38842</v>
      </c>
      <c r="Z19" s="45">
        <v>33987</v>
      </c>
      <c r="AA19" s="46">
        <f t="shared" si="0"/>
        <v>956030</v>
      </c>
      <c r="AB19" s="16">
        <v>22</v>
      </c>
      <c r="AC19" s="46">
        <f t="shared" si="1"/>
        <v>21032660</v>
      </c>
      <c r="AD19" s="80">
        <f>+SUM(AC19:AC22)</f>
        <v>27525548</v>
      </c>
    </row>
    <row r="20" spans="1:30" x14ac:dyDescent="0.35">
      <c r="A20" s="78"/>
      <c r="B20" s="17" t="s">
        <v>40</v>
      </c>
      <c r="C20" s="45">
        <v>41098</v>
      </c>
      <c r="D20" s="45">
        <v>37921</v>
      </c>
      <c r="E20" s="45">
        <v>35570</v>
      </c>
      <c r="F20" s="45">
        <v>33645</v>
      </c>
      <c r="G20" s="45">
        <v>32914</v>
      </c>
      <c r="H20" s="45">
        <v>32142</v>
      </c>
      <c r="I20" s="45">
        <v>33307</v>
      </c>
      <c r="J20" s="45">
        <v>29923</v>
      </c>
      <c r="K20" s="45">
        <v>33068</v>
      </c>
      <c r="L20" s="45">
        <v>33959</v>
      </c>
      <c r="M20" s="45">
        <v>34859</v>
      </c>
      <c r="N20" s="45">
        <v>34676</v>
      </c>
      <c r="O20" s="45">
        <v>31955</v>
      </c>
      <c r="P20" s="45">
        <v>35807</v>
      </c>
      <c r="Q20" s="45">
        <v>41988</v>
      </c>
      <c r="R20" s="45">
        <v>45363</v>
      </c>
      <c r="S20" s="45">
        <v>45488</v>
      </c>
      <c r="T20" s="45">
        <v>38680</v>
      </c>
      <c r="U20" s="45">
        <v>41868</v>
      </c>
      <c r="V20" s="45">
        <v>40987</v>
      </c>
      <c r="W20" s="45">
        <v>39417</v>
      </c>
      <c r="X20" s="45">
        <v>37697</v>
      </c>
      <c r="Y20" s="45">
        <v>35515</v>
      </c>
      <c r="Z20" s="45">
        <v>32670</v>
      </c>
      <c r="AA20" s="46">
        <f t="shared" si="0"/>
        <v>880517</v>
      </c>
      <c r="AB20" s="16">
        <v>4</v>
      </c>
      <c r="AC20" s="46">
        <f t="shared" si="1"/>
        <v>3522068</v>
      </c>
      <c r="AD20" s="81"/>
    </row>
    <row r="21" spans="1:30" x14ac:dyDescent="0.35">
      <c r="A21" s="78"/>
      <c r="B21" s="17" t="s">
        <v>41</v>
      </c>
      <c r="C21" s="45">
        <v>41160</v>
      </c>
      <c r="D21" s="45">
        <v>37701</v>
      </c>
      <c r="E21" s="45">
        <v>35178</v>
      </c>
      <c r="F21" s="45">
        <v>33199</v>
      </c>
      <c r="G21" s="45">
        <v>32011</v>
      </c>
      <c r="H21" s="45">
        <v>30505</v>
      </c>
      <c r="I21" s="45">
        <v>29999</v>
      </c>
      <c r="J21" s="45">
        <v>22879</v>
      </c>
      <c r="K21" s="45">
        <v>21862</v>
      </c>
      <c r="L21" s="45">
        <v>20976</v>
      </c>
      <c r="M21" s="45">
        <v>20343</v>
      </c>
      <c r="N21" s="45">
        <v>20961</v>
      </c>
      <c r="O21" s="45">
        <v>21724</v>
      </c>
      <c r="P21" s="45">
        <v>25440</v>
      </c>
      <c r="Q21" s="45">
        <v>30949</v>
      </c>
      <c r="R21" s="45">
        <v>34963</v>
      </c>
      <c r="S21" s="45">
        <v>36616</v>
      </c>
      <c r="T21" s="45">
        <v>31819</v>
      </c>
      <c r="U21" s="45">
        <v>36241</v>
      </c>
      <c r="V21" s="45">
        <v>38034</v>
      </c>
      <c r="W21" s="45">
        <v>37577</v>
      </c>
      <c r="X21" s="45">
        <v>37328</v>
      </c>
      <c r="Y21" s="45">
        <v>34680</v>
      </c>
      <c r="Z21" s="45">
        <v>30560</v>
      </c>
      <c r="AA21" s="46">
        <f t="shared" si="0"/>
        <v>742705</v>
      </c>
      <c r="AB21" s="16">
        <v>4</v>
      </c>
      <c r="AC21" s="46">
        <f t="shared" si="1"/>
        <v>2970820</v>
      </c>
      <c r="AD21" s="81"/>
    </row>
    <row r="22" spans="1:30" x14ac:dyDescent="0.35">
      <c r="A22" s="79"/>
      <c r="B22" s="18" t="s">
        <v>42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6">
        <f t="shared" si="0"/>
        <v>0</v>
      </c>
      <c r="AB22" s="16">
        <v>0</v>
      </c>
      <c r="AC22" s="46">
        <f t="shared" si="1"/>
        <v>0</v>
      </c>
      <c r="AD22" s="82"/>
    </row>
    <row r="23" spans="1:30" x14ac:dyDescent="0.35">
      <c r="A23" s="77">
        <v>46508</v>
      </c>
      <c r="B23" s="13" t="s">
        <v>39</v>
      </c>
      <c r="C23" s="45">
        <v>21976</v>
      </c>
      <c r="D23" s="45">
        <v>18820</v>
      </c>
      <c r="E23" s="45">
        <v>16436</v>
      </c>
      <c r="F23" s="45">
        <v>14753</v>
      </c>
      <c r="G23" s="45">
        <v>14291</v>
      </c>
      <c r="H23" s="45">
        <v>14117</v>
      </c>
      <c r="I23" s="45">
        <v>15292</v>
      </c>
      <c r="J23" s="45">
        <v>12834</v>
      </c>
      <c r="K23" s="45">
        <v>16021</v>
      </c>
      <c r="L23" s="45">
        <v>17078</v>
      </c>
      <c r="M23" s="45">
        <v>18363</v>
      </c>
      <c r="N23" s="45">
        <v>17868</v>
      </c>
      <c r="O23" s="45">
        <v>12718</v>
      </c>
      <c r="P23" s="45">
        <v>22287</v>
      </c>
      <c r="Q23" s="45">
        <v>33197</v>
      </c>
      <c r="R23" s="45">
        <v>36694</v>
      </c>
      <c r="S23" s="45">
        <v>36520</v>
      </c>
      <c r="T23" s="45">
        <v>24993</v>
      </c>
      <c r="U23" s="45">
        <v>24959</v>
      </c>
      <c r="V23" s="45">
        <v>24780</v>
      </c>
      <c r="W23" s="45">
        <v>24859</v>
      </c>
      <c r="X23" s="45">
        <v>23713</v>
      </c>
      <c r="Y23" s="45">
        <v>20177</v>
      </c>
      <c r="Z23" s="45">
        <v>15570</v>
      </c>
      <c r="AA23" s="46">
        <f t="shared" si="0"/>
        <v>498316</v>
      </c>
      <c r="AB23" s="16">
        <v>19</v>
      </c>
      <c r="AC23" s="46">
        <f t="shared" si="1"/>
        <v>9468004</v>
      </c>
      <c r="AD23" s="80">
        <f>+SUM(AC23:AC26)</f>
        <v>13154393</v>
      </c>
    </row>
    <row r="24" spans="1:30" x14ac:dyDescent="0.35">
      <c r="A24" s="78"/>
      <c r="B24" s="17" t="s">
        <v>40</v>
      </c>
      <c r="C24" s="45">
        <v>23737</v>
      </c>
      <c r="D24" s="45">
        <v>20128</v>
      </c>
      <c r="E24" s="45">
        <v>17405</v>
      </c>
      <c r="F24" s="45">
        <v>15406</v>
      </c>
      <c r="G24" s="45">
        <v>14505</v>
      </c>
      <c r="H24" s="45">
        <v>12848</v>
      </c>
      <c r="I24" s="45">
        <v>14347</v>
      </c>
      <c r="J24" s="45">
        <v>11169</v>
      </c>
      <c r="K24" s="45">
        <v>14647</v>
      </c>
      <c r="L24" s="45">
        <v>16096</v>
      </c>
      <c r="M24" s="45">
        <v>17069</v>
      </c>
      <c r="N24" s="45">
        <v>16385</v>
      </c>
      <c r="O24" s="45">
        <v>13441</v>
      </c>
      <c r="P24" s="45">
        <v>17375</v>
      </c>
      <c r="Q24" s="45">
        <v>23311</v>
      </c>
      <c r="R24" s="45">
        <v>26158</v>
      </c>
      <c r="S24" s="45">
        <v>26115</v>
      </c>
      <c r="T24" s="45">
        <v>18052</v>
      </c>
      <c r="U24" s="45">
        <v>20800</v>
      </c>
      <c r="V24" s="45">
        <v>21149</v>
      </c>
      <c r="W24" s="45">
        <v>19815</v>
      </c>
      <c r="X24" s="45">
        <v>18665</v>
      </c>
      <c r="Y24" s="45">
        <v>16886</v>
      </c>
      <c r="Z24" s="45">
        <v>13872</v>
      </c>
      <c r="AA24" s="46">
        <f t="shared" si="0"/>
        <v>429381</v>
      </c>
      <c r="AB24" s="16">
        <v>4</v>
      </c>
      <c r="AC24" s="46">
        <f t="shared" si="1"/>
        <v>1717524</v>
      </c>
      <c r="AD24" s="81"/>
    </row>
    <row r="25" spans="1:30" x14ac:dyDescent="0.35">
      <c r="A25" s="78"/>
      <c r="B25" s="17" t="s">
        <v>41</v>
      </c>
      <c r="C25" s="45">
        <v>21790</v>
      </c>
      <c r="D25" s="45">
        <v>18786</v>
      </c>
      <c r="E25" s="45">
        <v>16414</v>
      </c>
      <c r="F25" s="45">
        <v>14468</v>
      </c>
      <c r="G25" s="45">
        <v>13193</v>
      </c>
      <c r="H25" s="45">
        <v>10673</v>
      </c>
      <c r="I25" s="45">
        <v>10893</v>
      </c>
      <c r="J25" s="45">
        <v>3758</v>
      </c>
      <c r="K25" s="45">
        <v>2568</v>
      </c>
      <c r="L25" s="45">
        <v>1691</v>
      </c>
      <c r="M25" s="45">
        <v>1301</v>
      </c>
      <c r="N25" s="45">
        <v>1064</v>
      </c>
      <c r="O25" s="45">
        <v>820</v>
      </c>
      <c r="P25" s="45">
        <v>4043</v>
      </c>
      <c r="Q25" s="45">
        <v>9822</v>
      </c>
      <c r="R25" s="45">
        <v>13605</v>
      </c>
      <c r="S25" s="45">
        <v>15366</v>
      </c>
      <c r="T25" s="45">
        <v>11078</v>
      </c>
      <c r="U25" s="45">
        <v>15143</v>
      </c>
      <c r="V25" s="45">
        <v>17073</v>
      </c>
      <c r="W25" s="45">
        <v>17657</v>
      </c>
      <c r="X25" s="45">
        <v>18116</v>
      </c>
      <c r="Y25" s="45">
        <v>16169</v>
      </c>
      <c r="Z25" s="45">
        <v>12579</v>
      </c>
      <c r="AA25" s="46">
        <f t="shared" si="0"/>
        <v>268070</v>
      </c>
      <c r="AB25" s="16">
        <v>5</v>
      </c>
      <c r="AC25" s="46">
        <f t="shared" si="1"/>
        <v>1340350</v>
      </c>
      <c r="AD25" s="81"/>
    </row>
    <row r="26" spans="1:30" x14ac:dyDescent="0.35">
      <c r="A26" s="79"/>
      <c r="B26" s="18" t="s">
        <v>42</v>
      </c>
      <c r="C26" s="45">
        <v>15097</v>
      </c>
      <c r="D26" s="45">
        <v>12124</v>
      </c>
      <c r="E26" s="45">
        <v>9974</v>
      </c>
      <c r="F26" s="45">
        <v>8359</v>
      </c>
      <c r="G26" s="45">
        <v>7592</v>
      </c>
      <c r="H26" s="45">
        <v>5786</v>
      </c>
      <c r="I26" s="45">
        <v>6513</v>
      </c>
      <c r="J26" s="45">
        <v>309</v>
      </c>
      <c r="K26" s="45">
        <v>83</v>
      </c>
      <c r="L26" s="45">
        <v>116</v>
      </c>
      <c r="M26" s="45">
        <v>453</v>
      </c>
      <c r="N26" s="45">
        <v>725</v>
      </c>
      <c r="O26" s="45">
        <v>429</v>
      </c>
      <c r="P26" s="45">
        <v>4580</v>
      </c>
      <c r="Q26" s="45">
        <v>10037</v>
      </c>
      <c r="R26" s="45">
        <v>13666</v>
      </c>
      <c r="S26" s="45">
        <v>14628</v>
      </c>
      <c r="T26" s="45">
        <v>9301</v>
      </c>
      <c r="U26" s="45">
        <v>13869</v>
      </c>
      <c r="V26" s="45">
        <v>16958</v>
      </c>
      <c r="W26" s="45">
        <v>17652</v>
      </c>
      <c r="X26" s="45">
        <v>17311</v>
      </c>
      <c r="Y26" s="45">
        <v>14133</v>
      </c>
      <c r="Z26" s="45">
        <v>9810</v>
      </c>
      <c r="AA26" s="46">
        <f t="shared" si="0"/>
        <v>209505</v>
      </c>
      <c r="AB26" s="16">
        <v>3</v>
      </c>
      <c r="AC26" s="46">
        <f t="shared" si="1"/>
        <v>628515</v>
      </c>
      <c r="AD26" s="82"/>
    </row>
    <row r="27" spans="1:30" x14ac:dyDescent="0.35">
      <c r="A27" s="77">
        <v>46539</v>
      </c>
      <c r="B27" s="13" t="s">
        <v>39</v>
      </c>
      <c r="C27" s="45">
        <v>27060</v>
      </c>
      <c r="D27" s="45">
        <v>23746</v>
      </c>
      <c r="E27" s="45">
        <v>21220</v>
      </c>
      <c r="F27" s="45">
        <v>19521</v>
      </c>
      <c r="G27" s="45">
        <v>19040</v>
      </c>
      <c r="H27" s="45">
        <v>18615</v>
      </c>
      <c r="I27" s="45">
        <v>20641</v>
      </c>
      <c r="J27" s="45">
        <v>18786</v>
      </c>
      <c r="K27" s="45">
        <v>22131</v>
      </c>
      <c r="L27" s="45">
        <v>22982</v>
      </c>
      <c r="M27" s="45">
        <v>24200</v>
      </c>
      <c r="N27" s="45">
        <v>24079</v>
      </c>
      <c r="O27" s="45">
        <v>18361</v>
      </c>
      <c r="P27" s="45">
        <v>27477</v>
      </c>
      <c r="Q27" s="45">
        <v>37916</v>
      </c>
      <c r="R27" s="45">
        <v>41685</v>
      </c>
      <c r="S27" s="45">
        <v>41851</v>
      </c>
      <c r="T27" s="45">
        <v>29163</v>
      </c>
      <c r="U27" s="45">
        <v>29055</v>
      </c>
      <c r="V27" s="45">
        <v>29300</v>
      </c>
      <c r="W27" s="45">
        <v>28881</v>
      </c>
      <c r="X27" s="45">
        <v>27533</v>
      </c>
      <c r="Y27" s="45">
        <v>24177</v>
      </c>
      <c r="Z27" s="45">
        <v>19638</v>
      </c>
      <c r="AA27" s="46">
        <f t="shared" si="0"/>
        <v>617058</v>
      </c>
      <c r="AB27" s="16">
        <v>21</v>
      </c>
      <c r="AC27" s="46">
        <f t="shared" si="1"/>
        <v>12958218</v>
      </c>
      <c r="AD27" s="80">
        <f>+SUM(AC27:AC30)</f>
        <v>17074122</v>
      </c>
    </row>
    <row r="28" spans="1:30" x14ac:dyDescent="0.35">
      <c r="A28" s="78"/>
      <c r="B28" s="17" t="s">
        <v>40</v>
      </c>
      <c r="C28" s="45">
        <v>27503</v>
      </c>
      <c r="D28" s="45">
        <v>24274</v>
      </c>
      <c r="E28" s="45">
        <v>21800</v>
      </c>
      <c r="F28" s="45">
        <v>19925</v>
      </c>
      <c r="G28" s="45">
        <v>19281</v>
      </c>
      <c r="H28" s="45">
        <v>17741</v>
      </c>
      <c r="I28" s="45">
        <v>19674</v>
      </c>
      <c r="J28" s="45">
        <v>17077</v>
      </c>
      <c r="K28" s="45">
        <v>20227</v>
      </c>
      <c r="L28" s="45">
        <v>21172</v>
      </c>
      <c r="M28" s="45">
        <v>21844</v>
      </c>
      <c r="N28" s="45">
        <v>21145</v>
      </c>
      <c r="O28" s="45">
        <v>17713</v>
      </c>
      <c r="P28" s="45">
        <v>20995</v>
      </c>
      <c r="Q28" s="45">
        <v>27901</v>
      </c>
      <c r="R28" s="45">
        <v>31690</v>
      </c>
      <c r="S28" s="45">
        <v>31872</v>
      </c>
      <c r="T28" s="45">
        <v>23714</v>
      </c>
      <c r="U28" s="45">
        <v>26110</v>
      </c>
      <c r="V28" s="45">
        <v>26218</v>
      </c>
      <c r="W28" s="45">
        <v>24814</v>
      </c>
      <c r="X28" s="45">
        <v>23324</v>
      </c>
      <c r="Y28" s="45">
        <v>21361</v>
      </c>
      <c r="Z28" s="45">
        <v>18536</v>
      </c>
      <c r="AA28" s="46">
        <f t="shared" si="0"/>
        <v>545911</v>
      </c>
      <c r="AB28" s="16">
        <v>4</v>
      </c>
      <c r="AC28" s="46">
        <f t="shared" si="1"/>
        <v>2183644</v>
      </c>
      <c r="AD28" s="81"/>
    </row>
    <row r="29" spans="1:30" x14ac:dyDescent="0.35">
      <c r="A29" s="78"/>
      <c r="B29" s="17" t="s">
        <v>41</v>
      </c>
      <c r="C29" s="45">
        <v>27197</v>
      </c>
      <c r="D29" s="45">
        <v>24216</v>
      </c>
      <c r="E29" s="45">
        <v>21879</v>
      </c>
      <c r="F29" s="45">
        <v>19918</v>
      </c>
      <c r="G29" s="45">
        <v>18790</v>
      </c>
      <c r="H29" s="45">
        <v>16322</v>
      </c>
      <c r="I29" s="45">
        <v>16422</v>
      </c>
      <c r="J29" s="45">
        <v>9476</v>
      </c>
      <c r="K29" s="45">
        <v>7706</v>
      </c>
      <c r="L29" s="45">
        <v>7365</v>
      </c>
      <c r="M29" s="45">
        <v>5898</v>
      </c>
      <c r="N29" s="45">
        <v>5599</v>
      </c>
      <c r="O29" s="45">
        <v>6108</v>
      </c>
      <c r="P29" s="45">
        <v>9512</v>
      </c>
      <c r="Q29" s="45">
        <v>14899</v>
      </c>
      <c r="R29" s="45">
        <v>18865</v>
      </c>
      <c r="S29" s="45">
        <v>21011</v>
      </c>
      <c r="T29" s="45">
        <v>15305</v>
      </c>
      <c r="U29" s="45">
        <v>19305</v>
      </c>
      <c r="V29" s="45">
        <v>22365</v>
      </c>
      <c r="W29" s="45">
        <v>22862</v>
      </c>
      <c r="X29" s="45">
        <v>23335</v>
      </c>
      <c r="Y29" s="45">
        <v>21707</v>
      </c>
      <c r="Z29" s="45">
        <v>18605</v>
      </c>
      <c r="AA29" s="46">
        <f t="shared" si="0"/>
        <v>394667</v>
      </c>
      <c r="AB29" s="16">
        <v>4</v>
      </c>
      <c r="AC29" s="46">
        <f t="shared" si="1"/>
        <v>1578668</v>
      </c>
      <c r="AD29" s="81"/>
    </row>
    <row r="30" spans="1:30" x14ac:dyDescent="0.35">
      <c r="A30" s="79"/>
      <c r="B30" s="18" t="s">
        <v>42</v>
      </c>
      <c r="C30" s="45">
        <v>21171</v>
      </c>
      <c r="D30" s="45">
        <v>18253</v>
      </c>
      <c r="E30" s="45">
        <v>16174</v>
      </c>
      <c r="F30" s="45">
        <v>14474</v>
      </c>
      <c r="G30" s="45">
        <v>13786</v>
      </c>
      <c r="H30" s="45">
        <v>11984</v>
      </c>
      <c r="I30" s="45">
        <v>12705</v>
      </c>
      <c r="J30" s="45">
        <v>7484</v>
      </c>
      <c r="K30" s="45">
        <v>8131</v>
      </c>
      <c r="L30" s="45">
        <v>8762</v>
      </c>
      <c r="M30" s="45">
        <v>9131</v>
      </c>
      <c r="N30" s="45">
        <v>8991</v>
      </c>
      <c r="O30" s="45">
        <v>8061</v>
      </c>
      <c r="P30" s="45">
        <v>11662</v>
      </c>
      <c r="Q30" s="45">
        <v>16754</v>
      </c>
      <c r="R30" s="45">
        <v>19759</v>
      </c>
      <c r="S30" s="45">
        <v>20396</v>
      </c>
      <c r="T30" s="45">
        <v>13809</v>
      </c>
      <c r="U30" s="45">
        <v>17510</v>
      </c>
      <c r="V30" s="45">
        <v>21344</v>
      </c>
      <c r="W30" s="45">
        <v>21227</v>
      </c>
      <c r="X30" s="45">
        <v>20564</v>
      </c>
      <c r="Y30" s="45">
        <v>17742</v>
      </c>
      <c r="Z30" s="45">
        <v>13718</v>
      </c>
      <c r="AA30" s="46">
        <f t="shared" si="0"/>
        <v>353592</v>
      </c>
      <c r="AB30" s="16">
        <v>1</v>
      </c>
      <c r="AC30" s="46">
        <f t="shared" si="1"/>
        <v>353592</v>
      </c>
      <c r="AD30" s="82"/>
    </row>
    <row r="31" spans="1:30" x14ac:dyDescent="0.35">
      <c r="A31" s="77">
        <v>46569</v>
      </c>
      <c r="B31" s="13" t="s">
        <v>39</v>
      </c>
      <c r="C31" s="45">
        <v>27686</v>
      </c>
      <c r="D31" s="45">
        <v>24446</v>
      </c>
      <c r="E31" s="45">
        <v>22113</v>
      </c>
      <c r="F31" s="45">
        <v>20273</v>
      </c>
      <c r="G31" s="45">
        <v>19703</v>
      </c>
      <c r="H31" s="45">
        <v>19844</v>
      </c>
      <c r="I31" s="45">
        <v>21250</v>
      </c>
      <c r="J31" s="45">
        <v>18731</v>
      </c>
      <c r="K31" s="45">
        <v>21875</v>
      </c>
      <c r="L31" s="45">
        <v>22724</v>
      </c>
      <c r="M31" s="45">
        <v>23911</v>
      </c>
      <c r="N31" s="45">
        <v>22993</v>
      </c>
      <c r="O31" s="45">
        <v>17214</v>
      </c>
      <c r="P31" s="45">
        <v>26125</v>
      </c>
      <c r="Q31" s="45">
        <v>36418</v>
      </c>
      <c r="R31" s="45">
        <v>40162</v>
      </c>
      <c r="S31" s="45">
        <v>40022</v>
      </c>
      <c r="T31" s="45">
        <v>27964</v>
      </c>
      <c r="U31" s="45">
        <v>27539</v>
      </c>
      <c r="V31" s="45">
        <v>28628</v>
      </c>
      <c r="W31" s="45">
        <v>28693</v>
      </c>
      <c r="X31" s="45">
        <v>27646</v>
      </c>
      <c r="Y31" s="45">
        <v>24430</v>
      </c>
      <c r="Z31" s="45">
        <v>20066</v>
      </c>
      <c r="AA31" s="46">
        <f t="shared" si="0"/>
        <v>610456</v>
      </c>
      <c r="AB31" s="16">
        <v>20</v>
      </c>
      <c r="AC31" s="46">
        <f t="shared" si="1"/>
        <v>12209120</v>
      </c>
      <c r="AD31" s="80">
        <f>+SUM(AC31:AC34)</f>
        <v>17311574</v>
      </c>
    </row>
    <row r="32" spans="1:30" x14ac:dyDescent="0.35">
      <c r="A32" s="78"/>
      <c r="B32" s="17" t="s">
        <v>40</v>
      </c>
      <c r="C32" s="45">
        <v>26572</v>
      </c>
      <c r="D32" s="45">
        <v>23568</v>
      </c>
      <c r="E32" s="45">
        <v>21383</v>
      </c>
      <c r="F32" s="45">
        <v>19632</v>
      </c>
      <c r="G32" s="45">
        <v>19030</v>
      </c>
      <c r="H32" s="45">
        <v>17834</v>
      </c>
      <c r="I32" s="45">
        <v>19068</v>
      </c>
      <c r="J32" s="45">
        <v>15978</v>
      </c>
      <c r="K32" s="45">
        <v>18691</v>
      </c>
      <c r="L32" s="45">
        <v>19623</v>
      </c>
      <c r="M32" s="45">
        <v>19913</v>
      </c>
      <c r="N32" s="45">
        <v>19769</v>
      </c>
      <c r="O32" s="45">
        <v>16771</v>
      </c>
      <c r="P32" s="45">
        <v>20672</v>
      </c>
      <c r="Q32" s="45">
        <v>27236</v>
      </c>
      <c r="R32" s="45">
        <v>30281</v>
      </c>
      <c r="S32" s="45">
        <v>30195</v>
      </c>
      <c r="T32" s="45">
        <v>21360</v>
      </c>
      <c r="U32" s="45">
        <v>24225</v>
      </c>
      <c r="V32" s="45">
        <v>26054</v>
      </c>
      <c r="W32" s="45">
        <v>24620</v>
      </c>
      <c r="X32" s="45">
        <v>23678</v>
      </c>
      <c r="Y32" s="45">
        <v>22409</v>
      </c>
      <c r="Z32" s="45">
        <v>20100</v>
      </c>
      <c r="AA32" s="46">
        <f t="shared" si="0"/>
        <v>528662</v>
      </c>
      <c r="AB32" s="16">
        <v>5</v>
      </c>
      <c r="AC32" s="46">
        <f t="shared" si="1"/>
        <v>2643310</v>
      </c>
      <c r="AD32" s="81"/>
    </row>
    <row r="33" spans="1:30" x14ac:dyDescent="0.35">
      <c r="A33" s="78"/>
      <c r="B33" s="17" t="s">
        <v>41</v>
      </c>
      <c r="C33" s="45">
        <v>29032</v>
      </c>
      <c r="D33" s="45">
        <v>25906</v>
      </c>
      <c r="E33" s="45">
        <v>23386</v>
      </c>
      <c r="F33" s="45">
        <v>21516</v>
      </c>
      <c r="G33" s="45">
        <v>20250</v>
      </c>
      <c r="H33" s="45">
        <v>18147</v>
      </c>
      <c r="I33" s="45">
        <v>17995</v>
      </c>
      <c r="J33" s="45">
        <v>9909</v>
      </c>
      <c r="K33" s="45">
        <v>8539</v>
      </c>
      <c r="L33" s="45">
        <v>7823</v>
      </c>
      <c r="M33" s="45">
        <v>6712</v>
      </c>
      <c r="N33" s="45">
        <v>6066</v>
      </c>
      <c r="O33" s="45">
        <v>6779</v>
      </c>
      <c r="P33" s="45">
        <v>10410</v>
      </c>
      <c r="Q33" s="45">
        <v>15361</v>
      </c>
      <c r="R33" s="45">
        <v>19635</v>
      </c>
      <c r="S33" s="45">
        <v>21420</v>
      </c>
      <c r="T33" s="45">
        <v>17278</v>
      </c>
      <c r="U33" s="45">
        <v>20694</v>
      </c>
      <c r="V33" s="45">
        <v>23871</v>
      </c>
      <c r="W33" s="45">
        <v>24432</v>
      </c>
      <c r="X33" s="45">
        <v>24689</v>
      </c>
      <c r="Y33" s="45">
        <v>22786</v>
      </c>
      <c r="Z33" s="45">
        <v>19604</v>
      </c>
      <c r="AA33" s="46">
        <f t="shared" si="0"/>
        <v>422240</v>
      </c>
      <c r="AB33" s="16">
        <v>4</v>
      </c>
      <c r="AC33" s="46">
        <f t="shared" si="1"/>
        <v>1688960</v>
      </c>
      <c r="AD33" s="81"/>
    </row>
    <row r="34" spans="1:30" x14ac:dyDescent="0.35">
      <c r="A34" s="79"/>
      <c r="B34" s="18" t="s">
        <v>42</v>
      </c>
      <c r="C34" s="45">
        <v>24649</v>
      </c>
      <c r="D34" s="45">
        <v>21567</v>
      </c>
      <c r="E34" s="45">
        <v>19184</v>
      </c>
      <c r="F34" s="45">
        <v>17666</v>
      </c>
      <c r="G34" s="45">
        <v>16856</v>
      </c>
      <c r="H34" s="45">
        <v>15399</v>
      </c>
      <c r="I34" s="45">
        <v>15566</v>
      </c>
      <c r="J34" s="45">
        <v>9488</v>
      </c>
      <c r="K34" s="45">
        <v>9257</v>
      </c>
      <c r="L34" s="45">
        <v>9036</v>
      </c>
      <c r="M34" s="45">
        <v>8709</v>
      </c>
      <c r="N34" s="45">
        <v>8114</v>
      </c>
      <c r="O34" s="45">
        <v>6975</v>
      </c>
      <c r="P34" s="45">
        <v>11244</v>
      </c>
      <c r="Q34" s="45">
        <v>16506</v>
      </c>
      <c r="R34" s="45">
        <v>20221</v>
      </c>
      <c r="S34" s="45">
        <v>21235</v>
      </c>
      <c r="T34" s="45">
        <v>14589</v>
      </c>
      <c r="U34" s="45">
        <v>18530</v>
      </c>
      <c r="V34" s="45">
        <v>22383</v>
      </c>
      <c r="W34" s="45">
        <v>22438</v>
      </c>
      <c r="X34" s="45">
        <v>21641</v>
      </c>
      <c r="Y34" s="45">
        <v>18842</v>
      </c>
      <c r="Z34" s="45">
        <v>14997</v>
      </c>
      <c r="AA34" s="46">
        <f t="shared" si="0"/>
        <v>385092</v>
      </c>
      <c r="AB34" s="16">
        <v>2</v>
      </c>
      <c r="AC34" s="46">
        <f t="shared" si="1"/>
        <v>770184</v>
      </c>
      <c r="AD34" s="82"/>
    </row>
    <row r="35" spans="1:30" x14ac:dyDescent="0.35">
      <c r="A35" s="77">
        <v>46600</v>
      </c>
      <c r="B35" s="13" t="s">
        <v>39</v>
      </c>
      <c r="C35" s="45">
        <v>24587</v>
      </c>
      <c r="D35" s="45">
        <v>21217</v>
      </c>
      <c r="E35" s="45">
        <v>18704</v>
      </c>
      <c r="F35" s="45">
        <v>16771</v>
      </c>
      <c r="G35" s="45">
        <v>16104</v>
      </c>
      <c r="H35" s="45">
        <v>16122</v>
      </c>
      <c r="I35" s="45">
        <v>17088</v>
      </c>
      <c r="J35" s="45">
        <v>14713</v>
      </c>
      <c r="K35" s="45">
        <v>17524</v>
      </c>
      <c r="L35" s="45">
        <v>18891</v>
      </c>
      <c r="M35" s="45">
        <v>20138</v>
      </c>
      <c r="N35" s="45">
        <v>19704</v>
      </c>
      <c r="O35" s="45">
        <v>13986</v>
      </c>
      <c r="P35" s="45">
        <v>23837</v>
      </c>
      <c r="Q35" s="45">
        <v>34983</v>
      </c>
      <c r="R35" s="45">
        <v>38740</v>
      </c>
      <c r="S35" s="45">
        <v>38734</v>
      </c>
      <c r="T35" s="45">
        <v>25832</v>
      </c>
      <c r="U35" s="45">
        <v>25739</v>
      </c>
      <c r="V35" s="45">
        <v>26448</v>
      </c>
      <c r="W35" s="45">
        <v>26727</v>
      </c>
      <c r="X35" s="45">
        <v>26129</v>
      </c>
      <c r="Y35" s="45">
        <v>22703</v>
      </c>
      <c r="Z35" s="45">
        <v>18404</v>
      </c>
      <c r="AA35" s="46">
        <f t="shared" si="0"/>
        <v>543825</v>
      </c>
      <c r="AB35" s="16">
        <v>21</v>
      </c>
      <c r="AC35" s="46">
        <f t="shared" si="1"/>
        <v>11420325</v>
      </c>
      <c r="AD35" s="80">
        <f>+SUM(AC35:AC38)</f>
        <v>15080035</v>
      </c>
    </row>
    <row r="36" spans="1:30" x14ac:dyDescent="0.35">
      <c r="A36" s="78"/>
      <c r="B36" s="17" t="s">
        <v>40</v>
      </c>
      <c r="C36" s="45">
        <v>28680</v>
      </c>
      <c r="D36" s="45">
        <v>25043</v>
      </c>
      <c r="E36" s="45">
        <v>22218</v>
      </c>
      <c r="F36" s="45">
        <v>19999</v>
      </c>
      <c r="G36" s="45">
        <v>18857</v>
      </c>
      <c r="H36" s="45">
        <v>17316</v>
      </c>
      <c r="I36" s="45">
        <v>18121</v>
      </c>
      <c r="J36" s="45">
        <v>15395</v>
      </c>
      <c r="K36" s="45">
        <v>18004</v>
      </c>
      <c r="L36" s="45">
        <v>19451</v>
      </c>
      <c r="M36" s="45">
        <v>19575</v>
      </c>
      <c r="N36" s="45">
        <v>19935</v>
      </c>
      <c r="O36" s="45">
        <v>16144</v>
      </c>
      <c r="P36" s="45">
        <v>20324</v>
      </c>
      <c r="Q36" s="45">
        <v>26679</v>
      </c>
      <c r="R36" s="45">
        <v>29783</v>
      </c>
      <c r="S36" s="45">
        <v>30157</v>
      </c>
      <c r="T36" s="45">
        <v>21235</v>
      </c>
      <c r="U36" s="45">
        <v>24409</v>
      </c>
      <c r="V36" s="45">
        <v>24770</v>
      </c>
      <c r="W36" s="45">
        <v>23324</v>
      </c>
      <c r="X36" s="45">
        <v>23168</v>
      </c>
      <c r="Y36" s="45">
        <v>21955</v>
      </c>
      <c r="Z36" s="45">
        <v>19442</v>
      </c>
      <c r="AA36" s="46">
        <f t="shared" si="0"/>
        <v>523984</v>
      </c>
      <c r="AB36" s="16">
        <v>3</v>
      </c>
      <c r="AC36" s="46">
        <f t="shared" si="1"/>
        <v>1571952</v>
      </c>
      <c r="AD36" s="81"/>
    </row>
    <row r="37" spans="1:30" x14ac:dyDescent="0.35">
      <c r="A37" s="78"/>
      <c r="B37" s="17" t="s">
        <v>41</v>
      </c>
      <c r="C37" s="45">
        <v>26487</v>
      </c>
      <c r="D37" s="45">
        <v>23139</v>
      </c>
      <c r="E37" s="45">
        <v>20453</v>
      </c>
      <c r="F37" s="45">
        <v>18336</v>
      </c>
      <c r="G37" s="45">
        <v>16724</v>
      </c>
      <c r="H37" s="45">
        <v>13935</v>
      </c>
      <c r="I37" s="45">
        <v>13131</v>
      </c>
      <c r="J37" s="45">
        <v>5949</v>
      </c>
      <c r="K37" s="45">
        <v>4194</v>
      </c>
      <c r="L37" s="45">
        <v>2538</v>
      </c>
      <c r="M37" s="45">
        <v>1934</v>
      </c>
      <c r="N37" s="45">
        <v>697</v>
      </c>
      <c r="O37" s="45">
        <v>1611</v>
      </c>
      <c r="P37" s="45">
        <v>6569</v>
      </c>
      <c r="Q37" s="45">
        <v>11522</v>
      </c>
      <c r="R37" s="45">
        <v>15680</v>
      </c>
      <c r="S37" s="45">
        <v>16219</v>
      </c>
      <c r="T37" s="45">
        <v>10892</v>
      </c>
      <c r="U37" s="45">
        <v>15364</v>
      </c>
      <c r="V37" s="45">
        <v>17550</v>
      </c>
      <c r="W37" s="45">
        <v>18226</v>
      </c>
      <c r="X37" s="45">
        <v>18916</v>
      </c>
      <c r="Y37" s="45">
        <v>17096</v>
      </c>
      <c r="Z37" s="45">
        <v>13828</v>
      </c>
      <c r="AA37" s="46">
        <f t="shared" si="0"/>
        <v>310990</v>
      </c>
      <c r="AB37" s="16">
        <v>5</v>
      </c>
      <c r="AC37" s="46">
        <f t="shared" si="1"/>
        <v>1554950</v>
      </c>
      <c r="AD37" s="81"/>
    </row>
    <row r="38" spans="1:30" x14ac:dyDescent="0.35">
      <c r="A38" s="79"/>
      <c r="B38" s="18" t="s">
        <v>42</v>
      </c>
      <c r="C38" s="45">
        <v>17062</v>
      </c>
      <c r="D38" s="45">
        <v>14477</v>
      </c>
      <c r="E38" s="45">
        <v>12324</v>
      </c>
      <c r="F38" s="45">
        <v>10918</v>
      </c>
      <c r="G38" s="45">
        <v>10205</v>
      </c>
      <c r="H38" s="45">
        <v>8921</v>
      </c>
      <c r="I38" s="45">
        <v>8666</v>
      </c>
      <c r="J38" s="45">
        <v>2442</v>
      </c>
      <c r="K38" s="45">
        <v>2344</v>
      </c>
      <c r="L38" s="45">
        <v>3092</v>
      </c>
      <c r="M38" s="45">
        <v>3372</v>
      </c>
      <c r="N38" s="45">
        <v>3770</v>
      </c>
      <c r="O38" s="45">
        <v>3406</v>
      </c>
      <c r="P38" s="45">
        <v>7476</v>
      </c>
      <c r="Q38" s="45">
        <v>12896</v>
      </c>
      <c r="R38" s="45">
        <v>16910</v>
      </c>
      <c r="S38" s="45">
        <v>17715</v>
      </c>
      <c r="T38" s="45">
        <v>10249</v>
      </c>
      <c r="U38" s="45">
        <v>15035</v>
      </c>
      <c r="V38" s="45">
        <v>18148</v>
      </c>
      <c r="W38" s="45">
        <v>18430</v>
      </c>
      <c r="X38" s="45">
        <v>19338</v>
      </c>
      <c r="Y38" s="45">
        <v>16919</v>
      </c>
      <c r="Z38" s="45">
        <v>12289</v>
      </c>
      <c r="AA38" s="46">
        <f t="shared" si="0"/>
        <v>266404</v>
      </c>
      <c r="AB38" s="16">
        <v>2</v>
      </c>
      <c r="AC38" s="46">
        <f t="shared" si="1"/>
        <v>532808</v>
      </c>
      <c r="AD38" s="82"/>
    </row>
    <row r="39" spans="1:30" x14ac:dyDescent="0.35">
      <c r="A39" s="77">
        <v>46631</v>
      </c>
      <c r="B39" s="13" t="s">
        <v>39</v>
      </c>
      <c r="C39" s="45">
        <v>28765</v>
      </c>
      <c r="D39" s="45">
        <v>25060</v>
      </c>
      <c r="E39" s="45">
        <v>22307</v>
      </c>
      <c r="F39" s="45">
        <v>20172</v>
      </c>
      <c r="G39" s="45">
        <v>19383</v>
      </c>
      <c r="H39" s="45">
        <v>19316</v>
      </c>
      <c r="I39" s="45">
        <v>20600</v>
      </c>
      <c r="J39" s="45">
        <v>18614</v>
      </c>
      <c r="K39" s="45">
        <v>21712</v>
      </c>
      <c r="L39" s="45">
        <v>23259</v>
      </c>
      <c r="M39" s="45">
        <v>24797</v>
      </c>
      <c r="N39" s="45">
        <v>24420</v>
      </c>
      <c r="O39" s="45">
        <v>18967</v>
      </c>
      <c r="P39" s="45">
        <v>29332</v>
      </c>
      <c r="Q39" s="45">
        <v>40004</v>
      </c>
      <c r="R39" s="45">
        <v>43540</v>
      </c>
      <c r="S39" s="45">
        <v>42850</v>
      </c>
      <c r="T39" s="45">
        <v>30544</v>
      </c>
      <c r="U39" s="45">
        <v>31271</v>
      </c>
      <c r="V39" s="45">
        <v>30261</v>
      </c>
      <c r="W39" s="45">
        <v>30344</v>
      </c>
      <c r="X39" s="45">
        <v>29712</v>
      </c>
      <c r="Y39" s="45">
        <v>26374</v>
      </c>
      <c r="Z39" s="45">
        <v>21398</v>
      </c>
      <c r="AA39" s="46">
        <f t="shared" si="0"/>
        <v>643002</v>
      </c>
      <c r="AB39" s="16">
        <v>22</v>
      </c>
      <c r="AC39" s="46">
        <f t="shared" si="1"/>
        <v>14146044</v>
      </c>
      <c r="AD39" s="80">
        <f>+SUM(AC39:AC42)</f>
        <v>18243088</v>
      </c>
    </row>
    <row r="40" spans="1:30" x14ac:dyDescent="0.35">
      <c r="A40" s="78"/>
      <c r="B40" s="17" t="s">
        <v>40</v>
      </c>
      <c r="C40" s="45">
        <v>29751</v>
      </c>
      <c r="D40" s="45">
        <v>26362</v>
      </c>
      <c r="E40" s="45">
        <v>23687</v>
      </c>
      <c r="F40" s="45">
        <v>21514</v>
      </c>
      <c r="G40" s="45">
        <v>20438</v>
      </c>
      <c r="H40" s="45">
        <v>18783</v>
      </c>
      <c r="I40" s="45">
        <v>20154</v>
      </c>
      <c r="J40" s="45">
        <v>18009</v>
      </c>
      <c r="K40" s="45">
        <v>21532</v>
      </c>
      <c r="L40" s="45">
        <v>22620</v>
      </c>
      <c r="M40" s="45">
        <v>23771</v>
      </c>
      <c r="N40" s="45">
        <v>23693</v>
      </c>
      <c r="O40" s="45">
        <v>20183</v>
      </c>
      <c r="P40" s="45">
        <v>24667</v>
      </c>
      <c r="Q40" s="45">
        <v>31357</v>
      </c>
      <c r="R40" s="45">
        <v>34444</v>
      </c>
      <c r="S40" s="45">
        <v>34164</v>
      </c>
      <c r="T40" s="45">
        <v>26414</v>
      </c>
      <c r="U40" s="45">
        <v>29932</v>
      </c>
      <c r="V40" s="45">
        <v>28589</v>
      </c>
      <c r="W40" s="45">
        <v>26721</v>
      </c>
      <c r="X40" s="45">
        <v>25622</v>
      </c>
      <c r="Y40" s="45">
        <v>23963</v>
      </c>
      <c r="Z40" s="45">
        <v>21413</v>
      </c>
      <c r="AA40" s="46">
        <f t="shared" si="0"/>
        <v>597783</v>
      </c>
      <c r="AB40" s="16">
        <v>4</v>
      </c>
      <c r="AC40" s="46">
        <f t="shared" si="1"/>
        <v>2391132</v>
      </c>
      <c r="AD40" s="81"/>
    </row>
    <row r="41" spans="1:30" x14ac:dyDescent="0.35">
      <c r="A41" s="78"/>
      <c r="B41" s="17" t="s">
        <v>41</v>
      </c>
      <c r="C41" s="45">
        <v>29045</v>
      </c>
      <c r="D41" s="45">
        <v>25838</v>
      </c>
      <c r="E41" s="45">
        <v>23390</v>
      </c>
      <c r="F41" s="45">
        <v>21408</v>
      </c>
      <c r="G41" s="45">
        <v>19958</v>
      </c>
      <c r="H41" s="45">
        <v>17936</v>
      </c>
      <c r="I41" s="45">
        <v>17714</v>
      </c>
      <c r="J41" s="45">
        <v>10297</v>
      </c>
      <c r="K41" s="45">
        <v>8512</v>
      </c>
      <c r="L41" s="45">
        <v>6903</v>
      </c>
      <c r="M41" s="45">
        <v>6644</v>
      </c>
      <c r="N41" s="45">
        <v>6871</v>
      </c>
      <c r="O41" s="45">
        <v>6668</v>
      </c>
      <c r="P41" s="45">
        <v>11120</v>
      </c>
      <c r="Q41" s="45">
        <v>17396</v>
      </c>
      <c r="R41" s="45">
        <v>21098</v>
      </c>
      <c r="S41" s="45">
        <v>22423</v>
      </c>
      <c r="T41" s="45">
        <v>17208</v>
      </c>
      <c r="U41" s="45">
        <v>21955</v>
      </c>
      <c r="V41" s="45">
        <v>23552</v>
      </c>
      <c r="W41" s="45">
        <v>24389</v>
      </c>
      <c r="X41" s="45">
        <v>24868</v>
      </c>
      <c r="Y41" s="45">
        <v>22579</v>
      </c>
      <c r="Z41" s="45">
        <v>18706</v>
      </c>
      <c r="AA41" s="46">
        <f t="shared" si="0"/>
        <v>426478</v>
      </c>
      <c r="AB41" s="16">
        <v>4</v>
      </c>
      <c r="AC41" s="46">
        <f t="shared" si="1"/>
        <v>1705912</v>
      </c>
      <c r="AD41" s="81"/>
    </row>
    <row r="42" spans="1:30" x14ac:dyDescent="0.35">
      <c r="A42" s="79"/>
      <c r="B42" s="18" t="s">
        <v>42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6">
        <f t="shared" si="0"/>
        <v>0</v>
      </c>
      <c r="AB42" s="16">
        <v>0</v>
      </c>
      <c r="AC42" s="46">
        <f t="shared" si="1"/>
        <v>0</v>
      </c>
      <c r="AD42" s="82"/>
    </row>
    <row r="43" spans="1:30" x14ac:dyDescent="0.35">
      <c r="A43" s="77">
        <v>46661</v>
      </c>
      <c r="B43" s="13" t="s">
        <v>39</v>
      </c>
      <c r="C43" s="45">
        <v>23325</v>
      </c>
      <c r="D43" s="45">
        <v>19966</v>
      </c>
      <c r="E43" s="45">
        <v>17547</v>
      </c>
      <c r="F43" s="45">
        <v>15845</v>
      </c>
      <c r="G43" s="45">
        <v>15367</v>
      </c>
      <c r="H43" s="45">
        <v>15363</v>
      </c>
      <c r="I43" s="45">
        <v>16810</v>
      </c>
      <c r="J43" s="45">
        <v>14785</v>
      </c>
      <c r="K43" s="45">
        <v>18674</v>
      </c>
      <c r="L43" s="45">
        <v>20335</v>
      </c>
      <c r="M43" s="45">
        <v>22139</v>
      </c>
      <c r="N43" s="45">
        <v>22259</v>
      </c>
      <c r="O43" s="45">
        <v>16914</v>
      </c>
      <c r="P43" s="45">
        <v>26567</v>
      </c>
      <c r="Q43" s="45">
        <v>37342</v>
      </c>
      <c r="R43" s="45">
        <v>40482</v>
      </c>
      <c r="S43" s="45">
        <v>39960</v>
      </c>
      <c r="T43" s="45">
        <v>29683</v>
      </c>
      <c r="U43" s="45">
        <v>29198</v>
      </c>
      <c r="V43" s="45">
        <v>26944</v>
      </c>
      <c r="W43" s="45">
        <v>25705</v>
      </c>
      <c r="X43" s="45">
        <v>24180</v>
      </c>
      <c r="Y43" s="45">
        <v>20475</v>
      </c>
      <c r="Z43" s="45">
        <v>15865</v>
      </c>
      <c r="AA43" s="46">
        <f t="shared" si="0"/>
        <v>555730</v>
      </c>
      <c r="AB43" s="16">
        <v>20</v>
      </c>
      <c r="AC43" s="46">
        <f t="shared" si="1"/>
        <v>11114600</v>
      </c>
      <c r="AD43" s="80">
        <f>+SUM(AC43:AC46)</f>
        <v>15262944</v>
      </c>
    </row>
    <row r="44" spans="1:30" x14ac:dyDescent="0.35">
      <c r="A44" s="78"/>
      <c r="B44" s="17" t="s">
        <v>40</v>
      </c>
      <c r="C44" s="45">
        <v>21755</v>
      </c>
      <c r="D44" s="45">
        <v>18387</v>
      </c>
      <c r="E44" s="45">
        <v>16003</v>
      </c>
      <c r="F44" s="45">
        <v>14110</v>
      </c>
      <c r="G44" s="45">
        <v>13348</v>
      </c>
      <c r="H44" s="45">
        <v>12310</v>
      </c>
      <c r="I44" s="45">
        <v>13471</v>
      </c>
      <c r="J44" s="45">
        <v>10465</v>
      </c>
      <c r="K44" s="45">
        <v>14396</v>
      </c>
      <c r="L44" s="45">
        <v>16048</v>
      </c>
      <c r="M44" s="45">
        <v>17143</v>
      </c>
      <c r="N44" s="45">
        <v>17261</v>
      </c>
      <c r="O44" s="45">
        <v>14582</v>
      </c>
      <c r="P44" s="45">
        <v>17875</v>
      </c>
      <c r="Q44" s="45">
        <v>23943</v>
      </c>
      <c r="R44" s="45">
        <v>26765</v>
      </c>
      <c r="S44" s="45">
        <v>27348</v>
      </c>
      <c r="T44" s="45">
        <v>21113</v>
      </c>
      <c r="U44" s="45">
        <v>23831</v>
      </c>
      <c r="V44" s="45">
        <v>21990</v>
      </c>
      <c r="W44" s="45">
        <v>20359</v>
      </c>
      <c r="X44" s="45">
        <v>18520</v>
      </c>
      <c r="Y44" s="45">
        <v>16267</v>
      </c>
      <c r="Z44" s="45">
        <v>13380</v>
      </c>
      <c r="AA44" s="46">
        <f t="shared" si="0"/>
        <v>430670</v>
      </c>
      <c r="AB44" s="16">
        <v>5</v>
      </c>
      <c r="AC44" s="46">
        <f t="shared" si="1"/>
        <v>2153350</v>
      </c>
      <c r="AD44" s="81"/>
    </row>
    <row r="45" spans="1:30" x14ac:dyDescent="0.35">
      <c r="A45" s="78"/>
      <c r="B45" s="17" t="s">
        <v>41</v>
      </c>
      <c r="C45" s="45">
        <v>23344</v>
      </c>
      <c r="D45" s="45">
        <v>20264</v>
      </c>
      <c r="E45" s="45">
        <v>17890</v>
      </c>
      <c r="F45" s="45">
        <v>15893</v>
      </c>
      <c r="G45" s="45">
        <v>14565</v>
      </c>
      <c r="H45" s="45">
        <v>12634</v>
      </c>
      <c r="I45" s="45">
        <v>12607</v>
      </c>
      <c r="J45" s="45">
        <v>4872</v>
      </c>
      <c r="K45" s="45">
        <v>3593</v>
      </c>
      <c r="L45" s="45">
        <v>3223</v>
      </c>
      <c r="M45" s="45">
        <v>2628</v>
      </c>
      <c r="N45" s="45">
        <v>3172</v>
      </c>
      <c r="O45" s="45">
        <v>3629</v>
      </c>
      <c r="P45" s="45">
        <v>7366</v>
      </c>
      <c r="Q45" s="45">
        <v>12628</v>
      </c>
      <c r="R45" s="45">
        <v>17082</v>
      </c>
      <c r="S45" s="45">
        <v>18824</v>
      </c>
      <c r="T45" s="45">
        <v>15473</v>
      </c>
      <c r="U45" s="45">
        <v>19401</v>
      </c>
      <c r="V45" s="45">
        <v>20082</v>
      </c>
      <c r="W45" s="45">
        <v>20404</v>
      </c>
      <c r="X45" s="45">
        <v>20269</v>
      </c>
      <c r="Y45" s="45">
        <v>17671</v>
      </c>
      <c r="Z45" s="45">
        <v>14072</v>
      </c>
      <c r="AA45" s="46">
        <f t="shared" si="0"/>
        <v>321586</v>
      </c>
      <c r="AB45" s="16">
        <v>5</v>
      </c>
      <c r="AC45" s="46">
        <f t="shared" si="1"/>
        <v>1607930</v>
      </c>
      <c r="AD45" s="81"/>
    </row>
    <row r="46" spans="1:30" x14ac:dyDescent="0.35">
      <c r="A46" s="79"/>
      <c r="B46" s="18" t="s">
        <v>42</v>
      </c>
      <c r="C46" s="45">
        <v>22378</v>
      </c>
      <c r="D46" s="45">
        <v>19258</v>
      </c>
      <c r="E46" s="45">
        <v>17092</v>
      </c>
      <c r="F46" s="45">
        <v>15611</v>
      </c>
      <c r="G46" s="45">
        <v>14886</v>
      </c>
      <c r="H46" s="45">
        <v>12729</v>
      </c>
      <c r="I46" s="45">
        <v>12534</v>
      </c>
      <c r="J46" s="45">
        <v>7510</v>
      </c>
      <c r="K46" s="45">
        <v>8114</v>
      </c>
      <c r="L46" s="45">
        <v>9158</v>
      </c>
      <c r="M46" s="45">
        <v>9496</v>
      </c>
      <c r="N46" s="45">
        <v>8614</v>
      </c>
      <c r="O46" s="45">
        <v>9482</v>
      </c>
      <c r="P46" s="45">
        <v>13748</v>
      </c>
      <c r="Q46" s="45">
        <v>20062</v>
      </c>
      <c r="R46" s="45">
        <v>22849</v>
      </c>
      <c r="S46" s="45">
        <v>23773</v>
      </c>
      <c r="T46" s="45">
        <v>18804</v>
      </c>
      <c r="U46" s="45">
        <v>22261</v>
      </c>
      <c r="V46" s="45">
        <v>22825</v>
      </c>
      <c r="W46" s="45">
        <v>22790</v>
      </c>
      <c r="X46" s="45">
        <v>21470</v>
      </c>
      <c r="Y46" s="45">
        <v>17923</v>
      </c>
      <c r="Z46" s="45">
        <v>13697</v>
      </c>
      <c r="AA46" s="46">
        <f t="shared" si="0"/>
        <v>387064</v>
      </c>
      <c r="AB46" s="16">
        <v>1</v>
      </c>
      <c r="AC46" s="46">
        <f t="shared" si="1"/>
        <v>387064</v>
      </c>
      <c r="AD46" s="82"/>
    </row>
    <row r="47" spans="1:30" x14ac:dyDescent="0.35">
      <c r="A47" s="77">
        <v>46692</v>
      </c>
      <c r="B47" s="13" t="s">
        <v>39</v>
      </c>
      <c r="C47" s="45">
        <v>23377</v>
      </c>
      <c r="D47" s="45">
        <v>20104</v>
      </c>
      <c r="E47" s="45">
        <v>17819</v>
      </c>
      <c r="F47" s="45">
        <v>16335</v>
      </c>
      <c r="G47" s="45">
        <v>16197</v>
      </c>
      <c r="H47" s="45">
        <v>16759</v>
      </c>
      <c r="I47" s="45">
        <v>18960</v>
      </c>
      <c r="J47" s="45">
        <v>17225</v>
      </c>
      <c r="K47" s="45">
        <v>20887</v>
      </c>
      <c r="L47" s="45">
        <v>22191</v>
      </c>
      <c r="M47" s="45">
        <v>23758</v>
      </c>
      <c r="N47" s="45">
        <v>23832</v>
      </c>
      <c r="O47" s="45">
        <v>18333</v>
      </c>
      <c r="P47" s="45">
        <v>27006</v>
      </c>
      <c r="Q47" s="45">
        <v>37311</v>
      </c>
      <c r="R47" s="45">
        <v>41351</v>
      </c>
      <c r="S47" s="45">
        <v>41230</v>
      </c>
      <c r="T47" s="45">
        <v>32213</v>
      </c>
      <c r="U47" s="45">
        <v>31651</v>
      </c>
      <c r="V47" s="45">
        <v>28841</v>
      </c>
      <c r="W47" s="45">
        <v>27333</v>
      </c>
      <c r="X47" s="45">
        <v>24974</v>
      </c>
      <c r="Y47" s="45">
        <v>20907</v>
      </c>
      <c r="Z47" s="45">
        <v>16077</v>
      </c>
      <c r="AA47" s="46">
        <f t="shared" si="0"/>
        <v>584671</v>
      </c>
      <c r="AB47" s="16">
        <v>20</v>
      </c>
      <c r="AC47" s="46">
        <f t="shared" si="1"/>
        <v>11693420</v>
      </c>
      <c r="AD47" s="80">
        <f>+SUM(AC47:AC50)</f>
        <v>16004038</v>
      </c>
    </row>
    <row r="48" spans="1:30" x14ac:dyDescent="0.35">
      <c r="A48" s="78"/>
      <c r="B48" s="17" t="s">
        <v>40</v>
      </c>
      <c r="C48" s="45">
        <v>24452</v>
      </c>
      <c r="D48" s="45">
        <v>21192</v>
      </c>
      <c r="E48" s="45">
        <v>18819</v>
      </c>
      <c r="F48" s="45">
        <v>17012</v>
      </c>
      <c r="G48" s="45">
        <v>16276</v>
      </c>
      <c r="H48" s="45">
        <v>15490</v>
      </c>
      <c r="I48" s="45">
        <v>16942</v>
      </c>
      <c r="J48" s="45">
        <v>14721</v>
      </c>
      <c r="K48" s="45">
        <v>18932</v>
      </c>
      <c r="L48" s="45">
        <v>20982</v>
      </c>
      <c r="M48" s="45">
        <v>21557</v>
      </c>
      <c r="N48" s="45">
        <v>21489</v>
      </c>
      <c r="O48" s="45">
        <v>18004</v>
      </c>
      <c r="P48" s="45">
        <v>21134</v>
      </c>
      <c r="Q48" s="45">
        <v>26797</v>
      </c>
      <c r="R48" s="45">
        <v>29506</v>
      </c>
      <c r="S48" s="45">
        <v>29892</v>
      </c>
      <c r="T48" s="45">
        <v>24273</v>
      </c>
      <c r="U48" s="45">
        <v>26138</v>
      </c>
      <c r="V48" s="45">
        <v>24041</v>
      </c>
      <c r="W48" s="45">
        <v>21952</v>
      </c>
      <c r="X48" s="45">
        <v>19527</v>
      </c>
      <c r="Y48" s="45">
        <v>17243</v>
      </c>
      <c r="Z48" s="45">
        <v>14230</v>
      </c>
      <c r="AA48" s="46">
        <f t="shared" si="0"/>
        <v>500601</v>
      </c>
      <c r="AB48" s="16">
        <v>4</v>
      </c>
      <c r="AC48" s="46">
        <f t="shared" si="1"/>
        <v>2002404</v>
      </c>
      <c r="AD48" s="81"/>
    </row>
    <row r="49" spans="1:30" x14ac:dyDescent="0.35">
      <c r="A49" s="78"/>
      <c r="B49" s="17" t="s">
        <v>41</v>
      </c>
      <c r="C49" s="45">
        <v>23097</v>
      </c>
      <c r="D49" s="45">
        <v>20128</v>
      </c>
      <c r="E49" s="45">
        <v>17986</v>
      </c>
      <c r="F49" s="45">
        <v>16133</v>
      </c>
      <c r="G49" s="45">
        <v>14990</v>
      </c>
      <c r="H49" s="45">
        <v>13532</v>
      </c>
      <c r="I49" s="45">
        <v>13750</v>
      </c>
      <c r="J49" s="45">
        <v>7248</v>
      </c>
      <c r="K49" s="45">
        <v>7080</v>
      </c>
      <c r="L49" s="45">
        <v>6895</v>
      </c>
      <c r="M49" s="45">
        <v>7119</v>
      </c>
      <c r="N49" s="45">
        <v>7154</v>
      </c>
      <c r="O49" s="45">
        <v>7768</v>
      </c>
      <c r="P49" s="45">
        <v>11079</v>
      </c>
      <c r="Q49" s="45">
        <v>15919</v>
      </c>
      <c r="R49" s="45">
        <v>18998</v>
      </c>
      <c r="S49" s="45">
        <v>20513</v>
      </c>
      <c r="T49" s="45">
        <v>18256</v>
      </c>
      <c r="U49" s="45">
        <v>21097</v>
      </c>
      <c r="V49" s="45">
        <v>21081</v>
      </c>
      <c r="W49" s="45">
        <v>20346</v>
      </c>
      <c r="X49" s="45">
        <v>19390</v>
      </c>
      <c r="Y49" s="45">
        <v>17189</v>
      </c>
      <c r="Z49" s="45">
        <v>13697</v>
      </c>
      <c r="AA49" s="46">
        <f t="shared" si="0"/>
        <v>360445</v>
      </c>
      <c r="AB49" s="16">
        <v>4</v>
      </c>
      <c r="AC49" s="46">
        <f t="shared" si="1"/>
        <v>1441780</v>
      </c>
      <c r="AD49" s="81"/>
    </row>
    <row r="50" spans="1:30" x14ac:dyDescent="0.35">
      <c r="A50" s="79"/>
      <c r="B50" s="18" t="s">
        <v>42</v>
      </c>
      <c r="C50" s="45">
        <v>22503</v>
      </c>
      <c r="D50" s="45">
        <v>19335</v>
      </c>
      <c r="E50" s="45">
        <v>17089</v>
      </c>
      <c r="F50" s="45">
        <v>15512</v>
      </c>
      <c r="G50" s="45">
        <v>14910</v>
      </c>
      <c r="H50" s="45">
        <v>13610</v>
      </c>
      <c r="I50" s="45">
        <v>13825</v>
      </c>
      <c r="J50" s="45">
        <v>8973</v>
      </c>
      <c r="K50" s="45">
        <v>9886</v>
      </c>
      <c r="L50" s="45">
        <v>11207</v>
      </c>
      <c r="M50" s="45">
        <v>12335</v>
      </c>
      <c r="N50" s="45">
        <v>12947</v>
      </c>
      <c r="O50" s="45">
        <v>12632</v>
      </c>
      <c r="P50" s="45">
        <v>17385</v>
      </c>
      <c r="Q50" s="45">
        <v>22446</v>
      </c>
      <c r="R50" s="45">
        <v>25478</v>
      </c>
      <c r="S50" s="45">
        <v>26583</v>
      </c>
      <c r="T50" s="45">
        <v>23056</v>
      </c>
      <c r="U50" s="45">
        <v>25865</v>
      </c>
      <c r="V50" s="45">
        <v>25632</v>
      </c>
      <c r="W50" s="45">
        <v>24640</v>
      </c>
      <c r="X50" s="45">
        <v>22861</v>
      </c>
      <c r="Y50" s="45">
        <v>19304</v>
      </c>
      <c r="Z50" s="45">
        <v>15203</v>
      </c>
      <c r="AA50" s="46">
        <f t="shared" si="0"/>
        <v>433217</v>
      </c>
      <c r="AB50" s="16">
        <v>2</v>
      </c>
      <c r="AC50" s="46">
        <f t="shared" si="1"/>
        <v>866434</v>
      </c>
      <c r="AD50" s="82"/>
    </row>
    <row r="51" spans="1:30" x14ac:dyDescent="0.35">
      <c r="A51" s="77">
        <v>46722</v>
      </c>
      <c r="B51" s="13" t="s">
        <v>39</v>
      </c>
      <c r="C51" s="45">
        <v>40643</v>
      </c>
      <c r="D51" s="45">
        <v>37445</v>
      </c>
      <c r="E51" s="45">
        <v>35227</v>
      </c>
      <c r="F51" s="45">
        <v>33604</v>
      </c>
      <c r="G51" s="45">
        <v>33068</v>
      </c>
      <c r="H51" s="45">
        <v>33123</v>
      </c>
      <c r="I51" s="45">
        <v>33940</v>
      </c>
      <c r="J51" s="45">
        <v>31298</v>
      </c>
      <c r="K51" s="45">
        <v>34320</v>
      </c>
      <c r="L51" s="45">
        <v>35660</v>
      </c>
      <c r="M51" s="45">
        <v>36745</v>
      </c>
      <c r="N51" s="45">
        <v>36857</v>
      </c>
      <c r="O51" s="45">
        <v>32833</v>
      </c>
      <c r="P51" s="45">
        <v>39415</v>
      </c>
      <c r="Q51" s="45">
        <v>49049</v>
      </c>
      <c r="R51" s="45">
        <v>53120</v>
      </c>
      <c r="S51" s="45">
        <v>53830</v>
      </c>
      <c r="T51" s="45">
        <v>44764</v>
      </c>
      <c r="U51" s="45">
        <v>46362</v>
      </c>
      <c r="V51" s="45">
        <v>43988</v>
      </c>
      <c r="W51" s="45">
        <v>41851</v>
      </c>
      <c r="X51" s="45">
        <v>40039</v>
      </c>
      <c r="Y51" s="45">
        <v>37237</v>
      </c>
      <c r="Z51" s="45">
        <v>33490</v>
      </c>
      <c r="AA51" s="46">
        <f t="shared" si="0"/>
        <v>937908</v>
      </c>
      <c r="AB51" s="16">
        <v>22</v>
      </c>
      <c r="AC51" s="46">
        <f t="shared" si="1"/>
        <v>20633976</v>
      </c>
      <c r="AD51" s="80">
        <f>+SUM(AC51:AC54)</f>
        <v>27710319</v>
      </c>
    </row>
    <row r="52" spans="1:30" x14ac:dyDescent="0.35">
      <c r="A52" s="78"/>
      <c r="B52" s="17" t="s">
        <v>40</v>
      </c>
      <c r="C52" s="45">
        <v>42238</v>
      </c>
      <c r="D52" s="45">
        <v>38764</v>
      </c>
      <c r="E52" s="45">
        <v>36264</v>
      </c>
      <c r="F52" s="45">
        <v>34381</v>
      </c>
      <c r="G52" s="45">
        <v>33477</v>
      </c>
      <c r="H52" s="45">
        <v>33199</v>
      </c>
      <c r="I52" s="45">
        <v>33559</v>
      </c>
      <c r="J52" s="45">
        <v>29337</v>
      </c>
      <c r="K52" s="45">
        <v>31896</v>
      </c>
      <c r="L52" s="45">
        <v>32835</v>
      </c>
      <c r="M52" s="45">
        <v>33662</v>
      </c>
      <c r="N52" s="45">
        <v>33625</v>
      </c>
      <c r="O52" s="45">
        <v>32088</v>
      </c>
      <c r="P52" s="45">
        <v>35978</v>
      </c>
      <c r="Q52" s="45">
        <v>42144</v>
      </c>
      <c r="R52" s="45">
        <v>45501</v>
      </c>
      <c r="S52" s="45">
        <v>46212</v>
      </c>
      <c r="T52" s="45">
        <v>40940</v>
      </c>
      <c r="U52" s="45">
        <v>44976</v>
      </c>
      <c r="V52" s="45">
        <v>43783</v>
      </c>
      <c r="W52" s="45">
        <v>40930</v>
      </c>
      <c r="X52" s="45">
        <v>38301</v>
      </c>
      <c r="Y52" s="45">
        <v>35994</v>
      </c>
      <c r="Z52" s="45">
        <v>33281</v>
      </c>
      <c r="AA52" s="46">
        <f t="shared" si="0"/>
        <v>893365</v>
      </c>
      <c r="AB52" s="16">
        <v>3</v>
      </c>
      <c r="AC52" s="46">
        <f t="shared" si="1"/>
        <v>2680095</v>
      </c>
      <c r="AD52" s="81"/>
    </row>
    <row r="53" spans="1:30" x14ac:dyDescent="0.35">
      <c r="A53" s="78"/>
      <c r="B53" s="17" t="s">
        <v>41</v>
      </c>
      <c r="C53" s="45">
        <v>43317</v>
      </c>
      <c r="D53" s="45">
        <v>40073</v>
      </c>
      <c r="E53" s="45">
        <v>37594</v>
      </c>
      <c r="F53" s="45">
        <v>35691</v>
      </c>
      <c r="G53" s="45">
        <v>34512</v>
      </c>
      <c r="H53" s="45">
        <v>32321</v>
      </c>
      <c r="I53" s="45">
        <v>31652</v>
      </c>
      <c r="J53" s="45">
        <v>24597</v>
      </c>
      <c r="K53" s="45">
        <v>23913</v>
      </c>
      <c r="L53" s="45">
        <v>23722</v>
      </c>
      <c r="M53" s="45">
        <v>23462</v>
      </c>
      <c r="N53" s="45">
        <v>23545</v>
      </c>
      <c r="O53" s="45">
        <v>23568</v>
      </c>
      <c r="P53" s="45">
        <v>27155</v>
      </c>
      <c r="Q53" s="45">
        <v>32604</v>
      </c>
      <c r="R53" s="45">
        <v>37331</v>
      </c>
      <c r="S53" s="45">
        <v>39114</v>
      </c>
      <c r="T53" s="45">
        <v>36111</v>
      </c>
      <c r="U53" s="45">
        <v>41020</v>
      </c>
      <c r="V53" s="45">
        <v>40350</v>
      </c>
      <c r="W53" s="45">
        <v>38468</v>
      </c>
      <c r="X53" s="45">
        <v>36315</v>
      </c>
      <c r="Y53" s="45">
        <v>33438</v>
      </c>
      <c r="Z53" s="45">
        <v>30385</v>
      </c>
      <c r="AA53" s="46">
        <f t="shared" si="0"/>
        <v>790258</v>
      </c>
      <c r="AB53" s="16">
        <v>4</v>
      </c>
      <c r="AC53" s="46">
        <f t="shared" si="1"/>
        <v>3161032</v>
      </c>
      <c r="AD53" s="81"/>
    </row>
    <row r="54" spans="1:30" x14ac:dyDescent="0.35">
      <c r="A54" s="79"/>
      <c r="B54" s="18" t="s">
        <v>42</v>
      </c>
      <c r="C54" s="45">
        <v>32916</v>
      </c>
      <c r="D54" s="45">
        <v>31134</v>
      </c>
      <c r="E54" s="45">
        <v>29730</v>
      </c>
      <c r="F54" s="45">
        <v>28364</v>
      </c>
      <c r="G54" s="45">
        <v>27506</v>
      </c>
      <c r="H54" s="45">
        <v>26589</v>
      </c>
      <c r="I54" s="45">
        <v>25547</v>
      </c>
      <c r="J54" s="45">
        <v>18438</v>
      </c>
      <c r="K54" s="45">
        <v>17242</v>
      </c>
      <c r="L54" s="45">
        <v>16873</v>
      </c>
      <c r="M54" s="45">
        <v>16453</v>
      </c>
      <c r="N54" s="45">
        <v>16109</v>
      </c>
      <c r="O54" s="45">
        <v>16632</v>
      </c>
      <c r="P54" s="45">
        <v>20520</v>
      </c>
      <c r="Q54" s="45">
        <v>25310</v>
      </c>
      <c r="R54" s="45">
        <v>28941</v>
      </c>
      <c r="S54" s="45">
        <v>30820</v>
      </c>
      <c r="T54" s="45">
        <v>27372</v>
      </c>
      <c r="U54" s="45">
        <v>32274</v>
      </c>
      <c r="V54" s="45">
        <v>32811</v>
      </c>
      <c r="W54" s="45">
        <v>31699</v>
      </c>
      <c r="X54" s="45">
        <v>30543</v>
      </c>
      <c r="Y54" s="45">
        <v>28504</v>
      </c>
      <c r="Z54" s="45">
        <v>25281</v>
      </c>
      <c r="AA54" s="46">
        <f t="shared" si="0"/>
        <v>617608</v>
      </c>
      <c r="AB54" s="16">
        <v>2</v>
      </c>
      <c r="AC54" s="46">
        <f t="shared" si="1"/>
        <v>1235216</v>
      </c>
      <c r="AD54" s="82"/>
    </row>
    <row r="55" spans="1:30" x14ac:dyDescent="0.35">
      <c r="AC55" s="25"/>
      <c r="AD55" s="47">
        <f>SUM(AD7:AD51)</f>
        <v>245991904</v>
      </c>
    </row>
  </sheetData>
  <mergeCells count="28">
    <mergeCell ref="AD7:AD10"/>
    <mergeCell ref="A1:D1"/>
    <mergeCell ref="A2:L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7:Z54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9F6E-D379-495A-BB97-26BFF67AF468}">
  <sheetPr>
    <tabColor rgb="FF92D050"/>
  </sheetPr>
  <dimension ref="C1:G22"/>
  <sheetViews>
    <sheetView showGridLines="0" topLeftCell="A11" workbookViewId="0">
      <selection activeCell="D20" sqref="D20:D2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76" t="s">
        <v>44</v>
      </c>
      <c r="D1" s="76"/>
      <c r="E1" s="76"/>
      <c r="F1" s="76"/>
      <c r="G1" s="76"/>
    </row>
    <row r="2" spans="3:7" x14ac:dyDescent="0.35">
      <c r="C2" s="76"/>
      <c r="D2" s="76"/>
      <c r="E2" s="76"/>
      <c r="F2" s="76"/>
      <c r="G2" s="76"/>
    </row>
    <row r="3" spans="3:7" ht="15" thickBot="1" x14ac:dyDescent="0.4"/>
    <row r="4" spans="3:7" ht="15" thickBot="1" x14ac:dyDescent="0.4">
      <c r="C4" s="67" t="s">
        <v>4</v>
      </c>
      <c r="D4" s="68"/>
      <c r="E4" s="68"/>
      <c r="F4" s="68"/>
      <c r="G4" s="69"/>
    </row>
    <row r="5" spans="3:7" ht="32" thickBot="1" x14ac:dyDescent="0.4">
      <c r="C5" s="23" t="s">
        <v>0</v>
      </c>
      <c r="D5" s="23" t="s">
        <v>5</v>
      </c>
      <c r="E5" s="23" t="s">
        <v>1</v>
      </c>
      <c r="F5" s="23" t="s">
        <v>6</v>
      </c>
      <c r="G5" s="23" t="s">
        <v>2</v>
      </c>
    </row>
    <row r="6" spans="3:7" x14ac:dyDescent="0.35">
      <c r="C6" s="3">
        <v>46388</v>
      </c>
      <c r="D6" s="4">
        <f>+VLOOKUP(C6,'PLANA P2'!$A$4:$AD$55,30,FALSE)</f>
        <v>24552000</v>
      </c>
      <c r="E6" s="70" t="s">
        <v>1</v>
      </c>
      <c r="F6" s="1"/>
      <c r="G6" s="73" t="s">
        <v>3</v>
      </c>
    </row>
    <row r="7" spans="3:7" x14ac:dyDescent="0.35">
      <c r="C7" s="3">
        <v>46419</v>
      </c>
      <c r="D7" s="4">
        <f>+VLOOKUP(C7,'PLANA P2'!$A$4:$AD$55,30,FALSE)</f>
        <v>22176000</v>
      </c>
      <c r="E7" s="71"/>
      <c r="F7" s="1"/>
      <c r="G7" s="74"/>
    </row>
    <row r="8" spans="3:7" x14ac:dyDescent="0.35">
      <c r="C8" s="3">
        <v>46447</v>
      </c>
      <c r="D8" s="4">
        <f>+VLOOKUP(C8,'PLANA P2'!$A$4:$AD$55,30,FALSE)</f>
        <v>24552000</v>
      </c>
      <c r="E8" s="71"/>
      <c r="F8" s="1"/>
      <c r="G8" s="74"/>
    </row>
    <row r="9" spans="3:7" x14ac:dyDescent="0.35">
      <c r="C9" s="3">
        <v>46478</v>
      </c>
      <c r="D9" s="4">
        <f>+VLOOKUP(C9,'PLANA P2'!$A$4:$AD$55,30,FALSE)</f>
        <v>23760000</v>
      </c>
      <c r="E9" s="71"/>
      <c r="F9" s="1"/>
      <c r="G9" s="74"/>
    </row>
    <row r="10" spans="3:7" x14ac:dyDescent="0.35">
      <c r="C10" s="3">
        <v>46508</v>
      </c>
      <c r="D10" s="4">
        <f>+VLOOKUP(C10,'PLANA P2'!$A$4:$AD$55,30,FALSE)</f>
        <v>24552000</v>
      </c>
      <c r="E10" s="71"/>
      <c r="F10" s="1"/>
      <c r="G10" s="74"/>
    </row>
    <row r="11" spans="3:7" x14ac:dyDescent="0.35">
      <c r="C11" s="3">
        <v>46539</v>
      </c>
      <c r="D11" s="4">
        <f>+VLOOKUP(C11,'PLANA P2'!$A$4:$AD$55,30,FALSE)</f>
        <v>23760000</v>
      </c>
      <c r="E11" s="71"/>
      <c r="F11" s="1"/>
      <c r="G11" s="74"/>
    </row>
    <row r="12" spans="3:7" x14ac:dyDescent="0.35">
      <c r="C12" s="3">
        <v>46569</v>
      </c>
      <c r="D12" s="4">
        <f>+VLOOKUP(C12,'PLANA P2'!$A$4:$AD$55,30,FALSE)</f>
        <v>24552000</v>
      </c>
      <c r="E12" s="71"/>
      <c r="F12" s="1"/>
      <c r="G12" s="74"/>
    </row>
    <row r="13" spans="3:7" x14ac:dyDescent="0.35">
      <c r="C13" s="3">
        <v>46600</v>
      </c>
      <c r="D13" s="4">
        <f>+VLOOKUP(C13,'PLANA P2'!$A$4:$AD$55,30,FALSE)</f>
        <v>24552000</v>
      </c>
      <c r="E13" s="71"/>
      <c r="F13" s="1"/>
      <c r="G13" s="74"/>
    </row>
    <row r="14" spans="3:7" x14ac:dyDescent="0.35">
      <c r="C14" s="3">
        <v>46631</v>
      </c>
      <c r="D14" s="4">
        <f>+VLOOKUP(C14,'PLANA P2'!$A$4:$AD$55,30,FALSE)</f>
        <v>23760000</v>
      </c>
      <c r="E14" s="71"/>
      <c r="F14" s="1"/>
      <c r="G14" s="74"/>
    </row>
    <row r="15" spans="3:7" x14ac:dyDescent="0.35">
      <c r="C15" s="3">
        <v>46661</v>
      </c>
      <c r="D15" s="4">
        <f>+VLOOKUP(C15,'PLANA P2'!$A$4:$AD$55,30,FALSE)</f>
        <v>24552000</v>
      </c>
      <c r="E15" s="71"/>
      <c r="F15" s="1"/>
      <c r="G15" s="74"/>
    </row>
    <row r="16" spans="3:7" x14ac:dyDescent="0.35">
      <c r="C16" s="3">
        <v>46692</v>
      </c>
      <c r="D16" s="4">
        <f>+VLOOKUP(C16,'PLANA P2'!$A$4:$AD$55,30,FALSE)</f>
        <v>23760000</v>
      </c>
      <c r="E16" s="71"/>
      <c r="F16" s="1"/>
      <c r="G16" s="74"/>
    </row>
    <row r="17" spans="3:7" ht="15" thickBot="1" x14ac:dyDescent="0.4">
      <c r="C17" s="5">
        <v>46722</v>
      </c>
      <c r="D17" s="6">
        <f>+VLOOKUP(C17,'PLANA P2'!$A$4:$AD$55,30,FALSE)</f>
        <v>24552000</v>
      </c>
      <c r="E17" s="72"/>
      <c r="F17" s="7"/>
      <c r="G17" s="75"/>
    </row>
    <row r="18" spans="3:7" ht="15" thickBot="1" x14ac:dyDescent="0.4">
      <c r="D18" s="26">
        <f>SUM(D6:D17)</f>
        <v>289080000</v>
      </c>
    </row>
    <row r="19" spans="3:7" x14ac:dyDescent="0.35">
      <c r="D19" s="21"/>
    </row>
    <row r="22" spans="3:7" x14ac:dyDescent="0.35">
      <c r="F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B2E0-9592-4D63-B204-317ADE41A917}">
  <dimension ref="A1:AD55"/>
  <sheetViews>
    <sheetView showGridLines="0" topLeftCell="T1" zoomScale="84" zoomScaleNormal="84" workbookViewId="0">
      <selection activeCell="AD58" sqref="AD58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9.54296875" bestFit="1" customWidth="1"/>
    <col min="27" max="27" width="10.453125" bestFit="1" customWidth="1"/>
    <col min="28" max="28" width="10.6328125" bestFit="1" customWidth="1"/>
    <col min="29" max="29" width="12.81640625" bestFit="1" customWidth="1"/>
    <col min="30" max="30" width="16" bestFit="1" customWidth="1"/>
  </cols>
  <sheetData>
    <row r="1" spans="1:30" x14ac:dyDescent="0.35">
      <c r="A1" s="83" t="s">
        <v>8</v>
      </c>
      <c r="B1" s="83"/>
      <c r="C1" s="83"/>
      <c r="D1" s="83"/>
    </row>
    <row r="2" spans="1:30" x14ac:dyDescent="0.35">
      <c r="A2" s="84" t="s">
        <v>43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4" spans="1:30" x14ac:dyDescent="0.35">
      <c r="A4" s="85" t="s">
        <v>9</v>
      </c>
      <c r="B4" s="85"/>
      <c r="C4" s="86">
        <f>+AD55</f>
        <v>289080000</v>
      </c>
      <c r="D4" s="8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11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35">
      <c r="A7" s="77">
        <v>46388</v>
      </c>
      <c r="B7" s="13" t="s">
        <v>39</v>
      </c>
      <c r="C7" s="49">
        <v>33000</v>
      </c>
      <c r="D7" s="49">
        <v>33000</v>
      </c>
      <c r="E7" s="49">
        <v>33000</v>
      </c>
      <c r="F7" s="49">
        <v>33000</v>
      </c>
      <c r="G7" s="49">
        <v>33000</v>
      </c>
      <c r="H7" s="49">
        <v>33000</v>
      </c>
      <c r="I7" s="49">
        <v>33000</v>
      </c>
      <c r="J7" s="49">
        <v>33000</v>
      </c>
      <c r="K7" s="49">
        <v>33000</v>
      </c>
      <c r="L7" s="49">
        <v>33000</v>
      </c>
      <c r="M7" s="49">
        <v>33000</v>
      </c>
      <c r="N7" s="49">
        <v>33000</v>
      </c>
      <c r="O7" s="49">
        <v>33000</v>
      </c>
      <c r="P7" s="49">
        <v>33000</v>
      </c>
      <c r="Q7" s="49">
        <v>33000</v>
      </c>
      <c r="R7" s="49">
        <v>33000</v>
      </c>
      <c r="S7" s="49">
        <v>33000</v>
      </c>
      <c r="T7" s="49">
        <v>33000</v>
      </c>
      <c r="U7" s="49">
        <v>33000</v>
      </c>
      <c r="V7" s="49">
        <v>33000</v>
      </c>
      <c r="W7" s="49">
        <v>33000</v>
      </c>
      <c r="X7" s="49">
        <v>33000</v>
      </c>
      <c r="Y7" s="49">
        <v>33000</v>
      </c>
      <c r="Z7" s="49">
        <v>33000</v>
      </c>
      <c r="AA7" s="50">
        <f>SUM(C7:Z7)</f>
        <v>792000</v>
      </c>
      <c r="AB7" s="51">
        <v>19</v>
      </c>
      <c r="AC7" s="50">
        <f>+AA7*AB7</f>
        <v>15048000</v>
      </c>
      <c r="AD7" s="88">
        <f>+SUM(AC7:AC10)</f>
        <v>24552000</v>
      </c>
    </row>
    <row r="8" spans="1:30" x14ac:dyDescent="0.35">
      <c r="A8" s="78"/>
      <c r="B8" s="17" t="s">
        <v>40</v>
      </c>
      <c r="C8" s="49">
        <v>33000</v>
      </c>
      <c r="D8" s="49">
        <v>33000</v>
      </c>
      <c r="E8" s="49">
        <v>33000</v>
      </c>
      <c r="F8" s="49">
        <v>33000</v>
      </c>
      <c r="G8" s="49">
        <v>33000</v>
      </c>
      <c r="H8" s="49">
        <v>33000</v>
      </c>
      <c r="I8" s="49">
        <v>33000</v>
      </c>
      <c r="J8" s="49">
        <v>33000</v>
      </c>
      <c r="K8" s="49">
        <v>33000</v>
      </c>
      <c r="L8" s="49">
        <v>33000</v>
      </c>
      <c r="M8" s="49">
        <v>33000</v>
      </c>
      <c r="N8" s="49">
        <v>33000</v>
      </c>
      <c r="O8" s="49">
        <v>33000</v>
      </c>
      <c r="P8" s="49">
        <v>33000</v>
      </c>
      <c r="Q8" s="49">
        <v>33000</v>
      </c>
      <c r="R8" s="49">
        <v>33000</v>
      </c>
      <c r="S8" s="49">
        <v>33000</v>
      </c>
      <c r="T8" s="49">
        <v>33000</v>
      </c>
      <c r="U8" s="49">
        <v>33000</v>
      </c>
      <c r="V8" s="49">
        <v>33000</v>
      </c>
      <c r="W8" s="49">
        <v>33000</v>
      </c>
      <c r="X8" s="49">
        <v>33000</v>
      </c>
      <c r="Y8" s="49">
        <v>33000</v>
      </c>
      <c r="Z8" s="49">
        <v>33000</v>
      </c>
      <c r="AA8" s="50">
        <f t="shared" ref="AA8:AA54" si="0">SUM(C8:Z8)</f>
        <v>792000</v>
      </c>
      <c r="AB8" s="51">
        <v>5</v>
      </c>
      <c r="AC8" s="50">
        <f t="shared" ref="AC8:AC54" si="1">+AA8*AB8</f>
        <v>3960000</v>
      </c>
      <c r="AD8" s="89"/>
    </row>
    <row r="9" spans="1:30" x14ac:dyDescent="0.35">
      <c r="A9" s="78"/>
      <c r="B9" s="17" t="s">
        <v>41</v>
      </c>
      <c r="C9" s="49">
        <v>33000</v>
      </c>
      <c r="D9" s="49">
        <v>33000</v>
      </c>
      <c r="E9" s="49">
        <v>33000</v>
      </c>
      <c r="F9" s="49">
        <v>33000</v>
      </c>
      <c r="G9" s="49">
        <v>33000</v>
      </c>
      <c r="H9" s="49">
        <v>33000</v>
      </c>
      <c r="I9" s="49">
        <v>33000</v>
      </c>
      <c r="J9" s="49">
        <v>33000</v>
      </c>
      <c r="K9" s="49">
        <v>33000</v>
      </c>
      <c r="L9" s="49">
        <v>33000</v>
      </c>
      <c r="M9" s="49">
        <v>33000</v>
      </c>
      <c r="N9" s="49">
        <v>33000</v>
      </c>
      <c r="O9" s="49">
        <v>33000</v>
      </c>
      <c r="P9" s="49">
        <v>33000</v>
      </c>
      <c r="Q9" s="49">
        <v>33000</v>
      </c>
      <c r="R9" s="49">
        <v>33000</v>
      </c>
      <c r="S9" s="49">
        <v>33000</v>
      </c>
      <c r="T9" s="49">
        <v>33000</v>
      </c>
      <c r="U9" s="49">
        <v>33000</v>
      </c>
      <c r="V9" s="49">
        <v>33000</v>
      </c>
      <c r="W9" s="49">
        <v>33000</v>
      </c>
      <c r="X9" s="49">
        <v>33000</v>
      </c>
      <c r="Y9" s="49">
        <v>33000</v>
      </c>
      <c r="Z9" s="49">
        <v>33000</v>
      </c>
      <c r="AA9" s="50">
        <f t="shared" si="0"/>
        <v>792000</v>
      </c>
      <c r="AB9" s="51">
        <v>5</v>
      </c>
      <c r="AC9" s="50">
        <f t="shared" si="1"/>
        <v>3960000</v>
      </c>
      <c r="AD9" s="89"/>
    </row>
    <row r="10" spans="1:30" x14ac:dyDescent="0.35">
      <c r="A10" s="79"/>
      <c r="B10" s="18" t="s">
        <v>42</v>
      </c>
      <c r="C10" s="49">
        <v>33000</v>
      </c>
      <c r="D10" s="49">
        <v>33000</v>
      </c>
      <c r="E10" s="49">
        <v>33000</v>
      </c>
      <c r="F10" s="49">
        <v>33000</v>
      </c>
      <c r="G10" s="49">
        <v>33000</v>
      </c>
      <c r="H10" s="49">
        <v>33000</v>
      </c>
      <c r="I10" s="49">
        <v>33000</v>
      </c>
      <c r="J10" s="49">
        <v>33000</v>
      </c>
      <c r="K10" s="49">
        <v>33000</v>
      </c>
      <c r="L10" s="49">
        <v>33000</v>
      </c>
      <c r="M10" s="49">
        <v>33000</v>
      </c>
      <c r="N10" s="49">
        <v>33000</v>
      </c>
      <c r="O10" s="49">
        <v>33000</v>
      </c>
      <c r="P10" s="49">
        <v>33000</v>
      </c>
      <c r="Q10" s="49">
        <v>33000</v>
      </c>
      <c r="R10" s="49">
        <v>33000</v>
      </c>
      <c r="S10" s="49">
        <v>33000</v>
      </c>
      <c r="T10" s="49">
        <v>33000</v>
      </c>
      <c r="U10" s="49">
        <v>33000</v>
      </c>
      <c r="V10" s="49">
        <v>33000</v>
      </c>
      <c r="W10" s="49">
        <v>33000</v>
      </c>
      <c r="X10" s="49">
        <v>33000</v>
      </c>
      <c r="Y10" s="49">
        <v>33000</v>
      </c>
      <c r="Z10" s="49">
        <v>33000</v>
      </c>
      <c r="AA10" s="50">
        <f t="shared" si="0"/>
        <v>792000</v>
      </c>
      <c r="AB10" s="51">
        <v>2</v>
      </c>
      <c r="AC10" s="50">
        <f t="shared" si="1"/>
        <v>1584000</v>
      </c>
      <c r="AD10" s="90"/>
    </row>
    <row r="11" spans="1:30" x14ac:dyDescent="0.35">
      <c r="A11" s="77">
        <v>46419</v>
      </c>
      <c r="B11" s="13" t="s">
        <v>39</v>
      </c>
      <c r="C11" s="49">
        <v>33000</v>
      </c>
      <c r="D11" s="49">
        <v>33000</v>
      </c>
      <c r="E11" s="49">
        <v>33000</v>
      </c>
      <c r="F11" s="49">
        <v>33000</v>
      </c>
      <c r="G11" s="49">
        <v>33000</v>
      </c>
      <c r="H11" s="49">
        <v>33000</v>
      </c>
      <c r="I11" s="49">
        <v>33000</v>
      </c>
      <c r="J11" s="49">
        <v>33000</v>
      </c>
      <c r="K11" s="49">
        <v>33000</v>
      </c>
      <c r="L11" s="49">
        <v>33000</v>
      </c>
      <c r="M11" s="49">
        <v>33000</v>
      </c>
      <c r="N11" s="49">
        <v>33000</v>
      </c>
      <c r="O11" s="49">
        <v>33000</v>
      </c>
      <c r="P11" s="49">
        <v>33000</v>
      </c>
      <c r="Q11" s="49">
        <v>33000</v>
      </c>
      <c r="R11" s="49">
        <v>33000</v>
      </c>
      <c r="S11" s="49">
        <v>33000</v>
      </c>
      <c r="T11" s="49">
        <v>33000</v>
      </c>
      <c r="U11" s="49">
        <v>33000</v>
      </c>
      <c r="V11" s="49">
        <v>33000</v>
      </c>
      <c r="W11" s="49">
        <v>33000</v>
      </c>
      <c r="X11" s="49">
        <v>33000</v>
      </c>
      <c r="Y11" s="49">
        <v>33000</v>
      </c>
      <c r="Z11" s="49">
        <v>33000</v>
      </c>
      <c r="AA11" s="50">
        <f t="shared" si="0"/>
        <v>792000</v>
      </c>
      <c r="AB11" s="51">
        <v>20</v>
      </c>
      <c r="AC11" s="50">
        <f t="shared" si="1"/>
        <v>15840000</v>
      </c>
      <c r="AD11" s="88">
        <f>+SUM(AC11:AC14)</f>
        <v>22176000</v>
      </c>
    </row>
    <row r="12" spans="1:30" x14ac:dyDescent="0.35">
      <c r="A12" s="78"/>
      <c r="B12" s="17" t="s">
        <v>40</v>
      </c>
      <c r="C12" s="49">
        <v>33000</v>
      </c>
      <c r="D12" s="49">
        <v>33000</v>
      </c>
      <c r="E12" s="49">
        <v>33000</v>
      </c>
      <c r="F12" s="49">
        <v>33000</v>
      </c>
      <c r="G12" s="49">
        <v>33000</v>
      </c>
      <c r="H12" s="49">
        <v>33000</v>
      </c>
      <c r="I12" s="49">
        <v>33000</v>
      </c>
      <c r="J12" s="49">
        <v>33000</v>
      </c>
      <c r="K12" s="49">
        <v>33000</v>
      </c>
      <c r="L12" s="49">
        <v>33000</v>
      </c>
      <c r="M12" s="49">
        <v>33000</v>
      </c>
      <c r="N12" s="49">
        <v>33000</v>
      </c>
      <c r="O12" s="49">
        <v>33000</v>
      </c>
      <c r="P12" s="49">
        <v>33000</v>
      </c>
      <c r="Q12" s="49">
        <v>33000</v>
      </c>
      <c r="R12" s="49">
        <v>33000</v>
      </c>
      <c r="S12" s="49">
        <v>33000</v>
      </c>
      <c r="T12" s="49">
        <v>33000</v>
      </c>
      <c r="U12" s="49">
        <v>33000</v>
      </c>
      <c r="V12" s="49">
        <v>33000</v>
      </c>
      <c r="W12" s="49">
        <v>33000</v>
      </c>
      <c r="X12" s="49">
        <v>33000</v>
      </c>
      <c r="Y12" s="49">
        <v>33000</v>
      </c>
      <c r="Z12" s="49">
        <v>33000</v>
      </c>
      <c r="AA12" s="50">
        <f t="shared" si="0"/>
        <v>792000</v>
      </c>
      <c r="AB12" s="51">
        <v>4</v>
      </c>
      <c r="AC12" s="50">
        <f t="shared" si="1"/>
        <v>3168000</v>
      </c>
      <c r="AD12" s="89"/>
    </row>
    <row r="13" spans="1:30" x14ac:dyDescent="0.35">
      <c r="A13" s="78"/>
      <c r="B13" s="17" t="s">
        <v>41</v>
      </c>
      <c r="C13" s="49">
        <v>33000</v>
      </c>
      <c r="D13" s="49">
        <v>33000</v>
      </c>
      <c r="E13" s="49">
        <v>33000</v>
      </c>
      <c r="F13" s="49">
        <v>33000</v>
      </c>
      <c r="G13" s="49">
        <v>33000</v>
      </c>
      <c r="H13" s="49">
        <v>33000</v>
      </c>
      <c r="I13" s="49">
        <v>33000</v>
      </c>
      <c r="J13" s="49">
        <v>33000</v>
      </c>
      <c r="K13" s="49">
        <v>33000</v>
      </c>
      <c r="L13" s="49">
        <v>33000</v>
      </c>
      <c r="M13" s="49">
        <v>33000</v>
      </c>
      <c r="N13" s="49">
        <v>33000</v>
      </c>
      <c r="O13" s="49">
        <v>33000</v>
      </c>
      <c r="P13" s="49">
        <v>33000</v>
      </c>
      <c r="Q13" s="49">
        <v>33000</v>
      </c>
      <c r="R13" s="49">
        <v>33000</v>
      </c>
      <c r="S13" s="49">
        <v>33000</v>
      </c>
      <c r="T13" s="49">
        <v>33000</v>
      </c>
      <c r="U13" s="49">
        <v>33000</v>
      </c>
      <c r="V13" s="49">
        <v>33000</v>
      </c>
      <c r="W13" s="49">
        <v>33000</v>
      </c>
      <c r="X13" s="49">
        <v>33000</v>
      </c>
      <c r="Y13" s="49">
        <v>33000</v>
      </c>
      <c r="Z13" s="49">
        <v>33000</v>
      </c>
      <c r="AA13" s="50">
        <f t="shared" si="0"/>
        <v>792000</v>
      </c>
      <c r="AB13" s="51">
        <v>4</v>
      </c>
      <c r="AC13" s="50">
        <f t="shared" si="1"/>
        <v>3168000</v>
      </c>
      <c r="AD13" s="89"/>
    </row>
    <row r="14" spans="1:30" x14ac:dyDescent="0.35">
      <c r="A14" s="79"/>
      <c r="B14" s="18" t="s">
        <v>42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50">
        <f t="shared" si="0"/>
        <v>0</v>
      </c>
      <c r="AB14" s="51">
        <v>0</v>
      </c>
      <c r="AC14" s="50">
        <f t="shared" si="1"/>
        <v>0</v>
      </c>
      <c r="AD14" s="90"/>
    </row>
    <row r="15" spans="1:30" x14ac:dyDescent="0.35">
      <c r="A15" s="77">
        <v>46447</v>
      </c>
      <c r="B15" s="13" t="s">
        <v>39</v>
      </c>
      <c r="C15" s="49">
        <v>33000</v>
      </c>
      <c r="D15" s="49">
        <v>33000</v>
      </c>
      <c r="E15" s="49">
        <v>33000</v>
      </c>
      <c r="F15" s="49">
        <v>33000</v>
      </c>
      <c r="G15" s="49">
        <v>33000</v>
      </c>
      <c r="H15" s="49">
        <v>33000</v>
      </c>
      <c r="I15" s="49">
        <v>33000</v>
      </c>
      <c r="J15" s="49">
        <v>33000</v>
      </c>
      <c r="K15" s="49">
        <v>33000</v>
      </c>
      <c r="L15" s="49">
        <v>33000</v>
      </c>
      <c r="M15" s="49">
        <v>33000</v>
      </c>
      <c r="N15" s="49">
        <v>33000</v>
      </c>
      <c r="O15" s="49">
        <v>33000</v>
      </c>
      <c r="P15" s="49">
        <v>33000</v>
      </c>
      <c r="Q15" s="49">
        <v>33000</v>
      </c>
      <c r="R15" s="49">
        <v>33000</v>
      </c>
      <c r="S15" s="49">
        <v>33000</v>
      </c>
      <c r="T15" s="49">
        <v>33000</v>
      </c>
      <c r="U15" s="49">
        <v>33000</v>
      </c>
      <c r="V15" s="49">
        <v>33000</v>
      </c>
      <c r="W15" s="49">
        <v>33000</v>
      </c>
      <c r="X15" s="49">
        <v>33000</v>
      </c>
      <c r="Y15" s="49">
        <v>33000</v>
      </c>
      <c r="Z15" s="49">
        <v>33000</v>
      </c>
      <c r="AA15" s="50">
        <f t="shared" si="0"/>
        <v>792000</v>
      </c>
      <c r="AB15" s="51">
        <v>20</v>
      </c>
      <c r="AC15" s="50">
        <f t="shared" si="1"/>
        <v>15840000</v>
      </c>
      <c r="AD15" s="88">
        <f>+SUM(AC15:AC18)</f>
        <v>24552000</v>
      </c>
    </row>
    <row r="16" spans="1:30" x14ac:dyDescent="0.35">
      <c r="A16" s="78"/>
      <c r="B16" s="17" t="s">
        <v>40</v>
      </c>
      <c r="C16" s="49">
        <v>33000</v>
      </c>
      <c r="D16" s="49">
        <v>33000</v>
      </c>
      <c r="E16" s="49">
        <v>33000</v>
      </c>
      <c r="F16" s="49">
        <v>33000</v>
      </c>
      <c r="G16" s="49">
        <v>33000</v>
      </c>
      <c r="H16" s="49">
        <v>33000</v>
      </c>
      <c r="I16" s="49">
        <v>33000</v>
      </c>
      <c r="J16" s="49">
        <v>33000</v>
      </c>
      <c r="K16" s="49">
        <v>33000</v>
      </c>
      <c r="L16" s="49">
        <v>33000</v>
      </c>
      <c r="M16" s="49">
        <v>33000</v>
      </c>
      <c r="N16" s="49">
        <v>33000</v>
      </c>
      <c r="O16" s="49">
        <v>33000</v>
      </c>
      <c r="P16" s="49">
        <v>33000</v>
      </c>
      <c r="Q16" s="49">
        <v>33000</v>
      </c>
      <c r="R16" s="49">
        <v>33000</v>
      </c>
      <c r="S16" s="49">
        <v>33000</v>
      </c>
      <c r="T16" s="49">
        <v>33000</v>
      </c>
      <c r="U16" s="49">
        <v>33000</v>
      </c>
      <c r="V16" s="49">
        <v>33000</v>
      </c>
      <c r="W16" s="49">
        <v>33000</v>
      </c>
      <c r="X16" s="49">
        <v>33000</v>
      </c>
      <c r="Y16" s="49">
        <v>33000</v>
      </c>
      <c r="Z16" s="49">
        <v>33000</v>
      </c>
      <c r="AA16" s="50">
        <f t="shared" si="0"/>
        <v>792000</v>
      </c>
      <c r="AB16" s="51">
        <v>4</v>
      </c>
      <c r="AC16" s="50">
        <f t="shared" si="1"/>
        <v>3168000</v>
      </c>
      <c r="AD16" s="89"/>
    </row>
    <row r="17" spans="1:30" x14ac:dyDescent="0.35">
      <c r="A17" s="78"/>
      <c r="B17" s="17" t="s">
        <v>41</v>
      </c>
      <c r="C17" s="49">
        <v>33000</v>
      </c>
      <c r="D17" s="49">
        <v>33000</v>
      </c>
      <c r="E17" s="49">
        <v>33000</v>
      </c>
      <c r="F17" s="49">
        <v>33000</v>
      </c>
      <c r="G17" s="49">
        <v>33000</v>
      </c>
      <c r="H17" s="49">
        <v>33000</v>
      </c>
      <c r="I17" s="49">
        <v>33000</v>
      </c>
      <c r="J17" s="49">
        <v>33000</v>
      </c>
      <c r="K17" s="49">
        <v>33000</v>
      </c>
      <c r="L17" s="49">
        <v>33000</v>
      </c>
      <c r="M17" s="49">
        <v>33000</v>
      </c>
      <c r="N17" s="49">
        <v>33000</v>
      </c>
      <c r="O17" s="49">
        <v>33000</v>
      </c>
      <c r="P17" s="49">
        <v>33000</v>
      </c>
      <c r="Q17" s="49">
        <v>33000</v>
      </c>
      <c r="R17" s="49">
        <v>33000</v>
      </c>
      <c r="S17" s="49">
        <v>33000</v>
      </c>
      <c r="T17" s="49">
        <v>33000</v>
      </c>
      <c r="U17" s="49">
        <v>33000</v>
      </c>
      <c r="V17" s="49">
        <v>33000</v>
      </c>
      <c r="W17" s="49">
        <v>33000</v>
      </c>
      <c r="X17" s="49">
        <v>33000</v>
      </c>
      <c r="Y17" s="49">
        <v>33000</v>
      </c>
      <c r="Z17" s="49">
        <v>33000</v>
      </c>
      <c r="AA17" s="50">
        <f t="shared" si="0"/>
        <v>792000</v>
      </c>
      <c r="AB17" s="51">
        <v>4</v>
      </c>
      <c r="AC17" s="50">
        <f t="shared" si="1"/>
        <v>3168000</v>
      </c>
      <c r="AD17" s="89"/>
    </row>
    <row r="18" spans="1:30" x14ac:dyDescent="0.35">
      <c r="A18" s="79"/>
      <c r="B18" s="18" t="s">
        <v>42</v>
      </c>
      <c r="C18" s="49">
        <v>33000</v>
      </c>
      <c r="D18" s="49">
        <v>33000</v>
      </c>
      <c r="E18" s="49">
        <v>33000</v>
      </c>
      <c r="F18" s="49">
        <v>33000</v>
      </c>
      <c r="G18" s="49">
        <v>33000</v>
      </c>
      <c r="H18" s="49">
        <v>33000</v>
      </c>
      <c r="I18" s="49">
        <v>33000</v>
      </c>
      <c r="J18" s="49">
        <v>33000</v>
      </c>
      <c r="K18" s="49">
        <v>33000</v>
      </c>
      <c r="L18" s="49">
        <v>33000</v>
      </c>
      <c r="M18" s="49">
        <v>33000</v>
      </c>
      <c r="N18" s="49">
        <v>33000</v>
      </c>
      <c r="O18" s="49">
        <v>33000</v>
      </c>
      <c r="P18" s="49">
        <v>33000</v>
      </c>
      <c r="Q18" s="49">
        <v>33000</v>
      </c>
      <c r="R18" s="49">
        <v>33000</v>
      </c>
      <c r="S18" s="49">
        <v>33000</v>
      </c>
      <c r="T18" s="49">
        <v>33000</v>
      </c>
      <c r="U18" s="49">
        <v>33000</v>
      </c>
      <c r="V18" s="49">
        <v>33000</v>
      </c>
      <c r="W18" s="49">
        <v>33000</v>
      </c>
      <c r="X18" s="49">
        <v>33000</v>
      </c>
      <c r="Y18" s="49">
        <v>33000</v>
      </c>
      <c r="Z18" s="49">
        <v>33000</v>
      </c>
      <c r="AA18" s="50">
        <f t="shared" si="0"/>
        <v>792000</v>
      </c>
      <c r="AB18" s="51">
        <v>3</v>
      </c>
      <c r="AC18" s="50">
        <f t="shared" si="1"/>
        <v>2376000</v>
      </c>
      <c r="AD18" s="90"/>
    </row>
    <row r="19" spans="1:30" x14ac:dyDescent="0.35">
      <c r="A19" s="77">
        <v>46478</v>
      </c>
      <c r="B19" s="13" t="s">
        <v>39</v>
      </c>
      <c r="C19" s="49">
        <v>33000</v>
      </c>
      <c r="D19" s="49">
        <v>33000</v>
      </c>
      <c r="E19" s="49">
        <v>33000</v>
      </c>
      <c r="F19" s="49">
        <v>33000</v>
      </c>
      <c r="G19" s="49">
        <v>33000</v>
      </c>
      <c r="H19" s="49">
        <v>33000</v>
      </c>
      <c r="I19" s="49">
        <v>33000</v>
      </c>
      <c r="J19" s="49">
        <v>33000</v>
      </c>
      <c r="K19" s="49">
        <v>33000</v>
      </c>
      <c r="L19" s="49">
        <v>33000</v>
      </c>
      <c r="M19" s="49">
        <v>33000</v>
      </c>
      <c r="N19" s="49">
        <v>33000</v>
      </c>
      <c r="O19" s="49">
        <v>33000</v>
      </c>
      <c r="P19" s="49">
        <v>33000</v>
      </c>
      <c r="Q19" s="49">
        <v>33000</v>
      </c>
      <c r="R19" s="49">
        <v>33000</v>
      </c>
      <c r="S19" s="49">
        <v>33000</v>
      </c>
      <c r="T19" s="49">
        <v>33000</v>
      </c>
      <c r="U19" s="49">
        <v>33000</v>
      </c>
      <c r="V19" s="49">
        <v>33000</v>
      </c>
      <c r="W19" s="49">
        <v>33000</v>
      </c>
      <c r="X19" s="49">
        <v>33000</v>
      </c>
      <c r="Y19" s="49">
        <v>33000</v>
      </c>
      <c r="Z19" s="49">
        <v>33000</v>
      </c>
      <c r="AA19" s="50">
        <f t="shared" si="0"/>
        <v>792000</v>
      </c>
      <c r="AB19" s="51">
        <v>22</v>
      </c>
      <c r="AC19" s="50">
        <f t="shared" si="1"/>
        <v>17424000</v>
      </c>
      <c r="AD19" s="88">
        <f>+SUM(AC19:AC22)</f>
        <v>23760000</v>
      </c>
    </row>
    <row r="20" spans="1:30" x14ac:dyDescent="0.35">
      <c r="A20" s="78"/>
      <c r="B20" s="17" t="s">
        <v>40</v>
      </c>
      <c r="C20" s="49">
        <v>33000</v>
      </c>
      <c r="D20" s="49">
        <v>33000</v>
      </c>
      <c r="E20" s="49">
        <v>33000</v>
      </c>
      <c r="F20" s="49">
        <v>33000</v>
      </c>
      <c r="G20" s="49">
        <v>33000</v>
      </c>
      <c r="H20" s="49">
        <v>33000</v>
      </c>
      <c r="I20" s="49">
        <v>33000</v>
      </c>
      <c r="J20" s="49">
        <v>33000</v>
      </c>
      <c r="K20" s="49">
        <v>33000</v>
      </c>
      <c r="L20" s="49">
        <v>33000</v>
      </c>
      <c r="M20" s="49">
        <v>33000</v>
      </c>
      <c r="N20" s="49">
        <v>33000</v>
      </c>
      <c r="O20" s="49">
        <v>33000</v>
      </c>
      <c r="P20" s="49">
        <v>33000</v>
      </c>
      <c r="Q20" s="49">
        <v>33000</v>
      </c>
      <c r="R20" s="49">
        <v>33000</v>
      </c>
      <c r="S20" s="49">
        <v>33000</v>
      </c>
      <c r="T20" s="49">
        <v>33000</v>
      </c>
      <c r="U20" s="49">
        <v>33000</v>
      </c>
      <c r="V20" s="49">
        <v>33000</v>
      </c>
      <c r="W20" s="49">
        <v>33000</v>
      </c>
      <c r="X20" s="49">
        <v>33000</v>
      </c>
      <c r="Y20" s="49">
        <v>33000</v>
      </c>
      <c r="Z20" s="49">
        <v>33000</v>
      </c>
      <c r="AA20" s="50">
        <f t="shared" si="0"/>
        <v>792000</v>
      </c>
      <c r="AB20" s="51">
        <v>4</v>
      </c>
      <c r="AC20" s="50">
        <f t="shared" si="1"/>
        <v>3168000</v>
      </c>
      <c r="AD20" s="89"/>
    </row>
    <row r="21" spans="1:30" x14ac:dyDescent="0.35">
      <c r="A21" s="78"/>
      <c r="B21" s="17" t="s">
        <v>41</v>
      </c>
      <c r="C21" s="49">
        <v>33000</v>
      </c>
      <c r="D21" s="49">
        <v>33000</v>
      </c>
      <c r="E21" s="49">
        <v>33000</v>
      </c>
      <c r="F21" s="49">
        <v>33000</v>
      </c>
      <c r="G21" s="49">
        <v>33000</v>
      </c>
      <c r="H21" s="49">
        <v>33000</v>
      </c>
      <c r="I21" s="49">
        <v>33000</v>
      </c>
      <c r="J21" s="49">
        <v>33000</v>
      </c>
      <c r="K21" s="49">
        <v>33000</v>
      </c>
      <c r="L21" s="49">
        <v>33000</v>
      </c>
      <c r="M21" s="49">
        <v>33000</v>
      </c>
      <c r="N21" s="49">
        <v>33000</v>
      </c>
      <c r="O21" s="49">
        <v>33000</v>
      </c>
      <c r="P21" s="49">
        <v>33000</v>
      </c>
      <c r="Q21" s="49">
        <v>33000</v>
      </c>
      <c r="R21" s="49">
        <v>33000</v>
      </c>
      <c r="S21" s="49">
        <v>33000</v>
      </c>
      <c r="T21" s="49">
        <v>33000</v>
      </c>
      <c r="U21" s="49">
        <v>33000</v>
      </c>
      <c r="V21" s="49">
        <v>33000</v>
      </c>
      <c r="W21" s="49">
        <v>33000</v>
      </c>
      <c r="X21" s="49">
        <v>33000</v>
      </c>
      <c r="Y21" s="49">
        <v>33000</v>
      </c>
      <c r="Z21" s="49">
        <v>33000</v>
      </c>
      <c r="AA21" s="50">
        <f t="shared" si="0"/>
        <v>792000</v>
      </c>
      <c r="AB21" s="51">
        <v>4</v>
      </c>
      <c r="AC21" s="50">
        <f t="shared" si="1"/>
        <v>3168000</v>
      </c>
      <c r="AD21" s="89"/>
    </row>
    <row r="22" spans="1:30" x14ac:dyDescent="0.35">
      <c r="A22" s="79"/>
      <c r="B22" s="18" t="s">
        <v>42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50">
        <f t="shared" si="0"/>
        <v>0</v>
      </c>
      <c r="AB22" s="51">
        <v>0</v>
      </c>
      <c r="AC22" s="50">
        <f t="shared" si="1"/>
        <v>0</v>
      </c>
      <c r="AD22" s="90"/>
    </row>
    <row r="23" spans="1:30" x14ac:dyDescent="0.35">
      <c r="A23" s="77">
        <v>46508</v>
      </c>
      <c r="B23" s="13" t="s">
        <v>39</v>
      </c>
      <c r="C23" s="49">
        <v>33000</v>
      </c>
      <c r="D23" s="49">
        <v>33000</v>
      </c>
      <c r="E23" s="49">
        <v>33000</v>
      </c>
      <c r="F23" s="49">
        <v>33000</v>
      </c>
      <c r="G23" s="49">
        <v>33000</v>
      </c>
      <c r="H23" s="49">
        <v>33000</v>
      </c>
      <c r="I23" s="49">
        <v>33000</v>
      </c>
      <c r="J23" s="49">
        <v>33000</v>
      </c>
      <c r="K23" s="49">
        <v>33000</v>
      </c>
      <c r="L23" s="49">
        <v>33000</v>
      </c>
      <c r="M23" s="49">
        <v>33000</v>
      </c>
      <c r="N23" s="49">
        <v>33000</v>
      </c>
      <c r="O23" s="49">
        <v>33000</v>
      </c>
      <c r="P23" s="49">
        <v>33000</v>
      </c>
      <c r="Q23" s="49">
        <v>33000</v>
      </c>
      <c r="R23" s="49">
        <v>33000</v>
      </c>
      <c r="S23" s="49">
        <v>33000</v>
      </c>
      <c r="T23" s="49">
        <v>33000</v>
      </c>
      <c r="U23" s="49">
        <v>33000</v>
      </c>
      <c r="V23" s="49">
        <v>33000</v>
      </c>
      <c r="W23" s="49">
        <v>33000</v>
      </c>
      <c r="X23" s="49">
        <v>33000</v>
      </c>
      <c r="Y23" s="49">
        <v>33000</v>
      </c>
      <c r="Z23" s="49">
        <v>33000</v>
      </c>
      <c r="AA23" s="50">
        <f t="shared" si="0"/>
        <v>792000</v>
      </c>
      <c r="AB23" s="51">
        <v>19</v>
      </c>
      <c r="AC23" s="50">
        <f t="shared" si="1"/>
        <v>15048000</v>
      </c>
      <c r="AD23" s="88">
        <f>+SUM(AC23:AC26)</f>
        <v>24552000</v>
      </c>
    </row>
    <row r="24" spans="1:30" x14ac:dyDescent="0.35">
      <c r="A24" s="78"/>
      <c r="B24" s="17" t="s">
        <v>40</v>
      </c>
      <c r="C24" s="49">
        <v>33000</v>
      </c>
      <c r="D24" s="49">
        <v>33000</v>
      </c>
      <c r="E24" s="49">
        <v>33000</v>
      </c>
      <c r="F24" s="49">
        <v>33000</v>
      </c>
      <c r="G24" s="49">
        <v>33000</v>
      </c>
      <c r="H24" s="49">
        <v>33000</v>
      </c>
      <c r="I24" s="49">
        <v>33000</v>
      </c>
      <c r="J24" s="49">
        <v>33000</v>
      </c>
      <c r="K24" s="49">
        <v>33000</v>
      </c>
      <c r="L24" s="49">
        <v>33000</v>
      </c>
      <c r="M24" s="49">
        <v>33000</v>
      </c>
      <c r="N24" s="49">
        <v>33000</v>
      </c>
      <c r="O24" s="49">
        <v>33000</v>
      </c>
      <c r="P24" s="49">
        <v>33000</v>
      </c>
      <c r="Q24" s="49">
        <v>33000</v>
      </c>
      <c r="R24" s="49">
        <v>33000</v>
      </c>
      <c r="S24" s="49">
        <v>33000</v>
      </c>
      <c r="T24" s="49">
        <v>33000</v>
      </c>
      <c r="U24" s="49">
        <v>33000</v>
      </c>
      <c r="V24" s="49">
        <v>33000</v>
      </c>
      <c r="W24" s="49">
        <v>33000</v>
      </c>
      <c r="X24" s="49">
        <v>33000</v>
      </c>
      <c r="Y24" s="49">
        <v>33000</v>
      </c>
      <c r="Z24" s="49">
        <v>33000</v>
      </c>
      <c r="AA24" s="50">
        <f t="shared" si="0"/>
        <v>792000</v>
      </c>
      <c r="AB24" s="51">
        <v>4</v>
      </c>
      <c r="AC24" s="50">
        <f t="shared" si="1"/>
        <v>3168000</v>
      </c>
      <c r="AD24" s="89"/>
    </row>
    <row r="25" spans="1:30" x14ac:dyDescent="0.35">
      <c r="A25" s="78"/>
      <c r="B25" s="17" t="s">
        <v>41</v>
      </c>
      <c r="C25" s="49">
        <v>33000</v>
      </c>
      <c r="D25" s="49">
        <v>33000</v>
      </c>
      <c r="E25" s="49">
        <v>33000</v>
      </c>
      <c r="F25" s="49">
        <v>33000</v>
      </c>
      <c r="G25" s="49">
        <v>33000</v>
      </c>
      <c r="H25" s="49">
        <v>33000</v>
      </c>
      <c r="I25" s="49">
        <v>33000</v>
      </c>
      <c r="J25" s="49">
        <v>33000</v>
      </c>
      <c r="K25" s="49">
        <v>33000</v>
      </c>
      <c r="L25" s="49">
        <v>33000</v>
      </c>
      <c r="M25" s="49">
        <v>33000</v>
      </c>
      <c r="N25" s="49">
        <v>33000</v>
      </c>
      <c r="O25" s="49">
        <v>33000</v>
      </c>
      <c r="P25" s="49">
        <v>33000</v>
      </c>
      <c r="Q25" s="49">
        <v>33000</v>
      </c>
      <c r="R25" s="49">
        <v>33000</v>
      </c>
      <c r="S25" s="49">
        <v>33000</v>
      </c>
      <c r="T25" s="49">
        <v>33000</v>
      </c>
      <c r="U25" s="49">
        <v>33000</v>
      </c>
      <c r="V25" s="49">
        <v>33000</v>
      </c>
      <c r="W25" s="49">
        <v>33000</v>
      </c>
      <c r="X25" s="49">
        <v>33000</v>
      </c>
      <c r="Y25" s="49">
        <v>33000</v>
      </c>
      <c r="Z25" s="49">
        <v>33000</v>
      </c>
      <c r="AA25" s="50">
        <f t="shared" si="0"/>
        <v>792000</v>
      </c>
      <c r="AB25" s="51">
        <v>5</v>
      </c>
      <c r="AC25" s="50">
        <f t="shared" si="1"/>
        <v>3960000</v>
      </c>
      <c r="AD25" s="89"/>
    </row>
    <row r="26" spans="1:30" x14ac:dyDescent="0.35">
      <c r="A26" s="79"/>
      <c r="B26" s="18" t="s">
        <v>42</v>
      </c>
      <c r="C26" s="49">
        <v>33000</v>
      </c>
      <c r="D26" s="49">
        <v>33000</v>
      </c>
      <c r="E26" s="49">
        <v>33000</v>
      </c>
      <c r="F26" s="49">
        <v>33000</v>
      </c>
      <c r="G26" s="49">
        <v>33000</v>
      </c>
      <c r="H26" s="49">
        <v>33000</v>
      </c>
      <c r="I26" s="49">
        <v>33000</v>
      </c>
      <c r="J26" s="49">
        <v>33000</v>
      </c>
      <c r="K26" s="49">
        <v>33000</v>
      </c>
      <c r="L26" s="49">
        <v>33000</v>
      </c>
      <c r="M26" s="49">
        <v>33000</v>
      </c>
      <c r="N26" s="49">
        <v>33000</v>
      </c>
      <c r="O26" s="49">
        <v>33000</v>
      </c>
      <c r="P26" s="49">
        <v>33000</v>
      </c>
      <c r="Q26" s="49">
        <v>33000</v>
      </c>
      <c r="R26" s="49">
        <v>33000</v>
      </c>
      <c r="S26" s="49">
        <v>33000</v>
      </c>
      <c r="T26" s="49">
        <v>33000</v>
      </c>
      <c r="U26" s="49">
        <v>33000</v>
      </c>
      <c r="V26" s="49">
        <v>33000</v>
      </c>
      <c r="W26" s="49">
        <v>33000</v>
      </c>
      <c r="X26" s="49">
        <v>33000</v>
      </c>
      <c r="Y26" s="49">
        <v>33000</v>
      </c>
      <c r="Z26" s="49">
        <v>33000</v>
      </c>
      <c r="AA26" s="50">
        <f t="shared" si="0"/>
        <v>792000</v>
      </c>
      <c r="AB26" s="51">
        <v>3</v>
      </c>
      <c r="AC26" s="50">
        <f t="shared" si="1"/>
        <v>2376000</v>
      </c>
      <c r="AD26" s="90"/>
    </row>
    <row r="27" spans="1:30" x14ac:dyDescent="0.35">
      <c r="A27" s="77">
        <v>46539</v>
      </c>
      <c r="B27" s="13" t="s">
        <v>39</v>
      </c>
      <c r="C27" s="49">
        <v>33000</v>
      </c>
      <c r="D27" s="49">
        <v>33000</v>
      </c>
      <c r="E27" s="49">
        <v>33000</v>
      </c>
      <c r="F27" s="49">
        <v>33000</v>
      </c>
      <c r="G27" s="49">
        <v>33000</v>
      </c>
      <c r="H27" s="49">
        <v>33000</v>
      </c>
      <c r="I27" s="49">
        <v>33000</v>
      </c>
      <c r="J27" s="49">
        <v>33000</v>
      </c>
      <c r="K27" s="49">
        <v>33000</v>
      </c>
      <c r="L27" s="49">
        <v>33000</v>
      </c>
      <c r="M27" s="49">
        <v>33000</v>
      </c>
      <c r="N27" s="49">
        <v>33000</v>
      </c>
      <c r="O27" s="49">
        <v>33000</v>
      </c>
      <c r="P27" s="49">
        <v>33000</v>
      </c>
      <c r="Q27" s="49">
        <v>33000</v>
      </c>
      <c r="R27" s="49">
        <v>33000</v>
      </c>
      <c r="S27" s="49">
        <v>33000</v>
      </c>
      <c r="T27" s="49">
        <v>33000</v>
      </c>
      <c r="U27" s="49">
        <v>33000</v>
      </c>
      <c r="V27" s="49">
        <v>33000</v>
      </c>
      <c r="W27" s="49">
        <v>33000</v>
      </c>
      <c r="X27" s="49">
        <v>33000</v>
      </c>
      <c r="Y27" s="49">
        <v>33000</v>
      </c>
      <c r="Z27" s="49">
        <v>33000</v>
      </c>
      <c r="AA27" s="50">
        <f t="shared" si="0"/>
        <v>792000</v>
      </c>
      <c r="AB27" s="51">
        <v>21</v>
      </c>
      <c r="AC27" s="50">
        <f t="shared" si="1"/>
        <v>16632000</v>
      </c>
      <c r="AD27" s="88">
        <f>+SUM(AC27:AC30)</f>
        <v>23760000</v>
      </c>
    </row>
    <row r="28" spans="1:30" x14ac:dyDescent="0.35">
      <c r="A28" s="78"/>
      <c r="B28" s="17" t="s">
        <v>40</v>
      </c>
      <c r="C28" s="49">
        <v>33000</v>
      </c>
      <c r="D28" s="49">
        <v>33000</v>
      </c>
      <c r="E28" s="49">
        <v>33000</v>
      </c>
      <c r="F28" s="49">
        <v>33000</v>
      </c>
      <c r="G28" s="49">
        <v>33000</v>
      </c>
      <c r="H28" s="49">
        <v>33000</v>
      </c>
      <c r="I28" s="49">
        <v>33000</v>
      </c>
      <c r="J28" s="49">
        <v>33000</v>
      </c>
      <c r="K28" s="49">
        <v>33000</v>
      </c>
      <c r="L28" s="49">
        <v>33000</v>
      </c>
      <c r="M28" s="49">
        <v>33000</v>
      </c>
      <c r="N28" s="49">
        <v>33000</v>
      </c>
      <c r="O28" s="49">
        <v>33000</v>
      </c>
      <c r="P28" s="49">
        <v>33000</v>
      </c>
      <c r="Q28" s="49">
        <v>33000</v>
      </c>
      <c r="R28" s="49">
        <v>33000</v>
      </c>
      <c r="S28" s="49">
        <v>33000</v>
      </c>
      <c r="T28" s="49">
        <v>33000</v>
      </c>
      <c r="U28" s="49">
        <v>33000</v>
      </c>
      <c r="V28" s="49">
        <v>33000</v>
      </c>
      <c r="W28" s="49">
        <v>33000</v>
      </c>
      <c r="X28" s="49">
        <v>33000</v>
      </c>
      <c r="Y28" s="49">
        <v>33000</v>
      </c>
      <c r="Z28" s="49">
        <v>33000</v>
      </c>
      <c r="AA28" s="50">
        <f t="shared" si="0"/>
        <v>792000</v>
      </c>
      <c r="AB28" s="51">
        <v>4</v>
      </c>
      <c r="AC28" s="50">
        <f t="shared" si="1"/>
        <v>3168000</v>
      </c>
      <c r="AD28" s="89"/>
    </row>
    <row r="29" spans="1:30" x14ac:dyDescent="0.35">
      <c r="A29" s="78"/>
      <c r="B29" s="17" t="s">
        <v>41</v>
      </c>
      <c r="C29" s="49">
        <v>33000</v>
      </c>
      <c r="D29" s="49">
        <v>33000</v>
      </c>
      <c r="E29" s="49">
        <v>33000</v>
      </c>
      <c r="F29" s="49">
        <v>33000</v>
      </c>
      <c r="G29" s="49">
        <v>33000</v>
      </c>
      <c r="H29" s="49">
        <v>33000</v>
      </c>
      <c r="I29" s="49">
        <v>33000</v>
      </c>
      <c r="J29" s="49">
        <v>33000</v>
      </c>
      <c r="K29" s="49">
        <v>33000</v>
      </c>
      <c r="L29" s="49">
        <v>33000</v>
      </c>
      <c r="M29" s="49">
        <v>33000</v>
      </c>
      <c r="N29" s="49">
        <v>33000</v>
      </c>
      <c r="O29" s="49">
        <v>33000</v>
      </c>
      <c r="P29" s="49">
        <v>33000</v>
      </c>
      <c r="Q29" s="49">
        <v>33000</v>
      </c>
      <c r="R29" s="49">
        <v>33000</v>
      </c>
      <c r="S29" s="49">
        <v>33000</v>
      </c>
      <c r="T29" s="49">
        <v>33000</v>
      </c>
      <c r="U29" s="49">
        <v>33000</v>
      </c>
      <c r="V29" s="49">
        <v>33000</v>
      </c>
      <c r="W29" s="49">
        <v>33000</v>
      </c>
      <c r="X29" s="49">
        <v>33000</v>
      </c>
      <c r="Y29" s="49">
        <v>33000</v>
      </c>
      <c r="Z29" s="49">
        <v>33000</v>
      </c>
      <c r="AA29" s="50">
        <f t="shared" si="0"/>
        <v>792000</v>
      </c>
      <c r="AB29" s="51">
        <v>4</v>
      </c>
      <c r="AC29" s="50">
        <f t="shared" si="1"/>
        <v>3168000</v>
      </c>
      <c r="AD29" s="89"/>
    </row>
    <row r="30" spans="1:30" x14ac:dyDescent="0.35">
      <c r="A30" s="79"/>
      <c r="B30" s="18" t="s">
        <v>42</v>
      </c>
      <c r="C30" s="49">
        <v>33000</v>
      </c>
      <c r="D30" s="49">
        <v>33000</v>
      </c>
      <c r="E30" s="49">
        <v>33000</v>
      </c>
      <c r="F30" s="49">
        <v>33000</v>
      </c>
      <c r="G30" s="49">
        <v>33000</v>
      </c>
      <c r="H30" s="49">
        <v>33000</v>
      </c>
      <c r="I30" s="49">
        <v>33000</v>
      </c>
      <c r="J30" s="49">
        <v>33000</v>
      </c>
      <c r="K30" s="49">
        <v>33000</v>
      </c>
      <c r="L30" s="49">
        <v>33000</v>
      </c>
      <c r="M30" s="49">
        <v>33000</v>
      </c>
      <c r="N30" s="49">
        <v>33000</v>
      </c>
      <c r="O30" s="49">
        <v>33000</v>
      </c>
      <c r="P30" s="49">
        <v>33000</v>
      </c>
      <c r="Q30" s="49">
        <v>33000</v>
      </c>
      <c r="R30" s="49">
        <v>33000</v>
      </c>
      <c r="S30" s="49">
        <v>33000</v>
      </c>
      <c r="T30" s="49">
        <v>33000</v>
      </c>
      <c r="U30" s="49">
        <v>33000</v>
      </c>
      <c r="V30" s="49">
        <v>33000</v>
      </c>
      <c r="W30" s="49">
        <v>33000</v>
      </c>
      <c r="X30" s="49">
        <v>33000</v>
      </c>
      <c r="Y30" s="49">
        <v>33000</v>
      </c>
      <c r="Z30" s="49">
        <v>33000</v>
      </c>
      <c r="AA30" s="50">
        <f t="shared" si="0"/>
        <v>792000</v>
      </c>
      <c r="AB30" s="51">
        <v>1</v>
      </c>
      <c r="AC30" s="50">
        <f t="shared" si="1"/>
        <v>792000</v>
      </c>
      <c r="AD30" s="90"/>
    </row>
    <row r="31" spans="1:30" x14ac:dyDescent="0.35">
      <c r="A31" s="77">
        <v>46569</v>
      </c>
      <c r="B31" s="13" t="s">
        <v>39</v>
      </c>
      <c r="C31" s="49">
        <v>33000</v>
      </c>
      <c r="D31" s="49">
        <v>33000</v>
      </c>
      <c r="E31" s="49">
        <v>33000</v>
      </c>
      <c r="F31" s="49">
        <v>33000</v>
      </c>
      <c r="G31" s="49">
        <v>33000</v>
      </c>
      <c r="H31" s="49">
        <v>33000</v>
      </c>
      <c r="I31" s="49">
        <v>33000</v>
      </c>
      <c r="J31" s="49">
        <v>33000</v>
      </c>
      <c r="K31" s="49">
        <v>33000</v>
      </c>
      <c r="L31" s="49">
        <v>33000</v>
      </c>
      <c r="M31" s="49">
        <v>33000</v>
      </c>
      <c r="N31" s="49">
        <v>33000</v>
      </c>
      <c r="O31" s="49">
        <v>33000</v>
      </c>
      <c r="P31" s="49">
        <v>33000</v>
      </c>
      <c r="Q31" s="49">
        <v>33000</v>
      </c>
      <c r="R31" s="49">
        <v>33000</v>
      </c>
      <c r="S31" s="49">
        <v>33000</v>
      </c>
      <c r="T31" s="49">
        <v>33000</v>
      </c>
      <c r="U31" s="49">
        <v>33000</v>
      </c>
      <c r="V31" s="49">
        <v>33000</v>
      </c>
      <c r="W31" s="49">
        <v>33000</v>
      </c>
      <c r="X31" s="49">
        <v>33000</v>
      </c>
      <c r="Y31" s="49">
        <v>33000</v>
      </c>
      <c r="Z31" s="49">
        <v>33000</v>
      </c>
      <c r="AA31" s="50">
        <f t="shared" si="0"/>
        <v>792000</v>
      </c>
      <c r="AB31" s="51">
        <v>20</v>
      </c>
      <c r="AC31" s="50">
        <f t="shared" si="1"/>
        <v>15840000</v>
      </c>
      <c r="AD31" s="88">
        <f>+SUM(AC31:AC34)</f>
        <v>24552000</v>
      </c>
    </row>
    <row r="32" spans="1:30" x14ac:dyDescent="0.35">
      <c r="A32" s="78"/>
      <c r="B32" s="17" t="s">
        <v>40</v>
      </c>
      <c r="C32" s="49">
        <v>33000</v>
      </c>
      <c r="D32" s="49">
        <v>33000</v>
      </c>
      <c r="E32" s="49">
        <v>33000</v>
      </c>
      <c r="F32" s="49">
        <v>33000</v>
      </c>
      <c r="G32" s="49">
        <v>33000</v>
      </c>
      <c r="H32" s="49">
        <v>33000</v>
      </c>
      <c r="I32" s="49">
        <v>33000</v>
      </c>
      <c r="J32" s="49">
        <v>33000</v>
      </c>
      <c r="K32" s="49">
        <v>33000</v>
      </c>
      <c r="L32" s="49">
        <v>33000</v>
      </c>
      <c r="M32" s="49">
        <v>33000</v>
      </c>
      <c r="N32" s="49">
        <v>33000</v>
      </c>
      <c r="O32" s="49">
        <v>33000</v>
      </c>
      <c r="P32" s="49">
        <v>33000</v>
      </c>
      <c r="Q32" s="49">
        <v>33000</v>
      </c>
      <c r="R32" s="49">
        <v>33000</v>
      </c>
      <c r="S32" s="49">
        <v>33000</v>
      </c>
      <c r="T32" s="49">
        <v>33000</v>
      </c>
      <c r="U32" s="49">
        <v>33000</v>
      </c>
      <c r="V32" s="49">
        <v>33000</v>
      </c>
      <c r="W32" s="49">
        <v>33000</v>
      </c>
      <c r="X32" s="49">
        <v>33000</v>
      </c>
      <c r="Y32" s="49">
        <v>33000</v>
      </c>
      <c r="Z32" s="49">
        <v>33000</v>
      </c>
      <c r="AA32" s="50">
        <f t="shared" si="0"/>
        <v>792000</v>
      </c>
      <c r="AB32" s="51">
        <v>5</v>
      </c>
      <c r="AC32" s="50">
        <f t="shared" si="1"/>
        <v>3960000</v>
      </c>
      <c r="AD32" s="89"/>
    </row>
    <row r="33" spans="1:30" x14ac:dyDescent="0.35">
      <c r="A33" s="78"/>
      <c r="B33" s="17" t="s">
        <v>41</v>
      </c>
      <c r="C33" s="49">
        <v>33000</v>
      </c>
      <c r="D33" s="49">
        <v>33000</v>
      </c>
      <c r="E33" s="49">
        <v>33000</v>
      </c>
      <c r="F33" s="49">
        <v>33000</v>
      </c>
      <c r="G33" s="49">
        <v>33000</v>
      </c>
      <c r="H33" s="49">
        <v>33000</v>
      </c>
      <c r="I33" s="49">
        <v>33000</v>
      </c>
      <c r="J33" s="49">
        <v>33000</v>
      </c>
      <c r="K33" s="49">
        <v>33000</v>
      </c>
      <c r="L33" s="49">
        <v>33000</v>
      </c>
      <c r="M33" s="49">
        <v>33000</v>
      </c>
      <c r="N33" s="49">
        <v>33000</v>
      </c>
      <c r="O33" s="49">
        <v>33000</v>
      </c>
      <c r="P33" s="49">
        <v>33000</v>
      </c>
      <c r="Q33" s="49">
        <v>33000</v>
      </c>
      <c r="R33" s="49">
        <v>33000</v>
      </c>
      <c r="S33" s="49">
        <v>33000</v>
      </c>
      <c r="T33" s="49">
        <v>33000</v>
      </c>
      <c r="U33" s="49">
        <v>33000</v>
      </c>
      <c r="V33" s="49">
        <v>33000</v>
      </c>
      <c r="W33" s="49">
        <v>33000</v>
      </c>
      <c r="X33" s="49">
        <v>33000</v>
      </c>
      <c r="Y33" s="49">
        <v>33000</v>
      </c>
      <c r="Z33" s="49">
        <v>33000</v>
      </c>
      <c r="AA33" s="50">
        <f t="shared" si="0"/>
        <v>792000</v>
      </c>
      <c r="AB33" s="51">
        <v>4</v>
      </c>
      <c r="AC33" s="50">
        <f t="shared" si="1"/>
        <v>3168000</v>
      </c>
      <c r="AD33" s="89"/>
    </row>
    <row r="34" spans="1:30" x14ac:dyDescent="0.35">
      <c r="A34" s="79"/>
      <c r="B34" s="18" t="s">
        <v>42</v>
      </c>
      <c r="C34" s="49">
        <v>33000</v>
      </c>
      <c r="D34" s="49">
        <v>33000</v>
      </c>
      <c r="E34" s="49">
        <v>33000</v>
      </c>
      <c r="F34" s="49">
        <v>33000</v>
      </c>
      <c r="G34" s="49">
        <v>33000</v>
      </c>
      <c r="H34" s="49">
        <v>33000</v>
      </c>
      <c r="I34" s="49">
        <v>33000</v>
      </c>
      <c r="J34" s="49">
        <v>33000</v>
      </c>
      <c r="K34" s="49">
        <v>33000</v>
      </c>
      <c r="L34" s="49">
        <v>33000</v>
      </c>
      <c r="M34" s="49">
        <v>33000</v>
      </c>
      <c r="N34" s="49">
        <v>33000</v>
      </c>
      <c r="O34" s="49">
        <v>33000</v>
      </c>
      <c r="P34" s="49">
        <v>33000</v>
      </c>
      <c r="Q34" s="49">
        <v>33000</v>
      </c>
      <c r="R34" s="49">
        <v>33000</v>
      </c>
      <c r="S34" s="49">
        <v>33000</v>
      </c>
      <c r="T34" s="49">
        <v>33000</v>
      </c>
      <c r="U34" s="49">
        <v>33000</v>
      </c>
      <c r="V34" s="49">
        <v>33000</v>
      </c>
      <c r="W34" s="49">
        <v>33000</v>
      </c>
      <c r="X34" s="49">
        <v>33000</v>
      </c>
      <c r="Y34" s="49">
        <v>33000</v>
      </c>
      <c r="Z34" s="49">
        <v>33000</v>
      </c>
      <c r="AA34" s="50">
        <f t="shared" si="0"/>
        <v>792000</v>
      </c>
      <c r="AB34" s="51">
        <v>2</v>
      </c>
      <c r="AC34" s="50">
        <f t="shared" si="1"/>
        <v>1584000</v>
      </c>
      <c r="AD34" s="90"/>
    </row>
    <row r="35" spans="1:30" x14ac:dyDescent="0.35">
      <c r="A35" s="77">
        <v>46600</v>
      </c>
      <c r="B35" s="13" t="s">
        <v>39</v>
      </c>
      <c r="C35" s="49">
        <v>33000</v>
      </c>
      <c r="D35" s="49">
        <v>33000</v>
      </c>
      <c r="E35" s="49">
        <v>33000</v>
      </c>
      <c r="F35" s="49">
        <v>33000</v>
      </c>
      <c r="G35" s="49">
        <v>33000</v>
      </c>
      <c r="H35" s="49">
        <v>33000</v>
      </c>
      <c r="I35" s="49">
        <v>33000</v>
      </c>
      <c r="J35" s="49">
        <v>33000</v>
      </c>
      <c r="K35" s="49">
        <v>33000</v>
      </c>
      <c r="L35" s="49">
        <v>33000</v>
      </c>
      <c r="M35" s="49">
        <v>33000</v>
      </c>
      <c r="N35" s="49">
        <v>33000</v>
      </c>
      <c r="O35" s="49">
        <v>33000</v>
      </c>
      <c r="P35" s="49">
        <v>33000</v>
      </c>
      <c r="Q35" s="49">
        <v>33000</v>
      </c>
      <c r="R35" s="49">
        <v>33000</v>
      </c>
      <c r="S35" s="49">
        <v>33000</v>
      </c>
      <c r="T35" s="49">
        <v>33000</v>
      </c>
      <c r="U35" s="49">
        <v>33000</v>
      </c>
      <c r="V35" s="49">
        <v>33000</v>
      </c>
      <c r="W35" s="49">
        <v>33000</v>
      </c>
      <c r="X35" s="49">
        <v>33000</v>
      </c>
      <c r="Y35" s="49">
        <v>33000</v>
      </c>
      <c r="Z35" s="49">
        <v>33000</v>
      </c>
      <c r="AA35" s="50">
        <f t="shared" si="0"/>
        <v>792000</v>
      </c>
      <c r="AB35" s="51">
        <v>21</v>
      </c>
      <c r="AC35" s="50">
        <f t="shared" si="1"/>
        <v>16632000</v>
      </c>
      <c r="AD35" s="88">
        <f>+SUM(AC35:AC38)</f>
        <v>24552000</v>
      </c>
    </row>
    <row r="36" spans="1:30" x14ac:dyDescent="0.35">
      <c r="A36" s="78"/>
      <c r="B36" s="17" t="s">
        <v>40</v>
      </c>
      <c r="C36" s="49">
        <v>33000</v>
      </c>
      <c r="D36" s="49">
        <v>33000</v>
      </c>
      <c r="E36" s="49">
        <v>33000</v>
      </c>
      <c r="F36" s="49">
        <v>33000</v>
      </c>
      <c r="G36" s="49">
        <v>33000</v>
      </c>
      <c r="H36" s="49">
        <v>33000</v>
      </c>
      <c r="I36" s="49">
        <v>33000</v>
      </c>
      <c r="J36" s="49">
        <v>33000</v>
      </c>
      <c r="K36" s="49">
        <v>33000</v>
      </c>
      <c r="L36" s="49">
        <v>33000</v>
      </c>
      <c r="M36" s="49">
        <v>33000</v>
      </c>
      <c r="N36" s="49">
        <v>33000</v>
      </c>
      <c r="O36" s="49">
        <v>33000</v>
      </c>
      <c r="P36" s="49">
        <v>33000</v>
      </c>
      <c r="Q36" s="49">
        <v>33000</v>
      </c>
      <c r="R36" s="49">
        <v>33000</v>
      </c>
      <c r="S36" s="49">
        <v>33000</v>
      </c>
      <c r="T36" s="49">
        <v>33000</v>
      </c>
      <c r="U36" s="49">
        <v>33000</v>
      </c>
      <c r="V36" s="49">
        <v>33000</v>
      </c>
      <c r="W36" s="49">
        <v>33000</v>
      </c>
      <c r="X36" s="49">
        <v>33000</v>
      </c>
      <c r="Y36" s="49">
        <v>33000</v>
      </c>
      <c r="Z36" s="49">
        <v>33000</v>
      </c>
      <c r="AA36" s="50">
        <f t="shared" si="0"/>
        <v>792000</v>
      </c>
      <c r="AB36" s="51">
        <v>3</v>
      </c>
      <c r="AC36" s="50">
        <f t="shared" si="1"/>
        <v>2376000</v>
      </c>
      <c r="AD36" s="89"/>
    </row>
    <row r="37" spans="1:30" x14ac:dyDescent="0.35">
      <c r="A37" s="78"/>
      <c r="B37" s="17" t="s">
        <v>41</v>
      </c>
      <c r="C37" s="49">
        <v>33000</v>
      </c>
      <c r="D37" s="49">
        <v>33000</v>
      </c>
      <c r="E37" s="49">
        <v>33000</v>
      </c>
      <c r="F37" s="49">
        <v>33000</v>
      </c>
      <c r="G37" s="49">
        <v>33000</v>
      </c>
      <c r="H37" s="49">
        <v>33000</v>
      </c>
      <c r="I37" s="49">
        <v>33000</v>
      </c>
      <c r="J37" s="49">
        <v>33000</v>
      </c>
      <c r="K37" s="49">
        <v>33000</v>
      </c>
      <c r="L37" s="49">
        <v>33000</v>
      </c>
      <c r="M37" s="49">
        <v>33000</v>
      </c>
      <c r="N37" s="49">
        <v>33000</v>
      </c>
      <c r="O37" s="49">
        <v>33000</v>
      </c>
      <c r="P37" s="49">
        <v>33000</v>
      </c>
      <c r="Q37" s="49">
        <v>33000</v>
      </c>
      <c r="R37" s="49">
        <v>33000</v>
      </c>
      <c r="S37" s="49">
        <v>33000</v>
      </c>
      <c r="T37" s="49">
        <v>33000</v>
      </c>
      <c r="U37" s="49">
        <v>33000</v>
      </c>
      <c r="V37" s="49">
        <v>33000</v>
      </c>
      <c r="W37" s="49">
        <v>33000</v>
      </c>
      <c r="X37" s="49">
        <v>33000</v>
      </c>
      <c r="Y37" s="49">
        <v>33000</v>
      </c>
      <c r="Z37" s="49">
        <v>33000</v>
      </c>
      <c r="AA37" s="50">
        <f t="shared" si="0"/>
        <v>792000</v>
      </c>
      <c r="AB37" s="51">
        <v>5</v>
      </c>
      <c r="AC37" s="50">
        <f t="shared" si="1"/>
        <v>3960000</v>
      </c>
      <c r="AD37" s="89"/>
    </row>
    <row r="38" spans="1:30" x14ac:dyDescent="0.35">
      <c r="A38" s="79"/>
      <c r="B38" s="18" t="s">
        <v>42</v>
      </c>
      <c r="C38" s="49">
        <v>33000</v>
      </c>
      <c r="D38" s="49">
        <v>33000</v>
      </c>
      <c r="E38" s="49">
        <v>33000</v>
      </c>
      <c r="F38" s="49">
        <v>33000</v>
      </c>
      <c r="G38" s="49">
        <v>33000</v>
      </c>
      <c r="H38" s="49">
        <v>33000</v>
      </c>
      <c r="I38" s="49">
        <v>33000</v>
      </c>
      <c r="J38" s="49">
        <v>33000</v>
      </c>
      <c r="K38" s="49">
        <v>33000</v>
      </c>
      <c r="L38" s="49">
        <v>33000</v>
      </c>
      <c r="M38" s="49">
        <v>33000</v>
      </c>
      <c r="N38" s="49">
        <v>33000</v>
      </c>
      <c r="O38" s="49">
        <v>33000</v>
      </c>
      <c r="P38" s="49">
        <v>33000</v>
      </c>
      <c r="Q38" s="49">
        <v>33000</v>
      </c>
      <c r="R38" s="49">
        <v>33000</v>
      </c>
      <c r="S38" s="49">
        <v>33000</v>
      </c>
      <c r="T38" s="49">
        <v>33000</v>
      </c>
      <c r="U38" s="49">
        <v>33000</v>
      </c>
      <c r="V38" s="49">
        <v>33000</v>
      </c>
      <c r="W38" s="49">
        <v>33000</v>
      </c>
      <c r="X38" s="49">
        <v>33000</v>
      </c>
      <c r="Y38" s="49">
        <v>33000</v>
      </c>
      <c r="Z38" s="49">
        <v>33000</v>
      </c>
      <c r="AA38" s="50">
        <f t="shared" si="0"/>
        <v>792000</v>
      </c>
      <c r="AB38" s="51">
        <v>2</v>
      </c>
      <c r="AC38" s="50">
        <f t="shared" si="1"/>
        <v>1584000</v>
      </c>
      <c r="AD38" s="90"/>
    </row>
    <row r="39" spans="1:30" x14ac:dyDescent="0.35">
      <c r="A39" s="77">
        <v>46631</v>
      </c>
      <c r="B39" s="13" t="s">
        <v>39</v>
      </c>
      <c r="C39" s="49">
        <v>33000</v>
      </c>
      <c r="D39" s="49">
        <v>33000</v>
      </c>
      <c r="E39" s="49">
        <v>33000</v>
      </c>
      <c r="F39" s="49">
        <v>33000</v>
      </c>
      <c r="G39" s="49">
        <v>33000</v>
      </c>
      <c r="H39" s="49">
        <v>33000</v>
      </c>
      <c r="I39" s="49">
        <v>33000</v>
      </c>
      <c r="J39" s="49">
        <v>33000</v>
      </c>
      <c r="K39" s="49">
        <v>33000</v>
      </c>
      <c r="L39" s="49">
        <v>33000</v>
      </c>
      <c r="M39" s="49">
        <v>33000</v>
      </c>
      <c r="N39" s="49">
        <v>33000</v>
      </c>
      <c r="O39" s="49">
        <v>33000</v>
      </c>
      <c r="P39" s="49">
        <v>33000</v>
      </c>
      <c r="Q39" s="49">
        <v>33000</v>
      </c>
      <c r="R39" s="49">
        <v>33000</v>
      </c>
      <c r="S39" s="49">
        <v>33000</v>
      </c>
      <c r="T39" s="49">
        <v>33000</v>
      </c>
      <c r="U39" s="49">
        <v>33000</v>
      </c>
      <c r="V39" s="49">
        <v>33000</v>
      </c>
      <c r="W39" s="49">
        <v>33000</v>
      </c>
      <c r="X39" s="49">
        <v>33000</v>
      </c>
      <c r="Y39" s="49">
        <v>33000</v>
      </c>
      <c r="Z39" s="49">
        <v>33000</v>
      </c>
      <c r="AA39" s="50">
        <f t="shared" si="0"/>
        <v>792000</v>
      </c>
      <c r="AB39" s="51">
        <v>22</v>
      </c>
      <c r="AC39" s="50">
        <f t="shared" si="1"/>
        <v>17424000</v>
      </c>
      <c r="AD39" s="88">
        <f>+SUM(AC39:AC42)</f>
        <v>23760000</v>
      </c>
    </row>
    <row r="40" spans="1:30" x14ac:dyDescent="0.35">
      <c r="A40" s="78"/>
      <c r="B40" s="17" t="s">
        <v>40</v>
      </c>
      <c r="C40" s="49">
        <v>33000</v>
      </c>
      <c r="D40" s="49">
        <v>33000</v>
      </c>
      <c r="E40" s="49">
        <v>33000</v>
      </c>
      <c r="F40" s="49">
        <v>33000</v>
      </c>
      <c r="G40" s="49">
        <v>33000</v>
      </c>
      <c r="H40" s="49">
        <v>33000</v>
      </c>
      <c r="I40" s="49">
        <v>33000</v>
      </c>
      <c r="J40" s="49">
        <v>33000</v>
      </c>
      <c r="K40" s="49">
        <v>33000</v>
      </c>
      <c r="L40" s="49">
        <v>33000</v>
      </c>
      <c r="M40" s="49">
        <v>33000</v>
      </c>
      <c r="N40" s="49">
        <v>33000</v>
      </c>
      <c r="O40" s="49">
        <v>33000</v>
      </c>
      <c r="P40" s="49">
        <v>33000</v>
      </c>
      <c r="Q40" s="49">
        <v>33000</v>
      </c>
      <c r="R40" s="49">
        <v>33000</v>
      </c>
      <c r="S40" s="49">
        <v>33000</v>
      </c>
      <c r="T40" s="49">
        <v>33000</v>
      </c>
      <c r="U40" s="49">
        <v>33000</v>
      </c>
      <c r="V40" s="49">
        <v>33000</v>
      </c>
      <c r="W40" s="49">
        <v>33000</v>
      </c>
      <c r="X40" s="49">
        <v>33000</v>
      </c>
      <c r="Y40" s="49">
        <v>33000</v>
      </c>
      <c r="Z40" s="49">
        <v>33000</v>
      </c>
      <c r="AA40" s="50">
        <f t="shared" si="0"/>
        <v>792000</v>
      </c>
      <c r="AB40" s="51">
        <v>4</v>
      </c>
      <c r="AC40" s="50">
        <f t="shared" si="1"/>
        <v>3168000</v>
      </c>
      <c r="AD40" s="89"/>
    </row>
    <row r="41" spans="1:30" x14ac:dyDescent="0.35">
      <c r="A41" s="78"/>
      <c r="B41" s="17" t="s">
        <v>41</v>
      </c>
      <c r="C41" s="49">
        <v>33000</v>
      </c>
      <c r="D41" s="49">
        <v>33000</v>
      </c>
      <c r="E41" s="49">
        <v>33000</v>
      </c>
      <c r="F41" s="49">
        <v>33000</v>
      </c>
      <c r="G41" s="49">
        <v>33000</v>
      </c>
      <c r="H41" s="49">
        <v>33000</v>
      </c>
      <c r="I41" s="49">
        <v>33000</v>
      </c>
      <c r="J41" s="49">
        <v>33000</v>
      </c>
      <c r="K41" s="49">
        <v>33000</v>
      </c>
      <c r="L41" s="49">
        <v>33000</v>
      </c>
      <c r="M41" s="49">
        <v>33000</v>
      </c>
      <c r="N41" s="49">
        <v>33000</v>
      </c>
      <c r="O41" s="49">
        <v>33000</v>
      </c>
      <c r="P41" s="49">
        <v>33000</v>
      </c>
      <c r="Q41" s="49">
        <v>33000</v>
      </c>
      <c r="R41" s="49">
        <v>33000</v>
      </c>
      <c r="S41" s="49">
        <v>33000</v>
      </c>
      <c r="T41" s="49">
        <v>33000</v>
      </c>
      <c r="U41" s="49">
        <v>33000</v>
      </c>
      <c r="V41" s="49">
        <v>33000</v>
      </c>
      <c r="W41" s="49">
        <v>33000</v>
      </c>
      <c r="X41" s="49">
        <v>33000</v>
      </c>
      <c r="Y41" s="49">
        <v>33000</v>
      </c>
      <c r="Z41" s="49">
        <v>33000</v>
      </c>
      <c r="AA41" s="50">
        <f t="shared" si="0"/>
        <v>792000</v>
      </c>
      <c r="AB41" s="51">
        <v>4</v>
      </c>
      <c r="AC41" s="50">
        <f t="shared" si="1"/>
        <v>3168000</v>
      </c>
      <c r="AD41" s="89"/>
    </row>
    <row r="42" spans="1:30" x14ac:dyDescent="0.35">
      <c r="A42" s="79"/>
      <c r="B42" s="18" t="s">
        <v>42</v>
      </c>
      <c r="C42" s="49">
        <v>0</v>
      </c>
      <c r="D42" s="49">
        <v>0</v>
      </c>
      <c r="E42" s="49">
        <v>0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0</v>
      </c>
      <c r="X42" s="49">
        <v>0</v>
      </c>
      <c r="Y42" s="49">
        <v>0</v>
      </c>
      <c r="Z42" s="49">
        <v>0</v>
      </c>
      <c r="AA42" s="50">
        <f t="shared" si="0"/>
        <v>0</v>
      </c>
      <c r="AB42" s="51">
        <v>0</v>
      </c>
      <c r="AC42" s="50">
        <f t="shared" si="1"/>
        <v>0</v>
      </c>
      <c r="AD42" s="90"/>
    </row>
    <row r="43" spans="1:30" x14ac:dyDescent="0.35">
      <c r="A43" s="77">
        <v>46661</v>
      </c>
      <c r="B43" s="13" t="s">
        <v>39</v>
      </c>
      <c r="C43" s="49">
        <v>33000</v>
      </c>
      <c r="D43" s="49">
        <v>33000</v>
      </c>
      <c r="E43" s="49">
        <v>33000</v>
      </c>
      <c r="F43" s="49">
        <v>33000</v>
      </c>
      <c r="G43" s="49">
        <v>33000</v>
      </c>
      <c r="H43" s="49">
        <v>33000</v>
      </c>
      <c r="I43" s="49">
        <v>33000</v>
      </c>
      <c r="J43" s="49">
        <v>33000</v>
      </c>
      <c r="K43" s="49">
        <v>33000</v>
      </c>
      <c r="L43" s="49">
        <v>33000</v>
      </c>
      <c r="M43" s="49">
        <v>33000</v>
      </c>
      <c r="N43" s="49">
        <v>33000</v>
      </c>
      <c r="O43" s="49">
        <v>33000</v>
      </c>
      <c r="P43" s="49">
        <v>33000</v>
      </c>
      <c r="Q43" s="49">
        <v>33000</v>
      </c>
      <c r="R43" s="49">
        <v>33000</v>
      </c>
      <c r="S43" s="49">
        <v>33000</v>
      </c>
      <c r="T43" s="49">
        <v>33000</v>
      </c>
      <c r="U43" s="49">
        <v>33000</v>
      </c>
      <c r="V43" s="49">
        <v>33000</v>
      </c>
      <c r="W43" s="49">
        <v>33000</v>
      </c>
      <c r="X43" s="49">
        <v>33000</v>
      </c>
      <c r="Y43" s="49">
        <v>33000</v>
      </c>
      <c r="Z43" s="49">
        <v>33000</v>
      </c>
      <c r="AA43" s="50">
        <f t="shared" si="0"/>
        <v>792000</v>
      </c>
      <c r="AB43" s="51">
        <v>20</v>
      </c>
      <c r="AC43" s="50">
        <f t="shared" si="1"/>
        <v>15840000</v>
      </c>
      <c r="AD43" s="88">
        <f>+SUM(AC43:AC46)</f>
        <v>24552000</v>
      </c>
    </row>
    <row r="44" spans="1:30" x14ac:dyDescent="0.35">
      <c r="A44" s="78"/>
      <c r="B44" s="17" t="s">
        <v>40</v>
      </c>
      <c r="C44" s="49">
        <v>33000</v>
      </c>
      <c r="D44" s="49">
        <v>33000</v>
      </c>
      <c r="E44" s="49">
        <v>33000</v>
      </c>
      <c r="F44" s="49">
        <v>33000</v>
      </c>
      <c r="G44" s="49">
        <v>33000</v>
      </c>
      <c r="H44" s="49">
        <v>33000</v>
      </c>
      <c r="I44" s="49">
        <v>33000</v>
      </c>
      <c r="J44" s="49">
        <v>33000</v>
      </c>
      <c r="K44" s="49">
        <v>33000</v>
      </c>
      <c r="L44" s="49">
        <v>33000</v>
      </c>
      <c r="M44" s="49">
        <v>33000</v>
      </c>
      <c r="N44" s="49">
        <v>33000</v>
      </c>
      <c r="O44" s="49">
        <v>33000</v>
      </c>
      <c r="P44" s="49">
        <v>33000</v>
      </c>
      <c r="Q44" s="49">
        <v>33000</v>
      </c>
      <c r="R44" s="49">
        <v>33000</v>
      </c>
      <c r="S44" s="49">
        <v>33000</v>
      </c>
      <c r="T44" s="49">
        <v>33000</v>
      </c>
      <c r="U44" s="49">
        <v>33000</v>
      </c>
      <c r="V44" s="49">
        <v>33000</v>
      </c>
      <c r="W44" s="49">
        <v>33000</v>
      </c>
      <c r="X44" s="49">
        <v>33000</v>
      </c>
      <c r="Y44" s="49">
        <v>33000</v>
      </c>
      <c r="Z44" s="49">
        <v>33000</v>
      </c>
      <c r="AA44" s="50">
        <f t="shared" si="0"/>
        <v>792000</v>
      </c>
      <c r="AB44" s="51">
        <v>5</v>
      </c>
      <c r="AC44" s="50">
        <f t="shared" si="1"/>
        <v>3960000</v>
      </c>
      <c r="AD44" s="89"/>
    </row>
    <row r="45" spans="1:30" x14ac:dyDescent="0.35">
      <c r="A45" s="78"/>
      <c r="B45" s="17" t="s">
        <v>41</v>
      </c>
      <c r="C45" s="49">
        <v>33000</v>
      </c>
      <c r="D45" s="49">
        <v>33000</v>
      </c>
      <c r="E45" s="49">
        <v>33000</v>
      </c>
      <c r="F45" s="49">
        <v>33000</v>
      </c>
      <c r="G45" s="49">
        <v>33000</v>
      </c>
      <c r="H45" s="49">
        <v>33000</v>
      </c>
      <c r="I45" s="49">
        <v>33000</v>
      </c>
      <c r="J45" s="49">
        <v>33000</v>
      </c>
      <c r="K45" s="49">
        <v>33000</v>
      </c>
      <c r="L45" s="49">
        <v>33000</v>
      </c>
      <c r="M45" s="49">
        <v>33000</v>
      </c>
      <c r="N45" s="49">
        <v>33000</v>
      </c>
      <c r="O45" s="49">
        <v>33000</v>
      </c>
      <c r="P45" s="49">
        <v>33000</v>
      </c>
      <c r="Q45" s="49">
        <v>33000</v>
      </c>
      <c r="R45" s="49">
        <v>33000</v>
      </c>
      <c r="S45" s="49">
        <v>33000</v>
      </c>
      <c r="T45" s="49">
        <v>33000</v>
      </c>
      <c r="U45" s="49">
        <v>33000</v>
      </c>
      <c r="V45" s="49">
        <v>33000</v>
      </c>
      <c r="W45" s="49">
        <v>33000</v>
      </c>
      <c r="X45" s="49">
        <v>33000</v>
      </c>
      <c r="Y45" s="49">
        <v>33000</v>
      </c>
      <c r="Z45" s="49">
        <v>33000</v>
      </c>
      <c r="AA45" s="50">
        <f t="shared" si="0"/>
        <v>792000</v>
      </c>
      <c r="AB45" s="51">
        <v>5</v>
      </c>
      <c r="AC45" s="50">
        <f t="shared" si="1"/>
        <v>3960000</v>
      </c>
      <c r="AD45" s="89"/>
    </row>
    <row r="46" spans="1:30" x14ac:dyDescent="0.35">
      <c r="A46" s="79"/>
      <c r="B46" s="18" t="s">
        <v>42</v>
      </c>
      <c r="C46" s="49">
        <v>33000</v>
      </c>
      <c r="D46" s="49">
        <v>33000</v>
      </c>
      <c r="E46" s="49">
        <v>33000</v>
      </c>
      <c r="F46" s="49">
        <v>33000</v>
      </c>
      <c r="G46" s="49">
        <v>33000</v>
      </c>
      <c r="H46" s="49">
        <v>33000</v>
      </c>
      <c r="I46" s="49">
        <v>33000</v>
      </c>
      <c r="J46" s="49">
        <v>33000</v>
      </c>
      <c r="K46" s="49">
        <v>33000</v>
      </c>
      <c r="L46" s="49">
        <v>33000</v>
      </c>
      <c r="M46" s="49">
        <v>33000</v>
      </c>
      <c r="N46" s="49">
        <v>33000</v>
      </c>
      <c r="O46" s="49">
        <v>33000</v>
      </c>
      <c r="P46" s="49">
        <v>33000</v>
      </c>
      <c r="Q46" s="49">
        <v>33000</v>
      </c>
      <c r="R46" s="49">
        <v>33000</v>
      </c>
      <c r="S46" s="49">
        <v>33000</v>
      </c>
      <c r="T46" s="49">
        <v>33000</v>
      </c>
      <c r="U46" s="49">
        <v>33000</v>
      </c>
      <c r="V46" s="49">
        <v>33000</v>
      </c>
      <c r="W46" s="49">
        <v>33000</v>
      </c>
      <c r="X46" s="49">
        <v>33000</v>
      </c>
      <c r="Y46" s="49">
        <v>33000</v>
      </c>
      <c r="Z46" s="49">
        <v>33000</v>
      </c>
      <c r="AA46" s="50">
        <f t="shared" si="0"/>
        <v>792000</v>
      </c>
      <c r="AB46" s="51">
        <v>1</v>
      </c>
      <c r="AC46" s="50">
        <f t="shared" si="1"/>
        <v>792000</v>
      </c>
      <c r="AD46" s="90"/>
    </row>
    <row r="47" spans="1:30" x14ac:dyDescent="0.35">
      <c r="A47" s="77">
        <v>46692</v>
      </c>
      <c r="B47" s="13" t="s">
        <v>39</v>
      </c>
      <c r="C47" s="49">
        <v>33000</v>
      </c>
      <c r="D47" s="49">
        <v>33000</v>
      </c>
      <c r="E47" s="49">
        <v>33000</v>
      </c>
      <c r="F47" s="49">
        <v>33000</v>
      </c>
      <c r="G47" s="49">
        <v>33000</v>
      </c>
      <c r="H47" s="49">
        <v>33000</v>
      </c>
      <c r="I47" s="49">
        <v>33000</v>
      </c>
      <c r="J47" s="49">
        <v>33000</v>
      </c>
      <c r="K47" s="49">
        <v>33000</v>
      </c>
      <c r="L47" s="49">
        <v>33000</v>
      </c>
      <c r="M47" s="49">
        <v>33000</v>
      </c>
      <c r="N47" s="49">
        <v>33000</v>
      </c>
      <c r="O47" s="49">
        <v>33000</v>
      </c>
      <c r="P47" s="49">
        <v>33000</v>
      </c>
      <c r="Q47" s="49">
        <v>33000</v>
      </c>
      <c r="R47" s="49">
        <v>33000</v>
      </c>
      <c r="S47" s="49">
        <v>33000</v>
      </c>
      <c r="T47" s="49">
        <v>33000</v>
      </c>
      <c r="U47" s="49">
        <v>33000</v>
      </c>
      <c r="V47" s="49">
        <v>33000</v>
      </c>
      <c r="W47" s="49">
        <v>33000</v>
      </c>
      <c r="X47" s="49">
        <v>33000</v>
      </c>
      <c r="Y47" s="49">
        <v>33000</v>
      </c>
      <c r="Z47" s="49">
        <v>33000</v>
      </c>
      <c r="AA47" s="50">
        <f t="shared" si="0"/>
        <v>792000</v>
      </c>
      <c r="AB47" s="51">
        <v>20</v>
      </c>
      <c r="AC47" s="50">
        <f t="shared" si="1"/>
        <v>15840000</v>
      </c>
      <c r="AD47" s="88">
        <f>+SUM(AC47:AC50)</f>
        <v>23760000</v>
      </c>
    </row>
    <row r="48" spans="1:30" x14ac:dyDescent="0.35">
      <c r="A48" s="78"/>
      <c r="B48" s="17" t="s">
        <v>40</v>
      </c>
      <c r="C48" s="49">
        <v>33000</v>
      </c>
      <c r="D48" s="49">
        <v>33000</v>
      </c>
      <c r="E48" s="49">
        <v>33000</v>
      </c>
      <c r="F48" s="49">
        <v>33000</v>
      </c>
      <c r="G48" s="49">
        <v>33000</v>
      </c>
      <c r="H48" s="49">
        <v>33000</v>
      </c>
      <c r="I48" s="49">
        <v>33000</v>
      </c>
      <c r="J48" s="49">
        <v>33000</v>
      </c>
      <c r="K48" s="49">
        <v>33000</v>
      </c>
      <c r="L48" s="49">
        <v>33000</v>
      </c>
      <c r="M48" s="49">
        <v>33000</v>
      </c>
      <c r="N48" s="49">
        <v>33000</v>
      </c>
      <c r="O48" s="49">
        <v>33000</v>
      </c>
      <c r="P48" s="49">
        <v>33000</v>
      </c>
      <c r="Q48" s="49">
        <v>33000</v>
      </c>
      <c r="R48" s="49">
        <v>33000</v>
      </c>
      <c r="S48" s="49">
        <v>33000</v>
      </c>
      <c r="T48" s="49">
        <v>33000</v>
      </c>
      <c r="U48" s="49">
        <v>33000</v>
      </c>
      <c r="V48" s="49">
        <v>33000</v>
      </c>
      <c r="W48" s="49">
        <v>33000</v>
      </c>
      <c r="X48" s="49">
        <v>33000</v>
      </c>
      <c r="Y48" s="49">
        <v>33000</v>
      </c>
      <c r="Z48" s="49">
        <v>33000</v>
      </c>
      <c r="AA48" s="50">
        <f t="shared" si="0"/>
        <v>792000</v>
      </c>
      <c r="AB48" s="51">
        <v>4</v>
      </c>
      <c r="AC48" s="50">
        <f t="shared" si="1"/>
        <v>3168000</v>
      </c>
      <c r="AD48" s="89"/>
    </row>
    <row r="49" spans="1:30" x14ac:dyDescent="0.35">
      <c r="A49" s="78"/>
      <c r="B49" s="17" t="s">
        <v>41</v>
      </c>
      <c r="C49" s="49">
        <v>33000</v>
      </c>
      <c r="D49" s="49">
        <v>33000</v>
      </c>
      <c r="E49" s="49">
        <v>33000</v>
      </c>
      <c r="F49" s="49">
        <v>33000</v>
      </c>
      <c r="G49" s="49">
        <v>33000</v>
      </c>
      <c r="H49" s="49">
        <v>33000</v>
      </c>
      <c r="I49" s="49">
        <v>33000</v>
      </c>
      <c r="J49" s="49">
        <v>33000</v>
      </c>
      <c r="K49" s="49">
        <v>33000</v>
      </c>
      <c r="L49" s="49">
        <v>33000</v>
      </c>
      <c r="M49" s="49">
        <v>33000</v>
      </c>
      <c r="N49" s="49">
        <v>33000</v>
      </c>
      <c r="O49" s="49">
        <v>33000</v>
      </c>
      <c r="P49" s="49">
        <v>33000</v>
      </c>
      <c r="Q49" s="49">
        <v>33000</v>
      </c>
      <c r="R49" s="49">
        <v>33000</v>
      </c>
      <c r="S49" s="49">
        <v>33000</v>
      </c>
      <c r="T49" s="49">
        <v>33000</v>
      </c>
      <c r="U49" s="49">
        <v>33000</v>
      </c>
      <c r="V49" s="49">
        <v>33000</v>
      </c>
      <c r="W49" s="49">
        <v>33000</v>
      </c>
      <c r="X49" s="49">
        <v>33000</v>
      </c>
      <c r="Y49" s="49">
        <v>33000</v>
      </c>
      <c r="Z49" s="49">
        <v>33000</v>
      </c>
      <c r="AA49" s="50">
        <f t="shared" si="0"/>
        <v>792000</v>
      </c>
      <c r="AB49" s="51">
        <v>4</v>
      </c>
      <c r="AC49" s="50">
        <f t="shared" si="1"/>
        <v>3168000</v>
      </c>
      <c r="AD49" s="89"/>
    </row>
    <row r="50" spans="1:30" x14ac:dyDescent="0.35">
      <c r="A50" s="79"/>
      <c r="B50" s="18" t="s">
        <v>42</v>
      </c>
      <c r="C50" s="49">
        <v>33000</v>
      </c>
      <c r="D50" s="49">
        <v>33000</v>
      </c>
      <c r="E50" s="49">
        <v>33000</v>
      </c>
      <c r="F50" s="49">
        <v>33000</v>
      </c>
      <c r="G50" s="49">
        <v>33000</v>
      </c>
      <c r="H50" s="49">
        <v>33000</v>
      </c>
      <c r="I50" s="49">
        <v>33000</v>
      </c>
      <c r="J50" s="49">
        <v>33000</v>
      </c>
      <c r="K50" s="49">
        <v>33000</v>
      </c>
      <c r="L50" s="49">
        <v>33000</v>
      </c>
      <c r="M50" s="49">
        <v>33000</v>
      </c>
      <c r="N50" s="49">
        <v>33000</v>
      </c>
      <c r="O50" s="49">
        <v>33000</v>
      </c>
      <c r="P50" s="49">
        <v>33000</v>
      </c>
      <c r="Q50" s="49">
        <v>33000</v>
      </c>
      <c r="R50" s="49">
        <v>33000</v>
      </c>
      <c r="S50" s="49">
        <v>33000</v>
      </c>
      <c r="T50" s="49">
        <v>33000</v>
      </c>
      <c r="U50" s="49">
        <v>33000</v>
      </c>
      <c r="V50" s="49">
        <v>33000</v>
      </c>
      <c r="W50" s="49">
        <v>33000</v>
      </c>
      <c r="X50" s="49">
        <v>33000</v>
      </c>
      <c r="Y50" s="49">
        <v>33000</v>
      </c>
      <c r="Z50" s="49">
        <v>33000</v>
      </c>
      <c r="AA50" s="50">
        <f t="shared" si="0"/>
        <v>792000</v>
      </c>
      <c r="AB50" s="51">
        <v>2</v>
      </c>
      <c r="AC50" s="50">
        <f t="shared" si="1"/>
        <v>1584000</v>
      </c>
      <c r="AD50" s="90"/>
    </row>
    <row r="51" spans="1:30" x14ac:dyDescent="0.35">
      <c r="A51" s="77">
        <v>46722</v>
      </c>
      <c r="B51" s="13" t="s">
        <v>39</v>
      </c>
      <c r="C51" s="49">
        <v>33000</v>
      </c>
      <c r="D51" s="49">
        <v>33000</v>
      </c>
      <c r="E51" s="49">
        <v>33000</v>
      </c>
      <c r="F51" s="49">
        <v>33000</v>
      </c>
      <c r="G51" s="49">
        <v>33000</v>
      </c>
      <c r="H51" s="49">
        <v>33000</v>
      </c>
      <c r="I51" s="49">
        <v>33000</v>
      </c>
      <c r="J51" s="49">
        <v>33000</v>
      </c>
      <c r="K51" s="49">
        <v>33000</v>
      </c>
      <c r="L51" s="49">
        <v>33000</v>
      </c>
      <c r="M51" s="49">
        <v>33000</v>
      </c>
      <c r="N51" s="49">
        <v>33000</v>
      </c>
      <c r="O51" s="49">
        <v>33000</v>
      </c>
      <c r="P51" s="49">
        <v>33000</v>
      </c>
      <c r="Q51" s="49">
        <v>33000</v>
      </c>
      <c r="R51" s="49">
        <v>33000</v>
      </c>
      <c r="S51" s="49">
        <v>33000</v>
      </c>
      <c r="T51" s="49">
        <v>33000</v>
      </c>
      <c r="U51" s="49">
        <v>33000</v>
      </c>
      <c r="V51" s="49">
        <v>33000</v>
      </c>
      <c r="W51" s="49">
        <v>33000</v>
      </c>
      <c r="X51" s="49">
        <v>33000</v>
      </c>
      <c r="Y51" s="49">
        <v>33000</v>
      </c>
      <c r="Z51" s="49">
        <v>33000</v>
      </c>
      <c r="AA51" s="50">
        <f t="shared" si="0"/>
        <v>792000</v>
      </c>
      <c r="AB51" s="51">
        <v>22</v>
      </c>
      <c r="AC51" s="50">
        <f t="shared" si="1"/>
        <v>17424000</v>
      </c>
      <c r="AD51" s="88">
        <f>+SUM(AC51:AC54)</f>
        <v>24552000</v>
      </c>
    </row>
    <row r="52" spans="1:30" x14ac:dyDescent="0.35">
      <c r="A52" s="78"/>
      <c r="B52" s="17" t="s">
        <v>40</v>
      </c>
      <c r="C52" s="49">
        <v>33000</v>
      </c>
      <c r="D52" s="49">
        <v>33000</v>
      </c>
      <c r="E52" s="49">
        <v>33000</v>
      </c>
      <c r="F52" s="49">
        <v>33000</v>
      </c>
      <c r="G52" s="49">
        <v>33000</v>
      </c>
      <c r="H52" s="49">
        <v>33000</v>
      </c>
      <c r="I52" s="49">
        <v>33000</v>
      </c>
      <c r="J52" s="49">
        <v>33000</v>
      </c>
      <c r="K52" s="49">
        <v>33000</v>
      </c>
      <c r="L52" s="49">
        <v>33000</v>
      </c>
      <c r="M52" s="49">
        <v>33000</v>
      </c>
      <c r="N52" s="49">
        <v>33000</v>
      </c>
      <c r="O52" s="49">
        <v>33000</v>
      </c>
      <c r="P52" s="49">
        <v>33000</v>
      </c>
      <c r="Q52" s="49">
        <v>33000</v>
      </c>
      <c r="R52" s="49">
        <v>33000</v>
      </c>
      <c r="S52" s="49">
        <v>33000</v>
      </c>
      <c r="T52" s="49">
        <v>33000</v>
      </c>
      <c r="U52" s="49">
        <v>33000</v>
      </c>
      <c r="V52" s="49">
        <v>33000</v>
      </c>
      <c r="W52" s="49">
        <v>33000</v>
      </c>
      <c r="X52" s="49">
        <v>33000</v>
      </c>
      <c r="Y52" s="49">
        <v>33000</v>
      </c>
      <c r="Z52" s="49">
        <v>33000</v>
      </c>
      <c r="AA52" s="50">
        <f t="shared" si="0"/>
        <v>792000</v>
      </c>
      <c r="AB52" s="51">
        <v>3</v>
      </c>
      <c r="AC52" s="50">
        <f t="shared" si="1"/>
        <v>2376000</v>
      </c>
      <c r="AD52" s="89"/>
    </row>
    <row r="53" spans="1:30" x14ac:dyDescent="0.35">
      <c r="A53" s="78"/>
      <c r="B53" s="17" t="s">
        <v>41</v>
      </c>
      <c r="C53" s="49">
        <v>33000</v>
      </c>
      <c r="D53" s="49">
        <v>33000</v>
      </c>
      <c r="E53" s="49">
        <v>33000</v>
      </c>
      <c r="F53" s="49">
        <v>33000</v>
      </c>
      <c r="G53" s="49">
        <v>33000</v>
      </c>
      <c r="H53" s="49">
        <v>33000</v>
      </c>
      <c r="I53" s="49">
        <v>33000</v>
      </c>
      <c r="J53" s="49">
        <v>33000</v>
      </c>
      <c r="K53" s="49">
        <v>33000</v>
      </c>
      <c r="L53" s="49">
        <v>33000</v>
      </c>
      <c r="M53" s="49">
        <v>33000</v>
      </c>
      <c r="N53" s="49">
        <v>33000</v>
      </c>
      <c r="O53" s="49">
        <v>33000</v>
      </c>
      <c r="P53" s="49">
        <v>33000</v>
      </c>
      <c r="Q53" s="49">
        <v>33000</v>
      </c>
      <c r="R53" s="49">
        <v>33000</v>
      </c>
      <c r="S53" s="49">
        <v>33000</v>
      </c>
      <c r="T53" s="49">
        <v>33000</v>
      </c>
      <c r="U53" s="49">
        <v>33000</v>
      </c>
      <c r="V53" s="49">
        <v>33000</v>
      </c>
      <c r="W53" s="49">
        <v>33000</v>
      </c>
      <c r="X53" s="49">
        <v>33000</v>
      </c>
      <c r="Y53" s="49">
        <v>33000</v>
      </c>
      <c r="Z53" s="49">
        <v>33000</v>
      </c>
      <c r="AA53" s="50">
        <f t="shared" si="0"/>
        <v>792000</v>
      </c>
      <c r="AB53" s="51">
        <v>4</v>
      </c>
      <c r="AC53" s="50">
        <f t="shared" si="1"/>
        <v>3168000</v>
      </c>
      <c r="AD53" s="89"/>
    </row>
    <row r="54" spans="1:30" x14ac:dyDescent="0.35">
      <c r="A54" s="79"/>
      <c r="B54" s="18" t="s">
        <v>42</v>
      </c>
      <c r="C54" s="49">
        <v>33000</v>
      </c>
      <c r="D54" s="49">
        <v>33000</v>
      </c>
      <c r="E54" s="49">
        <v>33000</v>
      </c>
      <c r="F54" s="49">
        <v>33000</v>
      </c>
      <c r="G54" s="49">
        <v>33000</v>
      </c>
      <c r="H54" s="49">
        <v>33000</v>
      </c>
      <c r="I54" s="49">
        <v>33000</v>
      </c>
      <c r="J54" s="49">
        <v>33000</v>
      </c>
      <c r="K54" s="49">
        <v>33000</v>
      </c>
      <c r="L54" s="49">
        <v>33000</v>
      </c>
      <c r="M54" s="49">
        <v>33000</v>
      </c>
      <c r="N54" s="49">
        <v>33000</v>
      </c>
      <c r="O54" s="49">
        <v>33000</v>
      </c>
      <c r="P54" s="49">
        <v>33000</v>
      </c>
      <c r="Q54" s="49">
        <v>33000</v>
      </c>
      <c r="R54" s="49">
        <v>33000</v>
      </c>
      <c r="S54" s="49">
        <v>33000</v>
      </c>
      <c r="T54" s="49">
        <v>33000</v>
      </c>
      <c r="U54" s="49">
        <v>33000</v>
      </c>
      <c r="V54" s="49">
        <v>33000</v>
      </c>
      <c r="W54" s="49">
        <v>33000</v>
      </c>
      <c r="X54" s="49">
        <v>33000</v>
      </c>
      <c r="Y54" s="49">
        <v>33000</v>
      </c>
      <c r="Z54" s="49">
        <v>33000</v>
      </c>
      <c r="AA54" s="50">
        <f t="shared" si="0"/>
        <v>792000</v>
      </c>
      <c r="AB54" s="51">
        <v>2</v>
      </c>
      <c r="AC54" s="50">
        <f t="shared" si="1"/>
        <v>1584000</v>
      </c>
      <c r="AD54" s="90"/>
    </row>
    <row r="55" spans="1:30" x14ac:dyDescent="0.35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48">
        <f>SUM(AD7:AD51)</f>
        <v>289080000</v>
      </c>
    </row>
  </sheetData>
  <mergeCells count="28">
    <mergeCell ref="AD7:AD10"/>
    <mergeCell ref="A1:D1"/>
    <mergeCell ref="A2:L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7:Z54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D3BE-2344-4CF8-A6A2-7E222511A6FE}">
  <sheetPr>
    <tabColor rgb="FF00B0F0"/>
  </sheetPr>
  <dimension ref="C1:I22"/>
  <sheetViews>
    <sheetView showGridLines="0" topLeftCell="A5" workbookViewId="0">
      <selection activeCell="D20" sqref="D20:E2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6" t="s">
        <v>43</v>
      </c>
      <c r="D1" s="76"/>
      <c r="E1" s="76"/>
      <c r="F1" s="76"/>
      <c r="G1" s="76"/>
    </row>
    <row r="2" spans="3:7" x14ac:dyDescent="0.35">
      <c r="C2" s="76"/>
      <c r="D2" s="76"/>
      <c r="E2" s="76"/>
      <c r="F2" s="76"/>
      <c r="G2" s="76"/>
    </row>
    <row r="3" spans="3:7" ht="15" thickBot="1" x14ac:dyDescent="0.4"/>
    <row r="4" spans="3:7" ht="15" thickBot="1" x14ac:dyDescent="0.4">
      <c r="C4" s="91" t="s">
        <v>49</v>
      </c>
      <c r="D4" s="92"/>
      <c r="E4" s="92"/>
      <c r="F4" s="92"/>
      <c r="G4" s="93"/>
    </row>
    <row r="5" spans="3:7" ht="32" thickBot="1" x14ac:dyDescent="0.4">
      <c r="C5" s="23" t="s">
        <v>0</v>
      </c>
      <c r="D5" s="23" t="s">
        <v>5</v>
      </c>
      <c r="E5" s="23" t="s">
        <v>1</v>
      </c>
      <c r="F5" s="23" t="s">
        <v>6</v>
      </c>
      <c r="G5" s="23" t="s">
        <v>2</v>
      </c>
    </row>
    <row r="6" spans="3:7" x14ac:dyDescent="0.35">
      <c r="C6" s="3">
        <v>47119</v>
      </c>
      <c r="D6" s="4">
        <f>+VLOOKUP(C6,'CURVA P3'!$A$4:$AD$55,30,FALSE)</f>
        <v>34681994</v>
      </c>
      <c r="E6" s="70" t="s">
        <v>1</v>
      </c>
      <c r="F6" s="1"/>
      <c r="G6" s="73" t="s">
        <v>3</v>
      </c>
    </row>
    <row r="7" spans="3:7" x14ac:dyDescent="0.35">
      <c r="C7" s="3">
        <v>47150</v>
      </c>
      <c r="D7" s="4">
        <f>+VLOOKUP(C7,'CURVA P3'!$A$4:$AD$55,30,FALSE)</f>
        <v>37564556</v>
      </c>
      <c r="E7" s="71"/>
      <c r="F7" s="1"/>
      <c r="G7" s="74"/>
    </row>
    <row r="8" spans="3:7" x14ac:dyDescent="0.35">
      <c r="C8" s="3">
        <v>47178</v>
      </c>
      <c r="D8" s="4">
        <f>+VLOOKUP(C8,'CURVA P3'!$A$4:$AD$55,30,FALSE)</f>
        <v>34606811</v>
      </c>
      <c r="E8" s="71"/>
      <c r="F8" s="1"/>
      <c r="G8" s="74"/>
    </row>
    <row r="9" spans="3:7" x14ac:dyDescent="0.35">
      <c r="C9" s="3">
        <v>47209</v>
      </c>
      <c r="D9" s="4">
        <f>+VLOOKUP(C9,'CURVA P3'!$A$4:$AD$55,30,FALSE)</f>
        <v>36860395</v>
      </c>
      <c r="E9" s="71"/>
      <c r="F9" s="1"/>
      <c r="G9" s="74"/>
    </row>
    <row r="10" spans="3:7" x14ac:dyDescent="0.35">
      <c r="C10" s="3">
        <v>47239</v>
      </c>
      <c r="D10" s="4">
        <f>+VLOOKUP(C10,'CURVA P3'!$A$4:$AD$55,30,FALSE)</f>
        <v>37145955</v>
      </c>
      <c r="E10" s="71"/>
      <c r="F10" s="1"/>
      <c r="G10" s="74"/>
    </row>
    <row r="11" spans="3:7" x14ac:dyDescent="0.35">
      <c r="C11" s="3">
        <v>47270</v>
      </c>
      <c r="D11" s="4">
        <f>+VLOOKUP(C11,'CURVA P3'!$A$4:$AD$55,30,FALSE)</f>
        <v>38564385</v>
      </c>
      <c r="E11" s="71"/>
      <c r="F11" s="1"/>
      <c r="G11" s="74"/>
    </row>
    <row r="12" spans="3:7" x14ac:dyDescent="0.35">
      <c r="C12" s="3">
        <v>47300</v>
      </c>
      <c r="D12" s="4">
        <f>+VLOOKUP(C12,'CURVA P3'!$A$4:$AD$55,30,FALSE)</f>
        <v>36644330</v>
      </c>
      <c r="E12" s="71"/>
      <c r="F12" s="1"/>
      <c r="G12" s="74"/>
    </row>
    <row r="13" spans="3:7" x14ac:dyDescent="0.35">
      <c r="C13" s="3">
        <v>47331</v>
      </c>
      <c r="D13" s="4">
        <f>+VLOOKUP(C13,'CURVA P3'!$A$4:$AD$55,30,FALSE)</f>
        <v>38267878</v>
      </c>
      <c r="E13" s="71"/>
      <c r="F13" s="1"/>
      <c r="G13" s="74"/>
    </row>
    <row r="14" spans="3:7" x14ac:dyDescent="0.35">
      <c r="C14" s="3">
        <v>47362</v>
      </c>
      <c r="D14" s="4">
        <f>+VLOOKUP(C14,'CURVA P3'!$A$4:$AD$55,30,FALSE)</f>
        <v>40109230</v>
      </c>
      <c r="E14" s="71"/>
      <c r="F14" s="1"/>
      <c r="G14" s="74"/>
    </row>
    <row r="15" spans="3:7" x14ac:dyDescent="0.35">
      <c r="C15" s="3">
        <v>47392</v>
      </c>
      <c r="D15" s="4">
        <f>+VLOOKUP(C15,'CURVA P3'!$A$4:$AD$55,30,FALSE)</f>
        <v>39254580</v>
      </c>
      <c r="E15" s="71"/>
      <c r="F15" s="1"/>
      <c r="G15" s="74"/>
    </row>
    <row r="16" spans="3:7" x14ac:dyDescent="0.35">
      <c r="C16" s="3">
        <v>47423</v>
      </c>
      <c r="D16" s="4">
        <f>+VLOOKUP(C16,'CURVA P3'!$A$4:$AD$55,30,FALSE)</f>
        <v>38870616</v>
      </c>
      <c r="E16" s="71"/>
      <c r="F16" s="1"/>
      <c r="G16" s="74"/>
    </row>
    <row r="17" spans="3:9" ht="15" thickBot="1" x14ac:dyDescent="0.4">
      <c r="C17" s="3">
        <v>47453</v>
      </c>
      <c r="D17" s="6">
        <f>+VLOOKUP(C17,'CURVA P3'!$A$4:$AD$55,30,FALSE)</f>
        <v>37280033</v>
      </c>
      <c r="E17" s="72"/>
      <c r="F17" s="7"/>
      <c r="G17" s="75"/>
    </row>
    <row r="18" spans="3:9" ht="15" thickBot="1" x14ac:dyDescent="0.4">
      <c r="D18" s="26">
        <f>SUM(D6:D17)</f>
        <v>449850763</v>
      </c>
    </row>
    <row r="19" spans="3:9" x14ac:dyDescent="0.35">
      <c r="D19" s="21"/>
      <c r="I19" s="22"/>
    </row>
    <row r="20" spans="3:9" x14ac:dyDescent="0.35">
      <c r="D20" s="65"/>
      <c r="E20" s="66"/>
      <c r="I20" s="22"/>
    </row>
    <row r="21" spans="3:9" x14ac:dyDescent="0.35">
      <c r="D21" s="66"/>
      <c r="E21" s="20"/>
      <c r="I21" s="22"/>
    </row>
    <row r="22" spans="3:9" x14ac:dyDescent="0.35">
      <c r="I22" s="8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ignoredErrors>
    <ignoredError sqref="D6:D17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906C-A357-40EB-8F46-CB28082B8AD3}">
  <dimension ref="A1:AD58"/>
  <sheetViews>
    <sheetView showGridLines="0" topLeftCell="N47" zoomScaleNormal="100" workbookViewId="0">
      <selection activeCell="C7" sqref="C7:Z54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style="55" bestFit="1" customWidth="1"/>
    <col min="29" max="29" width="11" bestFit="1" customWidth="1"/>
    <col min="30" max="30" width="12" bestFit="1" customWidth="1"/>
  </cols>
  <sheetData>
    <row r="1" spans="1:30" x14ac:dyDescent="0.35">
      <c r="A1" s="106" t="s">
        <v>8</v>
      </c>
      <c r="B1" s="106"/>
      <c r="C1" s="106"/>
      <c r="D1" s="10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52"/>
      <c r="AC1" s="27"/>
      <c r="AD1" s="27"/>
    </row>
    <row r="2" spans="1:30" x14ac:dyDescent="0.35">
      <c r="A2" s="107" t="s">
        <v>43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52"/>
      <c r="AC2" s="27"/>
      <c r="AD2" s="27"/>
    </row>
    <row r="3" spans="1:30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52"/>
      <c r="AC3" s="27"/>
      <c r="AD3" s="27"/>
    </row>
    <row r="4" spans="1:30" x14ac:dyDescent="0.35">
      <c r="A4" s="108" t="s">
        <v>9</v>
      </c>
      <c r="B4" s="108"/>
      <c r="C4" s="109">
        <f>+AD55</f>
        <v>449850763</v>
      </c>
      <c r="D4" s="1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9"/>
      <c r="AC4" s="28"/>
      <c r="AD4" s="28"/>
    </row>
    <row r="5" spans="1:30" x14ac:dyDescent="0.35">
      <c r="A5" s="28" t="s">
        <v>0</v>
      </c>
      <c r="B5" s="29" t="s">
        <v>10</v>
      </c>
      <c r="C5" s="28" t="s">
        <v>11</v>
      </c>
      <c r="D5" s="28" t="s">
        <v>12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28" t="s">
        <v>18</v>
      </c>
      <c r="K5" s="28" t="s">
        <v>19</v>
      </c>
      <c r="L5" s="28" t="s">
        <v>20</v>
      </c>
      <c r="M5" s="28" t="s">
        <v>21</v>
      </c>
      <c r="N5" s="28" t="s">
        <v>22</v>
      </c>
      <c r="O5" s="28" t="s">
        <v>23</v>
      </c>
      <c r="P5" s="28" t="s">
        <v>24</v>
      </c>
      <c r="Q5" s="28" t="s">
        <v>25</v>
      </c>
      <c r="R5" s="28" t="s">
        <v>26</v>
      </c>
      <c r="S5" s="28" t="s">
        <v>27</v>
      </c>
      <c r="T5" s="28" t="s">
        <v>28</v>
      </c>
      <c r="U5" s="28" t="s">
        <v>29</v>
      </c>
      <c r="V5" s="28" t="s">
        <v>30</v>
      </c>
      <c r="W5" s="28" t="s">
        <v>31</v>
      </c>
      <c r="X5" s="28" t="s">
        <v>32</v>
      </c>
      <c r="Y5" s="28" t="s">
        <v>33</v>
      </c>
      <c r="Z5" s="28" t="s">
        <v>34</v>
      </c>
      <c r="AA5" s="28" t="s">
        <v>35</v>
      </c>
      <c r="AB5" s="9" t="s">
        <v>36</v>
      </c>
      <c r="AC5" s="28" t="s">
        <v>37</v>
      </c>
      <c r="AD5" s="28" t="s">
        <v>38</v>
      </c>
    </row>
    <row r="6" spans="1:30" hidden="1" x14ac:dyDescent="0.35">
      <c r="A6" s="30"/>
      <c r="B6" s="31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53"/>
      <c r="AC6" s="30"/>
      <c r="AD6" s="30"/>
    </row>
    <row r="7" spans="1:30" x14ac:dyDescent="0.35">
      <c r="A7" s="100">
        <v>47119</v>
      </c>
      <c r="B7" s="32" t="s">
        <v>39</v>
      </c>
      <c r="C7" s="33">
        <v>50734</v>
      </c>
      <c r="D7" s="33">
        <v>47502</v>
      </c>
      <c r="E7" s="33">
        <v>44893</v>
      </c>
      <c r="F7" s="33">
        <v>42973</v>
      </c>
      <c r="G7" s="33">
        <v>42369</v>
      </c>
      <c r="H7" s="33">
        <v>43525</v>
      </c>
      <c r="I7" s="33">
        <v>43877</v>
      </c>
      <c r="J7" s="33">
        <v>34803</v>
      </c>
      <c r="K7" s="33">
        <v>30488</v>
      </c>
      <c r="L7" s="33">
        <v>28809</v>
      </c>
      <c r="M7" s="33">
        <v>29156</v>
      </c>
      <c r="N7" s="33">
        <v>27931</v>
      </c>
      <c r="O7" s="33">
        <v>25350</v>
      </c>
      <c r="P7" s="33">
        <v>36515</v>
      </c>
      <c r="Q7" s="33">
        <v>53473</v>
      </c>
      <c r="R7" s="33">
        <v>65353</v>
      </c>
      <c r="S7" s="33">
        <v>70043</v>
      </c>
      <c r="T7" s="33">
        <v>68850</v>
      </c>
      <c r="U7" s="33">
        <v>71947</v>
      </c>
      <c r="V7" s="33">
        <v>70846</v>
      </c>
      <c r="W7" s="33">
        <v>69418</v>
      </c>
      <c r="X7" s="33">
        <v>67127</v>
      </c>
      <c r="Y7" s="33">
        <v>62458</v>
      </c>
      <c r="Z7" s="33">
        <v>56260</v>
      </c>
      <c r="AA7" s="33">
        <f>SUM(C7:Z7)</f>
        <v>1184700</v>
      </c>
      <c r="AB7" s="54">
        <v>21</v>
      </c>
      <c r="AC7" s="33">
        <f>+AA7*AB7</f>
        <v>24878700</v>
      </c>
      <c r="AD7" s="103">
        <f>+SUM(AC7:AC10)</f>
        <v>34681994</v>
      </c>
    </row>
    <row r="8" spans="1:30" x14ac:dyDescent="0.35">
      <c r="A8" s="101"/>
      <c r="B8" s="34" t="s">
        <v>40</v>
      </c>
      <c r="C8" s="33">
        <v>52409</v>
      </c>
      <c r="D8" s="33">
        <v>48832</v>
      </c>
      <c r="E8" s="33">
        <v>45926</v>
      </c>
      <c r="F8" s="33">
        <v>43784</v>
      </c>
      <c r="G8" s="33">
        <v>42911</v>
      </c>
      <c r="H8" s="33">
        <v>43290</v>
      </c>
      <c r="I8" s="33">
        <v>42906</v>
      </c>
      <c r="J8" s="33">
        <v>32987</v>
      </c>
      <c r="K8" s="33">
        <v>28664</v>
      </c>
      <c r="L8" s="33">
        <v>26873</v>
      </c>
      <c r="M8" s="33">
        <v>26568</v>
      </c>
      <c r="N8" s="33">
        <v>24777</v>
      </c>
      <c r="O8" s="33">
        <v>24000</v>
      </c>
      <c r="P8" s="33">
        <v>30955</v>
      </c>
      <c r="Q8" s="33">
        <v>43585</v>
      </c>
      <c r="R8" s="33">
        <v>54468</v>
      </c>
      <c r="S8" s="33">
        <v>59197</v>
      </c>
      <c r="T8" s="33">
        <v>61835</v>
      </c>
      <c r="U8" s="33">
        <v>68285</v>
      </c>
      <c r="V8" s="33">
        <v>67868</v>
      </c>
      <c r="W8" s="33">
        <v>65544</v>
      </c>
      <c r="X8" s="33">
        <v>63208</v>
      </c>
      <c r="Y8" s="33">
        <v>59983</v>
      </c>
      <c r="Z8" s="33">
        <v>55559</v>
      </c>
      <c r="AA8" s="33">
        <f t="shared" ref="AA8:AA54" si="0">SUM(C8:Z8)</f>
        <v>1114414</v>
      </c>
      <c r="AB8" s="54">
        <v>4</v>
      </c>
      <c r="AC8" s="33">
        <f t="shared" ref="AC8:AC54" si="1">+AA8*AB8</f>
        <v>4457656</v>
      </c>
      <c r="AD8" s="104"/>
    </row>
    <row r="9" spans="1:30" x14ac:dyDescent="0.35">
      <c r="A9" s="101"/>
      <c r="B9" s="34" t="s">
        <v>41</v>
      </c>
      <c r="C9" s="33">
        <v>51565</v>
      </c>
      <c r="D9" s="33">
        <v>48222</v>
      </c>
      <c r="E9" s="33">
        <v>45398</v>
      </c>
      <c r="F9" s="33">
        <v>43172</v>
      </c>
      <c r="G9" s="33">
        <v>41903</v>
      </c>
      <c r="H9" s="33">
        <v>41277</v>
      </c>
      <c r="I9" s="33">
        <v>39644</v>
      </c>
      <c r="J9" s="33">
        <v>25647</v>
      </c>
      <c r="K9" s="33">
        <v>16706</v>
      </c>
      <c r="L9" s="33">
        <v>13145</v>
      </c>
      <c r="M9" s="33">
        <v>10996</v>
      </c>
      <c r="N9" s="33">
        <v>9065</v>
      </c>
      <c r="O9" s="33">
        <v>11717</v>
      </c>
      <c r="P9" s="33">
        <v>18098</v>
      </c>
      <c r="Q9" s="33">
        <v>29418</v>
      </c>
      <c r="R9" s="33">
        <v>41038</v>
      </c>
      <c r="S9" s="33">
        <v>47340</v>
      </c>
      <c r="T9" s="33">
        <v>52632</v>
      </c>
      <c r="U9" s="33">
        <v>60366</v>
      </c>
      <c r="V9" s="33">
        <v>62538</v>
      </c>
      <c r="W9" s="33">
        <v>62268</v>
      </c>
      <c r="X9" s="33">
        <v>61150</v>
      </c>
      <c r="Y9" s="33">
        <v>57537</v>
      </c>
      <c r="Z9" s="33">
        <v>52408</v>
      </c>
      <c r="AA9" s="33">
        <f t="shared" si="0"/>
        <v>943250</v>
      </c>
      <c r="AB9" s="54">
        <v>4</v>
      </c>
      <c r="AC9" s="33">
        <f t="shared" si="1"/>
        <v>3773000</v>
      </c>
      <c r="AD9" s="104"/>
    </row>
    <row r="10" spans="1:30" x14ac:dyDescent="0.35">
      <c r="A10" s="102"/>
      <c r="B10" s="35" t="s">
        <v>42</v>
      </c>
      <c r="C10" s="33">
        <v>41719</v>
      </c>
      <c r="D10" s="33">
        <v>40098</v>
      </c>
      <c r="E10" s="33">
        <v>38671</v>
      </c>
      <c r="F10" s="33">
        <v>37217</v>
      </c>
      <c r="G10" s="33">
        <v>36468</v>
      </c>
      <c r="H10" s="33">
        <v>35829</v>
      </c>
      <c r="I10" s="33">
        <v>33583</v>
      </c>
      <c r="J10" s="33">
        <v>18968</v>
      </c>
      <c r="K10" s="33">
        <v>9365</v>
      </c>
      <c r="L10" s="33">
        <v>5768</v>
      </c>
      <c r="M10" s="33">
        <v>4228</v>
      </c>
      <c r="N10" s="33">
        <v>2293</v>
      </c>
      <c r="O10" s="33">
        <v>5050</v>
      </c>
      <c r="P10" s="33">
        <v>11785</v>
      </c>
      <c r="Q10" s="33">
        <v>22839</v>
      </c>
      <c r="R10" s="33">
        <v>34112</v>
      </c>
      <c r="S10" s="33">
        <v>39906</v>
      </c>
      <c r="T10" s="33">
        <v>47180</v>
      </c>
      <c r="U10" s="33">
        <v>55548</v>
      </c>
      <c r="V10" s="33">
        <v>57080</v>
      </c>
      <c r="W10" s="33">
        <v>56207</v>
      </c>
      <c r="X10" s="33">
        <v>54390</v>
      </c>
      <c r="Y10" s="33">
        <v>51102</v>
      </c>
      <c r="Z10" s="33">
        <v>46913</v>
      </c>
      <c r="AA10" s="33">
        <f t="shared" si="0"/>
        <v>786319</v>
      </c>
      <c r="AB10" s="54">
        <v>2</v>
      </c>
      <c r="AC10" s="33">
        <f t="shared" si="1"/>
        <v>1572638</v>
      </c>
      <c r="AD10" s="105"/>
    </row>
    <row r="11" spans="1:30" x14ac:dyDescent="0.35">
      <c r="A11" s="100">
        <v>47150</v>
      </c>
      <c r="B11" s="32" t="s">
        <v>39</v>
      </c>
      <c r="C11" s="33">
        <v>58326</v>
      </c>
      <c r="D11" s="33">
        <v>54371</v>
      </c>
      <c r="E11" s="33">
        <v>51584</v>
      </c>
      <c r="F11" s="33">
        <v>49711</v>
      </c>
      <c r="G11" s="33">
        <v>49640</v>
      </c>
      <c r="H11" s="33">
        <v>52884</v>
      </c>
      <c r="I11" s="33">
        <v>54401</v>
      </c>
      <c r="J11" s="33">
        <v>45983</v>
      </c>
      <c r="K11" s="33">
        <v>41099</v>
      </c>
      <c r="L11" s="33">
        <v>39048</v>
      </c>
      <c r="M11" s="33">
        <v>39454</v>
      </c>
      <c r="N11" s="33">
        <v>36545</v>
      </c>
      <c r="O11" s="33">
        <v>31369</v>
      </c>
      <c r="P11" s="33">
        <v>45498</v>
      </c>
      <c r="Q11" s="33">
        <v>64686</v>
      </c>
      <c r="R11" s="33">
        <v>77595</v>
      </c>
      <c r="S11" s="33">
        <v>82370</v>
      </c>
      <c r="T11" s="33">
        <v>78349</v>
      </c>
      <c r="U11" s="33">
        <v>79944</v>
      </c>
      <c r="V11" s="33">
        <v>79795</v>
      </c>
      <c r="W11" s="33">
        <v>78550</v>
      </c>
      <c r="X11" s="33">
        <v>75784</v>
      </c>
      <c r="Y11" s="33">
        <v>69794</v>
      </c>
      <c r="Z11" s="33">
        <v>62451</v>
      </c>
      <c r="AA11" s="33">
        <f t="shared" si="0"/>
        <v>1399231</v>
      </c>
      <c r="AB11" s="54">
        <v>20</v>
      </c>
      <c r="AC11" s="33">
        <f t="shared" si="1"/>
        <v>27984620</v>
      </c>
      <c r="AD11" s="103">
        <f>+SUM(AC11:AC14)</f>
        <v>37564556</v>
      </c>
    </row>
    <row r="12" spans="1:30" x14ac:dyDescent="0.35">
      <c r="A12" s="101"/>
      <c r="B12" s="34" t="s">
        <v>40</v>
      </c>
      <c r="C12" s="33">
        <v>56427</v>
      </c>
      <c r="D12" s="33">
        <v>52634</v>
      </c>
      <c r="E12" s="33">
        <v>49937</v>
      </c>
      <c r="F12" s="33">
        <v>48081</v>
      </c>
      <c r="G12" s="33">
        <v>47460</v>
      </c>
      <c r="H12" s="33">
        <v>48509</v>
      </c>
      <c r="I12" s="33">
        <v>49614</v>
      </c>
      <c r="J12" s="33">
        <v>41370</v>
      </c>
      <c r="K12" s="33">
        <v>37511</v>
      </c>
      <c r="L12" s="33">
        <v>35673</v>
      </c>
      <c r="M12" s="33">
        <v>35308</v>
      </c>
      <c r="N12" s="33">
        <v>32883</v>
      </c>
      <c r="O12" s="33">
        <v>30567</v>
      </c>
      <c r="P12" s="33">
        <v>37301</v>
      </c>
      <c r="Q12" s="33">
        <v>50934</v>
      </c>
      <c r="R12" s="33">
        <v>62618</v>
      </c>
      <c r="S12" s="33">
        <v>67504</v>
      </c>
      <c r="T12" s="33">
        <v>68213</v>
      </c>
      <c r="U12" s="33">
        <v>73987</v>
      </c>
      <c r="V12" s="33">
        <v>74615</v>
      </c>
      <c r="W12" s="33">
        <v>72208</v>
      </c>
      <c r="X12" s="33">
        <v>69616</v>
      </c>
      <c r="Y12" s="33">
        <v>66238</v>
      </c>
      <c r="Z12" s="33">
        <v>61411</v>
      </c>
      <c r="AA12" s="33">
        <f t="shared" si="0"/>
        <v>1270619</v>
      </c>
      <c r="AB12" s="54">
        <v>4</v>
      </c>
      <c r="AC12" s="33">
        <f t="shared" si="1"/>
        <v>5082476</v>
      </c>
      <c r="AD12" s="104"/>
    </row>
    <row r="13" spans="1:30" x14ac:dyDescent="0.35">
      <c r="A13" s="101"/>
      <c r="B13" s="34" t="s">
        <v>41</v>
      </c>
      <c r="C13" s="33">
        <v>57952</v>
      </c>
      <c r="D13" s="33">
        <v>53917</v>
      </c>
      <c r="E13" s="33">
        <v>51108</v>
      </c>
      <c r="F13" s="33">
        <v>48856</v>
      </c>
      <c r="G13" s="33">
        <v>47601</v>
      </c>
      <c r="H13" s="33">
        <v>47219</v>
      </c>
      <c r="I13" s="33">
        <v>46156</v>
      </c>
      <c r="J13" s="33">
        <v>32827</v>
      </c>
      <c r="K13" s="33">
        <v>23322</v>
      </c>
      <c r="L13" s="33">
        <v>19914</v>
      </c>
      <c r="M13" s="33">
        <v>18025</v>
      </c>
      <c r="N13" s="33">
        <v>16245</v>
      </c>
      <c r="O13" s="33">
        <v>19029</v>
      </c>
      <c r="P13" s="33">
        <v>25458</v>
      </c>
      <c r="Q13" s="33">
        <v>37791</v>
      </c>
      <c r="R13" s="33">
        <v>50518</v>
      </c>
      <c r="S13" s="33">
        <v>57445</v>
      </c>
      <c r="T13" s="33">
        <v>60702</v>
      </c>
      <c r="U13" s="33">
        <v>67855</v>
      </c>
      <c r="V13" s="33">
        <v>71585</v>
      </c>
      <c r="W13" s="33">
        <v>72096</v>
      </c>
      <c r="X13" s="33">
        <v>71420</v>
      </c>
      <c r="Y13" s="33">
        <v>66850</v>
      </c>
      <c r="Z13" s="33">
        <v>60474</v>
      </c>
      <c r="AA13" s="33">
        <f t="shared" si="0"/>
        <v>1124365</v>
      </c>
      <c r="AB13" s="54">
        <v>4</v>
      </c>
      <c r="AC13" s="33">
        <f t="shared" si="1"/>
        <v>4497460</v>
      </c>
      <c r="AD13" s="104"/>
    </row>
    <row r="14" spans="1:30" x14ac:dyDescent="0.35">
      <c r="A14" s="102"/>
      <c r="B14" s="35" t="s">
        <v>42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f t="shared" si="0"/>
        <v>0</v>
      </c>
      <c r="AB14" s="54">
        <v>0</v>
      </c>
      <c r="AC14" s="33">
        <f t="shared" si="1"/>
        <v>0</v>
      </c>
      <c r="AD14" s="105"/>
    </row>
    <row r="15" spans="1:30" x14ac:dyDescent="0.35">
      <c r="A15" s="100">
        <v>47178</v>
      </c>
      <c r="B15" s="32" t="s">
        <v>39</v>
      </c>
      <c r="C15" s="33">
        <v>51101</v>
      </c>
      <c r="D15" s="33">
        <v>47388</v>
      </c>
      <c r="E15" s="33">
        <v>44817</v>
      </c>
      <c r="F15" s="33">
        <v>42960</v>
      </c>
      <c r="G15" s="33">
        <v>42754</v>
      </c>
      <c r="H15" s="33">
        <v>44893</v>
      </c>
      <c r="I15" s="33">
        <v>45199</v>
      </c>
      <c r="J15" s="33">
        <v>36499</v>
      </c>
      <c r="K15" s="33">
        <v>31631</v>
      </c>
      <c r="L15" s="33">
        <v>29188</v>
      </c>
      <c r="M15" s="33">
        <v>29105</v>
      </c>
      <c r="N15" s="33">
        <v>26682</v>
      </c>
      <c r="O15" s="33">
        <v>22748</v>
      </c>
      <c r="P15" s="33">
        <v>35665</v>
      </c>
      <c r="Q15" s="33">
        <v>53291</v>
      </c>
      <c r="R15" s="33">
        <v>65130</v>
      </c>
      <c r="S15" s="33">
        <v>70051</v>
      </c>
      <c r="T15" s="33">
        <v>67983</v>
      </c>
      <c r="U15" s="33">
        <v>70086</v>
      </c>
      <c r="V15" s="33">
        <v>69973</v>
      </c>
      <c r="W15" s="33">
        <v>69018</v>
      </c>
      <c r="X15" s="33">
        <v>66862</v>
      </c>
      <c r="Y15" s="33">
        <v>61977</v>
      </c>
      <c r="Z15" s="33">
        <v>55582</v>
      </c>
      <c r="AA15" s="33">
        <f t="shared" si="0"/>
        <v>1180583</v>
      </c>
      <c r="AB15" s="54">
        <v>19</v>
      </c>
      <c r="AC15" s="33">
        <f t="shared" si="1"/>
        <v>22431077</v>
      </c>
      <c r="AD15" s="103">
        <f>+SUM(AC15:AC18)</f>
        <v>34606811</v>
      </c>
    </row>
    <row r="16" spans="1:30" x14ac:dyDescent="0.35">
      <c r="A16" s="101"/>
      <c r="B16" s="34" t="s">
        <v>40</v>
      </c>
      <c r="C16" s="33">
        <v>52927</v>
      </c>
      <c r="D16" s="33">
        <v>49035</v>
      </c>
      <c r="E16" s="33">
        <v>46276</v>
      </c>
      <c r="F16" s="33">
        <v>44067</v>
      </c>
      <c r="G16" s="33">
        <v>43091</v>
      </c>
      <c r="H16" s="33">
        <v>43283</v>
      </c>
      <c r="I16" s="33">
        <v>43521</v>
      </c>
      <c r="J16" s="33">
        <v>35115</v>
      </c>
      <c r="K16" s="33">
        <v>30678</v>
      </c>
      <c r="L16" s="33">
        <v>28374</v>
      </c>
      <c r="M16" s="33">
        <v>27941</v>
      </c>
      <c r="N16" s="33">
        <v>25208</v>
      </c>
      <c r="O16" s="33">
        <v>23215</v>
      </c>
      <c r="P16" s="33">
        <v>29931</v>
      </c>
      <c r="Q16" s="33">
        <v>42680</v>
      </c>
      <c r="R16" s="33">
        <v>53744</v>
      </c>
      <c r="S16" s="33">
        <v>58748</v>
      </c>
      <c r="T16" s="33">
        <v>60980</v>
      </c>
      <c r="U16" s="33">
        <v>66518</v>
      </c>
      <c r="V16" s="33">
        <v>66935</v>
      </c>
      <c r="W16" s="33">
        <v>65036</v>
      </c>
      <c r="X16" s="33">
        <v>63129</v>
      </c>
      <c r="Y16" s="33">
        <v>60487</v>
      </c>
      <c r="Z16" s="33">
        <v>56461</v>
      </c>
      <c r="AA16" s="33">
        <f t="shared" si="0"/>
        <v>1117380</v>
      </c>
      <c r="AB16" s="54">
        <v>5</v>
      </c>
      <c r="AC16" s="33">
        <f t="shared" si="1"/>
        <v>5586900</v>
      </c>
      <c r="AD16" s="104"/>
    </row>
    <row r="17" spans="1:30" x14ac:dyDescent="0.35">
      <c r="A17" s="101"/>
      <c r="B17" s="34" t="s">
        <v>41</v>
      </c>
      <c r="C17" s="33">
        <v>53216</v>
      </c>
      <c r="D17" s="33">
        <v>49475</v>
      </c>
      <c r="E17" s="33">
        <v>46809</v>
      </c>
      <c r="F17" s="33">
        <v>44647</v>
      </c>
      <c r="G17" s="33">
        <v>43354</v>
      </c>
      <c r="H17" s="33">
        <v>42520</v>
      </c>
      <c r="I17" s="33">
        <v>40722</v>
      </c>
      <c r="J17" s="33">
        <v>27061</v>
      </c>
      <c r="K17" s="33">
        <v>17863</v>
      </c>
      <c r="L17" s="33">
        <v>13739</v>
      </c>
      <c r="M17" s="33">
        <v>11084</v>
      </c>
      <c r="N17" s="33">
        <v>9445</v>
      </c>
      <c r="O17" s="33">
        <v>12203</v>
      </c>
      <c r="P17" s="33">
        <v>18690</v>
      </c>
      <c r="Q17" s="33">
        <v>30575</v>
      </c>
      <c r="R17" s="33">
        <v>42295</v>
      </c>
      <c r="S17" s="33">
        <v>48773</v>
      </c>
      <c r="T17" s="33">
        <v>53469</v>
      </c>
      <c r="U17" s="33">
        <v>60171</v>
      </c>
      <c r="V17" s="33">
        <v>63602</v>
      </c>
      <c r="W17" s="33">
        <v>64376</v>
      </c>
      <c r="X17" s="33">
        <v>64024</v>
      </c>
      <c r="Y17" s="33">
        <v>60049</v>
      </c>
      <c r="Z17" s="33">
        <v>54519</v>
      </c>
      <c r="AA17" s="33">
        <f t="shared" si="0"/>
        <v>972681</v>
      </c>
      <c r="AB17" s="54">
        <v>4</v>
      </c>
      <c r="AC17" s="33">
        <f t="shared" si="1"/>
        <v>3890724</v>
      </c>
      <c r="AD17" s="104"/>
    </row>
    <row r="18" spans="1:30" x14ac:dyDescent="0.35">
      <c r="A18" s="102"/>
      <c r="B18" s="35" t="s">
        <v>42</v>
      </c>
      <c r="C18" s="33">
        <v>44825</v>
      </c>
      <c r="D18" s="33">
        <v>41063</v>
      </c>
      <c r="E18" s="33">
        <v>38642</v>
      </c>
      <c r="F18" s="33">
        <v>36996</v>
      </c>
      <c r="G18" s="33">
        <v>36175</v>
      </c>
      <c r="H18" s="33">
        <v>35991</v>
      </c>
      <c r="I18" s="33">
        <v>35521</v>
      </c>
      <c r="J18" s="33">
        <v>24305</v>
      </c>
      <c r="K18" s="33">
        <v>16859</v>
      </c>
      <c r="L18" s="33">
        <v>14320</v>
      </c>
      <c r="M18" s="33">
        <v>13700</v>
      </c>
      <c r="N18" s="33">
        <v>12081</v>
      </c>
      <c r="O18" s="33">
        <v>12598</v>
      </c>
      <c r="P18" s="33">
        <v>19906</v>
      </c>
      <c r="Q18" s="33">
        <v>31195</v>
      </c>
      <c r="R18" s="33">
        <v>41792</v>
      </c>
      <c r="S18" s="33">
        <v>47075</v>
      </c>
      <c r="T18" s="33">
        <v>51087</v>
      </c>
      <c r="U18" s="33">
        <v>58643</v>
      </c>
      <c r="V18" s="33">
        <v>61941</v>
      </c>
      <c r="W18" s="33">
        <v>61863</v>
      </c>
      <c r="X18" s="33">
        <v>59914</v>
      </c>
      <c r="Y18" s="33">
        <v>54396</v>
      </c>
      <c r="Z18" s="33">
        <v>48482</v>
      </c>
      <c r="AA18" s="33">
        <f t="shared" si="0"/>
        <v>899370</v>
      </c>
      <c r="AB18" s="54">
        <v>3</v>
      </c>
      <c r="AC18" s="33">
        <f t="shared" si="1"/>
        <v>2698110</v>
      </c>
      <c r="AD18" s="105"/>
    </row>
    <row r="19" spans="1:30" x14ac:dyDescent="0.35">
      <c r="A19" s="100">
        <v>47209</v>
      </c>
      <c r="B19" s="32" t="s">
        <v>39</v>
      </c>
      <c r="C19" s="33">
        <v>53919</v>
      </c>
      <c r="D19" s="33">
        <v>50010</v>
      </c>
      <c r="E19" s="33">
        <v>47334</v>
      </c>
      <c r="F19" s="33">
        <v>45454</v>
      </c>
      <c r="G19" s="33">
        <v>45249</v>
      </c>
      <c r="H19" s="33">
        <v>46225</v>
      </c>
      <c r="I19" s="33">
        <v>47117</v>
      </c>
      <c r="J19" s="33">
        <v>39656</v>
      </c>
      <c r="K19" s="33">
        <v>36010</v>
      </c>
      <c r="L19" s="33">
        <v>34289</v>
      </c>
      <c r="M19" s="33">
        <v>34963</v>
      </c>
      <c r="N19" s="33">
        <v>33009</v>
      </c>
      <c r="O19" s="33">
        <v>28301</v>
      </c>
      <c r="P19" s="33">
        <v>41652</v>
      </c>
      <c r="Q19" s="33">
        <v>60295</v>
      </c>
      <c r="R19" s="33">
        <v>72089</v>
      </c>
      <c r="S19" s="33">
        <v>76368</v>
      </c>
      <c r="T19" s="33">
        <v>73378</v>
      </c>
      <c r="U19" s="33">
        <v>75014</v>
      </c>
      <c r="V19" s="33">
        <v>74551</v>
      </c>
      <c r="W19" s="33">
        <v>73813</v>
      </c>
      <c r="X19" s="33">
        <v>71465</v>
      </c>
      <c r="Y19" s="33">
        <v>66237</v>
      </c>
      <c r="Z19" s="33">
        <v>59347</v>
      </c>
      <c r="AA19" s="33">
        <f t="shared" si="0"/>
        <v>1285745</v>
      </c>
      <c r="AB19" s="54">
        <v>21</v>
      </c>
      <c r="AC19" s="33">
        <f t="shared" si="1"/>
        <v>27000645</v>
      </c>
      <c r="AD19" s="103">
        <f>+SUM(AC19:AC22)</f>
        <v>36860395</v>
      </c>
    </row>
    <row r="20" spans="1:30" x14ac:dyDescent="0.35">
      <c r="A20" s="101"/>
      <c r="B20" s="34" t="s">
        <v>40</v>
      </c>
      <c r="C20" s="33">
        <v>54928</v>
      </c>
      <c r="D20" s="33">
        <v>51010</v>
      </c>
      <c r="E20" s="33">
        <v>48150</v>
      </c>
      <c r="F20" s="33">
        <v>45980</v>
      </c>
      <c r="G20" s="33">
        <v>45085</v>
      </c>
      <c r="H20" s="33">
        <v>44011</v>
      </c>
      <c r="I20" s="33">
        <v>44873</v>
      </c>
      <c r="J20" s="33">
        <v>36483</v>
      </c>
      <c r="K20" s="33">
        <v>33043</v>
      </c>
      <c r="L20" s="33">
        <v>31480</v>
      </c>
      <c r="M20" s="33">
        <v>31209</v>
      </c>
      <c r="N20" s="33">
        <v>29212</v>
      </c>
      <c r="O20" s="33">
        <v>27616</v>
      </c>
      <c r="P20" s="33">
        <v>34691</v>
      </c>
      <c r="Q20" s="33">
        <v>47795</v>
      </c>
      <c r="R20" s="33">
        <v>58719</v>
      </c>
      <c r="S20" s="33">
        <v>63062</v>
      </c>
      <c r="T20" s="33">
        <v>64716</v>
      </c>
      <c r="U20" s="33">
        <v>69798</v>
      </c>
      <c r="V20" s="33">
        <v>69182</v>
      </c>
      <c r="W20" s="33">
        <v>67168</v>
      </c>
      <c r="X20" s="33">
        <v>64969</v>
      </c>
      <c r="Y20" s="33">
        <v>61993</v>
      </c>
      <c r="Z20" s="33">
        <v>57897</v>
      </c>
      <c r="AA20" s="33">
        <f t="shared" si="0"/>
        <v>1183070</v>
      </c>
      <c r="AB20" s="54">
        <v>4</v>
      </c>
      <c r="AC20" s="33">
        <f t="shared" si="1"/>
        <v>4732280</v>
      </c>
      <c r="AD20" s="104"/>
    </row>
    <row r="21" spans="1:30" x14ac:dyDescent="0.35">
      <c r="A21" s="101"/>
      <c r="B21" s="34" t="s">
        <v>41</v>
      </c>
      <c r="C21" s="33">
        <v>55133</v>
      </c>
      <c r="D21" s="33">
        <v>51055</v>
      </c>
      <c r="E21" s="33">
        <v>48085</v>
      </c>
      <c r="F21" s="33">
        <v>45716</v>
      </c>
      <c r="G21" s="33">
        <v>44354</v>
      </c>
      <c r="H21" s="33">
        <v>42478</v>
      </c>
      <c r="I21" s="33">
        <v>41547</v>
      </c>
      <c r="J21" s="33">
        <v>28614</v>
      </c>
      <c r="K21" s="33">
        <v>19596</v>
      </c>
      <c r="L21" s="33">
        <v>15951</v>
      </c>
      <c r="M21" s="33">
        <v>14180</v>
      </c>
      <c r="N21" s="33">
        <v>13026</v>
      </c>
      <c r="O21" s="33">
        <v>15711</v>
      </c>
      <c r="P21" s="33">
        <v>22412</v>
      </c>
      <c r="Q21" s="33">
        <v>34556</v>
      </c>
      <c r="R21" s="33">
        <v>46310</v>
      </c>
      <c r="S21" s="33">
        <v>52377</v>
      </c>
      <c r="T21" s="33">
        <v>56388</v>
      </c>
      <c r="U21" s="33">
        <v>63027</v>
      </c>
      <c r="V21" s="33">
        <v>65752</v>
      </c>
      <c r="W21" s="33">
        <v>65741</v>
      </c>
      <c r="X21" s="33">
        <v>65448</v>
      </c>
      <c r="Y21" s="33">
        <v>61853</v>
      </c>
      <c r="Z21" s="33">
        <v>56184</v>
      </c>
      <c r="AA21" s="33">
        <f t="shared" si="0"/>
        <v>1025494</v>
      </c>
      <c r="AB21" s="54">
        <v>5</v>
      </c>
      <c r="AC21" s="33">
        <f t="shared" si="1"/>
        <v>5127470</v>
      </c>
      <c r="AD21" s="104"/>
    </row>
    <row r="22" spans="1:30" x14ac:dyDescent="0.35">
      <c r="A22" s="102"/>
      <c r="B22" s="35" t="s">
        <v>42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f t="shared" si="0"/>
        <v>0</v>
      </c>
      <c r="AB22" s="54">
        <v>0</v>
      </c>
      <c r="AC22" s="33">
        <f t="shared" si="1"/>
        <v>0</v>
      </c>
      <c r="AD22" s="105"/>
    </row>
    <row r="23" spans="1:30" x14ac:dyDescent="0.35">
      <c r="A23" s="100">
        <v>47239</v>
      </c>
      <c r="B23" s="32" t="s">
        <v>39</v>
      </c>
      <c r="C23" s="33">
        <v>53931</v>
      </c>
      <c r="D23" s="33">
        <v>50223</v>
      </c>
      <c r="E23" s="33">
        <v>47490</v>
      </c>
      <c r="F23" s="33">
        <v>45577</v>
      </c>
      <c r="G23" s="33">
        <v>45080</v>
      </c>
      <c r="H23" s="33">
        <v>44651</v>
      </c>
      <c r="I23" s="33">
        <v>45911</v>
      </c>
      <c r="J23" s="33">
        <v>38727</v>
      </c>
      <c r="K23" s="33">
        <v>35791</v>
      </c>
      <c r="L23" s="33">
        <v>34376</v>
      </c>
      <c r="M23" s="33">
        <v>34820</v>
      </c>
      <c r="N23" s="33">
        <v>32616</v>
      </c>
      <c r="O23" s="33">
        <v>28094</v>
      </c>
      <c r="P23" s="33">
        <v>41114</v>
      </c>
      <c r="Q23" s="33">
        <v>59277</v>
      </c>
      <c r="R23" s="33">
        <v>70323</v>
      </c>
      <c r="S23" s="33">
        <v>74257</v>
      </c>
      <c r="T23" s="33">
        <v>71253</v>
      </c>
      <c r="U23" s="33">
        <v>72504</v>
      </c>
      <c r="V23" s="33">
        <v>72600</v>
      </c>
      <c r="W23" s="33">
        <v>72308</v>
      </c>
      <c r="X23" s="33">
        <v>70408</v>
      </c>
      <c r="Y23" s="33">
        <v>65503</v>
      </c>
      <c r="Z23" s="33">
        <v>59017</v>
      </c>
      <c r="AA23" s="33">
        <f t="shared" si="0"/>
        <v>1265851</v>
      </c>
      <c r="AB23" s="54">
        <v>21</v>
      </c>
      <c r="AC23" s="33">
        <f t="shared" si="1"/>
        <v>26582871</v>
      </c>
      <c r="AD23" s="103">
        <f>+SUM(AC23:AC26)</f>
        <v>37145955</v>
      </c>
    </row>
    <row r="24" spans="1:30" x14ac:dyDescent="0.35">
      <c r="A24" s="101"/>
      <c r="B24" s="34" t="s">
        <v>40</v>
      </c>
      <c r="C24" s="33">
        <v>56647</v>
      </c>
      <c r="D24" s="33">
        <v>52445</v>
      </c>
      <c r="E24" s="33">
        <v>49360</v>
      </c>
      <c r="F24" s="33">
        <v>46971</v>
      </c>
      <c r="G24" s="33">
        <v>45994</v>
      </c>
      <c r="H24" s="33">
        <v>44045</v>
      </c>
      <c r="I24" s="33">
        <v>45072</v>
      </c>
      <c r="J24" s="33">
        <v>36765</v>
      </c>
      <c r="K24" s="33">
        <v>33985</v>
      </c>
      <c r="L24" s="33">
        <v>32856</v>
      </c>
      <c r="M24" s="33">
        <v>32615</v>
      </c>
      <c r="N24" s="33">
        <v>29973</v>
      </c>
      <c r="O24" s="33">
        <v>27867</v>
      </c>
      <c r="P24" s="33">
        <v>34608</v>
      </c>
      <c r="Q24" s="33">
        <v>46981</v>
      </c>
      <c r="R24" s="33">
        <v>57739</v>
      </c>
      <c r="S24" s="33">
        <v>61839</v>
      </c>
      <c r="T24" s="33">
        <v>62660</v>
      </c>
      <c r="U24" s="33">
        <v>67459</v>
      </c>
      <c r="V24" s="33">
        <v>68151</v>
      </c>
      <c r="W24" s="33">
        <v>66505</v>
      </c>
      <c r="X24" s="33">
        <v>64818</v>
      </c>
      <c r="Y24" s="33">
        <v>62128</v>
      </c>
      <c r="Z24" s="33">
        <v>58109</v>
      </c>
      <c r="AA24" s="33">
        <f t="shared" si="0"/>
        <v>1185592</v>
      </c>
      <c r="AB24" s="54">
        <v>4</v>
      </c>
      <c r="AC24" s="33">
        <f t="shared" si="1"/>
        <v>4742368</v>
      </c>
      <c r="AD24" s="104"/>
    </row>
    <row r="25" spans="1:30" x14ac:dyDescent="0.35">
      <c r="A25" s="101"/>
      <c r="B25" s="34" t="s">
        <v>41</v>
      </c>
      <c r="C25" s="33">
        <v>54403</v>
      </c>
      <c r="D25" s="33">
        <v>50795</v>
      </c>
      <c r="E25" s="33">
        <v>48051</v>
      </c>
      <c r="F25" s="33">
        <v>45776</v>
      </c>
      <c r="G25" s="33">
        <v>44321</v>
      </c>
      <c r="H25" s="33">
        <v>41363</v>
      </c>
      <c r="I25" s="33">
        <v>41233</v>
      </c>
      <c r="J25" s="33">
        <v>27966</v>
      </c>
      <c r="K25" s="33">
        <v>19110</v>
      </c>
      <c r="L25" s="33">
        <v>15450</v>
      </c>
      <c r="M25" s="33">
        <v>13870</v>
      </c>
      <c r="N25" s="33">
        <v>11868</v>
      </c>
      <c r="O25" s="33">
        <v>13406</v>
      </c>
      <c r="P25" s="33">
        <v>19475</v>
      </c>
      <c r="Q25" s="33">
        <v>31663</v>
      </c>
      <c r="R25" s="33">
        <v>42880</v>
      </c>
      <c r="S25" s="33">
        <v>48945</v>
      </c>
      <c r="T25" s="33">
        <v>53321</v>
      </c>
      <c r="U25" s="33">
        <v>59772</v>
      </c>
      <c r="V25" s="33">
        <v>62849</v>
      </c>
      <c r="W25" s="33">
        <v>63479</v>
      </c>
      <c r="X25" s="33">
        <v>63614</v>
      </c>
      <c r="Y25" s="33">
        <v>60693</v>
      </c>
      <c r="Z25" s="33">
        <v>55633</v>
      </c>
      <c r="AA25" s="33">
        <f t="shared" si="0"/>
        <v>989936</v>
      </c>
      <c r="AB25" s="54">
        <v>4</v>
      </c>
      <c r="AC25" s="33">
        <f t="shared" si="1"/>
        <v>3959744</v>
      </c>
      <c r="AD25" s="104"/>
    </row>
    <row r="26" spans="1:30" x14ac:dyDescent="0.35">
      <c r="A26" s="102"/>
      <c r="B26" s="35" t="s">
        <v>42</v>
      </c>
      <c r="C26" s="33">
        <v>46745</v>
      </c>
      <c r="D26" s="33">
        <v>43195</v>
      </c>
      <c r="E26" s="33">
        <v>40671</v>
      </c>
      <c r="F26" s="33">
        <v>38835</v>
      </c>
      <c r="G26" s="33">
        <v>37992</v>
      </c>
      <c r="H26" s="33">
        <v>36023</v>
      </c>
      <c r="I26" s="33">
        <v>36443</v>
      </c>
      <c r="J26" s="33">
        <v>24621</v>
      </c>
      <c r="K26" s="33">
        <v>16951</v>
      </c>
      <c r="L26" s="33">
        <v>14412</v>
      </c>
      <c r="M26" s="33">
        <v>13866</v>
      </c>
      <c r="N26" s="33">
        <v>12349</v>
      </c>
      <c r="O26" s="33">
        <v>13417</v>
      </c>
      <c r="P26" s="33">
        <v>20524</v>
      </c>
      <c r="Q26" s="33">
        <v>32598</v>
      </c>
      <c r="R26" s="33">
        <v>43646</v>
      </c>
      <c r="S26" s="33">
        <v>48821</v>
      </c>
      <c r="T26" s="33">
        <v>52175</v>
      </c>
      <c r="U26" s="33">
        <v>58908</v>
      </c>
      <c r="V26" s="33">
        <v>62663</v>
      </c>
      <c r="W26" s="33">
        <v>63094</v>
      </c>
      <c r="X26" s="33">
        <v>62120</v>
      </c>
      <c r="Y26" s="33">
        <v>57961</v>
      </c>
      <c r="Z26" s="33">
        <v>52456</v>
      </c>
      <c r="AA26" s="33">
        <f t="shared" si="0"/>
        <v>930486</v>
      </c>
      <c r="AB26" s="54">
        <v>2</v>
      </c>
      <c r="AC26" s="33">
        <f t="shared" si="1"/>
        <v>1860972</v>
      </c>
      <c r="AD26" s="105"/>
    </row>
    <row r="27" spans="1:30" x14ac:dyDescent="0.35">
      <c r="A27" s="100">
        <v>47270</v>
      </c>
      <c r="B27" s="32" t="s">
        <v>39</v>
      </c>
      <c r="C27" s="33">
        <v>57627</v>
      </c>
      <c r="D27" s="33">
        <v>53657</v>
      </c>
      <c r="E27" s="33">
        <v>50733</v>
      </c>
      <c r="F27" s="33">
        <v>48727</v>
      </c>
      <c r="G27" s="33">
        <v>48210</v>
      </c>
      <c r="H27" s="33">
        <v>47527</v>
      </c>
      <c r="I27" s="33">
        <v>49629</v>
      </c>
      <c r="J27" s="33">
        <v>43360</v>
      </c>
      <c r="K27" s="33">
        <v>40579</v>
      </c>
      <c r="L27" s="33">
        <v>38947</v>
      </c>
      <c r="M27" s="33">
        <v>39320</v>
      </c>
      <c r="N27" s="33">
        <v>37413</v>
      </c>
      <c r="O27" s="33">
        <v>32168</v>
      </c>
      <c r="P27" s="33">
        <v>45064</v>
      </c>
      <c r="Q27" s="33">
        <v>63248</v>
      </c>
      <c r="R27" s="33">
        <v>74791</v>
      </c>
      <c r="S27" s="33">
        <v>79186</v>
      </c>
      <c r="T27" s="33">
        <v>75160</v>
      </c>
      <c r="U27" s="33">
        <v>75622</v>
      </c>
      <c r="V27" s="33">
        <v>76379</v>
      </c>
      <c r="W27" s="33">
        <v>75521</v>
      </c>
      <c r="X27" s="33">
        <v>73237</v>
      </c>
      <c r="Y27" s="33">
        <v>68406</v>
      </c>
      <c r="Z27" s="33">
        <v>61914</v>
      </c>
      <c r="AA27" s="33">
        <f t="shared" si="0"/>
        <v>1356425</v>
      </c>
      <c r="AB27" s="54">
        <v>19</v>
      </c>
      <c r="AC27" s="33">
        <f t="shared" si="1"/>
        <v>25772075</v>
      </c>
      <c r="AD27" s="103">
        <f>+SUM(AC27:AC30)</f>
        <v>38564385</v>
      </c>
    </row>
    <row r="28" spans="1:30" x14ac:dyDescent="0.35">
      <c r="A28" s="101"/>
      <c r="B28" s="34" t="s">
        <v>40</v>
      </c>
      <c r="C28" s="33">
        <v>58866</v>
      </c>
      <c r="D28" s="33">
        <v>55007</v>
      </c>
      <c r="E28" s="33">
        <v>52081</v>
      </c>
      <c r="F28" s="33">
        <v>49913</v>
      </c>
      <c r="G28" s="33">
        <v>49163</v>
      </c>
      <c r="H28" s="33">
        <v>47281</v>
      </c>
      <c r="I28" s="33">
        <v>49120</v>
      </c>
      <c r="J28" s="33">
        <v>41405</v>
      </c>
      <c r="K28" s="33">
        <v>38265</v>
      </c>
      <c r="L28" s="33">
        <v>36716</v>
      </c>
      <c r="M28" s="33">
        <v>36531</v>
      </c>
      <c r="N28" s="33">
        <v>34030</v>
      </c>
      <c r="O28" s="33">
        <v>31543</v>
      </c>
      <c r="P28" s="33">
        <v>37512</v>
      </c>
      <c r="Q28" s="33">
        <v>50881</v>
      </c>
      <c r="R28" s="33">
        <v>62249</v>
      </c>
      <c r="S28" s="33">
        <v>66699</v>
      </c>
      <c r="T28" s="33">
        <v>67311</v>
      </c>
      <c r="U28" s="33">
        <v>71209</v>
      </c>
      <c r="V28" s="33">
        <v>72332</v>
      </c>
      <c r="W28" s="33">
        <v>70326</v>
      </c>
      <c r="X28" s="33">
        <v>68247</v>
      </c>
      <c r="Y28" s="33">
        <v>65411</v>
      </c>
      <c r="Z28" s="33">
        <v>61398</v>
      </c>
      <c r="AA28" s="33">
        <f t="shared" si="0"/>
        <v>1273496</v>
      </c>
      <c r="AB28" s="54">
        <v>5</v>
      </c>
      <c r="AC28" s="33">
        <f t="shared" si="1"/>
        <v>6367480</v>
      </c>
      <c r="AD28" s="104"/>
    </row>
    <row r="29" spans="1:30" x14ac:dyDescent="0.35">
      <c r="A29" s="101"/>
      <c r="B29" s="34" t="s">
        <v>41</v>
      </c>
      <c r="C29" s="33">
        <v>58352</v>
      </c>
      <c r="D29" s="33">
        <v>54648</v>
      </c>
      <c r="E29" s="33">
        <v>51893</v>
      </c>
      <c r="F29" s="33">
        <v>49666</v>
      </c>
      <c r="G29" s="33">
        <v>48341</v>
      </c>
      <c r="H29" s="33">
        <v>45459</v>
      </c>
      <c r="I29" s="33">
        <v>45233</v>
      </c>
      <c r="J29" s="33">
        <v>32508</v>
      </c>
      <c r="K29" s="33">
        <v>22793</v>
      </c>
      <c r="L29" s="33">
        <v>19696</v>
      </c>
      <c r="M29" s="33">
        <v>16867</v>
      </c>
      <c r="N29" s="33">
        <v>14699</v>
      </c>
      <c r="O29" s="33">
        <v>16938</v>
      </c>
      <c r="P29" s="33">
        <v>23118</v>
      </c>
      <c r="Q29" s="33">
        <v>34986</v>
      </c>
      <c r="R29" s="33">
        <v>46564</v>
      </c>
      <c r="S29" s="33">
        <v>53363</v>
      </c>
      <c r="T29" s="33">
        <v>56570</v>
      </c>
      <c r="U29" s="33">
        <v>62724</v>
      </c>
      <c r="V29" s="33">
        <v>67312</v>
      </c>
      <c r="W29" s="33">
        <v>67687</v>
      </c>
      <c r="X29" s="33">
        <v>67488</v>
      </c>
      <c r="Y29" s="33">
        <v>64858</v>
      </c>
      <c r="Z29" s="33">
        <v>60243</v>
      </c>
      <c r="AA29" s="33">
        <f t="shared" si="0"/>
        <v>1082006</v>
      </c>
      <c r="AB29" s="54">
        <v>4</v>
      </c>
      <c r="AC29" s="33">
        <f t="shared" si="1"/>
        <v>4328024</v>
      </c>
      <c r="AD29" s="104"/>
    </row>
    <row r="30" spans="1:30" x14ac:dyDescent="0.35">
      <c r="A30" s="102"/>
      <c r="B30" s="35" t="s">
        <v>42</v>
      </c>
      <c r="C30" s="33">
        <v>51453</v>
      </c>
      <c r="D30" s="33">
        <v>47869</v>
      </c>
      <c r="E30" s="33">
        <v>45395</v>
      </c>
      <c r="F30" s="33">
        <v>43415</v>
      </c>
      <c r="G30" s="33">
        <v>42678</v>
      </c>
      <c r="H30" s="33">
        <v>40566</v>
      </c>
      <c r="I30" s="33">
        <v>41018</v>
      </c>
      <c r="J30" s="33">
        <v>30259</v>
      </c>
      <c r="K30" s="33">
        <v>23353</v>
      </c>
      <c r="L30" s="33">
        <v>21327</v>
      </c>
      <c r="M30" s="33">
        <v>21000</v>
      </c>
      <c r="N30" s="33">
        <v>19253</v>
      </c>
      <c r="O30" s="33">
        <v>19874</v>
      </c>
      <c r="P30" s="33">
        <v>26641</v>
      </c>
      <c r="Q30" s="33">
        <v>38307</v>
      </c>
      <c r="R30" s="33">
        <v>48845</v>
      </c>
      <c r="S30" s="33">
        <v>53775</v>
      </c>
      <c r="T30" s="33">
        <v>56078</v>
      </c>
      <c r="U30" s="33">
        <v>61954</v>
      </c>
      <c r="V30" s="33">
        <v>67044</v>
      </c>
      <c r="W30" s="33">
        <v>66726</v>
      </c>
      <c r="X30" s="33">
        <v>65241</v>
      </c>
      <c r="Y30" s="33">
        <v>61020</v>
      </c>
      <c r="Z30" s="33">
        <v>55312</v>
      </c>
      <c r="AA30" s="33">
        <f t="shared" si="0"/>
        <v>1048403</v>
      </c>
      <c r="AB30" s="54">
        <v>2</v>
      </c>
      <c r="AC30" s="33">
        <f t="shared" si="1"/>
        <v>2096806</v>
      </c>
      <c r="AD30" s="105"/>
    </row>
    <row r="31" spans="1:30" x14ac:dyDescent="0.35">
      <c r="A31" s="100">
        <v>47300</v>
      </c>
      <c r="B31" s="32" t="s">
        <v>39</v>
      </c>
      <c r="C31" s="33">
        <v>54444</v>
      </c>
      <c r="D31" s="33">
        <v>50601</v>
      </c>
      <c r="E31" s="33">
        <v>47844</v>
      </c>
      <c r="F31" s="33">
        <v>45732</v>
      </c>
      <c r="G31" s="33">
        <v>45082</v>
      </c>
      <c r="H31" s="33">
        <v>45041</v>
      </c>
      <c r="I31" s="33">
        <v>46546</v>
      </c>
      <c r="J31" s="33">
        <v>39393</v>
      </c>
      <c r="K31" s="33">
        <v>36321</v>
      </c>
      <c r="L31" s="33">
        <v>34708</v>
      </c>
      <c r="M31" s="33">
        <v>35026</v>
      </c>
      <c r="N31" s="33">
        <v>32351</v>
      </c>
      <c r="O31" s="33">
        <v>26951</v>
      </c>
      <c r="P31" s="33">
        <v>39685</v>
      </c>
      <c r="Q31" s="33">
        <v>57532</v>
      </c>
      <c r="R31" s="33">
        <v>68930</v>
      </c>
      <c r="S31" s="33">
        <v>72856</v>
      </c>
      <c r="T31" s="33">
        <v>69468</v>
      </c>
      <c r="U31" s="33">
        <v>69380</v>
      </c>
      <c r="V31" s="33">
        <v>71374</v>
      </c>
      <c r="W31" s="33">
        <v>71028</v>
      </c>
      <c r="X31" s="33">
        <v>69310</v>
      </c>
      <c r="Y31" s="33">
        <v>64853</v>
      </c>
      <c r="Z31" s="33">
        <v>58722</v>
      </c>
      <c r="AA31" s="33">
        <f t="shared" si="0"/>
        <v>1253178</v>
      </c>
      <c r="AB31" s="54">
        <v>20</v>
      </c>
      <c r="AC31" s="33">
        <f t="shared" si="1"/>
        <v>25063560</v>
      </c>
      <c r="AD31" s="103">
        <f>+SUM(AC31:AC34)</f>
        <v>36644330</v>
      </c>
    </row>
    <row r="32" spans="1:30" x14ac:dyDescent="0.35">
      <c r="A32" s="101"/>
      <c r="B32" s="34" t="s">
        <v>40</v>
      </c>
      <c r="C32" s="33">
        <v>53654</v>
      </c>
      <c r="D32" s="33">
        <v>49953</v>
      </c>
      <c r="E32" s="33">
        <v>47380</v>
      </c>
      <c r="F32" s="33">
        <v>45304</v>
      </c>
      <c r="G32" s="33">
        <v>44511</v>
      </c>
      <c r="H32" s="33">
        <v>43114</v>
      </c>
      <c r="I32" s="33">
        <v>44234</v>
      </c>
      <c r="J32" s="33">
        <v>36267</v>
      </c>
      <c r="K32" s="33">
        <v>32704</v>
      </c>
      <c r="L32" s="33">
        <v>31150</v>
      </c>
      <c r="M32" s="33">
        <v>30406</v>
      </c>
      <c r="N32" s="33">
        <v>28493</v>
      </c>
      <c r="O32" s="33">
        <v>26347</v>
      </c>
      <c r="P32" s="33">
        <v>32955</v>
      </c>
      <c r="Q32" s="33">
        <v>46007</v>
      </c>
      <c r="R32" s="33">
        <v>56416</v>
      </c>
      <c r="S32" s="33">
        <v>60565</v>
      </c>
      <c r="T32" s="33">
        <v>61174</v>
      </c>
      <c r="U32" s="33">
        <v>65207</v>
      </c>
      <c r="V32" s="33">
        <v>67738</v>
      </c>
      <c r="W32" s="33">
        <v>65795</v>
      </c>
      <c r="X32" s="33">
        <v>64037</v>
      </c>
      <c r="Y32" s="33">
        <v>61809</v>
      </c>
      <c r="Z32" s="33">
        <v>58273</v>
      </c>
      <c r="AA32" s="33">
        <f t="shared" si="0"/>
        <v>1153493</v>
      </c>
      <c r="AB32" s="54">
        <v>4</v>
      </c>
      <c r="AC32" s="33">
        <f t="shared" si="1"/>
        <v>4613972</v>
      </c>
      <c r="AD32" s="104"/>
    </row>
    <row r="33" spans="1:30" x14ac:dyDescent="0.35">
      <c r="A33" s="101"/>
      <c r="B33" s="34" t="s">
        <v>41</v>
      </c>
      <c r="C33" s="33">
        <v>55494</v>
      </c>
      <c r="D33" s="33">
        <v>51667</v>
      </c>
      <c r="E33" s="33">
        <v>48824</v>
      </c>
      <c r="F33" s="33">
        <v>46705</v>
      </c>
      <c r="G33" s="33">
        <v>45291</v>
      </c>
      <c r="H33" s="33">
        <v>42879</v>
      </c>
      <c r="I33" s="33">
        <v>42325</v>
      </c>
      <c r="J33" s="33">
        <v>28532</v>
      </c>
      <c r="K33" s="33">
        <v>19483</v>
      </c>
      <c r="L33" s="33">
        <v>15639</v>
      </c>
      <c r="M33" s="33">
        <v>13306</v>
      </c>
      <c r="N33" s="33">
        <v>10772</v>
      </c>
      <c r="O33" s="33">
        <v>13361</v>
      </c>
      <c r="P33" s="33">
        <v>19636</v>
      </c>
      <c r="Q33" s="33">
        <v>30920</v>
      </c>
      <c r="R33" s="33">
        <v>42861</v>
      </c>
      <c r="S33" s="33">
        <v>48867</v>
      </c>
      <c r="T33" s="33">
        <v>53259</v>
      </c>
      <c r="U33" s="33">
        <v>58287</v>
      </c>
      <c r="V33" s="33">
        <v>63123</v>
      </c>
      <c r="W33" s="33">
        <v>63885</v>
      </c>
      <c r="X33" s="33">
        <v>63822</v>
      </c>
      <c r="Y33" s="33">
        <v>60903</v>
      </c>
      <c r="Z33" s="33">
        <v>56303</v>
      </c>
      <c r="AA33" s="33">
        <f t="shared" si="0"/>
        <v>996144</v>
      </c>
      <c r="AB33" s="54">
        <v>5</v>
      </c>
      <c r="AC33" s="33">
        <f t="shared" si="1"/>
        <v>4980720</v>
      </c>
      <c r="AD33" s="104"/>
    </row>
    <row r="34" spans="1:30" x14ac:dyDescent="0.35">
      <c r="A34" s="102"/>
      <c r="B34" s="35" t="s">
        <v>42</v>
      </c>
      <c r="C34" s="33">
        <v>50971</v>
      </c>
      <c r="D34" s="33">
        <v>47271</v>
      </c>
      <c r="E34" s="33">
        <v>44517</v>
      </c>
      <c r="F34" s="33">
        <v>42723</v>
      </c>
      <c r="G34" s="33">
        <v>41840</v>
      </c>
      <c r="H34" s="33">
        <v>40205</v>
      </c>
      <c r="I34" s="33">
        <v>40317</v>
      </c>
      <c r="J34" s="33">
        <v>28865</v>
      </c>
      <c r="K34" s="33">
        <v>21603</v>
      </c>
      <c r="L34" s="33">
        <v>18747</v>
      </c>
      <c r="M34" s="33">
        <v>17403</v>
      </c>
      <c r="N34" s="33">
        <v>15040</v>
      </c>
      <c r="O34" s="33">
        <v>14981</v>
      </c>
      <c r="P34" s="33">
        <v>22480</v>
      </c>
      <c r="Q34" s="33">
        <v>34560</v>
      </c>
      <c r="R34" s="33">
        <v>45893</v>
      </c>
      <c r="S34" s="33">
        <v>51134</v>
      </c>
      <c r="T34" s="33">
        <v>53554</v>
      </c>
      <c r="U34" s="33">
        <v>58569</v>
      </c>
      <c r="V34" s="33">
        <v>63958</v>
      </c>
      <c r="W34" s="33">
        <v>63872</v>
      </c>
      <c r="X34" s="33">
        <v>62645</v>
      </c>
      <c r="Y34" s="33">
        <v>58755</v>
      </c>
      <c r="Z34" s="33">
        <v>53136</v>
      </c>
      <c r="AA34" s="33">
        <f t="shared" si="0"/>
        <v>993039</v>
      </c>
      <c r="AB34" s="54">
        <v>2</v>
      </c>
      <c r="AC34" s="33">
        <f>+AA34*AB34</f>
        <v>1986078</v>
      </c>
      <c r="AD34" s="105"/>
    </row>
    <row r="35" spans="1:30" x14ac:dyDescent="0.35">
      <c r="A35" s="100">
        <v>47331</v>
      </c>
      <c r="B35" s="32" t="s">
        <v>39</v>
      </c>
      <c r="C35" s="33">
        <v>55808</v>
      </c>
      <c r="D35" s="33">
        <v>51917</v>
      </c>
      <c r="E35" s="33">
        <v>48969</v>
      </c>
      <c r="F35" s="33">
        <v>46741</v>
      </c>
      <c r="G35" s="33">
        <v>45992</v>
      </c>
      <c r="H35" s="33">
        <v>45975</v>
      </c>
      <c r="I35" s="33">
        <v>46880</v>
      </c>
      <c r="J35" s="33">
        <v>39727</v>
      </c>
      <c r="K35" s="33">
        <v>36413</v>
      </c>
      <c r="L35" s="33">
        <v>35374</v>
      </c>
      <c r="M35" s="33">
        <v>35891</v>
      </c>
      <c r="N35" s="33">
        <v>33745</v>
      </c>
      <c r="O35" s="33">
        <v>28535</v>
      </c>
      <c r="P35" s="33">
        <v>42243</v>
      </c>
      <c r="Q35" s="33">
        <v>60887</v>
      </c>
      <c r="R35" s="33">
        <v>72186</v>
      </c>
      <c r="S35" s="33">
        <v>76192</v>
      </c>
      <c r="T35" s="33">
        <v>72230</v>
      </c>
      <c r="U35" s="33">
        <v>72786</v>
      </c>
      <c r="V35" s="33">
        <v>73605</v>
      </c>
      <c r="W35" s="33">
        <v>73531</v>
      </c>
      <c r="X35" s="33">
        <v>72085</v>
      </c>
      <c r="Y35" s="33">
        <v>67391</v>
      </c>
      <c r="Z35" s="33">
        <v>61229</v>
      </c>
      <c r="AA35" s="33">
        <f t="shared" si="0"/>
        <v>1296332</v>
      </c>
      <c r="AB35" s="54">
        <v>21</v>
      </c>
      <c r="AC35" s="33">
        <f t="shared" si="1"/>
        <v>27222972</v>
      </c>
      <c r="AD35" s="103">
        <f>+SUM(AC35:AC38)</f>
        <v>38267878</v>
      </c>
    </row>
    <row r="36" spans="1:30" x14ac:dyDescent="0.35">
      <c r="A36" s="101"/>
      <c r="B36" s="34" t="s">
        <v>40</v>
      </c>
      <c r="C36" s="33">
        <v>59763</v>
      </c>
      <c r="D36" s="33">
        <v>55578</v>
      </c>
      <c r="E36" s="33">
        <v>52350</v>
      </c>
      <c r="F36" s="33">
        <v>49854</v>
      </c>
      <c r="G36" s="33">
        <v>48534</v>
      </c>
      <c r="H36" s="33">
        <v>46951</v>
      </c>
      <c r="I36" s="33">
        <v>47526</v>
      </c>
      <c r="J36" s="33">
        <v>39727</v>
      </c>
      <c r="K36" s="33">
        <v>36224</v>
      </c>
      <c r="L36" s="33">
        <v>35125</v>
      </c>
      <c r="M36" s="33">
        <v>34292</v>
      </c>
      <c r="N36" s="33">
        <v>33064</v>
      </c>
      <c r="O36" s="33">
        <v>30194</v>
      </c>
      <c r="P36" s="33">
        <v>37335</v>
      </c>
      <c r="Q36" s="33">
        <v>50223</v>
      </c>
      <c r="R36" s="33">
        <v>60867</v>
      </c>
      <c r="S36" s="33">
        <v>65294</v>
      </c>
      <c r="T36" s="33">
        <v>65214</v>
      </c>
      <c r="U36" s="33">
        <v>69952</v>
      </c>
      <c r="V36" s="33">
        <v>70613</v>
      </c>
      <c r="W36" s="33">
        <v>68585</v>
      </c>
      <c r="X36" s="33">
        <v>67573</v>
      </c>
      <c r="Y36" s="33">
        <v>65564</v>
      </c>
      <c r="Z36" s="33">
        <v>61773</v>
      </c>
      <c r="AA36" s="33">
        <f t="shared" si="0"/>
        <v>1252175</v>
      </c>
      <c r="AB36" s="54">
        <v>4</v>
      </c>
      <c r="AC36" s="33">
        <f t="shared" si="1"/>
        <v>5008700</v>
      </c>
      <c r="AD36" s="104"/>
    </row>
    <row r="37" spans="1:30" x14ac:dyDescent="0.35">
      <c r="A37" s="101"/>
      <c r="B37" s="34" t="s">
        <v>41</v>
      </c>
      <c r="C37" s="33">
        <v>58045</v>
      </c>
      <c r="D37" s="33">
        <v>54076</v>
      </c>
      <c r="E37" s="33">
        <v>50919</v>
      </c>
      <c r="F37" s="33">
        <v>48489</v>
      </c>
      <c r="G37" s="33">
        <v>46672</v>
      </c>
      <c r="H37" s="33">
        <v>43537</v>
      </c>
      <c r="I37" s="33">
        <v>42284</v>
      </c>
      <c r="J37" s="33">
        <v>29323</v>
      </c>
      <c r="K37" s="33">
        <v>19977</v>
      </c>
      <c r="L37" s="33">
        <v>15558</v>
      </c>
      <c r="M37" s="33">
        <v>13763</v>
      </c>
      <c r="N37" s="33">
        <v>10740</v>
      </c>
      <c r="O37" s="33">
        <v>13432</v>
      </c>
      <c r="P37" s="33">
        <v>21119</v>
      </c>
      <c r="Q37" s="33">
        <v>32455</v>
      </c>
      <c r="R37" s="33">
        <v>44214</v>
      </c>
      <c r="S37" s="33">
        <v>49109</v>
      </c>
      <c r="T37" s="33">
        <v>52686</v>
      </c>
      <c r="U37" s="33">
        <v>59105</v>
      </c>
      <c r="V37" s="33">
        <v>62671</v>
      </c>
      <c r="W37" s="33">
        <v>63600</v>
      </c>
      <c r="X37" s="33">
        <v>63948</v>
      </c>
      <c r="Y37" s="33">
        <v>61321</v>
      </c>
      <c r="Z37" s="33">
        <v>56518</v>
      </c>
      <c r="AA37" s="33">
        <f t="shared" si="0"/>
        <v>1013561</v>
      </c>
      <c r="AB37" s="54">
        <v>4</v>
      </c>
      <c r="AC37" s="33">
        <f t="shared" si="1"/>
        <v>4054244</v>
      </c>
      <c r="AD37" s="104"/>
    </row>
    <row r="38" spans="1:30" x14ac:dyDescent="0.35">
      <c r="A38" s="102"/>
      <c r="B38" s="35" t="s">
        <v>42</v>
      </c>
      <c r="C38" s="33">
        <v>48810</v>
      </c>
      <c r="D38" s="33">
        <v>45549</v>
      </c>
      <c r="E38" s="33">
        <v>42951</v>
      </c>
      <c r="F38" s="33">
        <v>41186</v>
      </c>
      <c r="G38" s="33">
        <v>40339</v>
      </c>
      <c r="H38" s="33">
        <v>38711</v>
      </c>
      <c r="I38" s="33">
        <v>38212</v>
      </c>
      <c r="J38" s="33">
        <v>26612</v>
      </c>
      <c r="K38" s="33">
        <v>19449</v>
      </c>
      <c r="L38" s="33">
        <v>17688</v>
      </c>
      <c r="M38" s="33">
        <v>17136</v>
      </c>
      <c r="N38" s="33">
        <v>15935</v>
      </c>
      <c r="O38" s="33">
        <v>16882</v>
      </c>
      <c r="P38" s="33">
        <v>23894</v>
      </c>
      <c r="Q38" s="33">
        <v>35904</v>
      </c>
      <c r="R38" s="33">
        <v>47611</v>
      </c>
      <c r="S38" s="33">
        <v>52512</v>
      </c>
      <c r="T38" s="33">
        <v>54157</v>
      </c>
      <c r="U38" s="33">
        <v>60622</v>
      </c>
      <c r="V38" s="33">
        <v>64032</v>
      </c>
      <c r="W38" s="33">
        <v>63852</v>
      </c>
      <c r="X38" s="33">
        <v>63865</v>
      </c>
      <c r="Y38" s="33">
        <v>60272</v>
      </c>
      <c r="Z38" s="33">
        <v>54800</v>
      </c>
      <c r="AA38" s="33">
        <f t="shared" si="0"/>
        <v>990981</v>
      </c>
      <c r="AB38" s="54">
        <v>2</v>
      </c>
      <c r="AC38" s="33">
        <f t="shared" si="1"/>
        <v>1981962</v>
      </c>
      <c r="AD38" s="105"/>
    </row>
    <row r="39" spans="1:30" x14ac:dyDescent="0.35">
      <c r="A39" s="100">
        <v>47362</v>
      </c>
      <c r="B39" s="32" t="s">
        <v>39</v>
      </c>
      <c r="C39" s="33">
        <v>59558</v>
      </c>
      <c r="D39" s="33">
        <v>55238</v>
      </c>
      <c r="E39" s="33">
        <v>52042</v>
      </c>
      <c r="F39" s="33">
        <v>49580</v>
      </c>
      <c r="G39" s="33">
        <v>48701</v>
      </c>
      <c r="H39" s="33">
        <v>48494</v>
      </c>
      <c r="I39" s="33">
        <v>49742</v>
      </c>
      <c r="J39" s="33">
        <v>43125</v>
      </c>
      <c r="K39" s="33">
        <v>40194</v>
      </c>
      <c r="L39" s="33">
        <v>39373</v>
      </c>
      <c r="M39" s="33">
        <v>40195</v>
      </c>
      <c r="N39" s="33">
        <v>38089</v>
      </c>
      <c r="O39" s="33">
        <v>33109</v>
      </c>
      <c r="P39" s="33">
        <v>47574</v>
      </c>
      <c r="Q39" s="33">
        <v>66200</v>
      </c>
      <c r="R39" s="33">
        <v>77516</v>
      </c>
      <c r="S39" s="33">
        <v>80809</v>
      </c>
      <c r="T39" s="33">
        <v>77700</v>
      </c>
      <c r="U39" s="33">
        <v>79159</v>
      </c>
      <c r="V39" s="33">
        <v>77582</v>
      </c>
      <c r="W39" s="33">
        <v>77227</v>
      </c>
      <c r="X39" s="33">
        <v>75897</v>
      </c>
      <c r="Y39" s="33">
        <v>71194</v>
      </c>
      <c r="Z39" s="33">
        <v>64375</v>
      </c>
      <c r="AA39" s="33">
        <f t="shared" si="0"/>
        <v>1392673</v>
      </c>
      <c r="AB39" s="54">
        <v>20</v>
      </c>
      <c r="AC39" s="33">
        <f t="shared" si="1"/>
        <v>27853460</v>
      </c>
      <c r="AD39" s="103">
        <f>+SUM(AC39:AC42)</f>
        <v>40109230</v>
      </c>
    </row>
    <row r="40" spans="1:30" x14ac:dyDescent="0.35">
      <c r="A40" s="101"/>
      <c r="B40" s="34" t="s">
        <v>40</v>
      </c>
      <c r="C40" s="33">
        <v>61096</v>
      </c>
      <c r="D40" s="33">
        <v>57115</v>
      </c>
      <c r="E40" s="33">
        <v>53961</v>
      </c>
      <c r="F40" s="33">
        <v>51296</v>
      </c>
      <c r="G40" s="33">
        <v>50023</v>
      </c>
      <c r="H40" s="33">
        <v>48218</v>
      </c>
      <c r="I40" s="33">
        <v>49229</v>
      </c>
      <c r="J40" s="33">
        <v>42116</v>
      </c>
      <c r="K40" s="33">
        <v>39356</v>
      </c>
      <c r="L40" s="33">
        <v>37996</v>
      </c>
      <c r="M40" s="33">
        <v>38439</v>
      </c>
      <c r="N40" s="33">
        <v>36529</v>
      </c>
      <c r="O40" s="33">
        <v>34165</v>
      </c>
      <c r="P40" s="33">
        <v>41606</v>
      </c>
      <c r="Q40" s="33">
        <v>54979</v>
      </c>
      <c r="R40" s="33">
        <v>65542</v>
      </c>
      <c r="S40" s="33">
        <v>69236</v>
      </c>
      <c r="T40" s="33">
        <v>70642</v>
      </c>
      <c r="U40" s="33">
        <v>76164</v>
      </c>
      <c r="V40" s="33">
        <v>74703</v>
      </c>
      <c r="W40" s="33">
        <v>72129</v>
      </c>
      <c r="X40" s="33">
        <v>70232</v>
      </c>
      <c r="Y40" s="33">
        <v>68003</v>
      </c>
      <c r="Z40" s="33">
        <v>64297</v>
      </c>
      <c r="AA40" s="33">
        <f t="shared" si="0"/>
        <v>1327072</v>
      </c>
      <c r="AB40" s="54">
        <v>5</v>
      </c>
      <c r="AC40" s="33">
        <f t="shared" si="1"/>
        <v>6635360</v>
      </c>
      <c r="AD40" s="104"/>
    </row>
    <row r="41" spans="1:30" x14ac:dyDescent="0.35">
      <c r="A41" s="101"/>
      <c r="B41" s="34" t="s">
        <v>41</v>
      </c>
      <c r="C41" s="33">
        <v>60279</v>
      </c>
      <c r="D41" s="33">
        <v>56417</v>
      </c>
      <c r="E41" s="33">
        <v>53448</v>
      </c>
      <c r="F41" s="33">
        <v>51075</v>
      </c>
      <c r="G41" s="33">
        <v>49460</v>
      </c>
      <c r="H41" s="33">
        <v>47016</v>
      </c>
      <c r="I41" s="33">
        <v>46355</v>
      </c>
      <c r="J41" s="33">
        <v>33066</v>
      </c>
      <c r="K41" s="33">
        <v>23470</v>
      </c>
      <c r="L41" s="33">
        <v>19026</v>
      </c>
      <c r="M41" s="33">
        <v>17504</v>
      </c>
      <c r="N41" s="33">
        <v>16095</v>
      </c>
      <c r="O41" s="33">
        <v>17837</v>
      </c>
      <c r="P41" s="33">
        <v>25392</v>
      </c>
      <c r="Q41" s="33">
        <v>38220</v>
      </c>
      <c r="R41" s="33">
        <v>49580</v>
      </c>
      <c r="S41" s="33">
        <v>55347</v>
      </c>
      <c r="T41" s="33">
        <v>59434</v>
      </c>
      <c r="U41" s="33">
        <v>66741</v>
      </c>
      <c r="V41" s="33">
        <v>68825</v>
      </c>
      <c r="W41" s="33">
        <v>70017</v>
      </c>
      <c r="X41" s="33">
        <v>70520</v>
      </c>
      <c r="Y41" s="33">
        <v>67307</v>
      </c>
      <c r="Z41" s="33">
        <v>61651</v>
      </c>
      <c r="AA41" s="33">
        <f t="shared" si="0"/>
        <v>1124082</v>
      </c>
      <c r="AB41" s="54">
        <v>5</v>
      </c>
      <c r="AC41" s="33">
        <f t="shared" si="1"/>
        <v>5620410</v>
      </c>
      <c r="AD41" s="104"/>
    </row>
    <row r="42" spans="1:30" x14ac:dyDescent="0.35">
      <c r="A42" s="102"/>
      <c r="B42" s="35" t="s">
        <v>42</v>
      </c>
      <c r="C42" s="33">
        <v>0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f t="shared" si="0"/>
        <v>0</v>
      </c>
      <c r="AB42" s="54">
        <v>0</v>
      </c>
      <c r="AC42" s="33">
        <f t="shared" si="1"/>
        <v>0</v>
      </c>
      <c r="AD42" s="105"/>
    </row>
    <row r="43" spans="1:30" x14ac:dyDescent="0.35">
      <c r="A43" s="100">
        <v>47392</v>
      </c>
      <c r="B43" s="32" t="s">
        <v>39</v>
      </c>
      <c r="C43" s="33">
        <v>55355</v>
      </c>
      <c r="D43" s="33">
        <v>51393</v>
      </c>
      <c r="E43" s="33">
        <v>48552</v>
      </c>
      <c r="F43" s="33">
        <v>46584</v>
      </c>
      <c r="G43" s="33">
        <v>46007</v>
      </c>
      <c r="H43" s="33">
        <v>45782</v>
      </c>
      <c r="I43" s="33">
        <v>47183</v>
      </c>
      <c r="J43" s="33">
        <v>40395</v>
      </c>
      <c r="K43" s="33">
        <v>38333</v>
      </c>
      <c r="L43" s="33">
        <v>37660</v>
      </c>
      <c r="M43" s="33">
        <v>38640</v>
      </c>
      <c r="N43" s="33">
        <v>37055</v>
      </c>
      <c r="O43" s="33">
        <v>32239</v>
      </c>
      <c r="P43" s="33">
        <v>45929</v>
      </c>
      <c r="Q43" s="33">
        <v>64229</v>
      </c>
      <c r="R43" s="33">
        <v>74853</v>
      </c>
      <c r="S43" s="33">
        <v>78343</v>
      </c>
      <c r="T43" s="33">
        <v>78383</v>
      </c>
      <c r="U43" s="33">
        <v>78362</v>
      </c>
      <c r="V43" s="33">
        <v>75286</v>
      </c>
      <c r="W43" s="33">
        <v>73563</v>
      </c>
      <c r="X43" s="33">
        <v>71261</v>
      </c>
      <c r="Y43" s="33">
        <v>66201</v>
      </c>
      <c r="Z43" s="33">
        <v>59835</v>
      </c>
      <c r="AA43" s="33">
        <f t="shared" si="0"/>
        <v>1331423</v>
      </c>
      <c r="AB43" s="54">
        <v>22</v>
      </c>
      <c r="AC43" s="33">
        <f t="shared" si="1"/>
        <v>29291306</v>
      </c>
      <c r="AD43" s="103">
        <f>+SUM(AC43:AC46)</f>
        <v>39254580</v>
      </c>
    </row>
    <row r="44" spans="1:30" x14ac:dyDescent="0.35">
      <c r="A44" s="101"/>
      <c r="B44" s="34" t="s">
        <v>40</v>
      </c>
      <c r="C44" s="33">
        <v>53769</v>
      </c>
      <c r="D44" s="33">
        <v>49843</v>
      </c>
      <c r="E44" s="33">
        <v>47087</v>
      </c>
      <c r="F44" s="33">
        <v>44888</v>
      </c>
      <c r="G44" s="33">
        <v>43987</v>
      </c>
      <c r="H44" s="33">
        <v>42684</v>
      </c>
      <c r="I44" s="33">
        <v>43636</v>
      </c>
      <c r="J44" s="33">
        <v>35565</v>
      </c>
      <c r="K44" s="33">
        <v>33421</v>
      </c>
      <c r="L44" s="33">
        <v>32674</v>
      </c>
      <c r="M44" s="33">
        <v>32974</v>
      </c>
      <c r="N44" s="33">
        <v>31331</v>
      </c>
      <c r="O44" s="33">
        <v>29615</v>
      </c>
      <c r="P44" s="33">
        <v>35804</v>
      </c>
      <c r="Q44" s="33">
        <v>48488</v>
      </c>
      <c r="R44" s="33">
        <v>58333</v>
      </c>
      <c r="S44" s="33">
        <v>62774</v>
      </c>
      <c r="T44" s="33">
        <v>66991</v>
      </c>
      <c r="U44" s="33">
        <v>70639</v>
      </c>
      <c r="V44" s="33">
        <v>68320</v>
      </c>
      <c r="W44" s="33">
        <v>66033</v>
      </c>
      <c r="X44" s="33">
        <v>63518</v>
      </c>
      <c r="Y44" s="33">
        <v>60393</v>
      </c>
      <c r="Z44" s="33">
        <v>56310</v>
      </c>
      <c r="AA44" s="33">
        <f t="shared" si="0"/>
        <v>1179077</v>
      </c>
      <c r="AB44" s="54">
        <v>4</v>
      </c>
      <c r="AC44" s="33">
        <f t="shared" si="1"/>
        <v>4716308</v>
      </c>
      <c r="AD44" s="104"/>
    </row>
    <row r="45" spans="1:30" x14ac:dyDescent="0.35">
      <c r="A45" s="101"/>
      <c r="B45" s="34" t="s">
        <v>41</v>
      </c>
      <c r="C45" s="33">
        <v>55156</v>
      </c>
      <c r="D45" s="33">
        <v>51511</v>
      </c>
      <c r="E45" s="33">
        <v>48748</v>
      </c>
      <c r="F45" s="33">
        <v>46374</v>
      </c>
      <c r="G45" s="33">
        <v>44854</v>
      </c>
      <c r="H45" s="33">
        <v>42587</v>
      </c>
      <c r="I45" s="33">
        <v>42060</v>
      </c>
      <c r="J45" s="33">
        <v>28200</v>
      </c>
      <c r="K45" s="33">
        <v>19264</v>
      </c>
      <c r="L45" s="33">
        <v>16218</v>
      </c>
      <c r="M45" s="33">
        <v>14499</v>
      </c>
      <c r="N45" s="33">
        <v>13417</v>
      </c>
      <c r="O45" s="33">
        <v>15633</v>
      </c>
      <c r="P45" s="33">
        <v>22143</v>
      </c>
      <c r="Q45" s="33">
        <v>33859</v>
      </c>
      <c r="R45" s="33">
        <v>45939</v>
      </c>
      <c r="S45" s="33">
        <v>51882</v>
      </c>
      <c r="T45" s="33">
        <v>58853</v>
      </c>
      <c r="U45" s="33">
        <v>64329</v>
      </c>
      <c r="V45" s="33">
        <v>65169</v>
      </c>
      <c r="W45" s="33">
        <v>65564</v>
      </c>
      <c r="X45" s="33">
        <v>65227</v>
      </c>
      <c r="Y45" s="33">
        <v>61824</v>
      </c>
      <c r="Z45" s="33">
        <v>56840</v>
      </c>
      <c r="AA45" s="33">
        <f t="shared" si="0"/>
        <v>1030150</v>
      </c>
      <c r="AB45" s="54">
        <v>4</v>
      </c>
      <c r="AC45" s="33">
        <f t="shared" si="1"/>
        <v>4120600</v>
      </c>
      <c r="AD45" s="104"/>
    </row>
    <row r="46" spans="1:30" x14ac:dyDescent="0.35">
      <c r="A46" s="102"/>
      <c r="B46" s="35" t="s">
        <v>42</v>
      </c>
      <c r="C46" s="33">
        <v>54220</v>
      </c>
      <c r="D46" s="33">
        <v>50480</v>
      </c>
      <c r="E46" s="33">
        <v>47809</v>
      </c>
      <c r="F46" s="33">
        <v>45833</v>
      </c>
      <c r="G46" s="33">
        <v>44905</v>
      </c>
      <c r="H46" s="33">
        <v>42222</v>
      </c>
      <c r="I46" s="33">
        <v>41841</v>
      </c>
      <c r="J46" s="33">
        <v>31325</v>
      </c>
      <c r="K46" s="33">
        <v>24960</v>
      </c>
      <c r="L46" s="33">
        <v>23598</v>
      </c>
      <c r="M46" s="33">
        <v>23028</v>
      </c>
      <c r="N46" s="33">
        <v>20428</v>
      </c>
      <c r="O46" s="33">
        <v>22976</v>
      </c>
      <c r="P46" s="33">
        <v>30469</v>
      </c>
      <c r="Q46" s="33">
        <v>43478</v>
      </c>
      <c r="R46" s="33">
        <v>53677</v>
      </c>
      <c r="S46" s="33">
        <v>58654</v>
      </c>
      <c r="T46" s="33">
        <v>63859</v>
      </c>
      <c r="U46" s="33">
        <v>69169</v>
      </c>
      <c r="V46" s="33">
        <v>70612</v>
      </c>
      <c r="W46" s="33">
        <v>70570</v>
      </c>
      <c r="X46" s="33">
        <v>69215</v>
      </c>
      <c r="Y46" s="33">
        <v>64627</v>
      </c>
      <c r="Z46" s="33">
        <v>58411</v>
      </c>
      <c r="AA46" s="33">
        <f t="shared" si="0"/>
        <v>1126366</v>
      </c>
      <c r="AB46" s="54">
        <v>1</v>
      </c>
      <c r="AC46" s="33">
        <f t="shared" si="1"/>
        <v>1126366</v>
      </c>
      <c r="AD46" s="105"/>
    </row>
    <row r="47" spans="1:30" x14ac:dyDescent="0.35">
      <c r="A47" s="94">
        <v>47423</v>
      </c>
      <c r="B47" s="36" t="s">
        <v>39</v>
      </c>
      <c r="C47" s="33">
        <v>55106</v>
      </c>
      <c r="D47" s="33">
        <v>51251</v>
      </c>
      <c r="E47" s="33">
        <v>48525</v>
      </c>
      <c r="F47" s="33">
        <v>46758</v>
      </c>
      <c r="G47" s="33">
        <v>46544</v>
      </c>
      <c r="H47" s="33">
        <v>47023</v>
      </c>
      <c r="I47" s="33">
        <v>49302</v>
      </c>
      <c r="J47" s="33">
        <v>42858</v>
      </c>
      <c r="K47" s="33">
        <v>40328</v>
      </c>
      <c r="L47" s="33">
        <v>39163</v>
      </c>
      <c r="M47" s="33">
        <v>40015</v>
      </c>
      <c r="N47" s="33">
        <v>38400</v>
      </c>
      <c r="O47" s="33">
        <v>33395</v>
      </c>
      <c r="P47" s="33">
        <v>46137</v>
      </c>
      <c r="Q47" s="33">
        <v>64207</v>
      </c>
      <c r="R47" s="33">
        <v>75946</v>
      </c>
      <c r="S47" s="33">
        <v>79961</v>
      </c>
      <c r="T47" s="33">
        <v>81487</v>
      </c>
      <c r="U47" s="33">
        <v>81225</v>
      </c>
      <c r="V47" s="33">
        <v>77581</v>
      </c>
      <c r="W47" s="33">
        <v>75347</v>
      </c>
      <c r="X47" s="33">
        <v>71988</v>
      </c>
      <c r="Y47" s="33">
        <v>66478</v>
      </c>
      <c r="Z47" s="33">
        <v>59806</v>
      </c>
      <c r="AA47" s="37">
        <f t="shared" si="0"/>
        <v>1358831</v>
      </c>
      <c r="AB47" s="16">
        <v>20</v>
      </c>
      <c r="AC47" s="37">
        <f t="shared" si="1"/>
        <v>27176620</v>
      </c>
      <c r="AD47" s="97">
        <f>+SUM(AC47:AC50)</f>
        <v>38870616</v>
      </c>
    </row>
    <row r="48" spans="1:30" x14ac:dyDescent="0.35">
      <c r="A48" s="95"/>
      <c r="B48" s="38" t="s">
        <v>40</v>
      </c>
      <c r="C48" s="33">
        <v>56523</v>
      </c>
      <c r="D48" s="33">
        <v>52621</v>
      </c>
      <c r="E48" s="33">
        <v>49830</v>
      </c>
      <c r="F48" s="33">
        <v>47620</v>
      </c>
      <c r="G48" s="33">
        <v>46784</v>
      </c>
      <c r="H48" s="33">
        <v>45772</v>
      </c>
      <c r="I48" s="33">
        <v>47075</v>
      </c>
      <c r="J48" s="33">
        <v>39960</v>
      </c>
      <c r="K48" s="33">
        <v>38013</v>
      </c>
      <c r="L48" s="33">
        <v>37800</v>
      </c>
      <c r="M48" s="33">
        <v>37480</v>
      </c>
      <c r="N48" s="33">
        <v>35605</v>
      </c>
      <c r="O48" s="33">
        <v>33104</v>
      </c>
      <c r="P48" s="33">
        <v>39363</v>
      </c>
      <c r="Q48" s="33">
        <v>51929</v>
      </c>
      <c r="R48" s="33">
        <v>62228</v>
      </c>
      <c r="S48" s="33">
        <v>66753</v>
      </c>
      <c r="T48" s="33">
        <v>71853</v>
      </c>
      <c r="U48" s="33">
        <v>74805</v>
      </c>
      <c r="V48" s="33">
        <v>72067</v>
      </c>
      <c r="W48" s="33">
        <v>69215</v>
      </c>
      <c r="X48" s="33">
        <v>65966</v>
      </c>
      <c r="Y48" s="33">
        <v>62602</v>
      </c>
      <c r="Z48" s="33">
        <v>58492</v>
      </c>
      <c r="AA48" s="37">
        <f t="shared" si="0"/>
        <v>1263460</v>
      </c>
      <c r="AB48" s="16">
        <v>4</v>
      </c>
      <c r="AC48" s="37">
        <f t="shared" si="1"/>
        <v>5053840</v>
      </c>
      <c r="AD48" s="98"/>
    </row>
    <row r="49" spans="1:30" x14ac:dyDescent="0.35">
      <c r="A49" s="95"/>
      <c r="B49" s="38" t="s">
        <v>41</v>
      </c>
      <c r="C49" s="33">
        <v>55482</v>
      </c>
      <c r="D49" s="33">
        <v>51862</v>
      </c>
      <c r="E49" s="33">
        <v>49110</v>
      </c>
      <c r="F49" s="33">
        <v>46903</v>
      </c>
      <c r="G49" s="33">
        <v>45537</v>
      </c>
      <c r="H49" s="33">
        <v>43730</v>
      </c>
      <c r="I49" s="33">
        <v>43545</v>
      </c>
      <c r="J49" s="33">
        <v>31156</v>
      </c>
      <c r="K49" s="33">
        <v>23261</v>
      </c>
      <c r="L49" s="33">
        <v>20196</v>
      </c>
      <c r="M49" s="33">
        <v>19387</v>
      </c>
      <c r="N49" s="33">
        <v>17587</v>
      </c>
      <c r="O49" s="33">
        <v>20157</v>
      </c>
      <c r="P49" s="33">
        <v>26389</v>
      </c>
      <c r="Q49" s="33">
        <v>37825</v>
      </c>
      <c r="R49" s="33">
        <v>48655</v>
      </c>
      <c r="S49" s="33">
        <v>54621</v>
      </c>
      <c r="T49" s="33">
        <v>62949</v>
      </c>
      <c r="U49" s="33">
        <v>67397</v>
      </c>
      <c r="V49" s="33">
        <v>67502</v>
      </c>
      <c r="W49" s="33">
        <v>66660</v>
      </c>
      <c r="X49" s="33">
        <v>65311</v>
      </c>
      <c r="Y49" s="33">
        <v>62113</v>
      </c>
      <c r="Z49" s="33">
        <v>57206</v>
      </c>
      <c r="AA49" s="37">
        <f t="shared" si="0"/>
        <v>1084541</v>
      </c>
      <c r="AB49" s="16">
        <v>4</v>
      </c>
      <c r="AC49" s="37">
        <f t="shared" si="1"/>
        <v>4338164</v>
      </c>
      <c r="AD49" s="98"/>
    </row>
    <row r="50" spans="1:30" x14ac:dyDescent="0.35">
      <c r="A50" s="96"/>
      <c r="B50" s="39" t="s">
        <v>42</v>
      </c>
      <c r="C50" s="33">
        <v>53536</v>
      </c>
      <c r="D50" s="33">
        <v>49713</v>
      </c>
      <c r="E50" s="33">
        <v>47190</v>
      </c>
      <c r="F50" s="33">
        <v>45370</v>
      </c>
      <c r="G50" s="33">
        <v>44640</v>
      </c>
      <c r="H50" s="33">
        <v>43136</v>
      </c>
      <c r="I50" s="33">
        <v>43060</v>
      </c>
      <c r="J50" s="33">
        <v>32692</v>
      </c>
      <c r="K50" s="33">
        <v>26261</v>
      </c>
      <c r="L50" s="33">
        <v>25053</v>
      </c>
      <c r="M50" s="33">
        <v>25306</v>
      </c>
      <c r="N50" s="33">
        <v>24200</v>
      </c>
      <c r="O50" s="33">
        <v>25214</v>
      </c>
      <c r="P50" s="33">
        <v>33139</v>
      </c>
      <c r="Q50" s="33">
        <v>44825</v>
      </c>
      <c r="R50" s="33">
        <v>55449</v>
      </c>
      <c r="S50" s="33">
        <v>60910</v>
      </c>
      <c r="T50" s="33">
        <v>67831</v>
      </c>
      <c r="U50" s="33">
        <v>72087</v>
      </c>
      <c r="V50" s="33">
        <v>71938</v>
      </c>
      <c r="W50" s="33">
        <v>70649</v>
      </c>
      <c r="X50" s="33">
        <v>68204</v>
      </c>
      <c r="Y50" s="33">
        <v>63204</v>
      </c>
      <c r="Z50" s="33">
        <v>57389</v>
      </c>
      <c r="AA50" s="37">
        <f t="shared" si="0"/>
        <v>1150996</v>
      </c>
      <c r="AB50" s="16">
        <v>2</v>
      </c>
      <c r="AC50" s="37">
        <f t="shared" si="1"/>
        <v>2301992</v>
      </c>
      <c r="AD50" s="99"/>
    </row>
    <row r="51" spans="1:30" x14ac:dyDescent="0.35">
      <c r="A51" s="94">
        <v>47453</v>
      </c>
      <c r="B51" s="36" t="s">
        <v>39</v>
      </c>
      <c r="C51" s="33">
        <v>54401</v>
      </c>
      <c r="D51" s="33">
        <v>50591</v>
      </c>
      <c r="E51" s="33">
        <v>47944</v>
      </c>
      <c r="F51" s="33">
        <v>45995</v>
      </c>
      <c r="G51" s="33">
        <v>45379</v>
      </c>
      <c r="H51" s="33">
        <v>45453</v>
      </c>
      <c r="I51" s="33">
        <v>46105</v>
      </c>
      <c r="J51" s="33">
        <v>38608</v>
      </c>
      <c r="K51" s="33">
        <v>35452</v>
      </c>
      <c r="L51" s="33">
        <v>34321</v>
      </c>
      <c r="M51" s="33">
        <v>34592</v>
      </c>
      <c r="N51" s="33">
        <v>32945</v>
      </c>
      <c r="O51" s="33">
        <v>29521</v>
      </c>
      <c r="P51" s="33">
        <v>39720</v>
      </c>
      <c r="Q51" s="33">
        <v>56666</v>
      </c>
      <c r="R51" s="33">
        <v>68269</v>
      </c>
      <c r="S51" s="33">
        <v>73197</v>
      </c>
      <c r="T51" s="33">
        <v>74231</v>
      </c>
      <c r="U51" s="33">
        <v>76970</v>
      </c>
      <c r="V51" s="33">
        <v>73725</v>
      </c>
      <c r="W51" s="33">
        <v>70737</v>
      </c>
      <c r="X51" s="33">
        <v>68006</v>
      </c>
      <c r="Y51" s="33">
        <v>63942</v>
      </c>
      <c r="Z51" s="33">
        <v>58650</v>
      </c>
      <c r="AA51" s="37">
        <f t="shared" si="0"/>
        <v>1265420</v>
      </c>
      <c r="AB51" s="16">
        <v>20</v>
      </c>
      <c r="AC51" s="37">
        <f t="shared" si="1"/>
        <v>25308400</v>
      </c>
      <c r="AD51" s="97">
        <f>+SUM(AC51:AC54)</f>
        <v>37280033</v>
      </c>
    </row>
    <row r="52" spans="1:30" x14ac:dyDescent="0.35">
      <c r="A52" s="95"/>
      <c r="B52" s="38" t="s">
        <v>40</v>
      </c>
      <c r="C52" s="33">
        <v>55881</v>
      </c>
      <c r="D52" s="33">
        <v>51849</v>
      </c>
      <c r="E52" s="33">
        <v>48858</v>
      </c>
      <c r="F52" s="33">
        <v>46666</v>
      </c>
      <c r="G52" s="33">
        <v>45659</v>
      </c>
      <c r="H52" s="33">
        <v>45335</v>
      </c>
      <c r="I52" s="33">
        <v>45435</v>
      </c>
      <c r="J52" s="33">
        <v>36442</v>
      </c>
      <c r="K52" s="33">
        <v>32780</v>
      </c>
      <c r="L52" s="33">
        <v>31295</v>
      </c>
      <c r="M52" s="33">
        <v>31234</v>
      </c>
      <c r="N52" s="33">
        <v>29419</v>
      </c>
      <c r="O52" s="33">
        <v>28834</v>
      </c>
      <c r="P52" s="33">
        <v>35590</v>
      </c>
      <c r="Q52" s="33">
        <v>48214</v>
      </c>
      <c r="R52" s="33">
        <v>58835</v>
      </c>
      <c r="S52" s="33">
        <v>63669</v>
      </c>
      <c r="T52" s="33">
        <v>68678</v>
      </c>
      <c r="U52" s="33">
        <v>74290</v>
      </c>
      <c r="V52" s="33">
        <v>72347</v>
      </c>
      <c r="W52" s="33">
        <v>68668</v>
      </c>
      <c r="X52" s="33">
        <v>65362</v>
      </c>
      <c r="Y52" s="33">
        <v>62114</v>
      </c>
      <c r="Z52" s="33">
        <v>58305</v>
      </c>
      <c r="AA52" s="37">
        <f t="shared" si="0"/>
        <v>1205759</v>
      </c>
      <c r="AB52" s="16">
        <v>4</v>
      </c>
      <c r="AC52" s="37">
        <f t="shared" si="1"/>
        <v>4823036</v>
      </c>
      <c r="AD52" s="98"/>
    </row>
    <row r="53" spans="1:30" x14ac:dyDescent="0.35">
      <c r="A53" s="95"/>
      <c r="B53" s="38" t="s">
        <v>41</v>
      </c>
      <c r="C53" s="33">
        <v>56716</v>
      </c>
      <c r="D53" s="33">
        <v>52893</v>
      </c>
      <c r="E53" s="33">
        <v>49953</v>
      </c>
      <c r="F53" s="33">
        <v>47737</v>
      </c>
      <c r="G53" s="33">
        <v>46332</v>
      </c>
      <c r="H53" s="33">
        <v>43793</v>
      </c>
      <c r="I53" s="33">
        <v>42655</v>
      </c>
      <c r="J53" s="33">
        <v>29861</v>
      </c>
      <c r="K53" s="33">
        <v>21739</v>
      </c>
      <c r="L53" s="33">
        <v>18979</v>
      </c>
      <c r="M53" s="33">
        <v>17684</v>
      </c>
      <c r="N53" s="33">
        <v>16134</v>
      </c>
      <c r="O53" s="33">
        <v>18383</v>
      </c>
      <c r="P53" s="33">
        <v>24915</v>
      </c>
      <c r="Q53" s="33">
        <v>36827</v>
      </c>
      <c r="R53" s="33">
        <v>49138</v>
      </c>
      <c r="S53" s="33">
        <v>55219</v>
      </c>
      <c r="T53" s="33">
        <v>62232</v>
      </c>
      <c r="U53" s="33">
        <v>69198</v>
      </c>
      <c r="V53" s="33">
        <v>68536</v>
      </c>
      <c r="W53" s="33">
        <v>66386</v>
      </c>
      <c r="X53" s="33">
        <v>63797</v>
      </c>
      <c r="Y53" s="33">
        <v>59998</v>
      </c>
      <c r="Z53" s="33">
        <v>55620</v>
      </c>
      <c r="AA53" s="37">
        <f t="shared" si="0"/>
        <v>1074725</v>
      </c>
      <c r="AB53" s="16">
        <v>5</v>
      </c>
      <c r="AC53" s="37">
        <f t="shared" si="1"/>
        <v>5373625</v>
      </c>
      <c r="AD53" s="98"/>
    </row>
    <row r="54" spans="1:30" x14ac:dyDescent="0.35">
      <c r="A54" s="96"/>
      <c r="B54" s="39" t="s">
        <v>42</v>
      </c>
      <c r="C54" s="33">
        <v>46337</v>
      </c>
      <c r="D54" s="33">
        <v>44339</v>
      </c>
      <c r="E54" s="33">
        <v>42727</v>
      </c>
      <c r="F54" s="33">
        <v>41147</v>
      </c>
      <c r="G54" s="33">
        <v>40086</v>
      </c>
      <c r="H54" s="33">
        <v>38931</v>
      </c>
      <c r="I54" s="33">
        <v>37248</v>
      </c>
      <c r="J54" s="33">
        <v>24244</v>
      </c>
      <c r="K54" s="33">
        <v>15196</v>
      </c>
      <c r="L54" s="33">
        <v>11823</v>
      </c>
      <c r="M54" s="33">
        <v>10160</v>
      </c>
      <c r="N54" s="33">
        <v>7925</v>
      </c>
      <c r="O54" s="33">
        <v>10066</v>
      </c>
      <c r="P54" s="33">
        <v>16886</v>
      </c>
      <c r="Q54" s="33">
        <v>27995</v>
      </c>
      <c r="R54" s="33">
        <v>39037</v>
      </c>
      <c r="S54" s="33">
        <v>45339</v>
      </c>
      <c r="T54" s="33">
        <v>51850</v>
      </c>
      <c r="U54" s="33">
        <v>58833</v>
      </c>
      <c r="V54" s="33">
        <v>59518</v>
      </c>
      <c r="W54" s="33">
        <v>58135</v>
      </c>
      <c r="X54" s="33">
        <v>56592</v>
      </c>
      <c r="Y54" s="33">
        <v>53684</v>
      </c>
      <c r="Z54" s="33">
        <v>49388</v>
      </c>
      <c r="AA54" s="37">
        <f t="shared" si="0"/>
        <v>887486</v>
      </c>
      <c r="AB54" s="16">
        <v>2</v>
      </c>
      <c r="AC54" s="37">
        <f t="shared" si="1"/>
        <v>1774972</v>
      </c>
      <c r="AD54" s="99"/>
    </row>
    <row r="55" spans="1:3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C55" s="2"/>
      <c r="AD55" s="40">
        <f>+SUM(AD7:AD54)</f>
        <v>449850763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DF64-F3AB-4600-B1A6-A0F5CCCC3743}">
  <sheetPr>
    <tabColor rgb="FF92D050"/>
  </sheetPr>
  <dimension ref="C1:I22"/>
  <sheetViews>
    <sheetView showGridLines="0" topLeftCell="A5" workbookViewId="0">
      <selection activeCell="D20" sqref="D20:E22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6" t="s">
        <v>43</v>
      </c>
      <c r="D1" s="76"/>
      <c r="E1" s="76"/>
      <c r="F1" s="76"/>
      <c r="G1" s="76"/>
    </row>
    <row r="2" spans="3:7" x14ac:dyDescent="0.35">
      <c r="C2" s="76"/>
      <c r="D2" s="76"/>
      <c r="E2" s="76"/>
      <c r="F2" s="76"/>
      <c r="G2" s="76"/>
    </row>
    <row r="3" spans="3:7" ht="15" thickBot="1" x14ac:dyDescent="0.4"/>
    <row r="4" spans="3:7" ht="15" thickBot="1" x14ac:dyDescent="0.4">
      <c r="C4" s="91" t="s">
        <v>50</v>
      </c>
      <c r="D4" s="92"/>
      <c r="E4" s="92"/>
      <c r="F4" s="92"/>
      <c r="G4" s="93"/>
    </row>
    <row r="5" spans="3:7" ht="32" thickBot="1" x14ac:dyDescent="0.4">
      <c r="C5" s="23" t="s">
        <v>0</v>
      </c>
      <c r="D5" s="23" t="s">
        <v>5</v>
      </c>
      <c r="E5" s="23" t="s">
        <v>1</v>
      </c>
      <c r="F5" s="23" t="s">
        <v>6</v>
      </c>
      <c r="G5" s="23" t="s">
        <v>2</v>
      </c>
    </row>
    <row r="6" spans="3:7" x14ac:dyDescent="0.35">
      <c r="C6" s="3">
        <v>47119</v>
      </c>
      <c r="D6" s="4">
        <f>+VLOOKUP(C6,'PLANA P4'!$A$4:$AD$55,30,FALSE)</f>
        <v>29760000</v>
      </c>
      <c r="E6" s="70" t="s">
        <v>1</v>
      </c>
      <c r="F6" s="1"/>
      <c r="G6" s="73" t="s">
        <v>3</v>
      </c>
    </row>
    <row r="7" spans="3:7" x14ac:dyDescent="0.35">
      <c r="C7" s="3">
        <v>47150</v>
      </c>
      <c r="D7" s="4">
        <f>+VLOOKUP(C7,'PLANA P4'!$A$4:$AD$55,30,FALSE)</f>
        <v>26880000</v>
      </c>
      <c r="E7" s="71"/>
      <c r="F7" s="1"/>
      <c r="G7" s="74"/>
    </row>
    <row r="8" spans="3:7" x14ac:dyDescent="0.35">
      <c r="C8" s="3">
        <v>47178</v>
      </c>
      <c r="D8" s="4">
        <f>+VLOOKUP(C8,'PLANA P4'!$A$4:$AD$55,30,FALSE)</f>
        <v>29760000</v>
      </c>
      <c r="E8" s="71"/>
      <c r="F8" s="1"/>
      <c r="G8" s="74"/>
    </row>
    <row r="9" spans="3:7" x14ac:dyDescent="0.35">
      <c r="C9" s="3">
        <v>47209</v>
      </c>
      <c r="D9" s="4">
        <f>+VLOOKUP(C9,'PLANA P4'!$A$4:$AD$55,30,FALSE)</f>
        <v>28800000</v>
      </c>
      <c r="E9" s="71"/>
      <c r="F9" s="1"/>
      <c r="G9" s="74"/>
    </row>
    <row r="10" spans="3:7" x14ac:dyDescent="0.35">
      <c r="C10" s="3">
        <v>47239</v>
      </c>
      <c r="D10" s="4">
        <f>+VLOOKUP(C10,'PLANA P4'!$A$4:$AD$55,30,FALSE)</f>
        <v>29760000</v>
      </c>
      <c r="E10" s="71"/>
      <c r="F10" s="1"/>
      <c r="G10" s="74"/>
    </row>
    <row r="11" spans="3:7" x14ac:dyDescent="0.35">
      <c r="C11" s="3">
        <v>47270</v>
      </c>
      <c r="D11" s="4">
        <f>+VLOOKUP(C11,'PLANA P4'!$A$4:$AD$55,30,FALSE)</f>
        <v>28800000</v>
      </c>
      <c r="E11" s="71"/>
      <c r="F11" s="1"/>
      <c r="G11" s="74"/>
    </row>
    <row r="12" spans="3:7" x14ac:dyDescent="0.35">
      <c r="C12" s="3">
        <v>47300</v>
      </c>
      <c r="D12" s="4">
        <f>+VLOOKUP(C12,'PLANA P4'!$A$4:$AD$55,30,FALSE)</f>
        <v>29760000</v>
      </c>
      <c r="E12" s="71"/>
      <c r="F12" s="1"/>
      <c r="G12" s="74"/>
    </row>
    <row r="13" spans="3:7" x14ac:dyDescent="0.35">
      <c r="C13" s="3">
        <v>47331</v>
      </c>
      <c r="D13" s="4">
        <f>+VLOOKUP(C13,'PLANA P4'!$A$4:$AD$55,30,FALSE)</f>
        <v>29760000</v>
      </c>
      <c r="E13" s="71"/>
      <c r="F13" s="1"/>
      <c r="G13" s="74"/>
    </row>
    <row r="14" spans="3:7" x14ac:dyDescent="0.35">
      <c r="C14" s="3">
        <v>47362</v>
      </c>
      <c r="D14" s="4">
        <f>+VLOOKUP(C14,'PLANA P4'!$A$4:$AD$55,30,FALSE)</f>
        <v>28800000</v>
      </c>
      <c r="E14" s="71"/>
      <c r="F14" s="1"/>
      <c r="G14" s="74"/>
    </row>
    <row r="15" spans="3:7" x14ac:dyDescent="0.35">
      <c r="C15" s="3">
        <v>47392</v>
      </c>
      <c r="D15" s="4">
        <f>+VLOOKUP(C15,'PLANA P4'!$A$4:$AD$55,30,FALSE)</f>
        <v>29760000</v>
      </c>
      <c r="E15" s="71"/>
      <c r="F15" s="1"/>
      <c r="G15" s="74"/>
    </row>
    <row r="16" spans="3:7" x14ac:dyDescent="0.35">
      <c r="C16" s="3">
        <v>47423</v>
      </c>
      <c r="D16" s="4">
        <f>+VLOOKUP(C16,'PLANA P4'!$A$4:$AD$55,30,FALSE)</f>
        <v>28800000</v>
      </c>
      <c r="E16" s="71"/>
      <c r="F16" s="1"/>
      <c r="G16" s="74"/>
    </row>
    <row r="17" spans="3:9" ht="15" thickBot="1" x14ac:dyDescent="0.4">
      <c r="C17" s="3">
        <v>47453</v>
      </c>
      <c r="D17" s="6">
        <f>+VLOOKUP(C17,'PLANA P4'!$A$4:$AD$55,30,FALSE)</f>
        <v>29760000</v>
      </c>
      <c r="E17" s="72"/>
      <c r="F17" s="7"/>
      <c r="G17" s="75"/>
    </row>
    <row r="18" spans="3:9" ht="15" thickBot="1" x14ac:dyDescent="0.4">
      <c r="D18" s="26">
        <f>SUM(D6:D17)</f>
        <v>350400000</v>
      </c>
    </row>
    <row r="19" spans="3:9" x14ac:dyDescent="0.35">
      <c r="D19" s="21"/>
      <c r="I19" s="22"/>
    </row>
    <row r="20" spans="3:9" x14ac:dyDescent="0.35">
      <c r="D20" s="65"/>
      <c r="E20" s="66"/>
      <c r="I20" s="22"/>
    </row>
    <row r="21" spans="3:9" x14ac:dyDescent="0.35">
      <c r="D21" s="66"/>
      <c r="E21" s="20"/>
      <c r="I21" s="22"/>
    </row>
    <row r="22" spans="3:9" x14ac:dyDescent="0.35">
      <c r="D22" s="20"/>
      <c r="E22" s="20"/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614F-A8BB-45B2-9F7F-72727A0EFD51}">
  <dimension ref="A1:AD58"/>
  <sheetViews>
    <sheetView showGridLines="0" zoomScaleNormal="100" workbookViewId="0">
      <selection activeCell="G19" sqref="G19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style="55" bestFit="1" customWidth="1"/>
    <col min="29" max="29" width="11" bestFit="1" customWidth="1"/>
    <col min="30" max="30" width="12" bestFit="1" customWidth="1"/>
  </cols>
  <sheetData>
    <row r="1" spans="1:30" x14ac:dyDescent="0.35">
      <c r="A1" s="106" t="s">
        <v>8</v>
      </c>
      <c r="B1" s="106"/>
      <c r="C1" s="106"/>
      <c r="D1" s="10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52"/>
      <c r="AC1" s="27"/>
      <c r="AD1" s="27"/>
    </row>
    <row r="2" spans="1:30" x14ac:dyDescent="0.35">
      <c r="A2" s="107" t="s">
        <v>43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52"/>
      <c r="AC2" s="27"/>
      <c r="AD2" s="27"/>
    </row>
    <row r="3" spans="1:30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52"/>
      <c r="AC3" s="27"/>
      <c r="AD3" s="27"/>
    </row>
    <row r="4" spans="1:30" x14ac:dyDescent="0.35">
      <c r="A4" s="108" t="s">
        <v>9</v>
      </c>
      <c r="B4" s="108"/>
      <c r="C4" s="109">
        <f>+AD55</f>
        <v>350400000</v>
      </c>
      <c r="D4" s="1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9"/>
      <c r="AC4" s="28"/>
      <c r="AD4" s="28"/>
    </row>
    <row r="5" spans="1:30" x14ac:dyDescent="0.35">
      <c r="A5" s="28" t="s">
        <v>0</v>
      </c>
      <c r="B5" s="29" t="s">
        <v>10</v>
      </c>
      <c r="C5" s="28" t="s">
        <v>11</v>
      </c>
      <c r="D5" s="28" t="s">
        <v>12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28" t="s">
        <v>18</v>
      </c>
      <c r="K5" s="28" t="s">
        <v>19</v>
      </c>
      <c r="L5" s="28" t="s">
        <v>20</v>
      </c>
      <c r="M5" s="28" t="s">
        <v>21</v>
      </c>
      <c r="N5" s="28" t="s">
        <v>22</v>
      </c>
      <c r="O5" s="28" t="s">
        <v>23</v>
      </c>
      <c r="P5" s="28" t="s">
        <v>24</v>
      </c>
      <c r="Q5" s="28" t="s">
        <v>25</v>
      </c>
      <c r="R5" s="28" t="s">
        <v>26</v>
      </c>
      <c r="S5" s="28" t="s">
        <v>27</v>
      </c>
      <c r="T5" s="28" t="s">
        <v>28</v>
      </c>
      <c r="U5" s="28" t="s">
        <v>29</v>
      </c>
      <c r="V5" s="28" t="s">
        <v>30</v>
      </c>
      <c r="W5" s="28" t="s">
        <v>31</v>
      </c>
      <c r="X5" s="28" t="s">
        <v>32</v>
      </c>
      <c r="Y5" s="28" t="s">
        <v>33</v>
      </c>
      <c r="Z5" s="28" t="s">
        <v>34</v>
      </c>
      <c r="AA5" s="28" t="s">
        <v>35</v>
      </c>
      <c r="AB5" s="9" t="s">
        <v>36</v>
      </c>
      <c r="AC5" s="28" t="s">
        <v>37</v>
      </c>
      <c r="AD5" s="28" t="s">
        <v>38</v>
      </c>
    </row>
    <row r="6" spans="1:30" hidden="1" x14ac:dyDescent="0.35">
      <c r="A6" s="30"/>
      <c r="B6" s="31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53"/>
      <c r="AC6" s="30"/>
      <c r="AD6" s="30"/>
    </row>
    <row r="7" spans="1:30" x14ac:dyDescent="0.35">
      <c r="A7" s="100">
        <v>47119</v>
      </c>
      <c r="B7" s="32" t="s">
        <v>39</v>
      </c>
      <c r="C7" s="33">
        <v>40000</v>
      </c>
      <c r="D7" s="33">
        <v>40000</v>
      </c>
      <c r="E7" s="33">
        <v>40000</v>
      </c>
      <c r="F7" s="33">
        <v>40000</v>
      </c>
      <c r="G7" s="33">
        <v>40000</v>
      </c>
      <c r="H7" s="33">
        <v>40000</v>
      </c>
      <c r="I7" s="33">
        <v>40000</v>
      </c>
      <c r="J7" s="33">
        <v>40000</v>
      </c>
      <c r="K7" s="33">
        <v>40000</v>
      </c>
      <c r="L7" s="33">
        <v>40000</v>
      </c>
      <c r="M7" s="33">
        <v>40000</v>
      </c>
      <c r="N7" s="33">
        <v>40000</v>
      </c>
      <c r="O7" s="33">
        <v>40000</v>
      </c>
      <c r="P7" s="33">
        <v>40000</v>
      </c>
      <c r="Q7" s="33">
        <v>40000</v>
      </c>
      <c r="R7" s="33">
        <v>40000</v>
      </c>
      <c r="S7" s="33">
        <v>40000</v>
      </c>
      <c r="T7" s="33">
        <v>40000</v>
      </c>
      <c r="U7" s="33">
        <v>40000</v>
      </c>
      <c r="V7" s="33">
        <v>40000</v>
      </c>
      <c r="W7" s="33">
        <v>40000</v>
      </c>
      <c r="X7" s="33">
        <v>40000</v>
      </c>
      <c r="Y7" s="33">
        <v>40000</v>
      </c>
      <c r="Z7" s="33">
        <v>40000</v>
      </c>
      <c r="AA7" s="33">
        <f>SUM(C7:Z7)</f>
        <v>960000</v>
      </c>
      <c r="AB7" s="54">
        <v>21</v>
      </c>
      <c r="AC7" s="33">
        <f>+AA7*AB7</f>
        <v>20160000</v>
      </c>
      <c r="AD7" s="103">
        <f>+SUM(AC7:AC10)</f>
        <v>29760000</v>
      </c>
    </row>
    <row r="8" spans="1:30" x14ac:dyDescent="0.35">
      <c r="A8" s="101"/>
      <c r="B8" s="34" t="s">
        <v>40</v>
      </c>
      <c r="C8" s="33">
        <v>40000</v>
      </c>
      <c r="D8" s="33">
        <v>40000</v>
      </c>
      <c r="E8" s="33">
        <v>40000</v>
      </c>
      <c r="F8" s="33">
        <v>40000</v>
      </c>
      <c r="G8" s="33">
        <v>40000</v>
      </c>
      <c r="H8" s="33">
        <v>40000</v>
      </c>
      <c r="I8" s="33">
        <v>40000</v>
      </c>
      <c r="J8" s="33">
        <v>40000</v>
      </c>
      <c r="K8" s="33">
        <v>40000</v>
      </c>
      <c r="L8" s="33">
        <v>40000</v>
      </c>
      <c r="M8" s="33">
        <v>40000</v>
      </c>
      <c r="N8" s="33">
        <v>40000</v>
      </c>
      <c r="O8" s="33">
        <v>40000</v>
      </c>
      <c r="P8" s="33">
        <v>40000</v>
      </c>
      <c r="Q8" s="33">
        <v>40000</v>
      </c>
      <c r="R8" s="33">
        <v>40000</v>
      </c>
      <c r="S8" s="33">
        <v>40000</v>
      </c>
      <c r="T8" s="33">
        <v>40000</v>
      </c>
      <c r="U8" s="33">
        <v>40000</v>
      </c>
      <c r="V8" s="33">
        <v>40000</v>
      </c>
      <c r="W8" s="33">
        <v>40000</v>
      </c>
      <c r="X8" s="33">
        <v>40000</v>
      </c>
      <c r="Y8" s="33">
        <v>40000</v>
      </c>
      <c r="Z8" s="33">
        <v>40000</v>
      </c>
      <c r="AA8" s="33">
        <f t="shared" ref="AA8:AA54" si="0">SUM(C8:Z8)</f>
        <v>960000</v>
      </c>
      <c r="AB8" s="54">
        <v>4</v>
      </c>
      <c r="AC8" s="33">
        <f t="shared" ref="AC8:AC54" si="1">+AA8*AB8</f>
        <v>3840000</v>
      </c>
      <c r="AD8" s="104"/>
    </row>
    <row r="9" spans="1:30" x14ac:dyDescent="0.35">
      <c r="A9" s="101"/>
      <c r="B9" s="34" t="s">
        <v>41</v>
      </c>
      <c r="C9" s="33">
        <v>40000</v>
      </c>
      <c r="D9" s="33">
        <v>40000</v>
      </c>
      <c r="E9" s="33">
        <v>40000</v>
      </c>
      <c r="F9" s="33">
        <v>40000</v>
      </c>
      <c r="G9" s="33">
        <v>40000</v>
      </c>
      <c r="H9" s="33">
        <v>40000</v>
      </c>
      <c r="I9" s="33">
        <v>40000</v>
      </c>
      <c r="J9" s="33">
        <v>40000</v>
      </c>
      <c r="K9" s="33">
        <v>40000</v>
      </c>
      <c r="L9" s="33">
        <v>40000</v>
      </c>
      <c r="M9" s="33">
        <v>40000</v>
      </c>
      <c r="N9" s="33">
        <v>40000</v>
      </c>
      <c r="O9" s="33">
        <v>40000</v>
      </c>
      <c r="P9" s="33">
        <v>40000</v>
      </c>
      <c r="Q9" s="33">
        <v>40000</v>
      </c>
      <c r="R9" s="33">
        <v>40000</v>
      </c>
      <c r="S9" s="33">
        <v>40000</v>
      </c>
      <c r="T9" s="33">
        <v>40000</v>
      </c>
      <c r="U9" s="33">
        <v>40000</v>
      </c>
      <c r="V9" s="33">
        <v>40000</v>
      </c>
      <c r="W9" s="33">
        <v>40000</v>
      </c>
      <c r="X9" s="33">
        <v>40000</v>
      </c>
      <c r="Y9" s="33">
        <v>40000</v>
      </c>
      <c r="Z9" s="33">
        <v>40000</v>
      </c>
      <c r="AA9" s="33">
        <f t="shared" si="0"/>
        <v>960000</v>
      </c>
      <c r="AB9" s="54">
        <v>4</v>
      </c>
      <c r="AC9" s="33">
        <f t="shared" si="1"/>
        <v>3840000</v>
      </c>
      <c r="AD9" s="104"/>
    </row>
    <row r="10" spans="1:30" x14ac:dyDescent="0.35">
      <c r="A10" s="102"/>
      <c r="B10" s="35" t="s">
        <v>42</v>
      </c>
      <c r="C10" s="33">
        <v>40000</v>
      </c>
      <c r="D10" s="33">
        <v>40000</v>
      </c>
      <c r="E10" s="33">
        <v>40000</v>
      </c>
      <c r="F10" s="33">
        <v>40000</v>
      </c>
      <c r="G10" s="33">
        <v>40000</v>
      </c>
      <c r="H10" s="33">
        <v>40000</v>
      </c>
      <c r="I10" s="33">
        <v>40000</v>
      </c>
      <c r="J10" s="33">
        <v>40000</v>
      </c>
      <c r="K10" s="33">
        <v>40000</v>
      </c>
      <c r="L10" s="33">
        <v>40000</v>
      </c>
      <c r="M10" s="33">
        <v>40000</v>
      </c>
      <c r="N10" s="33">
        <v>40000</v>
      </c>
      <c r="O10" s="33">
        <v>40000</v>
      </c>
      <c r="P10" s="33">
        <v>40000</v>
      </c>
      <c r="Q10" s="33">
        <v>40000</v>
      </c>
      <c r="R10" s="33">
        <v>40000</v>
      </c>
      <c r="S10" s="33">
        <v>40000</v>
      </c>
      <c r="T10" s="33">
        <v>40000</v>
      </c>
      <c r="U10" s="33">
        <v>40000</v>
      </c>
      <c r="V10" s="33">
        <v>40000</v>
      </c>
      <c r="W10" s="33">
        <v>40000</v>
      </c>
      <c r="X10" s="33">
        <v>40000</v>
      </c>
      <c r="Y10" s="33">
        <v>40000</v>
      </c>
      <c r="Z10" s="33">
        <v>40000</v>
      </c>
      <c r="AA10" s="33">
        <f t="shared" si="0"/>
        <v>960000</v>
      </c>
      <c r="AB10" s="54">
        <v>2</v>
      </c>
      <c r="AC10" s="33">
        <f t="shared" si="1"/>
        <v>1920000</v>
      </c>
      <c r="AD10" s="105"/>
    </row>
    <row r="11" spans="1:30" x14ac:dyDescent="0.35">
      <c r="A11" s="100">
        <v>47150</v>
      </c>
      <c r="B11" s="32" t="s">
        <v>39</v>
      </c>
      <c r="C11" s="33">
        <v>40000</v>
      </c>
      <c r="D11" s="33">
        <v>40000</v>
      </c>
      <c r="E11" s="33">
        <v>40000</v>
      </c>
      <c r="F11" s="33">
        <v>40000</v>
      </c>
      <c r="G11" s="33">
        <v>40000</v>
      </c>
      <c r="H11" s="33">
        <v>40000</v>
      </c>
      <c r="I11" s="33">
        <v>40000</v>
      </c>
      <c r="J11" s="33">
        <v>40000</v>
      </c>
      <c r="K11" s="33">
        <v>40000</v>
      </c>
      <c r="L11" s="33">
        <v>40000</v>
      </c>
      <c r="M11" s="33">
        <v>40000</v>
      </c>
      <c r="N11" s="33">
        <v>40000</v>
      </c>
      <c r="O11" s="33">
        <v>40000</v>
      </c>
      <c r="P11" s="33">
        <v>40000</v>
      </c>
      <c r="Q11" s="33">
        <v>40000</v>
      </c>
      <c r="R11" s="33">
        <v>40000</v>
      </c>
      <c r="S11" s="33">
        <v>40000</v>
      </c>
      <c r="T11" s="33">
        <v>40000</v>
      </c>
      <c r="U11" s="33">
        <v>40000</v>
      </c>
      <c r="V11" s="33">
        <v>40000</v>
      </c>
      <c r="W11" s="33">
        <v>40000</v>
      </c>
      <c r="X11" s="33">
        <v>40000</v>
      </c>
      <c r="Y11" s="33">
        <v>40000</v>
      </c>
      <c r="Z11" s="33">
        <v>40000</v>
      </c>
      <c r="AA11" s="33">
        <f t="shared" si="0"/>
        <v>960000</v>
      </c>
      <c r="AB11" s="54">
        <v>20</v>
      </c>
      <c r="AC11" s="33">
        <f t="shared" si="1"/>
        <v>19200000</v>
      </c>
      <c r="AD11" s="103">
        <f>+SUM(AC11:AC14)</f>
        <v>26880000</v>
      </c>
    </row>
    <row r="12" spans="1:30" x14ac:dyDescent="0.35">
      <c r="A12" s="101"/>
      <c r="B12" s="34" t="s">
        <v>40</v>
      </c>
      <c r="C12" s="33">
        <v>40000</v>
      </c>
      <c r="D12" s="33">
        <v>40000</v>
      </c>
      <c r="E12" s="33">
        <v>40000</v>
      </c>
      <c r="F12" s="33">
        <v>40000</v>
      </c>
      <c r="G12" s="33">
        <v>40000</v>
      </c>
      <c r="H12" s="33">
        <v>40000</v>
      </c>
      <c r="I12" s="33">
        <v>40000</v>
      </c>
      <c r="J12" s="33">
        <v>40000</v>
      </c>
      <c r="K12" s="33">
        <v>40000</v>
      </c>
      <c r="L12" s="33">
        <v>40000</v>
      </c>
      <c r="M12" s="33">
        <v>40000</v>
      </c>
      <c r="N12" s="33">
        <v>40000</v>
      </c>
      <c r="O12" s="33">
        <v>40000</v>
      </c>
      <c r="P12" s="33">
        <v>40000</v>
      </c>
      <c r="Q12" s="33">
        <v>40000</v>
      </c>
      <c r="R12" s="33">
        <v>40000</v>
      </c>
      <c r="S12" s="33">
        <v>40000</v>
      </c>
      <c r="T12" s="33">
        <v>40000</v>
      </c>
      <c r="U12" s="33">
        <v>40000</v>
      </c>
      <c r="V12" s="33">
        <v>40000</v>
      </c>
      <c r="W12" s="33">
        <v>40000</v>
      </c>
      <c r="X12" s="33">
        <v>40000</v>
      </c>
      <c r="Y12" s="33">
        <v>40000</v>
      </c>
      <c r="Z12" s="33">
        <v>40000</v>
      </c>
      <c r="AA12" s="33">
        <f t="shared" si="0"/>
        <v>960000</v>
      </c>
      <c r="AB12" s="54">
        <v>4</v>
      </c>
      <c r="AC12" s="33">
        <f t="shared" si="1"/>
        <v>3840000</v>
      </c>
      <c r="AD12" s="104"/>
    </row>
    <row r="13" spans="1:30" x14ac:dyDescent="0.35">
      <c r="A13" s="101"/>
      <c r="B13" s="34" t="s">
        <v>41</v>
      </c>
      <c r="C13" s="33">
        <v>40000</v>
      </c>
      <c r="D13" s="33">
        <v>40000</v>
      </c>
      <c r="E13" s="33">
        <v>40000</v>
      </c>
      <c r="F13" s="33">
        <v>40000</v>
      </c>
      <c r="G13" s="33">
        <v>40000</v>
      </c>
      <c r="H13" s="33">
        <v>40000</v>
      </c>
      <c r="I13" s="33">
        <v>40000</v>
      </c>
      <c r="J13" s="33">
        <v>40000</v>
      </c>
      <c r="K13" s="33">
        <v>40000</v>
      </c>
      <c r="L13" s="33">
        <v>40000</v>
      </c>
      <c r="M13" s="33">
        <v>40000</v>
      </c>
      <c r="N13" s="33">
        <v>40000</v>
      </c>
      <c r="O13" s="33">
        <v>40000</v>
      </c>
      <c r="P13" s="33">
        <v>40000</v>
      </c>
      <c r="Q13" s="33">
        <v>40000</v>
      </c>
      <c r="R13" s="33">
        <v>40000</v>
      </c>
      <c r="S13" s="33">
        <v>40000</v>
      </c>
      <c r="T13" s="33">
        <v>40000</v>
      </c>
      <c r="U13" s="33">
        <v>40000</v>
      </c>
      <c r="V13" s="33">
        <v>40000</v>
      </c>
      <c r="W13" s="33">
        <v>40000</v>
      </c>
      <c r="X13" s="33">
        <v>40000</v>
      </c>
      <c r="Y13" s="33">
        <v>40000</v>
      </c>
      <c r="Z13" s="33">
        <v>40000</v>
      </c>
      <c r="AA13" s="33">
        <f t="shared" si="0"/>
        <v>960000</v>
      </c>
      <c r="AB13" s="54">
        <v>4</v>
      </c>
      <c r="AC13" s="33">
        <f t="shared" si="1"/>
        <v>3840000</v>
      </c>
      <c r="AD13" s="104"/>
    </row>
    <row r="14" spans="1:30" x14ac:dyDescent="0.35">
      <c r="A14" s="102"/>
      <c r="B14" s="35" t="s">
        <v>42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>
        <f t="shared" si="0"/>
        <v>0</v>
      </c>
      <c r="AB14" s="54">
        <v>0</v>
      </c>
      <c r="AC14" s="33">
        <f t="shared" si="1"/>
        <v>0</v>
      </c>
      <c r="AD14" s="105"/>
    </row>
    <row r="15" spans="1:30" x14ac:dyDescent="0.35">
      <c r="A15" s="100">
        <v>47178</v>
      </c>
      <c r="B15" s="32" t="s">
        <v>39</v>
      </c>
      <c r="C15" s="33">
        <v>40000</v>
      </c>
      <c r="D15" s="33">
        <v>40000</v>
      </c>
      <c r="E15" s="33">
        <v>40000</v>
      </c>
      <c r="F15" s="33">
        <v>40000</v>
      </c>
      <c r="G15" s="33">
        <v>40000</v>
      </c>
      <c r="H15" s="33">
        <v>40000</v>
      </c>
      <c r="I15" s="33">
        <v>40000</v>
      </c>
      <c r="J15" s="33">
        <v>40000</v>
      </c>
      <c r="K15" s="33">
        <v>40000</v>
      </c>
      <c r="L15" s="33">
        <v>40000</v>
      </c>
      <c r="M15" s="33">
        <v>40000</v>
      </c>
      <c r="N15" s="33">
        <v>40000</v>
      </c>
      <c r="O15" s="33">
        <v>40000</v>
      </c>
      <c r="P15" s="33">
        <v>40000</v>
      </c>
      <c r="Q15" s="33">
        <v>40000</v>
      </c>
      <c r="R15" s="33">
        <v>40000</v>
      </c>
      <c r="S15" s="33">
        <v>40000</v>
      </c>
      <c r="T15" s="33">
        <v>40000</v>
      </c>
      <c r="U15" s="33">
        <v>40000</v>
      </c>
      <c r="V15" s="33">
        <v>40000</v>
      </c>
      <c r="W15" s="33">
        <v>40000</v>
      </c>
      <c r="X15" s="33">
        <v>40000</v>
      </c>
      <c r="Y15" s="33">
        <v>40000</v>
      </c>
      <c r="Z15" s="33">
        <v>40000</v>
      </c>
      <c r="AA15" s="33">
        <f t="shared" si="0"/>
        <v>960000</v>
      </c>
      <c r="AB15" s="54">
        <v>19</v>
      </c>
      <c r="AC15" s="33">
        <f t="shared" si="1"/>
        <v>18240000</v>
      </c>
      <c r="AD15" s="103">
        <f>+SUM(AC15:AC18)</f>
        <v>29760000</v>
      </c>
    </row>
    <row r="16" spans="1:30" x14ac:dyDescent="0.35">
      <c r="A16" s="101"/>
      <c r="B16" s="34" t="s">
        <v>40</v>
      </c>
      <c r="C16" s="33">
        <v>40000</v>
      </c>
      <c r="D16" s="33">
        <v>40000</v>
      </c>
      <c r="E16" s="33">
        <v>40000</v>
      </c>
      <c r="F16" s="33">
        <v>40000</v>
      </c>
      <c r="G16" s="33">
        <v>40000</v>
      </c>
      <c r="H16" s="33">
        <v>40000</v>
      </c>
      <c r="I16" s="33">
        <v>40000</v>
      </c>
      <c r="J16" s="33">
        <v>40000</v>
      </c>
      <c r="K16" s="33">
        <v>40000</v>
      </c>
      <c r="L16" s="33">
        <v>40000</v>
      </c>
      <c r="M16" s="33">
        <v>40000</v>
      </c>
      <c r="N16" s="33">
        <v>40000</v>
      </c>
      <c r="O16" s="33">
        <v>40000</v>
      </c>
      <c r="P16" s="33">
        <v>40000</v>
      </c>
      <c r="Q16" s="33">
        <v>40000</v>
      </c>
      <c r="R16" s="33">
        <v>40000</v>
      </c>
      <c r="S16" s="33">
        <v>40000</v>
      </c>
      <c r="T16" s="33">
        <v>40000</v>
      </c>
      <c r="U16" s="33">
        <v>40000</v>
      </c>
      <c r="V16" s="33">
        <v>40000</v>
      </c>
      <c r="W16" s="33">
        <v>40000</v>
      </c>
      <c r="X16" s="33">
        <v>40000</v>
      </c>
      <c r="Y16" s="33">
        <v>40000</v>
      </c>
      <c r="Z16" s="33">
        <v>40000</v>
      </c>
      <c r="AA16" s="33">
        <f t="shared" si="0"/>
        <v>960000</v>
      </c>
      <c r="AB16" s="54">
        <v>5</v>
      </c>
      <c r="AC16" s="33">
        <f t="shared" si="1"/>
        <v>4800000</v>
      </c>
      <c r="AD16" s="104"/>
    </row>
    <row r="17" spans="1:30" x14ac:dyDescent="0.35">
      <c r="A17" s="101"/>
      <c r="B17" s="34" t="s">
        <v>41</v>
      </c>
      <c r="C17" s="33">
        <v>40000</v>
      </c>
      <c r="D17" s="33">
        <v>40000</v>
      </c>
      <c r="E17" s="33">
        <v>40000</v>
      </c>
      <c r="F17" s="33">
        <v>40000</v>
      </c>
      <c r="G17" s="33">
        <v>40000</v>
      </c>
      <c r="H17" s="33">
        <v>40000</v>
      </c>
      <c r="I17" s="33">
        <v>40000</v>
      </c>
      <c r="J17" s="33">
        <v>40000</v>
      </c>
      <c r="K17" s="33">
        <v>40000</v>
      </c>
      <c r="L17" s="33">
        <v>40000</v>
      </c>
      <c r="M17" s="33">
        <v>40000</v>
      </c>
      <c r="N17" s="33">
        <v>40000</v>
      </c>
      <c r="O17" s="33">
        <v>40000</v>
      </c>
      <c r="P17" s="33">
        <v>40000</v>
      </c>
      <c r="Q17" s="33">
        <v>40000</v>
      </c>
      <c r="R17" s="33">
        <v>40000</v>
      </c>
      <c r="S17" s="33">
        <v>40000</v>
      </c>
      <c r="T17" s="33">
        <v>40000</v>
      </c>
      <c r="U17" s="33">
        <v>40000</v>
      </c>
      <c r="V17" s="33">
        <v>40000</v>
      </c>
      <c r="W17" s="33">
        <v>40000</v>
      </c>
      <c r="X17" s="33">
        <v>40000</v>
      </c>
      <c r="Y17" s="33">
        <v>40000</v>
      </c>
      <c r="Z17" s="33">
        <v>40000</v>
      </c>
      <c r="AA17" s="33">
        <f t="shared" si="0"/>
        <v>960000</v>
      </c>
      <c r="AB17" s="54">
        <v>4</v>
      </c>
      <c r="AC17" s="33">
        <f t="shared" si="1"/>
        <v>3840000</v>
      </c>
      <c r="AD17" s="104"/>
    </row>
    <row r="18" spans="1:30" x14ac:dyDescent="0.35">
      <c r="A18" s="102"/>
      <c r="B18" s="35" t="s">
        <v>42</v>
      </c>
      <c r="C18" s="33">
        <v>40000</v>
      </c>
      <c r="D18" s="33">
        <v>40000</v>
      </c>
      <c r="E18" s="33">
        <v>40000</v>
      </c>
      <c r="F18" s="33">
        <v>40000</v>
      </c>
      <c r="G18" s="33">
        <v>40000</v>
      </c>
      <c r="H18" s="33">
        <v>40000</v>
      </c>
      <c r="I18" s="33">
        <v>40000</v>
      </c>
      <c r="J18" s="33">
        <v>40000</v>
      </c>
      <c r="K18" s="33">
        <v>40000</v>
      </c>
      <c r="L18" s="33">
        <v>40000</v>
      </c>
      <c r="M18" s="33">
        <v>40000</v>
      </c>
      <c r="N18" s="33">
        <v>40000</v>
      </c>
      <c r="O18" s="33">
        <v>40000</v>
      </c>
      <c r="P18" s="33">
        <v>40000</v>
      </c>
      <c r="Q18" s="33">
        <v>40000</v>
      </c>
      <c r="R18" s="33">
        <v>40000</v>
      </c>
      <c r="S18" s="33">
        <v>40000</v>
      </c>
      <c r="T18" s="33">
        <v>40000</v>
      </c>
      <c r="U18" s="33">
        <v>40000</v>
      </c>
      <c r="V18" s="33">
        <v>40000</v>
      </c>
      <c r="W18" s="33">
        <v>40000</v>
      </c>
      <c r="X18" s="33">
        <v>40000</v>
      </c>
      <c r="Y18" s="33">
        <v>40000</v>
      </c>
      <c r="Z18" s="33">
        <v>40000</v>
      </c>
      <c r="AA18" s="33">
        <f t="shared" si="0"/>
        <v>960000</v>
      </c>
      <c r="AB18" s="54">
        <v>3</v>
      </c>
      <c r="AC18" s="33">
        <f t="shared" si="1"/>
        <v>2880000</v>
      </c>
      <c r="AD18" s="105"/>
    </row>
    <row r="19" spans="1:30" x14ac:dyDescent="0.35">
      <c r="A19" s="100">
        <v>47209</v>
      </c>
      <c r="B19" s="32" t="s">
        <v>39</v>
      </c>
      <c r="C19" s="33">
        <v>40000</v>
      </c>
      <c r="D19" s="33">
        <v>40000</v>
      </c>
      <c r="E19" s="33">
        <v>40000</v>
      </c>
      <c r="F19" s="33">
        <v>40000</v>
      </c>
      <c r="G19" s="33">
        <v>40000</v>
      </c>
      <c r="H19" s="33">
        <v>40000</v>
      </c>
      <c r="I19" s="33">
        <v>40000</v>
      </c>
      <c r="J19" s="33">
        <v>40000</v>
      </c>
      <c r="K19" s="33">
        <v>40000</v>
      </c>
      <c r="L19" s="33">
        <v>40000</v>
      </c>
      <c r="M19" s="33">
        <v>40000</v>
      </c>
      <c r="N19" s="33">
        <v>40000</v>
      </c>
      <c r="O19" s="33">
        <v>40000</v>
      </c>
      <c r="P19" s="33">
        <v>40000</v>
      </c>
      <c r="Q19" s="33">
        <v>40000</v>
      </c>
      <c r="R19" s="33">
        <v>40000</v>
      </c>
      <c r="S19" s="33">
        <v>40000</v>
      </c>
      <c r="T19" s="33">
        <v>40000</v>
      </c>
      <c r="U19" s="33">
        <v>40000</v>
      </c>
      <c r="V19" s="33">
        <v>40000</v>
      </c>
      <c r="W19" s="33">
        <v>40000</v>
      </c>
      <c r="X19" s="33">
        <v>40000</v>
      </c>
      <c r="Y19" s="33">
        <v>40000</v>
      </c>
      <c r="Z19" s="33">
        <v>40000</v>
      </c>
      <c r="AA19" s="33">
        <f t="shared" si="0"/>
        <v>960000</v>
      </c>
      <c r="AB19" s="54">
        <v>21</v>
      </c>
      <c r="AC19" s="33">
        <f t="shared" si="1"/>
        <v>20160000</v>
      </c>
      <c r="AD19" s="103">
        <f>+SUM(AC19:AC22)</f>
        <v>28800000</v>
      </c>
    </row>
    <row r="20" spans="1:30" x14ac:dyDescent="0.35">
      <c r="A20" s="101"/>
      <c r="B20" s="34" t="s">
        <v>40</v>
      </c>
      <c r="C20" s="33">
        <v>40000</v>
      </c>
      <c r="D20" s="33">
        <v>40000</v>
      </c>
      <c r="E20" s="33">
        <v>40000</v>
      </c>
      <c r="F20" s="33">
        <v>40000</v>
      </c>
      <c r="G20" s="33">
        <v>40000</v>
      </c>
      <c r="H20" s="33">
        <v>40000</v>
      </c>
      <c r="I20" s="33">
        <v>40000</v>
      </c>
      <c r="J20" s="33">
        <v>40000</v>
      </c>
      <c r="K20" s="33">
        <v>40000</v>
      </c>
      <c r="L20" s="33">
        <v>40000</v>
      </c>
      <c r="M20" s="33">
        <v>40000</v>
      </c>
      <c r="N20" s="33">
        <v>40000</v>
      </c>
      <c r="O20" s="33">
        <v>40000</v>
      </c>
      <c r="P20" s="33">
        <v>40000</v>
      </c>
      <c r="Q20" s="33">
        <v>40000</v>
      </c>
      <c r="R20" s="33">
        <v>40000</v>
      </c>
      <c r="S20" s="33">
        <v>40000</v>
      </c>
      <c r="T20" s="33">
        <v>40000</v>
      </c>
      <c r="U20" s="33">
        <v>40000</v>
      </c>
      <c r="V20" s="33">
        <v>40000</v>
      </c>
      <c r="W20" s="33">
        <v>40000</v>
      </c>
      <c r="X20" s="33">
        <v>40000</v>
      </c>
      <c r="Y20" s="33">
        <v>40000</v>
      </c>
      <c r="Z20" s="33">
        <v>40000</v>
      </c>
      <c r="AA20" s="33">
        <f t="shared" si="0"/>
        <v>960000</v>
      </c>
      <c r="AB20" s="54">
        <v>4</v>
      </c>
      <c r="AC20" s="33">
        <f t="shared" si="1"/>
        <v>3840000</v>
      </c>
      <c r="AD20" s="104"/>
    </row>
    <row r="21" spans="1:30" x14ac:dyDescent="0.35">
      <c r="A21" s="101"/>
      <c r="B21" s="34" t="s">
        <v>41</v>
      </c>
      <c r="C21" s="33">
        <v>40000</v>
      </c>
      <c r="D21" s="33">
        <v>40000</v>
      </c>
      <c r="E21" s="33">
        <v>40000</v>
      </c>
      <c r="F21" s="33">
        <v>40000</v>
      </c>
      <c r="G21" s="33">
        <v>40000</v>
      </c>
      <c r="H21" s="33">
        <v>40000</v>
      </c>
      <c r="I21" s="33">
        <v>40000</v>
      </c>
      <c r="J21" s="33">
        <v>40000</v>
      </c>
      <c r="K21" s="33">
        <v>40000</v>
      </c>
      <c r="L21" s="33">
        <v>40000</v>
      </c>
      <c r="M21" s="33">
        <v>40000</v>
      </c>
      <c r="N21" s="33">
        <v>40000</v>
      </c>
      <c r="O21" s="33">
        <v>40000</v>
      </c>
      <c r="P21" s="33">
        <v>40000</v>
      </c>
      <c r="Q21" s="33">
        <v>40000</v>
      </c>
      <c r="R21" s="33">
        <v>40000</v>
      </c>
      <c r="S21" s="33">
        <v>40000</v>
      </c>
      <c r="T21" s="33">
        <v>40000</v>
      </c>
      <c r="U21" s="33">
        <v>40000</v>
      </c>
      <c r="V21" s="33">
        <v>40000</v>
      </c>
      <c r="W21" s="33">
        <v>40000</v>
      </c>
      <c r="X21" s="33">
        <v>40000</v>
      </c>
      <c r="Y21" s="33">
        <v>40000</v>
      </c>
      <c r="Z21" s="33">
        <v>40000</v>
      </c>
      <c r="AA21" s="33">
        <f t="shared" si="0"/>
        <v>960000</v>
      </c>
      <c r="AB21" s="54">
        <v>5</v>
      </c>
      <c r="AC21" s="33">
        <f t="shared" si="1"/>
        <v>4800000</v>
      </c>
      <c r="AD21" s="104"/>
    </row>
    <row r="22" spans="1:30" x14ac:dyDescent="0.35">
      <c r="A22" s="102"/>
      <c r="B22" s="35" t="s">
        <v>42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>
        <f t="shared" si="0"/>
        <v>0</v>
      </c>
      <c r="AB22" s="54">
        <v>0</v>
      </c>
      <c r="AC22" s="33">
        <f t="shared" si="1"/>
        <v>0</v>
      </c>
      <c r="AD22" s="105"/>
    </row>
    <row r="23" spans="1:30" x14ac:dyDescent="0.35">
      <c r="A23" s="100">
        <v>47239</v>
      </c>
      <c r="B23" s="32" t="s">
        <v>39</v>
      </c>
      <c r="C23" s="33">
        <v>40000</v>
      </c>
      <c r="D23" s="33">
        <v>40000</v>
      </c>
      <c r="E23" s="33">
        <v>40000</v>
      </c>
      <c r="F23" s="33">
        <v>40000</v>
      </c>
      <c r="G23" s="33">
        <v>40000</v>
      </c>
      <c r="H23" s="33">
        <v>40000</v>
      </c>
      <c r="I23" s="33">
        <v>40000</v>
      </c>
      <c r="J23" s="33">
        <v>40000</v>
      </c>
      <c r="K23" s="33">
        <v>40000</v>
      </c>
      <c r="L23" s="33">
        <v>40000</v>
      </c>
      <c r="M23" s="33">
        <v>40000</v>
      </c>
      <c r="N23" s="33">
        <v>40000</v>
      </c>
      <c r="O23" s="33">
        <v>40000</v>
      </c>
      <c r="P23" s="33">
        <v>40000</v>
      </c>
      <c r="Q23" s="33">
        <v>40000</v>
      </c>
      <c r="R23" s="33">
        <v>40000</v>
      </c>
      <c r="S23" s="33">
        <v>40000</v>
      </c>
      <c r="T23" s="33">
        <v>40000</v>
      </c>
      <c r="U23" s="33">
        <v>40000</v>
      </c>
      <c r="V23" s="33">
        <v>40000</v>
      </c>
      <c r="W23" s="33">
        <v>40000</v>
      </c>
      <c r="X23" s="33">
        <v>40000</v>
      </c>
      <c r="Y23" s="33">
        <v>40000</v>
      </c>
      <c r="Z23" s="33">
        <v>40000</v>
      </c>
      <c r="AA23" s="33">
        <f t="shared" si="0"/>
        <v>960000</v>
      </c>
      <c r="AB23" s="54">
        <v>21</v>
      </c>
      <c r="AC23" s="33">
        <f t="shared" si="1"/>
        <v>20160000</v>
      </c>
      <c r="AD23" s="103">
        <f>+SUM(AC23:AC26)</f>
        <v>29760000</v>
      </c>
    </row>
    <row r="24" spans="1:30" x14ac:dyDescent="0.35">
      <c r="A24" s="101"/>
      <c r="B24" s="34" t="s">
        <v>40</v>
      </c>
      <c r="C24" s="33">
        <v>40000</v>
      </c>
      <c r="D24" s="33">
        <v>40000</v>
      </c>
      <c r="E24" s="33">
        <v>40000</v>
      </c>
      <c r="F24" s="33">
        <v>40000</v>
      </c>
      <c r="G24" s="33">
        <v>40000</v>
      </c>
      <c r="H24" s="33">
        <v>40000</v>
      </c>
      <c r="I24" s="33">
        <v>40000</v>
      </c>
      <c r="J24" s="33">
        <v>40000</v>
      </c>
      <c r="K24" s="33">
        <v>40000</v>
      </c>
      <c r="L24" s="33">
        <v>40000</v>
      </c>
      <c r="M24" s="33">
        <v>40000</v>
      </c>
      <c r="N24" s="33">
        <v>40000</v>
      </c>
      <c r="O24" s="33">
        <v>40000</v>
      </c>
      <c r="P24" s="33">
        <v>40000</v>
      </c>
      <c r="Q24" s="33">
        <v>40000</v>
      </c>
      <c r="R24" s="33">
        <v>40000</v>
      </c>
      <c r="S24" s="33">
        <v>40000</v>
      </c>
      <c r="T24" s="33">
        <v>40000</v>
      </c>
      <c r="U24" s="33">
        <v>40000</v>
      </c>
      <c r="V24" s="33">
        <v>40000</v>
      </c>
      <c r="W24" s="33">
        <v>40000</v>
      </c>
      <c r="X24" s="33">
        <v>40000</v>
      </c>
      <c r="Y24" s="33">
        <v>40000</v>
      </c>
      <c r="Z24" s="33">
        <v>40000</v>
      </c>
      <c r="AA24" s="33">
        <f t="shared" si="0"/>
        <v>960000</v>
      </c>
      <c r="AB24" s="54">
        <v>4</v>
      </c>
      <c r="AC24" s="33">
        <f t="shared" si="1"/>
        <v>3840000</v>
      </c>
      <c r="AD24" s="104"/>
    </row>
    <row r="25" spans="1:30" x14ac:dyDescent="0.35">
      <c r="A25" s="101"/>
      <c r="B25" s="34" t="s">
        <v>41</v>
      </c>
      <c r="C25" s="33">
        <v>40000</v>
      </c>
      <c r="D25" s="33">
        <v>40000</v>
      </c>
      <c r="E25" s="33">
        <v>40000</v>
      </c>
      <c r="F25" s="33">
        <v>40000</v>
      </c>
      <c r="G25" s="33">
        <v>40000</v>
      </c>
      <c r="H25" s="33">
        <v>40000</v>
      </c>
      <c r="I25" s="33">
        <v>40000</v>
      </c>
      <c r="J25" s="33">
        <v>40000</v>
      </c>
      <c r="K25" s="33">
        <v>40000</v>
      </c>
      <c r="L25" s="33">
        <v>40000</v>
      </c>
      <c r="M25" s="33">
        <v>40000</v>
      </c>
      <c r="N25" s="33">
        <v>40000</v>
      </c>
      <c r="O25" s="33">
        <v>40000</v>
      </c>
      <c r="P25" s="33">
        <v>40000</v>
      </c>
      <c r="Q25" s="33">
        <v>40000</v>
      </c>
      <c r="R25" s="33">
        <v>40000</v>
      </c>
      <c r="S25" s="33">
        <v>40000</v>
      </c>
      <c r="T25" s="33">
        <v>40000</v>
      </c>
      <c r="U25" s="33">
        <v>40000</v>
      </c>
      <c r="V25" s="33">
        <v>40000</v>
      </c>
      <c r="W25" s="33">
        <v>40000</v>
      </c>
      <c r="X25" s="33">
        <v>40000</v>
      </c>
      <c r="Y25" s="33">
        <v>40000</v>
      </c>
      <c r="Z25" s="33">
        <v>40000</v>
      </c>
      <c r="AA25" s="33">
        <f t="shared" si="0"/>
        <v>960000</v>
      </c>
      <c r="AB25" s="54">
        <v>4</v>
      </c>
      <c r="AC25" s="33">
        <f t="shared" si="1"/>
        <v>3840000</v>
      </c>
      <c r="AD25" s="104"/>
    </row>
    <row r="26" spans="1:30" x14ac:dyDescent="0.35">
      <c r="A26" s="102"/>
      <c r="B26" s="35" t="s">
        <v>42</v>
      </c>
      <c r="C26" s="33">
        <v>40000</v>
      </c>
      <c r="D26" s="33">
        <v>40000</v>
      </c>
      <c r="E26" s="33">
        <v>40000</v>
      </c>
      <c r="F26" s="33">
        <v>40000</v>
      </c>
      <c r="G26" s="33">
        <v>40000</v>
      </c>
      <c r="H26" s="33">
        <v>40000</v>
      </c>
      <c r="I26" s="33">
        <v>40000</v>
      </c>
      <c r="J26" s="33">
        <v>40000</v>
      </c>
      <c r="K26" s="33">
        <v>40000</v>
      </c>
      <c r="L26" s="33">
        <v>40000</v>
      </c>
      <c r="M26" s="33">
        <v>40000</v>
      </c>
      <c r="N26" s="33">
        <v>40000</v>
      </c>
      <c r="O26" s="33">
        <v>40000</v>
      </c>
      <c r="P26" s="33">
        <v>40000</v>
      </c>
      <c r="Q26" s="33">
        <v>40000</v>
      </c>
      <c r="R26" s="33">
        <v>40000</v>
      </c>
      <c r="S26" s="33">
        <v>40000</v>
      </c>
      <c r="T26" s="33">
        <v>40000</v>
      </c>
      <c r="U26" s="33">
        <v>40000</v>
      </c>
      <c r="V26" s="33">
        <v>40000</v>
      </c>
      <c r="W26" s="33">
        <v>40000</v>
      </c>
      <c r="X26" s="33">
        <v>40000</v>
      </c>
      <c r="Y26" s="33">
        <v>40000</v>
      </c>
      <c r="Z26" s="33">
        <v>40000</v>
      </c>
      <c r="AA26" s="33">
        <f t="shared" si="0"/>
        <v>960000</v>
      </c>
      <c r="AB26" s="54">
        <v>2</v>
      </c>
      <c r="AC26" s="33">
        <f t="shared" si="1"/>
        <v>1920000</v>
      </c>
      <c r="AD26" s="105"/>
    </row>
    <row r="27" spans="1:30" x14ac:dyDescent="0.35">
      <c r="A27" s="100">
        <v>47270</v>
      </c>
      <c r="B27" s="32" t="s">
        <v>39</v>
      </c>
      <c r="C27" s="33">
        <v>40000</v>
      </c>
      <c r="D27" s="33">
        <v>40000</v>
      </c>
      <c r="E27" s="33">
        <v>40000</v>
      </c>
      <c r="F27" s="33">
        <v>40000</v>
      </c>
      <c r="G27" s="33">
        <v>40000</v>
      </c>
      <c r="H27" s="33">
        <v>40000</v>
      </c>
      <c r="I27" s="33">
        <v>40000</v>
      </c>
      <c r="J27" s="33">
        <v>40000</v>
      </c>
      <c r="K27" s="33">
        <v>40000</v>
      </c>
      <c r="L27" s="33">
        <v>40000</v>
      </c>
      <c r="M27" s="33">
        <v>40000</v>
      </c>
      <c r="N27" s="33">
        <v>40000</v>
      </c>
      <c r="O27" s="33">
        <v>40000</v>
      </c>
      <c r="P27" s="33">
        <v>40000</v>
      </c>
      <c r="Q27" s="33">
        <v>40000</v>
      </c>
      <c r="R27" s="33">
        <v>40000</v>
      </c>
      <c r="S27" s="33">
        <v>40000</v>
      </c>
      <c r="T27" s="33">
        <v>40000</v>
      </c>
      <c r="U27" s="33">
        <v>40000</v>
      </c>
      <c r="V27" s="33">
        <v>40000</v>
      </c>
      <c r="W27" s="33">
        <v>40000</v>
      </c>
      <c r="X27" s="33">
        <v>40000</v>
      </c>
      <c r="Y27" s="33">
        <v>40000</v>
      </c>
      <c r="Z27" s="33">
        <v>40000</v>
      </c>
      <c r="AA27" s="33">
        <f t="shared" si="0"/>
        <v>960000</v>
      </c>
      <c r="AB27" s="54">
        <v>19</v>
      </c>
      <c r="AC27" s="33">
        <f t="shared" si="1"/>
        <v>18240000</v>
      </c>
      <c r="AD27" s="103">
        <f>+SUM(AC27:AC30)</f>
        <v>28800000</v>
      </c>
    </row>
    <row r="28" spans="1:30" x14ac:dyDescent="0.35">
      <c r="A28" s="101"/>
      <c r="B28" s="34" t="s">
        <v>40</v>
      </c>
      <c r="C28" s="33">
        <v>40000</v>
      </c>
      <c r="D28" s="33">
        <v>40000</v>
      </c>
      <c r="E28" s="33">
        <v>40000</v>
      </c>
      <c r="F28" s="33">
        <v>40000</v>
      </c>
      <c r="G28" s="33">
        <v>40000</v>
      </c>
      <c r="H28" s="33">
        <v>40000</v>
      </c>
      <c r="I28" s="33">
        <v>40000</v>
      </c>
      <c r="J28" s="33">
        <v>40000</v>
      </c>
      <c r="K28" s="33">
        <v>40000</v>
      </c>
      <c r="L28" s="33">
        <v>40000</v>
      </c>
      <c r="M28" s="33">
        <v>40000</v>
      </c>
      <c r="N28" s="33">
        <v>40000</v>
      </c>
      <c r="O28" s="33">
        <v>40000</v>
      </c>
      <c r="P28" s="33">
        <v>40000</v>
      </c>
      <c r="Q28" s="33">
        <v>40000</v>
      </c>
      <c r="R28" s="33">
        <v>40000</v>
      </c>
      <c r="S28" s="33">
        <v>40000</v>
      </c>
      <c r="T28" s="33">
        <v>40000</v>
      </c>
      <c r="U28" s="33">
        <v>40000</v>
      </c>
      <c r="V28" s="33">
        <v>40000</v>
      </c>
      <c r="W28" s="33">
        <v>40000</v>
      </c>
      <c r="X28" s="33">
        <v>40000</v>
      </c>
      <c r="Y28" s="33">
        <v>40000</v>
      </c>
      <c r="Z28" s="33">
        <v>40000</v>
      </c>
      <c r="AA28" s="33">
        <f t="shared" si="0"/>
        <v>960000</v>
      </c>
      <c r="AB28" s="54">
        <v>5</v>
      </c>
      <c r="AC28" s="33">
        <f t="shared" si="1"/>
        <v>4800000</v>
      </c>
      <c r="AD28" s="104"/>
    </row>
    <row r="29" spans="1:30" x14ac:dyDescent="0.35">
      <c r="A29" s="101"/>
      <c r="B29" s="34" t="s">
        <v>41</v>
      </c>
      <c r="C29" s="33">
        <v>40000</v>
      </c>
      <c r="D29" s="33">
        <v>40000</v>
      </c>
      <c r="E29" s="33">
        <v>40000</v>
      </c>
      <c r="F29" s="33">
        <v>40000</v>
      </c>
      <c r="G29" s="33">
        <v>40000</v>
      </c>
      <c r="H29" s="33">
        <v>40000</v>
      </c>
      <c r="I29" s="33">
        <v>40000</v>
      </c>
      <c r="J29" s="33">
        <v>40000</v>
      </c>
      <c r="K29" s="33">
        <v>40000</v>
      </c>
      <c r="L29" s="33">
        <v>40000</v>
      </c>
      <c r="M29" s="33">
        <v>40000</v>
      </c>
      <c r="N29" s="33">
        <v>40000</v>
      </c>
      <c r="O29" s="33">
        <v>40000</v>
      </c>
      <c r="P29" s="33">
        <v>40000</v>
      </c>
      <c r="Q29" s="33">
        <v>40000</v>
      </c>
      <c r="R29" s="33">
        <v>40000</v>
      </c>
      <c r="S29" s="33">
        <v>40000</v>
      </c>
      <c r="T29" s="33">
        <v>40000</v>
      </c>
      <c r="U29" s="33">
        <v>40000</v>
      </c>
      <c r="V29" s="33">
        <v>40000</v>
      </c>
      <c r="W29" s="33">
        <v>40000</v>
      </c>
      <c r="X29" s="33">
        <v>40000</v>
      </c>
      <c r="Y29" s="33">
        <v>40000</v>
      </c>
      <c r="Z29" s="33">
        <v>40000</v>
      </c>
      <c r="AA29" s="33">
        <f t="shared" si="0"/>
        <v>960000</v>
      </c>
      <c r="AB29" s="54">
        <v>4</v>
      </c>
      <c r="AC29" s="33">
        <f t="shared" si="1"/>
        <v>3840000</v>
      </c>
      <c r="AD29" s="104"/>
    </row>
    <row r="30" spans="1:30" x14ac:dyDescent="0.35">
      <c r="A30" s="102"/>
      <c r="B30" s="35" t="s">
        <v>42</v>
      </c>
      <c r="C30" s="33">
        <v>40000</v>
      </c>
      <c r="D30" s="33">
        <v>40000</v>
      </c>
      <c r="E30" s="33">
        <v>40000</v>
      </c>
      <c r="F30" s="33">
        <v>40000</v>
      </c>
      <c r="G30" s="33">
        <v>40000</v>
      </c>
      <c r="H30" s="33">
        <v>40000</v>
      </c>
      <c r="I30" s="33">
        <v>40000</v>
      </c>
      <c r="J30" s="33">
        <v>40000</v>
      </c>
      <c r="K30" s="33">
        <v>40000</v>
      </c>
      <c r="L30" s="33">
        <v>40000</v>
      </c>
      <c r="M30" s="33">
        <v>40000</v>
      </c>
      <c r="N30" s="33">
        <v>40000</v>
      </c>
      <c r="O30" s="33">
        <v>40000</v>
      </c>
      <c r="P30" s="33">
        <v>40000</v>
      </c>
      <c r="Q30" s="33">
        <v>40000</v>
      </c>
      <c r="R30" s="33">
        <v>40000</v>
      </c>
      <c r="S30" s="33">
        <v>40000</v>
      </c>
      <c r="T30" s="33">
        <v>40000</v>
      </c>
      <c r="U30" s="33">
        <v>40000</v>
      </c>
      <c r="V30" s="33">
        <v>40000</v>
      </c>
      <c r="W30" s="33">
        <v>40000</v>
      </c>
      <c r="X30" s="33">
        <v>40000</v>
      </c>
      <c r="Y30" s="33">
        <v>40000</v>
      </c>
      <c r="Z30" s="33">
        <v>40000</v>
      </c>
      <c r="AA30" s="33">
        <f t="shared" si="0"/>
        <v>960000</v>
      </c>
      <c r="AB30" s="54">
        <v>2</v>
      </c>
      <c r="AC30" s="33">
        <f t="shared" si="1"/>
        <v>1920000</v>
      </c>
      <c r="AD30" s="105"/>
    </row>
    <row r="31" spans="1:30" x14ac:dyDescent="0.35">
      <c r="A31" s="100">
        <v>47300</v>
      </c>
      <c r="B31" s="32" t="s">
        <v>39</v>
      </c>
      <c r="C31" s="33">
        <v>40000</v>
      </c>
      <c r="D31" s="33">
        <v>40000</v>
      </c>
      <c r="E31" s="33">
        <v>40000</v>
      </c>
      <c r="F31" s="33">
        <v>40000</v>
      </c>
      <c r="G31" s="33">
        <v>40000</v>
      </c>
      <c r="H31" s="33">
        <v>40000</v>
      </c>
      <c r="I31" s="33">
        <v>40000</v>
      </c>
      <c r="J31" s="33">
        <v>40000</v>
      </c>
      <c r="K31" s="33">
        <v>40000</v>
      </c>
      <c r="L31" s="33">
        <v>40000</v>
      </c>
      <c r="M31" s="33">
        <v>40000</v>
      </c>
      <c r="N31" s="33">
        <v>40000</v>
      </c>
      <c r="O31" s="33">
        <v>40000</v>
      </c>
      <c r="P31" s="33">
        <v>40000</v>
      </c>
      <c r="Q31" s="33">
        <v>40000</v>
      </c>
      <c r="R31" s="33">
        <v>40000</v>
      </c>
      <c r="S31" s="33">
        <v>40000</v>
      </c>
      <c r="T31" s="33">
        <v>40000</v>
      </c>
      <c r="U31" s="33">
        <v>40000</v>
      </c>
      <c r="V31" s="33">
        <v>40000</v>
      </c>
      <c r="W31" s="33">
        <v>40000</v>
      </c>
      <c r="X31" s="33">
        <v>40000</v>
      </c>
      <c r="Y31" s="33">
        <v>40000</v>
      </c>
      <c r="Z31" s="33">
        <v>40000</v>
      </c>
      <c r="AA31" s="33">
        <f t="shared" si="0"/>
        <v>960000</v>
      </c>
      <c r="AB31" s="54">
        <v>20</v>
      </c>
      <c r="AC31" s="33">
        <f t="shared" si="1"/>
        <v>19200000</v>
      </c>
      <c r="AD31" s="103">
        <f>+SUM(AC31:AC34)</f>
        <v>29760000</v>
      </c>
    </row>
    <row r="32" spans="1:30" x14ac:dyDescent="0.35">
      <c r="A32" s="101"/>
      <c r="B32" s="34" t="s">
        <v>40</v>
      </c>
      <c r="C32" s="33">
        <v>40000</v>
      </c>
      <c r="D32" s="33">
        <v>40000</v>
      </c>
      <c r="E32" s="33">
        <v>40000</v>
      </c>
      <c r="F32" s="33">
        <v>40000</v>
      </c>
      <c r="G32" s="33">
        <v>40000</v>
      </c>
      <c r="H32" s="33">
        <v>40000</v>
      </c>
      <c r="I32" s="33">
        <v>40000</v>
      </c>
      <c r="J32" s="33">
        <v>40000</v>
      </c>
      <c r="K32" s="33">
        <v>40000</v>
      </c>
      <c r="L32" s="33">
        <v>40000</v>
      </c>
      <c r="M32" s="33">
        <v>40000</v>
      </c>
      <c r="N32" s="33">
        <v>40000</v>
      </c>
      <c r="O32" s="33">
        <v>40000</v>
      </c>
      <c r="P32" s="33">
        <v>40000</v>
      </c>
      <c r="Q32" s="33">
        <v>40000</v>
      </c>
      <c r="R32" s="33">
        <v>40000</v>
      </c>
      <c r="S32" s="33">
        <v>40000</v>
      </c>
      <c r="T32" s="33">
        <v>40000</v>
      </c>
      <c r="U32" s="33">
        <v>40000</v>
      </c>
      <c r="V32" s="33">
        <v>40000</v>
      </c>
      <c r="W32" s="33">
        <v>40000</v>
      </c>
      <c r="X32" s="33">
        <v>40000</v>
      </c>
      <c r="Y32" s="33">
        <v>40000</v>
      </c>
      <c r="Z32" s="33">
        <v>40000</v>
      </c>
      <c r="AA32" s="33">
        <f t="shared" si="0"/>
        <v>960000</v>
      </c>
      <c r="AB32" s="54">
        <v>4</v>
      </c>
      <c r="AC32" s="33">
        <f t="shared" si="1"/>
        <v>3840000</v>
      </c>
      <c r="AD32" s="104"/>
    </row>
    <row r="33" spans="1:30" x14ac:dyDescent="0.35">
      <c r="A33" s="101"/>
      <c r="B33" s="34" t="s">
        <v>41</v>
      </c>
      <c r="C33" s="33">
        <v>40000</v>
      </c>
      <c r="D33" s="33">
        <v>40000</v>
      </c>
      <c r="E33" s="33">
        <v>40000</v>
      </c>
      <c r="F33" s="33">
        <v>40000</v>
      </c>
      <c r="G33" s="33">
        <v>40000</v>
      </c>
      <c r="H33" s="33">
        <v>40000</v>
      </c>
      <c r="I33" s="33">
        <v>40000</v>
      </c>
      <c r="J33" s="33">
        <v>40000</v>
      </c>
      <c r="K33" s="33">
        <v>40000</v>
      </c>
      <c r="L33" s="33">
        <v>40000</v>
      </c>
      <c r="M33" s="33">
        <v>40000</v>
      </c>
      <c r="N33" s="33">
        <v>40000</v>
      </c>
      <c r="O33" s="33">
        <v>40000</v>
      </c>
      <c r="P33" s="33">
        <v>40000</v>
      </c>
      <c r="Q33" s="33">
        <v>40000</v>
      </c>
      <c r="R33" s="33">
        <v>40000</v>
      </c>
      <c r="S33" s="33">
        <v>40000</v>
      </c>
      <c r="T33" s="33">
        <v>40000</v>
      </c>
      <c r="U33" s="33">
        <v>40000</v>
      </c>
      <c r="V33" s="33">
        <v>40000</v>
      </c>
      <c r="W33" s="33">
        <v>40000</v>
      </c>
      <c r="X33" s="33">
        <v>40000</v>
      </c>
      <c r="Y33" s="33">
        <v>40000</v>
      </c>
      <c r="Z33" s="33">
        <v>40000</v>
      </c>
      <c r="AA33" s="33">
        <f t="shared" si="0"/>
        <v>960000</v>
      </c>
      <c r="AB33" s="54">
        <v>5</v>
      </c>
      <c r="AC33" s="33">
        <f t="shared" si="1"/>
        <v>4800000</v>
      </c>
      <c r="AD33" s="104"/>
    </row>
    <row r="34" spans="1:30" x14ac:dyDescent="0.35">
      <c r="A34" s="102"/>
      <c r="B34" s="35" t="s">
        <v>42</v>
      </c>
      <c r="C34" s="33">
        <v>40000</v>
      </c>
      <c r="D34" s="33">
        <v>40000</v>
      </c>
      <c r="E34" s="33">
        <v>40000</v>
      </c>
      <c r="F34" s="33">
        <v>40000</v>
      </c>
      <c r="G34" s="33">
        <v>40000</v>
      </c>
      <c r="H34" s="33">
        <v>40000</v>
      </c>
      <c r="I34" s="33">
        <v>40000</v>
      </c>
      <c r="J34" s="33">
        <v>40000</v>
      </c>
      <c r="K34" s="33">
        <v>40000</v>
      </c>
      <c r="L34" s="33">
        <v>40000</v>
      </c>
      <c r="M34" s="33">
        <v>40000</v>
      </c>
      <c r="N34" s="33">
        <v>40000</v>
      </c>
      <c r="O34" s="33">
        <v>40000</v>
      </c>
      <c r="P34" s="33">
        <v>40000</v>
      </c>
      <c r="Q34" s="33">
        <v>40000</v>
      </c>
      <c r="R34" s="33">
        <v>40000</v>
      </c>
      <c r="S34" s="33">
        <v>40000</v>
      </c>
      <c r="T34" s="33">
        <v>40000</v>
      </c>
      <c r="U34" s="33">
        <v>40000</v>
      </c>
      <c r="V34" s="33">
        <v>40000</v>
      </c>
      <c r="W34" s="33">
        <v>40000</v>
      </c>
      <c r="X34" s="33">
        <v>40000</v>
      </c>
      <c r="Y34" s="33">
        <v>40000</v>
      </c>
      <c r="Z34" s="33">
        <v>40000</v>
      </c>
      <c r="AA34" s="33">
        <f t="shared" si="0"/>
        <v>960000</v>
      </c>
      <c r="AB34" s="54">
        <v>2</v>
      </c>
      <c r="AC34" s="33">
        <f>+AA34*AB34</f>
        <v>1920000</v>
      </c>
      <c r="AD34" s="105"/>
    </row>
    <row r="35" spans="1:30" x14ac:dyDescent="0.35">
      <c r="A35" s="100">
        <v>47331</v>
      </c>
      <c r="B35" s="32" t="s">
        <v>39</v>
      </c>
      <c r="C35" s="33">
        <v>40000</v>
      </c>
      <c r="D35" s="33">
        <v>40000</v>
      </c>
      <c r="E35" s="33">
        <v>40000</v>
      </c>
      <c r="F35" s="33">
        <v>40000</v>
      </c>
      <c r="G35" s="33">
        <v>40000</v>
      </c>
      <c r="H35" s="33">
        <v>40000</v>
      </c>
      <c r="I35" s="33">
        <v>40000</v>
      </c>
      <c r="J35" s="33">
        <v>40000</v>
      </c>
      <c r="K35" s="33">
        <v>40000</v>
      </c>
      <c r="L35" s="33">
        <v>40000</v>
      </c>
      <c r="M35" s="33">
        <v>40000</v>
      </c>
      <c r="N35" s="33">
        <v>40000</v>
      </c>
      <c r="O35" s="33">
        <v>40000</v>
      </c>
      <c r="P35" s="33">
        <v>40000</v>
      </c>
      <c r="Q35" s="33">
        <v>40000</v>
      </c>
      <c r="R35" s="33">
        <v>40000</v>
      </c>
      <c r="S35" s="33">
        <v>40000</v>
      </c>
      <c r="T35" s="33">
        <v>40000</v>
      </c>
      <c r="U35" s="33">
        <v>40000</v>
      </c>
      <c r="V35" s="33">
        <v>40000</v>
      </c>
      <c r="W35" s="33">
        <v>40000</v>
      </c>
      <c r="X35" s="33">
        <v>40000</v>
      </c>
      <c r="Y35" s="33">
        <v>40000</v>
      </c>
      <c r="Z35" s="33">
        <v>40000</v>
      </c>
      <c r="AA35" s="33">
        <f t="shared" si="0"/>
        <v>960000</v>
      </c>
      <c r="AB35" s="54">
        <v>21</v>
      </c>
      <c r="AC35" s="33">
        <f t="shared" si="1"/>
        <v>20160000</v>
      </c>
      <c r="AD35" s="103">
        <f>+SUM(AC35:AC38)</f>
        <v>29760000</v>
      </c>
    </row>
    <row r="36" spans="1:30" x14ac:dyDescent="0.35">
      <c r="A36" s="101"/>
      <c r="B36" s="34" t="s">
        <v>40</v>
      </c>
      <c r="C36" s="33">
        <v>40000</v>
      </c>
      <c r="D36" s="33">
        <v>40000</v>
      </c>
      <c r="E36" s="33">
        <v>40000</v>
      </c>
      <c r="F36" s="33">
        <v>40000</v>
      </c>
      <c r="G36" s="33">
        <v>40000</v>
      </c>
      <c r="H36" s="33">
        <v>40000</v>
      </c>
      <c r="I36" s="33">
        <v>40000</v>
      </c>
      <c r="J36" s="33">
        <v>40000</v>
      </c>
      <c r="K36" s="33">
        <v>40000</v>
      </c>
      <c r="L36" s="33">
        <v>40000</v>
      </c>
      <c r="M36" s="33">
        <v>40000</v>
      </c>
      <c r="N36" s="33">
        <v>40000</v>
      </c>
      <c r="O36" s="33">
        <v>40000</v>
      </c>
      <c r="P36" s="33">
        <v>40000</v>
      </c>
      <c r="Q36" s="33">
        <v>40000</v>
      </c>
      <c r="R36" s="33">
        <v>40000</v>
      </c>
      <c r="S36" s="33">
        <v>40000</v>
      </c>
      <c r="T36" s="33">
        <v>40000</v>
      </c>
      <c r="U36" s="33">
        <v>40000</v>
      </c>
      <c r="V36" s="33">
        <v>40000</v>
      </c>
      <c r="W36" s="33">
        <v>40000</v>
      </c>
      <c r="X36" s="33">
        <v>40000</v>
      </c>
      <c r="Y36" s="33">
        <v>40000</v>
      </c>
      <c r="Z36" s="33">
        <v>40000</v>
      </c>
      <c r="AA36" s="33">
        <f t="shared" si="0"/>
        <v>960000</v>
      </c>
      <c r="AB36" s="54">
        <v>4</v>
      </c>
      <c r="AC36" s="33">
        <f t="shared" si="1"/>
        <v>3840000</v>
      </c>
      <c r="AD36" s="104"/>
    </row>
    <row r="37" spans="1:30" x14ac:dyDescent="0.35">
      <c r="A37" s="101"/>
      <c r="B37" s="34" t="s">
        <v>41</v>
      </c>
      <c r="C37" s="33">
        <v>40000</v>
      </c>
      <c r="D37" s="33">
        <v>40000</v>
      </c>
      <c r="E37" s="33">
        <v>40000</v>
      </c>
      <c r="F37" s="33">
        <v>40000</v>
      </c>
      <c r="G37" s="33">
        <v>40000</v>
      </c>
      <c r="H37" s="33">
        <v>40000</v>
      </c>
      <c r="I37" s="33">
        <v>40000</v>
      </c>
      <c r="J37" s="33">
        <v>40000</v>
      </c>
      <c r="K37" s="33">
        <v>40000</v>
      </c>
      <c r="L37" s="33">
        <v>40000</v>
      </c>
      <c r="M37" s="33">
        <v>40000</v>
      </c>
      <c r="N37" s="33">
        <v>40000</v>
      </c>
      <c r="O37" s="33">
        <v>40000</v>
      </c>
      <c r="P37" s="33">
        <v>40000</v>
      </c>
      <c r="Q37" s="33">
        <v>40000</v>
      </c>
      <c r="R37" s="33">
        <v>40000</v>
      </c>
      <c r="S37" s="33">
        <v>40000</v>
      </c>
      <c r="T37" s="33">
        <v>40000</v>
      </c>
      <c r="U37" s="33">
        <v>40000</v>
      </c>
      <c r="V37" s="33">
        <v>40000</v>
      </c>
      <c r="W37" s="33">
        <v>40000</v>
      </c>
      <c r="X37" s="33">
        <v>40000</v>
      </c>
      <c r="Y37" s="33">
        <v>40000</v>
      </c>
      <c r="Z37" s="33">
        <v>40000</v>
      </c>
      <c r="AA37" s="33">
        <f t="shared" si="0"/>
        <v>960000</v>
      </c>
      <c r="AB37" s="54">
        <v>4</v>
      </c>
      <c r="AC37" s="33">
        <f t="shared" si="1"/>
        <v>3840000</v>
      </c>
      <c r="AD37" s="104"/>
    </row>
    <row r="38" spans="1:30" x14ac:dyDescent="0.35">
      <c r="A38" s="102"/>
      <c r="B38" s="35" t="s">
        <v>42</v>
      </c>
      <c r="C38" s="33">
        <v>40000</v>
      </c>
      <c r="D38" s="33">
        <v>40000</v>
      </c>
      <c r="E38" s="33">
        <v>40000</v>
      </c>
      <c r="F38" s="33">
        <v>40000</v>
      </c>
      <c r="G38" s="33">
        <v>40000</v>
      </c>
      <c r="H38" s="33">
        <v>40000</v>
      </c>
      <c r="I38" s="33">
        <v>40000</v>
      </c>
      <c r="J38" s="33">
        <v>40000</v>
      </c>
      <c r="K38" s="33">
        <v>40000</v>
      </c>
      <c r="L38" s="33">
        <v>40000</v>
      </c>
      <c r="M38" s="33">
        <v>40000</v>
      </c>
      <c r="N38" s="33">
        <v>40000</v>
      </c>
      <c r="O38" s="33">
        <v>40000</v>
      </c>
      <c r="P38" s="33">
        <v>40000</v>
      </c>
      <c r="Q38" s="33">
        <v>40000</v>
      </c>
      <c r="R38" s="33">
        <v>40000</v>
      </c>
      <c r="S38" s="33">
        <v>40000</v>
      </c>
      <c r="T38" s="33">
        <v>40000</v>
      </c>
      <c r="U38" s="33">
        <v>40000</v>
      </c>
      <c r="V38" s="33">
        <v>40000</v>
      </c>
      <c r="W38" s="33">
        <v>40000</v>
      </c>
      <c r="X38" s="33">
        <v>40000</v>
      </c>
      <c r="Y38" s="33">
        <v>40000</v>
      </c>
      <c r="Z38" s="33">
        <v>40000</v>
      </c>
      <c r="AA38" s="33">
        <f t="shared" si="0"/>
        <v>960000</v>
      </c>
      <c r="AB38" s="54">
        <v>2</v>
      </c>
      <c r="AC38" s="33">
        <f t="shared" si="1"/>
        <v>1920000</v>
      </c>
      <c r="AD38" s="105"/>
    </row>
    <row r="39" spans="1:30" x14ac:dyDescent="0.35">
      <c r="A39" s="100">
        <v>47362</v>
      </c>
      <c r="B39" s="32" t="s">
        <v>39</v>
      </c>
      <c r="C39" s="33">
        <v>40000</v>
      </c>
      <c r="D39" s="33">
        <v>40000</v>
      </c>
      <c r="E39" s="33">
        <v>40000</v>
      </c>
      <c r="F39" s="33">
        <v>40000</v>
      </c>
      <c r="G39" s="33">
        <v>40000</v>
      </c>
      <c r="H39" s="33">
        <v>40000</v>
      </c>
      <c r="I39" s="33">
        <v>40000</v>
      </c>
      <c r="J39" s="33">
        <v>40000</v>
      </c>
      <c r="K39" s="33">
        <v>40000</v>
      </c>
      <c r="L39" s="33">
        <v>40000</v>
      </c>
      <c r="M39" s="33">
        <v>40000</v>
      </c>
      <c r="N39" s="33">
        <v>40000</v>
      </c>
      <c r="O39" s="33">
        <v>40000</v>
      </c>
      <c r="P39" s="33">
        <v>40000</v>
      </c>
      <c r="Q39" s="33">
        <v>40000</v>
      </c>
      <c r="R39" s="33">
        <v>40000</v>
      </c>
      <c r="S39" s="33">
        <v>40000</v>
      </c>
      <c r="T39" s="33">
        <v>40000</v>
      </c>
      <c r="U39" s="33">
        <v>40000</v>
      </c>
      <c r="V39" s="33">
        <v>40000</v>
      </c>
      <c r="W39" s="33">
        <v>40000</v>
      </c>
      <c r="X39" s="33">
        <v>40000</v>
      </c>
      <c r="Y39" s="33">
        <v>40000</v>
      </c>
      <c r="Z39" s="33">
        <v>40000</v>
      </c>
      <c r="AA39" s="33">
        <f t="shared" si="0"/>
        <v>960000</v>
      </c>
      <c r="AB39" s="54">
        <v>20</v>
      </c>
      <c r="AC39" s="33">
        <f t="shared" si="1"/>
        <v>19200000</v>
      </c>
      <c r="AD39" s="103">
        <f>+SUM(AC39:AC42)</f>
        <v>28800000</v>
      </c>
    </row>
    <row r="40" spans="1:30" x14ac:dyDescent="0.35">
      <c r="A40" s="101"/>
      <c r="B40" s="34" t="s">
        <v>40</v>
      </c>
      <c r="C40" s="33">
        <v>40000</v>
      </c>
      <c r="D40" s="33">
        <v>40000</v>
      </c>
      <c r="E40" s="33">
        <v>40000</v>
      </c>
      <c r="F40" s="33">
        <v>40000</v>
      </c>
      <c r="G40" s="33">
        <v>40000</v>
      </c>
      <c r="H40" s="33">
        <v>40000</v>
      </c>
      <c r="I40" s="33">
        <v>40000</v>
      </c>
      <c r="J40" s="33">
        <v>40000</v>
      </c>
      <c r="K40" s="33">
        <v>40000</v>
      </c>
      <c r="L40" s="33">
        <v>40000</v>
      </c>
      <c r="M40" s="33">
        <v>40000</v>
      </c>
      <c r="N40" s="33">
        <v>40000</v>
      </c>
      <c r="O40" s="33">
        <v>40000</v>
      </c>
      <c r="P40" s="33">
        <v>40000</v>
      </c>
      <c r="Q40" s="33">
        <v>40000</v>
      </c>
      <c r="R40" s="33">
        <v>40000</v>
      </c>
      <c r="S40" s="33">
        <v>40000</v>
      </c>
      <c r="T40" s="33">
        <v>40000</v>
      </c>
      <c r="U40" s="33">
        <v>40000</v>
      </c>
      <c r="V40" s="33">
        <v>40000</v>
      </c>
      <c r="W40" s="33">
        <v>40000</v>
      </c>
      <c r="X40" s="33">
        <v>40000</v>
      </c>
      <c r="Y40" s="33">
        <v>40000</v>
      </c>
      <c r="Z40" s="33">
        <v>40000</v>
      </c>
      <c r="AA40" s="33">
        <f t="shared" si="0"/>
        <v>960000</v>
      </c>
      <c r="AB40" s="54">
        <v>5</v>
      </c>
      <c r="AC40" s="33">
        <f t="shared" si="1"/>
        <v>4800000</v>
      </c>
      <c r="AD40" s="104"/>
    </row>
    <row r="41" spans="1:30" x14ac:dyDescent="0.35">
      <c r="A41" s="101"/>
      <c r="B41" s="34" t="s">
        <v>41</v>
      </c>
      <c r="C41" s="33">
        <v>40000</v>
      </c>
      <c r="D41" s="33">
        <v>40000</v>
      </c>
      <c r="E41" s="33">
        <v>40000</v>
      </c>
      <c r="F41" s="33">
        <v>40000</v>
      </c>
      <c r="G41" s="33">
        <v>40000</v>
      </c>
      <c r="H41" s="33">
        <v>40000</v>
      </c>
      <c r="I41" s="33">
        <v>40000</v>
      </c>
      <c r="J41" s="33">
        <v>40000</v>
      </c>
      <c r="K41" s="33">
        <v>40000</v>
      </c>
      <c r="L41" s="33">
        <v>40000</v>
      </c>
      <c r="M41" s="33">
        <v>40000</v>
      </c>
      <c r="N41" s="33">
        <v>40000</v>
      </c>
      <c r="O41" s="33">
        <v>40000</v>
      </c>
      <c r="P41" s="33">
        <v>40000</v>
      </c>
      <c r="Q41" s="33">
        <v>40000</v>
      </c>
      <c r="R41" s="33">
        <v>40000</v>
      </c>
      <c r="S41" s="33">
        <v>40000</v>
      </c>
      <c r="T41" s="33">
        <v>40000</v>
      </c>
      <c r="U41" s="33">
        <v>40000</v>
      </c>
      <c r="V41" s="33">
        <v>40000</v>
      </c>
      <c r="W41" s="33">
        <v>40000</v>
      </c>
      <c r="X41" s="33">
        <v>40000</v>
      </c>
      <c r="Y41" s="33">
        <v>40000</v>
      </c>
      <c r="Z41" s="33">
        <v>40000</v>
      </c>
      <c r="AA41" s="33">
        <f t="shared" si="0"/>
        <v>960000</v>
      </c>
      <c r="AB41" s="54">
        <v>5</v>
      </c>
      <c r="AC41" s="33">
        <f t="shared" si="1"/>
        <v>4800000</v>
      </c>
      <c r="AD41" s="104"/>
    </row>
    <row r="42" spans="1:30" x14ac:dyDescent="0.35">
      <c r="A42" s="102"/>
      <c r="B42" s="35" t="s">
        <v>42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>
        <f t="shared" si="0"/>
        <v>0</v>
      </c>
      <c r="AB42" s="54">
        <v>0</v>
      </c>
      <c r="AC42" s="33">
        <f t="shared" si="1"/>
        <v>0</v>
      </c>
      <c r="AD42" s="105"/>
    </row>
    <row r="43" spans="1:30" x14ac:dyDescent="0.35">
      <c r="A43" s="100">
        <v>47392</v>
      </c>
      <c r="B43" s="32" t="s">
        <v>39</v>
      </c>
      <c r="C43" s="33">
        <v>40000</v>
      </c>
      <c r="D43" s="33">
        <v>40000</v>
      </c>
      <c r="E43" s="33">
        <v>40000</v>
      </c>
      <c r="F43" s="33">
        <v>40000</v>
      </c>
      <c r="G43" s="33">
        <v>40000</v>
      </c>
      <c r="H43" s="33">
        <v>40000</v>
      </c>
      <c r="I43" s="33">
        <v>40000</v>
      </c>
      <c r="J43" s="33">
        <v>40000</v>
      </c>
      <c r="K43" s="33">
        <v>40000</v>
      </c>
      <c r="L43" s="33">
        <v>40000</v>
      </c>
      <c r="M43" s="33">
        <v>40000</v>
      </c>
      <c r="N43" s="33">
        <v>40000</v>
      </c>
      <c r="O43" s="33">
        <v>40000</v>
      </c>
      <c r="P43" s="33">
        <v>40000</v>
      </c>
      <c r="Q43" s="33">
        <v>40000</v>
      </c>
      <c r="R43" s="33">
        <v>40000</v>
      </c>
      <c r="S43" s="33">
        <v>40000</v>
      </c>
      <c r="T43" s="33">
        <v>40000</v>
      </c>
      <c r="U43" s="33">
        <v>40000</v>
      </c>
      <c r="V43" s="33">
        <v>40000</v>
      </c>
      <c r="W43" s="33">
        <v>40000</v>
      </c>
      <c r="X43" s="33">
        <v>40000</v>
      </c>
      <c r="Y43" s="33">
        <v>40000</v>
      </c>
      <c r="Z43" s="33">
        <v>40000</v>
      </c>
      <c r="AA43" s="33">
        <f t="shared" si="0"/>
        <v>960000</v>
      </c>
      <c r="AB43" s="54">
        <v>22</v>
      </c>
      <c r="AC43" s="33">
        <f t="shared" si="1"/>
        <v>21120000</v>
      </c>
      <c r="AD43" s="103">
        <f>+SUM(AC43:AC46)</f>
        <v>29760000</v>
      </c>
    </row>
    <row r="44" spans="1:30" x14ac:dyDescent="0.35">
      <c r="A44" s="101"/>
      <c r="B44" s="34" t="s">
        <v>40</v>
      </c>
      <c r="C44" s="33">
        <v>40000</v>
      </c>
      <c r="D44" s="33">
        <v>40000</v>
      </c>
      <c r="E44" s="33">
        <v>40000</v>
      </c>
      <c r="F44" s="33">
        <v>40000</v>
      </c>
      <c r="G44" s="33">
        <v>40000</v>
      </c>
      <c r="H44" s="33">
        <v>40000</v>
      </c>
      <c r="I44" s="33">
        <v>40000</v>
      </c>
      <c r="J44" s="33">
        <v>40000</v>
      </c>
      <c r="K44" s="33">
        <v>40000</v>
      </c>
      <c r="L44" s="33">
        <v>40000</v>
      </c>
      <c r="M44" s="33">
        <v>40000</v>
      </c>
      <c r="N44" s="33">
        <v>40000</v>
      </c>
      <c r="O44" s="33">
        <v>40000</v>
      </c>
      <c r="P44" s="33">
        <v>40000</v>
      </c>
      <c r="Q44" s="33">
        <v>40000</v>
      </c>
      <c r="R44" s="33">
        <v>40000</v>
      </c>
      <c r="S44" s="33">
        <v>40000</v>
      </c>
      <c r="T44" s="33">
        <v>40000</v>
      </c>
      <c r="U44" s="33">
        <v>40000</v>
      </c>
      <c r="V44" s="33">
        <v>40000</v>
      </c>
      <c r="W44" s="33">
        <v>40000</v>
      </c>
      <c r="X44" s="33">
        <v>40000</v>
      </c>
      <c r="Y44" s="33">
        <v>40000</v>
      </c>
      <c r="Z44" s="33">
        <v>40000</v>
      </c>
      <c r="AA44" s="33">
        <f t="shared" si="0"/>
        <v>960000</v>
      </c>
      <c r="AB44" s="54">
        <v>4</v>
      </c>
      <c r="AC44" s="33">
        <f t="shared" si="1"/>
        <v>3840000</v>
      </c>
      <c r="AD44" s="104"/>
    </row>
    <row r="45" spans="1:30" x14ac:dyDescent="0.35">
      <c r="A45" s="101"/>
      <c r="B45" s="34" t="s">
        <v>41</v>
      </c>
      <c r="C45" s="33">
        <v>40000</v>
      </c>
      <c r="D45" s="33">
        <v>40000</v>
      </c>
      <c r="E45" s="33">
        <v>40000</v>
      </c>
      <c r="F45" s="33">
        <v>40000</v>
      </c>
      <c r="G45" s="33">
        <v>40000</v>
      </c>
      <c r="H45" s="33">
        <v>40000</v>
      </c>
      <c r="I45" s="33">
        <v>40000</v>
      </c>
      <c r="J45" s="33">
        <v>40000</v>
      </c>
      <c r="K45" s="33">
        <v>40000</v>
      </c>
      <c r="L45" s="33">
        <v>40000</v>
      </c>
      <c r="M45" s="33">
        <v>40000</v>
      </c>
      <c r="N45" s="33">
        <v>40000</v>
      </c>
      <c r="O45" s="33">
        <v>40000</v>
      </c>
      <c r="P45" s="33">
        <v>40000</v>
      </c>
      <c r="Q45" s="33">
        <v>40000</v>
      </c>
      <c r="R45" s="33">
        <v>40000</v>
      </c>
      <c r="S45" s="33">
        <v>40000</v>
      </c>
      <c r="T45" s="33">
        <v>40000</v>
      </c>
      <c r="U45" s="33">
        <v>40000</v>
      </c>
      <c r="V45" s="33">
        <v>40000</v>
      </c>
      <c r="W45" s="33">
        <v>40000</v>
      </c>
      <c r="X45" s="33">
        <v>40000</v>
      </c>
      <c r="Y45" s="33">
        <v>40000</v>
      </c>
      <c r="Z45" s="33">
        <v>40000</v>
      </c>
      <c r="AA45" s="33">
        <f t="shared" si="0"/>
        <v>960000</v>
      </c>
      <c r="AB45" s="54">
        <v>4</v>
      </c>
      <c r="AC45" s="33">
        <f t="shared" si="1"/>
        <v>3840000</v>
      </c>
      <c r="AD45" s="104"/>
    </row>
    <row r="46" spans="1:30" x14ac:dyDescent="0.35">
      <c r="A46" s="102"/>
      <c r="B46" s="35" t="s">
        <v>42</v>
      </c>
      <c r="C46" s="33">
        <v>40000</v>
      </c>
      <c r="D46" s="33">
        <v>40000</v>
      </c>
      <c r="E46" s="33">
        <v>40000</v>
      </c>
      <c r="F46" s="33">
        <v>40000</v>
      </c>
      <c r="G46" s="33">
        <v>40000</v>
      </c>
      <c r="H46" s="33">
        <v>40000</v>
      </c>
      <c r="I46" s="33">
        <v>40000</v>
      </c>
      <c r="J46" s="33">
        <v>40000</v>
      </c>
      <c r="K46" s="33">
        <v>40000</v>
      </c>
      <c r="L46" s="33">
        <v>40000</v>
      </c>
      <c r="M46" s="33">
        <v>40000</v>
      </c>
      <c r="N46" s="33">
        <v>40000</v>
      </c>
      <c r="O46" s="33">
        <v>40000</v>
      </c>
      <c r="P46" s="33">
        <v>40000</v>
      </c>
      <c r="Q46" s="33">
        <v>40000</v>
      </c>
      <c r="R46" s="33">
        <v>40000</v>
      </c>
      <c r="S46" s="33">
        <v>40000</v>
      </c>
      <c r="T46" s="33">
        <v>40000</v>
      </c>
      <c r="U46" s="33">
        <v>40000</v>
      </c>
      <c r="V46" s="33">
        <v>40000</v>
      </c>
      <c r="W46" s="33">
        <v>40000</v>
      </c>
      <c r="X46" s="33">
        <v>40000</v>
      </c>
      <c r="Y46" s="33">
        <v>40000</v>
      </c>
      <c r="Z46" s="33">
        <v>40000</v>
      </c>
      <c r="AA46" s="33">
        <f t="shared" si="0"/>
        <v>960000</v>
      </c>
      <c r="AB46" s="54">
        <v>1</v>
      </c>
      <c r="AC46" s="33">
        <f t="shared" si="1"/>
        <v>960000</v>
      </c>
      <c r="AD46" s="105"/>
    </row>
    <row r="47" spans="1:30" x14ac:dyDescent="0.35">
      <c r="A47" s="94">
        <v>47423</v>
      </c>
      <c r="B47" s="36" t="s">
        <v>39</v>
      </c>
      <c r="C47" s="33">
        <v>40000</v>
      </c>
      <c r="D47" s="33">
        <v>40000</v>
      </c>
      <c r="E47" s="33">
        <v>40000</v>
      </c>
      <c r="F47" s="33">
        <v>40000</v>
      </c>
      <c r="G47" s="33">
        <v>40000</v>
      </c>
      <c r="H47" s="33">
        <v>40000</v>
      </c>
      <c r="I47" s="33">
        <v>40000</v>
      </c>
      <c r="J47" s="33">
        <v>40000</v>
      </c>
      <c r="K47" s="33">
        <v>40000</v>
      </c>
      <c r="L47" s="33">
        <v>40000</v>
      </c>
      <c r="M47" s="33">
        <v>40000</v>
      </c>
      <c r="N47" s="33">
        <v>40000</v>
      </c>
      <c r="O47" s="33">
        <v>40000</v>
      </c>
      <c r="P47" s="33">
        <v>40000</v>
      </c>
      <c r="Q47" s="33">
        <v>40000</v>
      </c>
      <c r="R47" s="33">
        <v>40000</v>
      </c>
      <c r="S47" s="33">
        <v>40000</v>
      </c>
      <c r="T47" s="33">
        <v>40000</v>
      </c>
      <c r="U47" s="33">
        <v>40000</v>
      </c>
      <c r="V47" s="33">
        <v>40000</v>
      </c>
      <c r="W47" s="33">
        <v>40000</v>
      </c>
      <c r="X47" s="33">
        <v>40000</v>
      </c>
      <c r="Y47" s="33">
        <v>40000</v>
      </c>
      <c r="Z47" s="33">
        <v>40000</v>
      </c>
      <c r="AA47" s="37">
        <f t="shared" si="0"/>
        <v>960000</v>
      </c>
      <c r="AB47" s="16">
        <v>20</v>
      </c>
      <c r="AC47" s="37">
        <f t="shared" si="1"/>
        <v>19200000</v>
      </c>
      <c r="AD47" s="97">
        <f>+SUM(AC47:AC50)</f>
        <v>28800000</v>
      </c>
    </row>
    <row r="48" spans="1:30" x14ac:dyDescent="0.35">
      <c r="A48" s="95"/>
      <c r="B48" s="38" t="s">
        <v>40</v>
      </c>
      <c r="C48" s="33">
        <v>40000</v>
      </c>
      <c r="D48" s="33">
        <v>40000</v>
      </c>
      <c r="E48" s="33">
        <v>40000</v>
      </c>
      <c r="F48" s="33">
        <v>40000</v>
      </c>
      <c r="G48" s="33">
        <v>40000</v>
      </c>
      <c r="H48" s="33">
        <v>40000</v>
      </c>
      <c r="I48" s="33">
        <v>40000</v>
      </c>
      <c r="J48" s="33">
        <v>40000</v>
      </c>
      <c r="K48" s="33">
        <v>40000</v>
      </c>
      <c r="L48" s="33">
        <v>40000</v>
      </c>
      <c r="M48" s="33">
        <v>40000</v>
      </c>
      <c r="N48" s="33">
        <v>40000</v>
      </c>
      <c r="O48" s="33">
        <v>40000</v>
      </c>
      <c r="P48" s="33">
        <v>40000</v>
      </c>
      <c r="Q48" s="33">
        <v>40000</v>
      </c>
      <c r="R48" s="33">
        <v>40000</v>
      </c>
      <c r="S48" s="33">
        <v>40000</v>
      </c>
      <c r="T48" s="33">
        <v>40000</v>
      </c>
      <c r="U48" s="33">
        <v>40000</v>
      </c>
      <c r="V48" s="33">
        <v>40000</v>
      </c>
      <c r="W48" s="33">
        <v>40000</v>
      </c>
      <c r="X48" s="33">
        <v>40000</v>
      </c>
      <c r="Y48" s="33">
        <v>40000</v>
      </c>
      <c r="Z48" s="33">
        <v>40000</v>
      </c>
      <c r="AA48" s="37">
        <f t="shared" si="0"/>
        <v>960000</v>
      </c>
      <c r="AB48" s="16">
        <v>4</v>
      </c>
      <c r="AC48" s="37">
        <f t="shared" si="1"/>
        <v>3840000</v>
      </c>
      <c r="AD48" s="98"/>
    </row>
    <row r="49" spans="1:30" x14ac:dyDescent="0.35">
      <c r="A49" s="95"/>
      <c r="B49" s="38" t="s">
        <v>41</v>
      </c>
      <c r="C49" s="33">
        <v>40000</v>
      </c>
      <c r="D49" s="33">
        <v>40000</v>
      </c>
      <c r="E49" s="33">
        <v>40000</v>
      </c>
      <c r="F49" s="33">
        <v>40000</v>
      </c>
      <c r="G49" s="33">
        <v>40000</v>
      </c>
      <c r="H49" s="33">
        <v>40000</v>
      </c>
      <c r="I49" s="33">
        <v>40000</v>
      </c>
      <c r="J49" s="33">
        <v>40000</v>
      </c>
      <c r="K49" s="33">
        <v>40000</v>
      </c>
      <c r="L49" s="33">
        <v>40000</v>
      </c>
      <c r="M49" s="33">
        <v>40000</v>
      </c>
      <c r="N49" s="33">
        <v>40000</v>
      </c>
      <c r="O49" s="33">
        <v>40000</v>
      </c>
      <c r="P49" s="33">
        <v>40000</v>
      </c>
      <c r="Q49" s="33">
        <v>40000</v>
      </c>
      <c r="R49" s="33">
        <v>40000</v>
      </c>
      <c r="S49" s="33">
        <v>40000</v>
      </c>
      <c r="T49" s="33">
        <v>40000</v>
      </c>
      <c r="U49" s="33">
        <v>40000</v>
      </c>
      <c r="V49" s="33">
        <v>40000</v>
      </c>
      <c r="W49" s="33">
        <v>40000</v>
      </c>
      <c r="X49" s="33">
        <v>40000</v>
      </c>
      <c r="Y49" s="33">
        <v>40000</v>
      </c>
      <c r="Z49" s="33">
        <v>40000</v>
      </c>
      <c r="AA49" s="37">
        <f t="shared" si="0"/>
        <v>960000</v>
      </c>
      <c r="AB49" s="16">
        <v>4</v>
      </c>
      <c r="AC49" s="37">
        <f t="shared" si="1"/>
        <v>3840000</v>
      </c>
      <c r="AD49" s="98"/>
    </row>
    <row r="50" spans="1:30" x14ac:dyDescent="0.35">
      <c r="A50" s="96"/>
      <c r="B50" s="39" t="s">
        <v>42</v>
      </c>
      <c r="C50" s="33">
        <v>40000</v>
      </c>
      <c r="D50" s="33">
        <v>40000</v>
      </c>
      <c r="E50" s="33">
        <v>40000</v>
      </c>
      <c r="F50" s="33">
        <v>40000</v>
      </c>
      <c r="G50" s="33">
        <v>40000</v>
      </c>
      <c r="H50" s="33">
        <v>40000</v>
      </c>
      <c r="I50" s="33">
        <v>40000</v>
      </c>
      <c r="J50" s="33">
        <v>40000</v>
      </c>
      <c r="K50" s="33">
        <v>40000</v>
      </c>
      <c r="L50" s="33">
        <v>40000</v>
      </c>
      <c r="M50" s="33">
        <v>40000</v>
      </c>
      <c r="N50" s="33">
        <v>40000</v>
      </c>
      <c r="O50" s="33">
        <v>40000</v>
      </c>
      <c r="P50" s="33">
        <v>40000</v>
      </c>
      <c r="Q50" s="33">
        <v>40000</v>
      </c>
      <c r="R50" s="33">
        <v>40000</v>
      </c>
      <c r="S50" s="33">
        <v>40000</v>
      </c>
      <c r="T50" s="33">
        <v>40000</v>
      </c>
      <c r="U50" s="33">
        <v>40000</v>
      </c>
      <c r="V50" s="33">
        <v>40000</v>
      </c>
      <c r="W50" s="33">
        <v>40000</v>
      </c>
      <c r="X50" s="33">
        <v>40000</v>
      </c>
      <c r="Y50" s="33">
        <v>40000</v>
      </c>
      <c r="Z50" s="33">
        <v>40000</v>
      </c>
      <c r="AA50" s="37">
        <f t="shared" si="0"/>
        <v>960000</v>
      </c>
      <c r="AB50" s="16">
        <v>2</v>
      </c>
      <c r="AC50" s="37">
        <f t="shared" si="1"/>
        <v>1920000</v>
      </c>
      <c r="AD50" s="99"/>
    </row>
    <row r="51" spans="1:30" x14ac:dyDescent="0.35">
      <c r="A51" s="94">
        <v>47453</v>
      </c>
      <c r="B51" s="36" t="s">
        <v>39</v>
      </c>
      <c r="C51" s="33">
        <v>40000</v>
      </c>
      <c r="D51" s="33">
        <v>40000</v>
      </c>
      <c r="E51" s="33">
        <v>40000</v>
      </c>
      <c r="F51" s="33">
        <v>40000</v>
      </c>
      <c r="G51" s="33">
        <v>40000</v>
      </c>
      <c r="H51" s="33">
        <v>40000</v>
      </c>
      <c r="I51" s="33">
        <v>40000</v>
      </c>
      <c r="J51" s="33">
        <v>40000</v>
      </c>
      <c r="K51" s="33">
        <v>40000</v>
      </c>
      <c r="L51" s="33">
        <v>40000</v>
      </c>
      <c r="M51" s="33">
        <v>40000</v>
      </c>
      <c r="N51" s="33">
        <v>40000</v>
      </c>
      <c r="O51" s="33">
        <v>40000</v>
      </c>
      <c r="P51" s="33">
        <v>40000</v>
      </c>
      <c r="Q51" s="33">
        <v>40000</v>
      </c>
      <c r="R51" s="33">
        <v>40000</v>
      </c>
      <c r="S51" s="33">
        <v>40000</v>
      </c>
      <c r="T51" s="33">
        <v>40000</v>
      </c>
      <c r="U51" s="33">
        <v>40000</v>
      </c>
      <c r="V51" s="33">
        <v>40000</v>
      </c>
      <c r="W51" s="33">
        <v>40000</v>
      </c>
      <c r="X51" s="33">
        <v>40000</v>
      </c>
      <c r="Y51" s="33">
        <v>40000</v>
      </c>
      <c r="Z51" s="33">
        <v>40000</v>
      </c>
      <c r="AA51" s="37">
        <f t="shared" si="0"/>
        <v>960000</v>
      </c>
      <c r="AB51" s="16">
        <v>20</v>
      </c>
      <c r="AC51" s="37">
        <f t="shared" si="1"/>
        <v>19200000</v>
      </c>
      <c r="AD51" s="97">
        <f>+SUM(AC51:AC54)</f>
        <v>29760000</v>
      </c>
    </row>
    <row r="52" spans="1:30" x14ac:dyDescent="0.35">
      <c r="A52" s="95"/>
      <c r="B52" s="38" t="s">
        <v>40</v>
      </c>
      <c r="C52" s="33">
        <v>40000</v>
      </c>
      <c r="D52" s="33">
        <v>40000</v>
      </c>
      <c r="E52" s="33">
        <v>40000</v>
      </c>
      <c r="F52" s="33">
        <v>40000</v>
      </c>
      <c r="G52" s="33">
        <v>40000</v>
      </c>
      <c r="H52" s="33">
        <v>40000</v>
      </c>
      <c r="I52" s="33">
        <v>40000</v>
      </c>
      <c r="J52" s="33">
        <v>40000</v>
      </c>
      <c r="K52" s="33">
        <v>40000</v>
      </c>
      <c r="L52" s="33">
        <v>40000</v>
      </c>
      <c r="M52" s="33">
        <v>40000</v>
      </c>
      <c r="N52" s="33">
        <v>40000</v>
      </c>
      <c r="O52" s="33">
        <v>40000</v>
      </c>
      <c r="P52" s="33">
        <v>40000</v>
      </c>
      <c r="Q52" s="33">
        <v>40000</v>
      </c>
      <c r="R52" s="33">
        <v>40000</v>
      </c>
      <c r="S52" s="33">
        <v>40000</v>
      </c>
      <c r="T52" s="33">
        <v>40000</v>
      </c>
      <c r="U52" s="33">
        <v>40000</v>
      </c>
      <c r="V52" s="33">
        <v>40000</v>
      </c>
      <c r="W52" s="33">
        <v>40000</v>
      </c>
      <c r="X52" s="33">
        <v>40000</v>
      </c>
      <c r="Y52" s="33">
        <v>40000</v>
      </c>
      <c r="Z52" s="33">
        <v>40000</v>
      </c>
      <c r="AA52" s="37">
        <f t="shared" si="0"/>
        <v>960000</v>
      </c>
      <c r="AB52" s="16">
        <v>4</v>
      </c>
      <c r="AC52" s="37">
        <f t="shared" si="1"/>
        <v>3840000</v>
      </c>
      <c r="AD52" s="98"/>
    </row>
    <row r="53" spans="1:30" x14ac:dyDescent="0.35">
      <c r="A53" s="95"/>
      <c r="B53" s="38" t="s">
        <v>41</v>
      </c>
      <c r="C53" s="33">
        <v>40000</v>
      </c>
      <c r="D53" s="33">
        <v>40000</v>
      </c>
      <c r="E53" s="33">
        <v>40000</v>
      </c>
      <c r="F53" s="33">
        <v>40000</v>
      </c>
      <c r="G53" s="33">
        <v>40000</v>
      </c>
      <c r="H53" s="33">
        <v>40000</v>
      </c>
      <c r="I53" s="33">
        <v>40000</v>
      </c>
      <c r="J53" s="33">
        <v>40000</v>
      </c>
      <c r="K53" s="33">
        <v>40000</v>
      </c>
      <c r="L53" s="33">
        <v>40000</v>
      </c>
      <c r="M53" s="33">
        <v>40000</v>
      </c>
      <c r="N53" s="33">
        <v>40000</v>
      </c>
      <c r="O53" s="33">
        <v>40000</v>
      </c>
      <c r="P53" s="33">
        <v>40000</v>
      </c>
      <c r="Q53" s="33">
        <v>40000</v>
      </c>
      <c r="R53" s="33">
        <v>40000</v>
      </c>
      <c r="S53" s="33">
        <v>40000</v>
      </c>
      <c r="T53" s="33">
        <v>40000</v>
      </c>
      <c r="U53" s="33">
        <v>40000</v>
      </c>
      <c r="V53" s="33">
        <v>40000</v>
      </c>
      <c r="W53" s="33">
        <v>40000</v>
      </c>
      <c r="X53" s="33">
        <v>40000</v>
      </c>
      <c r="Y53" s="33">
        <v>40000</v>
      </c>
      <c r="Z53" s="33">
        <v>40000</v>
      </c>
      <c r="AA53" s="37">
        <f t="shared" si="0"/>
        <v>960000</v>
      </c>
      <c r="AB53" s="16">
        <v>5</v>
      </c>
      <c r="AC53" s="37">
        <f t="shared" si="1"/>
        <v>4800000</v>
      </c>
      <c r="AD53" s="98"/>
    </row>
    <row r="54" spans="1:30" x14ac:dyDescent="0.35">
      <c r="A54" s="96"/>
      <c r="B54" s="39" t="s">
        <v>42</v>
      </c>
      <c r="C54" s="33">
        <v>40000</v>
      </c>
      <c r="D54" s="33">
        <v>40000</v>
      </c>
      <c r="E54" s="33">
        <v>40000</v>
      </c>
      <c r="F54" s="33">
        <v>40000</v>
      </c>
      <c r="G54" s="33">
        <v>40000</v>
      </c>
      <c r="H54" s="33">
        <v>40000</v>
      </c>
      <c r="I54" s="33">
        <v>40000</v>
      </c>
      <c r="J54" s="33">
        <v>40000</v>
      </c>
      <c r="K54" s="33">
        <v>40000</v>
      </c>
      <c r="L54" s="33">
        <v>40000</v>
      </c>
      <c r="M54" s="33">
        <v>40000</v>
      </c>
      <c r="N54" s="33">
        <v>40000</v>
      </c>
      <c r="O54" s="33">
        <v>40000</v>
      </c>
      <c r="P54" s="33">
        <v>40000</v>
      </c>
      <c r="Q54" s="33">
        <v>40000</v>
      </c>
      <c r="R54" s="33">
        <v>40000</v>
      </c>
      <c r="S54" s="33">
        <v>40000</v>
      </c>
      <c r="T54" s="33">
        <v>40000</v>
      </c>
      <c r="U54" s="33">
        <v>40000</v>
      </c>
      <c r="V54" s="33">
        <v>40000</v>
      </c>
      <c r="W54" s="33">
        <v>40000</v>
      </c>
      <c r="X54" s="33">
        <v>40000</v>
      </c>
      <c r="Y54" s="33">
        <v>40000</v>
      </c>
      <c r="Z54" s="33">
        <v>40000</v>
      </c>
      <c r="AA54" s="37">
        <f t="shared" si="0"/>
        <v>960000</v>
      </c>
      <c r="AB54" s="16">
        <v>2</v>
      </c>
      <c r="AC54" s="37">
        <f t="shared" si="1"/>
        <v>1920000</v>
      </c>
      <c r="AD54" s="99"/>
    </row>
    <row r="55" spans="1:3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C55" s="2"/>
      <c r="AD55" s="40">
        <f>+SUM(AD7:AD54)</f>
        <v>350400000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D8A4-2429-49D4-BD19-1DEF9CA922F7}">
  <sheetPr>
    <tabColor rgb="FF00B0F0"/>
  </sheetPr>
  <dimension ref="C1:I22"/>
  <sheetViews>
    <sheetView showGridLines="0" topLeftCell="A5" workbookViewId="0">
      <selection activeCell="D20" sqref="D20:D2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6" t="s">
        <v>43</v>
      </c>
      <c r="D1" s="76"/>
      <c r="E1" s="76"/>
      <c r="F1" s="76"/>
      <c r="G1" s="76"/>
    </row>
    <row r="2" spans="3:7" x14ac:dyDescent="0.35">
      <c r="C2" s="76"/>
      <c r="D2" s="76"/>
      <c r="E2" s="76"/>
      <c r="F2" s="76"/>
      <c r="G2" s="76"/>
    </row>
    <row r="3" spans="3:7" ht="15" thickBot="1" x14ac:dyDescent="0.4"/>
    <row r="4" spans="3:7" ht="15" thickBot="1" x14ac:dyDescent="0.4">
      <c r="C4" s="91" t="s">
        <v>7</v>
      </c>
      <c r="D4" s="92"/>
      <c r="E4" s="92"/>
      <c r="F4" s="92"/>
      <c r="G4" s="93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6" t="s">
        <v>6</v>
      </c>
      <c r="G5" s="56" t="s">
        <v>2</v>
      </c>
    </row>
    <row r="6" spans="3:7" x14ac:dyDescent="0.35">
      <c r="C6" s="3">
        <v>47484</v>
      </c>
      <c r="D6" s="4">
        <f>+VLOOKUP(C6,'CURVA P5'!$A$4:$AD$55,30,FALSE)</f>
        <v>37801115</v>
      </c>
      <c r="E6" s="70" t="s">
        <v>1</v>
      </c>
      <c r="F6" s="1"/>
      <c r="G6" s="73" t="s">
        <v>3</v>
      </c>
    </row>
    <row r="7" spans="3:7" x14ac:dyDescent="0.35">
      <c r="C7" s="3">
        <v>47515</v>
      </c>
      <c r="D7" s="4">
        <f>+VLOOKUP(C7,'CURVA P5'!$A$4:$AD$55,30,FALSE)</f>
        <v>40201720</v>
      </c>
      <c r="E7" s="71"/>
      <c r="F7" s="1"/>
      <c r="G7" s="74"/>
    </row>
    <row r="8" spans="3:7" x14ac:dyDescent="0.35">
      <c r="C8" s="3">
        <v>47543</v>
      </c>
      <c r="D8" s="4">
        <f>+VLOOKUP(C8,'CURVA P5'!$A$4:$AD$55,30,FALSE)</f>
        <v>37671129</v>
      </c>
      <c r="E8" s="71"/>
      <c r="F8" s="1"/>
      <c r="G8" s="74"/>
    </row>
    <row r="9" spans="3:7" x14ac:dyDescent="0.35">
      <c r="C9" s="3">
        <v>47574</v>
      </c>
      <c r="D9" s="4">
        <f>+VLOOKUP(C9,'CURVA P5'!$A$4:$AD$55,30,FALSE)</f>
        <v>39822834</v>
      </c>
      <c r="E9" s="71"/>
      <c r="F9" s="1"/>
      <c r="G9" s="74"/>
    </row>
    <row r="10" spans="3:7" x14ac:dyDescent="0.35">
      <c r="C10" s="3">
        <v>47604</v>
      </c>
      <c r="D10" s="4">
        <f>+VLOOKUP(C10,'CURVA P5'!$A$4:$AD$55,30,FALSE)</f>
        <v>40153503</v>
      </c>
      <c r="E10" s="71"/>
      <c r="F10" s="1"/>
      <c r="G10" s="74"/>
    </row>
    <row r="11" spans="3:7" x14ac:dyDescent="0.35">
      <c r="C11" s="3">
        <v>47635</v>
      </c>
      <c r="D11" s="4">
        <f>+VLOOKUP(C11,'CURVA P5'!$A$4:$AD$55,30,FALSE)</f>
        <v>41422709</v>
      </c>
      <c r="E11" s="71"/>
      <c r="F11" s="1"/>
      <c r="G11" s="74"/>
    </row>
    <row r="12" spans="3:7" x14ac:dyDescent="0.35">
      <c r="C12" s="3">
        <v>47665</v>
      </c>
      <c r="D12" s="4">
        <f>+VLOOKUP(C12,'CURVA P5'!$A$4:$AD$55,30,FALSE)</f>
        <v>39630474</v>
      </c>
      <c r="E12" s="71"/>
      <c r="F12" s="1"/>
      <c r="G12" s="74"/>
    </row>
    <row r="13" spans="3:7" x14ac:dyDescent="0.35">
      <c r="C13" s="3">
        <v>47696</v>
      </c>
      <c r="D13" s="4">
        <f>+VLOOKUP(C13,'CURVA P5'!$A$4:$AD$55,30,FALSE)</f>
        <v>41298231</v>
      </c>
      <c r="E13" s="71"/>
      <c r="F13" s="1"/>
      <c r="G13" s="74"/>
    </row>
    <row r="14" spans="3:7" x14ac:dyDescent="0.35">
      <c r="C14" s="3">
        <v>47727</v>
      </c>
      <c r="D14" s="4">
        <f>+VLOOKUP(C14,'CURVA P5'!$A$4:$AD$55,30,FALSE)</f>
        <v>42906975</v>
      </c>
      <c r="E14" s="71"/>
      <c r="F14" s="1"/>
      <c r="G14" s="74"/>
    </row>
    <row r="15" spans="3:7" x14ac:dyDescent="0.35">
      <c r="C15" s="3">
        <v>47757</v>
      </c>
      <c r="D15" s="4">
        <f>+VLOOKUP(C15,'CURVA P5'!$A$4:$AD$55,30,FALSE)</f>
        <v>42170711</v>
      </c>
      <c r="E15" s="71"/>
      <c r="F15" s="1"/>
      <c r="G15" s="74"/>
    </row>
    <row r="16" spans="3:7" x14ac:dyDescent="0.35">
      <c r="C16" s="3">
        <v>47788</v>
      </c>
      <c r="D16" s="4">
        <f>+VLOOKUP(C16,'CURVA P5'!$A$4:$AD$55,30,FALSE)</f>
        <v>41700050</v>
      </c>
      <c r="E16" s="71"/>
      <c r="F16" s="1"/>
      <c r="G16" s="74"/>
    </row>
    <row r="17" spans="3:9" ht="15" thickBot="1" x14ac:dyDescent="0.4">
      <c r="C17" s="3">
        <v>47818</v>
      </c>
      <c r="D17" s="6">
        <f>+VLOOKUP(C17,'CURVA P5'!$A$4:$AD$55,30,FALSE)</f>
        <v>40248710</v>
      </c>
      <c r="E17" s="72"/>
      <c r="F17" s="7"/>
      <c r="G17" s="75"/>
    </row>
    <row r="18" spans="3:9" ht="15" thickBot="1" x14ac:dyDescent="0.4">
      <c r="D18" s="26">
        <f>SUM(D6:D17)</f>
        <v>485028161</v>
      </c>
    </row>
    <row r="19" spans="3:9" x14ac:dyDescent="0.35">
      <c r="D19" s="21"/>
      <c r="I19" s="22"/>
    </row>
    <row r="20" spans="3:9" x14ac:dyDescent="0.35">
      <c r="D20" s="65"/>
      <c r="I20" s="22"/>
    </row>
    <row r="21" spans="3:9" x14ac:dyDescent="0.35">
      <c r="D21" s="66"/>
      <c r="I21" s="22"/>
    </row>
    <row r="22" spans="3:9" x14ac:dyDescent="0.35"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6D3A-089F-40BD-BC5D-FFFCE5F4684F}">
  <dimension ref="A1:AD58"/>
  <sheetViews>
    <sheetView showGridLines="0" topLeftCell="O41" zoomScaleNormal="100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06" t="s">
        <v>8</v>
      </c>
      <c r="B1" s="106"/>
      <c r="C1" s="106"/>
      <c r="D1" s="106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107" t="s">
        <v>43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85" t="s">
        <v>9</v>
      </c>
      <c r="B4" s="85"/>
      <c r="C4" s="86">
        <f>+AD55</f>
        <v>485028161</v>
      </c>
      <c r="D4" s="8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53"/>
      <c r="B6" s="57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1:30" x14ac:dyDescent="0.35">
      <c r="A7" s="114">
        <v>47484</v>
      </c>
      <c r="B7" s="58" t="s">
        <v>39</v>
      </c>
      <c r="C7" s="59">
        <v>53874</v>
      </c>
      <c r="D7" s="59">
        <v>50632</v>
      </c>
      <c r="E7" s="59">
        <v>48043</v>
      </c>
      <c r="F7" s="59">
        <v>46154</v>
      </c>
      <c r="G7" s="59">
        <v>45579</v>
      </c>
      <c r="H7" s="59">
        <v>46787</v>
      </c>
      <c r="I7" s="59">
        <v>47440</v>
      </c>
      <c r="J7" s="59">
        <v>39789</v>
      </c>
      <c r="K7" s="59">
        <v>34905</v>
      </c>
      <c r="L7" s="59">
        <v>34079</v>
      </c>
      <c r="M7" s="59">
        <v>34919</v>
      </c>
      <c r="N7" s="59">
        <v>34187</v>
      </c>
      <c r="O7" s="59">
        <v>31447</v>
      </c>
      <c r="P7" s="59">
        <v>41402</v>
      </c>
      <c r="Q7" s="59">
        <v>56459</v>
      </c>
      <c r="R7" s="59">
        <v>66591</v>
      </c>
      <c r="S7" s="59">
        <v>70258</v>
      </c>
      <c r="T7" s="59">
        <v>73680</v>
      </c>
      <c r="U7" s="59">
        <v>76876</v>
      </c>
      <c r="V7" s="59">
        <v>75760</v>
      </c>
      <c r="W7" s="59">
        <v>74243</v>
      </c>
      <c r="X7" s="59">
        <v>71827</v>
      </c>
      <c r="Y7" s="59">
        <v>67032</v>
      </c>
      <c r="Z7" s="59">
        <v>60696</v>
      </c>
      <c r="AA7" s="59">
        <f>SUM(C7:Z7)</f>
        <v>1282659</v>
      </c>
      <c r="AB7" s="54">
        <v>21</v>
      </c>
      <c r="AC7" s="59">
        <f>+AA7*AB7</f>
        <v>26935839</v>
      </c>
      <c r="AD7" s="117">
        <f>+SUM(AC7:AC10)</f>
        <v>37801115</v>
      </c>
    </row>
    <row r="8" spans="1:30" x14ac:dyDescent="0.35">
      <c r="A8" s="115"/>
      <c r="B8" s="60" t="s">
        <v>40</v>
      </c>
      <c r="C8" s="59">
        <v>55668</v>
      </c>
      <c r="D8" s="59">
        <v>52092</v>
      </c>
      <c r="E8" s="59">
        <v>49212</v>
      </c>
      <c r="F8" s="59">
        <v>47079</v>
      </c>
      <c r="G8" s="59">
        <v>46242</v>
      </c>
      <c r="H8" s="59">
        <v>46662</v>
      </c>
      <c r="I8" s="59">
        <v>46557</v>
      </c>
      <c r="J8" s="59">
        <v>37992</v>
      </c>
      <c r="K8" s="59">
        <v>33103</v>
      </c>
      <c r="L8" s="59">
        <v>32165</v>
      </c>
      <c r="M8" s="59">
        <v>32366</v>
      </c>
      <c r="N8" s="59">
        <v>31112</v>
      </c>
      <c r="O8" s="59">
        <v>30155</v>
      </c>
      <c r="P8" s="59">
        <v>36080</v>
      </c>
      <c r="Q8" s="59">
        <v>46942</v>
      </c>
      <c r="R8" s="59">
        <v>56088</v>
      </c>
      <c r="S8" s="59">
        <v>59786</v>
      </c>
      <c r="T8" s="59">
        <v>66538</v>
      </c>
      <c r="U8" s="59">
        <v>73163</v>
      </c>
      <c r="V8" s="59">
        <v>72788</v>
      </c>
      <c r="W8" s="59">
        <v>70414</v>
      </c>
      <c r="X8" s="59">
        <v>67995</v>
      </c>
      <c r="Y8" s="59">
        <v>64650</v>
      </c>
      <c r="Z8" s="59">
        <v>60133</v>
      </c>
      <c r="AA8" s="59">
        <f t="shared" ref="AA8:AA54" si="0">SUM(C8:Z8)</f>
        <v>1214982</v>
      </c>
      <c r="AB8" s="54">
        <v>4</v>
      </c>
      <c r="AC8" s="59">
        <f t="shared" ref="AC8:AC54" si="1">+AA8*AB8</f>
        <v>4859928</v>
      </c>
      <c r="AD8" s="118"/>
    </row>
    <row r="9" spans="1:30" x14ac:dyDescent="0.35">
      <c r="A9" s="115"/>
      <c r="B9" s="60" t="s">
        <v>41</v>
      </c>
      <c r="C9" s="59">
        <v>54856</v>
      </c>
      <c r="D9" s="59">
        <v>51506</v>
      </c>
      <c r="E9" s="59">
        <v>48702</v>
      </c>
      <c r="F9" s="59">
        <v>46488</v>
      </c>
      <c r="G9" s="59">
        <v>45231</v>
      </c>
      <c r="H9" s="59">
        <v>44637</v>
      </c>
      <c r="I9" s="59">
        <v>43263</v>
      </c>
      <c r="J9" s="59">
        <v>30616</v>
      </c>
      <c r="K9" s="59">
        <v>21629</v>
      </c>
      <c r="L9" s="59">
        <v>19019</v>
      </c>
      <c r="M9" s="59">
        <v>17439</v>
      </c>
      <c r="N9" s="59">
        <v>16045</v>
      </c>
      <c r="O9" s="59">
        <v>18364</v>
      </c>
      <c r="P9" s="59">
        <v>23728</v>
      </c>
      <c r="Q9" s="59">
        <v>33336</v>
      </c>
      <c r="R9" s="59">
        <v>43190</v>
      </c>
      <c r="S9" s="59">
        <v>48410</v>
      </c>
      <c r="T9" s="59">
        <v>57260</v>
      </c>
      <c r="U9" s="59">
        <v>65201</v>
      </c>
      <c r="V9" s="59">
        <v>67399</v>
      </c>
      <c r="W9" s="59">
        <v>67060</v>
      </c>
      <c r="X9" s="59">
        <v>65848</v>
      </c>
      <c r="Y9" s="59">
        <v>62126</v>
      </c>
      <c r="Z9" s="59">
        <v>56929</v>
      </c>
      <c r="AA9" s="59">
        <f t="shared" si="0"/>
        <v>1048282</v>
      </c>
      <c r="AB9" s="54">
        <v>4</v>
      </c>
      <c r="AC9" s="59">
        <f t="shared" si="1"/>
        <v>4193128</v>
      </c>
      <c r="AD9" s="118"/>
    </row>
    <row r="10" spans="1:30" x14ac:dyDescent="0.35">
      <c r="A10" s="116"/>
      <c r="B10" s="61" t="s">
        <v>42</v>
      </c>
      <c r="C10" s="59">
        <v>45625</v>
      </c>
      <c r="D10" s="59">
        <v>43992</v>
      </c>
      <c r="E10" s="59">
        <v>42552</v>
      </c>
      <c r="F10" s="59">
        <v>41087</v>
      </c>
      <c r="G10" s="59">
        <v>40331</v>
      </c>
      <c r="H10" s="59">
        <v>39686</v>
      </c>
      <c r="I10" s="59">
        <v>37643</v>
      </c>
      <c r="J10" s="59">
        <v>24383</v>
      </c>
      <c r="K10" s="59">
        <v>14909</v>
      </c>
      <c r="L10" s="59">
        <v>12283</v>
      </c>
      <c r="M10" s="59">
        <v>11310</v>
      </c>
      <c r="N10" s="59">
        <v>9913</v>
      </c>
      <c r="O10" s="59">
        <v>12357</v>
      </c>
      <c r="P10" s="59">
        <v>18098</v>
      </c>
      <c r="Q10" s="59">
        <v>27483</v>
      </c>
      <c r="R10" s="59">
        <v>37020</v>
      </c>
      <c r="S10" s="59">
        <v>41725</v>
      </c>
      <c r="T10" s="59">
        <v>52397</v>
      </c>
      <c r="U10" s="59">
        <v>60933</v>
      </c>
      <c r="V10" s="59">
        <v>62498</v>
      </c>
      <c r="W10" s="59">
        <v>61606</v>
      </c>
      <c r="X10" s="59">
        <v>59752</v>
      </c>
      <c r="Y10" s="59">
        <v>56399</v>
      </c>
      <c r="Z10" s="59">
        <v>52128</v>
      </c>
      <c r="AA10" s="59">
        <f t="shared" si="0"/>
        <v>906110</v>
      </c>
      <c r="AB10" s="54">
        <v>2</v>
      </c>
      <c r="AC10" s="59">
        <f t="shared" si="1"/>
        <v>1812220</v>
      </c>
      <c r="AD10" s="119"/>
    </row>
    <row r="11" spans="1:30" x14ac:dyDescent="0.35">
      <c r="A11" s="114">
        <v>47515</v>
      </c>
      <c r="B11" s="58" t="s">
        <v>39</v>
      </c>
      <c r="C11" s="59">
        <v>61298</v>
      </c>
      <c r="D11" s="59">
        <v>57357</v>
      </c>
      <c r="E11" s="59">
        <v>54593</v>
      </c>
      <c r="F11" s="59">
        <v>52734</v>
      </c>
      <c r="G11" s="59">
        <v>52678</v>
      </c>
      <c r="H11" s="59">
        <v>55952</v>
      </c>
      <c r="I11" s="59">
        <v>57740</v>
      </c>
      <c r="J11" s="59">
        <v>50741</v>
      </c>
      <c r="K11" s="59">
        <v>45012</v>
      </c>
      <c r="L11" s="59">
        <v>43881</v>
      </c>
      <c r="M11" s="59">
        <v>44793</v>
      </c>
      <c r="N11" s="59">
        <v>42539</v>
      </c>
      <c r="O11" s="59">
        <v>37294</v>
      </c>
      <c r="P11" s="59">
        <v>50062</v>
      </c>
      <c r="Q11" s="59">
        <v>67176</v>
      </c>
      <c r="R11" s="59">
        <v>78224</v>
      </c>
      <c r="S11" s="59">
        <v>81919</v>
      </c>
      <c r="T11" s="59">
        <v>83132</v>
      </c>
      <c r="U11" s="59">
        <v>84826</v>
      </c>
      <c r="V11" s="59">
        <v>84696</v>
      </c>
      <c r="W11" s="59">
        <v>83332</v>
      </c>
      <c r="X11" s="59">
        <v>80489</v>
      </c>
      <c r="Y11" s="59">
        <v>74407</v>
      </c>
      <c r="Z11" s="59">
        <v>66922</v>
      </c>
      <c r="AA11" s="59">
        <f t="shared" si="0"/>
        <v>1491797</v>
      </c>
      <c r="AB11" s="54">
        <v>20</v>
      </c>
      <c r="AC11" s="59">
        <f t="shared" si="1"/>
        <v>29835940</v>
      </c>
      <c r="AD11" s="117">
        <f>+SUM(AC11:AC14)</f>
        <v>40201720</v>
      </c>
    </row>
    <row r="12" spans="1:30" x14ac:dyDescent="0.35">
      <c r="A12" s="115"/>
      <c r="B12" s="60" t="s">
        <v>40</v>
      </c>
      <c r="C12" s="59">
        <v>59687</v>
      </c>
      <c r="D12" s="59">
        <v>55863</v>
      </c>
      <c r="E12" s="59">
        <v>53171</v>
      </c>
      <c r="F12" s="59">
        <v>51295</v>
      </c>
      <c r="G12" s="59">
        <v>50669</v>
      </c>
      <c r="H12" s="59">
        <v>51725</v>
      </c>
      <c r="I12" s="59">
        <v>53120</v>
      </c>
      <c r="J12" s="59">
        <v>46275</v>
      </c>
      <c r="K12" s="59">
        <v>41674</v>
      </c>
      <c r="L12" s="59">
        <v>40748</v>
      </c>
      <c r="M12" s="59">
        <v>40918</v>
      </c>
      <c r="N12" s="59">
        <v>39063</v>
      </c>
      <c r="O12" s="59">
        <v>36591</v>
      </c>
      <c r="P12" s="59">
        <v>42307</v>
      </c>
      <c r="Q12" s="59">
        <v>54109</v>
      </c>
      <c r="R12" s="59">
        <v>63941</v>
      </c>
      <c r="S12" s="59">
        <v>67723</v>
      </c>
      <c r="T12" s="59">
        <v>72958</v>
      </c>
      <c r="U12" s="59">
        <v>78850</v>
      </c>
      <c r="V12" s="59">
        <v>79512</v>
      </c>
      <c r="W12" s="59">
        <v>77019</v>
      </c>
      <c r="X12" s="59">
        <v>74327</v>
      </c>
      <c r="Y12" s="59">
        <v>70853</v>
      </c>
      <c r="Z12" s="59">
        <v>65934</v>
      </c>
      <c r="AA12" s="59">
        <f t="shared" si="0"/>
        <v>1368332</v>
      </c>
      <c r="AB12" s="54">
        <v>4</v>
      </c>
      <c r="AC12" s="59">
        <f t="shared" si="1"/>
        <v>5473328</v>
      </c>
      <c r="AD12" s="118"/>
    </row>
    <row r="13" spans="1:30" x14ac:dyDescent="0.35">
      <c r="A13" s="115"/>
      <c r="B13" s="60" t="s">
        <v>41</v>
      </c>
      <c r="C13" s="59">
        <v>61088</v>
      </c>
      <c r="D13" s="59">
        <v>57050</v>
      </c>
      <c r="E13" s="59">
        <v>54253</v>
      </c>
      <c r="F13" s="59">
        <v>52023</v>
      </c>
      <c r="G13" s="59">
        <v>50768</v>
      </c>
      <c r="H13" s="59">
        <v>50419</v>
      </c>
      <c r="I13" s="59">
        <v>49646</v>
      </c>
      <c r="J13" s="59">
        <v>37708</v>
      </c>
      <c r="K13" s="59">
        <v>28014</v>
      </c>
      <c r="L13" s="59">
        <v>25537</v>
      </c>
      <c r="M13" s="59">
        <v>24197</v>
      </c>
      <c r="N13" s="59">
        <v>22913</v>
      </c>
      <c r="O13" s="59">
        <v>25337</v>
      </c>
      <c r="P13" s="59">
        <v>30755</v>
      </c>
      <c r="Q13" s="59">
        <v>41285</v>
      </c>
      <c r="R13" s="59">
        <v>52108</v>
      </c>
      <c r="S13" s="59">
        <v>57861</v>
      </c>
      <c r="T13" s="59">
        <v>65135</v>
      </c>
      <c r="U13" s="59">
        <v>72417</v>
      </c>
      <c r="V13" s="59">
        <v>76198</v>
      </c>
      <c r="W13" s="59">
        <v>76628</v>
      </c>
      <c r="X13" s="59">
        <v>75863</v>
      </c>
      <c r="Y13" s="59">
        <v>71181</v>
      </c>
      <c r="Z13" s="59">
        <v>64729</v>
      </c>
      <c r="AA13" s="59">
        <f t="shared" si="0"/>
        <v>1223113</v>
      </c>
      <c r="AB13" s="54">
        <v>4</v>
      </c>
      <c r="AC13" s="59">
        <f t="shared" si="1"/>
        <v>4892452</v>
      </c>
      <c r="AD13" s="118"/>
    </row>
    <row r="14" spans="1:30" x14ac:dyDescent="0.35">
      <c r="A14" s="116"/>
      <c r="B14" s="61" t="s">
        <v>42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f t="shared" si="0"/>
        <v>0</v>
      </c>
      <c r="AB14" s="54">
        <v>0</v>
      </c>
      <c r="AC14" s="59">
        <f t="shared" si="1"/>
        <v>0</v>
      </c>
      <c r="AD14" s="119"/>
    </row>
    <row r="15" spans="1:30" x14ac:dyDescent="0.35">
      <c r="A15" s="114">
        <v>47543</v>
      </c>
      <c r="B15" s="58" t="s">
        <v>39</v>
      </c>
      <c r="C15" s="59">
        <v>53714</v>
      </c>
      <c r="D15" s="59">
        <v>50048</v>
      </c>
      <c r="E15" s="59">
        <v>47524</v>
      </c>
      <c r="F15" s="59">
        <v>45714</v>
      </c>
      <c r="G15" s="59">
        <v>45555</v>
      </c>
      <c r="H15" s="59">
        <v>47782</v>
      </c>
      <c r="I15" s="59">
        <v>48333</v>
      </c>
      <c r="J15" s="59">
        <v>40999</v>
      </c>
      <c r="K15" s="59">
        <v>35503</v>
      </c>
      <c r="L15" s="59">
        <v>33944</v>
      </c>
      <c r="M15" s="59">
        <v>34355</v>
      </c>
      <c r="N15" s="59">
        <v>32495</v>
      </c>
      <c r="O15" s="59">
        <v>28445</v>
      </c>
      <c r="P15" s="59">
        <v>40052</v>
      </c>
      <c r="Q15" s="59">
        <v>55750</v>
      </c>
      <c r="R15" s="59">
        <v>65865</v>
      </c>
      <c r="S15" s="59">
        <v>69780</v>
      </c>
      <c r="T15" s="59">
        <v>72411</v>
      </c>
      <c r="U15" s="59">
        <v>74597</v>
      </c>
      <c r="V15" s="59">
        <v>74458</v>
      </c>
      <c r="W15" s="59">
        <v>73341</v>
      </c>
      <c r="X15" s="59">
        <v>71017</v>
      </c>
      <c r="Y15" s="59">
        <v>65998</v>
      </c>
      <c r="Z15" s="59">
        <v>59482</v>
      </c>
      <c r="AA15" s="59">
        <f t="shared" si="0"/>
        <v>1267162</v>
      </c>
      <c r="AB15" s="54">
        <v>20</v>
      </c>
      <c r="AC15" s="59">
        <f t="shared" si="1"/>
        <v>25343240</v>
      </c>
      <c r="AD15" s="117">
        <f>+SUM(AC15:AC18)</f>
        <v>37671129</v>
      </c>
    </row>
    <row r="16" spans="1:30" x14ac:dyDescent="0.35">
      <c r="A16" s="115"/>
      <c r="B16" s="60" t="s">
        <v>40</v>
      </c>
      <c r="C16" s="59">
        <v>55433</v>
      </c>
      <c r="D16" s="59">
        <v>51588</v>
      </c>
      <c r="E16" s="59">
        <v>48886</v>
      </c>
      <c r="F16" s="59">
        <v>46725</v>
      </c>
      <c r="G16" s="59">
        <v>45801</v>
      </c>
      <c r="H16" s="59">
        <v>46054</v>
      </c>
      <c r="I16" s="59">
        <v>46560</v>
      </c>
      <c r="J16" s="59">
        <v>39557</v>
      </c>
      <c r="K16" s="59">
        <v>34516</v>
      </c>
      <c r="L16" s="59">
        <v>33080</v>
      </c>
      <c r="M16" s="59">
        <v>33138</v>
      </c>
      <c r="N16" s="59">
        <v>30983</v>
      </c>
      <c r="O16" s="59">
        <v>28838</v>
      </c>
      <c r="P16" s="59">
        <v>34484</v>
      </c>
      <c r="Q16" s="59">
        <v>45427</v>
      </c>
      <c r="R16" s="59">
        <v>54772</v>
      </c>
      <c r="S16" s="59">
        <v>58773</v>
      </c>
      <c r="T16" s="59">
        <v>65049</v>
      </c>
      <c r="U16" s="59">
        <v>70739</v>
      </c>
      <c r="V16" s="59">
        <v>71182</v>
      </c>
      <c r="W16" s="59">
        <v>69183</v>
      </c>
      <c r="X16" s="59">
        <v>67110</v>
      </c>
      <c r="Y16" s="59">
        <v>64330</v>
      </c>
      <c r="Z16" s="59">
        <v>60237</v>
      </c>
      <c r="AA16" s="59">
        <f t="shared" si="0"/>
        <v>1202445</v>
      </c>
      <c r="AB16" s="54">
        <v>5</v>
      </c>
      <c r="AC16" s="59">
        <f t="shared" si="1"/>
        <v>6012225</v>
      </c>
      <c r="AD16" s="118"/>
    </row>
    <row r="17" spans="1:30" x14ac:dyDescent="0.35">
      <c r="A17" s="115"/>
      <c r="B17" s="60" t="s">
        <v>41</v>
      </c>
      <c r="C17" s="59">
        <v>55709</v>
      </c>
      <c r="D17" s="59">
        <v>51989</v>
      </c>
      <c r="E17" s="59">
        <v>49363</v>
      </c>
      <c r="F17" s="59">
        <v>47229</v>
      </c>
      <c r="G17" s="59">
        <v>45967</v>
      </c>
      <c r="H17" s="59">
        <v>45210</v>
      </c>
      <c r="I17" s="59">
        <v>43686</v>
      </c>
      <c r="J17" s="59">
        <v>31442</v>
      </c>
      <c r="K17" s="59">
        <v>22223</v>
      </c>
      <c r="L17" s="59">
        <v>19068</v>
      </c>
      <c r="M17" s="59">
        <v>16987</v>
      </c>
      <c r="N17" s="59">
        <v>15864</v>
      </c>
      <c r="O17" s="59">
        <v>18277</v>
      </c>
      <c r="P17" s="59">
        <v>23724</v>
      </c>
      <c r="Q17" s="59">
        <v>33837</v>
      </c>
      <c r="R17" s="59">
        <v>43792</v>
      </c>
      <c r="S17" s="59">
        <v>49208</v>
      </c>
      <c r="T17" s="59">
        <v>57441</v>
      </c>
      <c r="U17" s="59">
        <v>64325</v>
      </c>
      <c r="V17" s="59">
        <v>67731</v>
      </c>
      <c r="W17" s="59">
        <v>68337</v>
      </c>
      <c r="X17" s="59">
        <v>67802</v>
      </c>
      <c r="Y17" s="59">
        <v>63740</v>
      </c>
      <c r="Z17" s="59">
        <v>58173</v>
      </c>
      <c r="AA17" s="59">
        <f t="shared" si="0"/>
        <v>1061124</v>
      </c>
      <c r="AB17" s="54">
        <v>5</v>
      </c>
      <c r="AC17" s="59">
        <f t="shared" si="1"/>
        <v>5305620</v>
      </c>
      <c r="AD17" s="118"/>
    </row>
    <row r="18" spans="1:30" x14ac:dyDescent="0.35">
      <c r="A18" s="116"/>
      <c r="B18" s="61" t="s">
        <v>42</v>
      </c>
      <c r="C18" s="59">
        <v>48489</v>
      </c>
      <c r="D18" s="59">
        <v>44711</v>
      </c>
      <c r="E18" s="59">
        <v>42279</v>
      </c>
      <c r="F18" s="59">
        <v>40626</v>
      </c>
      <c r="G18" s="59">
        <v>39799</v>
      </c>
      <c r="H18" s="59">
        <v>39615</v>
      </c>
      <c r="I18" s="59">
        <v>39358</v>
      </c>
      <c r="J18" s="59">
        <v>29487</v>
      </c>
      <c r="K18" s="59">
        <v>21827</v>
      </c>
      <c r="L18" s="59">
        <v>20207</v>
      </c>
      <c r="M18" s="59">
        <v>20107</v>
      </c>
      <c r="N18" s="59">
        <v>19005</v>
      </c>
      <c r="O18" s="59">
        <v>19292</v>
      </c>
      <c r="P18" s="59">
        <v>25583</v>
      </c>
      <c r="Q18" s="59">
        <v>35193</v>
      </c>
      <c r="R18" s="59">
        <v>44083</v>
      </c>
      <c r="S18" s="59">
        <v>48303</v>
      </c>
      <c r="T18" s="59">
        <v>56107</v>
      </c>
      <c r="U18" s="59">
        <v>63784</v>
      </c>
      <c r="V18" s="59">
        <v>67134</v>
      </c>
      <c r="W18" s="59">
        <v>67053</v>
      </c>
      <c r="X18" s="59">
        <v>65071</v>
      </c>
      <c r="Y18" s="59">
        <v>59468</v>
      </c>
      <c r="Z18" s="59">
        <v>53463</v>
      </c>
      <c r="AA18" s="59">
        <f t="shared" si="0"/>
        <v>1010044</v>
      </c>
      <c r="AB18" s="54">
        <v>1</v>
      </c>
      <c r="AC18" s="59">
        <f t="shared" si="1"/>
        <v>1010044</v>
      </c>
      <c r="AD18" s="119"/>
    </row>
    <row r="19" spans="1:30" x14ac:dyDescent="0.35">
      <c r="A19" s="114">
        <v>47574</v>
      </c>
      <c r="B19" s="58" t="s">
        <v>39</v>
      </c>
      <c r="C19" s="59">
        <v>57942</v>
      </c>
      <c r="D19" s="59">
        <v>54007</v>
      </c>
      <c r="E19" s="59">
        <v>51317</v>
      </c>
      <c r="F19" s="59">
        <v>49440</v>
      </c>
      <c r="G19" s="59">
        <v>49244</v>
      </c>
      <c r="H19" s="59">
        <v>50224</v>
      </c>
      <c r="I19" s="59">
        <v>51405</v>
      </c>
      <c r="J19" s="59">
        <v>45459</v>
      </c>
      <c r="K19" s="59">
        <v>41135</v>
      </c>
      <c r="L19" s="59">
        <v>40381</v>
      </c>
      <c r="M19" s="59">
        <v>41577</v>
      </c>
      <c r="N19" s="59">
        <v>40219</v>
      </c>
      <c r="O19" s="59">
        <v>35423</v>
      </c>
      <c r="P19" s="59">
        <v>47534</v>
      </c>
      <c r="Q19" s="59">
        <v>64231</v>
      </c>
      <c r="R19" s="59">
        <v>74248</v>
      </c>
      <c r="S19" s="59">
        <v>77474</v>
      </c>
      <c r="T19" s="59">
        <v>79341</v>
      </c>
      <c r="U19" s="59">
        <v>81053</v>
      </c>
      <c r="V19" s="59">
        <v>80572</v>
      </c>
      <c r="W19" s="59">
        <v>79709</v>
      </c>
      <c r="X19" s="59">
        <v>77218</v>
      </c>
      <c r="Y19" s="59">
        <v>71839</v>
      </c>
      <c r="Z19" s="59">
        <v>64750</v>
      </c>
      <c r="AA19" s="59">
        <f t="shared" si="0"/>
        <v>1405742</v>
      </c>
      <c r="AB19" s="54">
        <v>20</v>
      </c>
      <c r="AC19" s="59">
        <f t="shared" si="1"/>
        <v>28114840</v>
      </c>
      <c r="AD19" s="117">
        <f>+SUM(AC19:AC22)</f>
        <v>39822834</v>
      </c>
    </row>
    <row r="20" spans="1:30" x14ac:dyDescent="0.35">
      <c r="A20" s="115"/>
      <c r="B20" s="60" t="s">
        <v>40</v>
      </c>
      <c r="C20" s="59">
        <v>59015</v>
      </c>
      <c r="D20" s="59">
        <v>55061</v>
      </c>
      <c r="E20" s="59">
        <v>52161</v>
      </c>
      <c r="F20" s="59">
        <v>49993</v>
      </c>
      <c r="G20" s="59">
        <v>49118</v>
      </c>
      <c r="H20" s="59">
        <v>48048</v>
      </c>
      <c r="I20" s="59">
        <v>49197</v>
      </c>
      <c r="J20" s="59">
        <v>42332</v>
      </c>
      <c r="K20" s="59">
        <v>38309</v>
      </c>
      <c r="L20" s="59">
        <v>37708</v>
      </c>
      <c r="M20" s="59">
        <v>37991</v>
      </c>
      <c r="N20" s="59">
        <v>36510</v>
      </c>
      <c r="O20" s="59">
        <v>34741</v>
      </c>
      <c r="P20" s="59">
        <v>40776</v>
      </c>
      <c r="Q20" s="59">
        <v>52116</v>
      </c>
      <c r="R20" s="59">
        <v>61268</v>
      </c>
      <c r="S20" s="59">
        <v>64565</v>
      </c>
      <c r="T20" s="59">
        <v>70479</v>
      </c>
      <c r="U20" s="59">
        <v>75779</v>
      </c>
      <c r="V20" s="59">
        <v>75166</v>
      </c>
      <c r="W20" s="59">
        <v>73043</v>
      </c>
      <c r="X20" s="59">
        <v>70736</v>
      </c>
      <c r="Y20" s="59">
        <v>67652</v>
      </c>
      <c r="Z20" s="59">
        <v>63452</v>
      </c>
      <c r="AA20" s="59">
        <f t="shared" si="0"/>
        <v>1305216</v>
      </c>
      <c r="AB20" s="54">
        <v>4</v>
      </c>
      <c r="AC20" s="59">
        <f t="shared" si="1"/>
        <v>5220864</v>
      </c>
      <c r="AD20" s="118"/>
    </row>
    <row r="21" spans="1:30" x14ac:dyDescent="0.35">
      <c r="A21" s="115"/>
      <c r="B21" s="60" t="s">
        <v>41</v>
      </c>
      <c r="C21" s="59">
        <v>59295</v>
      </c>
      <c r="D21" s="59">
        <v>55172</v>
      </c>
      <c r="E21" s="59">
        <v>52169</v>
      </c>
      <c r="F21" s="59">
        <v>49786</v>
      </c>
      <c r="G21" s="59">
        <v>48428</v>
      </c>
      <c r="H21" s="59">
        <v>46561</v>
      </c>
      <c r="I21" s="59">
        <v>45903</v>
      </c>
      <c r="J21" s="59">
        <v>34469</v>
      </c>
      <c r="K21" s="59">
        <v>25315</v>
      </c>
      <c r="L21" s="59">
        <v>22665</v>
      </c>
      <c r="M21" s="59">
        <v>21495</v>
      </c>
      <c r="N21" s="59">
        <v>20887</v>
      </c>
      <c r="O21" s="59">
        <v>23237</v>
      </c>
      <c r="P21" s="59">
        <v>28901</v>
      </c>
      <c r="Q21" s="59">
        <v>39302</v>
      </c>
      <c r="R21" s="59">
        <v>49281</v>
      </c>
      <c r="S21" s="59">
        <v>54242</v>
      </c>
      <c r="T21" s="59">
        <v>61989</v>
      </c>
      <c r="U21" s="59">
        <v>68819</v>
      </c>
      <c r="V21" s="59">
        <v>71590</v>
      </c>
      <c r="W21" s="59">
        <v>71549</v>
      </c>
      <c r="X21" s="59">
        <v>71177</v>
      </c>
      <c r="Y21" s="59">
        <v>67478</v>
      </c>
      <c r="Z21" s="59">
        <v>61713</v>
      </c>
      <c r="AA21" s="59">
        <f t="shared" si="0"/>
        <v>1151423</v>
      </c>
      <c r="AB21" s="54">
        <v>4</v>
      </c>
      <c r="AC21" s="59">
        <f t="shared" si="1"/>
        <v>4605692</v>
      </c>
      <c r="AD21" s="118"/>
    </row>
    <row r="22" spans="1:30" x14ac:dyDescent="0.35">
      <c r="A22" s="116"/>
      <c r="B22" s="61" t="s">
        <v>42</v>
      </c>
      <c r="C22" s="59">
        <v>52955</v>
      </c>
      <c r="D22" s="59">
        <v>49158</v>
      </c>
      <c r="E22" s="59">
        <v>46458</v>
      </c>
      <c r="F22" s="59">
        <v>44524</v>
      </c>
      <c r="G22" s="59">
        <v>43259</v>
      </c>
      <c r="H22" s="59">
        <v>41353</v>
      </c>
      <c r="I22" s="59">
        <v>40799</v>
      </c>
      <c r="J22" s="59">
        <v>27730</v>
      </c>
      <c r="K22" s="59">
        <v>16901</v>
      </c>
      <c r="L22" s="59">
        <v>12393</v>
      </c>
      <c r="M22" s="59">
        <v>10269</v>
      </c>
      <c r="N22" s="59">
        <v>9034</v>
      </c>
      <c r="O22" s="59">
        <v>11850</v>
      </c>
      <c r="P22" s="59">
        <v>17562</v>
      </c>
      <c r="Q22" s="59">
        <v>28005</v>
      </c>
      <c r="R22" s="59">
        <v>37325</v>
      </c>
      <c r="S22" s="59">
        <v>42752</v>
      </c>
      <c r="T22" s="59">
        <v>52031</v>
      </c>
      <c r="U22" s="59">
        <v>59597</v>
      </c>
      <c r="V22" s="59">
        <v>61911</v>
      </c>
      <c r="W22" s="59">
        <v>61474</v>
      </c>
      <c r="X22" s="59">
        <v>60691</v>
      </c>
      <c r="Y22" s="59">
        <v>58319</v>
      </c>
      <c r="Z22" s="59">
        <v>54369</v>
      </c>
      <c r="AA22" s="59">
        <f t="shared" si="0"/>
        <v>940719</v>
      </c>
      <c r="AB22" s="54">
        <v>2</v>
      </c>
      <c r="AC22" s="59">
        <f t="shared" si="1"/>
        <v>1881438</v>
      </c>
      <c r="AD22" s="119"/>
    </row>
    <row r="23" spans="1:30" x14ac:dyDescent="0.35">
      <c r="A23" s="114">
        <v>47604</v>
      </c>
      <c r="B23" s="58" t="s">
        <v>39</v>
      </c>
      <c r="C23" s="59">
        <v>56671</v>
      </c>
      <c r="D23" s="59">
        <v>52986</v>
      </c>
      <c r="E23" s="59">
        <v>50283</v>
      </c>
      <c r="F23" s="59">
        <v>48387</v>
      </c>
      <c r="G23" s="59">
        <v>47909</v>
      </c>
      <c r="H23" s="59">
        <v>47495</v>
      </c>
      <c r="I23" s="59">
        <v>49001</v>
      </c>
      <c r="J23" s="59">
        <v>43147</v>
      </c>
      <c r="K23" s="59">
        <v>39387</v>
      </c>
      <c r="L23" s="59">
        <v>38823</v>
      </c>
      <c r="M23" s="59">
        <v>39740</v>
      </c>
      <c r="N23" s="59">
        <v>38084</v>
      </c>
      <c r="O23" s="59">
        <v>33538</v>
      </c>
      <c r="P23" s="59">
        <v>45266</v>
      </c>
      <c r="Q23" s="59">
        <v>61408</v>
      </c>
      <c r="R23" s="59">
        <v>70736</v>
      </c>
      <c r="S23" s="59">
        <v>73699</v>
      </c>
      <c r="T23" s="59">
        <v>75555</v>
      </c>
      <c r="U23" s="59">
        <v>76820</v>
      </c>
      <c r="V23" s="59">
        <v>76904</v>
      </c>
      <c r="W23" s="59">
        <v>76546</v>
      </c>
      <c r="X23" s="59">
        <v>74557</v>
      </c>
      <c r="Y23" s="59">
        <v>69562</v>
      </c>
      <c r="Z23" s="59">
        <v>63010</v>
      </c>
      <c r="AA23" s="59">
        <f t="shared" si="0"/>
        <v>1349514</v>
      </c>
      <c r="AB23" s="54">
        <v>22</v>
      </c>
      <c r="AC23" s="59">
        <f t="shared" si="1"/>
        <v>29689308</v>
      </c>
      <c r="AD23" s="117">
        <f>+SUM(AC23:AC26)</f>
        <v>40153503</v>
      </c>
    </row>
    <row r="24" spans="1:30" x14ac:dyDescent="0.35">
      <c r="A24" s="115"/>
      <c r="B24" s="60" t="s">
        <v>40</v>
      </c>
      <c r="C24" s="59">
        <v>59366</v>
      </c>
      <c r="D24" s="59">
        <v>55222</v>
      </c>
      <c r="E24" s="59">
        <v>52199</v>
      </c>
      <c r="F24" s="59">
        <v>49831</v>
      </c>
      <c r="G24" s="59">
        <v>48881</v>
      </c>
      <c r="H24" s="59">
        <v>46937</v>
      </c>
      <c r="I24" s="59">
        <v>48204</v>
      </c>
      <c r="J24" s="59">
        <v>41267</v>
      </c>
      <c r="K24" s="59">
        <v>37697</v>
      </c>
      <c r="L24" s="59">
        <v>37380</v>
      </c>
      <c r="M24" s="59">
        <v>37642</v>
      </c>
      <c r="N24" s="59">
        <v>35583</v>
      </c>
      <c r="O24" s="59">
        <v>33393</v>
      </c>
      <c r="P24" s="59">
        <v>39131</v>
      </c>
      <c r="Q24" s="59">
        <v>49775</v>
      </c>
      <c r="R24" s="59">
        <v>58837</v>
      </c>
      <c r="S24" s="59">
        <v>61923</v>
      </c>
      <c r="T24" s="59">
        <v>67033</v>
      </c>
      <c r="U24" s="59">
        <v>71825</v>
      </c>
      <c r="V24" s="59">
        <v>72522</v>
      </c>
      <c r="W24" s="59">
        <v>70848</v>
      </c>
      <c r="X24" s="59">
        <v>69107</v>
      </c>
      <c r="Y24" s="59">
        <v>66349</v>
      </c>
      <c r="Z24" s="59">
        <v>62290</v>
      </c>
      <c r="AA24" s="59">
        <f t="shared" si="0"/>
        <v>1273242</v>
      </c>
      <c r="AB24" s="54">
        <v>4</v>
      </c>
      <c r="AC24" s="59">
        <f t="shared" si="1"/>
        <v>5092968</v>
      </c>
      <c r="AD24" s="118"/>
    </row>
    <row r="25" spans="1:30" x14ac:dyDescent="0.35">
      <c r="A25" s="115"/>
      <c r="B25" s="60" t="s">
        <v>41</v>
      </c>
      <c r="C25" s="59">
        <v>57260</v>
      </c>
      <c r="D25" s="59">
        <v>53661</v>
      </c>
      <c r="E25" s="59">
        <v>50927</v>
      </c>
      <c r="F25" s="59">
        <v>48674</v>
      </c>
      <c r="G25" s="59">
        <v>47242</v>
      </c>
      <c r="H25" s="59">
        <v>44290</v>
      </c>
      <c r="I25" s="59">
        <v>44421</v>
      </c>
      <c r="J25" s="59">
        <v>32479</v>
      </c>
      <c r="K25" s="59">
        <v>23456</v>
      </c>
      <c r="L25" s="59">
        <v>20788</v>
      </c>
      <c r="M25" s="59">
        <v>19743</v>
      </c>
      <c r="N25" s="59">
        <v>18278</v>
      </c>
      <c r="O25" s="59">
        <v>19543</v>
      </c>
      <c r="P25" s="59">
        <v>24685</v>
      </c>
      <c r="Q25" s="59">
        <v>35151</v>
      </c>
      <c r="R25" s="59">
        <v>44648</v>
      </c>
      <c r="S25" s="59">
        <v>49641</v>
      </c>
      <c r="T25" s="59">
        <v>57727</v>
      </c>
      <c r="U25" s="59">
        <v>64198</v>
      </c>
      <c r="V25" s="59">
        <v>67287</v>
      </c>
      <c r="W25" s="59">
        <v>67877</v>
      </c>
      <c r="X25" s="59">
        <v>67944</v>
      </c>
      <c r="Y25" s="59">
        <v>64964</v>
      </c>
      <c r="Z25" s="59">
        <v>59862</v>
      </c>
      <c r="AA25" s="59">
        <f t="shared" si="0"/>
        <v>1084746</v>
      </c>
      <c r="AB25" s="54">
        <v>4</v>
      </c>
      <c r="AC25" s="59">
        <f t="shared" si="1"/>
        <v>4338984</v>
      </c>
      <c r="AD25" s="118"/>
    </row>
    <row r="26" spans="1:30" x14ac:dyDescent="0.35">
      <c r="A26" s="116"/>
      <c r="B26" s="61" t="s">
        <v>42</v>
      </c>
      <c r="C26" s="59">
        <v>50049</v>
      </c>
      <c r="D26" s="59">
        <v>46499</v>
      </c>
      <c r="E26" s="59">
        <v>43975</v>
      </c>
      <c r="F26" s="59">
        <v>42140</v>
      </c>
      <c r="G26" s="59">
        <v>41299</v>
      </c>
      <c r="H26" s="59">
        <v>39331</v>
      </c>
      <c r="I26" s="59">
        <v>39959</v>
      </c>
      <c r="J26" s="59">
        <v>29461</v>
      </c>
      <c r="K26" s="59">
        <v>21622</v>
      </c>
      <c r="L26" s="59">
        <v>19987</v>
      </c>
      <c r="M26" s="59">
        <v>19949</v>
      </c>
      <c r="N26" s="59">
        <v>18938</v>
      </c>
      <c r="O26" s="59">
        <v>19759</v>
      </c>
      <c r="P26" s="59">
        <v>25854</v>
      </c>
      <c r="Q26" s="59">
        <v>36215</v>
      </c>
      <c r="R26" s="59">
        <v>45539</v>
      </c>
      <c r="S26" s="59">
        <v>49664</v>
      </c>
      <c r="T26" s="59">
        <v>56773</v>
      </c>
      <c r="U26" s="59">
        <v>63577</v>
      </c>
      <c r="V26" s="59">
        <v>67369</v>
      </c>
      <c r="W26" s="59">
        <v>67802</v>
      </c>
      <c r="X26" s="59">
        <v>66815</v>
      </c>
      <c r="Y26" s="59">
        <v>62613</v>
      </c>
      <c r="Z26" s="59">
        <v>57054</v>
      </c>
      <c r="AA26" s="59">
        <f t="shared" si="0"/>
        <v>1032243</v>
      </c>
      <c r="AB26" s="54">
        <v>1</v>
      </c>
      <c r="AC26" s="59">
        <f t="shared" si="1"/>
        <v>1032243</v>
      </c>
      <c r="AD26" s="119"/>
    </row>
    <row r="27" spans="1:30" x14ac:dyDescent="0.35">
      <c r="A27" s="114">
        <v>47635</v>
      </c>
      <c r="B27" s="58" t="s">
        <v>39</v>
      </c>
      <c r="C27" s="59">
        <v>61029</v>
      </c>
      <c r="D27" s="59">
        <v>57050</v>
      </c>
      <c r="E27" s="59">
        <v>54130</v>
      </c>
      <c r="F27" s="59">
        <v>52122</v>
      </c>
      <c r="G27" s="59">
        <v>51625</v>
      </c>
      <c r="H27" s="59">
        <v>50958</v>
      </c>
      <c r="I27" s="59">
        <v>53335</v>
      </c>
      <c r="J27" s="59">
        <v>48497</v>
      </c>
      <c r="K27" s="59">
        <v>44836</v>
      </c>
      <c r="L27" s="59">
        <v>44140</v>
      </c>
      <c r="M27" s="59">
        <v>45049</v>
      </c>
      <c r="N27" s="59">
        <v>43703</v>
      </c>
      <c r="O27" s="59">
        <v>38428</v>
      </c>
      <c r="P27" s="59">
        <v>50106</v>
      </c>
      <c r="Q27" s="59">
        <v>66367</v>
      </c>
      <c r="R27" s="59">
        <v>76156</v>
      </c>
      <c r="S27" s="59">
        <v>79493</v>
      </c>
      <c r="T27" s="59">
        <v>80538</v>
      </c>
      <c r="U27" s="59">
        <v>80959</v>
      </c>
      <c r="V27" s="59">
        <v>81740</v>
      </c>
      <c r="W27" s="59">
        <v>80795</v>
      </c>
      <c r="X27" s="59">
        <v>78384</v>
      </c>
      <c r="Y27" s="59">
        <v>73423</v>
      </c>
      <c r="Z27" s="59">
        <v>66795</v>
      </c>
      <c r="AA27" s="59">
        <f t="shared" si="0"/>
        <v>1459658</v>
      </c>
      <c r="AB27" s="54">
        <v>18</v>
      </c>
      <c r="AC27" s="59">
        <f t="shared" si="1"/>
        <v>26273844</v>
      </c>
      <c r="AD27" s="117">
        <f>+SUM(AC27:AC30)</f>
        <v>41422709</v>
      </c>
    </row>
    <row r="28" spans="1:30" x14ac:dyDescent="0.35">
      <c r="A28" s="115"/>
      <c r="B28" s="60" t="s">
        <v>40</v>
      </c>
      <c r="C28" s="59">
        <v>62236</v>
      </c>
      <c r="D28" s="59">
        <v>58355</v>
      </c>
      <c r="E28" s="59">
        <v>55442</v>
      </c>
      <c r="F28" s="59">
        <v>53274</v>
      </c>
      <c r="G28" s="59">
        <v>52537</v>
      </c>
      <c r="H28" s="59">
        <v>50654</v>
      </c>
      <c r="I28" s="59">
        <v>52732</v>
      </c>
      <c r="J28" s="59">
        <v>46395</v>
      </c>
      <c r="K28" s="59">
        <v>42526</v>
      </c>
      <c r="L28" s="59">
        <v>41943</v>
      </c>
      <c r="M28" s="59">
        <v>42280</v>
      </c>
      <c r="N28" s="59">
        <v>40360</v>
      </c>
      <c r="O28" s="59">
        <v>37756</v>
      </c>
      <c r="P28" s="59">
        <v>42784</v>
      </c>
      <c r="Q28" s="59">
        <v>54305</v>
      </c>
      <c r="R28" s="59">
        <v>63871</v>
      </c>
      <c r="S28" s="59">
        <v>67291</v>
      </c>
      <c r="T28" s="59">
        <v>72312</v>
      </c>
      <c r="U28" s="59">
        <v>76307</v>
      </c>
      <c r="V28" s="59">
        <v>77511</v>
      </c>
      <c r="W28" s="59">
        <v>75455</v>
      </c>
      <c r="X28" s="59">
        <v>73276</v>
      </c>
      <c r="Y28" s="59">
        <v>70341</v>
      </c>
      <c r="Z28" s="59">
        <v>66230</v>
      </c>
      <c r="AA28" s="59">
        <f t="shared" si="0"/>
        <v>1376173</v>
      </c>
      <c r="AB28" s="54">
        <v>5</v>
      </c>
      <c r="AC28" s="59">
        <f t="shared" si="1"/>
        <v>6880865</v>
      </c>
      <c r="AD28" s="118"/>
    </row>
    <row r="29" spans="1:30" x14ac:dyDescent="0.35">
      <c r="A29" s="115"/>
      <c r="B29" s="60" t="s">
        <v>41</v>
      </c>
      <c r="C29" s="59">
        <v>61779</v>
      </c>
      <c r="D29" s="59">
        <v>58051</v>
      </c>
      <c r="E29" s="59">
        <v>55291</v>
      </c>
      <c r="F29" s="59">
        <v>53071</v>
      </c>
      <c r="G29" s="59">
        <v>51745</v>
      </c>
      <c r="H29" s="59">
        <v>48866</v>
      </c>
      <c r="I29" s="59">
        <v>48911</v>
      </c>
      <c r="J29" s="59">
        <v>37542</v>
      </c>
      <c r="K29" s="59">
        <v>27689</v>
      </c>
      <c r="L29" s="59">
        <v>25506</v>
      </c>
      <c r="M29" s="59">
        <v>23364</v>
      </c>
      <c r="N29" s="59">
        <v>21709</v>
      </c>
      <c r="O29" s="59">
        <v>23606</v>
      </c>
      <c r="P29" s="59">
        <v>28756</v>
      </c>
      <c r="Q29" s="59">
        <v>38849</v>
      </c>
      <c r="R29" s="59">
        <v>48634</v>
      </c>
      <c r="S29" s="59">
        <v>54289</v>
      </c>
      <c r="T29" s="59">
        <v>61311</v>
      </c>
      <c r="U29" s="59">
        <v>67530</v>
      </c>
      <c r="V29" s="59">
        <v>72243</v>
      </c>
      <c r="W29" s="59">
        <v>72582</v>
      </c>
      <c r="X29" s="59">
        <v>72260</v>
      </c>
      <c r="Y29" s="59">
        <v>69495</v>
      </c>
      <c r="Z29" s="59">
        <v>64763</v>
      </c>
      <c r="AA29" s="59">
        <f t="shared" si="0"/>
        <v>1187842</v>
      </c>
      <c r="AB29" s="54">
        <v>5</v>
      </c>
      <c r="AC29" s="59">
        <f t="shared" si="1"/>
        <v>5939210</v>
      </c>
      <c r="AD29" s="118"/>
    </row>
    <row r="30" spans="1:30" x14ac:dyDescent="0.35">
      <c r="A30" s="116"/>
      <c r="B30" s="61" t="s">
        <v>42</v>
      </c>
      <c r="C30" s="59">
        <v>55332</v>
      </c>
      <c r="D30" s="59">
        <v>51718</v>
      </c>
      <c r="E30" s="59">
        <v>49225</v>
      </c>
      <c r="F30" s="59">
        <v>47230</v>
      </c>
      <c r="G30" s="59">
        <v>46488</v>
      </c>
      <c r="H30" s="59">
        <v>44360</v>
      </c>
      <c r="I30" s="59">
        <v>45037</v>
      </c>
      <c r="J30" s="59">
        <v>35677</v>
      </c>
      <c r="K30" s="59">
        <v>28476</v>
      </c>
      <c r="L30" s="59">
        <v>27386</v>
      </c>
      <c r="M30" s="59">
        <v>27593</v>
      </c>
      <c r="N30" s="59">
        <v>26390</v>
      </c>
      <c r="O30" s="59">
        <v>26765</v>
      </c>
      <c r="P30" s="59">
        <v>32530</v>
      </c>
      <c r="Q30" s="59">
        <v>42480</v>
      </c>
      <c r="R30" s="59">
        <v>51276</v>
      </c>
      <c r="S30" s="59">
        <v>55126</v>
      </c>
      <c r="T30" s="59">
        <v>61387</v>
      </c>
      <c r="U30" s="59">
        <v>67378</v>
      </c>
      <c r="V30" s="59">
        <v>72561</v>
      </c>
      <c r="W30" s="59">
        <v>72237</v>
      </c>
      <c r="X30" s="59">
        <v>70721</v>
      </c>
      <c r="Y30" s="59">
        <v>66418</v>
      </c>
      <c r="Z30" s="59">
        <v>60604</v>
      </c>
      <c r="AA30" s="59">
        <f t="shared" si="0"/>
        <v>1164395</v>
      </c>
      <c r="AB30" s="54">
        <v>2</v>
      </c>
      <c r="AC30" s="59">
        <f t="shared" si="1"/>
        <v>2328790</v>
      </c>
      <c r="AD30" s="119"/>
    </row>
    <row r="31" spans="1:30" x14ac:dyDescent="0.35">
      <c r="A31" s="114">
        <v>47665</v>
      </c>
      <c r="B31" s="58" t="s">
        <v>39</v>
      </c>
      <c r="C31" s="59">
        <v>57045</v>
      </c>
      <c r="D31" s="59">
        <v>53224</v>
      </c>
      <c r="E31" s="59">
        <v>50493</v>
      </c>
      <c r="F31" s="59">
        <v>48404</v>
      </c>
      <c r="G31" s="59">
        <v>47779</v>
      </c>
      <c r="H31" s="59">
        <v>47753</v>
      </c>
      <c r="I31" s="59">
        <v>49472</v>
      </c>
      <c r="J31" s="59">
        <v>43601</v>
      </c>
      <c r="K31" s="59">
        <v>39764</v>
      </c>
      <c r="L31" s="59">
        <v>39041</v>
      </c>
      <c r="M31" s="59">
        <v>39821</v>
      </c>
      <c r="N31" s="59">
        <v>37732</v>
      </c>
      <c r="O31" s="59">
        <v>32365</v>
      </c>
      <c r="P31" s="59">
        <v>43805</v>
      </c>
      <c r="Q31" s="59">
        <v>59635</v>
      </c>
      <c r="R31" s="59">
        <v>69309</v>
      </c>
      <c r="S31" s="59">
        <v>72310</v>
      </c>
      <c r="T31" s="59">
        <v>73753</v>
      </c>
      <c r="U31" s="59">
        <v>73640</v>
      </c>
      <c r="V31" s="59">
        <v>75637</v>
      </c>
      <c r="W31" s="59">
        <v>75221</v>
      </c>
      <c r="X31" s="59">
        <v>73418</v>
      </c>
      <c r="Y31" s="59">
        <v>68896</v>
      </c>
      <c r="Z31" s="59">
        <v>62722</v>
      </c>
      <c r="AA31" s="59">
        <f t="shared" si="0"/>
        <v>1334840</v>
      </c>
      <c r="AB31" s="54">
        <v>22</v>
      </c>
      <c r="AC31" s="59">
        <f t="shared" si="1"/>
        <v>29366480</v>
      </c>
      <c r="AD31" s="117">
        <f>+SUM(AC31:AC34)</f>
        <v>39630474</v>
      </c>
    </row>
    <row r="32" spans="1:30" x14ac:dyDescent="0.35">
      <c r="A32" s="115"/>
      <c r="B32" s="60" t="s">
        <v>40</v>
      </c>
      <c r="C32" s="59">
        <v>56567</v>
      </c>
      <c r="D32" s="59">
        <v>52854</v>
      </c>
      <c r="E32" s="59">
        <v>50290</v>
      </c>
      <c r="F32" s="59">
        <v>48220</v>
      </c>
      <c r="G32" s="59">
        <v>47430</v>
      </c>
      <c r="H32" s="59">
        <v>46026</v>
      </c>
      <c r="I32" s="59">
        <v>47370</v>
      </c>
      <c r="J32" s="59">
        <v>40699</v>
      </c>
      <c r="K32" s="59">
        <v>36487</v>
      </c>
      <c r="L32" s="59">
        <v>35812</v>
      </c>
      <c r="M32" s="59">
        <v>35609</v>
      </c>
      <c r="N32" s="59">
        <v>34188</v>
      </c>
      <c r="O32" s="59">
        <v>31928</v>
      </c>
      <c r="P32" s="59">
        <v>37527</v>
      </c>
      <c r="Q32" s="59">
        <v>48756</v>
      </c>
      <c r="R32" s="59">
        <v>57525</v>
      </c>
      <c r="S32" s="59">
        <v>60721</v>
      </c>
      <c r="T32" s="59">
        <v>65622</v>
      </c>
      <c r="U32" s="59">
        <v>69634</v>
      </c>
      <c r="V32" s="59">
        <v>72191</v>
      </c>
      <c r="W32" s="59">
        <v>70207</v>
      </c>
      <c r="X32" s="59">
        <v>68392</v>
      </c>
      <c r="Y32" s="59">
        <v>66116</v>
      </c>
      <c r="Z32" s="59">
        <v>62553</v>
      </c>
      <c r="AA32" s="59">
        <f t="shared" si="0"/>
        <v>1242724</v>
      </c>
      <c r="AB32" s="54">
        <v>3</v>
      </c>
      <c r="AC32" s="59">
        <f t="shared" si="1"/>
        <v>3728172</v>
      </c>
      <c r="AD32" s="118"/>
    </row>
    <row r="33" spans="1:30" x14ac:dyDescent="0.35">
      <c r="A33" s="115"/>
      <c r="B33" s="60" t="s">
        <v>41</v>
      </c>
      <c r="C33" s="59">
        <v>58353</v>
      </c>
      <c r="D33" s="59">
        <v>54513</v>
      </c>
      <c r="E33" s="59">
        <v>51675</v>
      </c>
      <c r="F33" s="59">
        <v>49570</v>
      </c>
      <c r="G33" s="59">
        <v>48169</v>
      </c>
      <c r="H33" s="59">
        <v>45748</v>
      </c>
      <c r="I33" s="59">
        <v>45392</v>
      </c>
      <c r="J33" s="59">
        <v>32879</v>
      </c>
      <c r="K33" s="59">
        <v>23707</v>
      </c>
      <c r="L33" s="59">
        <v>20798</v>
      </c>
      <c r="M33" s="59">
        <v>19053</v>
      </c>
      <c r="N33" s="59">
        <v>17093</v>
      </c>
      <c r="O33" s="59">
        <v>19340</v>
      </c>
      <c r="P33" s="59">
        <v>24631</v>
      </c>
      <c r="Q33" s="59">
        <v>34260</v>
      </c>
      <c r="R33" s="59">
        <v>44424</v>
      </c>
      <c r="S33" s="59">
        <v>49428</v>
      </c>
      <c r="T33" s="59">
        <v>57510</v>
      </c>
      <c r="U33" s="59">
        <v>62547</v>
      </c>
      <c r="V33" s="59">
        <v>67451</v>
      </c>
      <c r="W33" s="59">
        <v>68232</v>
      </c>
      <c r="X33" s="59">
        <v>68133</v>
      </c>
      <c r="Y33" s="59">
        <v>65154</v>
      </c>
      <c r="Z33" s="59">
        <v>60466</v>
      </c>
      <c r="AA33" s="59">
        <f t="shared" si="0"/>
        <v>1088526</v>
      </c>
      <c r="AB33" s="54">
        <v>4</v>
      </c>
      <c r="AC33" s="59">
        <f t="shared" si="1"/>
        <v>4354104</v>
      </c>
      <c r="AD33" s="118"/>
    </row>
    <row r="34" spans="1:30" x14ac:dyDescent="0.35">
      <c r="A34" s="116"/>
      <c r="B34" s="61" t="s">
        <v>42</v>
      </c>
      <c r="C34" s="59">
        <v>54115</v>
      </c>
      <c r="D34" s="59">
        <v>50421</v>
      </c>
      <c r="E34" s="59">
        <v>47672</v>
      </c>
      <c r="F34" s="59">
        <v>45880</v>
      </c>
      <c r="G34" s="59">
        <v>44998</v>
      </c>
      <c r="H34" s="59">
        <v>43365</v>
      </c>
      <c r="I34" s="59">
        <v>43686</v>
      </c>
      <c r="J34" s="59">
        <v>33528</v>
      </c>
      <c r="K34" s="59">
        <v>25971</v>
      </c>
      <c r="L34" s="59">
        <v>24028</v>
      </c>
      <c r="M34" s="59">
        <v>23222</v>
      </c>
      <c r="N34" s="59">
        <v>21401</v>
      </c>
      <c r="O34" s="59">
        <v>21144</v>
      </c>
      <c r="P34" s="59">
        <v>27615</v>
      </c>
      <c r="Q34" s="59">
        <v>37980</v>
      </c>
      <c r="R34" s="59">
        <v>47577</v>
      </c>
      <c r="S34" s="59">
        <v>51766</v>
      </c>
      <c r="T34" s="59">
        <v>58069</v>
      </c>
      <c r="U34" s="59">
        <v>63133</v>
      </c>
      <c r="V34" s="59">
        <v>68575</v>
      </c>
      <c r="W34" s="59">
        <v>68489</v>
      </c>
      <c r="X34" s="59">
        <v>67250</v>
      </c>
      <c r="Y34" s="59">
        <v>63324</v>
      </c>
      <c r="Z34" s="59">
        <v>57650</v>
      </c>
      <c r="AA34" s="59">
        <f t="shared" si="0"/>
        <v>1090859</v>
      </c>
      <c r="AB34" s="54">
        <v>2</v>
      </c>
      <c r="AC34" s="59">
        <f>+AA34*AB34</f>
        <v>2181718</v>
      </c>
      <c r="AD34" s="119"/>
    </row>
    <row r="35" spans="1:30" x14ac:dyDescent="0.35">
      <c r="A35" s="114">
        <v>47696</v>
      </c>
      <c r="B35" s="58" t="s">
        <v>39</v>
      </c>
      <c r="C35" s="59">
        <v>59058</v>
      </c>
      <c r="D35" s="59">
        <v>55176</v>
      </c>
      <c r="E35" s="59">
        <v>52238</v>
      </c>
      <c r="F35" s="59">
        <v>50029</v>
      </c>
      <c r="G35" s="59">
        <v>49299</v>
      </c>
      <c r="H35" s="59">
        <v>49310</v>
      </c>
      <c r="I35" s="59">
        <v>50387</v>
      </c>
      <c r="J35" s="59">
        <v>44601</v>
      </c>
      <c r="K35" s="59">
        <v>40548</v>
      </c>
      <c r="L35" s="59">
        <v>40370</v>
      </c>
      <c r="M35" s="59">
        <v>41393</v>
      </c>
      <c r="N35" s="59">
        <v>39786</v>
      </c>
      <c r="O35" s="59">
        <v>34589</v>
      </c>
      <c r="P35" s="59">
        <v>47015</v>
      </c>
      <c r="Q35" s="59">
        <v>63686</v>
      </c>
      <c r="R35" s="59">
        <v>73278</v>
      </c>
      <c r="S35" s="59">
        <v>76286</v>
      </c>
      <c r="T35" s="59">
        <v>77239</v>
      </c>
      <c r="U35" s="59">
        <v>77781</v>
      </c>
      <c r="V35" s="59">
        <v>78582</v>
      </c>
      <c r="W35" s="59">
        <v>78429</v>
      </c>
      <c r="X35" s="59">
        <v>76891</v>
      </c>
      <c r="Y35" s="59">
        <v>72086</v>
      </c>
      <c r="Z35" s="59">
        <v>65830</v>
      </c>
      <c r="AA35" s="59">
        <f t="shared" si="0"/>
        <v>1393887</v>
      </c>
      <c r="AB35" s="54">
        <v>20</v>
      </c>
      <c r="AC35" s="59">
        <f t="shared" si="1"/>
        <v>27877740</v>
      </c>
      <c r="AD35" s="117">
        <f>+SUM(AC35:AC38)</f>
        <v>41298231</v>
      </c>
    </row>
    <row r="36" spans="1:30" x14ac:dyDescent="0.35">
      <c r="A36" s="115"/>
      <c r="B36" s="60" t="s">
        <v>40</v>
      </c>
      <c r="C36" s="59">
        <v>62969</v>
      </c>
      <c r="D36" s="59">
        <v>58770</v>
      </c>
      <c r="E36" s="59">
        <v>55565</v>
      </c>
      <c r="F36" s="59">
        <v>53079</v>
      </c>
      <c r="G36" s="59">
        <v>51773</v>
      </c>
      <c r="H36" s="59">
        <v>50223</v>
      </c>
      <c r="I36" s="59">
        <v>50994</v>
      </c>
      <c r="J36" s="59">
        <v>44522</v>
      </c>
      <c r="K36" s="59">
        <v>40309</v>
      </c>
      <c r="L36" s="59">
        <v>40054</v>
      </c>
      <c r="M36" s="59">
        <v>39839</v>
      </c>
      <c r="N36" s="59">
        <v>39028</v>
      </c>
      <c r="O36" s="59">
        <v>36164</v>
      </c>
      <c r="P36" s="59">
        <v>42259</v>
      </c>
      <c r="Q36" s="59">
        <v>53386</v>
      </c>
      <c r="R36" s="59">
        <v>62312</v>
      </c>
      <c r="S36" s="59">
        <v>65644</v>
      </c>
      <c r="T36" s="59">
        <v>69990</v>
      </c>
      <c r="U36" s="59">
        <v>74774</v>
      </c>
      <c r="V36" s="59">
        <v>75439</v>
      </c>
      <c r="W36" s="59">
        <v>73322</v>
      </c>
      <c r="X36" s="59">
        <v>72250</v>
      </c>
      <c r="Y36" s="59">
        <v>70180</v>
      </c>
      <c r="Z36" s="59">
        <v>66304</v>
      </c>
      <c r="AA36" s="59">
        <f t="shared" si="0"/>
        <v>1349149</v>
      </c>
      <c r="AB36" s="54">
        <v>5</v>
      </c>
      <c r="AC36" s="59">
        <f t="shared" si="1"/>
        <v>6745745</v>
      </c>
      <c r="AD36" s="118"/>
    </row>
    <row r="37" spans="1:30" x14ac:dyDescent="0.35">
      <c r="A37" s="115"/>
      <c r="B37" s="60" t="s">
        <v>41</v>
      </c>
      <c r="C37" s="59">
        <v>61272</v>
      </c>
      <c r="D37" s="59">
        <v>57289</v>
      </c>
      <c r="E37" s="59">
        <v>54122</v>
      </c>
      <c r="F37" s="59">
        <v>51702</v>
      </c>
      <c r="G37" s="59">
        <v>49929</v>
      </c>
      <c r="H37" s="59">
        <v>46811</v>
      </c>
      <c r="I37" s="59">
        <v>45738</v>
      </c>
      <c r="J37" s="59">
        <v>34118</v>
      </c>
      <c r="K37" s="59">
        <v>24676</v>
      </c>
      <c r="L37" s="59">
        <v>21339</v>
      </c>
      <c r="M37" s="59">
        <v>20068</v>
      </c>
      <c r="N37" s="59">
        <v>17680</v>
      </c>
      <c r="O37" s="59">
        <v>20069</v>
      </c>
      <c r="P37" s="59">
        <v>26679</v>
      </c>
      <c r="Q37" s="59">
        <v>36383</v>
      </c>
      <c r="R37" s="59">
        <v>46329</v>
      </c>
      <c r="S37" s="59">
        <v>50226</v>
      </c>
      <c r="T37" s="59">
        <v>57446</v>
      </c>
      <c r="U37" s="59">
        <v>63904</v>
      </c>
      <c r="V37" s="59">
        <v>67483</v>
      </c>
      <c r="W37" s="59">
        <v>68427</v>
      </c>
      <c r="X37" s="59">
        <v>68679</v>
      </c>
      <c r="Y37" s="59">
        <v>65988</v>
      </c>
      <c r="Z37" s="59">
        <v>61117</v>
      </c>
      <c r="AA37" s="59">
        <f t="shared" si="0"/>
        <v>1117474</v>
      </c>
      <c r="AB37" s="54">
        <v>4</v>
      </c>
      <c r="AC37" s="59">
        <f t="shared" si="1"/>
        <v>4469896</v>
      </c>
      <c r="AD37" s="118"/>
    </row>
    <row r="38" spans="1:30" x14ac:dyDescent="0.35">
      <c r="A38" s="116"/>
      <c r="B38" s="61" t="s">
        <v>42</v>
      </c>
      <c r="C38" s="59">
        <v>52535</v>
      </c>
      <c r="D38" s="59">
        <v>49256</v>
      </c>
      <c r="E38" s="59">
        <v>46644</v>
      </c>
      <c r="F38" s="59">
        <v>44869</v>
      </c>
      <c r="G38" s="59">
        <v>44019</v>
      </c>
      <c r="H38" s="59">
        <v>42381</v>
      </c>
      <c r="I38" s="59">
        <v>42097</v>
      </c>
      <c r="J38" s="59">
        <v>31866</v>
      </c>
      <c r="K38" s="59">
        <v>24455</v>
      </c>
      <c r="L38" s="59">
        <v>23593</v>
      </c>
      <c r="M38" s="59">
        <v>23568</v>
      </c>
      <c r="N38" s="59">
        <v>22873</v>
      </c>
      <c r="O38" s="59">
        <v>23573</v>
      </c>
      <c r="P38" s="59">
        <v>29582</v>
      </c>
      <c r="Q38" s="59">
        <v>39886</v>
      </c>
      <c r="R38" s="59">
        <v>49842</v>
      </c>
      <c r="S38" s="59">
        <v>53689</v>
      </c>
      <c r="T38" s="59">
        <v>59227</v>
      </c>
      <c r="U38" s="59">
        <v>65793</v>
      </c>
      <c r="V38" s="59">
        <v>69252</v>
      </c>
      <c r="W38" s="59">
        <v>69066</v>
      </c>
      <c r="X38" s="59">
        <v>69072</v>
      </c>
      <c r="Y38" s="59">
        <v>65420</v>
      </c>
      <c r="Z38" s="59">
        <v>59867</v>
      </c>
      <c r="AA38" s="59">
        <f t="shared" si="0"/>
        <v>1102425</v>
      </c>
      <c r="AB38" s="54">
        <v>2</v>
      </c>
      <c r="AC38" s="59">
        <f t="shared" si="1"/>
        <v>2204850</v>
      </c>
      <c r="AD38" s="119"/>
    </row>
    <row r="39" spans="1:30" x14ac:dyDescent="0.35">
      <c r="A39" s="114">
        <v>47727</v>
      </c>
      <c r="B39" s="58" t="s">
        <v>39</v>
      </c>
      <c r="C39" s="59">
        <v>62528</v>
      </c>
      <c r="D39" s="59">
        <v>58225</v>
      </c>
      <c r="E39" s="59">
        <v>55055</v>
      </c>
      <c r="F39" s="59">
        <v>52617</v>
      </c>
      <c r="G39" s="59">
        <v>51751</v>
      </c>
      <c r="H39" s="59">
        <v>51533</v>
      </c>
      <c r="I39" s="59">
        <v>52999</v>
      </c>
      <c r="J39" s="59">
        <v>47739</v>
      </c>
      <c r="K39" s="59">
        <v>43924</v>
      </c>
      <c r="L39" s="59">
        <v>43966</v>
      </c>
      <c r="M39" s="59">
        <v>45276</v>
      </c>
      <c r="N39" s="59">
        <v>43746</v>
      </c>
      <c r="O39" s="59">
        <v>38771</v>
      </c>
      <c r="P39" s="59">
        <v>51883</v>
      </c>
      <c r="Q39" s="59">
        <v>68511</v>
      </c>
      <c r="R39" s="59">
        <v>78038</v>
      </c>
      <c r="S39" s="59">
        <v>80393</v>
      </c>
      <c r="T39" s="59">
        <v>82414</v>
      </c>
      <c r="U39" s="59">
        <v>83826</v>
      </c>
      <c r="V39" s="59">
        <v>82205</v>
      </c>
      <c r="W39" s="59">
        <v>81756</v>
      </c>
      <c r="X39" s="59">
        <v>80344</v>
      </c>
      <c r="Y39" s="59">
        <v>75577</v>
      </c>
      <c r="Z39" s="59">
        <v>68669</v>
      </c>
      <c r="AA39" s="59">
        <f t="shared" si="0"/>
        <v>1481746</v>
      </c>
      <c r="AB39" s="54">
        <v>21</v>
      </c>
      <c r="AC39" s="59">
        <f t="shared" si="1"/>
        <v>31116666</v>
      </c>
      <c r="AD39" s="117">
        <f>+SUM(AC39:AC42)</f>
        <v>42906975</v>
      </c>
    </row>
    <row r="40" spans="1:30" x14ac:dyDescent="0.35">
      <c r="A40" s="115"/>
      <c r="B40" s="60" t="s">
        <v>40</v>
      </c>
      <c r="C40" s="59">
        <v>64314</v>
      </c>
      <c r="D40" s="59">
        <v>60326</v>
      </c>
      <c r="E40" s="59">
        <v>57174</v>
      </c>
      <c r="F40" s="59">
        <v>54507</v>
      </c>
      <c r="G40" s="59">
        <v>53226</v>
      </c>
      <c r="H40" s="59">
        <v>51414</v>
      </c>
      <c r="I40" s="59">
        <v>52610</v>
      </c>
      <c r="J40" s="59">
        <v>46809</v>
      </c>
      <c r="K40" s="59">
        <v>43174</v>
      </c>
      <c r="L40" s="59">
        <v>42764</v>
      </c>
      <c r="M40" s="59">
        <v>43687</v>
      </c>
      <c r="N40" s="59">
        <v>42282</v>
      </c>
      <c r="O40" s="59">
        <v>39841</v>
      </c>
      <c r="P40" s="59">
        <v>46199</v>
      </c>
      <c r="Q40" s="59">
        <v>57754</v>
      </c>
      <c r="R40" s="59">
        <v>66596</v>
      </c>
      <c r="S40" s="59">
        <v>69275</v>
      </c>
      <c r="T40" s="59">
        <v>75241</v>
      </c>
      <c r="U40" s="59">
        <v>80803</v>
      </c>
      <c r="V40" s="59">
        <v>79356</v>
      </c>
      <c r="W40" s="59">
        <v>76702</v>
      </c>
      <c r="X40" s="59">
        <v>74752</v>
      </c>
      <c r="Y40" s="59">
        <v>72486</v>
      </c>
      <c r="Z40" s="59">
        <v>68744</v>
      </c>
      <c r="AA40" s="59">
        <f t="shared" si="0"/>
        <v>1420036</v>
      </c>
      <c r="AB40" s="54">
        <v>4</v>
      </c>
      <c r="AC40" s="59">
        <f t="shared" si="1"/>
        <v>5680144</v>
      </c>
      <c r="AD40" s="118"/>
    </row>
    <row r="41" spans="1:30" x14ac:dyDescent="0.35">
      <c r="A41" s="115"/>
      <c r="B41" s="60" t="s">
        <v>41</v>
      </c>
      <c r="C41" s="59">
        <v>63328</v>
      </c>
      <c r="D41" s="59">
        <v>59466</v>
      </c>
      <c r="E41" s="59">
        <v>56506</v>
      </c>
      <c r="F41" s="59">
        <v>54146</v>
      </c>
      <c r="G41" s="59">
        <v>52529</v>
      </c>
      <c r="H41" s="59">
        <v>50096</v>
      </c>
      <c r="I41" s="59">
        <v>49647</v>
      </c>
      <c r="J41" s="59">
        <v>37738</v>
      </c>
      <c r="K41" s="59">
        <v>27899</v>
      </c>
      <c r="L41" s="59">
        <v>24560</v>
      </c>
      <c r="M41" s="59">
        <v>23551</v>
      </c>
      <c r="N41" s="59">
        <v>22683</v>
      </c>
      <c r="O41" s="59">
        <v>24217</v>
      </c>
      <c r="P41" s="59">
        <v>30678</v>
      </c>
      <c r="Q41" s="59">
        <v>41690</v>
      </c>
      <c r="R41" s="59">
        <v>51282</v>
      </c>
      <c r="S41" s="59">
        <v>55940</v>
      </c>
      <c r="T41" s="59">
        <v>63907</v>
      </c>
      <c r="U41" s="59">
        <v>71289</v>
      </c>
      <c r="V41" s="59">
        <v>73390</v>
      </c>
      <c r="W41" s="59">
        <v>74562</v>
      </c>
      <c r="X41" s="59">
        <v>75056</v>
      </c>
      <c r="Y41" s="59">
        <v>71800</v>
      </c>
      <c r="Z41" s="59">
        <v>66073</v>
      </c>
      <c r="AA41" s="59">
        <f t="shared" si="0"/>
        <v>1222033</v>
      </c>
      <c r="AB41" s="54">
        <v>5</v>
      </c>
      <c r="AC41" s="59">
        <f t="shared" si="1"/>
        <v>6110165</v>
      </c>
      <c r="AD41" s="118"/>
    </row>
    <row r="42" spans="1:30" x14ac:dyDescent="0.35">
      <c r="A42" s="116"/>
      <c r="B42" s="61" t="s">
        <v>42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59">
        <f t="shared" si="0"/>
        <v>0</v>
      </c>
      <c r="AB42" s="54">
        <v>0</v>
      </c>
      <c r="AC42" s="59">
        <f t="shared" si="1"/>
        <v>0</v>
      </c>
      <c r="AD42" s="119"/>
    </row>
    <row r="43" spans="1:30" x14ac:dyDescent="0.35">
      <c r="A43" s="114">
        <v>47757</v>
      </c>
      <c r="B43" s="58" t="s">
        <v>39</v>
      </c>
      <c r="C43" s="59">
        <v>58424</v>
      </c>
      <c r="D43" s="59">
        <v>54479</v>
      </c>
      <c r="E43" s="59">
        <v>51669</v>
      </c>
      <c r="F43" s="59">
        <v>49736</v>
      </c>
      <c r="G43" s="59">
        <v>49198</v>
      </c>
      <c r="H43" s="59">
        <v>49021</v>
      </c>
      <c r="I43" s="59">
        <v>50708</v>
      </c>
      <c r="J43" s="59">
        <v>45264</v>
      </c>
      <c r="K43" s="59">
        <v>42238</v>
      </c>
      <c r="L43" s="59">
        <v>42382</v>
      </c>
      <c r="M43" s="59">
        <v>43779</v>
      </c>
      <c r="N43" s="59">
        <v>42682</v>
      </c>
      <c r="O43" s="59">
        <v>37873</v>
      </c>
      <c r="P43" s="59">
        <v>50216</v>
      </c>
      <c r="Q43" s="59">
        <v>66484</v>
      </c>
      <c r="R43" s="59">
        <v>75429</v>
      </c>
      <c r="S43" s="59">
        <v>77980</v>
      </c>
      <c r="T43" s="59">
        <v>83175</v>
      </c>
      <c r="U43" s="59">
        <v>83275</v>
      </c>
      <c r="V43" s="59">
        <v>80115</v>
      </c>
      <c r="W43" s="59">
        <v>78288</v>
      </c>
      <c r="X43" s="59">
        <v>75852</v>
      </c>
      <c r="Y43" s="59">
        <v>70695</v>
      </c>
      <c r="Z43" s="59">
        <v>64237</v>
      </c>
      <c r="AA43" s="59">
        <f t="shared" si="0"/>
        <v>1423199</v>
      </c>
      <c r="AB43" s="54">
        <v>22</v>
      </c>
      <c r="AC43" s="59">
        <f t="shared" si="1"/>
        <v>31310378</v>
      </c>
      <c r="AD43" s="117">
        <f>+SUM(AC43:AC46)</f>
        <v>42170711</v>
      </c>
    </row>
    <row r="44" spans="1:30" x14ac:dyDescent="0.35">
      <c r="A44" s="115"/>
      <c r="B44" s="60" t="s">
        <v>40</v>
      </c>
      <c r="C44" s="59">
        <v>57057</v>
      </c>
      <c r="D44" s="59">
        <v>53115</v>
      </c>
      <c r="E44" s="59">
        <v>50385</v>
      </c>
      <c r="F44" s="59">
        <v>48192</v>
      </c>
      <c r="G44" s="59">
        <v>47311</v>
      </c>
      <c r="H44" s="59">
        <v>46023</v>
      </c>
      <c r="I44" s="59">
        <v>47275</v>
      </c>
      <c r="J44" s="59">
        <v>40615</v>
      </c>
      <c r="K44" s="59">
        <v>37651</v>
      </c>
      <c r="L44" s="59">
        <v>37735</v>
      </c>
      <c r="M44" s="59">
        <v>38538</v>
      </c>
      <c r="N44" s="59">
        <v>37403</v>
      </c>
      <c r="O44" s="59">
        <v>35537</v>
      </c>
      <c r="P44" s="59">
        <v>40781</v>
      </c>
      <c r="Q44" s="59">
        <v>51684</v>
      </c>
      <c r="R44" s="59">
        <v>59818</v>
      </c>
      <c r="S44" s="59">
        <v>63185</v>
      </c>
      <c r="T44" s="59">
        <v>71878</v>
      </c>
      <c r="U44" s="59">
        <v>75652</v>
      </c>
      <c r="V44" s="59">
        <v>73326</v>
      </c>
      <c r="W44" s="59">
        <v>70928</v>
      </c>
      <c r="X44" s="59">
        <v>68270</v>
      </c>
      <c r="Y44" s="59">
        <v>65001</v>
      </c>
      <c r="Z44" s="59">
        <v>60821</v>
      </c>
      <c r="AA44" s="59">
        <f t="shared" si="0"/>
        <v>1278181</v>
      </c>
      <c r="AB44" s="54">
        <v>4</v>
      </c>
      <c r="AC44" s="59">
        <f t="shared" si="1"/>
        <v>5112724</v>
      </c>
      <c r="AD44" s="118"/>
    </row>
    <row r="45" spans="1:30" x14ac:dyDescent="0.35">
      <c r="A45" s="115"/>
      <c r="B45" s="60" t="s">
        <v>41</v>
      </c>
      <c r="C45" s="59">
        <v>58155</v>
      </c>
      <c r="D45" s="59">
        <v>54524</v>
      </c>
      <c r="E45" s="59">
        <v>51758</v>
      </c>
      <c r="F45" s="59">
        <v>49377</v>
      </c>
      <c r="G45" s="59">
        <v>47881</v>
      </c>
      <c r="H45" s="59">
        <v>45647</v>
      </c>
      <c r="I45" s="59">
        <v>45397</v>
      </c>
      <c r="J45" s="59">
        <v>32959</v>
      </c>
      <c r="K45" s="59">
        <v>23937</v>
      </c>
      <c r="L45" s="59">
        <v>21889</v>
      </c>
      <c r="M45" s="59">
        <v>20792</v>
      </c>
      <c r="N45" s="59">
        <v>20189</v>
      </c>
      <c r="O45" s="59">
        <v>22152</v>
      </c>
      <c r="P45" s="59">
        <v>27627</v>
      </c>
      <c r="Q45" s="59">
        <v>37630</v>
      </c>
      <c r="R45" s="59">
        <v>47877</v>
      </c>
      <c r="S45" s="59">
        <v>52706</v>
      </c>
      <c r="T45" s="59">
        <v>63585</v>
      </c>
      <c r="U45" s="59">
        <v>69138</v>
      </c>
      <c r="V45" s="59">
        <v>69924</v>
      </c>
      <c r="W45" s="59">
        <v>70201</v>
      </c>
      <c r="X45" s="59">
        <v>69721</v>
      </c>
      <c r="Y45" s="59">
        <v>66245</v>
      </c>
      <c r="Z45" s="59">
        <v>61181</v>
      </c>
      <c r="AA45" s="59">
        <f t="shared" si="0"/>
        <v>1130492</v>
      </c>
      <c r="AB45" s="54">
        <v>4</v>
      </c>
      <c r="AC45" s="59">
        <f t="shared" si="1"/>
        <v>4521968</v>
      </c>
      <c r="AD45" s="118"/>
    </row>
    <row r="46" spans="1:30" x14ac:dyDescent="0.35">
      <c r="A46" s="116"/>
      <c r="B46" s="61" t="s">
        <v>42</v>
      </c>
      <c r="C46" s="59">
        <v>57341</v>
      </c>
      <c r="D46" s="59">
        <v>53648</v>
      </c>
      <c r="E46" s="59">
        <v>50974</v>
      </c>
      <c r="F46" s="59">
        <v>48968</v>
      </c>
      <c r="G46" s="59">
        <v>48059</v>
      </c>
      <c r="H46" s="59">
        <v>45413</v>
      </c>
      <c r="I46" s="59">
        <v>45402</v>
      </c>
      <c r="J46" s="59">
        <v>36162</v>
      </c>
      <c r="K46" s="59">
        <v>29412</v>
      </c>
      <c r="L46" s="59">
        <v>28903</v>
      </c>
      <c r="M46" s="59">
        <v>28949</v>
      </c>
      <c r="N46" s="59">
        <v>27048</v>
      </c>
      <c r="O46" s="59">
        <v>29099</v>
      </c>
      <c r="P46" s="59">
        <v>35525</v>
      </c>
      <c r="Q46" s="59">
        <v>46700</v>
      </c>
      <c r="R46" s="59">
        <v>55316</v>
      </c>
      <c r="S46" s="59">
        <v>59281</v>
      </c>
      <c r="T46" s="59">
        <v>68717</v>
      </c>
      <c r="U46" s="59">
        <v>74099</v>
      </c>
      <c r="V46" s="59">
        <v>75566</v>
      </c>
      <c r="W46" s="59">
        <v>75356</v>
      </c>
      <c r="X46" s="59">
        <v>73808</v>
      </c>
      <c r="Y46" s="59">
        <v>69125</v>
      </c>
      <c r="Z46" s="59">
        <v>62770</v>
      </c>
      <c r="AA46" s="59">
        <f t="shared" si="0"/>
        <v>1225641</v>
      </c>
      <c r="AB46" s="54">
        <v>1</v>
      </c>
      <c r="AC46" s="59">
        <f t="shared" si="1"/>
        <v>1225641</v>
      </c>
      <c r="AD46" s="119"/>
    </row>
    <row r="47" spans="1:30" x14ac:dyDescent="0.35">
      <c r="A47" s="77">
        <v>47788</v>
      </c>
      <c r="B47" s="13" t="s">
        <v>39</v>
      </c>
      <c r="C47" s="59">
        <v>58259</v>
      </c>
      <c r="D47" s="59">
        <v>54410</v>
      </c>
      <c r="E47" s="59">
        <v>51685</v>
      </c>
      <c r="F47" s="59">
        <v>49942</v>
      </c>
      <c r="G47" s="59">
        <v>49749</v>
      </c>
      <c r="H47" s="59">
        <v>50290</v>
      </c>
      <c r="I47" s="59">
        <v>52895</v>
      </c>
      <c r="J47" s="59">
        <v>47857</v>
      </c>
      <c r="K47" s="59">
        <v>44347</v>
      </c>
      <c r="L47" s="59">
        <v>44069</v>
      </c>
      <c r="M47" s="59">
        <v>45392</v>
      </c>
      <c r="N47" s="59">
        <v>44319</v>
      </c>
      <c r="O47" s="59">
        <v>39270</v>
      </c>
      <c r="P47" s="59">
        <v>50708</v>
      </c>
      <c r="Q47" s="59">
        <v>66803</v>
      </c>
      <c r="R47" s="59">
        <v>76727</v>
      </c>
      <c r="S47" s="59">
        <v>79710</v>
      </c>
      <c r="T47" s="59">
        <v>86454</v>
      </c>
      <c r="U47" s="59">
        <v>86275</v>
      </c>
      <c r="V47" s="59">
        <v>82536</v>
      </c>
      <c r="W47" s="59">
        <v>80155</v>
      </c>
      <c r="X47" s="59">
        <v>76669</v>
      </c>
      <c r="Y47" s="59">
        <v>71040</v>
      </c>
      <c r="Z47" s="59">
        <v>64239</v>
      </c>
      <c r="AA47" s="15">
        <f t="shared" si="0"/>
        <v>1453800</v>
      </c>
      <c r="AB47" s="16">
        <v>19</v>
      </c>
      <c r="AC47" s="15">
        <f t="shared" si="1"/>
        <v>27622200</v>
      </c>
      <c r="AD47" s="111">
        <f>+SUM(AC47:AC50)</f>
        <v>41700050</v>
      </c>
    </row>
    <row r="48" spans="1:30" x14ac:dyDescent="0.35">
      <c r="A48" s="78"/>
      <c r="B48" s="17" t="s">
        <v>40</v>
      </c>
      <c r="C48" s="59">
        <v>59733</v>
      </c>
      <c r="D48" s="59">
        <v>55840</v>
      </c>
      <c r="E48" s="59">
        <v>53058</v>
      </c>
      <c r="F48" s="59">
        <v>50826</v>
      </c>
      <c r="G48" s="59">
        <v>50001</v>
      </c>
      <c r="H48" s="59">
        <v>49005</v>
      </c>
      <c r="I48" s="59">
        <v>50647</v>
      </c>
      <c r="J48" s="59">
        <v>44999</v>
      </c>
      <c r="K48" s="59">
        <v>42193</v>
      </c>
      <c r="L48" s="59">
        <v>42853</v>
      </c>
      <c r="M48" s="59">
        <v>43149</v>
      </c>
      <c r="N48" s="59">
        <v>41803</v>
      </c>
      <c r="O48" s="59">
        <v>39191</v>
      </c>
      <c r="P48" s="59">
        <v>44445</v>
      </c>
      <c r="Q48" s="59">
        <v>55213</v>
      </c>
      <c r="R48" s="59">
        <v>63765</v>
      </c>
      <c r="S48" s="59">
        <v>67208</v>
      </c>
      <c r="T48" s="59">
        <v>76922</v>
      </c>
      <c r="U48" s="59">
        <v>79911</v>
      </c>
      <c r="V48" s="59">
        <v>77154</v>
      </c>
      <c r="W48" s="59">
        <v>74255</v>
      </c>
      <c r="X48" s="59">
        <v>70887</v>
      </c>
      <c r="Y48" s="59">
        <v>67361</v>
      </c>
      <c r="Z48" s="59">
        <v>63189</v>
      </c>
      <c r="AA48" s="15">
        <f t="shared" si="0"/>
        <v>1363608</v>
      </c>
      <c r="AB48" s="16">
        <v>5</v>
      </c>
      <c r="AC48" s="15">
        <f t="shared" si="1"/>
        <v>6818040</v>
      </c>
      <c r="AD48" s="112"/>
    </row>
    <row r="49" spans="1:30" x14ac:dyDescent="0.35">
      <c r="A49" s="78"/>
      <c r="B49" s="17" t="s">
        <v>41</v>
      </c>
      <c r="C49" s="59">
        <v>58856</v>
      </c>
      <c r="D49" s="59">
        <v>55206</v>
      </c>
      <c r="E49" s="59">
        <v>52416</v>
      </c>
      <c r="F49" s="59">
        <v>50229</v>
      </c>
      <c r="G49" s="59">
        <v>48859</v>
      </c>
      <c r="H49" s="59">
        <v>47068</v>
      </c>
      <c r="I49" s="59">
        <v>47176</v>
      </c>
      <c r="J49" s="59">
        <v>36237</v>
      </c>
      <c r="K49" s="59">
        <v>28064</v>
      </c>
      <c r="L49" s="59">
        <v>26001</v>
      </c>
      <c r="M49" s="59">
        <v>25707</v>
      </c>
      <c r="N49" s="59">
        <v>24472</v>
      </c>
      <c r="O49" s="59">
        <v>26726</v>
      </c>
      <c r="P49" s="59">
        <v>31942</v>
      </c>
      <c r="Q49" s="59">
        <v>41613</v>
      </c>
      <c r="R49" s="59">
        <v>50651</v>
      </c>
      <c r="S49" s="59">
        <v>55513</v>
      </c>
      <c r="T49" s="59">
        <v>67832</v>
      </c>
      <c r="U49" s="59">
        <v>72427</v>
      </c>
      <c r="V49" s="59">
        <v>72504</v>
      </c>
      <c r="W49" s="59">
        <v>71623</v>
      </c>
      <c r="X49" s="59">
        <v>70207</v>
      </c>
      <c r="Y49" s="59">
        <v>66867</v>
      </c>
      <c r="Z49" s="59">
        <v>61852</v>
      </c>
      <c r="AA49" s="15">
        <f t="shared" si="0"/>
        <v>1190048</v>
      </c>
      <c r="AB49" s="16">
        <v>4</v>
      </c>
      <c r="AC49" s="15">
        <f t="shared" si="1"/>
        <v>4760192</v>
      </c>
      <c r="AD49" s="112"/>
    </row>
    <row r="50" spans="1:30" x14ac:dyDescent="0.35">
      <c r="A50" s="79"/>
      <c r="B50" s="18" t="s">
        <v>42</v>
      </c>
      <c r="C50" s="59">
        <v>56594</v>
      </c>
      <c r="D50" s="59">
        <v>52763</v>
      </c>
      <c r="E50" s="59">
        <v>50270</v>
      </c>
      <c r="F50" s="59">
        <v>48476</v>
      </c>
      <c r="G50" s="59">
        <v>47781</v>
      </c>
      <c r="H50" s="59">
        <v>46315</v>
      </c>
      <c r="I50" s="59">
        <v>46611</v>
      </c>
      <c r="J50" s="59">
        <v>37631</v>
      </c>
      <c r="K50" s="59">
        <v>30827</v>
      </c>
      <c r="L50" s="59">
        <v>30542</v>
      </c>
      <c r="M50" s="59">
        <v>31343</v>
      </c>
      <c r="N50" s="59">
        <v>30754</v>
      </c>
      <c r="O50" s="59">
        <v>31408</v>
      </c>
      <c r="P50" s="59">
        <v>38267</v>
      </c>
      <c r="Q50" s="59">
        <v>48235</v>
      </c>
      <c r="R50" s="59">
        <v>57103</v>
      </c>
      <c r="S50" s="59">
        <v>61448</v>
      </c>
      <c r="T50" s="59">
        <v>72686</v>
      </c>
      <c r="U50" s="59">
        <v>77020</v>
      </c>
      <c r="V50" s="59">
        <v>76770</v>
      </c>
      <c r="W50" s="59">
        <v>75269</v>
      </c>
      <c r="X50" s="59">
        <v>72636</v>
      </c>
      <c r="Y50" s="59">
        <v>67478</v>
      </c>
      <c r="Z50" s="59">
        <v>61582</v>
      </c>
      <c r="AA50" s="15">
        <f t="shared" si="0"/>
        <v>1249809</v>
      </c>
      <c r="AB50" s="16">
        <v>2</v>
      </c>
      <c r="AC50" s="15">
        <f t="shared" si="1"/>
        <v>2499618</v>
      </c>
      <c r="AD50" s="113"/>
    </row>
    <row r="51" spans="1:30" x14ac:dyDescent="0.35">
      <c r="A51" s="77">
        <v>47818</v>
      </c>
      <c r="B51" s="13" t="s">
        <v>39</v>
      </c>
      <c r="C51" s="59">
        <v>57015</v>
      </c>
      <c r="D51" s="59">
        <v>53214</v>
      </c>
      <c r="E51" s="59">
        <v>50590</v>
      </c>
      <c r="F51" s="59">
        <v>48668</v>
      </c>
      <c r="G51" s="59">
        <v>48080</v>
      </c>
      <c r="H51" s="59">
        <v>48211</v>
      </c>
      <c r="I51" s="59">
        <v>49146</v>
      </c>
      <c r="J51" s="59">
        <v>42983</v>
      </c>
      <c r="K51" s="59">
        <v>39025</v>
      </c>
      <c r="L51" s="59">
        <v>38716</v>
      </c>
      <c r="M51" s="59">
        <v>39468</v>
      </c>
      <c r="N51" s="59">
        <v>38357</v>
      </c>
      <c r="O51" s="59">
        <v>34858</v>
      </c>
      <c r="P51" s="59">
        <v>43840</v>
      </c>
      <c r="Q51" s="59">
        <v>58834</v>
      </c>
      <c r="R51" s="59">
        <v>68728</v>
      </c>
      <c r="S51" s="59">
        <v>72632</v>
      </c>
      <c r="T51" s="59">
        <v>78561</v>
      </c>
      <c r="U51" s="59">
        <v>81435</v>
      </c>
      <c r="V51" s="59">
        <v>78139</v>
      </c>
      <c r="W51" s="59">
        <v>75015</v>
      </c>
      <c r="X51" s="59">
        <v>72157</v>
      </c>
      <c r="Y51" s="59">
        <v>67956</v>
      </c>
      <c r="Z51" s="59">
        <v>62559</v>
      </c>
      <c r="AA51" s="15">
        <f t="shared" si="0"/>
        <v>1348187</v>
      </c>
      <c r="AB51" s="16">
        <v>21</v>
      </c>
      <c r="AC51" s="15">
        <f t="shared" si="1"/>
        <v>28311927</v>
      </c>
      <c r="AD51" s="111">
        <f>+SUM(AC51:AC54)</f>
        <v>40248710</v>
      </c>
    </row>
    <row r="52" spans="1:30" x14ac:dyDescent="0.35">
      <c r="A52" s="78"/>
      <c r="B52" s="17" t="s">
        <v>40</v>
      </c>
      <c r="C52" s="59">
        <v>58373</v>
      </c>
      <c r="D52" s="59">
        <v>54336</v>
      </c>
      <c r="E52" s="59">
        <v>51394</v>
      </c>
      <c r="F52" s="59">
        <v>49247</v>
      </c>
      <c r="G52" s="59">
        <v>48275</v>
      </c>
      <c r="H52" s="59">
        <v>47957</v>
      </c>
      <c r="I52" s="59">
        <v>48385</v>
      </c>
      <c r="J52" s="59">
        <v>40762</v>
      </c>
      <c r="K52" s="59">
        <v>36382</v>
      </c>
      <c r="L52" s="59">
        <v>35748</v>
      </c>
      <c r="M52" s="59">
        <v>36213</v>
      </c>
      <c r="N52" s="59">
        <v>34933</v>
      </c>
      <c r="O52" s="59">
        <v>34142</v>
      </c>
      <c r="P52" s="59">
        <v>39852</v>
      </c>
      <c r="Q52" s="59">
        <v>50703</v>
      </c>
      <c r="R52" s="59">
        <v>59622</v>
      </c>
      <c r="S52" s="59">
        <v>63412</v>
      </c>
      <c r="T52" s="59">
        <v>72737</v>
      </c>
      <c r="U52" s="59">
        <v>78485</v>
      </c>
      <c r="V52" s="59">
        <v>76569</v>
      </c>
      <c r="W52" s="59">
        <v>72741</v>
      </c>
      <c r="X52" s="59">
        <v>69209</v>
      </c>
      <c r="Y52" s="59">
        <v>65706</v>
      </c>
      <c r="Z52" s="59">
        <v>61799</v>
      </c>
      <c r="AA52" s="15">
        <f t="shared" si="0"/>
        <v>1286982</v>
      </c>
      <c r="AB52" s="16">
        <v>4</v>
      </c>
      <c r="AC52" s="15">
        <f t="shared" si="1"/>
        <v>5147928</v>
      </c>
      <c r="AD52" s="112"/>
    </row>
    <row r="53" spans="1:30" x14ac:dyDescent="0.35">
      <c r="A53" s="78"/>
      <c r="B53" s="17" t="s">
        <v>41</v>
      </c>
      <c r="C53" s="59">
        <v>58898</v>
      </c>
      <c r="D53" s="59">
        <v>55144</v>
      </c>
      <c r="E53" s="59">
        <v>52252</v>
      </c>
      <c r="F53" s="59">
        <v>50072</v>
      </c>
      <c r="G53" s="59">
        <v>48704</v>
      </c>
      <c r="H53" s="59">
        <v>46338</v>
      </c>
      <c r="I53" s="59">
        <v>45504</v>
      </c>
      <c r="J53" s="59">
        <v>34121</v>
      </c>
      <c r="K53" s="59">
        <v>25827</v>
      </c>
      <c r="L53" s="59">
        <v>24051</v>
      </c>
      <c r="M53" s="59">
        <v>23349</v>
      </c>
      <c r="N53" s="59">
        <v>22265</v>
      </c>
      <c r="O53" s="59">
        <v>24256</v>
      </c>
      <c r="P53" s="59">
        <v>29726</v>
      </c>
      <c r="Q53" s="59">
        <v>39832</v>
      </c>
      <c r="R53" s="59">
        <v>50223</v>
      </c>
      <c r="S53" s="59">
        <v>55168</v>
      </c>
      <c r="T53" s="59">
        <v>66025</v>
      </c>
      <c r="U53" s="59">
        <v>72978</v>
      </c>
      <c r="V53" s="59">
        <v>72332</v>
      </c>
      <c r="W53" s="59">
        <v>70282</v>
      </c>
      <c r="X53" s="59">
        <v>67823</v>
      </c>
      <c r="Y53" s="59">
        <v>64032</v>
      </c>
      <c r="Z53" s="59">
        <v>59562</v>
      </c>
      <c r="AA53" s="15">
        <f t="shared" si="0"/>
        <v>1158764</v>
      </c>
      <c r="AB53" s="16">
        <v>5</v>
      </c>
      <c r="AC53" s="15">
        <f t="shared" si="1"/>
        <v>5793820</v>
      </c>
      <c r="AD53" s="112"/>
    </row>
    <row r="54" spans="1:30" x14ac:dyDescent="0.35">
      <c r="A54" s="79"/>
      <c r="B54" s="18" t="s">
        <v>42</v>
      </c>
      <c r="C54" s="59">
        <v>49864</v>
      </c>
      <c r="D54" s="59">
        <v>47862</v>
      </c>
      <c r="E54" s="59">
        <v>46247</v>
      </c>
      <c r="F54" s="59">
        <v>44663</v>
      </c>
      <c r="G54" s="59">
        <v>43599</v>
      </c>
      <c r="H54" s="59">
        <v>42441</v>
      </c>
      <c r="I54" s="59">
        <v>40966</v>
      </c>
      <c r="J54" s="59">
        <v>29287</v>
      </c>
      <c r="K54" s="59">
        <v>20065</v>
      </c>
      <c r="L54" s="59">
        <v>17634</v>
      </c>
      <c r="M54" s="59">
        <v>16529</v>
      </c>
      <c r="N54" s="59">
        <v>14833</v>
      </c>
      <c r="O54" s="59">
        <v>16682</v>
      </c>
      <c r="P54" s="59">
        <v>22502</v>
      </c>
      <c r="Q54" s="59">
        <v>31940</v>
      </c>
      <c r="R54" s="59">
        <v>41258</v>
      </c>
      <c r="S54" s="59">
        <v>46460</v>
      </c>
      <c r="T54" s="59">
        <v>56687</v>
      </c>
      <c r="U54" s="59">
        <v>63764</v>
      </c>
      <c r="V54" s="59">
        <v>64458</v>
      </c>
      <c r="W54" s="59">
        <v>63058</v>
      </c>
      <c r="X54" s="59">
        <v>61493</v>
      </c>
      <c r="Y54" s="59">
        <v>58548</v>
      </c>
      <c r="Z54" s="59">
        <v>54195</v>
      </c>
      <c r="AA54" s="15">
        <f t="shared" si="0"/>
        <v>995035</v>
      </c>
      <c r="AB54" s="16">
        <v>1</v>
      </c>
      <c r="AC54" s="15">
        <f t="shared" si="1"/>
        <v>995035</v>
      </c>
      <c r="AD54" s="113"/>
    </row>
    <row r="55" spans="1:30" x14ac:dyDescent="0.35">
      <c r="AD55" s="24">
        <f>+SUM(AD7:AD54)</f>
        <v>485028161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E64C-9D21-4DF3-A818-D2210819D01E}">
  <sheetPr>
    <tabColor rgb="FF92D050"/>
  </sheetPr>
  <dimension ref="C1:I32"/>
  <sheetViews>
    <sheetView showGridLines="0" topLeftCell="A5" workbookViewId="0">
      <selection activeCell="D20" sqref="D20:D21"/>
    </sheetView>
  </sheetViews>
  <sheetFormatPr baseColWidth="10" defaultRowHeight="14.5" x14ac:dyDescent="0.35"/>
  <cols>
    <col min="2" max="2" width="2.54296875" customWidth="1"/>
    <col min="4" max="4" width="19.54296875" bestFit="1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6" t="s">
        <v>43</v>
      </c>
      <c r="D1" s="76"/>
      <c r="E1" s="76"/>
      <c r="F1" s="76"/>
      <c r="G1" s="76"/>
    </row>
    <row r="2" spans="3:7" x14ac:dyDescent="0.35">
      <c r="C2" s="76"/>
      <c r="D2" s="76"/>
      <c r="E2" s="76"/>
      <c r="F2" s="76"/>
      <c r="G2" s="76"/>
    </row>
    <row r="3" spans="3:7" ht="15" thickBot="1" x14ac:dyDescent="0.4"/>
    <row r="4" spans="3:7" ht="15" thickBot="1" x14ac:dyDescent="0.4">
      <c r="C4" s="91" t="s">
        <v>46</v>
      </c>
      <c r="D4" s="92"/>
      <c r="E4" s="92"/>
      <c r="F4" s="92"/>
      <c r="G4" s="93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6" t="s">
        <v>6</v>
      </c>
      <c r="G5" s="56" t="s">
        <v>2</v>
      </c>
    </row>
    <row r="6" spans="3:7" x14ac:dyDescent="0.35">
      <c r="C6" s="3">
        <v>47484</v>
      </c>
      <c r="D6" s="4">
        <f>+VLOOKUP(C6,'PLANA P6 '!$A$4:$AD$55,30,FALSE)</f>
        <v>37200000</v>
      </c>
      <c r="E6" s="70" t="s">
        <v>1</v>
      </c>
      <c r="F6" s="1"/>
      <c r="G6" s="73" t="s">
        <v>3</v>
      </c>
    </row>
    <row r="7" spans="3:7" x14ac:dyDescent="0.35">
      <c r="C7" s="3">
        <v>47515</v>
      </c>
      <c r="D7" s="4">
        <f>+VLOOKUP(C7,'PLANA P6 '!$A$4:$AD$55,30,FALSE)</f>
        <v>33600000</v>
      </c>
      <c r="E7" s="71"/>
      <c r="F7" s="1"/>
      <c r="G7" s="74"/>
    </row>
    <row r="8" spans="3:7" x14ac:dyDescent="0.35">
      <c r="C8" s="3">
        <v>47543</v>
      </c>
      <c r="D8" s="4">
        <f>+VLOOKUP(C8,'PLANA P6 '!$A$4:$AD$55,30,FALSE)</f>
        <v>37200000</v>
      </c>
      <c r="E8" s="71"/>
      <c r="F8" s="1"/>
      <c r="G8" s="74"/>
    </row>
    <row r="9" spans="3:7" x14ac:dyDescent="0.35">
      <c r="C9" s="3">
        <v>47574</v>
      </c>
      <c r="D9" s="4">
        <f>+VLOOKUP(C9,'PLANA P6 '!$A$4:$AD$55,30,FALSE)</f>
        <v>36000000</v>
      </c>
      <c r="E9" s="71"/>
      <c r="F9" s="1"/>
      <c r="G9" s="74"/>
    </row>
    <row r="10" spans="3:7" x14ac:dyDescent="0.35">
      <c r="C10" s="3">
        <v>47604</v>
      </c>
      <c r="D10" s="4">
        <f>+VLOOKUP(C10,'PLANA P6 '!$A$4:$AD$55,30,FALSE)</f>
        <v>37200000</v>
      </c>
      <c r="E10" s="71"/>
      <c r="F10" s="1"/>
      <c r="G10" s="74"/>
    </row>
    <row r="11" spans="3:7" x14ac:dyDescent="0.35">
      <c r="C11" s="3">
        <v>47635</v>
      </c>
      <c r="D11" s="4">
        <f>+VLOOKUP(C11,'PLANA P6 '!$A$4:$AD$55,30,FALSE)</f>
        <v>36000000</v>
      </c>
      <c r="E11" s="71"/>
      <c r="F11" s="1"/>
      <c r="G11" s="74"/>
    </row>
    <row r="12" spans="3:7" x14ac:dyDescent="0.35">
      <c r="C12" s="3">
        <v>47665</v>
      </c>
      <c r="D12" s="4">
        <f>+VLOOKUP(C12,'PLANA P6 '!$A$4:$AD$55,30,FALSE)</f>
        <v>37200000</v>
      </c>
      <c r="E12" s="71"/>
      <c r="F12" s="1"/>
      <c r="G12" s="74"/>
    </row>
    <row r="13" spans="3:7" x14ac:dyDescent="0.35">
      <c r="C13" s="3">
        <v>47696</v>
      </c>
      <c r="D13" s="4">
        <f>+VLOOKUP(C13,'PLANA P6 '!$A$4:$AD$55,30,FALSE)</f>
        <v>37200000</v>
      </c>
      <c r="E13" s="71"/>
      <c r="F13" s="1"/>
      <c r="G13" s="74"/>
    </row>
    <row r="14" spans="3:7" x14ac:dyDescent="0.35">
      <c r="C14" s="3">
        <v>47727</v>
      </c>
      <c r="D14" s="4">
        <f>+VLOOKUP(C14,'PLANA P6 '!$A$4:$AD$55,30,FALSE)</f>
        <v>36000000</v>
      </c>
      <c r="E14" s="71"/>
      <c r="F14" s="1"/>
      <c r="G14" s="74"/>
    </row>
    <row r="15" spans="3:7" x14ac:dyDescent="0.35">
      <c r="C15" s="3">
        <v>47757</v>
      </c>
      <c r="D15" s="4">
        <f>+VLOOKUP(C15,'PLANA P6 '!$A$4:$AD$55,30,FALSE)</f>
        <v>37200000</v>
      </c>
      <c r="E15" s="71"/>
      <c r="F15" s="1"/>
      <c r="G15" s="74"/>
    </row>
    <row r="16" spans="3:7" x14ac:dyDescent="0.35">
      <c r="C16" s="3">
        <v>47788</v>
      </c>
      <c r="D16" s="4">
        <f>+VLOOKUP(C16,'PLANA P6 '!$A$4:$AD$55,30,FALSE)</f>
        <v>36000000</v>
      </c>
      <c r="E16" s="71"/>
      <c r="F16" s="1"/>
      <c r="G16" s="74"/>
    </row>
    <row r="17" spans="3:9" ht="15" thickBot="1" x14ac:dyDescent="0.4">
      <c r="C17" s="3">
        <v>47818</v>
      </c>
      <c r="D17" s="6">
        <f>+VLOOKUP(C17,'PLANA P6 '!$A$4:$AD$55,30,FALSE)</f>
        <v>37200000</v>
      </c>
      <c r="E17" s="72"/>
      <c r="F17" s="7"/>
      <c r="G17" s="75"/>
    </row>
    <row r="18" spans="3:9" ht="15" thickBot="1" x14ac:dyDescent="0.4">
      <c r="D18" s="26">
        <f>SUM(D6:D17)</f>
        <v>438000000</v>
      </c>
    </row>
    <row r="19" spans="3:9" x14ac:dyDescent="0.35">
      <c r="D19" s="21"/>
      <c r="I19" s="22"/>
    </row>
    <row r="20" spans="3:9" x14ac:dyDescent="0.35">
      <c r="D20" s="65"/>
      <c r="I20" s="22"/>
    </row>
    <row r="21" spans="3:9" x14ac:dyDescent="0.35">
      <c r="D21" s="66"/>
      <c r="I21" s="22"/>
    </row>
    <row r="22" spans="3:9" x14ac:dyDescent="0.35">
      <c r="I22" s="8"/>
    </row>
    <row r="32" spans="3:9" x14ac:dyDescent="0.35">
      <c r="D32" s="19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FF8F-5FC6-4DAF-BD74-4752575A4E34}">
  <dimension ref="A1:AD58"/>
  <sheetViews>
    <sheetView showGridLines="0" topLeftCell="O38" zoomScaleNormal="100" workbookViewId="0">
      <selection activeCell="Y48" sqref="Y48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06" t="s">
        <v>8</v>
      </c>
      <c r="B1" s="106"/>
      <c r="C1" s="106"/>
      <c r="D1" s="106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107" t="s">
        <v>43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85" t="s">
        <v>9</v>
      </c>
      <c r="B4" s="85"/>
      <c r="C4" s="86">
        <f>+AD55</f>
        <v>438000000</v>
      </c>
      <c r="D4" s="8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53"/>
      <c r="B6" s="57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1:30" x14ac:dyDescent="0.35">
      <c r="A7" s="114">
        <v>47484</v>
      </c>
      <c r="B7" s="58" t="s">
        <v>39</v>
      </c>
      <c r="C7" s="14">
        <v>50000</v>
      </c>
      <c r="D7" s="14">
        <v>50000</v>
      </c>
      <c r="E7" s="14">
        <v>50000</v>
      </c>
      <c r="F7" s="14">
        <v>50000</v>
      </c>
      <c r="G7" s="14">
        <v>50000</v>
      </c>
      <c r="H7" s="14">
        <v>50000</v>
      </c>
      <c r="I7" s="14">
        <v>50000</v>
      </c>
      <c r="J7" s="14">
        <v>50000</v>
      </c>
      <c r="K7" s="14">
        <v>50000</v>
      </c>
      <c r="L7" s="14">
        <v>50000</v>
      </c>
      <c r="M7" s="14">
        <v>50000</v>
      </c>
      <c r="N7" s="14">
        <v>50000</v>
      </c>
      <c r="O7" s="14">
        <v>50000</v>
      </c>
      <c r="P7" s="14">
        <v>50000</v>
      </c>
      <c r="Q7" s="14">
        <v>50000</v>
      </c>
      <c r="R7" s="14">
        <v>50000</v>
      </c>
      <c r="S7" s="14">
        <v>50000</v>
      </c>
      <c r="T7" s="14">
        <v>50000</v>
      </c>
      <c r="U7" s="14">
        <v>50000</v>
      </c>
      <c r="V7" s="14">
        <v>50000</v>
      </c>
      <c r="W7" s="14">
        <v>50000</v>
      </c>
      <c r="X7" s="14">
        <v>50000</v>
      </c>
      <c r="Y7" s="14">
        <v>50000</v>
      </c>
      <c r="Z7" s="14">
        <v>50000</v>
      </c>
      <c r="AA7" s="59">
        <f>SUM(C7:Z7)</f>
        <v>1200000</v>
      </c>
      <c r="AB7" s="54">
        <v>21</v>
      </c>
      <c r="AC7" s="59">
        <f>+AA7*AB7</f>
        <v>25200000</v>
      </c>
      <c r="AD7" s="117">
        <f>+SUM(AC7:AC10)</f>
        <v>37200000</v>
      </c>
    </row>
    <row r="8" spans="1:30" x14ac:dyDescent="0.35">
      <c r="A8" s="115"/>
      <c r="B8" s="60" t="s">
        <v>40</v>
      </c>
      <c r="C8" s="14">
        <v>50000</v>
      </c>
      <c r="D8" s="14">
        <v>50000</v>
      </c>
      <c r="E8" s="14">
        <v>50000</v>
      </c>
      <c r="F8" s="14">
        <v>50000</v>
      </c>
      <c r="G8" s="14">
        <v>50000</v>
      </c>
      <c r="H8" s="14">
        <v>50000</v>
      </c>
      <c r="I8" s="14">
        <v>50000</v>
      </c>
      <c r="J8" s="14">
        <v>50000</v>
      </c>
      <c r="K8" s="14">
        <v>50000</v>
      </c>
      <c r="L8" s="14">
        <v>50000</v>
      </c>
      <c r="M8" s="14">
        <v>50000</v>
      </c>
      <c r="N8" s="14">
        <v>50000</v>
      </c>
      <c r="O8" s="14">
        <v>50000</v>
      </c>
      <c r="P8" s="14">
        <v>50000</v>
      </c>
      <c r="Q8" s="14">
        <v>50000</v>
      </c>
      <c r="R8" s="14">
        <v>50000</v>
      </c>
      <c r="S8" s="14">
        <v>50000</v>
      </c>
      <c r="T8" s="14">
        <v>50000</v>
      </c>
      <c r="U8" s="14">
        <v>50000</v>
      </c>
      <c r="V8" s="14">
        <v>50000</v>
      </c>
      <c r="W8" s="14">
        <v>50000</v>
      </c>
      <c r="X8" s="14">
        <v>50000</v>
      </c>
      <c r="Y8" s="14">
        <v>50000</v>
      </c>
      <c r="Z8" s="14">
        <v>50000</v>
      </c>
      <c r="AA8" s="59">
        <f t="shared" ref="AA8:AA54" si="0">SUM(C8:Z8)</f>
        <v>1200000</v>
      </c>
      <c r="AB8" s="54">
        <v>4</v>
      </c>
      <c r="AC8" s="59">
        <f t="shared" ref="AC8:AC54" si="1">+AA8*AB8</f>
        <v>4800000</v>
      </c>
      <c r="AD8" s="118"/>
    </row>
    <row r="9" spans="1:30" x14ac:dyDescent="0.35">
      <c r="A9" s="115"/>
      <c r="B9" s="60" t="s">
        <v>41</v>
      </c>
      <c r="C9" s="14">
        <v>50000</v>
      </c>
      <c r="D9" s="14">
        <v>50000</v>
      </c>
      <c r="E9" s="14">
        <v>50000</v>
      </c>
      <c r="F9" s="14">
        <v>50000</v>
      </c>
      <c r="G9" s="14">
        <v>50000</v>
      </c>
      <c r="H9" s="14">
        <v>50000</v>
      </c>
      <c r="I9" s="14">
        <v>50000</v>
      </c>
      <c r="J9" s="14">
        <v>50000</v>
      </c>
      <c r="K9" s="14">
        <v>50000</v>
      </c>
      <c r="L9" s="14">
        <v>50000</v>
      </c>
      <c r="M9" s="14">
        <v>50000</v>
      </c>
      <c r="N9" s="14">
        <v>50000</v>
      </c>
      <c r="O9" s="14">
        <v>50000</v>
      </c>
      <c r="P9" s="14">
        <v>50000</v>
      </c>
      <c r="Q9" s="14">
        <v>50000</v>
      </c>
      <c r="R9" s="14">
        <v>50000</v>
      </c>
      <c r="S9" s="14">
        <v>50000</v>
      </c>
      <c r="T9" s="14">
        <v>50000</v>
      </c>
      <c r="U9" s="14">
        <v>50000</v>
      </c>
      <c r="V9" s="14">
        <v>50000</v>
      </c>
      <c r="W9" s="14">
        <v>50000</v>
      </c>
      <c r="X9" s="14">
        <v>50000</v>
      </c>
      <c r="Y9" s="14">
        <v>50000</v>
      </c>
      <c r="Z9" s="14">
        <v>50000</v>
      </c>
      <c r="AA9" s="59">
        <f t="shared" si="0"/>
        <v>1200000</v>
      </c>
      <c r="AB9" s="54">
        <v>4</v>
      </c>
      <c r="AC9" s="59">
        <f t="shared" si="1"/>
        <v>4800000</v>
      </c>
      <c r="AD9" s="118"/>
    </row>
    <row r="10" spans="1:30" x14ac:dyDescent="0.35">
      <c r="A10" s="116"/>
      <c r="B10" s="61" t="s">
        <v>42</v>
      </c>
      <c r="C10" s="14">
        <v>50000</v>
      </c>
      <c r="D10" s="14">
        <v>50000</v>
      </c>
      <c r="E10" s="14">
        <v>50000</v>
      </c>
      <c r="F10" s="14">
        <v>50000</v>
      </c>
      <c r="G10" s="14">
        <v>50000</v>
      </c>
      <c r="H10" s="14">
        <v>50000</v>
      </c>
      <c r="I10" s="14">
        <v>50000</v>
      </c>
      <c r="J10" s="14">
        <v>50000</v>
      </c>
      <c r="K10" s="14">
        <v>50000</v>
      </c>
      <c r="L10" s="14">
        <v>50000</v>
      </c>
      <c r="M10" s="14">
        <v>50000</v>
      </c>
      <c r="N10" s="14">
        <v>50000</v>
      </c>
      <c r="O10" s="14">
        <v>50000</v>
      </c>
      <c r="P10" s="14">
        <v>50000</v>
      </c>
      <c r="Q10" s="14">
        <v>50000</v>
      </c>
      <c r="R10" s="14">
        <v>50000</v>
      </c>
      <c r="S10" s="14">
        <v>50000</v>
      </c>
      <c r="T10" s="14">
        <v>50000</v>
      </c>
      <c r="U10" s="14">
        <v>50000</v>
      </c>
      <c r="V10" s="14">
        <v>50000</v>
      </c>
      <c r="W10" s="14">
        <v>50000</v>
      </c>
      <c r="X10" s="14">
        <v>50000</v>
      </c>
      <c r="Y10" s="14">
        <v>50000</v>
      </c>
      <c r="Z10" s="14">
        <v>50000</v>
      </c>
      <c r="AA10" s="59">
        <f t="shared" si="0"/>
        <v>1200000</v>
      </c>
      <c r="AB10" s="54">
        <v>2</v>
      </c>
      <c r="AC10" s="59">
        <f t="shared" si="1"/>
        <v>2400000</v>
      </c>
      <c r="AD10" s="119"/>
    </row>
    <row r="11" spans="1:30" x14ac:dyDescent="0.35">
      <c r="A11" s="114">
        <v>47515</v>
      </c>
      <c r="B11" s="58" t="s">
        <v>39</v>
      </c>
      <c r="C11" s="14">
        <v>50000</v>
      </c>
      <c r="D11" s="14">
        <v>50000</v>
      </c>
      <c r="E11" s="14">
        <v>50000</v>
      </c>
      <c r="F11" s="14">
        <v>50000</v>
      </c>
      <c r="G11" s="14">
        <v>50000</v>
      </c>
      <c r="H11" s="14">
        <v>50000</v>
      </c>
      <c r="I11" s="14">
        <v>50000</v>
      </c>
      <c r="J11" s="14">
        <v>50000</v>
      </c>
      <c r="K11" s="14">
        <v>50000</v>
      </c>
      <c r="L11" s="14">
        <v>50000</v>
      </c>
      <c r="M11" s="14">
        <v>50000</v>
      </c>
      <c r="N11" s="14">
        <v>50000</v>
      </c>
      <c r="O11" s="14">
        <v>50000</v>
      </c>
      <c r="P11" s="14">
        <v>50000</v>
      </c>
      <c r="Q11" s="14">
        <v>50000</v>
      </c>
      <c r="R11" s="14">
        <v>50000</v>
      </c>
      <c r="S11" s="14">
        <v>50000</v>
      </c>
      <c r="T11" s="14">
        <v>50000</v>
      </c>
      <c r="U11" s="14">
        <v>50000</v>
      </c>
      <c r="V11" s="14">
        <v>50000</v>
      </c>
      <c r="W11" s="14">
        <v>50000</v>
      </c>
      <c r="X11" s="14">
        <v>50000</v>
      </c>
      <c r="Y11" s="14">
        <v>50000</v>
      </c>
      <c r="Z11" s="14">
        <v>50000</v>
      </c>
      <c r="AA11" s="59">
        <f t="shared" si="0"/>
        <v>1200000</v>
      </c>
      <c r="AB11" s="54">
        <v>20</v>
      </c>
      <c r="AC11" s="59">
        <f t="shared" si="1"/>
        <v>24000000</v>
      </c>
      <c r="AD11" s="117">
        <f>+SUM(AC11:AC14)</f>
        <v>33600000</v>
      </c>
    </row>
    <row r="12" spans="1:30" x14ac:dyDescent="0.35">
      <c r="A12" s="115"/>
      <c r="B12" s="60" t="s">
        <v>40</v>
      </c>
      <c r="C12" s="14">
        <v>50000</v>
      </c>
      <c r="D12" s="14">
        <v>50000</v>
      </c>
      <c r="E12" s="14">
        <v>50000</v>
      </c>
      <c r="F12" s="14">
        <v>50000</v>
      </c>
      <c r="G12" s="14">
        <v>50000</v>
      </c>
      <c r="H12" s="14">
        <v>50000</v>
      </c>
      <c r="I12" s="14">
        <v>50000</v>
      </c>
      <c r="J12" s="14">
        <v>50000</v>
      </c>
      <c r="K12" s="14">
        <v>50000</v>
      </c>
      <c r="L12" s="14">
        <v>50000</v>
      </c>
      <c r="M12" s="14">
        <v>50000</v>
      </c>
      <c r="N12" s="14">
        <v>50000</v>
      </c>
      <c r="O12" s="14">
        <v>50000</v>
      </c>
      <c r="P12" s="14">
        <v>50000</v>
      </c>
      <c r="Q12" s="14">
        <v>50000</v>
      </c>
      <c r="R12" s="14">
        <v>50000</v>
      </c>
      <c r="S12" s="14">
        <v>50000</v>
      </c>
      <c r="T12" s="14">
        <v>50000</v>
      </c>
      <c r="U12" s="14">
        <v>50000</v>
      </c>
      <c r="V12" s="14">
        <v>50000</v>
      </c>
      <c r="W12" s="14">
        <v>50000</v>
      </c>
      <c r="X12" s="14">
        <v>50000</v>
      </c>
      <c r="Y12" s="14">
        <v>50000</v>
      </c>
      <c r="Z12" s="14">
        <v>50000</v>
      </c>
      <c r="AA12" s="59">
        <f t="shared" si="0"/>
        <v>1200000</v>
      </c>
      <c r="AB12" s="54">
        <v>4</v>
      </c>
      <c r="AC12" s="59">
        <f t="shared" si="1"/>
        <v>4800000</v>
      </c>
      <c r="AD12" s="118"/>
    </row>
    <row r="13" spans="1:30" x14ac:dyDescent="0.35">
      <c r="A13" s="115"/>
      <c r="B13" s="60" t="s">
        <v>41</v>
      </c>
      <c r="C13" s="14">
        <v>50000</v>
      </c>
      <c r="D13" s="14">
        <v>50000</v>
      </c>
      <c r="E13" s="14">
        <v>50000</v>
      </c>
      <c r="F13" s="14">
        <v>50000</v>
      </c>
      <c r="G13" s="14">
        <v>50000</v>
      </c>
      <c r="H13" s="14">
        <v>50000</v>
      </c>
      <c r="I13" s="14">
        <v>50000</v>
      </c>
      <c r="J13" s="14">
        <v>50000</v>
      </c>
      <c r="K13" s="14">
        <v>50000</v>
      </c>
      <c r="L13" s="14">
        <v>50000</v>
      </c>
      <c r="M13" s="14">
        <v>50000</v>
      </c>
      <c r="N13" s="14">
        <v>50000</v>
      </c>
      <c r="O13" s="14">
        <v>50000</v>
      </c>
      <c r="P13" s="14">
        <v>50000</v>
      </c>
      <c r="Q13" s="14">
        <v>50000</v>
      </c>
      <c r="R13" s="14">
        <v>50000</v>
      </c>
      <c r="S13" s="14">
        <v>50000</v>
      </c>
      <c r="T13" s="14">
        <v>50000</v>
      </c>
      <c r="U13" s="14">
        <v>50000</v>
      </c>
      <c r="V13" s="14">
        <v>50000</v>
      </c>
      <c r="W13" s="14">
        <v>50000</v>
      </c>
      <c r="X13" s="14">
        <v>50000</v>
      </c>
      <c r="Y13" s="14">
        <v>50000</v>
      </c>
      <c r="Z13" s="14">
        <v>50000</v>
      </c>
      <c r="AA13" s="59">
        <f t="shared" si="0"/>
        <v>1200000</v>
      </c>
      <c r="AB13" s="54">
        <v>4</v>
      </c>
      <c r="AC13" s="59">
        <f t="shared" si="1"/>
        <v>4800000</v>
      </c>
      <c r="AD13" s="118"/>
    </row>
    <row r="14" spans="1:30" x14ac:dyDescent="0.35">
      <c r="A14" s="116"/>
      <c r="B14" s="61" t="s">
        <v>42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f t="shared" si="0"/>
        <v>0</v>
      </c>
      <c r="AB14" s="54">
        <v>0</v>
      </c>
      <c r="AC14" s="59">
        <f t="shared" si="1"/>
        <v>0</v>
      </c>
      <c r="AD14" s="119"/>
    </row>
    <row r="15" spans="1:30" x14ac:dyDescent="0.35">
      <c r="A15" s="114">
        <v>47543</v>
      </c>
      <c r="B15" s="58" t="s">
        <v>39</v>
      </c>
      <c r="C15" s="59">
        <v>50000</v>
      </c>
      <c r="D15" s="59">
        <v>50000</v>
      </c>
      <c r="E15" s="59">
        <v>50000</v>
      </c>
      <c r="F15" s="59">
        <v>50000</v>
      </c>
      <c r="G15" s="59">
        <v>50000</v>
      </c>
      <c r="H15" s="59">
        <v>50000</v>
      </c>
      <c r="I15" s="59">
        <v>50000</v>
      </c>
      <c r="J15" s="59">
        <v>50000</v>
      </c>
      <c r="K15" s="59">
        <v>50000</v>
      </c>
      <c r="L15" s="59">
        <v>50000</v>
      </c>
      <c r="M15" s="59">
        <v>50000</v>
      </c>
      <c r="N15" s="59">
        <v>50000</v>
      </c>
      <c r="O15" s="59">
        <v>50000</v>
      </c>
      <c r="P15" s="59">
        <v>50000</v>
      </c>
      <c r="Q15" s="59">
        <v>50000</v>
      </c>
      <c r="R15" s="59">
        <v>50000</v>
      </c>
      <c r="S15" s="59">
        <v>50000</v>
      </c>
      <c r="T15" s="59">
        <v>50000</v>
      </c>
      <c r="U15" s="59">
        <v>50000</v>
      </c>
      <c r="V15" s="59">
        <v>50000</v>
      </c>
      <c r="W15" s="59">
        <v>50000</v>
      </c>
      <c r="X15" s="59">
        <v>50000</v>
      </c>
      <c r="Y15" s="59">
        <v>50000</v>
      </c>
      <c r="Z15" s="59">
        <v>50000</v>
      </c>
      <c r="AA15" s="59">
        <f t="shared" si="0"/>
        <v>1200000</v>
      </c>
      <c r="AB15" s="54">
        <v>20</v>
      </c>
      <c r="AC15" s="59">
        <f t="shared" si="1"/>
        <v>24000000</v>
      </c>
      <c r="AD15" s="117">
        <f>+SUM(AC15:AC18)</f>
        <v>37200000</v>
      </c>
    </row>
    <row r="16" spans="1:30" x14ac:dyDescent="0.35">
      <c r="A16" s="115"/>
      <c r="B16" s="60" t="s">
        <v>40</v>
      </c>
      <c r="C16" s="59">
        <v>50000</v>
      </c>
      <c r="D16" s="59">
        <v>50000</v>
      </c>
      <c r="E16" s="59">
        <v>50000</v>
      </c>
      <c r="F16" s="59">
        <v>50000</v>
      </c>
      <c r="G16" s="59">
        <v>50000</v>
      </c>
      <c r="H16" s="59">
        <v>50000</v>
      </c>
      <c r="I16" s="59">
        <v>50000</v>
      </c>
      <c r="J16" s="59">
        <v>50000</v>
      </c>
      <c r="K16" s="59">
        <v>50000</v>
      </c>
      <c r="L16" s="59">
        <v>50000</v>
      </c>
      <c r="M16" s="59">
        <v>50000</v>
      </c>
      <c r="N16" s="59">
        <v>50000</v>
      </c>
      <c r="O16" s="59">
        <v>50000</v>
      </c>
      <c r="P16" s="59">
        <v>50000</v>
      </c>
      <c r="Q16" s="59">
        <v>50000</v>
      </c>
      <c r="R16" s="59">
        <v>50000</v>
      </c>
      <c r="S16" s="59">
        <v>50000</v>
      </c>
      <c r="T16" s="59">
        <v>50000</v>
      </c>
      <c r="U16" s="59">
        <v>50000</v>
      </c>
      <c r="V16" s="59">
        <v>50000</v>
      </c>
      <c r="W16" s="59">
        <v>50000</v>
      </c>
      <c r="X16" s="59">
        <v>50000</v>
      </c>
      <c r="Y16" s="59">
        <v>50000</v>
      </c>
      <c r="Z16" s="59">
        <v>50000</v>
      </c>
      <c r="AA16" s="59">
        <f t="shared" si="0"/>
        <v>1200000</v>
      </c>
      <c r="AB16" s="54">
        <v>5</v>
      </c>
      <c r="AC16" s="59">
        <f t="shared" si="1"/>
        <v>6000000</v>
      </c>
      <c r="AD16" s="118"/>
    </row>
    <row r="17" spans="1:30" x14ac:dyDescent="0.35">
      <c r="A17" s="115"/>
      <c r="B17" s="60" t="s">
        <v>41</v>
      </c>
      <c r="C17" s="59">
        <v>50000</v>
      </c>
      <c r="D17" s="59">
        <v>50000</v>
      </c>
      <c r="E17" s="59">
        <v>50000</v>
      </c>
      <c r="F17" s="59">
        <v>50000</v>
      </c>
      <c r="G17" s="59">
        <v>50000</v>
      </c>
      <c r="H17" s="59">
        <v>50000</v>
      </c>
      <c r="I17" s="59">
        <v>50000</v>
      </c>
      <c r="J17" s="59">
        <v>50000</v>
      </c>
      <c r="K17" s="59">
        <v>50000</v>
      </c>
      <c r="L17" s="59">
        <v>50000</v>
      </c>
      <c r="M17" s="59">
        <v>50000</v>
      </c>
      <c r="N17" s="59">
        <v>50000</v>
      </c>
      <c r="O17" s="59">
        <v>50000</v>
      </c>
      <c r="P17" s="59">
        <v>50000</v>
      </c>
      <c r="Q17" s="59">
        <v>50000</v>
      </c>
      <c r="R17" s="59">
        <v>50000</v>
      </c>
      <c r="S17" s="59">
        <v>50000</v>
      </c>
      <c r="T17" s="59">
        <v>50000</v>
      </c>
      <c r="U17" s="59">
        <v>50000</v>
      </c>
      <c r="V17" s="59">
        <v>50000</v>
      </c>
      <c r="W17" s="59">
        <v>50000</v>
      </c>
      <c r="X17" s="59">
        <v>50000</v>
      </c>
      <c r="Y17" s="59">
        <v>50000</v>
      </c>
      <c r="Z17" s="59">
        <v>50000</v>
      </c>
      <c r="AA17" s="59">
        <f t="shared" si="0"/>
        <v>1200000</v>
      </c>
      <c r="AB17" s="54">
        <v>5</v>
      </c>
      <c r="AC17" s="59">
        <f t="shared" si="1"/>
        <v>6000000</v>
      </c>
      <c r="AD17" s="118"/>
    </row>
    <row r="18" spans="1:30" x14ac:dyDescent="0.35">
      <c r="A18" s="116"/>
      <c r="B18" s="61" t="s">
        <v>42</v>
      </c>
      <c r="C18" s="59">
        <v>50000</v>
      </c>
      <c r="D18" s="59">
        <v>50000</v>
      </c>
      <c r="E18" s="59">
        <v>50000</v>
      </c>
      <c r="F18" s="59">
        <v>50000</v>
      </c>
      <c r="G18" s="59">
        <v>50000</v>
      </c>
      <c r="H18" s="59">
        <v>50000</v>
      </c>
      <c r="I18" s="59">
        <v>50000</v>
      </c>
      <c r="J18" s="59">
        <v>50000</v>
      </c>
      <c r="K18" s="59">
        <v>50000</v>
      </c>
      <c r="L18" s="59">
        <v>50000</v>
      </c>
      <c r="M18" s="59">
        <v>50000</v>
      </c>
      <c r="N18" s="59">
        <v>50000</v>
      </c>
      <c r="O18" s="59">
        <v>50000</v>
      </c>
      <c r="P18" s="59">
        <v>50000</v>
      </c>
      <c r="Q18" s="59">
        <v>50000</v>
      </c>
      <c r="R18" s="59">
        <v>50000</v>
      </c>
      <c r="S18" s="59">
        <v>50000</v>
      </c>
      <c r="T18" s="59">
        <v>50000</v>
      </c>
      <c r="U18" s="59">
        <v>50000</v>
      </c>
      <c r="V18" s="59">
        <v>50000</v>
      </c>
      <c r="W18" s="59">
        <v>50000</v>
      </c>
      <c r="X18" s="59">
        <v>50000</v>
      </c>
      <c r="Y18" s="59">
        <v>50000</v>
      </c>
      <c r="Z18" s="59">
        <v>50000</v>
      </c>
      <c r="AA18" s="59">
        <f t="shared" si="0"/>
        <v>1200000</v>
      </c>
      <c r="AB18" s="54">
        <v>1</v>
      </c>
      <c r="AC18" s="59">
        <f t="shared" si="1"/>
        <v>1200000</v>
      </c>
      <c r="AD18" s="119"/>
    </row>
    <row r="19" spans="1:30" x14ac:dyDescent="0.35">
      <c r="A19" s="114">
        <v>47574</v>
      </c>
      <c r="B19" s="58" t="s">
        <v>39</v>
      </c>
      <c r="C19" s="59">
        <v>50000</v>
      </c>
      <c r="D19" s="59">
        <v>50000</v>
      </c>
      <c r="E19" s="59">
        <v>50000</v>
      </c>
      <c r="F19" s="59">
        <v>50000</v>
      </c>
      <c r="G19" s="59">
        <v>50000</v>
      </c>
      <c r="H19" s="59">
        <v>50000</v>
      </c>
      <c r="I19" s="59">
        <v>50000</v>
      </c>
      <c r="J19" s="59">
        <v>50000</v>
      </c>
      <c r="K19" s="59">
        <v>50000</v>
      </c>
      <c r="L19" s="59">
        <v>50000</v>
      </c>
      <c r="M19" s="59">
        <v>50000</v>
      </c>
      <c r="N19" s="59">
        <v>50000</v>
      </c>
      <c r="O19" s="59">
        <v>50000</v>
      </c>
      <c r="P19" s="59">
        <v>50000</v>
      </c>
      <c r="Q19" s="59">
        <v>50000</v>
      </c>
      <c r="R19" s="59">
        <v>50000</v>
      </c>
      <c r="S19" s="59">
        <v>50000</v>
      </c>
      <c r="T19" s="59">
        <v>50000</v>
      </c>
      <c r="U19" s="59">
        <v>50000</v>
      </c>
      <c r="V19" s="59">
        <v>50000</v>
      </c>
      <c r="W19" s="59">
        <v>50000</v>
      </c>
      <c r="X19" s="59">
        <v>50000</v>
      </c>
      <c r="Y19" s="59">
        <v>50000</v>
      </c>
      <c r="Z19" s="59">
        <v>50000</v>
      </c>
      <c r="AA19" s="59">
        <f t="shared" si="0"/>
        <v>1200000</v>
      </c>
      <c r="AB19" s="54">
        <v>20</v>
      </c>
      <c r="AC19" s="59">
        <f t="shared" si="1"/>
        <v>24000000</v>
      </c>
      <c r="AD19" s="117">
        <f>+SUM(AC19:AC22)</f>
        <v>36000000</v>
      </c>
    </row>
    <row r="20" spans="1:30" x14ac:dyDescent="0.35">
      <c r="A20" s="115"/>
      <c r="B20" s="60" t="s">
        <v>40</v>
      </c>
      <c r="C20" s="59">
        <v>50000</v>
      </c>
      <c r="D20" s="59">
        <v>50000</v>
      </c>
      <c r="E20" s="59">
        <v>50000</v>
      </c>
      <c r="F20" s="59">
        <v>50000</v>
      </c>
      <c r="G20" s="59">
        <v>50000</v>
      </c>
      <c r="H20" s="59">
        <v>50000</v>
      </c>
      <c r="I20" s="59">
        <v>50000</v>
      </c>
      <c r="J20" s="59">
        <v>50000</v>
      </c>
      <c r="K20" s="59">
        <v>50000</v>
      </c>
      <c r="L20" s="59">
        <v>50000</v>
      </c>
      <c r="M20" s="59">
        <v>50000</v>
      </c>
      <c r="N20" s="59">
        <v>50000</v>
      </c>
      <c r="O20" s="59">
        <v>50000</v>
      </c>
      <c r="P20" s="59">
        <v>50000</v>
      </c>
      <c r="Q20" s="59">
        <v>50000</v>
      </c>
      <c r="R20" s="59">
        <v>50000</v>
      </c>
      <c r="S20" s="59">
        <v>50000</v>
      </c>
      <c r="T20" s="59">
        <v>50000</v>
      </c>
      <c r="U20" s="59">
        <v>50000</v>
      </c>
      <c r="V20" s="59">
        <v>50000</v>
      </c>
      <c r="W20" s="59">
        <v>50000</v>
      </c>
      <c r="X20" s="59">
        <v>50000</v>
      </c>
      <c r="Y20" s="59">
        <v>50000</v>
      </c>
      <c r="Z20" s="59">
        <v>50000</v>
      </c>
      <c r="AA20" s="59">
        <f t="shared" si="0"/>
        <v>1200000</v>
      </c>
      <c r="AB20" s="54">
        <v>4</v>
      </c>
      <c r="AC20" s="59">
        <f t="shared" si="1"/>
        <v>4800000</v>
      </c>
      <c r="AD20" s="118"/>
    </row>
    <row r="21" spans="1:30" x14ac:dyDescent="0.35">
      <c r="A21" s="115"/>
      <c r="B21" s="60" t="s">
        <v>41</v>
      </c>
      <c r="C21" s="59">
        <v>50000</v>
      </c>
      <c r="D21" s="59">
        <v>50000</v>
      </c>
      <c r="E21" s="59">
        <v>50000</v>
      </c>
      <c r="F21" s="59">
        <v>50000</v>
      </c>
      <c r="G21" s="59">
        <v>50000</v>
      </c>
      <c r="H21" s="59">
        <v>50000</v>
      </c>
      <c r="I21" s="59">
        <v>50000</v>
      </c>
      <c r="J21" s="59">
        <v>50000</v>
      </c>
      <c r="K21" s="59">
        <v>50000</v>
      </c>
      <c r="L21" s="59">
        <v>50000</v>
      </c>
      <c r="M21" s="59">
        <v>50000</v>
      </c>
      <c r="N21" s="59">
        <v>50000</v>
      </c>
      <c r="O21" s="59">
        <v>50000</v>
      </c>
      <c r="P21" s="59">
        <v>50000</v>
      </c>
      <c r="Q21" s="59">
        <v>50000</v>
      </c>
      <c r="R21" s="59">
        <v>50000</v>
      </c>
      <c r="S21" s="59">
        <v>50000</v>
      </c>
      <c r="T21" s="59">
        <v>50000</v>
      </c>
      <c r="U21" s="59">
        <v>50000</v>
      </c>
      <c r="V21" s="59">
        <v>50000</v>
      </c>
      <c r="W21" s="59">
        <v>50000</v>
      </c>
      <c r="X21" s="59">
        <v>50000</v>
      </c>
      <c r="Y21" s="59">
        <v>50000</v>
      </c>
      <c r="Z21" s="59">
        <v>50000</v>
      </c>
      <c r="AA21" s="59">
        <f t="shared" si="0"/>
        <v>1200000</v>
      </c>
      <c r="AB21" s="54">
        <v>4</v>
      </c>
      <c r="AC21" s="59">
        <f t="shared" si="1"/>
        <v>4800000</v>
      </c>
      <c r="AD21" s="118"/>
    </row>
    <row r="22" spans="1:30" x14ac:dyDescent="0.35">
      <c r="A22" s="116"/>
      <c r="B22" s="61" t="s">
        <v>42</v>
      </c>
      <c r="C22" s="59">
        <v>50000</v>
      </c>
      <c r="D22" s="59">
        <v>50000</v>
      </c>
      <c r="E22" s="59">
        <v>50000</v>
      </c>
      <c r="F22" s="59">
        <v>50000</v>
      </c>
      <c r="G22" s="59">
        <v>50000</v>
      </c>
      <c r="H22" s="59">
        <v>50000</v>
      </c>
      <c r="I22" s="59">
        <v>50000</v>
      </c>
      <c r="J22" s="59">
        <v>50000</v>
      </c>
      <c r="K22" s="59">
        <v>50000</v>
      </c>
      <c r="L22" s="59">
        <v>50000</v>
      </c>
      <c r="M22" s="59">
        <v>50000</v>
      </c>
      <c r="N22" s="59">
        <v>50000</v>
      </c>
      <c r="O22" s="59">
        <v>50000</v>
      </c>
      <c r="P22" s="59">
        <v>50000</v>
      </c>
      <c r="Q22" s="59">
        <v>50000</v>
      </c>
      <c r="R22" s="59">
        <v>50000</v>
      </c>
      <c r="S22" s="59">
        <v>50000</v>
      </c>
      <c r="T22" s="59">
        <v>50000</v>
      </c>
      <c r="U22" s="59">
        <v>50000</v>
      </c>
      <c r="V22" s="59">
        <v>50000</v>
      </c>
      <c r="W22" s="59">
        <v>50000</v>
      </c>
      <c r="X22" s="59">
        <v>50000</v>
      </c>
      <c r="Y22" s="59">
        <v>50000</v>
      </c>
      <c r="Z22" s="59">
        <v>50000</v>
      </c>
      <c r="AA22" s="59">
        <f t="shared" si="0"/>
        <v>1200000</v>
      </c>
      <c r="AB22" s="54">
        <v>2</v>
      </c>
      <c r="AC22" s="59">
        <f t="shared" si="1"/>
        <v>2400000</v>
      </c>
      <c r="AD22" s="119"/>
    </row>
    <row r="23" spans="1:30" x14ac:dyDescent="0.35">
      <c r="A23" s="114">
        <v>47604</v>
      </c>
      <c r="B23" s="58" t="s">
        <v>39</v>
      </c>
      <c r="C23" s="59">
        <v>50000</v>
      </c>
      <c r="D23" s="59">
        <v>50000</v>
      </c>
      <c r="E23" s="59">
        <v>50000</v>
      </c>
      <c r="F23" s="59">
        <v>50000</v>
      </c>
      <c r="G23" s="59">
        <v>50000</v>
      </c>
      <c r="H23" s="59">
        <v>50000</v>
      </c>
      <c r="I23" s="59">
        <v>50000</v>
      </c>
      <c r="J23" s="59">
        <v>50000</v>
      </c>
      <c r="K23" s="59">
        <v>50000</v>
      </c>
      <c r="L23" s="59">
        <v>50000</v>
      </c>
      <c r="M23" s="59">
        <v>50000</v>
      </c>
      <c r="N23" s="59">
        <v>50000</v>
      </c>
      <c r="O23" s="59">
        <v>50000</v>
      </c>
      <c r="P23" s="59">
        <v>50000</v>
      </c>
      <c r="Q23" s="59">
        <v>50000</v>
      </c>
      <c r="R23" s="59">
        <v>50000</v>
      </c>
      <c r="S23" s="59">
        <v>50000</v>
      </c>
      <c r="T23" s="59">
        <v>50000</v>
      </c>
      <c r="U23" s="59">
        <v>50000</v>
      </c>
      <c r="V23" s="59">
        <v>50000</v>
      </c>
      <c r="W23" s="59">
        <v>50000</v>
      </c>
      <c r="X23" s="59">
        <v>50000</v>
      </c>
      <c r="Y23" s="59">
        <v>50000</v>
      </c>
      <c r="Z23" s="59">
        <v>50000</v>
      </c>
      <c r="AA23" s="59">
        <f t="shared" si="0"/>
        <v>1200000</v>
      </c>
      <c r="AB23" s="54">
        <v>22</v>
      </c>
      <c r="AC23" s="59">
        <f t="shared" si="1"/>
        <v>26400000</v>
      </c>
      <c r="AD23" s="117">
        <f>+SUM(AC23:AC26)</f>
        <v>37200000</v>
      </c>
    </row>
    <row r="24" spans="1:30" x14ac:dyDescent="0.35">
      <c r="A24" s="115"/>
      <c r="B24" s="60" t="s">
        <v>40</v>
      </c>
      <c r="C24" s="59">
        <v>50000</v>
      </c>
      <c r="D24" s="59">
        <v>50000</v>
      </c>
      <c r="E24" s="59">
        <v>50000</v>
      </c>
      <c r="F24" s="59">
        <v>50000</v>
      </c>
      <c r="G24" s="59">
        <v>50000</v>
      </c>
      <c r="H24" s="59">
        <v>50000</v>
      </c>
      <c r="I24" s="59">
        <v>50000</v>
      </c>
      <c r="J24" s="59">
        <v>50000</v>
      </c>
      <c r="K24" s="59">
        <v>50000</v>
      </c>
      <c r="L24" s="59">
        <v>50000</v>
      </c>
      <c r="M24" s="59">
        <v>50000</v>
      </c>
      <c r="N24" s="59">
        <v>50000</v>
      </c>
      <c r="O24" s="59">
        <v>50000</v>
      </c>
      <c r="P24" s="59">
        <v>50000</v>
      </c>
      <c r="Q24" s="59">
        <v>50000</v>
      </c>
      <c r="R24" s="59">
        <v>50000</v>
      </c>
      <c r="S24" s="59">
        <v>50000</v>
      </c>
      <c r="T24" s="59">
        <v>50000</v>
      </c>
      <c r="U24" s="59">
        <v>50000</v>
      </c>
      <c r="V24" s="59">
        <v>50000</v>
      </c>
      <c r="W24" s="59">
        <v>50000</v>
      </c>
      <c r="X24" s="59">
        <v>50000</v>
      </c>
      <c r="Y24" s="59">
        <v>50000</v>
      </c>
      <c r="Z24" s="59">
        <v>50000</v>
      </c>
      <c r="AA24" s="59">
        <f t="shared" si="0"/>
        <v>1200000</v>
      </c>
      <c r="AB24" s="54">
        <v>4</v>
      </c>
      <c r="AC24" s="59">
        <f t="shared" si="1"/>
        <v>4800000</v>
      </c>
      <c r="AD24" s="118"/>
    </row>
    <row r="25" spans="1:30" x14ac:dyDescent="0.35">
      <c r="A25" s="115"/>
      <c r="B25" s="60" t="s">
        <v>41</v>
      </c>
      <c r="C25" s="59">
        <v>50000</v>
      </c>
      <c r="D25" s="59">
        <v>50000</v>
      </c>
      <c r="E25" s="59">
        <v>50000</v>
      </c>
      <c r="F25" s="59">
        <v>50000</v>
      </c>
      <c r="G25" s="59">
        <v>50000</v>
      </c>
      <c r="H25" s="59">
        <v>50000</v>
      </c>
      <c r="I25" s="59">
        <v>50000</v>
      </c>
      <c r="J25" s="59">
        <v>50000</v>
      </c>
      <c r="K25" s="59">
        <v>50000</v>
      </c>
      <c r="L25" s="59">
        <v>50000</v>
      </c>
      <c r="M25" s="59">
        <v>50000</v>
      </c>
      <c r="N25" s="59">
        <v>50000</v>
      </c>
      <c r="O25" s="59">
        <v>50000</v>
      </c>
      <c r="P25" s="59">
        <v>50000</v>
      </c>
      <c r="Q25" s="59">
        <v>50000</v>
      </c>
      <c r="R25" s="59">
        <v>50000</v>
      </c>
      <c r="S25" s="59">
        <v>50000</v>
      </c>
      <c r="T25" s="59">
        <v>50000</v>
      </c>
      <c r="U25" s="59">
        <v>50000</v>
      </c>
      <c r="V25" s="59">
        <v>50000</v>
      </c>
      <c r="W25" s="59">
        <v>50000</v>
      </c>
      <c r="X25" s="59">
        <v>50000</v>
      </c>
      <c r="Y25" s="59">
        <v>50000</v>
      </c>
      <c r="Z25" s="59">
        <v>50000</v>
      </c>
      <c r="AA25" s="59">
        <f t="shared" si="0"/>
        <v>1200000</v>
      </c>
      <c r="AB25" s="54">
        <v>4</v>
      </c>
      <c r="AC25" s="59">
        <f t="shared" si="1"/>
        <v>4800000</v>
      </c>
      <c r="AD25" s="118"/>
    </row>
    <row r="26" spans="1:30" x14ac:dyDescent="0.35">
      <c r="A26" s="116"/>
      <c r="B26" s="61" t="s">
        <v>42</v>
      </c>
      <c r="C26" s="59">
        <v>50000</v>
      </c>
      <c r="D26" s="59">
        <v>50000</v>
      </c>
      <c r="E26" s="59">
        <v>50000</v>
      </c>
      <c r="F26" s="59">
        <v>50000</v>
      </c>
      <c r="G26" s="59">
        <v>50000</v>
      </c>
      <c r="H26" s="59">
        <v>50000</v>
      </c>
      <c r="I26" s="59">
        <v>50000</v>
      </c>
      <c r="J26" s="59">
        <v>50000</v>
      </c>
      <c r="K26" s="59">
        <v>50000</v>
      </c>
      <c r="L26" s="59">
        <v>50000</v>
      </c>
      <c r="M26" s="59">
        <v>50000</v>
      </c>
      <c r="N26" s="59">
        <v>50000</v>
      </c>
      <c r="O26" s="59">
        <v>50000</v>
      </c>
      <c r="P26" s="59">
        <v>50000</v>
      </c>
      <c r="Q26" s="59">
        <v>50000</v>
      </c>
      <c r="R26" s="59">
        <v>50000</v>
      </c>
      <c r="S26" s="59">
        <v>50000</v>
      </c>
      <c r="T26" s="59">
        <v>50000</v>
      </c>
      <c r="U26" s="59">
        <v>50000</v>
      </c>
      <c r="V26" s="59">
        <v>50000</v>
      </c>
      <c r="W26" s="59">
        <v>50000</v>
      </c>
      <c r="X26" s="59">
        <v>50000</v>
      </c>
      <c r="Y26" s="59">
        <v>50000</v>
      </c>
      <c r="Z26" s="59">
        <v>50000</v>
      </c>
      <c r="AA26" s="59">
        <f t="shared" si="0"/>
        <v>1200000</v>
      </c>
      <c r="AB26" s="54">
        <v>1</v>
      </c>
      <c r="AC26" s="59">
        <f t="shared" si="1"/>
        <v>1200000</v>
      </c>
      <c r="AD26" s="119"/>
    </row>
    <row r="27" spans="1:30" x14ac:dyDescent="0.35">
      <c r="A27" s="114">
        <v>47635</v>
      </c>
      <c r="B27" s="58" t="s">
        <v>39</v>
      </c>
      <c r="C27" s="59">
        <v>50000</v>
      </c>
      <c r="D27" s="59">
        <v>50000</v>
      </c>
      <c r="E27" s="59">
        <v>50000</v>
      </c>
      <c r="F27" s="59">
        <v>50000</v>
      </c>
      <c r="G27" s="59">
        <v>50000</v>
      </c>
      <c r="H27" s="59">
        <v>50000</v>
      </c>
      <c r="I27" s="59">
        <v>50000</v>
      </c>
      <c r="J27" s="59">
        <v>50000</v>
      </c>
      <c r="K27" s="59">
        <v>50000</v>
      </c>
      <c r="L27" s="59">
        <v>50000</v>
      </c>
      <c r="M27" s="59">
        <v>50000</v>
      </c>
      <c r="N27" s="59">
        <v>50000</v>
      </c>
      <c r="O27" s="59">
        <v>50000</v>
      </c>
      <c r="P27" s="59">
        <v>50000</v>
      </c>
      <c r="Q27" s="59">
        <v>50000</v>
      </c>
      <c r="R27" s="59">
        <v>50000</v>
      </c>
      <c r="S27" s="59">
        <v>50000</v>
      </c>
      <c r="T27" s="59">
        <v>50000</v>
      </c>
      <c r="U27" s="59">
        <v>50000</v>
      </c>
      <c r="V27" s="59">
        <v>50000</v>
      </c>
      <c r="W27" s="59">
        <v>50000</v>
      </c>
      <c r="X27" s="59">
        <v>50000</v>
      </c>
      <c r="Y27" s="59">
        <v>50000</v>
      </c>
      <c r="Z27" s="59">
        <v>50000</v>
      </c>
      <c r="AA27" s="59">
        <f t="shared" si="0"/>
        <v>1200000</v>
      </c>
      <c r="AB27" s="54">
        <v>18</v>
      </c>
      <c r="AC27" s="59">
        <f t="shared" si="1"/>
        <v>21600000</v>
      </c>
      <c r="AD27" s="117">
        <f>+SUM(AC27:AC30)</f>
        <v>36000000</v>
      </c>
    </row>
    <row r="28" spans="1:30" x14ac:dyDescent="0.35">
      <c r="A28" s="115"/>
      <c r="B28" s="60" t="s">
        <v>40</v>
      </c>
      <c r="C28" s="59">
        <v>50000</v>
      </c>
      <c r="D28" s="59">
        <v>50000</v>
      </c>
      <c r="E28" s="59">
        <v>50000</v>
      </c>
      <c r="F28" s="59">
        <v>50000</v>
      </c>
      <c r="G28" s="59">
        <v>50000</v>
      </c>
      <c r="H28" s="59">
        <v>50000</v>
      </c>
      <c r="I28" s="59">
        <v>50000</v>
      </c>
      <c r="J28" s="59">
        <v>50000</v>
      </c>
      <c r="K28" s="59">
        <v>50000</v>
      </c>
      <c r="L28" s="59">
        <v>50000</v>
      </c>
      <c r="M28" s="59">
        <v>50000</v>
      </c>
      <c r="N28" s="59">
        <v>50000</v>
      </c>
      <c r="O28" s="59">
        <v>50000</v>
      </c>
      <c r="P28" s="59">
        <v>50000</v>
      </c>
      <c r="Q28" s="59">
        <v>50000</v>
      </c>
      <c r="R28" s="59">
        <v>50000</v>
      </c>
      <c r="S28" s="59">
        <v>50000</v>
      </c>
      <c r="T28" s="59">
        <v>50000</v>
      </c>
      <c r="U28" s="59">
        <v>50000</v>
      </c>
      <c r="V28" s="59">
        <v>50000</v>
      </c>
      <c r="W28" s="59">
        <v>50000</v>
      </c>
      <c r="X28" s="59">
        <v>50000</v>
      </c>
      <c r="Y28" s="59">
        <v>50000</v>
      </c>
      <c r="Z28" s="59">
        <v>50000</v>
      </c>
      <c r="AA28" s="59">
        <f t="shared" si="0"/>
        <v>1200000</v>
      </c>
      <c r="AB28" s="54">
        <v>5</v>
      </c>
      <c r="AC28" s="59">
        <f t="shared" si="1"/>
        <v>6000000</v>
      </c>
      <c r="AD28" s="118"/>
    </row>
    <row r="29" spans="1:30" x14ac:dyDescent="0.35">
      <c r="A29" s="115"/>
      <c r="B29" s="60" t="s">
        <v>41</v>
      </c>
      <c r="C29" s="59">
        <v>50000</v>
      </c>
      <c r="D29" s="59">
        <v>50000</v>
      </c>
      <c r="E29" s="59">
        <v>50000</v>
      </c>
      <c r="F29" s="59">
        <v>50000</v>
      </c>
      <c r="G29" s="59">
        <v>50000</v>
      </c>
      <c r="H29" s="59">
        <v>50000</v>
      </c>
      <c r="I29" s="59">
        <v>50000</v>
      </c>
      <c r="J29" s="59">
        <v>50000</v>
      </c>
      <c r="K29" s="59">
        <v>50000</v>
      </c>
      <c r="L29" s="59">
        <v>50000</v>
      </c>
      <c r="M29" s="59">
        <v>50000</v>
      </c>
      <c r="N29" s="59">
        <v>50000</v>
      </c>
      <c r="O29" s="59">
        <v>50000</v>
      </c>
      <c r="P29" s="59">
        <v>50000</v>
      </c>
      <c r="Q29" s="59">
        <v>50000</v>
      </c>
      <c r="R29" s="59">
        <v>50000</v>
      </c>
      <c r="S29" s="59">
        <v>50000</v>
      </c>
      <c r="T29" s="59">
        <v>50000</v>
      </c>
      <c r="U29" s="59">
        <v>50000</v>
      </c>
      <c r="V29" s="59">
        <v>50000</v>
      </c>
      <c r="W29" s="59">
        <v>50000</v>
      </c>
      <c r="X29" s="59">
        <v>50000</v>
      </c>
      <c r="Y29" s="59">
        <v>50000</v>
      </c>
      <c r="Z29" s="59">
        <v>50000</v>
      </c>
      <c r="AA29" s="59">
        <f t="shared" si="0"/>
        <v>1200000</v>
      </c>
      <c r="AB29" s="54">
        <v>5</v>
      </c>
      <c r="AC29" s="59">
        <f t="shared" si="1"/>
        <v>6000000</v>
      </c>
      <c r="AD29" s="118"/>
    </row>
    <row r="30" spans="1:30" x14ac:dyDescent="0.35">
      <c r="A30" s="116"/>
      <c r="B30" s="61" t="s">
        <v>42</v>
      </c>
      <c r="C30" s="59">
        <v>50000</v>
      </c>
      <c r="D30" s="59">
        <v>50000</v>
      </c>
      <c r="E30" s="59">
        <v>50000</v>
      </c>
      <c r="F30" s="59">
        <v>50000</v>
      </c>
      <c r="G30" s="59">
        <v>50000</v>
      </c>
      <c r="H30" s="59">
        <v>50000</v>
      </c>
      <c r="I30" s="59">
        <v>50000</v>
      </c>
      <c r="J30" s="59">
        <v>50000</v>
      </c>
      <c r="K30" s="59">
        <v>50000</v>
      </c>
      <c r="L30" s="59">
        <v>50000</v>
      </c>
      <c r="M30" s="59">
        <v>50000</v>
      </c>
      <c r="N30" s="59">
        <v>50000</v>
      </c>
      <c r="O30" s="59">
        <v>50000</v>
      </c>
      <c r="P30" s="59">
        <v>50000</v>
      </c>
      <c r="Q30" s="59">
        <v>50000</v>
      </c>
      <c r="R30" s="59">
        <v>50000</v>
      </c>
      <c r="S30" s="59">
        <v>50000</v>
      </c>
      <c r="T30" s="59">
        <v>50000</v>
      </c>
      <c r="U30" s="59">
        <v>50000</v>
      </c>
      <c r="V30" s="59">
        <v>50000</v>
      </c>
      <c r="W30" s="59">
        <v>50000</v>
      </c>
      <c r="X30" s="59">
        <v>50000</v>
      </c>
      <c r="Y30" s="59">
        <v>50000</v>
      </c>
      <c r="Z30" s="59">
        <v>50000</v>
      </c>
      <c r="AA30" s="59">
        <f t="shared" si="0"/>
        <v>1200000</v>
      </c>
      <c r="AB30" s="54">
        <v>2</v>
      </c>
      <c r="AC30" s="59">
        <f t="shared" si="1"/>
        <v>2400000</v>
      </c>
      <c r="AD30" s="119"/>
    </row>
    <row r="31" spans="1:30" x14ac:dyDescent="0.35">
      <c r="A31" s="114">
        <v>47665</v>
      </c>
      <c r="B31" s="58" t="s">
        <v>39</v>
      </c>
      <c r="C31" s="59">
        <v>50000</v>
      </c>
      <c r="D31" s="59">
        <v>50000</v>
      </c>
      <c r="E31" s="59">
        <v>50000</v>
      </c>
      <c r="F31" s="59">
        <v>50000</v>
      </c>
      <c r="G31" s="59">
        <v>50000</v>
      </c>
      <c r="H31" s="59">
        <v>50000</v>
      </c>
      <c r="I31" s="59">
        <v>50000</v>
      </c>
      <c r="J31" s="59">
        <v>50000</v>
      </c>
      <c r="K31" s="59">
        <v>50000</v>
      </c>
      <c r="L31" s="59">
        <v>50000</v>
      </c>
      <c r="M31" s="59">
        <v>50000</v>
      </c>
      <c r="N31" s="59">
        <v>50000</v>
      </c>
      <c r="O31" s="59">
        <v>50000</v>
      </c>
      <c r="P31" s="59">
        <v>50000</v>
      </c>
      <c r="Q31" s="59">
        <v>50000</v>
      </c>
      <c r="R31" s="59">
        <v>50000</v>
      </c>
      <c r="S31" s="59">
        <v>50000</v>
      </c>
      <c r="T31" s="59">
        <v>50000</v>
      </c>
      <c r="U31" s="59">
        <v>50000</v>
      </c>
      <c r="V31" s="59">
        <v>50000</v>
      </c>
      <c r="W31" s="59">
        <v>50000</v>
      </c>
      <c r="X31" s="59">
        <v>50000</v>
      </c>
      <c r="Y31" s="59">
        <v>50000</v>
      </c>
      <c r="Z31" s="59">
        <v>50000</v>
      </c>
      <c r="AA31" s="59">
        <f t="shared" si="0"/>
        <v>1200000</v>
      </c>
      <c r="AB31" s="54">
        <v>22</v>
      </c>
      <c r="AC31" s="59">
        <f t="shared" si="1"/>
        <v>26400000</v>
      </c>
      <c r="AD31" s="117">
        <f>+SUM(AC31:AC34)</f>
        <v>37200000</v>
      </c>
    </row>
    <row r="32" spans="1:30" x14ac:dyDescent="0.35">
      <c r="A32" s="115"/>
      <c r="B32" s="60" t="s">
        <v>40</v>
      </c>
      <c r="C32" s="59">
        <v>50000</v>
      </c>
      <c r="D32" s="59">
        <v>50000</v>
      </c>
      <c r="E32" s="59">
        <v>50000</v>
      </c>
      <c r="F32" s="59">
        <v>50000</v>
      </c>
      <c r="G32" s="59">
        <v>50000</v>
      </c>
      <c r="H32" s="59">
        <v>50000</v>
      </c>
      <c r="I32" s="59">
        <v>50000</v>
      </c>
      <c r="J32" s="59">
        <v>50000</v>
      </c>
      <c r="K32" s="59">
        <v>50000</v>
      </c>
      <c r="L32" s="59">
        <v>50000</v>
      </c>
      <c r="M32" s="59">
        <v>50000</v>
      </c>
      <c r="N32" s="59">
        <v>50000</v>
      </c>
      <c r="O32" s="59">
        <v>50000</v>
      </c>
      <c r="P32" s="59">
        <v>50000</v>
      </c>
      <c r="Q32" s="59">
        <v>50000</v>
      </c>
      <c r="R32" s="59">
        <v>50000</v>
      </c>
      <c r="S32" s="59">
        <v>50000</v>
      </c>
      <c r="T32" s="59">
        <v>50000</v>
      </c>
      <c r="U32" s="59">
        <v>50000</v>
      </c>
      <c r="V32" s="59">
        <v>50000</v>
      </c>
      <c r="W32" s="59">
        <v>50000</v>
      </c>
      <c r="X32" s="59">
        <v>50000</v>
      </c>
      <c r="Y32" s="59">
        <v>50000</v>
      </c>
      <c r="Z32" s="59">
        <v>50000</v>
      </c>
      <c r="AA32" s="59">
        <f t="shared" si="0"/>
        <v>1200000</v>
      </c>
      <c r="AB32" s="54">
        <v>3</v>
      </c>
      <c r="AC32" s="59">
        <f t="shared" si="1"/>
        <v>3600000</v>
      </c>
      <c r="AD32" s="118"/>
    </row>
    <row r="33" spans="1:30" x14ac:dyDescent="0.35">
      <c r="A33" s="115"/>
      <c r="B33" s="60" t="s">
        <v>41</v>
      </c>
      <c r="C33" s="59">
        <v>50000</v>
      </c>
      <c r="D33" s="59">
        <v>50000</v>
      </c>
      <c r="E33" s="59">
        <v>50000</v>
      </c>
      <c r="F33" s="59">
        <v>50000</v>
      </c>
      <c r="G33" s="59">
        <v>50000</v>
      </c>
      <c r="H33" s="59">
        <v>50000</v>
      </c>
      <c r="I33" s="59">
        <v>50000</v>
      </c>
      <c r="J33" s="59">
        <v>50000</v>
      </c>
      <c r="K33" s="59">
        <v>50000</v>
      </c>
      <c r="L33" s="59">
        <v>50000</v>
      </c>
      <c r="M33" s="59">
        <v>50000</v>
      </c>
      <c r="N33" s="59">
        <v>50000</v>
      </c>
      <c r="O33" s="59">
        <v>50000</v>
      </c>
      <c r="P33" s="59">
        <v>50000</v>
      </c>
      <c r="Q33" s="59">
        <v>50000</v>
      </c>
      <c r="R33" s="59">
        <v>50000</v>
      </c>
      <c r="S33" s="59">
        <v>50000</v>
      </c>
      <c r="T33" s="59">
        <v>50000</v>
      </c>
      <c r="U33" s="59">
        <v>50000</v>
      </c>
      <c r="V33" s="59">
        <v>50000</v>
      </c>
      <c r="W33" s="59">
        <v>50000</v>
      </c>
      <c r="X33" s="59">
        <v>50000</v>
      </c>
      <c r="Y33" s="59">
        <v>50000</v>
      </c>
      <c r="Z33" s="59">
        <v>50000</v>
      </c>
      <c r="AA33" s="59">
        <f t="shared" si="0"/>
        <v>1200000</v>
      </c>
      <c r="AB33" s="54">
        <v>4</v>
      </c>
      <c r="AC33" s="59">
        <f t="shared" si="1"/>
        <v>4800000</v>
      </c>
      <c r="AD33" s="118"/>
    </row>
    <row r="34" spans="1:30" x14ac:dyDescent="0.35">
      <c r="A34" s="116"/>
      <c r="B34" s="61" t="s">
        <v>42</v>
      </c>
      <c r="C34" s="59">
        <v>50000</v>
      </c>
      <c r="D34" s="59">
        <v>50000</v>
      </c>
      <c r="E34" s="59">
        <v>50000</v>
      </c>
      <c r="F34" s="59">
        <v>50000</v>
      </c>
      <c r="G34" s="59">
        <v>50000</v>
      </c>
      <c r="H34" s="59">
        <v>50000</v>
      </c>
      <c r="I34" s="59">
        <v>50000</v>
      </c>
      <c r="J34" s="59">
        <v>50000</v>
      </c>
      <c r="K34" s="59">
        <v>50000</v>
      </c>
      <c r="L34" s="59">
        <v>50000</v>
      </c>
      <c r="M34" s="59">
        <v>50000</v>
      </c>
      <c r="N34" s="59">
        <v>50000</v>
      </c>
      <c r="O34" s="59">
        <v>50000</v>
      </c>
      <c r="P34" s="59">
        <v>50000</v>
      </c>
      <c r="Q34" s="59">
        <v>50000</v>
      </c>
      <c r="R34" s="59">
        <v>50000</v>
      </c>
      <c r="S34" s="59">
        <v>50000</v>
      </c>
      <c r="T34" s="59">
        <v>50000</v>
      </c>
      <c r="U34" s="59">
        <v>50000</v>
      </c>
      <c r="V34" s="59">
        <v>50000</v>
      </c>
      <c r="W34" s="59">
        <v>50000</v>
      </c>
      <c r="X34" s="59">
        <v>50000</v>
      </c>
      <c r="Y34" s="59">
        <v>50000</v>
      </c>
      <c r="Z34" s="59">
        <v>50000</v>
      </c>
      <c r="AA34" s="59">
        <f t="shared" si="0"/>
        <v>1200000</v>
      </c>
      <c r="AB34" s="54">
        <v>2</v>
      </c>
      <c r="AC34" s="59">
        <f>+AA34*AB34</f>
        <v>2400000</v>
      </c>
      <c r="AD34" s="119"/>
    </row>
    <row r="35" spans="1:30" x14ac:dyDescent="0.35">
      <c r="A35" s="114">
        <v>47696</v>
      </c>
      <c r="B35" s="58" t="s">
        <v>39</v>
      </c>
      <c r="C35" s="59">
        <v>50000</v>
      </c>
      <c r="D35" s="59">
        <v>50000</v>
      </c>
      <c r="E35" s="59">
        <v>50000</v>
      </c>
      <c r="F35" s="59">
        <v>50000</v>
      </c>
      <c r="G35" s="59">
        <v>50000</v>
      </c>
      <c r="H35" s="59">
        <v>50000</v>
      </c>
      <c r="I35" s="59">
        <v>50000</v>
      </c>
      <c r="J35" s="59">
        <v>50000</v>
      </c>
      <c r="K35" s="59">
        <v>50000</v>
      </c>
      <c r="L35" s="59">
        <v>50000</v>
      </c>
      <c r="M35" s="59">
        <v>50000</v>
      </c>
      <c r="N35" s="59">
        <v>50000</v>
      </c>
      <c r="O35" s="59">
        <v>50000</v>
      </c>
      <c r="P35" s="59">
        <v>50000</v>
      </c>
      <c r="Q35" s="59">
        <v>50000</v>
      </c>
      <c r="R35" s="59">
        <v>50000</v>
      </c>
      <c r="S35" s="59">
        <v>50000</v>
      </c>
      <c r="T35" s="59">
        <v>50000</v>
      </c>
      <c r="U35" s="59">
        <v>50000</v>
      </c>
      <c r="V35" s="59">
        <v>50000</v>
      </c>
      <c r="W35" s="59">
        <v>50000</v>
      </c>
      <c r="X35" s="59">
        <v>50000</v>
      </c>
      <c r="Y35" s="59">
        <v>50000</v>
      </c>
      <c r="Z35" s="59">
        <v>50000</v>
      </c>
      <c r="AA35" s="59">
        <f t="shared" si="0"/>
        <v>1200000</v>
      </c>
      <c r="AB35" s="54">
        <v>20</v>
      </c>
      <c r="AC35" s="59">
        <f t="shared" si="1"/>
        <v>24000000</v>
      </c>
      <c r="AD35" s="117">
        <f>+SUM(AC35:AC38)</f>
        <v>37200000</v>
      </c>
    </row>
    <row r="36" spans="1:30" x14ac:dyDescent="0.35">
      <c r="A36" s="115"/>
      <c r="B36" s="60" t="s">
        <v>40</v>
      </c>
      <c r="C36" s="59">
        <v>50000</v>
      </c>
      <c r="D36" s="59">
        <v>50000</v>
      </c>
      <c r="E36" s="59">
        <v>50000</v>
      </c>
      <c r="F36" s="59">
        <v>50000</v>
      </c>
      <c r="G36" s="59">
        <v>50000</v>
      </c>
      <c r="H36" s="59">
        <v>50000</v>
      </c>
      <c r="I36" s="59">
        <v>50000</v>
      </c>
      <c r="J36" s="59">
        <v>50000</v>
      </c>
      <c r="K36" s="59">
        <v>50000</v>
      </c>
      <c r="L36" s="59">
        <v>50000</v>
      </c>
      <c r="M36" s="59">
        <v>50000</v>
      </c>
      <c r="N36" s="59">
        <v>50000</v>
      </c>
      <c r="O36" s="59">
        <v>50000</v>
      </c>
      <c r="P36" s="59">
        <v>50000</v>
      </c>
      <c r="Q36" s="59">
        <v>50000</v>
      </c>
      <c r="R36" s="59">
        <v>50000</v>
      </c>
      <c r="S36" s="59">
        <v>50000</v>
      </c>
      <c r="T36" s="59">
        <v>50000</v>
      </c>
      <c r="U36" s="59">
        <v>50000</v>
      </c>
      <c r="V36" s="59">
        <v>50000</v>
      </c>
      <c r="W36" s="59">
        <v>50000</v>
      </c>
      <c r="X36" s="59">
        <v>50000</v>
      </c>
      <c r="Y36" s="59">
        <v>50000</v>
      </c>
      <c r="Z36" s="59">
        <v>50000</v>
      </c>
      <c r="AA36" s="59">
        <f t="shared" si="0"/>
        <v>1200000</v>
      </c>
      <c r="AB36" s="54">
        <v>5</v>
      </c>
      <c r="AC36" s="59">
        <f t="shared" si="1"/>
        <v>6000000</v>
      </c>
      <c r="AD36" s="118"/>
    </row>
    <row r="37" spans="1:30" x14ac:dyDescent="0.35">
      <c r="A37" s="115"/>
      <c r="B37" s="60" t="s">
        <v>41</v>
      </c>
      <c r="C37" s="59">
        <v>50000</v>
      </c>
      <c r="D37" s="59">
        <v>50000</v>
      </c>
      <c r="E37" s="59">
        <v>50000</v>
      </c>
      <c r="F37" s="59">
        <v>50000</v>
      </c>
      <c r="G37" s="59">
        <v>50000</v>
      </c>
      <c r="H37" s="59">
        <v>50000</v>
      </c>
      <c r="I37" s="59">
        <v>50000</v>
      </c>
      <c r="J37" s="59">
        <v>50000</v>
      </c>
      <c r="K37" s="59">
        <v>50000</v>
      </c>
      <c r="L37" s="59">
        <v>50000</v>
      </c>
      <c r="M37" s="59">
        <v>50000</v>
      </c>
      <c r="N37" s="59">
        <v>50000</v>
      </c>
      <c r="O37" s="59">
        <v>50000</v>
      </c>
      <c r="P37" s="59">
        <v>50000</v>
      </c>
      <c r="Q37" s="59">
        <v>50000</v>
      </c>
      <c r="R37" s="59">
        <v>50000</v>
      </c>
      <c r="S37" s="59">
        <v>50000</v>
      </c>
      <c r="T37" s="59">
        <v>50000</v>
      </c>
      <c r="U37" s="59">
        <v>50000</v>
      </c>
      <c r="V37" s="59">
        <v>50000</v>
      </c>
      <c r="W37" s="59">
        <v>50000</v>
      </c>
      <c r="X37" s="59">
        <v>50000</v>
      </c>
      <c r="Y37" s="59">
        <v>50000</v>
      </c>
      <c r="Z37" s="59">
        <v>50000</v>
      </c>
      <c r="AA37" s="59">
        <f t="shared" si="0"/>
        <v>1200000</v>
      </c>
      <c r="AB37" s="54">
        <v>4</v>
      </c>
      <c r="AC37" s="59">
        <f t="shared" si="1"/>
        <v>4800000</v>
      </c>
      <c r="AD37" s="118"/>
    </row>
    <row r="38" spans="1:30" x14ac:dyDescent="0.35">
      <c r="A38" s="116"/>
      <c r="B38" s="61" t="s">
        <v>42</v>
      </c>
      <c r="C38" s="59">
        <v>50000</v>
      </c>
      <c r="D38" s="59">
        <v>50000</v>
      </c>
      <c r="E38" s="59">
        <v>50000</v>
      </c>
      <c r="F38" s="59">
        <v>50000</v>
      </c>
      <c r="G38" s="59">
        <v>50000</v>
      </c>
      <c r="H38" s="59">
        <v>50000</v>
      </c>
      <c r="I38" s="59">
        <v>50000</v>
      </c>
      <c r="J38" s="59">
        <v>50000</v>
      </c>
      <c r="K38" s="59">
        <v>50000</v>
      </c>
      <c r="L38" s="59">
        <v>50000</v>
      </c>
      <c r="M38" s="59">
        <v>50000</v>
      </c>
      <c r="N38" s="59">
        <v>50000</v>
      </c>
      <c r="O38" s="59">
        <v>50000</v>
      </c>
      <c r="P38" s="59">
        <v>50000</v>
      </c>
      <c r="Q38" s="59">
        <v>50000</v>
      </c>
      <c r="R38" s="59">
        <v>50000</v>
      </c>
      <c r="S38" s="59">
        <v>50000</v>
      </c>
      <c r="T38" s="59">
        <v>50000</v>
      </c>
      <c r="U38" s="59">
        <v>50000</v>
      </c>
      <c r="V38" s="59">
        <v>50000</v>
      </c>
      <c r="W38" s="59">
        <v>50000</v>
      </c>
      <c r="X38" s="59">
        <v>50000</v>
      </c>
      <c r="Y38" s="59">
        <v>50000</v>
      </c>
      <c r="Z38" s="59">
        <v>50000</v>
      </c>
      <c r="AA38" s="59">
        <f t="shared" si="0"/>
        <v>1200000</v>
      </c>
      <c r="AB38" s="54">
        <v>2</v>
      </c>
      <c r="AC38" s="59">
        <f t="shared" si="1"/>
        <v>2400000</v>
      </c>
      <c r="AD38" s="119"/>
    </row>
    <row r="39" spans="1:30" x14ac:dyDescent="0.35">
      <c r="A39" s="114">
        <v>47727</v>
      </c>
      <c r="B39" s="58" t="s">
        <v>39</v>
      </c>
      <c r="C39" s="59">
        <v>50000</v>
      </c>
      <c r="D39" s="59">
        <v>50000</v>
      </c>
      <c r="E39" s="59">
        <v>50000</v>
      </c>
      <c r="F39" s="59">
        <v>50000</v>
      </c>
      <c r="G39" s="59">
        <v>50000</v>
      </c>
      <c r="H39" s="59">
        <v>50000</v>
      </c>
      <c r="I39" s="59">
        <v>50000</v>
      </c>
      <c r="J39" s="59">
        <v>50000</v>
      </c>
      <c r="K39" s="59">
        <v>50000</v>
      </c>
      <c r="L39" s="59">
        <v>50000</v>
      </c>
      <c r="M39" s="59">
        <v>50000</v>
      </c>
      <c r="N39" s="59">
        <v>50000</v>
      </c>
      <c r="O39" s="59">
        <v>50000</v>
      </c>
      <c r="P39" s="59">
        <v>50000</v>
      </c>
      <c r="Q39" s="59">
        <v>50000</v>
      </c>
      <c r="R39" s="59">
        <v>50000</v>
      </c>
      <c r="S39" s="59">
        <v>50000</v>
      </c>
      <c r="T39" s="59">
        <v>50000</v>
      </c>
      <c r="U39" s="59">
        <v>50000</v>
      </c>
      <c r="V39" s="59">
        <v>50000</v>
      </c>
      <c r="W39" s="59">
        <v>50000</v>
      </c>
      <c r="X39" s="59">
        <v>50000</v>
      </c>
      <c r="Y39" s="59">
        <v>50000</v>
      </c>
      <c r="Z39" s="59">
        <v>50000</v>
      </c>
      <c r="AA39" s="59">
        <f t="shared" si="0"/>
        <v>1200000</v>
      </c>
      <c r="AB39" s="54">
        <v>21</v>
      </c>
      <c r="AC39" s="59">
        <f t="shared" si="1"/>
        <v>25200000</v>
      </c>
      <c r="AD39" s="117">
        <f>+SUM(AC39:AC42)</f>
        <v>36000000</v>
      </c>
    </row>
    <row r="40" spans="1:30" x14ac:dyDescent="0.35">
      <c r="A40" s="115"/>
      <c r="B40" s="60" t="s">
        <v>40</v>
      </c>
      <c r="C40" s="59">
        <v>50000</v>
      </c>
      <c r="D40" s="59">
        <v>50000</v>
      </c>
      <c r="E40" s="59">
        <v>50000</v>
      </c>
      <c r="F40" s="59">
        <v>50000</v>
      </c>
      <c r="G40" s="59">
        <v>50000</v>
      </c>
      <c r="H40" s="59">
        <v>50000</v>
      </c>
      <c r="I40" s="59">
        <v>50000</v>
      </c>
      <c r="J40" s="59">
        <v>50000</v>
      </c>
      <c r="K40" s="59">
        <v>50000</v>
      </c>
      <c r="L40" s="59">
        <v>50000</v>
      </c>
      <c r="M40" s="59">
        <v>50000</v>
      </c>
      <c r="N40" s="59">
        <v>50000</v>
      </c>
      <c r="O40" s="59">
        <v>50000</v>
      </c>
      <c r="P40" s="59">
        <v>50000</v>
      </c>
      <c r="Q40" s="59">
        <v>50000</v>
      </c>
      <c r="R40" s="59">
        <v>50000</v>
      </c>
      <c r="S40" s="59">
        <v>50000</v>
      </c>
      <c r="T40" s="59">
        <v>50000</v>
      </c>
      <c r="U40" s="59">
        <v>50000</v>
      </c>
      <c r="V40" s="59">
        <v>50000</v>
      </c>
      <c r="W40" s="59">
        <v>50000</v>
      </c>
      <c r="X40" s="59">
        <v>50000</v>
      </c>
      <c r="Y40" s="59">
        <v>50000</v>
      </c>
      <c r="Z40" s="59">
        <v>50000</v>
      </c>
      <c r="AA40" s="59">
        <f t="shared" si="0"/>
        <v>1200000</v>
      </c>
      <c r="AB40" s="54">
        <v>4</v>
      </c>
      <c r="AC40" s="59">
        <f t="shared" si="1"/>
        <v>4800000</v>
      </c>
      <c r="AD40" s="118"/>
    </row>
    <row r="41" spans="1:30" x14ac:dyDescent="0.35">
      <c r="A41" s="115"/>
      <c r="B41" s="60" t="s">
        <v>41</v>
      </c>
      <c r="C41" s="59">
        <v>50000</v>
      </c>
      <c r="D41" s="59">
        <v>50000</v>
      </c>
      <c r="E41" s="59">
        <v>50000</v>
      </c>
      <c r="F41" s="59">
        <v>50000</v>
      </c>
      <c r="G41" s="59">
        <v>50000</v>
      </c>
      <c r="H41" s="59">
        <v>50000</v>
      </c>
      <c r="I41" s="59">
        <v>50000</v>
      </c>
      <c r="J41" s="59">
        <v>50000</v>
      </c>
      <c r="K41" s="59">
        <v>50000</v>
      </c>
      <c r="L41" s="59">
        <v>50000</v>
      </c>
      <c r="M41" s="59">
        <v>50000</v>
      </c>
      <c r="N41" s="59">
        <v>50000</v>
      </c>
      <c r="O41" s="59">
        <v>50000</v>
      </c>
      <c r="P41" s="59">
        <v>50000</v>
      </c>
      <c r="Q41" s="59">
        <v>50000</v>
      </c>
      <c r="R41" s="59">
        <v>50000</v>
      </c>
      <c r="S41" s="59">
        <v>50000</v>
      </c>
      <c r="T41" s="59">
        <v>50000</v>
      </c>
      <c r="U41" s="59">
        <v>50000</v>
      </c>
      <c r="V41" s="59">
        <v>50000</v>
      </c>
      <c r="W41" s="59">
        <v>50000</v>
      </c>
      <c r="X41" s="59">
        <v>50000</v>
      </c>
      <c r="Y41" s="59">
        <v>50000</v>
      </c>
      <c r="Z41" s="59">
        <v>50000</v>
      </c>
      <c r="AA41" s="59">
        <f t="shared" si="0"/>
        <v>1200000</v>
      </c>
      <c r="AB41" s="54">
        <v>5</v>
      </c>
      <c r="AC41" s="59">
        <f t="shared" si="1"/>
        <v>6000000</v>
      </c>
      <c r="AD41" s="118"/>
    </row>
    <row r="42" spans="1:30" x14ac:dyDescent="0.35">
      <c r="A42" s="116"/>
      <c r="B42" s="61" t="s">
        <v>42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59">
        <f t="shared" si="0"/>
        <v>0</v>
      </c>
      <c r="AB42" s="54">
        <v>0</v>
      </c>
      <c r="AC42" s="59">
        <f t="shared" si="1"/>
        <v>0</v>
      </c>
      <c r="AD42" s="119"/>
    </row>
    <row r="43" spans="1:30" x14ac:dyDescent="0.35">
      <c r="A43" s="114">
        <v>47757</v>
      </c>
      <c r="B43" s="58" t="s">
        <v>39</v>
      </c>
      <c r="C43" s="59">
        <v>50000</v>
      </c>
      <c r="D43" s="59">
        <v>50000</v>
      </c>
      <c r="E43" s="59">
        <v>50000</v>
      </c>
      <c r="F43" s="59">
        <v>50000</v>
      </c>
      <c r="G43" s="59">
        <v>50000</v>
      </c>
      <c r="H43" s="59">
        <v>50000</v>
      </c>
      <c r="I43" s="59">
        <v>50000</v>
      </c>
      <c r="J43" s="59">
        <v>50000</v>
      </c>
      <c r="K43" s="59">
        <v>50000</v>
      </c>
      <c r="L43" s="59">
        <v>50000</v>
      </c>
      <c r="M43" s="59">
        <v>50000</v>
      </c>
      <c r="N43" s="59">
        <v>50000</v>
      </c>
      <c r="O43" s="59">
        <v>50000</v>
      </c>
      <c r="P43" s="59">
        <v>50000</v>
      </c>
      <c r="Q43" s="59">
        <v>50000</v>
      </c>
      <c r="R43" s="59">
        <v>50000</v>
      </c>
      <c r="S43" s="59">
        <v>50000</v>
      </c>
      <c r="T43" s="59">
        <v>50000</v>
      </c>
      <c r="U43" s="59">
        <v>50000</v>
      </c>
      <c r="V43" s="59">
        <v>50000</v>
      </c>
      <c r="W43" s="59">
        <v>50000</v>
      </c>
      <c r="X43" s="59">
        <v>50000</v>
      </c>
      <c r="Y43" s="59">
        <v>50000</v>
      </c>
      <c r="Z43" s="59">
        <v>50000</v>
      </c>
      <c r="AA43" s="59">
        <f t="shared" si="0"/>
        <v>1200000</v>
      </c>
      <c r="AB43" s="54">
        <v>22</v>
      </c>
      <c r="AC43" s="59">
        <f t="shared" si="1"/>
        <v>26400000</v>
      </c>
      <c r="AD43" s="117">
        <f>+SUM(AC43:AC46)</f>
        <v>37200000</v>
      </c>
    </row>
    <row r="44" spans="1:30" x14ac:dyDescent="0.35">
      <c r="A44" s="115"/>
      <c r="B44" s="60" t="s">
        <v>40</v>
      </c>
      <c r="C44" s="59">
        <v>50000</v>
      </c>
      <c r="D44" s="59">
        <v>50000</v>
      </c>
      <c r="E44" s="59">
        <v>50000</v>
      </c>
      <c r="F44" s="59">
        <v>50000</v>
      </c>
      <c r="G44" s="59">
        <v>50000</v>
      </c>
      <c r="H44" s="59">
        <v>50000</v>
      </c>
      <c r="I44" s="59">
        <v>50000</v>
      </c>
      <c r="J44" s="59">
        <v>50000</v>
      </c>
      <c r="K44" s="59">
        <v>50000</v>
      </c>
      <c r="L44" s="59">
        <v>50000</v>
      </c>
      <c r="M44" s="59">
        <v>50000</v>
      </c>
      <c r="N44" s="59">
        <v>50000</v>
      </c>
      <c r="O44" s="59">
        <v>50000</v>
      </c>
      <c r="P44" s="59">
        <v>50000</v>
      </c>
      <c r="Q44" s="59">
        <v>50000</v>
      </c>
      <c r="R44" s="59">
        <v>50000</v>
      </c>
      <c r="S44" s="59">
        <v>50000</v>
      </c>
      <c r="T44" s="59">
        <v>50000</v>
      </c>
      <c r="U44" s="59">
        <v>50000</v>
      </c>
      <c r="V44" s="59">
        <v>50000</v>
      </c>
      <c r="W44" s="59">
        <v>50000</v>
      </c>
      <c r="X44" s="59">
        <v>50000</v>
      </c>
      <c r="Y44" s="59">
        <v>50000</v>
      </c>
      <c r="Z44" s="59">
        <v>50000</v>
      </c>
      <c r="AA44" s="59">
        <f t="shared" si="0"/>
        <v>1200000</v>
      </c>
      <c r="AB44" s="54">
        <v>4</v>
      </c>
      <c r="AC44" s="59">
        <f t="shared" si="1"/>
        <v>4800000</v>
      </c>
      <c r="AD44" s="118"/>
    </row>
    <row r="45" spans="1:30" x14ac:dyDescent="0.35">
      <c r="A45" s="115"/>
      <c r="B45" s="60" t="s">
        <v>41</v>
      </c>
      <c r="C45" s="59">
        <v>50000</v>
      </c>
      <c r="D45" s="59">
        <v>50000</v>
      </c>
      <c r="E45" s="59">
        <v>50000</v>
      </c>
      <c r="F45" s="59">
        <v>50000</v>
      </c>
      <c r="G45" s="59">
        <v>50000</v>
      </c>
      <c r="H45" s="59">
        <v>50000</v>
      </c>
      <c r="I45" s="59">
        <v>50000</v>
      </c>
      <c r="J45" s="59">
        <v>50000</v>
      </c>
      <c r="K45" s="59">
        <v>50000</v>
      </c>
      <c r="L45" s="59">
        <v>50000</v>
      </c>
      <c r="M45" s="59">
        <v>50000</v>
      </c>
      <c r="N45" s="59">
        <v>50000</v>
      </c>
      <c r="O45" s="59">
        <v>50000</v>
      </c>
      <c r="P45" s="59">
        <v>50000</v>
      </c>
      <c r="Q45" s="59">
        <v>50000</v>
      </c>
      <c r="R45" s="59">
        <v>50000</v>
      </c>
      <c r="S45" s="59">
        <v>50000</v>
      </c>
      <c r="T45" s="59">
        <v>50000</v>
      </c>
      <c r="U45" s="59">
        <v>50000</v>
      </c>
      <c r="V45" s="59">
        <v>50000</v>
      </c>
      <c r="W45" s="59">
        <v>50000</v>
      </c>
      <c r="X45" s="59">
        <v>50000</v>
      </c>
      <c r="Y45" s="59">
        <v>50000</v>
      </c>
      <c r="Z45" s="59">
        <v>50000</v>
      </c>
      <c r="AA45" s="59">
        <f t="shared" si="0"/>
        <v>1200000</v>
      </c>
      <c r="AB45" s="54">
        <v>4</v>
      </c>
      <c r="AC45" s="59">
        <f t="shared" si="1"/>
        <v>4800000</v>
      </c>
      <c r="AD45" s="118"/>
    </row>
    <row r="46" spans="1:30" x14ac:dyDescent="0.35">
      <c r="A46" s="116"/>
      <c r="B46" s="61" t="s">
        <v>42</v>
      </c>
      <c r="C46" s="59">
        <v>50000</v>
      </c>
      <c r="D46" s="59">
        <v>50000</v>
      </c>
      <c r="E46" s="59">
        <v>50000</v>
      </c>
      <c r="F46" s="59">
        <v>50000</v>
      </c>
      <c r="G46" s="59">
        <v>50000</v>
      </c>
      <c r="H46" s="59">
        <v>50000</v>
      </c>
      <c r="I46" s="59">
        <v>50000</v>
      </c>
      <c r="J46" s="59">
        <v>50000</v>
      </c>
      <c r="K46" s="59">
        <v>50000</v>
      </c>
      <c r="L46" s="59">
        <v>50000</v>
      </c>
      <c r="M46" s="59">
        <v>50000</v>
      </c>
      <c r="N46" s="59">
        <v>50000</v>
      </c>
      <c r="O46" s="59">
        <v>50000</v>
      </c>
      <c r="P46" s="59">
        <v>50000</v>
      </c>
      <c r="Q46" s="59">
        <v>50000</v>
      </c>
      <c r="R46" s="59">
        <v>50000</v>
      </c>
      <c r="S46" s="59">
        <v>50000</v>
      </c>
      <c r="T46" s="59">
        <v>50000</v>
      </c>
      <c r="U46" s="59">
        <v>50000</v>
      </c>
      <c r="V46" s="59">
        <v>50000</v>
      </c>
      <c r="W46" s="59">
        <v>50000</v>
      </c>
      <c r="X46" s="59">
        <v>50000</v>
      </c>
      <c r="Y46" s="59">
        <v>50000</v>
      </c>
      <c r="Z46" s="59">
        <v>50000</v>
      </c>
      <c r="AA46" s="59">
        <f t="shared" si="0"/>
        <v>1200000</v>
      </c>
      <c r="AB46" s="54">
        <v>1</v>
      </c>
      <c r="AC46" s="59">
        <f t="shared" si="1"/>
        <v>1200000</v>
      </c>
      <c r="AD46" s="119"/>
    </row>
    <row r="47" spans="1:30" x14ac:dyDescent="0.35">
      <c r="A47" s="77">
        <v>47788</v>
      </c>
      <c r="B47" s="13" t="s">
        <v>39</v>
      </c>
      <c r="C47" s="59">
        <v>50000</v>
      </c>
      <c r="D47" s="59">
        <v>50000</v>
      </c>
      <c r="E47" s="59">
        <v>50000</v>
      </c>
      <c r="F47" s="59">
        <v>50000</v>
      </c>
      <c r="G47" s="59">
        <v>50000</v>
      </c>
      <c r="H47" s="59">
        <v>50000</v>
      </c>
      <c r="I47" s="59">
        <v>50000</v>
      </c>
      <c r="J47" s="59">
        <v>50000</v>
      </c>
      <c r="K47" s="59">
        <v>50000</v>
      </c>
      <c r="L47" s="59">
        <v>50000</v>
      </c>
      <c r="M47" s="59">
        <v>50000</v>
      </c>
      <c r="N47" s="59">
        <v>50000</v>
      </c>
      <c r="O47" s="59">
        <v>50000</v>
      </c>
      <c r="P47" s="59">
        <v>50000</v>
      </c>
      <c r="Q47" s="59">
        <v>50000</v>
      </c>
      <c r="R47" s="59">
        <v>50000</v>
      </c>
      <c r="S47" s="59">
        <v>50000</v>
      </c>
      <c r="T47" s="59">
        <v>50000</v>
      </c>
      <c r="U47" s="59">
        <v>50000</v>
      </c>
      <c r="V47" s="59">
        <v>50000</v>
      </c>
      <c r="W47" s="59">
        <v>50000</v>
      </c>
      <c r="X47" s="59">
        <v>50000</v>
      </c>
      <c r="Y47" s="59">
        <v>50000</v>
      </c>
      <c r="Z47" s="59">
        <v>50000</v>
      </c>
      <c r="AA47" s="15">
        <f t="shared" si="0"/>
        <v>1200000</v>
      </c>
      <c r="AB47" s="16">
        <v>19</v>
      </c>
      <c r="AC47" s="15">
        <f t="shared" si="1"/>
        <v>22800000</v>
      </c>
      <c r="AD47" s="111">
        <f>+SUM(AC47:AC50)</f>
        <v>36000000</v>
      </c>
    </row>
    <row r="48" spans="1:30" x14ac:dyDescent="0.35">
      <c r="A48" s="78"/>
      <c r="B48" s="17" t="s">
        <v>40</v>
      </c>
      <c r="C48" s="59">
        <v>50000</v>
      </c>
      <c r="D48" s="59">
        <v>50000</v>
      </c>
      <c r="E48" s="59">
        <v>50000</v>
      </c>
      <c r="F48" s="59">
        <v>50000</v>
      </c>
      <c r="G48" s="59">
        <v>50000</v>
      </c>
      <c r="H48" s="59">
        <v>50000</v>
      </c>
      <c r="I48" s="59">
        <v>50000</v>
      </c>
      <c r="J48" s="59">
        <v>50000</v>
      </c>
      <c r="K48" s="59">
        <v>50000</v>
      </c>
      <c r="L48" s="59">
        <v>50000</v>
      </c>
      <c r="M48" s="59">
        <v>50000</v>
      </c>
      <c r="N48" s="59">
        <v>50000</v>
      </c>
      <c r="O48" s="59">
        <v>50000</v>
      </c>
      <c r="P48" s="59">
        <v>50000</v>
      </c>
      <c r="Q48" s="59">
        <v>50000</v>
      </c>
      <c r="R48" s="59">
        <v>50000</v>
      </c>
      <c r="S48" s="59">
        <v>50000</v>
      </c>
      <c r="T48" s="59">
        <v>50000</v>
      </c>
      <c r="U48" s="59">
        <v>50000</v>
      </c>
      <c r="V48" s="59">
        <v>50000</v>
      </c>
      <c r="W48" s="59">
        <v>50000</v>
      </c>
      <c r="X48" s="59">
        <v>50000</v>
      </c>
      <c r="Y48" s="59">
        <v>50000</v>
      </c>
      <c r="Z48" s="59">
        <v>50000</v>
      </c>
      <c r="AA48" s="15">
        <f t="shared" si="0"/>
        <v>1200000</v>
      </c>
      <c r="AB48" s="16">
        <v>5</v>
      </c>
      <c r="AC48" s="15">
        <f t="shared" si="1"/>
        <v>6000000</v>
      </c>
      <c r="AD48" s="112"/>
    </row>
    <row r="49" spans="1:30" x14ac:dyDescent="0.35">
      <c r="A49" s="78"/>
      <c r="B49" s="17" t="s">
        <v>41</v>
      </c>
      <c r="C49" s="59">
        <v>50000</v>
      </c>
      <c r="D49" s="59">
        <v>50000</v>
      </c>
      <c r="E49" s="59">
        <v>50000</v>
      </c>
      <c r="F49" s="59">
        <v>50000</v>
      </c>
      <c r="G49" s="59">
        <v>50000</v>
      </c>
      <c r="H49" s="59">
        <v>50000</v>
      </c>
      <c r="I49" s="59">
        <v>50000</v>
      </c>
      <c r="J49" s="59">
        <v>50000</v>
      </c>
      <c r="K49" s="59">
        <v>50000</v>
      </c>
      <c r="L49" s="59">
        <v>50000</v>
      </c>
      <c r="M49" s="59">
        <v>50000</v>
      </c>
      <c r="N49" s="59">
        <v>50000</v>
      </c>
      <c r="O49" s="59">
        <v>50000</v>
      </c>
      <c r="P49" s="59">
        <v>50000</v>
      </c>
      <c r="Q49" s="59">
        <v>50000</v>
      </c>
      <c r="R49" s="59">
        <v>50000</v>
      </c>
      <c r="S49" s="59">
        <v>50000</v>
      </c>
      <c r="T49" s="59">
        <v>50000</v>
      </c>
      <c r="U49" s="59">
        <v>50000</v>
      </c>
      <c r="V49" s="59">
        <v>50000</v>
      </c>
      <c r="W49" s="59">
        <v>50000</v>
      </c>
      <c r="X49" s="59">
        <v>50000</v>
      </c>
      <c r="Y49" s="59">
        <v>50000</v>
      </c>
      <c r="Z49" s="59">
        <v>50000</v>
      </c>
      <c r="AA49" s="15">
        <f t="shared" si="0"/>
        <v>1200000</v>
      </c>
      <c r="AB49" s="16">
        <v>4</v>
      </c>
      <c r="AC49" s="15">
        <f t="shared" si="1"/>
        <v>4800000</v>
      </c>
      <c r="AD49" s="112"/>
    </row>
    <row r="50" spans="1:30" x14ac:dyDescent="0.35">
      <c r="A50" s="79"/>
      <c r="B50" s="18" t="s">
        <v>42</v>
      </c>
      <c r="C50" s="59">
        <v>50000</v>
      </c>
      <c r="D50" s="59">
        <v>50000</v>
      </c>
      <c r="E50" s="59">
        <v>50000</v>
      </c>
      <c r="F50" s="59">
        <v>50000</v>
      </c>
      <c r="G50" s="59">
        <v>50000</v>
      </c>
      <c r="H50" s="59">
        <v>50000</v>
      </c>
      <c r="I50" s="59">
        <v>50000</v>
      </c>
      <c r="J50" s="59">
        <v>50000</v>
      </c>
      <c r="K50" s="59">
        <v>50000</v>
      </c>
      <c r="L50" s="59">
        <v>50000</v>
      </c>
      <c r="M50" s="59">
        <v>50000</v>
      </c>
      <c r="N50" s="59">
        <v>50000</v>
      </c>
      <c r="O50" s="59">
        <v>50000</v>
      </c>
      <c r="P50" s="59">
        <v>50000</v>
      </c>
      <c r="Q50" s="59">
        <v>50000</v>
      </c>
      <c r="R50" s="59">
        <v>50000</v>
      </c>
      <c r="S50" s="59">
        <v>50000</v>
      </c>
      <c r="T50" s="59">
        <v>50000</v>
      </c>
      <c r="U50" s="59">
        <v>50000</v>
      </c>
      <c r="V50" s="59">
        <v>50000</v>
      </c>
      <c r="W50" s="59">
        <v>50000</v>
      </c>
      <c r="X50" s="59">
        <v>50000</v>
      </c>
      <c r="Y50" s="59">
        <v>50000</v>
      </c>
      <c r="Z50" s="59">
        <v>50000</v>
      </c>
      <c r="AA50" s="15">
        <f t="shared" si="0"/>
        <v>1200000</v>
      </c>
      <c r="AB50" s="16">
        <v>2</v>
      </c>
      <c r="AC50" s="15">
        <f t="shared" si="1"/>
        <v>2400000</v>
      </c>
      <c r="AD50" s="113"/>
    </row>
    <row r="51" spans="1:30" x14ac:dyDescent="0.35">
      <c r="A51" s="77">
        <v>47818</v>
      </c>
      <c r="B51" s="13" t="s">
        <v>39</v>
      </c>
      <c r="C51" s="59">
        <v>50000</v>
      </c>
      <c r="D51" s="59">
        <v>50000</v>
      </c>
      <c r="E51" s="59">
        <v>50000</v>
      </c>
      <c r="F51" s="59">
        <v>50000</v>
      </c>
      <c r="G51" s="59">
        <v>50000</v>
      </c>
      <c r="H51" s="59">
        <v>50000</v>
      </c>
      <c r="I51" s="59">
        <v>50000</v>
      </c>
      <c r="J51" s="59">
        <v>50000</v>
      </c>
      <c r="K51" s="59">
        <v>50000</v>
      </c>
      <c r="L51" s="59">
        <v>50000</v>
      </c>
      <c r="M51" s="59">
        <v>50000</v>
      </c>
      <c r="N51" s="59">
        <v>50000</v>
      </c>
      <c r="O51" s="59">
        <v>50000</v>
      </c>
      <c r="P51" s="59">
        <v>50000</v>
      </c>
      <c r="Q51" s="59">
        <v>50000</v>
      </c>
      <c r="R51" s="59">
        <v>50000</v>
      </c>
      <c r="S51" s="59">
        <v>50000</v>
      </c>
      <c r="T51" s="59">
        <v>50000</v>
      </c>
      <c r="U51" s="59">
        <v>50000</v>
      </c>
      <c r="V51" s="59">
        <v>50000</v>
      </c>
      <c r="W51" s="59">
        <v>50000</v>
      </c>
      <c r="X51" s="59">
        <v>50000</v>
      </c>
      <c r="Y51" s="59">
        <v>50000</v>
      </c>
      <c r="Z51" s="59">
        <v>50000</v>
      </c>
      <c r="AA51" s="15">
        <f t="shared" si="0"/>
        <v>1200000</v>
      </c>
      <c r="AB51" s="16">
        <v>21</v>
      </c>
      <c r="AC51" s="15">
        <f t="shared" si="1"/>
        <v>25200000</v>
      </c>
      <c r="AD51" s="111">
        <f>+SUM(AC51:AC54)</f>
        <v>37200000</v>
      </c>
    </row>
    <row r="52" spans="1:30" x14ac:dyDescent="0.35">
      <c r="A52" s="78"/>
      <c r="B52" s="17" t="s">
        <v>40</v>
      </c>
      <c r="C52" s="59">
        <v>50000</v>
      </c>
      <c r="D52" s="59">
        <v>50000</v>
      </c>
      <c r="E52" s="59">
        <v>50000</v>
      </c>
      <c r="F52" s="59">
        <v>50000</v>
      </c>
      <c r="G52" s="59">
        <v>50000</v>
      </c>
      <c r="H52" s="59">
        <v>50000</v>
      </c>
      <c r="I52" s="59">
        <v>50000</v>
      </c>
      <c r="J52" s="59">
        <v>50000</v>
      </c>
      <c r="K52" s="59">
        <v>50000</v>
      </c>
      <c r="L52" s="59">
        <v>50000</v>
      </c>
      <c r="M52" s="59">
        <v>50000</v>
      </c>
      <c r="N52" s="59">
        <v>50000</v>
      </c>
      <c r="O52" s="59">
        <v>50000</v>
      </c>
      <c r="P52" s="59">
        <v>50000</v>
      </c>
      <c r="Q52" s="59">
        <v>50000</v>
      </c>
      <c r="R52" s="59">
        <v>50000</v>
      </c>
      <c r="S52" s="59">
        <v>50000</v>
      </c>
      <c r="T52" s="59">
        <v>50000</v>
      </c>
      <c r="U52" s="59">
        <v>50000</v>
      </c>
      <c r="V52" s="59">
        <v>50000</v>
      </c>
      <c r="W52" s="59">
        <v>50000</v>
      </c>
      <c r="X52" s="59">
        <v>50000</v>
      </c>
      <c r="Y52" s="59">
        <v>50000</v>
      </c>
      <c r="Z52" s="59">
        <v>50000</v>
      </c>
      <c r="AA52" s="15">
        <f t="shared" si="0"/>
        <v>1200000</v>
      </c>
      <c r="AB52" s="16">
        <v>4</v>
      </c>
      <c r="AC52" s="15">
        <f t="shared" si="1"/>
        <v>4800000</v>
      </c>
      <c r="AD52" s="112"/>
    </row>
    <row r="53" spans="1:30" x14ac:dyDescent="0.35">
      <c r="A53" s="78"/>
      <c r="B53" s="17" t="s">
        <v>41</v>
      </c>
      <c r="C53" s="59">
        <v>50000</v>
      </c>
      <c r="D53" s="59">
        <v>50000</v>
      </c>
      <c r="E53" s="59">
        <v>50000</v>
      </c>
      <c r="F53" s="59">
        <v>50000</v>
      </c>
      <c r="G53" s="59">
        <v>50000</v>
      </c>
      <c r="H53" s="59">
        <v>50000</v>
      </c>
      <c r="I53" s="59">
        <v>50000</v>
      </c>
      <c r="J53" s="59">
        <v>50000</v>
      </c>
      <c r="K53" s="59">
        <v>50000</v>
      </c>
      <c r="L53" s="59">
        <v>50000</v>
      </c>
      <c r="M53" s="59">
        <v>50000</v>
      </c>
      <c r="N53" s="59">
        <v>50000</v>
      </c>
      <c r="O53" s="59">
        <v>50000</v>
      </c>
      <c r="P53" s="59">
        <v>50000</v>
      </c>
      <c r="Q53" s="59">
        <v>50000</v>
      </c>
      <c r="R53" s="59">
        <v>50000</v>
      </c>
      <c r="S53" s="59">
        <v>50000</v>
      </c>
      <c r="T53" s="59">
        <v>50000</v>
      </c>
      <c r="U53" s="59">
        <v>50000</v>
      </c>
      <c r="V53" s="59">
        <v>50000</v>
      </c>
      <c r="W53" s="59">
        <v>50000</v>
      </c>
      <c r="X53" s="59">
        <v>50000</v>
      </c>
      <c r="Y53" s="59">
        <v>50000</v>
      </c>
      <c r="Z53" s="59">
        <v>50000</v>
      </c>
      <c r="AA53" s="15">
        <f t="shared" si="0"/>
        <v>1200000</v>
      </c>
      <c r="AB53" s="16">
        <v>5</v>
      </c>
      <c r="AC53" s="15">
        <f t="shared" si="1"/>
        <v>6000000</v>
      </c>
      <c r="AD53" s="112"/>
    </row>
    <row r="54" spans="1:30" x14ac:dyDescent="0.35">
      <c r="A54" s="79"/>
      <c r="B54" s="18" t="s">
        <v>42</v>
      </c>
      <c r="C54" s="59">
        <v>50000</v>
      </c>
      <c r="D54" s="59">
        <v>50000</v>
      </c>
      <c r="E54" s="59">
        <v>50000</v>
      </c>
      <c r="F54" s="59">
        <v>50000</v>
      </c>
      <c r="G54" s="59">
        <v>50000</v>
      </c>
      <c r="H54" s="59">
        <v>50000</v>
      </c>
      <c r="I54" s="59">
        <v>50000</v>
      </c>
      <c r="J54" s="59">
        <v>50000</v>
      </c>
      <c r="K54" s="59">
        <v>50000</v>
      </c>
      <c r="L54" s="59">
        <v>50000</v>
      </c>
      <c r="M54" s="59">
        <v>50000</v>
      </c>
      <c r="N54" s="59">
        <v>50000</v>
      </c>
      <c r="O54" s="59">
        <v>50000</v>
      </c>
      <c r="P54" s="59">
        <v>50000</v>
      </c>
      <c r="Q54" s="59">
        <v>50000</v>
      </c>
      <c r="R54" s="59">
        <v>50000</v>
      </c>
      <c r="S54" s="59">
        <v>50000</v>
      </c>
      <c r="T54" s="59">
        <v>50000</v>
      </c>
      <c r="U54" s="59">
        <v>50000</v>
      </c>
      <c r="V54" s="59">
        <v>50000</v>
      </c>
      <c r="W54" s="59">
        <v>50000</v>
      </c>
      <c r="X54" s="59">
        <v>50000</v>
      </c>
      <c r="Y54" s="59">
        <v>50000</v>
      </c>
      <c r="Z54" s="59">
        <v>50000</v>
      </c>
      <c r="AA54" s="15">
        <f t="shared" si="0"/>
        <v>1200000</v>
      </c>
      <c r="AB54" s="16">
        <v>1</v>
      </c>
      <c r="AC54" s="15">
        <f t="shared" si="1"/>
        <v>1200000</v>
      </c>
      <c r="AD54" s="113"/>
    </row>
    <row r="55" spans="1:30" x14ac:dyDescent="0.35">
      <c r="AD55" s="24">
        <f>+SUM(AD7:AD54)</f>
        <v>438000000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7:Z1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37F2-9B90-47FC-8D1E-AFEE1AC9474F}">
  <sheetPr>
    <tabColor rgb="FF00B0F0"/>
  </sheetPr>
  <dimension ref="C1:I22"/>
  <sheetViews>
    <sheetView showGridLines="0" topLeftCell="A5" workbookViewId="0">
      <selection activeCell="F21" sqref="F2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6" t="s">
        <v>43</v>
      </c>
      <c r="D1" s="76"/>
      <c r="E1" s="76"/>
      <c r="F1" s="76"/>
      <c r="G1" s="76"/>
    </row>
    <row r="2" spans="3:7" x14ac:dyDescent="0.35">
      <c r="C2" s="76"/>
      <c r="D2" s="76"/>
      <c r="E2" s="76"/>
      <c r="F2" s="76"/>
      <c r="G2" s="76"/>
    </row>
    <row r="3" spans="3:7" ht="15" thickBot="1" x14ac:dyDescent="0.4"/>
    <row r="4" spans="3:7" ht="15" thickBot="1" x14ac:dyDescent="0.4">
      <c r="C4" s="91" t="s">
        <v>47</v>
      </c>
      <c r="D4" s="92"/>
      <c r="E4" s="92"/>
      <c r="F4" s="92"/>
      <c r="G4" s="93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6" t="s">
        <v>6</v>
      </c>
      <c r="G5" s="56" t="s">
        <v>2</v>
      </c>
    </row>
    <row r="6" spans="3:7" x14ac:dyDescent="0.35">
      <c r="C6" s="62">
        <v>47849</v>
      </c>
      <c r="D6" s="63">
        <f>+VLOOKUP(C6,'CURVA P7'!$A$4:$AD$55,30,FALSE)</f>
        <v>39072423</v>
      </c>
      <c r="E6" s="120" t="s">
        <v>1</v>
      </c>
      <c r="F6" s="64"/>
      <c r="G6" s="121" t="s">
        <v>3</v>
      </c>
    </row>
    <row r="7" spans="3:7" x14ac:dyDescent="0.35">
      <c r="C7" s="3">
        <v>47880</v>
      </c>
      <c r="D7" s="4">
        <f>+VLOOKUP(C7,'CURVA P7'!$A$4:$AD$55,30,FALSE)</f>
        <v>41473312</v>
      </c>
      <c r="E7" s="71"/>
      <c r="F7" s="1"/>
      <c r="G7" s="74"/>
    </row>
    <row r="8" spans="3:7" x14ac:dyDescent="0.35">
      <c r="C8" s="3">
        <v>47908</v>
      </c>
      <c r="D8" s="4">
        <f>+VLOOKUP(C8,'CURVA P7'!$A$4:$AD$55,30,FALSE)</f>
        <v>38941727</v>
      </c>
      <c r="E8" s="71"/>
      <c r="F8" s="1"/>
      <c r="G8" s="74"/>
    </row>
    <row r="9" spans="3:7" x14ac:dyDescent="0.35">
      <c r="C9" s="3">
        <v>47939</v>
      </c>
      <c r="D9" s="4">
        <f>+VLOOKUP(C9,'CURVA P7'!$A$4:$AD$55,30,FALSE)</f>
        <v>41085624</v>
      </c>
      <c r="E9" s="71"/>
      <c r="F9" s="1"/>
      <c r="G9" s="74"/>
    </row>
    <row r="10" spans="3:7" x14ac:dyDescent="0.35">
      <c r="C10" s="3">
        <v>47969</v>
      </c>
      <c r="D10" s="4">
        <f>+VLOOKUP(C10,'CURVA P7'!$A$4:$AD$55,30,FALSE)</f>
        <v>41407219</v>
      </c>
      <c r="E10" s="71"/>
      <c r="F10" s="1"/>
      <c r="G10" s="74"/>
    </row>
    <row r="11" spans="3:7" x14ac:dyDescent="0.35">
      <c r="C11" s="3">
        <v>48000</v>
      </c>
      <c r="D11" s="4">
        <f>+VLOOKUP(C11,'CURVA P7'!$A$4:$AD$55,30,FALSE)</f>
        <v>42678135</v>
      </c>
      <c r="E11" s="71"/>
      <c r="F11" s="1"/>
      <c r="G11" s="74"/>
    </row>
    <row r="12" spans="3:7" x14ac:dyDescent="0.35">
      <c r="C12" s="3">
        <v>48030</v>
      </c>
      <c r="D12" s="4">
        <f>+VLOOKUP(C12,'CURVA P7'!$A$4:$AD$55,30,FALSE)</f>
        <v>40899356</v>
      </c>
      <c r="E12" s="71"/>
      <c r="F12" s="1"/>
      <c r="G12" s="74"/>
    </row>
    <row r="13" spans="3:7" x14ac:dyDescent="0.35">
      <c r="C13" s="3">
        <v>48061</v>
      </c>
      <c r="D13" s="4">
        <f>+VLOOKUP(C13,'CURVA P7'!$A$4:$AD$55,30,FALSE)</f>
        <v>42547608</v>
      </c>
      <c r="E13" s="71"/>
      <c r="F13" s="1"/>
      <c r="G13" s="74"/>
    </row>
    <row r="14" spans="3:7" x14ac:dyDescent="0.35">
      <c r="C14" s="3">
        <v>48092</v>
      </c>
      <c r="D14" s="4">
        <f>+VLOOKUP(C14,'CURVA P7'!$A$4:$AD$55,30,FALSE)</f>
        <v>44164596</v>
      </c>
      <c r="E14" s="71"/>
      <c r="F14" s="1"/>
      <c r="G14" s="74"/>
    </row>
    <row r="15" spans="3:7" x14ac:dyDescent="0.35">
      <c r="C15" s="3">
        <v>48122</v>
      </c>
      <c r="D15" s="4">
        <f>+VLOOKUP(C15,'CURVA P7'!$A$4:$AD$55,30,FALSE)</f>
        <v>43421099</v>
      </c>
      <c r="E15" s="71"/>
      <c r="F15" s="1"/>
      <c r="G15" s="74"/>
    </row>
    <row r="16" spans="3:7" x14ac:dyDescent="0.35">
      <c r="C16" s="3">
        <v>48153</v>
      </c>
      <c r="D16" s="4">
        <f>+VLOOKUP(C16,'CURVA P7'!$A$4:$AD$55,30,FALSE)</f>
        <v>42950492</v>
      </c>
      <c r="E16" s="71"/>
      <c r="F16" s="1"/>
      <c r="G16" s="74"/>
    </row>
    <row r="17" spans="3:9" ht="15" thickBot="1" x14ac:dyDescent="0.4">
      <c r="C17" s="5">
        <v>48183</v>
      </c>
      <c r="D17" s="6">
        <f>+VLOOKUP(C17,'CURVA P7'!$A$4:$AD$55,30,FALSE)</f>
        <v>41505243</v>
      </c>
      <c r="E17" s="72"/>
      <c r="F17" s="7"/>
      <c r="G17" s="75"/>
    </row>
    <row r="18" spans="3:9" ht="15" thickBot="1" x14ac:dyDescent="0.4">
      <c r="D18" s="26">
        <f>SUM(D6:D17)</f>
        <v>500146834</v>
      </c>
    </row>
    <row r="19" spans="3:9" x14ac:dyDescent="0.35">
      <c r="D19" s="21"/>
      <c r="I19" s="22"/>
    </row>
    <row r="20" spans="3:9" x14ac:dyDescent="0.35">
      <c r="D20" s="65"/>
      <c r="E20" s="20"/>
      <c r="I20" s="22"/>
    </row>
    <row r="21" spans="3:9" x14ac:dyDescent="0.35">
      <c r="D21" s="66"/>
      <c r="E21" s="20"/>
      <c r="I21" s="22"/>
    </row>
    <row r="22" spans="3:9" x14ac:dyDescent="0.35">
      <c r="D22" s="20"/>
      <c r="E22" s="20"/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17B3-ADCA-4865-8160-0C42666ABC25}">
  <dimension ref="A1:AD58"/>
  <sheetViews>
    <sheetView showGridLines="0" topLeftCell="R41" zoomScaleNormal="100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06" t="s">
        <v>8</v>
      </c>
      <c r="B1" s="106"/>
      <c r="C1" s="106"/>
      <c r="D1" s="106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107" t="s">
        <v>43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85" t="s">
        <v>9</v>
      </c>
      <c r="B4" s="85"/>
      <c r="C4" s="86">
        <f>+AD55</f>
        <v>500146834</v>
      </c>
      <c r="D4" s="8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53"/>
      <c r="B6" s="57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1:30" x14ac:dyDescent="0.35">
      <c r="A7" s="114">
        <v>47849</v>
      </c>
      <c r="B7" s="58" t="s">
        <v>39</v>
      </c>
      <c r="C7" s="59">
        <v>55369</v>
      </c>
      <c r="D7" s="59">
        <v>52072</v>
      </c>
      <c r="E7" s="59">
        <v>49437</v>
      </c>
      <c r="F7" s="59">
        <v>47513</v>
      </c>
      <c r="G7" s="59">
        <v>46927</v>
      </c>
      <c r="H7" s="59">
        <v>48157</v>
      </c>
      <c r="I7" s="59">
        <v>48844</v>
      </c>
      <c r="J7" s="59">
        <v>41471</v>
      </c>
      <c r="K7" s="59">
        <v>36741</v>
      </c>
      <c r="L7" s="59">
        <v>36013</v>
      </c>
      <c r="M7" s="59">
        <v>36937</v>
      </c>
      <c r="N7" s="59">
        <v>36255</v>
      </c>
      <c r="O7" s="59">
        <v>33432</v>
      </c>
      <c r="P7" s="59">
        <v>43474</v>
      </c>
      <c r="Q7" s="59">
        <v>58643</v>
      </c>
      <c r="R7" s="59">
        <v>68778</v>
      </c>
      <c r="S7" s="59">
        <v>72392</v>
      </c>
      <c r="T7" s="59">
        <v>75481</v>
      </c>
      <c r="U7" s="59">
        <v>78732</v>
      </c>
      <c r="V7" s="59">
        <v>77593</v>
      </c>
      <c r="W7" s="59">
        <v>76047</v>
      </c>
      <c r="X7" s="59">
        <v>73588</v>
      </c>
      <c r="Y7" s="59">
        <v>68708</v>
      </c>
      <c r="Z7" s="59">
        <v>62261</v>
      </c>
      <c r="AA7" s="59">
        <f>SUM(C7:Z7)</f>
        <v>1324865</v>
      </c>
      <c r="AB7" s="54">
        <v>21</v>
      </c>
      <c r="AC7" s="59">
        <f>+AA7*AB7</f>
        <v>27822165</v>
      </c>
      <c r="AD7" s="117">
        <f>+SUM(AC7:AC10)</f>
        <v>39072423</v>
      </c>
    </row>
    <row r="8" spans="1:30" x14ac:dyDescent="0.35">
      <c r="A8" s="115"/>
      <c r="B8" s="60" t="s">
        <v>40</v>
      </c>
      <c r="C8" s="59">
        <v>57195</v>
      </c>
      <c r="D8" s="59">
        <v>53558</v>
      </c>
      <c r="E8" s="59">
        <v>50624</v>
      </c>
      <c r="F8" s="59">
        <v>48453</v>
      </c>
      <c r="G8" s="59">
        <v>47600</v>
      </c>
      <c r="H8" s="59">
        <v>48028</v>
      </c>
      <c r="I8" s="59">
        <v>47944</v>
      </c>
      <c r="J8" s="59">
        <v>39641</v>
      </c>
      <c r="K8" s="59">
        <v>34908</v>
      </c>
      <c r="L8" s="59">
        <v>34067</v>
      </c>
      <c r="M8" s="59">
        <v>34339</v>
      </c>
      <c r="N8" s="59">
        <v>33126</v>
      </c>
      <c r="O8" s="59">
        <v>32118</v>
      </c>
      <c r="P8" s="59">
        <v>38055</v>
      </c>
      <c r="Q8" s="59">
        <v>48947</v>
      </c>
      <c r="R8" s="59">
        <v>58079</v>
      </c>
      <c r="S8" s="59">
        <v>61722</v>
      </c>
      <c r="T8" s="59">
        <v>68212</v>
      </c>
      <c r="U8" s="59">
        <v>74954</v>
      </c>
      <c r="V8" s="59">
        <v>74568</v>
      </c>
      <c r="W8" s="59">
        <v>72150</v>
      </c>
      <c r="X8" s="59">
        <v>69687</v>
      </c>
      <c r="Y8" s="59">
        <v>66283</v>
      </c>
      <c r="Z8" s="59">
        <v>61686</v>
      </c>
      <c r="AA8" s="59">
        <f t="shared" ref="AA8:AA54" si="0">SUM(C8:Z8)</f>
        <v>1255944</v>
      </c>
      <c r="AB8" s="54">
        <v>4</v>
      </c>
      <c r="AC8" s="59">
        <f t="shared" ref="AC8:AC54" si="1">+AA8*AB8</f>
        <v>5023776</v>
      </c>
      <c r="AD8" s="118"/>
    </row>
    <row r="9" spans="1:30" x14ac:dyDescent="0.35">
      <c r="A9" s="115"/>
      <c r="B9" s="60" t="s">
        <v>41</v>
      </c>
      <c r="C9" s="59">
        <v>56367</v>
      </c>
      <c r="D9" s="59">
        <v>52960</v>
      </c>
      <c r="E9" s="59">
        <v>50105</v>
      </c>
      <c r="F9" s="59">
        <v>47850</v>
      </c>
      <c r="G9" s="59">
        <v>46570</v>
      </c>
      <c r="H9" s="59">
        <v>45966</v>
      </c>
      <c r="I9" s="59">
        <v>44591</v>
      </c>
      <c r="J9" s="59">
        <v>32124</v>
      </c>
      <c r="K9" s="59">
        <v>23213</v>
      </c>
      <c r="L9" s="59">
        <v>20668</v>
      </c>
      <c r="M9" s="59">
        <v>19126</v>
      </c>
      <c r="N9" s="59">
        <v>17769</v>
      </c>
      <c r="O9" s="59">
        <v>20100</v>
      </c>
      <c r="P9" s="59">
        <v>25465</v>
      </c>
      <c r="Q9" s="59">
        <v>35080</v>
      </c>
      <c r="R9" s="59">
        <v>44932</v>
      </c>
      <c r="S9" s="59">
        <v>50127</v>
      </c>
      <c r="T9" s="59">
        <v>58761</v>
      </c>
      <c r="U9" s="59">
        <v>66840</v>
      </c>
      <c r="V9" s="59">
        <v>69075</v>
      </c>
      <c r="W9" s="59">
        <v>68732</v>
      </c>
      <c r="X9" s="59">
        <v>67497</v>
      </c>
      <c r="Y9" s="59">
        <v>63711</v>
      </c>
      <c r="Z9" s="59">
        <v>58421</v>
      </c>
      <c r="AA9" s="59">
        <f t="shared" si="0"/>
        <v>1086050</v>
      </c>
      <c r="AB9" s="54">
        <v>4</v>
      </c>
      <c r="AC9" s="59">
        <f t="shared" si="1"/>
        <v>4344200</v>
      </c>
      <c r="AD9" s="118"/>
    </row>
    <row r="10" spans="1:30" x14ac:dyDescent="0.35">
      <c r="A10" s="116"/>
      <c r="B10" s="61" t="s">
        <v>42</v>
      </c>
      <c r="C10" s="59">
        <v>46962</v>
      </c>
      <c r="D10" s="59">
        <v>45299</v>
      </c>
      <c r="E10" s="59">
        <v>43834</v>
      </c>
      <c r="F10" s="59">
        <v>42343</v>
      </c>
      <c r="G10" s="59">
        <v>41575</v>
      </c>
      <c r="H10" s="59">
        <v>40918</v>
      </c>
      <c r="I10" s="59">
        <v>38862</v>
      </c>
      <c r="J10" s="59">
        <v>25769</v>
      </c>
      <c r="K10" s="59">
        <v>16362</v>
      </c>
      <c r="L10" s="59">
        <v>13802</v>
      </c>
      <c r="M10" s="59">
        <v>12877</v>
      </c>
      <c r="N10" s="59">
        <v>11518</v>
      </c>
      <c r="O10" s="59">
        <v>13976</v>
      </c>
      <c r="P10" s="59">
        <v>19726</v>
      </c>
      <c r="Q10" s="59">
        <v>29113</v>
      </c>
      <c r="R10" s="59">
        <v>38642</v>
      </c>
      <c r="S10" s="59">
        <v>43312</v>
      </c>
      <c r="T10" s="59">
        <v>53806</v>
      </c>
      <c r="U10" s="59">
        <v>62491</v>
      </c>
      <c r="V10" s="59">
        <v>64082</v>
      </c>
      <c r="W10" s="59">
        <v>63175</v>
      </c>
      <c r="X10" s="59">
        <v>61289</v>
      </c>
      <c r="Y10" s="59">
        <v>57877</v>
      </c>
      <c r="Z10" s="59">
        <v>53531</v>
      </c>
      <c r="AA10" s="59">
        <f t="shared" si="0"/>
        <v>941141</v>
      </c>
      <c r="AB10" s="54">
        <v>2</v>
      </c>
      <c r="AC10" s="59">
        <f t="shared" si="1"/>
        <v>1882282</v>
      </c>
      <c r="AD10" s="119"/>
    </row>
    <row r="11" spans="1:30" x14ac:dyDescent="0.35">
      <c r="A11" s="114">
        <v>47880</v>
      </c>
      <c r="B11" s="58" t="s">
        <v>39</v>
      </c>
      <c r="C11" s="59">
        <v>62934</v>
      </c>
      <c r="D11" s="59">
        <v>58921</v>
      </c>
      <c r="E11" s="59">
        <v>56106</v>
      </c>
      <c r="F11" s="59">
        <v>54214</v>
      </c>
      <c r="G11" s="59">
        <v>54157</v>
      </c>
      <c r="H11" s="59">
        <v>57494</v>
      </c>
      <c r="I11" s="59">
        <v>59339</v>
      </c>
      <c r="J11" s="59">
        <v>52649</v>
      </c>
      <c r="K11" s="59">
        <v>47076</v>
      </c>
      <c r="L11" s="59">
        <v>46046</v>
      </c>
      <c r="M11" s="59">
        <v>47047</v>
      </c>
      <c r="N11" s="59">
        <v>44817</v>
      </c>
      <c r="O11" s="59">
        <v>39435</v>
      </c>
      <c r="P11" s="59">
        <v>52342</v>
      </c>
      <c r="Q11" s="59">
        <v>69593</v>
      </c>
      <c r="R11" s="59">
        <v>80647</v>
      </c>
      <c r="S11" s="59">
        <v>84280</v>
      </c>
      <c r="T11" s="59">
        <v>85108</v>
      </c>
      <c r="U11" s="59">
        <v>86831</v>
      </c>
      <c r="V11" s="59">
        <v>86697</v>
      </c>
      <c r="W11" s="59">
        <v>85308</v>
      </c>
      <c r="X11" s="59">
        <v>82410</v>
      </c>
      <c r="Y11" s="59">
        <v>76217</v>
      </c>
      <c r="Z11" s="59">
        <v>68598</v>
      </c>
      <c r="AA11" s="59">
        <f t="shared" si="0"/>
        <v>1538266</v>
      </c>
      <c r="AB11" s="54">
        <v>20</v>
      </c>
      <c r="AC11" s="59">
        <f t="shared" si="1"/>
        <v>30765320</v>
      </c>
      <c r="AD11" s="117">
        <f>+SUM(AC11:AC14)</f>
        <v>41473312</v>
      </c>
    </row>
    <row r="12" spans="1:30" x14ac:dyDescent="0.35">
      <c r="A12" s="115"/>
      <c r="B12" s="60" t="s">
        <v>40</v>
      </c>
      <c r="C12" s="59">
        <v>61288</v>
      </c>
      <c r="D12" s="59">
        <v>57396</v>
      </c>
      <c r="E12" s="59">
        <v>54654</v>
      </c>
      <c r="F12" s="59">
        <v>52745</v>
      </c>
      <c r="G12" s="59">
        <v>52107</v>
      </c>
      <c r="H12" s="59">
        <v>53183</v>
      </c>
      <c r="I12" s="59">
        <v>54628</v>
      </c>
      <c r="J12" s="59">
        <v>48095</v>
      </c>
      <c r="K12" s="59">
        <v>43674</v>
      </c>
      <c r="L12" s="59">
        <v>42853</v>
      </c>
      <c r="M12" s="59">
        <v>43096</v>
      </c>
      <c r="N12" s="59">
        <v>41275</v>
      </c>
      <c r="O12" s="59">
        <v>38722</v>
      </c>
      <c r="P12" s="59">
        <v>44439</v>
      </c>
      <c r="Q12" s="59">
        <v>56276</v>
      </c>
      <c r="R12" s="59">
        <v>66091</v>
      </c>
      <c r="S12" s="59">
        <v>69813</v>
      </c>
      <c r="T12" s="59">
        <v>74747</v>
      </c>
      <c r="U12" s="59">
        <v>80744</v>
      </c>
      <c r="V12" s="59">
        <v>81417</v>
      </c>
      <c r="W12" s="59">
        <v>78879</v>
      </c>
      <c r="X12" s="59">
        <v>76138</v>
      </c>
      <c r="Y12" s="59">
        <v>72599</v>
      </c>
      <c r="Z12" s="59">
        <v>67593</v>
      </c>
      <c r="AA12" s="59">
        <f t="shared" si="0"/>
        <v>1412452</v>
      </c>
      <c r="AB12" s="54">
        <v>4</v>
      </c>
      <c r="AC12" s="59">
        <f t="shared" si="1"/>
        <v>5649808</v>
      </c>
      <c r="AD12" s="118"/>
    </row>
    <row r="13" spans="1:30" x14ac:dyDescent="0.35">
      <c r="A13" s="115"/>
      <c r="B13" s="60" t="s">
        <v>41</v>
      </c>
      <c r="C13" s="59">
        <v>62719</v>
      </c>
      <c r="D13" s="59">
        <v>58607</v>
      </c>
      <c r="E13" s="59">
        <v>55760</v>
      </c>
      <c r="F13" s="59">
        <v>53488</v>
      </c>
      <c r="G13" s="59">
        <v>52211</v>
      </c>
      <c r="H13" s="59">
        <v>51856</v>
      </c>
      <c r="I13" s="59">
        <v>51092</v>
      </c>
      <c r="J13" s="59">
        <v>39365</v>
      </c>
      <c r="K13" s="59">
        <v>29755</v>
      </c>
      <c r="L13" s="59">
        <v>27353</v>
      </c>
      <c r="M13" s="59">
        <v>26058</v>
      </c>
      <c r="N13" s="59">
        <v>24818</v>
      </c>
      <c r="O13" s="59">
        <v>27253</v>
      </c>
      <c r="P13" s="59">
        <v>32667</v>
      </c>
      <c r="Q13" s="59">
        <v>43209</v>
      </c>
      <c r="R13" s="59">
        <v>54035</v>
      </c>
      <c r="S13" s="59">
        <v>59765</v>
      </c>
      <c r="T13" s="59">
        <v>66787</v>
      </c>
      <c r="U13" s="59">
        <v>74199</v>
      </c>
      <c r="V13" s="59">
        <v>78047</v>
      </c>
      <c r="W13" s="59">
        <v>78485</v>
      </c>
      <c r="X13" s="59">
        <v>77705</v>
      </c>
      <c r="Y13" s="59">
        <v>72939</v>
      </c>
      <c r="Z13" s="59">
        <v>66373</v>
      </c>
      <c r="AA13" s="59">
        <f t="shared" si="0"/>
        <v>1264546</v>
      </c>
      <c r="AB13" s="54">
        <v>4</v>
      </c>
      <c r="AC13" s="59">
        <f t="shared" si="1"/>
        <v>5058184</v>
      </c>
      <c r="AD13" s="118"/>
    </row>
    <row r="14" spans="1:30" x14ac:dyDescent="0.35">
      <c r="A14" s="116"/>
      <c r="B14" s="61" t="s">
        <v>42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f t="shared" si="0"/>
        <v>0</v>
      </c>
      <c r="AB14" s="54">
        <v>0</v>
      </c>
      <c r="AC14" s="59">
        <f t="shared" si="1"/>
        <v>0</v>
      </c>
      <c r="AD14" s="119"/>
    </row>
    <row r="15" spans="1:30" x14ac:dyDescent="0.35">
      <c r="A15" s="114">
        <v>47908</v>
      </c>
      <c r="B15" s="58" t="s">
        <v>39</v>
      </c>
      <c r="C15" s="59">
        <v>55211</v>
      </c>
      <c r="D15" s="59">
        <v>51479</v>
      </c>
      <c r="E15" s="59">
        <v>48908</v>
      </c>
      <c r="F15" s="59">
        <v>47064</v>
      </c>
      <c r="G15" s="59">
        <v>46903</v>
      </c>
      <c r="H15" s="59">
        <v>49172</v>
      </c>
      <c r="I15" s="59">
        <v>49753</v>
      </c>
      <c r="J15" s="59">
        <v>42706</v>
      </c>
      <c r="K15" s="59">
        <v>37351</v>
      </c>
      <c r="L15" s="59">
        <v>35876</v>
      </c>
      <c r="M15" s="59">
        <v>36363</v>
      </c>
      <c r="N15" s="59">
        <v>34532</v>
      </c>
      <c r="O15" s="59">
        <v>30372</v>
      </c>
      <c r="P15" s="59">
        <v>42101</v>
      </c>
      <c r="Q15" s="59">
        <v>57923</v>
      </c>
      <c r="R15" s="59">
        <v>68042</v>
      </c>
      <c r="S15" s="59">
        <v>71905</v>
      </c>
      <c r="T15" s="59">
        <v>74188</v>
      </c>
      <c r="U15" s="59">
        <v>76411</v>
      </c>
      <c r="V15" s="59">
        <v>76270</v>
      </c>
      <c r="W15" s="59">
        <v>75135</v>
      </c>
      <c r="X15" s="59">
        <v>72770</v>
      </c>
      <c r="Y15" s="59">
        <v>67659</v>
      </c>
      <c r="Z15" s="59">
        <v>61027</v>
      </c>
      <c r="AA15" s="59">
        <f t="shared" si="0"/>
        <v>1309121</v>
      </c>
      <c r="AB15" s="54">
        <v>20</v>
      </c>
      <c r="AC15" s="59">
        <f t="shared" si="1"/>
        <v>26182420</v>
      </c>
      <c r="AD15" s="117">
        <f>+SUM(AC15:AC18)</f>
        <v>38941727</v>
      </c>
    </row>
    <row r="16" spans="1:30" x14ac:dyDescent="0.35">
      <c r="A16" s="115"/>
      <c r="B16" s="60" t="s">
        <v>40</v>
      </c>
      <c r="C16" s="59">
        <v>56962</v>
      </c>
      <c r="D16" s="59">
        <v>53048</v>
      </c>
      <c r="E16" s="59">
        <v>50296</v>
      </c>
      <c r="F16" s="59">
        <v>48094</v>
      </c>
      <c r="G16" s="59">
        <v>47152</v>
      </c>
      <c r="H16" s="59">
        <v>47409</v>
      </c>
      <c r="I16" s="59">
        <v>47946</v>
      </c>
      <c r="J16" s="59">
        <v>41236</v>
      </c>
      <c r="K16" s="59">
        <v>36346</v>
      </c>
      <c r="L16" s="59">
        <v>34999</v>
      </c>
      <c r="M16" s="59">
        <v>35125</v>
      </c>
      <c r="N16" s="59">
        <v>32994</v>
      </c>
      <c r="O16" s="59">
        <v>30776</v>
      </c>
      <c r="P16" s="59">
        <v>36429</v>
      </c>
      <c r="Q16" s="59">
        <v>47406</v>
      </c>
      <c r="R16" s="59">
        <v>56739</v>
      </c>
      <c r="S16" s="59">
        <v>60691</v>
      </c>
      <c r="T16" s="59">
        <v>66698</v>
      </c>
      <c r="U16" s="59">
        <v>72487</v>
      </c>
      <c r="V16" s="59">
        <v>72937</v>
      </c>
      <c r="W16" s="59">
        <v>70903</v>
      </c>
      <c r="X16" s="59">
        <v>68795</v>
      </c>
      <c r="Y16" s="59">
        <v>65968</v>
      </c>
      <c r="Z16" s="59">
        <v>61800</v>
      </c>
      <c r="AA16" s="59">
        <f t="shared" si="0"/>
        <v>1243236</v>
      </c>
      <c r="AB16" s="54">
        <v>5</v>
      </c>
      <c r="AC16" s="59">
        <f t="shared" si="1"/>
        <v>6216180</v>
      </c>
      <c r="AD16" s="118"/>
    </row>
    <row r="17" spans="1:30" x14ac:dyDescent="0.35">
      <c r="A17" s="115"/>
      <c r="B17" s="60" t="s">
        <v>41</v>
      </c>
      <c r="C17" s="59">
        <v>57247</v>
      </c>
      <c r="D17" s="59">
        <v>53458</v>
      </c>
      <c r="E17" s="59">
        <v>50784</v>
      </c>
      <c r="F17" s="59">
        <v>48611</v>
      </c>
      <c r="G17" s="59">
        <v>47326</v>
      </c>
      <c r="H17" s="59">
        <v>46554</v>
      </c>
      <c r="I17" s="59">
        <v>45023</v>
      </c>
      <c r="J17" s="59">
        <v>32968</v>
      </c>
      <c r="K17" s="59">
        <v>23819</v>
      </c>
      <c r="L17" s="59">
        <v>20718</v>
      </c>
      <c r="M17" s="59">
        <v>18665</v>
      </c>
      <c r="N17" s="59">
        <v>17585</v>
      </c>
      <c r="O17" s="59">
        <v>20012</v>
      </c>
      <c r="P17" s="59">
        <v>25461</v>
      </c>
      <c r="Q17" s="59">
        <v>35591</v>
      </c>
      <c r="R17" s="59">
        <v>45547</v>
      </c>
      <c r="S17" s="59">
        <v>50943</v>
      </c>
      <c r="T17" s="59">
        <v>58949</v>
      </c>
      <c r="U17" s="59">
        <v>65953</v>
      </c>
      <c r="V17" s="59">
        <v>69421</v>
      </c>
      <c r="W17" s="59">
        <v>70039</v>
      </c>
      <c r="X17" s="59">
        <v>69497</v>
      </c>
      <c r="Y17" s="59">
        <v>65360</v>
      </c>
      <c r="Z17" s="59">
        <v>59694</v>
      </c>
      <c r="AA17" s="59">
        <f t="shared" si="0"/>
        <v>1099225</v>
      </c>
      <c r="AB17" s="54">
        <v>5</v>
      </c>
      <c r="AC17" s="59">
        <f t="shared" si="1"/>
        <v>5496125</v>
      </c>
      <c r="AD17" s="118"/>
    </row>
    <row r="18" spans="1:30" x14ac:dyDescent="0.35">
      <c r="A18" s="116"/>
      <c r="B18" s="61" t="s">
        <v>42</v>
      </c>
      <c r="C18" s="59">
        <v>49875</v>
      </c>
      <c r="D18" s="59">
        <v>46028</v>
      </c>
      <c r="E18" s="59">
        <v>43551</v>
      </c>
      <c r="F18" s="59">
        <v>41868</v>
      </c>
      <c r="G18" s="59">
        <v>41028</v>
      </c>
      <c r="H18" s="59">
        <v>40841</v>
      </c>
      <c r="I18" s="59">
        <v>40600</v>
      </c>
      <c r="J18" s="59">
        <v>30969</v>
      </c>
      <c r="K18" s="59">
        <v>23409</v>
      </c>
      <c r="L18" s="59">
        <v>21873</v>
      </c>
      <c r="M18" s="59">
        <v>21840</v>
      </c>
      <c r="N18" s="59">
        <v>20783</v>
      </c>
      <c r="O18" s="59">
        <v>21045</v>
      </c>
      <c r="P18" s="59">
        <v>27355</v>
      </c>
      <c r="Q18" s="59">
        <v>36969</v>
      </c>
      <c r="R18" s="59">
        <v>45839</v>
      </c>
      <c r="S18" s="59">
        <v>50016</v>
      </c>
      <c r="T18" s="59">
        <v>57583</v>
      </c>
      <c r="U18" s="59">
        <v>65396</v>
      </c>
      <c r="V18" s="59">
        <v>68805</v>
      </c>
      <c r="W18" s="59">
        <v>68724</v>
      </c>
      <c r="X18" s="59">
        <v>66709</v>
      </c>
      <c r="Y18" s="59">
        <v>61005</v>
      </c>
      <c r="Z18" s="59">
        <v>54891</v>
      </c>
      <c r="AA18" s="59">
        <f t="shared" si="0"/>
        <v>1047002</v>
      </c>
      <c r="AB18" s="54">
        <v>1</v>
      </c>
      <c r="AC18" s="59">
        <f t="shared" si="1"/>
        <v>1047002</v>
      </c>
      <c r="AD18" s="119"/>
    </row>
    <row r="19" spans="1:30" x14ac:dyDescent="0.35">
      <c r="A19" s="114">
        <v>47939</v>
      </c>
      <c r="B19" s="58" t="s">
        <v>39</v>
      </c>
      <c r="C19" s="59">
        <v>59474</v>
      </c>
      <c r="D19" s="59">
        <v>55469</v>
      </c>
      <c r="E19" s="59">
        <v>52732</v>
      </c>
      <c r="F19" s="59">
        <v>50821</v>
      </c>
      <c r="G19" s="59">
        <v>50622</v>
      </c>
      <c r="H19" s="59">
        <v>51622</v>
      </c>
      <c r="I19" s="59">
        <v>52845</v>
      </c>
      <c r="J19" s="59">
        <v>47212</v>
      </c>
      <c r="K19" s="59">
        <v>43055</v>
      </c>
      <c r="L19" s="59">
        <v>42400</v>
      </c>
      <c r="M19" s="59">
        <v>43686</v>
      </c>
      <c r="N19" s="59">
        <v>42366</v>
      </c>
      <c r="O19" s="59">
        <v>37448</v>
      </c>
      <c r="P19" s="59">
        <v>49685</v>
      </c>
      <c r="Q19" s="59">
        <v>66518</v>
      </c>
      <c r="R19" s="59">
        <v>76531</v>
      </c>
      <c r="S19" s="59">
        <v>79694</v>
      </c>
      <c r="T19" s="59">
        <v>81197</v>
      </c>
      <c r="U19" s="59">
        <v>82938</v>
      </c>
      <c r="V19" s="59">
        <v>82448</v>
      </c>
      <c r="W19" s="59">
        <v>81568</v>
      </c>
      <c r="X19" s="59">
        <v>79034</v>
      </c>
      <c r="Y19" s="59">
        <v>73561</v>
      </c>
      <c r="Z19" s="59">
        <v>66348</v>
      </c>
      <c r="AA19" s="59">
        <f t="shared" si="0"/>
        <v>1449274</v>
      </c>
      <c r="AB19" s="54">
        <v>20</v>
      </c>
      <c r="AC19" s="59">
        <f t="shared" si="1"/>
        <v>28985480</v>
      </c>
      <c r="AD19" s="117">
        <f>+SUM(AC19:AC22)</f>
        <v>41085624</v>
      </c>
    </row>
    <row r="20" spans="1:30" x14ac:dyDescent="0.35">
      <c r="A20" s="115"/>
      <c r="B20" s="60" t="s">
        <v>40</v>
      </c>
      <c r="C20" s="59">
        <v>60569</v>
      </c>
      <c r="D20" s="59">
        <v>56544</v>
      </c>
      <c r="E20" s="59">
        <v>53594</v>
      </c>
      <c r="F20" s="59">
        <v>51385</v>
      </c>
      <c r="G20" s="59">
        <v>50495</v>
      </c>
      <c r="H20" s="59">
        <v>49407</v>
      </c>
      <c r="I20" s="59">
        <v>50599</v>
      </c>
      <c r="J20" s="59">
        <v>44028</v>
      </c>
      <c r="K20" s="59">
        <v>40177</v>
      </c>
      <c r="L20" s="59">
        <v>39679</v>
      </c>
      <c r="M20" s="59">
        <v>40035</v>
      </c>
      <c r="N20" s="59">
        <v>38591</v>
      </c>
      <c r="O20" s="59">
        <v>36756</v>
      </c>
      <c r="P20" s="59">
        <v>42803</v>
      </c>
      <c r="Q20" s="59">
        <v>54177</v>
      </c>
      <c r="R20" s="59">
        <v>63310</v>
      </c>
      <c r="S20" s="59">
        <v>66544</v>
      </c>
      <c r="T20" s="59">
        <v>72180</v>
      </c>
      <c r="U20" s="59">
        <v>77570</v>
      </c>
      <c r="V20" s="59">
        <v>76945</v>
      </c>
      <c r="W20" s="59">
        <v>74784</v>
      </c>
      <c r="X20" s="59">
        <v>72435</v>
      </c>
      <c r="Y20" s="59">
        <v>69298</v>
      </c>
      <c r="Z20" s="59">
        <v>65024</v>
      </c>
      <c r="AA20" s="59">
        <f t="shared" si="0"/>
        <v>1346929</v>
      </c>
      <c r="AB20" s="54">
        <v>4</v>
      </c>
      <c r="AC20" s="59">
        <f t="shared" si="1"/>
        <v>5387716</v>
      </c>
      <c r="AD20" s="118"/>
    </row>
    <row r="21" spans="1:30" x14ac:dyDescent="0.35">
      <c r="A21" s="115"/>
      <c r="B21" s="60" t="s">
        <v>41</v>
      </c>
      <c r="C21" s="59">
        <v>60853</v>
      </c>
      <c r="D21" s="59">
        <v>56655</v>
      </c>
      <c r="E21" s="59">
        <v>53598</v>
      </c>
      <c r="F21" s="59">
        <v>51172</v>
      </c>
      <c r="G21" s="59">
        <v>49790</v>
      </c>
      <c r="H21" s="59">
        <v>47890</v>
      </c>
      <c r="I21" s="59">
        <v>47242</v>
      </c>
      <c r="J21" s="59">
        <v>36016</v>
      </c>
      <c r="K21" s="59">
        <v>26940</v>
      </c>
      <c r="L21" s="59">
        <v>24355</v>
      </c>
      <c r="M21" s="59">
        <v>23229</v>
      </c>
      <c r="N21" s="59">
        <v>22674</v>
      </c>
      <c r="O21" s="59">
        <v>25036</v>
      </c>
      <c r="P21" s="59">
        <v>30705</v>
      </c>
      <c r="Q21" s="59">
        <v>41121</v>
      </c>
      <c r="R21" s="59">
        <v>51097</v>
      </c>
      <c r="S21" s="59">
        <v>56028</v>
      </c>
      <c r="T21" s="59">
        <v>63536</v>
      </c>
      <c r="U21" s="59">
        <v>70484</v>
      </c>
      <c r="V21" s="59">
        <v>73303</v>
      </c>
      <c r="W21" s="59">
        <v>73259</v>
      </c>
      <c r="X21" s="59">
        <v>72880</v>
      </c>
      <c r="Y21" s="59">
        <v>69116</v>
      </c>
      <c r="Z21" s="59">
        <v>63249</v>
      </c>
      <c r="AA21" s="59">
        <f t="shared" si="0"/>
        <v>1190228</v>
      </c>
      <c r="AB21" s="54">
        <v>4</v>
      </c>
      <c r="AC21" s="59">
        <f t="shared" si="1"/>
        <v>4760912</v>
      </c>
      <c r="AD21" s="118"/>
    </row>
    <row r="22" spans="1:30" x14ac:dyDescent="0.35">
      <c r="A22" s="116"/>
      <c r="B22" s="61" t="s">
        <v>42</v>
      </c>
      <c r="C22" s="59">
        <v>54404</v>
      </c>
      <c r="D22" s="59">
        <v>50539</v>
      </c>
      <c r="E22" s="59">
        <v>47790</v>
      </c>
      <c r="F22" s="59">
        <v>45821</v>
      </c>
      <c r="G22" s="59">
        <v>44533</v>
      </c>
      <c r="H22" s="59">
        <v>42593</v>
      </c>
      <c r="I22" s="59">
        <v>42051</v>
      </c>
      <c r="J22" s="59">
        <v>29155</v>
      </c>
      <c r="K22" s="59">
        <v>18371</v>
      </c>
      <c r="L22" s="59">
        <v>13892</v>
      </c>
      <c r="M22" s="59">
        <v>11796</v>
      </c>
      <c r="N22" s="59">
        <v>10602</v>
      </c>
      <c r="O22" s="59">
        <v>13437</v>
      </c>
      <c r="P22" s="59">
        <v>19156</v>
      </c>
      <c r="Q22" s="59">
        <v>29617</v>
      </c>
      <c r="R22" s="59">
        <v>38921</v>
      </c>
      <c r="S22" s="59">
        <v>44324</v>
      </c>
      <c r="T22" s="59">
        <v>53402</v>
      </c>
      <c r="U22" s="59">
        <v>61099</v>
      </c>
      <c r="V22" s="59">
        <v>63454</v>
      </c>
      <c r="W22" s="59">
        <v>63008</v>
      </c>
      <c r="X22" s="59">
        <v>62211</v>
      </c>
      <c r="Y22" s="59">
        <v>59800</v>
      </c>
      <c r="Z22" s="59">
        <v>55782</v>
      </c>
      <c r="AA22" s="59">
        <f t="shared" si="0"/>
        <v>975758</v>
      </c>
      <c r="AB22" s="54">
        <v>2</v>
      </c>
      <c r="AC22" s="59">
        <f t="shared" si="1"/>
        <v>1951516</v>
      </c>
      <c r="AD22" s="119"/>
    </row>
    <row r="23" spans="1:30" x14ac:dyDescent="0.35">
      <c r="A23" s="114">
        <v>47969</v>
      </c>
      <c r="B23" s="58" t="s">
        <v>39</v>
      </c>
      <c r="C23" s="59">
        <v>58633</v>
      </c>
      <c r="D23" s="59">
        <v>54862</v>
      </c>
      <c r="E23" s="59">
        <v>52096</v>
      </c>
      <c r="F23" s="59">
        <v>50156</v>
      </c>
      <c r="G23" s="59">
        <v>49667</v>
      </c>
      <c r="H23" s="59">
        <v>49245</v>
      </c>
      <c r="I23" s="59">
        <v>50811</v>
      </c>
      <c r="J23" s="59">
        <v>45329</v>
      </c>
      <c r="K23" s="59">
        <v>41786</v>
      </c>
      <c r="L23" s="59">
        <v>41351</v>
      </c>
      <c r="M23" s="59">
        <v>42375</v>
      </c>
      <c r="N23" s="59">
        <v>40760</v>
      </c>
      <c r="O23" s="59">
        <v>36065</v>
      </c>
      <c r="P23" s="59">
        <v>47948</v>
      </c>
      <c r="Q23" s="59">
        <v>64255</v>
      </c>
      <c r="R23" s="59">
        <v>73567</v>
      </c>
      <c r="S23" s="59">
        <v>76446</v>
      </c>
      <c r="T23" s="59">
        <v>77887</v>
      </c>
      <c r="U23" s="59">
        <v>79178</v>
      </c>
      <c r="V23" s="59">
        <v>79262</v>
      </c>
      <c r="W23" s="59">
        <v>78897</v>
      </c>
      <c r="X23" s="59">
        <v>76864</v>
      </c>
      <c r="Y23" s="59">
        <v>71754</v>
      </c>
      <c r="Z23" s="59">
        <v>65053</v>
      </c>
      <c r="AA23" s="59">
        <f t="shared" si="0"/>
        <v>1404247</v>
      </c>
      <c r="AB23" s="54">
        <v>20</v>
      </c>
      <c r="AC23" s="59">
        <f t="shared" si="1"/>
        <v>28084940</v>
      </c>
      <c r="AD23" s="117">
        <f>+SUM(AC23:AC26)</f>
        <v>41407219</v>
      </c>
    </row>
    <row r="24" spans="1:30" x14ac:dyDescent="0.35">
      <c r="A24" s="115"/>
      <c r="B24" s="60" t="s">
        <v>40</v>
      </c>
      <c r="C24" s="59">
        <v>61387</v>
      </c>
      <c r="D24" s="59">
        <v>57146</v>
      </c>
      <c r="E24" s="59">
        <v>54052</v>
      </c>
      <c r="F24" s="59">
        <v>51630</v>
      </c>
      <c r="G24" s="59">
        <v>50657</v>
      </c>
      <c r="H24" s="59">
        <v>48668</v>
      </c>
      <c r="I24" s="59">
        <v>49994</v>
      </c>
      <c r="J24" s="59">
        <v>43404</v>
      </c>
      <c r="K24" s="59">
        <v>40056</v>
      </c>
      <c r="L24" s="59">
        <v>39876</v>
      </c>
      <c r="M24" s="59">
        <v>40229</v>
      </c>
      <c r="N24" s="59">
        <v>38201</v>
      </c>
      <c r="O24" s="59">
        <v>35920</v>
      </c>
      <c r="P24" s="59">
        <v>41668</v>
      </c>
      <c r="Q24" s="59">
        <v>52345</v>
      </c>
      <c r="R24" s="59">
        <v>61384</v>
      </c>
      <c r="S24" s="59">
        <v>64389</v>
      </c>
      <c r="T24" s="59">
        <v>69167</v>
      </c>
      <c r="U24" s="59">
        <v>74065</v>
      </c>
      <c r="V24" s="59">
        <v>74777</v>
      </c>
      <c r="W24" s="59">
        <v>73064</v>
      </c>
      <c r="X24" s="59">
        <v>71284</v>
      </c>
      <c r="Y24" s="59">
        <v>68464</v>
      </c>
      <c r="Z24" s="59">
        <v>64312</v>
      </c>
      <c r="AA24" s="59">
        <f t="shared" si="0"/>
        <v>1326139</v>
      </c>
      <c r="AB24" s="54">
        <v>5</v>
      </c>
      <c r="AC24" s="59">
        <f t="shared" si="1"/>
        <v>6630695</v>
      </c>
      <c r="AD24" s="118"/>
    </row>
    <row r="25" spans="1:30" x14ac:dyDescent="0.35">
      <c r="A25" s="115"/>
      <c r="B25" s="60" t="s">
        <v>41</v>
      </c>
      <c r="C25" s="59">
        <v>59231</v>
      </c>
      <c r="D25" s="59">
        <v>55549</v>
      </c>
      <c r="E25" s="59">
        <v>52751</v>
      </c>
      <c r="F25" s="59">
        <v>50446</v>
      </c>
      <c r="G25" s="59">
        <v>48982</v>
      </c>
      <c r="H25" s="59">
        <v>45961</v>
      </c>
      <c r="I25" s="59">
        <v>46123</v>
      </c>
      <c r="J25" s="59">
        <v>34408</v>
      </c>
      <c r="K25" s="59">
        <v>25479</v>
      </c>
      <c r="L25" s="59">
        <v>22889</v>
      </c>
      <c r="M25" s="59">
        <v>21904</v>
      </c>
      <c r="N25" s="59">
        <v>20484</v>
      </c>
      <c r="O25" s="59">
        <v>21738</v>
      </c>
      <c r="P25" s="59">
        <v>26876</v>
      </c>
      <c r="Q25" s="59">
        <v>37370</v>
      </c>
      <c r="R25" s="59">
        <v>46856</v>
      </c>
      <c r="S25" s="59">
        <v>51815</v>
      </c>
      <c r="T25" s="59">
        <v>59645</v>
      </c>
      <c r="U25" s="59">
        <v>66262</v>
      </c>
      <c r="V25" s="59">
        <v>69423</v>
      </c>
      <c r="W25" s="59">
        <v>70025</v>
      </c>
      <c r="X25" s="59">
        <v>70096</v>
      </c>
      <c r="Y25" s="59">
        <v>67048</v>
      </c>
      <c r="Z25" s="59">
        <v>61830</v>
      </c>
      <c r="AA25" s="59">
        <f t="shared" si="0"/>
        <v>1133191</v>
      </c>
      <c r="AB25" s="54">
        <v>4</v>
      </c>
      <c r="AC25" s="59">
        <f t="shared" si="1"/>
        <v>4532764</v>
      </c>
      <c r="AD25" s="118"/>
    </row>
    <row r="26" spans="1:30" x14ac:dyDescent="0.35">
      <c r="A26" s="116"/>
      <c r="B26" s="61" t="s">
        <v>42</v>
      </c>
      <c r="C26" s="59">
        <v>51849</v>
      </c>
      <c r="D26" s="59">
        <v>48218</v>
      </c>
      <c r="E26" s="59">
        <v>45636</v>
      </c>
      <c r="F26" s="59">
        <v>43758</v>
      </c>
      <c r="G26" s="59">
        <v>42897</v>
      </c>
      <c r="H26" s="59">
        <v>40883</v>
      </c>
      <c r="I26" s="59">
        <v>41553</v>
      </c>
      <c r="J26" s="59">
        <v>31315</v>
      </c>
      <c r="K26" s="59">
        <v>23598</v>
      </c>
      <c r="L26" s="59">
        <v>22066</v>
      </c>
      <c r="M26" s="59">
        <v>22111</v>
      </c>
      <c r="N26" s="59">
        <v>21157</v>
      </c>
      <c r="O26" s="59">
        <v>21958</v>
      </c>
      <c r="P26" s="59">
        <v>28071</v>
      </c>
      <c r="Q26" s="59">
        <v>38457</v>
      </c>
      <c r="R26" s="59">
        <v>47766</v>
      </c>
      <c r="S26" s="59">
        <v>51835</v>
      </c>
      <c r="T26" s="59">
        <v>58665</v>
      </c>
      <c r="U26" s="59">
        <v>65624</v>
      </c>
      <c r="V26" s="59">
        <v>69504</v>
      </c>
      <c r="W26" s="59">
        <v>69949</v>
      </c>
      <c r="X26" s="59">
        <v>68942</v>
      </c>
      <c r="Y26" s="59">
        <v>64643</v>
      </c>
      <c r="Z26" s="59">
        <v>58955</v>
      </c>
      <c r="AA26" s="59">
        <f t="shared" si="0"/>
        <v>1079410</v>
      </c>
      <c r="AB26" s="54">
        <v>2</v>
      </c>
      <c r="AC26" s="59">
        <f t="shared" si="1"/>
        <v>2158820</v>
      </c>
      <c r="AD26" s="119"/>
    </row>
    <row r="27" spans="1:30" x14ac:dyDescent="0.35">
      <c r="A27" s="114">
        <v>48000</v>
      </c>
      <c r="B27" s="58" t="s">
        <v>39</v>
      </c>
      <c r="C27" s="59">
        <v>62848</v>
      </c>
      <c r="D27" s="59">
        <v>58787</v>
      </c>
      <c r="E27" s="59">
        <v>55808</v>
      </c>
      <c r="F27" s="59">
        <v>53758</v>
      </c>
      <c r="G27" s="59">
        <v>53250</v>
      </c>
      <c r="H27" s="59">
        <v>52571</v>
      </c>
      <c r="I27" s="59">
        <v>55021</v>
      </c>
      <c r="J27" s="59">
        <v>50548</v>
      </c>
      <c r="K27" s="59">
        <v>47089</v>
      </c>
      <c r="L27" s="59">
        <v>46508</v>
      </c>
      <c r="M27" s="59">
        <v>47511</v>
      </c>
      <c r="N27" s="59">
        <v>46210</v>
      </c>
      <c r="O27" s="59">
        <v>40786</v>
      </c>
      <c r="P27" s="59">
        <v>52597</v>
      </c>
      <c r="Q27" s="59">
        <v>69002</v>
      </c>
      <c r="R27" s="59">
        <v>78783</v>
      </c>
      <c r="S27" s="59">
        <v>82049</v>
      </c>
      <c r="T27" s="59">
        <v>82688</v>
      </c>
      <c r="U27" s="59">
        <v>83116</v>
      </c>
      <c r="V27" s="59">
        <v>83910</v>
      </c>
      <c r="W27" s="59">
        <v>82948</v>
      </c>
      <c r="X27" s="59">
        <v>80489</v>
      </c>
      <c r="Y27" s="59">
        <v>75429</v>
      </c>
      <c r="Z27" s="59">
        <v>68669</v>
      </c>
      <c r="AA27" s="59">
        <f t="shared" si="0"/>
        <v>1510375</v>
      </c>
      <c r="AB27" s="54">
        <v>18</v>
      </c>
      <c r="AC27" s="59">
        <f t="shared" si="1"/>
        <v>27186750</v>
      </c>
      <c r="AD27" s="117">
        <f>+SUM(AC27:AC30)</f>
        <v>42678135</v>
      </c>
    </row>
    <row r="28" spans="1:30" x14ac:dyDescent="0.35">
      <c r="A28" s="115"/>
      <c r="B28" s="60" t="s">
        <v>40</v>
      </c>
      <c r="C28" s="59">
        <v>64076</v>
      </c>
      <c r="D28" s="59">
        <v>60116</v>
      </c>
      <c r="E28" s="59">
        <v>57142</v>
      </c>
      <c r="F28" s="59">
        <v>54930</v>
      </c>
      <c r="G28" s="59">
        <v>54178</v>
      </c>
      <c r="H28" s="59">
        <v>52257</v>
      </c>
      <c r="I28" s="59">
        <v>54402</v>
      </c>
      <c r="J28" s="59">
        <v>48401</v>
      </c>
      <c r="K28" s="59">
        <v>44730</v>
      </c>
      <c r="L28" s="59">
        <v>44264</v>
      </c>
      <c r="M28" s="59">
        <v>44685</v>
      </c>
      <c r="N28" s="59">
        <v>42795</v>
      </c>
      <c r="O28" s="59">
        <v>40099</v>
      </c>
      <c r="P28" s="59">
        <v>45120</v>
      </c>
      <c r="Q28" s="59">
        <v>56685</v>
      </c>
      <c r="R28" s="59">
        <v>66239</v>
      </c>
      <c r="S28" s="59">
        <v>69591</v>
      </c>
      <c r="T28" s="59">
        <v>74297</v>
      </c>
      <c r="U28" s="59">
        <v>78371</v>
      </c>
      <c r="V28" s="59">
        <v>79595</v>
      </c>
      <c r="W28" s="59">
        <v>77499</v>
      </c>
      <c r="X28" s="59">
        <v>75276</v>
      </c>
      <c r="Y28" s="59">
        <v>72281</v>
      </c>
      <c r="Z28" s="59">
        <v>68089</v>
      </c>
      <c r="AA28" s="59">
        <f t="shared" si="0"/>
        <v>1425118</v>
      </c>
      <c r="AB28" s="54">
        <v>4</v>
      </c>
      <c r="AC28" s="59">
        <f t="shared" si="1"/>
        <v>5700472</v>
      </c>
      <c r="AD28" s="118"/>
    </row>
    <row r="29" spans="1:30" x14ac:dyDescent="0.35">
      <c r="A29" s="115"/>
      <c r="B29" s="60" t="s">
        <v>41</v>
      </c>
      <c r="C29" s="59">
        <v>63611</v>
      </c>
      <c r="D29" s="59">
        <v>59806</v>
      </c>
      <c r="E29" s="59">
        <v>56990</v>
      </c>
      <c r="F29" s="59">
        <v>54724</v>
      </c>
      <c r="G29" s="59">
        <v>53370</v>
      </c>
      <c r="H29" s="59">
        <v>50433</v>
      </c>
      <c r="I29" s="59">
        <v>50504</v>
      </c>
      <c r="J29" s="59">
        <v>39362</v>
      </c>
      <c r="K29" s="59">
        <v>29581</v>
      </c>
      <c r="L29" s="59">
        <v>27481</v>
      </c>
      <c r="M29" s="59">
        <v>25369</v>
      </c>
      <c r="N29" s="59">
        <v>23752</v>
      </c>
      <c r="O29" s="59">
        <v>25652</v>
      </c>
      <c r="P29" s="59">
        <v>30798</v>
      </c>
      <c r="Q29" s="59">
        <v>40903</v>
      </c>
      <c r="R29" s="59">
        <v>50682</v>
      </c>
      <c r="S29" s="59">
        <v>56315</v>
      </c>
      <c r="T29" s="59">
        <v>63072</v>
      </c>
      <c r="U29" s="59">
        <v>69414</v>
      </c>
      <c r="V29" s="59">
        <v>74221</v>
      </c>
      <c r="W29" s="59">
        <v>74568</v>
      </c>
      <c r="X29" s="59">
        <v>74243</v>
      </c>
      <c r="Y29" s="59">
        <v>71423</v>
      </c>
      <c r="Z29" s="59">
        <v>66598</v>
      </c>
      <c r="AA29" s="59">
        <f t="shared" si="0"/>
        <v>1232872</v>
      </c>
      <c r="AB29" s="54">
        <v>5</v>
      </c>
      <c r="AC29" s="59">
        <f t="shared" si="1"/>
        <v>6164360</v>
      </c>
      <c r="AD29" s="118"/>
    </row>
    <row r="30" spans="1:30" x14ac:dyDescent="0.35">
      <c r="A30" s="116"/>
      <c r="B30" s="61" t="s">
        <v>42</v>
      </c>
      <c r="C30" s="59">
        <v>57027</v>
      </c>
      <c r="D30" s="59">
        <v>53340</v>
      </c>
      <c r="E30" s="59">
        <v>50795</v>
      </c>
      <c r="F30" s="59">
        <v>48761</v>
      </c>
      <c r="G30" s="59">
        <v>48003</v>
      </c>
      <c r="H30" s="59">
        <v>45831</v>
      </c>
      <c r="I30" s="59">
        <v>46547</v>
      </c>
      <c r="J30" s="59">
        <v>37456</v>
      </c>
      <c r="K30" s="59">
        <v>30383</v>
      </c>
      <c r="L30" s="59">
        <v>29399</v>
      </c>
      <c r="M30" s="59">
        <v>29686</v>
      </c>
      <c r="N30" s="59">
        <v>28529</v>
      </c>
      <c r="O30" s="59">
        <v>28875</v>
      </c>
      <c r="P30" s="59">
        <v>34646</v>
      </c>
      <c r="Q30" s="59">
        <v>44607</v>
      </c>
      <c r="R30" s="59">
        <v>53373</v>
      </c>
      <c r="S30" s="59">
        <v>57165</v>
      </c>
      <c r="T30" s="59">
        <v>63142</v>
      </c>
      <c r="U30" s="59">
        <v>69250</v>
      </c>
      <c r="V30" s="59">
        <v>74539</v>
      </c>
      <c r="W30" s="59">
        <v>74210</v>
      </c>
      <c r="X30" s="59">
        <v>72665</v>
      </c>
      <c r="Y30" s="59">
        <v>68277</v>
      </c>
      <c r="Z30" s="59">
        <v>62345</v>
      </c>
      <c r="AA30" s="59">
        <f t="shared" si="0"/>
        <v>1208851</v>
      </c>
      <c r="AB30" s="54">
        <v>3</v>
      </c>
      <c r="AC30" s="59">
        <f t="shared" si="1"/>
        <v>3626553</v>
      </c>
      <c r="AD30" s="119"/>
    </row>
    <row r="31" spans="1:30" x14ac:dyDescent="0.35">
      <c r="A31" s="114">
        <v>48030</v>
      </c>
      <c r="B31" s="58" t="s">
        <v>39</v>
      </c>
      <c r="C31" s="59">
        <v>58072</v>
      </c>
      <c r="D31" s="59">
        <v>54205</v>
      </c>
      <c r="E31" s="59">
        <v>51440</v>
      </c>
      <c r="F31" s="59">
        <v>49325</v>
      </c>
      <c r="G31" s="59">
        <v>48693</v>
      </c>
      <c r="H31" s="59">
        <v>48669</v>
      </c>
      <c r="I31" s="59">
        <v>50420</v>
      </c>
      <c r="J31" s="59">
        <v>44787</v>
      </c>
      <c r="K31" s="59">
        <v>41068</v>
      </c>
      <c r="L31" s="59">
        <v>40412</v>
      </c>
      <c r="M31" s="59">
        <v>41249</v>
      </c>
      <c r="N31" s="59">
        <v>39175</v>
      </c>
      <c r="O31" s="59">
        <v>33717</v>
      </c>
      <c r="P31" s="59">
        <v>45237</v>
      </c>
      <c r="Q31" s="59">
        <v>61150</v>
      </c>
      <c r="R31" s="59">
        <v>70822</v>
      </c>
      <c r="S31" s="59">
        <v>73777</v>
      </c>
      <c r="T31" s="59">
        <v>74925</v>
      </c>
      <c r="U31" s="59">
        <v>74809</v>
      </c>
      <c r="V31" s="59">
        <v>76827</v>
      </c>
      <c r="W31" s="59">
        <v>76408</v>
      </c>
      <c r="X31" s="59">
        <v>74586</v>
      </c>
      <c r="Y31" s="59">
        <v>70010</v>
      </c>
      <c r="Z31" s="59">
        <v>63765</v>
      </c>
      <c r="AA31" s="59">
        <f t="shared" si="0"/>
        <v>1363548</v>
      </c>
      <c r="AB31" s="54">
        <v>23</v>
      </c>
      <c r="AC31" s="59">
        <f t="shared" si="1"/>
        <v>31361604</v>
      </c>
      <c r="AD31" s="117">
        <f>+SUM(AC31:AC34)</f>
        <v>40899356</v>
      </c>
    </row>
    <row r="32" spans="1:30" x14ac:dyDescent="0.35">
      <c r="A32" s="115"/>
      <c r="B32" s="60" t="s">
        <v>40</v>
      </c>
      <c r="C32" s="59">
        <v>57583</v>
      </c>
      <c r="D32" s="59">
        <v>53826</v>
      </c>
      <c r="E32" s="59">
        <v>51231</v>
      </c>
      <c r="F32" s="59">
        <v>49135</v>
      </c>
      <c r="G32" s="59">
        <v>48337</v>
      </c>
      <c r="H32" s="59">
        <v>46916</v>
      </c>
      <c r="I32" s="59">
        <v>48289</v>
      </c>
      <c r="J32" s="59">
        <v>41846</v>
      </c>
      <c r="K32" s="59">
        <v>37745</v>
      </c>
      <c r="L32" s="59">
        <v>37140</v>
      </c>
      <c r="M32" s="59">
        <v>36980</v>
      </c>
      <c r="N32" s="59">
        <v>35584</v>
      </c>
      <c r="O32" s="59">
        <v>33275</v>
      </c>
      <c r="P32" s="59">
        <v>38878</v>
      </c>
      <c r="Q32" s="59">
        <v>50133</v>
      </c>
      <c r="R32" s="59">
        <v>58886</v>
      </c>
      <c r="S32" s="59">
        <v>62038</v>
      </c>
      <c r="T32" s="59">
        <v>66694</v>
      </c>
      <c r="U32" s="59">
        <v>70753</v>
      </c>
      <c r="V32" s="59">
        <v>73340</v>
      </c>
      <c r="W32" s="59">
        <v>71333</v>
      </c>
      <c r="X32" s="59">
        <v>69499</v>
      </c>
      <c r="Y32" s="59">
        <v>67198</v>
      </c>
      <c r="Z32" s="59">
        <v>63596</v>
      </c>
      <c r="AA32" s="59">
        <f t="shared" si="0"/>
        <v>1270235</v>
      </c>
      <c r="AB32" s="54">
        <v>4</v>
      </c>
      <c r="AC32" s="59">
        <f t="shared" si="1"/>
        <v>5080940</v>
      </c>
      <c r="AD32" s="118"/>
    </row>
    <row r="33" spans="1:30" x14ac:dyDescent="0.35">
      <c r="A33" s="115"/>
      <c r="B33" s="60" t="s">
        <v>41</v>
      </c>
      <c r="C33" s="59">
        <v>59398</v>
      </c>
      <c r="D33" s="59">
        <v>55513</v>
      </c>
      <c r="E33" s="59">
        <v>52639</v>
      </c>
      <c r="F33" s="59">
        <v>50508</v>
      </c>
      <c r="G33" s="59">
        <v>49089</v>
      </c>
      <c r="H33" s="59">
        <v>46639</v>
      </c>
      <c r="I33" s="59">
        <v>46294</v>
      </c>
      <c r="J33" s="59">
        <v>33928</v>
      </c>
      <c r="K33" s="59">
        <v>24804</v>
      </c>
      <c r="L33" s="59">
        <v>21936</v>
      </c>
      <c r="M33" s="59">
        <v>20214</v>
      </c>
      <c r="N33" s="59">
        <v>18273</v>
      </c>
      <c r="O33" s="59">
        <v>20527</v>
      </c>
      <c r="P33" s="59">
        <v>25817</v>
      </c>
      <c r="Q33" s="59">
        <v>35451</v>
      </c>
      <c r="R33" s="59">
        <v>45619</v>
      </c>
      <c r="S33" s="59">
        <v>50603</v>
      </c>
      <c r="T33" s="59">
        <v>58497</v>
      </c>
      <c r="U33" s="59">
        <v>63593</v>
      </c>
      <c r="V33" s="59">
        <v>68552</v>
      </c>
      <c r="W33" s="59">
        <v>69343</v>
      </c>
      <c r="X33" s="59">
        <v>69245</v>
      </c>
      <c r="Y33" s="59">
        <v>66231</v>
      </c>
      <c r="Z33" s="59">
        <v>61490</v>
      </c>
      <c r="AA33" s="59">
        <f t="shared" si="0"/>
        <v>1114203</v>
      </c>
      <c r="AB33" s="54">
        <v>4</v>
      </c>
      <c r="AC33" s="59">
        <f t="shared" si="1"/>
        <v>4456812</v>
      </c>
      <c r="AD33" s="118"/>
    </row>
    <row r="34" spans="1:30" x14ac:dyDescent="0.35">
      <c r="A34" s="116"/>
      <c r="B34" s="61" t="s">
        <v>42</v>
      </c>
      <c r="C34" s="59">
        <v>59398</v>
      </c>
      <c r="D34" s="59">
        <v>55513</v>
      </c>
      <c r="E34" s="59">
        <v>52639</v>
      </c>
      <c r="F34" s="59">
        <v>50508</v>
      </c>
      <c r="G34" s="59">
        <v>49089</v>
      </c>
      <c r="H34" s="59">
        <v>46639</v>
      </c>
      <c r="I34" s="59">
        <v>46294</v>
      </c>
      <c r="J34" s="59">
        <v>33928</v>
      </c>
      <c r="K34" s="59">
        <v>24804</v>
      </c>
      <c r="L34" s="59">
        <v>21936</v>
      </c>
      <c r="M34" s="59">
        <v>20214</v>
      </c>
      <c r="N34" s="59">
        <v>18273</v>
      </c>
      <c r="O34" s="59">
        <v>20527</v>
      </c>
      <c r="P34" s="59">
        <v>25817</v>
      </c>
      <c r="Q34" s="59">
        <v>35451</v>
      </c>
      <c r="R34" s="59">
        <v>45619</v>
      </c>
      <c r="S34" s="59">
        <v>50603</v>
      </c>
      <c r="T34" s="59">
        <v>58497</v>
      </c>
      <c r="U34" s="59">
        <v>63593</v>
      </c>
      <c r="V34" s="59">
        <v>68552</v>
      </c>
      <c r="W34" s="59">
        <v>69343</v>
      </c>
      <c r="X34" s="59">
        <v>69245</v>
      </c>
      <c r="Y34" s="59">
        <v>66231</v>
      </c>
      <c r="Z34" s="59">
        <v>61490</v>
      </c>
      <c r="AA34" s="59">
        <f t="shared" si="0"/>
        <v>1114203</v>
      </c>
      <c r="AB34" s="54">
        <v>0</v>
      </c>
      <c r="AC34" s="59">
        <f>+AA34*AB34</f>
        <v>0</v>
      </c>
      <c r="AD34" s="119"/>
    </row>
    <row r="35" spans="1:30" x14ac:dyDescent="0.35">
      <c r="A35" s="114">
        <v>48061</v>
      </c>
      <c r="B35" s="58" t="s">
        <v>39</v>
      </c>
      <c r="C35" s="59">
        <v>60889</v>
      </c>
      <c r="D35" s="59">
        <v>56925</v>
      </c>
      <c r="E35" s="59">
        <v>53925</v>
      </c>
      <c r="F35" s="59">
        <v>51669</v>
      </c>
      <c r="G35" s="59">
        <v>50923</v>
      </c>
      <c r="H35" s="59">
        <v>50935</v>
      </c>
      <c r="I35" s="59">
        <v>52059</v>
      </c>
      <c r="J35" s="59">
        <v>46628</v>
      </c>
      <c r="K35" s="59">
        <v>42766</v>
      </c>
      <c r="L35" s="59">
        <v>42715</v>
      </c>
      <c r="M35" s="59">
        <v>43837</v>
      </c>
      <c r="N35" s="59">
        <v>42269</v>
      </c>
      <c r="O35" s="59">
        <v>36922</v>
      </c>
      <c r="P35" s="59">
        <v>49504</v>
      </c>
      <c r="Q35" s="59">
        <v>66335</v>
      </c>
      <c r="R35" s="59">
        <v>75919</v>
      </c>
      <c r="S35" s="59">
        <v>78852</v>
      </c>
      <c r="T35" s="59">
        <v>79381</v>
      </c>
      <c r="U35" s="59">
        <v>79932</v>
      </c>
      <c r="V35" s="59">
        <v>80750</v>
      </c>
      <c r="W35" s="59">
        <v>80597</v>
      </c>
      <c r="X35" s="59">
        <v>79030</v>
      </c>
      <c r="Y35" s="59">
        <v>74125</v>
      </c>
      <c r="Z35" s="59">
        <v>67740</v>
      </c>
      <c r="AA35" s="59">
        <f t="shared" si="0"/>
        <v>1444627</v>
      </c>
      <c r="AB35" s="54">
        <v>19</v>
      </c>
      <c r="AC35" s="59">
        <f t="shared" si="1"/>
        <v>27447913</v>
      </c>
      <c r="AD35" s="117">
        <f>+SUM(AC35:AC38)</f>
        <v>42547608</v>
      </c>
    </row>
    <row r="36" spans="1:30" x14ac:dyDescent="0.35">
      <c r="A36" s="115"/>
      <c r="B36" s="60" t="s">
        <v>40</v>
      </c>
      <c r="C36" s="59">
        <v>64887</v>
      </c>
      <c r="D36" s="59">
        <v>60601</v>
      </c>
      <c r="E36" s="59">
        <v>57326</v>
      </c>
      <c r="F36" s="59">
        <v>54789</v>
      </c>
      <c r="G36" s="59">
        <v>53454</v>
      </c>
      <c r="H36" s="59">
        <v>51870</v>
      </c>
      <c r="I36" s="59">
        <v>52683</v>
      </c>
      <c r="J36" s="59">
        <v>46549</v>
      </c>
      <c r="K36" s="59">
        <v>42525</v>
      </c>
      <c r="L36" s="59">
        <v>42396</v>
      </c>
      <c r="M36" s="59">
        <v>42253</v>
      </c>
      <c r="N36" s="59">
        <v>41498</v>
      </c>
      <c r="O36" s="59">
        <v>38534</v>
      </c>
      <c r="P36" s="59">
        <v>44647</v>
      </c>
      <c r="Q36" s="59">
        <v>55813</v>
      </c>
      <c r="R36" s="59">
        <v>64717</v>
      </c>
      <c r="S36" s="59">
        <v>67981</v>
      </c>
      <c r="T36" s="59">
        <v>71986</v>
      </c>
      <c r="U36" s="59">
        <v>76867</v>
      </c>
      <c r="V36" s="59">
        <v>77545</v>
      </c>
      <c r="W36" s="59">
        <v>75384</v>
      </c>
      <c r="X36" s="59">
        <v>74294</v>
      </c>
      <c r="Y36" s="59">
        <v>72182</v>
      </c>
      <c r="Z36" s="59">
        <v>68227</v>
      </c>
      <c r="AA36" s="59">
        <f t="shared" si="0"/>
        <v>1399008</v>
      </c>
      <c r="AB36" s="54">
        <v>5</v>
      </c>
      <c r="AC36" s="59">
        <f t="shared" si="1"/>
        <v>6995040</v>
      </c>
      <c r="AD36" s="118"/>
    </row>
    <row r="37" spans="1:30" x14ac:dyDescent="0.35">
      <c r="A37" s="115"/>
      <c r="B37" s="60" t="s">
        <v>41</v>
      </c>
      <c r="C37" s="59">
        <v>63149</v>
      </c>
      <c r="D37" s="59">
        <v>59083</v>
      </c>
      <c r="E37" s="59">
        <v>55850</v>
      </c>
      <c r="F37" s="59">
        <v>53378</v>
      </c>
      <c r="G37" s="59">
        <v>51568</v>
      </c>
      <c r="H37" s="59">
        <v>48383</v>
      </c>
      <c r="I37" s="59">
        <v>47312</v>
      </c>
      <c r="J37" s="59">
        <v>35918</v>
      </c>
      <c r="K37" s="59">
        <v>26551</v>
      </c>
      <c r="L37" s="59">
        <v>23270</v>
      </c>
      <c r="M37" s="59">
        <v>22048</v>
      </c>
      <c r="N37" s="59">
        <v>19682</v>
      </c>
      <c r="O37" s="59">
        <v>22085</v>
      </c>
      <c r="P37" s="59">
        <v>28726</v>
      </c>
      <c r="Q37" s="59">
        <v>38438</v>
      </c>
      <c r="R37" s="59">
        <v>48384</v>
      </c>
      <c r="S37" s="59">
        <v>52224</v>
      </c>
      <c r="T37" s="59">
        <v>59174</v>
      </c>
      <c r="U37" s="59">
        <v>65766</v>
      </c>
      <c r="V37" s="59">
        <v>69416</v>
      </c>
      <c r="W37" s="59">
        <v>70379</v>
      </c>
      <c r="X37" s="59">
        <v>70640</v>
      </c>
      <c r="Y37" s="59">
        <v>67894</v>
      </c>
      <c r="Z37" s="59">
        <v>62923</v>
      </c>
      <c r="AA37" s="59">
        <f t="shared" si="0"/>
        <v>1162241</v>
      </c>
      <c r="AB37" s="54">
        <v>5</v>
      </c>
      <c r="AC37" s="59">
        <f t="shared" si="1"/>
        <v>5811205</v>
      </c>
      <c r="AD37" s="118"/>
    </row>
    <row r="38" spans="1:30" x14ac:dyDescent="0.35">
      <c r="A38" s="116"/>
      <c r="B38" s="61" t="s">
        <v>42</v>
      </c>
      <c r="C38" s="59">
        <v>54215</v>
      </c>
      <c r="D38" s="59">
        <v>50868</v>
      </c>
      <c r="E38" s="59">
        <v>48201</v>
      </c>
      <c r="F38" s="59">
        <v>46390</v>
      </c>
      <c r="G38" s="59">
        <v>45522</v>
      </c>
      <c r="H38" s="59">
        <v>43850</v>
      </c>
      <c r="I38" s="59">
        <v>43585</v>
      </c>
      <c r="J38" s="59">
        <v>33610</v>
      </c>
      <c r="K38" s="59">
        <v>26318</v>
      </c>
      <c r="L38" s="59">
        <v>25568</v>
      </c>
      <c r="M38" s="59">
        <v>25618</v>
      </c>
      <c r="N38" s="59">
        <v>24983</v>
      </c>
      <c r="O38" s="59">
        <v>25660</v>
      </c>
      <c r="P38" s="59">
        <v>31685</v>
      </c>
      <c r="Q38" s="59">
        <v>42012</v>
      </c>
      <c r="R38" s="59">
        <v>51966</v>
      </c>
      <c r="S38" s="59">
        <v>55757</v>
      </c>
      <c r="T38" s="59">
        <v>60982</v>
      </c>
      <c r="U38" s="59">
        <v>67685</v>
      </c>
      <c r="V38" s="59">
        <v>71219</v>
      </c>
      <c r="W38" s="59">
        <v>71031</v>
      </c>
      <c r="X38" s="59">
        <v>71042</v>
      </c>
      <c r="Y38" s="59">
        <v>67315</v>
      </c>
      <c r="Z38" s="59">
        <v>61643</v>
      </c>
      <c r="AA38" s="59">
        <f t="shared" si="0"/>
        <v>1146725</v>
      </c>
      <c r="AB38" s="54">
        <v>2</v>
      </c>
      <c r="AC38" s="59">
        <f t="shared" si="1"/>
        <v>2293450</v>
      </c>
      <c r="AD38" s="119"/>
    </row>
    <row r="39" spans="1:30" x14ac:dyDescent="0.35">
      <c r="A39" s="114">
        <v>48092</v>
      </c>
      <c r="B39" s="58" t="s">
        <v>39</v>
      </c>
      <c r="C39" s="59">
        <v>63744</v>
      </c>
      <c r="D39" s="59">
        <v>59382</v>
      </c>
      <c r="E39" s="59">
        <v>56170</v>
      </c>
      <c r="F39" s="59">
        <v>53699</v>
      </c>
      <c r="G39" s="59">
        <v>52821</v>
      </c>
      <c r="H39" s="59">
        <v>52600</v>
      </c>
      <c r="I39" s="59">
        <v>54101</v>
      </c>
      <c r="J39" s="59">
        <v>49105</v>
      </c>
      <c r="K39" s="59">
        <v>45422</v>
      </c>
      <c r="L39" s="59">
        <v>45550</v>
      </c>
      <c r="M39" s="59">
        <v>46929</v>
      </c>
      <c r="N39" s="59">
        <v>45426</v>
      </c>
      <c r="O39" s="59">
        <v>40356</v>
      </c>
      <c r="P39" s="59">
        <v>53579</v>
      </c>
      <c r="Q39" s="59">
        <v>70308</v>
      </c>
      <c r="R39" s="59">
        <v>79824</v>
      </c>
      <c r="S39" s="59">
        <v>82119</v>
      </c>
      <c r="T39" s="59">
        <v>83836</v>
      </c>
      <c r="U39" s="59">
        <v>85266</v>
      </c>
      <c r="V39" s="59">
        <v>83625</v>
      </c>
      <c r="W39" s="59">
        <v>83172</v>
      </c>
      <c r="X39" s="59">
        <v>81744</v>
      </c>
      <c r="Y39" s="59">
        <v>76915</v>
      </c>
      <c r="Z39" s="59">
        <v>69915</v>
      </c>
      <c r="AA39" s="59">
        <f t="shared" si="0"/>
        <v>1515608</v>
      </c>
      <c r="AB39" s="54">
        <v>22</v>
      </c>
      <c r="AC39" s="59">
        <f t="shared" si="1"/>
        <v>33343376</v>
      </c>
      <c r="AD39" s="117">
        <f>+SUM(AC39:AC42)</f>
        <v>44164596</v>
      </c>
    </row>
    <row r="40" spans="1:30" x14ac:dyDescent="0.35">
      <c r="A40" s="115"/>
      <c r="B40" s="60" t="s">
        <v>40</v>
      </c>
      <c r="C40" s="59">
        <v>65549</v>
      </c>
      <c r="D40" s="59">
        <v>61508</v>
      </c>
      <c r="E40" s="59">
        <v>58315</v>
      </c>
      <c r="F40" s="59">
        <v>55613</v>
      </c>
      <c r="G40" s="59">
        <v>54314</v>
      </c>
      <c r="H40" s="59">
        <v>52478</v>
      </c>
      <c r="I40" s="59">
        <v>53706</v>
      </c>
      <c r="J40" s="59">
        <v>48162</v>
      </c>
      <c r="K40" s="59">
        <v>44663</v>
      </c>
      <c r="L40" s="59">
        <v>44334</v>
      </c>
      <c r="M40" s="59">
        <v>45320</v>
      </c>
      <c r="N40" s="59">
        <v>43943</v>
      </c>
      <c r="O40" s="59">
        <v>41442</v>
      </c>
      <c r="P40" s="59">
        <v>47815</v>
      </c>
      <c r="Q40" s="59">
        <v>59400</v>
      </c>
      <c r="R40" s="59">
        <v>68223</v>
      </c>
      <c r="S40" s="59">
        <v>70847</v>
      </c>
      <c r="T40" s="59">
        <v>76576</v>
      </c>
      <c r="U40" s="59">
        <v>82207</v>
      </c>
      <c r="V40" s="59">
        <v>80740</v>
      </c>
      <c r="W40" s="59">
        <v>78051</v>
      </c>
      <c r="X40" s="59">
        <v>76077</v>
      </c>
      <c r="Y40" s="59">
        <v>73781</v>
      </c>
      <c r="Z40" s="59">
        <v>69991</v>
      </c>
      <c r="AA40" s="59">
        <f t="shared" si="0"/>
        <v>1453055</v>
      </c>
      <c r="AB40" s="54">
        <v>4</v>
      </c>
      <c r="AC40" s="59">
        <f t="shared" si="1"/>
        <v>5812220</v>
      </c>
      <c r="AD40" s="118"/>
    </row>
    <row r="41" spans="1:30" x14ac:dyDescent="0.35">
      <c r="A41" s="115"/>
      <c r="B41" s="60" t="s">
        <v>41</v>
      </c>
      <c r="C41" s="59">
        <v>64553</v>
      </c>
      <c r="D41" s="59">
        <v>60638</v>
      </c>
      <c r="E41" s="59">
        <v>57638</v>
      </c>
      <c r="F41" s="59">
        <v>55247</v>
      </c>
      <c r="G41" s="59">
        <v>53608</v>
      </c>
      <c r="H41" s="59">
        <v>51143</v>
      </c>
      <c r="I41" s="59">
        <v>50704</v>
      </c>
      <c r="J41" s="59">
        <v>38962</v>
      </c>
      <c r="K41" s="59">
        <v>29171</v>
      </c>
      <c r="L41" s="59">
        <v>25870</v>
      </c>
      <c r="M41" s="59">
        <v>24899</v>
      </c>
      <c r="N41" s="59">
        <v>24066</v>
      </c>
      <c r="O41" s="59">
        <v>25596</v>
      </c>
      <c r="P41" s="59">
        <v>32073</v>
      </c>
      <c r="Q41" s="59">
        <v>43107</v>
      </c>
      <c r="R41" s="59">
        <v>52691</v>
      </c>
      <c r="S41" s="59">
        <v>57322</v>
      </c>
      <c r="T41" s="59">
        <v>65086</v>
      </c>
      <c r="U41" s="59">
        <v>72563</v>
      </c>
      <c r="V41" s="59">
        <v>74692</v>
      </c>
      <c r="W41" s="59">
        <v>75879</v>
      </c>
      <c r="X41" s="59">
        <v>76379</v>
      </c>
      <c r="Y41" s="59">
        <v>73082</v>
      </c>
      <c r="Z41" s="59">
        <v>67281</v>
      </c>
      <c r="AA41" s="59">
        <f t="shared" si="0"/>
        <v>1252250</v>
      </c>
      <c r="AB41" s="54">
        <v>4</v>
      </c>
      <c r="AC41" s="59">
        <f t="shared" si="1"/>
        <v>5009000</v>
      </c>
      <c r="AD41" s="118"/>
    </row>
    <row r="42" spans="1:30" x14ac:dyDescent="0.35">
      <c r="A42" s="116"/>
      <c r="B42" s="61" t="s">
        <v>42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59">
        <f t="shared" si="0"/>
        <v>0</v>
      </c>
      <c r="AB42" s="54">
        <v>0</v>
      </c>
      <c r="AC42" s="59">
        <f t="shared" si="1"/>
        <v>0</v>
      </c>
      <c r="AD42" s="119"/>
    </row>
    <row r="43" spans="1:30" x14ac:dyDescent="0.35">
      <c r="A43" s="114">
        <v>48122</v>
      </c>
      <c r="B43" s="58" t="s">
        <v>39</v>
      </c>
      <c r="C43" s="59">
        <v>59883</v>
      </c>
      <c r="D43" s="59">
        <v>55872</v>
      </c>
      <c r="E43" s="59">
        <v>53014</v>
      </c>
      <c r="F43" s="59">
        <v>51047</v>
      </c>
      <c r="G43" s="59">
        <v>50501</v>
      </c>
      <c r="H43" s="59">
        <v>50321</v>
      </c>
      <c r="I43" s="59">
        <v>52057</v>
      </c>
      <c r="J43" s="59">
        <v>46919</v>
      </c>
      <c r="K43" s="59">
        <v>44067</v>
      </c>
      <c r="L43" s="59">
        <v>44320</v>
      </c>
      <c r="M43" s="59">
        <v>45805</v>
      </c>
      <c r="N43" s="59">
        <v>44749</v>
      </c>
      <c r="O43" s="59">
        <v>39823</v>
      </c>
      <c r="P43" s="59">
        <v>52293</v>
      </c>
      <c r="Q43" s="59">
        <v>68684</v>
      </c>
      <c r="R43" s="59">
        <v>77610</v>
      </c>
      <c r="S43" s="59">
        <v>80092</v>
      </c>
      <c r="T43" s="59">
        <v>84991</v>
      </c>
      <c r="U43" s="59">
        <v>85090</v>
      </c>
      <c r="V43" s="59">
        <v>81878</v>
      </c>
      <c r="W43" s="59">
        <v>80020</v>
      </c>
      <c r="X43" s="59">
        <v>77546</v>
      </c>
      <c r="Y43" s="59">
        <v>72303</v>
      </c>
      <c r="Z43" s="59">
        <v>65738</v>
      </c>
      <c r="AA43" s="59">
        <f t="shared" si="0"/>
        <v>1464623</v>
      </c>
      <c r="AB43" s="54">
        <v>22</v>
      </c>
      <c r="AC43" s="59">
        <f t="shared" si="1"/>
        <v>32221706</v>
      </c>
      <c r="AD43" s="117">
        <f>+SUM(AC43:AC46)</f>
        <v>43421099</v>
      </c>
    </row>
    <row r="44" spans="1:30" x14ac:dyDescent="0.35">
      <c r="A44" s="115"/>
      <c r="B44" s="60" t="s">
        <v>40</v>
      </c>
      <c r="C44" s="59">
        <v>58491</v>
      </c>
      <c r="D44" s="59">
        <v>54483</v>
      </c>
      <c r="E44" s="59">
        <v>51706</v>
      </c>
      <c r="F44" s="59">
        <v>49475</v>
      </c>
      <c r="G44" s="59">
        <v>48580</v>
      </c>
      <c r="H44" s="59">
        <v>47269</v>
      </c>
      <c r="I44" s="59">
        <v>48563</v>
      </c>
      <c r="J44" s="59">
        <v>42186</v>
      </c>
      <c r="K44" s="59">
        <v>39398</v>
      </c>
      <c r="L44" s="59">
        <v>39590</v>
      </c>
      <c r="M44" s="59">
        <v>40470</v>
      </c>
      <c r="N44" s="59">
        <v>39374</v>
      </c>
      <c r="O44" s="59">
        <v>37445</v>
      </c>
      <c r="P44" s="59">
        <v>42689</v>
      </c>
      <c r="Q44" s="59">
        <v>53619</v>
      </c>
      <c r="R44" s="59">
        <v>61723</v>
      </c>
      <c r="S44" s="59">
        <v>65036</v>
      </c>
      <c r="T44" s="59">
        <v>73504</v>
      </c>
      <c r="U44" s="59">
        <v>77341</v>
      </c>
      <c r="V44" s="59">
        <v>74975</v>
      </c>
      <c r="W44" s="59">
        <v>72539</v>
      </c>
      <c r="X44" s="59">
        <v>69837</v>
      </c>
      <c r="Y44" s="59">
        <v>66514</v>
      </c>
      <c r="Z44" s="59">
        <v>62265</v>
      </c>
      <c r="AA44" s="59">
        <f t="shared" si="0"/>
        <v>1317072</v>
      </c>
      <c r="AB44" s="54">
        <v>4</v>
      </c>
      <c r="AC44" s="59">
        <f t="shared" si="1"/>
        <v>5268288</v>
      </c>
      <c r="AD44" s="118"/>
    </row>
    <row r="45" spans="1:30" x14ac:dyDescent="0.35">
      <c r="A45" s="115"/>
      <c r="B45" s="60" t="s">
        <v>41</v>
      </c>
      <c r="C45" s="59">
        <v>59612</v>
      </c>
      <c r="D45" s="59">
        <v>55919</v>
      </c>
      <c r="E45" s="59">
        <v>53107</v>
      </c>
      <c r="F45" s="59">
        <v>50686</v>
      </c>
      <c r="G45" s="59">
        <v>49165</v>
      </c>
      <c r="H45" s="59">
        <v>46893</v>
      </c>
      <c r="I45" s="59">
        <v>46659</v>
      </c>
      <c r="J45" s="59">
        <v>34399</v>
      </c>
      <c r="K45" s="59">
        <v>25446</v>
      </c>
      <c r="L45" s="59">
        <v>23468</v>
      </c>
      <c r="M45" s="59">
        <v>22414</v>
      </c>
      <c r="N45" s="59">
        <v>21859</v>
      </c>
      <c r="O45" s="59">
        <v>23827</v>
      </c>
      <c r="P45" s="59">
        <v>29305</v>
      </c>
      <c r="Q45" s="59">
        <v>39320</v>
      </c>
      <c r="R45" s="59">
        <v>49574</v>
      </c>
      <c r="S45" s="59">
        <v>54374</v>
      </c>
      <c r="T45" s="59">
        <v>65076</v>
      </c>
      <c r="U45" s="59">
        <v>70721</v>
      </c>
      <c r="V45" s="59">
        <v>71520</v>
      </c>
      <c r="W45" s="59">
        <v>71802</v>
      </c>
      <c r="X45" s="59">
        <v>71315</v>
      </c>
      <c r="Y45" s="59">
        <v>67780</v>
      </c>
      <c r="Z45" s="59">
        <v>62632</v>
      </c>
      <c r="AA45" s="59">
        <f t="shared" si="0"/>
        <v>1166873</v>
      </c>
      <c r="AB45" s="54">
        <v>4</v>
      </c>
      <c r="AC45" s="59">
        <f t="shared" si="1"/>
        <v>4667492</v>
      </c>
      <c r="AD45" s="118"/>
    </row>
    <row r="46" spans="1:30" x14ac:dyDescent="0.35">
      <c r="A46" s="116"/>
      <c r="B46" s="61" t="s">
        <v>42</v>
      </c>
      <c r="C46" s="59">
        <v>58782</v>
      </c>
      <c r="D46" s="59">
        <v>55027</v>
      </c>
      <c r="E46" s="59">
        <v>52309</v>
      </c>
      <c r="F46" s="59">
        <v>50271</v>
      </c>
      <c r="G46" s="59">
        <v>49346</v>
      </c>
      <c r="H46" s="59">
        <v>46657</v>
      </c>
      <c r="I46" s="59">
        <v>46665</v>
      </c>
      <c r="J46" s="59">
        <v>37659</v>
      </c>
      <c r="K46" s="59">
        <v>31017</v>
      </c>
      <c r="L46" s="59">
        <v>30604</v>
      </c>
      <c r="M46" s="59">
        <v>30713</v>
      </c>
      <c r="N46" s="59">
        <v>28837</v>
      </c>
      <c r="O46" s="59">
        <v>30896</v>
      </c>
      <c r="P46" s="59">
        <v>37342</v>
      </c>
      <c r="Q46" s="59">
        <v>48549</v>
      </c>
      <c r="R46" s="59">
        <v>57141</v>
      </c>
      <c r="S46" s="59">
        <v>61063</v>
      </c>
      <c r="T46" s="59">
        <v>70291</v>
      </c>
      <c r="U46" s="59">
        <v>75759</v>
      </c>
      <c r="V46" s="59">
        <v>77248</v>
      </c>
      <c r="W46" s="59">
        <v>77036</v>
      </c>
      <c r="X46" s="59">
        <v>75461</v>
      </c>
      <c r="Y46" s="59">
        <v>70699</v>
      </c>
      <c r="Z46" s="59">
        <v>64241</v>
      </c>
      <c r="AA46" s="59">
        <f t="shared" si="0"/>
        <v>1263613</v>
      </c>
      <c r="AB46" s="54">
        <v>1</v>
      </c>
      <c r="AC46" s="59">
        <f t="shared" si="1"/>
        <v>1263613</v>
      </c>
      <c r="AD46" s="119"/>
    </row>
    <row r="47" spans="1:30" x14ac:dyDescent="0.35">
      <c r="A47" s="77">
        <v>48153</v>
      </c>
      <c r="B47" s="13" t="s">
        <v>39</v>
      </c>
      <c r="C47" s="59">
        <v>60070</v>
      </c>
      <c r="D47" s="59">
        <v>56139</v>
      </c>
      <c r="E47" s="59">
        <v>53358</v>
      </c>
      <c r="F47" s="59">
        <v>51578</v>
      </c>
      <c r="G47" s="59">
        <v>51381</v>
      </c>
      <c r="H47" s="59">
        <v>51934</v>
      </c>
      <c r="I47" s="59">
        <v>54618</v>
      </c>
      <c r="J47" s="59">
        <v>49954</v>
      </c>
      <c r="K47" s="59">
        <v>46655</v>
      </c>
      <c r="L47" s="59">
        <v>46504</v>
      </c>
      <c r="M47" s="59">
        <v>47934</v>
      </c>
      <c r="N47" s="59">
        <v>46913</v>
      </c>
      <c r="O47" s="59">
        <v>41715</v>
      </c>
      <c r="P47" s="59">
        <v>53284</v>
      </c>
      <c r="Q47" s="59">
        <v>69523</v>
      </c>
      <c r="R47" s="59">
        <v>79442</v>
      </c>
      <c r="S47" s="59">
        <v>82345</v>
      </c>
      <c r="T47" s="59">
        <v>88787</v>
      </c>
      <c r="U47" s="59">
        <v>88604</v>
      </c>
      <c r="V47" s="59">
        <v>84785</v>
      </c>
      <c r="W47" s="59">
        <v>82356</v>
      </c>
      <c r="X47" s="59">
        <v>78799</v>
      </c>
      <c r="Y47" s="59">
        <v>73053</v>
      </c>
      <c r="Z47" s="59">
        <v>66110</v>
      </c>
      <c r="AA47" s="15">
        <f t="shared" si="0"/>
        <v>1505841</v>
      </c>
      <c r="AB47" s="16">
        <v>18</v>
      </c>
      <c r="AC47" s="15">
        <f t="shared" si="1"/>
        <v>27105138</v>
      </c>
      <c r="AD47" s="111">
        <f>+SUM(AC47:AC50)</f>
        <v>42950492</v>
      </c>
    </row>
    <row r="48" spans="1:30" x14ac:dyDescent="0.35">
      <c r="A48" s="78"/>
      <c r="B48" s="17" t="s">
        <v>40</v>
      </c>
      <c r="C48" s="59">
        <v>61572</v>
      </c>
      <c r="D48" s="59">
        <v>57599</v>
      </c>
      <c r="E48" s="59">
        <v>54759</v>
      </c>
      <c r="F48" s="59">
        <v>52481</v>
      </c>
      <c r="G48" s="59">
        <v>51637</v>
      </c>
      <c r="H48" s="59">
        <v>50621</v>
      </c>
      <c r="I48" s="59">
        <v>52323</v>
      </c>
      <c r="J48" s="59">
        <v>47033</v>
      </c>
      <c r="K48" s="59">
        <v>44454</v>
      </c>
      <c r="L48" s="59">
        <v>45261</v>
      </c>
      <c r="M48" s="59">
        <v>45641</v>
      </c>
      <c r="N48" s="59">
        <v>44341</v>
      </c>
      <c r="O48" s="59">
        <v>41634</v>
      </c>
      <c r="P48" s="59">
        <v>46884</v>
      </c>
      <c r="Q48" s="59">
        <v>57679</v>
      </c>
      <c r="R48" s="59">
        <v>66195</v>
      </c>
      <c r="S48" s="59">
        <v>69569</v>
      </c>
      <c r="T48" s="59">
        <v>79052</v>
      </c>
      <c r="U48" s="59">
        <v>82101</v>
      </c>
      <c r="V48" s="59">
        <v>79286</v>
      </c>
      <c r="W48" s="59">
        <v>76328</v>
      </c>
      <c r="X48" s="59">
        <v>72890</v>
      </c>
      <c r="Y48" s="59">
        <v>69292</v>
      </c>
      <c r="Z48" s="59">
        <v>65033</v>
      </c>
      <c r="AA48" s="15">
        <f t="shared" si="0"/>
        <v>1413665</v>
      </c>
      <c r="AB48" s="16">
        <v>5</v>
      </c>
      <c r="AC48" s="15">
        <f t="shared" si="1"/>
        <v>7068325</v>
      </c>
      <c r="AD48" s="112"/>
    </row>
    <row r="49" spans="1:30" x14ac:dyDescent="0.35">
      <c r="A49" s="78"/>
      <c r="B49" s="17" t="s">
        <v>41</v>
      </c>
      <c r="C49" s="59">
        <v>60673</v>
      </c>
      <c r="D49" s="59">
        <v>56948</v>
      </c>
      <c r="E49" s="59">
        <v>54100</v>
      </c>
      <c r="F49" s="59">
        <v>51867</v>
      </c>
      <c r="G49" s="59">
        <v>50469</v>
      </c>
      <c r="H49" s="59">
        <v>48642</v>
      </c>
      <c r="I49" s="59">
        <v>48777</v>
      </c>
      <c r="J49" s="59">
        <v>38082</v>
      </c>
      <c r="K49" s="59">
        <v>30018</v>
      </c>
      <c r="L49" s="59">
        <v>28044</v>
      </c>
      <c r="M49" s="59">
        <v>27822</v>
      </c>
      <c r="N49" s="59">
        <v>26636</v>
      </c>
      <c r="O49" s="59">
        <v>28900</v>
      </c>
      <c r="P49" s="59">
        <v>34112</v>
      </c>
      <c r="Q49" s="59">
        <v>43787</v>
      </c>
      <c r="R49" s="59">
        <v>52800</v>
      </c>
      <c r="S49" s="59">
        <v>57622</v>
      </c>
      <c r="T49" s="59">
        <v>69775</v>
      </c>
      <c r="U49" s="59">
        <v>74465</v>
      </c>
      <c r="V49" s="59">
        <v>74543</v>
      </c>
      <c r="W49" s="59">
        <v>73643</v>
      </c>
      <c r="X49" s="59">
        <v>72198</v>
      </c>
      <c r="Y49" s="59">
        <v>68789</v>
      </c>
      <c r="Z49" s="59">
        <v>63671</v>
      </c>
      <c r="AA49" s="15">
        <f t="shared" si="0"/>
        <v>1236383</v>
      </c>
      <c r="AB49" s="16">
        <v>5</v>
      </c>
      <c r="AC49" s="15">
        <f t="shared" si="1"/>
        <v>6181915</v>
      </c>
      <c r="AD49" s="112"/>
    </row>
    <row r="50" spans="1:30" x14ac:dyDescent="0.35">
      <c r="A50" s="79"/>
      <c r="B50" s="18" t="s">
        <v>42</v>
      </c>
      <c r="C50" s="59">
        <v>58373</v>
      </c>
      <c r="D50" s="59">
        <v>54463</v>
      </c>
      <c r="E50" s="59">
        <v>51916</v>
      </c>
      <c r="F50" s="59">
        <v>50084</v>
      </c>
      <c r="G50" s="59">
        <v>49374</v>
      </c>
      <c r="H50" s="59">
        <v>47877</v>
      </c>
      <c r="I50" s="59">
        <v>48204</v>
      </c>
      <c r="J50" s="59">
        <v>39507</v>
      </c>
      <c r="K50" s="59">
        <v>32845</v>
      </c>
      <c r="L50" s="59">
        <v>32686</v>
      </c>
      <c r="M50" s="59">
        <v>33582</v>
      </c>
      <c r="N50" s="59">
        <v>33055</v>
      </c>
      <c r="O50" s="59">
        <v>33688</v>
      </c>
      <c r="P50" s="59">
        <v>40577</v>
      </c>
      <c r="Q50" s="59">
        <v>50555</v>
      </c>
      <c r="R50" s="59">
        <v>59395</v>
      </c>
      <c r="S50" s="59">
        <v>63690</v>
      </c>
      <c r="T50" s="59">
        <v>74738</v>
      </c>
      <c r="U50" s="59">
        <v>79160</v>
      </c>
      <c r="V50" s="59">
        <v>78905</v>
      </c>
      <c r="W50" s="59">
        <v>77373</v>
      </c>
      <c r="X50" s="59">
        <v>74686</v>
      </c>
      <c r="Y50" s="59">
        <v>69421</v>
      </c>
      <c r="Z50" s="59">
        <v>63403</v>
      </c>
      <c r="AA50" s="15">
        <f t="shared" si="0"/>
        <v>1297557</v>
      </c>
      <c r="AB50" s="16">
        <v>2</v>
      </c>
      <c r="AC50" s="15">
        <f t="shared" si="1"/>
        <v>2595114</v>
      </c>
      <c r="AD50" s="113"/>
    </row>
    <row r="51" spans="1:30" x14ac:dyDescent="0.35">
      <c r="A51" s="77">
        <v>48183</v>
      </c>
      <c r="B51" s="13" t="s">
        <v>39</v>
      </c>
      <c r="C51" s="59">
        <v>58702</v>
      </c>
      <c r="D51" s="59">
        <v>54825</v>
      </c>
      <c r="E51" s="59">
        <v>52149</v>
      </c>
      <c r="F51" s="59">
        <v>50190</v>
      </c>
      <c r="G51" s="59">
        <v>49590</v>
      </c>
      <c r="H51" s="59">
        <v>49723</v>
      </c>
      <c r="I51" s="59">
        <v>50699</v>
      </c>
      <c r="J51" s="59">
        <v>44855</v>
      </c>
      <c r="K51" s="59">
        <v>41080</v>
      </c>
      <c r="L51" s="59">
        <v>40888</v>
      </c>
      <c r="M51" s="59">
        <v>41728</v>
      </c>
      <c r="N51" s="59">
        <v>40664</v>
      </c>
      <c r="O51" s="59">
        <v>37058</v>
      </c>
      <c r="P51" s="59">
        <v>46115</v>
      </c>
      <c r="Q51" s="59">
        <v>61226</v>
      </c>
      <c r="R51" s="59">
        <v>71121</v>
      </c>
      <c r="S51" s="59">
        <v>74971</v>
      </c>
      <c r="T51" s="59">
        <v>80616</v>
      </c>
      <c r="U51" s="59">
        <v>83545</v>
      </c>
      <c r="V51" s="59">
        <v>80185</v>
      </c>
      <c r="W51" s="59">
        <v>76999</v>
      </c>
      <c r="X51" s="59">
        <v>74086</v>
      </c>
      <c r="Y51" s="59">
        <v>69804</v>
      </c>
      <c r="Z51" s="59">
        <v>64300</v>
      </c>
      <c r="AA51" s="15">
        <f t="shared" si="0"/>
        <v>1395119</v>
      </c>
      <c r="AB51" s="16">
        <v>21</v>
      </c>
      <c r="AC51" s="15">
        <f t="shared" si="1"/>
        <v>29297499</v>
      </c>
      <c r="AD51" s="111">
        <f>+SUM(AC51:AC54)</f>
        <v>41505243</v>
      </c>
    </row>
    <row r="52" spans="1:30" x14ac:dyDescent="0.35">
      <c r="A52" s="78"/>
      <c r="B52" s="17" t="s">
        <v>40</v>
      </c>
      <c r="C52" s="59">
        <v>60090</v>
      </c>
      <c r="D52" s="59">
        <v>55971</v>
      </c>
      <c r="E52" s="59">
        <v>52972</v>
      </c>
      <c r="F52" s="59">
        <v>50782</v>
      </c>
      <c r="G52" s="59">
        <v>49789</v>
      </c>
      <c r="H52" s="59">
        <v>49465</v>
      </c>
      <c r="I52" s="59">
        <v>49926</v>
      </c>
      <c r="J52" s="59">
        <v>42588</v>
      </c>
      <c r="K52" s="59">
        <v>38383</v>
      </c>
      <c r="L52" s="59">
        <v>37859</v>
      </c>
      <c r="M52" s="59">
        <v>38405</v>
      </c>
      <c r="N52" s="59">
        <v>37168</v>
      </c>
      <c r="O52" s="59">
        <v>36328</v>
      </c>
      <c r="P52" s="59">
        <v>42046</v>
      </c>
      <c r="Q52" s="59">
        <v>52929</v>
      </c>
      <c r="R52" s="59">
        <v>61827</v>
      </c>
      <c r="S52" s="59">
        <v>65563</v>
      </c>
      <c r="T52" s="59">
        <v>74680</v>
      </c>
      <c r="U52" s="59">
        <v>80539</v>
      </c>
      <c r="V52" s="59">
        <v>78587</v>
      </c>
      <c r="W52" s="59">
        <v>74683</v>
      </c>
      <c r="X52" s="59">
        <v>71081</v>
      </c>
      <c r="Y52" s="59">
        <v>67510</v>
      </c>
      <c r="Z52" s="59">
        <v>63525</v>
      </c>
      <c r="AA52" s="15">
        <f t="shared" si="0"/>
        <v>1332696</v>
      </c>
      <c r="AB52" s="16">
        <v>4</v>
      </c>
      <c r="AC52" s="15">
        <f t="shared" si="1"/>
        <v>5330784</v>
      </c>
      <c r="AD52" s="112"/>
    </row>
    <row r="53" spans="1:30" x14ac:dyDescent="0.35">
      <c r="A53" s="78"/>
      <c r="B53" s="17" t="s">
        <v>41</v>
      </c>
      <c r="C53" s="59">
        <v>60628</v>
      </c>
      <c r="D53" s="59">
        <v>56799</v>
      </c>
      <c r="E53" s="59">
        <v>53851</v>
      </c>
      <c r="F53" s="59">
        <v>51627</v>
      </c>
      <c r="G53" s="59">
        <v>50232</v>
      </c>
      <c r="H53" s="59">
        <v>47816</v>
      </c>
      <c r="I53" s="59">
        <v>46990</v>
      </c>
      <c r="J53" s="59">
        <v>35814</v>
      </c>
      <c r="K53" s="59">
        <v>27615</v>
      </c>
      <c r="L53" s="59">
        <v>25926</v>
      </c>
      <c r="M53" s="59">
        <v>25281</v>
      </c>
      <c r="N53" s="59">
        <v>24244</v>
      </c>
      <c r="O53" s="59">
        <v>26239</v>
      </c>
      <c r="P53" s="59">
        <v>31712</v>
      </c>
      <c r="Q53" s="59">
        <v>41835</v>
      </c>
      <c r="R53" s="59">
        <v>52235</v>
      </c>
      <c r="S53" s="59">
        <v>57149</v>
      </c>
      <c r="T53" s="59">
        <v>67835</v>
      </c>
      <c r="U53" s="59">
        <v>74925</v>
      </c>
      <c r="V53" s="59">
        <v>74265</v>
      </c>
      <c r="W53" s="59">
        <v>72173</v>
      </c>
      <c r="X53" s="59">
        <v>69663</v>
      </c>
      <c r="Y53" s="59">
        <v>65798</v>
      </c>
      <c r="Z53" s="59">
        <v>61240</v>
      </c>
      <c r="AA53" s="15">
        <f t="shared" si="0"/>
        <v>1201892</v>
      </c>
      <c r="AB53" s="16">
        <v>4</v>
      </c>
      <c r="AC53" s="15">
        <f t="shared" si="1"/>
        <v>4807568</v>
      </c>
      <c r="AD53" s="112"/>
    </row>
    <row r="54" spans="1:30" x14ac:dyDescent="0.35">
      <c r="A54" s="79"/>
      <c r="B54" s="18" t="s">
        <v>42</v>
      </c>
      <c r="C54" s="59">
        <v>51399</v>
      </c>
      <c r="D54" s="59">
        <v>49357</v>
      </c>
      <c r="E54" s="59">
        <v>47710</v>
      </c>
      <c r="F54" s="59">
        <v>46095</v>
      </c>
      <c r="G54" s="59">
        <v>45009</v>
      </c>
      <c r="H54" s="59">
        <v>43829</v>
      </c>
      <c r="I54" s="59">
        <v>42348</v>
      </c>
      <c r="J54" s="59">
        <v>30875</v>
      </c>
      <c r="K54" s="59">
        <v>21730</v>
      </c>
      <c r="L54" s="59">
        <v>19373</v>
      </c>
      <c r="M54" s="59">
        <v>18317</v>
      </c>
      <c r="N54" s="59">
        <v>16656</v>
      </c>
      <c r="O54" s="59">
        <v>18509</v>
      </c>
      <c r="P54" s="59">
        <v>24340</v>
      </c>
      <c r="Q54" s="59">
        <v>33780</v>
      </c>
      <c r="R54" s="59">
        <v>43085</v>
      </c>
      <c r="S54" s="59">
        <v>48261</v>
      </c>
      <c r="T54" s="59">
        <v>58305</v>
      </c>
      <c r="U54" s="59">
        <v>65521</v>
      </c>
      <c r="V54" s="59">
        <v>66228</v>
      </c>
      <c r="W54" s="59">
        <v>64800</v>
      </c>
      <c r="X54" s="59">
        <v>63205</v>
      </c>
      <c r="Y54" s="59">
        <v>60202</v>
      </c>
      <c r="Z54" s="59">
        <v>55762</v>
      </c>
      <c r="AA54" s="15">
        <f t="shared" si="0"/>
        <v>1034696</v>
      </c>
      <c r="AB54" s="16">
        <v>2</v>
      </c>
      <c r="AC54" s="15">
        <f t="shared" si="1"/>
        <v>2069392</v>
      </c>
      <c r="AD54" s="113"/>
    </row>
    <row r="55" spans="1:30" x14ac:dyDescent="0.35">
      <c r="AD55" s="24">
        <f>+SUM(AD7:AD54)</f>
        <v>500146834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325E-C0C8-4F08-B710-DD714736A8A4}">
  <sheetPr>
    <tabColor rgb="FF92D050"/>
  </sheetPr>
  <dimension ref="C1:I22"/>
  <sheetViews>
    <sheetView showGridLines="0" topLeftCell="A5" workbookViewId="0">
      <selection activeCell="D20" sqref="D20:D2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6" t="s">
        <v>43</v>
      </c>
      <c r="D1" s="76"/>
      <c r="E1" s="76"/>
      <c r="F1" s="76"/>
      <c r="G1" s="76"/>
    </row>
    <row r="2" spans="3:7" x14ac:dyDescent="0.35">
      <c r="C2" s="76"/>
      <c r="D2" s="76"/>
      <c r="E2" s="76"/>
      <c r="F2" s="76"/>
      <c r="G2" s="76"/>
    </row>
    <row r="3" spans="3:7" ht="15" thickBot="1" x14ac:dyDescent="0.4"/>
    <row r="4" spans="3:7" ht="15" thickBot="1" x14ac:dyDescent="0.4">
      <c r="C4" s="91" t="s">
        <v>48</v>
      </c>
      <c r="D4" s="92"/>
      <c r="E4" s="92"/>
      <c r="F4" s="92"/>
      <c r="G4" s="93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6" t="s">
        <v>6</v>
      </c>
      <c r="G5" s="56" t="s">
        <v>2</v>
      </c>
    </row>
    <row r="6" spans="3:7" x14ac:dyDescent="0.35">
      <c r="C6" s="62">
        <v>47849</v>
      </c>
      <c r="D6" s="63">
        <f>+VLOOKUP(C6,'PLANA P8'!$A$4:$AD$55,30,FALSE)</f>
        <v>37200000</v>
      </c>
      <c r="E6" s="120" t="s">
        <v>1</v>
      </c>
      <c r="F6" s="64"/>
      <c r="G6" s="121" t="s">
        <v>3</v>
      </c>
    </row>
    <row r="7" spans="3:7" x14ac:dyDescent="0.35">
      <c r="C7" s="3">
        <v>47880</v>
      </c>
      <c r="D7" s="4">
        <f>+VLOOKUP(C7,'PLANA P8'!$A$4:$AD$55,30,FALSE)</f>
        <v>33600000</v>
      </c>
      <c r="E7" s="71"/>
      <c r="F7" s="1"/>
      <c r="G7" s="74"/>
    </row>
    <row r="8" spans="3:7" x14ac:dyDescent="0.35">
      <c r="C8" s="3">
        <v>47908</v>
      </c>
      <c r="D8" s="4">
        <f>+VLOOKUP(C8,'PLANA P8'!$A$4:$AD$55,30,FALSE)</f>
        <v>37200000</v>
      </c>
      <c r="E8" s="71"/>
      <c r="F8" s="1"/>
      <c r="G8" s="74"/>
    </row>
    <row r="9" spans="3:7" x14ac:dyDescent="0.35">
      <c r="C9" s="3">
        <v>47939</v>
      </c>
      <c r="D9" s="4">
        <f>+VLOOKUP(C9,'PLANA P8'!$A$4:$AD$55,30,FALSE)</f>
        <v>36000000</v>
      </c>
      <c r="E9" s="71"/>
      <c r="F9" s="1"/>
      <c r="G9" s="74"/>
    </row>
    <row r="10" spans="3:7" x14ac:dyDescent="0.35">
      <c r="C10" s="3">
        <v>47969</v>
      </c>
      <c r="D10" s="4">
        <f>+VLOOKUP(C10,'PLANA P8'!$A$4:$AD$55,30,FALSE)</f>
        <v>37200000</v>
      </c>
      <c r="E10" s="71"/>
      <c r="F10" s="1"/>
      <c r="G10" s="74"/>
    </row>
    <row r="11" spans="3:7" x14ac:dyDescent="0.35">
      <c r="C11" s="3">
        <v>48000</v>
      </c>
      <c r="D11" s="4">
        <f>+VLOOKUP(C11,'PLANA P8'!$A$4:$AD$55,30,FALSE)</f>
        <v>36000000</v>
      </c>
      <c r="E11" s="71"/>
      <c r="F11" s="1"/>
      <c r="G11" s="74"/>
    </row>
    <row r="12" spans="3:7" x14ac:dyDescent="0.35">
      <c r="C12" s="3">
        <v>48030</v>
      </c>
      <c r="D12" s="4">
        <f>+VLOOKUP(C12,'PLANA P8'!$A$4:$AD$55,30,FALSE)</f>
        <v>37200000</v>
      </c>
      <c r="E12" s="71"/>
      <c r="F12" s="1"/>
      <c r="G12" s="74"/>
    </row>
    <row r="13" spans="3:7" x14ac:dyDescent="0.35">
      <c r="C13" s="3">
        <v>48061</v>
      </c>
      <c r="D13" s="4">
        <f>+VLOOKUP(C13,'PLANA P8'!$A$4:$AD$55,30,FALSE)</f>
        <v>37200000</v>
      </c>
      <c r="E13" s="71"/>
      <c r="F13" s="1"/>
      <c r="G13" s="74"/>
    </row>
    <row r="14" spans="3:7" x14ac:dyDescent="0.35">
      <c r="C14" s="3">
        <v>48092</v>
      </c>
      <c r="D14" s="4">
        <f>+VLOOKUP(C14,'PLANA P8'!$A$4:$AD$55,30,FALSE)</f>
        <v>36000000</v>
      </c>
      <c r="E14" s="71"/>
      <c r="F14" s="1"/>
      <c r="G14" s="74"/>
    </row>
    <row r="15" spans="3:7" x14ac:dyDescent="0.35">
      <c r="C15" s="3">
        <v>48122</v>
      </c>
      <c r="D15" s="4">
        <f>+VLOOKUP(C15,'PLANA P8'!$A$4:$AD$55,30,FALSE)</f>
        <v>37200000</v>
      </c>
      <c r="E15" s="71"/>
      <c r="F15" s="1"/>
      <c r="G15" s="74"/>
    </row>
    <row r="16" spans="3:7" x14ac:dyDescent="0.35">
      <c r="C16" s="3">
        <v>48153</v>
      </c>
      <c r="D16" s="4">
        <f>+VLOOKUP(C16,'PLANA P8'!$A$4:$AD$55,30,FALSE)</f>
        <v>36000000</v>
      </c>
      <c r="E16" s="71"/>
      <c r="F16" s="1"/>
      <c r="G16" s="74"/>
    </row>
    <row r="17" spans="3:9" ht="15" thickBot="1" x14ac:dyDescent="0.4">
      <c r="C17" s="5">
        <v>48183</v>
      </c>
      <c r="D17" s="6">
        <f>+VLOOKUP(C17,'PLANA P8'!$A$4:$AD$55,30,FALSE)</f>
        <v>37200000</v>
      </c>
      <c r="E17" s="72"/>
      <c r="F17" s="7"/>
      <c r="G17" s="75"/>
    </row>
    <row r="18" spans="3:9" ht="15" thickBot="1" x14ac:dyDescent="0.4">
      <c r="D18" s="26">
        <f>SUM(D6:D17)</f>
        <v>438000000</v>
      </c>
    </row>
    <row r="19" spans="3:9" x14ac:dyDescent="0.35">
      <c r="D19" s="21"/>
      <c r="I19" s="22"/>
    </row>
    <row r="20" spans="3:9" x14ac:dyDescent="0.35">
      <c r="D20" s="65"/>
      <c r="I20" s="22"/>
    </row>
    <row r="21" spans="3:9" x14ac:dyDescent="0.35">
      <c r="D21" s="66"/>
      <c r="I21" s="22"/>
    </row>
    <row r="22" spans="3:9" x14ac:dyDescent="0.35"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9DE6-029A-4E8C-B79C-B62D288F13A9}">
  <dimension ref="A1:AD58"/>
  <sheetViews>
    <sheetView showGridLines="0" topLeftCell="N38" zoomScaleNormal="100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06" t="s">
        <v>8</v>
      </c>
      <c r="B1" s="106"/>
      <c r="C1" s="106"/>
      <c r="D1" s="106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107" t="s">
        <v>43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85" t="s">
        <v>9</v>
      </c>
      <c r="B4" s="85"/>
      <c r="C4" s="86">
        <f>+AD55</f>
        <v>438000000</v>
      </c>
      <c r="D4" s="8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53"/>
      <c r="B6" s="57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1:30" x14ac:dyDescent="0.35">
      <c r="A7" s="114">
        <v>47849</v>
      </c>
      <c r="B7" s="58" t="s">
        <v>39</v>
      </c>
      <c r="C7" s="59">
        <v>50000</v>
      </c>
      <c r="D7" s="59">
        <v>50000</v>
      </c>
      <c r="E7" s="59">
        <v>50000</v>
      </c>
      <c r="F7" s="59">
        <v>50000</v>
      </c>
      <c r="G7" s="59">
        <v>50000</v>
      </c>
      <c r="H7" s="59">
        <v>50000</v>
      </c>
      <c r="I7" s="59">
        <v>50000</v>
      </c>
      <c r="J7" s="59">
        <v>50000</v>
      </c>
      <c r="K7" s="59">
        <v>50000</v>
      </c>
      <c r="L7" s="59">
        <v>50000</v>
      </c>
      <c r="M7" s="59">
        <v>50000</v>
      </c>
      <c r="N7" s="59">
        <v>50000</v>
      </c>
      <c r="O7" s="59">
        <v>50000</v>
      </c>
      <c r="P7" s="59">
        <v>50000</v>
      </c>
      <c r="Q7" s="59">
        <v>50000</v>
      </c>
      <c r="R7" s="59">
        <v>50000</v>
      </c>
      <c r="S7" s="59">
        <v>50000</v>
      </c>
      <c r="T7" s="59">
        <v>50000</v>
      </c>
      <c r="U7" s="59">
        <v>50000</v>
      </c>
      <c r="V7" s="59">
        <v>50000</v>
      </c>
      <c r="W7" s="59">
        <v>50000</v>
      </c>
      <c r="X7" s="59">
        <v>50000</v>
      </c>
      <c r="Y7" s="59">
        <v>50000</v>
      </c>
      <c r="Z7" s="59">
        <v>50000</v>
      </c>
      <c r="AA7" s="59">
        <f>SUM(C7:Z7)</f>
        <v>1200000</v>
      </c>
      <c r="AB7" s="54">
        <v>21</v>
      </c>
      <c r="AC7" s="59">
        <f>+AA7*AB7</f>
        <v>25200000</v>
      </c>
      <c r="AD7" s="117">
        <f>+SUM(AC7:AC10)</f>
        <v>37200000</v>
      </c>
    </row>
    <row r="8" spans="1:30" x14ac:dyDescent="0.35">
      <c r="A8" s="115"/>
      <c r="B8" s="60" t="s">
        <v>40</v>
      </c>
      <c r="C8" s="59">
        <v>50000</v>
      </c>
      <c r="D8" s="59">
        <v>50000</v>
      </c>
      <c r="E8" s="59">
        <v>50000</v>
      </c>
      <c r="F8" s="59">
        <v>50000</v>
      </c>
      <c r="G8" s="59">
        <v>50000</v>
      </c>
      <c r="H8" s="59">
        <v>50000</v>
      </c>
      <c r="I8" s="59">
        <v>50000</v>
      </c>
      <c r="J8" s="59">
        <v>50000</v>
      </c>
      <c r="K8" s="59">
        <v>50000</v>
      </c>
      <c r="L8" s="59">
        <v>50000</v>
      </c>
      <c r="M8" s="59">
        <v>50000</v>
      </c>
      <c r="N8" s="59">
        <v>50000</v>
      </c>
      <c r="O8" s="59">
        <v>50000</v>
      </c>
      <c r="P8" s="59">
        <v>50000</v>
      </c>
      <c r="Q8" s="59">
        <v>50000</v>
      </c>
      <c r="R8" s="59">
        <v>50000</v>
      </c>
      <c r="S8" s="59">
        <v>50000</v>
      </c>
      <c r="T8" s="59">
        <v>50000</v>
      </c>
      <c r="U8" s="59">
        <v>50000</v>
      </c>
      <c r="V8" s="59">
        <v>50000</v>
      </c>
      <c r="W8" s="59">
        <v>50000</v>
      </c>
      <c r="X8" s="59">
        <v>50000</v>
      </c>
      <c r="Y8" s="59">
        <v>50000</v>
      </c>
      <c r="Z8" s="59">
        <v>50000</v>
      </c>
      <c r="AA8" s="59">
        <f t="shared" ref="AA8:AA54" si="0">SUM(C8:Z8)</f>
        <v>1200000</v>
      </c>
      <c r="AB8" s="54">
        <v>4</v>
      </c>
      <c r="AC8" s="59">
        <f t="shared" ref="AC8:AC54" si="1">+AA8*AB8</f>
        <v>4800000</v>
      </c>
      <c r="AD8" s="118"/>
    </row>
    <row r="9" spans="1:30" x14ac:dyDescent="0.35">
      <c r="A9" s="115"/>
      <c r="B9" s="60" t="s">
        <v>41</v>
      </c>
      <c r="C9" s="59">
        <v>50000</v>
      </c>
      <c r="D9" s="59">
        <v>50000</v>
      </c>
      <c r="E9" s="59">
        <v>50000</v>
      </c>
      <c r="F9" s="59">
        <v>50000</v>
      </c>
      <c r="G9" s="59">
        <v>50000</v>
      </c>
      <c r="H9" s="59">
        <v>50000</v>
      </c>
      <c r="I9" s="59">
        <v>50000</v>
      </c>
      <c r="J9" s="59">
        <v>50000</v>
      </c>
      <c r="K9" s="59">
        <v>50000</v>
      </c>
      <c r="L9" s="59">
        <v>50000</v>
      </c>
      <c r="M9" s="59">
        <v>50000</v>
      </c>
      <c r="N9" s="59">
        <v>50000</v>
      </c>
      <c r="O9" s="59">
        <v>50000</v>
      </c>
      <c r="P9" s="59">
        <v>50000</v>
      </c>
      <c r="Q9" s="59">
        <v>50000</v>
      </c>
      <c r="R9" s="59">
        <v>50000</v>
      </c>
      <c r="S9" s="59">
        <v>50000</v>
      </c>
      <c r="T9" s="59">
        <v>50000</v>
      </c>
      <c r="U9" s="59">
        <v>50000</v>
      </c>
      <c r="V9" s="59">
        <v>50000</v>
      </c>
      <c r="W9" s="59">
        <v>50000</v>
      </c>
      <c r="X9" s="59">
        <v>50000</v>
      </c>
      <c r="Y9" s="59">
        <v>50000</v>
      </c>
      <c r="Z9" s="59">
        <v>50000</v>
      </c>
      <c r="AA9" s="59">
        <f t="shared" si="0"/>
        <v>1200000</v>
      </c>
      <c r="AB9" s="54">
        <v>4</v>
      </c>
      <c r="AC9" s="59">
        <f t="shared" si="1"/>
        <v>4800000</v>
      </c>
      <c r="AD9" s="118"/>
    </row>
    <row r="10" spans="1:30" x14ac:dyDescent="0.35">
      <c r="A10" s="116"/>
      <c r="B10" s="61" t="s">
        <v>42</v>
      </c>
      <c r="C10" s="59">
        <v>50000</v>
      </c>
      <c r="D10" s="59">
        <v>50000</v>
      </c>
      <c r="E10" s="59">
        <v>50000</v>
      </c>
      <c r="F10" s="59">
        <v>50000</v>
      </c>
      <c r="G10" s="59">
        <v>50000</v>
      </c>
      <c r="H10" s="59">
        <v>50000</v>
      </c>
      <c r="I10" s="59">
        <v>50000</v>
      </c>
      <c r="J10" s="59">
        <v>50000</v>
      </c>
      <c r="K10" s="59">
        <v>50000</v>
      </c>
      <c r="L10" s="59">
        <v>50000</v>
      </c>
      <c r="M10" s="59">
        <v>50000</v>
      </c>
      <c r="N10" s="59">
        <v>50000</v>
      </c>
      <c r="O10" s="59">
        <v>50000</v>
      </c>
      <c r="P10" s="59">
        <v>50000</v>
      </c>
      <c r="Q10" s="59">
        <v>50000</v>
      </c>
      <c r="R10" s="59">
        <v>50000</v>
      </c>
      <c r="S10" s="59">
        <v>50000</v>
      </c>
      <c r="T10" s="59">
        <v>50000</v>
      </c>
      <c r="U10" s="59">
        <v>50000</v>
      </c>
      <c r="V10" s="59">
        <v>50000</v>
      </c>
      <c r="W10" s="59">
        <v>50000</v>
      </c>
      <c r="X10" s="59">
        <v>50000</v>
      </c>
      <c r="Y10" s="59">
        <v>50000</v>
      </c>
      <c r="Z10" s="59">
        <v>50000</v>
      </c>
      <c r="AA10" s="59">
        <f t="shared" si="0"/>
        <v>1200000</v>
      </c>
      <c r="AB10" s="54">
        <v>2</v>
      </c>
      <c r="AC10" s="59">
        <f t="shared" si="1"/>
        <v>2400000</v>
      </c>
      <c r="AD10" s="119"/>
    </row>
    <row r="11" spans="1:30" x14ac:dyDescent="0.35">
      <c r="A11" s="114">
        <v>47880</v>
      </c>
      <c r="B11" s="58" t="s">
        <v>39</v>
      </c>
      <c r="C11" s="59">
        <v>50000</v>
      </c>
      <c r="D11" s="59">
        <v>50000</v>
      </c>
      <c r="E11" s="59">
        <v>50000</v>
      </c>
      <c r="F11" s="59">
        <v>50000</v>
      </c>
      <c r="G11" s="59">
        <v>50000</v>
      </c>
      <c r="H11" s="59">
        <v>50000</v>
      </c>
      <c r="I11" s="59">
        <v>50000</v>
      </c>
      <c r="J11" s="59">
        <v>50000</v>
      </c>
      <c r="K11" s="59">
        <v>50000</v>
      </c>
      <c r="L11" s="59">
        <v>50000</v>
      </c>
      <c r="M11" s="59">
        <v>50000</v>
      </c>
      <c r="N11" s="59">
        <v>50000</v>
      </c>
      <c r="O11" s="59">
        <v>50000</v>
      </c>
      <c r="P11" s="59">
        <v>50000</v>
      </c>
      <c r="Q11" s="59">
        <v>50000</v>
      </c>
      <c r="R11" s="59">
        <v>50000</v>
      </c>
      <c r="S11" s="59">
        <v>50000</v>
      </c>
      <c r="T11" s="59">
        <v>50000</v>
      </c>
      <c r="U11" s="59">
        <v>50000</v>
      </c>
      <c r="V11" s="59">
        <v>50000</v>
      </c>
      <c r="W11" s="59">
        <v>50000</v>
      </c>
      <c r="X11" s="59">
        <v>50000</v>
      </c>
      <c r="Y11" s="59">
        <v>50000</v>
      </c>
      <c r="Z11" s="59">
        <v>50000</v>
      </c>
      <c r="AA11" s="59">
        <f t="shared" si="0"/>
        <v>1200000</v>
      </c>
      <c r="AB11" s="54">
        <v>20</v>
      </c>
      <c r="AC11" s="59">
        <f t="shared" si="1"/>
        <v>24000000</v>
      </c>
      <c r="AD11" s="117">
        <f>+SUM(AC11:AC14)</f>
        <v>33600000</v>
      </c>
    </row>
    <row r="12" spans="1:30" x14ac:dyDescent="0.35">
      <c r="A12" s="115"/>
      <c r="B12" s="60" t="s">
        <v>40</v>
      </c>
      <c r="C12" s="59">
        <v>50000</v>
      </c>
      <c r="D12" s="59">
        <v>50000</v>
      </c>
      <c r="E12" s="59">
        <v>50000</v>
      </c>
      <c r="F12" s="59">
        <v>50000</v>
      </c>
      <c r="G12" s="59">
        <v>50000</v>
      </c>
      <c r="H12" s="59">
        <v>50000</v>
      </c>
      <c r="I12" s="59">
        <v>50000</v>
      </c>
      <c r="J12" s="59">
        <v>50000</v>
      </c>
      <c r="K12" s="59">
        <v>50000</v>
      </c>
      <c r="L12" s="59">
        <v>50000</v>
      </c>
      <c r="M12" s="59">
        <v>50000</v>
      </c>
      <c r="N12" s="59">
        <v>50000</v>
      </c>
      <c r="O12" s="59">
        <v>50000</v>
      </c>
      <c r="P12" s="59">
        <v>50000</v>
      </c>
      <c r="Q12" s="59">
        <v>50000</v>
      </c>
      <c r="R12" s="59">
        <v>50000</v>
      </c>
      <c r="S12" s="59">
        <v>50000</v>
      </c>
      <c r="T12" s="59">
        <v>50000</v>
      </c>
      <c r="U12" s="59">
        <v>50000</v>
      </c>
      <c r="V12" s="59">
        <v>50000</v>
      </c>
      <c r="W12" s="59">
        <v>50000</v>
      </c>
      <c r="X12" s="59">
        <v>50000</v>
      </c>
      <c r="Y12" s="59">
        <v>50000</v>
      </c>
      <c r="Z12" s="59">
        <v>50000</v>
      </c>
      <c r="AA12" s="59">
        <f t="shared" si="0"/>
        <v>1200000</v>
      </c>
      <c r="AB12" s="54">
        <v>4</v>
      </c>
      <c r="AC12" s="59">
        <f t="shared" si="1"/>
        <v>4800000</v>
      </c>
      <c r="AD12" s="118"/>
    </row>
    <row r="13" spans="1:30" x14ac:dyDescent="0.35">
      <c r="A13" s="115"/>
      <c r="B13" s="60" t="s">
        <v>41</v>
      </c>
      <c r="C13" s="59">
        <v>50000</v>
      </c>
      <c r="D13" s="59">
        <v>50000</v>
      </c>
      <c r="E13" s="59">
        <v>50000</v>
      </c>
      <c r="F13" s="59">
        <v>50000</v>
      </c>
      <c r="G13" s="59">
        <v>50000</v>
      </c>
      <c r="H13" s="59">
        <v>50000</v>
      </c>
      <c r="I13" s="59">
        <v>50000</v>
      </c>
      <c r="J13" s="59">
        <v>50000</v>
      </c>
      <c r="K13" s="59">
        <v>50000</v>
      </c>
      <c r="L13" s="59">
        <v>50000</v>
      </c>
      <c r="M13" s="59">
        <v>50000</v>
      </c>
      <c r="N13" s="59">
        <v>50000</v>
      </c>
      <c r="O13" s="59">
        <v>50000</v>
      </c>
      <c r="P13" s="59">
        <v>50000</v>
      </c>
      <c r="Q13" s="59">
        <v>50000</v>
      </c>
      <c r="R13" s="59">
        <v>50000</v>
      </c>
      <c r="S13" s="59">
        <v>50000</v>
      </c>
      <c r="T13" s="59">
        <v>50000</v>
      </c>
      <c r="U13" s="59">
        <v>50000</v>
      </c>
      <c r="V13" s="59">
        <v>50000</v>
      </c>
      <c r="W13" s="59">
        <v>50000</v>
      </c>
      <c r="X13" s="59">
        <v>50000</v>
      </c>
      <c r="Y13" s="59">
        <v>50000</v>
      </c>
      <c r="Z13" s="59">
        <v>50000</v>
      </c>
      <c r="AA13" s="59">
        <f t="shared" si="0"/>
        <v>1200000</v>
      </c>
      <c r="AB13" s="54">
        <v>4</v>
      </c>
      <c r="AC13" s="59">
        <f t="shared" si="1"/>
        <v>4800000</v>
      </c>
      <c r="AD13" s="118"/>
    </row>
    <row r="14" spans="1:30" x14ac:dyDescent="0.35">
      <c r="A14" s="116"/>
      <c r="B14" s="61" t="s">
        <v>42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>
        <f t="shared" si="0"/>
        <v>0</v>
      </c>
      <c r="AB14" s="54">
        <v>0</v>
      </c>
      <c r="AC14" s="59">
        <f t="shared" si="1"/>
        <v>0</v>
      </c>
      <c r="AD14" s="119"/>
    </row>
    <row r="15" spans="1:30" x14ac:dyDescent="0.35">
      <c r="A15" s="114">
        <v>47908</v>
      </c>
      <c r="B15" s="58" t="s">
        <v>39</v>
      </c>
      <c r="C15" s="59">
        <v>50000</v>
      </c>
      <c r="D15" s="59">
        <v>50000</v>
      </c>
      <c r="E15" s="59">
        <v>50000</v>
      </c>
      <c r="F15" s="59">
        <v>50000</v>
      </c>
      <c r="G15" s="59">
        <v>50000</v>
      </c>
      <c r="H15" s="59">
        <v>50000</v>
      </c>
      <c r="I15" s="59">
        <v>50000</v>
      </c>
      <c r="J15" s="59">
        <v>50000</v>
      </c>
      <c r="K15" s="59">
        <v>50000</v>
      </c>
      <c r="L15" s="59">
        <v>50000</v>
      </c>
      <c r="M15" s="59">
        <v>50000</v>
      </c>
      <c r="N15" s="59">
        <v>50000</v>
      </c>
      <c r="O15" s="59">
        <v>50000</v>
      </c>
      <c r="P15" s="59">
        <v>50000</v>
      </c>
      <c r="Q15" s="59">
        <v>50000</v>
      </c>
      <c r="R15" s="59">
        <v>50000</v>
      </c>
      <c r="S15" s="59">
        <v>50000</v>
      </c>
      <c r="T15" s="59">
        <v>50000</v>
      </c>
      <c r="U15" s="59">
        <v>50000</v>
      </c>
      <c r="V15" s="59">
        <v>50000</v>
      </c>
      <c r="W15" s="59">
        <v>50000</v>
      </c>
      <c r="X15" s="59">
        <v>50000</v>
      </c>
      <c r="Y15" s="59">
        <v>50000</v>
      </c>
      <c r="Z15" s="59">
        <v>50000</v>
      </c>
      <c r="AA15" s="59">
        <f t="shared" si="0"/>
        <v>1200000</v>
      </c>
      <c r="AB15" s="54">
        <v>20</v>
      </c>
      <c r="AC15" s="59">
        <f t="shared" si="1"/>
        <v>24000000</v>
      </c>
      <c r="AD15" s="117">
        <f>+SUM(AC15:AC18)</f>
        <v>37200000</v>
      </c>
    </row>
    <row r="16" spans="1:30" x14ac:dyDescent="0.35">
      <c r="A16" s="115"/>
      <c r="B16" s="60" t="s">
        <v>40</v>
      </c>
      <c r="C16" s="59">
        <v>50000</v>
      </c>
      <c r="D16" s="59">
        <v>50000</v>
      </c>
      <c r="E16" s="59">
        <v>50000</v>
      </c>
      <c r="F16" s="59">
        <v>50000</v>
      </c>
      <c r="G16" s="59">
        <v>50000</v>
      </c>
      <c r="H16" s="59">
        <v>50000</v>
      </c>
      <c r="I16" s="59">
        <v>50000</v>
      </c>
      <c r="J16" s="59">
        <v>50000</v>
      </c>
      <c r="K16" s="59">
        <v>50000</v>
      </c>
      <c r="L16" s="59">
        <v>50000</v>
      </c>
      <c r="M16" s="59">
        <v>50000</v>
      </c>
      <c r="N16" s="59">
        <v>50000</v>
      </c>
      <c r="O16" s="59">
        <v>50000</v>
      </c>
      <c r="P16" s="59">
        <v>50000</v>
      </c>
      <c r="Q16" s="59">
        <v>50000</v>
      </c>
      <c r="R16" s="59">
        <v>50000</v>
      </c>
      <c r="S16" s="59">
        <v>50000</v>
      </c>
      <c r="T16" s="59">
        <v>50000</v>
      </c>
      <c r="U16" s="59">
        <v>50000</v>
      </c>
      <c r="V16" s="59">
        <v>50000</v>
      </c>
      <c r="W16" s="59">
        <v>50000</v>
      </c>
      <c r="X16" s="59">
        <v>50000</v>
      </c>
      <c r="Y16" s="59">
        <v>50000</v>
      </c>
      <c r="Z16" s="59">
        <v>50000</v>
      </c>
      <c r="AA16" s="59">
        <f t="shared" si="0"/>
        <v>1200000</v>
      </c>
      <c r="AB16" s="54">
        <v>5</v>
      </c>
      <c r="AC16" s="59">
        <f t="shared" si="1"/>
        <v>6000000</v>
      </c>
      <c r="AD16" s="118"/>
    </row>
    <row r="17" spans="1:30" x14ac:dyDescent="0.35">
      <c r="A17" s="115"/>
      <c r="B17" s="60" t="s">
        <v>41</v>
      </c>
      <c r="C17" s="59">
        <v>50000</v>
      </c>
      <c r="D17" s="59">
        <v>50000</v>
      </c>
      <c r="E17" s="59">
        <v>50000</v>
      </c>
      <c r="F17" s="59">
        <v>50000</v>
      </c>
      <c r="G17" s="59">
        <v>50000</v>
      </c>
      <c r="H17" s="59">
        <v>50000</v>
      </c>
      <c r="I17" s="59">
        <v>50000</v>
      </c>
      <c r="J17" s="59">
        <v>50000</v>
      </c>
      <c r="K17" s="59">
        <v>50000</v>
      </c>
      <c r="L17" s="59">
        <v>50000</v>
      </c>
      <c r="M17" s="59">
        <v>50000</v>
      </c>
      <c r="N17" s="59">
        <v>50000</v>
      </c>
      <c r="O17" s="59">
        <v>50000</v>
      </c>
      <c r="P17" s="59">
        <v>50000</v>
      </c>
      <c r="Q17" s="59">
        <v>50000</v>
      </c>
      <c r="R17" s="59">
        <v>50000</v>
      </c>
      <c r="S17" s="59">
        <v>50000</v>
      </c>
      <c r="T17" s="59">
        <v>50000</v>
      </c>
      <c r="U17" s="59">
        <v>50000</v>
      </c>
      <c r="V17" s="59">
        <v>50000</v>
      </c>
      <c r="W17" s="59">
        <v>50000</v>
      </c>
      <c r="X17" s="59">
        <v>50000</v>
      </c>
      <c r="Y17" s="59">
        <v>50000</v>
      </c>
      <c r="Z17" s="59">
        <v>50000</v>
      </c>
      <c r="AA17" s="59">
        <f t="shared" si="0"/>
        <v>1200000</v>
      </c>
      <c r="AB17" s="54">
        <v>5</v>
      </c>
      <c r="AC17" s="59">
        <f t="shared" si="1"/>
        <v>6000000</v>
      </c>
      <c r="AD17" s="118"/>
    </row>
    <row r="18" spans="1:30" x14ac:dyDescent="0.35">
      <c r="A18" s="116"/>
      <c r="B18" s="61" t="s">
        <v>42</v>
      </c>
      <c r="C18" s="59">
        <v>50000</v>
      </c>
      <c r="D18" s="59">
        <v>50000</v>
      </c>
      <c r="E18" s="59">
        <v>50000</v>
      </c>
      <c r="F18" s="59">
        <v>50000</v>
      </c>
      <c r="G18" s="59">
        <v>50000</v>
      </c>
      <c r="H18" s="59">
        <v>50000</v>
      </c>
      <c r="I18" s="59">
        <v>50000</v>
      </c>
      <c r="J18" s="59">
        <v>50000</v>
      </c>
      <c r="K18" s="59">
        <v>50000</v>
      </c>
      <c r="L18" s="59">
        <v>50000</v>
      </c>
      <c r="M18" s="59">
        <v>50000</v>
      </c>
      <c r="N18" s="59">
        <v>50000</v>
      </c>
      <c r="O18" s="59">
        <v>50000</v>
      </c>
      <c r="P18" s="59">
        <v>50000</v>
      </c>
      <c r="Q18" s="59">
        <v>50000</v>
      </c>
      <c r="R18" s="59">
        <v>50000</v>
      </c>
      <c r="S18" s="59">
        <v>50000</v>
      </c>
      <c r="T18" s="59">
        <v>50000</v>
      </c>
      <c r="U18" s="59">
        <v>50000</v>
      </c>
      <c r="V18" s="59">
        <v>50000</v>
      </c>
      <c r="W18" s="59">
        <v>50000</v>
      </c>
      <c r="X18" s="59">
        <v>50000</v>
      </c>
      <c r="Y18" s="59">
        <v>50000</v>
      </c>
      <c r="Z18" s="59">
        <v>50000</v>
      </c>
      <c r="AA18" s="59">
        <f t="shared" si="0"/>
        <v>1200000</v>
      </c>
      <c r="AB18" s="54">
        <v>1</v>
      </c>
      <c r="AC18" s="59">
        <f t="shared" si="1"/>
        <v>1200000</v>
      </c>
      <c r="AD18" s="119"/>
    </row>
    <row r="19" spans="1:30" x14ac:dyDescent="0.35">
      <c r="A19" s="114">
        <v>47939</v>
      </c>
      <c r="B19" s="58" t="s">
        <v>39</v>
      </c>
      <c r="C19" s="59">
        <v>50000</v>
      </c>
      <c r="D19" s="59">
        <v>50000</v>
      </c>
      <c r="E19" s="59">
        <v>50000</v>
      </c>
      <c r="F19" s="59">
        <v>50000</v>
      </c>
      <c r="G19" s="59">
        <v>50000</v>
      </c>
      <c r="H19" s="59">
        <v>50000</v>
      </c>
      <c r="I19" s="59">
        <v>50000</v>
      </c>
      <c r="J19" s="59">
        <v>50000</v>
      </c>
      <c r="K19" s="59">
        <v>50000</v>
      </c>
      <c r="L19" s="59">
        <v>50000</v>
      </c>
      <c r="M19" s="59">
        <v>50000</v>
      </c>
      <c r="N19" s="59">
        <v>50000</v>
      </c>
      <c r="O19" s="59">
        <v>50000</v>
      </c>
      <c r="P19" s="59">
        <v>50000</v>
      </c>
      <c r="Q19" s="59">
        <v>50000</v>
      </c>
      <c r="R19" s="59">
        <v>50000</v>
      </c>
      <c r="S19" s="59">
        <v>50000</v>
      </c>
      <c r="T19" s="59">
        <v>50000</v>
      </c>
      <c r="U19" s="59">
        <v>50000</v>
      </c>
      <c r="V19" s="59">
        <v>50000</v>
      </c>
      <c r="W19" s="59">
        <v>50000</v>
      </c>
      <c r="X19" s="59">
        <v>50000</v>
      </c>
      <c r="Y19" s="59">
        <v>50000</v>
      </c>
      <c r="Z19" s="59">
        <v>50000</v>
      </c>
      <c r="AA19" s="59">
        <f t="shared" si="0"/>
        <v>1200000</v>
      </c>
      <c r="AB19" s="54">
        <v>20</v>
      </c>
      <c r="AC19" s="59">
        <f t="shared" si="1"/>
        <v>24000000</v>
      </c>
      <c r="AD19" s="117">
        <f>+SUM(AC19:AC22)</f>
        <v>36000000</v>
      </c>
    </row>
    <row r="20" spans="1:30" x14ac:dyDescent="0.35">
      <c r="A20" s="115"/>
      <c r="B20" s="60" t="s">
        <v>40</v>
      </c>
      <c r="C20" s="59">
        <v>50000</v>
      </c>
      <c r="D20" s="59">
        <v>50000</v>
      </c>
      <c r="E20" s="59">
        <v>50000</v>
      </c>
      <c r="F20" s="59">
        <v>50000</v>
      </c>
      <c r="G20" s="59">
        <v>50000</v>
      </c>
      <c r="H20" s="59">
        <v>50000</v>
      </c>
      <c r="I20" s="59">
        <v>50000</v>
      </c>
      <c r="J20" s="59">
        <v>50000</v>
      </c>
      <c r="K20" s="59">
        <v>50000</v>
      </c>
      <c r="L20" s="59">
        <v>50000</v>
      </c>
      <c r="M20" s="59">
        <v>50000</v>
      </c>
      <c r="N20" s="59">
        <v>50000</v>
      </c>
      <c r="O20" s="59">
        <v>50000</v>
      </c>
      <c r="P20" s="59">
        <v>50000</v>
      </c>
      <c r="Q20" s="59">
        <v>50000</v>
      </c>
      <c r="R20" s="59">
        <v>50000</v>
      </c>
      <c r="S20" s="59">
        <v>50000</v>
      </c>
      <c r="T20" s="59">
        <v>50000</v>
      </c>
      <c r="U20" s="59">
        <v>50000</v>
      </c>
      <c r="V20" s="59">
        <v>50000</v>
      </c>
      <c r="W20" s="59">
        <v>50000</v>
      </c>
      <c r="X20" s="59">
        <v>50000</v>
      </c>
      <c r="Y20" s="59">
        <v>50000</v>
      </c>
      <c r="Z20" s="59">
        <v>50000</v>
      </c>
      <c r="AA20" s="59">
        <f t="shared" si="0"/>
        <v>1200000</v>
      </c>
      <c r="AB20" s="54">
        <v>4</v>
      </c>
      <c r="AC20" s="59">
        <f t="shared" si="1"/>
        <v>4800000</v>
      </c>
      <c r="AD20" s="118"/>
    </row>
    <row r="21" spans="1:30" x14ac:dyDescent="0.35">
      <c r="A21" s="115"/>
      <c r="B21" s="60" t="s">
        <v>41</v>
      </c>
      <c r="C21" s="59">
        <v>50000</v>
      </c>
      <c r="D21" s="59">
        <v>50000</v>
      </c>
      <c r="E21" s="59">
        <v>50000</v>
      </c>
      <c r="F21" s="59">
        <v>50000</v>
      </c>
      <c r="G21" s="59">
        <v>50000</v>
      </c>
      <c r="H21" s="59">
        <v>50000</v>
      </c>
      <c r="I21" s="59">
        <v>50000</v>
      </c>
      <c r="J21" s="59">
        <v>50000</v>
      </c>
      <c r="K21" s="59">
        <v>50000</v>
      </c>
      <c r="L21" s="59">
        <v>50000</v>
      </c>
      <c r="M21" s="59">
        <v>50000</v>
      </c>
      <c r="N21" s="59">
        <v>50000</v>
      </c>
      <c r="O21" s="59">
        <v>50000</v>
      </c>
      <c r="P21" s="59">
        <v>50000</v>
      </c>
      <c r="Q21" s="59">
        <v>50000</v>
      </c>
      <c r="R21" s="59">
        <v>50000</v>
      </c>
      <c r="S21" s="59">
        <v>50000</v>
      </c>
      <c r="T21" s="59">
        <v>50000</v>
      </c>
      <c r="U21" s="59">
        <v>50000</v>
      </c>
      <c r="V21" s="59">
        <v>50000</v>
      </c>
      <c r="W21" s="59">
        <v>50000</v>
      </c>
      <c r="X21" s="59">
        <v>50000</v>
      </c>
      <c r="Y21" s="59">
        <v>50000</v>
      </c>
      <c r="Z21" s="59">
        <v>50000</v>
      </c>
      <c r="AA21" s="59">
        <f t="shared" si="0"/>
        <v>1200000</v>
      </c>
      <c r="AB21" s="54">
        <v>4</v>
      </c>
      <c r="AC21" s="59">
        <f t="shared" si="1"/>
        <v>4800000</v>
      </c>
      <c r="AD21" s="118"/>
    </row>
    <row r="22" spans="1:30" x14ac:dyDescent="0.35">
      <c r="A22" s="116"/>
      <c r="B22" s="61" t="s">
        <v>42</v>
      </c>
      <c r="C22" s="59">
        <v>50000</v>
      </c>
      <c r="D22" s="59">
        <v>50000</v>
      </c>
      <c r="E22" s="59">
        <v>50000</v>
      </c>
      <c r="F22" s="59">
        <v>50000</v>
      </c>
      <c r="G22" s="59">
        <v>50000</v>
      </c>
      <c r="H22" s="59">
        <v>50000</v>
      </c>
      <c r="I22" s="59">
        <v>50000</v>
      </c>
      <c r="J22" s="59">
        <v>50000</v>
      </c>
      <c r="K22" s="59">
        <v>50000</v>
      </c>
      <c r="L22" s="59">
        <v>50000</v>
      </c>
      <c r="M22" s="59">
        <v>50000</v>
      </c>
      <c r="N22" s="59">
        <v>50000</v>
      </c>
      <c r="O22" s="59">
        <v>50000</v>
      </c>
      <c r="P22" s="59">
        <v>50000</v>
      </c>
      <c r="Q22" s="59">
        <v>50000</v>
      </c>
      <c r="R22" s="59">
        <v>50000</v>
      </c>
      <c r="S22" s="59">
        <v>50000</v>
      </c>
      <c r="T22" s="59">
        <v>50000</v>
      </c>
      <c r="U22" s="59">
        <v>50000</v>
      </c>
      <c r="V22" s="59">
        <v>50000</v>
      </c>
      <c r="W22" s="59">
        <v>50000</v>
      </c>
      <c r="X22" s="59">
        <v>50000</v>
      </c>
      <c r="Y22" s="59">
        <v>50000</v>
      </c>
      <c r="Z22" s="59">
        <v>50000</v>
      </c>
      <c r="AA22" s="59">
        <f t="shared" si="0"/>
        <v>1200000</v>
      </c>
      <c r="AB22" s="54">
        <v>2</v>
      </c>
      <c r="AC22" s="59">
        <f t="shared" si="1"/>
        <v>2400000</v>
      </c>
      <c r="AD22" s="119"/>
    </row>
    <row r="23" spans="1:30" x14ac:dyDescent="0.35">
      <c r="A23" s="114">
        <v>47969</v>
      </c>
      <c r="B23" s="58" t="s">
        <v>39</v>
      </c>
      <c r="C23" s="59">
        <v>50000</v>
      </c>
      <c r="D23" s="59">
        <v>50000</v>
      </c>
      <c r="E23" s="59">
        <v>50000</v>
      </c>
      <c r="F23" s="59">
        <v>50000</v>
      </c>
      <c r="G23" s="59">
        <v>50000</v>
      </c>
      <c r="H23" s="59">
        <v>50000</v>
      </c>
      <c r="I23" s="59">
        <v>50000</v>
      </c>
      <c r="J23" s="59">
        <v>50000</v>
      </c>
      <c r="K23" s="59">
        <v>50000</v>
      </c>
      <c r="L23" s="59">
        <v>50000</v>
      </c>
      <c r="M23" s="59">
        <v>50000</v>
      </c>
      <c r="N23" s="59">
        <v>50000</v>
      </c>
      <c r="O23" s="59">
        <v>50000</v>
      </c>
      <c r="P23" s="59">
        <v>50000</v>
      </c>
      <c r="Q23" s="59">
        <v>50000</v>
      </c>
      <c r="R23" s="59">
        <v>50000</v>
      </c>
      <c r="S23" s="59">
        <v>50000</v>
      </c>
      <c r="T23" s="59">
        <v>50000</v>
      </c>
      <c r="U23" s="59">
        <v>50000</v>
      </c>
      <c r="V23" s="59">
        <v>50000</v>
      </c>
      <c r="W23" s="59">
        <v>50000</v>
      </c>
      <c r="X23" s="59">
        <v>50000</v>
      </c>
      <c r="Y23" s="59">
        <v>50000</v>
      </c>
      <c r="Z23" s="59">
        <v>50000</v>
      </c>
      <c r="AA23" s="59">
        <f t="shared" si="0"/>
        <v>1200000</v>
      </c>
      <c r="AB23" s="54">
        <v>20</v>
      </c>
      <c r="AC23" s="59">
        <f t="shared" si="1"/>
        <v>24000000</v>
      </c>
      <c r="AD23" s="117">
        <f>+SUM(AC23:AC26)</f>
        <v>37200000</v>
      </c>
    </row>
    <row r="24" spans="1:30" x14ac:dyDescent="0.35">
      <c r="A24" s="115"/>
      <c r="B24" s="60" t="s">
        <v>40</v>
      </c>
      <c r="C24" s="59">
        <v>50000</v>
      </c>
      <c r="D24" s="59">
        <v>50000</v>
      </c>
      <c r="E24" s="59">
        <v>50000</v>
      </c>
      <c r="F24" s="59">
        <v>50000</v>
      </c>
      <c r="G24" s="59">
        <v>50000</v>
      </c>
      <c r="H24" s="59">
        <v>50000</v>
      </c>
      <c r="I24" s="59">
        <v>50000</v>
      </c>
      <c r="J24" s="59">
        <v>50000</v>
      </c>
      <c r="K24" s="59">
        <v>50000</v>
      </c>
      <c r="L24" s="59">
        <v>50000</v>
      </c>
      <c r="M24" s="59">
        <v>50000</v>
      </c>
      <c r="N24" s="59">
        <v>50000</v>
      </c>
      <c r="O24" s="59">
        <v>50000</v>
      </c>
      <c r="P24" s="59">
        <v>50000</v>
      </c>
      <c r="Q24" s="59">
        <v>50000</v>
      </c>
      <c r="R24" s="59">
        <v>50000</v>
      </c>
      <c r="S24" s="59">
        <v>50000</v>
      </c>
      <c r="T24" s="59">
        <v>50000</v>
      </c>
      <c r="U24" s="59">
        <v>50000</v>
      </c>
      <c r="V24" s="59">
        <v>50000</v>
      </c>
      <c r="W24" s="59">
        <v>50000</v>
      </c>
      <c r="X24" s="59">
        <v>50000</v>
      </c>
      <c r="Y24" s="59">
        <v>50000</v>
      </c>
      <c r="Z24" s="59">
        <v>50000</v>
      </c>
      <c r="AA24" s="59">
        <f t="shared" si="0"/>
        <v>1200000</v>
      </c>
      <c r="AB24" s="54">
        <v>5</v>
      </c>
      <c r="AC24" s="59">
        <f t="shared" si="1"/>
        <v>6000000</v>
      </c>
      <c r="AD24" s="118"/>
    </row>
    <row r="25" spans="1:30" x14ac:dyDescent="0.35">
      <c r="A25" s="115"/>
      <c r="B25" s="60" t="s">
        <v>41</v>
      </c>
      <c r="C25" s="59">
        <v>50000</v>
      </c>
      <c r="D25" s="59">
        <v>50000</v>
      </c>
      <c r="E25" s="59">
        <v>50000</v>
      </c>
      <c r="F25" s="59">
        <v>50000</v>
      </c>
      <c r="G25" s="59">
        <v>50000</v>
      </c>
      <c r="H25" s="59">
        <v>50000</v>
      </c>
      <c r="I25" s="59">
        <v>50000</v>
      </c>
      <c r="J25" s="59">
        <v>50000</v>
      </c>
      <c r="K25" s="59">
        <v>50000</v>
      </c>
      <c r="L25" s="59">
        <v>50000</v>
      </c>
      <c r="M25" s="59">
        <v>50000</v>
      </c>
      <c r="N25" s="59">
        <v>50000</v>
      </c>
      <c r="O25" s="59">
        <v>50000</v>
      </c>
      <c r="P25" s="59">
        <v>50000</v>
      </c>
      <c r="Q25" s="59">
        <v>50000</v>
      </c>
      <c r="R25" s="59">
        <v>50000</v>
      </c>
      <c r="S25" s="59">
        <v>50000</v>
      </c>
      <c r="T25" s="59">
        <v>50000</v>
      </c>
      <c r="U25" s="59">
        <v>50000</v>
      </c>
      <c r="V25" s="59">
        <v>50000</v>
      </c>
      <c r="W25" s="59">
        <v>50000</v>
      </c>
      <c r="X25" s="59">
        <v>50000</v>
      </c>
      <c r="Y25" s="59">
        <v>50000</v>
      </c>
      <c r="Z25" s="59">
        <v>50000</v>
      </c>
      <c r="AA25" s="59">
        <f t="shared" si="0"/>
        <v>1200000</v>
      </c>
      <c r="AB25" s="54">
        <v>4</v>
      </c>
      <c r="AC25" s="59">
        <f t="shared" si="1"/>
        <v>4800000</v>
      </c>
      <c r="AD25" s="118"/>
    </row>
    <row r="26" spans="1:30" x14ac:dyDescent="0.35">
      <c r="A26" s="116"/>
      <c r="B26" s="61" t="s">
        <v>42</v>
      </c>
      <c r="C26" s="59">
        <v>50000</v>
      </c>
      <c r="D26" s="59">
        <v>50000</v>
      </c>
      <c r="E26" s="59">
        <v>50000</v>
      </c>
      <c r="F26" s="59">
        <v>50000</v>
      </c>
      <c r="G26" s="59">
        <v>50000</v>
      </c>
      <c r="H26" s="59">
        <v>50000</v>
      </c>
      <c r="I26" s="59">
        <v>50000</v>
      </c>
      <c r="J26" s="59">
        <v>50000</v>
      </c>
      <c r="K26" s="59">
        <v>50000</v>
      </c>
      <c r="L26" s="59">
        <v>50000</v>
      </c>
      <c r="M26" s="59">
        <v>50000</v>
      </c>
      <c r="N26" s="59">
        <v>50000</v>
      </c>
      <c r="O26" s="59">
        <v>50000</v>
      </c>
      <c r="P26" s="59">
        <v>50000</v>
      </c>
      <c r="Q26" s="59">
        <v>50000</v>
      </c>
      <c r="R26" s="59">
        <v>50000</v>
      </c>
      <c r="S26" s="59">
        <v>50000</v>
      </c>
      <c r="T26" s="59">
        <v>50000</v>
      </c>
      <c r="U26" s="59">
        <v>50000</v>
      </c>
      <c r="V26" s="59">
        <v>50000</v>
      </c>
      <c r="W26" s="59">
        <v>50000</v>
      </c>
      <c r="X26" s="59">
        <v>50000</v>
      </c>
      <c r="Y26" s="59">
        <v>50000</v>
      </c>
      <c r="Z26" s="59">
        <v>50000</v>
      </c>
      <c r="AA26" s="59">
        <f t="shared" si="0"/>
        <v>1200000</v>
      </c>
      <c r="AB26" s="54">
        <v>2</v>
      </c>
      <c r="AC26" s="59">
        <f t="shared" si="1"/>
        <v>2400000</v>
      </c>
      <c r="AD26" s="119"/>
    </row>
    <row r="27" spans="1:30" x14ac:dyDescent="0.35">
      <c r="A27" s="114">
        <v>48000</v>
      </c>
      <c r="B27" s="58" t="s">
        <v>39</v>
      </c>
      <c r="C27" s="59">
        <v>50000</v>
      </c>
      <c r="D27" s="59">
        <v>50000</v>
      </c>
      <c r="E27" s="59">
        <v>50000</v>
      </c>
      <c r="F27" s="59">
        <v>50000</v>
      </c>
      <c r="G27" s="59">
        <v>50000</v>
      </c>
      <c r="H27" s="59">
        <v>50000</v>
      </c>
      <c r="I27" s="59">
        <v>50000</v>
      </c>
      <c r="J27" s="59">
        <v>50000</v>
      </c>
      <c r="K27" s="59">
        <v>50000</v>
      </c>
      <c r="L27" s="59">
        <v>50000</v>
      </c>
      <c r="M27" s="59">
        <v>50000</v>
      </c>
      <c r="N27" s="59">
        <v>50000</v>
      </c>
      <c r="O27" s="59">
        <v>50000</v>
      </c>
      <c r="P27" s="59">
        <v>50000</v>
      </c>
      <c r="Q27" s="59">
        <v>50000</v>
      </c>
      <c r="R27" s="59">
        <v>50000</v>
      </c>
      <c r="S27" s="59">
        <v>50000</v>
      </c>
      <c r="T27" s="59">
        <v>50000</v>
      </c>
      <c r="U27" s="59">
        <v>50000</v>
      </c>
      <c r="V27" s="59">
        <v>50000</v>
      </c>
      <c r="W27" s="59">
        <v>50000</v>
      </c>
      <c r="X27" s="59">
        <v>50000</v>
      </c>
      <c r="Y27" s="59">
        <v>50000</v>
      </c>
      <c r="Z27" s="59">
        <v>50000</v>
      </c>
      <c r="AA27" s="59">
        <f t="shared" si="0"/>
        <v>1200000</v>
      </c>
      <c r="AB27" s="54">
        <v>18</v>
      </c>
      <c r="AC27" s="59">
        <f t="shared" si="1"/>
        <v>21600000</v>
      </c>
      <c r="AD27" s="117">
        <f>+SUM(AC27:AC30)</f>
        <v>36000000</v>
      </c>
    </row>
    <row r="28" spans="1:30" x14ac:dyDescent="0.35">
      <c r="A28" s="115"/>
      <c r="B28" s="60" t="s">
        <v>40</v>
      </c>
      <c r="C28" s="59">
        <v>50000</v>
      </c>
      <c r="D28" s="59">
        <v>50000</v>
      </c>
      <c r="E28" s="59">
        <v>50000</v>
      </c>
      <c r="F28" s="59">
        <v>50000</v>
      </c>
      <c r="G28" s="59">
        <v>50000</v>
      </c>
      <c r="H28" s="59">
        <v>50000</v>
      </c>
      <c r="I28" s="59">
        <v>50000</v>
      </c>
      <c r="J28" s="59">
        <v>50000</v>
      </c>
      <c r="K28" s="59">
        <v>50000</v>
      </c>
      <c r="L28" s="59">
        <v>50000</v>
      </c>
      <c r="M28" s="59">
        <v>50000</v>
      </c>
      <c r="N28" s="59">
        <v>50000</v>
      </c>
      <c r="O28" s="59">
        <v>50000</v>
      </c>
      <c r="P28" s="59">
        <v>50000</v>
      </c>
      <c r="Q28" s="59">
        <v>50000</v>
      </c>
      <c r="R28" s="59">
        <v>50000</v>
      </c>
      <c r="S28" s="59">
        <v>50000</v>
      </c>
      <c r="T28" s="59">
        <v>50000</v>
      </c>
      <c r="U28" s="59">
        <v>50000</v>
      </c>
      <c r="V28" s="59">
        <v>50000</v>
      </c>
      <c r="W28" s="59">
        <v>50000</v>
      </c>
      <c r="X28" s="59">
        <v>50000</v>
      </c>
      <c r="Y28" s="59">
        <v>50000</v>
      </c>
      <c r="Z28" s="59">
        <v>50000</v>
      </c>
      <c r="AA28" s="59">
        <f t="shared" si="0"/>
        <v>1200000</v>
      </c>
      <c r="AB28" s="54">
        <v>4</v>
      </c>
      <c r="AC28" s="59">
        <f t="shared" si="1"/>
        <v>4800000</v>
      </c>
      <c r="AD28" s="118"/>
    </row>
    <row r="29" spans="1:30" x14ac:dyDescent="0.35">
      <c r="A29" s="115"/>
      <c r="B29" s="60" t="s">
        <v>41</v>
      </c>
      <c r="C29" s="59">
        <v>50000</v>
      </c>
      <c r="D29" s="59">
        <v>50000</v>
      </c>
      <c r="E29" s="59">
        <v>50000</v>
      </c>
      <c r="F29" s="59">
        <v>50000</v>
      </c>
      <c r="G29" s="59">
        <v>50000</v>
      </c>
      <c r="H29" s="59">
        <v>50000</v>
      </c>
      <c r="I29" s="59">
        <v>50000</v>
      </c>
      <c r="J29" s="59">
        <v>50000</v>
      </c>
      <c r="K29" s="59">
        <v>50000</v>
      </c>
      <c r="L29" s="59">
        <v>50000</v>
      </c>
      <c r="M29" s="59">
        <v>50000</v>
      </c>
      <c r="N29" s="59">
        <v>50000</v>
      </c>
      <c r="O29" s="59">
        <v>50000</v>
      </c>
      <c r="P29" s="59">
        <v>50000</v>
      </c>
      <c r="Q29" s="59">
        <v>50000</v>
      </c>
      <c r="R29" s="59">
        <v>50000</v>
      </c>
      <c r="S29" s="59">
        <v>50000</v>
      </c>
      <c r="T29" s="59">
        <v>50000</v>
      </c>
      <c r="U29" s="59">
        <v>50000</v>
      </c>
      <c r="V29" s="59">
        <v>50000</v>
      </c>
      <c r="W29" s="59">
        <v>50000</v>
      </c>
      <c r="X29" s="59">
        <v>50000</v>
      </c>
      <c r="Y29" s="59">
        <v>50000</v>
      </c>
      <c r="Z29" s="59">
        <v>50000</v>
      </c>
      <c r="AA29" s="59">
        <f t="shared" si="0"/>
        <v>1200000</v>
      </c>
      <c r="AB29" s="54">
        <v>5</v>
      </c>
      <c r="AC29" s="59">
        <f t="shared" si="1"/>
        <v>6000000</v>
      </c>
      <c r="AD29" s="118"/>
    </row>
    <row r="30" spans="1:30" x14ac:dyDescent="0.35">
      <c r="A30" s="116"/>
      <c r="B30" s="61" t="s">
        <v>42</v>
      </c>
      <c r="C30" s="59">
        <v>50000</v>
      </c>
      <c r="D30" s="59">
        <v>50000</v>
      </c>
      <c r="E30" s="59">
        <v>50000</v>
      </c>
      <c r="F30" s="59">
        <v>50000</v>
      </c>
      <c r="G30" s="59">
        <v>50000</v>
      </c>
      <c r="H30" s="59">
        <v>50000</v>
      </c>
      <c r="I30" s="59">
        <v>50000</v>
      </c>
      <c r="J30" s="59">
        <v>50000</v>
      </c>
      <c r="K30" s="59">
        <v>50000</v>
      </c>
      <c r="L30" s="59">
        <v>50000</v>
      </c>
      <c r="M30" s="59">
        <v>50000</v>
      </c>
      <c r="N30" s="59">
        <v>50000</v>
      </c>
      <c r="O30" s="59">
        <v>50000</v>
      </c>
      <c r="P30" s="59">
        <v>50000</v>
      </c>
      <c r="Q30" s="59">
        <v>50000</v>
      </c>
      <c r="R30" s="59">
        <v>50000</v>
      </c>
      <c r="S30" s="59">
        <v>50000</v>
      </c>
      <c r="T30" s="59">
        <v>50000</v>
      </c>
      <c r="U30" s="59">
        <v>50000</v>
      </c>
      <c r="V30" s="59">
        <v>50000</v>
      </c>
      <c r="W30" s="59">
        <v>50000</v>
      </c>
      <c r="X30" s="59">
        <v>50000</v>
      </c>
      <c r="Y30" s="59">
        <v>50000</v>
      </c>
      <c r="Z30" s="59">
        <v>50000</v>
      </c>
      <c r="AA30" s="59">
        <f t="shared" si="0"/>
        <v>1200000</v>
      </c>
      <c r="AB30" s="54">
        <v>3</v>
      </c>
      <c r="AC30" s="59">
        <f t="shared" si="1"/>
        <v>3600000</v>
      </c>
      <c r="AD30" s="119"/>
    </row>
    <row r="31" spans="1:30" x14ac:dyDescent="0.35">
      <c r="A31" s="114">
        <v>48030</v>
      </c>
      <c r="B31" s="58" t="s">
        <v>39</v>
      </c>
      <c r="C31" s="59">
        <v>50000</v>
      </c>
      <c r="D31" s="59">
        <v>50000</v>
      </c>
      <c r="E31" s="59">
        <v>50000</v>
      </c>
      <c r="F31" s="59">
        <v>50000</v>
      </c>
      <c r="G31" s="59">
        <v>50000</v>
      </c>
      <c r="H31" s="59">
        <v>50000</v>
      </c>
      <c r="I31" s="59">
        <v>50000</v>
      </c>
      <c r="J31" s="59">
        <v>50000</v>
      </c>
      <c r="K31" s="59">
        <v>50000</v>
      </c>
      <c r="L31" s="59">
        <v>50000</v>
      </c>
      <c r="M31" s="59">
        <v>50000</v>
      </c>
      <c r="N31" s="59">
        <v>50000</v>
      </c>
      <c r="O31" s="59">
        <v>50000</v>
      </c>
      <c r="P31" s="59">
        <v>50000</v>
      </c>
      <c r="Q31" s="59">
        <v>50000</v>
      </c>
      <c r="R31" s="59">
        <v>50000</v>
      </c>
      <c r="S31" s="59">
        <v>50000</v>
      </c>
      <c r="T31" s="59">
        <v>50000</v>
      </c>
      <c r="U31" s="59">
        <v>50000</v>
      </c>
      <c r="V31" s="59">
        <v>50000</v>
      </c>
      <c r="W31" s="59">
        <v>50000</v>
      </c>
      <c r="X31" s="59">
        <v>50000</v>
      </c>
      <c r="Y31" s="59">
        <v>50000</v>
      </c>
      <c r="Z31" s="59">
        <v>50000</v>
      </c>
      <c r="AA31" s="59">
        <f t="shared" si="0"/>
        <v>1200000</v>
      </c>
      <c r="AB31" s="54">
        <v>23</v>
      </c>
      <c r="AC31" s="59">
        <f t="shared" si="1"/>
        <v>27600000</v>
      </c>
      <c r="AD31" s="117">
        <f>+SUM(AC31:AC34)</f>
        <v>37200000</v>
      </c>
    </row>
    <row r="32" spans="1:30" x14ac:dyDescent="0.35">
      <c r="A32" s="115"/>
      <c r="B32" s="60" t="s">
        <v>40</v>
      </c>
      <c r="C32" s="59">
        <v>50000</v>
      </c>
      <c r="D32" s="59">
        <v>50000</v>
      </c>
      <c r="E32" s="59">
        <v>50000</v>
      </c>
      <c r="F32" s="59">
        <v>50000</v>
      </c>
      <c r="G32" s="59">
        <v>50000</v>
      </c>
      <c r="H32" s="59">
        <v>50000</v>
      </c>
      <c r="I32" s="59">
        <v>50000</v>
      </c>
      <c r="J32" s="59">
        <v>50000</v>
      </c>
      <c r="K32" s="59">
        <v>50000</v>
      </c>
      <c r="L32" s="59">
        <v>50000</v>
      </c>
      <c r="M32" s="59">
        <v>50000</v>
      </c>
      <c r="N32" s="59">
        <v>50000</v>
      </c>
      <c r="O32" s="59">
        <v>50000</v>
      </c>
      <c r="P32" s="59">
        <v>50000</v>
      </c>
      <c r="Q32" s="59">
        <v>50000</v>
      </c>
      <c r="R32" s="59">
        <v>50000</v>
      </c>
      <c r="S32" s="59">
        <v>50000</v>
      </c>
      <c r="T32" s="59">
        <v>50000</v>
      </c>
      <c r="U32" s="59">
        <v>50000</v>
      </c>
      <c r="V32" s="59">
        <v>50000</v>
      </c>
      <c r="W32" s="59">
        <v>50000</v>
      </c>
      <c r="X32" s="59">
        <v>50000</v>
      </c>
      <c r="Y32" s="59">
        <v>50000</v>
      </c>
      <c r="Z32" s="59">
        <v>50000</v>
      </c>
      <c r="AA32" s="59">
        <f t="shared" si="0"/>
        <v>1200000</v>
      </c>
      <c r="AB32" s="54">
        <v>4</v>
      </c>
      <c r="AC32" s="59">
        <f t="shared" si="1"/>
        <v>4800000</v>
      </c>
      <c r="AD32" s="118"/>
    </row>
    <row r="33" spans="1:30" x14ac:dyDescent="0.35">
      <c r="A33" s="115"/>
      <c r="B33" s="60" t="s">
        <v>41</v>
      </c>
      <c r="C33" s="59">
        <v>50000</v>
      </c>
      <c r="D33" s="59">
        <v>50000</v>
      </c>
      <c r="E33" s="59">
        <v>50000</v>
      </c>
      <c r="F33" s="59">
        <v>50000</v>
      </c>
      <c r="G33" s="59">
        <v>50000</v>
      </c>
      <c r="H33" s="59">
        <v>50000</v>
      </c>
      <c r="I33" s="59">
        <v>50000</v>
      </c>
      <c r="J33" s="59">
        <v>50000</v>
      </c>
      <c r="K33" s="59">
        <v>50000</v>
      </c>
      <c r="L33" s="59">
        <v>50000</v>
      </c>
      <c r="M33" s="59">
        <v>50000</v>
      </c>
      <c r="N33" s="59">
        <v>50000</v>
      </c>
      <c r="O33" s="59">
        <v>50000</v>
      </c>
      <c r="P33" s="59">
        <v>50000</v>
      </c>
      <c r="Q33" s="59">
        <v>50000</v>
      </c>
      <c r="R33" s="59">
        <v>50000</v>
      </c>
      <c r="S33" s="59">
        <v>50000</v>
      </c>
      <c r="T33" s="59">
        <v>50000</v>
      </c>
      <c r="U33" s="59">
        <v>50000</v>
      </c>
      <c r="V33" s="59">
        <v>50000</v>
      </c>
      <c r="W33" s="59">
        <v>50000</v>
      </c>
      <c r="X33" s="59">
        <v>50000</v>
      </c>
      <c r="Y33" s="59">
        <v>50000</v>
      </c>
      <c r="Z33" s="59">
        <v>50000</v>
      </c>
      <c r="AA33" s="59">
        <f t="shared" si="0"/>
        <v>1200000</v>
      </c>
      <c r="AB33" s="54">
        <v>4</v>
      </c>
      <c r="AC33" s="59">
        <f t="shared" si="1"/>
        <v>4800000</v>
      </c>
      <c r="AD33" s="118"/>
    </row>
    <row r="34" spans="1:30" x14ac:dyDescent="0.35">
      <c r="A34" s="116"/>
      <c r="B34" s="61" t="s">
        <v>42</v>
      </c>
      <c r="C34" s="59">
        <v>50000</v>
      </c>
      <c r="D34" s="59">
        <v>50000</v>
      </c>
      <c r="E34" s="59">
        <v>50000</v>
      </c>
      <c r="F34" s="59">
        <v>50000</v>
      </c>
      <c r="G34" s="59">
        <v>50000</v>
      </c>
      <c r="H34" s="59">
        <v>50000</v>
      </c>
      <c r="I34" s="59">
        <v>50000</v>
      </c>
      <c r="J34" s="59">
        <v>50000</v>
      </c>
      <c r="K34" s="59">
        <v>50000</v>
      </c>
      <c r="L34" s="59">
        <v>50000</v>
      </c>
      <c r="M34" s="59">
        <v>50000</v>
      </c>
      <c r="N34" s="59">
        <v>50000</v>
      </c>
      <c r="O34" s="59">
        <v>50000</v>
      </c>
      <c r="P34" s="59">
        <v>50000</v>
      </c>
      <c r="Q34" s="59">
        <v>50000</v>
      </c>
      <c r="R34" s="59">
        <v>50000</v>
      </c>
      <c r="S34" s="59">
        <v>50000</v>
      </c>
      <c r="T34" s="59">
        <v>50000</v>
      </c>
      <c r="U34" s="59">
        <v>50000</v>
      </c>
      <c r="V34" s="59">
        <v>50000</v>
      </c>
      <c r="W34" s="59">
        <v>50000</v>
      </c>
      <c r="X34" s="59">
        <v>50000</v>
      </c>
      <c r="Y34" s="59">
        <v>50000</v>
      </c>
      <c r="Z34" s="59">
        <v>50000</v>
      </c>
      <c r="AA34" s="59">
        <f t="shared" si="0"/>
        <v>1200000</v>
      </c>
      <c r="AB34" s="54">
        <v>0</v>
      </c>
      <c r="AC34" s="59">
        <f>+AA34*AB34</f>
        <v>0</v>
      </c>
      <c r="AD34" s="119"/>
    </row>
    <row r="35" spans="1:30" x14ac:dyDescent="0.35">
      <c r="A35" s="114">
        <v>48061</v>
      </c>
      <c r="B35" s="58" t="s">
        <v>39</v>
      </c>
      <c r="C35" s="59">
        <v>50000</v>
      </c>
      <c r="D35" s="59">
        <v>50000</v>
      </c>
      <c r="E35" s="59">
        <v>50000</v>
      </c>
      <c r="F35" s="59">
        <v>50000</v>
      </c>
      <c r="G35" s="59">
        <v>50000</v>
      </c>
      <c r="H35" s="59">
        <v>50000</v>
      </c>
      <c r="I35" s="59">
        <v>50000</v>
      </c>
      <c r="J35" s="59">
        <v>50000</v>
      </c>
      <c r="K35" s="59">
        <v>50000</v>
      </c>
      <c r="L35" s="59">
        <v>50000</v>
      </c>
      <c r="M35" s="59">
        <v>50000</v>
      </c>
      <c r="N35" s="59">
        <v>50000</v>
      </c>
      <c r="O35" s="59">
        <v>50000</v>
      </c>
      <c r="P35" s="59">
        <v>50000</v>
      </c>
      <c r="Q35" s="59">
        <v>50000</v>
      </c>
      <c r="R35" s="59">
        <v>50000</v>
      </c>
      <c r="S35" s="59">
        <v>50000</v>
      </c>
      <c r="T35" s="59">
        <v>50000</v>
      </c>
      <c r="U35" s="59">
        <v>50000</v>
      </c>
      <c r="V35" s="59">
        <v>50000</v>
      </c>
      <c r="W35" s="59">
        <v>50000</v>
      </c>
      <c r="X35" s="59">
        <v>50000</v>
      </c>
      <c r="Y35" s="59">
        <v>50000</v>
      </c>
      <c r="Z35" s="59">
        <v>50000</v>
      </c>
      <c r="AA35" s="59">
        <f t="shared" si="0"/>
        <v>1200000</v>
      </c>
      <c r="AB35" s="54">
        <v>19</v>
      </c>
      <c r="AC35" s="59">
        <f t="shared" si="1"/>
        <v>22800000</v>
      </c>
      <c r="AD35" s="117">
        <f>+SUM(AC35:AC38)</f>
        <v>37200000</v>
      </c>
    </row>
    <row r="36" spans="1:30" x14ac:dyDescent="0.35">
      <c r="A36" s="115"/>
      <c r="B36" s="60" t="s">
        <v>40</v>
      </c>
      <c r="C36" s="59">
        <v>50000</v>
      </c>
      <c r="D36" s="59">
        <v>50000</v>
      </c>
      <c r="E36" s="59">
        <v>50000</v>
      </c>
      <c r="F36" s="59">
        <v>50000</v>
      </c>
      <c r="G36" s="59">
        <v>50000</v>
      </c>
      <c r="H36" s="59">
        <v>50000</v>
      </c>
      <c r="I36" s="59">
        <v>50000</v>
      </c>
      <c r="J36" s="59">
        <v>50000</v>
      </c>
      <c r="K36" s="59">
        <v>50000</v>
      </c>
      <c r="L36" s="59">
        <v>50000</v>
      </c>
      <c r="M36" s="59">
        <v>50000</v>
      </c>
      <c r="N36" s="59">
        <v>50000</v>
      </c>
      <c r="O36" s="59">
        <v>50000</v>
      </c>
      <c r="P36" s="59">
        <v>50000</v>
      </c>
      <c r="Q36" s="59">
        <v>50000</v>
      </c>
      <c r="R36" s="59">
        <v>50000</v>
      </c>
      <c r="S36" s="59">
        <v>50000</v>
      </c>
      <c r="T36" s="59">
        <v>50000</v>
      </c>
      <c r="U36" s="59">
        <v>50000</v>
      </c>
      <c r="V36" s="59">
        <v>50000</v>
      </c>
      <c r="W36" s="59">
        <v>50000</v>
      </c>
      <c r="X36" s="59">
        <v>50000</v>
      </c>
      <c r="Y36" s="59">
        <v>50000</v>
      </c>
      <c r="Z36" s="59">
        <v>50000</v>
      </c>
      <c r="AA36" s="59">
        <f t="shared" si="0"/>
        <v>1200000</v>
      </c>
      <c r="AB36" s="54">
        <v>5</v>
      </c>
      <c r="AC36" s="59">
        <f t="shared" si="1"/>
        <v>6000000</v>
      </c>
      <c r="AD36" s="118"/>
    </row>
    <row r="37" spans="1:30" x14ac:dyDescent="0.35">
      <c r="A37" s="115"/>
      <c r="B37" s="60" t="s">
        <v>41</v>
      </c>
      <c r="C37" s="59">
        <v>50000</v>
      </c>
      <c r="D37" s="59">
        <v>50000</v>
      </c>
      <c r="E37" s="59">
        <v>50000</v>
      </c>
      <c r="F37" s="59">
        <v>50000</v>
      </c>
      <c r="G37" s="59">
        <v>50000</v>
      </c>
      <c r="H37" s="59">
        <v>50000</v>
      </c>
      <c r="I37" s="59">
        <v>50000</v>
      </c>
      <c r="J37" s="59">
        <v>50000</v>
      </c>
      <c r="K37" s="59">
        <v>50000</v>
      </c>
      <c r="L37" s="59">
        <v>50000</v>
      </c>
      <c r="M37" s="59">
        <v>50000</v>
      </c>
      <c r="N37" s="59">
        <v>50000</v>
      </c>
      <c r="O37" s="59">
        <v>50000</v>
      </c>
      <c r="P37" s="59">
        <v>50000</v>
      </c>
      <c r="Q37" s="59">
        <v>50000</v>
      </c>
      <c r="R37" s="59">
        <v>50000</v>
      </c>
      <c r="S37" s="59">
        <v>50000</v>
      </c>
      <c r="T37" s="59">
        <v>50000</v>
      </c>
      <c r="U37" s="59">
        <v>50000</v>
      </c>
      <c r="V37" s="59">
        <v>50000</v>
      </c>
      <c r="W37" s="59">
        <v>50000</v>
      </c>
      <c r="X37" s="59">
        <v>50000</v>
      </c>
      <c r="Y37" s="59">
        <v>50000</v>
      </c>
      <c r="Z37" s="59">
        <v>50000</v>
      </c>
      <c r="AA37" s="59">
        <f t="shared" si="0"/>
        <v>1200000</v>
      </c>
      <c r="AB37" s="54">
        <v>5</v>
      </c>
      <c r="AC37" s="59">
        <f t="shared" si="1"/>
        <v>6000000</v>
      </c>
      <c r="AD37" s="118"/>
    </row>
    <row r="38" spans="1:30" x14ac:dyDescent="0.35">
      <c r="A38" s="116"/>
      <c r="B38" s="61" t="s">
        <v>42</v>
      </c>
      <c r="C38" s="59">
        <v>50000</v>
      </c>
      <c r="D38" s="59">
        <v>50000</v>
      </c>
      <c r="E38" s="59">
        <v>50000</v>
      </c>
      <c r="F38" s="59">
        <v>50000</v>
      </c>
      <c r="G38" s="59">
        <v>50000</v>
      </c>
      <c r="H38" s="59">
        <v>50000</v>
      </c>
      <c r="I38" s="59">
        <v>50000</v>
      </c>
      <c r="J38" s="59">
        <v>50000</v>
      </c>
      <c r="K38" s="59">
        <v>50000</v>
      </c>
      <c r="L38" s="59">
        <v>50000</v>
      </c>
      <c r="M38" s="59">
        <v>50000</v>
      </c>
      <c r="N38" s="59">
        <v>50000</v>
      </c>
      <c r="O38" s="59">
        <v>50000</v>
      </c>
      <c r="P38" s="59">
        <v>50000</v>
      </c>
      <c r="Q38" s="59">
        <v>50000</v>
      </c>
      <c r="R38" s="59">
        <v>50000</v>
      </c>
      <c r="S38" s="59">
        <v>50000</v>
      </c>
      <c r="T38" s="59">
        <v>50000</v>
      </c>
      <c r="U38" s="59">
        <v>50000</v>
      </c>
      <c r="V38" s="59">
        <v>50000</v>
      </c>
      <c r="W38" s="59">
        <v>50000</v>
      </c>
      <c r="X38" s="59">
        <v>50000</v>
      </c>
      <c r="Y38" s="59">
        <v>50000</v>
      </c>
      <c r="Z38" s="59">
        <v>50000</v>
      </c>
      <c r="AA38" s="59">
        <f t="shared" si="0"/>
        <v>1200000</v>
      </c>
      <c r="AB38" s="54">
        <v>2</v>
      </c>
      <c r="AC38" s="59">
        <f t="shared" si="1"/>
        <v>2400000</v>
      </c>
      <c r="AD38" s="119"/>
    </row>
    <row r="39" spans="1:30" x14ac:dyDescent="0.35">
      <c r="A39" s="114">
        <v>48092</v>
      </c>
      <c r="B39" s="58" t="s">
        <v>39</v>
      </c>
      <c r="C39" s="59">
        <v>50000</v>
      </c>
      <c r="D39" s="59">
        <v>50000</v>
      </c>
      <c r="E39" s="59">
        <v>50000</v>
      </c>
      <c r="F39" s="59">
        <v>50000</v>
      </c>
      <c r="G39" s="59">
        <v>50000</v>
      </c>
      <c r="H39" s="59">
        <v>50000</v>
      </c>
      <c r="I39" s="59">
        <v>50000</v>
      </c>
      <c r="J39" s="59">
        <v>50000</v>
      </c>
      <c r="K39" s="59">
        <v>50000</v>
      </c>
      <c r="L39" s="59">
        <v>50000</v>
      </c>
      <c r="M39" s="59">
        <v>50000</v>
      </c>
      <c r="N39" s="59">
        <v>50000</v>
      </c>
      <c r="O39" s="59">
        <v>50000</v>
      </c>
      <c r="P39" s="59">
        <v>50000</v>
      </c>
      <c r="Q39" s="59">
        <v>50000</v>
      </c>
      <c r="R39" s="59">
        <v>50000</v>
      </c>
      <c r="S39" s="59">
        <v>50000</v>
      </c>
      <c r="T39" s="59">
        <v>50000</v>
      </c>
      <c r="U39" s="59">
        <v>50000</v>
      </c>
      <c r="V39" s="59">
        <v>50000</v>
      </c>
      <c r="W39" s="59">
        <v>50000</v>
      </c>
      <c r="X39" s="59">
        <v>50000</v>
      </c>
      <c r="Y39" s="59">
        <v>50000</v>
      </c>
      <c r="Z39" s="59">
        <v>50000</v>
      </c>
      <c r="AA39" s="59">
        <f t="shared" si="0"/>
        <v>1200000</v>
      </c>
      <c r="AB39" s="54">
        <v>22</v>
      </c>
      <c r="AC39" s="59">
        <f t="shared" si="1"/>
        <v>26400000</v>
      </c>
      <c r="AD39" s="117">
        <f>+SUM(AC39:AC42)</f>
        <v>36000000</v>
      </c>
    </row>
    <row r="40" spans="1:30" x14ac:dyDescent="0.35">
      <c r="A40" s="115"/>
      <c r="B40" s="60" t="s">
        <v>40</v>
      </c>
      <c r="C40" s="59">
        <v>50000</v>
      </c>
      <c r="D40" s="59">
        <v>50000</v>
      </c>
      <c r="E40" s="59">
        <v>50000</v>
      </c>
      <c r="F40" s="59">
        <v>50000</v>
      </c>
      <c r="G40" s="59">
        <v>50000</v>
      </c>
      <c r="H40" s="59">
        <v>50000</v>
      </c>
      <c r="I40" s="59">
        <v>50000</v>
      </c>
      <c r="J40" s="59">
        <v>50000</v>
      </c>
      <c r="K40" s="59">
        <v>50000</v>
      </c>
      <c r="L40" s="59">
        <v>50000</v>
      </c>
      <c r="M40" s="59">
        <v>50000</v>
      </c>
      <c r="N40" s="59">
        <v>50000</v>
      </c>
      <c r="O40" s="59">
        <v>50000</v>
      </c>
      <c r="P40" s="59">
        <v>50000</v>
      </c>
      <c r="Q40" s="59">
        <v>50000</v>
      </c>
      <c r="R40" s="59">
        <v>50000</v>
      </c>
      <c r="S40" s="59">
        <v>50000</v>
      </c>
      <c r="T40" s="59">
        <v>50000</v>
      </c>
      <c r="U40" s="59">
        <v>50000</v>
      </c>
      <c r="V40" s="59">
        <v>50000</v>
      </c>
      <c r="W40" s="59">
        <v>50000</v>
      </c>
      <c r="X40" s="59">
        <v>50000</v>
      </c>
      <c r="Y40" s="59">
        <v>50000</v>
      </c>
      <c r="Z40" s="59">
        <v>50000</v>
      </c>
      <c r="AA40" s="59">
        <f t="shared" si="0"/>
        <v>1200000</v>
      </c>
      <c r="AB40" s="54">
        <v>4</v>
      </c>
      <c r="AC40" s="59">
        <f t="shared" si="1"/>
        <v>4800000</v>
      </c>
      <c r="AD40" s="118"/>
    </row>
    <row r="41" spans="1:30" x14ac:dyDescent="0.35">
      <c r="A41" s="115"/>
      <c r="B41" s="60" t="s">
        <v>41</v>
      </c>
      <c r="C41" s="59">
        <v>50000</v>
      </c>
      <c r="D41" s="59">
        <v>50000</v>
      </c>
      <c r="E41" s="59">
        <v>50000</v>
      </c>
      <c r="F41" s="59">
        <v>50000</v>
      </c>
      <c r="G41" s="59">
        <v>50000</v>
      </c>
      <c r="H41" s="59">
        <v>50000</v>
      </c>
      <c r="I41" s="59">
        <v>50000</v>
      </c>
      <c r="J41" s="59">
        <v>50000</v>
      </c>
      <c r="K41" s="59">
        <v>50000</v>
      </c>
      <c r="L41" s="59">
        <v>50000</v>
      </c>
      <c r="M41" s="59">
        <v>50000</v>
      </c>
      <c r="N41" s="59">
        <v>50000</v>
      </c>
      <c r="O41" s="59">
        <v>50000</v>
      </c>
      <c r="P41" s="59">
        <v>50000</v>
      </c>
      <c r="Q41" s="59">
        <v>50000</v>
      </c>
      <c r="R41" s="59">
        <v>50000</v>
      </c>
      <c r="S41" s="59">
        <v>50000</v>
      </c>
      <c r="T41" s="59">
        <v>50000</v>
      </c>
      <c r="U41" s="59">
        <v>50000</v>
      </c>
      <c r="V41" s="59">
        <v>50000</v>
      </c>
      <c r="W41" s="59">
        <v>50000</v>
      </c>
      <c r="X41" s="59">
        <v>50000</v>
      </c>
      <c r="Y41" s="59">
        <v>50000</v>
      </c>
      <c r="Z41" s="59">
        <v>50000</v>
      </c>
      <c r="AA41" s="59">
        <f t="shared" si="0"/>
        <v>1200000</v>
      </c>
      <c r="AB41" s="54">
        <v>4</v>
      </c>
      <c r="AC41" s="59">
        <f t="shared" si="1"/>
        <v>4800000</v>
      </c>
      <c r="AD41" s="118"/>
    </row>
    <row r="42" spans="1:30" x14ac:dyDescent="0.35">
      <c r="A42" s="116"/>
      <c r="B42" s="61" t="s">
        <v>42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>
        <f t="shared" si="0"/>
        <v>0</v>
      </c>
      <c r="AB42" s="54">
        <v>0</v>
      </c>
      <c r="AC42" s="59">
        <f t="shared" si="1"/>
        <v>0</v>
      </c>
      <c r="AD42" s="119"/>
    </row>
    <row r="43" spans="1:30" x14ac:dyDescent="0.35">
      <c r="A43" s="114">
        <v>48122</v>
      </c>
      <c r="B43" s="58" t="s">
        <v>39</v>
      </c>
      <c r="C43" s="59">
        <v>50000</v>
      </c>
      <c r="D43" s="59">
        <v>50000</v>
      </c>
      <c r="E43" s="59">
        <v>50000</v>
      </c>
      <c r="F43" s="59">
        <v>50000</v>
      </c>
      <c r="G43" s="59">
        <v>50000</v>
      </c>
      <c r="H43" s="59">
        <v>50000</v>
      </c>
      <c r="I43" s="59">
        <v>50000</v>
      </c>
      <c r="J43" s="59">
        <v>50000</v>
      </c>
      <c r="K43" s="59">
        <v>50000</v>
      </c>
      <c r="L43" s="59">
        <v>50000</v>
      </c>
      <c r="M43" s="59">
        <v>50000</v>
      </c>
      <c r="N43" s="59">
        <v>50000</v>
      </c>
      <c r="O43" s="59">
        <v>50000</v>
      </c>
      <c r="P43" s="59">
        <v>50000</v>
      </c>
      <c r="Q43" s="59">
        <v>50000</v>
      </c>
      <c r="R43" s="59">
        <v>50000</v>
      </c>
      <c r="S43" s="59">
        <v>50000</v>
      </c>
      <c r="T43" s="59">
        <v>50000</v>
      </c>
      <c r="U43" s="59">
        <v>50000</v>
      </c>
      <c r="V43" s="59">
        <v>50000</v>
      </c>
      <c r="W43" s="59">
        <v>50000</v>
      </c>
      <c r="X43" s="59">
        <v>50000</v>
      </c>
      <c r="Y43" s="59">
        <v>50000</v>
      </c>
      <c r="Z43" s="59">
        <v>50000</v>
      </c>
      <c r="AA43" s="59">
        <f t="shared" si="0"/>
        <v>1200000</v>
      </c>
      <c r="AB43" s="54">
        <v>22</v>
      </c>
      <c r="AC43" s="59">
        <f t="shared" si="1"/>
        <v>26400000</v>
      </c>
      <c r="AD43" s="117">
        <f>+SUM(AC43:AC46)</f>
        <v>37200000</v>
      </c>
    </row>
    <row r="44" spans="1:30" x14ac:dyDescent="0.35">
      <c r="A44" s="115"/>
      <c r="B44" s="60" t="s">
        <v>40</v>
      </c>
      <c r="C44" s="59">
        <v>50000</v>
      </c>
      <c r="D44" s="59">
        <v>50000</v>
      </c>
      <c r="E44" s="59">
        <v>50000</v>
      </c>
      <c r="F44" s="59">
        <v>50000</v>
      </c>
      <c r="G44" s="59">
        <v>50000</v>
      </c>
      <c r="H44" s="59">
        <v>50000</v>
      </c>
      <c r="I44" s="59">
        <v>50000</v>
      </c>
      <c r="J44" s="59">
        <v>50000</v>
      </c>
      <c r="K44" s="59">
        <v>50000</v>
      </c>
      <c r="L44" s="59">
        <v>50000</v>
      </c>
      <c r="M44" s="59">
        <v>50000</v>
      </c>
      <c r="N44" s="59">
        <v>50000</v>
      </c>
      <c r="O44" s="59">
        <v>50000</v>
      </c>
      <c r="P44" s="59">
        <v>50000</v>
      </c>
      <c r="Q44" s="59">
        <v>50000</v>
      </c>
      <c r="R44" s="59">
        <v>50000</v>
      </c>
      <c r="S44" s="59">
        <v>50000</v>
      </c>
      <c r="T44" s="59">
        <v>50000</v>
      </c>
      <c r="U44" s="59">
        <v>50000</v>
      </c>
      <c r="V44" s="59">
        <v>50000</v>
      </c>
      <c r="W44" s="59">
        <v>50000</v>
      </c>
      <c r="X44" s="59">
        <v>50000</v>
      </c>
      <c r="Y44" s="59">
        <v>50000</v>
      </c>
      <c r="Z44" s="59">
        <v>50000</v>
      </c>
      <c r="AA44" s="59">
        <f t="shared" si="0"/>
        <v>1200000</v>
      </c>
      <c r="AB44" s="54">
        <v>4</v>
      </c>
      <c r="AC44" s="59">
        <f t="shared" si="1"/>
        <v>4800000</v>
      </c>
      <c r="AD44" s="118"/>
    </row>
    <row r="45" spans="1:30" x14ac:dyDescent="0.35">
      <c r="A45" s="115"/>
      <c r="B45" s="60" t="s">
        <v>41</v>
      </c>
      <c r="C45" s="59">
        <v>50000</v>
      </c>
      <c r="D45" s="59">
        <v>50000</v>
      </c>
      <c r="E45" s="59">
        <v>50000</v>
      </c>
      <c r="F45" s="59">
        <v>50000</v>
      </c>
      <c r="G45" s="59">
        <v>50000</v>
      </c>
      <c r="H45" s="59">
        <v>50000</v>
      </c>
      <c r="I45" s="59">
        <v>50000</v>
      </c>
      <c r="J45" s="59">
        <v>50000</v>
      </c>
      <c r="K45" s="59">
        <v>50000</v>
      </c>
      <c r="L45" s="59">
        <v>50000</v>
      </c>
      <c r="M45" s="59">
        <v>50000</v>
      </c>
      <c r="N45" s="59">
        <v>50000</v>
      </c>
      <c r="O45" s="59">
        <v>50000</v>
      </c>
      <c r="P45" s="59">
        <v>50000</v>
      </c>
      <c r="Q45" s="59">
        <v>50000</v>
      </c>
      <c r="R45" s="59">
        <v>50000</v>
      </c>
      <c r="S45" s="59">
        <v>50000</v>
      </c>
      <c r="T45" s="59">
        <v>50000</v>
      </c>
      <c r="U45" s="59">
        <v>50000</v>
      </c>
      <c r="V45" s="59">
        <v>50000</v>
      </c>
      <c r="W45" s="59">
        <v>50000</v>
      </c>
      <c r="X45" s="59">
        <v>50000</v>
      </c>
      <c r="Y45" s="59">
        <v>50000</v>
      </c>
      <c r="Z45" s="59">
        <v>50000</v>
      </c>
      <c r="AA45" s="59">
        <f t="shared" si="0"/>
        <v>1200000</v>
      </c>
      <c r="AB45" s="54">
        <v>4</v>
      </c>
      <c r="AC45" s="59">
        <f t="shared" si="1"/>
        <v>4800000</v>
      </c>
      <c r="AD45" s="118"/>
    </row>
    <row r="46" spans="1:30" x14ac:dyDescent="0.35">
      <c r="A46" s="116"/>
      <c r="B46" s="61" t="s">
        <v>42</v>
      </c>
      <c r="C46" s="59">
        <v>50000</v>
      </c>
      <c r="D46" s="59">
        <v>50000</v>
      </c>
      <c r="E46" s="59">
        <v>50000</v>
      </c>
      <c r="F46" s="59">
        <v>50000</v>
      </c>
      <c r="G46" s="59">
        <v>50000</v>
      </c>
      <c r="H46" s="59">
        <v>50000</v>
      </c>
      <c r="I46" s="59">
        <v>50000</v>
      </c>
      <c r="J46" s="59">
        <v>50000</v>
      </c>
      <c r="K46" s="59">
        <v>50000</v>
      </c>
      <c r="L46" s="59">
        <v>50000</v>
      </c>
      <c r="M46" s="59">
        <v>50000</v>
      </c>
      <c r="N46" s="59">
        <v>50000</v>
      </c>
      <c r="O46" s="59">
        <v>50000</v>
      </c>
      <c r="P46" s="59">
        <v>50000</v>
      </c>
      <c r="Q46" s="59">
        <v>50000</v>
      </c>
      <c r="R46" s="59">
        <v>50000</v>
      </c>
      <c r="S46" s="59">
        <v>50000</v>
      </c>
      <c r="T46" s="59">
        <v>50000</v>
      </c>
      <c r="U46" s="59">
        <v>50000</v>
      </c>
      <c r="V46" s="59">
        <v>50000</v>
      </c>
      <c r="W46" s="59">
        <v>50000</v>
      </c>
      <c r="X46" s="59">
        <v>50000</v>
      </c>
      <c r="Y46" s="59">
        <v>50000</v>
      </c>
      <c r="Z46" s="59">
        <v>50000</v>
      </c>
      <c r="AA46" s="59">
        <f t="shared" si="0"/>
        <v>1200000</v>
      </c>
      <c r="AB46" s="54">
        <v>1</v>
      </c>
      <c r="AC46" s="59">
        <f t="shared" si="1"/>
        <v>1200000</v>
      </c>
      <c r="AD46" s="119"/>
    </row>
    <row r="47" spans="1:30" x14ac:dyDescent="0.35">
      <c r="A47" s="77">
        <v>48153</v>
      </c>
      <c r="B47" s="13" t="s">
        <v>39</v>
      </c>
      <c r="C47" s="59">
        <v>50000</v>
      </c>
      <c r="D47" s="59">
        <v>50000</v>
      </c>
      <c r="E47" s="59">
        <v>50000</v>
      </c>
      <c r="F47" s="59">
        <v>50000</v>
      </c>
      <c r="G47" s="59">
        <v>50000</v>
      </c>
      <c r="H47" s="59">
        <v>50000</v>
      </c>
      <c r="I47" s="59">
        <v>50000</v>
      </c>
      <c r="J47" s="59">
        <v>50000</v>
      </c>
      <c r="K47" s="59">
        <v>50000</v>
      </c>
      <c r="L47" s="59">
        <v>50000</v>
      </c>
      <c r="M47" s="59">
        <v>50000</v>
      </c>
      <c r="N47" s="59">
        <v>50000</v>
      </c>
      <c r="O47" s="59">
        <v>50000</v>
      </c>
      <c r="P47" s="59">
        <v>50000</v>
      </c>
      <c r="Q47" s="59">
        <v>50000</v>
      </c>
      <c r="R47" s="59">
        <v>50000</v>
      </c>
      <c r="S47" s="59">
        <v>50000</v>
      </c>
      <c r="T47" s="59">
        <v>50000</v>
      </c>
      <c r="U47" s="59">
        <v>50000</v>
      </c>
      <c r="V47" s="59">
        <v>50000</v>
      </c>
      <c r="W47" s="59">
        <v>50000</v>
      </c>
      <c r="X47" s="59">
        <v>50000</v>
      </c>
      <c r="Y47" s="59">
        <v>50000</v>
      </c>
      <c r="Z47" s="59">
        <v>50000</v>
      </c>
      <c r="AA47" s="15">
        <f t="shared" si="0"/>
        <v>1200000</v>
      </c>
      <c r="AB47" s="16">
        <v>18</v>
      </c>
      <c r="AC47" s="15">
        <f t="shared" si="1"/>
        <v>21600000</v>
      </c>
      <c r="AD47" s="111">
        <f>+SUM(AC47:AC50)</f>
        <v>36000000</v>
      </c>
    </row>
    <row r="48" spans="1:30" x14ac:dyDescent="0.35">
      <c r="A48" s="78"/>
      <c r="B48" s="17" t="s">
        <v>40</v>
      </c>
      <c r="C48" s="59">
        <v>50000</v>
      </c>
      <c r="D48" s="59">
        <v>50000</v>
      </c>
      <c r="E48" s="59">
        <v>50000</v>
      </c>
      <c r="F48" s="59">
        <v>50000</v>
      </c>
      <c r="G48" s="59">
        <v>50000</v>
      </c>
      <c r="H48" s="59">
        <v>50000</v>
      </c>
      <c r="I48" s="59">
        <v>50000</v>
      </c>
      <c r="J48" s="59">
        <v>50000</v>
      </c>
      <c r="K48" s="59">
        <v>50000</v>
      </c>
      <c r="L48" s="59">
        <v>50000</v>
      </c>
      <c r="M48" s="59">
        <v>50000</v>
      </c>
      <c r="N48" s="59">
        <v>50000</v>
      </c>
      <c r="O48" s="59">
        <v>50000</v>
      </c>
      <c r="P48" s="59">
        <v>50000</v>
      </c>
      <c r="Q48" s="59">
        <v>50000</v>
      </c>
      <c r="R48" s="59">
        <v>50000</v>
      </c>
      <c r="S48" s="59">
        <v>50000</v>
      </c>
      <c r="T48" s="59">
        <v>50000</v>
      </c>
      <c r="U48" s="59">
        <v>50000</v>
      </c>
      <c r="V48" s="59">
        <v>50000</v>
      </c>
      <c r="W48" s="59">
        <v>50000</v>
      </c>
      <c r="X48" s="59">
        <v>50000</v>
      </c>
      <c r="Y48" s="59">
        <v>50000</v>
      </c>
      <c r="Z48" s="59">
        <v>50000</v>
      </c>
      <c r="AA48" s="15">
        <f t="shared" si="0"/>
        <v>1200000</v>
      </c>
      <c r="AB48" s="16">
        <v>5</v>
      </c>
      <c r="AC48" s="15">
        <f t="shared" si="1"/>
        <v>6000000</v>
      </c>
      <c r="AD48" s="112"/>
    </row>
    <row r="49" spans="1:30" x14ac:dyDescent="0.35">
      <c r="A49" s="78"/>
      <c r="B49" s="17" t="s">
        <v>41</v>
      </c>
      <c r="C49" s="59">
        <v>50000</v>
      </c>
      <c r="D49" s="59">
        <v>50000</v>
      </c>
      <c r="E49" s="59">
        <v>50000</v>
      </c>
      <c r="F49" s="59">
        <v>50000</v>
      </c>
      <c r="G49" s="59">
        <v>50000</v>
      </c>
      <c r="H49" s="59">
        <v>50000</v>
      </c>
      <c r="I49" s="59">
        <v>50000</v>
      </c>
      <c r="J49" s="59">
        <v>50000</v>
      </c>
      <c r="K49" s="59">
        <v>50000</v>
      </c>
      <c r="L49" s="59">
        <v>50000</v>
      </c>
      <c r="M49" s="59">
        <v>50000</v>
      </c>
      <c r="N49" s="59">
        <v>50000</v>
      </c>
      <c r="O49" s="59">
        <v>50000</v>
      </c>
      <c r="P49" s="59">
        <v>50000</v>
      </c>
      <c r="Q49" s="59">
        <v>50000</v>
      </c>
      <c r="R49" s="59">
        <v>50000</v>
      </c>
      <c r="S49" s="59">
        <v>50000</v>
      </c>
      <c r="T49" s="59">
        <v>50000</v>
      </c>
      <c r="U49" s="59">
        <v>50000</v>
      </c>
      <c r="V49" s="59">
        <v>50000</v>
      </c>
      <c r="W49" s="59">
        <v>50000</v>
      </c>
      <c r="X49" s="59">
        <v>50000</v>
      </c>
      <c r="Y49" s="59">
        <v>50000</v>
      </c>
      <c r="Z49" s="59">
        <v>50000</v>
      </c>
      <c r="AA49" s="15">
        <f t="shared" si="0"/>
        <v>1200000</v>
      </c>
      <c r="AB49" s="16">
        <v>5</v>
      </c>
      <c r="AC49" s="15">
        <f t="shared" si="1"/>
        <v>6000000</v>
      </c>
      <c r="AD49" s="112"/>
    </row>
    <row r="50" spans="1:30" x14ac:dyDescent="0.35">
      <c r="A50" s="79"/>
      <c r="B50" s="18" t="s">
        <v>42</v>
      </c>
      <c r="C50" s="59">
        <v>50000</v>
      </c>
      <c r="D50" s="59">
        <v>50000</v>
      </c>
      <c r="E50" s="59">
        <v>50000</v>
      </c>
      <c r="F50" s="59">
        <v>50000</v>
      </c>
      <c r="G50" s="59">
        <v>50000</v>
      </c>
      <c r="H50" s="59">
        <v>50000</v>
      </c>
      <c r="I50" s="59">
        <v>50000</v>
      </c>
      <c r="J50" s="59">
        <v>50000</v>
      </c>
      <c r="K50" s="59">
        <v>50000</v>
      </c>
      <c r="L50" s="59">
        <v>50000</v>
      </c>
      <c r="M50" s="59">
        <v>50000</v>
      </c>
      <c r="N50" s="59">
        <v>50000</v>
      </c>
      <c r="O50" s="59">
        <v>50000</v>
      </c>
      <c r="P50" s="59">
        <v>50000</v>
      </c>
      <c r="Q50" s="59">
        <v>50000</v>
      </c>
      <c r="R50" s="59">
        <v>50000</v>
      </c>
      <c r="S50" s="59">
        <v>50000</v>
      </c>
      <c r="T50" s="59">
        <v>50000</v>
      </c>
      <c r="U50" s="59">
        <v>50000</v>
      </c>
      <c r="V50" s="59">
        <v>50000</v>
      </c>
      <c r="W50" s="59">
        <v>50000</v>
      </c>
      <c r="X50" s="59">
        <v>50000</v>
      </c>
      <c r="Y50" s="59">
        <v>50000</v>
      </c>
      <c r="Z50" s="59">
        <v>50000</v>
      </c>
      <c r="AA50" s="15">
        <f t="shared" si="0"/>
        <v>1200000</v>
      </c>
      <c r="AB50" s="16">
        <v>2</v>
      </c>
      <c r="AC50" s="15">
        <f t="shared" si="1"/>
        <v>2400000</v>
      </c>
      <c r="AD50" s="113"/>
    </row>
    <row r="51" spans="1:30" x14ac:dyDescent="0.35">
      <c r="A51" s="77">
        <v>48183</v>
      </c>
      <c r="B51" s="13" t="s">
        <v>39</v>
      </c>
      <c r="C51" s="59">
        <v>50000</v>
      </c>
      <c r="D51" s="59">
        <v>50000</v>
      </c>
      <c r="E51" s="59">
        <v>50000</v>
      </c>
      <c r="F51" s="59">
        <v>50000</v>
      </c>
      <c r="G51" s="59">
        <v>50000</v>
      </c>
      <c r="H51" s="59">
        <v>50000</v>
      </c>
      <c r="I51" s="59">
        <v>50000</v>
      </c>
      <c r="J51" s="59">
        <v>50000</v>
      </c>
      <c r="K51" s="59">
        <v>50000</v>
      </c>
      <c r="L51" s="59">
        <v>50000</v>
      </c>
      <c r="M51" s="59">
        <v>50000</v>
      </c>
      <c r="N51" s="59">
        <v>50000</v>
      </c>
      <c r="O51" s="59">
        <v>50000</v>
      </c>
      <c r="P51" s="59">
        <v>50000</v>
      </c>
      <c r="Q51" s="59">
        <v>50000</v>
      </c>
      <c r="R51" s="59">
        <v>50000</v>
      </c>
      <c r="S51" s="59">
        <v>50000</v>
      </c>
      <c r="T51" s="59">
        <v>50000</v>
      </c>
      <c r="U51" s="59">
        <v>50000</v>
      </c>
      <c r="V51" s="59">
        <v>50000</v>
      </c>
      <c r="W51" s="59">
        <v>50000</v>
      </c>
      <c r="X51" s="59">
        <v>50000</v>
      </c>
      <c r="Y51" s="59">
        <v>50000</v>
      </c>
      <c r="Z51" s="59">
        <v>50000</v>
      </c>
      <c r="AA51" s="15">
        <f t="shared" si="0"/>
        <v>1200000</v>
      </c>
      <c r="AB51" s="16">
        <v>21</v>
      </c>
      <c r="AC51" s="15">
        <f t="shared" si="1"/>
        <v>25200000</v>
      </c>
      <c r="AD51" s="111">
        <f>+SUM(AC51:AC54)</f>
        <v>37200000</v>
      </c>
    </row>
    <row r="52" spans="1:30" x14ac:dyDescent="0.35">
      <c r="A52" s="78"/>
      <c r="B52" s="17" t="s">
        <v>40</v>
      </c>
      <c r="C52" s="59">
        <v>50000</v>
      </c>
      <c r="D52" s="59">
        <v>50000</v>
      </c>
      <c r="E52" s="59">
        <v>50000</v>
      </c>
      <c r="F52" s="59">
        <v>50000</v>
      </c>
      <c r="G52" s="59">
        <v>50000</v>
      </c>
      <c r="H52" s="59">
        <v>50000</v>
      </c>
      <c r="I52" s="59">
        <v>50000</v>
      </c>
      <c r="J52" s="59">
        <v>50000</v>
      </c>
      <c r="K52" s="59">
        <v>50000</v>
      </c>
      <c r="L52" s="59">
        <v>50000</v>
      </c>
      <c r="M52" s="59">
        <v>50000</v>
      </c>
      <c r="N52" s="59">
        <v>50000</v>
      </c>
      <c r="O52" s="59">
        <v>50000</v>
      </c>
      <c r="P52" s="59">
        <v>50000</v>
      </c>
      <c r="Q52" s="59">
        <v>50000</v>
      </c>
      <c r="R52" s="59">
        <v>50000</v>
      </c>
      <c r="S52" s="59">
        <v>50000</v>
      </c>
      <c r="T52" s="59">
        <v>50000</v>
      </c>
      <c r="U52" s="59">
        <v>50000</v>
      </c>
      <c r="V52" s="59">
        <v>50000</v>
      </c>
      <c r="W52" s="59">
        <v>50000</v>
      </c>
      <c r="X52" s="59">
        <v>50000</v>
      </c>
      <c r="Y52" s="59">
        <v>50000</v>
      </c>
      <c r="Z52" s="59">
        <v>50000</v>
      </c>
      <c r="AA52" s="15">
        <f t="shared" si="0"/>
        <v>1200000</v>
      </c>
      <c r="AB52" s="16">
        <v>4</v>
      </c>
      <c r="AC52" s="15">
        <f t="shared" si="1"/>
        <v>4800000</v>
      </c>
      <c r="AD52" s="112"/>
    </row>
    <row r="53" spans="1:30" x14ac:dyDescent="0.35">
      <c r="A53" s="78"/>
      <c r="B53" s="17" t="s">
        <v>41</v>
      </c>
      <c r="C53" s="59">
        <v>50000</v>
      </c>
      <c r="D53" s="59">
        <v>50000</v>
      </c>
      <c r="E53" s="59">
        <v>50000</v>
      </c>
      <c r="F53" s="59">
        <v>50000</v>
      </c>
      <c r="G53" s="59">
        <v>50000</v>
      </c>
      <c r="H53" s="59">
        <v>50000</v>
      </c>
      <c r="I53" s="59">
        <v>50000</v>
      </c>
      <c r="J53" s="59">
        <v>50000</v>
      </c>
      <c r="K53" s="59">
        <v>50000</v>
      </c>
      <c r="L53" s="59">
        <v>50000</v>
      </c>
      <c r="M53" s="59">
        <v>50000</v>
      </c>
      <c r="N53" s="59">
        <v>50000</v>
      </c>
      <c r="O53" s="59">
        <v>50000</v>
      </c>
      <c r="P53" s="59">
        <v>50000</v>
      </c>
      <c r="Q53" s="59">
        <v>50000</v>
      </c>
      <c r="R53" s="59">
        <v>50000</v>
      </c>
      <c r="S53" s="59">
        <v>50000</v>
      </c>
      <c r="T53" s="59">
        <v>50000</v>
      </c>
      <c r="U53" s="59">
        <v>50000</v>
      </c>
      <c r="V53" s="59">
        <v>50000</v>
      </c>
      <c r="W53" s="59">
        <v>50000</v>
      </c>
      <c r="X53" s="59">
        <v>50000</v>
      </c>
      <c r="Y53" s="59">
        <v>50000</v>
      </c>
      <c r="Z53" s="59">
        <v>50000</v>
      </c>
      <c r="AA53" s="15">
        <f t="shared" si="0"/>
        <v>1200000</v>
      </c>
      <c r="AB53" s="16">
        <v>4</v>
      </c>
      <c r="AC53" s="15">
        <f t="shared" si="1"/>
        <v>4800000</v>
      </c>
      <c r="AD53" s="112"/>
    </row>
    <row r="54" spans="1:30" x14ac:dyDescent="0.35">
      <c r="A54" s="79"/>
      <c r="B54" s="18" t="s">
        <v>42</v>
      </c>
      <c r="C54" s="59">
        <v>50000</v>
      </c>
      <c r="D54" s="59">
        <v>50000</v>
      </c>
      <c r="E54" s="59">
        <v>50000</v>
      </c>
      <c r="F54" s="59">
        <v>50000</v>
      </c>
      <c r="G54" s="59">
        <v>50000</v>
      </c>
      <c r="H54" s="59">
        <v>50000</v>
      </c>
      <c r="I54" s="59">
        <v>50000</v>
      </c>
      <c r="J54" s="59">
        <v>50000</v>
      </c>
      <c r="K54" s="59">
        <v>50000</v>
      </c>
      <c r="L54" s="59">
        <v>50000</v>
      </c>
      <c r="M54" s="59">
        <v>50000</v>
      </c>
      <c r="N54" s="59">
        <v>50000</v>
      </c>
      <c r="O54" s="59">
        <v>50000</v>
      </c>
      <c r="P54" s="59">
        <v>50000</v>
      </c>
      <c r="Q54" s="59">
        <v>50000</v>
      </c>
      <c r="R54" s="59">
        <v>50000</v>
      </c>
      <c r="S54" s="59">
        <v>50000</v>
      </c>
      <c r="T54" s="59">
        <v>50000</v>
      </c>
      <c r="U54" s="59">
        <v>50000</v>
      </c>
      <c r="V54" s="59">
        <v>50000</v>
      </c>
      <c r="W54" s="59">
        <v>50000</v>
      </c>
      <c r="X54" s="59">
        <v>50000</v>
      </c>
      <c r="Y54" s="59">
        <v>50000</v>
      </c>
      <c r="Z54" s="59">
        <v>50000</v>
      </c>
      <c r="AA54" s="15">
        <f t="shared" si="0"/>
        <v>1200000</v>
      </c>
      <c r="AB54" s="16">
        <v>2</v>
      </c>
      <c r="AC54" s="15">
        <f t="shared" si="1"/>
        <v>2400000</v>
      </c>
      <c r="AD54" s="113"/>
    </row>
    <row r="55" spans="1:30" x14ac:dyDescent="0.35">
      <c r="AD55" s="24">
        <f>+SUM(AD7:AD54)</f>
        <v>438000000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OF P1</vt:lpstr>
      <vt:lpstr>CURVA P1</vt:lpstr>
      <vt:lpstr>OF P2</vt:lpstr>
      <vt:lpstr>PLANA P2</vt:lpstr>
      <vt:lpstr>OF P3</vt:lpstr>
      <vt:lpstr>CURVA P3</vt:lpstr>
      <vt:lpstr>OF P4</vt:lpstr>
      <vt:lpstr>PLANA P4</vt:lpstr>
      <vt:lpstr>OF P5</vt:lpstr>
      <vt:lpstr>CURVA P5</vt:lpstr>
      <vt:lpstr>OF P6</vt:lpstr>
      <vt:lpstr>PLANA P6 </vt:lpstr>
      <vt:lpstr>OF P7</vt:lpstr>
      <vt:lpstr>CURVA P7</vt:lpstr>
      <vt:lpstr>OF P8</vt:lpstr>
      <vt:lpstr>PLANA 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ANTONIO CLAVIJO CACERES</dc:creator>
  <cp:lastModifiedBy>MARCELA VANESSA COLMENARES VILLAMIZAR</cp:lastModifiedBy>
  <dcterms:created xsi:type="dcterms:W3CDTF">2024-08-30T16:40:26Z</dcterms:created>
  <dcterms:modified xsi:type="dcterms:W3CDTF">2026-02-19T15:48:32Z</dcterms:modified>
</cp:coreProperties>
</file>