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Direccion Comercial\Procesos\2026\CP-ENIC2026-003\SICEP\"/>
    </mc:Choice>
  </mc:AlternateContent>
  <xr:revisionPtr revIDLastSave="0" documentId="13_ncr:1_{4DD29F45-A5FB-4504-B647-B16813C238E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FERTA PRODUCTO 1" sheetId="4" r:id="rId1"/>
    <sheet name="Cantidades Producto 1" sheetId="5" r:id="rId2"/>
    <sheet name="OFERTA PRODUCTO 2" sheetId="7" r:id="rId3"/>
    <sheet name="Cantidades Producto 2" sheetId="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A" localSheetId="0">#REF!</definedName>
    <definedName name="\A" localSheetId="2">#REF!</definedName>
    <definedName name="\A">#REF!</definedName>
    <definedName name="\C" localSheetId="0">[1]Indices!#REF!</definedName>
    <definedName name="\C" localSheetId="2">[1]Indices!#REF!</definedName>
    <definedName name="\C">[1]Indices!#REF!</definedName>
    <definedName name="\D" localSheetId="0">#REF!</definedName>
    <definedName name="\D" localSheetId="2">#REF!</definedName>
    <definedName name="\D">#REF!</definedName>
    <definedName name="_F" localSheetId="0">#REF!</definedName>
    <definedName name="_F" localSheetId="2">#REF!</definedName>
    <definedName name="_F">#REF!</definedName>
    <definedName name="_IMP1013" localSheetId="0">#REF!</definedName>
    <definedName name="_IMP1013" localSheetId="2">#REF!</definedName>
    <definedName name="_IMP1013">#REF!</definedName>
    <definedName name="_imp111" localSheetId="0">#REF!</definedName>
    <definedName name="_imp111" localSheetId="2">#REF!</definedName>
    <definedName name="_imp111">#REF!</definedName>
    <definedName name="_imp1110" localSheetId="0">#REF!</definedName>
    <definedName name="_imp1110" localSheetId="2">#REF!</definedName>
    <definedName name="_imp1110">#REF!</definedName>
    <definedName name="_IMP1111" localSheetId="0">#REF!</definedName>
    <definedName name="_IMP1111" localSheetId="2">#REF!</definedName>
    <definedName name="_IMP1111">#REF!</definedName>
    <definedName name="_IMP1112" localSheetId="0">#REF!</definedName>
    <definedName name="_IMP1112" localSheetId="2">#REF!</definedName>
    <definedName name="_IMP1112">#REF!</definedName>
    <definedName name="_IMP1113" localSheetId="0">#REF!</definedName>
    <definedName name="_IMP1113" localSheetId="2">#REF!</definedName>
    <definedName name="_IMP1113">#REF!</definedName>
    <definedName name="_IMP1114" localSheetId="0">#REF!</definedName>
    <definedName name="_IMP1114" localSheetId="2">#REF!</definedName>
    <definedName name="_IMP1114">#REF!</definedName>
    <definedName name="_IMP1115" localSheetId="0">#REF!</definedName>
    <definedName name="_IMP1115" localSheetId="2">#REF!</definedName>
    <definedName name="_IMP1115">#REF!</definedName>
    <definedName name="_IMP1116" localSheetId="0">#REF!</definedName>
    <definedName name="_IMP1116" localSheetId="2">#REF!</definedName>
    <definedName name="_IMP1116">#REF!</definedName>
    <definedName name="_imp112" localSheetId="0">#REF!</definedName>
    <definedName name="_imp112" localSheetId="2">#REF!</definedName>
    <definedName name="_imp112">#REF!</definedName>
    <definedName name="_imp113" localSheetId="0">#REF!</definedName>
    <definedName name="_imp113" localSheetId="2">#REF!</definedName>
    <definedName name="_imp113">#REF!</definedName>
    <definedName name="_IMP1132" localSheetId="0">#REF!</definedName>
    <definedName name="_IMP1132" localSheetId="2">#REF!</definedName>
    <definedName name="_IMP1132">#REF!</definedName>
    <definedName name="_IMP1133" localSheetId="0">#REF!</definedName>
    <definedName name="_IMP1133" localSheetId="2">#REF!</definedName>
    <definedName name="_IMP1133">#REF!</definedName>
    <definedName name="_imp114" localSheetId="0">#REF!</definedName>
    <definedName name="_imp114" localSheetId="2">#REF!</definedName>
    <definedName name="_imp114">#REF!</definedName>
    <definedName name="_IMP115" localSheetId="0">#REF!</definedName>
    <definedName name="_IMP115" localSheetId="2">#REF!</definedName>
    <definedName name="_IMP115">#REF!</definedName>
    <definedName name="_IMP116" localSheetId="0">#REF!</definedName>
    <definedName name="_IMP116" localSheetId="2">#REF!</definedName>
    <definedName name="_IMP116">#REF!</definedName>
    <definedName name="_imp117" localSheetId="0">#REF!</definedName>
    <definedName name="_imp117" localSheetId="2">#REF!</definedName>
    <definedName name="_imp117">#REF!</definedName>
    <definedName name="_imp118" localSheetId="0">#REF!</definedName>
    <definedName name="_imp118" localSheetId="2">#REF!</definedName>
    <definedName name="_imp118">#REF!</definedName>
    <definedName name="_imp119" localSheetId="0">#REF!</definedName>
    <definedName name="_imp119" localSheetId="2">#REF!</definedName>
    <definedName name="_imp119">#REF!</definedName>
    <definedName name="_imp84" localSheetId="0">#REF!</definedName>
    <definedName name="_imp84" localSheetId="2">#REF!</definedName>
    <definedName name="_imp84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0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R" localSheetId="0">[1]Indices!#REF!</definedName>
    <definedName name="_R" localSheetId="2">[1]Indices!#REF!</definedName>
    <definedName name="_R">[1]Indices!#REF!</definedName>
    <definedName name="_RAN1" localSheetId="0">[1]Indices!#REF!</definedName>
    <definedName name="_RAN1" localSheetId="2">[1]Indices!#REF!</definedName>
    <definedName name="_RAN1">[1]Indices!#REF!</definedName>
    <definedName name="_Regression_Out" localSheetId="0" hidden="1">#REF!</definedName>
    <definedName name="_Regression_Out" localSheetId="2" hidden="1">#REF!</definedName>
    <definedName name="_Regression_Out" hidden="1">#REF!</definedName>
    <definedName name="_Regression_X" localSheetId="0" hidden="1">#REF!</definedName>
    <definedName name="_Regression_X" localSheetId="2" hidden="1">#REF!</definedName>
    <definedName name="_Regression_X" hidden="1">#REF!</definedName>
    <definedName name="_Regression_Y" localSheetId="0" hidden="1">#REF!</definedName>
    <definedName name="_Regression_Y" localSheetId="2" hidden="1">#REF!</definedName>
    <definedName name="_Regression_Y" hidden="1">#REF!</definedName>
    <definedName name="_SOR1" localSheetId="0">#REF!</definedName>
    <definedName name="_SOR1" localSheetId="2">#REF!</definedName>
    <definedName name="_SOR1">#REF!</definedName>
    <definedName name="_SOR2" localSheetId="0">#REF!</definedName>
    <definedName name="_SOR2" localSheetId="2">#REF!</definedName>
    <definedName name="_SOR2">#REF!</definedName>
    <definedName name="_Sort" localSheetId="0" hidden="1">#REF!</definedName>
    <definedName name="_Sort" localSheetId="2" hidden="1">#REF!</definedName>
    <definedName name="_Sort" hidden="1">#REF!</definedName>
    <definedName name="_U92016" localSheetId="0">#REF!</definedName>
    <definedName name="_U92016" localSheetId="2">#REF!</definedName>
    <definedName name="_U92016">#REF!</definedName>
    <definedName name="_U92017" localSheetId="0">#REF!</definedName>
    <definedName name="_U92017" localSheetId="2">#REF!</definedName>
    <definedName name="_U92017">#REF!</definedName>
    <definedName name="_U92018" localSheetId="0">#REF!</definedName>
    <definedName name="_U92018" localSheetId="2">#REF!</definedName>
    <definedName name="_U92018">#REF!</definedName>
    <definedName name="A_IMPRESIÓN_IM" localSheetId="0">#REF!</definedName>
    <definedName name="A_IMPRESIÓN_IM" localSheetId="2">#REF!</definedName>
    <definedName name="A_IMPRESIÓN_IM">#REF!</definedName>
    <definedName name="ABRIL" localSheetId="0">[2]TASAS!#REF!</definedName>
    <definedName name="ABRIL" localSheetId="2">[2]TASAS!#REF!</definedName>
    <definedName name="ABRIL">[2]TASAS!#REF!</definedName>
    <definedName name="AGOSTO" localSheetId="0">[2]TASAS!#REF!</definedName>
    <definedName name="AGOSTO" localSheetId="2">[2]TASAS!#REF!</definedName>
    <definedName name="AGOSTO">[2]TASAS!#REF!</definedName>
    <definedName name="al">#REF!</definedName>
    <definedName name="ap">#REF!</definedName>
    <definedName name="_xlnm.Print_Area" localSheetId="0">'OFERTA PRODUCTO 1'!$A$1:$K$57</definedName>
    <definedName name="_xlnm.Print_Area" localSheetId="2">'OFERTA PRODUCTO 2'!$A$1:$K$57</definedName>
    <definedName name="as">#REF!</definedName>
    <definedName name="C_" localSheetId="0">#REF!</definedName>
    <definedName name="C_" localSheetId="2">#REF!</definedName>
    <definedName name="C_">#REF!</definedName>
    <definedName name="Concepto" localSheetId="0">#REF!</definedName>
    <definedName name="Concepto" localSheetId="2">#REF!</definedName>
    <definedName name="Concepto">#REF!</definedName>
    <definedName name="CONTRIBU">[3]IPM!$A$1:$V$8</definedName>
    <definedName name="CUADRO10">[4]Hoja1!$B$2:$Z$70</definedName>
    <definedName name="CUADRO11">[4]Hoja1!$B$2:$G$42</definedName>
    <definedName name="CUADRO12">[4]Hoja1!$B$2:$S$104</definedName>
    <definedName name="CUADRO13">[4]Hoja1!$B$2:$K$98</definedName>
    <definedName name="CUADRO14">[4]Hoja1!$B$2:$H$67</definedName>
    <definedName name="CUADRO15">[4]Hoja1!$B$2:$H$112</definedName>
    <definedName name="CUADRO16">[4]Hoja1!$B$2:$J$114</definedName>
    <definedName name="CUADRO17">[4]Hoja1!$B$2:$I$108</definedName>
    <definedName name="CUADRO18">[4]Hoja1!$B$2:$H$159</definedName>
    <definedName name="CUADRO19">[4]Hoja1!$B$2:$K$30</definedName>
    <definedName name="CUADRO20">[4]Hoja1!$B$2:$F$113</definedName>
    <definedName name="CUADRO8">[4]Hoja1!$B$2:$E$66</definedName>
    <definedName name="CUADRO9">[4]Hoja1!$B$2:$O$95</definedName>
    <definedName name="cuaII3A">[5]A!$B$3:$J$101</definedName>
    <definedName name="cuaII3B">[5]A!$B$110:$I$208</definedName>
    <definedName name="cuaII3C">[5]A!$B$217:$I$316</definedName>
    <definedName name="cuaII4A">[5]A!$N$3:$T$104</definedName>
    <definedName name="cuaII4B">[5]A!$N$110:$T$211</definedName>
    <definedName name="cuaII4C">[5]A!$N$217:$T$318</definedName>
    <definedName name="cuaII5A">[5]A!$X$3:$AE$103</definedName>
    <definedName name="cuaII5B">[5]A!$X$110:$AD$210</definedName>
    <definedName name="cuaII5C">[5]A!$X$217:$AD$317</definedName>
    <definedName name="D" localSheetId="0">[1]Indices!#REF!</definedName>
    <definedName name="D" localSheetId="2">[1]Indices!#REF!</definedName>
    <definedName name="D">[1]Indices!#REF!</definedName>
    <definedName name="DIA" localSheetId="0">[2]TASAS!#REF!</definedName>
    <definedName name="DIA" localSheetId="2">[2]TASAS!#REF!</definedName>
    <definedName name="DIA">[2]TASAS!#REF!</definedName>
    <definedName name="EXPOSICION_NUEVA">'[6]Selección datos'!$C$2:$C$21</definedName>
    <definedName name="GRAFICOS" localSheetId="0">#REF!</definedName>
    <definedName name="GRAFICOS" localSheetId="2">#REF!</definedName>
    <definedName name="GRAFICOS">#REF!</definedName>
    <definedName name="imp84coc" localSheetId="0">#REF!</definedName>
    <definedName name="imp84coc" localSheetId="2">#REF!</definedName>
    <definedName name="imp84coc">#REF!</definedName>
    <definedName name="imp84con" localSheetId="0">#REF!</definedName>
    <definedName name="imp84con" localSheetId="2">#REF!</definedName>
    <definedName name="imp84con">#REF!</definedName>
    <definedName name="IMPI1" localSheetId="0">#REF!</definedName>
    <definedName name="IMPI1" localSheetId="2">#REF!</definedName>
    <definedName name="IMPI1">#REF!</definedName>
    <definedName name="IMPII1A" localSheetId="0">#REF!</definedName>
    <definedName name="IMPII1A" localSheetId="2">#REF!</definedName>
    <definedName name="IMPII1A">#REF!</definedName>
    <definedName name="IMPII1B" localSheetId="0">#REF!</definedName>
    <definedName name="IMPII1B" localSheetId="2">#REF!</definedName>
    <definedName name="IMPII1B">#REF!</definedName>
    <definedName name="IMPII1C" localSheetId="0">#REF!</definedName>
    <definedName name="IMPII1C" localSheetId="2">#REF!</definedName>
    <definedName name="IMPII1C">#REF!</definedName>
    <definedName name="IMPII2A" localSheetId="0">#REF!</definedName>
    <definedName name="IMPII2A" localSheetId="2">#REF!</definedName>
    <definedName name="IMPII2A">#REF!</definedName>
    <definedName name="IMPII2B" localSheetId="0">#REF!</definedName>
    <definedName name="IMPII2B" localSheetId="2">#REF!</definedName>
    <definedName name="IMPII2B">#REF!</definedName>
    <definedName name="IMPII2C" localSheetId="0">#REF!</definedName>
    <definedName name="IMPII2C" localSheetId="2">#REF!</definedName>
    <definedName name="IMPII2C">#REF!</definedName>
    <definedName name="IMPII3A" localSheetId="0">#REF!</definedName>
    <definedName name="IMPII3A" localSheetId="2">#REF!</definedName>
    <definedName name="IMPII3A">#REF!</definedName>
    <definedName name="IMPII3B" localSheetId="0">#REF!</definedName>
    <definedName name="IMPII3B" localSheetId="2">#REF!</definedName>
    <definedName name="IMPII3B">#REF!</definedName>
    <definedName name="IMPII3C" localSheetId="0">#REF!</definedName>
    <definedName name="IMPII3C" localSheetId="2">#REF!</definedName>
    <definedName name="IMPII3C">#REF!</definedName>
    <definedName name="IMPII4A" localSheetId="0">#REF!</definedName>
    <definedName name="IMPII4A" localSheetId="2">#REF!</definedName>
    <definedName name="IMPII4A">#REF!</definedName>
    <definedName name="IMPII4B" localSheetId="0">#REF!</definedName>
    <definedName name="IMPII4B" localSheetId="2">#REF!</definedName>
    <definedName name="IMPII4B">#REF!</definedName>
    <definedName name="IMPII4C" localSheetId="0">#REF!</definedName>
    <definedName name="IMPII4C" localSheetId="2">#REF!</definedName>
    <definedName name="IMPII4C">#REF!</definedName>
    <definedName name="IMPII4D" localSheetId="0">#REF!</definedName>
    <definedName name="IMPII4D" localSheetId="2">#REF!</definedName>
    <definedName name="IMPII4D">#REF!</definedName>
    <definedName name="IMPII5A" localSheetId="0">#REF!</definedName>
    <definedName name="IMPII5A" localSheetId="2">#REF!</definedName>
    <definedName name="IMPII5A">#REF!</definedName>
    <definedName name="IMPII5B" localSheetId="0">#REF!</definedName>
    <definedName name="IMPII5B" localSheetId="2">#REF!</definedName>
    <definedName name="IMPII5B">#REF!</definedName>
    <definedName name="IMPII5C" localSheetId="0">#REF!</definedName>
    <definedName name="IMPII5C" localSheetId="2">#REF!</definedName>
    <definedName name="IMPII5C">#REF!</definedName>
    <definedName name="IMPII5D" localSheetId="0">#REF!</definedName>
    <definedName name="IMPII5D" localSheetId="2">#REF!</definedName>
    <definedName name="IMPII5D">#REF!</definedName>
    <definedName name="IMPIII1A" localSheetId="0">#REF!</definedName>
    <definedName name="IMPIII1A" localSheetId="2">#REF!</definedName>
    <definedName name="IMPIII1A">#REF!</definedName>
    <definedName name="IMPIII1B" localSheetId="0">#REF!</definedName>
    <definedName name="IMPIII1B" localSheetId="2">#REF!</definedName>
    <definedName name="IMPIII1B">#REF!</definedName>
    <definedName name="IMPIII2A" localSheetId="0">#REF!</definedName>
    <definedName name="IMPIII2A" localSheetId="2">#REF!</definedName>
    <definedName name="IMPIII2A">#REF!</definedName>
    <definedName name="IMPIII2B" localSheetId="0">#REF!</definedName>
    <definedName name="IMPIII2B" localSheetId="2">#REF!</definedName>
    <definedName name="IMPIII2B">#REF!</definedName>
    <definedName name="IMPIV1A" localSheetId="0">#REF!</definedName>
    <definedName name="IMPIV1A" localSheetId="2">#REF!</definedName>
    <definedName name="IMPIV1A">#REF!</definedName>
    <definedName name="IMPIV1B" localSheetId="0">#REF!</definedName>
    <definedName name="IMPIV1B" localSheetId="2">#REF!</definedName>
    <definedName name="IMPIV1B">#REF!</definedName>
    <definedName name="IMPIV1C" localSheetId="0">#REF!</definedName>
    <definedName name="IMPIV1C" localSheetId="2">#REF!</definedName>
    <definedName name="IMPIV1C">#REF!</definedName>
    <definedName name="IMPIV1D" localSheetId="0">#REF!</definedName>
    <definedName name="IMPIV1D" localSheetId="2">#REF!</definedName>
    <definedName name="IMPIV1D">#REF!</definedName>
    <definedName name="IMPIV1E" localSheetId="0">#REF!</definedName>
    <definedName name="IMPIV1E" localSheetId="2">#REF!</definedName>
    <definedName name="IMPIV1E">#REF!</definedName>
    <definedName name="IMPIV2" localSheetId="0">#REF!</definedName>
    <definedName name="IMPIV2" localSheetId="2">#REF!</definedName>
    <definedName name="IMPIV2">#REF!</definedName>
    <definedName name="impresion" localSheetId="0">#REF!</definedName>
    <definedName name="impresion" localSheetId="2">#REF!</definedName>
    <definedName name="impresion">#REF!</definedName>
    <definedName name="impresion2" localSheetId="0">'[7]101'!#REF!</definedName>
    <definedName name="impresion2" localSheetId="2">'[7]101'!#REF!</definedName>
    <definedName name="impresion2">'[7]101'!#REF!</definedName>
    <definedName name="IMPV1A" localSheetId="0">#REF!</definedName>
    <definedName name="IMPV1A" localSheetId="2">#REF!</definedName>
    <definedName name="IMPV1A">#REF!</definedName>
    <definedName name="IMPV1B" localSheetId="0">#REF!</definedName>
    <definedName name="IMPV1B" localSheetId="2">#REF!</definedName>
    <definedName name="IMPV1B">#REF!</definedName>
    <definedName name="lstCONCEPT">[8]_lists!$O$3:$O$5</definedName>
    <definedName name="lstDOFEORSA">[8]_lists!$P$3:$P$7</definedName>
    <definedName name="Observado" localSheetId="0">#REF!</definedName>
    <definedName name="Observado" localSheetId="2">#REF!</definedName>
    <definedName name="Observado">#REF!</definedName>
    <definedName name="OFERTA">#REF!</definedName>
    <definedName name="op">#REF!</definedName>
    <definedName name="peso95015" localSheetId="0">#REF!</definedName>
    <definedName name="peso95015" localSheetId="2">#REF!</definedName>
    <definedName name="peso95015">#REF!</definedName>
    <definedName name="PON" localSheetId="0">#REF!</definedName>
    <definedName name="PON" localSheetId="2">#REF!</definedName>
    <definedName name="PON">#REF!</definedName>
    <definedName name="Programado" localSheetId="0">#REF!</definedName>
    <definedName name="Programado" localSheetId="2">#REF!</definedName>
    <definedName name="Programado">#REF!</definedName>
    <definedName name="S" localSheetId="0">#REF!</definedName>
    <definedName name="S" localSheetId="2">#REF!</definedName>
    <definedName name="S">#REF!</definedName>
    <definedName name="SOR" localSheetId="0">#REF!</definedName>
    <definedName name="SOR" localSheetId="2">#REF!</definedName>
    <definedName name="SOR">#REF!</definedName>
    <definedName name="SVC">'[6]Selección datos'!$A$7:$A$9</definedName>
    <definedName name="T" localSheetId="0">#REF!</definedName>
    <definedName name="T" localSheetId="2">#REF!</definedName>
    <definedName name="T">#REF!</definedName>
    <definedName name="TABLA1" localSheetId="0">#REF!</definedName>
    <definedName name="TABLA1" localSheetId="2">#REF!</definedName>
    <definedName name="TABLA1">#REF!</definedName>
    <definedName name="VAR" localSheetId="0">#REF!</definedName>
    <definedName name="VAR" localSheetId="2">#REF!</definedName>
    <definedName name="VAR">#REF!</definedName>
    <definedName name="VARACORR" localSheetId="0">#REF!</definedName>
    <definedName name="VARACORR" localSheetId="2">#REF!</definedName>
    <definedName name="VARACORR">#REF!</definedName>
    <definedName name="WILLI" localSheetId="0">#REF!</definedName>
    <definedName name="WILLI" localSheetId="2">#REF!</definedName>
    <definedName name="WILLI">#REF!</definedName>
    <definedName name="Z" localSheetId="0">[1]Indices!#REF!</definedName>
    <definedName name="Z" localSheetId="2">[1]Indices!#REF!</definedName>
    <definedName name="Z">[1]Indices!#REF!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7" l="1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AB110" i="8" s="1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AB109" i="8" s="1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AB108" i="8" s="1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AB107" i="8" s="1"/>
  <c r="H107" i="8"/>
  <c r="G107" i="8"/>
  <c r="F107" i="8"/>
  <c r="E107" i="8"/>
  <c r="D107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AB106" i="8" s="1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AB105" i="8" s="1"/>
  <c r="AC105" i="8" s="1"/>
  <c r="K105" i="8"/>
  <c r="J105" i="8"/>
  <c r="I105" i="8"/>
  <c r="H105" i="8"/>
  <c r="G105" i="8"/>
  <c r="F105" i="8"/>
  <c r="E105" i="8"/>
  <c r="D105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AB104" i="8" s="1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AB103" i="8" s="1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AB102" i="8" s="1"/>
  <c r="G102" i="8"/>
  <c r="F102" i="8"/>
  <c r="E102" i="8"/>
  <c r="D102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AB101" i="8" s="1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AB100" i="8" s="1"/>
  <c r="I100" i="8"/>
  <c r="H100" i="8"/>
  <c r="G100" i="8"/>
  <c r="F100" i="8"/>
  <c r="E100" i="8"/>
  <c r="D100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AB99" i="8" s="1"/>
  <c r="AC99" i="8" s="1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AB98" i="8" s="1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AB97" i="8" s="1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AB96" i="8" s="1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AB95" i="8" s="1"/>
  <c r="H95" i="8"/>
  <c r="G95" i="8"/>
  <c r="F95" i="8"/>
  <c r="E95" i="8"/>
  <c r="D95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AB94" i="8" s="1"/>
  <c r="AB93" i="8"/>
  <c r="AC93" i="8" s="1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AB92" i="8" s="1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AB91" i="8" s="1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AB90" i="8" s="1"/>
  <c r="AC90" i="8" s="1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AB89" i="8" s="1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AB88" i="8" s="1"/>
  <c r="I88" i="8"/>
  <c r="H88" i="8"/>
  <c r="G88" i="8"/>
  <c r="F88" i="8"/>
  <c r="E88" i="8"/>
  <c r="D88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AB87" i="8" s="1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AB86" i="8" s="1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AB85" i="8" s="1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AB84" i="8" s="1"/>
  <c r="AC84" i="8" s="1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AB83" i="8" s="1"/>
  <c r="H83" i="8"/>
  <c r="G83" i="8"/>
  <c r="F83" i="8"/>
  <c r="E83" i="8"/>
  <c r="D83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AB82" i="8" s="1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AB81" i="8" s="1"/>
  <c r="AC81" i="8" s="1"/>
  <c r="K81" i="8"/>
  <c r="J81" i="8"/>
  <c r="I81" i="8"/>
  <c r="H81" i="8"/>
  <c r="G81" i="8"/>
  <c r="F81" i="8"/>
  <c r="E81" i="8"/>
  <c r="D81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AB80" i="8" s="1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AB79" i="8" s="1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AB78" i="8" s="1"/>
  <c r="AC78" i="8" s="1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AB77" i="8" s="1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AB76" i="8" s="1"/>
  <c r="I76" i="8"/>
  <c r="H76" i="8"/>
  <c r="G76" i="8"/>
  <c r="F76" i="8"/>
  <c r="E76" i="8"/>
  <c r="D76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AB75" i="8" s="1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AB74" i="8" s="1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AB73" i="8" s="1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AB72" i="8" s="1"/>
  <c r="AC72" i="8" s="1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AB71" i="8" s="1"/>
  <c r="H71" i="8"/>
  <c r="G71" i="8"/>
  <c r="F71" i="8"/>
  <c r="E71" i="8"/>
  <c r="D71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AB70" i="8" s="1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AB69" i="8" s="1"/>
  <c r="AC69" i="8" s="1"/>
  <c r="K69" i="8"/>
  <c r="J69" i="8"/>
  <c r="I69" i="8"/>
  <c r="H69" i="8"/>
  <c r="G69" i="8"/>
  <c r="F69" i="8"/>
  <c r="E69" i="8"/>
  <c r="D69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AB68" i="8" s="1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E67" i="8"/>
  <c r="D67" i="8"/>
  <c r="AB67" i="8" s="1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E66" i="8"/>
  <c r="D66" i="8"/>
  <c r="AB66" i="8" s="1"/>
  <c r="AC66" i="8" s="1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AB65" i="8" s="1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AB64" i="8" s="1"/>
  <c r="I64" i="8"/>
  <c r="H64" i="8"/>
  <c r="G64" i="8"/>
  <c r="F64" i="8"/>
  <c r="E64" i="8"/>
  <c r="D64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AB63" i="8" s="1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AB62" i="8" s="1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AB61" i="8" s="1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AB60" i="8" s="1"/>
  <c r="AC60" i="8" s="1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AB59" i="8" s="1"/>
  <c r="H59" i="8"/>
  <c r="G59" i="8"/>
  <c r="F59" i="8"/>
  <c r="E59" i="8"/>
  <c r="D59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AB58" i="8" s="1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AB57" i="8" s="1"/>
  <c r="AC57" i="8" s="1"/>
  <c r="K57" i="8"/>
  <c r="J57" i="8"/>
  <c r="I57" i="8"/>
  <c r="H57" i="8"/>
  <c r="G57" i="8"/>
  <c r="F57" i="8"/>
  <c r="E57" i="8"/>
  <c r="D57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AB56" i="8" s="1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AB55" i="8" s="1"/>
  <c r="K55" i="8"/>
  <c r="J55" i="8"/>
  <c r="I55" i="8"/>
  <c r="H55" i="8"/>
  <c r="G55" i="8"/>
  <c r="F55" i="8"/>
  <c r="E55" i="8"/>
  <c r="D55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AB54" i="8" s="1"/>
  <c r="E54" i="8"/>
  <c r="D54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AB53" i="8" s="1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AB52" i="8" s="1"/>
  <c r="I52" i="8"/>
  <c r="H52" i="8"/>
  <c r="G52" i="8"/>
  <c r="F52" i="8"/>
  <c r="E52" i="8"/>
  <c r="D52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D51" i="8"/>
  <c r="AB51" i="8" s="1"/>
  <c r="AC51" i="8" s="1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AB50" i="8" s="1"/>
  <c r="G50" i="8"/>
  <c r="F50" i="8"/>
  <c r="E50" i="8"/>
  <c r="D50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AB49" i="8" s="1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AB48" i="8" s="1"/>
  <c r="AC48" i="8" s="1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AB47" i="8" s="1"/>
  <c r="H47" i="8"/>
  <c r="G47" i="8"/>
  <c r="F47" i="8"/>
  <c r="E47" i="8"/>
  <c r="D47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AB46" i="8" s="1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AB44" i="8" s="1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AB43" i="8" s="1"/>
  <c r="F43" i="8"/>
  <c r="E43" i="8"/>
  <c r="D43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AB42" i="8" s="1"/>
  <c r="E42" i="8"/>
  <c r="D42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AB41" i="8" s="1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AB40" i="8" s="1"/>
  <c r="I40" i="8"/>
  <c r="H40" i="8"/>
  <c r="G40" i="8"/>
  <c r="F40" i="8"/>
  <c r="E40" i="8"/>
  <c r="D40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AB39" i="8" s="1"/>
  <c r="AC39" i="8" s="1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AB38" i="8" s="1"/>
  <c r="E38" i="8"/>
  <c r="D38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AB37" i="8" s="1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AB36" i="8" s="1"/>
  <c r="H36" i="8"/>
  <c r="G36" i="8"/>
  <c r="F36" i="8"/>
  <c r="E36" i="8"/>
  <c r="D36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AB35" i="8" s="1"/>
  <c r="H35" i="8"/>
  <c r="G35" i="8"/>
  <c r="F35" i="8"/>
  <c r="E35" i="8"/>
  <c r="D35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AB34" i="8" s="1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AB32" i="8" s="1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AB31" i="8" s="1"/>
  <c r="F31" i="8"/>
  <c r="E31" i="8"/>
  <c r="D31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AB30" i="8" s="1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AB29" i="8" s="1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AB28" i="8" s="1"/>
  <c r="I28" i="8"/>
  <c r="H28" i="8"/>
  <c r="G28" i="8"/>
  <c r="F28" i="8"/>
  <c r="E28" i="8"/>
  <c r="D28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AB27" i="8" s="1"/>
  <c r="AC27" i="8" s="1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AB26" i="8" s="1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AB25" i="8" s="1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AB24" i="8" s="1"/>
  <c r="H24" i="8"/>
  <c r="G24" i="8"/>
  <c r="F24" i="8"/>
  <c r="E24" i="8"/>
  <c r="D24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AB23" i="8" s="1"/>
  <c r="H23" i="8"/>
  <c r="G23" i="8"/>
  <c r="F23" i="8"/>
  <c r="E23" i="8"/>
  <c r="D23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AB22" i="8" s="1"/>
  <c r="AB21" i="8"/>
  <c r="AC21" i="8" s="1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AB20" i="8" s="1"/>
  <c r="D20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AB19" i="8" s="1"/>
  <c r="F19" i="8"/>
  <c r="E19" i="8"/>
  <c r="D19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B18" i="8" s="1"/>
  <c r="AC18" i="8" s="1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AB17" i="8" s="1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AB16" i="8" s="1"/>
  <c r="I16" i="8"/>
  <c r="H16" i="8"/>
  <c r="G16" i="8"/>
  <c r="F16" i="8"/>
  <c r="E16" i="8"/>
  <c r="D16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AB15" i="8" s="1"/>
  <c r="AC15" i="8" s="1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AB14" i="8" s="1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AB13" i="8" s="1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AB12" i="8" s="1"/>
  <c r="H12" i="8"/>
  <c r="G12" i="8"/>
  <c r="F12" i="8"/>
  <c r="E12" i="8"/>
  <c r="D12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AB11" i="8" s="1"/>
  <c r="H11" i="8"/>
  <c r="G11" i="8"/>
  <c r="F11" i="8"/>
  <c r="E11" i="8"/>
  <c r="D11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AB10" i="8" s="1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AB8" i="8" s="1"/>
  <c r="D8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B7" i="8" s="1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AB6" i="8" s="1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AB5" i="8" s="1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AB4" i="8" s="1"/>
  <c r="I4" i="8"/>
  <c r="H4" i="8"/>
  <c r="G4" i="8"/>
  <c r="F4" i="8"/>
  <c r="E4" i="8"/>
  <c r="D4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AB3" i="8" s="1"/>
  <c r="AC3" i="8" s="1"/>
  <c r="E51" i="7"/>
  <c r="A9" i="7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AB110" i="5" s="1"/>
  <c r="D110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AB109" i="5" s="1"/>
  <c r="D109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AB108" i="5" s="1"/>
  <c r="E108" i="5"/>
  <c r="D108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AB107" i="5" s="1"/>
  <c r="D107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AB106" i="5" s="1"/>
  <c r="D106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AB105" i="5" s="1"/>
  <c r="E105" i="5"/>
  <c r="D105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AB104" i="5" s="1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AB103" i="5" s="1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AB102" i="5" s="1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AB101" i="5" s="1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AB100" i="5" s="1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AB99" i="5" s="1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AB98" i="5" s="1"/>
  <c r="K98" i="5"/>
  <c r="J98" i="5"/>
  <c r="I98" i="5"/>
  <c r="H98" i="5"/>
  <c r="G98" i="5"/>
  <c r="F98" i="5"/>
  <c r="E98" i="5"/>
  <c r="D98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AB97" i="5" s="1"/>
  <c r="D97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AB96" i="5" s="1"/>
  <c r="D96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AB95" i="5" s="1"/>
  <c r="E95" i="5"/>
  <c r="D95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AB94" i="5" s="1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AB93" i="5" s="1"/>
  <c r="AC93" i="5" s="1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AB92" i="5" s="1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AB91" i="5" s="1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AB90" i="5" s="1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AB89" i="5" s="1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AB88" i="5" s="1"/>
  <c r="F88" i="5"/>
  <c r="E88" i="5"/>
  <c r="D88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AB87" i="5" s="1"/>
  <c r="D87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AB86" i="5" s="1"/>
  <c r="K86" i="5"/>
  <c r="J86" i="5"/>
  <c r="I86" i="5"/>
  <c r="H86" i="5"/>
  <c r="G86" i="5"/>
  <c r="F86" i="5"/>
  <c r="E86" i="5"/>
  <c r="D86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AB85" i="5" s="1"/>
  <c r="D85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AB84" i="5" s="1"/>
  <c r="D84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AB83" i="5" s="1"/>
  <c r="E83" i="5"/>
  <c r="D83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AB82" i="5" s="1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AB81" i="5" s="1"/>
  <c r="AC81" i="5" s="1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AB80" i="5" s="1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AB79" i="5" s="1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AB78" i="5" s="1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AB77" i="5" s="1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AB76" i="5" s="1"/>
  <c r="F76" i="5"/>
  <c r="E76" i="5"/>
  <c r="D76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AB75" i="5" s="1"/>
  <c r="D75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AB74" i="5" s="1"/>
  <c r="K74" i="5"/>
  <c r="J74" i="5"/>
  <c r="I74" i="5"/>
  <c r="H74" i="5"/>
  <c r="G74" i="5"/>
  <c r="F74" i="5"/>
  <c r="E74" i="5"/>
  <c r="D74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AB73" i="5" s="1"/>
  <c r="D73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AB72" i="5" s="1"/>
  <c r="D72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AB71" i="5" s="1"/>
  <c r="E71" i="5"/>
  <c r="D71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AB70" i="5" s="1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AB69" i="5" s="1"/>
  <c r="AC69" i="5" s="1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AB68" i="5" s="1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AB67" i="5" s="1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AB66" i="5" s="1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AB65" i="5" s="1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AB64" i="5" s="1"/>
  <c r="F64" i="5"/>
  <c r="E64" i="5"/>
  <c r="D64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AB63" i="5" s="1"/>
  <c r="D63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AB62" i="5" s="1"/>
  <c r="J62" i="5"/>
  <c r="I62" i="5"/>
  <c r="H62" i="5"/>
  <c r="G62" i="5"/>
  <c r="F62" i="5"/>
  <c r="E62" i="5"/>
  <c r="D62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AB61" i="5" s="1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AB60" i="5" s="1"/>
  <c r="D60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AB59" i="5" s="1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AB58" i="5" s="1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AB57" i="5" s="1"/>
  <c r="AC57" i="5" s="1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AB56" i="5" s="1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AB55" i="5" s="1"/>
  <c r="K55" i="5"/>
  <c r="J55" i="5"/>
  <c r="I55" i="5"/>
  <c r="H55" i="5"/>
  <c r="G55" i="5"/>
  <c r="F55" i="5"/>
  <c r="E55" i="5"/>
  <c r="D55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AB54" i="5" s="1"/>
  <c r="H54" i="5"/>
  <c r="G54" i="5"/>
  <c r="F54" i="5"/>
  <c r="E54" i="5"/>
  <c r="D54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AB53" i="5" s="1"/>
  <c r="D53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AB52" i="5" s="1"/>
  <c r="D52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AB51" i="5" s="1"/>
  <c r="AC51" i="5" s="1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AB50" i="5" s="1"/>
  <c r="K50" i="5"/>
  <c r="J50" i="5"/>
  <c r="I50" i="5"/>
  <c r="H50" i="5"/>
  <c r="G50" i="5"/>
  <c r="F50" i="5"/>
  <c r="E50" i="5"/>
  <c r="D50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AB49" i="5" s="1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AB48" i="5" s="1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AB47" i="5" s="1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AB46" i="5" s="1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AB45" i="5" s="1"/>
  <c r="D45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AB44" i="5" s="1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AB43" i="5" s="1"/>
  <c r="K43" i="5"/>
  <c r="J43" i="5"/>
  <c r="I43" i="5"/>
  <c r="H43" i="5"/>
  <c r="G43" i="5"/>
  <c r="F43" i="5"/>
  <c r="E43" i="5"/>
  <c r="D43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AB42" i="5" s="1"/>
  <c r="F42" i="5"/>
  <c r="E42" i="5"/>
  <c r="D42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AB41" i="5" s="1"/>
  <c r="D41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AB40" i="5" s="1"/>
  <c r="H40" i="5"/>
  <c r="G40" i="5"/>
  <c r="F40" i="5"/>
  <c r="E40" i="5"/>
  <c r="D40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AB39" i="5" s="1"/>
  <c r="AC39" i="5" s="1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AB37" i="5" s="1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AB36" i="5" s="1"/>
  <c r="AC36" i="5" s="1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AB35" i="5" s="1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AB34" i="5" s="1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AB33" i="5" s="1"/>
  <c r="AC33" i="5" s="1"/>
  <c r="I33" i="5"/>
  <c r="H33" i="5"/>
  <c r="G33" i="5"/>
  <c r="F33" i="5"/>
  <c r="E33" i="5"/>
  <c r="D33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AB32" i="5" s="1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AB31" i="5" s="1"/>
  <c r="D31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AB30" i="5" s="1"/>
  <c r="F30" i="5"/>
  <c r="E30" i="5"/>
  <c r="D30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AB29" i="5" s="1"/>
  <c r="D29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AB28" i="5" s="1"/>
  <c r="H28" i="5"/>
  <c r="G28" i="5"/>
  <c r="F28" i="5"/>
  <c r="E28" i="5"/>
  <c r="D28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AB27" i="5" s="1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AB25" i="5" s="1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AB24" i="5" s="1"/>
  <c r="AC24" i="5" s="1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AB23" i="5" s="1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AB22" i="5" s="1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AB21" i="5" s="1"/>
  <c r="AC21" i="5" s="1"/>
  <c r="I21" i="5"/>
  <c r="H21" i="5"/>
  <c r="G21" i="5"/>
  <c r="F21" i="5"/>
  <c r="E21" i="5"/>
  <c r="D21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AB20" i="5" s="1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AB19" i="5" s="1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AB18" i="5" s="1"/>
  <c r="AC18" i="5" s="1"/>
  <c r="F18" i="5"/>
  <c r="E18" i="5"/>
  <c r="D18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AB17" i="5" s="1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AB16" i="5" s="1"/>
  <c r="H16" i="5"/>
  <c r="G16" i="5"/>
  <c r="F16" i="5"/>
  <c r="E16" i="5"/>
  <c r="D16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AB15" i="5" s="1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AB13" i="5" s="1"/>
  <c r="D13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B12" i="5" s="1"/>
  <c r="AC12" i="5" s="1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AB11" i="5" s="1"/>
  <c r="G11" i="5"/>
  <c r="F11" i="5"/>
  <c r="E11" i="5"/>
  <c r="D11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B10" i="5" s="1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B9" i="5" s="1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B8" i="5" s="1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B7" i="5" s="1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B6" i="5" s="1"/>
  <c r="AC6" i="5" s="1"/>
  <c r="F6" i="5"/>
  <c r="E6" i="5"/>
  <c r="D6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AB5" i="5" s="1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AB4" i="5" s="1"/>
  <c r="H4" i="5"/>
  <c r="G4" i="5"/>
  <c r="F4" i="5"/>
  <c r="E4" i="5"/>
  <c r="D4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AB3" i="5" s="1"/>
  <c r="D3" i="5"/>
  <c r="AC6" i="8" l="1"/>
  <c r="AC9" i="8"/>
  <c r="AC30" i="8"/>
  <c r="AC33" i="8"/>
  <c r="AC45" i="8"/>
  <c r="AC42" i="8"/>
  <c r="AC96" i="8"/>
  <c r="AC108" i="8"/>
  <c r="AC12" i="8"/>
  <c r="AC54" i="8"/>
  <c r="AC24" i="8"/>
  <c r="AC36" i="8"/>
  <c r="AC102" i="8"/>
  <c r="AC63" i="8"/>
  <c r="AC75" i="8"/>
  <c r="AC87" i="8"/>
  <c r="E51" i="4"/>
  <c r="AC99" i="5"/>
  <c r="AC45" i="5"/>
  <c r="AC63" i="5"/>
  <c r="AC75" i="5"/>
  <c r="AC87" i="5"/>
  <c r="AC105" i="5"/>
  <c r="AC48" i="5"/>
  <c r="AC66" i="5"/>
  <c r="AC78" i="5"/>
  <c r="AC90" i="5"/>
  <c r="AC102" i="5"/>
  <c r="AC60" i="5"/>
  <c r="AC72" i="5"/>
  <c r="AC84" i="5"/>
  <c r="AC96" i="5"/>
  <c r="AC30" i="5"/>
  <c r="AC108" i="5"/>
  <c r="AC42" i="5"/>
  <c r="AC9" i="5"/>
  <c r="AC54" i="5"/>
  <c r="AC3" i="5"/>
  <c r="AC15" i="5"/>
  <c r="AC27" i="5"/>
  <c r="D13" i="4" l="1"/>
  <c r="A9" i="4"/>
</calcChain>
</file>

<file path=xl/sharedStrings.xml><?xml version="1.0" encoding="utf-8"?>
<sst xmlns="http://schemas.openxmlformats.org/spreadsheetml/2006/main" count="262" uniqueCount="26">
  <si>
    <t>ANEXO No. 2 OFERTAS Y CANTIDADES</t>
  </si>
  <si>
    <r>
      <t xml:space="preserve">EMPRESA: </t>
    </r>
    <r>
      <rPr>
        <b/>
        <sz val="16"/>
        <color theme="3" tint="0.59999389629810485"/>
        <rFont val="Arial"/>
        <family val="2"/>
      </rPr>
      <t>XXXXXXXXXXXXXXXXXXXXXXXXXXXXXX</t>
    </r>
  </si>
  <si>
    <r>
      <t xml:space="preserve">REPRESENTANTE LEGAL: </t>
    </r>
    <r>
      <rPr>
        <b/>
        <sz val="16"/>
        <color theme="3" tint="0.59999389629810485"/>
        <rFont val="Arial"/>
        <family val="2"/>
      </rPr>
      <t>XXXXXXXXXXXXXXXXXXXXXXXXXXXXXX</t>
    </r>
  </si>
  <si>
    <r>
      <t xml:space="preserve">TIPO DE AGENTE: </t>
    </r>
    <r>
      <rPr>
        <b/>
        <sz val="16"/>
        <color theme="3" tint="0.59999389629810485"/>
        <rFont val="Arial"/>
        <family val="2"/>
      </rPr>
      <t>(COMERCIALIZADOR/GENERADOR)</t>
    </r>
  </si>
  <si>
    <t>Periodo</t>
  </si>
  <si>
    <t>Energía requerida (KWh)</t>
  </si>
  <si>
    <t>Energía ofertada (%)</t>
  </si>
  <si>
    <t>Energía ofertada (KWh)</t>
  </si>
  <si>
    <t>Precio  monomio ($/kWh)</t>
  </si>
  <si>
    <t>TOTAL</t>
  </si>
  <si>
    <t>Notas</t>
  </si>
  <si>
    <r>
      <t>1) Oferta válida para la modalidad</t>
    </r>
    <r>
      <rPr>
        <b/>
        <sz val="16"/>
        <color theme="1"/>
        <rFont val="Arial"/>
        <family val="2"/>
      </rPr>
      <t xml:space="preserve"> Pague lo Contratado.</t>
    </r>
  </si>
  <si>
    <t>3) Los precios ofertados incluyen todos los pagos, cargos, impuestos, estampillas, etc., que el Proponente deba realizar ante cualquier entidad gubernamental, o empresa pública, privada o mixta para entregar la energía en la frontera con el Sistema de Transmisión Nacional – STN.</t>
  </si>
  <si>
    <t>MES</t>
  </si>
  <si>
    <t>TIPO</t>
  </si>
  <si>
    <t># DIAS</t>
  </si>
  <si>
    <t>Hábil</t>
  </si>
  <si>
    <t>Sábado</t>
  </si>
  <si>
    <t>Festivo</t>
  </si>
  <si>
    <t xml:space="preserve">2)  No se podrá ofertar precios diferentes para cada mes. </t>
  </si>
  <si>
    <t>4) Se acepta adjudicacion parcial: SI______         NO_________      PORCENTAJE MINIMO A ACEPTAR_____________</t>
  </si>
  <si>
    <t>Las tarifas ofertadas están referidas en pesos constantes de junio de 2026.</t>
  </si>
  <si>
    <t>HORA</t>
  </si>
  <si>
    <t>ENERGIA (kwh)</t>
  </si>
  <si>
    <t>TOTAL MES (kwh)</t>
  </si>
  <si>
    <t>OFERTA A LA EMPRESA DE ENERGIA DE ARAUCA - ENELAR ESP.
INVITACIÓN PARA EL SUMINISTRO DE ENERGÍA ELÉCTRICA CON DESTINO AL MERCADO REGULADO CONVOCATORIA PÚBLICA No. CP-ENIC2026-003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</si>
</sst>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Verdana"/>
      <family val="2"/>
    </font>
    <font>
      <b/>
      <i/>
      <sz val="20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i/>
      <sz val="20"/>
      <name val="Verdana"/>
      <family val="2"/>
    </font>
    <font>
      <b/>
      <sz val="14"/>
      <color theme="1"/>
      <name val="Arial"/>
      <family val="2"/>
    </font>
    <font>
      <b/>
      <i/>
      <sz val="20"/>
      <name val="Arial"/>
      <family val="2"/>
    </font>
    <font>
      <b/>
      <sz val="18"/>
      <name val="Arial"/>
      <family val="2"/>
    </font>
    <font>
      <sz val="20"/>
      <color theme="1"/>
      <name val="Arial"/>
      <family val="2"/>
    </font>
    <font>
      <i/>
      <sz val="20"/>
      <name val="Arial"/>
      <family val="2"/>
    </font>
    <font>
      <i/>
      <sz val="20"/>
      <name val="Verdana"/>
      <family val="2"/>
    </font>
    <font>
      <b/>
      <sz val="16"/>
      <name val="Arial"/>
      <family val="2"/>
    </font>
    <font>
      <b/>
      <sz val="16"/>
      <color theme="3" tint="0.59999389629810485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0" xfId="3" applyFont="1" applyFill="1"/>
    <xf numFmtId="0" fontId="3" fillId="2" borderId="0" xfId="3" applyFont="1" applyFill="1" applyAlignment="1">
      <alignment vertical="center"/>
    </xf>
    <xf numFmtId="0" fontId="5" fillId="0" borderId="0" xfId="0" applyFont="1"/>
    <xf numFmtId="0" fontId="6" fillId="2" borderId="0" xfId="3" applyFont="1" applyFill="1" applyAlignment="1">
      <alignment vertical="center"/>
    </xf>
    <xf numFmtId="0" fontId="8" fillId="2" borderId="0" xfId="3" applyFont="1" applyFill="1" applyAlignment="1">
      <alignment vertical="center"/>
    </xf>
    <xf numFmtId="0" fontId="8" fillId="2" borderId="0" xfId="3" applyFont="1" applyFill="1" applyAlignment="1">
      <alignment horizontal="center" vertical="center"/>
    </xf>
    <xf numFmtId="0" fontId="10" fillId="3" borderId="0" xfId="5" applyFont="1" applyFill="1" applyAlignment="1">
      <alignment horizontal="center" vertical="center"/>
    </xf>
    <xf numFmtId="0" fontId="8" fillId="3" borderId="0" xfId="3" applyFont="1" applyFill="1" applyAlignment="1">
      <alignment vertical="center"/>
    </xf>
    <xf numFmtId="0" fontId="8" fillId="3" borderId="0" xfId="3" applyFont="1" applyFill="1" applyAlignment="1">
      <alignment horizontal="center" vertical="center"/>
    </xf>
    <xf numFmtId="0" fontId="11" fillId="2" borderId="0" xfId="3" applyFont="1" applyFill="1" applyAlignment="1">
      <alignment horizontal="center" vertical="center"/>
    </xf>
    <xf numFmtId="0" fontId="11" fillId="2" borderId="0" xfId="3" applyFont="1" applyFill="1"/>
    <xf numFmtId="0" fontId="12" fillId="2" borderId="0" xfId="3" applyFont="1" applyFill="1"/>
    <xf numFmtId="0" fontId="13" fillId="2" borderId="0" xfId="3" applyFont="1" applyFill="1"/>
    <xf numFmtId="0" fontId="15" fillId="2" borderId="0" xfId="3" applyFont="1" applyFill="1"/>
    <xf numFmtId="0" fontId="16" fillId="2" borderId="0" xfId="3" applyFont="1" applyFill="1" applyAlignment="1">
      <alignment horizontal="center" vertical="center"/>
    </xf>
    <xf numFmtId="0" fontId="15" fillId="2" borderId="0" xfId="3" applyFont="1" applyFill="1" applyAlignment="1">
      <alignment horizontal="center" vertical="center"/>
    </xf>
    <xf numFmtId="0" fontId="17" fillId="2" borderId="0" xfId="3" applyFont="1" applyFill="1"/>
    <xf numFmtId="0" fontId="18" fillId="0" borderId="0" xfId="3" applyFont="1"/>
    <xf numFmtId="0" fontId="3" fillId="2" borderId="0" xfId="3" applyFont="1" applyFill="1" applyAlignment="1">
      <alignment horizontal="center" vertical="center"/>
    </xf>
    <xf numFmtId="0" fontId="10" fillId="2" borderId="0" xfId="3" applyFont="1" applyFill="1"/>
    <xf numFmtId="0" fontId="13" fillId="4" borderId="1" xfId="4" applyFont="1" applyFill="1" applyBorder="1" applyAlignment="1">
      <alignment horizontal="center" vertical="center" wrapText="1"/>
    </xf>
    <xf numFmtId="0" fontId="20" fillId="2" borderId="0" xfId="3" applyFont="1" applyFill="1"/>
    <xf numFmtId="0" fontId="21" fillId="2" borderId="0" xfId="3" applyFont="1" applyFill="1"/>
    <xf numFmtId="0" fontId="17" fillId="4" borderId="6" xfId="4" applyFont="1" applyFill="1" applyBorder="1" applyAlignment="1">
      <alignment horizontal="center" vertical="center" wrapText="1"/>
    </xf>
    <xf numFmtId="0" fontId="19" fillId="4" borderId="7" xfId="4" applyFont="1" applyFill="1" applyBorder="1" applyAlignment="1">
      <alignment horizontal="center" vertical="center" wrapText="1"/>
    </xf>
    <xf numFmtId="0" fontId="17" fillId="4" borderId="8" xfId="4" applyFont="1" applyFill="1" applyBorder="1" applyAlignment="1">
      <alignment horizontal="center" vertical="center"/>
    </xf>
    <xf numFmtId="3" fontId="13" fillId="4" borderId="9" xfId="4" applyNumberFormat="1" applyFont="1" applyFill="1" applyBorder="1" applyAlignment="1">
      <alignment horizontal="center" vertical="center" wrapText="1"/>
    </xf>
    <xf numFmtId="9" fontId="13" fillId="4" borderId="9" xfId="2" applyFont="1" applyFill="1" applyBorder="1" applyAlignment="1">
      <alignment horizontal="center" vertical="center" wrapText="1"/>
    </xf>
    <xf numFmtId="2" fontId="13" fillId="4" borderId="10" xfId="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Fill="1" applyAlignment="1">
      <alignment horizontal="center"/>
    </xf>
    <xf numFmtId="165" fontId="15" fillId="2" borderId="0" xfId="7" applyNumberFormat="1" applyFont="1" applyFill="1"/>
    <xf numFmtId="0" fontId="22" fillId="0" borderId="0" xfId="0" applyFont="1"/>
    <xf numFmtId="3" fontId="22" fillId="0" borderId="0" xfId="0" applyNumberFormat="1" applyFont="1"/>
    <xf numFmtId="3" fontId="2" fillId="2" borderId="0" xfId="3" applyNumberFormat="1" applyFont="1" applyFill="1"/>
    <xf numFmtId="0" fontId="18" fillId="2" borderId="1" xfId="3" applyFont="1" applyFill="1" applyBorder="1" applyAlignment="1">
      <alignment horizontal="left" vertical="center" wrapText="1"/>
    </xf>
    <xf numFmtId="0" fontId="4" fillId="3" borderId="0" xfId="4" applyFont="1" applyFill="1" applyAlignment="1">
      <alignment horizontal="center" vertical="center"/>
    </xf>
    <xf numFmtId="0" fontId="7" fillId="3" borderId="0" xfId="4" applyFont="1" applyFill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/>
    </xf>
    <xf numFmtId="0" fontId="17" fillId="0" borderId="5" xfId="3" applyFont="1" applyBorder="1" applyAlignment="1">
      <alignment horizontal="center" vertical="center"/>
    </xf>
    <xf numFmtId="0" fontId="18" fillId="0" borderId="1" xfId="3" applyFont="1" applyBorder="1" applyAlignment="1">
      <alignment horizontal="left" vertical="center" wrapText="1"/>
    </xf>
    <xf numFmtId="0" fontId="18" fillId="0" borderId="1" xfId="3" applyFont="1" applyBorder="1" applyAlignment="1">
      <alignment horizontal="justify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3" fillId="5" borderId="12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3" fontId="23" fillId="5" borderId="1" xfId="0" applyNumberFormat="1" applyFont="1" applyFill="1" applyBorder="1" applyAlignment="1">
      <alignment vertical="center" wrapText="1"/>
    </xf>
    <xf numFmtId="0" fontId="23" fillId="5" borderId="1" xfId="0" applyFont="1" applyFill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17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wrapText="1"/>
    </xf>
    <xf numFmtId="164" fontId="0" fillId="0" borderId="1" xfId="1" applyNumberFormat="1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 wrapText="1"/>
    </xf>
    <xf numFmtId="0" fontId="22" fillId="0" borderId="0" xfId="0" applyFont="1" applyAlignment="1">
      <alignment horizontal="center"/>
    </xf>
    <xf numFmtId="164" fontId="0" fillId="0" borderId="2" xfId="1" applyNumberFormat="1" applyFont="1" applyFill="1" applyBorder="1" applyAlignment="1">
      <alignment horizontal="center" vertical="center" wrapText="1"/>
    </xf>
    <xf numFmtId="164" fontId="0" fillId="0" borderId="15" xfId="1" applyNumberFormat="1" applyFont="1" applyFill="1" applyBorder="1" applyAlignment="1">
      <alignment horizontal="center" vertical="center" wrapText="1"/>
    </xf>
    <xf numFmtId="164" fontId="0" fillId="0" borderId="16" xfId="1" applyNumberFormat="1" applyFont="1" applyFill="1" applyBorder="1" applyAlignment="1">
      <alignment horizontal="center" vertical="center" wrapText="1"/>
    </xf>
    <xf numFmtId="17" fontId="0" fillId="0" borderId="2" xfId="0" applyNumberFormat="1" applyBorder="1" applyAlignment="1">
      <alignment horizontal="center" vertical="center" wrapText="1"/>
    </xf>
    <xf numFmtId="17" fontId="0" fillId="0" borderId="15" xfId="0" applyNumberFormat="1" applyBorder="1" applyAlignment="1">
      <alignment horizontal="center" vertical="center" wrapText="1"/>
    </xf>
    <xf numFmtId="17" fontId="0" fillId="0" borderId="16" xfId="0" applyNumberFormat="1" applyBorder="1" applyAlignment="1">
      <alignment horizontal="center" vertical="center" wrapText="1"/>
    </xf>
    <xf numFmtId="17" fontId="20" fillId="0" borderId="6" xfId="4" applyNumberFormat="1" applyFont="1" applyBorder="1" applyAlignment="1">
      <alignment horizontal="center" vertical="center" wrapText="1"/>
    </xf>
    <xf numFmtId="3" fontId="20" fillId="4" borderId="1" xfId="4" applyNumberFormat="1" applyFont="1" applyFill="1" applyBorder="1" applyAlignment="1">
      <alignment horizontal="center" vertical="center" wrapText="1"/>
    </xf>
    <xf numFmtId="3" fontId="20" fillId="2" borderId="0" xfId="3" applyNumberFormat="1" applyFont="1" applyFill="1"/>
    <xf numFmtId="0" fontId="19" fillId="4" borderId="17" xfId="4" applyFont="1" applyFill="1" applyBorder="1" applyAlignment="1">
      <alignment horizontal="center" vertical="center" wrapText="1"/>
    </xf>
    <xf numFmtId="0" fontId="19" fillId="4" borderId="11" xfId="4" applyFont="1" applyFill="1" applyBorder="1" applyAlignment="1">
      <alignment horizontal="center" vertical="center" wrapText="1"/>
    </xf>
    <xf numFmtId="0" fontId="19" fillId="4" borderId="18" xfId="4" applyFont="1" applyFill="1" applyBorder="1" applyAlignment="1">
      <alignment horizontal="center" vertical="center" wrapText="1"/>
    </xf>
    <xf numFmtId="0" fontId="19" fillId="4" borderId="1" xfId="4" applyFont="1" applyFill="1" applyBorder="1" applyAlignment="1">
      <alignment vertical="center" wrapText="1"/>
    </xf>
  </cellXfs>
  <cellStyles count="8">
    <cellStyle name="Millares" xfId="1" builtinId="3"/>
    <cellStyle name="Moneda" xfId="7" builtinId="4"/>
    <cellStyle name="Normal" xfId="0" builtinId="0"/>
    <cellStyle name="Normal 2" xfId="4" xr:uid="{00000000-0005-0000-0000-000002000000}"/>
    <cellStyle name="Normal 2 2" xfId="5" xr:uid="{00000000-0005-0000-0000-000003000000}"/>
    <cellStyle name="Normal 3" xfId="3" xr:uid="{00000000-0005-0000-0000-000004000000}"/>
    <cellStyle name="Porcentaje" xfId="2" builtinId="5"/>
    <cellStyle name="Porcentaje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2</xdr:col>
      <xdr:colOff>238125</xdr:colOff>
      <xdr:row>1</xdr:row>
      <xdr:rowOff>635910</xdr:rowOff>
    </xdr:to>
    <xdr:pic>
      <xdr:nvPicPr>
        <xdr:cNvPr id="2" name="Imagen 1" descr="Empresa de Energía de Arauca - Enel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635125" cy="947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0</xdr:rowOff>
    </xdr:from>
    <xdr:to>
      <xdr:col>2</xdr:col>
      <xdr:colOff>238125</xdr:colOff>
      <xdr:row>1</xdr:row>
      <xdr:rowOff>635910</xdr:rowOff>
    </xdr:to>
    <xdr:pic>
      <xdr:nvPicPr>
        <xdr:cNvPr id="2" name="Imagen 1" descr="Empresa de Energía de Arauca - Enelar">
          <a:extLst>
            <a:ext uri="{FF2B5EF4-FFF2-40B4-BE49-F238E27FC236}">
              <a16:creationId xmlns:a16="http://schemas.microsoft.com/office/drawing/2014/main" id="{7FC78C5A-4C1E-4787-89B2-67BDB69DF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0"/>
          <a:ext cx="1635125" cy="950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INDUSTRIA\BASES\INDICE%20PRODUCCION%20REAL\INDICE90%20(NUEVO%2098-00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ITCR94%20(IPM)%201994=100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EMP\PRECIOS%20PROM94=100copi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LCHARRVE\LFCH\varios\BOLETIN1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DOCSEGUIMACRO\RECIBIDOS\DICIEMBRE\CAMBIARIA\CAMSEG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rey.ramirez\Documents\COMPRAS%20DE%20ENERGIA%202022-11\2022-12%20Proceso%20compras%20energ&#237;a\INFORMACION%20PRELIMINAR%20CONVOCATORIA%20(24%20NOV%202022)\2022-12-14%20Curvas%20ajustadas%2023-36%2024nov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users\Lcharrve\REVISTA\CONSOLIDADO\FPjul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fertas\A&#241;o%202019\MR\CODENSA\Invitaci&#243;n%20GM%2019%20004\Formato%20Registro%20Contrato%20EPM%20098_13_06_201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ireccion%20Comercial/Procesos/2026/CP-ENIC2026-003/dise&#241;o%20produc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"/>
      <sheetName val="VAR MENSUAL"/>
      <sheetName val="VAR ANUAL"/>
      <sheetName val="VAR ACUMULA CORRIDA"/>
      <sheetName val="VAR ACUMULA ANUAL"/>
      <sheetName val="EJERCICIO CH ACUM VAR% "/>
      <sheetName val="Table 17 Var anual"/>
      <sheetName val="Tabla 17 Promedio"/>
      <sheetName val="Promedi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AS"/>
      <sheetName val="DIARIO"/>
      <sheetName val="ITCR FIN DE"/>
      <sheetName val="ITCRIPC(NT)"/>
      <sheetName val="ITCRIPP(NT)"/>
      <sheetName val="GRAFICO ITCR"/>
      <sheetName val="EST. IPM - IPC"/>
      <sheetName val="grfipc"/>
      <sheetName val="ITCRIPP(T)"/>
      <sheetName val="ITCRIPC(T)"/>
      <sheetName val="revista"/>
      <sheetName val="ITCR(TR-NTR)"/>
      <sheetName val="ITCRFMI"/>
      <sheetName val="Gráfico3"/>
      <sheetName val="RESULTAD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M"/>
      <sheetName val="IPC"/>
      <sheetName val="EMPALMES"/>
      <sheetName val="WPI"/>
    </sheetNames>
    <sheetDataSet>
      <sheetData sheetId="0">
        <row r="1">
          <cell r="A1" t="str">
            <v>CODIGO SERIE</v>
          </cell>
          <cell r="B1" t="str">
            <v>63...</v>
          </cell>
          <cell r="C1" t="str">
            <v>63...</v>
          </cell>
          <cell r="D1" t="str">
            <v>63...</v>
          </cell>
          <cell r="E1" t="str">
            <v>63...</v>
          </cell>
          <cell r="F1" t="str">
            <v>63...</v>
          </cell>
          <cell r="G1" t="str">
            <v>64...</v>
          </cell>
          <cell r="H1" t="str">
            <v>63...</v>
          </cell>
          <cell r="I1" t="str">
            <v>63A..</v>
          </cell>
          <cell r="J1" t="str">
            <v>63...</v>
          </cell>
          <cell r="K1" t="str">
            <v>63...</v>
          </cell>
          <cell r="L1" t="str">
            <v>63...</v>
          </cell>
          <cell r="M1" t="str">
            <v>63...</v>
          </cell>
          <cell r="O1" t="str">
            <v>63...</v>
          </cell>
          <cell r="P1" t="str">
            <v>63...</v>
          </cell>
          <cell r="Q1" t="str">
            <v>64...</v>
          </cell>
          <cell r="R1" t="str">
            <v>63...</v>
          </cell>
          <cell r="S1" t="str">
            <v>63...</v>
          </cell>
          <cell r="T1" t="str">
            <v>64...</v>
          </cell>
          <cell r="U1" t="str">
            <v>64...</v>
          </cell>
          <cell r="V1" t="str">
            <v>63...</v>
          </cell>
        </row>
        <row r="2">
          <cell r="A2" t="str">
            <v>CODIGO PAÍS</v>
          </cell>
          <cell r="B2" t="str">
            <v>111</v>
          </cell>
          <cell r="C2" t="str">
            <v>134</v>
          </cell>
          <cell r="D2" t="str">
            <v>158</v>
          </cell>
          <cell r="E2" t="str">
            <v>138</v>
          </cell>
          <cell r="F2" t="str">
            <v>184</v>
          </cell>
          <cell r="G2" t="str">
            <v>132</v>
          </cell>
          <cell r="H2" t="str">
            <v>112</v>
          </cell>
          <cell r="I2" t="str">
            <v>136</v>
          </cell>
          <cell r="J2" t="str">
            <v>124</v>
          </cell>
          <cell r="K2" t="str">
            <v>146</v>
          </cell>
          <cell r="L2" t="str">
            <v>156</v>
          </cell>
          <cell r="M2" t="str">
            <v>144</v>
          </cell>
          <cell r="O2" t="str">
            <v>273</v>
          </cell>
          <cell r="P2" t="str">
            <v>299</v>
          </cell>
          <cell r="Q2" t="str">
            <v>248</v>
          </cell>
          <cell r="R2" t="str">
            <v>223</v>
          </cell>
          <cell r="S2" t="str">
            <v>228</v>
          </cell>
          <cell r="T2" t="str">
            <v>293</v>
          </cell>
          <cell r="U2" t="str">
            <v>283</v>
          </cell>
          <cell r="V2" t="str">
            <v>213</v>
          </cell>
        </row>
        <row r="3">
          <cell r="A3" t="str">
            <v>CODIGO</v>
          </cell>
        </row>
        <row r="4">
          <cell r="A4" t="str">
            <v>PAIS</v>
          </cell>
          <cell r="B4" t="str">
            <v>USA</v>
          </cell>
          <cell r="C4" t="str">
            <v>ALEMANIA</v>
          </cell>
          <cell r="D4" t="str">
            <v>JAPON</v>
          </cell>
          <cell r="E4" t="str">
            <v>HOLANDA</v>
          </cell>
          <cell r="F4" t="str">
            <v>ESPANA</v>
          </cell>
          <cell r="G4" t="str">
            <v>FRANCIA</v>
          </cell>
          <cell r="H4" t="str">
            <v>REINO U.</v>
          </cell>
          <cell r="I4" t="str">
            <v>ITALIA</v>
          </cell>
          <cell r="J4" t="str">
            <v>BELGICA</v>
          </cell>
          <cell r="K4" t="str">
            <v>SUIZA</v>
          </cell>
          <cell r="L4" t="str">
            <v>CANADA</v>
          </cell>
          <cell r="M4" t="str">
            <v>SUECIA</v>
          </cell>
          <cell r="N4" t="str">
            <v/>
          </cell>
          <cell r="O4" t="str">
            <v>MEXICO</v>
          </cell>
          <cell r="P4" t="str">
            <v>VENEZUELA</v>
          </cell>
          <cell r="Q4" t="str">
            <v>ECUADOR</v>
          </cell>
          <cell r="R4" t="str">
            <v>BRASIL</v>
          </cell>
          <cell r="S4" t="str">
            <v>CHILE</v>
          </cell>
          <cell r="T4" t="str">
            <v>PERU</v>
          </cell>
          <cell r="U4" t="str">
            <v>PANAMA</v>
          </cell>
          <cell r="V4" t="str">
            <v>ARGENTINA</v>
          </cell>
        </row>
        <row r="5">
          <cell r="A5">
            <v>31747</v>
          </cell>
          <cell r="B5">
            <v>82.797888020980565</v>
          </cell>
          <cell r="C5">
            <v>90.36436276816832</v>
          </cell>
          <cell r="D5">
            <v>104.59886540271191</v>
          </cell>
          <cell r="E5">
            <v>91.224949774120432</v>
          </cell>
          <cell r="F5">
            <v>81.920707257246221</v>
          </cell>
          <cell r="G5">
            <v>81.222316558271274</v>
          </cell>
          <cell r="H5">
            <v>73.053255085399655</v>
          </cell>
          <cell r="I5">
            <v>69.082385398020335</v>
          </cell>
          <cell r="J5">
            <v>98.936102584903892</v>
          </cell>
          <cell r="K5">
            <v>91.596271035341502</v>
          </cell>
          <cell r="L5">
            <v>83.921329448517852</v>
          </cell>
          <cell r="M5">
            <v>73.384926231846507</v>
          </cell>
          <cell r="O5">
            <v>12.304143436029321</v>
          </cell>
          <cell r="P5">
            <v>7.1000870707738404</v>
          </cell>
          <cell r="Q5">
            <v>4.909975179795004</v>
          </cell>
          <cell r="R5">
            <v>5.180377402216365E-7</v>
          </cell>
          <cell r="S5">
            <v>38.020257220917756</v>
          </cell>
          <cell r="T5">
            <v>5.5878856302097007E-4</v>
          </cell>
          <cell r="U5">
            <v>93.533529213964911</v>
          </cell>
          <cell r="V5">
            <v>8.1812244706614811E-3</v>
          </cell>
        </row>
        <row r="6">
          <cell r="A6">
            <v>31778</v>
          </cell>
          <cell r="B6">
            <v>83.462264856103062</v>
          </cell>
          <cell r="C6">
            <v>89.985873482186378</v>
          </cell>
          <cell r="D6">
            <v>103.76871542988557</v>
          </cell>
          <cell r="E6">
            <v>91.319483495813614</v>
          </cell>
          <cell r="F6">
            <v>82.101348643512324</v>
          </cell>
          <cell r="G6">
            <v>81.966564575593111</v>
          </cell>
          <cell r="H6">
            <v>73.744066567444349</v>
          </cell>
          <cell r="I6">
            <v>69.845061355348875</v>
          </cell>
          <cell r="J6">
            <v>98.096366887009907</v>
          </cell>
          <cell r="K6">
            <v>90.791912957984678</v>
          </cell>
          <cell r="L6">
            <v>84.376433871857245</v>
          </cell>
          <cell r="M6">
            <v>74.043087552939767</v>
          </cell>
          <cell r="O6">
            <v>13.221579310596368</v>
          </cell>
          <cell r="P6">
            <v>7.473523875294938</v>
          </cell>
          <cell r="Q6">
            <v>4.998369144934304</v>
          </cell>
          <cell r="R6">
            <v>5.7117097030218014E-7</v>
          </cell>
          <cell r="S6">
            <v>37.702774869548563</v>
          </cell>
          <cell r="T6">
            <v>5.9550721555452421E-4</v>
          </cell>
          <cell r="U6">
            <v>93.64787324300606</v>
          </cell>
          <cell r="V6">
            <v>8.6158002796441081E-3</v>
          </cell>
        </row>
        <row r="7">
          <cell r="A7">
            <v>31809</v>
          </cell>
          <cell r="B7">
            <v>83.877499654040221</v>
          </cell>
          <cell r="C7">
            <v>89.796628349997761</v>
          </cell>
          <cell r="D7">
            <v>103.65012211593394</v>
          </cell>
          <cell r="E7">
            <v>91.035883285523695</v>
          </cell>
          <cell r="F7">
            <v>82.191668881956844</v>
          </cell>
          <cell r="G7">
            <v>82.115414726129714</v>
          </cell>
          <cell r="H7">
            <v>74.003120657368669</v>
          </cell>
          <cell r="I7">
            <v>69.965483874927074</v>
          </cell>
          <cell r="J7">
            <v>97.714669128907531</v>
          </cell>
          <cell r="K7">
            <v>90.590823193588591</v>
          </cell>
          <cell r="L7">
            <v>84.103371767119611</v>
          </cell>
          <cell r="M7">
            <v>74.207627214562876</v>
          </cell>
          <cell r="O7">
            <v>14.007250658543047</v>
          </cell>
          <cell r="P7">
            <v>8.067192590930695</v>
          </cell>
          <cell r="Q7">
            <v>5.1250372165191971</v>
          </cell>
          <cell r="R7">
            <v>6.2910517444354728E-7</v>
          </cell>
          <cell r="S7">
            <v>38.034688007768061</v>
          </cell>
          <cell r="T7">
            <v>6.2855494820827495E-4</v>
          </cell>
          <cell r="U7">
            <v>93.590700751769972</v>
          </cell>
          <cell r="V7">
            <v>9.2101006993550501E-3</v>
          </cell>
        </row>
        <row r="8">
          <cell r="A8">
            <v>31837</v>
          </cell>
          <cell r="B8">
            <v>84.043593380144586</v>
          </cell>
          <cell r="C8">
            <v>89.891250916092076</v>
          </cell>
          <cell r="D8">
            <v>103.76871542988557</v>
          </cell>
          <cell r="E8">
            <v>91.035883285523695</v>
          </cell>
          <cell r="F8">
            <v>82.281989120401349</v>
          </cell>
          <cell r="G8">
            <v>82.214647248033714</v>
          </cell>
          <cell r="H8">
            <v>74.175823096194975</v>
          </cell>
          <cell r="I8">
            <v>70.045765554645854</v>
          </cell>
          <cell r="J8">
            <v>98.172706018584549</v>
          </cell>
          <cell r="K8">
            <v>90.691368075786642</v>
          </cell>
          <cell r="L8">
            <v>84.103371767119611</v>
          </cell>
          <cell r="M8">
            <v>74.043087552939767</v>
          </cell>
          <cell r="O8">
            <v>15.031264605415668</v>
          </cell>
          <cell r="P8">
            <v>8.5603206392531543</v>
          </cell>
          <cell r="Q8">
            <v>5.3893082452922236</v>
          </cell>
          <cell r="R8">
            <v>7.1492160276700436E-7</v>
          </cell>
          <cell r="S8">
            <v>39.10258135667808</v>
          </cell>
          <cell r="T8">
            <v>6.6225067427181609E-4</v>
          </cell>
          <cell r="U8">
            <v>93.81938976328334</v>
          </cell>
          <cell r="V8">
            <v>9.9330104832606597E-3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  <sheetName val="BOLETIN11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GRAGICOS"/>
      <sheetName val="Módulo1"/>
    </sheetNames>
    <sheetDataSet>
      <sheetData sheetId="0">
        <row r="3">
          <cell r="B3" t="str">
            <v>Cuadro II-3A</v>
          </cell>
          <cell r="N3" t="str">
            <v>Cuadro II-4A</v>
          </cell>
          <cell r="X3" t="str">
            <v>Cuadro II-5A</v>
          </cell>
        </row>
        <row r="5">
          <cell r="B5" t="str">
            <v>REINTEGROS POR SERVICIOS FINANCIEROS Y NO FINANCIEROS</v>
          </cell>
          <cell r="N5" t="str">
            <v>CUENTA DE CAPITAL</v>
          </cell>
          <cell r="X5" t="str">
            <v>BALANZA CAMBIARIA</v>
          </cell>
        </row>
        <row r="7">
          <cell r="B7" t="str">
            <v>(Valores mensuales)</v>
          </cell>
          <cell r="N7" t="str">
            <v>(Valores mensuales)</v>
          </cell>
          <cell r="X7" t="str">
            <v>(Valores mensuales)</v>
          </cell>
        </row>
        <row r="9">
          <cell r="I9" t="str">
            <v xml:space="preserve">                  (Miles de dólares)</v>
          </cell>
          <cell r="T9" t="str">
            <v>(Miles de pesos)</v>
          </cell>
          <cell r="AD9" t="str">
            <v xml:space="preserve">               (Miles de dólares)</v>
          </cell>
        </row>
        <row r="10">
          <cell r="B10" t="str">
            <v>Período</v>
          </cell>
          <cell r="D10" t="str">
            <v>Turismo</v>
          </cell>
          <cell r="E10" t="str">
            <v>Transferencias</v>
          </cell>
          <cell r="F10" t="str">
            <v>Otros servicios</v>
          </cell>
          <cell r="G10" t="str">
            <v>Servicios</v>
          </cell>
          <cell r="I10" t="str">
            <v>Servicios Totales</v>
          </cell>
          <cell r="N10" t="str">
            <v>Período</v>
          </cell>
          <cell r="P10" t="str">
            <v>Sector</v>
          </cell>
          <cell r="Q10" t="str">
            <v>Inversión</v>
          </cell>
          <cell r="R10" t="str">
            <v>Sector</v>
          </cell>
          <cell r="S10" t="str">
            <v>Operaciones</v>
          </cell>
          <cell r="T10" t="str">
            <v>Financiación</v>
          </cell>
          <cell r="Y10" t="str">
            <v>Período</v>
          </cell>
          <cell r="Z10" t="str">
            <v>Superávit o</v>
          </cell>
          <cell r="AA10" t="str">
            <v xml:space="preserve">  Financiación</v>
          </cell>
          <cell r="AB10" t="str">
            <v>Causaciones</v>
          </cell>
          <cell r="AD10" t="str">
            <v>Variación Reservas Netas</v>
          </cell>
        </row>
        <row r="11">
          <cell r="E11" t="str">
            <v>e ingresos</v>
          </cell>
          <cell r="F11" t="str">
            <v>no financieros</v>
          </cell>
          <cell r="G11" t="str">
            <v>financieros</v>
          </cell>
          <cell r="I11" t="str">
            <v>Mensual</v>
          </cell>
          <cell r="J11" t="str">
            <v xml:space="preserve">   Año corrido</v>
          </cell>
          <cell r="P11" t="str">
            <v>privado¹</v>
          </cell>
          <cell r="Q11" t="str">
            <v>extranjera</v>
          </cell>
          <cell r="R11" t="str">
            <v>oficial¹</v>
          </cell>
          <cell r="S11" t="str">
            <v>especiales²</v>
          </cell>
          <cell r="T11" t="str">
            <v>neta</v>
          </cell>
          <cell r="Z11" t="str">
            <v>déficit en</v>
          </cell>
          <cell r="AA11" t="str">
            <v>neta</v>
          </cell>
          <cell r="AB11" t="str">
            <v>valuac. y prov.</v>
          </cell>
          <cell r="AD11" t="str">
            <v>Mensual</v>
          </cell>
          <cell r="AE11" t="str">
            <v>Año corrido</v>
          </cell>
        </row>
        <row r="12">
          <cell r="E12" t="str">
            <v>personales</v>
          </cell>
          <cell r="Q12" t="str">
            <v>neta</v>
          </cell>
          <cell r="Z12" t="str">
            <v>Cta. Cte.</v>
          </cell>
        </row>
        <row r="13">
          <cell r="C13" t="str">
            <v>Ene/92</v>
          </cell>
          <cell r="D13">
            <v>114511</v>
          </cell>
          <cell r="E13">
            <v>153740</v>
          </cell>
          <cell r="F13">
            <v>29600</v>
          </cell>
          <cell r="G13">
            <v>33905</v>
          </cell>
          <cell r="I13">
            <v>331756</v>
          </cell>
          <cell r="J13">
            <v>331756</v>
          </cell>
          <cell r="O13" t="str">
            <v>Ene/92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Y13" t="str">
            <v>Ene/92</v>
          </cell>
          <cell r="Z13">
            <v>0</v>
          </cell>
          <cell r="AA13">
            <v>0</v>
          </cell>
          <cell r="AB13">
            <v>0</v>
          </cell>
          <cell r="AD13">
            <v>0</v>
          </cell>
          <cell r="AE13">
            <v>0</v>
          </cell>
        </row>
        <row r="14">
          <cell r="C14" t="str">
            <v>Feb</v>
          </cell>
          <cell r="D14">
            <v>67955</v>
          </cell>
          <cell r="E14">
            <v>127936</v>
          </cell>
          <cell r="F14">
            <v>32100</v>
          </cell>
          <cell r="G14">
            <v>34048</v>
          </cell>
          <cell r="I14">
            <v>262039</v>
          </cell>
          <cell r="J14">
            <v>593795</v>
          </cell>
          <cell r="O14" t="str">
            <v>Feb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Y14" t="str">
            <v>Feb</v>
          </cell>
          <cell r="Z14">
            <v>0</v>
          </cell>
          <cell r="AA14">
            <v>0</v>
          </cell>
          <cell r="AB14">
            <v>0</v>
          </cell>
          <cell r="AD14">
            <v>0</v>
          </cell>
          <cell r="AE14">
            <v>0</v>
          </cell>
        </row>
        <row r="15">
          <cell r="C15" t="str">
            <v>Mar</v>
          </cell>
          <cell r="D15">
            <v>87352</v>
          </cell>
          <cell r="E15">
            <v>161634</v>
          </cell>
          <cell r="F15">
            <v>31400</v>
          </cell>
          <cell r="G15">
            <v>29525</v>
          </cell>
          <cell r="I15">
            <v>309911</v>
          </cell>
          <cell r="J15">
            <v>903706</v>
          </cell>
          <cell r="O15" t="str">
            <v>Mar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Y15" t="str">
            <v>Mar</v>
          </cell>
          <cell r="Z15">
            <v>0</v>
          </cell>
          <cell r="AA15">
            <v>0</v>
          </cell>
          <cell r="AB15">
            <v>0</v>
          </cell>
          <cell r="AD15">
            <v>0</v>
          </cell>
          <cell r="AE15">
            <v>0</v>
          </cell>
        </row>
        <row r="16">
          <cell r="C16" t="str">
            <v>Abr</v>
          </cell>
          <cell r="D16">
            <v>75665</v>
          </cell>
          <cell r="E16">
            <v>152252</v>
          </cell>
          <cell r="F16">
            <v>33200</v>
          </cell>
          <cell r="G16">
            <v>29504</v>
          </cell>
          <cell r="I16">
            <v>290621</v>
          </cell>
          <cell r="J16">
            <v>1194327</v>
          </cell>
          <cell r="O16" t="str">
            <v>Abr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Y16" t="str">
            <v>Abr</v>
          </cell>
          <cell r="Z16">
            <v>0</v>
          </cell>
          <cell r="AA16">
            <v>0</v>
          </cell>
          <cell r="AB16">
            <v>0</v>
          </cell>
          <cell r="AD16">
            <v>0</v>
          </cell>
          <cell r="AE16">
            <v>0</v>
          </cell>
        </row>
        <row r="17">
          <cell r="C17" t="str">
            <v>May</v>
          </cell>
          <cell r="D17">
            <v>60910</v>
          </cell>
          <cell r="E17">
            <v>187880</v>
          </cell>
          <cell r="F17">
            <v>29400</v>
          </cell>
          <cell r="G17">
            <v>34161</v>
          </cell>
          <cell r="I17">
            <v>312351</v>
          </cell>
          <cell r="J17">
            <v>1506678</v>
          </cell>
          <cell r="O17" t="str">
            <v>May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Y17" t="str">
            <v>May</v>
          </cell>
          <cell r="Z17">
            <v>0</v>
          </cell>
          <cell r="AA17">
            <v>0</v>
          </cell>
          <cell r="AB17">
            <v>0</v>
          </cell>
          <cell r="AD17">
            <v>0</v>
          </cell>
          <cell r="AE17">
            <v>0</v>
          </cell>
        </row>
        <row r="18">
          <cell r="C18" t="str">
            <v>Jun</v>
          </cell>
          <cell r="D18">
            <v>69787</v>
          </cell>
          <cell r="E18">
            <v>187504</v>
          </cell>
          <cell r="F18">
            <v>26300</v>
          </cell>
          <cell r="G18">
            <v>31825</v>
          </cell>
          <cell r="I18">
            <v>315416</v>
          </cell>
          <cell r="J18">
            <v>1822094</v>
          </cell>
          <cell r="O18" t="str">
            <v>Jun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Y18" t="str">
            <v>Jun</v>
          </cell>
          <cell r="Z18">
            <v>0</v>
          </cell>
          <cell r="AA18">
            <v>0</v>
          </cell>
          <cell r="AB18">
            <v>0</v>
          </cell>
          <cell r="AD18">
            <v>0</v>
          </cell>
          <cell r="AE18">
            <v>0</v>
          </cell>
        </row>
        <row r="19">
          <cell r="C19" t="str">
            <v>Jul</v>
          </cell>
          <cell r="D19">
            <v>71327</v>
          </cell>
          <cell r="E19">
            <v>150709</v>
          </cell>
          <cell r="F19">
            <v>27800</v>
          </cell>
          <cell r="G19">
            <v>31572</v>
          </cell>
          <cell r="I19">
            <v>281408</v>
          </cell>
          <cell r="J19">
            <v>2103502</v>
          </cell>
          <cell r="O19" t="str">
            <v>Jul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Y19" t="str">
            <v>Jul</v>
          </cell>
          <cell r="Z19">
            <v>0</v>
          </cell>
          <cell r="AA19">
            <v>0</v>
          </cell>
          <cell r="AB19">
            <v>0</v>
          </cell>
          <cell r="AD19">
            <v>0</v>
          </cell>
          <cell r="AE19">
            <v>0</v>
          </cell>
        </row>
        <row r="20">
          <cell r="C20" t="str">
            <v>Ago</v>
          </cell>
          <cell r="D20">
            <v>62021</v>
          </cell>
          <cell r="E20">
            <v>81215</v>
          </cell>
          <cell r="F20">
            <v>28100</v>
          </cell>
          <cell r="G20">
            <v>32021</v>
          </cell>
          <cell r="I20">
            <v>203357</v>
          </cell>
          <cell r="J20">
            <v>2306859</v>
          </cell>
          <cell r="O20" t="str">
            <v>Ago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Y20" t="str">
            <v>Ago</v>
          </cell>
          <cell r="Z20">
            <v>0</v>
          </cell>
          <cell r="AA20">
            <v>0</v>
          </cell>
          <cell r="AB20">
            <v>0</v>
          </cell>
          <cell r="AD20">
            <v>0</v>
          </cell>
          <cell r="AE20">
            <v>0</v>
          </cell>
        </row>
        <row r="21">
          <cell r="C21" t="str">
            <v>Sep</v>
          </cell>
          <cell r="D21">
            <v>95781</v>
          </cell>
          <cell r="E21">
            <v>103732</v>
          </cell>
          <cell r="F21">
            <v>39900</v>
          </cell>
          <cell r="G21">
            <v>30567</v>
          </cell>
          <cell r="I21">
            <v>269980</v>
          </cell>
          <cell r="J21">
            <v>2576839</v>
          </cell>
          <cell r="O21" t="str">
            <v>Sep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Y21" t="str">
            <v>Sep</v>
          </cell>
          <cell r="Z21">
            <v>0</v>
          </cell>
          <cell r="AA21">
            <v>0</v>
          </cell>
          <cell r="AB21">
            <v>0</v>
          </cell>
          <cell r="AD21">
            <v>0</v>
          </cell>
          <cell r="AE21">
            <v>0</v>
          </cell>
        </row>
        <row r="22">
          <cell r="C22" t="str">
            <v>Oct</v>
          </cell>
          <cell r="D22">
            <v>26679</v>
          </cell>
          <cell r="E22">
            <v>82878</v>
          </cell>
          <cell r="F22">
            <v>62000</v>
          </cell>
          <cell r="G22">
            <v>43353</v>
          </cell>
          <cell r="I22">
            <v>214910</v>
          </cell>
          <cell r="J22">
            <v>2791749</v>
          </cell>
          <cell r="O22" t="str">
            <v>Oct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Y22" t="str">
            <v>Oct</v>
          </cell>
          <cell r="Z22">
            <v>0</v>
          </cell>
          <cell r="AA22">
            <v>0</v>
          </cell>
          <cell r="AB22">
            <v>0</v>
          </cell>
          <cell r="AD22">
            <v>0</v>
          </cell>
          <cell r="AE22">
            <v>0</v>
          </cell>
        </row>
        <row r="23">
          <cell r="C23" t="str">
            <v>Nov</v>
          </cell>
          <cell r="D23">
            <v>33120</v>
          </cell>
          <cell r="E23">
            <v>80885</v>
          </cell>
          <cell r="F23">
            <v>43100</v>
          </cell>
          <cell r="G23">
            <v>34207</v>
          </cell>
          <cell r="I23">
            <v>191312</v>
          </cell>
          <cell r="J23">
            <v>2983061</v>
          </cell>
          <cell r="O23" t="str">
            <v>Nov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Y23" t="str">
            <v>Nov</v>
          </cell>
          <cell r="Z23">
            <v>0</v>
          </cell>
          <cell r="AA23">
            <v>0</v>
          </cell>
          <cell r="AB23">
            <v>0</v>
          </cell>
          <cell r="AD23">
            <v>0</v>
          </cell>
          <cell r="AE23">
            <v>0</v>
          </cell>
        </row>
        <row r="24">
          <cell r="C24" t="str">
            <v>Dic</v>
          </cell>
          <cell r="D24">
            <v>32277</v>
          </cell>
          <cell r="E24">
            <v>122500</v>
          </cell>
          <cell r="F24">
            <v>34000</v>
          </cell>
          <cell r="G24">
            <v>31163</v>
          </cell>
          <cell r="I24">
            <v>219940</v>
          </cell>
          <cell r="J24">
            <v>3203001</v>
          </cell>
          <cell r="O24" t="str">
            <v>Dic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Y24" t="str">
            <v>Dic</v>
          </cell>
          <cell r="Z24">
            <v>0</v>
          </cell>
          <cell r="AA24">
            <v>0</v>
          </cell>
          <cell r="AB24">
            <v>0</v>
          </cell>
          <cell r="AD24">
            <v>0</v>
          </cell>
          <cell r="AE24">
            <v>0</v>
          </cell>
        </row>
        <row r="25">
          <cell r="C25" t="str">
            <v>Ene/93</v>
          </cell>
          <cell r="D25">
            <v>42301.246950000001</v>
          </cell>
          <cell r="E25">
            <v>50717.076639999999</v>
          </cell>
          <cell r="F25">
            <v>25797.451659999999</v>
          </cell>
          <cell r="G25">
            <v>3826.4597199999998</v>
          </cell>
          <cell r="I25">
            <v>122642.23497</v>
          </cell>
          <cell r="J25">
            <v>122642.23497</v>
          </cell>
          <cell r="O25" t="str">
            <v>Ene/93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Y25" t="str">
            <v>Ene/93</v>
          </cell>
          <cell r="Z25">
            <v>0</v>
          </cell>
          <cell r="AA25">
            <v>0</v>
          </cell>
          <cell r="AB25">
            <v>0</v>
          </cell>
          <cell r="AD25">
            <v>0</v>
          </cell>
          <cell r="AE25">
            <v>0</v>
          </cell>
        </row>
        <row r="26">
          <cell r="C26" t="str">
            <v>Feb</v>
          </cell>
          <cell r="D26">
            <v>40683.953419999998</v>
          </cell>
          <cell r="E26">
            <v>84177.152990000002</v>
          </cell>
          <cell r="F26">
            <v>33469.500160000003</v>
          </cell>
          <cell r="G26">
            <v>19947.53514</v>
          </cell>
          <cell r="I26">
            <v>178278.14171</v>
          </cell>
          <cell r="J26">
            <v>300920.37667999999</v>
          </cell>
          <cell r="O26" t="str">
            <v>Feb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Y26" t="str">
            <v>Feb</v>
          </cell>
          <cell r="Z26">
            <v>0</v>
          </cell>
          <cell r="AA26">
            <v>0</v>
          </cell>
          <cell r="AB26">
            <v>0</v>
          </cell>
          <cell r="AD26">
            <v>0</v>
          </cell>
          <cell r="AE26">
            <v>0</v>
          </cell>
        </row>
        <row r="27">
          <cell r="C27" t="str">
            <v>Mar</v>
          </cell>
          <cell r="D27">
            <v>65350.022790000003</v>
          </cell>
          <cell r="E27">
            <v>93550.699630000003</v>
          </cell>
          <cell r="F27">
            <v>48519.601139999999</v>
          </cell>
          <cell r="G27">
            <v>19575.386450000002</v>
          </cell>
          <cell r="I27">
            <v>226995.71001000001</v>
          </cell>
          <cell r="J27">
            <v>527916.08669000003</v>
          </cell>
          <cell r="O27" t="str">
            <v>Mar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Y27" t="str">
            <v>Mar</v>
          </cell>
          <cell r="Z27">
            <v>0</v>
          </cell>
          <cell r="AA27">
            <v>0</v>
          </cell>
          <cell r="AB27">
            <v>0</v>
          </cell>
          <cell r="AD27">
            <v>0</v>
          </cell>
          <cell r="AE27">
            <v>0</v>
          </cell>
        </row>
        <row r="28">
          <cell r="C28" t="str">
            <v>Abr</v>
          </cell>
          <cell r="D28">
            <v>57920.03671</v>
          </cell>
          <cell r="E28">
            <v>118624.52353000001</v>
          </cell>
          <cell r="F28">
            <v>44640.802329999999</v>
          </cell>
          <cell r="G28">
            <v>34349.11073</v>
          </cell>
          <cell r="I28">
            <v>255534.47330000001</v>
          </cell>
          <cell r="J28">
            <v>783450.55998999998</v>
          </cell>
          <cell r="O28" t="str">
            <v>Abr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Y28" t="str">
            <v>Abr</v>
          </cell>
          <cell r="Z28">
            <v>0</v>
          </cell>
          <cell r="AA28">
            <v>0</v>
          </cell>
          <cell r="AB28">
            <v>0</v>
          </cell>
          <cell r="AD28">
            <v>0</v>
          </cell>
          <cell r="AE28">
            <v>0</v>
          </cell>
        </row>
        <row r="29">
          <cell r="C29" t="str">
            <v>May</v>
          </cell>
          <cell r="D29">
            <v>81486.929959999994</v>
          </cell>
          <cell r="E29">
            <v>166883.22302999999</v>
          </cell>
          <cell r="F29">
            <v>51822.981200000002</v>
          </cell>
          <cell r="G29">
            <v>49345.340120000001</v>
          </cell>
          <cell r="I29">
            <v>349538.47431000002</v>
          </cell>
          <cell r="J29">
            <v>1132989.0342999999</v>
          </cell>
          <cell r="O29" t="str">
            <v>May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Y29" t="str">
            <v>May</v>
          </cell>
          <cell r="Z29">
            <v>0</v>
          </cell>
          <cell r="AA29">
            <v>0</v>
          </cell>
          <cell r="AB29">
            <v>0</v>
          </cell>
          <cell r="AD29">
            <v>0</v>
          </cell>
          <cell r="AE29">
            <v>0</v>
          </cell>
        </row>
        <row r="30">
          <cell r="C30" t="str">
            <v>Jun</v>
          </cell>
          <cell r="D30">
            <v>77198.400869999998</v>
          </cell>
          <cell r="E30">
            <v>196376.38672000001</v>
          </cell>
          <cell r="F30">
            <v>76262.833329999994</v>
          </cell>
          <cell r="G30">
            <v>72506.699349999995</v>
          </cell>
          <cell r="I30">
            <v>422344.32027000003</v>
          </cell>
          <cell r="J30">
            <v>1555333.35457</v>
          </cell>
          <cell r="O30" t="str">
            <v>Jun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Y30" t="str">
            <v>Jun</v>
          </cell>
          <cell r="Z30">
            <v>0</v>
          </cell>
          <cell r="AA30">
            <v>0</v>
          </cell>
          <cell r="AB30">
            <v>0</v>
          </cell>
          <cell r="AD30">
            <v>0</v>
          </cell>
          <cell r="AE30">
            <v>0</v>
          </cell>
        </row>
        <row r="31">
          <cell r="C31" t="str">
            <v>Jul</v>
          </cell>
          <cell r="D31">
            <v>71646.485990000001</v>
          </cell>
          <cell r="E31">
            <v>96500.261679999996</v>
          </cell>
          <cell r="F31">
            <v>54008.703730000001</v>
          </cell>
          <cell r="G31">
            <v>49172.853779999998</v>
          </cell>
          <cell r="I31">
            <v>271328.30518000002</v>
          </cell>
          <cell r="J31">
            <v>1826661.6597500001</v>
          </cell>
          <cell r="O31" t="str">
            <v>Jul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Y31" t="str">
            <v>Jul</v>
          </cell>
          <cell r="Z31">
            <v>0</v>
          </cell>
          <cell r="AA31">
            <v>0</v>
          </cell>
          <cell r="AB31">
            <v>0</v>
          </cell>
          <cell r="AD31">
            <v>0</v>
          </cell>
          <cell r="AE31">
            <v>0</v>
          </cell>
        </row>
        <row r="32">
          <cell r="C32" t="str">
            <v>Ago</v>
          </cell>
          <cell r="D32">
            <v>74645.982380000001</v>
          </cell>
          <cell r="E32">
            <v>80957.482440000007</v>
          </cell>
          <cell r="F32">
            <v>41071.064689999999</v>
          </cell>
          <cell r="G32">
            <v>72102.743210000001</v>
          </cell>
          <cell r="I32">
            <v>268777.27272000001</v>
          </cell>
          <cell r="J32">
            <v>2095438.9324700001</v>
          </cell>
          <cell r="O32" t="str">
            <v>Ago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Y32" t="str">
            <v>Ago</v>
          </cell>
          <cell r="Z32">
            <v>0</v>
          </cell>
          <cell r="AA32">
            <v>0</v>
          </cell>
          <cell r="AB32">
            <v>0</v>
          </cell>
          <cell r="AD32">
            <v>0</v>
          </cell>
          <cell r="AE32">
            <v>0</v>
          </cell>
        </row>
        <row r="33">
          <cell r="C33" t="str">
            <v>Sep</v>
          </cell>
          <cell r="D33">
            <v>61686.985249999998</v>
          </cell>
          <cell r="E33">
            <v>94210.686660000007</v>
          </cell>
          <cell r="F33">
            <v>49176.18219</v>
          </cell>
          <cell r="G33">
            <v>52466.730109999997</v>
          </cell>
          <cell r="I33">
            <v>257540.58421</v>
          </cell>
          <cell r="J33">
            <v>2352979.5166800003</v>
          </cell>
          <cell r="O33" t="str">
            <v>Sep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Y33" t="str">
            <v>Sep</v>
          </cell>
          <cell r="Z33">
            <v>0</v>
          </cell>
          <cell r="AA33">
            <v>0</v>
          </cell>
          <cell r="AB33">
            <v>0</v>
          </cell>
          <cell r="AD33">
            <v>0</v>
          </cell>
          <cell r="AE33">
            <v>0</v>
          </cell>
        </row>
        <row r="34">
          <cell r="C34" t="str">
            <v>Oct</v>
          </cell>
          <cell r="D34">
            <v>49725.894390000001</v>
          </cell>
          <cell r="E34">
            <v>50325.549939999997</v>
          </cell>
          <cell r="F34">
            <v>59841.582900000001</v>
          </cell>
          <cell r="G34">
            <v>63327.290690000002</v>
          </cell>
          <cell r="I34">
            <v>223220.31792</v>
          </cell>
          <cell r="J34">
            <v>2576199.8346000002</v>
          </cell>
          <cell r="O34" t="str">
            <v>Oct*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Y34" t="str">
            <v>Oct*</v>
          </cell>
          <cell r="Z34">
            <v>0</v>
          </cell>
          <cell r="AA34">
            <v>0</v>
          </cell>
          <cell r="AB34">
            <v>0</v>
          </cell>
          <cell r="AD34">
            <v>0</v>
          </cell>
          <cell r="AE34">
            <v>0</v>
          </cell>
        </row>
        <row r="35">
          <cell r="C35" t="str">
            <v>Nov</v>
          </cell>
          <cell r="D35">
            <v>73458.465620000003</v>
          </cell>
          <cell r="E35">
            <v>58802.51902</v>
          </cell>
          <cell r="F35">
            <v>48203.709430000003</v>
          </cell>
          <cell r="G35">
            <v>43088.265059999998</v>
          </cell>
          <cell r="I35">
            <v>223552.95913</v>
          </cell>
          <cell r="J35">
            <v>2799752.79373</v>
          </cell>
          <cell r="O35" t="str">
            <v>Nov*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Y35" t="str">
            <v>Nov*</v>
          </cell>
          <cell r="Z35">
            <v>0</v>
          </cell>
          <cell r="AA35">
            <v>0</v>
          </cell>
          <cell r="AB35">
            <v>0</v>
          </cell>
          <cell r="AD35">
            <v>0</v>
          </cell>
          <cell r="AE35">
            <v>0</v>
          </cell>
        </row>
        <row r="36">
          <cell r="C36" t="str">
            <v>Dic*</v>
          </cell>
          <cell r="D36">
            <v>38267.381179999997</v>
          </cell>
          <cell r="E36">
            <v>61910.056080000002</v>
          </cell>
          <cell r="F36">
            <v>90751.412259999997</v>
          </cell>
          <cell r="G36">
            <v>49646.904309999998</v>
          </cell>
          <cell r="I36">
            <v>240575.75383</v>
          </cell>
          <cell r="J36">
            <v>3040328.5475599999</v>
          </cell>
          <cell r="O36" t="str">
            <v>Dic*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Y36" t="str">
            <v>Dic*</v>
          </cell>
          <cell r="Z36">
            <v>0</v>
          </cell>
          <cell r="AA36">
            <v>0</v>
          </cell>
          <cell r="AB36">
            <v>0</v>
          </cell>
          <cell r="AD36">
            <v>0</v>
          </cell>
          <cell r="AE36">
            <v>0</v>
          </cell>
        </row>
        <row r="37">
          <cell r="B37">
            <v>1994</v>
          </cell>
          <cell r="C37" t="str">
            <v>Ene</v>
          </cell>
          <cell r="D37">
            <v>52309.503879999997</v>
          </cell>
          <cell r="E37">
            <v>60242.882149999998</v>
          </cell>
          <cell r="F37">
            <v>89650.704140000002</v>
          </cell>
          <cell r="G37">
            <v>9462.7562500000004</v>
          </cell>
          <cell r="I37">
            <v>211665.84641999999</v>
          </cell>
          <cell r="J37">
            <v>211665.84641999999</v>
          </cell>
          <cell r="N37">
            <v>1994</v>
          </cell>
          <cell r="O37" t="str">
            <v>Ene</v>
          </cell>
          <cell r="P37">
            <v>98856.574869999997</v>
          </cell>
          <cell r="Q37">
            <v>4289.4307799999997</v>
          </cell>
          <cell r="R37">
            <v>36038.230360000001</v>
          </cell>
          <cell r="S37">
            <v>-58487.178059999998</v>
          </cell>
          <cell r="T37">
            <v>80697.057950000002</v>
          </cell>
          <cell r="X37">
            <v>1994</v>
          </cell>
          <cell r="Y37" t="str">
            <v>Ene</v>
          </cell>
          <cell r="Z37">
            <v>-4908.22703</v>
          </cell>
          <cell r="AA37">
            <v>80697.057950000002</v>
          </cell>
          <cell r="AB37">
            <v>44490.059780000003</v>
          </cell>
          <cell r="AD37">
            <v>120278.89070000002</v>
          </cell>
          <cell r="AE37">
            <v>120278.89070000002</v>
          </cell>
        </row>
        <row r="38">
          <cell r="C38" t="str">
            <v>Feb</v>
          </cell>
          <cell r="D38">
            <v>64373.86765</v>
          </cell>
          <cell r="E38">
            <v>61938.00589</v>
          </cell>
          <cell r="F38">
            <v>72270.177389999997</v>
          </cell>
          <cell r="G38">
            <v>28929.449619999999</v>
          </cell>
          <cell r="I38">
            <v>227511.50055</v>
          </cell>
          <cell r="J38">
            <v>439177.34696999996</v>
          </cell>
          <cell r="O38" t="str">
            <v>Feb</v>
          </cell>
          <cell r="P38">
            <v>64279.223619999997</v>
          </cell>
          <cell r="Q38">
            <v>54150.321340000002</v>
          </cell>
          <cell r="R38">
            <v>-828.8905299999999</v>
          </cell>
          <cell r="S38">
            <v>-72515.964080000005</v>
          </cell>
          <cell r="T38">
            <v>45084.690349999997</v>
          </cell>
          <cell r="Y38" t="str">
            <v>Feb</v>
          </cell>
          <cell r="Z38">
            <v>11986.49914</v>
          </cell>
          <cell r="AA38">
            <v>45084.690349999997</v>
          </cell>
          <cell r="AB38">
            <v>34718.121619999998</v>
          </cell>
          <cell r="AD38">
            <v>91789.311109999995</v>
          </cell>
          <cell r="AE38">
            <v>212068.20181</v>
          </cell>
        </row>
        <row r="39">
          <cell r="C39" t="str">
            <v>Mar</v>
          </cell>
          <cell r="D39">
            <v>73804.892139999996</v>
          </cell>
          <cell r="E39">
            <v>61026.077149999997</v>
          </cell>
          <cell r="F39">
            <v>149632.56168000001</v>
          </cell>
          <cell r="G39">
            <v>27905.126489999999</v>
          </cell>
          <cell r="I39">
            <v>312368.65746000002</v>
          </cell>
          <cell r="J39">
            <v>751546.00442999997</v>
          </cell>
          <cell r="O39" t="str">
            <v>Mar</v>
          </cell>
          <cell r="P39">
            <v>129551.92991000001</v>
          </cell>
          <cell r="Q39">
            <v>9726.9258000000009</v>
          </cell>
          <cell r="R39">
            <v>10458.380590000001</v>
          </cell>
          <cell r="S39">
            <v>-62354.540079999999</v>
          </cell>
          <cell r="T39">
            <v>87382.696219999998</v>
          </cell>
          <cell r="Y39" t="str">
            <v>Mar</v>
          </cell>
          <cell r="Z39">
            <v>-37545.162400000001</v>
          </cell>
          <cell r="AA39">
            <v>87382.696219999998</v>
          </cell>
          <cell r="AB39">
            <v>-300</v>
          </cell>
          <cell r="AD39">
            <v>49537.533819999997</v>
          </cell>
          <cell r="AE39">
            <v>261605.73563000001</v>
          </cell>
        </row>
        <row r="40">
          <cell r="C40" t="str">
            <v>Abr</v>
          </cell>
          <cell r="D40">
            <v>73059.445259999993</v>
          </cell>
          <cell r="E40">
            <v>69096.412479999999</v>
          </cell>
          <cell r="F40">
            <v>80471.967480000007</v>
          </cell>
          <cell r="G40">
            <v>33748.590669999998</v>
          </cell>
          <cell r="I40">
            <v>256376.41589</v>
          </cell>
          <cell r="J40">
            <v>1007922.42032</v>
          </cell>
          <cell r="O40" t="str">
            <v>Abr</v>
          </cell>
          <cell r="P40">
            <v>47093.828269999998</v>
          </cell>
          <cell r="Q40">
            <v>-3644.83925</v>
          </cell>
          <cell r="R40">
            <v>-117689.03946</v>
          </cell>
          <cell r="S40">
            <v>29204.909790000002</v>
          </cell>
          <cell r="T40">
            <v>-45035.140650000001</v>
          </cell>
          <cell r="Y40" t="str">
            <v>Abr</v>
          </cell>
          <cell r="Z40">
            <v>-211922.83567</v>
          </cell>
          <cell r="AA40">
            <v>-45035.140650000001</v>
          </cell>
          <cell r="AB40">
            <v>7100</v>
          </cell>
          <cell r="AD40">
            <v>-249857.97632000002</v>
          </cell>
          <cell r="AE40">
            <v>11747.759309999994</v>
          </cell>
        </row>
        <row r="41">
          <cell r="C41" t="str">
            <v>May</v>
          </cell>
          <cell r="D41">
            <v>89141.745869999999</v>
          </cell>
          <cell r="E41">
            <v>73205.126600000003</v>
          </cell>
          <cell r="F41">
            <v>77062.059139999998</v>
          </cell>
          <cell r="G41">
            <v>50202.986570000001</v>
          </cell>
          <cell r="I41">
            <v>289611.91817999998</v>
          </cell>
          <cell r="J41">
            <v>1297534.3385000001</v>
          </cell>
          <cell r="O41" t="str">
            <v>May</v>
          </cell>
          <cell r="P41">
            <v>77540.745519999997</v>
          </cell>
          <cell r="Q41">
            <v>46822.13841</v>
          </cell>
          <cell r="R41">
            <v>17791.5088</v>
          </cell>
          <cell r="S41">
            <v>-67474.35411</v>
          </cell>
          <cell r="T41">
            <v>74680.038620000007</v>
          </cell>
          <cell r="Y41" t="str">
            <v>May</v>
          </cell>
          <cell r="Z41">
            <v>-80495.011620000005</v>
          </cell>
          <cell r="AA41">
            <v>74680.038620000007</v>
          </cell>
          <cell r="AB41">
            <v>-24400</v>
          </cell>
          <cell r="AD41">
            <v>-30214.972999999998</v>
          </cell>
          <cell r="AE41">
            <v>-18467.213690000004</v>
          </cell>
        </row>
        <row r="42">
          <cell r="C42" t="str">
            <v>Jun</v>
          </cell>
          <cell r="D42">
            <v>28983.359229999998</v>
          </cell>
          <cell r="E42">
            <v>73202.831709999999</v>
          </cell>
          <cell r="F42">
            <v>84461.793130000005</v>
          </cell>
          <cell r="G42">
            <v>35883.778319999998</v>
          </cell>
          <cell r="I42">
            <v>222531.76238999999</v>
          </cell>
          <cell r="J42">
            <v>1520066.1008900001</v>
          </cell>
          <cell r="O42" t="str">
            <v>Jun</v>
          </cell>
          <cell r="P42">
            <v>81499.983550000004</v>
          </cell>
          <cell r="Q42">
            <v>47933.055240000002</v>
          </cell>
          <cell r="R42">
            <v>78901.906310000006</v>
          </cell>
          <cell r="S42">
            <v>50103.131099999999</v>
          </cell>
          <cell r="T42">
            <v>258438.07620000001</v>
          </cell>
          <cell r="Y42" t="str">
            <v>Jun</v>
          </cell>
          <cell r="Z42">
            <v>-198288.44552000001</v>
          </cell>
          <cell r="AA42">
            <v>258438.07620000001</v>
          </cell>
          <cell r="AB42">
            <v>78000</v>
          </cell>
          <cell r="AD42">
            <v>138149.63068</v>
          </cell>
          <cell r="AE42">
            <v>119682.41699</v>
          </cell>
        </row>
        <row r="43">
          <cell r="C43" t="str">
            <v>Jul</v>
          </cell>
          <cell r="D43">
            <v>26809.723010000002</v>
          </cell>
          <cell r="E43">
            <v>53870.473660000003</v>
          </cell>
          <cell r="F43">
            <v>99130.333379999996</v>
          </cell>
          <cell r="G43">
            <v>40250.966249999998</v>
          </cell>
          <cell r="I43">
            <v>220061.4963</v>
          </cell>
          <cell r="J43">
            <v>1740127.5971900001</v>
          </cell>
          <cell r="O43" t="str">
            <v>Jul</v>
          </cell>
          <cell r="P43">
            <v>57597.961060000001</v>
          </cell>
          <cell r="Q43">
            <v>45992.493949999996</v>
          </cell>
          <cell r="R43">
            <v>6421.5344699999996</v>
          </cell>
          <cell r="S43">
            <v>19696.643769999999</v>
          </cell>
          <cell r="T43">
            <v>129708.63325</v>
          </cell>
          <cell r="Y43" t="str">
            <v>Jul</v>
          </cell>
          <cell r="Z43">
            <v>-157479.63325000001</v>
          </cell>
          <cell r="AA43">
            <v>129708.63325</v>
          </cell>
          <cell r="AB43">
            <v>6300</v>
          </cell>
          <cell r="AD43">
            <v>-21471.000000000015</v>
          </cell>
          <cell r="AE43">
            <v>98211.416989999983</v>
          </cell>
        </row>
        <row r="44">
          <cell r="C44" t="str">
            <v>Ago</v>
          </cell>
          <cell r="D44">
            <v>46806.30833</v>
          </cell>
          <cell r="E44">
            <v>86839.308529999995</v>
          </cell>
          <cell r="F44">
            <v>118279.30605</v>
          </cell>
          <cell r="G44">
            <v>56747.821629999999</v>
          </cell>
          <cell r="I44">
            <v>308672.74453999999</v>
          </cell>
          <cell r="J44">
            <v>2048800.34173</v>
          </cell>
          <cell r="O44" t="str">
            <v>Ago</v>
          </cell>
          <cell r="P44">
            <v>177739.83257999999</v>
          </cell>
          <cell r="Q44">
            <v>60334.076099999998</v>
          </cell>
          <cell r="R44">
            <v>-39035.508719999998</v>
          </cell>
          <cell r="S44">
            <v>89581.632180000001</v>
          </cell>
          <cell r="T44">
            <v>288620.03214000002</v>
          </cell>
          <cell r="Y44" t="str">
            <v>Ago</v>
          </cell>
          <cell r="Z44">
            <v>-261226.38242000001</v>
          </cell>
          <cell r="AA44">
            <v>288620.03214000002</v>
          </cell>
          <cell r="AB44">
            <v>-23400</v>
          </cell>
          <cell r="AD44">
            <v>3993.6497200000158</v>
          </cell>
          <cell r="AE44">
            <v>102205.06671</v>
          </cell>
        </row>
        <row r="45">
          <cell r="C45" t="str">
            <v>Sep</v>
          </cell>
          <cell r="D45">
            <v>50895.738290000001</v>
          </cell>
          <cell r="E45">
            <v>89909.724260000003</v>
          </cell>
          <cell r="F45">
            <v>155005.60112000001</v>
          </cell>
          <cell r="G45">
            <v>45676.038439999997</v>
          </cell>
          <cell r="I45">
            <v>341487.10210999998</v>
          </cell>
          <cell r="J45">
            <v>2390287.4438399998</v>
          </cell>
          <cell r="O45" t="str">
            <v>Sep</v>
          </cell>
          <cell r="P45">
            <v>216333.40627000001</v>
          </cell>
          <cell r="Q45">
            <v>50085.761939999997</v>
          </cell>
          <cell r="R45">
            <v>-205960.07115999999</v>
          </cell>
          <cell r="S45">
            <v>-66595.684150000001</v>
          </cell>
          <cell r="T45">
            <v>-6136.5870999999997</v>
          </cell>
          <cell r="Y45" t="str">
            <v>Sep</v>
          </cell>
          <cell r="Z45">
            <v>-194206.77778</v>
          </cell>
          <cell r="AA45">
            <v>-6136.5870999999997</v>
          </cell>
          <cell r="AB45">
            <v>4100</v>
          </cell>
          <cell r="AD45">
            <v>-196243.36488000001</v>
          </cell>
          <cell r="AE45">
            <v>-94038.298170000009</v>
          </cell>
        </row>
        <row r="46">
          <cell r="C46" t="str">
            <v>Oct</v>
          </cell>
          <cell r="D46">
            <v>48493.281779999998</v>
          </cell>
          <cell r="E46">
            <v>70984.330579999994</v>
          </cell>
          <cell r="F46">
            <v>114169.16753000001</v>
          </cell>
          <cell r="G46">
            <v>63604.113019999997</v>
          </cell>
          <cell r="I46">
            <v>297250.89291</v>
          </cell>
          <cell r="J46">
            <v>2687538.3367499998</v>
          </cell>
          <cell r="O46" t="str">
            <v>Oct</v>
          </cell>
          <cell r="P46">
            <v>172969.08447</v>
          </cell>
          <cell r="Q46">
            <v>45239.316630000001</v>
          </cell>
          <cell r="R46">
            <v>411723.13660000003</v>
          </cell>
          <cell r="S46">
            <v>-393317.60996999999</v>
          </cell>
          <cell r="T46">
            <v>236613.92773</v>
          </cell>
          <cell r="Y46" t="str">
            <v>Oct</v>
          </cell>
          <cell r="Z46">
            <v>-274095.51711999997</v>
          </cell>
          <cell r="AA46">
            <v>236613.92773</v>
          </cell>
          <cell r="AB46">
            <v>54200</v>
          </cell>
          <cell r="AD46">
            <v>16718.410610000021</v>
          </cell>
          <cell r="AE46">
            <v>-77319.887559999988</v>
          </cell>
        </row>
        <row r="47">
          <cell r="C47" t="str">
            <v>Nov</v>
          </cell>
          <cell r="D47">
            <v>47797.082909999997</v>
          </cell>
          <cell r="E47">
            <v>68346.038339999999</v>
          </cell>
          <cell r="F47">
            <v>128588.14045000001</v>
          </cell>
          <cell r="G47">
            <v>38600.24901</v>
          </cell>
          <cell r="I47">
            <v>283331.51071</v>
          </cell>
          <cell r="J47">
            <v>2970869.8474599998</v>
          </cell>
          <cell r="O47" t="str">
            <v>Nov</v>
          </cell>
          <cell r="P47">
            <v>228192.99898999999</v>
          </cell>
          <cell r="Q47">
            <v>74313.191720000003</v>
          </cell>
          <cell r="R47">
            <v>-492267.71341999999</v>
          </cell>
          <cell r="S47">
            <v>396268.53165999998</v>
          </cell>
          <cell r="T47">
            <v>206507.00894999999</v>
          </cell>
          <cell r="Y47" t="str">
            <v>Nov</v>
          </cell>
          <cell r="Z47">
            <v>-174322.05843</v>
          </cell>
          <cell r="AA47">
            <v>206507.00894999999</v>
          </cell>
          <cell r="AB47">
            <v>-94700</v>
          </cell>
          <cell r="AD47">
            <v>-62515.049480000016</v>
          </cell>
          <cell r="AE47">
            <v>-139834.93703999999</v>
          </cell>
        </row>
        <row r="48">
          <cell r="C48" t="str">
            <v>Dic</v>
          </cell>
          <cell r="D48">
            <v>43863.74469</v>
          </cell>
          <cell r="E48">
            <v>66387.114029999997</v>
          </cell>
          <cell r="F48">
            <v>153399.67124</v>
          </cell>
          <cell r="G48">
            <v>29204.404569999999</v>
          </cell>
          <cell r="I48">
            <v>292854.93453000003</v>
          </cell>
          <cell r="J48">
            <v>3263724.78199</v>
          </cell>
          <cell r="O48" t="str">
            <v>Dic</v>
          </cell>
          <cell r="P48">
            <v>467034.03188000002</v>
          </cell>
          <cell r="Q48">
            <v>175005.48923000001</v>
          </cell>
          <cell r="R48">
            <v>97280.945909999995</v>
          </cell>
          <cell r="S48">
            <v>-52859.75389</v>
          </cell>
          <cell r="T48">
            <v>686460.71313000005</v>
          </cell>
          <cell r="Y48" t="str">
            <v>Dic</v>
          </cell>
          <cell r="Z48">
            <v>-332204.55943999998</v>
          </cell>
          <cell r="AA48">
            <v>686460.71313000005</v>
          </cell>
          <cell r="AB48">
            <v>-81108.181400000001</v>
          </cell>
          <cell r="AD48">
            <v>273147.97229000006</v>
          </cell>
          <cell r="AE48">
            <v>133313.03525000007</v>
          </cell>
        </row>
        <row r="49">
          <cell r="B49">
            <v>1995</v>
          </cell>
          <cell r="C49" t="str">
            <v>Ene</v>
          </cell>
          <cell r="D49">
            <v>41711.25877</v>
          </cell>
          <cell r="E49">
            <v>63400.035909999999</v>
          </cell>
          <cell r="F49">
            <v>128962.54674999999</v>
          </cell>
          <cell r="G49">
            <v>24618.388719999999</v>
          </cell>
          <cell r="I49">
            <v>258692.23014999999</v>
          </cell>
          <cell r="J49">
            <v>258692.23014999999</v>
          </cell>
          <cell r="N49">
            <v>1995</v>
          </cell>
          <cell r="O49" t="str">
            <v>Ene</v>
          </cell>
          <cell r="P49">
            <v>143569.62966999999</v>
          </cell>
          <cell r="Q49">
            <v>48357.10555</v>
          </cell>
          <cell r="R49">
            <v>24618.561959999999</v>
          </cell>
          <cell r="S49">
            <v>122751.70388930275</v>
          </cell>
          <cell r="T49">
            <v>339297.00106930273</v>
          </cell>
          <cell r="X49">
            <v>1995</v>
          </cell>
          <cell r="Y49" t="str">
            <v>Ene</v>
          </cell>
          <cell r="Z49">
            <v>-477955.06040999998</v>
          </cell>
          <cell r="AA49">
            <v>339297.00106930273</v>
          </cell>
          <cell r="AB49">
            <v>87100</v>
          </cell>
          <cell r="AD49">
            <v>-51558.059340697248</v>
          </cell>
          <cell r="AE49">
            <v>-51558.059340697248</v>
          </cell>
        </row>
        <row r="50">
          <cell r="C50" t="str">
            <v>Feb</v>
          </cell>
          <cell r="D50">
            <v>38329.761680000003</v>
          </cell>
          <cell r="E50">
            <v>84006.784180000002</v>
          </cell>
          <cell r="F50">
            <v>112723.14274</v>
          </cell>
          <cell r="G50">
            <v>61941.215210000002</v>
          </cell>
          <cell r="I50">
            <v>297000.90380999999</v>
          </cell>
          <cell r="J50">
            <v>555693.13396000001</v>
          </cell>
          <cell r="O50" t="str">
            <v>Feb</v>
          </cell>
          <cell r="P50">
            <v>167235.90609</v>
          </cell>
          <cell r="Q50">
            <v>-33118.975530000003</v>
          </cell>
          <cell r="R50">
            <v>21680.152890000001</v>
          </cell>
          <cell r="S50">
            <v>99878.838681691719</v>
          </cell>
          <cell r="T50">
            <v>255675.92213169171</v>
          </cell>
          <cell r="Y50" t="str">
            <v>Feb</v>
          </cell>
          <cell r="Z50">
            <v>-205466.01811999999</v>
          </cell>
          <cell r="AA50">
            <v>255675.92213169171</v>
          </cell>
          <cell r="AB50">
            <v>81900</v>
          </cell>
          <cell r="AD50">
            <v>132109.90401169172</v>
          </cell>
          <cell r="AE50">
            <v>80551.844670994469</v>
          </cell>
        </row>
        <row r="51">
          <cell r="C51" t="str">
            <v>Mar</v>
          </cell>
          <cell r="D51">
            <v>39958.250529999998</v>
          </cell>
          <cell r="E51">
            <v>84447.491559999995</v>
          </cell>
          <cell r="F51">
            <v>117271.22602</v>
          </cell>
          <cell r="G51">
            <v>102748.03232</v>
          </cell>
          <cell r="I51">
            <v>344425.00043000001</v>
          </cell>
          <cell r="J51">
            <v>900118.13439000002</v>
          </cell>
          <cell r="O51" t="str">
            <v>Mar</v>
          </cell>
          <cell r="P51">
            <v>62144.35007</v>
          </cell>
          <cell r="Q51">
            <v>30581.720700000002</v>
          </cell>
          <cell r="R51">
            <v>99740.515159999995</v>
          </cell>
          <cell r="S51">
            <v>39033.927901390503</v>
          </cell>
          <cell r="T51">
            <v>231500.5138313905</v>
          </cell>
          <cell r="Y51" t="str">
            <v>Mar</v>
          </cell>
          <cell r="Z51">
            <v>-176885.52640999999</v>
          </cell>
          <cell r="AA51">
            <v>231500.5138313905</v>
          </cell>
          <cell r="AB51">
            <v>176000</v>
          </cell>
          <cell r="AD51">
            <v>230614.98742139051</v>
          </cell>
          <cell r="AE51">
            <v>311166.83209238498</v>
          </cell>
        </row>
        <row r="52">
          <cell r="C52" t="str">
            <v>Abr</v>
          </cell>
          <cell r="D52">
            <v>70180.781560000003</v>
          </cell>
          <cell r="E52">
            <v>61651.118499999997</v>
          </cell>
          <cell r="F52">
            <v>80738.672919999997</v>
          </cell>
          <cell r="G52">
            <v>63062.4732</v>
          </cell>
          <cell r="I52">
            <v>275633.04618</v>
          </cell>
          <cell r="J52">
            <v>1175751.1805700001</v>
          </cell>
          <cell r="O52" t="str">
            <v>Abr</v>
          </cell>
          <cell r="P52">
            <v>55584.171750000001</v>
          </cell>
          <cell r="Q52">
            <v>82985.410140000007</v>
          </cell>
          <cell r="R52">
            <v>130551.51465</v>
          </cell>
          <cell r="S52">
            <v>50044.918176803003</v>
          </cell>
          <cell r="T52">
            <v>319166.01471680298</v>
          </cell>
          <cell r="Y52" t="str">
            <v>Abr</v>
          </cell>
          <cell r="Z52">
            <v>-239205.68786999999</v>
          </cell>
          <cell r="AA52">
            <v>319166.01471680298</v>
          </cell>
          <cell r="AB52">
            <v>15600</v>
          </cell>
          <cell r="AD52">
            <v>95560.326846802986</v>
          </cell>
          <cell r="AE52">
            <v>406727.158939188</v>
          </cell>
        </row>
        <row r="53">
          <cell r="C53" t="str">
            <v>May</v>
          </cell>
          <cell r="D53">
            <v>25562.6368</v>
          </cell>
          <cell r="E53">
            <v>58275.838250000001</v>
          </cell>
          <cell r="F53">
            <v>84679.832290000006</v>
          </cell>
          <cell r="G53">
            <v>88134.270560000004</v>
          </cell>
          <cell r="I53">
            <v>256652.5779</v>
          </cell>
          <cell r="J53">
            <v>1432403.75847</v>
          </cell>
          <cell r="O53" t="str">
            <v>May</v>
          </cell>
          <cell r="P53">
            <v>71191.692439999999</v>
          </cell>
          <cell r="Q53">
            <v>51272.074260000001</v>
          </cell>
          <cell r="R53">
            <v>2276.3267799999999</v>
          </cell>
          <cell r="S53">
            <v>81855.649012119626</v>
          </cell>
          <cell r="T53">
            <v>206595.74249211964</v>
          </cell>
          <cell r="Y53" t="str">
            <v>May</v>
          </cell>
          <cell r="Z53">
            <v>-117195.81692</v>
          </cell>
          <cell r="AA53">
            <v>206595.74249211964</v>
          </cell>
          <cell r="AB53">
            <v>20400</v>
          </cell>
          <cell r="AD53">
            <v>109799.92557211964</v>
          </cell>
          <cell r="AE53">
            <v>516527.08451130765</v>
          </cell>
        </row>
        <row r="54">
          <cell r="C54" t="str">
            <v>Jun</v>
          </cell>
          <cell r="D54">
            <v>20500.318159999999</v>
          </cell>
          <cell r="E54">
            <v>83019.513149999999</v>
          </cell>
          <cell r="F54">
            <v>93810.030249999996</v>
          </cell>
          <cell r="G54">
            <v>80447.631810000006</v>
          </cell>
          <cell r="I54">
            <v>277777.49336999998</v>
          </cell>
          <cell r="J54">
            <v>1710181.25184</v>
          </cell>
          <cell r="O54" t="str">
            <v>Jun</v>
          </cell>
          <cell r="P54">
            <v>113051.40820999999</v>
          </cell>
          <cell r="Q54">
            <v>77918.42611</v>
          </cell>
          <cell r="R54">
            <v>8972.4019499999995</v>
          </cell>
          <cell r="S54">
            <v>6495.8332846068433</v>
          </cell>
          <cell r="T54">
            <v>206438.06955460683</v>
          </cell>
          <cell r="Y54" t="str">
            <v>Jun</v>
          </cell>
          <cell r="Z54">
            <v>-156844.81007000001</v>
          </cell>
          <cell r="AA54">
            <v>206438.06955460683</v>
          </cell>
          <cell r="AB54">
            <v>-14300</v>
          </cell>
          <cell r="AD54">
            <v>35293.259484606824</v>
          </cell>
          <cell r="AE54">
            <v>551820.34399591445</v>
          </cell>
        </row>
        <row r="55">
          <cell r="C55" t="str">
            <v>Jul</v>
          </cell>
          <cell r="D55">
            <v>20631.327929999999</v>
          </cell>
          <cell r="E55">
            <v>59973.907809999997</v>
          </cell>
          <cell r="F55">
            <v>107877.99182</v>
          </cell>
          <cell r="G55">
            <v>93638.569520000005</v>
          </cell>
          <cell r="I55">
            <v>282121.79707999999</v>
          </cell>
          <cell r="J55">
            <v>1992303.04892</v>
          </cell>
          <cell r="O55" t="str">
            <v>Jul</v>
          </cell>
          <cell r="P55">
            <v>44918.940820000003</v>
          </cell>
          <cell r="Q55">
            <v>111383.95411000001</v>
          </cell>
          <cell r="R55">
            <v>9987.0619900000002</v>
          </cell>
          <cell r="S55">
            <v>63531.18312419299</v>
          </cell>
          <cell r="T55">
            <v>229821.14004419299</v>
          </cell>
          <cell r="Y55" t="str">
            <v>Jul</v>
          </cell>
          <cell r="Z55">
            <v>-176625.1643</v>
          </cell>
          <cell r="AA55">
            <v>229821.14004419299</v>
          </cell>
          <cell r="AB55">
            <v>-64100</v>
          </cell>
          <cell r="AD55">
            <v>-10904.024255807017</v>
          </cell>
          <cell r="AE55">
            <v>540916.3197401074</v>
          </cell>
        </row>
        <row r="56">
          <cell r="C56" t="str">
            <v>Ago</v>
          </cell>
          <cell r="D56">
            <v>28506.81336</v>
          </cell>
          <cell r="E56">
            <v>63388.673880000002</v>
          </cell>
          <cell r="F56">
            <v>105925.40003</v>
          </cell>
          <cell r="G56">
            <v>73020.323390000005</v>
          </cell>
          <cell r="I56">
            <v>270841.21065999998</v>
          </cell>
          <cell r="J56">
            <v>2263144.2595799998</v>
          </cell>
          <cell r="O56" t="str">
            <v>Ago</v>
          </cell>
          <cell r="P56">
            <v>183535.44448000001</v>
          </cell>
          <cell r="Q56">
            <v>-66648.095719999998</v>
          </cell>
          <cell r="R56">
            <v>-14091.56842</v>
          </cell>
          <cell r="S56">
            <v>-12424.589011947748</v>
          </cell>
          <cell r="T56">
            <v>90371.191328052257</v>
          </cell>
          <cell r="Y56" t="str">
            <v>Ago</v>
          </cell>
          <cell r="Z56">
            <v>-209246.42288999999</v>
          </cell>
          <cell r="AA56">
            <v>90371.191328052257</v>
          </cell>
          <cell r="AB56">
            <v>-143400</v>
          </cell>
          <cell r="AD56">
            <v>-262275.23156194773</v>
          </cell>
          <cell r="AE56">
            <v>278641.08817815967</v>
          </cell>
        </row>
        <row r="57">
          <cell r="C57" t="str">
            <v>Sep</v>
          </cell>
          <cell r="D57">
            <v>83793.364019999994</v>
          </cell>
          <cell r="E57">
            <v>76892.941269999996</v>
          </cell>
          <cell r="F57">
            <v>91811.859670000005</v>
          </cell>
          <cell r="G57">
            <v>47981.389439999999</v>
          </cell>
          <cell r="I57">
            <v>300479.55440000002</v>
          </cell>
          <cell r="J57">
            <v>2563623.8139800001</v>
          </cell>
          <cell r="O57" t="str">
            <v>Sep</v>
          </cell>
          <cell r="P57">
            <v>-18296.775539999999</v>
          </cell>
          <cell r="Q57">
            <v>36850.066509999997</v>
          </cell>
          <cell r="R57">
            <v>48733.607649999998</v>
          </cell>
          <cell r="S57">
            <v>20417.189695171648</v>
          </cell>
          <cell r="T57">
            <v>87704.088315171655</v>
          </cell>
          <cell r="Y57" t="str">
            <v>Sep</v>
          </cell>
          <cell r="Z57">
            <v>-116777.29058</v>
          </cell>
          <cell r="AA57">
            <v>87704.088315171655</v>
          </cell>
          <cell r="AB57">
            <v>72700</v>
          </cell>
          <cell r="AD57">
            <v>43626.797735171654</v>
          </cell>
          <cell r="AE57">
            <v>322267.88591333129</v>
          </cell>
        </row>
        <row r="58">
          <cell r="C58" t="str">
            <v>Oct</v>
          </cell>
          <cell r="D58">
            <v>27231.271949999998</v>
          </cell>
          <cell r="E58">
            <v>53995.978450000002</v>
          </cell>
          <cell r="F58">
            <v>105527.89139999999</v>
          </cell>
          <cell r="G58">
            <v>85835.413010000004</v>
          </cell>
          <cell r="I58">
            <v>272590.55481</v>
          </cell>
          <cell r="J58">
            <v>2836214.3687900002</v>
          </cell>
          <cell r="O58" t="str">
            <v>Oct</v>
          </cell>
          <cell r="P58">
            <v>87438.95074</v>
          </cell>
          <cell r="Q58">
            <v>25395.76252</v>
          </cell>
          <cell r="R58">
            <v>120971.30626</v>
          </cell>
          <cell r="S58">
            <v>-12243.83171350412</v>
          </cell>
          <cell r="T58">
            <v>221562.18780649587</v>
          </cell>
          <cell r="Y58" t="str">
            <v>Oct</v>
          </cell>
          <cell r="Z58">
            <v>-190856.47665999999</v>
          </cell>
          <cell r="AA58">
            <v>221562.18780649587</v>
          </cell>
          <cell r="AB58">
            <v>-3082.10898</v>
          </cell>
          <cell r="AD58">
            <v>27623.602166495886</v>
          </cell>
          <cell r="AE58">
            <v>349891.48807982716</v>
          </cell>
        </row>
        <row r="59">
          <cell r="C59" t="str">
            <v>Nov</v>
          </cell>
          <cell r="D59">
            <v>24002.866699999999</v>
          </cell>
          <cell r="E59">
            <v>46460.505270000001</v>
          </cell>
          <cell r="F59">
            <v>130948.7715</v>
          </cell>
          <cell r="G59">
            <v>96390.929170000003</v>
          </cell>
          <cell r="I59">
            <v>297803.07264000003</v>
          </cell>
          <cell r="J59">
            <v>3134017.4414300001</v>
          </cell>
          <cell r="O59" t="str">
            <v>Nov</v>
          </cell>
          <cell r="P59">
            <v>7998.7105700000002</v>
          </cell>
          <cell r="Q59">
            <v>51429.882189999997</v>
          </cell>
          <cell r="R59">
            <v>62644.161910000003</v>
          </cell>
          <cell r="S59">
            <v>124166.64094829815</v>
          </cell>
          <cell r="T59">
            <v>246239.39561829815</v>
          </cell>
          <cell r="Y59" t="str">
            <v>Nov</v>
          </cell>
          <cell r="Z59">
            <v>-274965.58091000002</v>
          </cell>
          <cell r="AA59">
            <v>246239.39561829815</v>
          </cell>
          <cell r="AB59">
            <v>-44336.783459999999</v>
          </cell>
          <cell r="AD59">
            <v>-73062.968751701876</v>
          </cell>
          <cell r="AE59">
            <v>276828.51932812529</v>
          </cell>
        </row>
        <row r="60">
          <cell r="C60" t="str">
            <v>Dic</v>
          </cell>
          <cell r="D60">
            <v>22633.610830000001</v>
          </cell>
          <cell r="E60">
            <v>51622.96774</v>
          </cell>
          <cell r="F60">
            <v>103558.50347</v>
          </cell>
          <cell r="G60">
            <v>47926.6878</v>
          </cell>
          <cell r="I60">
            <v>225741.76983999999</v>
          </cell>
          <cell r="J60">
            <v>3359759.2112700003</v>
          </cell>
          <cell r="O60" t="str">
            <v>Dic</v>
          </cell>
          <cell r="P60">
            <v>29139.539570000001</v>
          </cell>
          <cell r="Q60">
            <v>56125.644740000003</v>
          </cell>
          <cell r="R60">
            <v>133415.13857000001</v>
          </cell>
          <cell r="S60">
            <v>39267.760271982799</v>
          </cell>
          <cell r="T60">
            <v>257948.08315198281</v>
          </cell>
          <cell r="Y60" t="str">
            <v>Dic</v>
          </cell>
          <cell r="Z60">
            <v>-31222.553620000002</v>
          </cell>
          <cell r="AA60">
            <v>257948.08315198281</v>
          </cell>
          <cell r="AB60">
            <v>-181532.75495999999</v>
          </cell>
          <cell r="AD60">
            <v>45192.774571982824</v>
          </cell>
          <cell r="AE60">
            <v>322021.29390010808</v>
          </cell>
        </row>
        <row r="61">
          <cell r="B61">
            <v>1996</v>
          </cell>
          <cell r="C61" t="str">
            <v>Ene</v>
          </cell>
          <cell r="D61">
            <v>22899.513849999999</v>
          </cell>
          <cell r="E61">
            <v>49575.174469999998</v>
          </cell>
          <cell r="F61">
            <v>112768.81318</v>
          </cell>
          <cell r="G61">
            <v>15695.37383</v>
          </cell>
          <cell r="I61">
            <v>200938.87533000001</v>
          </cell>
          <cell r="J61">
            <v>200938.87533000001</v>
          </cell>
          <cell r="N61">
            <v>1996</v>
          </cell>
          <cell r="O61" t="str">
            <v>Ene</v>
          </cell>
          <cell r="P61">
            <v>-40330.620990000003</v>
          </cell>
          <cell r="Q61">
            <v>50185.876210000002</v>
          </cell>
          <cell r="R61">
            <v>20364.71285</v>
          </cell>
          <cell r="S61">
            <v>71124.668130000005</v>
          </cell>
          <cell r="T61">
            <v>101344.63619999999</v>
          </cell>
          <cell r="X61">
            <v>1996</v>
          </cell>
          <cell r="Y61" t="str">
            <v>Ene</v>
          </cell>
          <cell r="Z61">
            <v>-238568.97372000001</v>
          </cell>
          <cell r="AA61">
            <v>101344.63619999999</v>
          </cell>
          <cell r="AB61">
            <v>-23876.388029999998</v>
          </cell>
          <cell r="AD61">
            <v>-161100.72555</v>
          </cell>
          <cell r="AE61">
            <v>-161100.72555</v>
          </cell>
        </row>
        <row r="62">
          <cell r="C62" t="str">
            <v>Feb</v>
          </cell>
          <cell r="D62">
            <v>27577.540980000002</v>
          </cell>
          <cell r="E62">
            <v>46465.095130000002</v>
          </cell>
          <cell r="F62">
            <v>106113.89786</v>
          </cell>
          <cell r="G62">
            <v>44046.990949999999</v>
          </cell>
          <cell r="I62">
            <v>224203.52492</v>
          </cell>
          <cell r="J62">
            <v>425142.40025000001</v>
          </cell>
          <cell r="O62" t="str">
            <v>Feb</v>
          </cell>
          <cell r="P62">
            <v>-66237.995299999995</v>
          </cell>
          <cell r="Q62">
            <v>86730.358689999994</v>
          </cell>
          <cell r="R62">
            <v>9528.5926799999997</v>
          </cell>
          <cell r="S62">
            <v>163838.44205000001</v>
          </cell>
          <cell r="T62">
            <v>193859.39812</v>
          </cell>
          <cell r="Y62" t="str">
            <v>Feb</v>
          </cell>
          <cell r="Z62">
            <v>-326371.81503</v>
          </cell>
          <cell r="AA62">
            <v>193859.39812</v>
          </cell>
          <cell r="AB62">
            <v>-19906.674760000002</v>
          </cell>
          <cell r="AD62">
            <v>-152419.09166999999</v>
          </cell>
          <cell r="AE62">
            <v>-313519.81721999997</v>
          </cell>
        </row>
        <row r="63">
          <cell r="C63" t="str">
            <v>Mar</v>
          </cell>
          <cell r="D63">
            <v>26353.06409</v>
          </cell>
          <cell r="E63">
            <v>47293.942840000003</v>
          </cell>
          <cell r="F63">
            <v>114764.5958</v>
          </cell>
          <cell r="G63">
            <v>17303.944909999998</v>
          </cell>
          <cell r="I63">
            <v>205715.54764</v>
          </cell>
          <cell r="J63">
            <v>630857.94788999995</v>
          </cell>
          <cell r="O63" t="str">
            <v>Mar</v>
          </cell>
          <cell r="P63">
            <v>-67683.923330000005</v>
          </cell>
          <cell r="Q63">
            <v>130152.84555</v>
          </cell>
          <cell r="R63">
            <v>97762.016950000005</v>
          </cell>
          <cell r="S63">
            <v>96131.26225</v>
          </cell>
          <cell r="T63">
            <v>256362.20142</v>
          </cell>
          <cell r="Y63" t="str">
            <v>Mar</v>
          </cell>
          <cell r="Z63">
            <v>-329557.06891999999</v>
          </cell>
          <cell r="AA63">
            <v>256362.20142</v>
          </cell>
          <cell r="AB63">
            <v>-11691.39759</v>
          </cell>
          <cell r="AD63">
            <v>-84886.265090000001</v>
          </cell>
          <cell r="AE63">
            <v>-398406.08230999997</v>
          </cell>
        </row>
        <row r="64">
          <cell r="C64" t="str">
            <v>Abr</v>
          </cell>
          <cell r="D64">
            <v>23274.633259999999</v>
          </cell>
          <cell r="E64">
            <v>47676.27046</v>
          </cell>
          <cell r="F64">
            <v>107494.97004</v>
          </cell>
          <cell r="G64">
            <v>73504.390750000006</v>
          </cell>
          <cell r="I64">
            <v>251950.26451000001</v>
          </cell>
          <cell r="J64">
            <v>882808.21239999996</v>
          </cell>
          <cell r="O64" t="str">
            <v>Abr</v>
          </cell>
          <cell r="P64">
            <v>80856.792860000001</v>
          </cell>
          <cell r="Q64">
            <v>33964.461759999998</v>
          </cell>
          <cell r="R64">
            <v>70055.915410000001</v>
          </cell>
          <cell r="S64">
            <v>80960.977010000002</v>
          </cell>
          <cell r="T64">
            <v>265838.14704000001</v>
          </cell>
          <cell r="Y64" t="str">
            <v>Abr</v>
          </cell>
          <cell r="Z64">
            <v>-234077.67530999999</v>
          </cell>
          <cell r="AA64">
            <v>265838.14704000001</v>
          </cell>
          <cell r="AB64">
            <v>-56638.006789999999</v>
          </cell>
          <cell r="AD64">
            <v>-24877.53505999998</v>
          </cell>
          <cell r="AE64">
            <v>-423283.61736999993</v>
          </cell>
        </row>
        <row r="65">
          <cell r="C65" t="str">
            <v>May</v>
          </cell>
          <cell r="D65">
            <v>29721.292010000001</v>
          </cell>
          <cell r="E65">
            <v>51156.910259999997</v>
          </cell>
          <cell r="F65">
            <v>181217.02299</v>
          </cell>
          <cell r="G65">
            <v>61871.30932</v>
          </cell>
          <cell r="I65">
            <v>323966.53457999998</v>
          </cell>
          <cell r="J65">
            <v>1206774.7469799998</v>
          </cell>
          <cell r="O65" t="str">
            <v>May</v>
          </cell>
          <cell r="P65">
            <v>25157.610820000002</v>
          </cell>
          <cell r="Q65">
            <v>147287.12737</v>
          </cell>
          <cell r="R65">
            <v>53110.505069999999</v>
          </cell>
          <cell r="S65">
            <v>-24079.155289999999</v>
          </cell>
          <cell r="T65">
            <v>201476.08796999999</v>
          </cell>
          <cell r="Y65" t="str">
            <v>May</v>
          </cell>
          <cell r="Z65">
            <v>-152563.13746999999</v>
          </cell>
          <cell r="AA65">
            <v>201476.08796999999</v>
          </cell>
          <cell r="AB65">
            <v>-26857.717489999999</v>
          </cell>
          <cell r="AD65">
            <v>22055.233010000007</v>
          </cell>
          <cell r="AE65">
            <v>-401228.38435999991</v>
          </cell>
        </row>
        <row r="66">
          <cell r="C66" t="str">
            <v>Jun</v>
          </cell>
          <cell r="D66">
            <v>20992.78369</v>
          </cell>
          <cell r="E66">
            <v>42844.480250000001</v>
          </cell>
          <cell r="F66">
            <v>151970.89472000001</v>
          </cell>
          <cell r="G66">
            <v>30649.272710000001</v>
          </cell>
          <cell r="I66">
            <v>246457.43137000001</v>
          </cell>
          <cell r="J66">
            <v>1453232.1783499997</v>
          </cell>
          <cell r="O66" t="str">
            <v>Jun</v>
          </cell>
          <cell r="P66">
            <v>128186.79743999999</v>
          </cell>
          <cell r="Q66">
            <v>40342.036740000003</v>
          </cell>
          <cell r="R66">
            <v>184275.29897</v>
          </cell>
          <cell r="S66">
            <v>39659.98734</v>
          </cell>
          <cell r="T66">
            <v>392464.12049</v>
          </cell>
          <cell r="Y66" t="str">
            <v>Jun</v>
          </cell>
          <cell r="Z66">
            <v>-389358.69994999998</v>
          </cell>
          <cell r="AA66">
            <v>392464.12049</v>
          </cell>
          <cell r="AB66">
            <v>34871.336790000001</v>
          </cell>
          <cell r="AD66">
            <v>37976.757330000022</v>
          </cell>
          <cell r="AE66">
            <v>-363251.62702999986</v>
          </cell>
        </row>
        <row r="67">
          <cell r="C67" t="str">
            <v>Jul</v>
          </cell>
          <cell r="D67">
            <v>20230.240419999998</v>
          </cell>
          <cell r="E67">
            <v>52596.778200000001</v>
          </cell>
          <cell r="F67">
            <v>182870.67297000001</v>
          </cell>
          <cell r="G67">
            <v>58729.736219999999</v>
          </cell>
          <cell r="I67">
            <v>314427.42781000002</v>
          </cell>
          <cell r="J67">
            <v>1767659.6061599997</v>
          </cell>
          <cell r="O67" t="str">
            <v>Jul</v>
          </cell>
          <cell r="P67">
            <v>129120.34388</v>
          </cell>
          <cell r="Q67">
            <v>59135.37139</v>
          </cell>
          <cell r="R67">
            <v>30047.612580000001</v>
          </cell>
          <cell r="S67">
            <v>168739.38618</v>
          </cell>
          <cell r="T67">
            <v>387042.71402999997</v>
          </cell>
          <cell r="Y67" t="str">
            <v>Jul</v>
          </cell>
          <cell r="Z67">
            <v>-399711.28879000002</v>
          </cell>
          <cell r="AA67">
            <v>387042.71402999997</v>
          </cell>
          <cell r="AB67">
            <v>84779.777170000001</v>
          </cell>
          <cell r="AD67">
            <v>72111.202409999954</v>
          </cell>
          <cell r="AE67">
            <v>-291140.42461999989</v>
          </cell>
        </row>
        <row r="68">
          <cell r="C68" t="str">
            <v>Ago</v>
          </cell>
          <cell r="D68">
            <v>17988.050329999998</v>
          </cell>
          <cell r="E68">
            <v>57976.512349999997</v>
          </cell>
          <cell r="F68">
            <v>164654.95149000001</v>
          </cell>
          <cell r="G68">
            <v>53953.119729999999</v>
          </cell>
          <cell r="I68">
            <v>294572.63390000002</v>
          </cell>
          <cell r="J68">
            <v>2062232.2400599997</v>
          </cell>
          <cell r="O68" t="str">
            <v>Ago</v>
          </cell>
          <cell r="P68">
            <v>61147.39028</v>
          </cell>
          <cell r="Q68">
            <v>477789.85781999998</v>
          </cell>
          <cell r="R68">
            <v>17407.873100000001</v>
          </cell>
          <cell r="S68">
            <v>-106158.224</v>
          </cell>
          <cell r="T68">
            <v>450186.89720000001</v>
          </cell>
          <cell r="Y68" t="str">
            <v>Ago</v>
          </cell>
          <cell r="Z68">
            <v>-411732.33283999999</v>
          </cell>
          <cell r="AA68">
            <v>450186.89720000001</v>
          </cell>
          <cell r="AB68">
            <v>-13588.42944</v>
          </cell>
          <cell r="AD68">
            <v>24866.134920000019</v>
          </cell>
          <cell r="AE68">
            <v>-266274.28969999985</v>
          </cell>
        </row>
        <row r="69">
          <cell r="C69" t="str">
            <v>Sep</v>
          </cell>
          <cell r="D69">
            <v>16514.125049999999</v>
          </cell>
          <cell r="E69">
            <v>47650.746200000001</v>
          </cell>
          <cell r="F69">
            <v>137401.427</v>
          </cell>
          <cell r="G69">
            <v>50573.503129999997</v>
          </cell>
          <cell r="I69">
            <v>252139.80137999999</v>
          </cell>
          <cell r="J69">
            <v>2314372.0414399998</v>
          </cell>
          <cell r="O69" t="str">
            <v>Sep</v>
          </cell>
          <cell r="P69">
            <v>179221.81007000001</v>
          </cell>
          <cell r="Q69">
            <v>43040.20822</v>
          </cell>
          <cell r="R69">
            <v>79654.787960000001</v>
          </cell>
          <cell r="S69">
            <v>176256.75755000001</v>
          </cell>
          <cell r="T69">
            <v>478173.5638</v>
          </cell>
          <cell r="Y69" t="str">
            <v>Sep</v>
          </cell>
          <cell r="Z69">
            <v>-431051.32952000003</v>
          </cell>
          <cell r="AA69">
            <v>478173.5638</v>
          </cell>
          <cell r="AB69">
            <v>-11065.67182</v>
          </cell>
          <cell r="AD69">
            <v>36056.562459999972</v>
          </cell>
          <cell r="AE69">
            <v>-230217.72723999986</v>
          </cell>
        </row>
        <row r="70">
          <cell r="C70" t="str">
            <v>Oct</v>
          </cell>
          <cell r="D70">
            <v>14103.00279</v>
          </cell>
          <cell r="E70">
            <v>53392.264600000002</v>
          </cell>
          <cell r="F70">
            <v>200706.43750999999</v>
          </cell>
          <cell r="G70">
            <v>76114.325219999999</v>
          </cell>
          <cell r="I70">
            <v>344316.03012000001</v>
          </cell>
          <cell r="J70">
            <v>2658688.0715600001</v>
          </cell>
          <cell r="O70" t="str">
            <v>Oct</v>
          </cell>
          <cell r="P70">
            <v>269626.18899</v>
          </cell>
          <cell r="Q70">
            <v>99079.514509999994</v>
          </cell>
          <cell r="R70">
            <v>79723.635150000002</v>
          </cell>
          <cell r="S70">
            <v>112212.53756</v>
          </cell>
          <cell r="T70">
            <v>560641.87621000002</v>
          </cell>
          <cell r="Y70" t="str">
            <v>Oct</v>
          </cell>
          <cell r="Z70">
            <v>-450867.19182000001</v>
          </cell>
          <cell r="AA70">
            <v>560641.87621000002</v>
          </cell>
          <cell r="AB70">
            <v>34731.23947</v>
          </cell>
          <cell r="AD70">
            <v>144505.92386000001</v>
          </cell>
          <cell r="AE70">
            <v>-85711.803379999852</v>
          </cell>
        </row>
        <row r="71">
          <cell r="C71" t="str">
            <v>Nov</v>
          </cell>
          <cell r="D71">
            <v>13891.11865</v>
          </cell>
          <cell r="E71">
            <v>81506.972299999994</v>
          </cell>
          <cell r="F71">
            <v>148665.11379</v>
          </cell>
          <cell r="G71">
            <v>51596.901810000003</v>
          </cell>
          <cell r="I71">
            <v>295660.10655000003</v>
          </cell>
          <cell r="J71">
            <v>2954348.1781100002</v>
          </cell>
          <cell r="O71" t="str">
            <v>Nov</v>
          </cell>
          <cell r="P71">
            <v>194745.59312000001</v>
          </cell>
          <cell r="Q71">
            <v>144232.24082000001</v>
          </cell>
          <cell r="R71">
            <v>737.92822999999999</v>
          </cell>
          <cell r="S71">
            <v>28498.125209999998</v>
          </cell>
          <cell r="T71">
            <v>368213.88737999997</v>
          </cell>
          <cell r="Y71" t="str">
            <v>Nov</v>
          </cell>
          <cell r="Z71">
            <v>-248423.10313999999</v>
          </cell>
          <cell r="AA71">
            <v>368213.88737999997</v>
          </cell>
          <cell r="AB71">
            <v>19423.95176</v>
          </cell>
          <cell r="AD71">
            <v>139214.73599999998</v>
          </cell>
          <cell r="AE71">
            <v>53502.932620000123</v>
          </cell>
        </row>
        <row r="72">
          <cell r="C72" t="str">
            <v>Dic</v>
          </cell>
          <cell r="D72">
            <v>20260.908220000001</v>
          </cell>
          <cell r="E72">
            <v>62434.69786</v>
          </cell>
          <cell r="F72">
            <v>131195.71226</v>
          </cell>
          <cell r="G72">
            <v>51202.323980000001</v>
          </cell>
          <cell r="I72">
            <v>265093.64231999998</v>
          </cell>
          <cell r="J72">
            <v>3219441.8204300003</v>
          </cell>
          <cell r="O72" t="str">
            <v>Dic</v>
          </cell>
          <cell r="P72">
            <v>1101611.38023</v>
          </cell>
          <cell r="Q72">
            <v>341220.60255000001</v>
          </cell>
          <cell r="R72">
            <v>261939.95509</v>
          </cell>
          <cell r="S72">
            <v>210847.80858000001</v>
          </cell>
          <cell r="T72">
            <v>1915619.74645</v>
          </cell>
          <cell r="Y72" t="str">
            <v>Dic</v>
          </cell>
          <cell r="Z72">
            <v>-377179.07351000002</v>
          </cell>
          <cell r="AA72">
            <v>1915619.74645</v>
          </cell>
          <cell r="AB72">
            <v>-19788.449489999999</v>
          </cell>
          <cell r="AD72">
            <v>1518652.2234499999</v>
          </cell>
          <cell r="AE72">
            <v>1572155.15607</v>
          </cell>
        </row>
        <row r="73">
          <cell r="B73" t="str">
            <v>1997 (p)</v>
          </cell>
          <cell r="C73" t="str">
            <v>Ene</v>
          </cell>
          <cell r="D73">
            <v>21458.873970000001</v>
          </cell>
          <cell r="E73">
            <v>53235.418460000001</v>
          </cell>
          <cell r="F73">
            <v>179265.639</v>
          </cell>
          <cell r="G73">
            <v>26111.2084</v>
          </cell>
          <cell r="I73">
            <v>280071.13983</v>
          </cell>
          <cell r="J73">
            <v>280071.13983</v>
          </cell>
          <cell r="N73" t="str">
            <v>1997 (p)</v>
          </cell>
          <cell r="O73" t="str">
            <v>Ene</v>
          </cell>
          <cell r="P73">
            <v>192010.09516</v>
          </cell>
          <cell r="Q73">
            <v>49727.278480000001</v>
          </cell>
          <cell r="R73">
            <v>-2176.2264599999999</v>
          </cell>
          <cell r="S73">
            <v>159832.60722999999</v>
          </cell>
          <cell r="T73">
            <v>399393.75440999999</v>
          </cell>
          <cell r="X73" t="str">
            <v>1997 (p)</v>
          </cell>
          <cell r="Y73" t="str">
            <v>Ene</v>
          </cell>
          <cell r="Z73">
            <v>-374670.18338</v>
          </cell>
          <cell r="AA73">
            <v>399393.75440999999</v>
          </cell>
          <cell r="AB73">
            <v>-86604.702720000001</v>
          </cell>
          <cell r="AD73">
            <v>-61881.131690000009</v>
          </cell>
          <cell r="AE73">
            <v>-61881.131690000009</v>
          </cell>
        </row>
        <row r="74">
          <cell r="C74" t="str">
            <v>Feb</v>
          </cell>
          <cell r="D74">
            <v>28531.56163</v>
          </cell>
          <cell r="E74">
            <v>53430.161339999999</v>
          </cell>
          <cell r="F74">
            <v>167711.70702999999</v>
          </cell>
          <cell r="G74">
            <v>57735.138980000003</v>
          </cell>
          <cell r="I74">
            <v>307408.56897999998</v>
          </cell>
          <cell r="J74">
            <v>587479.70880999998</v>
          </cell>
          <cell r="O74" t="str">
            <v>Feb</v>
          </cell>
          <cell r="P74">
            <v>72508.045559999999</v>
          </cell>
          <cell r="Q74">
            <v>149482.68074000001</v>
          </cell>
          <cell r="R74">
            <v>60671.078630000004</v>
          </cell>
          <cell r="S74">
            <v>214184.70962000001</v>
          </cell>
          <cell r="T74">
            <v>496846.51455000002</v>
          </cell>
          <cell r="Y74" t="str">
            <v>Feb</v>
          </cell>
          <cell r="Z74">
            <v>-495470.9032</v>
          </cell>
          <cell r="AA74">
            <v>496846.51455000002</v>
          </cell>
          <cell r="AB74">
            <v>-19787.58783</v>
          </cell>
          <cell r="AD74">
            <v>-18411.976479999979</v>
          </cell>
          <cell r="AE74">
            <v>-80293.108169999992</v>
          </cell>
        </row>
        <row r="75">
          <cell r="C75" t="str">
            <v>Mar</v>
          </cell>
          <cell r="D75">
            <v>26395.88781</v>
          </cell>
          <cell r="E75">
            <v>48933.485950000002</v>
          </cell>
          <cell r="F75">
            <v>169274.33472000001</v>
          </cell>
          <cell r="G75">
            <v>41656.971460000001</v>
          </cell>
          <cell r="I75">
            <v>286260.67994</v>
          </cell>
          <cell r="J75">
            <v>873740.38874999993</v>
          </cell>
          <cell r="O75" t="str">
            <v>Mar</v>
          </cell>
          <cell r="P75">
            <v>145518.20142999999</v>
          </cell>
          <cell r="Q75">
            <v>115282.03014</v>
          </cell>
          <cell r="R75">
            <v>42076.733619999999</v>
          </cell>
          <cell r="S75">
            <v>205573.82957999999</v>
          </cell>
          <cell r="T75">
            <v>508450.79476999998</v>
          </cell>
          <cell r="Y75" t="str">
            <v>Mar</v>
          </cell>
          <cell r="Z75">
            <v>-380883.24284999998</v>
          </cell>
          <cell r="AA75">
            <v>508450.79476999998</v>
          </cell>
          <cell r="AB75">
            <v>-4147.7064600000003</v>
          </cell>
          <cell r="AD75">
            <v>123419.84546</v>
          </cell>
          <cell r="AE75">
            <v>43126.737290000005</v>
          </cell>
        </row>
        <row r="76">
          <cell r="C76" t="str">
            <v>Abr</v>
          </cell>
          <cell r="D76">
            <v>23844.492450000002</v>
          </cell>
          <cell r="E76">
            <v>56425.952250000002</v>
          </cell>
          <cell r="F76">
            <v>211381.38768000001</v>
          </cell>
          <cell r="G76">
            <v>51215.742109999999</v>
          </cell>
          <cell r="I76">
            <v>342867.57449000003</v>
          </cell>
          <cell r="J76">
            <v>1216607.96324</v>
          </cell>
          <cell r="O76" t="str">
            <v>Abr</v>
          </cell>
          <cell r="P76">
            <v>215006.34015999999</v>
          </cell>
          <cell r="Q76">
            <v>130947.99625</v>
          </cell>
          <cell r="R76">
            <v>45714.39329</v>
          </cell>
          <cell r="S76">
            <v>99256.357879999996</v>
          </cell>
          <cell r="T76">
            <v>490925.08757999999</v>
          </cell>
          <cell r="Y76" t="str">
            <v>Abr</v>
          </cell>
          <cell r="Z76">
            <v>-422551.31335000001</v>
          </cell>
          <cell r="AA76">
            <v>490925.08757999999</v>
          </cell>
          <cell r="AB76">
            <v>-12613.658020000001</v>
          </cell>
          <cell r="AD76">
            <v>55760.116209999978</v>
          </cell>
          <cell r="AE76">
            <v>98886.853499999983</v>
          </cell>
        </row>
        <row r="77">
          <cell r="C77" t="str">
            <v>May</v>
          </cell>
          <cell r="D77">
            <v>23464.624019999999</v>
          </cell>
          <cell r="E77">
            <v>44465.201229999999</v>
          </cell>
          <cell r="F77">
            <v>164210.54204999999</v>
          </cell>
          <cell r="G77">
            <v>64158.514560000003</v>
          </cell>
          <cell r="I77">
            <v>296298.88186000002</v>
          </cell>
          <cell r="J77">
            <v>1512906.8451</v>
          </cell>
          <cell r="O77" t="str">
            <v>May</v>
          </cell>
          <cell r="P77">
            <v>239184.55519000001</v>
          </cell>
          <cell r="Q77">
            <v>117239.6121</v>
          </cell>
          <cell r="R77">
            <v>-4989.0539600000002</v>
          </cell>
          <cell r="S77">
            <v>-22556.11968</v>
          </cell>
          <cell r="T77">
            <v>328878.99365000002</v>
          </cell>
          <cell r="Y77" t="str">
            <v>May</v>
          </cell>
          <cell r="Z77">
            <v>-207528.13717</v>
          </cell>
          <cell r="AA77">
            <v>328878.99365000002</v>
          </cell>
          <cell r="AB77">
            <v>103234.88262</v>
          </cell>
          <cell r="AD77">
            <v>224585.73910000001</v>
          </cell>
          <cell r="AE77">
            <v>323472.59259999997</v>
          </cell>
        </row>
        <row r="78">
          <cell r="C78" t="str">
            <v>Jun</v>
          </cell>
          <cell r="D78">
            <v>18666.104780000001</v>
          </cell>
          <cell r="E78">
            <v>42922.177459999999</v>
          </cell>
          <cell r="F78">
            <v>133770.70005000001</v>
          </cell>
          <cell r="G78">
            <v>89551.005399999995</v>
          </cell>
          <cell r="I78">
            <v>284909.98768999998</v>
          </cell>
          <cell r="J78">
            <v>1797816.8327899999</v>
          </cell>
          <cell r="O78" t="str">
            <v>Jun</v>
          </cell>
          <cell r="P78">
            <v>127401.26209</v>
          </cell>
          <cell r="Q78">
            <v>37219.075729999997</v>
          </cell>
          <cell r="R78">
            <v>98502.926000000007</v>
          </cell>
          <cell r="S78">
            <v>72729.2889</v>
          </cell>
          <cell r="T78">
            <v>335852.55271999998</v>
          </cell>
          <cell r="Y78" t="str">
            <v>Jun</v>
          </cell>
          <cell r="Z78">
            <v>-268503.92920999997</v>
          </cell>
          <cell r="AA78">
            <v>335852.55271999998</v>
          </cell>
          <cell r="AB78">
            <v>-16290.00525</v>
          </cell>
          <cell r="AD78">
            <v>51058.618260000003</v>
          </cell>
          <cell r="AE78">
            <v>374531.21085999999</v>
          </cell>
        </row>
        <row r="79">
          <cell r="C79" t="str">
            <v>Jul</v>
          </cell>
          <cell r="D79">
            <v>16509.88292</v>
          </cell>
          <cell r="E79">
            <v>51599.196389999997</v>
          </cell>
          <cell r="F79">
            <v>149496.96163999999</v>
          </cell>
          <cell r="G79">
            <v>73204.575679999994</v>
          </cell>
          <cell r="I79">
            <v>290810.61663</v>
          </cell>
          <cell r="J79">
            <v>2088627.44942</v>
          </cell>
          <cell r="O79" t="str">
            <v>Jul</v>
          </cell>
          <cell r="P79">
            <v>110466.79066</v>
          </cell>
          <cell r="Q79">
            <v>253845.3498</v>
          </cell>
          <cell r="R79">
            <v>51225.493450000002</v>
          </cell>
          <cell r="S79">
            <v>-94256.468999999997</v>
          </cell>
          <cell r="T79">
            <v>321281.16490999999</v>
          </cell>
          <cell r="Y79" t="str">
            <v>Jul</v>
          </cell>
          <cell r="Z79">
            <v>-264067.52395</v>
          </cell>
          <cell r="AA79">
            <v>321281.16490999999</v>
          </cell>
          <cell r="AB79">
            <v>-48781.607880000003</v>
          </cell>
          <cell r="AD79">
            <v>8432.0330799999865</v>
          </cell>
          <cell r="AE79">
            <v>382963.24393999996</v>
          </cell>
        </row>
        <row r="80">
          <cell r="C80" t="str">
            <v>Ago</v>
          </cell>
          <cell r="D80">
            <v>12483.22834</v>
          </cell>
          <cell r="E80">
            <v>39491.414960000002</v>
          </cell>
          <cell r="F80">
            <v>143572.23147</v>
          </cell>
          <cell r="G80">
            <v>81572.851240000004</v>
          </cell>
          <cell r="I80">
            <v>277119.72600999998</v>
          </cell>
          <cell r="J80">
            <v>2365747.1754299998</v>
          </cell>
          <cell r="O80" t="str">
            <v>Ago</v>
          </cell>
          <cell r="P80">
            <v>37726.592109999998</v>
          </cell>
          <cell r="Q80">
            <v>72316.851479999998</v>
          </cell>
          <cell r="R80">
            <v>79015.404259999996</v>
          </cell>
          <cell r="S80">
            <v>152112.35292</v>
          </cell>
          <cell r="T80">
            <v>341171.20077</v>
          </cell>
          <cell r="Y80" t="str">
            <v>Ago</v>
          </cell>
          <cell r="Z80">
            <v>-360503.07724999997</v>
          </cell>
          <cell r="AA80">
            <v>341171.20077</v>
          </cell>
          <cell r="AB80">
            <v>20697.60111</v>
          </cell>
          <cell r="AD80">
            <v>1365.7246300000224</v>
          </cell>
          <cell r="AE80">
            <v>384328.96856999997</v>
          </cell>
        </row>
        <row r="81">
          <cell r="C81" t="str">
            <v>Sep</v>
          </cell>
          <cell r="D81">
            <v>16334.681200000001</v>
          </cell>
          <cell r="E81">
            <v>52744.689079999996</v>
          </cell>
          <cell r="F81">
            <v>157138.80377999999</v>
          </cell>
          <cell r="G81">
            <v>68840.195129999993</v>
          </cell>
          <cell r="I81">
            <v>295058.36919</v>
          </cell>
          <cell r="J81">
            <v>2660805.5446199998</v>
          </cell>
          <cell r="O81" t="str">
            <v>Sep</v>
          </cell>
          <cell r="P81">
            <v>-95000.641229999994</v>
          </cell>
          <cell r="Q81">
            <v>222371.19696</v>
          </cell>
          <cell r="R81">
            <v>43911.842420000001</v>
          </cell>
          <cell r="S81">
            <v>91968.901190000004</v>
          </cell>
          <cell r="T81">
            <v>263251.29934000003</v>
          </cell>
          <cell r="Y81" t="str">
            <v>Sep</v>
          </cell>
          <cell r="Z81">
            <v>-390693.57530999999</v>
          </cell>
          <cell r="AA81">
            <v>263251.29934000003</v>
          </cell>
          <cell r="AB81">
            <v>75243.923989999996</v>
          </cell>
          <cell r="AD81">
            <v>-52198.351979999963</v>
          </cell>
          <cell r="AE81">
            <v>332130.61658999999</v>
          </cell>
        </row>
        <row r="82">
          <cell r="C82" t="str">
            <v>Oct</v>
          </cell>
          <cell r="D82">
            <v>11612.36325</v>
          </cell>
          <cell r="E82">
            <v>51320.680919999999</v>
          </cell>
          <cell r="F82">
            <v>163909.54290999999</v>
          </cell>
          <cell r="G82">
            <v>135955.71891</v>
          </cell>
          <cell r="I82">
            <v>362798.30599000002</v>
          </cell>
          <cell r="J82">
            <v>3023603.8506100001</v>
          </cell>
          <cell r="O82" t="str">
            <v>Oct</v>
          </cell>
          <cell r="P82">
            <v>24700.78744</v>
          </cell>
          <cell r="Q82">
            <v>139115.98645999999</v>
          </cell>
          <cell r="R82">
            <v>29956.165359999999</v>
          </cell>
          <cell r="S82">
            <v>119041.85800000001</v>
          </cell>
          <cell r="T82">
            <v>312814.79726000002</v>
          </cell>
          <cell r="Y82" t="str">
            <v>Oct</v>
          </cell>
          <cell r="Z82">
            <v>-468380.16363000002</v>
          </cell>
          <cell r="AA82">
            <v>312814.79726000002</v>
          </cell>
          <cell r="AB82">
            <v>84511.02966</v>
          </cell>
          <cell r="AD82">
            <v>-71054.336710000003</v>
          </cell>
          <cell r="AE82">
            <v>261076.27987999999</v>
          </cell>
        </row>
        <row r="83">
          <cell r="C83" t="str">
            <v>Nov</v>
          </cell>
          <cell r="D83">
            <v>8897.1105499999994</v>
          </cell>
          <cell r="E83">
            <v>64508.007290000001</v>
          </cell>
          <cell r="F83">
            <v>128513.30305</v>
          </cell>
          <cell r="G83">
            <v>77227.288709999993</v>
          </cell>
          <cell r="I83">
            <v>279145.7096</v>
          </cell>
          <cell r="J83">
            <v>3302749.5602100003</v>
          </cell>
          <cell r="O83" t="str">
            <v>Nov</v>
          </cell>
          <cell r="P83">
            <v>254261.07813000001</v>
          </cell>
          <cell r="Q83">
            <v>80707.009720000002</v>
          </cell>
          <cell r="R83">
            <v>14870.71225</v>
          </cell>
          <cell r="S83">
            <v>-56106.877130000001</v>
          </cell>
          <cell r="T83">
            <v>293731.92297000001</v>
          </cell>
          <cell r="Y83" t="str">
            <v>Nov</v>
          </cell>
          <cell r="Z83">
            <v>-372885.19235000003</v>
          </cell>
          <cell r="AA83">
            <v>293731.92297000001</v>
          </cell>
          <cell r="AB83">
            <v>-92655.165349999996</v>
          </cell>
          <cell r="AD83">
            <v>-171808.43473000001</v>
          </cell>
          <cell r="AE83">
            <v>89267.845149999979</v>
          </cell>
        </row>
        <row r="84">
          <cell r="C84" t="str">
            <v>Dic*</v>
          </cell>
          <cell r="D84">
            <v>10132.466899999999</v>
          </cell>
          <cell r="E84">
            <v>46590.802000000003</v>
          </cell>
          <cell r="F84">
            <v>171270.48352000001</v>
          </cell>
          <cell r="G84">
            <v>81626.550369999997</v>
          </cell>
          <cell r="I84">
            <v>309620.30278999999</v>
          </cell>
          <cell r="J84">
            <v>3612369.8630000004</v>
          </cell>
          <cell r="O84" t="str">
            <v>Dic*</v>
          </cell>
          <cell r="P84">
            <v>325608.04703000002</v>
          </cell>
          <cell r="Q84">
            <v>104433.15297</v>
          </cell>
          <cell r="R84">
            <v>-145634.39257</v>
          </cell>
          <cell r="S84">
            <v>339664.25956999999</v>
          </cell>
          <cell r="T84">
            <v>624071.06700000004</v>
          </cell>
          <cell r="Y84" t="str">
            <v>Dic*</v>
          </cell>
          <cell r="Z84">
            <v>-704786.19742999994</v>
          </cell>
          <cell r="AA84">
            <v>624071.06700000004</v>
          </cell>
          <cell r="AB84">
            <v>-23843.962</v>
          </cell>
          <cell r="AD84">
            <v>-104559.0924299999</v>
          </cell>
          <cell r="AE84">
            <v>-15291.247279999923</v>
          </cell>
        </row>
        <row r="85">
          <cell r="B85" t="str">
            <v>1998 (p)</v>
          </cell>
          <cell r="C85" t="str">
            <v>Ene</v>
          </cell>
          <cell r="D85">
            <v>10350.36</v>
          </cell>
          <cell r="E85">
            <v>38654.15</v>
          </cell>
          <cell r="F85">
            <v>141359.57999999999</v>
          </cell>
          <cell r="G85">
            <v>64620.83</v>
          </cell>
          <cell r="I85">
            <v>254984.93</v>
          </cell>
          <cell r="J85">
            <v>254984.93</v>
          </cell>
          <cell r="N85" t="str">
            <v>1998 (p)</v>
          </cell>
          <cell r="O85" t="str">
            <v>Ene</v>
          </cell>
          <cell r="P85">
            <v>-31332.01</v>
          </cell>
          <cell r="Q85">
            <v>99502.02</v>
          </cell>
          <cell r="R85">
            <v>20191.490000000002</v>
          </cell>
          <cell r="S85">
            <v>74486.600000000006</v>
          </cell>
          <cell r="T85">
            <v>162848.10999999999</v>
          </cell>
          <cell r="X85" t="str">
            <v>1998 (p)</v>
          </cell>
          <cell r="Y85" t="str">
            <v>Ene</v>
          </cell>
          <cell r="Z85">
            <v>-348426.18</v>
          </cell>
          <cell r="AA85">
            <v>162848.10999999999</v>
          </cell>
          <cell r="AB85">
            <v>51421.14</v>
          </cell>
          <cell r="AD85">
            <v>-134156.93</v>
          </cell>
          <cell r="AE85">
            <v>-134156.93</v>
          </cell>
        </row>
        <row r="86">
          <cell r="C86" t="str">
            <v>Feb</v>
          </cell>
          <cell r="D86">
            <v>10893.68</v>
          </cell>
          <cell r="E86">
            <v>38069.46</v>
          </cell>
          <cell r="F86">
            <v>175743.2</v>
          </cell>
          <cell r="G86">
            <v>84835.18</v>
          </cell>
          <cell r="I86">
            <v>309541.51</v>
          </cell>
          <cell r="J86">
            <v>564526.43999999994</v>
          </cell>
          <cell r="O86" t="str">
            <v>Feb</v>
          </cell>
          <cell r="P86">
            <v>-156472.51</v>
          </cell>
          <cell r="Q86">
            <v>-23378.959999999999</v>
          </cell>
          <cell r="R86">
            <v>75058.59</v>
          </cell>
          <cell r="S86">
            <v>228413.5</v>
          </cell>
          <cell r="T86">
            <v>123620.62</v>
          </cell>
          <cell r="Y86" t="str">
            <v>Feb</v>
          </cell>
          <cell r="Z86">
            <v>-502325.52</v>
          </cell>
          <cell r="AA86">
            <v>123620.62</v>
          </cell>
          <cell r="AB86">
            <v>-4553.8900000000003</v>
          </cell>
          <cell r="AD86">
            <v>-383258.79000000004</v>
          </cell>
          <cell r="AE86">
            <v>-517415.72000000003</v>
          </cell>
        </row>
        <row r="87">
          <cell r="C87" t="str">
            <v>Mar</v>
          </cell>
          <cell r="D87">
            <v>13134.91</v>
          </cell>
          <cell r="E87">
            <v>40891.97</v>
          </cell>
          <cell r="F87">
            <v>198210.64</v>
          </cell>
          <cell r="G87">
            <v>53448.95</v>
          </cell>
          <cell r="I87">
            <v>305686.46999999997</v>
          </cell>
          <cell r="J87">
            <v>870212.90999999992</v>
          </cell>
          <cell r="O87" t="str">
            <v>Mar</v>
          </cell>
          <cell r="P87">
            <v>-53401.21</v>
          </cell>
          <cell r="Q87">
            <v>306741.19</v>
          </cell>
          <cell r="R87">
            <v>112396.05</v>
          </cell>
          <cell r="S87">
            <v>30810.97</v>
          </cell>
          <cell r="T87">
            <v>396546.99</v>
          </cell>
          <cell r="Y87" t="str">
            <v>Mar</v>
          </cell>
          <cell r="Z87">
            <v>-364162.52</v>
          </cell>
          <cell r="AA87">
            <v>396546.99</v>
          </cell>
          <cell r="AB87">
            <v>-47351.27</v>
          </cell>
          <cell r="AD87">
            <v>-14966.800000000025</v>
          </cell>
          <cell r="AE87">
            <v>-532382.52</v>
          </cell>
        </row>
        <row r="88">
          <cell r="C88" t="str">
            <v>Abr</v>
          </cell>
          <cell r="D88">
            <v>11312.82</v>
          </cell>
          <cell r="E88">
            <v>20504.63</v>
          </cell>
          <cell r="F88">
            <v>132084.14000000001</v>
          </cell>
          <cell r="G88">
            <v>58506.01</v>
          </cell>
          <cell r="I88">
            <v>222407.6</v>
          </cell>
          <cell r="J88">
            <v>1092620.51</v>
          </cell>
          <cell r="O88" t="str">
            <v>Abr</v>
          </cell>
          <cell r="P88">
            <v>139867.62</v>
          </cell>
          <cell r="Q88">
            <v>1862.3</v>
          </cell>
          <cell r="R88">
            <v>-82200.7</v>
          </cell>
          <cell r="S88">
            <v>360769.95</v>
          </cell>
          <cell r="T88">
            <v>420299.17</v>
          </cell>
          <cell r="Y88" t="str">
            <v>Abr</v>
          </cell>
          <cell r="Z88">
            <v>-437407.52</v>
          </cell>
          <cell r="AA88">
            <v>420299.17</v>
          </cell>
          <cell r="AB88">
            <v>46255.37</v>
          </cell>
          <cell r="AD88">
            <v>29147.019999999968</v>
          </cell>
          <cell r="AE88">
            <v>-503235.50000000006</v>
          </cell>
        </row>
        <row r="89">
          <cell r="C89" t="str">
            <v>May</v>
          </cell>
          <cell r="D89">
            <v>11299.3</v>
          </cell>
          <cell r="E89">
            <v>42845.34</v>
          </cell>
          <cell r="F89">
            <v>146338.59</v>
          </cell>
          <cell r="G89">
            <v>64830.01</v>
          </cell>
          <cell r="I89">
            <v>265313.24</v>
          </cell>
          <cell r="J89">
            <v>1357933.75</v>
          </cell>
          <cell r="O89" t="str">
            <v>May</v>
          </cell>
          <cell r="P89">
            <v>-79317.759999999995</v>
          </cell>
          <cell r="Q89">
            <v>116938.7</v>
          </cell>
          <cell r="R89">
            <v>1452.76</v>
          </cell>
          <cell r="S89">
            <v>56047.37</v>
          </cell>
          <cell r="T89">
            <v>95121.07</v>
          </cell>
          <cell r="Y89" t="str">
            <v>May</v>
          </cell>
          <cell r="Z89">
            <v>-306738.15999999997</v>
          </cell>
          <cell r="AA89">
            <v>95121.07</v>
          </cell>
          <cell r="AB89">
            <v>-9538.5</v>
          </cell>
          <cell r="AD89">
            <v>-221155.58999999997</v>
          </cell>
          <cell r="AE89">
            <v>-724391.09000000008</v>
          </cell>
        </row>
        <row r="90">
          <cell r="C90" t="str">
            <v>Jun</v>
          </cell>
          <cell r="D90">
            <v>8542.1299999999992</v>
          </cell>
          <cell r="E90">
            <v>39315.74</v>
          </cell>
          <cell r="F90">
            <v>216487.16</v>
          </cell>
          <cell r="G90">
            <v>73331.039999999994</v>
          </cell>
          <cell r="I90">
            <v>337676.07</v>
          </cell>
          <cell r="J90">
            <v>1695609.82</v>
          </cell>
          <cell r="O90" t="str">
            <v>Jun</v>
          </cell>
          <cell r="P90">
            <v>245343.97</v>
          </cell>
          <cell r="Q90">
            <v>45753.22</v>
          </cell>
          <cell r="R90">
            <v>99029.96</v>
          </cell>
          <cell r="S90">
            <v>-236034.1</v>
          </cell>
          <cell r="T90">
            <v>154093.04999999999</v>
          </cell>
          <cell r="Y90" t="str">
            <v>Jun</v>
          </cell>
          <cell r="Z90">
            <v>-264890.26</v>
          </cell>
          <cell r="AA90">
            <v>154093.04999999999</v>
          </cell>
          <cell r="AB90">
            <v>-11642.94</v>
          </cell>
          <cell r="AD90">
            <v>-122440.15000000002</v>
          </cell>
          <cell r="AE90">
            <v>-846831.24000000011</v>
          </cell>
        </row>
        <row r="91">
          <cell r="C91" t="str">
            <v>Jul</v>
          </cell>
          <cell r="D91">
            <v>13305.43</v>
          </cell>
          <cell r="E91">
            <v>44901.56</v>
          </cell>
          <cell r="F91">
            <v>173022.91</v>
          </cell>
          <cell r="G91">
            <v>73759.42</v>
          </cell>
          <cell r="I91">
            <v>304989.31</v>
          </cell>
          <cell r="J91">
            <v>2000599.1300000001</v>
          </cell>
          <cell r="O91" t="str">
            <v>Jul</v>
          </cell>
          <cell r="P91">
            <v>104147.92</v>
          </cell>
          <cell r="Q91">
            <v>67419.34</v>
          </cell>
          <cell r="R91">
            <v>22597.29</v>
          </cell>
          <cell r="S91">
            <v>205193.55</v>
          </cell>
          <cell r="T91">
            <v>399358.1</v>
          </cell>
          <cell r="Y91" t="str">
            <v>Jul</v>
          </cell>
          <cell r="Z91">
            <v>-358849.07</v>
          </cell>
          <cell r="AA91">
            <v>399358.1</v>
          </cell>
          <cell r="AB91">
            <v>-20763.150000000001</v>
          </cell>
          <cell r="AD91">
            <v>19745.879999999968</v>
          </cell>
          <cell r="AE91">
            <v>-827085.3600000001</v>
          </cell>
        </row>
        <row r="92">
          <cell r="C92" t="str">
            <v>Ago</v>
          </cell>
          <cell r="D92">
            <v>14915.26</v>
          </cell>
          <cell r="E92">
            <v>37989.919999999998</v>
          </cell>
          <cell r="F92">
            <v>165859.29</v>
          </cell>
          <cell r="G92">
            <v>61032.17</v>
          </cell>
          <cell r="I92">
            <v>279796.64</v>
          </cell>
          <cell r="J92">
            <v>2280395.77</v>
          </cell>
          <cell r="O92" t="str">
            <v>Ago</v>
          </cell>
          <cell r="P92">
            <v>22458.76</v>
          </cell>
          <cell r="Q92">
            <v>123808.86</v>
          </cell>
          <cell r="R92">
            <v>94869.87</v>
          </cell>
          <cell r="S92">
            <v>19392.7</v>
          </cell>
          <cell r="T92">
            <v>260530.19</v>
          </cell>
          <cell r="Y92" t="str">
            <v>Ago</v>
          </cell>
          <cell r="Z92">
            <v>-485730.44</v>
          </cell>
          <cell r="AA92">
            <v>260530.19</v>
          </cell>
          <cell r="AB92">
            <v>80609.039999999994</v>
          </cell>
          <cell r="AD92">
            <v>-144591.21000000002</v>
          </cell>
          <cell r="AE92">
            <v>-971676.57000000007</v>
          </cell>
        </row>
        <row r="93">
          <cell r="C93" t="str">
            <v>Sep</v>
          </cell>
          <cell r="D93">
            <v>16112.31</v>
          </cell>
          <cell r="E93">
            <v>41540.68</v>
          </cell>
          <cell r="F93">
            <v>158923.64000000001</v>
          </cell>
          <cell r="G93">
            <v>87479.14</v>
          </cell>
          <cell r="I93">
            <v>304055.77</v>
          </cell>
          <cell r="J93">
            <v>2584451.54</v>
          </cell>
          <cell r="O93" t="str">
            <v>Sep</v>
          </cell>
          <cell r="P93">
            <v>38638.35</v>
          </cell>
          <cell r="Q93">
            <v>-28011.25</v>
          </cell>
          <cell r="R93">
            <v>105483.87</v>
          </cell>
          <cell r="S93">
            <v>116893.55</v>
          </cell>
          <cell r="T93">
            <v>233004.53</v>
          </cell>
          <cell r="Y93" t="str">
            <v>Sep</v>
          </cell>
          <cell r="Z93">
            <v>-544634.78</v>
          </cell>
          <cell r="AA93">
            <v>233004.53</v>
          </cell>
          <cell r="AB93">
            <v>130316.84</v>
          </cell>
          <cell r="AD93">
            <v>-181313.41</v>
          </cell>
          <cell r="AE93">
            <v>-1152989.98</v>
          </cell>
        </row>
        <row r="94">
          <cell r="C94" t="str">
            <v>Oct</v>
          </cell>
          <cell r="D94">
            <v>18547.2</v>
          </cell>
          <cell r="E94">
            <v>47377.14</v>
          </cell>
          <cell r="F94">
            <v>219066.48</v>
          </cell>
          <cell r="G94">
            <v>154365.04999999999</v>
          </cell>
          <cell r="I94">
            <v>439355.88</v>
          </cell>
          <cell r="J94">
            <v>3023807.42</v>
          </cell>
          <cell r="O94" t="str">
            <v>Oct</v>
          </cell>
          <cell r="P94">
            <v>-79962.52</v>
          </cell>
          <cell r="Q94">
            <v>281071.24</v>
          </cell>
          <cell r="R94">
            <v>37354.61</v>
          </cell>
          <cell r="S94">
            <v>-27857.3</v>
          </cell>
          <cell r="T94">
            <v>210606.02</v>
          </cell>
          <cell r="Y94" t="str">
            <v>Oct</v>
          </cell>
          <cell r="Z94">
            <v>-264364.52</v>
          </cell>
          <cell r="AA94">
            <v>210606.02</v>
          </cell>
          <cell r="AB94">
            <v>27411.05</v>
          </cell>
          <cell r="AD94">
            <v>-26347.45000000003</v>
          </cell>
          <cell r="AE94">
            <v>-1179337.43</v>
          </cell>
        </row>
        <row r="95">
          <cell r="C95" t="str">
            <v>Nov</v>
          </cell>
          <cell r="D95">
            <v>24314.69</v>
          </cell>
          <cell r="E95">
            <v>44269.94</v>
          </cell>
          <cell r="F95">
            <v>184052.61</v>
          </cell>
          <cell r="G95">
            <v>97184.81</v>
          </cell>
          <cell r="I95">
            <v>349822.05</v>
          </cell>
          <cell r="J95">
            <v>3373629.4699999997</v>
          </cell>
          <cell r="O95" t="str">
            <v>Nov</v>
          </cell>
          <cell r="P95">
            <v>97681.36</v>
          </cell>
          <cell r="Q95">
            <v>68340.259999999995</v>
          </cell>
          <cell r="R95">
            <v>14484.96</v>
          </cell>
          <cell r="S95">
            <v>40799.53</v>
          </cell>
          <cell r="T95">
            <v>221306.12</v>
          </cell>
          <cell r="Y95" t="str">
            <v>Nov</v>
          </cell>
          <cell r="Z95">
            <v>-126822.47</v>
          </cell>
          <cell r="AA95">
            <v>221306.12</v>
          </cell>
          <cell r="AB95">
            <v>-121735.41</v>
          </cell>
          <cell r="AD95">
            <v>-27251.760000000009</v>
          </cell>
          <cell r="AE95">
            <v>-1206589.19</v>
          </cell>
        </row>
        <row r="96">
          <cell r="C96" t="str">
            <v>Dic*</v>
          </cell>
          <cell r="D96">
            <v>16940.04</v>
          </cell>
          <cell r="E96">
            <v>59954.76</v>
          </cell>
          <cell r="F96">
            <v>207862.27</v>
          </cell>
          <cell r="G96">
            <v>59423.1</v>
          </cell>
          <cell r="I96">
            <v>344180.17</v>
          </cell>
          <cell r="J96">
            <v>3717809.6399999997</v>
          </cell>
          <cell r="O96" t="str">
            <v>Dic*</v>
          </cell>
          <cell r="P96">
            <v>170131.23</v>
          </cell>
          <cell r="Q96">
            <v>274086.99</v>
          </cell>
          <cell r="R96">
            <v>34125.620000000003</v>
          </cell>
          <cell r="S96">
            <v>-224072.13</v>
          </cell>
          <cell r="T96">
            <v>254271.72</v>
          </cell>
          <cell r="Y96" t="str">
            <v>Dic*</v>
          </cell>
          <cell r="Z96">
            <v>-265991.27</v>
          </cell>
          <cell r="AA96">
            <v>254271.72</v>
          </cell>
          <cell r="AB96">
            <v>41058.42</v>
          </cell>
          <cell r="AD96">
            <v>29338.869999999981</v>
          </cell>
          <cell r="AE96">
            <v>-1177250.32</v>
          </cell>
        </row>
        <row r="110">
          <cell r="B110" t="str">
            <v>Cuadro II-3B</v>
          </cell>
          <cell r="N110" t="str">
            <v>Cuadro II-4B</v>
          </cell>
          <cell r="X110" t="str">
            <v>Cuadro II-5B</v>
          </cell>
        </row>
        <row r="112">
          <cell r="B112" t="str">
            <v>REINTEGROS POR SERVICIOS FINANCIEROS Y NO FINANCIEROS</v>
          </cell>
          <cell r="N112" t="str">
            <v>CUENTA DE CAPITAL</v>
          </cell>
          <cell r="X112" t="str">
            <v>BALANZA CAMBIARIA</v>
          </cell>
        </row>
        <row r="114">
          <cell r="B114" t="str">
            <v>(Valores acumulados)</v>
          </cell>
          <cell r="N114" t="str">
            <v>(Valores acumulados)</v>
          </cell>
          <cell r="X114" t="str">
            <v>(Valores acumulados)</v>
          </cell>
        </row>
        <row r="116">
          <cell r="G116" t="str">
            <v xml:space="preserve">               (Miles de dólares)</v>
          </cell>
          <cell r="S116" t="str">
            <v xml:space="preserve">                         (Miles de dólares)</v>
          </cell>
          <cell r="AB116" t="str">
            <v xml:space="preserve">                                (Miles de dólares)</v>
          </cell>
        </row>
        <row r="117">
          <cell r="B117" t="str">
            <v>Período</v>
          </cell>
          <cell r="D117" t="str">
            <v>Turismo</v>
          </cell>
          <cell r="E117" t="str">
            <v>Transferencias</v>
          </cell>
          <cell r="F117" t="str">
            <v>Otros servicios</v>
          </cell>
          <cell r="G117" t="str">
            <v>Servicios</v>
          </cell>
          <cell r="I117" t="str">
            <v xml:space="preserve">    Servicios</v>
          </cell>
          <cell r="N117" t="str">
            <v>Período</v>
          </cell>
          <cell r="P117" t="str">
            <v>Sector</v>
          </cell>
          <cell r="Q117" t="str">
            <v>Inversión</v>
          </cell>
          <cell r="R117" t="str">
            <v>Sector</v>
          </cell>
          <cell r="S117" t="str">
            <v>Operaciones</v>
          </cell>
          <cell r="T117" t="str">
            <v>Financiación</v>
          </cell>
          <cell r="Y117" t="str">
            <v>Período</v>
          </cell>
          <cell r="Z117" t="str">
            <v>Superávit o</v>
          </cell>
          <cell r="AA117" t="str">
            <v xml:space="preserve">  Financiación</v>
          </cell>
          <cell r="AB117" t="str">
            <v>Causaciones</v>
          </cell>
          <cell r="AD117" t="str">
            <v>Var. reservas</v>
          </cell>
        </row>
        <row r="118">
          <cell r="E118" t="str">
            <v>e ingresos</v>
          </cell>
          <cell r="F118" t="str">
            <v>no financieros</v>
          </cell>
          <cell r="G118" t="str">
            <v>financieros</v>
          </cell>
          <cell r="I118" t="str">
            <v>totales</v>
          </cell>
          <cell r="P118" t="str">
            <v>privado¹</v>
          </cell>
          <cell r="Q118" t="str">
            <v>extranjera</v>
          </cell>
          <cell r="R118" t="str">
            <v>oficial¹</v>
          </cell>
          <cell r="S118" t="str">
            <v>especiales²</v>
          </cell>
          <cell r="T118" t="str">
            <v>neta</v>
          </cell>
          <cell r="Z118" t="str">
            <v>déficit en</v>
          </cell>
          <cell r="AA118" t="str">
            <v>neta</v>
          </cell>
          <cell r="AB118" t="str">
            <v>valuac. y prov.</v>
          </cell>
          <cell r="AD118" t="str">
            <v>netas</v>
          </cell>
        </row>
        <row r="119">
          <cell r="E119" t="str">
            <v>personales</v>
          </cell>
          <cell r="Q119" t="str">
            <v>neta</v>
          </cell>
          <cell r="Z119" t="str">
            <v>Cta. Cte.</v>
          </cell>
        </row>
        <row r="120">
          <cell r="C120" t="str">
            <v>Ene/92</v>
          </cell>
          <cell r="D120">
            <v>114511</v>
          </cell>
          <cell r="E120">
            <v>153740</v>
          </cell>
          <cell r="F120">
            <v>29600</v>
          </cell>
          <cell r="G120">
            <v>33905</v>
          </cell>
          <cell r="I120">
            <v>331756</v>
          </cell>
          <cell r="O120" t="str">
            <v>Ene/92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Y120" t="str">
            <v>Ene/92</v>
          </cell>
          <cell r="Z120">
            <v>0</v>
          </cell>
          <cell r="AA120">
            <v>0</v>
          </cell>
          <cell r="AB120">
            <v>0</v>
          </cell>
          <cell r="AD120">
            <v>0</v>
          </cell>
        </row>
        <row r="121">
          <cell r="C121" t="str">
            <v>Feb</v>
          </cell>
          <cell r="D121">
            <v>182466</v>
          </cell>
          <cell r="E121">
            <v>281676</v>
          </cell>
          <cell r="F121">
            <v>61700</v>
          </cell>
          <cell r="G121">
            <v>67953</v>
          </cell>
          <cell r="I121">
            <v>593795</v>
          </cell>
          <cell r="O121" t="str">
            <v>Feb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Y121" t="str">
            <v>Feb</v>
          </cell>
          <cell r="Z121">
            <v>0</v>
          </cell>
          <cell r="AA121">
            <v>0</v>
          </cell>
          <cell r="AB121">
            <v>0</v>
          </cell>
          <cell r="AD121">
            <v>0</v>
          </cell>
        </row>
        <row r="122">
          <cell r="C122" t="str">
            <v>Mar</v>
          </cell>
          <cell r="D122">
            <v>269818</v>
          </cell>
          <cell r="E122">
            <v>443310</v>
          </cell>
          <cell r="F122">
            <v>93100</v>
          </cell>
          <cell r="G122">
            <v>97478</v>
          </cell>
          <cell r="I122">
            <v>903706</v>
          </cell>
          <cell r="O122" t="str">
            <v>Mar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Y122" t="str">
            <v>Mar</v>
          </cell>
          <cell r="Z122">
            <v>0</v>
          </cell>
          <cell r="AA122">
            <v>0</v>
          </cell>
          <cell r="AB122">
            <v>0</v>
          </cell>
          <cell r="AD122">
            <v>0</v>
          </cell>
        </row>
        <row r="123">
          <cell r="C123" t="str">
            <v>Abr</v>
          </cell>
          <cell r="D123">
            <v>345483</v>
          </cell>
          <cell r="E123">
            <v>595562</v>
          </cell>
          <cell r="F123">
            <v>126300</v>
          </cell>
          <cell r="G123">
            <v>126982</v>
          </cell>
          <cell r="I123">
            <v>1194327</v>
          </cell>
          <cell r="O123" t="str">
            <v>Abr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Y123" t="str">
            <v>Abr</v>
          </cell>
          <cell r="Z123">
            <v>0</v>
          </cell>
          <cell r="AA123">
            <v>0</v>
          </cell>
          <cell r="AB123">
            <v>0</v>
          </cell>
          <cell r="AD123">
            <v>0</v>
          </cell>
        </row>
        <row r="124">
          <cell r="C124" t="str">
            <v>May</v>
          </cell>
          <cell r="D124">
            <v>406393</v>
          </cell>
          <cell r="E124">
            <v>783442</v>
          </cell>
          <cell r="F124">
            <v>155700</v>
          </cell>
          <cell r="G124">
            <v>161143</v>
          </cell>
          <cell r="I124">
            <v>1506678</v>
          </cell>
          <cell r="O124" t="str">
            <v>May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Y124" t="str">
            <v>May</v>
          </cell>
          <cell r="Z124">
            <v>0</v>
          </cell>
          <cell r="AA124">
            <v>0</v>
          </cell>
          <cell r="AB124">
            <v>0</v>
          </cell>
          <cell r="AD124">
            <v>0</v>
          </cell>
        </row>
        <row r="125">
          <cell r="C125" t="str">
            <v>Jun</v>
          </cell>
          <cell r="D125">
            <v>476180</v>
          </cell>
          <cell r="E125">
            <v>970946</v>
          </cell>
          <cell r="F125">
            <v>182000</v>
          </cell>
          <cell r="G125">
            <v>192968</v>
          </cell>
          <cell r="I125">
            <v>1822094</v>
          </cell>
          <cell r="O125" t="str">
            <v>Jun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Y125" t="str">
            <v>Jun</v>
          </cell>
          <cell r="Z125">
            <v>0</v>
          </cell>
          <cell r="AA125">
            <v>0</v>
          </cell>
          <cell r="AB125">
            <v>0</v>
          </cell>
          <cell r="AD125">
            <v>0</v>
          </cell>
        </row>
        <row r="126">
          <cell r="C126" t="str">
            <v>Jul</v>
          </cell>
          <cell r="D126">
            <v>547507</v>
          </cell>
          <cell r="E126">
            <v>1121655</v>
          </cell>
          <cell r="F126">
            <v>209800</v>
          </cell>
          <cell r="G126">
            <v>224540</v>
          </cell>
          <cell r="I126">
            <v>2103502</v>
          </cell>
          <cell r="O126" t="str">
            <v>Jul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Y126" t="str">
            <v>Jul</v>
          </cell>
          <cell r="Z126">
            <v>0</v>
          </cell>
          <cell r="AA126">
            <v>0</v>
          </cell>
          <cell r="AB126">
            <v>0</v>
          </cell>
          <cell r="AD126">
            <v>0</v>
          </cell>
        </row>
        <row r="127">
          <cell r="C127" t="str">
            <v>Ago</v>
          </cell>
          <cell r="D127">
            <v>609528</v>
          </cell>
          <cell r="E127">
            <v>1202870</v>
          </cell>
          <cell r="F127">
            <v>237900</v>
          </cell>
          <cell r="G127">
            <v>256561</v>
          </cell>
          <cell r="I127">
            <v>2306859</v>
          </cell>
          <cell r="O127" t="str">
            <v>Ago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Y127" t="str">
            <v>Ago</v>
          </cell>
          <cell r="Z127">
            <v>0</v>
          </cell>
          <cell r="AA127">
            <v>0</v>
          </cell>
          <cell r="AB127">
            <v>0</v>
          </cell>
          <cell r="AD127">
            <v>0</v>
          </cell>
        </row>
        <row r="128">
          <cell r="C128" t="str">
            <v>Sep</v>
          </cell>
          <cell r="D128">
            <v>705309</v>
          </cell>
          <cell r="E128">
            <v>1306602</v>
          </cell>
          <cell r="F128">
            <v>277800</v>
          </cell>
          <cell r="G128">
            <v>287128</v>
          </cell>
          <cell r="I128">
            <v>2576839</v>
          </cell>
          <cell r="O128" t="str">
            <v>Sep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Y128" t="str">
            <v>Sep</v>
          </cell>
          <cell r="Z128">
            <v>0</v>
          </cell>
          <cell r="AA128">
            <v>0</v>
          </cell>
          <cell r="AB128">
            <v>0</v>
          </cell>
          <cell r="AD128">
            <v>0</v>
          </cell>
        </row>
        <row r="129">
          <cell r="C129" t="str">
            <v>Oct</v>
          </cell>
          <cell r="D129">
            <v>731988</v>
          </cell>
          <cell r="E129">
            <v>1389480</v>
          </cell>
          <cell r="F129">
            <v>339800</v>
          </cell>
          <cell r="G129">
            <v>330481</v>
          </cell>
          <cell r="I129">
            <v>2791749</v>
          </cell>
          <cell r="O129" t="str">
            <v>Oct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Y129" t="str">
            <v>Oct</v>
          </cell>
          <cell r="Z129">
            <v>0</v>
          </cell>
          <cell r="AA129">
            <v>0</v>
          </cell>
          <cell r="AB129">
            <v>0</v>
          </cell>
          <cell r="AD129">
            <v>0</v>
          </cell>
        </row>
        <row r="130">
          <cell r="C130" t="str">
            <v>Nov</v>
          </cell>
          <cell r="D130">
            <v>765108</v>
          </cell>
          <cell r="E130">
            <v>1470365</v>
          </cell>
          <cell r="F130">
            <v>382900</v>
          </cell>
          <cell r="G130">
            <v>364688</v>
          </cell>
          <cell r="I130">
            <v>2983061</v>
          </cell>
          <cell r="O130" t="str">
            <v>Nov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Y130" t="str">
            <v>Nov</v>
          </cell>
          <cell r="Z130">
            <v>0</v>
          </cell>
          <cell r="AA130">
            <v>0</v>
          </cell>
          <cell r="AB130">
            <v>0</v>
          </cell>
          <cell r="AD130">
            <v>0</v>
          </cell>
        </row>
        <row r="131">
          <cell r="C131" t="str">
            <v>Dic</v>
          </cell>
          <cell r="D131">
            <v>797385</v>
          </cell>
          <cell r="E131">
            <v>1592865</v>
          </cell>
          <cell r="F131">
            <v>416900</v>
          </cell>
          <cell r="G131">
            <v>395851</v>
          </cell>
          <cell r="I131">
            <v>3203001</v>
          </cell>
          <cell r="O131" t="str">
            <v>Dic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Y131" t="str">
            <v>Dic</v>
          </cell>
          <cell r="Z131">
            <v>0</v>
          </cell>
          <cell r="AA131">
            <v>0</v>
          </cell>
          <cell r="AB131">
            <v>0</v>
          </cell>
          <cell r="AD131">
            <v>0</v>
          </cell>
        </row>
        <row r="132">
          <cell r="C132" t="str">
            <v>Ene/93</v>
          </cell>
          <cell r="D132">
            <v>42301.246950000001</v>
          </cell>
          <cell r="E132">
            <v>50717.076639999999</v>
          </cell>
          <cell r="F132">
            <v>25797.451659999999</v>
          </cell>
          <cell r="G132">
            <v>3826.4597199999998</v>
          </cell>
          <cell r="I132">
            <v>122642.23497</v>
          </cell>
          <cell r="O132" t="str">
            <v>Ene/93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Y132" t="str">
            <v>Ene/93</v>
          </cell>
          <cell r="Z132">
            <v>0</v>
          </cell>
          <cell r="AA132">
            <v>0</v>
          </cell>
          <cell r="AB132">
            <v>0</v>
          </cell>
          <cell r="AD132">
            <v>0</v>
          </cell>
        </row>
        <row r="133">
          <cell r="C133" t="str">
            <v>Feb</v>
          </cell>
          <cell r="D133">
            <v>82985.200370000006</v>
          </cell>
          <cell r="E133">
            <v>134894.22963000002</v>
          </cell>
          <cell r="F133">
            <v>59266.951820000002</v>
          </cell>
          <cell r="G133">
            <v>23773.994859999999</v>
          </cell>
          <cell r="I133">
            <v>300920.37667999999</v>
          </cell>
          <cell r="O133" t="str">
            <v>Feb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Y133" t="str">
            <v>Feb</v>
          </cell>
          <cell r="Z133">
            <v>0</v>
          </cell>
          <cell r="AA133">
            <v>0</v>
          </cell>
          <cell r="AB133">
            <v>0</v>
          </cell>
          <cell r="AD133">
            <v>0</v>
          </cell>
        </row>
        <row r="134">
          <cell r="C134" t="str">
            <v>Mar</v>
          </cell>
          <cell r="D134">
            <v>148335.22315999999</v>
          </cell>
          <cell r="E134">
            <v>228444.92926</v>
          </cell>
          <cell r="F134">
            <v>107786.55296</v>
          </cell>
          <cell r="G134">
            <v>43349.381309999997</v>
          </cell>
          <cell r="I134">
            <v>527916.08669000003</v>
          </cell>
          <cell r="O134" t="str">
            <v>Mar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Y134" t="str">
            <v>Mar</v>
          </cell>
          <cell r="Z134">
            <v>0</v>
          </cell>
          <cell r="AA134">
            <v>0</v>
          </cell>
          <cell r="AB134">
            <v>0</v>
          </cell>
          <cell r="AD134">
            <v>0</v>
          </cell>
        </row>
        <row r="135">
          <cell r="C135" t="str">
            <v>Abr</v>
          </cell>
          <cell r="D135">
            <v>206255.25987000001</v>
          </cell>
          <cell r="E135">
            <v>347069.45279000001</v>
          </cell>
          <cell r="F135">
            <v>152427.35529000001</v>
          </cell>
          <cell r="G135">
            <v>77698.492039999997</v>
          </cell>
          <cell r="I135">
            <v>783450.55998999998</v>
          </cell>
          <cell r="O135" t="str">
            <v>Abr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Y135" t="str">
            <v>Abr</v>
          </cell>
          <cell r="Z135">
            <v>0</v>
          </cell>
          <cell r="AA135">
            <v>0</v>
          </cell>
          <cell r="AB135">
            <v>0</v>
          </cell>
          <cell r="AD135">
            <v>0</v>
          </cell>
        </row>
        <row r="136">
          <cell r="C136" t="str">
            <v>May</v>
          </cell>
          <cell r="D136">
            <v>287742.18982999999</v>
          </cell>
          <cell r="E136">
            <v>513952.67582</v>
          </cell>
          <cell r="F136">
            <v>204250.33649000002</v>
          </cell>
          <cell r="G136">
            <v>127043.83215999999</v>
          </cell>
          <cell r="I136">
            <v>1132989.0342999999</v>
          </cell>
          <cell r="O136" t="str">
            <v>May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Y136" t="str">
            <v>May</v>
          </cell>
          <cell r="Z136">
            <v>0</v>
          </cell>
          <cell r="AA136">
            <v>0</v>
          </cell>
          <cell r="AB136">
            <v>0</v>
          </cell>
          <cell r="AD136">
            <v>0</v>
          </cell>
        </row>
        <row r="137">
          <cell r="C137" t="str">
            <v>Jun</v>
          </cell>
          <cell r="D137">
            <v>364940.5907</v>
          </cell>
          <cell r="E137">
            <v>710329.06254000007</v>
          </cell>
          <cell r="F137">
            <v>280513.16982000001</v>
          </cell>
          <cell r="G137">
            <v>199550.53151</v>
          </cell>
          <cell r="I137">
            <v>1555333.35457</v>
          </cell>
          <cell r="O137" t="str">
            <v>Jun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Y137" t="str">
            <v>Jun</v>
          </cell>
          <cell r="Z137">
            <v>0</v>
          </cell>
          <cell r="AA137">
            <v>0</v>
          </cell>
          <cell r="AB137">
            <v>0</v>
          </cell>
          <cell r="AD137">
            <v>0</v>
          </cell>
        </row>
        <row r="138">
          <cell r="C138" t="str">
            <v>Jul</v>
          </cell>
          <cell r="D138">
            <v>436587.07669000002</v>
          </cell>
          <cell r="E138">
            <v>806829.32422000007</v>
          </cell>
          <cell r="F138">
            <v>334521.87355000002</v>
          </cell>
          <cell r="G138">
            <v>248723.38529000001</v>
          </cell>
          <cell r="I138">
            <v>1826661.6597500001</v>
          </cell>
          <cell r="O138" t="str">
            <v>Jul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Y138" t="str">
            <v>Jul</v>
          </cell>
          <cell r="Z138">
            <v>0</v>
          </cell>
          <cell r="AA138">
            <v>0</v>
          </cell>
          <cell r="AB138">
            <v>0</v>
          </cell>
          <cell r="AD138">
            <v>0</v>
          </cell>
        </row>
        <row r="139">
          <cell r="C139" t="str">
            <v>Ago</v>
          </cell>
          <cell r="D139">
            <v>511233.05907000002</v>
          </cell>
          <cell r="E139">
            <v>887786.80666000012</v>
          </cell>
          <cell r="F139">
            <v>375592.93824000005</v>
          </cell>
          <cell r="G139">
            <v>320826.12849999999</v>
          </cell>
          <cell r="I139">
            <v>2095438.9324700001</v>
          </cell>
          <cell r="O139" t="str">
            <v>Ago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Y139" t="str">
            <v>Ago</v>
          </cell>
          <cell r="Z139">
            <v>0</v>
          </cell>
          <cell r="AA139">
            <v>0</v>
          </cell>
          <cell r="AB139">
            <v>0</v>
          </cell>
          <cell r="AD139">
            <v>0</v>
          </cell>
        </row>
        <row r="140">
          <cell r="C140" t="str">
            <v>Sep</v>
          </cell>
          <cell r="D140">
            <v>572920.04431999999</v>
          </cell>
          <cell r="E140">
            <v>981997.49332000013</v>
          </cell>
          <cell r="F140">
            <v>424769.12043000007</v>
          </cell>
          <cell r="G140">
            <v>373292.85861</v>
          </cell>
          <cell r="I140">
            <v>2352979.5166800003</v>
          </cell>
          <cell r="O140" t="str">
            <v>Sep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Y140" t="str">
            <v>Sep</v>
          </cell>
          <cell r="Z140">
            <v>0</v>
          </cell>
          <cell r="AA140">
            <v>0</v>
          </cell>
          <cell r="AB140">
            <v>0</v>
          </cell>
          <cell r="AD140">
            <v>0</v>
          </cell>
        </row>
        <row r="141">
          <cell r="C141" t="str">
            <v>Oct*</v>
          </cell>
          <cell r="D141">
            <v>622645.93871000002</v>
          </cell>
          <cell r="E141">
            <v>1032323.0432600002</v>
          </cell>
          <cell r="F141">
            <v>484610.70333000005</v>
          </cell>
          <cell r="G141">
            <v>436620.14929999999</v>
          </cell>
          <cell r="I141">
            <v>2576199.8346000002</v>
          </cell>
          <cell r="O141" t="str">
            <v>Oct*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Y141" t="str">
            <v>Oct*</v>
          </cell>
          <cell r="Z141">
            <v>0</v>
          </cell>
          <cell r="AA141">
            <v>0</v>
          </cell>
          <cell r="AB141">
            <v>0</v>
          </cell>
          <cell r="AD141">
            <v>0</v>
          </cell>
        </row>
        <row r="142">
          <cell r="C142" t="str">
            <v>Nov*</v>
          </cell>
          <cell r="D142">
            <v>696104.40433000005</v>
          </cell>
          <cell r="E142">
            <v>1091125.5622800002</v>
          </cell>
          <cell r="F142">
            <v>532814.41276000009</v>
          </cell>
          <cell r="G142">
            <v>479708.41436</v>
          </cell>
          <cell r="I142">
            <v>2799752.79373</v>
          </cell>
          <cell r="O142" t="str">
            <v>Nov*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Y142" t="str">
            <v>Nov*</v>
          </cell>
          <cell r="Z142">
            <v>0</v>
          </cell>
          <cell r="AA142">
            <v>0</v>
          </cell>
          <cell r="AB142">
            <v>0</v>
          </cell>
          <cell r="AD142">
            <v>0</v>
          </cell>
        </row>
        <row r="143">
          <cell r="C143" t="str">
            <v>Dic*</v>
          </cell>
          <cell r="D143">
            <v>734371.78551000007</v>
          </cell>
          <cell r="E143">
            <v>1153035.6183600002</v>
          </cell>
          <cell r="F143">
            <v>623565.82502000011</v>
          </cell>
          <cell r="G143">
            <v>529355.31866999995</v>
          </cell>
          <cell r="I143">
            <v>3040328.5475599999</v>
          </cell>
          <cell r="O143" t="str">
            <v>Dic*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Y143" t="str">
            <v>Dic*</v>
          </cell>
          <cell r="Z143">
            <v>0</v>
          </cell>
          <cell r="AA143">
            <v>0</v>
          </cell>
          <cell r="AB143">
            <v>0</v>
          </cell>
          <cell r="AD143">
            <v>0</v>
          </cell>
        </row>
        <row r="144">
          <cell r="B144">
            <v>1994</v>
          </cell>
          <cell r="C144" t="str">
            <v>Ene</v>
          </cell>
          <cell r="D144">
            <v>52309.503879999997</v>
          </cell>
          <cell r="E144">
            <v>60242.882149999998</v>
          </cell>
          <cell r="F144">
            <v>89650.704140000002</v>
          </cell>
          <cell r="G144">
            <v>9462.7562500000004</v>
          </cell>
          <cell r="I144">
            <v>211665.84641999999</v>
          </cell>
          <cell r="N144">
            <v>1994</v>
          </cell>
          <cell r="O144" t="str">
            <v>Ene</v>
          </cell>
          <cell r="P144">
            <v>98856.574869999997</v>
          </cell>
          <cell r="Q144">
            <v>4289.4307799999997</v>
          </cell>
          <cell r="R144">
            <v>36038.230360000001</v>
          </cell>
          <cell r="S144">
            <v>-58487.178059999998</v>
          </cell>
          <cell r="T144">
            <v>80697.057950000002</v>
          </cell>
          <cell r="X144">
            <v>1994</v>
          </cell>
          <cell r="Y144" t="str">
            <v>Ene</v>
          </cell>
          <cell r="Z144">
            <v>-4908.22703</v>
          </cell>
          <cell r="AA144">
            <v>80697.057950000002</v>
          </cell>
          <cell r="AB144">
            <v>44490.059780000003</v>
          </cell>
          <cell r="AD144">
            <v>120278.89070000002</v>
          </cell>
        </row>
        <row r="145">
          <cell r="C145" t="str">
            <v>Feb</v>
          </cell>
          <cell r="D145">
            <v>116683.37153</v>
          </cell>
          <cell r="E145">
            <v>122180.88803999999</v>
          </cell>
          <cell r="F145">
            <v>161920.88153000001</v>
          </cell>
          <cell r="G145">
            <v>38392.205869999998</v>
          </cell>
          <cell r="I145">
            <v>439177.34696999996</v>
          </cell>
          <cell r="O145" t="str">
            <v>Feb</v>
          </cell>
          <cell r="P145">
            <v>163135.79848999999</v>
          </cell>
          <cell r="Q145">
            <v>58439.752120000005</v>
          </cell>
          <cell r="R145">
            <v>35209.339830000004</v>
          </cell>
          <cell r="S145">
            <v>-131003.14214000001</v>
          </cell>
          <cell r="T145">
            <v>125781.74830000001</v>
          </cell>
          <cell r="Y145" t="str">
            <v>Feb</v>
          </cell>
          <cell r="Z145">
            <v>7078.2721099999999</v>
          </cell>
          <cell r="AA145">
            <v>125781.74830000001</v>
          </cell>
          <cell r="AB145">
            <v>79208.181400000001</v>
          </cell>
          <cell r="AD145">
            <v>212068.20181</v>
          </cell>
        </row>
        <row r="146">
          <cell r="C146" t="str">
            <v>Mar</v>
          </cell>
          <cell r="D146">
            <v>190488.26367000001</v>
          </cell>
          <cell r="E146">
            <v>183206.96518999999</v>
          </cell>
          <cell r="F146">
            <v>311553.44321000006</v>
          </cell>
          <cell r="G146">
            <v>66297.33236</v>
          </cell>
          <cell r="I146">
            <v>751546.00442999997</v>
          </cell>
          <cell r="O146" t="str">
            <v>Mar</v>
          </cell>
          <cell r="P146">
            <v>292687.72840000002</v>
          </cell>
          <cell r="Q146">
            <v>68166.677920000002</v>
          </cell>
          <cell r="R146">
            <v>45667.720420000005</v>
          </cell>
          <cell r="S146">
            <v>-193357.68222000002</v>
          </cell>
          <cell r="T146">
            <v>213164.44452000002</v>
          </cell>
          <cell r="Y146" t="str">
            <v>Mar</v>
          </cell>
          <cell r="Z146">
            <v>-30466.890290000003</v>
          </cell>
          <cell r="AA146">
            <v>213164.44452000002</v>
          </cell>
          <cell r="AB146">
            <v>78908.181400000001</v>
          </cell>
          <cell r="AD146">
            <v>261605.73563000001</v>
          </cell>
        </row>
        <row r="147">
          <cell r="C147" t="str">
            <v>Abr</v>
          </cell>
          <cell r="D147">
            <v>263547.70893000002</v>
          </cell>
          <cell r="E147">
            <v>252303.37766999999</v>
          </cell>
          <cell r="F147">
            <v>392025.41069000005</v>
          </cell>
          <cell r="G147">
            <v>100045.92303000001</v>
          </cell>
          <cell r="I147">
            <v>1007922.42032</v>
          </cell>
          <cell r="O147" t="str">
            <v>Abr</v>
          </cell>
          <cell r="P147">
            <v>339781.55667000002</v>
          </cell>
          <cell r="Q147">
            <v>64521.838670000005</v>
          </cell>
          <cell r="R147">
            <v>-72021.319040000002</v>
          </cell>
          <cell r="S147">
            <v>-164152.77243000001</v>
          </cell>
          <cell r="T147">
            <v>168129.30387</v>
          </cell>
          <cell r="Y147" t="str">
            <v>Abr</v>
          </cell>
          <cell r="Z147">
            <v>-242389.72596000001</v>
          </cell>
          <cell r="AA147">
            <v>168129.30387</v>
          </cell>
          <cell r="AB147">
            <v>86008.181400000001</v>
          </cell>
          <cell r="AD147">
            <v>11747.759309999994</v>
          </cell>
        </row>
        <row r="148">
          <cell r="C148" t="str">
            <v>May</v>
          </cell>
          <cell r="D148">
            <v>352689.45480000001</v>
          </cell>
          <cell r="E148">
            <v>325508.50426999998</v>
          </cell>
          <cell r="F148">
            <v>469087.46983000007</v>
          </cell>
          <cell r="G148">
            <v>150248.90960000001</v>
          </cell>
          <cell r="I148">
            <v>1297534.3385000001</v>
          </cell>
          <cell r="O148" t="str">
            <v>May</v>
          </cell>
          <cell r="P148">
            <v>417322.30219000002</v>
          </cell>
          <cell r="Q148">
            <v>111343.97708000001</v>
          </cell>
          <cell r="R148">
            <v>-54229.810240000006</v>
          </cell>
          <cell r="S148">
            <v>-231627.12654000003</v>
          </cell>
          <cell r="T148">
            <v>242809.34249000001</v>
          </cell>
          <cell r="Y148" t="str">
            <v>May</v>
          </cell>
          <cell r="Z148">
            <v>-322884.73758000002</v>
          </cell>
          <cell r="AA148">
            <v>242809.34249000001</v>
          </cell>
          <cell r="AB148">
            <v>61608.181400000001</v>
          </cell>
          <cell r="AD148">
            <v>-18467.213690000004</v>
          </cell>
        </row>
        <row r="149">
          <cell r="C149" t="str">
            <v>Jun</v>
          </cell>
          <cell r="D149">
            <v>381672.81403000001</v>
          </cell>
          <cell r="E149">
            <v>398711.33597999997</v>
          </cell>
          <cell r="F149">
            <v>553549.26296000008</v>
          </cell>
          <cell r="G149">
            <v>186132.68792</v>
          </cell>
          <cell r="I149">
            <v>1520066.1008900001</v>
          </cell>
          <cell r="O149" t="str">
            <v>Jun</v>
          </cell>
          <cell r="P149">
            <v>498822.28574000002</v>
          </cell>
          <cell r="Q149">
            <v>159277.03232</v>
          </cell>
          <cell r="R149">
            <v>24672.09607</v>
          </cell>
          <cell r="S149">
            <v>-181523.99544000003</v>
          </cell>
          <cell r="T149">
            <v>501247.41869000002</v>
          </cell>
          <cell r="Y149" t="str">
            <v>Jun</v>
          </cell>
          <cell r="Z149">
            <v>-521173.18310000002</v>
          </cell>
          <cell r="AA149">
            <v>501247.41869000002</v>
          </cell>
          <cell r="AB149">
            <v>139608.1814</v>
          </cell>
          <cell r="AD149">
            <v>119682.41699</v>
          </cell>
        </row>
        <row r="150">
          <cell r="C150" t="str">
            <v>Jul</v>
          </cell>
          <cell r="D150">
            <v>408482.53704000002</v>
          </cell>
          <cell r="E150">
            <v>452581.80963999999</v>
          </cell>
          <cell r="F150">
            <v>652679.59634000005</v>
          </cell>
          <cell r="G150">
            <v>226383.65416999999</v>
          </cell>
          <cell r="I150">
            <v>1740127.5971900001</v>
          </cell>
          <cell r="O150" t="str">
            <v>Jul</v>
          </cell>
          <cell r="P150">
            <v>556420.24680000008</v>
          </cell>
          <cell r="Q150">
            <v>205269.52627</v>
          </cell>
          <cell r="R150">
            <v>31093.630539999998</v>
          </cell>
          <cell r="S150">
            <v>-161827.35167000003</v>
          </cell>
          <cell r="T150">
            <v>630956.05194000003</v>
          </cell>
          <cell r="Y150" t="str">
            <v>Jul</v>
          </cell>
          <cell r="Z150">
            <v>-678652.81634999998</v>
          </cell>
          <cell r="AA150">
            <v>630956.05194000003</v>
          </cell>
          <cell r="AB150">
            <v>145908.1814</v>
          </cell>
          <cell r="AD150">
            <v>98211.416990000056</v>
          </cell>
        </row>
        <row r="151">
          <cell r="C151" t="str">
            <v>Ago</v>
          </cell>
          <cell r="D151">
            <v>455288.84537</v>
          </cell>
          <cell r="E151">
            <v>539421.11817000003</v>
          </cell>
          <cell r="F151">
            <v>770958.90239000006</v>
          </cell>
          <cell r="G151">
            <v>283131.47580000001</v>
          </cell>
          <cell r="I151">
            <v>2048800.34173</v>
          </cell>
          <cell r="O151" t="str">
            <v>Ago</v>
          </cell>
          <cell r="P151">
            <v>734160.07938000001</v>
          </cell>
          <cell r="Q151">
            <v>265603.60236999998</v>
          </cell>
          <cell r="R151">
            <v>-7941.8781799999997</v>
          </cell>
          <cell r="S151">
            <v>-72245.719490000032</v>
          </cell>
          <cell r="T151">
            <v>919576.08408000006</v>
          </cell>
          <cell r="Y151" t="str">
            <v>Ago</v>
          </cell>
          <cell r="Z151">
            <v>-939879.19877000002</v>
          </cell>
          <cell r="AA151">
            <v>919576.08408000006</v>
          </cell>
          <cell r="AB151">
            <v>122508.1814</v>
          </cell>
          <cell r="AD151">
            <v>102205.06671000004</v>
          </cell>
        </row>
        <row r="152">
          <cell r="C152" t="str">
            <v>Sep</v>
          </cell>
          <cell r="D152">
            <v>506184.58366</v>
          </cell>
          <cell r="E152">
            <v>629330.84243000008</v>
          </cell>
          <cell r="F152">
            <v>925964.50351000007</v>
          </cell>
          <cell r="G152">
            <v>328807.51423999999</v>
          </cell>
          <cell r="I152">
            <v>2390287.4438399998</v>
          </cell>
          <cell r="O152" t="str">
            <v>Sep</v>
          </cell>
          <cell r="P152">
            <v>950493.48565000005</v>
          </cell>
          <cell r="Q152">
            <v>315689.36430999998</v>
          </cell>
          <cell r="R152">
            <v>-213901.94933999999</v>
          </cell>
          <cell r="S152">
            <v>-138841.40364000003</v>
          </cell>
          <cell r="T152">
            <v>913439.49698000005</v>
          </cell>
          <cell r="Y152" t="str">
            <v>Sep</v>
          </cell>
          <cell r="Z152">
            <v>-1134085.97655</v>
          </cell>
          <cell r="AA152">
            <v>913439.49698000005</v>
          </cell>
          <cell r="AB152">
            <v>126608.1814</v>
          </cell>
          <cell r="AD152">
            <v>-94038.298169999965</v>
          </cell>
        </row>
        <row r="153">
          <cell r="C153" t="str">
            <v>Oct</v>
          </cell>
          <cell r="D153">
            <v>554677.86543999997</v>
          </cell>
          <cell r="E153">
            <v>700315.17301000003</v>
          </cell>
          <cell r="F153">
            <v>1040133.67104</v>
          </cell>
          <cell r="G153">
            <v>392411.62725999998</v>
          </cell>
          <cell r="I153">
            <v>2687538.3367499998</v>
          </cell>
          <cell r="O153" t="str">
            <v>Oct</v>
          </cell>
          <cell r="P153">
            <v>1123462.57012</v>
          </cell>
          <cell r="Q153">
            <v>360928.68093999999</v>
          </cell>
          <cell r="R153">
            <v>197821.18726000004</v>
          </cell>
          <cell r="S153">
            <v>-532159.01361000002</v>
          </cell>
          <cell r="T153">
            <v>1150053.4247099999</v>
          </cell>
          <cell r="Y153" t="str">
            <v>Oct</v>
          </cell>
          <cell r="Z153">
            <v>-1408181.49367</v>
          </cell>
          <cell r="AA153">
            <v>1150053.4247099999</v>
          </cell>
          <cell r="AB153">
            <v>180808.1814</v>
          </cell>
          <cell r="AD153">
            <v>-77319.887560000061</v>
          </cell>
        </row>
        <row r="154">
          <cell r="C154" t="str">
            <v>Nov</v>
          </cell>
          <cell r="D154">
            <v>602474.94834999996</v>
          </cell>
          <cell r="E154">
            <v>768661.21135</v>
          </cell>
          <cell r="F154">
            <v>1168721.81149</v>
          </cell>
          <cell r="G154">
            <v>431011.87627000001</v>
          </cell>
          <cell r="I154">
            <v>2970869.8474599998</v>
          </cell>
          <cell r="O154" t="str">
            <v>Nov</v>
          </cell>
          <cell r="P154">
            <v>1351655.56911</v>
          </cell>
          <cell r="Q154">
            <v>435241.87265999999</v>
          </cell>
          <cell r="R154">
            <v>-294446.52615999995</v>
          </cell>
          <cell r="S154">
            <v>-135890.48195000004</v>
          </cell>
          <cell r="T154">
            <v>1356560.4336599999</v>
          </cell>
          <cell r="Y154" t="str">
            <v>Nov</v>
          </cell>
          <cell r="Z154">
            <v>-1582503.5521</v>
          </cell>
          <cell r="AA154">
            <v>1356560.4336599999</v>
          </cell>
          <cell r="AB154">
            <v>86108.181400000001</v>
          </cell>
          <cell r="AD154">
            <v>-139834.93704000011</v>
          </cell>
        </row>
        <row r="155">
          <cell r="C155" t="str">
            <v>Dic</v>
          </cell>
          <cell r="D155">
            <v>646338.69303999993</v>
          </cell>
          <cell r="E155">
            <v>835048.32538000005</v>
          </cell>
          <cell r="F155">
            <v>1322121.48273</v>
          </cell>
          <cell r="G155">
            <v>460216.28084000002</v>
          </cell>
          <cell r="I155">
            <v>3263724.78199</v>
          </cell>
          <cell r="O155" t="str">
            <v>Dic</v>
          </cell>
          <cell r="P155">
            <v>1818689.6009900002</v>
          </cell>
          <cell r="Q155">
            <v>610247.36189000006</v>
          </cell>
          <cell r="R155">
            <v>-197165.58024999994</v>
          </cell>
          <cell r="S155">
            <v>-188750.23584000004</v>
          </cell>
          <cell r="T155">
            <v>2043021.1467899999</v>
          </cell>
          <cell r="Y155" t="str">
            <v>Dic</v>
          </cell>
          <cell r="Z155">
            <v>-1914708.11154</v>
          </cell>
          <cell r="AA155">
            <v>2043021.1467899999</v>
          </cell>
          <cell r="AB155">
            <v>5000</v>
          </cell>
          <cell r="AD155">
            <v>133313.03524999996</v>
          </cell>
        </row>
        <row r="156">
          <cell r="B156">
            <v>1995</v>
          </cell>
          <cell r="C156" t="str">
            <v>Ene</v>
          </cell>
          <cell r="D156">
            <v>41711.25877</v>
          </cell>
          <cell r="E156">
            <v>63400.035909999999</v>
          </cell>
          <cell r="F156">
            <v>128962.54674999999</v>
          </cell>
          <cell r="G156">
            <v>24618.388719999999</v>
          </cell>
          <cell r="I156">
            <v>258692.23014999999</v>
          </cell>
          <cell r="N156">
            <v>1995</v>
          </cell>
          <cell r="O156" t="str">
            <v>Ene</v>
          </cell>
          <cell r="P156">
            <v>143569.62966999999</v>
          </cell>
          <cell r="Q156">
            <v>48357.10555</v>
          </cell>
          <cell r="R156">
            <v>24618.561959999999</v>
          </cell>
          <cell r="S156">
            <v>122751.70388930275</v>
          </cell>
          <cell r="T156">
            <v>339297.00106930273</v>
          </cell>
          <cell r="X156">
            <v>1995</v>
          </cell>
          <cell r="Y156" t="str">
            <v>Ene</v>
          </cell>
          <cell r="Z156">
            <v>-477955.06040999998</v>
          </cell>
          <cell r="AA156">
            <v>339297.00106930273</v>
          </cell>
          <cell r="AB156">
            <v>87100</v>
          </cell>
          <cell r="AD156">
            <v>-51558.059340697248</v>
          </cell>
        </row>
        <row r="157">
          <cell r="C157" t="str">
            <v>Feb</v>
          </cell>
          <cell r="D157">
            <v>80041.020450000011</v>
          </cell>
          <cell r="E157">
            <v>147406.82008999999</v>
          </cell>
          <cell r="F157">
            <v>241685.68948999999</v>
          </cell>
          <cell r="G157">
            <v>86559.603929999997</v>
          </cell>
          <cell r="I157">
            <v>555693.13396000001</v>
          </cell>
          <cell r="O157" t="str">
            <v>Feb</v>
          </cell>
          <cell r="P157">
            <v>310805.53576</v>
          </cell>
          <cell r="Q157">
            <v>15238.130019999997</v>
          </cell>
          <cell r="R157">
            <v>46298.714850000004</v>
          </cell>
          <cell r="S157">
            <v>222630.54257099447</v>
          </cell>
          <cell r="T157">
            <v>594972.9232009945</v>
          </cell>
          <cell r="Y157" t="str">
            <v>Feb</v>
          </cell>
          <cell r="Z157">
            <v>-683421.07852999994</v>
          </cell>
          <cell r="AA157">
            <v>594972.9232009945</v>
          </cell>
          <cell r="AB157">
            <v>169000</v>
          </cell>
          <cell r="AD157">
            <v>80551.844670994557</v>
          </cell>
        </row>
        <row r="158">
          <cell r="C158" t="str">
            <v>Mar</v>
          </cell>
          <cell r="D158">
            <v>119999.27098</v>
          </cell>
          <cell r="E158">
            <v>231854.31164999999</v>
          </cell>
          <cell r="F158">
            <v>358956.91550999996</v>
          </cell>
          <cell r="G158">
            <v>189307.63624999998</v>
          </cell>
          <cell r="I158">
            <v>900118.13439000002</v>
          </cell>
          <cell r="O158" t="str">
            <v>Mar</v>
          </cell>
          <cell r="P158">
            <v>372949.88582999998</v>
          </cell>
          <cell r="Q158">
            <v>45819.850720000002</v>
          </cell>
          <cell r="R158">
            <v>146039.23001</v>
          </cell>
          <cell r="S158">
            <v>261664.47047238497</v>
          </cell>
          <cell r="T158">
            <v>826473.43703238503</v>
          </cell>
          <cell r="Y158" t="str">
            <v>Mar</v>
          </cell>
          <cell r="Z158">
            <v>-860306.60493999999</v>
          </cell>
          <cell r="AA158">
            <v>826473.43703238503</v>
          </cell>
          <cell r="AB158">
            <v>345000</v>
          </cell>
          <cell r="AD158">
            <v>311166.83209238504</v>
          </cell>
        </row>
        <row r="159">
          <cell r="C159" t="str">
            <v>Abr</v>
          </cell>
          <cell r="D159">
            <v>190180.05254</v>
          </cell>
          <cell r="E159">
            <v>293505.43014999997</v>
          </cell>
          <cell r="F159">
            <v>439695.58842999995</v>
          </cell>
          <cell r="G159">
            <v>252370.10944999999</v>
          </cell>
          <cell r="I159">
            <v>1175751.1805700001</v>
          </cell>
          <cell r="O159" t="str">
            <v>Abr</v>
          </cell>
          <cell r="P159">
            <v>428534.05757999996</v>
          </cell>
          <cell r="Q159">
            <v>128805.26086000001</v>
          </cell>
          <cell r="R159">
            <v>276590.74465999997</v>
          </cell>
          <cell r="S159">
            <v>311709.38864918798</v>
          </cell>
          <cell r="T159">
            <v>1145639.4517491879</v>
          </cell>
          <cell r="Y159" t="str">
            <v>Abr</v>
          </cell>
          <cell r="Z159">
            <v>-1099512.29281</v>
          </cell>
          <cell r="AA159">
            <v>1145639.4517491879</v>
          </cell>
          <cell r="AB159">
            <v>360600</v>
          </cell>
          <cell r="AD159">
            <v>406727.15893918788</v>
          </cell>
        </row>
        <row r="160">
          <cell r="C160" t="str">
            <v>May</v>
          </cell>
          <cell r="D160">
            <v>215742.68934000001</v>
          </cell>
          <cell r="E160">
            <v>351781.26839999994</v>
          </cell>
          <cell r="F160">
            <v>524375.42071999994</v>
          </cell>
          <cell r="G160">
            <v>340504.38000999996</v>
          </cell>
          <cell r="I160">
            <v>1432403.75847</v>
          </cell>
          <cell r="O160" t="str">
            <v>May</v>
          </cell>
          <cell r="P160">
            <v>499725.75001999998</v>
          </cell>
          <cell r="Q160">
            <v>180077.33512</v>
          </cell>
          <cell r="R160">
            <v>278867.07143999997</v>
          </cell>
          <cell r="S160">
            <v>393565.03766130761</v>
          </cell>
          <cell r="T160">
            <v>1352235.1942413074</v>
          </cell>
          <cell r="Y160" t="str">
            <v>May</v>
          </cell>
          <cell r="Z160">
            <v>-1216708.1097299999</v>
          </cell>
          <cell r="AA160">
            <v>1352235.1942413074</v>
          </cell>
          <cell r="AB160">
            <v>381000</v>
          </cell>
          <cell r="AD160">
            <v>516527.08451130753</v>
          </cell>
        </row>
        <row r="161">
          <cell r="C161" t="str">
            <v>Jun</v>
          </cell>
          <cell r="D161">
            <v>236243.00750000001</v>
          </cell>
          <cell r="E161">
            <v>434800.78154999996</v>
          </cell>
          <cell r="F161">
            <v>618185.45096999989</v>
          </cell>
          <cell r="G161">
            <v>420952.01181999996</v>
          </cell>
          <cell r="I161">
            <v>1710181.25184</v>
          </cell>
          <cell r="O161" t="str">
            <v>Jun</v>
          </cell>
          <cell r="P161">
            <v>612777.15822999994</v>
          </cell>
          <cell r="Q161">
            <v>257995.76123</v>
          </cell>
          <cell r="R161">
            <v>287839.47338999994</v>
          </cell>
          <cell r="S161">
            <v>400060.87094591447</v>
          </cell>
          <cell r="T161">
            <v>1558673.2637959144</v>
          </cell>
          <cell r="Y161" t="str">
            <v>Jun</v>
          </cell>
          <cell r="Z161">
            <v>-1373552.9197999998</v>
          </cell>
          <cell r="AA161">
            <v>1558673.2637959144</v>
          </cell>
          <cell r="AB161">
            <v>366700</v>
          </cell>
          <cell r="AD161">
            <v>551820.34399591456</v>
          </cell>
        </row>
        <row r="162">
          <cell r="C162" t="str">
            <v>Jul</v>
          </cell>
          <cell r="D162">
            <v>256874.33543000001</v>
          </cell>
          <cell r="E162">
            <v>494774.68935999996</v>
          </cell>
          <cell r="F162">
            <v>726063.44278999988</v>
          </cell>
          <cell r="G162">
            <v>514590.58133999998</v>
          </cell>
          <cell r="I162">
            <v>1992303.04892</v>
          </cell>
          <cell r="O162" t="str">
            <v>Jul</v>
          </cell>
          <cell r="P162">
            <v>657696.09904999996</v>
          </cell>
          <cell r="Q162">
            <v>369379.71534</v>
          </cell>
          <cell r="R162">
            <v>297826.53537999996</v>
          </cell>
          <cell r="S162">
            <v>463592.05407010746</v>
          </cell>
          <cell r="T162">
            <v>1788494.4038401074</v>
          </cell>
          <cell r="Y162" t="str">
            <v>Jul</v>
          </cell>
          <cell r="Z162">
            <v>-1550178.0840999999</v>
          </cell>
          <cell r="AA162">
            <v>1788494.4038401074</v>
          </cell>
          <cell r="AB162">
            <v>302600</v>
          </cell>
          <cell r="AD162">
            <v>540916.31974010752</v>
          </cell>
        </row>
        <row r="163">
          <cell r="C163" t="str">
            <v>Ago</v>
          </cell>
          <cell r="D163">
            <v>285381.14879000001</v>
          </cell>
          <cell r="E163">
            <v>558163.36323999998</v>
          </cell>
          <cell r="F163">
            <v>831988.8428199999</v>
          </cell>
          <cell r="G163">
            <v>587610.90472999995</v>
          </cell>
          <cell r="I163">
            <v>2263144.2595799998</v>
          </cell>
          <cell r="O163" t="str">
            <v>Ago</v>
          </cell>
          <cell r="P163">
            <v>841231.54352999991</v>
          </cell>
          <cell r="Q163">
            <v>302731.61962000001</v>
          </cell>
          <cell r="R163">
            <v>283734.96695999993</v>
          </cell>
          <cell r="S163">
            <v>451167.46505815972</v>
          </cell>
          <cell r="T163">
            <v>1878865.5951681596</v>
          </cell>
          <cell r="Y163" t="str">
            <v>Ago</v>
          </cell>
          <cell r="Z163">
            <v>-1759424.5069899999</v>
          </cell>
          <cell r="AA163">
            <v>1878865.5951681596</v>
          </cell>
          <cell r="AB163">
            <v>159200</v>
          </cell>
          <cell r="AD163">
            <v>278641.08817815967</v>
          </cell>
        </row>
        <row r="164">
          <cell r="C164" t="str">
            <v>Sep</v>
          </cell>
          <cell r="D164">
            <v>369174.51280999999</v>
          </cell>
          <cell r="E164">
            <v>635056.30450999993</v>
          </cell>
          <cell r="F164">
            <v>923800.70248999994</v>
          </cell>
          <cell r="G164">
            <v>635592.29416999989</v>
          </cell>
          <cell r="I164">
            <v>2563623.8139800001</v>
          </cell>
          <cell r="O164" t="str">
            <v>Sep</v>
          </cell>
          <cell r="P164">
            <v>822934.76798999996</v>
          </cell>
          <cell r="Q164">
            <v>339581.68612999999</v>
          </cell>
          <cell r="R164">
            <v>332468.57460999995</v>
          </cell>
          <cell r="S164">
            <v>471584.65475333139</v>
          </cell>
          <cell r="T164">
            <v>1966569.6834833312</v>
          </cell>
          <cell r="Y164" t="str">
            <v>Sep</v>
          </cell>
          <cell r="Z164">
            <v>-1876201.7975699999</v>
          </cell>
          <cell r="AA164">
            <v>1966569.6834833312</v>
          </cell>
          <cell r="AB164">
            <v>231900</v>
          </cell>
          <cell r="AD164">
            <v>322267.88591333129</v>
          </cell>
        </row>
        <row r="165">
          <cell r="C165" t="str">
            <v>Oct</v>
          </cell>
          <cell r="D165">
            <v>396405.78476000001</v>
          </cell>
          <cell r="E165">
            <v>689052.28295999998</v>
          </cell>
          <cell r="F165">
            <v>1029328.5938899999</v>
          </cell>
          <cell r="G165">
            <v>721427.70717999991</v>
          </cell>
          <cell r="I165">
            <v>2836214.3687900002</v>
          </cell>
          <cell r="O165" t="str">
            <v>Oct</v>
          </cell>
          <cell r="P165">
            <v>910373.71872999996</v>
          </cell>
          <cell r="Q165">
            <v>364977.44864999998</v>
          </cell>
          <cell r="R165">
            <v>453439.88086999994</v>
          </cell>
          <cell r="S165">
            <v>459340.82303982729</v>
          </cell>
          <cell r="T165">
            <v>2188131.8712898269</v>
          </cell>
          <cell r="Y165" t="str">
            <v>Oct</v>
          </cell>
          <cell r="Z165">
            <v>-2067058.2742299999</v>
          </cell>
          <cell r="AA165">
            <v>2188131.8712898269</v>
          </cell>
          <cell r="AB165">
            <v>228817.89102000001</v>
          </cell>
          <cell r="AD165">
            <v>349891.48807982705</v>
          </cell>
        </row>
        <row r="166">
          <cell r="C166" t="str">
            <v>Nov</v>
          </cell>
          <cell r="D166">
            <v>420408.65146000002</v>
          </cell>
          <cell r="E166">
            <v>735512.78822999995</v>
          </cell>
          <cell r="F166">
            <v>1160277.3653899999</v>
          </cell>
          <cell r="G166">
            <v>817818.63634999993</v>
          </cell>
          <cell r="I166">
            <v>3134017.4414300001</v>
          </cell>
          <cell r="O166" t="str">
            <v>Nov</v>
          </cell>
          <cell r="P166">
            <v>918372.42929999996</v>
          </cell>
          <cell r="Q166">
            <v>416407.33083999995</v>
          </cell>
          <cell r="R166">
            <v>516084.04277999996</v>
          </cell>
          <cell r="S166">
            <v>583507.46398812544</v>
          </cell>
          <cell r="T166">
            <v>2434371.266908125</v>
          </cell>
          <cell r="Y166" t="str">
            <v>Nov</v>
          </cell>
          <cell r="Z166">
            <v>-2342023.8551399997</v>
          </cell>
          <cell r="AA166">
            <v>2434371.266908125</v>
          </cell>
          <cell r="AB166">
            <v>184481.10756</v>
          </cell>
          <cell r="AD166">
            <v>276828.5193281254</v>
          </cell>
        </row>
        <row r="167">
          <cell r="C167" t="str">
            <v>Dic</v>
          </cell>
          <cell r="D167">
            <v>443042.26229000004</v>
          </cell>
          <cell r="E167">
            <v>787135.75596999994</v>
          </cell>
          <cell r="F167">
            <v>1263835.8688599998</v>
          </cell>
          <cell r="G167">
            <v>865745.32414999988</v>
          </cell>
          <cell r="I167">
            <v>3359759.2112700003</v>
          </cell>
          <cell r="O167" t="str">
            <v>Dic</v>
          </cell>
          <cell r="P167">
            <v>947511.96886999998</v>
          </cell>
          <cell r="Q167">
            <v>472532.97557999997</v>
          </cell>
          <cell r="R167">
            <v>649499.18134999997</v>
          </cell>
          <cell r="S167">
            <v>622775.2242601082</v>
          </cell>
          <cell r="T167">
            <v>2692319.3500601077</v>
          </cell>
          <cell r="Y167" t="str">
            <v>Dic</v>
          </cell>
          <cell r="Z167">
            <v>-2373246.4087599996</v>
          </cell>
          <cell r="AA167">
            <v>2692319.3500601077</v>
          </cell>
          <cell r="AB167">
            <v>2948.3526000000129</v>
          </cell>
          <cell r="AD167">
            <v>322021.29390010808</v>
          </cell>
        </row>
        <row r="168">
          <cell r="B168">
            <v>1996</v>
          </cell>
          <cell r="C168" t="str">
            <v>Ene</v>
          </cell>
          <cell r="D168">
            <v>22899.513849999999</v>
          </cell>
          <cell r="E168">
            <v>49575.174469999998</v>
          </cell>
          <cell r="F168">
            <v>112768.81318</v>
          </cell>
          <cell r="G168">
            <v>15695.37383</v>
          </cell>
          <cell r="I168">
            <v>200938.87533000001</v>
          </cell>
          <cell r="N168">
            <v>1996</v>
          </cell>
          <cell r="O168" t="str">
            <v>Ene</v>
          </cell>
          <cell r="P168">
            <v>-40330.620990000003</v>
          </cell>
          <cell r="Q168">
            <v>50185.876210000002</v>
          </cell>
          <cell r="R168">
            <v>20364.71285</v>
          </cell>
          <cell r="S168">
            <v>71124.668130000005</v>
          </cell>
          <cell r="T168">
            <v>101344.63619999999</v>
          </cell>
          <cell r="X168">
            <v>1996</v>
          </cell>
          <cell r="Y168" t="str">
            <v>Ene</v>
          </cell>
          <cell r="Z168">
            <v>-238568.97372000001</v>
          </cell>
          <cell r="AA168">
            <v>101344.63619999999</v>
          </cell>
          <cell r="AB168">
            <v>-23876.388029999998</v>
          </cell>
          <cell r="AD168">
            <v>-161100.72555</v>
          </cell>
        </row>
        <row r="169">
          <cell r="C169" t="str">
            <v>Feb</v>
          </cell>
          <cell r="D169">
            <v>50477.054830000001</v>
          </cell>
          <cell r="E169">
            <v>96040.2696</v>
          </cell>
          <cell r="F169">
            <v>218882.71103999999</v>
          </cell>
          <cell r="G169">
            <v>59742.364780000004</v>
          </cell>
          <cell r="I169">
            <v>425142.40025000001</v>
          </cell>
          <cell r="O169" t="str">
            <v>Feb</v>
          </cell>
          <cell r="P169">
            <v>-106568.61629000001</v>
          </cell>
          <cell r="Q169">
            <v>136916.23489999998</v>
          </cell>
          <cell r="R169">
            <v>29893.305529999998</v>
          </cell>
          <cell r="S169">
            <v>234963.11018000002</v>
          </cell>
          <cell r="T169">
            <v>295204.03431999998</v>
          </cell>
          <cell r="Y169" t="str">
            <v>Feb</v>
          </cell>
          <cell r="Z169">
            <v>-564940.78875000007</v>
          </cell>
          <cell r="AA169">
            <v>295204.03431999998</v>
          </cell>
          <cell r="AB169">
            <v>-43783.062789999996</v>
          </cell>
          <cell r="AD169">
            <v>-313519.81722000008</v>
          </cell>
        </row>
        <row r="170">
          <cell r="C170" t="str">
            <v>Mar</v>
          </cell>
          <cell r="D170">
            <v>76830.118920000008</v>
          </cell>
          <cell r="E170">
            <v>143334.21244</v>
          </cell>
          <cell r="F170">
            <v>333647.30683999998</v>
          </cell>
          <cell r="G170">
            <v>77046.309689999995</v>
          </cell>
          <cell r="I170">
            <v>630857.94788999995</v>
          </cell>
          <cell r="O170" t="str">
            <v>Mar</v>
          </cell>
          <cell r="P170">
            <v>-174252.53962</v>
          </cell>
          <cell r="Q170">
            <v>267069.08045000001</v>
          </cell>
          <cell r="R170">
            <v>127655.32248</v>
          </cell>
          <cell r="S170">
            <v>331094.37242999999</v>
          </cell>
          <cell r="T170">
            <v>551566.23573999992</v>
          </cell>
          <cell r="Y170" t="str">
            <v>Mar</v>
          </cell>
          <cell r="Z170">
            <v>-894497.85767000006</v>
          </cell>
          <cell r="AA170">
            <v>551566.23573999992</v>
          </cell>
          <cell r="AB170">
            <v>-55474.460379999997</v>
          </cell>
          <cell r="AD170">
            <v>-398406.08231000014</v>
          </cell>
        </row>
        <row r="171">
          <cell r="C171" t="str">
            <v>Abr</v>
          </cell>
          <cell r="D171">
            <v>100104.75218000001</v>
          </cell>
          <cell r="E171">
            <v>191010.4829</v>
          </cell>
          <cell r="F171">
            <v>441142.27687999996</v>
          </cell>
          <cell r="G171">
            <v>150550.70043999999</v>
          </cell>
          <cell r="I171">
            <v>882808.21239999996</v>
          </cell>
          <cell r="O171" t="str">
            <v>Abr</v>
          </cell>
          <cell r="P171">
            <v>-93395.746759999995</v>
          </cell>
          <cell r="Q171">
            <v>301033.54220999999</v>
          </cell>
          <cell r="R171">
            <v>197711.23788999999</v>
          </cell>
          <cell r="S171">
            <v>412055.34944000002</v>
          </cell>
          <cell r="T171">
            <v>817404.38277999987</v>
          </cell>
          <cell r="Y171" t="str">
            <v>Abr</v>
          </cell>
          <cell r="Z171">
            <v>-1128575.5329800001</v>
          </cell>
          <cell r="AA171">
            <v>817404.38277999987</v>
          </cell>
          <cell r="AB171">
            <v>-112112.46716999999</v>
          </cell>
          <cell r="AD171">
            <v>-423283.61737000023</v>
          </cell>
        </row>
        <row r="172">
          <cell r="C172" t="str">
            <v>May</v>
          </cell>
          <cell r="D172">
            <v>129826.04419000002</v>
          </cell>
          <cell r="E172">
            <v>242167.39316000001</v>
          </cell>
          <cell r="F172">
            <v>622359.29986999999</v>
          </cell>
          <cell r="G172">
            <v>212422.00975999999</v>
          </cell>
          <cell r="I172">
            <v>1206774.7469799998</v>
          </cell>
          <cell r="O172" t="str">
            <v>May</v>
          </cell>
          <cell r="P172">
            <v>-68238.135939999993</v>
          </cell>
          <cell r="Q172">
            <v>448320.66957999999</v>
          </cell>
          <cell r="R172">
            <v>250821.74296</v>
          </cell>
          <cell r="S172">
            <v>387976.19415</v>
          </cell>
          <cell r="T172">
            <v>1018880.4707499999</v>
          </cell>
          <cell r="Y172" t="str">
            <v>May</v>
          </cell>
          <cell r="Z172">
            <v>-1281138.6704500001</v>
          </cell>
          <cell r="AA172">
            <v>1018880.4707499999</v>
          </cell>
          <cell r="AB172">
            <v>-138970.18466</v>
          </cell>
          <cell r="AD172">
            <v>-401228.38436000026</v>
          </cell>
        </row>
        <row r="173">
          <cell r="C173" t="str">
            <v>Jun</v>
          </cell>
          <cell r="D173">
            <v>150818.82788000003</v>
          </cell>
          <cell r="E173">
            <v>285011.87341</v>
          </cell>
          <cell r="F173">
            <v>774330.19458999997</v>
          </cell>
          <cell r="G173">
            <v>243071.28246999998</v>
          </cell>
          <cell r="I173">
            <v>1453232.1783499997</v>
          </cell>
          <cell r="O173" t="str">
            <v>Jun</v>
          </cell>
          <cell r="P173">
            <v>59948.661500000002</v>
          </cell>
          <cell r="Q173">
            <v>488662.70632</v>
          </cell>
          <cell r="R173">
            <v>435097.04193000001</v>
          </cell>
          <cell r="S173">
            <v>427636.18148999999</v>
          </cell>
          <cell r="T173">
            <v>1411344.59124</v>
          </cell>
          <cell r="Y173" t="str">
            <v>Jun</v>
          </cell>
          <cell r="Z173">
            <v>-1670497.3704000001</v>
          </cell>
          <cell r="AA173">
            <v>1411344.59124</v>
          </cell>
          <cell r="AB173">
            <v>-104098.84787</v>
          </cell>
          <cell r="AD173">
            <v>-363251.62703000015</v>
          </cell>
        </row>
        <row r="174">
          <cell r="C174" t="str">
            <v>Jul</v>
          </cell>
          <cell r="D174">
            <v>171049.06830000001</v>
          </cell>
          <cell r="E174">
            <v>337608.65161</v>
          </cell>
          <cell r="F174">
            <v>957200.86755999993</v>
          </cell>
          <cell r="G174">
            <v>301801.01869</v>
          </cell>
          <cell r="I174">
            <v>1767659.6061599997</v>
          </cell>
          <cell r="O174" t="str">
            <v>Jul</v>
          </cell>
          <cell r="P174">
            <v>189069.00537999999</v>
          </cell>
          <cell r="Q174">
            <v>547798.07770999998</v>
          </cell>
          <cell r="R174">
            <v>465144.65451000002</v>
          </cell>
          <cell r="S174">
            <v>596375.56767000002</v>
          </cell>
          <cell r="T174">
            <v>1798387.3052699999</v>
          </cell>
          <cell r="Y174" t="str">
            <v>Jul</v>
          </cell>
          <cell r="Z174">
            <v>-2070208.65919</v>
          </cell>
          <cell r="AA174">
            <v>1798387.3052699999</v>
          </cell>
          <cell r="AB174">
            <v>-19319.070699999997</v>
          </cell>
          <cell r="AD174">
            <v>-291140.42462000012</v>
          </cell>
        </row>
        <row r="175">
          <cell r="C175" t="str">
            <v>Ago</v>
          </cell>
          <cell r="D175">
            <v>189037.11863000001</v>
          </cell>
          <cell r="E175">
            <v>395585.16395999998</v>
          </cell>
          <cell r="F175">
            <v>1121855.81905</v>
          </cell>
          <cell r="G175">
            <v>355754.13841999997</v>
          </cell>
          <cell r="I175">
            <v>2062232.2400599997</v>
          </cell>
          <cell r="O175" t="str">
            <v>Ago</v>
          </cell>
          <cell r="P175">
            <v>250216.39565999998</v>
          </cell>
          <cell r="Q175">
            <v>1025587.9355299999</v>
          </cell>
          <cell r="R175">
            <v>482552.52761000005</v>
          </cell>
          <cell r="S175">
            <v>490217.34367000003</v>
          </cell>
          <cell r="T175">
            <v>2248574.2024699999</v>
          </cell>
          <cell r="Y175" t="str">
            <v>Ago</v>
          </cell>
          <cell r="Z175">
            <v>-2481940.9920299998</v>
          </cell>
          <cell r="AA175">
            <v>2248574.2024699999</v>
          </cell>
          <cell r="AB175">
            <v>-32907.500139999996</v>
          </cell>
          <cell r="AD175">
            <v>-266274.28969999996</v>
          </cell>
        </row>
        <row r="176">
          <cell r="C176" t="str">
            <v>Sep</v>
          </cell>
          <cell r="D176">
            <v>205551.24368000001</v>
          </cell>
          <cell r="E176">
            <v>443235.91015999997</v>
          </cell>
          <cell r="F176">
            <v>1259257.24605</v>
          </cell>
          <cell r="G176">
            <v>406327.64154999994</v>
          </cell>
          <cell r="I176">
            <v>2314372.0414399998</v>
          </cell>
          <cell r="O176" t="str">
            <v>Sep</v>
          </cell>
          <cell r="P176">
            <v>429438.20572999999</v>
          </cell>
          <cell r="Q176">
            <v>1068628.1437499998</v>
          </cell>
          <cell r="R176">
            <v>562207.31557000009</v>
          </cell>
          <cell r="S176">
            <v>666474.10122000007</v>
          </cell>
          <cell r="T176">
            <v>2726747.76627</v>
          </cell>
          <cell r="Y176" t="str">
            <v>Sep</v>
          </cell>
          <cell r="Z176">
            <v>-2912992.32155</v>
          </cell>
          <cell r="AA176">
            <v>2726747.76627</v>
          </cell>
          <cell r="AB176">
            <v>-43973.171959999992</v>
          </cell>
          <cell r="AD176">
            <v>-230217.72723999998</v>
          </cell>
        </row>
        <row r="177">
          <cell r="C177" t="str">
            <v>Oct</v>
          </cell>
          <cell r="D177">
            <v>219654.24647000001</v>
          </cell>
          <cell r="E177">
            <v>496628.17475999997</v>
          </cell>
          <cell r="F177">
            <v>1459963.68356</v>
          </cell>
          <cell r="G177">
            <v>482441.96676999994</v>
          </cell>
          <cell r="I177">
            <v>2658688.0715600001</v>
          </cell>
          <cell r="O177" t="str">
            <v>Oct</v>
          </cell>
          <cell r="P177">
            <v>699064.39471999998</v>
          </cell>
          <cell r="Q177">
            <v>1167707.6582599997</v>
          </cell>
          <cell r="R177">
            <v>641930.95072000008</v>
          </cell>
          <cell r="S177">
            <v>778686.63878000004</v>
          </cell>
          <cell r="T177">
            <v>3287389.6424799999</v>
          </cell>
          <cell r="Y177" t="str">
            <v>Oct</v>
          </cell>
          <cell r="Z177">
            <v>-3363859.5133699998</v>
          </cell>
          <cell r="AA177">
            <v>3287389.6424799999</v>
          </cell>
          <cell r="AB177">
            <v>-9241.932489999992</v>
          </cell>
          <cell r="AD177">
            <v>-85711.803379999896</v>
          </cell>
        </row>
        <row r="178">
          <cell r="C178" t="str">
            <v>Nov</v>
          </cell>
          <cell r="D178">
            <v>233545.36512</v>
          </cell>
          <cell r="E178">
            <v>578135.14705999999</v>
          </cell>
          <cell r="F178">
            <v>1608628.7973500001</v>
          </cell>
          <cell r="G178">
            <v>534038.86857999989</v>
          </cell>
          <cell r="I178">
            <v>2954348.1781100002</v>
          </cell>
          <cell r="O178" t="str">
            <v>Nov</v>
          </cell>
          <cell r="P178">
            <v>893809.98783999996</v>
          </cell>
          <cell r="Q178">
            <v>1311939.8990799997</v>
          </cell>
          <cell r="R178">
            <v>642668.87895000004</v>
          </cell>
          <cell r="S178">
            <v>807184.76399000001</v>
          </cell>
          <cell r="T178">
            <v>3655603.5298600001</v>
          </cell>
          <cell r="Y178" t="str">
            <v>Nov</v>
          </cell>
          <cell r="Z178">
            <v>-3612282.6165099996</v>
          </cell>
          <cell r="AA178">
            <v>3655603.5298600001</v>
          </cell>
          <cell r="AB178">
            <v>10182.019270000008</v>
          </cell>
          <cell r="AD178">
            <v>53502.932620000516</v>
          </cell>
        </row>
        <row r="179">
          <cell r="C179" t="str">
            <v>Dic</v>
          </cell>
          <cell r="D179">
            <v>253806.27334000001</v>
          </cell>
          <cell r="E179">
            <v>640569.84491999994</v>
          </cell>
          <cell r="F179">
            <v>1739824.5096100001</v>
          </cell>
          <cell r="G179">
            <v>585241.19255999988</v>
          </cell>
          <cell r="I179">
            <v>3219441.8204300003</v>
          </cell>
          <cell r="O179" t="str">
            <v>Dic</v>
          </cell>
          <cell r="P179">
            <v>1995421.3680699999</v>
          </cell>
          <cell r="Q179">
            <v>1653160.5016299996</v>
          </cell>
          <cell r="R179">
            <v>904608.8340400001</v>
          </cell>
          <cell r="S179">
            <v>1018032.5725700001</v>
          </cell>
          <cell r="T179">
            <v>5571223.2763100006</v>
          </cell>
          <cell r="Y179" t="str">
            <v>Dic</v>
          </cell>
          <cell r="Z179">
            <v>-3989461.6900199996</v>
          </cell>
          <cell r="AA179">
            <v>5571223.2763100006</v>
          </cell>
          <cell r="AB179">
            <v>-9606.4302199999911</v>
          </cell>
          <cell r="AD179">
            <v>1572155.156070001</v>
          </cell>
        </row>
        <row r="180">
          <cell r="B180" t="str">
            <v>1997 (p)</v>
          </cell>
          <cell r="C180" t="str">
            <v>Ene</v>
          </cell>
          <cell r="D180">
            <v>21458.873970000001</v>
          </cell>
          <cell r="E180">
            <v>53235.418460000001</v>
          </cell>
          <cell r="F180">
            <v>179265.639</v>
          </cell>
          <cell r="G180">
            <v>26111.2084</v>
          </cell>
          <cell r="I180">
            <v>280071.13983</v>
          </cell>
          <cell r="N180" t="str">
            <v>1997 (p)</v>
          </cell>
          <cell r="O180" t="str">
            <v>Ene</v>
          </cell>
          <cell r="P180">
            <v>192010.09516</v>
          </cell>
          <cell r="Q180">
            <v>49727.278480000001</v>
          </cell>
          <cell r="R180">
            <v>-2176.2264599999999</v>
          </cell>
          <cell r="S180">
            <v>159832.60722999999</v>
          </cell>
          <cell r="T180">
            <v>399393.75440999999</v>
          </cell>
          <cell r="X180" t="str">
            <v>1997 (p)</v>
          </cell>
          <cell r="Y180" t="str">
            <v>Ene</v>
          </cell>
          <cell r="Z180">
            <v>-374670.18338</v>
          </cell>
          <cell r="AA180">
            <v>399393.75440999999</v>
          </cell>
          <cell r="AB180">
            <v>-86604.702720000001</v>
          </cell>
          <cell r="AD180">
            <v>-61881.131690000009</v>
          </cell>
        </row>
        <row r="181">
          <cell r="C181" t="str">
            <v>Feb</v>
          </cell>
          <cell r="D181">
            <v>49990.435599999997</v>
          </cell>
          <cell r="E181">
            <v>106665.57980000001</v>
          </cell>
          <cell r="F181">
            <v>346977.34603000002</v>
          </cell>
          <cell r="G181">
            <v>83846.347380000007</v>
          </cell>
          <cell r="I181">
            <v>587479.70880999998</v>
          </cell>
          <cell r="O181" t="str">
            <v>Feb</v>
          </cell>
          <cell r="P181">
            <v>264518.14072000002</v>
          </cell>
          <cell r="Q181">
            <v>199209.95922000002</v>
          </cell>
          <cell r="R181">
            <v>58494.852170000006</v>
          </cell>
          <cell r="S181">
            <v>374017.31685</v>
          </cell>
          <cell r="T181">
            <v>896240.26896000002</v>
          </cell>
          <cell r="Y181" t="str">
            <v>Feb</v>
          </cell>
          <cell r="Z181">
            <v>-870141.08658</v>
          </cell>
          <cell r="AA181">
            <v>896240.26896000002</v>
          </cell>
          <cell r="AB181">
            <v>-106392.29055000001</v>
          </cell>
          <cell r="AD181">
            <v>-80293.108169999992</v>
          </cell>
        </row>
        <row r="182">
          <cell r="C182" t="str">
            <v>Mar</v>
          </cell>
          <cell r="D182">
            <v>76386.323409999997</v>
          </cell>
          <cell r="E182">
            <v>155599.06575000001</v>
          </cell>
          <cell r="F182">
            <v>516251.68075000006</v>
          </cell>
          <cell r="G182">
            <v>125503.31884000001</v>
          </cell>
          <cell r="I182">
            <v>873740.38874999993</v>
          </cell>
          <cell r="O182" t="str">
            <v>Mar</v>
          </cell>
          <cell r="P182">
            <v>410036.34215000004</v>
          </cell>
          <cell r="Q182">
            <v>314491.98936000001</v>
          </cell>
          <cell r="R182">
            <v>100571.58579000001</v>
          </cell>
          <cell r="S182">
            <v>579591.14642999996</v>
          </cell>
          <cell r="T182">
            <v>1404691.0637300001</v>
          </cell>
          <cell r="Y182" t="str">
            <v>Mar</v>
          </cell>
          <cell r="Z182">
            <v>-1251024.3294299999</v>
          </cell>
          <cell r="AA182">
            <v>1404691.0637300001</v>
          </cell>
          <cell r="AB182">
            <v>-110539.99701000001</v>
          </cell>
          <cell r="AD182">
            <v>43126.737290000121</v>
          </cell>
        </row>
        <row r="183">
          <cell r="C183" t="str">
            <v>Abr</v>
          </cell>
          <cell r="D183">
            <v>100230.81586</v>
          </cell>
          <cell r="E183">
            <v>212025.01800000001</v>
          </cell>
          <cell r="F183">
            <v>727633.0684300001</v>
          </cell>
          <cell r="G183">
            <v>176719.06095000001</v>
          </cell>
          <cell r="I183">
            <v>1216607.96324</v>
          </cell>
          <cell r="O183" t="str">
            <v>Abr</v>
          </cell>
          <cell r="P183">
            <v>625042.68231000006</v>
          </cell>
          <cell r="Q183">
            <v>445439.98560999997</v>
          </cell>
          <cell r="R183">
            <v>146285.97908000002</v>
          </cell>
          <cell r="S183">
            <v>678847.50430999999</v>
          </cell>
          <cell r="T183">
            <v>1895616.1513100001</v>
          </cell>
          <cell r="Y183" t="str">
            <v>Abr</v>
          </cell>
          <cell r="Z183">
            <v>-1673575.6427799999</v>
          </cell>
          <cell r="AA183">
            <v>1895616.1513100001</v>
          </cell>
          <cell r="AB183">
            <v>-123153.65503000001</v>
          </cell>
          <cell r="AD183">
            <v>98886.853500000216</v>
          </cell>
        </row>
        <row r="184">
          <cell r="C184" t="str">
            <v>May</v>
          </cell>
          <cell r="D184">
            <v>123695.43988000001</v>
          </cell>
          <cell r="E184">
            <v>256490.21923000002</v>
          </cell>
          <cell r="F184">
            <v>891843.61048000003</v>
          </cell>
          <cell r="G184">
            <v>240877.57551000002</v>
          </cell>
          <cell r="I184">
            <v>1512906.8451</v>
          </cell>
          <cell r="O184" t="str">
            <v>May</v>
          </cell>
          <cell r="P184">
            <v>864227.23750000005</v>
          </cell>
          <cell r="Q184">
            <v>562679.59771</v>
          </cell>
          <cell r="R184">
            <v>141296.92512000003</v>
          </cell>
          <cell r="S184">
            <v>656291.38462999999</v>
          </cell>
          <cell r="T184">
            <v>2224495.1449600002</v>
          </cell>
          <cell r="Y184" t="str">
            <v>May</v>
          </cell>
          <cell r="Z184">
            <v>-1881103.7799499999</v>
          </cell>
          <cell r="AA184">
            <v>2224495.1449600002</v>
          </cell>
          <cell r="AB184">
            <v>-19918.772410000005</v>
          </cell>
          <cell r="AD184">
            <v>323472.59260000032</v>
          </cell>
        </row>
        <row r="185">
          <cell r="C185" t="str">
            <v>Jun</v>
          </cell>
          <cell r="D185">
            <v>142361.54466000001</v>
          </cell>
          <cell r="E185">
            <v>299412.39669000002</v>
          </cell>
          <cell r="F185">
            <v>1025614.31053</v>
          </cell>
          <cell r="G185">
            <v>330428.58091000002</v>
          </cell>
          <cell r="I185">
            <v>1797816.8327899999</v>
          </cell>
          <cell r="O185" t="str">
            <v>Jun</v>
          </cell>
          <cell r="P185">
            <v>991628.49959000002</v>
          </cell>
          <cell r="Q185">
            <v>599898.67344000004</v>
          </cell>
          <cell r="R185">
            <v>239799.85112000004</v>
          </cell>
          <cell r="S185">
            <v>729020.67353000003</v>
          </cell>
          <cell r="T185">
            <v>2560347.6976800002</v>
          </cell>
          <cell r="Y185" t="str">
            <v>Jun</v>
          </cell>
          <cell r="Z185">
            <v>-2149607.7091600001</v>
          </cell>
          <cell r="AA185">
            <v>2560347.6976800002</v>
          </cell>
          <cell r="AB185">
            <v>-36208.777660000007</v>
          </cell>
          <cell r="AD185">
            <v>374531.21086000011</v>
          </cell>
        </row>
        <row r="186">
          <cell r="C186" t="str">
            <v>Jul</v>
          </cell>
          <cell r="D186">
            <v>158871.42758000002</v>
          </cell>
          <cell r="E186">
            <v>351011.59308000002</v>
          </cell>
          <cell r="F186">
            <v>1175111.27217</v>
          </cell>
          <cell r="G186">
            <v>403633.15659000003</v>
          </cell>
          <cell r="I186">
            <v>2088627.44942</v>
          </cell>
          <cell r="O186" t="str">
            <v>Jul</v>
          </cell>
          <cell r="P186">
            <v>1102095.2902500001</v>
          </cell>
          <cell r="Q186">
            <v>853744.02324000001</v>
          </cell>
          <cell r="R186">
            <v>291025.34457000002</v>
          </cell>
          <cell r="S186">
            <v>634764.20452999999</v>
          </cell>
          <cell r="T186">
            <v>2881628.86259</v>
          </cell>
          <cell r="Y186" t="str">
            <v>Jul</v>
          </cell>
          <cell r="Z186">
            <v>-2413675.2331099999</v>
          </cell>
          <cell r="AA186">
            <v>2881628.86259</v>
          </cell>
          <cell r="AB186">
            <v>-84990.385540000017</v>
          </cell>
          <cell r="AD186">
            <v>382963.24394000007</v>
          </cell>
        </row>
        <row r="187">
          <cell r="C187" t="str">
            <v>Ago</v>
          </cell>
          <cell r="D187">
            <v>171354.65592000002</v>
          </cell>
          <cell r="E187">
            <v>390503.00804000004</v>
          </cell>
          <cell r="F187">
            <v>1318683.50364</v>
          </cell>
          <cell r="G187">
            <v>485206.00783000002</v>
          </cell>
          <cell r="I187">
            <v>2365747.1754299998</v>
          </cell>
          <cell r="O187" t="str">
            <v>Ago</v>
          </cell>
          <cell r="P187">
            <v>1139821.8823600002</v>
          </cell>
          <cell r="Q187">
            <v>926060.87471999996</v>
          </cell>
          <cell r="R187">
            <v>370040.74883</v>
          </cell>
          <cell r="S187">
            <v>786876.55744999996</v>
          </cell>
          <cell r="T187">
            <v>3222800.06336</v>
          </cell>
          <cell r="Y187" t="str">
            <v>Ago</v>
          </cell>
          <cell r="Z187">
            <v>-2774178.31036</v>
          </cell>
          <cell r="AA187">
            <v>3222800.06336</v>
          </cell>
          <cell r="AB187">
            <v>-64292.784430000014</v>
          </cell>
          <cell r="AD187">
            <v>384328.96857000003</v>
          </cell>
        </row>
        <row r="188">
          <cell r="C188" t="str">
            <v>Sep</v>
          </cell>
          <cell r="D188">
            <v>187689.33712000001</v>
          </cell>
          <cell r="E188">
            <v>443247.69712000003</v>
          </cell>
          <cell r="F188">
            <v>1475822.30742</v>
          </cell>
          <cell r="G188">
            <v>554046.20296000002</v>
          </cell>
          <cell r="I188">
            <v>2660805.5446199998</v>
          </cell>
          <cell r="O188" t="str">
            <v>Sep</v>
          </cell>
          <cell r="P188">
            <v>1044821.2411300002</v>
          </cell>
          <cell r="Q188">
            <v>1148432.0716800001</v>
          </cell>
          <cell r="R188">
            <v>413952.59125</v>
          </cell>
          <cell r="S188">
            <v>878845.45863999997</v>
          </cell>
          <cell r="T188">
            <v>3486051.3626999999</v>
          </cell>
          <cell r="Y188" t="str">
            <v>Sep</v>
          </cell>
          <cell r="Z188">
            <v>-3164871.8856699998</v>
          </cell>
          <cell r="AA188">
            <v>3486051.3626999999</v>
          </cell>
          <cell r="AB188">
            <v>10951.139559999981</v>
          </cell>
          <cell r="AD188">
            <v>332130.61659000017</v>
          </cell>
        </row>
        <row r="189">
          <cell r="C189" t="str">
            <v>Oct</v>
          </cell>
          <cell r="D189">
            <v>199301.70037000001</v>
          </cell>
          <cell r="E189">
            <v>494568.37804000004</v>
          </cell>
          <cell r="F189">
            <v>1639731.85033</v>
          </cell>
          <cell r="G189">
            <v>690001.92186999996</v>
          </cell>
          <cell r="I189">
            <v>3023603.8506100001</v>
          </cell>
          <cell r="O189" t="str">
            <v>Oct</v>
          </cell>
          <cell r="P189">
            <v>1069522.0285700003</v>
          </cell>
          <cell r="Q189">
            <v>1287548.0581400001</v>
          </cell>
          <cell r="R189">
            <v>443908.75660999998</v>
          </cell>
          <cell r="S189">
            <v>997887.31663999998</v>
          </cell>
          <cell r="T189">
            <v>3798866.1599599998</v>
          </cell>
          <cell r="Y189" t="str">
            <v>Oct</v>
          </cell>
          <cell r="Z189">
            <v>-3633252.0492999996</v>
          </cell>
          <cell r="AA189">
            <v>3798866.1599599998</v>
          </cell>
          <cell r="AB189">
            <v>95462.169219999982</v>
          </cell>
          <cell r="AD189">
            <v>261076.27988000022</v>
          </cell>
        </row>
        <row r="190">
          <cell r="C190" t="str">
            <v>Nov</v>
          </cell>
          <cell r="D190">
            <v>208198.81092000002</v>
          </cell>
          <cell r="E190">
            <v>559076.38533000008</v>
          </cell>
          <cell r="F190">
            <v>1768245.15338</v>
          </cell>
          <cell r="G190">
            <v>767229.21057999996</v>
          </cell>
          <cell r="I190">
            <v>3302749.5602100003</v>
          </cell>
          <cell r="O190" t="str">
            <v>Nov</v>
          </cell>
          <cell r="P190">
            <v>1323783.1067000004</v>
          </cell>
          <cell r="Q190">
            <v>1368255.0678600001</v>
          </cell>
          <cell r="R190">
            <v>458779.46885999996</v>
          </cell>
          <cell r="S190">
            <v>941780.43950999994</v>
          </cell>
          <cell r="T190">
            <v>4092598.08293</v>
          </cell>
          <cell r="Y190" t="str">
            <v>Nov</v>
          </cell>
          <cell r="Z190">
            <v>-4006137.2416499997</v>
          </cell>
          <cell r="AA190">
            <v>4092598.08293</v>
          </cell>
          <cell r="AB190">
            <v>2807.0038699999859</v>
          </cell>
          <cell r="AD190">
            <v>89267.84515000027</v>
          </cell>
        </row>
        <row r="191">
          <cell r="C191" t="str">
            <v>Dic*</v>
          </cell>
          <cell r="D191">
            <v>218331.27782000002</v>
          </cell>
          <cell r="E191">
            <v>605667.1873300001</v>
          </cell>
          <cell r="F191">
            <v>1939515.6369</v>
          </cell>
          <cell r="G191">
            <v>848855.76094999991</v>
          </cell>
          <cell r="I191">
            <v>3612369.8630000004</v>
          </cell>
          <cell r="O191" t="str">
            <v>Dic*</v>
          </cell>
          <cell r="P191">
            <v>1649391.1537300004</v>
          </cell>
          <cell r="Q191">
            <v>1472688.22083</v>
          </cell>
          <cell r="R191">
            <v>313145.07629</v>
          </cell>
          <cell r="S191">
            <v>1281444.6990799999</v>
          </cell>
          <cell r="T191">
            <v>4716669.1499300003</v>
          </cell>
          <cell r="Y191" t="str">
            <v>Dic*</v>
          </cell>
          <cell r="Z191">
            <v>-4710923.4390799999</v>
          </cell>
          <cell r="AA191">
            <v>4716669.1499300003</v>
          </cell>
          <cell r="AB191">
            <v>-21036.958130000014</v>
          </cell>
          <cell r="AD191">
            <v>-15291.247279999632</v>
          </cell>
        </row>
        <row r="192">
          <cell r="B192" t="str">
            <v>1998 (p)</v>
          </cell>
          <cell r="C192" t="str">
            <v>Ene</v>
          </cell>
          <cell r="D192">
            <v>10350.36</v>
          </cell>
          <cell r="E192">
            <v>38654.15</v>
          </cell>
          <cell r="F192">
            <v>141359.57999999999</v>
          </cell>
          <cell r="G192">
            <v>64620.83</v>
          </cell>
          <cell r="I192">
            <v>254984.93</v>
          </cell>
          <cell r="N192" t="str">
            <v>1998 (p)</v>
          </cell>
          <cell r="O192" t="str">
            <v>Ene</v>
          </cell>
          <cell r="P192">
            <v>-31332.01</v>
          </cell>
          <cell r="Q192">
            <v>99502.02</v>
          </cell>
          <cell r="R192">
            <v>20191.490000000002</v>
          </cell>
          <cell r="S192">
            <v>74486.600000000006</v>
          </cell>
          <cell r="T192">
            <v>162848.10999999999</v>
          </cell>
          <cell r="X192" t="str">
            <v>1998 (p)</v>
          </cell>
          <cell r="Y192" t="str">
            <v>Ene</v>
          </cell>
          <cell r="Z192">
            <v>-348426.18</v>
          </cell>
          <cell r="AA192">
            <v>162848.10999999999</v>
          </cell>
          <cell r="AB192">
            <v>51421.14</v>
          </cell>
          <cell r="AD192">
            <v>-134156.93</v>
          </cell>
        </row>
        <row r="193">
          <cell r="C193" t="str">
            <v>Feb</v>
          </cell>
          <cell r="D193">
            <v>21244.04</v>
          </cell>
          <cell r="E193">
            <v>76723.61</v>
          </cell>
          <cell r="F193">
            <v>317102.78000000003</v>
          </cell>
          <cell r="G193">
            <v>149456.01</v>
          </cell>
          <cell r="I193">
            <v>564526.43999999994</v>
          </cell>
          <cell r="O193" t="str">
            <v>Feb</v>
          </cell>
          <cell r="P193">
            <v>-187804.52000000002</v>
          </cell>
          <cell r="Q193">
            <v>76123.06</v>
          </cell>
          <cell r="R193">
            <v>95250.08</v>
          </cell>
          <cell r="S193">
            <v>302900.09999999998</v>
          </cell>
          <cell r="T193">
            <v>286468.73</v>
          </cell>
          <cell r="Y193" t="str">
            <v>Feb</v>
          </cell>
          <cell r="Z193">
            <v>-850751.7</v>
          </cell>
          <cell r="AA193">
            <v>286468.73</v>
          </cell>
          <cell r="AB193">
            <v>46867.25</v>
          </cell>
          <cell r="AD193">
            <v>-517415.72</v>
          </cell>
        </row>
        <row r="194">
          <cell r="C194" t="str">
            <v>Mar</v>
          </cell>
          <cell r="D194">
            <v>34378.949999999997</v>
          </cell>
          <cell r="E194">
            <v>117615.58</v>
          </cell>
          <cell r="F194">
            <v>515313.42000000004</v>
          </cell>
          <cell r="G194">
            <v>202904.96000000002</v>
          </cell>
          <cell r="I194">
            <v>870212.90999999992</v>
          </cell>
          <cell r="O194" t="str">
            <v>Mar</v>
          </cell>
          <cell r="P194">
            <v>-241205.73</v>
          </cell>
          <cell r="Q194">
            <v>382864.25</v>
          </cell>
          <cell r="R194">
            <v>207646.13</v>
          </cell>
          <cell r="S194">
            <v>333711.06999999995</v>
          </cell>
          <cell r="T194">
            <v>683015.72</v>
          </cell>
          <cell r="Y194" t="str">
            <v>Mar</v>
          </cell>
          <cell r="Z194">
            <v>-1214914.22</v>
          </cell>
          <cell r="AA194">
            <v>683015.72</v>
          </cell>
          <cell r="AB194">
            <v>-484.0199999999968</v>
          </cell>
          <cell r="AD194">
            <v>-532382.52</v>
          </cell>
        </row>
        <row r="195">
          <cell r="C195" t="str">
            <v>Abr</v>
          </cell>
          <cell r="D195">
            <v>45691.77</v>
          </cell>
          <cell r="E195">
            <v>138120.21</v>
          </cell>
          <cell r="F195">
            <v>647397.56000000006</v>
          </cell>
          <cell r="G195">
            <v>261410.97000000003</v>
          </cell>
          <cell r="I195">
            <v>1092620.51</v>
          </cell>
          <cell r="O195" t="str">
            <v>Abr</v>
          </cell>
          <cell r="P195">
            <v>-101338.11000000002</v>
          </cell>
          <cell r="Q195">
            <v>384726.55</v>
          </cell>
          <cell r="R195">
            <v>125445.43000000001</v>
          </cell>
          <cell r="S195">
            <v>694481.02</v>
          </cell>
          <cell r="T195">
            <v>1103314.8899999999</v>
          </cell>
          <cell r="Y195" t="str">
            <v>Abr</v>
          </cell>
          <cell r="Z195">
            <v>-1652321.74</v>
          </cell>
          <cell r="AA195">
            <v>1103314.8899999999</v>
          </cell>
          <cell r="AB195">
            <v>45771.350000000006</v>
          </cell>
          <cell r="AD195">
            <v>-503235.50000000012</v>
          </cell>
        </row>
        <row r="196">
          <cell r="C196" t="str">
            <v>May</v>
          </cell>
          <cell r="D196">
            <v>56991.069999999992</v>
          </cell>
          <cell r="E196">
            <v>180965.55</v>
          </cell>
          <cell r="F196">
            <v>793736.15</v>
          </cell>
          <cell r="G196">
            <v>326240.98000000004</v>
          </cell>
          <cell r="I196">
            <v>1357933.75</v>
          </cell>
          <cell r="O196" t="str">
            <v>May</v>
          </cell>
          <cell r="P196">
            <v>-180655.87</v>
          </cell>
          <cell r="Q196">
            <v>501665.25</v>
          </cell>
          <cell r="R196">
            <v>126898.19</v>
          </cell>
          <cell r="S196">
            <v>750528.39</v>
          </cell>
          <cell r="T196">
            <v>1198435.96</v>
          </cell>
          <cell r="Y196" t="str">
            <v>May</v>
          </cell>
          <cell r="Z196">
            <v>-1959059.9</v>
          </cell>
          <cell r="AA196">
            <v>1198435.96</v>
          </cell>
          <cell r="AB196">
            <v>36232.850000000006</v>
          </cell>
          <cell r="AD196">
            <v>-724391.09</v>
          </cell>
        </row>
        <row r="197">
          <cell r="C197" t="str">
            <v>Jun</v>
          </cell>
          <cell r="D197">
            <v>65533.19999999999</v>
          </cell>
          <cell r="E197">
            <v>220281.28999999998</v>
          </cell>
          <cell r="F197">
            <v>1010223.31</v>
          </cell>
          <cell r="G197">
            <v>399572.02</v>
          </cell>
          <cell r="I197">
            <v>1695609.82</v>
          </cell>
          <cell r="O197" t="str">
            <v>Jun</v>
          </cell>
          <cell r="P197">
            <v>64688.100000000006</v>
          </cell>
          <cell r="Q197">
            <v>547418.47</v>
          </cell>
          <cell r="R197">
            <v>225928.15000000002</v>
          </cell>
          <cell r="S197">
            <v>514494.29000000004</v>
          </cell>
          <cell r="T197">
            <v>1352529.01</v>
          </cell>
          <cell r="Y197" t="str">
            <v>Jun</v>
          </cell>
          <cell r="Z197">
            <v>-2223950.16</v>
          </cell>
          <cell r="AA197">
            <v>1352529.01</v>
          </cell>
          <cell r="AB197">
            <v>24589.910000000003</v>
          </cell>
          <cell r="AD197">
            <v>-846831.24000000011</v>
          </cell>
        </row>
        <row r="198">
          <cell r="C198" t="str">
            <v>Jul</v>
          </cell>
          <cell r="D198">
            <v>78838.62999999999</v>
          </cell>
          <cell r="E198">
            <v>265182.84999999998</v>
          </cell>
          <cell r="F198">
            <v>1183246.22</v>
          </cell>
          <cell r="G198">
            <v>473331.44</v>
          </cell>
          <cell r="I198">
            <v>2000599.1300000001</v>
          </cell>
          <cell r="O198" t="str">
            <v>Jul</v>
          </cell>
          <cell r="P198">
            <v>168836.02000000002</v>
          </cell>
          <cell r="Q198">
            <v>614837.80999999994</v>
          </cell>
          <cell r="R198">
            <v>248525.44000000003</v>
          </cell>
          <cell r="S198">
            <v>719687.84000000008</v>
          </cell>
          <cell r="T198">
            <v>1751887.1099999999</v>
          </cell>
          <cell r="Y198" t="str">
            <v>Jul</v>
          </cell>
          <cell r="Z198">
            <v>-2582799.23</v>
          </cell>
          <cell r="AA198">
            <v>1751887.1099999999</v>
          </cell>
          <cell r="AB198">
            <v>3826.760000000002</v>
          </cell>
          <cell r="AD198">
            <v>-827085.3600000001</v>
          </cell>
        </row>
        <row r="199">
          <cell r="C199" t="str">
            <v>Ago</v>
          </cell>
          <cell r="D199">
            <v>93753.889999999985</v>
          </cell>
          <cell r="E199">
            <v>303172.76999999996</v>
          </cell>
          <cell r="F199">
            <v>1349105.51</v>
          </cell>
          <cell r="G199">
            <v>534363.61</v>
          </cell>
          <cell r="I199">
            <v>2280395.77</v>
          </cell>
          <cell r="O199" t="str">
            <v>Ago</v>
          </cell>
          <cell r="P199">
            <v>191294.78000000003</v>
          </cell>
          <cell r="Q199">
            <v>738646.66999999993</v>
          </cell>
          <cell r="R199">
            <v>343395.31000000006</v>
          </cell>
          <cell r="S199">
            <v>739080.54</v>
          </cell>
          <cell r="T199">
            <v>2012417.2999999998</v>
          </cell>
          <cell r="Y199" t="str">
            <v>Ago</v>
          </cell>
          <cell r="Z199">
            <v>-3068529.67</v>
          </cell>
          <cell r="AA199">
            <v>2012417.2999999998</v>
          </cell>
          <cell r="AB199">
            <v>84435.799999999988</v>
          </cell>
          <cell r="AD199">
            <v>-971676.57000000007</v>
          </cell>
        </row>
        <row r="200">
          <cell r="C200" t="str">
            <v>Sep</v>
          </cell>
          <cell r="D200">
            <v>109866.19999999998</v>
          </cell>
          <cell r="E200">
            <v>344713.44999999995</v>
          </cell>
          <cell r="F200">
            <v>1508029.15</v>
          </cell>
          <cell r="G200">
            <v>621842.75</v>
          </cell>
          <cell r="I200">
            <v>2584451.54</v>
          </cell>
          <cell r="O200" t="str">
            <v>Sep</v>
          </cell>
          <cell r="P200">
            <v>229933.13000000003</v>
          </cell>
          <cell r="Q200">
            <v>710635.41999999993</v>
          </cell>
          <cell r="R200">
            <v>448879.18000000005</v>
          </cell>
          <cell r="S200">
            <v>855974.09000000008</v>
          </cell>
          <cell r="T200">
            <v>2245421.8299999996</v>
          </cell>
          <cell r="Y200" t="str">
            <v>Sep</v>
          </cell>
          <cell r="Z200">
            <v>-3613164.45</v>
          </cell>
          <cell r="AA200">
            <v>2245421.8299999996</v>
          </cell>
          <cell r="AB200">
            <v>214752.63999999998</v>
          </cell>
          <cell r="AD200">
            <v>-1152989.9800000007</v>
          </cell>
        </row>
        <row r="201">
          <cell r="C201" t="str">
            <v>Oct</v>
          </cell>
          <cell r="D201">
            <v>128413.39999999998</v>
          </cell>
          <cell r="E201">
            <v>392090.58999999997</v>
          </cell>
          <cell r="F201">
            <v>1727095.63</v>
          </cell>
          <cell r="G201">
            <v>776207.8</v>
          </cell>
          <cell r="I201">
            <v>3023807.42</v>
          </cell>
          <cell r="O201" t="str">
            <v>Oct</v>
          </cell>
          <cell r="P201">
            <v>149970.61000000004</v>
          </cell>
          <cell r="Q201">
            <v>991706.65999999992</v>
          </cell>
          <cell r="R201">
            <v>486233.79000000004</v>
          </cell>
          <cell r="S201">
            <v>828116.79</v>
          </cell>
          <cell r="T201">
            <v>2456027.8499999996</v>
          </cell>
          <cell r="Y201" t="str">
            <v>Oct</v>
          </cell>
          <cell r="Z201">
            <v>-3877528.97</v>
          </cell>
          <cell r="AA201">
            <v>2456027.8499999996</v>
          </cell>
          <cell r="AB201">
            <v>242163.68999999997</v>
          </cell>
          <cell r="AD201">
            <v>-1179337.4300000006</v>
          </cell>
        </row>
        <row r="202">
          <cell r="C202" t="str">
            <v>Nov</v>
          </cell>
          <cell r="D202">
            <v>152728.08999999997</v>
          </cell>
          <cell r="E202">
            <v>436360.52999999997</v>
          </cell>
          <cell r="F202">
            <v>1911148.2399999998</v>
          </cell>
          <cell r="G202">
            <v>873392.6100000001</v>
          </cell>
          <cell r="I202">
            <v>3373629.4699999997</v>
          </cell>
          <cell r="O202" t="str">
            <v>Nov</v>
          </cell>
          <cell r="P202">
            <v>247651.97000000003</v>
          </cell>
          <cell r="Q202">
            <v>1060046.92</v>
          </cell>
          <cell r="R202">
            <v>500718.75000000006</v>
          </cell>
          <cell r="S202">
            <v>868916.32000000007</v>
          </cell>
          <cell r="T202">
            <v>2677333.9699999997</v>
          </cell>
          <cell r="Y202" t="str">
            <v>Nov</v>
          </cell>
          <cell r="Z202">
            <v>-4004351.4400000004</v>
          </cell>
          <cell r="AA202">
            <v>2677333.9699999997</v>
          </cell>
          <cell r="AB202">
            <v>120428.27999999997</v>
          </cell>
          <cell r="AD202">
            <v>-1206589.1900000006</v>
          </cell>
        </row>
        <row r="203">
          <cell r="C203" t="str">
            <v>Dic*</v>
          </cell>
          <cell r="D203">
            <v>169668.12999999998</v>
          </cell>
          <cell r="E203">
            <v>496315.29</v>
          </cell>
          <cell r="F203">
            <v>2119010.5099999998</v>
          </cell>
          <cell r="G203">
            <v>932815.71000000008</v>
          </cell>
          <cell r="I203">
            <v>3717809.6399999997</v>
          </cell>
          <cell r="O203" t="str">
            <v>Dic*</v>
          </cell>
          <cell r="P203">
            <v>417783.20000000007</v>
          </cell>
          <cell r="Q203">
            <v>1334133.9099999999</v>
          </cell>
          <cell r="R203">
            <v>534844.37000000011</v>
          </cell>
          <cell r="S203">
            <v>644844.19000000006</v>
          </cell>
          <cell r="T203">
            <v>2931605.69</v>
          </cell>
          <cell r="Y203" t="str">
            <v>Dic*</v>
          </cell>
          <cell r="Z203">
            <v>-4270342.7100000009</v>
          </cell>
          <cell r="AA203">
            <v>2931605.69</v>
          </cell>
          <cell r="AB203">
            <v>161486.69999999995</v>
          </cell>
          <cell r="AD203">
            <v>-1177250.320000001</v>
          </cell>
        </row>
        <row r="217">
          <cell r="B217" t="str">
            <v>Cuadro II-3C</v>
          </cell>
          <cell r="N217" t="str">
            <v>Cuadro II-4C</v>
          </cell>
          <cell r="X217" t="str">
            <v>Cuadro II-5C</v>
          </cell>
        </row>
        <row r="219">
          <cell r="B219" t="str">
            <v>REINTEGROS POR SERVICIOS FINANCIEROS Y NO FINANCIEROS</v>
          </cell>
          <cell r="N219" t="str">
            <v>CUENTA DE CAPITAL</v>
          </cell>
          <cell r="X219" t="str">
            <v>BALANZA CAMBIARIA</v>
          </cell>
        </row>
        <row r="221">
          <cell r="B221" t="str">
            <v>(Promedios móviles de orden 6)</v>
          </cell>
          <cell r="N221" t="str">
            <v>(Promedios móviles de órden 6)</v>
          </cell>
          <cell r="X221" t="str">
            <v>(Promedios móviles de orden 6)</v>
          </cell>
        </row>
        <row r="223">
          <cell r="G223" t="str">
            <v xml:space="preserve">             (Miles de dólares)</v>
          </cell>
          <cell r="S223" t="str">
            <v xml:space="preserve">                          (Miles de dólares)</v>
          </cell>
          <cell r="AB223" t="str">
            <v xml:space="preserve">                                 (Miles de dólares)</v>
          </cell>
        </row>
        <row r="224">
          <cell r="B224" t="str">
            <v>Período</v>
          </cell>
          <cell r="D224" t="str">
            <v>Turismo</v>
          </cell>
          <cell r="E224" t="str">
            <v>Transferencias</v>
          </cell>
          <cell r="F224" t="str">
            <v>Otros servicios</v>
          </cell>
          <cell r="G224" t="str">
            <v>Servicios</v>
          </cell>
          <cell r="I224" t="str">
            <v>Servicios</v>
          </cell>
          <cell r="N224" t="str">
            <v>Período</v>
          </cell>
          <cell r="P224" t="str">
            <v>Sector</v>
          </cell>
          <cell r="Q224" t="str">
            <v>Inversión</v>
          </cell>
          <cell r="R224" t="str">
            <v>Sector</v>
          </cell>
          <cell r="S224" t="str">
            <v>Operaciones</v>
          </cell>
          <cell r="T224" t="str">
            <v>Financiación</v>
          </cell>
          <cell r="Y224" t="str">
            <v>Período</v>
          </cell>
          <cell r="Z224" t="str">
            <v>Superávit o</v>
          </cell>
          <cell r="AA224" t="str">
            <v xml:space="preserve">  Financiación</v>
          </cell>
          <cell r="AB224" t="str">
            <v>Causaciones</v>
          </cell>
          <cell r="AD224" t="str">
            <v>Var. reservas</v>
          </cell>
        </row>
        <row r="225">
          <cell r="E225" t="str">
            <v>e ingresos</v>
          </cell>
          <cell r="F225" t="str">
            <v>no financieros</v>
          </cell>
          <cell r="G225" t="str">
            <v>financieros</v>
          </cell>
          <cell r="I225" t="str">
            <v>totales</v>
          </cell>
          <cell r="P225" t="str">
            <v>privado¹</v>
          </cell>
          <cell r="Q225" t="str">
            <v>extranjera</v>
          </cell>
          <cell r="R225" t="str">
            <v>oficial¹</v>
          </cell>
          <cell r="S225" t="str">
            <v>especiales²</v>
          </cell>
          <cell r="T225" t="str">
            <v>neta</v>
          </cell>
          <cell r="Z225" t="str">
            <v>déficit en</v>
          </cell>
          <cell r="AA225" t="str">
            <v>neta</v>
          </cell>
          <cell r="AB225" t="str">
            <v>valuac. y prov.</v>
          </cell>
          <cell r="AD225" t="str">
            <v>netas</v>
          </cell>
        </row>
        <row r="226">
          <cell r="E226" t="str">
            <v>personales</v>
          </cell>
          <cell r="Q226" t="str">
            <v>neta</v>
          </cell>
          <cell r="Z226" t="str">
            <v>Cta. Cte.</v>
          </cell>
        </row>
        <row r="227">
          <cell r="C227" t="str">
            <v>Ene/92</v>
          </cell>
          <cell r="D227">
            <v>53575.166666666664</v>
          </cell>
          <cell r="E227">
            <v>131550.16666666666</v>
          </cell>
          <cell r="F227">
            <v>30883.833333333332</v>
          </cell>
          <cell r="G227">
            <v>31412</v>
          </cell>
          <cell r="I227">
            <v>247421.16666666666</v>
          </cell>
          <cell r="O227" t="str">
            <v>Ene/92</v>
          </cell>
          <cell r="P227">
            <v>1068.8333333333528</v>
          </cell>
          <cell r="Q227" t="e">
            <v>#DIV/0!</v>
          </cell>
          <cell r="R227" t="e">
            <v>#DIV/0!</v>
          </cell>
          <cell r="S227" t="e">
            <v>#DIV/0!</v>
          </cell>
          <cell r="T227" t="e">
            <v>#DIV/0!</v>
          </cell>
          <cell r="Y227" t="str">
            <v>Ene/92</v>
          </cell>
          <cell r="Z227" t="e">
            <v>#DIV/0!</v>
          </cell>
          <cell r="AA227" t="e">
            <v>#DIV/0!</v>
          </cell>
          <cell r="AB227" t="e">
            <v>#DIV/0!</v>
          </cell>
          <cell r="AD227" t="e">
            <v>#DIV/0!</v>
          </cell>
        </row>
        <row r="228">
          <cell r="C228" t="str">
            <v>Feb</v>
          </cell>
          <cell r="D228">
            <v>63191.5</v>
          </cell>
          <cell r="E228">
            <v>135052.16666666666</v>
          </cell>
          <cell r="F228">
            <v>33550.5</v>
          </cell>
          <cell r="G228">
            <v>32293.166666666668</v>
          </cell>
          <cell r="I228">
            <v>264087.33333333331</v>
          </cell>
          <cell r="O228" t="str">
            <v>Feb</v>
          </cell>
          <cell r="P228">
            <v>1068.8333333333528</v>
          </cell>
          <cell r="Q228" t="e">
            <v>#DIV/0!</v>
          </cell>
          <cell r="R228" t="e">
            <v>#DIV/0!</v>
          </cell>
          <cell r="S228" t="e">
            <v>#DIV/0!</v>
          </cell>
          <cell r="T228" t="e">
            <v>#DIV/0!</v>
          </cell>
          <cell r="Y228" t="str">
            <v>Feb</v>
          </cell>
          <cell r="Z228" t="e">
            <v>#DIV/0!</v>
          </cell>
          <cell r="AA228" t="e">
            <v>#DIV/0!</v>
          </cell>
          <cell r="AB228" t="e">
            <v>#DIV/0!</v>
          </cell>
          <cell r="AD228" t="e">
            <v>#DIV/0!</v>
          </cell>
        </row>
        <row r="229">
          <cell r="C229" t="str">
            <v>Mar</v>
          </cell>
          <cell r="D229">
            <v>75384.5</v>
          </cell>
          <cell r="E229">
            <v>134736</v>
          </cell>
          <cell r="F229">
            <v>34344.666666666664</v>
          </cell>
          <cell r="G229">
            <v>32894.833333333336</v>
          </cell>
          <cell r="I229">
            <v>277360</v>
          </cell>
          <cell r="O229" t="str">
            <v>Mar</v>
          </cell>
          <cell r="P229">
            <v>1068.8333333333528</v>
          </cell>
          <cell r="Q229" t="e">
            <v>#DIV/0!</v>
          </cell>
          <cell r="R229" t="e">
            <v>#DIV/0!</v>
          </cell>
          <cell r="S229" t="e">
            <v>#DIV/0!</v>
          </cell>
          <cell r="T229" t="e">
            <v>#DIV/0!</v>
          </cell>
          <cell r="Y229" t="str">
            <v>Mar</v>
          </cell>
          <cell r="Z229" t="e">
            <v>#DIV/0!</v>
          </cell>
          <cell r="AA229" t="e">
            <v>#DIV/0!</v>
          </cell>
          <cell r="AB229" t="e">
            <v>#DIV/0!</v>
          </cell>
          <cell r="AD229" t="e">
            <v>#DIV/0!</v>
          </cell>
        </row>
        <row r="230">
          <cell r="C230" t="str">
            <v>Abr</v>
          </cell>
          <cell r="D230">
            <v>77646.166666666672</v>
          </cell>
          <cell r="E230">
            <v>133344.66666666666</v>
          </cell>
          <cell r="F230">
            <v>31694.166666666668</v>
          </cell>
          <cell r="G230">
            <v>30014.666666666668</v>
          </cell>
          <cell r="I230">
            <v>272699.66666666669</v>
          </cell>
          <cell r="O230" t="str">
            <v>Abr</v>
          </cell>
          <cell r="P230">
            <v>1949</v>
          </cell>
          <cell r="Q230" t="e">
            <v>#DIV/0!</v>
          </cell>
          <cell r="R230" t="e">
            <v>#DIV/0!</v>
          </cell>
          <cell r="S230" t="e">
            <v>#DIV/0!</v>
          </cell>
          <cell r="T230" t="e">
            <v>#DIV/0!</v>
          </cell>
          <cell r="Y230" t="str">
            <v>Abr</v>
          </cell>
          <cell r="Z230" t="e">
            <v>#DIV/0!</v>
          </cell>
          <cell r="AA230" t="e">
            <v>#DIV/0!</v>
          </cell>
          <cell r="AB230" t="e">
            <v>#DIV/0!</v>
          </cell>
          <cell r="AD230" t="e">
            <v>#DIV/0!</v>
          </cell>
        </row>
        <row r="231">
          <cell r="C231" t="str">
            <v>May</v>
          </cell>
          <cell r="D231">
            <v>77531.166666666672</v>
          </cell>
          <cell r="E231">
            <v>150378.66666666666</v>
          </cell>
          <cell r="F231">
            <v>32094.833333333332</v>
          </cell>
          <cell r="G231">
            <v>30723.833333333332</v>
          </cell>
          <cell r="I231">
            <v>290728.5</v>
          </cell>
          <cell r="O231" t="str">
            <v>May</v>
          </cell>
          <cell r="P231">
            <v>1366.5</v>
          </cell>
          <cell r="Q231" t="e">
            <v>#DIV/0!</v>
          </cell>
          <cell r="R231" t="e">
            <v>#DIV/0!</v>
          </cell>
          <cell r="S231" t="e">
            <v>#DIV/0!</v>
          </cell>
          <cell r="T231" t="e">
            <v>#DIV/0!</v>
          </cell>
          <cell r="Y231" t="str">
            <v>May</v>
          </cell>
          <cell r="Z231" t="e">
            <v>#DIV/0!</v>
          </cell>
          <cell r="AA231" t="e">
            <v>#DIV/0!</v>
          </cell>
          <cell r="AB231" t="e">
            <v>#DIV/0!</v>
          </cell>
          <cell r="AD231" t="e">
            <v>#DIV/0!</v>
          </cell>
        </row>
        <row r="232">
          <cell r="C232" t="str">
            <v>Jun</v>
          </cell>
          <cell r="D232">
            <v>79363.333333333328</v>
          </cell>
          <cell r="E232">
            <v>161824.33333333334</v>
          </cell>
          <cell r="F232">
            <v>30333.333333333332</v>
          </cell>
          <cell r="G232">
            <v>32161.333333333332</v>
          </cell>
          <cell r="I232">
            <v>303682.33333333331</v>
          </cell>
          <cell r="O232" t="str">
            <v>Jun</v>
          </cell>
          <cell r="P232">
            <v>0</v>
          </cell>
          <cell r="Q232" t="e">
            <v>#DIV/0!</v>
          </cell>
          <cell r="R232" t="e">
            <v>#DIV/0!</v>
          </cell>
          <cell r="S232" t="e">
            <v>#DIV/0!</v>
          </cell>
          <cell r="T232" t="e">
            <v>#DIV/0!</v>
          </cell>
          <cell r="Y232" t="str">
            <v>Jun</v>
          </cell>
          <cell r="Z232" t="e">
            <v>#DIV/0!</v>
          </cell>
          <cell r="AA232" t="e">
            <v>#DIV/0!</v>
          </cell>
          <cell r="AB232" t="e">
            <v>#DIV/0!</v>
          </cell>
          <cell r="AD232" t="e">
            <v>#DIV/0!</v>
          </cell>
        </row>
        <row r="233">
          <cell r="C233" t="str">
            <v>Jul</v>
          </cell>
          <cell r="D233">
            <v>72166</v>
          </cell>
          <cell r="E233">
            <v>161319.16666666666</v>
          </cell>
          <cell r="F233">
            <v>30033.333333333332</v>
          </cell>
          <cell r="G233">
            <v>31772.5</v>
          </cell>
          <cell r="I233">
            <v>295291</v>
          </cell>
          <cell r="O233" t="str">
            <v>Jul</v>
          </cell>
          <cell r="P233">
            <v>0</v>
          </cell>
          <cell r="Q233" t="e">
            <v>#DIV/0!</v>
          </cell>
          <cell r="R233" t="e">
            <v>#DIV/0!</v>
          </cell>
          <cell r="S233" t="e">
            <v>#DIV/0!</v>
          </cell>
          <cell r="T233" t="e">
            <v>#DIV/0!</v>
          </cell>
          <cell r="Y233" t="str">
            <v>Jul</v>
          </cell>
          <cell r="Z233" t="e">
            <v>#DIV/0!</v>
          </cell>
          <cell r="AA233" t="e">
            <v>#DIV/0!</v>
          </cell>
          <cell r="AB233" t="e">
            <v>#DIV/0!</v>
          </cell>
          <cell r="AD233" t="e">
            <v>#DIV/0!</v>
          </cell>
        </row>
        <row r="234">
          <cell r="C234" t="str">
            <v>Ago</v>
          </cell>
          <cell r="D234">
            <v>71177</v>
          </cell>
          <cell r="E234">
            <v>153532.33333333334</v>
          </cell>
          <cell r="F234">
            <v>29366.666666666668</v>
          </cell>
          <cell r="G234">
            <v>31434.666666666668</v>
          </cell>
          <cell r="I234">
            <v>285510.66666666669</v>
          </cell>
          <cell r="O234" t="str">
            <v>Ago</v>
          </cell>
          <cell r="P234">
            <v>0</v>
          </cell>
          <cell r="Q234" t="e">
            <v>#DIV/0!</v>
          </cell>
          <cell r="R234" t="e">
            <v>#DIV/0!</v>
          </cell>
          <cell r="S234" t="e">
            <v>#DIV/0!</v>
          </cell>
          <cell r="T234" t="e">
            <v>#DIV/0!</v>
          </cell>
          <cell r="Y234" t="str">
            <v>Ago</v>
          </cell>
          <cell r="Z234" t="e">
            <v>#DIV/0!</v>
          </cell>
          <cell r="AA234" t="e">
            <v>#DIV/0!</v>
          </cell>
          <cell r="AB234" t="e">
            <v>#DIV/0!</v>
          </cell>
          <cell r="AD234" t="e">
            <v>#DIV/0!</v>
          </cell>
        </row>
        <row r="235">
          <cell r="C235" t="str">
            <v>Sep</v>
          </cell>
          <cell r="D235">
            <v>72581.833333333328</v>
          </cell>
          <cell r="E235">
            <v>143882</v>
          </cell>
          <cell r="F235">
            <v>30783.333333333332</v>
          </cell>
          <cell r="G235">
            <v>31608.333333333332</v>
          </cell>
          <cell r="I235">
            <v>278855.5</v>
          </cell>
          <cell r="O235" t="str">
            <v>Sep</v>
          </cell>
          <cell r="P235">
            <v>0</v>
          </cell>
          <cell r="Q235" t="e">
            <v>#DIV/0!</v>
          </cell>
          <cell r="R235" t="e">
            <v>#DIV/0!</v>
          </cell>
          <cell r="S235" t="e">
            <v>#DIV/0!</v>
          </cell>
          <cell r="T235" t="e">
            <v>#DIV/0!</v>
          </cell>
          <cell r="Y235" t="str">
            <v>Sep</v>
          </cell>
          <cell r="Z235" t="e">
            <v>#DIV/0!</v>
          </cell>
          <cell r="AA235" t="e">
            <v>#DIV/0!</v>
          </cell>
          <cell r="AB235" t="e">
            <v>#DIV/0!</v>
          </cell>
          <cell r="AD235" t="e">
            <v>#DIV/0!</v>
          </cell>
        </row>
        <row r="236">
          <cell r="C236" t="str">
            <v>Oct</v>
          </cell>
          <cell r="D236">
            <v>64417.5</v>
          </cell>
          <cell r="E236">
            <v>132319.66666666666</v>
          </cell>
          <cell r="F236">
            <v>35583.333333333336</v>
          </cell>
          <cell r="G236">
            <v>33916.5</v>
          </cell>
          <cell r="I236">
            <v>266237</v>
          </cell>
          <cell r="O236" t="str">
            <v>Oct</v>
          </cell>
          <cell r="P236">
            <v>0</v>
          </cell>
          <cell r="Q236" t="e">
            <v>#DIV/0!</v>
          </cell>
          <cell r="R236" t="e">
            <v>#DIV/0!</v>
          </cell>
          <cell r="S236" t="e">
            <v>#DIV/0!</v>
          </cell>
          <cell r="T236" t="e">
            <v>#DIV/0!</v>
          </cell>
          <cell r="Y236" t="str">
            <v>Oct</v>
          </cell>
          <cell r="Z236" t="e">
            <v>#DIV/0!</v>
          </cell>
          <cell r="AA236" t="e">
            <v>#DIV/0!</v>
          </cell>
          <cell r="AB236" t="e">
            <v>#DIV/0!</v>
          </cell>
          <cell r="AD236" t="e">
            <v>#DIV/0!</v>
          </cell>
        </row>
        <row r="237">
          <cell r="C237" t="str">
            <v>Nov</v>
          </cell>
          <cell r="D237">
            <v>59785.833333333336</v>
          </cell>
          <cell r="E237">
            <v>114487.16666666667</v>
          </cell>
          <cell r="F237">
            <v>37866.666666666664</v>
          </cell>
          <cell r="G237">
            <v>33924.166666666664</v>
          </cell>
          <cell r="I237">
            <v>246063.83333333334</v>
          </cell>
          <cell r="O237" t="str">
            <v>Nov</v>
          </cell>
          <cell r="P237">
            <v>0</v>
          </cell>
          <cell r="Q237" t="e">
            <v>#DIV/0!</v>
          </cell>
          <cell r="R237" t="e">
            <v>#DIV/0!</v>
          </cell>
          <cell r="S237" t="e">
            <v>#DIV/0!</v>
          </cell>
          <cell r="T237" t="e">
            <v>#DIV/0!</v>
          </cell>
          <cell r="Y237" t="str">
            <v>Nov</v>
          </cell>
          <cell r="Z237" t="e">
            <v>#DIV/0!</v>
          </cell>
          <cell r="AA237" t="e">
            <v>#DIV/0!</v>
          </cell>
          <cell r="AB237" t="e">
            <v>#DIV/0!</v>
          </cell>
          <cell r="AD237" t="e">
            <v>#DIV/0!</v>
          </cell>
        </row>
        <row r="238">
          <cell r="C238" t="str">
            <v>Dic</v>
          </cell>
          <cell r="D238">
            <v>53534.166666666664</v>
          </cell>
          <cell r="E238">
            <v>103653.16666666667</v>
          </cell>
          <cell r="F238">
            <v>39150</v>
          </cell>
          <cell r="G238">
            <v>33813.833333333336</v>
          </cell>
          <cell r="I238">
            <v>230151.16666666666</v>
          </cell>
          <cell r="O238" t="str">
            <v>Dic</v>
          </cell>
          <cell r="P238">
            <v>0</v>
          </cell>
          <cell r="Q238" t="e">
            <v>#DIV/0!</v>
          </cell>
          <cell r="R238" t="e">
            <v>#DIV/0!</v>
          </cell>
          <cell r="S238" t="e">
            <v>#DIV/0!</v>
          </cell>
          <cell r="T238" t="e">
            <v>#DIV/0!</v>
          </cell>
          <cell r="Y238" t="str">
            <v>Dic</v>
          </cell>
          <cell r="Z238" t="e">
            <v>#DIV/0!</v>
          </cell>
          <cell r="AA238" t="e">
            <v>#DIV/0!</v>
          </cell>
          <cell r="AB238" t="e">
            <v>#DIV/0!</v>
          </cell>
          <cell r="AD238" t="e">
            <v>#DIV/0!</v>
          </cell>
        </row>
        <row r="239">
          <cell r="C239" t="str">
            <v>Ene/93</v>
          </cell>
          <cell r="D239">
            <v>48696.541158333333</v>
          </cell>
          <cell r="E239">
            <v>86987.846106666664</v>
          </cell>
          <cell r="F239">
            <v>38816.241943333334</v>
          </cell>
          <cell r="G239">
            <v>29189.576620000003</v>
          </cell>
          <cell r="I239">
            <v>203690.20582833336</v>
          </cell>
          <cell r="O239" t="str">
            <v>Ene/93</v>
          </cell>
          <cell r="P239">
            <v>0</v>
          </cell>
          <cell r="Q239" t="e">
            <v>#DIV/0!</v>
          </cell>
          <cell r="R239" t="e">
            <v>#DIV/0!</v>
          </cell>
          <cell r="S239" t="e">
            <v>#DIV/0!</v>
          </cell>
          <cell r="T239" t="e">
            <v>#DIV/0!</v>
          </cell>
          <cell r="Y239" t="str">
            <v>Ene/93</v>
          </cell>
          <cell r="Z239" t="e">
            <v>#DIV/0!</v>
          </cell>
          <cell r="AA239" t="e">
            <v>#DIV/0!</v>
          </cell>
          <cell r="AB239" t="e">
            <v>#DIV/0!</v>
          </cell>
          <cell r="AD239" t="e">
            <v>#DIV/0!</v>
          </cell>
        </row>
        <row r="240">
          <cell r="C240" t="str">
            <v>Feb</v>
          </cell>
          <cell r="D240">
            <v>45140.366728333327</v>
          </cell>
          <cell r="E240">
            <v>87481.538271666665</v>
          </cell>
          <cell r="F240">
            <v>39711.158636666667</v>
          </cell>
          <cell r="G240">
            <v>27177.332476666666</v>
          </cell>
          <cell r="I240">
            <v>199510.39611333332</v>
          </cell>
          <cell r="O240" t="str">
            <v>Feb</v>
          </cell>
          <cell r="P240">
            <v>0</v>
          </cell>
          <cell r="Q240" t="e">
            <v>#DIV/0!</v>
          </cell>
          <cell r="R240" t="e">
            <v>#DIV/0!</v>
          </cell>
          <cell r="S240" t="e">
            <v>#DIV/0!</v>
          </cell>
          <cell r="T240" t="e">
            <v>#DIV/0!</v>
          </cell>
          <cell r="Y240" t="str">
            <v>Feb</v>
          </cell>
          <cell r="Z240" t="e">
            <v>#DIV/0!</v>
          </cell>
          <cell r="AA240" t="e">
            <v>#DIV/0!</v>
          </cell>
          <cell r="AB240" t="e">
            <v>#DIV/0!</v>
          </cell>
          <cell r="AD240" t="e">
            <v>#DIV/0!</v>
          </cell>
        </row>
        <row r="241">
          <cell r="C241" t="str">
            <v>Mar</v>
          </cell>
          <cell r="D241">
            <v>40068.53719333333</v>
          </cell>
          <cell r="E241">
            <v>85784.654876666653</v>
          </cell>
          <cell r="F241">
            <v>41147.758826666664</v>
          </cell>
          <cell r="G241">
            <v>25345.396884999998</v>
          </cell>
          <cell r="I241">
            <v>192346.34778166667</v>
          </cell>
          <cell r="O241" t="str">
            <v>Mar</v>
          </cell>
          <cell r="P241">
            <v>0</v>
          </cell>
          <cell r="Q241" t="e">
            <v>#DIV/0!</v>
          </cell>
          <cell r="R241" t="e">
            <v>#DIV/0!</v>
          </cell>
          <cell r="S241" t="e">
            <v>#DIV/0!</v>
          </cell>
          <cell r="T241" t="e">
            <v>#DIV/0!</v>
          </cell>
          <cell r="Y241" t="str">
            <v>Mar</v>
          </cell>
          <cell r="Z241" t="e">
            <v>#DIV/0!</v>
          </cell>
          <cell r="AA241" t="e">
            <v>#DIV/0!</v>
          </cell>
          <cell r="AB241" t="e">
            <v>#DIV/0!</v>
          </cell>
          <cell r="AD241" t="e">
            <v>#DIV/0!</v>
          </cell>
        </row>
        <row r="242">
          <cell r="C242" t="str">
            <v>Abr</v>
          </cell>
          <cell r="D242">
            <v>45275.376645000004</v>
          </cell>
          <cell r="E242">
            <v>91742.40879833333</v>
          </cell>
          <cell r="F242">
            <v>38254.559215000001</v>
          </cell>
          <cell r="G242">
            <v>23844.748673333335</v>
          </cell>
          <cell r="I242">
            <v>199117.09333166666</v>
          </cell>
          <cell r="O242" t="str">
            <v>Abr</v>
          </cell>
          <cell r="P242">
            <v>0</v>
          </cell>
          <cell r="Q242" t="e">
            <v>#DIV/0!</v>
          </cell>
          <cell r="R242" t="e">
            <v>#DIV/0!</v>
          </cell>
          <cell r="S242" t="e">
            <v>#DIV/0!</v>
          </cell>
          <cell r="T242" t="e">
            <v>#DIV/0!</v>
          </cell>
          <cell r="Y242" t="str">
            <v>Abr</v>
          </cell>
          <cell r="Z242" t="e">
            <v>#DIV/0!</v>
          </cell>
          <cell r="AA242" t="e">
            <v>#DIV/0!</v>
          </cell>
          <cell r="AB242" t="e">
            <v>#DIV/0!</v>
          </cell>
          <cell r="AD242" t="e">
            <v>#DIV/0!</v>
          </cell>
        </row>
        <row r="243">
          <cell r="C243" t="str">
            <v>May</v>
          </cell>
          <cell r="D243">
            <v>53336.531638333334</v>
          </cell>
          <cell r="E243">
            <v>106075.44597</v>
          </cell>
          <cell r="F243">
            <v>39708.389415000005</v>
          </cell>
          <cell r="G243">
            <v>26367.805359999998</v>
          </cell>
          <cell r="I243">
            <v>225488.17238333332</v>
          </cell>
          <cell r="O243" t="str">
            <v>May</v>
          </cell>
          <cell r="P243">
            <v>0</v>
          </cell>
          <cell r="Q243" t="e">
            <v>#DIV/0!</v>
          </cell>
          <cell r="R243" t="e">
            <v>#DIV/0!</v>
          </cell>
          <cell r="S243" t="e">
            <v>#DIV/0!</v>
          </cell>
          <cell r="T243" t="e">
            <v>#DIV/0!</v>
          </cell>
          <cell r="Y243" t="str">
            <v>May</v>
          </cell>
          <cell r="Z243" t="e">
            <v>#DIV/0!</v>
          </cell>
          <cell r="AA243" t="e">
            <v>#DIV/0!</v>
          </cell>
          <cell r="AB243" t="e">
            <v>#DIV/0!</v>
          </cell>
          <cell r="AD243" t="e">
            <v>#DIV/0!</v>
          </cell>
        </row>
        <row r="244">
          <cell r="C244" t="str">
            <v>Jun</v>
          </cell>
          <cell r="D244">
            <v>60823.431783333333</v>
          </cell>
          <cell r="E244">
            <v>118388.17709000001</v>
          </cell>
          <cell r="F244">
            <v>46752.194970000004</v>
          </cell>
          <cell r="G244">
            <v>33258.421918333333</v>
          </cell>
          <cell r="I244">
            <v>259222.22576166666</v>
          </cell>
          <cell r="O244" t="str">
            <v>Jun</v>
          </cell>
          <cell r="P244">
            <v>0</v>
          </cell>
          <cell r="Q244" t="e">
            <v>#DIV/0!</v>
          </cell>
          <cell r="R244" t="e">
            <v>#DIV/0!</v>
          </cell>
          <cell r="S244" t="e">
            <v>#DIV/0!</v>
          </cell>
          <cell r="T244" t="e">
            <v>#DIV/0!</v>
          </cell>
          <cell r="Y244" t="str">
            <v>Jun</v>
          </cell>
          <cell r="Z244" t="e">
            <v>#DIV/0!</v>
          </cell>
          <cell r="AA244" t="e">
            <v>#DIV/0!</v>
          </cell>
          <cell r="AB244" t="e">
            <v>#DIV/0!</v>
          </cell>
          <cell r="AD244" t="e">
            <v>#DIV/0!</v>
          </cell>
        </row>
        <row r="245">
          <cell r="C245" t="str">
            <v>Jul</v>
          </cell>
          <cell r="D245">
            <v>65714.304956666674</v>
          </cell>
          <cell r="E245">
            <v>126018.70792999999</v>
          </cell>
          <cell r="F245">
            <v>51454.070314999997</v>
          </cell>
          <cell r="G245">
            <v>40816.15426166667</v>
          </cell>
          <cell r="I245">
            <v>284003.23746333335</v>
          </cell>
          <cell r="O245" t="str">
            <v>Jul</v>
          </cell>
          <cell r="P245">
            <v>0</v>
          </cell>
          <cell r="Q245" t="e">
            <v>#DIV/0!</v>
          </cell>
          <cell r="R245" t="e">
            <v>#DIV/0!</v>
          </cell>
          <cell r="S245" t="e">
            <v>#DIV/0!</v>
          </cell>
          <cell r="T245" t="e">
            <v>#DIV/0!</v>
          </cell>
          <cell r="Y245" t="str">
            <v>Jul</v>
          </cell>
          <cell r="Z245" t="e">
            <v>#DIV/0!</v>
          </cell>
          <cell r="AA245" t="e">
            <v>#DIV/0!</v>
          </cell>
          <cell r="AB245" t="e">
            <v>#DIV/0!</v>
          </cell>
          <cell r="AD245" t="e">
            <v>#DIV/0!</v>
          </cell>
        </row>
        <row r="246">
          <cell r="C246" t="str">
            <v>Ago</v>
          </cell>
          <cell r="D246">
            <v>71374.643116666673</v>
          </cell>
          <cell r="E246">
            <v>125482.09617166668</v>
          </cell>
          <cell r="F246">
            <v>52720.997736666664</v>
          </cell>
          <cell r="G246">
            <v>49508.68894</v>
          </cell>
          <cell r="I246">
            <v>299086.425965</v>
          </cell>
          <cell r="O246" t="str">
            <v>Ago</v>
          </cell>
          <cell r="P246">
            <v>0</v>
          </cell>
          <cell r="Q246" t="e">
            <v>#DIV/0!</v>
          </cell>
          <cell r="R246" t="e">
            <v>#DIV/0!</v>
          </cell>
          <cell r="S246" t="e">
            <v>#DIV/0!</v>
          </cell>
          <cell r="T246" t="e">
            <v>#DIV/0!</v>
          </cell>
          <cell r="Y246" t="str">
            <v>Ago</v>
          </cell>
          <cell r="Z246" t="e">
            <v>#DIV/0!</v>
          </cell>
          <cell r="AA246" t="e">
            <v>#DIV/0!</v>
          </cell>
          <cell r="AB246" t="e">
            <v>#DIV/0!</v>
          </cell>
          <cell r="AD246" t="e">
            <v>#DIV/0!</v>
          </cell>
        </row>
        <row r="247">
          <cell r="C247" t="str">
            <v>Sep</v>
          </cell>
          <cell r="D247">
            <v>70764.136860000013</v>
          </cell>
          <cell r="E247">
            <v>125592.09401</v>
          </cell>
          <cell r="F247">
            <v>52830.42791166668</v>
          </cell>
          <cell r="G247">
            <v>54990.579549999995</v>
          </cell>
          <cell r="I247">
            <v>304177.23833166668</v>
          </cell>
          <cell r="O247" t="str">
            <v>Sep</v>
          </cell>
          <cell r="P247">
            <v>0</v>
          </cell>
          <cell r="Q247" t="e">
            <v>#DIV/0!</v>
          </cell>
          <cell r="R247" t="e">
            <v>#DIV/0!</v>
          </cell>
          <cell r="S247" t="e">
            <v>#DIV/0!</v>
          </cell>
          <cell r="T247" t="e">
            <v>#DIV/0!</v>
          </cell>
          <cell r="Y247" t="str">
            <v>Sep</v>
          </cell>
          <cell r="Z247" t="e">
            <v>#DIV/0!</v>
          </cell>
          <cell r="AA247" t="e">
            <v>#DIV/0!</v>
          </cell>
          <cell r="AB247" t="e">
            <v>#DIV/0!</v>
          </cell>
          <cell r="AD247" t="e">
            <v>#DIV/0!</v>
          </cell>
        </row>
        <row r="248">
          <cell r="C248" t="str">
            <v>Oct*</v>
          </cell>
          <cell r="D248">
            <v>69398.446473333344</v>
          </cell>
          <cell r="E248">
            <v>114208.93174499999</v>
          </cell>
          <cell r="F248">
            <v>55363.891340000002</v>
          </cell>
          <cell r="G248">
            <v>59820.276210000004</v>
          </cell>
          <cell r="I248">
            <v>298791.54576833331</v>
          </cell>
          <cell r="O248" t="str">
            <v>Oct*</v>
          </cell>
          <cell r="P248">
            <v>0</v>
          </cell>
          <cell r="Q248" t="e">
            <v>#DIV/0!</v>
          </cell>
          <cell r="R248" t="e">
            <v>#DIV/0!</v>
          </cell>
          <cell r="S248" t="e">
            <v>#DIV/0!</v>
          </cell>
          <cell r="T248" t="e">
            <v>#DIV/0!</v>
          </cell>
          <cell r="Y248" t="str">
            <v>Oct*</v>
          </cell>
          <cell r="Z248" t="e">
            <v>#DIV/0!</v>
          </cell>
          <cell r="AA248" t="e">
            <v>#DIV/0!</v>
          </cell>
          <cell r="AB248" t="e">
            <v>#DIV/0!</v>
          </cell>
          <cell r="AD248" t="e">
            <v>#DIV/0!</v>
          </cell>
        </row>
        <row r="249">
          <cell r="C249" t="str">
            <v>Nov*</v>
          </cell>
          <cell r="D249">
            <v>68060.369083333338</v>
          </cell>
          <cell r="E249">
            <v>96195.481076666663</v>
          </cell>
          <cell r="F249">
            <v>54760.679378333327</v>
          </cell>
          <cell r="G249">
            <v>58777.430366666667</v>
          </cell>
          <cell r="I249">
            <v>277793.959905</v>
          </cell>
          <cell r="O249" t="str">
            <v>Nov*</v>
          </cell>
          <cell r="P249">
            <v>0</v>
          </cell>
          <cell r="Q249" t="e">
            <v>#DIV/0!</v>
          </cell>
          <cell r="R249" t="e">
            <v>#DIV/0!</v>
          </cell>
          <cell r="S249" t="e">
            <v>#DIV/0!</v>
          </cell>
          <cell r="T249" t="e">
            <v>#DIV/0!</v>
          </cell>
          <cell r="Y249" t="str">
            <v>Nov*</v>
          </cell>
          <cell r="Z249" t="e">
            <v>#DIV/0!</v>
          </cell>
          <cell r="AA249" t="e">
            <v>#DIV/0!</v>
          </cell>
          <cell r="AB249" t="e">
            <v>#DIV/0!</v>
          </cell>
          <cell r="AD249" t="e">
            <v>#DIV/0!</v>
          </cell>
        </row>
        <row r="250">
          <cell r="C250" t="str">
            <v>Dic*</v>
          </cell>
          <cell r="D250">
            <v>61571.865801666667</v>
          </cell>
          <cell r="E250">
            <v>73784.425969999997</v>
          </cell>
          <cell r="F250">
            <v>57175.442533333342</v>
          </cell>
          <cell r="G250">
            <v>54967.46452666667</v>
          </cell>
          <cell r="I250">
            <v>247499.1988316667</v>
          </cell>
          <cell r="O250" t="str">
            <v>Dic*</v>
          </cell>
          <cell r="P250">
            <v>0</v>
          </cell>
          <cell r="Q250" t="e">
            <v>#DIV/0!</v>
          </cell>
          <cell r="R250" t="e">
            <v>#DIV/0!</v>
          </cell>
          <cell r="S250" t="e">
            <v>#DIV/0!</v>
          </cell>
          <cell r="T250" t="e">
            <v>#DIV/0!</v>
          </cell>
          <cell r="Y250" t="str">
            <v>Dic*</v>
          </cell>
          <cell r="Z250" t="e">
            <v>#DIV/0!</v>
          </cell>
          <cell r="AA250" t="e">
            <v>#DIV/0!</v>
          </cell>
          <cell r="AB250" t="e">
            <v>#DIV/0!</v>
          </cell>
          <cell r="AD250" t="e">
            <v>#DIV/0!</v>
          </cell>
        </row>
        <row r="251">
          <cell r="B251">
            <v>1994</v>
          </cell>
          <cell r="C251" t="str">
            <v>Ene</v>
          </cell>
          <cell r="D251">
            <v>58349.035449999996</v>
          </cell>
          <cell r="E251">
            <v>67741.529381666667</v>
          </cell>
          <cell r="F251">
            <v>63115.775935000005</v>
          </cell>
          <cell r="G251">
            <v>48349.114938333332</v>
          </cell>
          <cell r="I251">
            <v>237555.455705</v>
          </cell>
          <cell r="N251">
            <v>1994</v>
          </cell>
          <cell r="O251" t="str">
            <v>Ene</v>
          </cell>
          <cell r="P251">
            <v>106516.19357166666</v>
          </cell>
          <cell r="Q251">
            <v>38967.064376666669</v>
          </cell>
          <cell r="R251">
            <v>-65959.74559333334</v>
          </cell>
          <cell r="S251">
            <v>18315.784741666666</v>
          </cell>
          <cell r="T251">
            <v>97839.297096666691</v>
          </cell>
          <cell r="X251">
            <v>1994</v>
          </cell>
          <cell r="Y251" t="str">
            <v>Ene</v>
          </cell>
          <cell r="Z251">
            <v>-121754.46694499999</v>
          </cell>
          <cell r="AA251">
            <v>97839.297096666691</v>
          </cell>
          <cell r="AB251">
            <v>-19295.807733333331</v>
          </cell>
          <cell r="AD251">
            <v>-43210.977581666659</v>
          </cell>
        </row>
        <row r="252">
          <cell r="C252" t="str">
            <v>Feb</v>
          </cell>
          <cell r="D252">
            <v>56637.016328333331</v>
          </cell>
          <cell r="E252">
            <v>64571.616623333342</v>
          </cell>
          <cell r="F252">
            <v>68315.628051666659</v>
          </cell>
          <cell r="G252">
            <v>41153.566006666668</v>
          </cell>
          <cell r="I252">
            <v>230677.82701000001</v>
          </cell>
          <cell r="O252" t="str">
            <v>Feb</v>
          </cell>
          <cell r="P252">
            <v>108872.30456833332</v>
          </cell>
          <cell r="Q252">
            <v>42487.985388333334</v>
          </cell>
          <cell r="R252">
            <v>-75215.16164333334</v>
          </cell>
          <cell r="S252">
            <v>-7943.4424633333338</v>
          </cell>
          <cell r="T252">
            <v>68201.685849999994</v>
          </cell>
          <cell r="Y252" t="str">
            <v>Feb</v>
          </cell>
          <cell r="Z252">
            <v>-89236.291058333314</v>
          </cell>
          <cell r="AA252">
            <v>68201.685849999994</v>
          </cell>
          <cell r="AB252">
            <v>-22316.922465</v>
          </cell>
          <cell r="AD252">
            <v>-43351.527673333323</v>
          </cell>
        </row>
        <row r="253">
          <cell r="C253" t="str">
            <v>Mar</v>
          </cell>
          <cell r="D253">
            <v>58656.667476666662</v>
          </cell>
          <cell r="E253">
            <v>59040.84837166666</v>
          </cell>
          <cell r="F253">
            <v>85058.357966666677</v>
          </cell>
          <cell r="G253">
            <v>37059.965403333335</v>
          </cell>
          <cell r="I253">
            <v>239815.83921833328</v>
          </cell>
          <cell r="O253" t="str">
            <v>Mar</v>
          </cell>
          <cell r="P253">
            <v>125762.47433833331</v>
          </cell>
          <cell r="Q253">
            <v>34338.802599999995</v>
          </cell>
          <cell r="R253">
            <v>-84411.477709999992</v>
          </cell>
          <cell r="S253">
            <v>-34194.880753333338</v>
          </cell>
          <cell r="T253">
            <v>41494.918475000006</v>
          </cell>
          <cell r="Y253" t="str">
            <v>Mar</v>
          </cell>
          <cell r="Z253">
            <v>-62593.095219999996</v>
          </cell>
          <cell r="AA253">
            <v>41494.918475000006</v>
          </cell>
          <cell r="AB253">
            <v>-25967.200200000003</v>
          </cell>
          <cell r="AD253">
            <v>-47065.376945000004</v>
          </cell>
        </row>
        <row r="254">
          <cell r="C254" t="str">
            <v>Abr</v>
          </cell>
          <cell r="D254">
            <v>62545.59262166667</v>
          </cell>
          <cell r="E254">
            <v>62169.325461666675</v>
          </cell>
          <cell r="F254">
            <v>88496.75539666666</v>
          </cell>
          <cell r="G254">
            <v>32130.182066666664</v>
          </cell>
          <cell r="I254">
            <v>245341.85554666666</v>
          </cell>
          <cell r="O254" t="str">
            <v>Abr</v>
          </cell>
          <cell r="P254">
            <v>117338.25133166664</v>
          </cell>
          <cell r="Q254">
            <v>25211.435103333333</v>
          </cell>
          <cell r="R254">
            <v>-47274.777338333341</v>
          </cell>
          <cell r="S254">
            <v>-12705.555399999999</v>
          </cell>
          <cell r="T254">
            <v>82569.353696666672</v>
          </cell>
          <cell r="Y254" t="str">
            <v>Abr</v>
          </cell>
          <cell r="Z254">
            <v>-81881.771136666663</v>
          </cell>
          <cell r="AA254">
            <v>82569.353696666672</v>
          </cell>
          <cell r="AB254">
            <v>-10027.524211666669</v>
          </cell>
          <cell r="AD254">
            <v>-9339.9416516666624</v>
          </cell>
        </row>
        <row r="255">
          <cell r="C255" t="str">
            <v>May</v>
          </cell>
          <cell r="D255">
            <v>65159.472663333327</v>
          </cell>
          <cell r="E255">
            <v>64569.760058333333</v>
          </cell>
          <cell r="F255">
            <v>93306.480348333323</v>
          </cell>
          <cell r="G255">
            <v>33315.968985</v>
          </cell>
          <cell r="I255">
            <v>256351.68205500001</v>
          </cell>
          <cell r="O255" t="str">
            <v>May</v>
          </cell>
          <cell r="P255">
            <v>108251.53574499999</v>
          </cell>
          <cell r="Q255">
            <v>23994.472409999998</v>
          </cell>
          <cell r="R255">
            <v>-30403.066131666663</v>
          </cell>
          <cell r="S255">
            <v>-22370.669833333333</v>
          </cell>
          <cell r="T255">
            <v>79472.272190000003</v>
          </cell>
          <cell r="Y255" t="str">
            <v>May</v>
          </cell>
          <cell r="Z255">
            <v>-78192.569258333344</v>
          </cell>
          <cell r="AA255">
            <v>79472.272190000003</v>
          </cell>
          <cell r="AB255">
            <v>-5223.3364166666679</v>
          </cell>
          <cell r="AD255">
            <v>-3943.6334849999985</v>
          </cell>
        </row>
        <row r="256">
          <cell r="C256" t="str">
            <v>Jun</v>
          </cell>
          <cell r="D256">
            <v>63612.135671666671</v>
          </cell>
          <cell r="E256">
            <v>66451.889329999991</v>
          </cell>
          <cell r="F256">
            <v>92258.210493333347</v>
          </cell>
          <cell r="G256">
            <v>31022.114653333334</v>
          </cell>
          <cell r="I256">
            <v>253344.35014833335</v>
          </cell>
          <cell r="O256" t="str">
            <v>Jun</v>
          </cell>
          <cell r="P256">
            <v>83137.047623333332</v>
          </cell>
          <cell r="Q256">
            <v>26546.172053333332</v>
          </cell>
          <cell r="R256">
            <v>4112.0160116666666</v>
          </cell>
          <cell r="S256">
            <v>-30253.999240000005</v>
          </cell>
          <cell r="T256">
            <v>83541.236448333337</v>
          </cell>
          <cell r="Y256" t="str">
            <v>Jun</v>
          </cell>
          <cell r="Z256">
            <v>-86862.197183333337</v>
          </cell>
          <cell r="AA256">
            <v>83541.236448333337</v>
          </cell>
          <cell r="AB256">
            <v>23268.030233333335</v>
          </cell>
          <cell r="AD256">
            <v>19947.069498333334</v>
          </cell>
        </row>
        <row r="257">
          <cell r="C257" t="str">
            <v>Jul</v>
          </cell>
          <cell r="D257">
            <v>59362.172193333332</v>
          </cell>
          <cell r="E257">
            <v>65389.821248333341</v>
          </cell>
          <cell r="F257">
            <v>93838.148700000005</v>
          </cell>
          <cell r="G257">
            <v>36153.48298666667</v>
          </cell>
          <cell r="I257">
            <v>254743.62512833334</v>
          </cell>
          <cell r="O257" t="str">
            <v>Jul</v>
          </cell>
          <cell r="P257">
            <v>76260.61198833333</v>
          </cell>
          <cell r="Q257">
            <v>33496.682581666668</v>
          </cell>
          <cell r="R257">
            <v>-824.09997000000033</v>
          </cell>
          <cell r="S257">
            <v>-17223.362268333338</v>
          </cell>
          <cell r="T257">
            <v>91709.832331666665</v>
          </cell>
          <cell r="Y257" t="str">
            <v>Jul</v>
          </cell>
          <cell r="Z257">
            <v>-112290.76488666667</v>
          </cell>
          <cell r="AA257">
            <v>91709.832331666665</v>
          </cell>
          <cell r="AB257">
            <v>16903.020269999997</v>
          </cell>
          <cell r="AD257">
            <v>-3677.9122850000058</v>
          </cell>
        </row>
        <row r="258">
          <cell r="C258" t="str">
            <v>Ago</v>
          </cell>
          <cell r="D258">
            <v>56434.245640000001</v>
          </cell>
          <cell r="E258">
            <v>69540.038354999997</v>
          </cell>
          <cell r="F258">
            <v>101506.33681000001</v>
          </cell>
          <cell r="G258">
            <v>40789.878321666663</v>
          </cell>
          <cell r="I258">
            <v>268270.49912666669</v>
          </cell>
          <cell r="O258" t="str">
            <v>Ago</v>
          </cell>
          <cell r="P258">
            <v>95170.71348166668</v>
          </cell>
          <cell r="Q258">
            <v>34527.308375000001</v>
          </cell>
          <cell r="R258">
            <v>-7191.8696683333328</v>
          </cell>
          <cell r="S258">
            <v>9792.9037749999989</v>
          </cell>
          <cell r="T258">
            <v>132299.05596333335</v>
          </cell>
          <cell r="Y258" t="str">
            <v>Ago</v>
          </cell>
          <cell r="Z258">
            <v>-157826.24514666668</v>
          </cell>
          <cell r="AA258">
            <v>132299.05596333335</v>
          </cell>
          <cell r="AB258">
            <v>7216.666666666667</v>
          </cell>
          <cell r="AD258">
            <v>-18310.522516666668</v>
          </cell>
        </row>
        <row r="259">
          <cell r="C259" t="str">
            <v>Sep</v>
          </cell>
          <cell r="D259">
            <v>52616.053331666662</v>
          </cell>
          <cell r="E259">
            <v>74353.97954</v>
          </cell>
          <cell r="F259">
            <v>102401.84338333334</v>
          </cell>
          <cell r="G259">
            <v>43751.696980000001</v>
          </cell>
          <cell r="I259">
            <v>273123.57323499996</v>
          </cell>
          <cell r="O259" t="str">
            <v>Sep</v>
          </cell>
          <cell r="P259">
            <v>109634.292875</v>
          </cell>
          <cell r="Q259">
            <v>41253.781065000003</v>
          </cell>
          <cell r="R259">
            <v>-43261.611626666665</v>
          </cell>
          <cell r="S259">
            <v>9086.0464300000003</v>
          </cell>
          <cell r="T259">
            <v>116712.50874333334</v>
          </cell>
          <cell r="Y259" t="str">
            <v>Sep</v>
          </cell>
          <cell r="Z259">
            <v>-183936.51437666666</v>
          </cell>
          <cell r="AA259">
            <v>116712.50874333334</v>
          </cell>
          <cell r="AB259">
            <v>7950</v>
          </cell>
          <cell r="AD259">
            <v>-59274.005633333327</v>
          </cell>
        </row>
        <row r="260">
          <cell r="C260" t="str">
            <v>Oct</v>
          </cell>
          <cell r="D260">
            <v>48521.692751666669</v>
          </cell>
          <cell r="E260">
            <v>74668.632556666664</v>
          </cell>
          <cell r="F260">
            <v>108018.04339166667</v>
          </cell>
          <cell r="G260">
            <v>48727.61737166666</v>
          </cell>
          <cell r="I260">
            <v>279935.98607166664</v>
          </cell>
          <cell r="O260" t="str">
            <v>Oct</v>
          </cell>
          <cell r="P260">
            <v>130613.50224166666</v>
          </cell>
          <cell r="Q260">
            <v>49401.140378333337</v>
          </cell>
          <cell r="R260">
            <v>44973.751049999999</v>
          </cell>
          <cell r="S260">
            <v>-61334.373530000004</v>
          </cell>
          <cell r="T260">
            <v>163654.02014000001</v>
          </cell>
          <cell r="Y260" t="str">
            <v>Oct</v>
          </cell>
          <cell r="Z260">
            <v>-194298.62795166668</v>
          </cell>
          <cell r="AA260">
            <v>163654.02014000001</v>
          </cell>
          <cell r="AB260">
            <v>15800</v>
          </cell>
          <cell r="AD260">
            <v>-14844.607811666663</v>
          </cell>
        </row>
        <row r="261">
          <cell r="C261" t="str">
            <v>Nov</v>
          </cell>
          <cell r="D261">
            <v>41630.915591666664</v>
          </cell>
          <cell r="E261">
            <v>73858.784513333332</v>
          </cell>
          <cell r="F261">
            <v>116605.72360999999</v>
          </cell>
          <cell r="G261">
            <v>46793.827778333332</v>
          </cell>
          <cell r="I261">
            <v>278889.25149333332</v>
          </cell>
          <cell r="O261" t="str">
            <v>Nov</v>
          </cell>
          <cell r="P261">
            <v>155722.21115333334</v>
          </cell>
          <cell r="Q261">
            <v>53982.982596666669</v>
          </cell>
          <cell r="R261">
            <v>-40036.119319999991</v>
          </cell>
          <cell r="S261">
            <v>15956.107431666664</v>
          </cell>
          <cell r="T261">
            <v>185625.18186166664</v>
          </cell>
          <cell r="Y261" t="str">
            <v>Nov</v>
          </cell>
          <cell r="Z261">
            <v>-209936.46908666668</v>
          </cell>
          <cell r="AA261">
            <v>185625.18186166664</v>
          </cell>
          <cell r="AB261">
            <v>4083.3333333333335</v>
          </cell>
          <cell r="AD261">
            <v>-20227.953891666668</v>
          </cell>
        </row>
        <row r="262">
          <cell r="C262" t="str">
            <v>Dic</v>
          </cell>
          <cell r="D262">
            <v>44110.979834999998</v>
          </cell>
          <cell r="E262">
            <v>72722.831566666675</v>
          </cell>
          <cell r="F262">
            <v>128095.36996166669</v>
          </cell>
          <cell r="G262">
            <v>45680.598819999992</v>
          </cell>
          <cell r="I262">
            <v>290609.78018333332</v>
          </cell>
          <cell r="O262" t="str">
            <v>Dic</v>
          </cell>
          <cell r="P262">
            <v>219977.88587500001</v>
          </cell>
          <cell r="Q262">
            <v>75161.721594999995</v>
          </cell>
          <cell r="R262">
            <v>-36972.946053333326</v>
          </cell>
          <cell r="S262">
            <v>-1204.3734000000029</v>
          </cell>
          <cell r="T262">
            <v>256962.28801666666</v>
          </cell>
          <cell r="Y262" t="str">
            <v>Dic</v>
          </cell>
          <cell r="Z262">
            <v>-232255.82140666666</v>
          </cell>
          <cell r="AA262">
            <v>256962.28801666666</v>
          </cell>
          <cell r="AB262">
            <v>-22434.696899999999</v>
          </cell>
          <cell r="AD262">
            <v>2271.7697100000078</v>
          </cell>
        </row>
        <row r="263">
          <cell r="B263">
            <v>1995</v>
          </cell>
          <cell r="C263" t="str">
            <v>Ene</v>
          </cell>
          <cell r="D263">
            <v>46594.569128333329</v>
          </cell>
          <cell r="E263">
            <v>74311.091941666658</v>
          </cell>
          <cell r="F263">
            <v>133067.40552333332</v>
          </cell>
          <cell r="G263">
            <v>43075.169231666659</v>
          </cell>
          <cell r="I263">
            <v>297048.23582499998</v>
          </cell>
          <cell r="N263">
            <v>1995</v>
          </cell>
          <cell r="O263" t="str">
            <v>Ene</v>
          </cell>
          <cell r="P263">
            <v>234306.49730999998</v>
          </cell>
          <cell r="Q263">
            <v>75555.823528333334</v>
          </cell>
          <cell r="R263">
            <v>-33940.108138333322</v>
          </cell>
          <cell r="S263">
            <v>15971.469953217116</v>
          </cell>
          <cell r="T263">
            <v>291893.68265321711</v>
          </cell>
          <cell r="X263">
            <v>1995</v>
          </cell>
          <cell r="Y263" t="str">
            <v>Ene</v>
          </cell>
          <cell r="Z263">
            <v>-285668.39259999996</v>
          </cell>
          <cell r="AA263">
            <v>291893.68265321711</v>
          </cell>
          <cell r="AB263">
            <v>-8968.0302333333329</v>
          </cell>
          <cell r="AD263">
            <v>-2742.7401801161955</v>
          </cell>
        </row>
        <row r="264">
          <cell r="C264" t="str">
            <v>Feb</v>
          </cell>
          <cell r="D264">
            <v>45181.811353333331</v>
          </cell>
          <cell r="E264">
            <v>73839.004549999998</v>
          </cell>
          <cell r="F264">
            <v>132141.37830499999</v>
          </cell>
          <cell r="G264">
            <v>43940.734828333334</v>
          </cell>
          <cell r="I264">
            <v>295102.9290366667</v>
          </cell>
          <cell r="O264" t="str">
            <v>Feb</v>
          </cell>
          <cell r="P264">
            <v>232555.84289500001</v>
          </cell>
          <cell r="Q264">
            <v>59980.314923333332</v>
          </cell>
          <cell r="R264">
            <v>-23820.831203333324</v>
          </cell>
          <cell r="S264">
            <v>17687.671036832413</v>
          </cell>
          <cell r="T264">
            <v>286402.99765183241</v>
          </cell>
          <cell r="Y264" t="str">
            <v>Feb</v>
          </cell>
          <cell r="Z264">
            <v>-276374.99854999996</v>
          </cell>
          <cell r="AA264">
            <v>286402.99765183241</v>
          </cell>
          <cell r="AB264">
            <v>8581.9697666666671</v>
          </cell>
          <cell r="AD264">
            <v>18609.968868499087</v>
          </cell>
        </row>
        <row r="265">
          <cell r="C265" t="str">
            <v>Mar</v>
          </cell>
          <cell r="D265">
            <v>43358.896726666666</v>
          </cell>
          <cell r="E265">
            <v>72928.632433333332</v>
          </cell>
          <cell r="F265">
            <v>125852.31578833335</v>
          </cell>
          <cell r="G265">
            <v>53452.733808333323</v>
          </cell>
          <cell r="I265">
            <v>295592.57875666668</v>
          </cell>
          <cell r="O265" t="str">
            <v>Mar</v>
          </cell>
          <cell r="P265">
            <v>206857.66686166663</v>
          </cell>
          <cell r="Q265">
            <v>56729.641383333335</v>
          </cell>
          <cell r="R265">
            <v>27129.266516666674</v>
          </cell>
          <cell r="S265">
            <v>35292.60637873083</v>
          </cell>
          <cell r="T265">
            <v>326009.1811403975</v>
          </cell>
          <cell r="Y265" t="str">
            <v>Mar</v>
          </cell>
          <cell r="Z265">
            <v>-273488.12332166662</v>
          </cell>
          <cell r="AA265">
            <v>326009.1811403975</v>
          </cell>
          <cell r="AB265">
            <v>37231.969766666669</v>
          </cell>
          <cell r="AD265">
            <v>89753.027585397518</v>
          </cell>
        </row>
        <row r="266">
          <cell r="C266" t="str">
            <v>Abr</v>
          </cell>
          <cell r="D266">
            <v>46973.48002333333</v>
          </cell>
          <cell r="E266">
            <v>71373.097086666661</v>
          </cell>
          <cell r="F266">
            <v>120280.56668666667</v>
          </cell>
          <cell r="G266">
            <v>53362.460504999995</v>
          </cell>
          <cell r="I266">
            <v>291989.60430166667</v>
          </cell>
          <cell r="O266" t="str">
            <v>Abr</v>
          </cell>
          <cell r="P266">
            <v>187293.51474166664</v>
          </cell>
          <cell r="Q266">
            <v>63020.656968333329</v>
          </cell>
          <cell r="R266">
            <v>-19732.670474999988</v>
          </cell>
          <cell r="S266">
            <v>109186.36106986465</v>
          </cell>
          <cell r="T266">
            <v>339767.86230486468</v>
          </cell>
          <cell r="Y266" t="str">
            <v>Abr</v>
          </cell>
          <cell r="Z266">
            <v>-267673.15177999996</v>
          </cell>
          <cell r="AA266">
            <v>339767.86230486468</v>
          </cell>
          <cell r="AB266">
            <v>30798.636433333333</v>
          </cell>
          <cell r="AD266">
            <v>102893.346958198</v>
          </cell>
        </row>
        <row r="267">
          <cell r="C267" t="str">
            <v>May</v>
          </cell>
          <cell r="D267">
            <v>43267.739005000003</v>
          </cell>
          <cell r="E267">
            <v>69694.730404999995</v>
          </cell>
          <cell r="F267">
            <v>112962.51532666666</v>
          </cell>
          <cell r="G267">
            <v>61618.130763333327</v>
          </cell>
          <cell r="I267">
            <v>287543.11550000001</v>
          </cell>
          <cell r="O267" t="str">
            <v>May</v>
          </cell>
          <cell r="P267">
            <v>161126.63031666668</v>
          </cell>
          <cell r="Q267">
            <v>59180.470725000014</v>
          </cell>
          <cell r="R267">
            <v>62691.336224999999</v>
          </cell>
          <cell r="S267">
            <v>56784.213961884605</v>
          </cell>
          <cell r="T267">
            <v>339782.65122855123</v>
          </cell>
          <cell r="Y267" t="str">
            <v>May</v>
          </cell>
          <cell r="Z267">
            <v>-258152.11152833331</v>
          </cell>
          <cell r="AA267">
            <v>339782.65122855123</v>
          </cell>
          <cell r="AB267">
            <v>49981.969766666669</v>
          </cell>
          <cell r="AD267">
            <v>131612.5094668846</v>
          </cell>
        </row>
        <row r="268">
          <cell r="C268" t="str">
            <v>Jun</v>
          </cell>
          <cell r="D268">
            <v>39373.834583333337</v>
          </cell>
          <cell r="E268">
            <v>72466.796924999988</v>
          </cell>
          <cell r="F268">
            <v>103030.90849499998</v>
          </cell>
          <cell r="G268">
            <v>70158.668636666654</v>
          </cell>
          <cell r="I268">
            <v>285030.20864000003</v>
          </cell>
          <cell r="O268" t="str">
            <v>Jun</v>
          </cell>
          <cell r="P268">
            <v>102129.52637166665</v>
          </cell>
          <cell r="Q268">
            <v>42999.293538333332</v>
          </cell>
          <cell r="R268">
            <v>47973.24556499999</v>
          </cell>
          <cell r="S268">
            <v>66676.811824319084</v>
          </cell>
          <cell r="T268">
            <v>259778.87729931905</v>
          </cell>
          <cell r="Y268" t="str">
            <v>Jun</v>
          </cell>
          <cell r="Z268">
            <v>-228925.48663333329</v>
          </cell>
          <cell r="AA268">
            <v>259778.87729931905</v>
          </cell>
          <cell r="AB268">
            <v>61116.666666666664</v>
          </cell>
          <cell r="AD268">
            <v>91970.057332652403</v>
          </cell>
        </row>
        <row r="269">
          <cell r="C269" t="str">
            <v>Jul</v>
          </cell>
          <cell r="D269">
            <v>35860.512776666663</v>
          </cell>
          <cell r="E269">
            <v>71895.775574999992</v>
          </cell>
          <cell r="F269">
            <v>99516.816006666675</v>
          </cell>
          <cell r="G269">
            <v>81662.032103333346</v>
          </cell>
          <cell r="I269">
            <v>288935.13646166667</v>
          </cell>
          <cell r="O269" t="str">
            <v>Jul</v>
          </cell>
          <cell r="P269">
            <v>85687.744896666671</v>
          </cell>
          <cell r="Q269">
            <v>53503.768298333336</v>
          </cell>
          <cell r="R269">
            <v>45534.662236666663</v>
          </cell>
          <cell r="S269">
            <v>56806.725030134112</v>
          </cell>
          <cell r="T269">
            <v>241532.90046180077</v>
          </cell>
          <cell r="Y269" t="str">
            <v>Jul</v>
          </cell>
          <cell r="Z269">
            <v>-178703.83728166667</v>
          </cell>
          <cell r="AA269">
            <v>241532.90046180077</v>
          </cell>
          <cell r="AB269">
            <v>35916.666666666664</v>
          </cell>
          <cell r="AD269">
            <v>98745.729846800779</v>
          </cell>
        </row>
        <row r="270">
          <cell r="C270" t="str">
            <v>Ago</v>
          </cell>
          <cell r="D270">
            <v>34223.35472333333</v>
          </cell>
          <cell r="E270">
            <v>68459.423858333335</v>
          </cell>
          <cell r="F270">
            <v>98383.858888333329</v>
          </cell>
          <cell r="G270">
            <v>83508.550133333352</v>
          </cell>
          <cell r="I270">
            <v>284575.18760333332</v>
          </cell>
          <cell r="O270" t="str">
            <v>Ago</v>
          </cell>
          <cell r="P270">
            <v>88404.334628333338</v>
          </cell>
          <cell r="Q270">
            <v>47915.581600000005</v>
          </cell>
          <cell r="R270">
            <v>39572.708684999998</v>
          </cell>
          <cell r="S270">
            <v>38089.487081194202</v>
          </cell>
          <cell r="T270">
            <v>213982.11199452751</v>
          </cell>
          <cell r="Y270" t="str">
            <v>Ago</v>
          </cell>
          <cell r="Z270">
            <v>-179333.90474333335</v>
          </cell>
          <cell r="AA270">
            <v>213982.11199452751</v>
          </cell>
          <cell r="AB270">
            <v>-1633.3333333333333</v>
          </cell>
          <cell r="AD270">
            <v>33014.873917860874</v>
          </cell>
        </row>
        <row r="271">
          <cell r="C271" t="str">
            <v>Sep</v>
          </cell>
          <cell r="D271">
            <v>41529.206971666667</v>
          </cell>
          <cell r="E271">
            <v>67200.332143333333</v>
          </cell>
          <cell r="F271">
            <v>94140.631163333324</v>
          </cell>
          <cell r="G271">
            <v>74380.776320000019</v>
          </cell>
          <cell r="I271">
            <v>277250.94659833336</v>
          </cell>
          <cell r="O271" t="str">
            <v>Sep</v>
          </cell>
          <cell r="P271">
            <v>74997.480360000001</v>
          </cell>
          <cell r="Q271">
            <v>48960.305901666667</v>
          </cell>
          <cell r="R271">
            <v>31071.557433333332</v>
          </cell>
          <cell r="S271">
            <v>34986.697380157733</v>
          </cell>
          <cell r="T271">
            <v>190016.04107515773</v>
          </cell>
          <cell r="Y271" t="str">
            <v>Sep</v>
          </cell>
          <cell r="Z271">
            <v>-169315.86543833333</v>
          </cell>
          <cell r="AA271">
            <v>190016.04107515773</v>
          </cell>
          <cell r="AB271">
            <v>-18850</v>
          </cell>
          <cell r="AD271">
            <v>1850.1756368243903</v>
          </cell>
        </row>
        <row r="272">
          <cell r="C272" t="str">
            <v>Oct</v>
          </cell>
          <cell r="D272">
            <v>34370.955369999996</v>
          </cell>
          <cell r="E272">
            <v>65924.47546833333</v>
          </cell>
          <cell r="F272">
            <v>98272.167576666674</v>
          </cell>
          <cell r="G272">
            <v>78176.266288333354</v>
          </cell>
          <cell r="I272">
            <v>276743.8647033333</v>
          </cell>
          <cell r="O272" t="str">
            <v>Oct</v>
          </cell>
          <cell r="P272">
            <v>80306.610191666667</v>
          </cell>
          <cell r="Q272">
            <v>39362.031298333335</v>
          </cell>
          <cell r="R272">
            <v>29474.856035000001</v>
          </cell>
          <cell r="S272">
            <v>24605.239065106536</v>
          </cell>
          <cell r="T272">
            <v>173748.73659010654</v>
          </cell>
          <cell r="Y272" t="str">
            <v>Oct</v>
          </cell>
          <cell r="Z272">
            <v>-161257.66357</v>
          </cell>
          <cell r="AA272">
            <v>173748.73659010654</v>
          </cell>
          <cell r="AB272">
            <v>-21963.684829999998</v>
          </cell>
          <cell r="AD272">
            <v>-9472.6118098934603</v>
          </cell>
        </row>
        <row r="273">
          <cell r="C273" t="str">
            <v>Nov</v>
          </cell>
          <cell r="D273">
            <v>34110.993686666661</v>
          </cell>
          <cell r="E273">
            <v>63955.253304999998</v>
          </cell>
          <cell r="F273">
            <v>105983.657445</v>
          </cell>
          <cell r="G273">
            <v>79552.376056666675</v>
          </cell>
          <cell r="I273">
            <v>283602.2804933333</v>
          </cell>
          <cell r="O273" t="str">
            <v>Nov</v>
          </cell>
          <cell r="P273">
            <v>69774.446546666659</v>
          </cell>
          <cell r="Q273">
            <v>39388.332619999994</v>
          </cell>
          <cell r="R273">
            <v>39536.161889999996</v>
          </cell>
          <cell r="S273">
            <v>31657.07105446963</v>
          </cell>
          <cell r="T273">
            <v>180356.01211113631</v>
          </cell>
          <cell r="Y273" t="str">
            <v>Nov</v>
          </cell>
          <cell r="Z273">
            <v>-187552.624235</v>
          </cell>
          <cell r="AA273">
            <v>180356.01211113631</v>
          </cell>
          <cell r="AB273">
            <v>-32753.148740000001</v>
          </cell>
          <cell r="AD273">
            <v>-39949.76086386371</v>
          </cell>
        </row>
        <row r="274">
          <cell r="C274" t="str">
            <v>Dic</v>
          </cell>
          <cell r="D274">
            <v>34466.542464999991</v>
          </cell>
          <cell r="E274">
            <v>58722.495736666664</v>
          </cell>
          <cell r="F274">
            <v>107608.40298166667</v>
          </cell>
          <cell r="G274">
            <v>74132.218721666679</v>
          </cell>
          <cell r="I274">
            <v>274929.65990500001</v>
          </cell>
          <cell r="O274" t="str">
            <v>Dic</v>
          </cell>
          <cell r="P274">
            <v>55789.135106666676</v>
          </cell>
          <cell r="Q274">
            <v>35756.202391666673</v>
          </cell>
          <cell r="R274">
            <v>60276.617993333341</v>
          </cell>
          <cell r="S274">
            <v>37119.058885698956</v>
          </cell>
          <cell r="T274">
            <v>188941.01437736562</v>
          </cell>
          <cell r="Y274" t="str">
            <v>Dic</v>
          </cell>
          <cell r="Z274">
            <v>-166615.58149333336</v>
          </cell>
          <cell r="AA274">
            <v>188941.01437736562</v>
          </cell>
          <cell r="AB274">
            <v>-60625.274566666667</v>
          </cell>
          <cell r="AD274">
            <v>-38299.841682634382</v>
          </cell>
        </row>
        <row r="275">
          <cell r="B275">
            <v>1996</v>
          </cell>
          <cell r="C275" t="str">
            <v>Ene</v>
          </cell>
          <cell r="D275">
            <v>34844.573451666663</v>
          </cell>
          <cell r="E275">
            <v>56989.373513333325</v>
          </cell>
          <cell r="F275">
            <v>108423.53987500002</v>
          </cell>
          <cell r="G275">
            <v>61141.686106666668</v>
          </cell>
          <cell r="I275">
            <v>261399.17294666669</v>
          </cell>
          <cell r="N275">
            <v>1996</v>
          </cell>
          <cell r="O275" t="str">
            <v>Ene</v>
          </cell>
          <cell r="P275">
            <v>41580.874805000007</v>
          </cell>
          <cell r="Q275">
            <v>25556.522741666664</v>
          </cell>
          <cell r="R275">
            <v>62006.226469999994</v>
          </cell>
          <cell r="S275">
            <v>38384.639720000123</v>
          </cell>
          <cell r="T275">
            <v>167528.26373666679</v>
          </cell>
          <cell r="X275">
            <v>1996</v>
          </cell>
          <cell r="Y275" t="str">
            <v>Ene</v>
          </cell>
          <cell r="Z275">
            <v>-176939.54973</v>
          </cell>
          <cell r="AA275">
            <v>167528.26373666679</v>
          </cell>
          <cell r="AB275">
            <v>-53921.339238333334</v>
          </cell>
          <cell r="AD275">
            <v>-63332.625231666541</v>
          </cell>
        </row>
        <row r="276">
          <cell r="C276" t="str">
            <v>Feb</v>
          </cell>
          <cell r="D276">
            <v>34689.694721666659</v>
          </cell>
          <cell r="E276">
            <v>54168.777054999991</v>
          </cell>
          <cell r="F276">
            <v>108454.95617999999</v>
          </cell>
          <cell r="G276">
            <v>56312.797366666673</v>
          </cell>
          <cell r="I276">
            <v>253626.22532333332</v>
          </cell>
          <cell r="O276" t="str">
            <v>Feb</v>
          </cell>
          <cell r="P276">
            <v>-48.03182500000063</v>
          </cell>
          <cell r="Q276">
            <v>51119.598476666666</v>
          </cell>
          <cell r="R276">
            <v>65942.91998666666</v>
          </cell>
          <cell r="S276">
            <v>67761.811563658077</v>
          </cell>
          <cell r="T276">
            <v>184776.29820199139</v>
          </cell>
          <cell r="Y276" t="str">
            <v>Feb</v>
          </cell>
          <cell r="Z276">
            <v>-196460.44842</v>
          </cell>
          <cell r="AA276">
            <v>184776.29820199139</v>
          </cell>
          <cell r="AB276">
            <v>-33339.118364999995</v>
          </cell>
          <cell r="AD276">
            <v>-45023.268583008583</v>
          </cell>
        </row>
        <row r="277">
          <cell r="C277" t="str">
            <v>Mar</v>
          </cell>
          <cell r="D277">
            <v>25116.311400000002</v>
          </cell>
          <cell r="E277">
            <v>49235.61065000001</v>
          </cell>
          <cell r="F277">
            <v>112280.41220166667</v>
          </cell>
          <cell r="G277">
            <v>51199.889945000003</v>
          </cell>
          <cell r="I277">
            <v>237832.22419666665</v>
          </cell>
          <cell r="O277" t="str">
            <v>Mar</v>
          </cell>
          <cell r="P277">
            <v>-8279.223123333335</v>
          </cell>
          <cell r="Q277">
            <v>66670.061649999989</v>
          </cell>
          <cell r="R277">
            <v>74114.32153666667</v>
          </cell>
          <cell r="S277">
            <v>80380.823656129476</v>
          </cell>
          <cell r="T277">
            <v>212885.98371946279</v>
          </cell>
          <cell r="Y277" t="str">
            <v>Mar</v>
          </cell>
          <cell r="Z277">
            <v>-231923.74480999997</v>
          </cell>
          <cell r="AA277">
            <v>212885.98371946279</v>
          </cell>
          <cell r="AB277">
            <v>-47404.351296666668</v>
          </cell>
          <cell r="AD277">
            <v>-66442.112387203859</v>
          </cell>
        </row>
        <row r="278">
          <cell r="C278" t="str">
            <v>Abr</v>
          </cell>
          <cell r="D278">
            <v>24456.871618333334</v>
          </cell>
          <cell r="E278">
            <v>48182.325985000003</v>
          </cell>
          <cell r="F278">
            <v>112608.25864166667</v>
          </cell>
          <cell r="G278">
            <v>49144.719568333334</v>
          </cell>
          <cell r="I278">
            <v>234392.17581333336</v>
          </cell>
          <cell r="O278" t="str">
            <v>Abr</v>
          </cell>
          <cell r="P278">
            <v>-9376.2494366666633</v>
          </cell>
          <cell r="Q278">
            <v>68098.178189999991</v>
          </cell>
          <cell r="R278">
            <v>65628.423061666675</v>
          </cell>
          <cell r="S278">
            <v>95914.958443380179</v>
          </cell>
          <cell r="T278">
            <v>220265.31025838014</v>
          </cell>
          <cell r="Y278" t="str">
            <v>Abr</v>
          </cell>
          <cell r="Z278">
            <v>-239127.27791833333</v>
          </cell>
          <cell r="AA278">
            <v>220265.31025838014</v>
          </cell>
          <cell r="AB278">
            <v>-56330.334265000005</v>
          </cell>
          <cell r="AD278">
            <v>-75192.301924953179</v>
          </cell>
        </row>
        <row r="279">
          <cell r="C279" t="str">
            <v>May</v>
          </cell>
          <cell r="D279">
            <v>25409.942503333335</v>
          </cell>
          <cell r="E279">
            <v>48965.060149999998</v>
          </cell>
          <cell r="F279">
            <v>120986.30055666667</v>
          </cell>
          <cell r="G279">
            <v>43391.449593333331</v>
          </cell>
          <cell r="I279">
            <v>238752.75280333334</v>
          </cell>
          <cell r="O279" t="str">
            <v>May</v>
          </cell>
          <cell r="P279">
            <v>-6516.4327283333332</v>
          </cell>
          <cell r="Q279">
            <v>84074.385720000006</v>
          </cell>
          <cell r="R279">
            <v>64039.480255000009</v>
          </cell>
          <cell r="S279">
            <v>71207.32573699714</v>
          </cell>
          <cell r="T279">
            <v>212804.75898366378</v>
          </cell>
          <cell r="Y279" t="str">
            <v>May</v>
          </cell>
          <cell r="Z279">
            <v>-218726.87067833333</v>
          </cell>
          <cell r="AA279">
            <v>212804.75898366378</v>
          </cell>
          <cell r="AB279">
            <v>-53417.156603333337</v>
          </cell>
          <cell r="AD279">
            <v>-59339.268298002862</v>
          </cell>
        </row>
        <row r="280">
          <cell r="C280" t="str">
            <v>Jun</v>
          </cell>
          <cell r="D280">
            <v>25136.471313333339</v>
          </cell>
          <cell r="E280">
            <v>47501.978901666669</v>
          </cell>
          <cell r="F280">
            <v>129055.03243166667</v>
          </cell>
          <cell r="G280">
            <v>40511.880411666665</v>
          </cell>
          <cell r="I280">
            <v>242205.36305833329</v>
          </cell>
          <cell r="O280" t="str">
            <v>Jun</v>
          </cell>
          <cell r="P280">
            <v>9991.4435833333337</v>
          </cell>
          <cell r="Q280">
            <v>81443.784386666666</v>
          </cell>
          <cell r="R280">
            <v>72516.173655000006</v>
          </cell>
          <cell r="S280">
            <v>71272.696914999993</v>
          </cell>
          <cell r="T280">
            <v>235224.09854000001</v>
          </cell>
          <cell r="Y280" t="str">
            <v>Jun</v>
          </cell>
          <cell r="Z280">
            <v>-278416.22840000002</v>
          </cell>
          <cell r="AA280">
            <v>235224.09854000001</v>
          </cell>
          <cell r="AB280">
            <v>-17349.807978333334</v>
          </cell>
          <cell r="AD280">
            <v>-60541.937838333331</v>
          </cell>
        </row>
        <row r="281">
          <cell r="C281" t="str">
            <v>Jul</v>
          </cell>
          <cell r="D281">
            <v>24691.592408333334</v>
          </cell>
          <cell r="E281">
            <v>48005.579523333327</v>
          </cell>
          <cell r="F281">
            <v>140738.67572999999</v>
          </cell>
          <cell r="G281">
            <v>47684.274143333336</v>
          </cell>
          <cell r="I281">
            <v>261120.121805</v>
          </cell>
          <cell r="O281" t="str">
            <v>Jul</v>
          </cell>
          <cell r="P281">
            <v>38233.271061666666</v>
          </cell>
          <cell r="Q281">
            <v>82935.366916666666</v>
          </cell>
          <cell r="R281">
            <v>74129.990276666664</v>
          </cell>
          <cell r="S281">
            <v>87541.816590000002</v>
          </cell>
          <cell r="T281">
            <v>282840.44484499999</v>
          </cell>
          <cell r="Y281" t="str">
            <v>Jul</v>
          </cell>
          <cell r="Z281">
            <v>-305273.28091166663</v>
          </cell>
          <cell r="AA281">
            <v>282840.44484499999</v>
          </cell>
          <cell r="AB281">
            <v>759.55288833333418</v>
          </cell>
          <cell r="AD281">
            <v>-21673.283178333339</v>
          </cell>
        </row>
        <row r="282">
          <cell r="C282" t="str">
            <v>Ago</v>
          </cell>
          <cell r="D282">
            <v>23093.343966666667</v>
          </cell>
          <cell r="E282">
            <v>49924.149059999996</v>
          </cell>
          <cell r="F282">
            <v>150495.51800166667</v>
          </cell>
          <cell r="G282">
            <v>49335.295606666659</v>
          </cell>
          <cell r="I282">
            <v>272848.30663499999</v>
          </cell>
          <cell r="O282" t="str">
            <v>Ago</v>
          </cell>
          <cell r="P282">
            <v>59464.168658333336</v>
          </cell>
          <cell r="Q282">
            <v>148111.950105</v>
          </cell>
          <cell r="R282">
            <v>75443.203680000006</v>
          </cell>
          <cell r="S282">
            <v>42542.372248333333</v>
          </cell>
          <cell r="T282">
            <v>325561.69469166663</v>
          </cell>
          <cell r="Y282" t="str">
            <v>Ago</v>
          </cell>
          <cell r="Z282">
            <v>-319500.03387999994</v>
          </cell>
          <cell r="AA282">
            <v>325561.69469166663</v>
          </cell>
          <cell r="AB282">
            <v>1812.5937750000023</v>
          </cell>
          <cell r="AD282">
            <v>7874.2545866666669</v>
          </cell>
        </row>
        <row r="283">
          <cell r="C283" t="str">
            <v>Sep</v>
          </cell>
          <cell r="D283">
            <v>21453.520793333333</v>
          </cell>
          <cell r="E283">
            <v>49983.616286666664</v>
          </cell>
          <cell r="F283">
            <v>154268.32320166667</v>
          </cell>
          <cell r="G283">
            <v>54880.221976666675</v>
          </cell>
          <cell r="I283">
            <v>280585.68225833337</v>
          </cell>
          <cell r="O283" t="str">
            <v>Sep</v>
          </cell>
          <cell r="P283">
            <v>100615.12422499999</v>
          </cell>
          <cell r="Q283">
            <v>133593.17721666666</v>
          </cell>
          <cell r="R283">
            <v>72425.332181666672</v>
          </cell>
          <cell r="S283">
            <v>55896.621465000011</v>
          </cell>
          <cell r="T283">
            <v>362530.25508833333</v>
          </cell>
          <cell r="Y283" t="str">
            <v>Sep</v>
          </cell>
          <cell r="Z283">
            <v>-336415.74398000003</v>
          </cell>
          <cell r="AA283">
            <v>362530.25508833333</v>
          </cell>
          <cell r="AB283">
            <v>1916.8814033333347</v>
          </cell>
          <cell r="AD283">
            <v>28031.392511666665</v>
          </cell>
        </row>
        <row r="284">
          <cell r="C284" t="str">
            <v>Oct</v>
          </cell>
          <cell r="D284">
            <v>19924.915714999999</v>
          </cell>
          <cell r="E284">
            <v>50936.281976666673</v>
          </cell>
          <cell r="F284">
            <v>169803.56778000001</v>
          </cell>
          <cell r="G284">
            <v>55315.211055</v>
          </cell>
          <cell r="I284">
            <v>295979.97652666672</v>
          </cell>
          <cell r="O284" t="str">
            <v>Oct</v>
          </cell>
          <cell r="P284">
            <v>132076.69024666667</v>
          </cell>
          <cell r="Q284">
            <v>144445.68600833334</v>
          </cell>
          <cell r="R284">
            <v>74036.618805000006</v>
          </cell>
          <cell r="S284">
            <v>61105.214890000003</v>
          </cell>
          <cell r="T284">
            <v>411664.20994999999</v>
          </cell>
          <cell r="Y284" t="str">
            <v>Oct</v>
          </cell>
          <cell r="Z284">
            <v>-372547.33006499993</v>
          </cell>
          <cell r="AA284">
            <v>411664.20994999999</v>
          </cell>
          <cell r="AB284">
            <v>17145.089113333332</v>
          </cell>
          <cell r="AD284">
            <v>56261.968998333345</v>
          </cell>
        </row>
        <row r="285">
          <cell r="C285" t="str">
            <v>Nov</v>
          </cell>
          <cell r="D285">
            <v>17286.553488333335</v>
          </cell>
          <cell r="E285">
            <v>55994.625650000002</v>
          </cell>
          <cell r="F285">
            <v>164378.24958</v>
          </cell>
          <cell r="G285">
            <v>53602.809803333337</v>
          </cell>
          <cell r="I285">
            <v>291262.23852166667</v>
          </cell>
          <cell r="O285" t="str">
            <v>Nov</v>
          </cell>
          <cell r="P285">
            <v>160341.35396333333</v>
          </cell>
          <cell r="Q285">
            <v>143936.53824999998</v>
          </cell>
          <cell r="R285">
            <v>65307.85599833334</v>
          </cell>
          <cell r="S285">
            <v>69868.09497333334</v>
          </cell>
          <cell r="T285">
            <v>439453.84318499995</v>
          </cell>
          <cell r="Y285" t="str">
            <v>Nov</v>
          </cell>
          <cell r="Z285">
            <v>-388523.99101</v>
          </cell>
          <cell r="AA285">
            <v>439453.84318499995</v>
          </cell>
          <cell r="AB285">
            <v>24858.700655000004</v>
          </cell>
          <cell r="AD285">
            <v>75788.552830000001</v>
          </cell>
        </row>
        <row r="286">
          <cell r="C286" t="str">
            <v>Dic</v>
          </cell>
          <cell r="D286">
            <v>17164.574243333333</v>
          </cell>
          <cell r="E286">
            <v>59259.661918333331</v>
          </cell>
          <cell r="F286">
            <v>160915.71916999997</v>
          </cell>
          <cell r="G286">
            <v>57028.318348333327</v>
          </cell>
          <cell r="I286">
            <v>294368.27368000004</v>
          </cell>
          <cell r="O286" t="str">
            <v>Dic</v>
          </cell>
          <cell r="P286">
            <v>322578.78442833334</v>
          </cell>
          <cell r="Q286">
            <v>194082.96588499998</v>
          </cell>
          <cell r="R286">
            <v>78251.965351666673</v>
          </cell>
          <cell r="S286">
            <v>98399.398513333334</v>
          </cell>
          <cell r="T286">
            <v>693313.11417833332</v>
          </cell>
          <cell r="Y286" t="str">
            <v>Dic</v>
          </cell>
          <cell r="Z286">
            <v>-386494.05327000003</v>
          </cell>
          <cell r="AA286">
            <v>693313.11417833332</v>
          </cell>
          <cell r="AB286">
            <v>15748.736275000001</v>
          </cell>
          <cell r="AD286">
            <v>322567.79718333337</v>
          </cell>
        </row>
        <row r="287">
          <cell r="B287" t="str">
            <v>1997 (p)</v>
          </cell>
          <cell r="C287" t="str">
            <v>Ene</v>
          </cell>
          <cell r="D287">
            <v>17369.346501666667</v>
          </cell>
          <cell r="E287">
            <v>59366.101961666667</v>
          </cell>
          <cell r="F287">
            <v>160314.88017499997</v>
          </cell>
          <cell r="G287">
            <v>51591.897044999998</v>
          </cell>
          <cell r="I287">
            <v>288642.22568333329</v>
          </cell>
          <cell r="N287" t="str">
            <v>1997 (p)</v>
          </cell>
          <cell r="O287" t="str">
            <v>Ene</v>
          </cell>
          <cell r="P287">
            <v>333060.40964166663</v>
          </cell>
          <cell r="Q287">
            <v>192514.9504</v>
          </cell>
          <cell r="R287">
            <v>72881.32551166667</v>
          </cell>
          <cell r="S287">
            <v>96914.935355000009</v>
          </cell>
          <cell r="T287">
            <v>695371.62090833334</v>
          </cell>
          <cell r="X287" t="str">
            <v>1997 (p)</v>
          </cell>
          <cell r="Y287" t="str">
            <v>Ene</v>
          </cell>
          <cell r="Z287">
            <v>-382320.53570166667</v>
          </cell>
          <cell r="AA287">
            <v>695371.62090833334</v>
          </cell>
          <cell r="AB287">
            <v>-12815.343706666667</v>
          </cell>
          <cell r="AD287">
            <v>300235.7415</v>
          </cell>
        </row>
        <row r="288">
          <cell r="C288" t="str">
            <v>Feb</v>
          </cell>
          <cell r="D288">
            <v>19126.598385000001</v>
          </cell>
          <cell r="E288">
            <v>58608.376793333337</v>
          </cell>
          <cell r="F288">
            <v>160824.33943166665</v>
          </cell>
          <cell r="G288">
            <v>52222.233586666669</v>
          </cell>
          <cell r="I288">
            <v>290781.5481966667</v>
          </cell>
          <cell r="O288" t="str">
            <v>Feb</v>
          </cell>
          <cell r="P288">
            <v>334953.85218833335</v>
          </cell>
          <cell r="Q288">
            <v>137797.08755333332</v>
          </cell>
          <cell r="R288">
            <v>80091.859766666676</v>
          </cell>
          <cell r="S288">
            <v>150305.42429166666</v>
          </cell>
          <cell r="T288">
            <v>703148.22379999992</v>
          </cell>
          <cell r="Y288" t="str">
            <v>Feb</v>
          </cell>
          <cell r="Z288">
            <v>-396276.964095</v>
          </cell>
          <cell r="AA288">
            <v>703148.22379999992</v>
          </cell>
          <cell r="AB288">
            <v>-13848.536771666666</v>
          </cell>
          <cell r="AD288">
            <v>293022.72293333337</v>
          </cell>
        </row>
        <row r="289">
          <cell r="C289" t="str">
            <v>Mar</v>
          </cell>
          <cell r="D289">
            <v>20773.558845</v>
          </cell>
          <cell r="E289">
            <v>58822.166751666664</v>
          </cell>
          <cell r="F289">
            <v>166136.49071833334</v>
          </cell>
          <cell r="G289">
            <v>50736.144975000003</v>
          </cell>
          <cell r="I289">
            <v>296468.36128999997</v>
          </cell>
          <cell r="O289" t="str">
            <v>Mar</v>
          </cell>
          <cell r="P289">
            <v>329336.58408166666</v>
          </cell>
          <cell r="Q289">
            <v>149837.39120666668</v>
          </cell>
          <cell r="R289">
            <v>73828.850710000013</v>
          </cell>
          <cell r="S289">
            <v>155191.60296333334</v>
          </cell>
          <cell r="T289">
            <v>708194.42896166665</v>
          </cell>
          <cell r="Y289" t="str">
            <v>Mar</v>
          </cell>
          <cell r="Z289">
            <v>-387915.61631666665</v>
          </cell>
          <cell r="AA289">
            <v>708194.42896166665</v>
          </cell>
          <cell r="AB289">
            <v>-12695.542545000002</v>
          </cell>
          <cell r="AD289">
            <v>307583.27010000002</v>
          </cell>
        </row>
        <row r="290">
          <cell r="C290" t="str">
            <v>Abr</v>
          </cell>
          <cell r="D290">
            <v>22397.140455000001</v>
          </cell>
          <cell r="E290">
            <v>59327.781360000001</v>
          </cell>
          <cell r="F290">
            <v>167915.64908</v>
          </cell>
          <cell r="G290">
            <v>46586.381123333333</v>
          </cell>
          <cell r="I290">
            <v>296226.95201833331</v>
          </cell>
          <cell r="O290" t="str">
            <v>Abr</v>
          </cell>
          <cell r="P290">
            <v>320233.27594333334</v>
          </cell>
          <cell r="Q290">
            <v>155148.80483000001</v>
          </cell>
          <cell r="R290">
            <v>68160.643733333331</v>
          </cell>
          <cell r="S290">
            <v>153032.23968333335</v>
          </cell>
          <cell r="T290">
            <v>696574.96418999997</v>
          </cell>
          <cell r="Y290" t="str">
            <v>Abr</v>
          </cell>
          <cell r="Z290">
            <v>-383196.30323833338</v>
          </cell>
          <cell r="AA290">
            <v>696574.96418999997</v>
          </cell>
          <cell r="AB290">
            <v>-20586.358793333337</v>
          </cell>
          <cell r="AD290">
            <v>292792.3021583333</v>
          </cell>
        </row>
        <row r="291">
          <cell r="C291" t="str">
            <v>May</v>
          </cell>
          <cell r="D291">
            <v>23992.724683333334</v>
          </cell>
          <cell r="E291">
            <v>53154.152848333331</v>
          </cell>
          <cell r="F291">
            <v>170506.55379000001</v>
          </cell>
          <cell r="G291">
            <v>48679.98324833333</v>
          </cell>
          <cell r="I291">
            <v>296333.41457000002</v>
          </cell>
          <cell r="O291" t="str">
            <v>May</v>
          </cell>
          <cell r="P291">
            <v>327639.76962166664</v>
          </cell>
          <cell r="Q291">
            <v>150650.03337666669</v>
          </cell>
          <cell r="R291">
            <v>67206.146701666672</v>
          </cell>
          <cell r="S291">
            <v>144523.19886833333</v>
          </cell>
          <cell r="T291">
            <v>690019.14856833336</v>
          </cell>
          <cell r="Y291" t="str">
            <v>May</v>
          </cell>
          <cell r="Z291">
            <v>-376380.47557666665</v>
          </cell>
          <cell r="AA291">
            <v>690019.14856833336</v>
          </cell>
          <cell r="AB291">
            <v>-6617.8703166666646</v>
          </cell>
          <cell r="AD291">
            <v>307020.80267499998</v>
          </cell>
        </row>
        <row r="292">
          <cell r="C292" t="str">
            <v>Jun</v>
          </cell>
          <cell r="D292">
            <v>23726.924110000004</v>
          </cell>
          <cell r="E292">
            <v>49902.066115000001</v>
          </cell>
          <cell r="F292">
            <v>170935.71842166668</v>
          </cell>
          <cell r="G292">
            <v>55071.430151666667</v>
          </cell>
          <cell r="I292">
            <v>299636.1387983333</v>
          </cell>
          <cell r="O292" t="str">
            <v>Jun</v>
          </cell>
          <cell r="P292">
            <v>165271.41659833334</v>
          </cell>
          <cell r="Q292">
            <v>99983.112240000002</v>
          </cell>
          <cell r="R292">
            <v>39966.641853333342</v>
          </cell>
          <cell r="S292">
            <v>121503.44558833334</v>
          </cell>
          <cell r="T292">
            <v>426724.61628000002</v>
          </cell>
          <cell r="Y292" t="str">
            <v>Jun</v>
          </cell>
          <cell r="Z292">
            <v>-358267.9515266667</v>
          </cell>
          <cell r="AA292">
            <v>426724.61628000002</v>
          </cell>
          <cell r="AB292">
            <v>-6034.7962766666678</v>
          </cell>
          <cell r="AD292">
            <v>62421.868476666663</v>
          </cell>
        </row>
        <row r="293">
          <cell r="C293" t="str">
            <v>Jul</v>
          </cell>
          <cell r="D293">
            <v>22902.092268333334</v>
          </cell>
          <cell r="E293">
            <v>49629.36243666667</v>
          </cell>
          <cell r="F293">
            <v>165974.272195</v>
          </cell>
          <cell r="G293">
            <v>62920.324698333337</v>
          </cell>
          <cell r="I293">
            <v>301426.05159833335</v>
          </cell>
          <cell r="O293" t="str">
            <v>Jul</v>
          </cell>
          <cell r="P293">
            <v>151680.86584833334</v>
          </cell>
          <cell r="Q293">
            <v>134002.79079333335</v>
          </cell>
          <cell r="R293">
            <v>48866.928504999996</v>
          </cell>
          <cell r="S293">
            <v>79155.266216666685</v>
          </cell>
          <cell r="T293">
            <v>413705.85136333335</v>
          </cell>
          <cell r="Y293" t="str">
            <v>Jul</v>
          </cell>
          <cell r="Z293">
            <v>-339834.17495499999</v>
          </cell>
          <cell r="AA293">
            <v>413705.85136333335</v>
          </cell>
          <cell r="AB293">
            <v>269.0528633333318</v>
          </cell>
          <cell r="AD293">
            <v>74140.729271666656</v>
          </cell>
        </row>
        <row r="294">
          <cell r="C294" t="str">
            <v>Ago</v>
          </cell>
          <cell r="D294">
            <v>20227.370053333336</v>
          </cell>
          <cell r="E294">
            <v>47306.238040000004</v>
          </cell>
          <cell r="F294">
            <v>161951.02626833334</v>
          </cell>
          <cell r="G294">
            <v>66893.276741666661</v>
          </cell>
          <cell r="I294">
            <v>296377.91110333335</v>
          </cell>
          <cell r="O294" t="str">
            <v>Ago</v>
          </cell>
          <cell r="P294">
            <v>145883.95694</v>
          </cell>
          <cell r="Q294">
            <v>121141.81925</v>
          </cell>
          <cell r="R294">
            <v>51924.316109999992</v>
          </cell>
          <cell r="S294">
            <v>68809.873433333341</v>
          </cell>
          <cell r="T294">
            <v>387759.96573333332</v>
          </cell>
          <cell r="Y294" t="str">
            <v>Ago</v>
          </cell>
          <cell r="Z294">
            <v>-317339.53729666671</v>
          </cell>
          <cell r="AA294">
            <v>387759.96573333332</v>
          </cell>
          <cell r="AB294">
            <v>7016.5843533333318</v>
          </cell>
          <cell r="AD294">
            <v>77437.012789999993</v>
          </cell>
        </row>
        <row r="295">
          <cell r="C295" t="str">
            <v>Sep</v>
          </cell>
          <cell r="D295">
            <v>18550.502285000002</v>
          </cell>
          <cell r="E295">
            <v>47941.43856166667</v>
          </cell>
          <cell r="F295">
            <v>159928.43777833332</v>
          </cell>
          <cell r="G295">
            <v>71423.814020000005</v>
          </cell>
          <cell r="I295">
            <v>297844.192645</v>
          </cell>
          <cell r="O295" t="str">
            <v>Sep</v>
          </cell>
          <cell r="P295">
            <v>105797.48316333332</v>
          </cell>
          <cell r="Q295">
            <v>138990.01371999999</v>
          </cell>
          <cell r="R295">
            <v>52230.167576666667</v>
          </cell>
          <cell r="S295">
            <v>49875.718701666665</v>
          </cell>
          <cell r="T295">
            <v>346893.38316166663</v>
          </cell>
          <cell r="Y295" t="str">
            <v>Sep</v>
          </cell>
          <cell r="Z295">
            <v>-318974.59270666668</v>
          </cell>
          <cell r="AA295">
            <v>346893.38316166663</v>
          </cell>
          <cell r="AB295">
            <v>20248.522761666663</v>
          </cell>
          <cell r="AD295">
            <v>48167.313216666669</v>
          </cell>
        </row>
        <row r="296">
          <cell r="C296" t="str">
            <v>Oct</v>
          </cell>
          <cell r="D296">
            <v>16511.814085000002</v>
          </cell>
          <cell r="E296">
            <v>47090.560006666667</v>
          </cell>
          <cell r="F296">
            <v>152016.46364999999</v>
          </cell>
          <cell r="G296">
            <v>85547.143486666668</v>
          </cell>
          <cell r="I296">
            <v>301165.98122833332</v>
          </cell>
          <cell r="O296" t="str">
            <v>Oct</v>
          </cell>
          <cell r="P296">
            <v>74079.891043333322</v>
          </cell>
          <cell r="Q296">
            <v>140351.34542166666</v>
          </cell>
          <cell r="R296">
            <v>49603.796254999994</v>
          </cell>
          <cell r="S296">
            <v>53173.302055</v>
          </cell>
          <cell r="T296">
            <v>317208.33477499994</v>
          </cell>
          <cell r="Y296" t="str">
            <v>Oct</v>
          </cell>
          <cell r="Z296">
            <v>-326612.73442000005</v>
          </cell>
          <cell r="AA296">
            <v>317208.33477499994</v>
          </cell>
          <cell r="AB296">
            <v>36435.970708333334</v>
          </cell>
          <cell r="AD296">
            <v>27031.571063333336</v>
          </cell>
        </row>
        <row r="297">
          <cell r="C297" t="str">
            <v>Nov</v>
          </cell>
          <cell r="D297">
            <v>14083.895173333332</v>
          </cell>
          <cell r="E297">
            <v>50431.027683333326</v>
          </cell>
          <cell r="F297">
            <v>146066.92381666665</v>
          </cell>
          <cell r="G297">
            <v>87725.272511666655</v>
          </cell>
          <cell r="I297">
            <v>298307.11918499996</v>
          </cell>
          <cell r="O297" t="str">
            <v>Nov</v>
          </cell>
          <cell r="P297">
            <v>76592.644866666655</v>
          </cell>
          <cell r="Q297">
            <v>134262.57835833333</v>
          </cell>
          <cell r="R297">
            <v>52913.757290000001</v>
          </cell>
          <cell r="S297">
            <v>47581.509146666671</v>
          </cell>
          <cell r="T297">
            <v>311350.48966166668</v>
          </cell>
          <cell r="Y297" t="str">
            <v>Nov</v>
          </cell>
          <cell r="Z297">
            <v>-354172.24361666664</v>
          </cell>
          <cell r="AA297">
            <v>311350.48966166668</v>
          </cell>
          <cell r="AB297">
            <v>3787.6293799999985</v>
          </cell>
          <cell r="AD297">
            <v>-39034.124574999994</v>
          </cell>
        </row>
        <row r="298">
          <cell r="C298" t="str">
            <v>Dic*</v>
          </cell>
          <cell r="D298">
            <v>12661.622193333335</v>
          </cell>
          <cell r="E298">
            <v>51042.46510666667</v>
          </cell>
          <cell r="F298">
            <v>152316.88772833333</v>
          </cell>
          <cell r="G298">
            <v>86404.530006666668</v>
          </cell>
          <cell r="I298">
            <v>302425.50503499998</v>
          </cell>
          <cell r="O298" t="str">
            <v>Dic*</v>
          </cell>
          <cell r="P298">
            <v>109627.10902333334</v>
          </cell>
          <cell r="Q298">
            <v>145464.92456499999</v>
          </cell>
          <cell r="R298">
            <v>12224.204194999998</v>
          </cell>
          <cell r="S298">
            <v>92070.670924999999</v>
          </cell>
          <cell r="T298">
            <v>359386.90870833333</v>
          </cell>
          <cell r="Y298" t="str">
            <v>Dic*</v>
          </cell>
          <cell r="Z298">
            <v>-426885.95498666662</v>
          </cell>
          <cell r="AA298">
            <v>359386.90870833333</v>
          </cell>
          <cell r="AB298">
            <v>2528.6365883333347</v>
          </cell>
          <cell r="AD298">
            <v>-64970.409689999979</v>
          </cell>
        </row>
        <row r="299">
          <cell r="B299" t="str">
            <v>1998 (p)</v>
          </cell>
          <cell r="C299" t="str">
            <v>Ene</v>
          </cell>
          <cell r="D299">
            <v>11635.035040000001</v>
          </cell>
          <cell r="E299">
            <v>48884.957375000005</v>
          </cell>
          <cell r="F299">
            <v>150960.65745499998</v>
          </cell>
          <cell r="G299">
            <v>84973.905726666664</v>
          </cell>
          <cell r="I299">
            <v>296454.55726333329</v>
          </cell>
          <cell r="N299" t="str">
            <v>1998 (p)</v>
          </cell>
          <cell r="O299" t="str">
            <v>Ene</v>
          </cell>
          <cell r="P299">
            <v>85993.975580000013</v>
          </cell>
          <cell r="Q299">
            <v>119741.036265</v>
          </cell>
          <cell r="R299">
            <v>7051.870286666669</v>
          </cell>
          <cell r="S299">
            <v>120194.51575833332</v>
          </cell>
          <cell r="T299">
            <v>332981.39955666667</v>
          </cell>
          <cell r="X299" t="str">
            <v>1998 (p)</v>
          </cell>
          <cell r="Y299" t="str">
            <v>Ene</v>
          </cell>
          <cell r="Z299">
            <v>-440945.73099499993</v>
          </cell>
          <cell r="AA299">
            <v>332981.39955666667</v>
          </cell>
          <cell r="AB299">
            <v>19229.094568333334</v>
          </cell>
          <cell r="AD299">
            <v>-88735.238536666657</v>
          </cell>
        </row>
        <row r="300">
          <cell r="C300" t="str">
            <v>Feb</v>
          </cell>
          <cell r="D300">
            <v>11370.110316666667</v>
          </cell>
          <cell r="E300">
            <v>48647.964881666667</v>
          </cell>
          <cell r="F300">
            <v>156322.48554333334</v>
          </cell>
          <cell r="G300">
            <v>85517.627186666665</v>
          </cell>
          <cell r="I300">
            <v>301858.18792833335</v>
          </cell>
          <cell r="O300" t="str">
            <v>Feb</v>
          </cell>
          <cell r="P300">
            <v>53627.458561666666</v>
          </cell>
          <cell r="Q300">
            <v>103791.73435166669</v>
          </cell>
          <cell r="R300">
            <v>6392.4012433333337</v>
          </cell>
          <cell r="S300">
            <v>132911.373605</v>
          </cell>
          <cell r="T300">
            <v>296722.9694283334</v>
          </cell>
          <cell r="Y300" t="str">
            <v>Feb</v>
          </cell>
          <cell r="Z300">
            <v>-464582.8047866667</v>
          </cell>
          <cell r="AA300">
            <v>296722.9694283334</v>
          </cell>
          <cell r="AB300">
            <v>15020.512716666664</v>
          </cell>
          <cell r="AD300">
            <v>-152839.32430833331</v>
          </cell>
        </row>
        <row r="301">
          <cell r="C301" t="str">
            <v>Mar</v>
          </cell>
          <cell r="D301">
            <v>10836.815116666667</v>
          </cell>
          <cell r="E301">
            <v>46672.511701666663</v>
          </cell>
          <cell r="F301">
            <v>163167.79158000002</v>
          </cell>
          <cell r="G301">
            <v>82952.419665000009</v>
          </cell>
          <cell r="I301">
            <v>303629.53806333331</v>
          </cell>
          <cell r="O301" t="str">
            <v>Mar</v>
          </cell>
          <cell r="P301">
            <v>60560.697099999998</v>
          </cell>
          <cell r="Q301">
            <v>117853.39985833333</v>
          </cell>
          <cell r="R301">
            <v>17806.435840000002</v>
          </cell>
          <cell r="S301">
            <v>122718.38507333334</v>
          </cell>
          <cell r="T301">
            <v>318938.91787166672</v>
          </cell>
          <cell r="Y301" t="str">
            <v>Mar</v>
          </cell>
          <cell r="Z301">
            <v>-460160.96223499998</v>
          </cell>
          <cell r="AA301">
            <v>318938.91787166672</v>
          </cell>
          <cell r="AB301">
            <v>-5412.0196149999983</v>
          </cell>
          <cell r="AD301">
            <v>-146634.06397833332</v>
          </cell>
        </row>
        <row r="302">
          <cell r="C302" t="str">
            <v>Abr</v>
          </cell>
          <cell r="D302">
            <v>10786.891241666666</v>
          </cell>
          <cell r="E302">
            <v>41536.503214999997</v>
          </cell>
          <cell r="F302">
            <v>157863.55776166669</v>
          </cell>
          <cell r="G302">
            <v>70044.134846666668</v>
          </cell>
          <cell r="I302">
            <v>280231.08706500003</v>
          </cell>
          <cell r="O302" t="str">
            <v>Abr</v>
          </cell>
          <cell r="P302">
            <v>79755.169193333335</v>
          </cell>
          <cell r="Q302">
            <v>94977.78544833335</v>
          </cell>
          <cell r="R302">
            <v>-886.37505333333195</v>
          </cell>
          <cell r="S302">
            <v>163006.40040666668</v>
          </cell>
          <cell r="T302">
            <v>336852.979995</v>
          </cell>
          <cell r="Y302" t="str">
            <v>Abr</v>
          </cell>
          <cell r="Z302">
            <v>-454998.85496333329</v>
          </cell>
          <cell r="AA302">
            <v>336852.979995</v>
          </cell>
          <cell r="AB302">
            <v>-11787.962891666664</v>
          </cell>
          <cell r="AD302">
            <v>-129933.83785999999</v>
          </cell>
        </row>
        <row r="303">
          <cell r="C303" t="str">
            <v>May</v>
          </cell>
          <cell r="D303">
            <v>11187.256149999999</v>
          </cell>
          <cell r="E303">
            <v>37926.058666666671</v>
          </cell>
          <cell r="F303">
            <v>160834.43891999999</v>
          </cell>
          <cell r="G303">
            <v>67977.921728333327</v>
          </cell>
          <cell r="I303">
            <v>277925.67546500004</v>
          </cell>
          <cell r="O303" t="str">
            <v>May</v>
          </cell>
          <cell r="P303">
            <v>24158.69617166667</v>
          </cell>
          <cell r="Q303">
            <v>101016.40049500001</v>
          </cell>
          <cell r="R303">
            <v>-3122.7004283333317</v>
          </cell>
          <cell r="S303">
            <v>181698.77492833335</v>
          </cell>
          <cell r="T303">
            <v>303751.17116666667</v>
          </cell>
          <cell r="Y303" t="str">
            <v>May</v>
          </cell>
          <cell r="Z303">
            <v>-443974.34957166668</v>
          </cell>
          <cell r="AA303">
            <v>303751.17116666667</v>
          </cell>
          <cell r="AB303">
            <v>2064.8146666666676</v>
          </cell>
          <cell r="AD303">
            <v>-138158.36540499999</v>
          </cell>
        </row>
        <row r="304">
          <cell r="C304" t="str">
            <v>Jun</v>
          </cell>
          <cell r="D304">
            <v>10922.199999999999</v>
          </cell>
          <cell r="E304">
            <v>36713.548333333332</v>
          </cell>
          <cell r="F304">
            <v>168370.55166666667</v>
          </cell>
          <cell r="G304">
            <v>66595.33666666667</v>
          </cell>
          <cell r="I304">
            <v>282601.63666666666</v>
          </cell>
          <cell r="O304" t="str">
            <v>Jun</v>
          </cell>
          <cell r="P304">
            <v>10781.35</v>
          </cell>
          <cell r="Q304">
            <v>91236.411666666667</v>
          </cell>
          <cell r="R304">
            <v>37654.691666666673</v>
          </cell>
          <cell r="S304">
            <v>85749.04833333334</v>
          </cell>
          <cell r="T304">
            <v>225421.50166666668</v>
          </cell>
          <cell r="Y304" t="str">
            <v>Jun</v>
          </cell>
          <cell r="Z304">
            <v>-370658.36000000004</v>
          </cell>
          <cell r="AA304">
            <v>225421.50166666668</v>
          </cell>
          <cell r="AB304">
            <v>4098.3183333333336</v>
          </cell>
          <cell r="AD304">
            <v>-141138.54166666666</v>
          </cell>
        </row>
        <row r="305">
          <cell r="C305" t="str">
            <v>Jul</v>
          </cell>
          <cell r="D305">
            <v>11414.711666666668</v>
          </cell>
          <cell r="E305">
            <v>37754.783333333333</v>
          </cell>
          <cell r="F305">
            <v>173647.77333333335</v>
          </cell>
          <cell r="G305">
            <v>68118.434999999998</v>
          </cell>
          <cell r="I305">
            <v>290935.7</v>
          </cell>
          <cell r="O305" t="str">
            <v>Jul</v>
          </cell>
          <cell r="P305">
            <v>33361.33833333334</v>
          </cell>
          <cell r="Q305">
            <v>85889.298333333325</v>
          </cell>
          <cell r="R305">
            <v>38055.65833333334</v>
          </cell>
          <cell r="S305">
            <v>107533.54</v>
          </cell>
          <cell r="T305">
            <v>264839.83333333331</v>
          </cell>
          <cell r="Y305" t="str">
            <v>Jul</v>
          </cell>
          <cell r="Z305">
            <v>-372395.5083333333</v>
          </cell>
          <cell r="AA305">
            <v>264839.83333333331</v>
          </cell>
          <cell r="AB305">
            <v>-7932.3966666666665</v>
          </cell>
          <cell r="AD305">
            <v>-115488.07333333332</v>
          </cell>
        </row>
        <row r="306">
          <cell r="C306" t="str">
            <v>Ago</v>
          </cell>
          <cell r="D306">
            <v>12084.974999999999</v>
          </cell>
          <cell r="E306">
            <v>37741.526666666665</v>
          </cell>
          <cell r="F306">
            <v>172000.45500000002</v>
          </cell>
          <cell r="G306">
            <v>64151.266666666663</v>
          </cell>
          <cell r="I306">
            <v>285978.22166666668</v>
          </cell>
          <cell r="O306" t="str">
            <v>Ago</v>
          </cell>
          <cell r="P306">
            <v>63183.216666666667</v>
          </cell>
          <cell r="Q306">
            <v>110420.60166666667</v>
          </cell>
          <cell r="R306">
            <v>41357.538333333338</v>
          </cell>
          <cell r="S306">
            <v>72696.740000000005</v>
          </cell>
          <cell r="T306">
            <v>287658.09499999997</v>
          </cell>
          <cell r="Y306" t="str">
            <v>Ago</v>
          </cell>
          <cell r="Z306">
            <v>-369629.66166666668</v>
          </cell>
          <cell r="AA306">
            <v>287658.09499999997</v>
          </cell>
          <cell r="AB306">
            <v>6261.4249999999993</v>
          </cell>
          <cell r="AD306">
            <v>-75710.143333333326</v>
          </cell>
        </row>
        <row r="307">
          <cell r="C307" t="str">
            <v>Sep</v>
          </cell>
          <cell r="D307">
            <v>12581.208333333334</v>
          </cell>
          <cell r="E307">
            <v>37849.644999999997</v>
          </cell>
          <cell r="F307">
            <v>165452.62166666667</v>
          </cell>
          <cell r="G307">
            <v>69822.964999999997</v>
          </cell>
          <cell r="I307">
            <v>285706.4383333333</v>
          </cell>
          <cell r="O307" t="str">
            <v>Sep</v>
          </cell>
          <cell r="P307">
            <v>78523.143333333326</v>
          </cell>
          <cell r="Q307">
            <v>54628.528333333328</v>
          </cell>
          <cell r="R307">
            <v>40205.508333333331</v>
          </cell>
          <cell r="S307">
            <v>87043.83666666667</v>
          </cell>
          <cell r="T307">
            <v>260401.01833333334</v>
          </cell>
          <cell r="Y307" t="str">
            <v>Sep</v>
          </cell>
          <cell r="Z307">
            <v>-399708.37166666664</v>
          </cell>
          <cell r="AA307">
            <v>260401.01833333334</v>
          </cell>
          <cell r="AB307">
            <v>35872.776666666665</v>
          </cell>
          <cell r="AD307">
            <v>-103434.58</v>
          </cell>
        </row>
        <row r="308">
          <cell r="C308" t="str">
            <v>Oct</v>
          </cell>
          <cell r="D308">
            <v>13786.938333333334</v>
          </cell>
          <cell r="E308">
            <v>42328.396666666667</v>
          </cell>
          <cell r="F308">
            <v>179949.67833333334</v>
          </cell>
          <cell r="G308">
            <v>85799.471666666665</v>
          </cell>
          <cell r="I308">
            <v>321864.48500000004</v>
          </cell>
          <cell r="O308" t="str">
            <v>Oct</v>
          </cell>
          <cell r="P308">
            <v>41884.78666666666</v>
          </cell>
          <cell r="Q308">
            <v>101163.35166666667</v>
          </cell>
          <cell r="R308">
            <v>60131.393333333333</v>
          </cell>
          <cell r="S308">
            <v>22272.62833333333</v>
          </cell>
          <cell r="T308">
            <v>225452.16</v>
          </cell>
          <cell r="Y308" t="str">
            <v>Oct</v>
          </cell>
          <cell r="Z308">
            <v>-370867.87166666664</v>
          </cell>
          <cell r="AA308">
            <v>225452.16</v>
          </cell>
          <cell r="AB308">
            <v>32732.05666666666</v>
          </cell>
          <cell r="AD308">
            <v>-112683.65833333333</v>
          </cell>
        </row>
        <row r="309">
          <cell r="C309" t="str">
            <v>Nov</v>
          </cell>
          <cell r="D309">
            <v>15956.17</v>
          </cell>
          <cell r="E309">
            <v>42565.829999999994</v>
          </cell>
          <cell r="F309">
            <v>186235.3483333333</v>
          </cell>
          <cell r="G309">
            <v>91191.938333333339</v>
          </cell>
          <cell r="I309">
            <v>335949.28666666668</v>
          </cell>
          <cell r="O309" t="str">
            <v>Nov</v>
          </cell>
          <cell r="P309">
            <v>71384.639999999999</v>
          </cell>
          <cell r="Q309">
            <v>93063.611666666649</v>
          </cell>
          <cell r="R309">
            <v>62303.426666666666</v>
          </cell>
          <cell r="S309">
            <v>19731.321666666663</v>
          </cell>
          <cell r="T309">
            <v>246483.00166666662</v>
          </cell>
          <cell r="Y309" t="str">
            <v>Nov</v>
          </cell>
          <cell r="Z309">
            <v>-340881.92333333334</v>
          </cell>
          <cell r="AA309">
            <v>246483.00166666662</v>
          </cell>
          <cell r="AB309">
            <v>14032.571666666661</v>
          </cell>
          <cell r="AD309">
            <v>-80366.353333333347</v>
          </cell>
        </row>
        <row r="310">
          <cell r="C310" t="str">
            <v>Dic*</v>
          </cell>
          <cell r="D310">
            <v>17355.821666666667</v>
          </cell>
          <cell r="E310">
            <v>46005.666666666664</v>
          </cell>
          <cell r="F310">
            <v>184797.86666666667</v>
          </cell>
          <cell r="G310">
            <v>88873.948333333319</v>
          </cell>
          <cell r="I310">
            <v>337033.30333333334</v>
          </cell>
          <cell r="O310" t="str">
            <v>Dic*</v>
          </cell>
          <cell r="P310">
            <v>58849.183333333327</v>
          </cell>
          <cell r="Q310">
            <v>131119.24</v>
          </cell>
          <cell r="R310">
            <v>51486.036666666674</v>
          </cell>
          <cell r="S310">
            <v>21724.983333333337</v>
          </cell>
          <cell r="T310">
            <v>263179.44666666666</v>
          </cell>
          <cell r="Y310" t="str">
            <v>Dic*</v>
          </cell>
          <cell r="Z310">
            <v>-341065.42499999999</v>
          </cell>
          <cell r="AA310">
            <v>263179.44666666666</v>
          </cell>
          <cell r="AB310">
            <v>22816.131666666664</v>
          </cell>
          <cell r="AD310">
            <v>-55069.850000000006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 datos"/>
      <sheetName val="Sintesis"/>
      <sheetName val="OFERTA_PRODUCTO_1"/>
      <sheetName val="CANTIDADES_PRODUCTO 1"/>
      <sheetName val="OFERTA_PRODUCTO_2"/>
      <sheetName val="CANTIDADES_PRODUCTO 2"/>
      <sheetName val="2023"/>
      <sheetName val="2024"/>
      <sheetName val="2025"/>
      <sheetName val="2026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Curvas"/>
      <sheetName val="Contratos"/>
      <sheetName val="Crecimiento Demanda"/>
    </sheetNames>
    <sheetDataSet>
      <sheetData sheetId="0">
        <row r="3">
          <cell r="C3">
            <v>0</v>
          </cell>
        </row>
        <row r="4">
          <cell r="C4">
            <v>0.01</v>
          </cell>
        </row>
        <row r="5">
          <cell r="C5">
            <v>0.02</v>
          </cell>
        </row>
        <row r="6">
          <cell r="C6">
            <v>0.03</v>
          </cell>
        </row>
        <row r="7">
          <cell r="C7">
            <v>0.04</v>
          </cell>
        </row>
        <row r="8">
          <cell r="A8" t="str">
            <v>SI</v>
          </cell>
          <cell r="C8">
            <v>0.05</v>
          </cell>
        </row>
        <row r="9">
          <cell r="A9" t="str">
            <v>NO</v>
          </cell>
          <cell r="C9">
            <v>0.06</v>
          </cell>
        </row>
        <row r="10">
          <cell r="C10">
            <v>7.0000000000000007E-2</v>
          </cell>
        </row>
        <row r="11">
          <cell r="C11">
            <v>0.08</v>
          </cell>
        </row>
        <row r="12">
          <cell r="C12">
            <v>0.09</v>
          </cell>
        </row>
        <row r="13">
          <cell r="C13">
            <v>0.1</v>
          </cell>
        </row>
        <row r="14">
          <cell r="C14">
            <v>0.15</v>
          </cell>
        </row>
        <row r="15">
          <cell r="C15">
            <v>0.2</v>
          </cell>
        </row>
        <row r="16">
          <cell r="C16">
            <v>0.25</v>
          </cell>
        </row>
        <row r="17">
          <cell r="C17">
            <v>0.3</v>
          </cell>
        </row>
        <row r="18">
          <cell r="C18">
            <v>0.35</v>
          </cell>
        </row>
        <row r="19">
          <cell r="C19">
            <v>0.4</v>
          </cell>
        </row>
        <row r="20">
          <cell r="C20">
            <v>0.45</v>
          </cell>
        </row>
        <row r="21">
          <cell r="C21">
            <v>0.5</v>
          </cell>
        </row>
      </sheetData>
      <sheetData sheetId="1"/>
      <sheetData sheetId="2"/>
      <sheetData sheetId="3"/>
      <sheetData sheetId="4"/>
      <sheetData sheetId="5"/>
      <sheetData sheetId="6">
        <row r="560">
          <cell r="C560">
            <v>21</v>
          </cell>
        </row>
      </sheetData>
      <sheetData sheetId="7">
        <row r="515">
          <cell r="C515">
            <v>21</v>
          </cell>
        </row>
      </sheetData>
      <sheetData sheetId="8">
        <row r="515">
          <cell r="C515">
            <v>21</v>
          </cell>
        </row>
      </sheetData>
      <sheetData sheetId="9">
        <row r="515">
          <cell r="C515">
            <v>21</v>
          </cell>
        </row>
      </sheetData>
      <sheetData sheetId="10">
        <row r="470">
          <cell r="C470">
            <v>21</v>
          </cell>
        </row>
      </sheetData>
      <sheetData sheetId="11">
        <row r="470">
          <cell r="C470">
            <v>21</v>
          </cell>
        </row>
      </sheetData>
      <sheetData sheetId="12">
        <row r="425">
          <cell r="C425">
            <v>21</v>
          </cell>
        </row>
      </sheetData>
      <sheetData sheetId="13">
        <row r="290">
          <cell r="C290">
            <v>21</v>
          </cell>
        </row>
      </sheetData>
      <sheetData sheetId="14">
        <row r="290">
          <cell r="C290">
            <v>21</v>
          </cell>
        </row>
      </sheetData>
      <sheetData sheetId="15">
        <row r="290">
          <cell r="C290">
            <v>21</v>
          </cell>
        </row>
      </sheetData>
      <sheetData sheetId="16">
        <row r="290">
          <cell r="C290">
            <v>21</v>
          </cell>
        </row>
      </sheetData>
      <sheetData sheetId="17">
        <row r="290">
          <cell r="C290">
            <v>21</v>
          </cell>
        </row>
      </sheetData>
      <sheetData sheetId="18">
        <row r="290">
          <cell r="C290">
            <v>21</v>
          </cell>
        </row>
      </sheetData>
      <sheetData sheetId="19">
        <row r="290">
          <cell r="C290">
            <v>21</v>
          </cell>
        </row>
      </sheetData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"/>
      <sheetName val="103"/>
      <sheetName val="102"/>
      <sheetName val="101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BASICA"/>
      <sheetName val="DATOS_HORARIOS"/>
      <sheetName val="CANTIDAD_MAXIMA"/>
      <sheetName val="_param"/>
      <sheetName val="_lists"/>
      <sheetName val="_msg"/>
      <sheetName val="_VERSION"/>
    </sheetNames>
    <sheetDataSet>
      <sheetData sheetId="0"/>
      <sheetData sheetId="1"/>
      <sheetData sheetId="2"/>
      <sheetData sheetId="3"/>
      <sheetData sheetId="4">
        <row r="4">
          <cell r="O4" t="str">
            <v>CANTIDAD</v>
          </cell>
          <cell r="P4" t="str">
            <v>DO</v>
          </cell>
        </row>
        <row r="5">
          <cell r="O5" t="str">
            <v>PRECIO</v>
          </cell>
          <cell r="P5" t="str">
            <v>FE</v>
          </cell>
        </row>
        <row r="6">
          <cell r="P6" t="str">
            <v>OR</v>
          </cell>
        </row>
        <row r="7">
          <cell r="P7" t="str">
            <v>SA</v>
          </cell>
        </row>
      </sheetData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2026"/>
      <sheetName val="Total 2027 - 2029"/>
      <sheetName val="Plana 2027 - 2029"/>
      <sheetName val="Curva 2027 - 2029"/>
      <sheetName val="Hoja1"/>
    </sheetNames>
    <sheetDataSet>
      <sheetData sheetId="0"/>
      <sheetData sheetId="1">
        <row r="3">
          <cell r="D3">
            <v>13788.646192542386</v>
          </cell>
          <cell r="E3">
            <v>12872.69147200541</v>
          </cell>
          <cell r="F3">
            <v>12312.863972545976</v>
          </cell>
          <cell r="G3">
            <v>11822.042197506618</v>
          </cell>
          <cell r="H3">
            <v>11442.561989621961</v>
          </cell>
          <cell r="I3">
            <v>11044.653348207103</v>
          </cell>
          <cell r="J3">
            <v>10880.455099634872</v>
          </cell>
          <cell r="K3">
            <v>12021.557639225655</v>
          </cell>
          <cell r="L3">
            <v>12850.238624546857</v>
          </cell>
          <cell r="M3">
            <v>13626.884896265001</v>
          </cell>
          <cell r="N3">
            <v>14427.142562947938</v>
          </cell>
          <cell r="O3">
            <v>15352.293440915804</v>
          </cell>
          <cell r="P3">
            <v>15162.559236408566</v>
          </cell>
          <cell r="Q3">
            <v>16352.138898448544</v>
          </cell>
          <cell r="R3">
            <v>17345.879418042427</v>
          </cell>
          <cell r="S3">
            <v>17014.882121506304</v>
          </cell>
          <cell r="T3">
            <v>16366.555252155291</v>
          </cell>
          <cell r="U3">
            <v>16910.753758704628</v>
          </cell>
          <cell r="V3">
            <v>18240.488602263529</v>
          </cell>
          <cell r="W3">
            <v>18481.307290606252</v>
          </cell>
          <cell r="X3">
            <v>18358.254272235008</v>
          </cell>
          <cell r="Y3">
            <v>18089.174236944291</v>
          </cell>
          <cell r="Z3">
            <v>17263.883522842454</v>
          </cell>
          <cell r="AA3">
            <v>16176.762156498547</v>
          </cell>
        </row>
        <row r="4">
          <cell r="D4">
            <v>13003.158063735678</v>
          </cell>
          <cell r="E4">
            <v>12071.17253379598</v>
          </cell>
          <cell r="F4">
            <v>11506.818010012175</v>
          </cell>
          <cell r="G4">
            <v>11039.572301478496</v>
          </cell>
          <cell r="H4">
            <v>10797.960961257928</v>
          </cell>
          <cell r="I4">
            <v>10810.13528647653</v>
          </cell>
          <cell r="J4">
            <v>10639.309339875137</v>
          </cell>
          <cell r="K4">
            <v>12047.292809503915</v>
          </cell>
          <cell r="L4">
            <v>13230.028761353473</v>
          </cell>
          <cell r="M4">
            <v>13997.291197323477</v>
          </cell>
          <cell r="N4">
            <v>14975.295626852592</v>
          </cell>
          <cell r="O4">
            <v>15986.843008657414</v>
          </cell>
          <cell r="P4">
            <v>15129.820853707024</v>
          </cell>
          <cell r="Q4">
            <v>16864.161213078612</v>
          </cell>
          <cell r="R4">
            <v>18440.190890426191</v>
          </cell>
          <cell r="S4">
            <v>18215.040284332812</v>
          </cell>
          <cell r="T4">
            <v>17472.269115912612</v>
          </cell>
          <cell r="U4">
            <v>17535.870869638136</v>
          </cell>
          <cell r="V4">
            <v>18251.36138226149</v>
          </cell>
          <cell r="W4">
            <v>18160.269907079324</v>
          </cell>
          <cell r="X4">
            <v>17958.11391991601</v>
          </cell>
          <cell r="Y4">
            <v>17658.525331754186</v>
          </cell>
          <cell r="Z4">
            <v>16520.591089137797</v>
          </cell>
          <cell r="AA4">
            <v>15247.328974528031</v>
          </cell>
        </row>
        <row r="5">
          <cell r="D5">
            <v>11522.846498996436</v>
          </cell>
          <cell r="E5">
            <v>10662.456361370143</v>
          </cell>
          <cell r="F5">
            <v>10259.255393984113</v>
          </cell>
          <cell r="G5">
            <v>9727.7236988683417</v>
          </cell>
          <cell r="H5">
            <v>9469.4595338722502</v>
          </cell>
          <cell r="I5">
            <v>9544.3519737354163</v>
          </cell>
          <cell r="J5">
            <v>9531.9825357399277</v>
          </cell>
          <cell r="K5">
            <v>11003.290467483879</v>
          </cell>
          <cell r="L5">
            <v>12523.72340404339</v>
          </cell>
          <cell r="M5">
            <v>13648.550949633105</v>
          </cell>
          <cell r="N5">
            <v>14823.362875526866</v>
          </cell>
          <cell r="O5">
            <v>16004.436145313839</v>
          </cell>
          <cell r="P5">
            <v>14740.603060692469</v>
          </cell>
          <cell r="Q5">
            <v>16498.601946293755</v>
          </cell>
          <cell r="R5">
            <v>18137.543887771764</v>
          </cell>
          <cell r="S5">
            <v>17516.350031639548</v>
          </cell>
          <cell r="T5">
            <v>16719.915215639772</v>
          </cell>
          <cell r="U5">
            <v>16783.605781885399</v>
          </cell>
          <cell r="V5">
            <v>17295.194699509098</v>
          </cell>
          <cell r="W5">
            <v>16804.341503076397</v>
          </cell>
          <cell r="X5">
            <v>16369.759173767196</v>
          </cell>
          <cell r="Y5">
            <v>16175.419281333636</v>
          </cell>
          <cell r="Z5">
            <v>15280.708078816655</v>
          </cell>
          <cell r="AA5">
            <v>14124.722199967642</v>
          </cell>
        </row>
        <row r="6">
          <cell r="D6">
            <v>17120.445285450809</v>
          </cell>
          <cell r="E6">
            <v>16158.665899178444</v>
          </cell>
          <cell r="F6">
            <v>15363.107673344995</v>
          </cell>
          <cell r="G6">
            <v>14810.469968871168</v>
          </cell>
          <cell r="H6">
            <v>14493.393853594845</v>
          </cell>
          <cell r="I6">
            <v>14243.838620397259</v>
          </cell>
          <cell r="J6">
            <v>14089.880108144151</v>
          </cell>
          <cell r="K6">
            <v>15597.081259052204</v>
          </cell>
          <cell r="L6">
            <v>16783.915459542626</v>
          </cell>
          <cell r="M6">
            <v>17606.195175976474</v>
          </cell>
          <cell r="N6">
            <v>18719.471504265843</v>
          </cell>
          <cell r="O6">
            <v>19693.705411894331</v>
          </cell>
          <cell r="P6">
            <v>18667.04293947887</v>
          </cell>
          <cell r="Q6">
            <v>20439.286702683065</v>
          </cell>
          <cell r="R6">
            <v>22298.264899163671</v>
          </cell>
          <cell r="S6">
            <v>22178.487106781675</v>
          </cell>
          <cell r="T6">
            <v>21269.444887746009</v>
          </cell>
          <cell r="U6">
            <v>21445.993202696143</v>
          </cell>
          <cell r="V6">
            <v>22877.446900378953</v>
          </cell>
          <cell r="W6">
            <v>23153.80095014799</v>
          </cell>
          <cell r="X6">
            <v>22872.31279145259</v>
          </cell>
          <cell r="Y6">
            <v>22185.398352245695</v>
          </cell>
          <cell r="Z6">
            <v>20915.521439469187</v>
          </cell>
          <cell r="AA6">
            <v>19530.680887088565</v>
          </cell>
        </row>
        <row r="7">
          <cell r="D7">
            <v>15375.800589386807</v>
          </cell>
          <cell r="E7">
            <v>14461.183909025056</v>
          </cell>
          <cell r="F7">
            <v>13694.309351715558</v>
          </cell>
          <cell r="G7">
            <v>13184.264745459586</v>
          </cell>
          <cell r="H7">
            <v>12943.662090017611</v>
          </cell>
          <cell r="I7">
            <v>13193.189445728745</v>
          </cell>
          <cell r="J7">
            <v>13105.367181128393</v>
          </cell>
          <cell r="K7">
            <v>14805.083585875664</v>
          </cell>
          <cell r="L7">
            <v>16316.719687371573</v>
          </cell>
          <cell r="M7">
            <v>17185.973962162749</v>
          </cell>
          <cell r="N7">
            <v>18473.633836085017</v>
          </cell>
          <cell r="O7">
            <v>19547.80746513847</v>
          </cell>
          <cell r="P7">
            <v>18058.169088187791</v>
          </cell>
          <cell r="Q7">
            <v>20334.353535402184</v>
          </cell>
          <cell r="R7">
            <v>22477.387272490199</v>
          </cell>
          <cell r="S7">
            <v>22366.796895127096</v>
          </cell>
          <cell r="T7">
            <v>21490.242500981651</v>
          </cell>
          <cell r="U7">
            <v>21359.563934678274</v>
          </cell>
          <cell r="V7">
            <v>22193.265283167126</v>
          </cell>
          <cell r="W7">
            <v>22217.456258095837</v>
          </cell>
          <cell r="X7">
            <v>22015.963895798239</v>
          </cell>
          <cell r="Y7">
            <v>21284.981654338404</v>
          </cell>
          <cell r="Z7">
            <v>19688.439913690323</v>
          </cell>
          <cell r="AA7">
            <v>18002.965079550984</v>
          </cell>
        </row>
        <row r="8">
          <cell r="D8">
            <v>15103.042512288464</v>
          </cell>
          <cell r="E8">
            <v>14169.697186655423</v>
          </cell>
          <cell r="F8">
            <v>13441.427727867502</v>
          </cell>
          <cell r="G8">
            <v>12881.622382311651</v>
          </cell>
          <cell r="H8">
            <v>12615.797753402379</v>
          </cell>
          <cell r="I8">
            <v>13034.165164246833</v>
          </cell>
          <cell r="J8">
            <v>13010.112429920098</v>
          </cell>
          <cell r="K8">
            <v>14779.282644869887</v>
          </cell>
          <cell r="L8">
            <v>16673.104868073755</v>
          </cell>
          <cell r="M8">
            <v>18016.742694116489</v>
          </cell>
          <cell r="N8">
            <v>19432.908251014498</v>
          </cell>
          <cell r="O8">
            <v>20465.955779655706</v>
          </cell>
          <cell r="P8">
            <v>18475.598941356522</v>
          </cell>
          <cell r="Q8">
            <v>20701.302729348754</v>
          </cell>
          <cell r="R8">
            <v>22824.031119049065</v>
          </cell>
          <cell r="S8">
            <v>22686.455404843735</v>
          </cell>
          <cell r="T8">
            <v>21706.158792131569</v>
          </cell>
          <cell r="U8">
            <v>21443.764998020266</v>
          </cell>
          <cell r="V8">
            <v>22019.207018876976</v>
          </cell>
          <cell r="W8">
            <v>21776.950437363404</v>
          </cell>
          <cell r="X8">
            <v>21264.861308781496</v>
          </cell>
          <cell r="Y8">
            <v>20517.561460102072</v>
          </cell>
          <cell r="Z8">
            <v>19201.25997048018</v>
          </cell>
          <cell r="AA8">
            <v>17709.793595910589</v>
          </cell>
        </row>
        <row r="9">
          <cell r="D9">
            <v>18319.880047217113</v>
          </cell>
          <cell r="E9">
            <v>17295.526030172554</v>
          </cell>
          <cell r="F9">
            <v>16428.446240642577</v>
          </cell>
          <cell r="G9">
            <v>15899.732241379357</v>
          </cell>
          <cell r="H9">
            <v>15474.924990719896</v>
          </cell>
          <cell r="I9">
            <v>15038.086539734988</v>
          </cell>
          <cell r="J9">
            <v>15043.034614752176</v>
          </cell>
          <cell r="K9">
            <v>17114.979185931246</v>
          </cell>
          <cell r="L9">
            <v>17780.450671270926</v>
          </cell>
          <cell r="M9">
            <v>18862.006179414973</v>
          </cell>
          <cell r="N9">
            <v>19958.345585358889</v>
          </cell>
          <cell r="O9">
            <v>20755.945276785969</v>
          </cell>
          <cell r="P9">
            <v>20037.299224569968</v>
          </cell>
          <cell r="Q9">
            <v>21647.05779265676</v>
          </cell>
          <cell r="R9">
            <v>23191.176488378034</v>
          </cell>
          <cell r="S9">
            <v>23070.512380561799</v>
          </cell>
          <cell r="T9">
            <v>22247.252863443042</v>
          </cell>
          <cell r="U9">
            <v>22788.300319571681</v>
          </cell>
          <cell r="V9">
            <v>25303.40714958082</v>
          </cell>
          <cell r="W9">
            <v>24466.080204633377</v>
          </cell>
          <cell r="X9">
            <v>24283.728557810617</v>
          </cell>
          <cell r="Y9">
            <v>23661.298252076922</v>
          </cell>
          <cell r="Z9">
            <v>22544.463065022523</v>
          </cell>
          <cell r="AA9">
            <v>20903.622824881302</v>
          </cell>
        </row>
        <row r="10">
          <cell r="D10">
            <v>16215.004684776473</v>
          </cell>
          <cell r="E10">
            <v>15235.332537508366</v>
          </cell>
          <cell r="F10">
            <v>14427.307711096351</v>
          </cell>
          <cell r="G10">
            <v>13985.455059666894</v>
          </cell>
          <cell r="H10">
            <v>13730.879493376769</v>
          </cell>
          <cell r="I10">
            <v>13766.103554589765</v>
          </cell>
          <cell r="J10">
            <v>13737.490089948842</v>
          </cell>
          <cell r="K10">
            <v>15251.732780256592</v>
          </cell>
          <cell r="L10">
            <v>16697.61331479533</v>
          </cell>
          <cell r="M10">
            <v>17754.04606350599</v>
          </cell>
          <cell r="N10">
            <v>18769.812087728897</v>
          </cell>
          <cell r="O10">
            <v>19458.245755667886</v>
          </cell>
          <cell r="P10">
            <v>18130.354644870109</v>
          </cell>
          <cell r="Q10">
            <v>19936.646516474357</v>
          </cell>
          <cell r="R10">
            <v>21691.840178890681</v>
          </cell>
          <cell r="S10">
            <v>21611.316555239064</v>
          </cell>
          <cell r="T10">
            <v>20891.91350954353</v>
          </cell>
          <cell r="U10">
            <v>21202.093482331511</v>
          </cell>
          <cell r="V10">
            <v>21981.95363887613</v>
          </cell>
          <cell r="W10">
            <v>22057.776486726449</v>
          </cell>
          <cell r="X10">
            <v>21946.728163137916</v>
          </cell>
          <cell r="Y10">
            <v>21245.380942299154</v>
          </cell>
          <cell r="Z10">
            <v>19904.625362854025</v>
          </cell>
          <cell r="AA10">
            <v>18151.48542353473</v>
          </cell>
        </row>
        <row r="11">
          <cell r="D11">
            <v>15764.755962552827</v>
          </cell>
          <cell r="E11">
            <v>14804.67854380748</v>
          </cell>
          <cell r="F11">
            <v>13999.322226865164</v>
          </cell>
          <cell r="G11">
            <v>13504.812303662273</v>
          </cell>
          <cell r="H11">
            <v>13251.275955383771</v>
          </cell>
          <cell r="I11">
            <v>13423.049341024669</v>
          </cell>
          <cell r="J11">
            <v>13450.436114297503</v>
          </cell>
          <cell r="K11">
            <v>15124.459492767624</v>
          </cell>
          <cell r="L11">
            <v>16947.407826850747</v>
          </cell>
          <cell r="M11">
            <v>18273.086266697712</v>
          </cell>
          <cell r="N11">
            <v>19530.828905189785</v>
          </cell>
          <cell r="O11">
            <v>20325.75066356975</v>
          </cell>
          <cell r="P11">
            <v>18646.612704535059</v>
          </cell>
          <cell r="Q11">
            <v>20529.776396656405</v>
          </cell>
          <cell r="R11">
            <v>22253.302324278986</v>
          </cell>
          <cell r="S11">
            <v>22118.666557836143</v>
          </cell>
          <cell r="T11">
            <v>21319.851599968832</v>
          </cell>
          <cell r="U11">
            <v>21468.622749555783</v>
          </cell>
          <cell r="V11">
            <v>22241.192433771186</v>
          </cell>
          <cell r="W11">
            <v>22015.091069977923</v>
          </cell>
          <cell r="X11">
            <v>21441.201867863187</v>
          </cell>
          <cell r="Y11">
            <v>20769.740856523214</v>
          </cell>
          <cell r="Z11">
            <v>19624.638909694841</v>
          </cell>
          <cell r="AA11">
            <v>17959.075358758844</v>
          </cell>
        </row>
        <row r="12">
          <cell r="D12">
            <v>16037.312259127621</v>
          </cell>
          <cell r="E12">
            <v>15220.262598666732</v>
          </cell>
          <cell r="F12">
            <v>14501.627443551353</v>
          </cell>
          <cell r="G12">
            <v>13939.263125425032</v>
          </cell>
          <cell r="H12">
            <v>13608.015826142473</v>
          </cell>
          <cell r="I12">
            <v>13020.497545261594</v>
          </cell>
          <cell r="J12">
            <v>13533.672691994947</v>
          </cell>
          <cell r="K12">
            <v>14922.954528616025</v>
          </cell>
          <cell r="L12">
            <v>15878.822886341939</v>
          </cell>
          <cell r="M12">
            <v>16628.159125869919</v>
          </cell>
          <cell r="N12">
            <v>17392.37981678631</v>
          </cell>
          <cell r="O12">
            <v>18280.325770006664</v>
          </cell>
          <cell r="P12">
            <v>17924.483906672751</v>
          </cell>
          <cell r="Q12">
            <v>19067.537716668921</v>
          </cell>
          <cell r="R12">
            <v>19965.288108456618</v>
          </cell>
          <cell r="S12">
            <v>19310.428997869221</v>
          </cell>
          <cell r="T12">
            <v>17932.081841266754</v>
          </cell>
          <cell r="U12">
            <v>18542.617251048396</v>
          </cell>
          <cell r="V12">
            <v>20837.477793290334</v>
          </cell>
          <cell r="W12">
            <v>21296.413173041259</v>
          </cell>
          <cell r="X12">
            <v>20909.981463518412</v>
          </cell>
          <cell r="Y12">
            <v>20235.09310547811</v>
          </cell>
          <cell r="Z12">
            <v>18918.426519605749</v>
          </cell>
          <cell r="AA12">
            <v>17511.982756624839</v>
          </cell>
        </row>
        <row r="13">
          <cell r="D13">
            <v>14207.509876639342</v>
          </cell>
          <cell r="E13">
            <v>13410.407318285223</v>
          </cell>
          <cell r="F13">
            <v>12718.595878706199</v>
          </cell>
          <cell r="G13">
            <v>12232.245556890646</v>
          </cell>
          <cell r="H13">
            <v>12012.848977742373</v>
          </cell>
          <cell r="I13">
            <v>11886.256352534221</v>
          </cell>
          <cell r="J13">
            <v>12180.283906413066</v>
          </cell>
          <cell r="K13">
            <v>13837.185954994304</v>
          </cell>
          <cell r="L13">
            <v>15186.973144495674</v>
          </cell>
          <cell r="M13">
            <v>16052.182635132254</v>
          </cell>
          <cell r="N13">
            <v>17278.860206318586</v>
          </cell>
          <cell r="O13">
            <v>18290.066912661448</v>
          </cell>
          <cell r="P13">
            <v>17413.30316883713</v>
          </cell>
          <cell r="Q13">
            <v>19510.501512702107</v>
          </cell>
          <cell r="R13">
            <v>21184.419256558114</v>
          </cell>
          <cell r="S13">
            <v>20656.119246490936</v>
          </cell>
          <cell r="T13">
            <v>18984.084113652672</v>
          </cell>
          <cell r="U13">
            <v>18899.375230795897</v>
          </cell>
          <cell r="V13">
            <v>20563.804680160196</v>
          </cell>
          <cell r="W13">
            <v>20942.34996063598</v>
          </cell>
          <cell r="X13">
            <v>20783.280089606586</v>
          </cell>
          <cell r="Y13">
            <v>20130.056495630266</v>
          </cell>
          <cell r="Z13">
            <v>18517.045253492863</v>
          </cell>
          <cell r="AA13">
            <v>16777.462258277854</v>
          </cell>
        </row>
        <row r="14">
          <cell r="D14">
            <v>16347.190786900392</v>
          </cell>
          <cell r="E14">
            <v>15416.433596046254</v>
          </cell>
          <cell r="F14">
            <v>14645.248322881895</v>
          </cell>
          <cell r="G14">
            <v>14059.406978396328</v>
          </cell>
          <cell r="H14">
            <v>13826.437674667197</v>
          </cell>
          <cell r="I14">
            <v>13654.460667657144</v>
          </cell>
          <cell r="J14">
            <v>14041.288461733369</v>
          </cell>
          <cell r="K14">
            <v>15948.784701925169</v>
          </cell>
          <cell r="L14">
            <v>17676.551002166234</v>
          </cell>
          <cell r="M14">
            <v>18824.41053837899</v>
          </cell>
          <cell r="N14">
            <v>20018.427344007552</v>
          </cell>
          <cell r="O14">
            <v>20989.044915902414</v>
          </cell>
          <cell r="P14">
            <v>19316.097619324479</v>
          </cell>
          <cell r="Q14">
            <v>20917.708303568652</v>
          </cell>
          <cell r="R14">
            <v>22339.77717911085</v>
          </cell>
          <cell r="S14">
            <v>21817.664704885789</v>
          </cell>
          <cell r="T14">
            <v>20392.084267232516</v>
          </cell>
          <cell r="U14">
            <v>20628.336512253929</v>
          </cell>
          <cell r="V14">
            <v>22305.662775407403</v>
          </cell>
          <cell r="W14">
            <v>22216.239814528304</v>
          </cell>
          <cell r="X14">
            <v>21582.927974342412</v>
          </cell>
          <cell r="Y14">
            <v>20797.006559297148</v>
          </cell>
          <cell r="Z14">
            <v>19380.973863300991</v>
          </cell>
          <cell r="AA14">
            <v>17779.070345109943</v>
          </cell>
        </row>
        <row r="15">
          <cell r="D15">
            <v>14964.303731584569</v>
          </cell>
          <cell r="E15">
            <v>13889.936970844496</v>
          </cell>
          <cell r="F15">
            <v>13216.299400375543</v>
          </cell>
          <cell r="G15">
            <v>12803.704898850754</v>
          </cell>
          <cell r="H15">
            <v>12392.304667765029</v>
          </cell>
          <cell r="I15">
            <v>11627.53769102801</v>
          </cell>
          <cell r="J15">
            <v>12295.233728168643</v>
          </cell>
          <cell r="K15">
            <v>13927.301963655371</v>
          </cell>
          <cell r="L15">
            <v>15680.727935594206</v>
          </cell>
          <cell r="M15">
            <v>17154.790633954923</v>
          </cell>
          <cell r="N15">
            <v>18617.462162428852</v>
          </cell>
          <cell r="O15">
            <v>18812.32265325831</v>
          </cell>
          <cell r="P15">
            <v>17854.943959764802</v>
          </cell>
          <cell r="Q15">
            <v>18664.107658520541</v>
          </cell>
          <cell r="R15">
            <v>19245.977112076798</v>
          </cell>
          <cell r="S15">
            <v>18802.014534433114</v>
          </cell>
          <cell r="T15">
            <v>18113.35057808807</v>
          </cell>
          <cell r="U15">
            <v>17944.72731110423</v>
          </cell>
          <cell r="V15">
            <v>19529.520136380452</v>
          </cell>
          <cell r="W15">
            <v>20146.707285798122</v>
          </cell>
          <cell r="X15">
            <v>19816.020422078313</v>
          </cell>
          <cell r="Y15">
            <v>19066.918024967108</v>
          </cell>
          <cell r="Z15">
            <v>17619.295140810587</v>
          </cell>
          <cell r="AA15">
            <v>15145.157108371095</v>
          </cell>
        </row>
        <row r="16">
          <cell r="D16">
            <v>12212.781723640084</v>
          </cell>
          <cell r="E16">
            <v>11180.845262025077</v>
          </cell>
          <cell r="F16">
            <v>10554.350565719065</v>
          </cell>
          <cell r="G16">
            <v>10351.148172783638</v>
          </cell>
          <cell r="H16">
            <v>10157.566704190369</v>
          </cell>
          <cell r="I16">
            <v>10129.535816826838</v>
          </cell>
          <cell r="J16">
            <v>10607.471941548709</v>
          </cell>
          <cell r="K16">
            <v>12305.905369483589</v>
          </cell>
          <cell r="L16">
            <v>14283.354279958356</v>
          </cell>
          <cell r="M16">
            <v>15389.617978255374</v>
          </cell>
          <cell r="N16">
            <v>16308.796192267324</v>
          </cell>
          <cell r="O16">
            <v>16286.932652259316</v>
          </cell>
          <cell r="P16">
            <v>14326.77056962514</v>
          </cell>
          <cell r="Q16">
            <v>15338.767485110249</v>
          </cell>
          <cell r="R16">
            <v>16536.333040302135</v>
          </cell>
          <cell r="S16">
            <v>16324.909817383777</v>
          </cell>
          <cell r="T16">
            <v>15915.308128097269</v>
          </cell>
          <cell r="U16">
            <v>15737.709885603144</v>
          </cell>
          <cell r="V16">
            <v>16481.521294544804</v>
          </cell>
          <cell r="W16">
            <v>16621.297466703931</v>
          </cell>
          <cell r="X16">
            <v>16218.412780947705</v>
          </cell>
          <cell r="Y16">
            <v>15253.886243203553</v>
          </cell>
          <cell r="Z16">
            <v>13613.141944158204</v>
          </cell>
          <cell r="AA16">
            <v>11184.351935039203</v>
          </cell>
        </row>
        <row r="17">
          <cell r="D17">
            <v>10796.520971720231</v>
          </cell>
          <cell r="E17">
            <v>9960.7346592918475</v>
          </cell>
          <cell r="F17">
            <v>9561.2695776076034</v>
          </cell>
          <cell r="G17">
            <v>9587.6500205378361</v>
          </cell>
          <cell r="H17">
            <v>9197.4648958082453</v>
          </cell>
          <cell r="I17">
            <v>9322.4893101609014</v>
          </cell>
          <cell r="J17">
            <v>10114.802847904215</v>
          </cell>
          <cell r="K17">
            <v>12102.154774126739</v>
          </cell>
          <cell r="L17">
            <v>14254.54376295379</v>
          </cell>
          <cell r="M17">
            <v>15647.10884718562</v>
          </cell>
          <cell r="N17">
            <v>16929.01683356701</v>
          </cell>
          <cell r="O17">
            <v>17067.775990737297</v>
          </cell>
          <cell r="P17">
            <v>15562.142032432088</v>
          </cell>
          <cell r="Q17">
            <v>17128.163795382938</v>
          </cell>
          <cell r="R17">
            <v>18725.127046076417</v>
          </cell>
          <cell r="S17">
            <v>18471.786220279937</v>
          </cell>
          <cell r="T17">
            <v>17393.210782444676</v>
          </cell>
          <cell r="U17">
            <v>17012.33308472405</v>
          </cell>
          <cell r="V17">
            <v>17746.446986231396</v>
          </cell>
          <cell r="W17">
            <v>17503.475090215321</v>
          </cell>
          <cell r="X17">
            <v>16743.371345175779</v>
          </cell>
          <cell r="Y17">
            <v>15804.14959973534</v>
          </cell>
          <cell r="Z17">
            <v>14141.882852913606</v>
          </cell>
          <cell r="AA17">
            <v>11766.097150190832</v>
          </cell>
        </row>
        <row r="18">
          <cell r="D18">
            <v>11309.171824422603</v>
          </cell>
          <cell r="E18">
            <v>10806.483750223908</v>
          </cell>
          <cell r="F18">
            <v>10232.672535072052</v>
          </cell>
          <cell r="G18">
            <v>9823.0229552457586</v>
          </cell>
          <cell r="H18">
            <v>9720.8212381835001</v>
          </cell>
          <cell r="I18">
            <v>9236.3958146218756</v>
          </cell>
          <cell r="J18">
            <v>9770.2037990130211</v>
          </cell>
          <cell r="K18">
            <v>11033.261109634384</v>
          </cell>
          <cell r="L18">
            <v>11999.953591747704</v>
          </cell>
          <cell r="M18">
            <v>12921.723797571851</v>
          </cell>
          <cell r="N18">
            <v>13521.630050424306</v>
          </cell>
          <cell r="O18">
            <v>14282.760387137498</v>
          </cell>
          <cell r="P18">
            <v>13946.647020711567</v>
          </cell>
          <cell r="Q18">
            <v>14948.510833642145</v>
          </cell>
          <cell r="R18">
            <v>15543.531101973374</v>
          </cell>
          <cell r="S18">
            <v>14722.451240924896</v>
          </cell>
          <cell r="T18">
            <v>14141.280792421903</v>
          </cell>
          <cell r="U18">
            <v>14501.641212445315</v>
          </cell>
          <cell r="V18">
            <v>15356.975985234723</v>
          </cell>
          <cell r="W18">
            <v>15648.335814966487</v>
          </cell>
          <cell r="X18">
            <v>15250.285806899761</v>
          </cell>
          <cell r="Y18">
            <v>15253.625232449353</v>
          </cell>
          <cell r="Z18">
            <v>14346.144366058788</v>
          </cell>
          <cell r="AA18">
            <v>13430.668130769429</v>
          </cell>
        </row>
        <row r="19">
          <cell r="D19">
            <v>11274.043571081233</v>
          </cell>
          <cell r="E19">
            <v>10647.836912979741</v>
          </cell>
          <cell r="F19">
            <v>10041.500541037842</v>
          </cell>
          <cell r="G19">
            <v>9638.7262356991741</v>
          </cell>
          <cell r="H19">
            <v>9622.0320340800645</v>
          </cell>
          <cell r="I19">
            <v>9565.7195688000375</v>
          </cell>
          <cell r="J19">
            <v>10095.96712721828</v>
          </cell>
          <cell r="K19">
            <v>11716.178395306337</v>
          </cell>
          <cell r="L19">
            <v>12914.612818605083</v>
          </cell>
          <cell r="M19">
            <v>13568.897170953736</v>
          </cell>
          <cell r="N19">
            <v>14534.577316856812</v>
          </cell>
          <cell r="O19">
            <v>15114.722155793686</v>
          </cell>
          <cell r="P19">
            <v>13821.557196499982</v>
          </cell>
          <cell r="Q19">
            <v>14937.938038036136</v>
          </cell>
          <cell r="R19">
            <v>16194.992258933993</v>
          </cell>
          <cell r="S19">
            <v>15717.079364081237</v>
          </cell>
          <cell r="T19">
            <v>15228.565907496464</v>
          </cell>
          <cell r="U19">
            <v>15133.736622373739</v>
          </cell>
          <cell r="V19">
            <v>15315.548806761068</v>
          </cell>
          <cell r="W19">
            <v>15423.49693796119</v>
          </cell>
          <cell r="X19">
            <v>14826.712964793182</v>
          </cell>
          <cell r="Y19">
            <v>14633.587105859053</v>
          </cell>
          <cell r="Z19">
            <v>13500.817465807784</v>
          </cell>
          <cell r="AA19">
            <v>12652.198666450371</v>
          </cell>
        </row>
        <row r="20">
          <cell r="D20">
            <v>8822.6958997342917</v>
          </cell>
          <cell r="E20">
            <v>8421.7784719101237</v>
          </cell>
          <cell r="F20">
            <v>8031.3183344496902</v>
          </cell>
          <cell r="G20">
            <v>7927.6123637070841</v>
          </cell>
          <cell r="H20">
            <v>8164.9416674273389</v>
          </cell>
          <cell r="I20">
            <v>8449.3051065974141</v>
          </cell>
          <cell r="J20">
            <v>9231.39258520769</v>
          </cell>
          <cell r="K20">
            <v>11051.88678056406</v>
          </cell>
          <cell r="L20">
            <v>12493.489251558753</v>
          </cell>
          <cell r="M20">
            <v>12972.143720347611</v>
          </cell>
          <cell r="N20">
            <v>13297.113292079992</v>
          </cell>
          <cell r="O20">
            <v>13575.778292048713</v>
          </cell>
          <cell r="P20">
            <v>11824.85215105072</v>
          </cell>
          <cell r="Q20">
            <v>12766.386694284653</v>
          </cell>
          <cell r="R20">
            <v>14143.538724234602</v>
          </cell>
          <cell r="S20">
            <v>14090.609521897701</v>
          </cell>
          <cell r="T20">
            <v>14028.51331789494</v>
          </cell>
          <cell r="U20">
            <v>14445.330639746488</v>
          </cell>
          <cell r="V20">
            <v>14185.741358900437</v>
          </cell>
          <cell r="W20">
            <v>13145.947970704836</v>
          </cell>
          <cell r="X20">
            <v>11963.549408606706</v>
          </cell>
          <cell r="Y20">
            <v>11692.9458687674</v>
          </cell>
          <cell r="Z20">
            <v>10742.601907348899</v>
          </cell>
          <cell r="AA20">
            <v>10201.453881840176</v>
          </cell>
        </row>
        <row r="21">
          <cell r="D21">
            <v>12009.765464565131</v>
          </cell>
          <cell r="E21">
            <v>11224.852345832367</v>
          </cell>
          <cell r="F21">
            <v>10892.972337330651</v>
          </cell>
          <cell r="G21">
            <v>10341.878593937508</v>
          </cell>
          <cell r="H21">
            <v>9977.361280041112</v>
          </cell>
          <cell r="I21">
            <v>8987.4382485651022</v>
          </cell>
          <cell r="J21">
            <v>9575.2338973403785</v>
          </cell>
          <cell r="K21">
            <v>10163.951970460737</v>
          </cell>
          <cell r="L21">
            <v>11096.033719547118</v>
          </cell>
          <cell r="M21">
            <v>11725.986150125298</v>
          </cell>
          <cell r="N21">
            <v>12474.462278928904</v>
          </cell>
          <cell r="O21">
            <v>13387.873491195742</v>
          </cell>
          <cell r="P21">
            <v>13187.622073570641</v>
          </cell>
          <cell r="Q21">
            <v>14165.858525727128</v>
          </cell>
          <cell r="R21">
            <v>14730.533353001003</v>
          </cell>
          <cell r="S21">
            <v>14204.729957357415</v>
          </cell>
          <cell r="T21">
            <v>13297.877884168884</v>
          </cell>
          <cell r="U21">
            <v>13523.027946185121</v>
          </cell>
          <cell r="V21">
            <v>14719.058896890512</v>
          </cell>
          <cell r="W21">
            <v>15338.969062802204</v>
          </cell>
          <cell r="X21">
            <v>14955.408756524801</v>
          </cell>
          <cell r="Y21">
            <v>14812.667341673812</v>
          </cell>
          <cell r="Z21">
            <v>14419.540659496037</v>
          </cell>
          <cell r="AA21">
            <v>13469.500909559485</v>
          </cell>
        </row>
        <row r="22">
          <cell r="D22">
            <v>9042.7070464243407</v>
          </cell>
          <cell r="E22">
            <v>8426.0192410595064</v>
          </cell>
          <cell r="F22">
            <v>8129.7310250328783</v>
          </cell>
          <cell r="G22">
            <v>7745.7439092603618</v>
          </cell>
          <cell r="H22">
            <v>7734.9899721368729</v>
          </cell>
          <cell r="I22">
            <v>7752.8945038440288</v>
          </cell>
          <cell r="J22">
            <v>8371.2397188414161</v>
          </cell>
          <cell r="K22">
            <v>9140.9637660257595</v>
          </cell>
          <cell r="L22">
            <v>10524.500969501034</v>
          </cell>
          <cell r="M22">
            <v>11004.17208269834</v>
          </cell>
          <cell r="N22">
            <v>11769.769187220596</v>
          </cell>
          <cell r="O22">
            <v>12621.956492452149</v>
          </cell>
          <cell r="P22">
            <v>11371.156288800346</v>
          </cell>
          <cell r="Q22">
            <v>12718.823167819071</v>
          </cell>
          <cell r="R22">
            <v>14429.042297823067</v>
          </cell>
          <cell r="S22">
            <v>14736.973328974373</v>
          </cell>
          <cell r="T22">
            <v>14012.949704261648</v>
          </cell>
          <cell r="U22">
            <v>13520.332184689501</v>
          </cell>
          <cell r="V22">
            <v>13877.201940103045</v>
          </cell>
          <cell r="W22">
            <v>14740.816190455003</v>
          </cell>
          <cell r="X22">
            <v>14404.63682642552</v>
          </cell>
          <cell r="Y22">
            <v>14128.537394410096</v>
          </cell>
          <cell r="Z22">
            <v>13131.340205932083</v>
          </cell>
          <cell r="AA22">
            <v>11914.710453851043</v>
          </cell>
        </row>
        <row r="23">
          <cell r="D23">
            <v>10268.700815647708</v>
          </cell>
          <cell r="E23">
            <v>9649.6091345173882</v>
          </cell>
          <cell r="F23">
            <v>9422.9463904808272</v>
          </cell>
          <cell r="G23">
            <v>8978.140643978797</v>
          </cell>
          <cell r="H23">
            <v>8877.0957972758461</v>
          </cell>
          <cell r="I23">
            <v>8887.9120509852146</v>
          </cell>
          <cell r="J23">
            <v>9641.6492305017982</v>
          </cell>
          <cell r="K23">
            <v>10706.933014799346</v>
          </cell>
          <cell r="L23">
            <v>12400.878747305364</v>
          </cell>
          <cell r="M23">
            <v>12996.879703467002</v>
          </cell>
          <cell r="N23">
            <v>13838.109425060988</v>
          </cell>
          <cell r="O23">
            <v>14546.366906740883</v>
          </cell>
          <cell r="P23">
            <v>12959.824165811344</v>
          </cell>
          <cell r="Q23">
            <v>14034.539607753799</v>
          </cell>
          <cell r="R23">
            <v>15731.140832077752</v>
          </cell>
          <cell r="S23">
            <v>15644.21599473939</v>
          </cell>
          <cell r="T23">
            <v>14808.8313349726</v>
          </cell>
          <cell r="U23">
            <v>14633.755555273481</v>
          </cell>
          <cell r="V23">
            <v>14907.947859867128</v>
          </cell>
          <cell r="W23">
            <v>14740.179631724466</v>
          </cell>
          <cell r="X23">
            <v>14295.449727509333</v>
          </cell>
          <cell r="Y23">
            <v>14412.284865638554</v>
          </cell>
          <cell r="Z23">
            <v>13872.188387062426</v>
          </cell>
          <cell r="AA23">
            <v>12771.028769908731</v>
          </cell>
        </row>
        <row r="24">
          <cell r="D24">
            <v>13168.251288156913</v>
          </cell>
          <cell r="E24">
            <v>12537.666728043498</v>
          </cell>
          <cell r="F24">
            <v>11899.26490372536</v>
          </cell>
          <cell r="G24">
            <v>11230.471097687481</v>
          </cell>
          <cell r="H24">
            <v>11063.341459527262</v>
          </cell>
          <cell r="I24">
            <v>10384.172686405442</v>
          </cell>
          <cell r="J24">
            <v>10805.16257971393</v>
          </cell>
          <cell r="K24">
            <v>12452.117620649475</v>
          </cell>
          <cell r="L24">
            <v>14264.968388112138</v>
          </cell>
          <cell r="M24">
            <v>15109.801923713778</v>
          </cell>
          <cell r="N24">
            <v>16389.341504069718</v>
          </cell>
          <cell r="O24">
            <v>17419.182370968643</v>
          </cell>
          <cell r="P24">
            <v>16493.230117091585</v>
          </cell>
          <cell r="Q24">
            <v>17768.017549423908</v>
          </cell>
          <cell r="R24">
            <v>18805.237208968283</v>
          </cell>
          <cell r="S24">
            <v>18293.028575274777</v>
          </cell>
          <cell r="T24">
            <v>17430.962228515455</v>
          </cell>
          <cell r="U24">
            <v>17805.996621880877</v>
          </cell>
          <cell r="V24">
            <v>18371.285930011298</v>
          </cell>
          <cell r="W24">
            <v>18798.809005385745</v>
          </cell>
          <cell r="X24">
            <v>18485.382645924215</v>
          </cell>
          <cell r="Y24">
            <v>18226.612674309075</v>
          </cell>
          <cell r="Z24">
            <v>17400.574454687201</v>
          </cell>
          <cell r="AA24">
            <v>16029.04522044642</v>
          </cell>
        </row>
        <row r="25">
          <cell r="D25">
            <v>14264.41824660396</v>
          </cell>
          <cell r="E25">
            <v>13535.119444199498</v>
          </cell>
          <cell r="F25">
            <v>12922.836140621161</v>
          </cell>
          <cell r="G25">
            <v>12200.456054946049</v>
          </cell>
          <cell r="H25">
            <v>12071.87258088246</v>
          </cell>
          <cell r="I25">
            <v>11876.747947506392</v>
          </cell>
          <cell r="J25">
            <v>12133.982359863321</v>
          </cell>
          <cell r="K25">
            <v>14061.378153177475</v>
          </cell>
          <cell r="L25">
            <v>15996.516425669139</v>
          </cell>
          <cell r="M25">
            <v>16905.680310295393</v>
          </cell>
          <cell r="N25">
            <v>18090.686659701609</v>
          </cell>
          <cell r="O25">
            <v>18895.359783096217</v>
          </cell>
          <cell r="P25">
            <v>17209.738375352554</v>
          </cell>
          <cell r="Q25">
            <v>18671.818085940839</v>
          </cell>
          <cell r="R25">
            <v>19893.234221735616</v>
          </cell>
          <cell r="S25">
            <v>19781.573996878524</v>
          </cell>
          <cell r="T25">
            <v>19106.147708317087</v>
          </cell>
          <cell r="U25">
            <v>19305.302931221457</v>
          </cell>
          <cell r="V25">
            <v>19965.011905103671</v>
          </cell>
          <cell r="W25">
            <v>20373.165224827233</v>
          </cell>
          <cell r="X25">
            <v>19965.826303252725</v>
          </cell>
          <cell r="Y25">
            <v>19521.320773884898</v>
          </cell>
          <cell r="Z25">
            <v>18125.219114967043</v>
          </cell>
          <cell r="AA25">
            <v>16386.987074483644</v>
          </cell>
        </row>
        <row r="26">
          <cell r="D26">
            <v>9291.3851889698544</v>
          </cell>
          <cell r="E26">
            <v>8775.4633120842409</v>
          </cell>
          <cell r="F26">
            <v>8284.8967439412045</v>
          </cell>
          <cell r="G26">
            <v>7751.3370068704007</v>
          </cell>
          <cell r="H26">
            <v>7762.9719704683102</v>
          </cell>
          <cell r="I26">
            <v>7850.3043387664138</v>
          </cell>
          <cell r="J26">
            <v>8277.7210901562066</v>
          </cell>
          <cell r="K26">
            <v>10066.622241654048</v>
          </cell>
          <cell r="L26">
            <v>12068.056875923905</v>
          </cell>
          <cell r="M26">
            <v>12984.024941515376</v>
          </cell>
          <cell r="N26">
            <v>14182.844502383097</v>
          </cell>
          <cell r="O26">
            <v>14868.646514220969</v>
          </cell>
          <cell r="P26">
            <v>12795.378345012274</v>
          </cell>
          <cell r="Q26">
            <v>14338.846569520352</v>
          </cell>
          <cell r="R26">
            <v>15952.356316587757</v>
          </cell>
          <cell r="S26">
            <v>15773.849833187029</v>
          </cell>
          <cell r="T26">
            <v>15036.285497392573</v>
          </cell>
          <cell r="U26">
            <v>15058.856094583398</v>
          </cell>
          <cell r="V26">
            <v>14741.255665650318</v>
          </cell>
          <cell r="W26">
            <v>14401.287757683573</v>
          </cell>
          <cell r="X26">
            <v>13568.808617699251</v>
          </cell>
          <cell r="Y26">
            <v>13192.800053304434</v>
          </cell>
          <cell r="Z26">
            <v>12462.267207072679</v>
          </cell>
          <cell r="AA26">
            <v>11309.930297597393</v>
          </cell>
        </row>
        <row r="27">
          <cell r="D27">
            <v>15984.214368414463</v>
          </cell>
          <cell r="E27">
            <v>15164.160900174831</v>
          </cell>
          <cell r="F27">
            <v>14247.371602050955</v>
          </cell>
          <cell r="G27">
            <v>13656.992039850657</v>
          </cell>
          <cell r="H27">
            <v>13302.288968691129</v>
          </cell>
          <cell r="I27">
            <v>12793.989261781238</v>
          </cell>
          <cell r="J27">
            <v>12724.345722876136</v>
          </cell>
          <cell r="K27">
            <v>14756.565121070889</v>
          </cell>
          <cell r="L27">
            <v>17140.367755016276</v>
          </cell>
          <cell r="M27">
            <v>18660.727188234352</v>
          </cell>
          <cell r="N27">
            <v>19942.91356261721</v>
          </cell>
          <cell r="O27">
            <v>20856.20195001769</v>
          </cell>
          <cell r="P27">
            <v>19828.131650561725</v>
          </cell>
          <cell r="Q27">
            <v>21463.92088588377</v>
          </cell>
          <cell r="R27">
            <v>22195.697035221925</v>
          </cell>
          <cell r="S27">
            <v>21502.203326007701</v>
          </cell>
          <cell r="T27">
            <v>20043.257731771031</v>
          </cell>
          <cell r="U27">
            <v>20021.703350553442</v>
          </cell>
          <cell r="V27">
            <v>21160.609378613404</v>
          </cell>
          <cell r="W27">
            <v>21409.050185080632</v>
          </cell>
          <cell r="X27">
            <v>21200.775330507578</v>
          </cell>
          <cell r="Y27">
            <v>21243.971765793678</v>
          </cell>
          <cell r="Z27">
            <v>19781.700435553299</v>
          </cell>
          <cell r="AA27">
            <v>18177.087499994297</v>
          </cell>
        </row>
        <row r="28">
          <cell r="D28">
            <v>14876.329633166402</v>
          </cell>
          <cell r="E28">
            <v>14061.809772480934</v>
          </cell>
          <cell r="F28">
            <v>13144.368317960205</v>
          </cell>
          <cell r="G28">
            <v>12578.994427040687</v>
          </cell>
          <cell r="H28">
            <v>12461.494115289202</v>
          </cell>
          <cell r="I28">
            <v>12462.435465089666</v>
          </cell>
          <cell r="J28">
            <v>12509.597041240691</v>
          </cell>
          <cell r="K28">
            <v>15142.46725591402</v>
          </cell>
          <cell r="L28">
            <v>17729.743579905549</v>
          </cell>
          <cell r="M28">
            <v>19336.500284767088</v>
          </cell>
          <cell r="N28">
            <v>20525.092246698994</v>
          </cell>
          <cell r="O28">
            <v>21663.283817211443</v>
          </cell>
          <cell r="P28">
            <v>19966.926575152305</v>
          </cell>
          <cell r="Q28">
            <v>22035.106470939987</v>
          </cell>
          <cell r="R28">
            <v>23297.624955062263</v>
          </cell>
          <cell r="S28">
            <v>22700.975824547659</v>
          </cell>
          <cell r="T28">
            <v>21182.252323536468</v>
          </cell>
          <cell r="U28">
            <v>20661.262099297524</v>
          </cell>
          <cell r="V28">
            <v>21222.571833905571</v>
          </cell>
          <cell r="W28">
            <v>21228.710452843534</v>
          </cell>
          <cell r="X28">
            <v>21078.510903659928</v>
          </cell>
          <cell r="Y28">
            <v>21008.71525984156</v>
          </cell>
          <cell r="Z28">
            <v>19143.86361691411</v>
          </cell>
          <cell r="AA28">
            <v>17284.550914820433</v>
          </cell>
        </row>
        <row r="29">
          <cell r="D29">
            <v>12817.847900416113</v>
          </cell>
          <cell r="E29">
            <v>12052.222333272141</v>
          </cell>
          <cell r="F29">
            <v>11209.275924569167</v>
          </cell>
          <cell r="G29">
            <v>10731.825684172083</v>
          </cell>
          <cell r="H29">
            <v>10556.554222187571</v>
          </cell>
          <cell r="I29">
            <v>10473.490806518634</v>
          </cell>
          <cell r="J29">
            <v>10754.258447257576</v>
          </cell>
          <cell r="K29">
            <v>13106.426770176022</v>
          </cell>
          <cell r="L29">
            <v>15949.074170473881</v>
          </cell>
          <cell r="M29">
            <v>17767.010490735549</v>
          </cell>
          <cell r="N29">
            <v>19148.797357388139</v>
          </cell>
          <cell r="O29">
            <v>20280.875480437524</v>
          </cell>
          <cell r="P29">
            <v>18692.109052861299</v>
          </cell>
          <cell r="Q29">
            <v>20751.115519005838</v>
          </cell>
          <cell r="R29">
            <v>22048.999981541303</v>
          </cell>
          <cell r="S29">
            <v>21379.843760787473</v>
          </cell>
          <cell r="T29">
            <v>19703.277466359148</v>
          </cell>
          <cell r="U29">
            <v>19323.638414123572</v>
          </cell>
          <cell r="V29">
            <v>19376.575533269075</v>
          </cell>
          <cell r="W29">
            <v>18974.162476135749</v>
          </cell>
          <cell r="X29">
            <v>18521.891114744572</v>
          </cell>
          <cell r="Y29">
            <v>18339.951942270334</v>
          </cell>
          <cell r="Z29">
            <v>17075.93220712024</v>
          </cell>
          <cell r="AA29">
            <v>15428.993788010022</v>
          </cell>
        </row>
        <row r="30">
          <cell r="D30">
            <v>17439.20145000023</v>
          </cell>
          <cell r="E30">
            <v>16162.601258925022</v>
          </cell>
          <cell r="F30">
            <v>15448.602646603984</v>
          </cell>
          <cell r="G30">
            <v>14353.957293388439</v>
          </cell>
          <cell r="H30">
            <v>14458.247829265672</v>
          </cell>
          <cell r="I30">
            <v>13488.817391095508</v>
          </cell>
          <cell r="J30">
            <v>14201.314711520958</v>
          </cell>
          <cell r="K30">
            <v>14222.636324678355</v>
          </cell>
          <cell r="L30">
            <v>15631.376197750633</v>
          </cell>
          <cell r="M30">
            <v>16660.910974506769</v>
          </cell>
          <cell r="N30">
            <v>17827.390780101217</v>
          </cell>
          <cell r="O30">
            <v>18994.79467701316</v>
          </cell>
          <cell r="P30">
            <v>18411.078730557892</v>
          </cell>
          <cell r="Q30">
            <v>19233.591639071215</v>
          </cell>
          <cell r="R30">
            <v>20202.204089432682</v>
          </cell>
          <cell r="S30">
            <v>19452.70807783588</v>
          </cell>
          <cell r="T30">
            <v>18419.020435053662</v>
          </cell>
          <cell r="U30">
            <v>19506.80241143595</v>
          </cell>
          <cell r="V30">
            <v>21875.51690560715</v>
          </cell>
          <cell r="W30">
            <v>22794.718961934093</v>
          </cell>
          <cell r="X30">
            <v>22747.782937507793</v>
          </cell>
          <cell r="Y30">
            <v>21992.943784782779</v>
          </cell>
          <cell r="Z30">
            <v>20751.02387144748</v>
          </cell>
          <cell r="AA30">
            <v>19079.262247737635</v>
          </cell>
        </row>
        <row r="31">
          <cell r="D31">
            <v>13320.315653000258</v>
          </cell>
          <cell r="E31">
            <v>12253.26892140217</v>
          </cell>
          <cell r="F31">
            <v>11712.984391235403</v>
          </cell>
          <cell r="G31">
            <v>10883.052708850762</v>
          </cell>
          <cell r="H31">
            <v>11447.173627431077</v>
          </cell>
          <cell r="I31">
            <v>10882.023561276896</v>
          </cell>
          <cell r="J31">
            <v>11667.152982704263</v>
          </cell>
          <cell r="K31">
            <v>12260.158546439616</v>
          </cell>
          <cell r="L31">
            <v>14380.319877055668</v>
          </cell>
          <cell r="M31">
            <v>15521.638248100413</v>
          </cell>
          <cell r="N31">
            <v>17042.27584222133</v>
          </cell>
          <cell r="O31">
            <v>18175.054219795613</v>
          </cell>
          <cell r="P31">
            <v>16909.028345583691</v>
          </cell>
          <cell r="Q31">
            <v>18408.971980241193</v>
          </cell>
          <cell r="R31">
            <v>19505.307889682328</v>
          </cell>
          <cell r="S31">
            <v>18619.711857394144</v>
          </cell>
          <cell r="T31">
            <v>17535.212416962677</v>
          </cell>
          <cell r="U31">
            <v>18165.775258962763</v>
          </cell>
          <cell r="V31">
            <v>19459.988305842558</v>
          </cell>
          <cell r="W31">
            <v>19808.044042754871</v>
          </cell>
          <cell r="X31">
            <v>20495.610511368737</v>
          </cell>
          <cell r="Y31">
            <v>19474.284151851458</v>
          </cell>
          <cell r="Z31">
            <v>18220.473425470707</v>
          </cell>
          <cell r="AA31">
            <v>16360.008269545397</v>
          </cell>
        </row>
        <row r="32">
          <cell r="D32">
            <v>13982.6438048249</v>
          </cell>
          <cell r="E32">
            <v>12793.68356846033</v>
          </cell>
          <cell r="F32">
            <v>12081.15027163235</v>
          </cell>
          <cell r="G32">
            <v>11116.052994488811</v>
          </cell>
          <cell r="H32">
            <v>11357.583810278005</v>
          </cell>
          <cell r="I32">
            <v>10976.876508136687</v>
          </cell>
          <cell r="J32">
            <v>11688.103196334723</v>
          </cell>
          <cell r="K32">
            <v>12273.920987678706</v>
          </cell>
          <cell r="L32">
            <v>14663.591000368222</v>
          </cell>
          <cell r="M32">
            <v>16222.9869125315</v>
          </cell>
          <cell r="N32">
            <v>17838.935409853988</v>
          </cell>
          <cell r="O32">
            <v>18890.698591977191</v>
          </cell>
          <cell r="P32">
            <v>17204.379285510106</v>
          </cell>
          <cell r="Q32">
            <v>18694.643288062656</v>
          </cell>
          <cell r="R32">
            <v>20033.47190466266</v>
          </cell>
          <cell r="S32">
            <v>19332.087460482304</v>
          </cell>
          <cell r="T32">
            <v>18721.527011517577</v>
          </cell>
          <cell r="U32">
            <v>19061.473359681277</v>
          </cell>
          <cell r="V32">
            <v>20506.221605422186</v>
          </cell>
          <cell r="W32">
            <v>20637.198413973638</v>
          </cell>
          <cell r="X32">
            <v>20932.156007002093</v>
          </cell>
          <cell r="Y32">
            <v>19852.403480537381</v>
          </cell>
          <cell r="Z32">
            <v>18721.808959249935</v>
          </cell>
          <cell r="AA32">
            <v>16843.866567239635</v>
          </cell>
        </row>
        <row r="33">
          <cell r="D33">
            <v>17054.512315281492</v>
          </cell>
          <cell r="E33">
            <v>15857.282217445949</v>
          </cell>
          <cell r="F33">
            <v>15108.598697306203</v>
          </cell>
          <cell r="G33">
            <v>14573.044469544311</v>
          </cell>
          <cell r="H33">
            <v>14167.651102902742</v>
          </cell>
          <cell r="I33">
            <v>13659.347411529399</v>
          </cell>
          <cell r="J33">
            <v>13957.012310043727</v>
          </cell>
          <cell r="K33">
            <v>15587.876733481888</v>
          </cell>
          <cell r="L33">
            <v>16914.923798943899</v>
          </cell>
          <cell r="M33">
            <v>17927.205167559579</v>
          </cell>
          <cell r="N33">
            <v>18967.705986636578</v>
          </cell>
          <cell r="O33">
            <v>20140.192533295547</v>
          </cell>
          <cell r="P33">
            <v>19531.230911684426</v>
          </cell>
          <cell r="Q33">
            <v>20432.991017025699</v>
          </cell>
          <cell r="R33">
            <v>21171.13081275516</v>
          </cell>
          <cell r="S33">
            <v>21069.392211671686</v>
          </cell>
          <cell r="T33">
            <v>19968.831477603479</v>
          </cell>
          <cell r="U33">
            <v>21524.360677464883</v>
          </cell>
          <cell r="V33">
            <v>22612.622643838728</v>
          </cell>
          <cell r="W33">
            <v>22304.44889269273</v>
          </cell>
          <cell r="X33">
            <v>22366.710498597633</v>
          </cell>
          <cell r="Y33">
            <v>21733.730769568338</v>
          </cell>
          <cell r="Z33">
            <v>20434.040979913214</v>
          </cell>
          <cell r="AA33">
            <v>19364.975549384846</v>
          </cell>
        </row>
        <row r="34">
          <cell r="D34">
            <v>15753.249501209606</v>
          </cell>
          <cell r="E34">
            <v>14426.510322590249</v>
          </cell>
          <cell r="F34">
            <v>13617.343134978884</v>
          </cell>
          <cell r="G34">
            <v>13071.190247408633</v>
          </cell>
          <cell r="H34">
            <v>12762.512929214043</v>
          </cell>
          <cell r="I34">
            <v>12561.501197273632</v>
          </cell>
          <cell r="J34">
            <v>12862.248243105605</v>
          </cell>
          <cell r="K34">
            <v>14763.627412113066</v>
          </cell>
          <cell r="L34">
            <v>16533.143492147767</v>
          </cell>
          <cell r="M34">
            <v>17494.30347690537</v>
          </cell>
          <cell r="N34">
            <v>18284.201722027963</v>
          </cell>
          <cell r="O34">
            <v>19215.105033747408</v>
          </cell>
          <cell r="P34">
            <v>17776.428831169585</v>
          </cell>
          <cell r="Q34">
            <v>19163.776577158264</v>
          </cell>
          <cell r="R34">
            <v>20401.89951148814</v>
          </cell>
          <cell r="S34">
            <v>20217.253110756541</v>
          </cell>
          <cell r="T34">
            <v>19256.024361847016</v>
          </cell>
          <cell r="U34">
            <v>20289.019313517463</v>
          </cell>
          <cell r="V34">
            <v>20625.411109939334</v>
          </cell>
          <cell r="W34">
            <v>20108.08437504631</v>
          </cell>
          <cell r="X34">
            <v>20042.158532260091</v>
          </cell>
          <cell r="Y34">
            <v>19188.91936328934</v>
          </cell>
          <cell r="Z34">
            <v>17731.693313618747</v>
          </cell>
          <cell r="AA34">
            <v>16414.846068586554</v>
          </cell>
        </row>
        <row r="35">
          <cell r="D35">
            <v>13943.864563759909</v>
          </cell>
          <cell r="E35">
            <v>12846.913369757714</v>
          </cell>
          <cell r="F35">
            <v>12221.104503777262</v>
          </cell>
          <cell r="G35">
            <v>11751.65116302712</v>
          </cell>
          <cell r="H35">
            <v>11481.050479072348</v>
          </cell>
          <cell r="I35">
            <v>11596.367898934543</v>
          </cell>
          <cell r="J35">
            <v>12106.01167751739</v>
          </cell>
          <cell r="K35">
            <v>14506.487128274057</v>
          </cell>
          <cell r="L35">
            <v>16705.388774454328</v>
          </cell>
          <cell r="M35">
            <v>18277.336356028874</v>
          </cell>
          <cell r="N35">
            <v>19609.592128004253</v>
          </cell>
          <cell r="O35">
            <v>20736.446628204238</v>
          </cell>
          <cell r="P35">
            <v>18894.040443164791</v>
          </cell>
          <cell r="Q35">
            <v>20233.77168506803</v>
          </cell>
          <cell r="R35">
            <v>21391.310130439986</v>
          </cell>
          <cell r="S35">
            <v>21105.011177598542</v>
          </cell>
          <cell r="T35">
            <v>19774.315548669685</v>
          </cell>
          <cell r="U35">
            <v>20794.412206973</v>
          </cell>
          <cell r="V35">
            <v>21172.12760364747</v>
          </cell>
          <cell r="W35">
            <v>20624.208567895774</v>
          </cell>
          <cell r="X35">
            <v>20563.863085916175</v>
          </cell>
          <cell r="Y35">
            <v>20594.936608388107</v>
          </cell>
          <cell r="Z35">
            <v>19647.428720481363</v>
          </cell>
          <cell r="AA35">
            <v>17864.768784629869</v>
          </cell>
        </row>
        <row r="36">
          <cell r="D36">
            <v>18866.518545791812</v>
          </cell>
          <cell r="E36">
            <v>17916.793979829497</v>
          </cell>
          <cell r="F36">
            <v>17094.164199726296</v>
          </cell>
          <cell r="G36">
            <v>16315.072010334659</v>
          </cell>
          <cell r="H36">
            <v>15705.784624318816</v>
          </cell>
          <cell r="I36">
            <v>15518.386506670755</v>
          </cell>
          <cell r="J36">
            <v>15482.466121227986</v>
          </cell>
          <cell r="K36">
            <v>16811.272142384139</v>
          </cell>
          <cell r="L36">
            <v>18305.138348322609</v>
          </cell>
          <cell r="M36">
            <v>19491.451094533924</v>
          </cell>
          <cell r="N36">
            <v>20609.34424732592</v>
          </cell>
          <cell r="O36">
            <v>21876.208310991671</v>
          </cell>
          <cell r="P36">
            <v>21095.788802651819</v>
          </cell>
          <cell r="Q36">
            <v>22543.915776148184</v>
          </cell>
          <cell r="R36">
            <v>23981.097433953804</v>
          </cell>
          <cell r="S36">
            <v>23648.814156743152</v>
          </cell>
          <cell r="T36">
            <v>22277.740678559858</v>
          </cell>
          <cell r="U36">
            <v>23723.69629746108</v>
          </cell>
          <cell r="V36">
            <v>24745.706614017356</v>
          </cell>
          <cell r="W36">
            <v>24427.539332004253</v>
          </cell>
          <cell r="X36">
            <v>23818.681397101056</v>
          </cell>
          <cell r="Y36">
            <v>23250.38896538183</v>
          </cell>
          <cell r="Z36">
            <v>22434.373286345166</v>
          </cell>
          <cell r="AA36">
            <v>21306.683300258428</v>
          </cell>
        </row>
        <row r="37">
          <cell r="D37">
            <v>18397.075726889747</v>
          </cell>
          <cell r="E37">
            <v>17483.816390388918</v>
          </cell>
          <cell r="F37">
            <v>16641.534402985912</v>
          </cell>
          <cell r="G37">
            <v>15872.76940544951</v>
          </cell>
          <cell r="H37">
            <v>15301.091036443462</v>
          </cell>
          <cell r="I37">
            <v>15242.076391841621</v>
          </cell>
          <cell r="J37">
            <v>15148.095559339459</v>
          </cell>
          <cell r="K37">
            <v>16866.878492048058</v>
          </cell>
          <cell r="L37">
            <v>18714.905140143586</v>
          </cell>
          <cell r="M37">
            <v>20009.802457680606</v>
          </cell>
          <cell r="N37">
            <v>21236.32974396168</v>
          </cell>
          <cell r="O37">
            <v>22612.527156278353</v>
          </cell>
          <cell r="P37">
            <v>21278.163529426751</v>
          </cell>
          <cell r="Q37">
            <v>23180.680607342412</v>
          </cell>
          <cell r="R37">
            <v>25135.505603620535</v>
          </cell>
          <cell r="S37">
            <v>24776.568813961865</v>
          </cell>
          <cell r="T37">
            <v>23233.69648234373</v>
          </cell>
          <cell r="U37">
            <v>24166.103219347206</v>
          </cell>
          <cell r="V37">
            <v>24866.608714122449</v>
          </cell>
          <cell r="W37">
            <v>24394.43243131469</v>
          </cell>
          <cell r="X37">
            <v>24017.718119271874</v>
          </cell>
          <cell r="Y37">
            <v>23527.463141669501</v>
          </cell>
          <cell r="Z37">
            <v>22480.195160052794</v>
          </cell>
          <cell r="AA37">
            <v>21029.162348307022</v>
          </cell>
        </row>
        <row r="38">
          <cell r="D38">
            <v>17081.706390852509</v>
          </cell>
          <cell r="E38">
            <v>16105.851239629228</v>
          </cell>
          <cell r="F38">
            <v>15274.361812587991</v>
          </cell>
          <cell r="G38">
            <v>14510.688593770838</v>
          </cell>
          <cell r="H38">
            <v>14055.231366209426</v>
          </cell>
          <cell r="I38">
            <v>14224.583200635703</v>
          </cell>
          <cell r="J38">
            <v>14432.963335857963</v>
          </cell>
          <cell r="K38">
            <v>16110.277302613746</v>
          </cell>
          <cell r="L38">
            <v>18122.787073146013</v>
          </cell>
          <cell r="M38">
            <v>19544.143341791139</v>
          </cell>
          <cell r="N38">
            <v>20897.305792663385</v>
          </cell>
          <cell r="O38">
            <v>22244.643253448274</v>
          </cell>
          <cell r="P38">
            <v>20772.358332530745</v>
          </cell>
          <cell r="Q38">
            <v>22637.826496605427</v>
          </cell>
          <cell r="R38">
            <v>24429.659617743393</v>
          </cell>
          <cell r="S38">
            <v>23961.892924509073</v>
          </cell>
          <cell r="T38">
            <v>22481.8742010225</v>
          </cell>
          <cell r="U38">
            <v>23605.860619370538</v>
          </cell>
          <cell r="V38">
            <v>23826.372424966317</v>
          </cell>
          <cell r="W38">
            <v>23083.810213856537</v>
          </cell>
          <cell r="X38">
            <v>22336.028205947307</v>
          </cell>
          <cell r="Y38">
            <v>21867.078578889654</v>
          </cell>
          <cell r="Z38">
            <v>21022.146934781184</v>
          </cell>
          <cell r="AA38">
            <v>19656.494865690689</v>
          </cell>
        </row>
        <row r="39">
          <cell r="D39">
            <v>13348.813233315816</v>
          </cell>
          <cell r="E39">
            <v>12602.250498521918</v>
          </cell>
          <cell r="F39">
            <v>12029.223219325597</v>
          </cell>
          <cell r="G39">
            <v>11530.950444667973</v>
          </cell>
          <cell r="H39">
            <v>11133.577481938986</v>
          </cell>
          <cell r="I39">
            <v>10708.457821715108</v>
          </cell>
          <cell r="J39">
            <v>10531.475774491593</v>
          </cell>
          <cell r="K39">
            <v>11721.757770014243</v>
          </cell>
          <cell r="L39">
            <v>12583.475908732244</v>
          </cell>
          <cell r="M39">
            <v>13278.531420563084</v>
          </cell>
          <cell r="N39">
            <v>13145.511542595341</v>
          </cell>
          <cell r="O39">
            <v>13037.151285978272</v>
          </cell>
          <cell r="P39">
            <v>13149.914789835606</v>
          </cell>
          <cell r="Q39">
            <v>12989.05422500414</v>
          </cell>
          <cell r="R39">
            <v>12843.560363308608</v>
          </cell>
          <cell r="S39">
            <v>12869.081456528242</v>
          </cell>
          <cell r="T39">
            <v>12960.338711429329</v>
          </cell>
          <cell r="U39">
            <v>12977.135039183779</v>
          </cell>
          <cell r="V39">
            <v>12583.177931092003</v>
          </cell>
          <cell r="W39">
            <v>12524.184100614597</v>
          </cell>
          <cell r="X39">
            <v>12588.015406166092</v>
          </cell>
          <cell r="Y39">
            <v>12714.98978916383</v>
          </cell>
          <cell r="Z39">
            <v>12960.126880477706</v>
          </cell>
          <cell r="AA39">
            <v>13181.090313852523</v>
          </cell>
        </row>
        <row r="40">
          <cell r="D40">
            <v>12745.663957572542</v>
          </cell>
          <cell r="E40">
            <v>11764.866634017493</v>
          </cell>
          <cell r="F40">
            <v>11219.929704905493</v>
          </cell>
          <cell r="G40">
            <v>10714.825156773217</v>
          </cell>
          <cell r="H40">
            <v>10454.803960364259</v>
          </cell>
          <cell r="I40">
            <v>10467.454475110926</v>
          </cell>
          <cell r="J40">
            <v>10285.060329145363</v>
          </cell>
          <cell r="K40">
            <v>11769.054124830369</v>
          </cell>
          <cell r="L40">
            <v>12979.082554400136</v>
          </cell>
          <cell r="M40">
            <v>13432.131961013089</v>
          </cell>
          <cell r="N40">
            <v>13309.95781050127</v>
          </cell>
          <cell r="O40">
            <v>13216.603653775173</v>
          </cell>
          <cell r="P40">
            <v>13270.585541649751</v>
          </cell>
          <cell r="Q40">
            <v>13158.481680004197</v>
          </cell>
          <cell r="R40">
            <v>13072.505651449521</v>
          </cell>
          <cell r="S40">
            <v>13098.149038340076</v>
          </cell>
          <cell r="T40">
            <v>13188.926832406083</v>
          </cell>
          <cell r="U40">
            <v>13159.78600675475</v>
          </cell>
          <cell r="V40">
            <v>12720.106643154977</v>
          </cell>
          <cell r="W40">
            <v>12641.178600860067</v>
          </cell>
          <cell r="X40">
            <v>12696.337394847455</v>
          </cell>
          <cell r="Y40">
            <v>12821.999970504095</v>
          </cell>
          <cell r="Z40">
            <v>13029.932367103655</v>
          </cell>
          <cell r="AA40">
            <v>13220.023382178755</v>
          </cell>
        </row>
        <row r="41">
          <cell r="D41">
            <v>11207.821033390201</v>
          </cell>
          <cell r="E41">
            <v>10313.048286872998</v>
          </cell>
          <cell r="F41">
            <v>9898.3389669555236</v>
          </cell>
          <cell r="G41">
            <v>9330.9580533853241</v>
          </cell>
          <cell r="H41">
            <v>9086.3482885183803</v>
          </cell>
          <cell r="I41">
            <v>9161.12041618285</v>
          </cell>
          <cell r="J41">
            <v>9137.4813386343267</v>
          </cell>
          <cell r="K41">
            <v>10681.16674701728</v>
          </cell>
          <cell r="L41">
            <v>12253.848046669422</v>
          </cell>
          <cell r="M41">
            <v>13439.205574961548</v>
          </cell>
          <cell r="N41">
            <v>13458.747421494443</v>
          </cell>
          <cell r="O41">
            <v>13381.786172911859</v>
          </cell>
          <cell r="P41">
            <v>13396.99274271624</v>
          </cell>
          <cell r="Q41">
            <v>13300.068673755788</v>
          </cell>
          <cell r="R41">
            <v>13220.126328244171</v>
          </cell>
          <cell r="S41">
            <v>13218.148409660454</v>
          </cell>
          <cell r="T41">
            <v>13289.038444336349</v>
          </cell>
          <cell r="U41">
            <v>13262.884350582763</v>
          </cell>
          <cell r="V41">
            <v>12826.177608599941</v>
          </cell>
          <cell r="W41">
            <v>12717.069898885431</v>
          </cell>
          <cell r="X41">
            <v>12748.389863534392</v>
          </cell>
          <cell r="Y41">
            <v>12872.128184721749</v>
          </cell>
          <cell r="Z41">
            <v>13086.233314491146</v>
          </cell>
          <cell r="AA41">
            <v>13287.262508808979</v>
          </cell>
        </row>
        <row r="42">
          <cell r="D42">
            <v>13675.507937747057</v>
          </cell>
          <cell r="E42">
            <v>13786.834416818958</v>
          </cell>
          <cell r="F42">
            <v>13872.752751463122</v>
          </cell>
          <cell r="G42">
            <v>13944.118479887411</v>
          </cell>
          <cell r="H42">
            <v>13966.385893667493</v>
          </cell>
          <cell r="I42">
            <v>13911.739946590586</v>
          </cell>
          <cell r="J42">
            <v>13994.153010947322</v>
          </cell>
          <cell r="K42">
            <v>13901.501257215547</v>
          </cell>
          <cell r="L42">
            <v>13726.561146385971</v>
          </cell>
          <cell r="M42">
            <v>13616.620164911712</v>
          </cell>
          <cell r="N42">
            <v>13492.464460270778</v>
          </cell>
          <cell r="O42">
            <v>13380.483908552804</v>
          </cell>
          <cell r="P42">
            <v>13510.122246043675</v>
          </cell>
          <cell r="Q42">
            <v>13319.3352720686</v>
          </cell>
          <cell r="R42">
            <v>13168.459391641974</v>
          </cell>
          <cell r="S42">
            <v>13176.960970454502</v>
          </cell>
          <cell r="T42">
            <v>13269.654747525741</v>
          </cell>
          <cell r="U42">
            <v>13315.307555849842</v>
          </cell>
          <cell r="V42">
            <v>12993.285949776669</v>
          </cell>
          <cell r="W42">
            <v>12884.345721243335</v>
          </cell>
          <cell r="X42">
            <v>12919.43841810189</v>
          </cell>
          <cell r="Y42">
            <v>13047.369497916798</v>
          </cell>
          <cell r="Z42">
            <v>13279.794686404863</v>
          </cell>
          <cell r="AA42">
            <v>13505.929959143174</v>
          </cell>
        </row>
        <row r="43">
          <cell r="D43">
            <v>13743.88464995273</v>
          </cell>
          <cell r="E43">
            <v>13849.064978025617</v>
          </cell>
          <cell r="F43">
            <v>13827.507588585966</v>
          </cell>
          <cell r="G43">
            <v>13267.122412067771</v>
          </cell>
          <cell r="H43">
            <v>13031.647543636798</v>
          </cell>
          <cell r="I43">
            <v>13269.860584242257</v>
          </cell>
          <cell r="J43">
            <v>13179.408880489031</v>
          </cell>
          <cell r="K43">
            <v>14027.566186560176</v>
          </cell>
          <cell r="L43">
            <v>13885.543520287039</v>
          </cell>
          <cell r="M43">
            <v>13787.749801988743</v>
          </cell>
          <cell r="N43">
            <v>13681.191690549553</v>
          </cell>
          <cell r="O43">
            <v>13592.17792262978</v>
          </cell>
          <cell r="P43">
            <v>13673.874909857748</v>
          </cell>
          <cell r="Q43">
            <v>13537.960761004164</v>
          </cell>
          <cell r="R43">
            <v>13417.880869030661</v>
          </cell>
          <cell r="S43">
            <v>13426.919221655568</v>
          </cell>
          <cell r="T43">
            <v>13513.589836567424</v>
          </cell>
          <cell r="U43">
            <v>13526.160710080547</v>
          </cell>
          <cell r="V43">
            <v>13184.104960811268</v>
          </cell>
          <cell r="W43">
            <v>13060.828769902904</v>
          </cell>
          <cell r="X43">
            <v>13097.71929464592</v>
          </cell>
          <cell r="Y43">
            <v>13218.50317181456</v>
          </cell>
          <cell r="Z43">
            <v>13410.783006999658</v>
          </cell>
          <cell r="AA43">
            <v>13601.524534871136</v>
          </cell>
        </row>
        <row r="44">
          <cell r="D44">
            <v>13758.087312734318</v>
          </cell>
          <cell r="E44">
            <v>13860.176972852194</v>
          </cell>
          <cell r="F44">
            <v>13535.016023799713</v>
          </cell>
          <cell r="G44">
            <v>12954.761089040407</v>
          </cell>
          <cell r="H44">
            <v>12695.275984953994</v>
          </cell>
          <cell r="I44">
            <v>13095.971909820495</v>
          </cell>
          <cell r="J44">
            <v>13067.336307409036</v>
          </cell>
          <cell r="K44">
            <v>14060.748837110123</v>
          </cell>
          <cell r="L44">
            <v>13947.970652748736</v>
          </cell>
          <cell r="M44">
            <v>13883.209858811295</v>
          </cell>
          <cell r="N44">
            <v>13791.810496094044</v>
          </cell>
          <cell r="O44">
            <v>13696.681069955619</v>
          </cell>
          <cell r="P44">
            <v>13738.598820005094</v>
          </cell>
          <cell r="Q44">
            <v>13608.068557626428</v>
          </cell>
          <cell r="R44">
            <v>13485.268698809001</v>
          </cell>
          <cell r="S44">
            <v>13495.974479778091</v>
          </cell>
          <cell r="T44">
            <v>13566.510138329968</v>
          </cell>
          <cell r="U44">
            <v>13572.576788226592</v>
          </cell>
          <cell r="V44">
            <v>13212.048649708968</v>
          </cell>
          <cell r="W44">
            <v>13068.799840600008</v>
          </cell>
          <cell r="X44">
            <v>13089.399400234477</v>
          </cell>
          <cell r="Y44">
            <v>13199.946086692598</v>
          </cell>
          <cell r="Z44">
            <v>13419.910334342159</v>
          </cell>
          <cell r="AA44">
            <v>13615.767202882811</v>
          </cell>
        </row>
        <row r="45">
          <cell r="D45">
            <v>14153.320110772587</v>
          </cell>
          <cell r="E45">
            <v>14264.642495988355</v>
          </cell>
          <cell r="F45">
            <v>14354.047305508282</v>
          </cell>
          <cell r="G45">
            <v>14423.241590283105</v>
          </cell>
          <cell r="H45">
            <v>14451.364090246734</v>
          </cell>
          <cell r="I45">
            <v>14431.385874984588</v>
          </cell>
          <cell r="J45">
            <v>14519.387063706394</v>
          </cell>
          <cell r="K45">
            <v>14491.144846043664</v>
          </cell>
          <cell r="L45">
            <v>14282.441615679512</v>
          </cell>
          <cell r="M45">
            <v>14170.335424126744</v>
          </cell>
          <cell r="N45">
            <v>14056.581782503245</v>
          </cell>
          <cell r="O45">
            <v>13974.888431079904</v>
          </cell>
          <cell r="P45">
            <v>14094.884283525569</v>
          </cell>
          <cell r="Q45">
            <v>13932.212393689497</v>
          </cell>
          <cell r="R45">
            <v>13792.226434022808</v>
          </cell>
          <cell r="S45">
            <v>13805.784660246509</v>
          </cell>
          <cell r="T45">
            <v>13883.188365039878</v>
          </cell>
          <cell r="U45">
            <v>13910.493755672469</v>
          </cell>
          <cell r="V45">
            <v>13677.975627602187</v>
          </cell>
          <cell r="W45">
            <v>13497.394120716521</v>
          </cell>
          <cell r="X45">
            <v>13511.731555334094</v>
          </cell>
          <cell r="Y45">
            <v>13616.546658494244</v>
          </cell>
          <cell r="Z45">
            <v>13815.83241551305</v>
          </cell>
          <cell r="AA45">
            <v>14027.379566488393</v>
          </cell>
        </row>
        <row r="46">
          <cell r="D46">
            <v>14289.656990889671</v>
          </cell>
          <cell r="E46">
            <v>14392.334233516947</v>
          </cell>
          <cell r="F46">
            <v>14281.520541832098</v>
          </cell>
          <cell r="G46">
            <v>13800.647827249581</v>
          </cell>
          <cell r="H46">
            <v>13550.829614909322</v>
          </cell>
          <cell r="I46">
            <v>13606.224695173718</v>
          </cell>
          <cell r="J46">
            <v>13542.459981721766</v>
          </cell>
          <cell r="K46">
            <v>14621.429126396726</v>
          </cell>
          <cell r="L46">
            <v>14485.37288527584</v>
          </cell>
          <cell r="M46">
            <v>14384.992904807223</v>
          </cell>
          <cell r="N46">
            <v>14278.218060250501</v>
          </cell>
          <cell r="O46">
            <v>14191.454993145029</v>
          </cell>
          <cell r="P46">
            <v>14262.814327292383</v>
          </cell>
          <cell r="Q46">
            <v>14128.68325133066</v>
          </cell>
          <cell r="R46">
            <v>14017.279728306057</v>
          </cell>
          <cell r="S46">
            <v>14038.071857953362</v>
          </cell>
          <cell r="T46">
            <v>14113.118438391033</v>
          </cell>
          <cell r="U46">
            <v>14116.502980106809</v>
          </cell>
          <cell r="V46">
            <v>13781.910697663421</v>
          </cell>
          <cell r="W46">
            <v>13673.986468876685</v>
          </cell>
          <cell r="X46">
            <v>13690.844084872317</v>
          </cell>
          <cell r="Y46">
            <v>13785.742632066913</v>
          </cell>
          <cell r="Z46">
            <v>13949.474733068006</v>
          </cell>
          <cell r="AA46">
            <v>14129.266508538454</v>
          </cell>
        </row>
        <row r="47">
          <cell r="D47">
            <v>14264.816389386568</v>
          </cell>
          <cell r="E47">
            <v>14365.574884497555</v>
          </cell>
          <cell r="F47">
            <v>13827.52407901313</v>
          </cell>
          <cell r="G47">
            <v>13321.646169578798</v>
          </cell>
          <cell r="H47">
            <v>13072.818214619567</v>
          </cell>
          <cell r="I47">
            <v>13209.383153733263</v>
          </cell>
          <cell r="J47">
            <v>13254.996967724559</v>
          </cell>
          <cell r="K47">
            <v>14618.959757921108</v>
          </cell>
          <cell r="L47">
            <v>14511.55443389223</v>
          </cell>
          <cell r="M47">
            <v>14431.30089901652</v>
          </cell>
          <cell r="N47">
            <v>14345.682285865883</v>
          </cell>
          <cell r="O47">
            <v>14266.108275472923</v>
          </cell>
          <cell r="P47">
            <v>14309.210965391503</v>
          </cell>
          <cell r="Q47">
            <v>14180.91090364394</v>
          </cell>
          <cell r="R47">
            <v>14071.906458326161</v>
          </cell>
          <cell r="S47">
            <v>14084.312007066217</v>
          </cell>
          <cell r="T47">
            <v>14152.819301297417</v>
          </cell>
          <cell r="U47">
            <v>14148.738379181659</v>
          </cell>
          <cell r="V47">
            <v>13813.45007195248</v>
          </cell>
          <cell r="W47">
            <v>13682.949326874357</v>
          </cell>
          <cell r="X47">
            <v>13664.966369387805</v>
          </cell>
          <cell r="Y47">
            <v>13754.683457138093</v>
          </cell>
          <cell r="Z47">
            <v>13932.10981921165</v>
          </cell>
          <cell r="AA47">
            <v>14123.784704415379</v>
          </cell>
        </row>
        <row r="48">
          <cell r="D48">
            <v>13065.807604035992</v>
          </cell>
          <cell r="E48">
            <v>13174.29507845467</v>
          </cell>
          <cell r="F48">
            <v>13259.379243258607</v>
          </cell>
          <cell r="G48">
            <v>13318.530258284913</v>
          </cell>
          <cell r="H48">
            <v>13177.326471288581</v>
          </cell>
          <cell r="I48">
            <v>12542.344660974133</v>
          </cell>
          <cell r="J48">
            <v>13122.657641140699</v>
          </cell>
          <cell r="K48">
            <v>13242.246894687874</v>
          </cell>
          <cell r="L48">
            <v>13044.186479935795</v>
          </cell>
          <cell r="M48">
            <v>12920.521365937389</v>
          </cell>
          <cell r="N48">
            <v>12794.373210071588</v>
          </cell>
          <cell r="O48">
            <v>12701.211916112023</v>
          </cell>
          <cell r="P48">
            <v>12881.679111832134</v>
          </cell>
          <cell r="Q48">
            <v>12743.220438485814</v>
          </cell>
          <cell r="R48">
            <v>12619.903489158452</v>
          </cell>
          <cell r="S48">
            <v>12644.351154448445</v>
          </cell>
          <cell r="T48">
            <v>12744.752075270209</v>
          </cell>
          <cell r="U48">
            <v>12731.978926226269</v>
          </cell>
          <cell r="V48">
            <v>12308.889712313856</v>
          </cell>
          <cell r="W48">
            <v>12225.948828247041</v>
          </cell>
          <cell r="X48">
            <v>12284.963219048628</v>
          </cell>
          <cell r="Y48">
            <v>12436.471070458389</v>
          </cell>
          <cell r="Z48">
            <v>12694.132304315182</v>
          </cell>
          <cell r="AA48">
            <v>12933.280191005462</v>
          </cell>
        </row>
        <row r="49">
          <cell r="D49">
            <v>13148.387741696133</v>
          </cell>
          <cell r="E49">
            <v>12961.727581928873</v>
          </cell>
          <cell r="F49">
            <v>12230.545746590235</v>
          </cell>
          <cell r="G49">
            <v>11746.84328411012</v>
          </cell>
          <cell r="H49">
            <v>11547.992671006774</v>
          </cell>
          <cell r="I49">
            <v>11378.743856882913</v>
          </cell>
          <cell r="J49">
            <v>11705.943160798895</v>
          </cell>
          <cell r="K49">
            <v>13377.330378161627</v>
          </cell>
          <cell r="L49">
            <v>13228.47419793639</v>
          </cell>
          <cell r="M49">
            <v>13125.599233312425</v>
          </cell>
          <cell r="N49">
            <v>13047.86307946074</v>
          </cell>
          <cell r="O49">
            <v>12976.188784588856</v>
          </cell>
          <cell r="P49">
            <v>13093.314353714926</v>
          </cell>
          <cell r="Q49">
            <v>13058.114110007942</v>
          </cell>
          <cell r="R49">
            <v>13011.751579665506</v>
          </cell>
          <cell r="S49">
            <v>13034.915715272366</v>
          </cell>
          <cell r="T49">
            <v>13099.440895966109</v>
          </cell>
          <cell r="U49">
            <v>13031.02842523423</v>
          </cell>
          <cell r="V49">
            <v>12576.13929323903</v>
          </cell>
          <cell r="W49">
            <v>12497.624615754794</v>
          </cell>
          <cell r="X49">
            <v>12568.199317419258</v>
          </cell>
          <cell r="Y49">
            <v>12715.18074140667</v>
          </cell>
          <cell r="Z49">
            <v>12928.067439861745</v>
          </cell>
          <cell r="AA49">
            <v>13118.218118120642</v>
          </cell>
        </row>
        <row r="50">
          <cell r="D50">
            <v>13137.299669059299</v>
          </cell>
          <cell r="E50">
            <v>13229.084844276013</v>
          </cell>
          <cell r="F50">
            <v>13308.395622816448</v>
          </cell>
          <cell r="G50">
            <v>13372.222420308848</v>
          </cell>
          <cell r="H50">
            <v>13393.218195762607</v>
          </cell>
          <cell r="I50">
            <v>13236.860136729443</v>
          </cell>
          <cell r="J50">
            <v>13457.556989479492</v>
          </cell>
          <cell r="K50">
            <v>13375.616681717052</v>
          </cell>
          <cell r="L50">
            <v>13244.036080456055</v>
          </cell>
          <cell r="M50">
            <v>13162.271486381975</v>
          </cell>
          <cell r="N50">
            <v>13073.429568425514</v>
          </cell>
          <cell r="O50">
            <v>12988.34102840274</v>
          </cell>
          <cell r="P50">
            <v>13046.869070583756</v>
          </cell>
          <cell r="Q50">
            <v>12957.791646228812</v>
          </cell>
          <cell r="R50">
            <v>12882.127581115326</v>
          </cell>
          <cell r="S50">
            <v>12914.760569529364</v>
          </cell>
          <cell r="T50">
            <v>13005.942122860983</v>
          </cell>
          <cell r="U50">
            <v>12967.716407574128</v>
          </cell>
          <cell r="V50">
            <v>12494.922761423077</v>
          </cell>
          <cell r="W50">
            <v>12365.158835437469</v>
          </cell>
          <cell r="X50">
            <v>12396.192978749334</v>
          </cell>
          <cell r="Y50">
            <v>12543.108005492755</v>
          </cell>
          <cell r="Z50">
            <v>12783.310096514761</v>
          </cell>
          <cell r="AA50">
            <v>13002.898285319652</v>
          </cell>
        </row>
        <row r="51">
          <cell r="D51">
            <v>10407.90420588704</v>
          </cell>
          <cell r="E51">
            <v>10529.965281643988</v>
          </cell>
          <cell r="F51">
            <v>10616.134521813574</v>
          </cell>
          <cell r="G51">
            <v>10667.433679322179</v>
          </cell>
          <cell r="H51">
            <v>10666.493903174785</v>
          </cell>
          <cell r="I51">
            <v>10654.995554126735</v>
          </cell>
          <cell r="J51">
            <v>10662.333889052736</v>
          </cell>
          <cell r="K51">
            <v>10495.410545240844</v>
          </cell>
          <cell r="L51">
            <v>10246.180543262877</v>
          </cell>
          <cell r="M51">
            <v>10095.206755823319</v>
          </cell>
          <cell r="N51">
            <v>9968.6313312326511</v>
          </cell>
          <cell r="O51">
            <v>9876.7339628116915</v>
          </cell>
          <cell r="P51">
            <v>10077.0274855265</v>
          </cell>
          <cell r="Q51">
            <v>9963.4613306435404</v>
          </cell>
          <cell r="R51">
            <v>9806.7248529883382</v>
          </cell>
          <cell r="S51">
            <v>9830.5427326302633</v>
          </cell>
          <cell r="T51">
            <v>9912.0521232906704</v>
          </cell>
          <cell r="U51">
            <v>9922.7402231785363</v>
          </cell>
          <cell r="V51">
            <v>9443.2698582297617</v>
          </cell>
          <cell r="W51">
            <v>9344.5203545025488</v>
          </cell>
          <cell r="X51">
            <v>9461.8622580501888</v>
          </cell>
          <cell r="Y51">
            <v>9680.5171283031577</v>
          </cell>
          <cell r="Z51">
            <v>10016.329090737741</v>
          </cell>
          <cell r="AA51">
            <v>10324.542405649236</v>
          </cell>
        </row>
        <row r="52">
          <cell r="D52">
            <v>10543.451403140543</v>
          </cell>
          <cell r="E52">
            <v>10649.237043368024</v>
          </cell>
          <cell r="F52">
            <v>10197.357397678665</v>
          </cell>
          <cell r="G52">
            <v>9965.7329228803774</v>
          </cell>
          <cell r="H52">
            <v>9799.5118795774524</v>
          </cell>
          <cell r="I52">
            <v>9751.8541111819941</v>
          </cell>
          <cell r="J52">
            <v>10244.786564240727</v>
          </cell>
          <cell r="K52">
            <v>10718.85582714074</v>
          </cell>
          <cell r="L52">
            <v>10528.3533867774</v>
          </cell>
          <cell r="M52">
            <v>10364.803874160682</v>
          </cell>
          <cell r="N52">
            <v>10208.38767015665</v>
          </cell>
          <cell r="O52">
            <v>10110.314838055687</v>
          </cell>
          <cell r="P52">
            <v>10186.482497292125</v>
          </cell>
          <cell r="Q52">
            <v>10106.490926063436</v>
          </cell>
          <cell r="R52">
            <v>10026.876762750369</v>
          </cell>
          <cell r="S52">
            <v>10069.699752307202</v>
          </cell>
          <cell r="T52">
            <v>10163.826482621416</v>
          </cell>
          <cell r="U52">
            <v>10156.110621606405</v>
          </cell>
          <cell r="V52">
            <v>9646.4627439012038</v>
          </cell>
          <cell r="W52">
            <v>9524.7783852032553</v>
          </cell>
          <cell r="X52">
            <v>9610.2552407057465</v>
          </cell>
          <cell r="Y52">
            <v>9795.299509686145</v>
          </cell>
          <cell r="Z52">
            <v>10076.13412389147</v>
          </cell>
          <cell r="AA52">
            <v>10339.807625847818</v>
          </cell>
        </row>
        <row r="53">
          <cell r="D53">
            <v>10380.580432726343</v>
          </cell>
          <cell r="E53">
            <v>9551.8813955495789</v>
          </cell>
          <cell r="F53">
            <v>9145.7873282606961</v>
          </cell>
          <cell r="G53">
            <v>9180.2415204256849</v>
          </cell>
          <cell r="H53">
            <v>8780.3462723400971</v>
          </cell>
          <cell r="I53">
            <v>8922.8752754349116</v>
          </cell>
          <cell r="J53">
            <v>9727.6490842166186</v>
          </cell>
          <cell r="K53">
            <v>10672.509655135087</v>
          </cell>
          <cell r="L53">
            <v>10490.743987108139</v>
          </cell>
          <cell r="M53">
            <v>10355.3663037857</v>
          </cell>
          <cell r="N53">
            <v>10224.191581031078</v>
          </cell>
          <cell r="O53">
            <v>10149.258126550734</v>
          </cell>
          <cell r="P53">
            <v>10269.044569292817</v>
          </cell>
          <cell r="Q53">
            <v>10241.341679636796</v>
          </cell>
          <cell r="R53">
            <v>10195.227267851238</v>
          </cell>
          <cell r="S53">
            <v>10228.6069701291</v>
          </cell>
          <cell r="T53">
            <v>10258.541651262</v>
          </cell>
          <cell r="U53">
            <v>10244.595449824004</v>
          </cell>
          <cell r="V53">
            <v>9722.1050361034359</v>
          </cell>
          <cell r="W53">
            <v>9566.2217907914019</v>
          </cell>
          <cell r="X53">
            <v>9627.2730343648545</v>
          </cell>
          <cell r="Y53">
            <v>9814.7579825222019</v>
          </cell>
          <cell r="Z53">
            <v>10089.498705818141</v>
          </cell>
          <cell r="AA53">
            <v>10365.261173364888</v>
          </cell>
        </row>
        <row r="54">
          <cell r="D54">
            <v>8911.900095687819</v>
          </cell>
          <cell r="E54">
            <v>9023.1285242057202</v>
          </cell>
          <cell r="F54">
            <v>9105.9250021537428</v>
          </cell>
          <cell r="G54">
            <v>9166.2526864209922</v>
          </cell>
          <cell r="H54">
            <v>9169.0534264525395</v>
          </cell>
          <cell r="I54">
            <v>8807.7845238700374</v>
          </cell>
          <cell r="J54">
            <v>9202.4709145187771</v>
          </cell>
          <cell r="K54">
            <v>9035.3459852044762</v>
          </cell>
          <cell r="L54">
            <v>8813.6942579406968</v>
          </cell>
          <cell r="M54">
            <v>8710.4224683215743</v>
          </cell>
          <cell r="N54">
            <v>8566.5820163946482</v>
          </cell>
          <cell r="O54">
            <v>8472.3740826610901</v>
          </cell>
          <cell r="P54">
            <v>8652.3358781044954</v>
          </cell>
          <cell r="Q54">
            <v>8573.4234710460132</v>
          </cell>
          <cell r="R54">
            <v>8433.4633461945068</v>
          </cell>
          <cell r="S54">
            <v>8433.0771693101378</v>
          </cell>
          <cell r="T54">
            <v>8488.2676525913048</v>
          </cell>
          <cell r="U54">
            <v>8493.5347432273011</v>
          </cell>
          <cell r="V54">
            <v>8028.4575547983222</v>
          </cell>
          <cell r="W54">
            <v>7856.9621130456608</v>
          </cell>
          <cell r="X54">
            <v>7986.5938730427715</v>
          </cell>
          <cell r="Y54">
            <v>8201.3333296094188</v>
          </cell>
          <cell r="Z54">
            <v>8506.815755238109</v>
          </cell>
          <cell r="AA54">
            <v>8760.9452261796614</v>
          </cell>
        </row>
        <row r="55">
          <cell r="D55">
            <v>8954.8873185110479</v>
          </cell>
          <cell r="E55">
            <v>9058.2352463138486</v>
          </cell>
          <cell r="F55">
            <v>9136.2769473627559</v>
          </cell>
          <cell r="G55">
            <v>9189.8092184244724</v>
          </cell>
          <cell r="H55">
            <v>9160.6064909616834</v>
          </cell>
          <cell r="I55">
            <v>9120.1377464263442</v>
          </cell>
          <cell r="J55">
            <v>9277.0844477316641</v>
          </cell>
          <cell r="K55">
            <v>9144.2281359270055</v>
          </cell>
          <cell r="L55">
            <v>8955.4253441133405</v>
          </cell>
          <cell r="M55">
            <v>8831.0122195020358</v>
          </cell>
          <cell r="N55">
            <v>8714.457874075475</v>
          </cell>
          <cell r="O55">
            <v>8608.1364211650853</v>
          </cell>
          <cell r="P55">
            <v>8686.4566256765484</v>
          </cell>
          <cell r="Q55">
            <v>8625.4419815098518</v>
          </cell>
          <cell r="R55">
            <v>8557.5660175549183</v>
          </cell>
          <cell r="S55">
            <v>8579.0173442734176</v>
          </cell>
          <cell r="T55">
            <v>8643.4834829031861</v>
          </cell>
          <cell r="U55">
            <v>8611.4671589540521</v>
          </cell>
          <cell r="V55">
            <v>8084.5148365322284</v>
          </cell>
          <cell r="W55">
            <v>7887.5247758388623</v>
          </cell>
          <cell r="X55">
            <v>8009.403299405918</v>
          </cell>
          <cell r="Y55">
            <v>8194.0369378874675</v>
          </cell>
          <cell r="Z55">
            <v>8470.4152240755066</v>
          </cell>
          <cell r="AA55">
            <v>8730.974632204141</v>
          </cell>
        </row>
        <row r="56">
          <cell r="D56">
            <v>8344.658433526909</v>
          </cell>
          <cell r="E56">
            <v>7920.6830366969743</v>
          </cell>
          <cell r="F56">
            <v>7529.1215327495638</v>
          </cell>
          <cell r="G56">
            <v>7393.5499768444615</v>
          </cell>
          <cell r="H56">
            <v>7666.0992755244488</v>
          </cell>
          <cell r="I56">
            <v>8005.6995368492353</v>
          </cell>
          <cell r="J56">
            <v>8798.5900521524836</v>
          </cell>
          <cell r="K56">
            <v>9098.906916571621</v>
          </cell>
          <cell r="L56">
            <v>8939.7472636648126</v>
          </cell>
          <cell r="M56">
            <v>8786.0053237524025</v>
          </cell>
          <cell r="N56">
            <v>8627.2308845551997</v>
          </cell>
          <cell r="O56">
            <v>8481.6974300689417</v>
          </cell>
          <cell r="P56">
            <v>8521.1817709329553</v>
          </cell>
          <cell r="Q56">
            <v>8437.5333283526143</v>
          </cell>
          <cell r="R56">
            <v>8378.594195744512</v>
          </cell>
          <cell r="S56">
            <v>8448.6144070219416</v>
          </cell>
          <cell r="T56">
            <v>8554.2490628951236</v>
          </cell>
          <cell r="U56">
            <v>8566.07796530005</v>
          </cell>
          <cell r="V56">
            <v>7997.4072079749376</v>
          </cell>
          <cell r="W56">
            <v>7694.3384181688116</v>
          </cell>
          <cell r="X56">
            <v>7752.6752942078974</v>
          </cell>
          <cell r="Y56">
            <v>7927.7963156297556</v>
          </cell>
          <cell r="Z56">
            <v>8231.6946334366257</v>
          </cell>
          <cell r="AA56">
            <v>8521.7617000532755</v>
          </cell>
        </row>
        <row r="57">
          <cell r="D57">
            <v>9302.1574148306554</v>
          </cell>
          <cell r="E57">
            <v>9412.8919250546169</v>
          </cell>
          <cell r="F57">
            <v>9485.6204112361629</v>
          </cell>
          <cell r="G57">
            <v>9554.9630749497464</v>
          </cell>
          <cell r="H57">
            <v>9520.611016107332</v>
          </cell>
          <cell r="I57">
            <v>8476.8216286037095</v>
          </cell>
          <cell r="J57">
            <v>9074.6104821469726</v>
          </cell>
          <cell r="K57">
            <v>9355.571732876555</v>
          </cell>
          <cell r="L57">
            <v>9114.8376497265672</v>
          </cell>
          <cell r="M57">
            <v>8969.7066115705857</v>
          </cell>
          <cell r="N57">
            <v>8828.6148453588285</v>
          </cell>
          <cell r="O57">
            <v>8731.1741075269256</v>
          </cell>
          <cell r="P57">
            <v>8934.9284158109094</v>
          </cell>
          <cell r="Q57">
            <v>8840.99033734968</v>
          </cell>
          <cell r="R57">
            <v>8702.7765825553652</v>
          </cell>
          <cell r="S57">
            <v>8687.6876384300849</v>
          </cell>
          <cell r="T57">
            <v>8762.3875364893356</v>
          </cell>
          <cell r="U57">
            <v>8813.3764033487441</v>
          </cell>
          <cell r="V57">
            <v>8338.6003608187384</v>
          </cell>
          <cell r="W57">
            <v>8079.9588513190702</v>
          </cell>
          <cell r="X57">
            <v>8192.7943589296683</v>
          </cell>
          <cell r="Y57">
            <v>8431.3101525678612</v>
          </cell>
          <cell r="Z57">
            <v>8796.4014125651029</v>
          </cell>
          <cell r="AA57">
            <v>9078.4356654480944</v>
          </cell>
        </row>
        <row r="58">
          <cell r="D58">
            <v>8510.1722554119951</v>
          </cell>
          <cell r="E58">
            <v>7861.1716580349375</v>
          </cell>
          <cell r="F58">
            <v>7575.8736916071139</v>
          </cell>
          <cell r="G58">
            <v>7201.4051111802928</v>
          </cell>
          <cell r="H58">
            <v>7182.8074676955894</v>
          </cell>
          <cell r="I58">
            <v>7186.5665642888853</v>
          </cell>
          <cell r="J58">
            <v>7814.2521276119969</v>
          </cell>
          <cell r="K58">
            <v>8611.159848465928</v>
          </cell>
          <cell r="L58">
            <v>9275.502165043712</v>
          </cell>
          <cell r="M58">
            <v>9130.8080109273815</v>
          </cell>
          <cell r="N58">
            <v>9004.9109440511183</v>
          </cell>
          <cell r="O58">
            <v>8900.8411811984097</v>
          </cell>
          <cell r="P58">
            <v>8994.1396776698566</v>
          </cell>
          <cell r="Q58">
            <v>8943.5195279281525</v>
          </cell>
          <cell r="R58">
            <v>8922.7764379276159</v>
          </cell>
          <cell r="S58">
            <v>8993.756785464484</v>
          </cell>
          <cell r="T58">
            <v>9077.9510339494536</v>
          </cell>
          <cell r="U58">
            <v>9047.4364124943804</v>
          </cell>
          <cell r="V58">
            <v>8520.4193627603781</v>
          </cell>
          <cell r="W58">
            <v>8297.2580902626014</v>
          </cell>
          <cell r="X58">
            <v>8410.3278098607825</v>
          </cell>
          <cell r="Y58">
            <v>8622.5506333157464</v>
          </cell>
          <cell r="Z58">
            <v>8907.4933112385934</v>
          </cell>
          <cell r="AA58">
            <v>9158.1144148187868</v>
          </cell>
        </row>
        <row r="59">
          <cell r="D59">
            <v>9245.7640715055368</v>
          </cell>
          <cell r="E59">
            <v>9153.3425136579935</v>
          </cell>
          <cell r="F59">
            <v>8936.7870253769233</v>
          </cell>
          <cell r="G59">
            <v>8457.8791102281775</v>
          </cell>
          <cell r="H59">
            <v>8349.1652380375072</v>
          </cell>
          <cell r="I59">
            <v>8388.5488039973316</v>
          </cell>
          <cell r="J59">
            <v>9151.3675738628172</v>
          </cell>
          <cell r="K59">
            <v>9519.3458205956431</v>
          </cell>
          <cell r="L59">
            <v>9353.109036526057</v>
          </cell>
          <cell r="M59">
            <v>9216.5885376964561</v>
          </cell>
          <cell r="N59">
            <v>9087.4238386194193</v>
          </cell>
          <cell r="O59">
            <v>8978.1280113490211</v>
          </cell>
          <cell r="P59">
            <v>9034.5288504131786</v>
          </cell>
          <cell r="Q59">
            <v>8951.2785610272022</v>
          </cell>
          <cell r="R59">
            <v>8932.243473176839</v>
          </cell>
          <cell r="S59">
            <v>8963.6270003779537</v>
          </cell>
          <cell r="T59">
            <v>9040.8315349367003</v>
          </cell>
          <cell r="U59">
            <v>9049.5129099929127</v>
          </cell>
          <cell r="V59">
            <v>8490.9072265453815</v>
          </cell>
          <cell r="W59">
            <v>8166.4379546236678</v>
          </cell>
          <cell r="X59">
            <v>8270.3276032614212</v>
          </cell>
          <cell r="Y59">
            <v>8532.2818455154847</v>
          </cell>
          <cell r="Z59">
            <v>8874.025550497865</v>
          </cell>
          <cell r="AA59">
            <v>9129.22024180671</v>
          </cell>
        </row>
        <row r="60">
          <cell r="D60">
            <v>9471.97084318013</v>
          </cell>
          <cell r="E60">
            <v>9588.1889800018143</v>
          </cell>
          <cell r="F60">
            <v>9679.8449401103389</v>
          </cell>
          <cell r="G60">
            <v>9742.5706960409007</v>
          </cell>
          <cell r="H60">
            <v>9751.9039084212836</v>
          </cell>
          <cell r="I60">
            <v>9732.0310360039675</v>
          </cell>
          <cell r="J60">
            <v>9782.4160199548514</v>
          </cell>
          <cell r="K60">
            <v>9599.935423294497</v>
          </cell>
          <cell r="L60">
            <v>9358.2607233453746</v>
          </cell>
          <cell r="M60">
            <v>9199.6528968011899</v>
          </cell>
          <cell r="N60">
            <v>9034.8257261484832</v>
          </cell>
          <cell r="O60">
            <v>8933.176918854464</v>
          </cell>
          <cell r="P60">
            <v>9120.8429839871806</v>
          </cell>
          <cell r="Q60">
            <v>8995.382178805321</v>
          </cell>
          <cell r="R60">
            <v>8873.601316985998</v>
          </cell>
          <cell r="S60">
            <v>8893.35802977618</v>
          </cell>
          <cell r="T60">
            <v>8988.3641218827743</v>
          </cell>
          <cell r="U60">
            <v>8995.3968126113541</v>
          </cell>
          <cell r="V60">
            <v>8506.938014948666</v>
          </cell>
          <cell r="W60">
            <v>8334.4021636657581</v>
          </cell>
          <cell r="X60">
            <v>8434.544612491849</v>
          </cell>
          <cell r="Y60">
            <v>8637.4158757765053</v>
          </cell>
          <cell r="Z60">
            <v>8972.4379376815414</v>
          </cell>
          <cell r="AA60">
            <v>9257.4564679548948</v>
          </cell>
        </row>
        <row r="61">
          <cell r="D61">
            <v>9507.5541278762321</v>
          </cell>
          <cell r="E61">
            <v>9617.9319623352312</v>
          </cell>
          <cell r="F61">
            <v>9707.4157085023417</v>
          </cell>
          <cell r="G61">
            <v>9778.7615388511385</v>
          </cell>
          <cell r="H61">
            <v>9789.3062785224956</v>
          </cell>
          <cell r="I61">
            <v>9814.4285645360796</v>
          </cell>
          <cell r="J61">
            <v>9849.8638237597861</v>
          </cell>
          <cell r="K61">
            <v>9687.977206545238</v>
          </cell>
          <cell r="L61">
            <v>9444.3285131916145</v>
          </cell>
          <cell r="M61">
            <v>9290.7937543416356</v>
          </cell>
          <cell r="N61">
            <v>9112.1143440693195</v>
          </cell>
          <cell r="O61">
            <v>8995.7461370212932</v>
          </cell>
          <cell r="P61">
            <v>9110.276775354223</v>
          </cell>
          <cell r="Q61">
            <v>9000.2131162384776</v>
          </cell>
          <cell r="R61">
            <v>8896.083290809358</v>
          </cell>
          <cell r="S61">
            <v>8945.6690227605686</v>
          </cell>
          <cell r="T61">
            <v>9064.1917977618796</v>
          </cell>
          <cell r="U61">
            <v>9063.1568653032064</v>
          </cell>
          <cell r="V61">
            <v>8573.9585463677904</v>
          </cell>
          <cell r="W61">
            <v>8399.1480381025376</v>
          </cell>
          <cell r="X61">
            <v>8490.2992876920398</v>
          </cell>
          <cell r="Y61">
            <v>8676.8410153595705</v>
          </cell>
          <cell r="Z61">
            <v>8964.2159891394895</v>
          </cell>
          <cell r="AA61">
            <v>9227.0798751112288</v>
          </cell>
        </row>
        <row r="62">
          <cell r="D62">
            <v>8792.0271549408972</v>
          </cell>
          <cell r="E62">
            <v>8241.7008952312117</v>
          </cell>
          <cell r="F62">
            <v>7749.1118437891801</v>
          </cell>
          <cell r="G62">
            <v>7219.0689061914918</v>
          </cell>
          <cell r="H62">
            <v>7183.4880345202237</v>
          </cell>
          <cell r="I62">
            <v>7337.4201956271354</v>
          </cell>
          <cell r="J62">
            <v>7760.0234193549586</v>
          </cell>
          <cell r="K62">
            <v>9611.5645101681112</v>
          </cell>
          <cell r="L62">
            <v>9644.439163908075</v>
          </cell>
          <cell r="M62">
            <v>9511.9322397517008</v>
          </cell>
          <cell r="N62">
            <v>9364.859551010295</v>
          </cell>
          <cell r="O62">
            <v>9261.1383378581213</v>
          </cell>
          <cell r="P62">
            <v>9314.7391203947482</v>
          </cell>
          <cell r="Q62">
            <v>9234.7894746930742</v>
          </cell>
          <cell r="R62">
            <v>9180.4922397705013</v>
          </cell>
          <cell r="S62">
            <v>9226.9852683621702</v>
          </cell>
          <cell r="T62">
            <v>9312.913173478506</v>
          </cell>
          <cell r="U62">
            <v>9283.9345918602048</v>
          </cell>
          <cell r="V62">
            <v>8771.4841032641361</v>
          </cell>
          <cell r="W62">
            <v>8542.3068547032981</v>
          </cell>
          <cell r="X62">
            <v>8586.983581572802</v>
          </cell>
          <cell r="Y62">
            <v>8754.0488949912778</v>
          </cell>
          <cell r="Z62">
            <v>9060.2752197233167</v>
          </cell>
          <cell r="AA62">
            <v>9332.1250808903005</v>
          </cell>
        </row>
        <row r="63">
          <cell r="D63">
            <v>11539.670688273418</v>
          </cell>
          <cell r="E63">
            <v>11662.641968022119</v>
          </cell>
          <cell r="F63">
            <v>11766.508113397143</v>
          </cell>
          <cell r="G63">
            <v>11835.127803302496</v>
          </cell>
          <cell r="H63">
            <v>11847.550789642999</v>
          </cell>
          <cell r="I63">
            <v>11877.246250240838</v>
          </cell>
          <cell r="J63">
            <v>11888.131533396883</v>
          </cell>
          <cell r="K63">
            <v>11684.265036516726</v>
          </cell>
          <cell r="L63">
            <v>11399.251125491823</v>
          </cell>
          <cell r="M63">
            <v>11214.231999645051</v>
          </cell>
          <cell r="N63">
            <v>11054.336534995564</v>
          </cell>
          <cell r="O63">
            <v>10930.119864232423</v>
          </cell>
          <cell r="P63">
            <v>11108.057299900516</v>
          </cell>
          <cell r="Q63">
            <v>10944.855016404617</v>
          </cell>
          <cell r="R63">
            <v>10815.786981991203</v>
          </cell>
          <cell r="S63">
            <v>10856.417593317325</v>
          </cell>
          <cell r="T63">
            <v>10995.240429348954</v>
          </cell>
          <cell r="U63">
            <v>11008.697487943373</v>
          </cell>
          <cell r="V63">
            <v>10518.280852159072</v>
          </cell>
          <cell r="W63">
            <v>10469.323874592605</v>
          </cell>
          <cell r="X63">
            <v>10547.89034683536</v>
          </cell>
          <cell r="Y63">
            <v>10744.227219783888</v>
          </cell>
          <cell r="Z63">
            <v>11063.805666305903</v>
          </cell>
          <cell r="AA63">
            <v>11354.239564840285</v>
          </cell>
        </row>
        <row r="64">
          <cell r="D64">
            <v>11573.033978044552</v>
          </cell>
          <cell r="E64">
            <v>11692.943797656213</v>
          </cell>
          <cell r="F64">
            <v>11788.728619304798</v>
          </cell>
          <cell r="G64">
            <v>11864.22244956314</v>
          </cell>
          <cell r="H64">
            <v>11894.625807434704</v>
          </cell>
          <cell r="I64">
            <v>11967.571426591128</v>
          </cell>
          <cell r="J64">
            <v>11986.200371330935</v>
          </cell>
          <cell r="K64">
            <v>11846.606727772723</v>
          </cell>
          <cell r="L64">
            <v>11591.250193603475</v>
          </cell>
          <cell r="M64">
            <v>11419.630773701392</v>
          </cell>
          <cell r="N64">
            <v>11259.096754325505</v>
          </cell>
          <cell r="O64">
            <v>11154.472666608286</v>
          </cell>
          <cell r="P64">
            <v>11265.372710444006</v>
          </cell>
          <cell r="Q64">
            <v>11153.575417533197</v>
          </cell>
          <cell r="R64">
            <v>11079.097143440869</v>
          </cell>
          <cell r="S64">
            <v>11122.116479978196</v>
          </cell>
          <cell r="T64">
            <v>11246.60382999383</v>
          </cell>
          <cell r="U64">
            <v>11214.475808515026</v>
          </cell>
          <cell r="V64">
            <v>10685.252208172131</v>
          </cell>
          <cell r="W64">
            <v>10618.895970677195</v>
          </cell>
          <cell r="X64">
            <v>10703.292587561848</v>
          </cell>
          <cell r="Y64">
            <v>10878.615102456941</v>
          </cell>
          <cell r="Z64">
            <v>11156.635306533901</v>
          </cell>
          <cell r="AA64">
            <v>11406.928423740133</v>
          </cell>
        </row>
        <row r="65">
          <cell r="D65">
            <v>11653.343556627718</v>
          </cell>
          <cell r="E65">
            <v>11648.369597274748</v>
          </cell>
          <cell r="F65">
            <v>10789.573673288132</v>
          </cell>
          <cell r="G65">
            <v>10275.923097635739</v>
          </cell>
          <cell r="H65">
            <v>10125.298704095738</v>
          </cell>
          <cell r="I65">
            <v>10057.834754419517</v>
          </cell>
          <cell r="J65">
            <v>10333.586302728751</v>
          </cell>
          <cell r="K65">
            <v>11918.161522360886</v>
          </cell>
          <cell r="L65">
            <v>11705.043530956103</v>
          </cell>
          <cell r="M65">
            <v>11571.34170114902</v>
          </cell>
          <cell r="N65">
            <v>11438.825399812622</v>
          </cell>
          <cell r="O65">
            <v>11355.554885779007</v>
          </cell>
          <cell r="P65">
            <v>11458.274077475693</v>
          </cell>
          <cell r="Q65">
            <v>11354.314345903638</v>
          </cell>
          <cell r="R65">
            <v>11294.594775341671</v>
          </cell>
          <cell r="S65">
            <v>11330.12115886693</v>
          </cell>
          <cell r="T65">
            <v>11426.749723124289</v>
          </cell>
          <cell r="U65">
            <v>11394.377861913952</v>
          </cell>
          <cell r="V65">
            <v>10856.004553609402</v>
          </cell>
          <cell r="W65">
            <v>10752.275338810727</v>
          </cell>
          <cell r="X65">
            <v>10803.175815795043</v>
          </cell>
          <cell r="Y65">
            <v>10969.822445911987</v>
          </cell>
          <cell r="Z65">
            <v>11269.670413637876</v>
          </cell>
          <cell r="AA65">
            <v>11525.898332092833</v>
          </cell>
        </row>
        <row r="66">
          <cell r="D66">
            <v>11200.184727850296</v>
          </cell>
          <cell r="E66">
            <v>11331.073458631838</v>
          </cell>
          <cell r="F66">
            <v>11425.331416679519</v>
          </cell>
          <cell r="G66">
            <v>11518.86586633908</v>
          </cell>
          <cell r="H66">
            <v>11518.554966611102</v>
          </cell>
          <cell r="I66">
            <v>11560.525699729355</v>
          </cell>
          <cell r="J66">
            <v>11570.908712461329</v>
          </cell>
          <cell r="K66">
            <v>11438.480768767968</v>
          </cell>
          <cell r="L66">
            <v>11171.811438948262</v>
          </cell>
          <cell r="M66">
            <v>10993.827807463027</v>
          </cell>
          <cell r="N66">
            <v>10819.09541616119</v>
          </cell>
          <cell r="O66">
            <v>10704.668028751783</v>
          </cell>
          <cell r="P66">
            <v>10868.127675999758</v>
          </cell>
          <cell r="Q66">
            <v>10718.843121493939</v>
          </cell>
          <cell r="R66">
            <v>10614.158029293008</v>
          </cell>
          <cell r="S66">
            <v>10674.72391699431</v>
          </cell>
          <cell r="T66">
            <v>10777.258449814817</v>
          </cell>
          <cell r="U66">
            <v>10626.99193174221</v>
          </cell>
          <cell r="V66">
            <v>10184.028601749567</v>
          </cell>
          <cell r="W66">
            <v>10209.049319104786</v>
          </cell>
          <cell r="X66">
            <v>10235.425586730984</v>
          </cell>
          <cell r="Y66">
            <v>10469.722759213255</v>
          </cell>
          <cell r="Z66">
            <v>10719.897766472279</v>
          </cell>
          <cell r="AA66">
            <v>10996.367839845028</v>
          </cell>
        </row>
        <row r="67">
          <cell r="D67">
            <v>11268.749986847781</v>
          </cell>
          <cell r="E67">
            <v>11396.128296354362</v>
          </cell>
          <cell r="F67">
            <v>11372.544451689333</v>
          </cell>
          <cell r="G67">
            <v>10520.334705274412</v>
          </cell>
          <cell r="H67">
            <v>11118.38555459427</v>
          </cell>
          <cell r="I67">
            <v>10514.265998006096</v>
          </cell>
          <cell r="J67">
            <v>11347.090800510117</v>
          </cell>
          <cell r="K67">
            <v>11648.610719581644</v>
          </cell>
          <cell r="L67">
            <v>11470.148602373505</v>
          </cell>
          <cell r="M67">
            <v>11330.878185321704</v>
          </cell>
          <cell r="N67">
            <v>11205.81028308953</v>
          </cell>
          <cell r="O67">
            <v>11101.361373229152</v>
          </cell>
          <cell r="P67">
            <v>11189.632462240028</v>
          </cell>
          <cell r="Q67">
            <v>11114.936418076049</v>
          </cell>
          <cell r="R67">
            <v>11039.667779657095</v>
          </cell>
          <cell r="S67">
            <v>11073.432328008927</v>
          </cell>
          <cell r="T67">
            <v>11153.649830099532</v>
          </cell>
          <cell r="U67">
            <v>10979.835150713157</v>
          </cell>
          <cell r="V67">
            <v>10498.199236154342</v>
          </cell>
          <cell r="W67">
            <v>10480.539200050358</v>
          </cell>
          <cell r="X67">
            <v>10558.309324890879</v>
          </cell>
          <cell r="Y67">
            <v>10749.701569836539</v>
          </cell>
          <cell r="Z67">
            <v>10973.353084594357</v>
          </cell>
          <cell r="AA67">
            <v>11203.623572354956</v>
          </cell>
        </row>
        <row r="68">
          <cell r="D68">
            <v>11350.465095339929</v>
          </cell>
          <cell r="E68">
            <v>11472.242809411189</v>
          </cell>
          <cell r="F68">
            <v>11554.144658616007</v>
          </cell>
          <cell r="G68">
            <v>10742.133968272252</v>
          </cell>
          <cell r="H68">
            <v>11020.260238510073</v>
          </cell>
          <cell r="I68">
            <v>10634.845944392375</v>
          </cell>
          <cell r="J68">
            <v>11358.697943997484</v>
          </cell>
          <cell r="K68">
            <v>11673.748946393964</v>
          </cell>
          <cell r="L68">
            <v>11521.364428984692</v>
          </cell>
          <cell r="M68">
            <v>11410.769296212606</v>
          </cell>
          <cell r="N68">
            <v>11297.228659014305</v>
          </cell>
          <cell r="O68">
            <v>11188.946676592381</v>
          </cell>
          <cell r="P68">
            <v>11242.70991728013</v>
          </cell>
          <cell r="Q68">
            <v>11168.976020660921</v>
          </cell>
          <cell r="R68">
            <v>11111.931805342536</v>
          </cell>
          <cell r="S68">
            <v>11158.641789131472</v>
          </cell>
          <cell r="T68">
            <v>11284.860323172996</v>
          </cell>
          <cell r="U68">
            <v>11086.575007266056</v>
          </cell>
          <cell r="V68">
            <v>10617.880521246598</v>
          </cell>
          <cell r="W68">
            <v>10583.813200506484</v>
          </cell>
          <cell r="X68">
            <v>10628.732213119996</v>
          </cell>
          <cell r="Y68">
            <v>10811.763575639667</v>
          </cell>
          <cell r="Z68">
            <v>11050.939543254728</v>
          </cell>
          <cell r="AA68">
            <v>11266.669475990251</v>
          </cell>
        </row>
        <row r="69">
          <cell r="D69">
            <v>10659.452653393564</v>
          </cell>
          <cell r="E69">
            <v>10792.862896950808</v>
          </cell>
          <cell r="F69">
            <v>10879.846496001119</v>
          </cell>
          <cell r="G69">
            <v>10954.383438536126</v>
          </cell>
          <cell r="H69">
            <v>10974.594196823144</v>
          </cell>
          <cell r="I69">
            <v>10990.947810782163</v>
          </cell>
          <cell r="J69">
            <v>11024.463055830967</v>
          </cell>
          <cell r="K69">
            <v>10836.366586528133</v>
          </cell>
          <cell r="L69">
            <v>10579.454998516943</v>
          </cell>
          <cell r="M69">
            <v>10428.340709448143</v>
          </cell>
          <cell r="N69">
            <v>10294.783553405437</v>
          </cell>
          <cell r="O69">
            <v>10194.740495912285</v>
          </cell>
          <cell r="P69">
            <v>10354.714367978431</v>
          </cell>
          <cell r="Q69">
            <v>10223.518980041263</v>
          </cell>
          <cell r="R69">
            <v>10107.324566660538</v>
          </cell>
          <cell r="S69">
            <v>10136.851997230728</v>
          </cell>
          <cell r="T69">
            <v>10252.596531158744</v>
          </cell>
          <cell r="U69">
            <v>10032.3965040943</v>
          </cell>
          <cell r="V69">
            <v>9669.9976889578065</v>
          </cell>
          <cell r="W69">
            <v>9714.4954146199816</v>
          </cell>
          <cell r="X69">
            <v>9808.4194943119201</v>
          </cell>
          <cell r="Y69">
            <v>10005.632048990868</v>
          </cell>
          <cell r="Z69">
            <v>10267.794483187934</v>
          </cell>
          <cell r="AA69">
            <v>10513.768851644691</v>
          </cell>
        </row>
        <row r="70">
          <cell r="D70">
            <v>10857.952328792418</v>
          </cell>
          <cell r="E70">
            <v>10962.578499210931</v>
          </cell>
          <cell r="F70">
            <v>11042.439928926551</v>
          </cell>
          <cell r="G70">
            <v>11110.132093049884</v>
          </cell>
          <cell r="H70">
            <v>11128.203434945635</v>
          </cell>
          <cell r="I70">
            <v>11169.03435004588</v>
          </cell>
          <cell r="J70">
            <v>11196.182298274793</v>
          </cell>
          <cell r="K70">
            <v>11054.791303421769</v>
          </cell>
          <cell r="L70">
            <v>10862.028829060841</v>
          </cell>
          <cell r="M70">
            <v>10722.735533027353</v>
          </cell>
          <cell r="N70">
            <v>10577.320161570611</v>
          </cell>
          <cell r="O70">
            <v>10465.821403448352</v>
          </cell>
          <cell r="P70">
            <v>10550.227148846119</v>
          </cell>
          <cell r="Q70">
            <v>10471.055273080119</v>
          </cell>
          <cell r="R70">
            <v>10405.193721128981</v>
          </cell>
          <cell r="S70">
            <v>10425.167744942279</v>
          </cell>
          <cell r="T70">
            <v>10543.734909322488</v>
          </cell>
          <cell r="U70">
            <v>10293.523132867356</v>
          </cell>
          <cell r="V70">
            <v>9897.234396447353</v>
          </cell>
          <cell r="W70">
            <v>9912.2028173784856</v>
          </cell>
          <cell r="X70">
            <v>9994.091984274377</v>
          </cell>
          <cell r="Y70">
            <v>10156.312017334394</v>
          </cell>
          <cell r="Z70">
            <v>10391.698088464991</v>
          </cell>
          <cell r="AA70">
            <v>10592.080657254894</v>
          </cell>
        </row>
        <row r="71">
          <cell r="D71">
            <v>10747.384535048419</v>
          </cell>
          <cell r="E71">
            <v>10870.009118371523</v>
          </cell>
          <cell r="F71">
            <v>10962.714300813062</v>
          </cell>
          <cell r="G71">
            <v>11028.457616588064</v>
          </cell>
          <cell r="H71">
            <v>11058.695711507236</v>
          </cell>
          <cell r="I71">
            <v>11123.415774227284</v>
          </cell>
          <cell r="J71">
            <v>11170.965190823839</v>
          </cell>
          <cell r="K71">
            <v>11070.053951777161</v>
          </cell>
          <cell r="L71">
            <v>10915.971884494955</v>
          </cell>
          <cell r="M71">
            <v>10826.259547322043</v>
          </cell>
          <cell r="N71">
            <v>10731.418087693584</v>
          </cell>
          <cell r="O71">
            <v>10634.220071917674</v>
          </cell>
          <cell r="P71">
            <v>10686.544881558702</v>
          </cell>
          <cell r="Q71">
            <v>10601.963629268497</v>
          </cell>
          <cell r="R71">
            <v>10532.993635810435</v>
          </cell>
          <cell r="S71">
            <v>10541.387095867087</v>
          </cell>
          <cell r="T71">
            <v>10627.457382302935</v>
          </cell>
          <cell r="U71">
            <v>10377.742805485752</v>
          </cell>
          <cell r="V71">
            <v>9986.4151795989856</v>
          </cell>
          <cell r="W71">
            <v>10005.604316072897</v>
          </cell>
          <cell r="X71">
            <v>10083.711724227598</v>
          </cell>
          <cell r="Y71">
            <v>10317.572780499433</v>
          </cell>
          <cell r="Z71">
            <v>10587.015174240094</v>
          </cell>
          <cell r="AA71">
            <v>10751.864220671294</v>
          </cell>
        </row>
        <row r="72">
          <cell r="D72">
            <v>12406.251629666787</v>
          </cell>
          <cell r="E72">
            <v>12517.499175728095</v>
          </cell>
          <cell r="F72">
            <v>12600.950446315295</v>
          </cell>
          <cell r="G72">
            <v>12672.23315887536</v>
          </cell>
          <cell r="H72">
            <v>12700.888729502314</v>
          </cell>
          <cell r="I72">
            <v>12711.835448313181</v>
          </cell>
          <cell r="J72">
            <v>12770.227592327306</v>
          </cell>
          <cell r="K72">
            <v>12649.864856795111</v>
          </cell>
          <cell r="L72">
            <v>12450.778756223424</v>
          </cell>
          <cell r="M72">
            <v>12318.947067528132</v>
          </cell>
          <cell r="N72">
            <v>12182.470060392781</v>
          </cell>
          <cell r="O72">
            <v>12063.914645046281</v>
          </cell>
          <cell r="P72">
            <v>12191.054931989782</v>
          </cell>
          <cell r="Q72">
            <v>12058.412843826873</v>
          </cell>
          <cell r="R72">
            <v>11928.38693108137</v>
          </cell>
          <cell r="S72">
            <v>11962.466059980692</v>
          </cell>
          <cell r="T72">
            <v>12077.050825020635</v>
          </cell>
          <cell r="U72">
            <v>11947.432335075384</v>
          </cell>
          <cell r="V72">
            <v>11546.879306890369</v>
          </cell>
          <cell r="W72">
            <v>11569.371077525262</v>
          </cell>
          <cell r="X72">
            <v>11666.945197272973</v>
          </cell>
          <cell r="Y72">
            <v>11811.318710748672</v>
          </cell>
          <cell r="Z72">
            <v>12023.037453184266</v>
          </cell>
          <cell r="AA72">
            <v>12243.795820336971</v>
          </cell>
        </row>
        <row r="73">
          <cell r="D73">
            <v>12413.682181358688</v>
          </cell>
          <cell r="E73">
            <v>12522.66684197285</v>
          </cell>
          <cell r="F73">
            <v>12607.392060712755</v>
          </cell>
          <cell r="G73">
            <v>12677.395514288473</v>
          </cell>
          <cell r="H73">
            <v>12709.91631351053</v>
          </cell>
          <cell r="I73">
            <v>12730.16721655599</v>
          </cell>
          <cell r="J73">
            <v>12788.268378669116</v>
          </cell>
          <cell r="K73">
            <v>12698.719027313753</v>
          </cell>
          <cell r="L73">
            <v>12534.92374408312</v>
          </cell>
          <cell r="M73">
            <v>12408.243309969997</v>
          </cell>
          <cell r="N73">
            <v>12282.65905816675</v>
          </cell>
          <cell r="O73">
            <v>12183.092180301826</v>
          </cell>
          <cell r="P73">
            <v>12254.995344180215</v>
          </cell>
          <cell r="Q73">
            <v>12161.43845961021</v>
          </cell>
          <cell r="R73">
            <v>12082.755022432764</v>
          </cell>
          <cell r="S73">
            <v>12114.462943578183</v>
          </cell>
          <cell r="T73">
            <v>12212.590439865578</v>
          </cell>
          <cell r="U73">
            <v>12040.148854672929</v>
          </cell>
          <cell r="V73">
            <v>11618.411854802496</v>
          </cell>
          <cell r="W73">
            <v>11625.816818135349</v>
          </cell>
          <cell r="X73">
            <v>11742.638479415704</v>
          </cell>
          <cell r="Y73">
            <v>11889.551367379809</v>
          </cell>
          <cell r="Z73">
            <v>12084.753979710029</v>
          </cell>
          <cell r="AA73">
            <v>12271.3089348229</v>
          </cell>
        </row>
        <row r="74">
          <cell r="D74">
            <v>12471.847116450384</v>
          </cell>
          <cell r="E74">
            <v>12572.833690491034</v>
          </cell>
          <cell r="F74">
            <v>12651.618840260851</v>
          </cell>
          <cell r="G74">
            <v>12713.658852601793</v>
          </cell>
          <cell r="H74">
            <v>12748.950620735543</v>
          </cell>
          <cell r="I74">
            <v>12792.334963640493</v>
          </cell>
          <cell r="J74">
            <v>12872.176272574954</v>
          </cell>
          <cell r="K74">
            <v>12788.131091325407</v>
          </cell>
          <cell r="L74">
            <v>12645.161523190378</v>
          </cell>
          <cell r="M74">
            <v>12544.305019497056</v>
          </cell>
          <cell r="N74">
            <v>12437.657804053859</v>
          </cell>
          <cell r="O74">
            <v>12340.987302783418</v>
          </cell>
          <cell r="P74">
            <v>12397.115070119167</v>
          </cell>
          <cell r="Q74">
            <v>12308.835294763952</v>
          </cell>
          <cell r="R74">
            <v>12220.070361943443</v>
          </cell>
          <cell r="S74">
            <v>12248.27210027123</v>
          </cell>
          <cell r="T74">
            <v>12340.622067202175</v>
          </cell>
          <cell r="U74">
            <v>12187.487454117181</v>
          </cell>
          <cell r="V74">
            <v>11741.358898575974</v>
          </cell>
          <cell r="W74">
            <v>11721.649042863766</v>
          </cell>
          <cell r="X74">
            <v>11803.495764188519</v>
          </cell>
          <cell r="Y74">
            <v>11948.782964349071</v>
          </cell>
          <cell r="Z74">
            <v>12143.53484462417</v>
          </cell>
          <cell r="AA74">
            <v>12329.410536742402</v>
          </cell>
        </row>
        <row r="75">
          <cell r="D75">
            <v>14574.841170004525</v>
          </cell>
          <cell r="E75">
            <v>12983.303747450997</v>
          </cell>
          <cell r="F75">
            <v>11938.945699387656</v>
          </cell>
          <cell r="G75">
            <v>11024.663108908768</v>
          </cell>
          <cell r="H75">
            <v>10559.350216016828</v>
          </cell>
          <cell r="I75">
            <v>10509.808663113585</v>
          </cell>
          <cell r="J75">
            <v>9597.9740984958189</v>
          </cell>
          <cell r="K75">
            <v>11641.570086202204</v>
          </cell>
          <cell r="L75">
            <v>13774.761815465023</v>
          </cell>
          <cell r="M75">
            <v>15343.692285135819</v>
          </cell>
          <cell r="N75">
            <v>17006.293303293623</v>
          </cell>
          <cell r="O75">
            <v>18560.465032372344</v>
          </cell>
          <cell r="P75">
            <v>17565.481858370109</v>
          </cell>
          <cell r="Q75">
            <v>19699.821724650534</v>
          </cell>
          <cell r="R75">
            <v>21601.23625152219</v>
          </cell>
          <cell r="S75">
            <v>21154.164419350225</v>
          </cell>
          <cell r="T75">
            <v>19920.394512944826</v>
          </cell>
          <cell r="U75">
            <v>20097.153866209737</v>
          </cell>
          <cell r="V75">
            <v>24180.666219050996</v>
          </cell>
          <cell r="W75">
            <v>24795.107900508137</v>
          </cell>
          <cell r="X75">
            <v>24222.360772652584</v>
          </cell>
          <cell r="Y75">
            <v>23017.950580503435</v>
          </cell>
          <cell r="Z75">
            <v>20534.014645799725</v>
          </cell>
          <cell r="AA75">
            <v>18010.637848766532</v>
          </cell>
        </row>
        <row r="76">
          <cell r="D76">
            <v>13585.357165417732</v>
          </cell>
          <cell r="E76">
            <v>12032.413809708412</v>
          </cell>
          <cell r="F76">
            <v>11013.034844538779</v>
          </cell>
          <cell r="G76">
            <v>10124.218710196974</v>
          </cell>
          <cell r="H76">
            <v>9684.0081970695846</v>
          </cell>
          <cell r="I76">
            <v>9697.153527137747</v>
          </cell>
          <cell r="J76">
            <v>8808.0406228936754</v>
          </cell>
          <cell r="K76">
            <v>10849.374606714853</v>
          </cell>
          <cell r="L76">
            <v>12976.325716930332</v>
          </cell>
          <cell r="M76">
            <v>14509.435140354373</v>
          </cell>
          <cell r="N76">
            <v>16154.774707006854</v>
          </cell>
          <cell r="O76">
            <v>17691.081098009767</v>
          </cell>
          <cell r="P76">
            <v>16612.074351351519</v>
          </cell>
          <cell r="Q76">
            <v>18783.602674819416</v>
          </cell>
          <cell r="R76">
            <v>20720.228559059207</v>
          </cell>
          <cell r="S76">
            <v>20297.791662077325</v>
          </cell>
          <cell r="T76">
            <v>19089.975823977475</v>
          </cell>
          <cell r="U76">
            <v>19213.375157260503</v>
          </cell>
          <cell r="V76">
            <v>23103.430393377897</v>
          </cell>
          <cell r="W76">
            <v>23649.949014405225</v>
          </cell>
          <cell r="X76">
            <v>23081.443709786563</v>
          </cell>
          <cell r="Y76">
            <v>21903.8783947626</v>
          </cell>
          <cell r="Z76">
            <v>19440.977859421939</v>
          </cell>
          <cell r="AA76">
            <v>16943.09860576766</v>
          </cell>
        </row>
        <row r="77">
          <cell r="D77">
            <v>12240.223507158764</v>
          </cell>
          <cell r="E77">
            <v>10746.214456665641</v>
          </cell>
          <cell r="F77">
            <v>9781.3105073813203</v>
          </cell>
          <cell r="G77">
            <v>8912.724159877549</v>
          </cell>
          <cell r="H77">
            <v>8488.6421873539275</v>
          </cell>
          <cell r="I77">
            <v>8509.7419831605494</v>
          </cell>
          <cell r="J77">
            <v>7667.9819347602952</v>
          </cell>
          <cell r="K77">
            <v>9662.3283493689669</v>
          </cell>
          <cell r="L77">
            <v>11769.606969645516</v>
          </cell>
          <cell r="M77">
            <v>13312.886678137393</v>
          </cell>
          <cell r="N77">
            <v>14935.825414817791</v>
          </cell>
          <cell r="O77">
            <v>16441.782997940856</v>
          </cell>
          <cell r="P77">
            <v>15341.920350821101</v>
          </cell>
          <cell r="Q77">
            <v>17445.141045367422</v>
          </cell>
          <cell r="R77">
            <v>19334.355083737286</v>
          </cell>
          <cell r="S77">
            <v>18872.800805882554</v>
          </cell>
          <cell r="T77">
            <v>17688.305909684655</v>
          </cell>
          <cell r="U77">
            <v>17841.67831452375</v>
          </cell>
          <cell r="V77">
            <v>21567.135034319606</v>
          </cell>
          <cell r="W77">
            <v>22040.654048412191</v>
          </cell>
          <cell r="X77">
            <v>21456.068230230714</v>
          </cell>
          <cell r="Y77">
            <v>20332.370133647903</v>
          </cell>
          <cell r="Z77">
            <v>17982.672654117407</v>
          </cell>
          <cell r="AA77">
            <v>15589.93463192331</v>
          </cell>
        </row>
        <row r="78">
          <cell r="D78">
            <v>17971.275274028561</v>
          </cell>
          <cell r="E78">
            <v>16307.902359091158</v>
          </cell>
          <cell r="F78">
            <v>15002.106322623078</v>
          </cell>
          <cell r="G78">
            <v>14035.587439201536</v>
          </cell>
          <cell r="H78">
            <v>13581.438271634372</v>
          </cell>
          <cell r="I78">
            <v>13874.468621326458</v>
          </cell>
          <cell r="J78">
            <v>13068.717638758151</v>
          </cell>
          <cell r="K78">
            <v>15372.972803081651</v>
          </cell>
          <cell r="L78">
            <v>17717.704257930498</v>
          </cell>
          <cell r="M78">
            <v>19245.080682792934</v>
          </cell>
          <cell r="N78">
            <v>21132.773733252423</v>
          </cell>
          <cell r="O78">
            <v>22770.271793152497</v>
          </cell>
          <cell r="P78">
            <v>20945.208894015359</v>
          </cell>
          <cell r="Q78">
            <v>23814.157684035126</v>
          </cell>
          <cell r="R78">
            <v>26510.949397283101</v>
          </cell>
          <cell r="S78">
            <v>26300.705844172542</v>
          </cell>
          <cell r="T78">
            <v>24899.334804395538</v>
          </cell>
          <cell r="U78">
            <v>24544.842327058213</v>
          </cell>
          <cell r="V78">
            <v>28266.97316591163</v>
          </cell>
          <cell r="W78">
            <v>29389.767798696383</v>
          </cell>
          <cell r="X78">
            <v>28870.050664261464</v>
          </cell>
          <cell r="Y78">
            <v>27307.859997247659</v>
          </cell>
          <cell r="Z78">
            <v>24395.806832530721</v>
          </cell>
          <cell r="AA78">
            <v>21525.32406405354</v>
          </cell>
        </row>
        <row r="79">
          <cell r="D79">
            <v>16090.178596138379</v>
          </cell>
          <cell r="E79">
            <v>14505.90219359907</v>
          </cell>
          <cell r="F79">
            <v>13254.138680103839</v>
          </cell>
          <cell r="G79">
            <v>12329.710052786484</v>
          </cell>
          <cell r="H79">
            <v>11912.002363192609</v>
          </cell>
          <cell r="I79">
            <v>12262.344098792575</v>
          </cell>
          <cell r="J79">
            <v>11504.96479055959</v>
          </cell>
          <cell r="K79">
            <v>13751.259811383768</v>
          </cell>
          <cell r="L79">
            <v>16042.124885055991</v>
          </cell>
          <cell r="M79">
            <v>17512.328122105588</v>
          </cell>
          <cell r="N79">
            <v>19353.39585036003</v>
          </cell>
          <cell r="O79">
            <v>20940.878121645073</v>
          </cell>
          <cell r="P79">
            <v>19120.561423380655</v>
          </cell>
          <cell r="Q79">
            <v>21948.073603585195</v>
          </cell>
          <cell r="R79">
            <v>24581.793800838594</v>
          </cell>
          <cell r="S79">
            <v>24381.470436381449</v>
          </cell>
          <cell r="T79">
            <v>23038.238691831113</v>
          </cell>
          <cell r="U79">
            <v>22698.747987496794</v>
          </cell>
          <cell r="V79">
            <v>26176.114664970009</v>
          </cell>
          <cell r="W79">
            <v>27211.530932985817</v>
          </cell>
          <cell r="X79">
            <v>26728.158549059317</v>
          </cell>
          <cell r="Y79">
            <v>25222.358866630278</v>
          </cell>
          <cell r="Z79">
            <v>22381.300067556793</v>
          </cell>
          <cell r="AA79">
            <v>19579.080465610052</v>
          </cell>
        </row>
        <row r="80">
          <cell r="D80">
            <v>15766.376568235244</v>
          </cell>
          <cell r="E80">
            <v>14191.166953063494</v>
          </cell>
          <cell r="F80">
            <v>12954.116528862258</v>
          </cell>
          <cell r="G80">
            <v>12029.900505866717</v>
          </cell>
          <cell r="H80">
            <v>11611.929471254181</v>
          </cell>
          <cell r="I80">
            <v>11982.752728335267</v>
          </cell>
          <cell r="J80">
            <v>11240.26612809558</v>
          </cell>
          <cell r="K80">
            <v>13484.572808146069</v>
          </cell>
          <cell r="L80">
            <v>15822.212888681137</v>
          </cell>
          <cell r="M80">
            <v>17350.030406128262</v>
          </cell>
          <cell r="N80">
            <v>19194.987773646055</v>
          </cell>
          <cell r="O80">
            <v>20761.135680222509</v>
          </cell>
          <cell r="P80">
            <v>18881.740451437861</v>
          </cell>
          <cell r="Q80">
            <v>21681.737603365989</v>
          </cell>
          <cell r="R80">
            <v>24289.612133379887</v>
          </cell>
          <cell r="S80">
            <v>24087.11141746616</v>
          </cell>
          <cell r="T80">
            <v>22739.768299658383</v>
          </cell>
          <cell r="U80">
            <v>22392.911625444573</v>
          </cell>
          <cell r="V80">
            <v>25799.377750919732</v>
          </cell>
          <cell r="W80">
            <v>26785.92245100436</v>
          </cell>
          <cell r="X80">
            <v>26259.960997190305</v>
          </cell>
          <cell r="Y80">
            <v>24763.523331688386</v>
          </cell>
          <cell r="Z80">
            <v>21990.1180809664</v>
          </cell>
          <cell r="AA80">
            <v>19235.554999329615</v>
          </cell>
        </row>
        <row r="81">
          <cell r="D81">
            <v>19483.028977175214</v>
          </cell>
          <cell r="E81">
            <v>17802.499840037253</v>
          </cell>
          <cell r="F81">
            <v>16413.722070992539</v>
          </cell>
          <cell r="G81">
            <v>15467.020253356566</v>
          </cell>
          <cell r="H81">
            <v>14906.065788772783</v>
          </cell>
          <cell r="I81">
            <v>14711.778166105276</v>
          </cell>
          <cell r="J81">
            <v>14016.632461842593</v>
          </cell>
          <cell r="K81">
            <v>16241.129717539441</v>
          </cell>
          <cell r="L81">
            <v>18466.801868987131</v>
          </cell>
          <cell r="M81">
            <v>20189.426063945666</v>
          </cell>
          <cell r="N81">
            <v>21924.154094503483</v>
          </cell>
          <cell r="O81">
            <v>23237.888547969938</v>
          </cell>
          <cell r="P81">
            <v>21680.864152408951</v>
          </cell>
          <cell r="Q81">
            <v>24225.648997553642</v>
          </cell>
          <cell r="R81">
            <v>26546.13494759503</v>
          </cell>
          <cell r="S81">
            <v>26339.145814339783</v>
          </cell>
          <cell r="T81">
            <v>25099.969412744613</v>
          </cell>
          <cell r="U81">
            <v>25137.273821999559</v>
          </cell>
          <cell r="V81">
            <v>28962.593450440181</v>
          </cell>
          <cell r="W81">
            <v>29817.445307721471</v>
          </cell>
          <cell r="X81">
            <v>29547.69773770927</v>
          </cell>
          <cell r="Y81">
            <v>28218.541782639011</v>
          </cell>
          <cell r="Z81">
            <v>25757.334830124772</v>
          </cell>
          <cell r="AA81">
            <v>22777.607442117962</v>
          </cell>
        </row>
        <row r="82">
          <cell r="D82">
            <v>16777.810556614808</v>
          </cell>
          <cell r="E82">
            <v>15202.159358640753</v>
          </cell>
          <cell r="F82">
            <v>13902.731694709153</v>
          </cell>
          <cell r="G82">
            <v>13020.395731361805</v>
          </cell>
          <cell r="H82">
            <v>12519.250086001481</v>
          </cell>
          <cell r="I82">
            <v>12411.589871671435</v>
          </cell>
          <cell r="J82">
            <v>11749.187658004146</v>
          </cell>
          <cell r="K82">
            <v>13776.743462301571</v>
          </cell>
          <cell r="L82">
            <v>15991.166728987004</v>
          </cell>
          <cell r="M82">
            <v>17609.95256773955</v>
          </cell>
          <cell r="N82">
            <v>19232.106597263559</v>
          </cell>
          <cell r="O82">
            <v>20453.542332855424</v>
          </cell>
          <cell r="P82">
            <v>18895.762056593339</v>
          </cell>
          <cell r="Q82">
            <v>21320.343793702825</v>
          </cell>
          <cell r="R82">
            <v>23544.080511605374</v>
          </cell>
          <cell r="S82">
            <v>23354.848391896499</v>
          </cell>
          <cell r="T82">
            <v>22202.24847225277</v>
          </cell>
          <cell r="U82">
            <v>22271.534143831788</v>
          </cell>
          <cell r="V82">
            <v>25602.4808199078</v>
          </cell>
          <cell r="W82">
            <v>26538.263298339389</v>
          </cell>
          <cell r="X82">
            <v>26294.368460358863</v>
          </cell>
          <cell r="Y82">
            <v>25033.435790657917</v>
          </cell>
          <cell r="Z82">
            <v>22680.683125730622</v>
          </cell>
          <cell r="AA82">
            <v>19857.101562418389</v>
          </cell>
        </row>
        <row r="83">
          <cell r="D83">
            <v>16633.606357026561</v>
          </cell>
          <cell r="E83">
            <v>15065.697884386274</v>
          </cell>
          <cell r="F83">
            <v>13769.151566002736</v>
          </cell>
          <cell r="G83">
            <v>12881.085303959502</v>
          </cell>
          <cell r="H83">
            <v>12381.072560573512</v>
          </cell>
          <cell r="I83">
            <v>12289.143151560111</v>
          </cell>
          <cell r="J83">
            <v>11639.94003481644</v>
          </cell>
          <cell r="K83">
            <v>13690.456690532938</v>
          </cell>
          <cell r="L83">
            <v>15957.907073234586</v>
          </cell>
          <cell r="M83">
            <v>17615.585056694908</v>
          </cell>
          <cell r="N83">
            <v>19272.759834934797</v>
          </cell>
          <cell r="O83">
            <v>20510.751719881267</v>
          </cell>
          <cell r="P83">
            <v>18898.389705087477</v>
          </cell>
          <cell r="Q83">
            <v>21333.144186863865</v>
          </cell>
          <cell r="R83">
            <v>23548.240020875692</v>
          </cell>
          <cell r="S83">
            <v>23351.717490834872</v>
          </cell>
          <cell r="T83">
            <v>22190.094533944586</v>
          </cell>
          <cell r="U83">
            <v>22230.791361600281</v>
          </cell>
          <cell r="V83">
            <v>25557.715291265471</v>
          </cell>
          <cell r="W83">
            <v>26441.035729473766</v>
          </cell>
          <cell r="X83">
            <v>26120.491417271536</v>
          </cell>
          <cell r="Y83">
            <v>24870.103621785118</v>
          </cell>
          <cell r="Z83">
            <v>22549.643302673943</v>
          </cell>
          <cell r="AA83">
            <v>19751.620438479193</v>
          </cell>
        </row>
        <row r="84">
          <cell r="D84">
            <v>16883.160718160365</v>
          </cell>
          <cell r="E84">
            <v>15456.027452249344</v>
          </cell>
          <cell r="F84">
            <v>14269.121994551178</v>
          </cell>
          <cell r="G84">
            <v>13366.542630193668</v>
          </cell>
          <cell r="H84">
            <v>13008.875572260753</v>
          </cell>
          <cell r="I84">
            <v>12605.649653576425</v>
          </cell>
          <cell r="J84">
            <v>12633.24198424096</v>
          </cell>
          <cell r="K84">
            <v>15062.363566594036</v>
          </cell>
          <cell r="L84">
            <v>17305.896650559745</v>
          </cell>
          <cell r="M84">
            <v>18791.342889112606</v>
          </cell>
          <cell r="N84">
            <v>20327.099878515895</v>
          </cell>
          <cell r="O84">
            <v>21696.809297167267</v>
          </cell>
          <cell r="P84">
            <v>20135.419804925961</v>
          </cell>
          <cell r="Q84">
            <v>22016.005167819025</v>
          </cell>
          <cell r="R84">
            <v>23636.02210134967</v>
          </cell>
          <cell r="S84">
            <v>22954.623202279803</v>
          </cell>
          <cell r="T84">
            <v>21145.289566995907</v>
          </cell>
          <cell r="U84">
            <v>21564.183174037546</v>
          </cell>
          <cell r="V84">
            <v>26516.291985717002</v>
          </cell>
          <cell r="W84">
            <v>27486.983502396473</v>
          </cell>
          <cell r="X84">
            <v>26744.408915329986</v>
          </cell>
          <cell r="Y84">
            <v>25069.657376391882</v>
          </cell>
          <cell r="Z84">
            <v>22145.466811763101</v>
          </cell>
          <cell r="AA84">
            <v>19299.850598694338</v>
          </cell>
        </row>
        <row r="85">
          <cell r="D85">
            <v>14830.787729085703</v>
          </cell>
          <cell r="E85">
            <v>13471.850253895635</v>
          </cell>
          <cell r="F85">
            <v>12339.588663115886</v>
          </cell>
          <cell r="G85">
            <v>11493.406113886764</v>
          </cell>
          <cell r="H85">
            <v>11166.620203841103</v>
          </cell>
          <cell r="I85">
            <v>10854.430333242668</v>
          </cell>
          <cell r="J85">
            <v>10846.577360022404</v>
          </cell>
          <cell r="K85">
            <v>13213.651685153131</v>
          </cell>
          <cell r="L85">
            <v>15407.380559335461</v>
          </cell>
          <cell r="M85">
            <v>16842.419901756362</v>
          </cell>
          <cell r="N85">
            <v>18372.406481376427</v>
          </cell>
          <cell r="O85">
            <v>19703.986518924932</v>
          </cell>
          <cell r="P85">
            <v>18136.610829497964</v>
          </cell>
          <cell r="Q85">
            <v>20075.746685475006</v>
          </cell>
          <cell r="R85">
            <v>21733.342171455468</v>
          </cell>
          <cell r="S85">
            <v>21102.965120140907</v>
          </cell>
          <cell r="T85">
            <v>19331.821056730285</v>
          </cell>
          <cell r="U85">
            <v>19676.362920556501</v>
          </cell>
          <cell r="V85">
            <v>24307.350888734589</v>
          </cell>
          <cell r="W85">
            <v>25216.920456297052</v>
          </cell>
          <cell r="X85">
            <v>24544.331308364668</v>
          </cell>
          <cell r="Y85">
            <v>22952.902354346556</v>
          </cell>
          <cell r="Z85">
            <v>20119.673460237613</v>
          </cell>
          <cell r="AA85">
            <v>17355.260399181654</v>
          </cell>
        </row>
        <row r="86">
          <cell r="D86">
            <v>16598.771206228663</v>
          </cell>
          <cell r="E86">
            <v>15166.991025185542</v>
          </cell>
          <cell r="F86">
            <v>13979.005604300557</v>
          </cell>
          <cell r="G86">
            <v>13081.047457657669</v>
          </cell>
          <cell r="H86">
            <v>12739.596284068768</v>
          </cell>
          <cell r="I86">
            <v>12408.361384687509</v>
          </cell>
          <cell r="J86">
            <v>12415.099643385385</v>
          </cell>
          <cell r="K86">
            <v>14902.945470785056</v>
          </cell>
          <cell r="L86">
            <v>17239.37784757702</v>
          </cell>
          <cell r="M86">
            <v>18774.160598991064</v>
          </cell>
          <cell r="N86">
            <v>20354.492050342957</v>
          </cell>
          <cell r="O86">
            <v>21727.856236618718</v>
          </cell>
          <cell r="P86">
            <v>19981.397193573161</v>
          </cell>
          <cell r="Q86">
            <v>21916.231753629781</v>
          </cell>
          <cell r="R86">
            <v>23601.54306655033</v>
          </cell>
          <cell r="S86">
            <v>22947.887122276021</v>
          </cell>
          <cell r="T86">
            <v>21143.202828112368</v>
          </cell>
          <cell r="U86">
            <v>21513.274269399993</v>
          </cell>
          <cell r="V86">
            <v>26333.67730177605</v>
          </cell>
          <cell r="W86">
            <v>27213.107201375176</v>
          </cell>
          <cell r="X86">
            <v>26439.382806268633</v>
          </cell>
          <cell r="Y86">
            <v>24764.612934921872</v>
          </cell>
          <cell r="Z86">
            <v>21848.712319508693</v>
          </cell>
          <cell r="AA86">
            <v>18997.507146935357</v>
          </cell>
        </row>
        <row r="87">
          <cell r="D87">
            <v>16855.881329648826</v>
          </cell>
          <cell r="E87">
            <v>15112.514705745571</v>
          </cell>
          <cell r="F87">
            <v>13977.544416742103</v>
          </cell>
          <cell r="G87">
            <v>13274.348723520745</v>
          </cell>
          <cell r="H87">
            <v>12942.548824014488</v>
          </cell>
          <cell r="I87">
            <v>12407.355944573465</v>
          </cell>
          <cell r="J87">
            <v>12908.070435882941</v>
          </cell>
          <cell r="K87">
            <v>15767.977125839763</v>
          </cell>
          <cell r="L87">
            <v>18954.36011605999</v>
          </cell>
          <cell r="M87">
            <v>21248.767664954878</v>
          </cell>
          <cell r="N87">
            <v>23310.627985556941</v>
          </cell>
          <cell r="O87">
            <v>24073.915043778808</v>
          </cell>
          <cell r="P87">
            <v>21934.407737707414</v>
          </cell>
          <cell r="Q87">
            <v>23356.393852355173</v>
          </cell>
          <cell r="R87">
            <v>24949.75154918159</v>
          </cell>
          <cell r="S87">
            <v>24432.901035924919</v>
          </cell>
          <cell r="T87">
            <v>23319.194065691212</v>
          </cell>
          <cell r="U87">
            <v>22971.660243307495</v>
          </cell>
          <cell r="V87">
            <v>27714.149362423006</v>
          </cell>
          <cell r="W87">
            <v>28858.512407487779</v>
          </cell>
          <cell r="X87">
            <v>27803.274534401091</v>
          </cell>
          <cell r="Y87">
            <v>25584.295411907347</v>
          </cell>
          <cell r="Z87">
            <v>22067.408113367695</v>
          </cell>
          <cell r="AA87">
            <v>17877.983493819185</v>
          </cell>
        </row>
        <row r="88">
          <cell r="D88">
            <v>13689.06218297261</v>
          </cell>
          <cell r="E88">
            <v>12079.516385220537</v>
          </cell>
          <cell r="F88">
            <v>11032.937196496856</v>
          </cell>
          <cell r="G88">
            <v>10405.94404543408</v>
          </cell>
          <cell r="H88">
            <v>10121.988050784325</v>
          </cell>
          <cell r="I88">
            <v>9721.5843966048069</v>
          </cell>
          <cell r="J88">
            <v>10162.705172305856</v>
          </cell>
          <cell r="K88">
            <v>12831.95613014954</v>
          </cell>
          <cell r="L88">
            <v>15824.378727145258</v>
          </cell>
          <cell r="M88">
            <v>17904.389150411847</v>
          </cell>
          <cell r="N88">
            <v>19740.345858056342</v>
          </cell>
          <cell r="O88">
            <v>20424.102871810228</v>
          </cell>
          <cell r="P88">
            <v>18307.601373727393</v>
          </cell>
          <cell r="Q88">
            <v>19658.006865740786</v>
          </cell>
          <cell r="R88">
            <v>21208.802455110079</v>
          </cell>
          <cell r="S88">
            <v>20760.290530006558</v>
          </cell>
          <cell r="T88">
            <v>19765.134856295685</v>
          </cell>
          <cell r="U88">
            <v>19515.733189412087</v>
          </cell>
          <cell r="V88">
            <v>23790.627392928876</v>
          </cell>
          <cell r="W88">
            <v>24794.207391779753</v>
          </cell>
          <cell r="X88">
            <v>23806.315256719892</v>
          </cell>
          <cell r="Y88">
            <v>21729.445578755509</v>
          </cell>
          <cell r="Z88">
            <v>18444.484853549424</v>
          </cell>
          <cell r="AA88">
            <v>14566.339250598894</v>
          </cell>
        </row>
        <row r="89">
          <cell r="D89">
            <v>13723.28575171159</v>
          </cell>
          <cell r="E89">
            <v>12125.564615478317</v>
          </cell>
          <cell r="F89">
            <v>11103.886641356617</v>
          </cell>
          <cell r="G89">
            <v>10504.551567012219</v>
          </cell>
          <cell r="H89">
            <v>10191.048059476487</v>
          </cell>
          <cell r="I89">
            <v>9810.6584014835862</v>
          </cell>
          <cell r="J89">
            <v>10296.028541249341</v>
          </cell>
          <cell r="K89">
            <v>13019.538368716556</v>
          </cell>
          <cell r="L89">
            <v>16046.37363840352</v>
          </cell>
          <cell r="M89">
            <v>18182.417082214881</v>
          </cell>
          <cell r="N89">
            <v>20081.985430525023</v>
          </cell>
          <cell r="O89">
            <v>20784.685804206241</v>
          </cell>
          <cell r="P89">
            <v>18718.513826324444</v>
          </cell>
          <cell r="Q89">
            <v>20147.12489168618</v>
          </cell>
          <cell r="R89">
            <v>21763.647232441534</v>
          </cell>
          <cell r="S89">
            <v>21302.741810750289</v>
          </cell>
          <cell r="T89">
            <v>20213.075683991559</v>
          </cell>
          <cell r="U89">
            <v>19931.54984916417</v>
          </cell>
          <cell r="V89">
            <v>24238.051272776051</v>
          </cell>
          <cell r="W89">
            <v>25193.872095407238</v>
          </cell>
          <cell r="X89">
            <v>24148.31776090982</v>
          </cell>
          <cell r="Y89">
            <v>22065.893757564452</v>
          </cell>
          <cell r="Z89">
            <v>18753.104785903892</v>
          </cell>
          <cell r="AA89">
            <v>14861.834658019585</v>
          </cell>
        </row>
        <row r="90">
          <cell r="D90">
            <v>13495.546018133389</v>
          </cell>
          <cell r="E90">
            <v>12286.635181099778</v>
          </cell>
          <cell r="F90">
            <v>11263.774979823374</v>
          </cell>
          <cell r="G90">
            <v>10545.420659177189</v>
          </cell>
          <cell r="H90">
            <v>10435.067495433599</v>
          </cell>
          <cell r="I90">
            <v>9830.3946858202453</v>
          </cell>
          <cell r="J90">
            <v>10243.537580651524</v>
          </cell>
          <cell r="K90">
            <v>12804.44856106869</v>
          </cell>
          <cell r="L90">
            <v>15053.261044713476</v>
          </cell>
          <cell r="M90">
            <v>16533.443276702266</v>
          </cell>
          <cell r="N90">
            <v>18028.551524463935</v>
          </cell>
          <cell r="O90">
            <v>19289.650915937273</v>
          </cell>
          <cell r="P90">
            <v>17798.533515627165</v>
          </cell>
          <cell r="Q90">
            <v>19120.335545816029</v>
          </cell>
          <cell r="R90">
            <v>20569.368317771576</v>
          </cell>
          <cell r="S90">
            <v>19968.462171438838</v>
          </cell>
          <cell r="T90">
            <v>19100.896542881103</v>
          </cell>
          <cell r="U90">
            <v>19195.452319794076</v>
          </cell>
          <cell r="V90">
            <v>23181.954996240365</v>
          </cell>
          <cell r="W90">
            <v>24624.760186411469</v>
          </cell>
          <cell r="X90">
            <v>23347.607119436729</v>
          </cell>
          <cell r="Y90">
            <v>21901.354395562819</v>
          </cell>
          <cell r="Z90">
            <v>19027.553291831056</v>
          </cell>
          <cell r="AA90">
            <v>16512.401245447629</v>
          </cell>
        </row>
        <row r="91">
          <cell r="D91">
            <v>13168.109494155917</v>
          </cell>
          <cell r="E91">
            <v>11952.10415717252</v>
          </cell>
          <cell r="F91">
            <v>10939.744437159818</v>
          </cell>
          <cell r="G91">
            <v>10224.004549562242</v>
          </cell>
          <cell r="H91">
            <v>10119.548461509738</v>
          </cell>
          <cell r="I91">
            <v>9578.6715053137577</v>
          </cell>
          <cell r="J91">
            <v>9992.7900002496335</v>
          </cell>
          <cell r="K91">
            <v>12576.868846531341</v>
          </cell>
          <cell r="L91">
            <v>14831.043895216408</v>
          </cell>
          <cell r="M91">
            <v>16267.267974599132</v>
          </cell>
          <cell r="N91">
            <v>17790.042333769205</v>
          </cell>
          <cell r="O91">
            <v>19023.771878361902</v>
          </cell>
          <cell r="P91">
            <v>17423.435575392974</v>
          </cell>
          <cell r="Q91">
            <v>18751.277356643732</v>
          </cell>
          <cell r="R91">
            <v>20267.002993140217</v>
          </cell>
          <cell r="S91">
            <v>19714.992731686601</v>
          </cell>
          <cell r="T91">
            <v>18861.033886187033</v>
          </cell>
          <cell r="U91">
            <v>18912.997257396713</v>
          </cell>
          <cell r="V91">
            <v>22774.761527612194</v>
          </cell>
          <cell r="W91">
            <v>24177.947160227286</v>
          </cell>
          <cell r="X91">
            <v>22890.250779974733</v>
          </cell>
          <cell r="Y91">
            <v>21431.094369804501</v>
          </cell>
          <cell r="Z91">
            <v>18558.886967784641</v>
          </cell>
          <cell r="AA91">
            <v>16070.305007352437</v>
          </cell>
        </row>
        <row r="92">
          <cell r="D92">
            <v>12704.202928326393</v>
          </cell>
          <cell r="E92">
            <v>11524.050217000533</v>
          </cell>
          <cell r="F92">
            <v>10540.764915002068</v>
          </cell>
          <cell r="G92">
            <v>9862.2740391786156</v>
          </cell>
          <cell r="H92">
            <v>9796.8592224995355</v>
          </cell>
          <cell r="I92">
            <v>9302.1784063074228</v>
          </cell>
          <cell r="J92">
            <v>9743.3720233532949</v>
          </cell>
          <cell r="K92">
            <v>12339.677485427035</v>
          </cell>
          <cell r="L92">
            <v>14621.194926528673</v>
          </cell>
          <cell r="M92">
            <v>16021.381130949641</v>
          </cell>
          <cell r="N92">
            <v>17464.465334693723</v>
          </cell>
          <cell r="O92">
            <v>18648.712025380373</v>
          </cell>
          <cell r="P92">
            <v>16998.165945678487</v>
          </cell>
          <cell r="Q92">
            <v>18295.647529909311</v>
          </cell>
          <cell r="R92">
            <v>19823.438812101711</v>
          </cell>
          <cell r="S92">
            <v>19322.216350614886</v>
          </cell>
          <cell r="T92">
            <v>18535.063203623016</v>
          </cell>
          <cell r="U92">
            <v>18654.567407128576</v>
          </cell>
          <cell r="V92">
            <v>22438.187446759326</v>
          </cell>
          <cell r="W92">
            <v>23694.3066888385</v>
          </cell>
          <cell r="X92">
            <v>22335.980713787001</v>
          </cell>
          <cell r="Y92">
            <v>20874.777509316984</v>
          </cell>
          <cell r="Z92">
            <v>18036.315001572671</v>
          </cell>
          <cell r="AA92">
            <v>15603.695454965102</v>
          </cell>
        </row>
        <row r="93">
          <cell r="D93">
            <v>14308.91559162255</v>
          </cell>
          <cell r="E93">
            <v>12904.385417146024</v>
          </cell>
          <cell r="F93">
            <v>12090.358284730894</v>
          </cell>
          <cell r="G93">
            <v>11202.291972693072</v>
          </cell>
          <cell r="H93">
            <v>10976.141626479091</v>
          </cell>
          <cell r="I93">
            <v>10530.39189460846</v>
          </cell>
          <cell r="J93">
            <v>10872.050984378135</v>
          </cell>
          <cell r="K93">
            <v>12778.379504699707</v>
          </cell>
          <cell r="L93">
            <v>15272.702830283815</v>
          </cell>
          <cell r="M93">
            <v>16738.706747640779</v>
          </cell>
          <cell r="N93">
            <v>18327.926827622607</v>
          </cell>
          <cell r="O93">
            <v>19774.627966868688</v>
          </cell>
          <cell r="P93">
            <v>18196.082514815305</v>
          </cell>
          <cell r="Q93">
            <v>19666.176879085506</v>
          </cell>
          <cell r="R93">
            <v>21098.809128216002</v>
          </cell>
          <cell r="S93">
            <v>20740.350353946124</v>
          </cell>
          <cell r="T93">
            <v>19468.172587754674</v>
          </cell>
          <cell r="U93">
            <v>19211.678279465355</v>
          </cell>
          <cell r="V93">
            <v>23516.005565085128</v>
          </cell>
          <cell r="W93">
            <v>25798.82611689049</v>
          </cell>
          <cell r="X93">
            <v>24724.454085258836</v>
          </cell>
          <cell r="Y93">
            <v>22919.737335813963</v>
          </cell>
          <cell r="Z93">
            <v>20054.139101712048</v>
          </cell>
          <cell r="AA93">
            <v>17289.270437624495</v>
          </cell>
        </row>
        <row r="94">
          <cell r="D94">
            <v>12448.980417793433</v>
          </cell>
          <cell r="E94">
            <v>11123.827007897087</v>
          </cell>
          <cell r="F94">
            <v>10348.209615229596</v>
          </cell>
          <cell r="G94">
            <v>9519.7717684735853</v>
          </cell>
          <cell r="H94">
            <v>9340.7298245261209</v>
          </cell>
          <cell r="I94">
            <v>9029.9426110910099</v>
          </cell>
          <cell r="J94">
            <v>9367.4962764910852</v>
          </cell>
          <cell r="K94">
            <v>11218.112483955971</v>
          </cell>
          <cell r="L94">
            <v>13665.235391475868</v>
          </cell>
          <cell r="M94">
            <v>15052.676538332729</v>
          </cell>
          <cell r="N94">
            <v>16576.689187311924</v>
          </cell>
          <cell r="O94">
            <v>17952.522500322189</v>
          </cell>
          <cell r="P94">
            <v>16318.46384688798</v>
          </cell>
          <cell r="Q94">
            <v>17768.868496408912</v>
          </cell>
          <cell r="R94">
            <v>19280.621409061292</v>
          </cell>
          <cell r="S94">
            <v>19041.347712155806</v>
          </cell>
          <cell r="T94">
            <v>17840.991786817944</v>
          </cell>
          <cell r="U94">
            <v>17553.448597497176</v>
          </cell>
          <cell r="V94">
            <v>21574.811714527154</v>
          </cell>
          <cell r="W94">
            <v>23785.903221857428</v>
          </cell>
          <cell r="X94">
            <v>22767.431161197939</v>
          </cell>
          <cell r="Y94">
            <v>21018.522633825833</v>
          </cell>
          <cell r="Z94">
            <v>18207.496126357455</v>
          </cell>
          <cell r="AA94">
            <v>15531.507617654344</v>
          </cell>
        </row>
        <row r="95">
          <cell r="D95">
            <v>13301.273174309379</v>
          </cell>
          <cell r="E95">
            <v>11947.458416456186</v>
          </cell>
          <cell r="F95">
            <v>11163.314966731563</v>
          </cell>
          <cell r="G95">
            <v>10311.060064896668</v>
          </cell>
          <cell r="H95">
            <v>10122.980497926523</v>
          </cell>
          <cell r="I95">
            <v>9799.799656694986</v>
          </cell>
          <cell r="J95">
            <v>10157.966815517553</v>
          </cell>
          <cell r="K95">
            <v>12081.310301848027</v>
          </cell>
          <cell r="L95">
            <v>14612.455191386378</v>
          </cell>
          <cell r="M95">
            <v>16041.799718634049</v>
          </cell>
          <cell r="N95">
            <v>17615.094151479832</v>
          </cell>
          <cell r="O95">
            <v>18998.229114195416</v>
          </cell>
          <cell r="P95">
            <v>17285.146243294635</v>
          </cell>
          <cell r="Q95">
            <v>18733.836691589611</v>
          </cell>
          <cell r="R95">
            <v>20277.498726683352</v>
          </cell>
          <cell r="S95">
            <v>19974.337441804302</v>
          </cell>
          <cell r="T95">
            <v>18742.224843383792</v>
          </cell>
          <cell r="U95">
            <v>18467.419439181715</v>
          </cell>
          <cell r="V95">
            <v>22562.190375475682</v>
          </cell>
          <cell r="W95">
            <v>24696.601290142127</v>
          </cell>
          <cell r="X95">
            <v>23635.135616708496</v>
          </cell>
          <cell r="Y95">
            <v>21906.156171018869</v>
          </cell>
          <cell r="Z95">
            <v>19091.147928272178</v>
          </cell>
          <cell r="AA95">
            <v>16367.658979245994</v>
          </cell>
        </row>
        <row r="96">
          <cell r="D96">
            <v>16426.579855166638</v>
          </cell>
          <cell r="E96">
            <v>15071.518248586337</v>
          </cell>
          <cell r="F96">
            <v>13912.227750582162</v>
          </cell>
          <cell r="G96">
            <v>12878.251507253317</v>
          </cell>
          <cell r="H96">
            <v>12697.791874514791</v>
          </cell>
          <cell r="I96">
            <v>12276.294183607995</v>
          </cell>
          <cell r="J96">
            <v>12260.890804571109</v>
          </cell>
          <cell r="K96">
            <v>15273.854060687923</v>
          </cell>
          <cell r="L96">
            <v>18522.603115189446</v>
          </cell>
          <cell r="M96">
            <v>20374.771545395448</v>
          </cell>
          <cell r="N96">
            <v>22573.273399053869</v>
          </cell>
          <cell r="O96">
            <v>24115.695733618231</v>
          </cell>
          <cell r="P96">
            <v>22022.239229946241</v>
          </cell>
          <cell r="Q96">
            <v>23987.27493168912</v>
          </cell>
          <cell r="R96">
            <v>25691.36483228653</v>
          </cell>
          <cell r="S96">
            <v>25138.303251232777</v>
          </cell>
          <cell r="T96">
            <v>23777.047663733199</v>
          </cell>
          <cell r="U96">
            <v>23854.282568862731</v>
          </cell>
          <cell r="V96">
            <v>27903.732416741226</v>
          </cell>
          <cell r="W96">
            <v>29538.060549526865</v>
          </cell>
          <cell r="X96">
            <v>28571.545588456203</v>
          </cell>
          <cell r="Y96">
            <v>26851.54729638937</v>
          </cell>
          <cell r="Z96">
            <v>23732.795078529656</v>
          </cell>
          <cell r="AA96">
            <v>20530.112071600681</v>
          </cell>
        </row>
        <row r="97">
          <cell r="D97">
            <v>17024.712101910827</v>
          </cell>
          <cell r="E97">
            <v>15643.447689317536</v>
          </cell>
          <cell r="F97">
            <v>14472.831918835112</v>
          </cell>
          <cell r="G97">
            <v>13416.092404249572</v>
          </cell>
          <cell r="H97">
            <v>13237.72635149167</v>
          </cell>
          <cell r="I97">
            <v>12873.327836982104</v>
          </cell>
          <cell r="J97">
            <v>12839.249150023015</v>
          </cell>
          <cell r="K97">
            <v>15922.244889961281</v>
          </cell>
          <cell r="L97">
            <v>19223.980976805229</v>
          </cell>
          <cell r="M97">
            <v>21101.631284818286</v>
          </cell>
          <cell r="N97">
            <v>23316.674172345953</v>
          </cell>
          <cell r="O97">
            <v>24853.164721806701</v>
          </cell>
          <cell r="P97">
            <v>22642.195594226869</v>
          </cell>
          <cell r="Q97">
            <v>24646.890658778626</v>
          </cell>
          <cell r="R97">
            <v>26400.598799095016</v>
          </cell>
          <cell r="S97">
            <v>25884.69670169583</v>
          </cell>
          <cell r="T97">
            <v>24531.718474364276</v>
          </cell>
          <cell r="U97">
            <v>24577.187415836317</v>
          </cell>
          <cell r="V97">
            <v>28689.060727129046</v>
          </cell>
          <cell r="W97">
            <v>30342.021965854059</v>
          </cell>
          <cell r="X97">
            <v>29353.14805575147</v>
          </cell>
          <cell r="Y97">
            <v>27586.311282934665</v>
          </cell>
          <cell r="Z97">
            <v>24357.095993751431</v>
          </cell>
          <cell r="AA97">
            <v>21079.173849777049</v>
          </cell>
        </row>
        <row r="98">
          <cell r="D98">
            <v>12541.366928838268</v>
          </cell>
          <cell r="E98">
            <v>11321.087966841067</v>
          </cell>
          <cell r="F98">
            <v>10281.886067771475</v>
          </cell>
          <cell r="G98">
            <v>9358.8329830692091</v>
          </cell>
          <cell r="H98">
            <v>9208.8248827041389</v>
          </cell>
          <cell r="I98">
            <v>8916.6475093223344</v>
          </cell>
          <cell r="J98">
            <v>8908.1835843630161</v>
          </cell>
          <cell r="K98">
            <v>11687.938317147697</v>
          </cell>
          <cell r="L98">
            <v>14670.353225609979</v>
          </cell>
          <cell r="M98">
            <v>16362.123985278477</v>
          </cell>
          <cell r="N98">
            <v>18354.864431218586</v>
          </cell>
          <cell r="O98">
            <v>19719.045933040965</v>
          </cell>
          <cell r="P98">
            <v>17678.085201651909</v>
          </cell>
          <cell r="Q98">
            <v>19502.788253695264</v>
          </cell>
          <cell r="R98">
            <v>21126.385688686874</v>
          </cell>
          <cell r="S98">
            <v>20661.339068937796</v>
          </cell>
          <cell r="T98">
            <v>19430.085575118635</v>
          </cell>
          <cell r="U98">
            <v>19561.617726577006</v>
          </cell>
          <cell r="V98">
            <v>23123.300711584456</v>
          </cell>
          <cell r="W98">
            <v>24513.067246648421</v>
          </cell>
          <cell r="X98">
            <v>23579.103927271648</v>
          </cell>
          <cell r="Y98">
            <v>22000.389021068811</v>
          </cell>
          <cell r="Z98">
            <v>19177.997548689855</v>
          </cell>
          <cell r="AA98">
            <v>16299.924823418422</v>
          </cell>
        </row>
        <row r="99">
          <cell r="D99">
            <v>19011.847822942655</v>
          </cell>
          <cell r="E99">
            <v>17435.46427404854</v>
          </cell>
          <cell r="F99">
            <v>15939.339080486554</v>
          </cell>
          <cell r="G99">
            <v>14934.173216539089</v>
          </cell>
          <cell r="H99">
            <v>14555.449591606379</v>
          </cell>
          <cell r="I99">
            <v>13933.08627021553</v>
          </cell>
          <cell r="J99">
            <v>13825.385658390971</v>
          </cell>
          <cell r="K99">
            <v>17309.292330860953</v>
          </cell>
          <cell r="L99">
            <v>21336.905146219524</v>
          </cell>
          <cell r="M99">
            <v>23954.193687521441</v>
          </cell>
          <cell r="N99">
            <v>26175.775598395085</v>
          </cell>
          <cell r="O99">
            <v>27819.477920734422</v>
          </cell>
          <cell r="P99">
            <v>25692.711893202442</v>
          </cell>
          <cell r="Q99">
            <v>28181.513818436026</v>
          </cell>
          <cell r="R99">
            <v>29735.262424134748</v>
          </cell>
          <cell r="S99">
            <v>28876.151906025509</v>
          </cell>
          <cell r="T99">
            <v>26684.312444069314</v>
          </cell>
          <cell r="U99">
            <v>26460.217412004753</v>
          </cell>
          <cell r="V99">
            <v>31107.787154507641</v>
          </cell>
          <cell r="W99">
            <v>31661.647738397824</v>
          </cell>
          <cell r="X99">
            <v>30893.774560621645</v>
          </cell>
          <cell r="Y99">
            <v>29449.983587105035</v>
          </cell>
          <cell r="Z99">
            <v>25874.426095158396</v>
          </cell>
          <cell r="AA99">
            <v>22439.328590619822</v>
          </cell>
        </row>
        <row r="100">
          <cell r="D100">
            <v>17891.946276728799</v>
          </cell>
          <cell r="E100">
            <v>16355.497020008272</v>
          </cell>
          <cell r="F100">
            <v>14895.428474755903</v>
          </cell>
          <cell r="G100">
            <v>13921.543492311759</v>
          </cell>
          <cell r="H100">
            <v>13578.341838760984</v>
          </cell>
          <cell r="I100">
            <v>13032.090820050407</v>
          </cell>
          <cell r="J100">
            <v>12935.936662052636</v>
          </cell>
          <cell r="K100">
            <v>16423.670400779381</v>
          </cell>
          <cell r="L100">
            <v>20376.81031388824</v>
          </cell>
          <cell r="M100">
            <v>22944.60056704465</v>
          </cell>
          <cell r="N100">
            <v>25101.894740984822</v>
          </cell>
          <cell r="O100">
            <v>26726.776048899941</v>
          </cell>
          <cell r="P100">
            <v>24568.474693790144</v>
          </cell>
          <cell r="Q100">
            <v>27058.991452626957</v>
          </cell>
          <cell r="R100">
            <v>28638.546907549637</v>
          </cell>
          <cell r="S100">
            <v>27814.741105888585</v>
          </cell>
          <cell r="T100">
            <v>25664.381595558487</v>
          </cell>
          <cell r="U100">
            <v>25411.532342443403</v>
          </cell>
          <cell r="V100">
            <v>29859.558630371808</v>
          </cell>
          <cell r="W100">
            <v>30380.951092468538</v>
          </cell>
          <cell r="X100">
            <v>29634.743596980807</v>
          </cell>
          <cell r="Y100">
            <v>28216.02574211586</v>
          </cell>
          <cell r="Z100">
            <v>24679.502187935897</v>
          </cell>
          <cell r="AA100">
            <v>21291.766618297566</v>
          </cell>
        </row>
        <row r="101">
          <cell r="D101">
            <v>15676.639473277419</v>
          </cell>
          <cell r="E101">
            <v>14222.399694635253</v>
          </cell>
          <cell r="F101">
            <v>12842.778599359115</v>
          </cell>
          <cell r="G101">
            <v>11922.777503368163</v>
          </cell>
          <cell r="H101">
            <v>11594.999401282912</v>
          </cell>
          <cell r="I101">
            <v>11068.359977304539</v>
          </cell>
          <cell r="J101">
            <v>11003.823431616283</v>
          </cell>
          <cell r="K101">
            <v>14294.501793136342</v>
          </cell>
          <cell r="L101">
            <v>18090.71056955423</v>
          </cell>
          <cell r="M101">
            <v>20564.126043352549</v>
          </cell>
          <cell r="N101">
            <v>22635.88110287258</v>
          </cell>
          <cell r="O101">
            <v>24184.897332378867</v>
          </cell>
          <cell r="P101">
            <v>22142.768064287004</v>
          </cell>
          <cell r="Q101">
            <v>24508.804883549521</v>
          </cell>
          <cell r="R101">
            <v>26020.511401838899</v>
          </cell>
          <cell r="S101">
            <v>25224.440311292827</v>
          </cell>
          <cell r="T101">
            <v>23161.041632872319</v>
          </cell>
          <cell r="U101">
            <v>22982.993464725401</v>
          </cell>
          <cell r="V101">
            <v>27143.762262883916</v>
          </cell>
          <cell r="W101">
            <v>27583.176978736774</v>
          </cell>
          <cell r="X101">
            <v>26837.440255744739</v>
          </cell>
          <cell r="Y101">
            <v>25481.483366265849</v>
          </cell>
          <cell r="Z101">
            <v>22193.522936357083</v>
          </cell>
          <cell r="AA101">
            <v>18998.349465648898</v>
          </cell>
        </row>
        <row r="102">
          <cell r="D102">
            <v>20307.260251871405</v>
          </cell>
          <cell r="E102">
            <v>18281.819534091504</v>
          </cell>
          <cell r="F102">
            <v>17000.690068397809</v>
          </cell>
          <cell r="G102">
            <v>15442.707081931963</v>
          </cell>
          <cell r="H102">
            <v>15524.849516620276</v>
          </cell>
          <cell r="I102">
            <v>14443.543494763933</v>
          </cell>
          <cell r="J102">
            <v>14940.494065759009</v>
          </cell>
          <cell r="K102">
            <v>16347.211305525188</v>
          </cell>
          <cell r="L102">
            <v>19502.5372583272</v>
          </cell>
          <cell r="M102">
            <v>21673.208360805333</v>
          </cell>
          <cell r="N102">
            <v>23957.181659028134</v>
          </cell>
          <cell r="O102">
            <v>25762.445443656419</v>
          </cell>
          <cell r="P102">
            <v>24042.69482478932</v>
          </cell>
          <cell r="Q102">
            <v>25851.590121296897</v>
          </cell>
          <cell r="R102">
            <v>27407.64102048807</v>
          </cell>
          <cell r="S102">
            <v>26395.123492490511</v>
          </cell>
          <cell r="T102">
            <v>24764.707106854738</v>
          </cell>
          <cell r="U102">
            <v>26631.280052808117</v>
          </cell>
          <cell r="V102">
            <v>31951.279647177049</v>
          </cell>
          <cell r="W102">
            <v>32468.178491078321</v>
          </cell>
          <cell r="X102">
            <v>32248.801370491292</v>
          </cell>
          <cell r="Y102">
            <v>29829.995572413885</v>
          </cell>
          <cell r="Z102">
            <v>26885.261023210212</v>
          </cell>
          <cell r="AA102">
            <v>23445.955920138684</v>
          </cell>
        </row>
        <row r="103">
          <cell r="D103">
            <v>16589.567166202705</v>
          </cell>
          <cell r="E103">
            <v>14743.656067486128</v>
          </cell>
          <cell r="F103">
            <v>13580.985141006924</v>
          </cell>
          <cell r="G103">
            <v>12174.675967654955</v>
          </cell>
          <cell r="H103">
            <v>12308.182966045702</v>
          </cell>
          <cell r="I103">
            <v>11352.361523601228</v>
          </cell>
          <cell r="J103">
            <v>11824.070365593016</v>
          </cell>
          <cell r="K103">
            <v>13207.863297795935</v>
          </cell>
          <cell r="L103">
            <v>16210.551692084109</v>
          </cell>
          <cell r="M103">
            <v>18229.558463995716</v>
          </cell>
          <cell r="N103">
            <v>20381.663155930466</v>
          </cell>
          <cell r="O103">
            <v>22045.852096132578</v>
          </cell>
          <cell r="P103">
            <v>20371.920252742977</v>
          </cell>
          <cell r="Q103">
            <v>22125.628414786963</v>
          </cell>
          <cell r="R103">
            <v>23585.870740083919</v>
          </cell>
          <cell r="S103">
            <v>22629.640974372258</v>
          </cell>
          <cell r="T103">
            <v>21117.158473743184</v>
          </cell>
          <cell r="U103">
            <v>22866.10726618674</v>
          </cell>
          <cell r="V103">
            <v>27639.765192645766</v>
          </cell>
          <cell r="W103">
            <v>28050.136653664344</v>
          </cell>
          <cell r="X103">
            <v>27940.862970080154</v>
          </cell>
          <cell r="Y103">
            <v>25679.49892169204</v>
          </cell>
          <cell r="Z103">
            <v>22959.723422766208</v>
          </cell>
          <cell r="AA103">
            <v>19761.816051175156</v>
          </cell>
        </row>
        <row r="104">
          <cell r="D104">
            <v>16462.199600686123</v>
          </cell>
          <cell r="E104">
            <v>14613.746966501743</v>
          </cell>
          <cell r="F104">
            <v>13433.776538597214</v>
          </cell>
          <cell r="G104">
            <v>12015.663379475829</v>
          </cell>
          <cell r="H104">
            <v>12103.670756264468</v>
          </cell>
          <cell r="I104">
            <v>11182.415386464609</v>
          </cell>
          <cell r="J104">
            <v>11643.427832880867</v>
          </cell>
          <cell r="K104">
            <v>13015.359707378924</v>
          </cell>
          <cell r="L104">
            <v>16036.698761457927</v>
          </cell>
          <cell r="M104">
            <v>18096.520871126064</v>
          </cell>
          <cell r="N104">
            <v>20251.940663928071</v>
          </cell>
          <cell r="O104">
            <v>21897.774265223088</v>
          </cell>
          <cell r="P104">
            <v>20180.644456981554</v>
          </cell>
          <cell r="Q104">
            <v>21928.011752416936</v>
          </cell>
          <cell r="R104">
            <v>23408.167767315801</v>
          </cell>
          <cell r="S104">
            <v>22478.055257704709</v>
          </cell>
          <cell r="T104">
            <v>21032.138817023308</v>
          </cell>
          <cell r="U104">
            <v>22743.756409945101</v>
          </cell>
          <cell r="V104">
            <v>27507.168430337486</v>
          </cell>
          <cell r="W104">
            <v>27890.500794455769</v>
          </cell>
          <cell r="X104">
            <v>27729.255630230626</v>
          </cell>
          <cell r="Y104">
            <v>25473.916138902499</v>
          </cell>
          <cell r="Z104">
            <v>22787.607522891794</v>
          </cell>
          <cell r="AA104">
            <v>19597.184309773504</v>
          </cell>
        </row>
        <row r="105">
          <cell r="D105">
            <v>19929.898489759205</v>
          </cell>
          <cell r="E105">
            <v>17973.238766864306</v>
          </cell>
          <cell r="F105">
            <v>16671.126567920692</v>
          </cell>
          <cell r="G105">
            <v>15695.447329793598</v>
          </cell>
          <cell r="H105">
            <v>15224.268827069673</v>
          </cell>
          <cell r="I105">
            <v>14708.875245160865</v>
          </cell>
          <cell r="J105">
            <v>14699.784577522632</v>
          </cell>
          <cell r="K105">
            <v>17836.921628643264</v>
          </cell>
          <cell r="L105">
            <v>20817.87047814886</v>
          </cell>
          <cell r="M105">
            <v>22802.014726922553</v>
          </cell>
          <cell r="N105">
            <v>24653.421140593611</v>
          </cell>
          <cell r="O105">
            <v>26383.746617729725</v>
          </cell>
          <cell r="P105">
            <v>24630.279832071006</v>
          </cell>
          <cell r="Q105">
            <v>26365.331397790826</v>
          </cell>
          <cell r="R105">
            <v>27856.788550558602</v>
          </cell>
          <cell r="S105">
            <v>27516.814206410992</v>
          </cell>
          <cell r="T105">
            <v>25767.846416000855</v>
          </cell>
          <cell r="U105">
            <v>28578.568068040855</v>
          </cell>
          <cell r="V105">
            <v>32263.774035609258</v>
          </cell>
          <cell r="W105">
            <v>31700.899601599114</v>
          </cell>
          <cell r="X105">
            <v>31006.758588181674</v>
          </cell>
          <cell r="Y105">
            <v>28967.845210388659</v>
          </cell>
          <cell r="Z105">
            <v>25878.55998785402</v>
          </cell>
          <cell r="AA105">
            <v>23142.696576462531</v>
          </cell>
        </row>
        <row r="106">
          <cell r="D106">
            <v>17366.383696394209</v>
          </cell>
          <cell r="E106">
            <v>15503.774247113761</v>
          </cell>
          <cell r="F106">
            <v>14270.191516300205</v>
          </cell>
          <cell r="G106">
            <v>13349.9714957374</v>
          </cell>
          <cell r="H106">
            <v>12916.309750272099</v>
          </cell>
          <cell r="I106">
            <v>12469.133610387942</v>
          </cell>
          <cell r="J106">
            <v>12463.370917243705</v>
          </cell>
          <cell r="K106">
            <v>15461.726880213771</v>
          </cell>
          <cell r="L106">
            <v>18326.344888334956</v>
          </cell>
          <cell r="M106">
            <v>20188.397980775706</v>
          </cell>
          <cell r="N106">
            <v>21898.94977880747</v>
          </cell>
          <cell r="O106">
            <v>23498.18014506259</v>
          </cell>
          <cell r="P106">
            <v>21748.087783883693</v>
          </cell>
          <cell r="Q106">
            <v>23446.827812273041</v>
          </cell>
          <cell r="R106">
            <v>24913.468682891791</v>
          </cell>
          <cell r="S106">
            <v>24584.327961525745</v>
          </cell>
          <cell r="T106">
            <v>22952.353449359711</v>
          </cell>
          <cell r="U106">
            <v>25592.204406719975</v>
          </cell>
          <cell r="V106">
            <v>28959.29790091822</v>
          </cell>
          <cell r="W106">
            <v>28400.710007039583</v>
          </cell>
          <cell r="X106">
            <v>27735.44633926524</v>
          </cell>
          <cell r="Y106">
            <v>25789.192026573866</v>
          </cell>
          <cell r="Z106">
            <v>22864.350952724439</v>
          </cell>
          <cell r="AA106">
            <v>20258.384693379205</v>
          </cell>
        </row>
        <row r="107">
          <cell r="D107">
            <v>16838.091607992988</v>
          </cell>
          <cell r="E107">
            <v>15019.812920633398</v>
          </cell>
          <cell r="F107">
            <v>13816.924058344239</v>
          </cell>
          <cell r="G107">
            <v>12912.617809024767</v>
          </cell>
          <cell r="H107">
            <v>12490.67802486437</v>
          </cell>
          <cell r="I107">
            <v>12083.95650424777</v>
          </cell>
          <cell r="J107">
            <v>12107.060591460457</v>
          </cell>
          <cell r="K107">
            <v>15150.625890786785</v>
          </cell>
          <cell r="L107">
            <v>18052.074915734484</v>
          </cell>
          <cell r="M107">
            <v>19979.519774321667</v>
          </cell>
          <cell r="N107">
            <v>21744.470997208926</v>
          </cell>
          <cell r="O107">
            <v>23358.622476246386</v>
          </cell>
          <cell r="P107">
            <v>21570.008528135153</v>
          </cell>
          <cell r="Q107">
            <v>23246.726638086224</v>
          </cell>
          <cell r="R107">
            <v>24697.318140923126</v>
          </cell>
          <cell r="S107">
            <v>24354.732833350961</v>
          </cell>
          <cell r="T107">
            <v>22687.771002518752</v>
          </cell>
          <cell r="U107">
            <v>25313.694919112288</v>
          </cell>
          <cell r="V107">
            <v>28658.483911072446</v>
          </cell>
          <cell r="W107">
            <v>28100.326125401345</v>
          </cell>
          <cell r="X107">
            <v>27437.017101567184</v>
          </cell>
          <cell r="Y107">
            <v>25625.475938294054</v>
          </cell>
          <cell r="Z107">
            <v>22786.684869925946</v>
          </cell>
          <cell r="AA107">
            <v>20137.995906695243</v>
          </cell>
        </row>
        <row r="108">
          <cell r="D108">
            <v>19908.337972339148</v>
          </cell>
          <cell r="E108">
            <v>18349.725330660007</v>
          </cell>
          <cell r="F108">
            <v>17048.092711380101</v>
          </cell>
          <cell r="G108">
            <v>15912.805254554218</v>
          </cell>
          <cell r="H108">
            <v>15225.083303371821</v>
          </cell>
          <cell r="I108">
            <v>14992.909838744314</v>
          </cell>
          <cell r="J108">
            <v>14485.336562606033</v>
          </cell>
          <cell r="K108">
            <v>16849.270390609079</v>
          </cell>
          <cell r="L108">
            <v>19519.206749025299</v>
          </cell>
          <cell r="M108">
            <v>21443.658478034515</v>
          </cell>
          <cell r="N108">
            <v>23358.171116804242</v>
          </cell>
          <cell r="O108">
            <v>25224.715752743137</v>
          </cell>
          <cell r="P108">
            <v>23674.572322896594</v>
          </cell>
          <cell r="Q108">
            <v>25796.504651869862</v>
          </cell>
          <cell r="R108">
            <v>27906.597886567277</v>
          </cell>
          <cell r="S108">
            <v>27373.091193968143</v>
          </cell>
          <cell r="T108">
            <v>25423.863539143575</v>
          </cell>
          <cell r="U108">
            <v>27423.106700776094</v>
          </cell>
          <cell r="V108">
            <v>31254.16703771798</v>
          </cell>
          <cell r="W108">
            <v>30821.10612890407</v>
          </cell>
          <cell r="X108">
            <v>29639.501172729098</v>
          </cell>
          <cell r="Y108">
            <v>28088.285168227379</v>
          </cell>
          <cell r="Z108">
            <v>25851.947507058427</v>
          </cell>
          <cell r="AA108">
            <v>23317.434864046812</v>
          </cell>
        </row>
        <row r="109">
          <cell r="D109">
            <v>19481.16413937477</v>
          </cell>
          <cell r="E109">
            <v>17937.632475050461</v>
          </cell>
          <cell r="F109">
            <v>16648.858192693937</v>
          </cell>
          <cell r="G109">
            <v>15528.980810564477</v>
          </cell>
          <cell r="H109">
            <v>14847.779538800076</v>
          </cell>
          <cell r="I109">
            <v>14639.154126552668</v>
          </cell>
          <cell r="J109">
            <v>14128.557135600673</v>
          </cell>
          <cell r="K109">
            <v>16530.019391039044</v>
          </cell>
          <cell r="L109">
            <v>19228.619015838583</v>
          </cell>
          <cell r="M109">
            <v>21155.261564126115</v>
          </cell>
          <cell r="N109">
            <v>23063.488537337009</v>
          </cell>
          <cell r="O109">
            <v>24932.990896001782</v>
          </cell>
          <cell r="P109">
            <v>23317.48951613504</v>
          </cell>
          <cell r="Q109">
            <v>25486.802620499639</v>
          </cell>
          <cell r="R109">
            <v>27657.198098425768</v>
          </cell>
          <cell r="S109">
            <v>27120.480024619588</v>
          </cell>
          <cell r="T109">
            <v>25160.483736536829</v>
          </cell>
          <cell r="U109">
            <v>27074.006908212181</v>
          </cell>
          <cell r="V109">
            <v>30830.677050018789</v>
          </cell>
          <cell r="W109">
            <v>30376.237480328873</v>
          </cell>
          <cell r="X109">
            <v>29236.450956759643</v>
          </cell>
          <cell r="Y109">
            <v>27709.839008493353</v>
          </cell>
          <cell r="Z109">
            <v>25462.464095947966</v>
          </cell>
          <cell r="AA109">
            <v>22898.434198969298</v>
          </cell>
        </row>
        <row r="110">
          <cell r="D110">
            <v>18013.583638596381</v>
          </cell>
          <cell r="E110">
            <v>16513.679755473924</v>
          </cell>
          <cell r="F110">
            <v>15257.877601616276</v>
          </cell>
          <cell r="G110">
            <v>14169.067678634932</v>
          </cell>
          <cell r="H110">
            <v>13532.380052465833</v>
          </cell>
          <cell r="I110">
            <v>13361.526265165267</v>
          </cell>
          <cell r="J110">
            <v>12913.156339135818</v>
          </cell>
          <cell r="K110">
            <v>15240.014156665136</v>
          </cell>
          <cell r="L110">
            <v>17881.827246486973</v>
          </cell>
          <cell r="M110">
            <v>19770.272287085147</v>
          </cell>
          <cell r="N110">
            <v>21640.492020597369</v>
          </cell>
          <cell r="O110">
            <v>23449.014630744296</v>
          </cell>
          <cell r="P110">
            <v>21863.572602165958</v>
          </cell>
          <cell r="Q110">
            <v>23963.063857071826</v>
          </cell>
          <cell r="R110">
            <v>26042.703798664046</v>
          </cell>
          <cell r="S110">
            <v>25512.060006018866</v>
          </cell>
          <cell r="T110">
            <v>23619.941227640073</v>
          </cell>
          <cell r="U110">
            <v>25531.503574835751</v>
          </cell>
          <cell r="V110">
            <v>29089.511375004084</v>
          </cell>
          <cell r="W110">
            <v>28607.369260605621</v>
          </cell>
          <cell r="X110">
            <v>27450.470896722869</v>
          </cell>
          <cell r="Y110">
            <v>25972.433148175747</v>
          </cell>
          <cell r="Z110">
            <v>23828.456717938607</v>
          </cell>
          <cell r="AA110">
            <v>21356.62819366961</v>
          </cell>
        </row>
      </sheetData>
      <sheetData sheetId="2">
        <row r="3">
          <cell r="D3">
            <v>10880.455099634872</v>
          </cell>
          <cell r="E3">
            <v>10880.455099634872</v>
          </cell>
          <cell r="F3">
            <v>10880.455099634872</v>
          </cell>
          <cell r="G3">
            <v>10880.455099634872</v>
          </cell>
          <cell r="H3">
            <v>10880.455099634872</v>
          </cell>
          <cell r="I3">
            <v>10880.455099634872</v>
          </cell>
          <cell r="J3">
            <v>10880.455099634872</v>
          </cell>
          <cell r="K3">
            <v>10880.455099634872</v>
          </cell>
          <cell r="L3">
            <v>10880.455099634872</v>
          </cell>
          <cell r="M3">
            <v>10880.455099634872</v>
          </cell>
          <cell r="N3">
            <v>10880.455099634872</v>
          </cell>
          <cell r="O3">
            <v>10880.455099634872</v>
          </cell>
          <cell r="P3">
            <v>10880.455099634872</v>
          </cell>
          <cell r="Q3">
            <v>10880.455099634872</v>
          </cell>
          <cell r="R3">
            <v>10880.455099634872</v>
          </cell>
          <cell r="S3">
            <v>10880.455099634872</v>
          </cell>
          <cell r="T3">
            <v>10880.455099634872</v>
          </cell>
          <cell r="U3">
            <v>10880.455099634872</v>
          </cell>
          <cell r="V3">
            <v>10880.455099634872</v>
          </cell>
          <cell r="W3">
            <v>10880.455099634872</v>
          </cell>
          <cell r="X3">
            <v>10880.455099634872</v>
          </cell>
          <cell r="Y3">
            <v>10880.455099634872</v>
          </cell>
          <cell r="Z3">
            <v>10880.455099634872</v>
          </cell>
          <cell r="AA3">
            <v>10880.455099634872</v>
          </cell>
        </row>
        <row r="4">
          <cell r="D4">
            <v>10639.309339875137</v>
          </cell>
          <cell r="E4">
            <v>10639.309339875137</v>
          </cell>
          <cell r="F4">
            <v>10639.309339875137</v>
          </cell>
          <cell r="G4">
            <v>10639.309339875137</v>
          </cell>
          <cell r="H4">
            <v>10639.309339875137</v>
          </cell>
          <cell r="I4">
            <v>10639.309339875137</v>
          </cell>
          <cell r="J4">
            <v>10639.309339875137</v>
          </cell>
          <cell r="K4">
            <v>10639.309339875137</v>
          </cell>
          <cell r="L4">
            <v>10639.309339875137</v>
          </cell>
          <cell r="M4">
            <v>10639.309339875137</v>
          </cell>
          <cell r="N4">
            <v>10639.309339875137</v>
          </cell>
          <cell r="O4">
            <v>10639.309339875137</v>
          </cell>
          <cell r="P4">
            <v>10639.309339875137</v>
          </cell>
          <cell r="Q4">
            <v>10639.309339875137</v>
          </cell>
          <cell r="R4">
            <v>10639.309339875137</v>
          </cell>
          <cell r="S4">
            <v>10639.309339875137</v>
          </cell>
          <cell r="T4">
            <v>10639.309339875137</v>
          </cell>
          <cell r="U4">
            <v>10639.309339875137</v>
          </cell>
          <cell r="V4">
            <v>10639.309339875137</v>
          </cell>
          <cell r="W4">
            <v>10639.309339875137</v>
          </cell>
          <cell r="X4">
            <v>10639.309339875137</v>
          </cell>
          <cell r="Y4">
            <v>10639.309339875137</v>
          </cell>
          <cell r="Z4">
            <v>10639.309339875137</v>
          </cell>
          <cell r="AA4">
            <v>10639.309339875137</v>
          </cell>
        </row>
        <row r="5">
          <cell r="D5">
            <v>9469.4595338722502</v>
          </cell>
          <cell r="E5">
            <v>9469.4595338722502</v>
          </cell>
          <cell r="F5">
            <v>9469.4595338722502</v>
          </cell>
          <cell r="G5">
            <v>9469.4595338722502</v>
          </cell>
          <cell r="H5">
            <v>9469.4595338722502</v>
          </cell>
          <cell r="I5">
            <v>9469.4595338722502</v>
          </cell>
          <cell r="J5">
            <v>9469.4595338722502</v>
          </cell>
          <cell r="K5">
            <v>9469.4595338722502</v>
          </cell>
          <cell r="L5">
            <v>9469.4595338722502</v>
          </cell>
          <cell r="M5">
            <v>9469.4595338722502</v>
          </cell>
          <cell r="N5">
            <v>9469.4595338722502</v>
          </cell>
          <cell r="O5">
            <v>9469.4595338722502</v>
          </cell>
          <cell r="P5">
            <v>9469.4595338722502</v>
          </cell>
          <cell r="Q5">
            <v>9469.4595338722502</v>
          </cell>
          <cell r="R5">
            <v>9469.4595338722502</v>
          </cell>
          <cell r="S5">
            <v>9469.4595338722502</v>
          </cell>
          <cell r="T5">
            <v>9469.4595338722502</v>
          </cell>
          <cell r="U5">
            <v>9469.4595338722502</v>
          </cell>
          <cell r="V5">
            <v>9469.4595338722502</v>
          </cell>
          <cell r="W5">
            <v>9469.4595338722502</v>
          </cell>
          <cell r="X5">
            <v>9469.4595338722502</v>
          </cell>
          <cell r="Y5">
            <v>9469.4595338722502</v>
          </cell>
          <cell r="Z5">
            <v>9469.4595338722502</v>
          </cell>
          <cell r="AA5">
            <v>9469.4595338722502</v>
          </cell>
        </row>
        <row r="6">
          <cell r="D6">
            <v>14089.880108144151</v>
          </cell>
          <cell r="E6">
            <v>14089.880108144151</v>
          </cell>
          <cell r="F6">
            <v>14089.880108144151</v>
          </cell>
          <cell r="G6">
            <v>14089.880108144151</v>
          </cell>
          <cell r="H6">
            <v>14089.880108144151</v>
          </cell>
          <cell r="I6">
            <v>14089.880108144151</v>
          </cell>
          <cell r="J6">
            <v>14089.880108144151</v>
          </cell>
          <cell r="K6">
            <v>14089.880108144151</v>
          </cell>
          <cell r="L6">
            <v>14089.880108144151</v>
          </cell>
          <cell r="M6">
            <v>14089.880108144151</v>
          </cell>
          <cell r="N6">
            <v>14089.880108144151</v>
          </cell>
          <cell r="O6">
            <v>14089.880108144151</v>
          </cell>
          <cell r="P6">
            <v>14089.880108144151</v>
          </cell>
          <cell r="Q6">
            <v>14089.880108144151</v>
          </cell>
          <cell r="R6">
            <v>14089.880108144151</v>
          </cell>
          <cell r="S6">
            <v>14089.880108144151</v>
          </cell>
          <cell r="T6">
            <v>14089.880108144151</v>
          </cell>
          <cell r="U6">
            <v>14089.880108144151</v>
          </cell>
          <cell r="V6">
            <v>14089.880108144151</v>
          </cell>
          <cell r="W6">
            <v>14089.880108144151</v>
          </cell>
          <cell r="X6">
            <v>14089.880108144151</v>
          </cell>
          <cell r="Y6">
            <v>14089.880108144151</v>
          </cell>
          <cell r="Z6">
            <v>14089.880108144151</v>
          </cell>
          <cell r="AA6">
            <v>14089.880108144151</v>
          </cell>
        </row>
        <row r="7">
          <cell r="D7">
            <v>12943.662090017611</v>
          </cell>
          <cell r="E7">
            <v>12943.662090017611</v>
          </cell>
          <cell r="F7">
            <v>12943.662090017611</v>
          </cell>
          <cell r="G7">
            <v>12943.662090017611</v>
          </cell>
          <cell r="H7">
            <v>12943.662090017611</v>
          </cell>
          <cell r="I7">
            <v>12943.662090017611</v>
          </cell>
          <cell r="J7">
            <v>12943.662090017611</v>
          </cell>
          <cell r="K7">
            <v>12943.662090017611</v>
          </cell>
          <cell r="L7">
            <v>12943.662090017611</v>
          </cell>
          <cell r="M7">
            <v>12943.662090017611</v>
          </cell>
          <cell r="N7">
            <v>12943.662090017611</v>
          </cell>
          <cell r="O7">
            <v>12943.662090017611</v>
          </cell>
          <cell r="P7">
            <v>12943.662090017611</v>
          </cell>
          <cell r="Q7">
            <v>12943.662090017611</v>
          </cell>
          <cell r="R7">
            <v>12943.662090017611</v>
          </cell>
          <cell r="S7">
            <v>12943.662090017611</v>
          </cell>
          <cell r="T7">
            <v>12943.662090017611</v>
          </cell>
          <cell r="U7">
            <v>12943.662090017611</v>
          </cell>
          <cell r="V7">
            <v>12943.662090017611</v>
          </cell>
          <cell r="W7">
            <v>12943.662090017611</v>
          </cell>
          <cell r="X7">
            <v>12943.662090017611</v>
          </cell>
          <cell r="Y7">
            <v>12943.662090017611</v>
          </cell>
          <cell r="Z7">
            <v>12943.662090017611</v>
          </cell>
          <cell r="AA7">
            <v>12943.662090017611</v>
          </cell>
        </row>
        <row r="8">
          <cell r="D8">
            <v>12615.797753402379</v>
          </cell>
          <cell r="E8">
            <v>12615.797753402379</v>
          </cell>
          <cell r="F8">
            <v>12615.797753402379</v>
          </cell>
          <cell r="G8">
            <v>12615.797753402379</v>
          </cell>
          <cell r="H8">
            <v>12615.797753402379</v>
          </cell>
          <cell r="I8">
            <v>12615.797753402379</v>
          </cell>
          <cell r="J8">
            <v>12615.797753402379</v>
          </cell>
          <cell r="K8">
            <v>12615.797753402379</v>
          </cell>
          <cell r="L8">
            <v>12615.797753402379</v>
          </cell>
          <cell r="M8">
            <v>12615.797753402379</v>
          </cell>
          <cell r="N8">
            <v>12615.797753402379</v>
          </cell>
          <cell r="O8">
            <v>12615.797753402379</v>
          </cell>
          <cell r="P8">
            <v>12615.797753402379</v>
          </cell>
          <cell r="Q8">
            <v>12615.797753402379</v>
          </cell>
          <cell r="R8">
            <v>12615.797753402379</v>
          </cell>
          <cell r="S8">
            <v>12615.797753402379</v>
          </cell>
          <cell r="T8">
            <v>12615.797753402379</v>
          </cell>
          <cell r="U8">
            <v>12615.797753402379</v>
          </cell>
          <cell r="V8">
            <v>12615.797753402379</v>
          </cell>
          <cell r="W8">
            <v>12615.797753402379</v>
          </cell>
          <cell r="X8">
            <v>12615.797753402379</v>
          </cell>
          <cell r="Y8">
            <v>12615.797753402379</v>
          </cell>
          <cell r="Z8">
            <v>12615.797753402379</v>
          </cell>
          <cell r="AA8">
            <v>12615.797753402379</v>
          </cell>
        </row>
        <row r="9">
          <cell r="D9">
            <v>15038.086539734988</v>
          </cell>
          <cell r="E9">
            <v>15038.086539734988</v>
          </cell>
          <cell r="F9">
            <v>15038.086539734988</v>
          </cell>
          <cell r="G9">
            <v>15038.086539734988</v>
          </cell>
          <cell r="H9">
            <v>15038.086539734988</v>
          </cell>
          <cell r="I9">
            <v>15038.086539734988</v>
          </cell>
          <cell r="J9">
            <v>15038.086539734988</v>
          </cell>
          <cell r="K9">
            <v>15038.086539734988</v>
          </cell>
          <cell r="L9">
            <v>15038.086539734988</v>
          </cell>
          <cell r="M9">
            <v>15038.086539734988</v>
          </cell>
          <cell r="N9">
            <v>15038.086539734988</v>
          </cell>
          <cell r="O9">
            <v>15038.086539734988</v>
          </cell>
          <cell r="P9">
            <v>15038.086539734988</v>
          </cell>
          <cell r="Q9">
            <v>15038.086539734988</v>
          </cell>
          <cell r="R9">
            <v>15038.086539734988</v>
          </cell>
          <cell r="S9">
            <v>15038.086539734988</v>
          </cell>
          <cell r="T9">
            <v>15038.086539734988</v>
          </cell>
          <cell r="U9">
            <v>15038.086539734988</v>
          </cell>
          <cell r="V9">
            <v>15038.086539734988</v>
          </cell>
          <cell r="W9">
            <v>15038.086539734988</v>
          </cell>
          <cell r="X9">
            <v>15038.086539734988</v>
          </cell>
          <cell r="Y9">
            <v>15038.086539734988</v>
          </cell>
          <cell r="Z9">
            <v>15038.086539734988</v>
          </cell>
          <cell r="AA9">
            <v>15038.086539734988</v>
          </cell>
        </row>
        <row r="10">
          <cell r="D10">
            <v>13730.879493376769</v>
          </cell>
          <cell r="E10">
            <v>13730.879493376769</v>
          </cell>
          <cell r="F10">
            <v>13730.879493376769</v>
          </cell>
          <cell r="G10">
            <v>13730.879493376769</v>
          </cell>
          <cell r="H10">
            <v>13730.879493376769</v>
          </cell>
          <cell r="I10">
            <v>13730.879493376769</v>
          </cell>
          <cell r="J10">
            <v>13730.879493376769</v>
          </cell>
          <cell r="K10">
            <v>13730.879493376769</v>
          </cell>
          <cell r="L10">
            <v>13730.879493376769</v>
          </cell>
          <cell r="M10">
            <v>13730.879493376769</v>
          </cell>
          <cell r="N10">
            <v>13730.879493376769</v>
          </cell>
          <cell r="O10">
            <v>13730.879493376769</v>
          </cell>
          <cell r="P10">
            <v>13730.879493376769</v>
          </cell>
          <cell r="Q10">
            <v>13730.879493376769</v>
          </cell>
          <cell r="R10">
            <v>13730.879493376769</v>
          </cell>
          <cell r="S10">
            <v>13730.879493376769</v>
          </cell>
          <cell r="T10">
            <v>13730.879493376769</v>
          </cell>
          <cell r="U10">
            <v>13730.879493376769</v>
          </cell>
          <cell r="V10">
            <v>13730.879493376769</v>
          </cell>
          <cell r="W10">
            <v>13730.879493376769</v>
          </cell>
          <cell r="X10">
            <v>13730.879493376769</v>
          </cell>
          <cell r="Y10">
            <v>13730.879493376769</v>
          </cell>
          <cell r="Z10">
            <v>13730.879493376769</v>
          </cell>
          <cell r="AA10">
            <v>13730.879493376769</v>
          </cell>
        </row>
        <row r="11">
          <cell r="D11">
            <v>13251.275955383771</v>
          </cell>
          <cell r="E11">
            <v>13251.275955383771</v>
          </cell>
          <cell r="F11">
            <v>13251.275955383771</v>
          </cell>
          <cell r="G11">
            <v>13251.275955383771</v>
          </cell>
          <cell r="H11">
            <v>13251.275955383771</v>
          </cell>
          <cell r="I11">
            <v>13251.275955383771</v>
          </cell>
          <cell r="J11">
            <v>13251.275955383771</v>
          </cell>
          <cell r="K11">
            <v>13251.275955383771</v>
          </cell>
          <cell r="L11">
            <v>13251.275955383771</v>
          </cell>
          <cell r="M11">
            <v>13251.275955383771</v>
          </cell>
          <cell r="N11">
            <v>13251.275955383771</v>
          </cell>
          <cell r="O11">
            <v>13251.275955383771</v>
          </cell>
          <cell r="P11">
            <v>13251.275955383771</v>
          </cell>
          <cell r="Q11">
            <v>13251.275955383771</v>
          </cell>
          <cell r="R11">
            <v>13251.275955383771</v>
          </cell>
          <cell r="S11">
            <v>13251.275955383771</v>
          </cell>
          <cell r="T11">
            <v>13251.275955383771</v>
          </cell>
          <cell r="U11">
            <v>13251.275955383771</v>
          </cell>
          <cell r="V11">
            <v>13251.275955383771</v>
          </cell>
          <cell r="W11">
            <v>13251.275955383771</v>
          </cell>
          <cell r="X11">
            <v>13251.275955383771</v>
          </cell>
          <cell r="Y11">
            <v>13251.275955383771</v>
          </cell>
          <cell r="Z11">
            <v>13251.275955383771</v>
          </cell>
          <cell r="AA11">
            <v>13251.275955383771</v>
          </cell>
        </row>
        <row r="12">
          <cell r="D12">
            <v>13020.497545261594</v>
          </cell>
          <cell r="E12">
            <v>13020.497545261594</v>
          </cell>
          <cell r="F12">
            <v>13020.497545261594</v>
          </cell>
          <cell r="G12">
            <v>13020.497545261594</v>
          </cell>
          <cell r="H12">
            <v>13020.497545261594</v>
          </cell>
          <cell r="I12">
            <v>13020.497545261594</v>
          </cell>
          <cell r="J12">
            <v>13020.497545261594</v>
          </cell>
          <cell r="K12">
            <v>13020.497545261594</v>
          </cell>
          <cell r="L12">
            <v>13020.497545261594</v>
          </cell>
          <cell r="M12">
            <v>13020.497545261594</v>
          </cell>
          <cell r="N12">
            <v>13020.497545261594</v>
          </cell>
          <cell r="O12">
            <v>13020.497545261594</v>
          </cell>
          <cell r="P12">
            <v>13020.497545261594</v>
          </cell>
          <cell r="Q12">
            <v>13020.497545261594</v>
          </cell>
          <cell r="R12">
            <v>13020.497545261594</v>
          </cell>
          <cell r="S12">
            <v>13020.497545261594</v>
          </cell>
          <cell r="T12">
            <v>13020.497545261594</v>
          </cell>
          <cell r="U12">
            <v>13020.497545261594</v>
          </cell>
          <cell r="V12">
            <v>13020.497545261594</v>
          </cell>
          <cell r="W12">
            <v>13020.497545261594</v>
          </cell>
          <cell r="X12">
            <v>13020.497545261594</v>
          </cell>
          <cell r="Y12">
            <v>13020.497545261594</v>
          </cell>
          <cell r="Z12">
            <v>13020.497545261594</v>
          </cell>
          <cell r="AA12">
            <v>13020.497545261594</v>
          </cell>
        </row>
        <row r="13">
          <cell r="D13">
            <v>11886.256352534221</v>
          </cell>
          <cell r="E13">
            <v>11886.256352534221</v>
          </cell>
          <cell r="F13">
            <v>11886.256352534221</v>
          </cell>
          <cell r="G13">
            <v>11886.256352534221</v>
          </cell>
          <cell r="H13">
            <v>11886.256352534221</v>
          </cell>
          <cell r="I13">
            <v>11886.256352534221</v>
          </cell>
          <cell r="J13">
            <v>11886.256352534221</v>
          </cell>
          <cell r="K13">
            <v>11886.256352534221</v>
          </cell>
          <cell r="L13">
            <v>11886.256352534221</v>
          </cell>
          <cell r="M13">
            <v>11886.256352534221</v>
          </cell>
          <cell r="N13">
            <v>11886.256352534221</v>
          </cell>
          <cell r="O13">
            <v>11886.256352534221</v>
          </cell>
          <cell r="P13">
            <v>11886.256352534221</v>
          </cell>
          <cell r="Q13">
            <v>11886.256352534221</v>
          </cell>
          <cell r="R13">
            <v>11886.256352534221</v>
          </cell>
          <cell r="S13">
            <v>11886.256352534221</v>
          </cell>
          <cell r="T13">
            <v>11886.256352534221</v>
          </cell>
          <cell r="U13">
            <v>11886.256352534221</v>
          </cell>
          <cell r="V13">
            <v>11886.256352534221</v>
          </cell>
          <cell r="W13">
            <v>11886.256352534221</v>
          </cell>
          <cell r="X13">
            <v>11886.256352534221</v>
          </cell>
          <cell r="Y13">
            <v>11886.256352534221</v>
          </cell>
          <cell r="Z13">
            <v>11886.256352534221</v>
          </cell>
          <cell r="AA13">
            <v>11886.256352534221</v>
          </cell>
        </row>
        <row r="14">
          <cell r="D14">
            <v>13654.460667657144</v>
          </cell>
          <cell r="E14">
            <v>13654.460667657144</v>
          </cell>
          <cell r="F14">
            <v>13654.460667657144</v>
          </cell>
          <cell r="G14">
            <v>13654.460667657144</v>
          </cell>
          <cell r="H14">
            <v>13654.460667657144</v>
          </cell>
          <cell r="I14">
            <v>13654.460667657144</v>
          </cell>
          <cell r="J14">
            <v>13654.460667657144</v>
          </cell>
          <cell r="K14">
            <v>13654.460667657144</v>
          </cell>
          <cell r="L14">
            <v>13654.460667657144</v>
          </cell>
          <cell r="M14">
            <v>13654.460667657144</v>
          </cell>
          <cell r="N14">
            <v>13654.460667657144</v>
          </cell>
          <cell r="O14">
            <v>13654.460667657144</v>
          </cell>
          <cell r="P14">
            <v>13654.460667657144</v>
          </cell>
          <cell r="Q14">
            <v>13654.460667657144</v>
          </cell>
          <cell r="R14">
            <v>13654.460667657144</v>
          </cell>
          <cell r="S14">
            <v>13654.460667657144</v>
          </cell>
          <cell r="T14">
            <v>13654.460667657144</v>
          </cell>
          <cell r="U14">
            <v>13654.460667657144</v>
          </cell>
          <cell r="V14">
            <v>13654.460667657144</v>
          </cell>
          <cell r="W14">
            <v>13654.460667657144</v>
          </cell>
          <cell r="X14">
            <v>13654.460667657144</v>
          </cell>
          <cell r="Y14">
            <v>13654.460667657144</v>
          </cell>
          <cell r="Z14">
            <v>13654.460667657144</v>
          </cell>
          <cell r="AA14">
            <v>13654.460667657144</v>
          </cell>
        </row>
        <row r="15">
          <cell r="D15">
            <v>11627.53769102801</v>
          </cell>
          <cell r="E15">
            <v>11627.53769102801</v>
          </cell>
          <cell r="F15">
            <v>11627.53769102801</v>
          </cell>
          <cell r="G15">
            <v>11627.53769102801</v>
          </cell>
          <cell r="H15">
            <v>11627.53769102801</v>
          </cell>
          <cell r="I15">
            <v>11627.53769102801</v>
          </cell>
          <cell r="J15">
            <v>11627.53769102801</v>
          </cell>
          <cell r="K15">
            <v>11627.53769102801</v>
          </cell>
          <cell r="L15">
            <v>11627.53769102801</v>
          </cell>
          <cell r="M15">
            <v>11627.53769102801</v>
          </cell>
          <cell r="N15">
            <v>11627.53769102801</v>
          </cell>
          <cell r="O15">
            <v>11627.53769102801</v>
          </cell>
          <cell r="P15">
            <v>11627.53769102801</v>
          </cell>
          <cell r="Q15">
            <v>11627.53769102801</v>
          </cell>
          <cell r="R15">
            <v>11627.53769102801</v>
          </cell>
          <cell r="S15">
            <v>11627.53769102801</v>
          </cell>
          <cell r="T15">
            <v>11627.53769102801</v>
          </cell>
          <cell r="U15">
            <v>11627.53769102801</v>
          </cell>
          <cell r="V15">
            <v>11627.53769102801</v>
          </cell>
          <cell r="W15">
            <v>11627.53769102801</v>
          </cell>
          <cell r="X15">
            <v>11627.53769102801</v>
          </cell>
          <cell r="Y15">
            <v>11627.53769102801</v>
          </cell>
          <cell r="Z15">
            <v>11627.53769102801</v>
          </cell>
          <cell r="AA15">
            <v>11627.53769102801</v>
          </cell>
        </row>
        <row r="16">
          <cell r="D16">
            <v>10129.535816826838</v>
          </cell>
          <cell r="E16">
            <v>10129.535816826838</v>
          </cell>
          <cell r="F16">
            <v>10129.535816826838</v>
          </cell>
          <cell r="G16">
            <v>10129.535816826838</v>
          </cell>
          <cell r="H16">
            <v>10129.535816826838</v>
          </cell>
          <cell r="I16">
            <v>10129.535816826838</v>
          </cell>
          <cell r="J16">
            <v>10129.535816826838</v>
          </cell>
          <cell r="K16">
            <v>10129.535816826838</v>
          </cell>
          <cell r="L16">
            <v>10129.535816826838</v>
          </cell>
          <cell r="M16">
            <v>10129.535816826838</v>
          </cell>
          <cell r="N16">
            <v>10129.535816826838</v>
          </cell>
          <cell r="O16">
            <v>10129.535816826838</v>
          </cell>
          <cell r="P16">
            <v>10129.535816826838</v>
          </cell>
          <cell r="Q16">
            <v>10129.535816826838</v>
          </cell>
          <cell r="R16">
            <v>10129.535816826838</v>
          </cell>
          <cell r="S16">
            <v>10129.535816826838</v>
          </cell>
          <cell r="T16">
            <v>10129.535816826838</v>
          </cell>
          <cell r="U16">
            <v>10129.535816826838</v>
          </cell>
          <cell r="V16">
            <v>10129.535816826838</v>
          </cell>
          <cell r="W16">
            <v>10129.535816826838</v>
          </cell>
          <cell r="X16">
            <v>10129.535816826838</v>
          </cell>
          <cell r="Y16">
            <v>10129.535816826838</v>
          </cell>
          <cell r="Z16">
            <v>10129.535816826838</v>
          </cell>
          <cell r="AA16">
            <v>10129.535816826838</v>
          </cell>
        </row>
        <row r="17">
          <cell r="D17">
            <v>9197.4648958082453</v>
          </cell>
          <cell r="E17">
            <v>9197.4648958082453</v>
          </cell>
          <cell r="F17">
            <v>9197.4648958082453</v>
          </cell>
          <cell r="G17">
            <v>9197.4648958082453</v>
          </cell>
          <cell r="H17">
            <v>9197.4648958082453</v>
          </cell>
          <cell r="I17">
            <v>9197.4648958082453</v>
          </cell>
          <cell r="J17">
            <v>9197.4648958082453</v>
          </cell>
          <cell r="K17">
            <v>9197.4648958082453</v>
          </cell>
          <cell r="L17">
            <v>9197.4648958082453</v>
          </cell>
          <cell r="M17">
            <v>9197.4648958082453</v>
          </cell>
          <cell r="N17">
            <v>9197.4648958082453</v>
          </cell>
          <cell r="O17">
            <v>9197.4648958082453</v>
          </cell>
          <cell r="P17">
            <v>9197.4648958082453</v>
          </cell>
          <cell r="Q17">
            <v>9197.4648958082453</v>
          </cell>
          <cell r="R17">
            <v>9197.4648958082453</v>
          </cell>
          <cell r="S17">
            <v>9197.4648958082453</v>
          </cell>
          <cell r="T17">
            <v>9197.4648958082453</v>
          </cell>
          <cell r="U17">
            <v>9197.4648958082453</v>
          </cell>
          <cell r="V17">
            <v>9197.4648958082453</v>
          </cell>
          <cell r="W17">
            <v>9197.4648958082453</v>
          </cell>
          <cell r="X17">
            <v>9197.4648958082453</v>
          </cell>
          <cell r="Y17">
            <v>9197.4648958082453</v>
          </cell>
          <cell r="Z17">
            <v>9197.4648958082453</v>
          </cell>
          <cell r="AA17">
            <v>9197.4648958082453</v>
          </cell>
        </row>
        <row r="18">
          <cell r="D18">
            <v>9236.3958146218756</v>
          </cell>
          <cell r="E18">
            <v>9236.3958146218756</v>
          </cell>
          <cell r="F18">
            <v>9236.3958146218756</v>
          </cell>
          <cell r="G18">
            <v>9236.3958146218756</v>
          </cell>
          <cell r="H18">
            <v>9236.3958146218756</v>
          </cell>
          <cell r="I18">
            <v>9236.3958146218756</v>
          </cell>
          <cell r="J18">
            <v>9236.3958146218756</v>
          </cell>
          <cell r="K18">
            <v>9236.3958146218756</v>
          </cell>
          <cell r="L18">
            <v>9236.3958146218756</v>
          </cell>
          <cell r="M18">
            <v>9236.3958146218756</v>
          </cell>
          <cell r="N18">
            <v>9236.3958146218756</v>
          </cell>
          <cell r="O18">
            <v>9236.3958146218756</v>
          </cell>
          <cell r="P18">
            <v>9236.3958146218756</v>
          </cell>
          <cell r="Q18">
            <v>9236.3958146218756</v>
          </cell>
          <cell r="R18">
            <v>9236.3958146218756</v>
          </cell>
          <cell r="S18">
            <v>9236.3958146218756</v>
          </cell>
          <cell r="T18">
            <v>9236.3958146218756</v>
          </cell>
          <cell r="U18">
            <v>9236.3958146218756</v>
          </cell>
          <cell r="V18">
            <v>9236.3958146218756</v>
          </cell>
          <cell r="W18">
            <v>9236.3958146218756</v>
          </cell>
          <cell r="X18">
            <v>9236.3958146218756</v>
          </cell>
          <cell r="Y18">
            <v>9236.3958146218756</v>
          </cell>
          <cell r="Z18">
            <v>9236.3958146218756</v>
          </cell>
          <cell r="AA18">
            <v>9236.3958146218756</v>
          </cell>
        </row>
        <row r="19">
          <cell r="D19">
            <v>9565.7195688000375</v>
          </cell>
          <cell r="E19">
            <v>9565.7195688000375</v>
          </cell>
          <cell r="F19">
            <v>9565.7195688000375</v>
          </cell>
          <cell r="G19">
            <v>9565.7195688000375</v>
          </cell>
          <cell r="H19">
            <v>9565.7195688000375</v>
          </cell>
          <cell r="I19">
            <v>9565.7195688000375</v>
          </cell>
          <cell r="J19">
            <v>9565.7195688000375</v>
          </cell>
          <cell r="K19">
            <v>9565.7195688000375</v>
          </cell>
          <cell r="L19">
            <v>9565.7195688000375</v>
          </cell>
          <cell r="M19">
            <v>9565.7195688000375</v>
          </cell>
          <cell r="N19">
            <v>9565.7195688000375</v>
          </cell>
          <cell r="O19">
            <v>9565.7195688000375</v>
          </cell>
          <cell r="P19">
            <v>9565.7195688000375</v>
          </cell>
          <cell r="Q19">
            <v>9565.7195688000375</v>
          </cell>
          <cell r="R19">
            <v>9565.7195688000375</v>
          </cell>
          <cell r="S19">
            <v>9565.7195688000375</v>
          </cell>
          <cell r="T19">
            <v>9565.7195688000375</v>
          </cell>
          <cell r="U19">
            <v>9565.7195688000375</v>
          </cell>
          <cell r="V19">
            <v>9565.7195688000375</v>
          </cell>
          <cell r="W19">
            <v>9565.7195688000375</v>
          </cell>
          <cell r="X19">
            <v>9565.7195688000375</v>
          </cell>
          <cell r="Y19">
            <v>9565.7195688000375</v>
          </cell>
          <cell r="Z19">
            <v>9565.7195688000375</v>
          </cell>
          <cell r="AA19">
            <v>9565.7195688000375</v>
          </cell>
        </row>
        <row r="20">
          <cell r="D20">
            <v>7927.6123637070841</v>
          </cell>
          <cell r="E20">
            <v>7927.6123637070841</v>
          </cell>
          <cell r="F20">
            <v>7927.6123637070841</v>
          </cell>
          <cell r="G20">
            <v>7927.6123637070841</v>
          </cell>
          <cell r="H20">
            <v>7927.6123637070841</v>
          </cell>
          <cell r="I20">
            <v>7927.6123637070841</v>
          </cell>
          <cell r="J20">
            <v>7927.6123637070841</v>
          </cell>
          <cell r="K20">
            <v>7927.6123637070841</v>
          </cell>
          <cell r="L20">
            <v>7927.6123637070841</v>
          </cell>
          <cell r="M20">
            <v>7927.6123637070841</v>
          </cell>
          <cell r="N20">
            <v>7927.6123637070841</v>
          </cell>
          <cell r="O20">
            <v>7927.6123637070841</v>
          </cell>
          <cell r="P20">
            <v>7927.6123637070841</v>
          </cell>
          <cell r="Q20">
            <v>7927.6123637070841</v>
          </cell>
          <cell r="R20">
            <v>7927.6123637070841</v>
          </cell>
          <cell r="S20">
            <v>7927.6123637070841</v>
          </cell>
          <cell r="T20">
            <v>7927.6123637070841</v>
          </cell>
          <cell r="U20">
            <v>7927.6123637070841</v>
          </cell>
          <cell r="V20">
            <v>7927.6123637070841</v>
          </cell>
          <cell r="W20">
            <v>7927.6123637070841</v>
          </cell>
          <cell r="X20">
            <v>7927.6123637070841</v>
          </cell>
          <cell r="Y20">
            <v>7927.6123637070841</v>
          </cell>
          <cell r="Z20">
            <v>7927.6123637070841</v>
          </cell>
          <cell r="AA20">
            <v>7927.6123637070841</v>
          </cell>
        </row>
        <row r="21">
          <cell r="D21">
            <v>8987.4382485651022</v>
          </cell>
          <cell r="E21">
            <v>8987.4382485651022</v>
          </cell>
          <cell r="F21">
            <v>8987.4382485651022</v>
          </cell>
          <cell r="G21">
            <v>8987.4382485651022</v>
          </cell>
          <cell r="H21">
            <v>8987.4382485651022</v>
          </cell>
          <cell r="I21">
            <v>8987.4382485651022</v>
          </cell>
          <cell r="J21">
            <v>8987.4382485651022</v>
          </cell>
          <cell r="K21">
            <v>8987.4382485651022</v>
          </cell>
          <cell r="L21">
            <v>8987.4382485651022</v>
          </cell>
          <cell r="M21">
            <v>8987.4382485651022</v>
          </cell>
          <cell r="N21">
            <v>8987.4382485651022</v>
          </cell>
          <cell r="O21">
            <v>8987.4382485651022</v>
          </cell>
          <cell r="P21">
            <v>8987.4382485651022</v>
          </cell>
          <cell r="Q21">
            <v>8987.4382485651022</v>
          </cell>
          <cell r="R21">
            <v>8987.4382485651022</v>
          </cell>
          <cell r="S21">
            <v>8987.4382485651022</v>
          </cell>
          <cell r="T21">
            <v>8987.4382485651022</v>
          </cell>
          <cell r="U21">
            <v>8987.4382485651022</v>
          </cell>
          <cell r="V21">
            <v>8987.4382485651022</v>
          </cell>
          <cell r="W21">
            <v>8987.4382485651022</v>
          </cell>
          <cell r="X21">
            <v>8987.4382485651022</v>
          </cell>
          <cell r="Y21">
            <v>8987.4382485651022</v>
          </cell>
          <cell r="Z21">
            <v>8987.4382485651022</v>
          </cell>
          <cell r="AA21">
            <v>8987.4382485651022</v>
          </cell>
        </row>
        <row r="22">
          <cell r="D22">
            <v>7734.9899721368729</v>
          </cell>
          <cell r="E22">
            <v>7734.9899721368729</v>
          </cell>
          <cell r="F22">
            <v>7734.9899721368729</v>
          </cell>
          <cell r="G22">
            <v>7734.9899721368729</v>
          </cell>
          <cell r="H22">
            <v>7734.9899721368729</v>
          </cell>
          <cell r="I22">
            <v>7734.9899721368729</v>
          </cell>
          <cell r="J22">
            <v>7734.9899721368729</v>
          </cell>
          <cell r="K22">
            <v>7734.9899721368729</v>
          </cell>
          <cell r="L22">
            <v>7734.9899721368729</v>
          </cell>
          <cell r="M22">
            <v>7734.9899721368729</v>
          </cell>
          <cell r="N22">
            <v>7734.9899721368729</v>
          </cell>
          <cell r="O22">
            <v>7734.9899721368729</v>
          </cell>
          <cell r="P22">
            <v>7734.9899721368729</v>
          </cell>
          <cell r="Q22">
            <v>7734.9899721368729</v>
          </cell>
          <cell r="R22">
            <v>7734.9899721368729</v>
          </cell>
          <cell r="S22">
            <v>7734.9899721368729</v>
          </cell>
          <cell r="T22">
            <v>7734.9899721368729</v>
          </cell>
          <cell r="U22">
            <v>7734.9899721368729</v>
          </cell>
          <cell r="V22">
            <v>7734.9899721368729</v>
          </cell>
          <cell r="W22">
            <v>7734.9899721368729</v>
          </cell>
          <cell r="X22">
            <v>7734.9899721368729</v>
          </cell>
          <cell r="Y22">
            <v>7734.9899721368729</v>
          </cell>
          <cell r="Z22">
            <v>7734.9899721368729</v>
          </cell>
          <cell r="AA22">
            <v>7734.9899721368729</v>
          </cell>
        </row>
        <row r="23">
          <cell r="D23">
            <v>8877.0957972758461</v>
          </cell>
          <cell r="E23">
            <v>8877.0957972758461</v>
          </cell>
          <cell r="F23">
            <v>8877.0957972758461</v>
          </cell>
          <cell r="G23">
            <v>8877.0957972758461</v>
          </cell>
          <cell r="H23">
            <v>8877.0957972758461</v>
          </cell>
          <cell r="I23">
            <v>8877.0957972758461</v>
          </cell>
          <cell r="J23">
            <v>8877.0957972758461</v>
          </cell>
          <cell r="K23">
            <v>8877.0957972758461</v>
          </cell>
          <cell r="L23">
            <v>8877.0957972758461</v>
          </cell>
          <cell r="M23">
            <v>8877.0957972758461</v>
          </cell>
          <cell r="N23">
            <v>8877.0957972758461</v>
          </cell>
          <cell r="O23">
            <v>8877.0957972758461</v>
          </cell>
          <cell r="P23">
            <v>8877.0957972758461</v>
          </cell>
          <cell r="Q23">
            <v>8877.0957972758461</v>
          </cell>
          <cell r="R23">
            <v>8877.0957972758461</v>
          </cell>
          <cell r="S23">
            <v>8877.0957972758461</v>
          </cell>
          <cell r="T23">
            <v>8877.0957972758461</v>
          </cell>
          <cell r="U23">
            <v>8877.0957972758461</v>
          </cell>
          <cell r="V23">
            <v>8877.0957972758461</v>
          </cell>
          <cell r="W23">
            <v>8877.0957972758461</v>
          </cell>
          <cell r="X23">
            <v>8877.0957972758461</v>
          </cell>
          <cell r="Y23">
            <v>8877.0957972758461</v>
          </cell>
          <cell r="Z23">
            <v>8877.0957972758461</v>
          </cell>
          <cell r="AA23">
            <v>8877.0957972758461</v>
          </cell>
        </row>
        <row r="24">
          <cell r="D24">
            <v>10384.172686405442</v>
          </cell>
          <cell r="E24">
            <v>10384.172686405442</v>
          </cell>
          <cell r="F24">
            <v>10384.172686405442</v>
          </cell>
          <cell r="G24">
            <v>10384.172686405442</v>
          </cell>
          <cell r="H24">
            <v>10384.172686405442</v>
          </cell>
          <cell r="I24">
            <v>10384.172686405442</v>
          </cell>
          <cell r="J24">
            <v>10384.172686405442</v>
          </cell>
          <cell r="K24">
            <v>10384.172686405442</v>
          </cell>
          <cell r="L24">
            <v>10384.172686405442</v>
          </cell>
          <cell r="M24">
            <v>10384.172686405442</v>
          </cell>
          <cell r="N24">
            <v>10384.172686405442</v>
          </cell>
          <cell r="O24">
            <v>10384.172686405442</v>
          </cell>
          <cell r="P24">
            <v>10384.172686405442</v>
          </cell>
          <cell r="Q24">
            <v>10384.172686405442</v>
          </cell>
          <cell r="R24">
            <v>10384.172686405442</v>
          </cell>
          <cell r="S24">
            <v>10384.172686405442</v>
          </cell>
          <cell r="T24">
            <v>10384.172686405442</v>
          </cell>
          <cell r="U24">
            <v>10384.172686405442</v>
          </cell>
          <cell r="V24">
            <v>10384.172686405442</v>
          </cell>
          <cell r="W24">
            <v>10384.172686405442</v>
          </cell>
          <cell r="X24">
            <v>10384.172686405442</v>
          </cell>
          <cell r="Y24">
            <v>10384.172686405442</v>
          </cell>
          <cell r="Z24">
            <v>10384.172686405442</v>
          </cell>
          <cell r="AA24">
            <v>10384.172686405442</v>
          </cell>
        </row>
        <row r="25">
          <cell r="D25">
            <v>11876.747947506392</v>
          </cell>
          <cell r="E25">
            <v>11876.747947506392</v>
          </cell>
          <cell r="F25">
            <v>11876.747947506392</v>
          </cell>
          <cell r="G25">
            <v>11876.747947506392</v>
          </cell>
          <cell r="H25">
            <v>11876.747947506392</v>
          </cell>
          <cell r="I25">
            <v>11876.747947506392</v>
          </cell>
          <cell r="J25">
            <v>11876.747947506392</v>
          </cell>
          <cell r="K25">
            <v>11876.747947506392</v>
          </cell>
          <cell r="L25">
            <v>11876.747947506392</v>
          </cell>
          <cell r="M25">
            <v>11876.747947506392</v>
          </cell>
          <cell r="N25">
            <v>11876.747947506392</v>
          </cell>
          <cell r="O25">
            <v>11876.747947506392</v>
          </cell>
          <cell r="P25">
            <v>11876.747947506392</v>
          </cell>
          <cell r="Q25">
            <v>11876.747947506392</v>
          </cell>
          <cell r="R25">
            <v>11876.747947506392</v>
          </cell>
          <cell r="S25">
            <v>11876.747947506392</v>
          </cell>
          <cell r="T25">
            <v>11876.747947506392</v>
          </cell>
          <cell r="U25">
            <v>11876.747947506392</v>
          </cell>
          <cell r="V25">
            <v>11876.747947506392</v>
          </cell>
          <cell r="W25">
            <v>11876.747947506392</v>
          </cell>
          <cell r="X25">
            <v>11876.747947506392</v>
          </cell>
          <cell r="Y25">
            <v>11876.747947506392</v>
          </cell>
          <cell r="Z25">
            <v>11876.747947506392</v>
          </cell>
          <cell r="AA25">
            <v>11876.747947506392</v>
          </cell>
        </row>
        <row r="26">
          <cell r="D26">
            <v>7751.3370068704007</v>
          </cell>
          <cell r="E26">
            <v>7751.3370068704007</v>
          </cell>
          <cell r="F26">
            <v>7751.3370068704007</v>
          </cell>
          <cell r="G26">
            <v>7751.3370068704007</v>
          </cell>
          <cell r="H26">
            <v>7751.3370068704007</v>
          </cell>
          <cell r="I26">
            <v>7751.3370068704007</v>
          </cell>
          <cell r="J26">
            <v>7751.3370068704007</v>
          </cell>
          <cell r="K26">
            <v>7751.3370068704007</v>
          </cell>
          <cell r="L26">
            <v>7751.3370068704007</v>
          </cell>
          <cell r="M26">
            <v>7751.3370068704007</v>
          </cell>
          <cell r="N26">
            <v>7751.3370068704007</v>
          </cell>
          <cell r="O26">
            <v>7751.3370068704007</v>
          </cell>
          <cell r="P26">
            <v>7751.3370068704007</v>
          </cell>
          <cell r="Q26">
            <v>7751.3370068704007</v>
          </cell>
          <cell r="R26">
            <v>7751.3370068704007</v>
          </cell>
          <cell r="S26">
            <v>7751.3370068704007</v>
          </cell>
          <cell r="T26">
            <v>7751.3370068704007</v>
          </cell>
          <cell r="U26">
            <v>7751.3370068704007</v>
          </cell>
          <cell r="V26">
            <v>7751.3370068704007</v>
          </cell>
          <cell r="W26">
            <v>7751.3370068704007</v>
          </cell>
          <cell r="X26">
            <v>7751.3370068704007</v>
          </cell>
          <cell r="Y26">
            <v>7751.3370068704007</v>
          </cell>
          <cell r="Z26">
            <v>7751.3370068704007</v>
          </cell>
          <cell r="AA26">
            <v>7751.3370068704007</v>
          </cell>
        </row>
        <row r="27">
          <cell r="D27">
            <v>12724.345722876136</v>
          </cell>
          <cell r="E27">
            <v>12724.345722876136</v>
          </cell>
          <cell r="F27">
            <v>12724.345722876136</v>
          </cell>
          <cell r="G27">
            <v>12724.345722876136</v>
          </cell>
          <cell r="H27">
            <v>12724.345722876136</v>
          </cell>
          <cell r="I27">
            <v>12724.345722876136</v>
          </cell>
          <cell r="J27">
            <v>12724.345722876136</v>
          </cell>
          <cell r="K27">
            <v>12724.345722876136</v>
          </cell>
          <cell r="L27">
            <v>12724.345722876136</v>
          </cell>
          <cell r="M27">
            <v>12724.345722876136</v>
          </cell>
          <cell r="N27">
            <v>12724.345722876136</v>
          </cell>
          <cell r="O27">
            <v>12724.345722876136</v>
          </cell>
          <cell r="P27">
            <v>12724.345722876136</v>
          </cell>
          <cell r="Q27">
            <v>12724.345722876136</v>
          </cell>
          <cell r="R27">
            <v>12724.345722876136</v>
          </cell>
          <cell r="S27">
            <v>12724.345722876136</v>
          </cell>
          <cell r="T27">
            <v>12724.345722876136</v>
          </cell>
          <cell r="U27">
            <v>12724.345722876136</v>
          </cell>
          <cell r="V27">
            <v>12724.345722876136</v>
          </cell>
          <cell r="W27">
            <v>12724.345722876136</v>
          </cell>
          <cell r="X27">
            <v>12724.345722876136</v>
          </cell>
          <cell r="Y27">
            <v>12724.345722876136</v>
          </cell>
          <cell r="Z27">
            <v>12724.345722876136</v>
          </cell>
          <cell r="AA27">
            <v>12724.345722876136</v>
          </cell>
        </row>
        <row r="28">
          <cell r="D28">
            <v>12461.494115289202</v>
          </cell>
          <cell r="E28">
            <v>12461.494115289202</v>
          </cell>
          <cell r="F28">
            <v>12461.494115289202</v>
          </cell>
          <cell r="G28">
            <v>12461.494115289202</v>
          </cell>
          <cell r="H28">
            <v>12461.494115289202</v>
          </cell>
          <cell r="I28">
            <v>12461.494115289202</v>
          </cell>
          <cell r="J28">
            <v>12461.494115289202</v>
          </cell>
          <cell r="K28">
            <v>12461.494115289202</v>
          </cell>
          <cell r="L28">
            <v>12461.494115289202</v>
          </cell>
          <cell r="M28">
            <v>12461.494115289202</v>
          </cell>
          <cell r="N28">
            <v>12461.494115289202</v>
          </cell>
          <cell r="O28">
            <v>12461.494115289202</v>
          </cell>
          <cell r="P28">
            <v>12461.494115289202</v>
          </cell>
          <cell r="Q28">
            <v>12461.494115289202</v>
          </cell>
          <cell r="R28">
            <v>12461.494115289202</v>
          </cell>
          <cell r="S28">
            <v>12461.494115289202</v>
          </cell>
          <cell r="T28">
            <v>12461.494115289202</v>
          </cell>
          <cell r="U28">
            <v>12461.494115289202</v>
          </cell>
          <cell r="V28">
            <v>12461.494115289202</v>
          </cell>
          <cell r="W28">
            <v>12461.494115289202</v>
          </cell>
          <cell r="X28">
            <v>12461.494115289202</v>
          </cell>
          <cell r="Y28">
            <v>12461.494115289202</v>
          </cell>
          <cell r="Z28">
            <v>12461.494115289202</v>
          </cell>
          <cell r="AA28">
            <v>12461.494115289202</v>
          </cell>
        </row>
        <row r="29">
          <cell r="D29">
            <v>10473.490806518634</v>
          </cell>
          <cell r="E29">
            <v>10473.490806518634</v>
          </cell>
          <cell r="F29">
            <v>10473.490806518634</v>
          </cell>
          <cell r="G29">
            <v>10473.490806518634</v>
          </cell>
          <cell r="H29">
            <v>10473.490806518634</v>
          </cell>
          <cell r="I29">
            <v>10473.490806518634</v>
          </cell>
          <cell r="J29">
            <v>10473.490806518634</v>
          </cell>
          <cell r="K29">
            <v>10473.490806518634</v>
          </cell>
          <cell r="L29">
            <v>10473.490806518634</v>
          </cell>
          <cell r="M29">
            <v>10473.490806518634</v>
          </cell>
          <cell r="N29">
            <v>10473.490806518634</v>
          </cell>
          <cell r="O29">
            <v>10473.490806518634</v>
          </cell>
          <cell r="P29">
            <v>10473.490806518634</v>
          </cell>
          <cell r="Q29">
            <v>10473.490806518634</v>
          </cell>
          <cell r="R29">
            <v>10473.490806518634</v>
          </cell>
          <cell r="S29">
            <v>10473.490806518634</v>
          </cell>
          <cell r="T29">
            <v>10473.490806518634</v>
          </cell>
          <cell r="U29">
            <v>10473.490806518634</v>
          </cell>
          <cell r="V29">
            <v>10473.490806518634</v>
          </cell>
          <cell r="W29">
            <v>10473.490806518634</v>
          </cell>
          <cell r="X29">
            <v>10473.490806518634</v>
          </cell>
          <cell r="Y29">
            <v>10473.490806518634</v>
          </cell>
          <cell r="Z29">
            <v>10473.490806518634</v>
          </cell>
          <cell r="AA29">
            <v>10473.490806518634</v>
          </cell>
        </row>
        <row r="30">
          <cell r="D30">
            <v>13488.817391095508</v>
          </cell>
          <cell r="E30">
            <v>13488.817391095508</v>
          </cell>
          <cell r="F30">
            <v>13488.817391095508</v>
          </cell>
          <cell r="G30">
            <v>13488.817391095508</v>
          </cell>
          <cell r="H30">
            <v>13488.817391095508</v>
          </cell>
          <cell r="I30">
            <v>13488.817391095508</v>
          </cell>
          <cell r="J30">
            <v>13488.817391095508</v>
          </cell>
          <cell r="K30">
            <v>13488.817391095508</v>
          </cell>
          <cell r="L30">
            <v>13488.817391095508</v>
          </cell>
          <cell r="M30">
            <v>13488.817391095508</v>
          </cell>
          <cell r="N30">
            <v>13488.817391095508</v>
          </cell>
          <cell r="O30">
            <v>13488.817391095508</v>
          </cell>
          <cell r="P30">
            <v>13488.817391095508</v>
          </cell>
          <cell r="Q30">
            <v>13488.817391095508</v>
          </cell>
          <cell r="R30">
            <v>13488.817391095508</v>
          </cell>
          <cell r="S30">
            <v>13488.817391095508</v>
          </cell>
          <cell r="T30">
            <v>13488.817391095508</v>
          </cell>
          <cell r="U30">
            <v>13488.817391095508</v>
          </cell>
          <cell r="V30">
            <v>13488.817391095508</v>
          </cell>
          <cell r="W30">
            <v>13488.817391095508</v>
          </cell>
          <cell r="X30">
            <v>13488.817391095508</v>
          </cell>
          <cell r="Y30">
            <v>13488.817391095508</v>
          </cell>
          <cell r="Z30">
            <v>13488.817391095508</v>
          </cell>
          <cell r="AA30">
            <v>13488.817391095508</v>
          </cell>
        </row>
        <row r="31">
          <cell r="D31">
            <v>10882.023561276896</v>
          </cell>
          <cell r="E31">
            <v>10882.023561276896</v>
          </cell>
          <cell r="F31">
            <v>10882.023561276896</v>
          </cell>
          <cell r="G31">
            <v>10882.023561276896</v>
          </cell>
          <cell r="H31">
            <v>10882.023561276896</v>
          </cell>
          <cell r="I31">
            <v>10882.023561276896</v>
          </cell>
          <cell r="J31">
            <v>10882.023561276896</v>
          </cell>
          <cell r="K31">
            <v>10882.023561276896</v>
          </cell>
          <cell r="L31">
            <v>10882.023561276896</v>
          </cell>
          <cell r="M31">
            <v>10882.023561276896</v>
          </cell>
          <cell r="N31">
            <v>10882.023561276896</v>
          </cell>
          <cell r="O31">
            <v>10882.023561276896</v>
          </cell>
          <cell r="P31">
            <v>10882.023561276896</v>
          </cell>
          <cell r="Q31">
            <v>10882.023561276896</v>
          </cell>
          <cell r="R31">
            <v>10882.023561276896</v>
          </cell>
          <cell r="S31">
            <v>10882.023561276896</v>
          </cell>
          <cell r="T31">
            <v>10882.023561276896</v>
          </cell>
          <cell r="U31">
            <v>10882.023561276896</v>
          </cell>
          <cell r="V31">
            <v>10882.023561276896</v>
          </cell>
          <cell r="W31">
            <v>10882.023561276896</v>
          </cell>
          <cell r="X31">
            <v>10882.023561276896</v>
          </cell>
          <cell r="Y31">
            <v>10882.023561276896</v>
          </cell>
          <cell r="Z31">
            <v>10882.023561276896</v>
          </cell>
          <cell r="AA31">
            <v>10882.023561276896</v>
          </cell>
        </row>
        <row r="32">
          <cell r="D32">
            <v>10976.876508136687</v>
          </cell>
          <cell r="E32">
            <v>10976.876508136687</v>
          </cell>
          <cell r="F32">
            <v>10976.876508136687</v>
          </cell>
          <cell r="G32">
            <v>10976.876508136687</v>
          </cell>
          <cell r="H32">
            <v>10976.876508136687</v>
          </cell>
          <cell r="I32">
            <v>10976.876508136687</v>
          </cell>
          <cell r="J32">
            <v>10976.876508136687</v>
          </cell>
          <cell r="K32">
            <v>10976.876508136687</v>
          </cell>
          <cell r="L32">
            <v>10976.876508136687</v>
          </cell>
          <cell r="M32">
            <v>10976.876508136687</v>
          </cell>
          <cell r="N32">
            <v>10976.876508136687</v>
          </cell>
          <cell r="O32">
            <v>10976.876508136687</v>
          </cell>
          <cell r="P32">
            <v>10976.876508136687</v>
          </cell>
          <cell r="Q32">
            <v>10976.876508136687</v>
          </cell>
          <cell r="R32">
            <v>10976.876508136687</v>
          </cell>
          <cell r="S32">
            <v>10976.876508136687</v>
          </cell>
          <cell r="T32">
            <v>10976.876508136687</v>
          </cell>
          <cell r="U32">
            <v>10976.876508136687</v>
          </cell>
          <cell r="V32">
            <v>10976.876508136687</v>
          </cell>
          <cell r="W32">
            <v>10976.876508136687</v>
          </cell>
          <cell r="X32">
            <v>10976.876508136687</v>
          </cell>
          <cell r="Y32">
            <v>10976.876508136687</v>
          </cell>
          <cell r="Z32">
            <v>10976.876508136687</v>
          </cell>
          <cell r="AA32">
            <v>10976.876508136687</v>
          </cell>
        </row>
        <row r="33">
          <cell r="D33">
            <v>13659.347411529399</v>
          </cell>
          <cell r="E33">
            <v>13659.347411529399</v>
          </cell>
          <cell r="F33">
            <v>13659.347411529399</v>
          </cell>
          <cell r="G33">
            <v>13659.347411529399</v>
          </cell>
          <cell r="H33">
            <v>13659.347411529399</v>
          </cell>
          <cell r="I33">
            <v>13659.347411529399</v>
          </cell>
          <cell r="J33">
            <v>13659.347411529399</v>
          </cell>
          <cell r="K33">
            <v>13659.347411529399</v>
          </cell>
          <cell r="L33">
            <v>13659.347411529399</v>
          </cell>
          <cell r="M33">
            <v>13659.347411529399</v>
          </cell>
          <cell r="N33">
            <v>13659.347411529399</v>
          </cell>
          <cell r="O33">
            <v>13659.347411529399</v>
          </cell>
          <cell r="P33">
            <v>13659.347411529399</v>
          </cell>
          <cell r="Q33">
            <v>13659.347411529399</v>
          </cell>
          <cell r="R33">
            <v>13659.347411529399</v>
          </cell>
          <cell r="S33">
            <v>13659.347411529399</v>
          </cell>
          <cell r="T33">
            <v>13659.347411529399</v>
          </cell>
          <cell r="U33">
            <v>13659.347411529399</v>
          </cell>
          <cell r="V33">
            <v>13659.347411529399</v>
          </cell>
          <cell r="W33">
            <v>13659.347411529399</v>
          </cell>
          <cell r="X33">
            <v>13659.347411529399</v>
          </cell>
          <cell r="Y33">
            <v>13659.347411529399</v>
          </cell>
          <cell r="Z33">
            <v>13659.347411529399</v>
          </cell>
          <cell r="AA33">
            <v>13659.347411529399</v>
          </cell>
        </row>
        <row r="34">
          <cell r="D34">
            <v>12561.501197273632</v>
          </cell>
          <cell r="E34">
            <v>12561.501197273632</v>
          </cell>
          <cell r="F34">
            <v>12561.501197273632</v>
          </cell>
          <cell r="G34">
            <v>12561.501197273632</v>
          </cell>
          <cell r="H34">
            <v>12561.501197273632</v>
          </cell>
          <cell r="I34">
            <v>12561.501197273632</v>
          </cell>
          <cell r="J34">
            <v>12561.501197273632</v>
          </cell>
          <cell r="K34">
            <v>12561.501197273632</v>
          </cell>
          <cell r="L34">
            <v>12561.501197273632</v>
          </cell>
          <cell r="M34">
            <v>12561.501197273632</v>
          </cell>
          <cell r="N34">
            <v>12561.501197273632</v>
          </cell>
          <cell r="O34">
            <v>12561.501197273632</v>
          </cell>
          <cell r="P34">
            <v>12561.501197273632</v>
          </cell>
          <cell r="Q34">
            <v>12561.501197273632</v>
          </cell>
          <cell r="R34">
            <v>12561.501197273632</v>
          </cell>
          <cell r="S34">
            <v>12561.501197273632</v>
          </cell>
          <cell r="T34">
            <v>12561.501197273632</v>
          </cell>
          <cell r="U34">
            <v>12561.501197273632</v>
          </cell>
          <cell r="V34">
            <v>12561.501197273632</v>
          </cell>
          <cell r="W34">
            <v>12561.501197273632</v>
          </cell>
          <cell r="X34">
            <v>12561.501197273632</v>
          </cell>
          <cell r="Y34">
            <v>12561.501197273632</v>
          </cell>
          <cell r="Z34">
            <v>12561.501197273632</v>
          </cell>
          <cell r="AA34">
            <v>12561.501197273632</v>
          </cell>
        </row>
        <row r="35">
          <cell r="D35">
            <v>11481.050479072348</v>
          </cell>
          <cell r="E35">
            <v>11481.050479072348</v>
          </cell>
          <cell r="F35">
            <v>11481.050479072348</v>
          </cell>
          <cell r="G35">
            <v>11481.050479072348</v>
          </cell>
          <cell r="H35">
            <v>11481.050479072348</v>
          </cell>
          <cell r="I35">
            <v>11481.050479072348</v>
          </cell>
          <cell r="J35">
            <v>11481.050479072348</v>
          </cell>
          <cell r="K35">
            <v>11481.050479072348</v>
          </cell>
          <cell r="L35">
            <v>11481.050479072348</v>
          </cell>
          <cell r="M35">
            <v>11481.050479072348</v>
          </cell>
          <cell r="N35">
            <v>11481.050479072348</v>
          </cell>
          <cell r="O35">
            <v>11481.050479072348</v>
          </cell>
          <cell r="P35">
            <v>11481.050479072348</v>
          </cell>
          <cell r="Q35">
            <v>11481.050479072348</v>
          </cell>
          <cell r="R35">
            <v>11481.050479072348</v>
          </cell>
          <cell r="S35">
            <v>11481.050479072348</v>
          </cell>
          <cell r="T35">
            <v>11481.050479072348</v>
          </cell>
          <cell r="U35">
            <v>11481.050479072348</v>
          </cell>
          <cell r="V35">
            <v>11481.050479072348</v>
          </cell>
          <cell r="W35">
            <v>11481.050479072348</v>
          </cell>
          <cell r="X35">
            <v>11481.050479072348</v>
          </cell>
          <cell r="Y35">
            <v>11481.050479072348</v>
          </cell>
          <cell r="Z35">
            <v>11481.050479072348</v>
          </cell>
          <cell r="AA35">
            <v>11481.050479072348</v>
          </cell>
        </row>
        <row r="36">
          <cell r="D36">
            <v>15482.466121227986</v>
          </cell>
          <cell r="E36">
            <v>15482.466121227986</v>
          </cell>
          <cell r="F36">
            <v>15482.466121227986</v>
          </cell>
          <cell r="G36">
            <v>15482.466121227986</v>
          </cell>
          <cell r="H36">
            <v>15482.466121227986</v>
          </cell>
          <cell r="I36">
            <v>15482.466121227986</v>
          </cell>
          <cell r="J36">
            <v>15482.466121227986</v>
          </cell>
          <cell r="K36">
            <v>15482.466121227986</v>
          </cell>
          <cell r="L36">
            <v>15482.466121227986</v>
          </cell>
          <cell r="M36">
            <v>15482.466121227986</v>
          </cell>
          <cell r="N36">
            <v>15482.466121227986</v>
          </cell>
          <cell r="O36">
            <v>15482.466121227986</v>
          </cell>
          <cell r="P36">
            <v>15482.466121227986</v>
          </cell>
          <cell r="Q36">
            <v>15482.466121227986</v>
          </cell>
          <cell r="R36">
            <v>15482.466121227986</v>
          </cell>
          <cell r="S36">
            <v>15482.466121227986</v>
          </cell>
          <cell r="T36">
            <v>15482.466121227986</v>
          </cell>
          <cell r="U36">
            <v>15482.466121227986</v>
          </cell>
          <cell r="V36">
            <v>15482.466121227986</v>
          </cell>
          <cell r="W36">
            <v>15482.466121227986</v>
          </cell>
          <cell r="X36">
            <v>15482.466121227986</v>
          </cell>
          <cell r="Y36">
            <v>15482.466121227986</v>
          </cell>
          <cell r="Z36">
            <v>15482.466121227986</v>
          </cell>
          <cell r="AA36">
            <v>15482.466121227986</v>
          </cell>
        </row>
        <row r="37">
          <cell r="D37">
            <v>15148.095559339459</v>
          </cell>
          <cell r="E37">
            <v>15148.095559339459</v>
          </cell>
          <cell r="F37">
            <v>15148.095559339459</v>
          </cell>
          <cell r="G37">
            <v>15148.095559339459</v>
          </cell>
          <cell r="H37">
            <v>15148.095559339459</v>
          </cell>
          <cell r="I37">
            <v>15148.095559339459</v>
          </cell>
          <cell r="J37">
            <v>15148.095559339459</v>
          </cell>
          <cell r="K37">
            <v>15148.095559339459</v>
          </cell>
          <cell r="L37">
            <v>15148.095559339459</v>
          </cell>
          <cell r="M37">
            <v>15148.095559339459</v>
          </cell>
          <cell r="N37">
            <v>15148.095559339459</v>
          </cell>
          <cell r="O37">
            <v>15148.095559339459</v>
          </cell>
          <cell r="P37">
            <v>15148.095559339459</v>
          </cell>
          <cell r="Q37">
            <v>15148.095559339459</v>
          </cell>
          <cell r="R37">
            <v>15148.095559339459</v>
          </cell>
          <cell r="S37">
            <v>15148.095559339459</v>
          </cell>
          <cell r="T37">
            <v>15148.095559339459</v>
          </cell>
          <cell r="U37">
            <v>15148.095559339459</v>
          </cell>
          <cell r="V37">
            <v>15148.095559339459</v>
          </cell>
          <cell r="W37">
            <v>15148.095559339459</v>
          </cell>
          <cell r="X37">
            <v>15148.095559339459</v>
          </cell>
          <cell r="Y37">
            <v>15148.095559339459</v>
          </cell>
          <cell r="Z37">
            <v>15148.095559339459</v>
          </cell>
          <cell r="AA37">
            <v>15148.095559339459</v>
          </cell>
        </row>
        <row r="38">
          <cell r="D38">
            <v>14055.231366209426</v>
          </cell>
          <cell r="E38">
            <v>14055.231366209426</v>
          </cell>
          <cell r="F38">
            <v>14055.231366209426</v>
          </cell>
          <cell r="G38">
            <v>14055.231366209426</v>
          </cell>
          <cell r="H38">
            <v>14055.231366209426</v>
          </cell>
          <cell r="I38">
            <v>14055.231366209426</v>
          </cell>
          <cell r="J38">
            <v>14055.231366209426</v>
          </cell>
          <cell r="K38">
            <v>14055.231366209426</v>
          </cell>
          <cell r="L38">
            <v>14055.231366209426</v>
          </cell>
          <cell r="M38">
            <v>14055.231366209426</v>
          </cell>
          <cell r="N38">
            <v>14055.231366209426</v>
          </cell>
          <cell r="O38">
            <v>14055.231366209426</v>
          </cell>
          <cell r="P38">
            <v>14055.231366209426</v>
          </cell>
          <cell r="Q38">
            <v>14055.231366209426</v>
          </cell>
          <cell r="R38">
            <v>14055.231366209426</v>
          </cell>
          <cell r="S38">
            <v>14055.231366209426</v>
          </cell>
          <cell r="T38">
            <v>14055.231366209426</v>
          </cell>
          <cell r="U38">
            <v>14055.231366209426</v>
          </cell>
          <cell r="V38">
            <v>14055.231366209426</v>
          </cell>
          <cell r="W38">
            <v>14055.231366209426</v>
          </cell>
          <cell r="X38">
            <v>14055.231366209426</v>
          </cell>
          <cell r="Y38">
            <v>14055.231366209426</v>
          </cell>
          <cell r="Z38">
            <v>14055.231366209426</v>
          </cell>
          <cell r="AA38">
            <v>14055.231366209426</v>
          </cell>
        </row>
        <row r="39">
          <cell r="D39">
            <v>10531.475774491593</v>
          </cell>
          <cell r="E39">
            <v>10531.475774491593</v>
          </cell>
          <cell r="F39">
            <v>10531.475774491593</v>
          </cell>
          <cell r="G39">
            <v>10531.475774491593</v>
          </cell>
          <cell r="H39">
            <v>10531.475774491593</v>
          </cell>
          <cell r="I39">
            <v>10531.475774491593</v>
          </cell>
          <cell r="J39">
            <v>10531.475774491593</v>
          </cell>
          <cell r="K39">
            <v>10531.475774491593</v>
          </cell>
          <cell r="L39">
            <v>10531.475774491593</v>
          </cell>
          <cell r="M39">
            <v>10531.475774491593</v>
          </cell>
          <cell r="N39">
            <v>10531.475774491593</v>
          </cell>
          <cell r="O39">
            <v>10531.475774491593</v>
          </cell>
          <cell r="P39">
            <v>10531.475774491593</v>
          </cell>
          <cell r="Q39">
            <v>10531.475774491593</v>
          </cell>
          <cell r="R39">
            <v>10531.475774491593</v>
          </cell>
          <cell r="S39">
            <v>10531.475774491593</v>
          </cell>
          <cell r="T39">
            <v>10531.475774491593</v>
          </cell>
          <cell r="U39">
            <v>10531.475774491593</v>
          </cell>
          <cell r="V39">
            <v>10531.475774491593</v>
          </cell>
          <cell r="W39">
            <v>10531.475774491593</v>
          </cell>
          <cell r="X39">
            <v>10531.475774491593</v>
          </cell>
          <cell r="Y39">
            <v>10531.475774491593</v>
          </cell>
          <cell r="Z39">
            <v>10531.475774491593</v>
          </cell>
          <cell r="AA39">
            <v>10531.475774491593</v>
          </cell>
        </row>
        <row r="40">
          <cell r="D40">
            <v>10285.060329145363</v>
          </cell>
          <cell r="E40">
            <v>10285.060329145363</v>
          </cell>
          <cell r="F40">
            <v>10285.060329145363</v>
          </cell>
          <cell r="G40">
            <v>10285.060329145363</v>
          </cell>
          <cell r="H40">
            <v>10285.060329145363</v>
          </cell>
          <cell r="I40">
            <v>10285.060329145363</v>
          </cell>
          <cell r="J40">
            <v>10285.060329145363</v>
          </cell>
          <cell r="K40">
            <v>10285.060329145363</v>
          </cell>
          <cell r="L40">
            <v>10285.060329145363</v>
          </cell>
          <cell r="M40">
            <v>10285.060329145363</v>
          </cell>
          <cell r="N40">
            <v>10285.060329145363</v>
          </cell>
          <cell r="O40">
            <v>10285.060329145363</v>
          </cell>
          <cell r="P40">
            <v>10285.060329145363</v>
          </cell>
          <cell r="Q40">
            <v>10285.060329145363</v>
          </cell>
          <cell r="R40">
            <v>10285.060329145363</v>
          </cell>
          <cell r="S40">
            <v>10285.060329145363</v>
          </cell>
          <cell r="T40">
            <v>10285.060329145363</v>
          </cell>
          <cell r="U40">
            <v>10285.060329145363</v>
          </cell>
          <cell r="V40">
            <v>10285.060329145363</v>
          </cell>
          <cell r="W40">
            <v>10285.060329145363</v>
          </cell>
          <cell r="X40">
            <v>10285.060329145363</v>
          </cell>
          <cell r="Y40">
            <v>10285.060329145363</v>
          </cell>
          <cell r="Z40">
            <v>10285.060329145363</v>
          </cell>
          <cell r="AA40">
            <v>10285.060329145363</v>
          </cell>
        </row>
        <row r="41">
          <cell r="D41">
            <v>9086.3482885183803</v>
          </cell>
          <cell r="E41">
            <v>9086.3482885183803</v>
          </cell>
          <cell r="F41">
            <v>9086.3482885183803</v>
          </cell>
          <cell r="G41">
            <v>9086.3482885183803</v>
          </cell>
          <cell r="H41">
            <v>9086.3482885183803</v>
          </cell>
          <cell r="I41">
            <v>9086.3482885183803</v>
          </cell>
          <cell r="J41">
            <v>9086.3482885183803</v>
          </cell>
          <cell r="K41">
            <v>9086.3482885183803</v>
          </cell>
          <cell r="L41">
            <v>9086.3482885183803</v>
          </cell>
          <cell r="M41">
            <v>9086.3482885183803</v>
          </cell>
          <cell r="N41">
            <v>9086.3482885183803</v>
          </cell>
          <cell r="O41">
            <v>9086.3482885183803</v>
          </cell>
          <cell r="P41">
            <v>9086.3482885183803</v>
          </cell>
          <cell r="Q41">
            <v>9086.3482885183803</v>
          </cell>
          <cell r="R41">
            <v>9086.3482885183803</v>
          </cell>
          <cell r="S41">
            <v>9086.3482885183803</v>
          </cell>
          <cell r="T41">
            <v>9086.3482885183803</v>
          </cell>
          <cell r="U41">
            <v>9086.3482885183803</v>
          </cell>
          <cell r="V41">
            <v>9086.3482885183803</v>
          </cell>
          <cell r="W41">
            <v>9086.3482885183803</v>
          </cell>
          <cell r="X41">
            <v>9086.3482885183803</v>
          </cell>
          <cell r="Y41">
            <v>9086.3482885183803</v>
          </cell>
          <cell r="Z41">
            <v>9086.3482885183803</v>
          </cell>
          <cell r="AA41">
            <v>9086.3482885183803</v>
          </cell>
        </row>
        <row r="42">
          <cell r="D42">
            <v>12884.345721243335</v>
          </cell>
          <cell r="E42">
            <v>12884.345721243335</v>
          </cell>
          <cell r="F42">
            <v>12884.345721243335</v>
          </cell>
          <cell r="G42">
            <v>12884.345721243335</v>
          </cell>
          <cell r="H42">
            <v>12884.345721243335</v>
          </cell>
          <cell r="I42">
            <v>12884.345721243335</v>
          </cell>
          <cell r="J42">
            <v>12884.345721243335</v>
          </cell>
          <cell r="K42">
            <v>12884.345721243335</v>
          </cell>
          <cell r="L42">
            <v>12884.345721243335</v>
          </cell>
          <cell r="M42">
            <v>12884.345721243335</v>
          </cell>
          <cell r="N42">
            <v>12884.345721243335</v>
          </cell>
          <cell r="O42">
            <v>12884.345721243335</v>
          </cell>
          <cell r="P42">
            <v>12884.345721243335</v>
          </cell>
          <cell r="Q42">
            <v>12884.345721243335</v>
          </cell>
          <cell r="R42">
            <v>12884.345721243335</v>
          </cell>
          <cell r="S42">
            <v>12884.345721243335</v>
          </cell>
          <cell r="T42">
            <v>12884.345721243335</v>
          </cell>
          <cell r="U42">
            <v>12884.345721243335</v>
          </cell>
          <cell r="V42">
            <v>12884.345721243335</v>
          </cell>
          <cell r="W42">
            <v>12884.345721243335</v>
          </cell>
          <cell r="X42">
            <v>12884.345721243335</v>
          </cell>
          <cell r="Y42">
            <v>12884.345721243335</v>
          </cell>
          <cell r="Z42">
            <v>12884.345721243335</v>
          </cell>
          <cell r="AA42">
            <v>12884.345721243335</v>
          </cell>
        </row>
        <row r="43">
          <cell r="D43">
            <v>13031.647543636798</v>
          </cell>
          <cell r="E43">
            <v>13031.647543636798</v>
          </cell>
          <cell r="F43">
            <v>13031.647543636798</v>
          </cell>
          <cell r="G43">
            <v>13031.647543636798</v>
          </cell>
          <cell r="H43">
            <v>13031.647543636798</v>
          </cell>
          <cell r="I43">
            <v>13031.647543636798</v>
          </cell>
          <cell r="J43">
            <v>13031.647543636798</v>
          </cell>
          <cell r="K43">
            <v>13031.647543636798</v>
          </cell>
          <cell r="L43">
            <v>13031.647543636798</v>
          </cell>
          <cell r="M43">
            <v>13031.647543636798</v>
          </cell>
          <cell r="N43">
            <v>13031.647543636798</v>
          </cell>
          <cell r="O43">
            <v>13031.647543636798</v>
          </cell>
          <cell r="P43">
            <v>13031.647543636798</v>
          </cell>
          <cell r="Q43">
            <v>13031.647543636798</v>
          </cell>
          <cell r="R43">
            <v>13031.647543636798</v>
          </cell>
          <cell r="S43">
            <v>13031.647543636798</v>
          </cell>
          <cell r="T43">
            <v>13031.647543636798</v>
          </cell>
          <cell r="U43">
            <v>13031.647543636798</v>
          </cell>
          <cell r="V43">
            <v>13031.647543636798</v>
          </cell>
          <cell r="W43">
            <v>13031.647543636798</v>
          </cell>
          <cell r="X43">
            <v>13031.647543636798</v>
          </cell>
          <cell r="Y43">
            <v>13031.647543636798</v>
          </cell>
          <cell r="Z43">
            <v>13031.647543636798</v>
          </cell>
          <cell r="AA43">
            <v>13031.647543636798</v>
          </cell>
        </row>
        <row r="44">
          <cell r="D44">
            <v>12695.275984953994</v>
          </cell>
          <cell r="E44">
            <v>12695.275984953994</v>
          </cell>
          <cell r="F44">
            <v>12695.275984953994</v>
          </cell>
          <cell r="G44">
            <v>12695.275984953994</v>
          </cell>
          <cell r="H44">
            <v>12695.275984953994</v>
          </cell>
          <cell r="I44">
            <v>12695.275984953994</v>
          </cell>
          <cell r="J44">
            <v>12695.275984953994</v>
          </cell>
          <cell r="K44">
            <v>12695.275984953994</v>
          </cell>
          <cell r="L44">
            <v>12695.275984953994</v>
          </cell>
          <cell r="M44">
            <v>12695.275984953994</v>
          </cell>
          <cell r="N44">
            <v>12695.275984953994</v>
          </cell>
          <cell r="O44">
            <v>12695.275984953994</v>
          </cell>
          <cell r="P44">
            <v>12695.275984953994</v>
          </cell>
          <cell r="Q44">
            <v>12695.275984953994</v>
          </cell>
          <cell r="R44">
            <v>12695.275984953994</v>
          </cell>
          <cell r="S44">
            <v>12695.275984953994</v>
          </cell>
          <cell r="T44">
            <v>12695.275984953994</v>
          </cell>
          <cell r="U44">
            <v>12695.275984953994</v>
          </cell>
          <cell r="V44">
            <v>12695.275984953994</v>
          </cell>
          <cell r="W44">
            <v>12695.275984953994</v>
          </cell>
          <cell r="X44">
            <v>12695.275984953994</v>
          </cell>
          <cell r="Y44">
            <v>12695.275984953994</v>
          </cell>
          <cell r="Z44">
            <v>12695.275984953994</v>
          </cell>
          <cell r="AA44">
            <v>12695.275984953994</v>
          </cell>
        </row>
        <row r="45">
          <cell r="D45">
            <v>13497.394120716521</v>
          </cell>
          <cell r="E45">
            <v>13497.394120716521</v>
          </cell>
          <cell r="F45">
            <v>13497.394120716521</v>
          </cell>
          <cell r="G45">
            <v>13497.394120716521</v>
          </cell>
          <cell r="H45">
            <v>13497.394120716521</v>
          </cell>
          <cell r="I45">
            <v>13497.394120716521</v>
          </cell>
          <cell r="J45">
            <v>13497.394120716521</v>
          </cell>
          <cell r="K45">
            <v>13497.394120716521</v>
          </cell>
          <cell r="L45">
            <v>13497.394120716521</v>
          </cell>
          <cell r="M45">
            <v>13497.394120716521</v>
          </cell>
          <cell r="N45">
            <v>13497.394120716521</v>
          </cell>
          <cell r="O45">
            <v>13497.394120716521</v>
          </cell>
          <cell r="P45">
            <v>13497.394120716521</v>
          </cell>
          <cell r="Q45">
            <v>13497.394120716521</v>
          </cell>
          <cell r="R45">
            <v>13497.394120716521</v>
          </cell>
          <cell r="S45">
            <v>13497.394120716521</v>
          </cell>
          <cell r="T45">
            <v>13497.394120716521</v>
          </cell>
          <cell r="U45">
            <v>13497.394120716521</v>
          </cell>
          <cell r="V45">
            <v>13497.394120716521</v>
          </cell>
          <cell r="W45">
            <v>13497.394120716521</v>
          </cell>
          <cell r="X45">
            <v>13497.394120716521</v>
          </cell>
          <cell r="Y45">
            <v>13497.394120716521</v>
          </cell>
          <cell r="Z45">
            <v>13497.394120716521</v>
          </cell>
          <cell r="AA45">
            <v>13497.394120716521</v>
          </cell>
        </row>
        <row r="46">
          <cell r="D46">
            <v>13542.459981721766</v>
          </cell>
          <cell r="E46">
            <v>13542.459981721766</v>
          </cell>
          <cell r="F46">
            <v>13542.459981721766</v>
          </cell>
          <cell r="G46">
            <v>13542.459981721766</v>
          </cell>
          <cell r="H46">
            <v>13542.459981721766</v>
          </cell>
          <cell r="I46">
            <v>13542.459981721766</v>
          </cell>
          <cell r="J46">
            <v>13542.459981721766</v>
          </cell>
          <cell r="K46">
            <v>13542.459981721766</v>
          </cell>
          <cell r="L46">
            <v>13542.459981721766</v>
          </cell>
          <cell r="M46">
            <v>13542.459981721766</v>
          </cell>
          <cell r="N46">
            <v>13542.459981721766</v>
          </cell>
          <cell r="O46">
            <v>13542.459981721766</v>
          </cell>
          <cell r="P46">
            <v>13542.459981721766</v>
          </cell>
          <cell r="Q46">
            <v>13542.459981721766</v>
          </cell>
          <cell r="R46">
            <v>13542.459981721766</v>
          </cell>
          <cell r="S46">
            <v>13542.459981721766</v>
          </cell>
          <cell r="T46">
            <v>13542.459981721766</v>
          </cell>
          <cell r="U46">
            <v>13542.459981721766</v>
          </cell>
          <cell r="V46">
            <v>13542.459981721766</v>
          </cell>
          <cell r="W46">
            <v>13542.459981721766</v>
          </cell>
          <cell r="X46">
            <v>13542.459981721766</v>
          </cell>
          <cell r="Y46">
            <v>13542.459981721766</v>
          </cell>
          <cell r="Z46">
            <v>13542.459981721766</v>
          </cell>
          <cell r="AA46">
            <v>13542.459981721766</v>
          </cell>
        </row>
        <row r="47">
          <cell r="D47">
            <v>13072.818214619567</v>
          </cell>
          <cell r="E47">
            <v>13072.818214619567</v>
          </cell>
          <cell r="F47">
            <v>13072.818214619567</v>
          </cell>
          <cell r="G47">
            <v>13072.818214619567</v>
          </cell>
          <cell r="H47">
            <v>13072.818214619567</v>
          </cell>
          <cell r="I47">
            <v>13072.818214619567</v>
          </cell>
          <cell r="J47">
            <v>13072.818214619567</v>
          </cell>
          <cell r="K47">
            <v>13072.818214619567</v>
          </cell>
          <cell r="L47">
            <v>13072.818214619567</v>
          </cell>
          <cell r="M47">
            <v>13072.818214619567</v>
          </cell>
          <cell r="N47">
            <v>13072.818214619567</v>
          </cell>
          <cell r="O47">
            <v>13072.818214619567</v>
          </cell>
          <cell r="P47">
            <v>13072.818214619567</v>
          </cell>
          <cell r="Q47">
            <v>13072.818214619567</v>
          </cell>
          <cell r="R47">
            <v>13072.818214619567</v>
          </cell>
          <cell r="S47">
            <v>13072.818214619567</v>
          </cell>
          <cell r="T47">
            <v>13072.818214619567</v>
          </cell>
          <cell r="U47">
            <v>13072.818214619567</v>
          </cell>
          <cell r="V47">
            <v>13072.818214619567</v>
          </cell>
          <cell r="W47">
            <v>13072.818214619567</v>
          </cell>
          <cell r="X47">
            <v>13072.818214619567</v>
          </cell>
          <cell r="Y47">
            <v>13072.818214619567</v>
          </cell>
          <cell r="Z47">
            <v>13072.818214619567</v>
          </cell>
          <cell r="AA47">
            <v>13072.818214619567</v>
          </cell>
        </row>
        <row r="48">
          <cell r="D48">
            <v>12225.948828247041</v>
          </cell>
          <cell r="E48">
            <v>12225.948828247041</v>
          </cell>
          <cell r="F48">
            <v>12225.948828247041</v>
          </cell>
          <cell r="G48">
            <v>12225.948828247041</v>
          </cell>
          <cell r="H48">
            <v>12225.948828247041</v>
          </cell>
          <cell r="I48">
            <v>12225.948828247041</v>
          </cell>
          <cell r="J48">
            <v>12225.948828247041</v>
          </cell>
          <cell r="K48">
            <v>12225.948828247041</v>
          </cell>
          <cell r="L48">
            <v>12225.948828247041</v>
          </cell>
          <cell r="M48">
            <v>12225.948828247041</v>
          </cell>
          <cell r="N48">
            <v>12225.948828247041</v>
          </cell>
          <cell r="O48">
            <v>12225.948828247041</v>
          </cell>
          <cell r="P48">
            <v>12225.948828247041</v>
          </cell>
          <cell r="Q48">
            <v>12225.948828247041</v>
          </cell>
          <cell r="R48">
            <v>12225.948828247041</v>
          </cell>
          <cell r="S48">
            <v>12225.948828247041</v>
          </cell>
          <cell r="T48">
            <v>12225.948828247041</v>
          </cell>
          <cell r="U48">
            <v>12225.948828247041</v>
          </cell>
          <cell r="V48">
            <v>12225.948828247041</v>
          </cell>
          <cell r="W48">
            <v>12225.948828247041</v>
          </cell>
          <cell r="X48">
            <v>12225.948828247041</v>
          </cell>
          <cell r="Y48">
            <v>12225.948828247041</v>
          </cell>
          <cell r="Z48">
            <v>12225.948828247041</v>
          </cell>
          <cell r="AA48">
            <v>12225.948828247041</v>
          </cell>
        </row>
        <row r="49">
          <cell r="D49">
            <v>11378.743856882913</v>
          </cell>
          <cell r="E49">
            <v>11378.743856882913</v>
          </cell>
          <cell r="F49">
            <v>11378.743856882913</v>
          </cell>
          <cell r="G49">
            <v>11378.743856882913</v>
          </cell>
          <cell r="H49">
            <v>11378.743856882913</v>
          </cell>
          <cell r="I49">
            <v>11378.743856882913</v>
          </cell>
          <cell r="J49">
            <v>11378.743856882913</v>
          </cell>
          <cell r="K49">
            <v>11378.743856882913</v>
          </cell>
          <cell r="L49">
            <v>11378.743856882913</v>
          </cell>
          <cell r="M49">
            <v>11378.743856882913</v>
          </cell>
          <cell r="N49">
            <v>11378.743856882913</v>
          </cell>
          <cell r="O49">
            <v>11378.743856882913</v>
          </cell>
          <cell r="P49">
            <v>11378.743856882913</v>
          </cell>
          <cell r="Q49">
            <v>11378.743856882913</v>
          </cell>
          <cell r="R49">
            <v>11378.743856882913</v>
          </cell>
          <cell r="S49">
            <v>11378.743856882913</v>
          </cell>
          <cell r="T49">
            <v>11378.743856882913</v>
          </cell>
          <cell r="U49">
            <v>11378.743856882913</v>
          </cell>
          <cell r="V49">
            <v>11378.743856882913</v>
          </cell>
          <cell r="W49">
            <v>11378.743856882913</v>
          </cell>
          <cell r="X49">
            <v>11378.743856882913</v>
          </cell>
          <cell r="Y49">
            <v>11378.743856882913</v>
          </cell>
          <cell r="Z49">
            <v>11378.743856882913</v>
          </cell>
          <cell r="AA49">
            <v>11378.743856882913</v>
          </cell>
        </row>
        <row r="50">
          <cell r="D50">
            <v>12365.158835437469</v>
          </cell>
          <cell r="E50">
            <v>12365.158835437469</v>
          </cell>
          <cell r="F50">
            <v>12365.158835437469</v>
          </cell>
          <cell r="G50">
            <v>12365.158835437469</v>
          </cell>
          <cell r="H50">
            <v>12365.158835437469</v>
          </cell>
          <cell r="I50">
            <v>12365.158835437469</v>
          </cell>
          <cell r="J50">
            <v>12365.158835437469</v>
          </cell>
          <cell r="K50">
            <v>12365.158835437469</v>
          </cell>
          <cell r="L50">
            <v>12365.158835437469</v>
          </cell>
          <cell r="M50">
            <v>12365.158835437469</v>
          </cell>
          <cell r="N50">
            <v>12365.158835437469</v>
          </cell>
          <cell r="O50">
            <v>12365.158835437469</v>
          </cell>
          <cell r="P50">
            <v>12365.158835437469</v>
          </cell>
          <cell r="Q50">
            <v>12365.158835437469</v>
          </cell>
          <cell r="R50">
            <v>12365.158835437469</v>
          </cell>
          <cell r="S50">
            <v>12365.158835437469</v>
          </cell>
          <cell r="T50">
            <v>12365.158835437469</v>
          </cell>
          <cell r="U50">
            <v>12365.158835437469</v>
          </cell>
          <cell r="V50">
            <v>12365.158835437469</v>
          </cell>
          <cell r="W50">
            <v>12365.158835437469</v>
          </cell>
          <cell r="X50">
            <v>12365.158835437469</v>
          </cell>
          <cell r="Y50">
            <v>12365.158835437469</v>
          </cell>
          <cell r="Z50">
            <v>12365.158835437469</v>
          </cell>
          <cell r="AA50">
            <v>12365.158835437469</v>
          </cell>
        </row>
        <row r="51">
          <cell r="D51">
            <v>9344.5203545025488</v>
          </cell>
          <cell r="E51">
            <v>9344.5203545025488</v>
          </cell>
          <cell r="F51">
            <v>9344.5203545025488</v>
          </cell>
          <cell r="G51">
            <v>9344.5203545025488</v>
          </cell>
          <cell r="H51">
            <v>9344.5203545025488</v>
          </cell>
          <cell r="I51">
            <v>9344.5203545025488</v>
          </cell>
          <cell r="J51">
            <v>9344.5203545025488</v>
          </cell>
          <cell r="K51">
            <v>9344.5203545025488</v>
          </cell>
          <cell r="L51">
            <v>9344.5203545025488</v>
          </cell>
          <cell r="M51">
            <v>9344.5203545025488</v>
          </cell>
          <cell r="N51">
            <v>9344.5203545025488</v>
          </cell>
          <cell r="O51">
            <v>9344.5203545025488</v>
          </cell>
          <cell r="P51">
            <v>9344.5203545025488</v>
          </cell>
          <cell r="Q51">
            <v>9344.5203545025488</v>
          </cell>
          <cell r="R51">
            <v>9344.5203545025488</v>
          </cell>
          <cell r="S51">
            <v>9344.5203545025488</v>
          </cell>
          <cell r="T51">
            <v>9344.5203545025488</v>
          </cell>
          <cell r="U51">
            <v>9344.5203545025488</v>
          </cell>
          <cell r="V51">
            <v>9344.5203545025488</v>
          </cell>
          <cell r="W51">
            <v>9344.5203545025488</v>
          </cell>
          <cell r="X51">
            <v>9344.5203545025488</v>
          </cell>
          <cell r="Y51">
            <v>9344.5203545025488</v>
          </cell>
          <cell r="Z51">
            <v>9344.5203545025488</v>
          </cell>
          <cell r="AA51">
            <v>9344.5203545025488</v>
          </cell>
        </row>
        <row r="52">
          <cell r="D52">
            <v>9524.7783852032553</v>
          </cell>
          <cell r="E52">
            <v>9524.7783852032553</v>
          </cell>
          <cell r="F52">
            <v>9524.7783852032553</v>
          </cell>
          <cell r="G52">
            <v>9524.7783852032553</v>
          </cell>
          <cell r="H52">
            <v>9524.7783852032553</v>
          </cell>
          <cell r="I52">
            <v>9524.7783852032553</v>
          </cell>
          <cell r="J52">
            <v>9524.7783852032553</v>
          </cell>
          <cell r="K52">
            <v>9524.7783852032553</v>
          </cell>
          <cell r="L52">
            <v>9524.7783852032553</v>
          </cell>
          <cell r="M52">
            <v>9524.7783852032553</v>
          </cell>
          <cell r="N52">
            <v>9524.7783852032553</v>
          </cell>
          <cell r="O52">
            <v>9524.7783852032553</v>
          </cell>
          <cell r="P52">
            <v>9524.7783852032553</v>
          </cell>
          <cell r="Q52">
            <v>9524.7783852032553</v>
          </cell>
          <cell r="R52">
            <v>9524.7783852032553</v>
          </cell>
          <cell r="S52">
            <v>9524.7783852032553</v>
          </cell>
          <cell r="T52">
            <v>9524.7783852032553</v>
          </cell>
          <cell r="U52">
            <v>9524.7783852032553</v>
          </cell>
          <cell r="V52">
            <v>9524.7783852032553</v>
          </cell>
          <cell r="W52">
            <v>9524.7783852032553</v>
          </cell>
          <cell r="X52">
            <v>9524.7783852032553</v>
          </cell>
          <cell r="Y52">
            <v>9524.7783852032553</v>
          </cell>
          <cell r="Z52">
            <v>9524.7783852032553</v>
          </cell>
          <cell r="AA52">
            <v>9524.7783852032553</v>
          </cell>
        </row>
        <row r="53">
          <cell r="D53">
            <v>8780.3462723400971</v>
          </cell>
          <cell r="E53">
            <v>8780.3462723400971</v>
          </cell>
          <cell r="F53">
            <v>8780.3462723400971</v>
          </cell>
          <cell r="G53">
            <v>8780.3462723400971</v>
          </cell>
          <cell r="H53">
            <v>8780.3462723400971</v>
          </cell>
          <cell r="I53">
            <v>8780.3462723400971</v>
          </cell>
          <cell r="J53">
            <v>8780.3462723400971</v>
          </cell>
          <cell r="K53">
            <v>8780.3462723400971</v>
          </cell>
          <cell r="L53">
            <v>8780.3462723400971</v>
          </cell>
          <cell r="M53">
            <v>8780.3462723400971</v>
          </cell>
          <cell r="N53">
            <v>8780.3462723400971</v>
          </cell>
          <cell r="O53">
            <v>8780.3462723400971</v>
          </cell>
          <cell r="P53">
            <v>8780.3462723400971</v>
          </cell>
          <cell r="Q53">
            <v>8780.3462723400971</v>
          </cell>
          <cell r="R53">
            <v>8780.3462723400971</v>
          </cell>
          <cell r="S53">
            <v>8780.3462723400971</v>
          </cell>
          <cell r="T53">
            <v>8780.3462723400971</v>
          </cell>
          <cell r="U53">
            <v>8780.3462723400971</v>
          </cell>
          <cell r="V53">
            <v>8780.3462723400971</v>
          </cell>
          <cell r="W53">
            <v>8780.3462723400971</v>
          </cell>
          <cell r="X53">
            <v>8780.3462723400971</v>
          </cell>
          <cell r="Y53">
            <v>8780.3462723400971</v>
          </cell>
          <cell r="Z53">
            <v>8780.3462723400971</v>
          </cell>
          <cell r="AA53">
            <v>8780.3462723400971</v>
          </cell>
        </row>
        <row r="54">
          <cell r="D54">
            <v>7856.9621130456608</v>
          </cell>
          <cell r="E54">
            <v>7856.9621130456608</v>
          </cell>
          <cell r="F54">
            <v>7856.9621130456608</v>
          </cell>
          <cell r="G54">
            <v>7856.9621130456608</v>
          </cell>
          <cell r="H54">
            <v>7856.9621130456608</v>
          </cell>
          <cell r="I54">
            <v>7856.9621130456608</v>
          </cell>
          <cell r="J54">
            <v>7856.9621130456608</v>
          </cell>
          <cell r="K54">
            <v>7856.9621130456608</v>
          </cell>
          <cell r="L54">
            <v>7856.9621130456608</v>
          </cell>
          <cell r="M54">
            <v>7856.9621130456608</v>
          </cell>
          <cell r="N54">
            <v>7856.9621130456608</v>
          </cell>
          <cell r="O54">
            <v>7856.9621130456608</v>
          </cell>
          <cell r="P54">
            <v>7856.9621130456608</v>
          </cell>
          <cell r="Q54">
            <v>7856.9621130456608</v>
          </cell>
          <cell r="R54">
            <v>7856.9621130456608</v>
          </cell>
          <cell r="S54">
            <v>7856.9621130456608</v>
          </cell>
          <cell r="T54">
            <v>7856.9621130456608</v>
          </cell>
          <cell r="U54">
            <v>7856.9621130456608</v>
          </cell>
          <cell r="V54">
            <v>7856.9621130456608</v>
          </cell>
          <cell r="W54">
            <v>7856.9621130456608</v>
          </cell>
          <cell r="X54">
            <v>7856.9621130456608</v>
          </cell>
          <cell r="Y54">
            <v>7856.9621130456608</v>
          </cell>
          <cell r="Z54">
            <v>7856.9621130456608</v>
          </cell>
          <cell r="AA54">
            <v>7856.9621130456608</v>
          </cell>
        </row>
        <row r="55">
          <cell r="D55">
            <v>7887.5247758388623</v>
          </cell>
          <cell r="E55">
            <v>7887.5247758388623</v>
          </cell>
          <cell r="F55">
            <v>7887.5247758388623</v>
          </cell>
          <cell r="G55">
            <v>7887.5247758388623</v>
          </cell>
          <cell r="H55">
            <v>7887.5247758388623</v>
          </cell>
          <cell r="I55">
            <v>7887.5247758388623</v>
          </cell>
          <cell r="J55">
            <v>7887.5247758388623</v>
          </cell>
          <cell r="K55">
            <v>7887.5247758388623</v>
          </cell>
          <cell r="L55">
            <v>7887.5247758388623</v>
          </cell>
          <cell r="M55">
            <v>7887.5247758388623</v>
          </cell>
          <cell r="N55">
            <v>7887.5247758388623</v>
          </cell>
          <cell r="O55">
            <v>7887.5247758388623</v>
          </cell>
          <cell r="P55">
            <v>7887.5247758388623</v>
          </cell>
          <cell r="Q55">
            <v>7887.5247758388623</v>
          </cell>
          <cell r="R55">
            <v>7887.5247758388623</v>
          </cell>
          <cell r="S55">
            <v>7887.5247758388623</v>
          </cell>
          <cell r="T55">
            <v>7887.5247758388623</v>
          </cell>
          <cell r="U55">
            <v>7887.5247758388623</v>
          </cell>
          <cell r="V55">
            <v>7887.5247758388623</v>
          </cell>
          <cell r="W55">
            <v>7887.5247758388623</v>
          </cell>
          <cell r="X55">
            <v>7887.5247758388623</v>
          </cell>
          <cell r="Y55">
            <v>7887.5247758388623</v>
          </cell>
          <cell r="Z55">
            <v>7887.5247758388623</v>
          </cell>
          <cell r="AA55">
            <v>7887.5247758388623</v>
          </cell>
        </row>
        <row r="56">
          <cell r="D56">
            <v>7393.5499768444615</v>
          </cell>
          <cell r="E56">
            <v>7393.5499768444615</v>
          </cell>
          <cell r="F56">
            <v>7393.5499768444615</v>
          </cell>
          <cell r="G56">
            <v>7393.5499768444615</v>
          </cell>
          <cell r="H56">
            <v>7393.5499768444615</v>
          </cell>
          <cell r="I56">
            <v>7393.5499768444615</v>
          </cell>
          <cell r="J56">
            <v>7393.5499768444615</v>
          </cell>
          <cell r="K56">
            <v>7393.5499768444615</v>
          </cell>
          <cell r="L56">
            <v>7393.5499768444615</v>
          </cell>
          <cell r="M56">
            <v>7393.5499768444615</v>
          </cell>
          <cell r="N56">
            <v>7393.5499768444615</v>
          </cell>
          <cell r="O56">
            <v>7393.5499768444615</v>
          </cell>
          <cell r="P56">
            <v>7393.5499768444615</v>
          </cell>
          <cell r="Q56">
            <v>7393.5499768444615</v>
          </cell>
          <cell r="R56">
            <v>7393.5499768444615</v>
          </cell>
          <cell r="S56">
            <v>7393.5499768444615</v>
          </cell>
          <cell r="T56">
            <v>7393.5499768444615</v>
          </cell>
          <cell r="U56">
            <v>7393.5499768444615</v>
          </cell>
          <cell r="V56">
            <v>7393.5499768444615</v>
          </cell>
          <cell r="W56">
            <v>7393.5499768444615</v>
          </cell>
          <cell r="X56">
            <v>7393.5499768444615</v>
          </cell>
          <cell r="Y56">
            <v>7393.5499768444615</v>
          </cell>
          <cell r="Z56">
            <v>7393.5499768444615</v>
          </cell>
          <cell r="AA56">
            <v>7393.5499768444615</v>
          </cell>
        </row>
        <row r="57">
          <cell r="D57">
            <v>8079.9588513190702</v>
          </cell>
          <cell r="E57">
            <v>8079.9588513190702</v>
          </cell>
          <cell r="F57">
            <v>8079.9588513190702</v>
          </cell>
          <cell r="G57">
            <v>8079.9588513190702</v>
          </cell>
          <cell r="H57">
            <v>8079.9588513190702</v>
          </cell>
          <cell r="I57">
            <v>8079.9588513190702</v>
          </cell>
          <cell r="J57">
            <v>8079.9588513190702</v>
          </cell>
          <cell r="K57">
            <v>8079.9588513190702</v>
          </cell>
          <cell r="L57">
            <v>8079.9588513190702</v>
          </cell>
          <cell r="M57">
            <v>8079.9588513190702</v>
          </cell>
          <cell r="N57">
            <v>8079.9588513190702</v>
          </cell>
          <cell r="O57">
            <v>8079.9588513190702</v>
          </cell>
          <cell r="P57">
            <v>8079.9588513190702</v>
          </cell>
          <cell r="Q57">
            <v>8079.9588513190702</v>
          </cell>
          <cell r="R57">
            <v>8079.9588513190702</v>
          </cell>
          <cell r="S57">
            <v>8079.9588513190702</v>
          </cell>
          <cell r="T57">
            <v>8079.9588513190702</v>
          </cell>
          <cell r="U57">
            <v>8079.9588513190702</v>
          </cell>
          <cell r="V57">
            <v>8079.9588513190702</v>
          </cell>
          <cell r="W57">
            <v>8079.9588513190702</v>
          </cell>
          <cell r="X57">
            <v>8079.9588513190702</v>
          </cell>
          <cell r="Y57">
            <v>8079.9588513190702</v>
          </cell>
          <cell r="Z57">
            <v>8079.9588513190702</v>
          </cell>
          <cell r="AA57">
            <v>8079.9588513190702</v>
          </cell>
        </row>
        <row r="58">
          <cell r="D58">
            <v>7182.8074676955894</v>
          </cell>
          <cell r="E58">
            <v>7182.8074676955894</v>
          </cell>
          <cell r="F58">
            <v>7182.8074676955894</v>
          </cell>
          <cell r="G58">
            <v>7182.8074676955894</v>
          </cell>
          <cell r="H58">
            <v>7182.8074676955894</v>
          </cell>
          <cell r="I58">
            <v>7182.8074676955894</v>
          </cell>
          <cell r="J58">
            <v>7182.8074676955894</v>
          </cell>
          <cell r="K58">
            <v>7182.8074676955894</v>
          </cell>
          <cell r="L58">
            <v>7182.8074676955894</v>
          </cell>
          <cell r="M58">
            <v>7182.8074676955894</v>
          </cell>
          <cell r="N58">
            <v>7182.8074676955894</v>
          </cell>
          <cell r="O58">
            <v>7182.8074676955894</v>
          </cell>
          <cell r="P58">
            <v>7182.8074676955894</v>
          </cell>
          <cell r="Q58">
            <v>7182.8074676955894</v>
          </cell>
          <cell r="R58">
            <v>7182.8074676955894</v>
          </cell>
          <cell r="S58">
            <v>7182.8074676955894</v>
          </cell>
          <cell r="T58">
            <v>7182.8074676955894</v>
          </cell>
          <cell r="U58">
            <v>7182.8074676955894</v>
          </cell>
          <cell r="V58">
            <v>7182.8074676955894</v>
          </cell>
          <cell r="W58">
            <v>7182.8074676955894</v>
          </cell>
          <cell r="X58">
            <v>7182.8074676955894</v>
          </cell>
          <cell r="Y58">
            <v>7182.8074676955894</v>
          </cell>
          <cell r="Z58">
            <v>7182.8074676955894</v>
          </cell>
          <cell r="AA58">
            <v>7182.8074676955894</v>
          </cell>
        </row>
        <row r="59">
          <cell r="D59">
            <v>8166.4379546236678</v>
          </cell>
          <cell r="E59">
            <v>8166.4379546236678</v>
          </cell>
          <cell r="F59">
            <v>8166.4379546236678</v>
          </cell>
          <cell r="G59">
            <v>8166.4379546236678</v>
          </cell>
          <cell r="H59">
            <v>8166.4379546236678</v>
          </cell>
          <cell r="I59">
            <v>8166.4379546236678</v>
          </cell>
          <cell r="J59">
            <v>8166.4379546236678</v>
          </cell>
          <cell r="K59">
            <v>8166.4379546236678</v>
          </cell>
          <cell r="L59">
            <v>8166.4379546236678</v>
          </cell>
          <cell r="M59">
            <v>8166.4379546236678</v>
          </cell>
          <cell r="N59">
            <v>8166.4379546236678</v>
          </cell>
          <cell r="O59">
            <v>8166.4379546236678</v>
          </cell>
          <cell r="P59">
            <v>8166.4379546236678</v>
          </cell>
          <cell r="Q59">
            <v>8166.4379546236678</v>
          </cell>
          <cell r="R59">
            <v>8166.4379546236678</v>
          </cell>
          <cell r="S59">
            <v>8166.4379546236678</v>
          </cell>
          <cell r="T59">
            <v>8166.4379546236678</v>
          </cell>
          <cell r="U59">
            <v>8166.4379546236678</v>
          </cell>
          <cell r="V59">
            <v>8166.4379546236678</v>
          </cell>
          <cell r="W59">
            <v>8166.4379546236678</v>
          </cell>
          <cell r="X59">
            <v>8166.4379546236678</v>
          </cell>
          <cell r="Y59">
            <v>8166.4379546236678</v>
          </cell>
          <cell r="Z59">
            <v>8166.4379546236678</v>
          </cell>
          <cell r="AA59">
            <v>8166.4379546236678</v>
          </cell>
        </row>
        <row r="60">
          <cell r="D60">
            <v>8334.4021636657581</v>
          </cell>
          <cell r="E60">
            <v>8334.4021636657581</v>
          </cell>
          <cell r="F60">
            <v>8334.4021636657581</v>
          </cell>
          <cell r="G60">
            <v>8334.4021636657581</v>
          </cell>
          <cell r="H60">
            <v>8334.4021636657581</v>
          </cell>
          <cell r="I60">
            <v>8334.4021636657581</v>
          </cell>
          <cell r="J60">
            <v>8334.4021636657581</v>
          </cell>
          <cell r="K60">
            <v>8334.4021636657581</v>
          </cell>
          <cell r="L60">
            <v>8334.4021636657581</v>
          </cell>
          <cell r="M60">
            <v>8334.4021636657581</v>
          </cell>
          <cell r="N60">
            <v>8334.4021636657581</v>
          </cell>
          <cell r="O60">
            <v>8334.4021636657581</v>
          </cell>
          <cell r="P60">
            <v>8334.4021636657581</v>
          </cell>
          <cell r="Q60">
            <v>8334.4021636657581</v>
          </cell>
          <cell r="R60">
            <v>8334.4021636657581</v>
          </cell>
          <cell r="S60">
            <v>8334.4021636657581</v>
          </cell>
          <cell r="T60">
            <v>8334.4021636657581</v>
          </cell>
          <cell r="U60">
            <v>8334.4021636657581</v>
          </cell>
          <cell r="V60">
            <v>8334.4021636657581</v>
          </cell>
          <cell r="W60">
            <v>8334.4021636657581</v>
          </cell>
          <cell r="X60">
            <v>8334.4021636657581</v>
          </cell>
          <cell r="Y60">
            <v>8334.4021636657581</v>
          </cell>
          <cell r="Z60">
            <v>8334.4021636657581</v>
          </cell>
          <cell r="AA60">
            <v>8334.4021636657581</v>
          </cell>
        </row>
        <row r="61">
          <cell r="D61">
            <v>8399.1480381025376</v>
          </cell>
          <cell r="E61">
            <v>8399.1480381025376</v>
          </cell>
          <cell r="F61">
            <v>8399.1480381025376</v>
          </cell>
          <cell r="G61">
            <v>8399.1480381025376</v>
          </cell>
          <cell r="H61">
            <v>8399.1480381025376</v>
          </cell>
          <cell r="I61">
            <v>8399.1480381025376</v>
          </cell>
          <cell r="J61">
            <v>8399.1480381025376</v>
          </cell>
          <cell r="K61">
            <v>8399.1480381025376</v>
          </cell>
          <cell r="L61">
            <v>8399.1480381025376</v>
          </cell>
          <cell r="M61">
            <v>8399.1480381025376</v>
          </cell>
          <cell r="N61">
            <v>8399.1480381025376</v>
          </cell>
          <cell r="O61">
            <v>8399.1480381025376</v>
          </cell>
          <cell r="P61">
            <v>8399.1480381025376</v>
          </cell>
          <cell r="Q61">
            <v>8399.1480381025376</v>
          </cell>
          <cell r="R61">
            <v>8399.1480381025376</v>
          </cell>
          <cell r="S61">
            <v>8399.1480381025376</v>
          </cell>
          <cell r="T61">
            <v>8399.1480381025376</v>
          </cell>
          <cell r="U61">
            <v>8399.1480381025376</v>
          </cell>
          <cell r="V61">
            <v>8399.1480381025376</v>
          </cell>
          <cell r="W61">
            <v>8399.1480381025376</v>
          </cell>
          <cell r="X61">
            <v>8399.1480381025376</v>
          </cell>
          <cell r="Y61">
            <v>8399.1480381025376</v>
          </cell>
          <cell r="Z61">
            <v>8399.1480381025376</v>
          </cell>
          <cell r="AA61">
            <v>8399.1480381025376</v>
          </cell>
        </row>
        <row r="62">
          <cell r="D62">
            <v>7183.4880345202237</v>
          </cell>
          <cell r="E62">
            <v>7183.4880345202237</v>
          </cell>
          <cell r="F62">
            <v>7183.4880345202237</v>
          </cell>
          <cell r="G62">
            <v>7183.4880345202237</v>
          </cell>
          <cell r="H62">
            <v>7183.4880345202237</v>
          </cell>
          <cell r="I62">
            <v>7183.4880345202237</v>
          </cell>
          <cell r="J62">
            <v>7183.4880345202237</v>
          </cell>
          <cell r="K62">
            <v>7183.4880345202237</v>
          </cell>
          <cell r="L62">
            <v>7183.4880345202237</v>
          </cell>
          <cell r="M62">
            <v>7183.4880345202237</v>
          </cell>
          <cell r="N62">
            <v>7183.4880345202237</v>
          </cell>
          <cell r="O62">
            <v>7183.4880345202237</v>
          </cell>
          <cell r="P62">
            <v>7183.4880345202237</v>
          </cell>
          <cell r="Q62">
            <v>7183.4880345202237</v>
          </cell>
          <cell r="R62">
            <v>7183.4880345202237</v>
          </cell>
          <cell r="S62">
            <v>7183.4880345202237</v>
          </cell>
          <cell r="T62">
            <v>7183.4880345202237</v>
          </cell>
          <cell r="U62">
            <v>7183.4880345202237</v>
          </cell>
          <cell r="V62">
            <v>7183.4880345202237</v>
          </cell>
          <cell r="W62">
            <v>7183.4880345202237</v>
          </cell>
          <cell r="X62">
            <v>7183.4880345202237</v>
          </cell>
          <cell r="Y62">
            <v>7183.4880345202237</v>
          </cell>
          <cell r="Z62">
            <v>7183.4880345202237</v>
          </cell>
          <cell r="AA62">
            <v>7183.4880345202237</v>
          </cell>
        </row>
        <row r="63">
          <cell r="D63">
            <v>10469.323874592605</v>
          </cell>
          <cell r="E63">
            <v>10469.323874592605</v>
          </cell>
          <cell r="F63">
            <v>10469.323874592605</v>
          </cell>
          <cell r="G63">
            <v>10469.323874592605</v>
          </cell>
          <cell r="H63">
            <v>10469.323874592605</v>
          </cell>
          <cell r="I63">
            <v>10469.323874592605</v>
          </cell>
          <cell r="J63">
            <v>10469.323874592605</v>
          </cell>
          <cell r="K63">
            <v>10469.323874592605</v>
          </cell>
          <cell r="L63">
            <v>10469.323874592605</v>
          </cell>
          <cell r="M63">
            <v>10469.323874592605</v>
          </cell>
          <cell r="N63">
            <v>10469.323874592605</v>
          </cell>
          <cell r="O63">
            <v>10469.323874592605</v>
          </cell>
          <cell r="P63">
            <v>10469.323874592605</v>
          </cell>
          <cell r="Q63">
            <v>10469.323874592605</v>
          </cell>
          <cell r="R63">
            <v>10469.323874592605</v>
          </cell>
          <cell r="S63">
            <v>10469.323874592605</v>
          </cell>
          <cell r="T63">
            <v>10469.323874592605</v>
          </cell>
          <cell r="U63">
            <v>10469.323874592605</v>
          </cell>
          <cell r="V63">
            <v>10469.323874592605</v>
          </cell>
          <cell r="W63">
            <v>10469.323874592605</v>
          </cell>
          <cell r="X63">
            <v>10469.323874592605</v>
          </cell>
          <cell r="Y63">
            <v>10469.323874592605</v>
          </cell>
          <cell r="Z63">
            <v>10469.323874592605</v>
          </cell>
          <cell r="AA63">
            <v>10469.323874592605</v>
          </cell>
        </row>
        <row r="64">
          <cell r="D64">
            <v>10618.895970677195</v>
          </cell>
          <cell r="E64">
            <v>10618.895970677195</v>
          </cell>
          <cell r="F64">
            <v>10618.895970677195</v>
          </cell>
          <cell r="G64">
            <v>10618.895970677195</v>
          </cell>
          <cell r="H64">
            <v>10618.895970677195</v>
          </cell>
          <cell r="I64">
            <v>10618.895970677195</v>
          </cell>
          <cell r="J64">
            <v>10618.895970677195</v>
          </cell>
          <cell r="K64">
            <v>10618.895970677195</v>
          </cell>
          <cell r="L64">
            <v>10618.895970677195</v>
          </cell>
          <cell r="M64">
            <v>10618.895970677195</v>
          </cell>
          <cell r="N64">
            <v>10618.895970677195</v>
          </cell>
          <cell r="O64">
            <v>10618.895970677195</v>
          </cell>
          <cell r="P64">
            <v>10618.895970677195</v>
          </cell>
          <cell r="Q64">
            <v>10618.895970677195</v>
          </cell>
          <cell r="R64">
            <v>10618.895970677195</v>
          </cell>
          <cell r="S64">
            <v>10618.895970677195</v>
          </cell>
          <cell r="T64">
            <v>10618.895970677195</v>
          </cell>
          <cell r="U64">
            <v>10618.895970677195</v>
          </cell>
          <cell r="V64">
            <v>10618.895970677195</v>
          </cell>
          <cell r="W64">
            <v>10618.895970677195</v>
          </cell>
          <cell r="X64">
            <v>10618.895970677195</v>
          </cell>
          <cell r="Y64">
            <v>10618.895970677195</v>
          </cell>
          <cell r="Z64">
            <v>10618.895970677195</v>
          </cell>
          <cell r="AA64">
            <v>10618.895970677195</v>
          </cell>
        </row>
        <row r="65">
          <cell r="D65">
            <v>10057.834754419517</v>
          </cell>
          <cell r="E65">
            <v>10057.834754419517</v>
          </cell>
          <cell r="F65">
            <v>10057.834754419517</v>
          </cell>
          <cell r="G65">
            <v>10057.834754419517</v>
          </cell>
          <cell r="H65">
            <v>10057.834754419517</v>
          </cell>
          <cell r="I65">
            <v>10057.834754419517</v>
          </cell>
          <cell r="J65">
            <v>10057.834754419517</v>
          </cell>
          <cell r="K65">
            <v>10057.834754419517</v>
          </cell>
          <cell r="L65">
            <v>10057.834754419517</v>
          </cell>
          <cell r="M65">
            <v>10057.834754419517</v>
          </cell>
          <cell r="N65">
            <v>10057.834754419517</v>
          </cell>
          <cell r="O65">
            <v>10057.834754419517</v>
          </cell>
          <cell r="P65">
            <v>10057.834754419517</v>
          </cell>
          <cell r="Q65">
            <v>10057.834754419517</v>
          </cell>
          <cell r="R65">
            <v>10057.834754419517</v>
          </cell>
          <cell r="S65">
            <v>10057.834754419517</v>
          </cell>
          <cell r="T65">
            <v>10057.834754419517</v>
          </cell>
          <cell r="U65">
            <v>10057.834754419517</v>
          </cell>
          <cell r="V65">
            <v>10057.834754419517</v>
          </cell>
          <cell r="W65">
            <v>10057.834754419517</v>
          </cell>
          <cell r="X65">
            <v>10057.834754419517</v>
          </cell>
          <cell r="Y65">
            <v>10057.834754419517</v>
          </cell>
          <cell r="Z65">
            <v>10057.834754419517</v>
          </cell>
          <cell r="AA65">
            <v>10057.834754419517</v>
          </cell>
        </row>
        <row r="66">
          <cell r="D66">
            <v>10184.028601749567</v>
          </cell>
          <cell r="E66">
            <v>10184.028601749567</v>
          </cell>
          <cell r="F66">
            <v>10184.028601749567</v>
          </cell>
          <cell r="G66">
            <v>10184.028601749567</v>
          </cell>
          <cell r="H66">
            <v>10184.028601749567</v>
          </cell>
          <cell r="I66">
            <v>10184.028601749567</v>
          </cell>
          <cell r="J66">
            <v>10184.028601749567</v>
          </cell>
          <cell r="K66">
            <v>10184.028601749567</v>
          </cell>
          <cell r="L66">
            <v>10184.028601749567</v>
          </cell>
          <cell r="M66">
            <v>10184.028601749567</v>
          </cell>
          <cell r="N66">
            <v>10184.028601749567</v>
          </cell>
          <cell r="O66">
            <v>10184.028601749567</v>
          </cell>
          <cell r="P66">
            <v>10184.028601749567</v>
          </cell>
          <cell r="Q66">
            <v>10184.028601749567</v>
          </cell>
          <cell r="R66">
            <v>10184.028601749567</v>
          </cell>
          <cell r="S66">
            <v>10184.028601749567</v>
          </cell>
          <cell r="T66">
            <v>10184.028601749567</v>
          </cell>
          <cell r="U66">
            <v>10184.028601749567</v>
          </cell>
          <cell r="V66">
            <v>10184.028601749567</v>
          </cell>
          <cell r="W66">
            <v>10184.028601749567</v>
          </cell>
          <cell r="X66">
            <v>10184.028601749567</v>
          </cell>
          <cell r="Y66">
            <v>10184.028601749567</v>
          </cell>
          <cell r="Z66">
            <v>10184.028601749567</v>
          </cell>
          <cell r="AA66">
            <v>10184.028601749567</v>
          </cell>
        </row>
        <row r="67">
          <cell r="D67">
            <v>10480.539200050358</v>
          </cell>
          <cell r="E67">
            <v>10480.539200050358</v>
          </cell>
          <cell r="F67">
            <v>10480.539200050358</v>
          </cell>
          <cell r="G67">
            <v>10480.539200050358</v>
          </cell>
          <cell r="H67">
            <v>10480.539200050358</v>
          </cell>
          <cell r="I67">
            <v>10480.539200050358</v>
          </cell>
          <cell r="J67">
            <v>10480.539200050358</v>
          </cell>
          <cell r="K67">
            <v>10480.539200050358</v>
          </cell>
          <cell r="L67">
            <v>10480.539200050358</v>
          </cell>
          <cell r="M67">
            <v>10480.539200050358</v>
          </cell>
          <cell r="N67">
            <v>10480.539200050358</v>
          </cell>
          <cell r="O67">
            <v>10480.539200050358</v>
          </cell>
          <cell r="P67">
            <v>10480.539200050358</v>
          </cell>
          <cell r="Q67">
            <v>10480.539200050358</v>
          </cell>
          <cell r="R67">
            <v>10480.539200050358</v>
          </cell>
          <cell r="S67">
            <v>10480.539200050358</v>
          </cell>
          <cell r="T67">
            <v>10480.539200050358</v>
          </cell>
          <cell r="U67">
            <v>10480.539200050358</v>
          </cell>
          <cell r="V67">
            <v>10480.539200050358</v>
          </cell>
          <cell r="W67">
            <v>10480.539200050358</v>
          </cell>
          <cell r="X67">
            <v>10480.539200050358</v>
          </cell>
          <cell r="Y67">
            <v>10480.539200050358</v>
          </cell>
          <cell r="Z67">
            <v>10480.539200050358</v>
          </cell>
          <cell r="AA67">
            <v>10480.539200050358</v>
          </cell>
        </row>
        <row r="68">
          <cell r="D68">
            <v>10583.813200506484</v>
          </cell>
          <cell r="E68">
            <v>10583.813200506484</v>
          </cell>
          <cell r="F68">
            <v>10583.813200506484</v>
          </cell>
          <cell r="G68">
            <v>10583.813200506484</v>
          </cell>
          <cell r="H68">
            <v>10583.813200506484</v>
          </cell>
          <cell r="I68">
            <v>10583.813200506484</v>
          </cell>
          <cell r="J68">
            <v>10583.813200506484</v>
          </cell>
          <cell r="K68">
            <v>10583.813200506484</v>
          </cell>
          <cell r="L68">
            <v>10583.813200506484</v>
          </cell>
          <cell r="M68">
            <v>10583.813200506484</v>
          </cell>
          <cell r="N68">
            <v>10583.813200506484</v>
          </cell>
          <cell r="O68">
            <v>10583.813200506484</v>
          </cell>
          <cell r="P68">
            <v>10583.813200506484</v>
          </cell>
          <cell r="Q68">
            <v>10583.813200506484</v>
          </cell>
          <cell r="R68">
            <v>10583.813200506484</v>
          </cell>
          <cell r="S68">
            <v>10583.813200506484</v>
          </cell>
          <cell r="T68">
            <v>10583.813200506484</v>
          </cell>
          <cell r="U68">
            <v>10583.813200506484</v>
          </cell>
          <cell r="V68">
            <v>10583.813200506484</v>
          </cell>
          <cell r="W68">
            <v>10583.813200506484</v>
          </cell>
          <cell r="X68">
            <v>10583.813200506484</v>
          </cell>
          <cell r="Y68">
            <v>10583.813200506484</v>
          </cell>
          <cell r="Z68">
            <v>10583.813200506484</v>
          </cell>
          <cell r="AA68">
            <v>10583.813200506484</v>
          </cell>
        </row>
        <row r="69">
          <cell r="D69">
            <v>9669.9976889578065</v>
          </cell>
          <cell r="E69">
            <v>9669.9976889578065</v>
          </cell>
          <cell r="F69">
            <v>9669.9976889578065</v>
          </cell>
          <cell r="G69">
            <v>9669.9976889578065</v>
          </cell>
          <cell r="H69">
            <v>9669.9976889578065</v>
          </cell>
          <cell r="I69">
            <v>9669.9976889578065</v>
          </cell>
          <cell r="J69">
            <v>9669.9976889578065</v>
          </cell>
          <cell r="K69">
            <v>9669.9976889578065</v>
          </cell>
          <cell r="L69">
            <v>9669.9976889578065</v>
          </cell>
          <cell r="M69">
            <v>9669.9976889578065</v>
          </cell>
          <cell r="N69">
            <v>9669.9976889578065</v>
          </cell>
          <cell r="O69">
            <v>9669.9976889578065</v>
          </cell>
          <cell r="P69">
            <v>9669.9976889578065</v>
          </cell>
          <cell r="Q69">
            <v>9669.9976889578065</v>
          </cell>
          <cell r="R69">
            <v>9669.9976889578065</v>
          </cell>
          <cell r="S69">
            <v>9669.9976889578065</v>
          </cell>
          <cell r="T69">
            <v>9669.9976889578065</v>
          </cell>
          <cell r="U69">
            <v>9669.9976889578065</v>
          </cell>
          <cell r="V69">
            <v>9669.9976889578065</v>
          </cell>
          <cell r="W69">
            <v>9669.9976889578065</v>
          </cell>
          <cell r="X69">
            <v>9669.9976889578065</v>
          </cell>
          <cell r="Y69">
            <v>9669.9976889578065</v>
          </cell>
          <cell r="Z69">
            <v>9669.9976889578065</v>
          </cell>
          <cell r="AA69">
            <v>9669.9976889578065</v>
          </cell>
        </row>
        <row r="70">
          <cell r="D70">
            <v>9897.234396447353</v>
          </cell>
          <cell r="E70">
            <v>9897.234396447353</v>
          </cell>
          <cell r="F70">
            <v>9897.234396447353</v>
          </cell>
          <cell r="G70">
            <v>9897.234396447353</v>
          </cell>
          <cell r="H70">
            <v>9897.234396447353</v>
          </cell>
          <cell r="I70">
            <v>9897.234396447353</v>
          </cell>
          <cell r="J70">
            <v>9897.234396447353</v>
          </cell>
          <cell r="K70">
            <v>9897.234396447353</v>
          </cell>
          <cell r="L70">
            <v>9897.234396447353</v>
          </cell>
          <cell r="M70">
            <v>9897.234396447353</v>
          </cell>
          <cell r="N70">
            <v>9897.234396447353</v>
          </cell>
          <cell r="O70">
            <v>9897.234396447353</v>
          </cell>
          <cell r="P70">
            <v>9897.234396447353</v>
          </cell>
          <cell r="Q70">
            <v>9897.234396447353</v>
          </cell>
          <cell r="R70">
            <v>9897.234396447353</v>
          </cell>
          <cell r="S70">
            <v>9897.234396447353</v>
          </cell>
          <cell r="T70">
            <v>9897.234396447353</v>
          </cell>
          <cell r="U70">
            <v>9897.234396447353</v>
          </cell>
          <cell r="V70">
            <v>9897.234396447353</v>
          </cell>
          <cell r="W70">
            <v>9897.234396447353</v>
          </cell>
          <cell r="X70">
            <v>9897.234396447353</v>
          </cell>
          <cell r="Y70">
            <v>9897.234396447353</v>
          </cell>
          <cell r="Z70">
            <v>9897.234396447353</v>
          </cell>
          <cell r="AA70">
            <v>9897.234396447353</v>
          </cell>
        </row>
        <row r="71">
          <cell r="D71">
            <v>9986.4151795989856</v>
          </cell>
          <cell r="E71">
            <v>9986.4151795989856</v>
          </cell>
          <cell r="F71">
            <v>9986.4151795989856</v>
          </cell>
          <cell r="G71">
            <v>9986.4151795989856</v>
          </cell>
          <cell r="H71">
            <v>9986.4151795989856</v>
          </cell>
          <cell r="I71">
            <v>9986.4151795989856</v>
          </cell>
          <cell r="J71">
            <v>9986.4151795989856</v>
          </cell>
          <cell r="K71">
            <v>9986.4151795989856</v>
          </cell>
          <cell r="L71">
            <v>9986.4151795989856</v>
          </cell>
          <cell r="M71">
            <v>9986.4151795989856</v>
          </cell>
          <cell r="N71">
            <v>9986.4151795989856</v>
          </cell>
          <cell r="O71">
            <v>9986.4151795989856</v>
          </cell>
          <cell r="P71">
            <v>9986.4151795989856</v>
          </cell>
          <cell r="Q71">
            <v>9986.4151795989856</v>
          </cell>
          <cell r="R71">
            <v>9986.4151795989856</v>
          </cell>
          <cell r="S71">
            <v>9986.4151795989856</v>
          </cell>
          <cell r="T71">
            <v>9986.4151795989856</v>
          </cell>
          <cell r="U71">
            <v>9986.4151795989856</v>
          </cell>
          <cell r="V71">
            <v>9986.4151795989856</v>
          </cell>
          <cell r="W71">
            <v>9986.4151795989856</v>
          </cell>
          <cell r="X71">
            <v>9986.4151795989856</v>
          </cell>
          <cell r="Y71">
            <v>9986.4151795989856</v>
          </cell>
          <cell r="Z71">
            <v>9986.4151795989856</v>
          </cell>
          <cell r="AA71">
            <v>9986.4151795989856</v>
          </cell>
        </row>
        <row r="72">
          <cell r="D72">
            <v>11546.879306890369</v>
          </cell>
          <cell r="E72">
            <v>11546.879306890369</v>
          </cell>
          <cell r="F72">
            <v>11546.879306890369</v>
          </cell>
          <cell r="G72">
            <v>11546.879306890369</v>
          </cell>
          <cell r="H72">
            <v>11546.879306890369</v>
          </cell>
          <cell r="I72">
            <v>11546.879306890369</v>
          </cell>
          <cell r="J72">
            <v>11546.879306890369</v>
          </cell>
          <cell r="K72">
            <v>11546.879306890369</v>
          </cell>
          <cell r="L72">
            <v>11546.879306890369</v>
          </cell>
          <cell r="M72">
            <v>11546.879306890369</v>
          </cell>
          <cell r="N72">
            <v>11546.879306890369</v>
          </cell>
          <cell r="O72">
            <v>11546.879306890369</v>
          </cell>
          <cell r="P72">
            <v>11546.879306890369</v>
          </cell>
          <cell r="Q72">
            <v>11546.879306890369</v>
          </cell>
          <cell r="R72">
            <v>11546.879306890369</v>
          </cell>
          <cell r="S72">
            <v>11546.879306890369</v>
          </cell>
          <cell r="T72">
            <v>11546.879306890369</v>
          </cell>
          <cell r="U72">
            <v>11546.879306890369</v>
          </cell>
          <cell r="V72">
            <v>11546.879306890369</v>
          </cell>
          <cell r="W72">
            <v>11546.879306890369</v>
          </cell>
          <cell r="X72">
            <v>11546.879306890369</v>
          </cell>
          <cell r="Y72">
            <v>11546.879306890369</v>
          </cell>
          <cell r="Z72">
            <v>11546.879306890369</v>
          </cell>
          <cell r="AA72">
            <v>11546.879306890369</v>
          </cell>
        </row>
        <row r="73">
          <cell r="D73">
            <v>11618.411854802496</v>
          </cell>
          <cell r="E73">
            <v>11618.411854802496</v>
          </cell>
          <cell r="F73">
            <v>11618.411854802496</v>
          </cell>
          <cell r="G73">
            <v>11618.411854802496</v>
          </cell>
          <cell r="H73">
            <v>11618.411854802496</v>
          </cell>
          <cell r="I73">
            <v>11618.411854802496</v>
          </cell>
          <cell r="J73">
            <v>11618.411854802496</v>
          </cell>
          <cell r="K73">
            <v>11618.411854802496</v>
          </cell>
          <cell r="L73">
            <v>11618.411854802496</v>
          </cell>
          <cell r="M73">
            <v>11618.411854802496</v>
          </cell>
          <cell r="N73">
            <v>11618.411854802496</v>
          </cell>
          <cell r="O73">
            <v>11618.411854802496</v>
          </cell>
          <cell r="P73">
            <v>11618.411854802496</v>
          </cell>
          <cell r="Q73">
            <v>11618.411854802496</v>
          </cell>
          <cell r="R73">
            <v>11618.411854802496</v>
          </cell>
          <cell r="S73">
            <v>11618.411854802496</v>
          </cell>
          <cell r="T73">
            <v>11618.411854802496</v>
          </cell>
          <cell r="U73">
            <v>11618.411854802496</v>
          </cell>
          <cell r="V73">
            <v>11618.411854802496</v>
          </cell>
          <cell r="W73">
            <v>11618.411854802496</v>
          </cell>
          <cell r="X73">
            <v>11618.411854802496</v>
          </cell>
          <cell r="Y73">
            <v>11618.411854802496</v>
          </cell>
          <cell r="Z73">
            <v>11618.411854802496</v>
          </cell>
          <cell r="AA73">
            <v>11618.411854802496</v>
          </cell>
        </row>
        <row r="74">
          <cell r="D74">
            <v>11721.649042863766</v>
          </cell>
          <cell r="E74">
            <v>11721.649042863766</v>
          </cell>
          <cell r="F74">
            <v>11721.649042863766</v>
          </cell>
          <cell r="G74">
            <v>11721.649042863766</v>
          </cell>
          <cell r="H74">
            <v>11721.649042863766</v>
          </cell>
          <cell r="I74">
            <v>11721.649042863766</v>
          </cell>
          <cell r="J74">
            <v>11721.649042863766</v>
          </cell>
          <cell r="K74">
            <v>11721.649042863766</v>
          </cell>
          <cell r="L74">
            <v>11721.649042863766</v>
          </cell>
          <cell r="M74">
            <v>11721.649042863766</v>
          </cell>
          <cell r="N74">
            <v>11721.649042863766</v>
          </cell>
          <cell r="O74">
            <v>11721.649042863766</v>
          </cell>
          <cell r="P74">
            <v>11721.649042863766</v>
          </cell>
          <cell r="Q74">
            <v>11721.649042863766</v>
          </cell>
          <cell r="R74">
            <v>11721.649042863766</v>
          </cell>
          <cell r="S74">
            <v>11721.649042863766</v>
          </cell>
          <cell r="T74">
            <v>11721.649042863766</v>
          </cell>
          <cell r="U74">
            <v>11721.649042863766</v>
          </cell>
          <cell r="V74">
            <v>11721.649042863766</v>
          </cell>
          <cell r="W74">
            <v>11721.649042863766</v>
          </cell>
          <cell r="X74">
            <v>11721.649042863766</v>
          </cell>
          <cell r="Y74">
            <v>11721.649042863766</v>
          </cell>
          <cell r="Z74">
            <v>11721.649042863766</v>
          </cell>
          <cell r="AA74">
            <v>11721.649042863766</v>
          </cell>
        </row>
        <row r="75">
          <cell r="D75">
            <v>9597.9740984958189</v>
          </cell>
          <cell r="E75">
            <v>9597.9740984958189</v>
          </cell>
          <cell r="F75">
            <v>9597.9740984958189</v>
          </cell>
          <cell r="G75">
            <v>9597.9740984958189</v>
          </cell>
          <cell r="H75">
            <v>9597.9740984958189</v>
          </cell>
          <cell r="I75">
            <v>9597.9740984958189</v>
          </cell>
          <cell r="J75">
            <v>9597.9740984958189</v>
          </cell>
          <cell r="K75">
            <v>9597.9740984958189</v>
          </cell>
          <cell r="L75">
            <v>9597.9740984958189</v>
          </cell>
          <cell r="M75">
            <v>9597.9740984958189</v>
          </cell>
          <cell r="N75">
            <v>9597.9740984958189</v>
          </cell>
          <cell r="O75">
            <v>9597.9740984958189</v>
          </cell>
          <cell r="P75">
            <v>9597.9740984958189</v>
          </cell>
          <cell r="Q75">
            <v>9597.9740984958189</v>
          </cell>
          <cell r="R75">
            <v>9597.9740984958189</v>
          </cell>
          <cell r="S75">
            <v>9597.9740984958189</v>
          </cell>
          <cell r="T75">
            <v>9597.9740984958189</v>
          </cell>
          <cell r="U75">
            <v>9597.9740984958189</v>
          </cell>
          <cell r="V75">
            <v>9597.9740984958189</v>
          </cell>
          <cell r="W75">
            <v>9597.9740984958189</v>
          </cell>
          <cell r="X75">
            <v>9597.9740984958189</v>
          </cell>
          <cell r="Y75">
            <v>9597.9740984958189</v>
          </cell>
          <cell r="Z75">
            <v>9597.9740984958189</v>
          </cell>
          <cell r="AA75">
            <v>9597.9740984958189</v>
          </cell>
        </row>
        <row r="76">
          <cell r="D76">
            <v>8808.0406228936754</v>
          </cell>
          <cell r="E76">
            <v>8808.0406228936754</v>
          </cell>
          <cell r="F76">
            <v>8808.0406228936754</v>
          </cell>
          <cell r="G76">
            <v>8808.0406228936754</v>
          </cell>
          <cell r="H76">
            <v>8808.0406228936754</v>
          </cell>
          <cell r="I76">
            <v>8808.0406228936754</v>
          </cell>
          <cell r="J76">
            <v>8808.0406228936754</v>
          </cell>
          <cell r="K76">
            <v>8808.0406228936754</v>
          </cell>
          <cell r="L76">
            <v>8808.0406228936754</v>
          </cell>
          <cell r="M76">
            <v>8808.0406228936754</v>
          </cell>
          <cell r="N76">
            <v>8808.0406228936754</v>
          </cell>
          <cell r="O76">
            <v>8808.0406228936754</v>
          </cell>
          <cell r="P76">
            <v>8808.0406228936754</v>
          </cell>
          <cell r="Q76">
            <v>8808.0406228936754</v>
          </cell>
          <cell r="R76">
            <v>8808.0406228936754</v>
          </cell>
          <cell r="S76">
            <v>8808.0406228936754</v>
          </cell>
          <cell r="T76">
            <v>8808.0406228936754</v>
          </cell>
          <cell r="U76">
            <v>8808.0406228936754</v>
          </cell>
          <cell r="V76">
            <v>8808.0406228936754</v>
          </cell>
          <cell r="W76">
            <v>8808.0406228936754</v>
          </cell>
          <cell r="X76">
            <v>8808.0406228936754</v>
          </cell>
          <cell r="Y76">
            <v>8808.0406228936754</v>
          </cell>
          <cell r="Z76">
            <v>8808.0406228936754</v>
          </cell>
          <cell r="AA76">
            <v>8808.0406228936754</v>
          </cell>
        </row>
        <row r="77">
          <cell r="D77">
            <v>7667.9819347602952</v>
          </cell>
          <cell r="E77">
            <v>7667.9819347602952</v>
          </cell>
          <cell r="F77">
            <v>7667.9819347602952</v>
          </cell>
          <cell r="G77">
            <v>7667.9819347602952</v>
          </cell>
          <cell r="H77">
            <v>7667.9819347602952</v>
          </cell>
          <cell r="I77">
            <v>7667.9819347602952</v>
          </cell>
          <cell r="J77">
            <v>7667.9819347602952</v>
          </cell>
          <cell r="K77">
            <v>7667.9819347602952</v>
          </cell>
          <cell r="L77">
            <v>7667.9819347602952</v>
          </cell>
          <cell r="M77">
            <v>7667.9819347602952</v>
          </cell>
          <cell r="N77">
            <v>7667.9819347602952</v>
          </cell>
          <cell r="O77">
            <v>7667.9819347602952</v>
          </cell>
          <cell r="P77">
            <v>7667.9819347602952</v>
          </cell>
          <cell r="Q77">
            <v>7667.9819347602952</v>
          </cell>
          <cell r="R77">
            <v>7667.9819347602952</v>
          </cell>
          <cell r="S77">
            <v>7667.9819347602952</v>
          </cell>
          <cell r="T77">
            <v>7667.9819347602952</v>
          </cell>
          <cell r="U77">
            <v>7667.9819347602952</v>
          </cell>
          <cell r="V77">
            <v>7667.9819347602952</v>
          </cell>
          <cell r="W77">
            <v>7667.9819347602952</v>
          </cell>
          <cell r="X77">
            <v>7667.9819347602952</v>
          </cell>
          <cell r="Y77">
            <v>7667.9819347602952</v>
          </cell>
          <cell r="Z77">
            <v>7667.9819347602952</v>
          </cell>
          <cell r="AA77">
            <v>7667.9819347602952</v>
          </cell>
        </row>
        <row r="78">
          <cell r="D78">
            <v>13068.717638758151</v>
          </cell>
          <cell r="E78">
            <v>13068.717638758151</v>
          </cell>
          <cell r="F78">
            <v>13068.717638758151</v>
          </cell>
          <cell r="G78">
            <v>13068.717638758151</v>
          </cell>
          <cell r="H78">
            <v>13068.717638758151</v>
          </cell>
          <cell r="I78">
            <v>13068.717638758151</v>
          </cell>
          <cell r="J78">
            <v>13068.717638758151</v>
          </cell>
          <cell r="K78">
            <v>13068.717638758151</v>
          </cell>
          <cell r="L78">
            <v>13068.717638758151</v>
          </cell>
          <cell r="M78">
            <v>13068.717638758151</v>
          </cell>
          <cell r="N78">
            <v>13068.717638758151</v>
          </cell>
          <cell r="O78">
            <v>13068.717638758151</v>
          </cell>
          <cell r="P78">
            <v>13068.717638758151</v>
          </cell>
          <cell r="Q78">
            <v>13068.717638758151</v>
          </cell>
          <cell r="R78">
            <v>13068.717638758151</v>
          </cell>
          <cell r="S78">
            <v>13068.717638758151</v>
          </cell>
          <cell r="T78">
            <v>13068.717638758151</v>
          </cell>
          <cell r="U78">
            <v>13068.717638758151</v>
          </cell>
          <cell r="V78">
            <v>13068.717638758151</v>
          </cell>
          <cell r="W78">
            <v>13068.717638758151</v>
          </cell>
          <cell r="X78">
            <v>13068.717638758151</v>
          </cell>
          <cell r="Y78">
            <v>13068.717638758151</v>
          </cell>
          <cell r="Z78">
            <v>13068.717638758151</v>
          </cell>
          <cell r="AA78">
            <v>13068.717638758151</v>
          </cell>
        </row>
        <row r="79">
          <cell r="D79">
            <v>11504.96479055959</v>
          </cell>
          <cell r="E79">
            <v>11504.96479055959</v>
          </cell>
          <cell r="F79">
            <v>11504.96479055959</v>
          </cell>
          <cell r="G79">
            <v>11504.96479055959</v>
          </cell>
          <cell r="H79">
            <v>11504.96479055959</v>
          </cell>
          <cell r="I79">
            <v>11504.96479055959</v>
          </cell>
          <cell r="J79">
            <v>11504.96479055959</v>
          </cell>
          <cell r="K79">
            <v>11504.96479055959</v>
          </cell>
          <cell r="L79">
            <v>11504.96479055959</v>
          </cell>
          <cell r="M79">
            <v>11504.96479055959</v>
          </cell>
          <cell r="N79">
            <v>11504.96479055959</v>
          </cell>
          <cell r="O79">
            <v>11504.96479055959</v>
          </cell>
          <cell r="P79">
            <v>11504.96479055959</v>
          </cell>
          <cell r="Q79">
            <v>11504.96479055959</v>
          </cell>
          <cell r="R79">
            <v>11504.96479055959</v>
          </cell>
          <cell r="S79">
            <v>11504.96479055959</v>
          </cell>
          <cell r="T79">
            <v>11504.96479055959</v>
          </cell>
          <cell r="U79">
            <v>11504.96479055959</v>
          </cell>
          <cell r="V79">
            <v>11504.96479055959</v>
          </cell>
          <cell r="W79">
            <v>11504.96479055959</v>
          </cell>
          <cell r="X79">
            <v>11504.96479055959</v>
          </cell>
          <cell r="Y79">
            <v>11504.96479055959</v>
          </cell>
          <cell r="Z79">
            <v>11504.96479055959</v>
          </cell>
          <cell r="AA79">
            <v>11504.96479055959</v>
          </cell>
        </row>
        <row r="80">
          <cell r="D80">
            <v>11240.26612809558</v>
          </cell>
          <cell r="E80">
            <v>11240.26612809558</v>
          </cell>
          <cell r="F80">
            <v>11240.26612809558</v>
          </cell>
          <cell r="G80">
            <v>11240.26612809558</v>
          </cell>
          <cell r="H80">
            <v>11240.26612809558</v>
          </cell>
          <cell r="I80">
            <v>11240.26612809558</v>
          </cell>
          <cell r="J80">
            <v>11240.26612809558</v>
          </cell>
          <cell r="K80">
            <v>11240.26612809558</v>
          </cell>
          <cell r="L80">
            <v>11240.26612809558</v>
          </cell>
          <cell r="M80">
            <v>11240.26612809558</v>
          </cell>
          <cell r="N80">
            <v>11240.26612809558</v>
          </cell>
          <cell r="O80">
            <v>11240.26612809558</v>
          </cell>
          <cell r="P80">
            <v>11240.26612809558</v>
          </cell>
          <cell r="Q80">
            <v>11240.26612809558</v>
          </cell>
          <cell r="R80">
            <v>11240.26612809558</v>
          </cell>
          <cell r="S80">
            <v>11240.26612809558</v>
          </cell>
          <cell r="T80">
            <v>11240.26612809558</v>
          </cell>
          <cell r="U80">
            <v>11240.26612809558</v>
          </cell>
          <cell r="V80">
            <v>11240.26612809558</v>
          </cell>
          <cell r="W80">
            <v>11240.26612809558</v>
          </cell>
          <cell r="X80">
            <v>11240.26612809558</v>
          </cell>
          <cell r="Y80">
            <v>11240.26612809558</v>
          </cell>
          <cell r="Z80">
            <v>11240.26612809558</v>
          </cell>
          <cell r="AA80">
            <v>11240.26612809558</v>
          </cell>
        </row>
        <row r="81">
          <cell r="D81">
            <v>14016.632461842593</v>
          </cell>
          <cell r="E81">
            <v>14016.632461842593</v>
          </cell>
          <cell r="F81">
            <v>14016.632461842593</v>
          </cell>
          <cell r="G81">
            <v>14016.632461842593</v>
          </cell>
          <cell r="H81">
            <v>14016.632461842593</v>
          </cell>
          <cell r="I81">
            <v>14016.632461842593</v>
          </cell>
          <cell r="J81">
            <v>14016.632461842593</v>
          </cell>
          <cell r="K81">
            <v>14016.632461842593</v>
          </cell>
          <cell r="L81">
            <v>14016.632461842593</v>
          </cell>
          <cell r="M81">
            <v>14016.632461842593</v>
          </cell>
          <cell r="N81">
            <v>14016.632461842593</v>
          </cell>
          <cell r="O81">
            <v>14016.632461842593</v>
          </cell>
          <cell r="P81">
            <v>14016.632461842593</v>
          </cell>
          <cell r="Q81">
            <v>14016.632461842593</v>
          </cell>
          <cell r="R81">
            <v>14016.632461842593</v>
          </cell>
          <cell r="S81">
            <v>14016.632461842593</v>
          </cell>
          <cell r="T81">
            <v>14016.632461842593</v>
          </cell>
          <cell r="U81">
            <v>14016.632461842593</v>
          </cell>
          <cell r="V81">
            <v>14016.632461842593</v>
          </cell>
          <cell r="W81">
            <v>14016.632461842593</v>
          </cell>
          <cell r="X81">
            <v>14016.632461842593</v>
          </cell>
          <cell r="Y81">
            <v>14016.632461842593</v>
          </cell>
          <cell r="Z81">
            <v>14016.632461842593</v>
          </cell>
          <cell r="AA81">
            <v>14016.632461842593</v>
          </cell>
        </row>
        <row r="82">
          <cell r="D82">
            <v>11749.187658004146</v>
          </cell>
          <cell r="E82">
            <v>11749.187658004146</v>
          </cell>
          <cell r="F82">
            <v>11749.187658004146</v>
          </cell>
          <cell r="G82">
            <v>11749.187658004146</v>
          </cell>
          <cell r="H82">
            <v>11749.187658004146</v>
          </cell>
          <cell r="I82">
            <v>11749.187658004146</v>
          </cell>
          <cell r="J82">
            <v>11749.187658004146</v>
          </cell>
          <cell r="K82">
            <v>11749.187658004146</v>
          </cell>
          <cell r="L82">
            <v>11749.187658004146</v>
          </cell>
          <cell r="M82">
            <v>11749.187658004146</v>
          </cell>
          <cell r="N82">
            <v>11749.187658004146</v>
          </cell>
          <cell r="O82">
            <v>11749.187658004146</v>
          </cell>
          <cell r="P82">
            <v>11749.187658004146</v>
          </cell>
          <cell r="Q82">
            <v>11749.187658004146</v>
          </cell>
          <cell r="R82">
            <v>11749.187658004146</v>
          </cell>
          <cell r="S82">
            <v>11749.187658004146</v>
          </cell>
          <cell r="T82">
            <v>11749.187658004146</v>
          </cell>
          <cell r="U82">
            <v>11749.187658004146</v>
          </cell>
          <cell r="V82">
            <v>11749.187658004146</v>
          </cell>
          <cell r="W82">
            <v>11749.187658004146</v>
          </cell>
          <cell r="X82">
            <v>11749.187658004146</v>
          </cell>
          <cell r="Y82">
            <v>11749.187658004146</v>
          </cell>
          <cell r="Z82">
            <v>11749.187658004146</v>
          </cell>
          <cell r="AA82">
            <v>11749.187658004146</v>
          </cell>
        </row>
        <row r="83">
          <cell r="D83">
            <v>11639.94003481644</v>
          </cell>
          <cell r="E83">
            <v>11639.94003481644</v>
          </cell>
          <cell r="F83">
            <v>11639.94003481644</v>
          </cell>
          <cell r="G83">
            <v>11639.94003481644</v>
          </cell>
          <cell r="H83">
            <v>11639.94003481644</v>
          </cell>
          <cell r="I83">
            <v>11639.94003481644</v>
          </cell>
          <cell r="J83">
            <v>11639.94003481644</v>
          </cell>
          <cell r="K83">
            <v>11639.94003481644</v>
          </cell>
          <cell r="L83">
            <v>11639.94003481644</v>
          </cell>
          <cell r="M83">
            <v>11639.94003481644</v>
          </cell>
          <cell r="N83">
            <v>11639.94003481644</v>
          </cell>
          <cell r="O83">
            <v>11639.94003481644</v>
          </cell>
          <cell r="P83">
            <v>11639.94003481644</v>
          </cell>
          <cell r="Q83">
            <v>11639.94003481644</v>
          </cell>
          <cell r="R83">
            <v>11639.94003481644</v>
          </cell>
          <cell r="S83">
            <v>11639.94003481644</v>
          </cell>
          <cell r="T83">
            <v>11639.94003481644</v>
          </cell>
          <cell r="U83">
            <v>11639.94003481644</v>
          </cell>
          <cell r="V83">
            <v>11639.94003481644</v>
          </cell>
          <cell r="W83">
            <v>11639.94003481644</v>
          </cell>
          <cell r="X83">
            <v>11639.94003481644</v>
          </cell>
          <cell r="Y83">
            <v>11639.94003481644</v>
          </cell>
          <cell r="Z83">
            <v>11639.94003481644</v>
          </cell>
          <cell r="AA83">
            <v>11639.94003481644</v>
          </cell>
        </row>
        <row r="84">
          <cell r="D84">
            <v>12605.649653576425</v>
          </cell>
          <cell r="E84">
            <v>12605.649653576425</v>
          </cell>
          <cell r="F84">
            <v>12605.649653576425</v>
          </cell>
          <cell r="G84">
            <v>12605.649653576425</v>
          </cell>
          <cell r="H84">
            <v>12605.649653576425</v>
          </cell>
          <cell r="I84">
            <v>12605.649653576425</v>
          </cell>
          <cell r="J84">
            <v>12605.649653576425</v>
          </cell>
          <cell r="K84">
            <v>12605.649653576425</v>
          </cell>
          <cell r="L84">
            <v>12605.649653576425</v>
          </cell>
          <cell r="M84">
            <v>12605.649653576425</v>
          </cell>
          <cell r="N84">
            <v>12605.649653576425</v>
          </cell>
          <cell r="O84">
            <v>12605.649653576425</v>
          </cell>
          <cell r="P84">
            <v>12605.649653576425</v>
          </cell>
          <cell r="Q84">
            <v>12605.649653576425</v>
          </cell>
          <cell r="R84">
            <v>12605.649653576425</v>
          </cell>
          <cell r="S84">
            <v>12605.649653576425</v>
          </cell>
          <cell r="T84">
            <v>12605.649653576425</v>
          </cell>
          <cell r="U84">
            <v>12605.649653576425</v>
          </cell>
          <cell r="V84">
            <v>12605.649653576425</v>
          </cell>
          <cell r="W84">
            <v>12605.649653576425</v>
          </cell>
          <cell r="X84">
            <v>12605.649653576425</v>
          </cell>
          <cell r="Y84">
            <v>12605.649653576425</v>
          </cell>
          <cell r="Z84">
            <v>12605.649653576425</v>
          </cell>
          <cell r="AA84">
            <v>12605.649653576425</v>
          </cell>
        </row>
        <row r="85">
          <cell r="D85">
            <v>10846.577360022404</v>
          </cell>
          <cell r="E85">
            <v>10846.577360022404</v>
          </cell>
          <cell r="F85">
            <v>10846.577360022404</v>
          </cell>
          <cell r="G85">
            <v>10846.577360022404</v>
          </cell>
          <cell r="H85">
            <v>10846.577360022404</v>
          </cell>
          <cell r="I85">
            <v>10846.577360022404</v>
          </cell>
          <cell r="J85">
            <v>10846.577360022404</v>
          </cell>
          <cell r="K85">
            <v>10846.577360022404</v>
          </cell>
          <cell r="L85">
            <v>10846.577360022404</v>
          </cell>
          <cell r="M85">
            <v>10846.577360022404</v>
          </cell>
          <cell r="N85">
            <v>10846.577360022404</v>
          </cell>
          <cell r="O85">
            <v>10846.577360022404</v>
          </cell>
          <cell r="P85">
            <v>10846.577360022404</v>
          </cell>
          <cell r="Q85">
            <v>10846.577360022404</v>
          </cell>
          <cell r="R85">
            <v>10846.577360022404</v>
          </cell>
          <cell r="S85">
            <v>10846.577360022404</v>
          </cell>
          <cell r="T85">
            <v>10846.577360022404</v>
          </cell>
          <cell r="U85">
            <v>10846.577360022404</v>
          </cell>
          <cell r="V85">
            <v>10846.577360022404</v>
          </cell>
          <cell r="W85">
            <v>10846.577360022404</v>
          </cell>
          <cell r="X85">
            <v>10846.577360022404</v>
          </cell>
          <cell r="Y85">
            <v>10846.577360022404</v>
          </cell>
          <cell r="Z85">
            <v>10846.577360022404</v>
          </cell>
          <cell r="AA85">
            <v>10846.577360022404</v>
          </cell>
        </row>
        <row r="86">
          <cell r="D86">
            <v>12408.361384687509</v>
          </cell>
          <cell r="E86">
            <v>12408.361384687509</v>
          </cell>
          <cell r="F86">
            <v>12408.361384687509</v>
          </cell>
          <cell r="G86">
            <v>12408.361384687509</v>
          </cell>
          <cell r="H86">
            <v>12408.361384687509</v>
          </cell>
          <cell r="I86">
            <v>12408.361384687509</v>
          </cell>
          <cell r="J86">
            <v>12408.361384687509</v>
          </cell>
          <cell r="K86">
            <v>12408.361384687509</v>
          </cell>
          <cell r="L86">
            <v>12408.361384687509</v>
          </cell>
          <cell r="M86">
            <v>12408.361384687509</v>
          </cell>
          <cell r="N86">
            <v>12408.361384687509</v>
          </cell>
          <cell r="O86">
            <v>12408.361384687509</v>
          </cell>
          <cell r="P86">
            <v>12408.361384687509</v>
          </cell>
          <cell r="Q86">
            <v>12408.361384687509</v>
          </cell>
          <cell r="R86">
            <v>12408.361384687509</v>
          </cell>
          <cell r="S86">
            <v>12408.361384687509</v>
          </cell>
          <cell r="T86">
            <v>12408.361384687509</v>
          </cell>
          <cell r="U86">
            <v>12408.361384687509</v>
          </cell>
          <cell r="V86">
            <v>12408.361384687509</v>
          </cell>
          <cell r="W86">
            <v>12408.361384687509</v>
          </cell>
          <cell r="X86">
            <v>12408.361384687509</v>
          </cell>
          <cell r="Y86">
            <v>12408.361384687509</v>
          </cell>
          <cell r="Z86">
            <v>12408.361384687509</v>
          </cell>
          <cell r="AA86">
            <v>12408.361384687509</v>
          </cell>
        </row>
        <row r="87">
          <cell r="D87">
            <v>12407.355944573465</v>
          </cell>
          <cell r="E87">
            <v>12407.355944573465</v>
          </cell>
          <cell r="F87">
            <v>12407.355944573465</v>
          </cell>
          <cell r="G87">
            <v>12407.355944573465</v>
          </cell>
          <cell r="H87">
            <v>12407.355944573465</v>
          </cell>
          <cell r="I87">
            <v>12407.355944573465</v>
          </cell>
          <cell r="J87">
            <v>12407.355944573465</v>
          </cell>
          <cell r="K87">
            <v>12407.355944573465</v>
          </cell>
          <cell r="L87">
            <v>12407.355944573465</v>
          </cell>
          <cell r="M87">
            <v>12407.355944573465</v>
          </cell>
          <cell r="N87">
            <v>12407.355944573465</v>
          </cell>
          <cell r="O87">
            <v>12407.355944573465</v>
          </cell>
          <cell r="P87">
            <v>12407.355944573465</v>
          </cell>
          <cell r="Q87">
            <v>12407.355944573465</v>
          </cell>
          <cell r="R87">
            <v>12407.355944573465</v>
          </cell>
          <cell r="S87">
            <v>12407.355944573465</v>
          </cell>
          <cell r="T87">
            <v>12407.355944573465</v>
          </cell>
          <cell r="U87">
            <v>12407.355944573465</v>
          </cell>
          <cell r="V87">
            <v>12407.355944573465</v>
          </cell>
          <cell r="W87">
            <v>12407.355944573465</v>
          </cell>
          <cell r="X87">
            <v>12407.355944573465</v>
          </cell>
          <cell r="Y87">
            <v>12407.355944573465</v>
          </cell>
          <cell r="Z87">
            <v>12407.355944573465</v>
          </cell>
          <cell r="AA87">
            <v>12407.355944573465</v>
          </cell>
        </row>
        <row r="88">
          <cell r="D88">
            <v>9721.5843966048069</v>
          </cell>
          <cell r="E88">
            <v>9721.5843966048069</v>
          </cell>
          <cell r="F88">
            <v>9721.5843966048069</v>
          </cell>
          <cell r="G88">
            <v>9721.5843966048069</v>
          </cell>
          <cell r="H88">
            <v>9721.5843966048069</v>
          </cell>
          <cell r="I88">
            <v>9721.5843966048069</v>
          </cell>
          <cell r="J88">
            <v>9721.5843966048069</v>
          </cell>
          <cell r="K88">
            <v>9721.5843966048069</v>
          </cell>
          <cell r="L88">
            <v>9721.5843966048069</v>
          </cell>
          <cell r="M88">
            <v>9721.5843966048069</v>
          </cell>
          <cell r="N88">
            <v>9721.5843966048069</v>
          </cell>
          <cell r="O88">
            <v>9721.5843966048069</v>
          </cell>
          <cell r="P88">
            <v>9721.5843966048069</v>
          </cell>
          <cell r="Q88">
            <v>9721.5843966048069</v>
          </cell>
          <cell r="R88">
            <v>9721.5843966048069</v>
          </cell>
          <cell r="S88">
            <v>9721.5843966048069</v>
          </cell>
          <cell r="T88">
            <v>9721.5843966048069</v>
          </cell>
          <cell r="U88">
            <v>9721.5843966048069</v>
          </cell>
          <cell r="V88">
            <v>9721.5843966048069</v>
          </cell>
          <cell r="W88">
            <v>9721.5843966048069</v>
          </cell>
          <cell r="X88">
            <v>9721.5843966048069</v>
          </cell>
          <cell r="Y88">
            <v>9721.5843966048069</v>
          </cell>
          <cell r="Z88">
            <v>9721.5843966048069</v>
          </cell>
          <cell r="AA88">
            <v>9721.5843966048069</v>
          </cell>
        </row>
        <row r="89">
          <cell r="D89">
            <v>9810.6584014835862</v>
          </cell>
          <cell r="E89">
            <v>9810.6584014835862</v>
          </cell>
          <cell r="F89">
            <v>9810.6584014835862</v>
          </cell>
          <cell r="G89">
            <v>9810.6584014835862</v>
          </cell>
          <cell r="H89">
            <v>9810.6584014835862</v>
          </cell>
          <cell r="I89">
            <v>9810.6584014835862</v>
          </cell>
          <cell r="J89">
            <v>9810.6584014835862</v>
          </cell>
          <cell r="K89">
            <v>9810.6584014835862</v>
          </cell>
          <cell r="L89">
            <v>9810.6584014835862</v>
          </cell>
          <cell r="M89">
            <v>9810.6584014835862</v>
          </cell>
          <cell r="N89">
            <v>9810.6584014835862</v>
          </cell>
          <cell r="O89">
            <v>9810.6584014835862</v>
          </cell>
          <cell r="P89">
            <v>9810.6584014835862</v>
          </cell>
          <cell r="Q89">
            <v>9810.6584014835862</v>
          </cell>
          <cell r="R89">
            <v>9810.6584014835862</v>
          </cell>
          <cell r="S89">
            <v>9810.6584014835862</v>
          </cell>
          <cell r="T89">
            <v>9810.6584014835862</v>
          </cell>
          <cell r="U89">
            <v>9810.6584014835862</v>
          </cell>
          <cell r="V89">
            <v>9810.6584014835862</v>
          </cell>
          <cell r="W89">
            <v>9810.6584014835862</v>
          </cell>
          <cell r="X89">
            <v>9810.6584014835862</v>
          </cell>
          <cell r="Y89">
            <v>9810.6584014835862</v>
          </cell>
          <cell r="Z89">
            <v>9810.6584014835862</v>
          </cell>
          <cell r="AA89">
            <v>9810.6584014835862</v>
          </cell>
        </row>
        <row r="90">
          <cell r="D90">
            <v>9830.3946858202453</v>
          </cell>
          <cell r="E90">
            <v>9830.3946858202453</v>
          </cell>
          <cell r="F90">
            <v>9830.3946858202453</v>
          </cell>
          <cell r="G90">
            <v>9830.3946858202453</v>
          </cell>
          <cell r="H90">
            <v>9830.3946858202453</v>
          </cell>
          <cell r="I90">
            <v>9830.3946858202453</v>
          </cell>
          <cell r="J90">
            <v>9830.3946858202453</v>
          </cell>
          <cell r="K90">
            <v>9830.3946858202453</v>
          </cell>
          <cell r="L90">
            <v>9830.3946858202453</v>
          </cell>
          <cell r="M90">
            <v>9830.3946858202453</v>
          </cell>
          <cell r="N90">
            <v>9830.3946858202453</v>
          </cell>
          <cell r="O90">
            <v>9830.3946858202453</v>
          </cell>
          <cell r="P90">
            <v>9830.3946858202453</v>
          </cell>
          <cell r="Q90">
            <v>9830.3946858202453</v>
          </cell>
          <cell r="R90">
            <v>9830.3946858202453</v>
          </cell>
          <cell r="S90">
            <v>9830.3946858202453</v>
          </cell>
          <cell r="T90">
            <v>9830.3946858202453</v>
          </cell>
          <cell r="U90">
            <v>9830.3946858202453</v>
          </cell>
          <cell r="V90">
            <v>9830.3946858202453</v>
          </cell>
          <cell r="W90">
            <v>9830.3946858202453</v>
          </cell>
          <cell r="X90">
            <v>9830.3946858202453</v>
          </cell>
          <cell r="Y90">
            <v>9830.3946858202453</v>
          </cell>
          <cell r="Z90">
            <v>9830.3946858202453</v>
          </cell>
          <cell r="AA90">
            <v>9830.3946858202453</v>
          </cell>
        </row>
        <row r="91">
          <cell r="D91">
            <v>9578.6715053137577</v>
          </cell>
          <cell r="E91">
            <v>9578.6715053137577</v>
          </cell>
          <cell r="F91">
            <v>9578.6715053137577</v>
          </cell>
          <cell r="G91">
            <v>9578.6715053137577</v>
          </cell>
          <cell r="H91">
            <v>9578.6715053137577</v>
          </cell>
          <cell r="I91">
            <v>9578.6715053137577</v>
          </cell>
          <cell r="J91">
            <v>9578.6715053137577</v>
          </cell>
          <cell r="K91">
            <v>9578.6715053137577</v>
          </cell>
          <cell r="L91">
            <v>9578.6715053137577</v>
          </cell>
          <cell r="M91">
            <v>9578.6715053137577</v>
          </cell>
          <cell r="N91">
            <v>9578.6715053137577</v>
          </cell>
          <cell r="O91">
            <v>9578.6715053137577</v>
          </cell>
          <cell r="P91">
            <v>9578.6715053137577</v>
          </cell>
          <cell r="Q91">
            <v>9578.6715053137577</v>
          </cell>
          <cell r="R91">
            <v>9578.6715053137577</v>
          </cell>
          <cell r="S91">
            <v>9578.6715053137577</v>
          </cell>
          <cell r="T91">
            <v>9578.6715053137577</v>
          </cell>
          <cell r="U91">
            <v>9578.6715053137577</v>
          </cell>
          <cell r="V91">
            <v>9578.6715053137577</v>
          </cell>
          <cell r="W91">
            <v>9578.6715053137577</v>
          </cell>
          <cell r="X91">
            <v>9578.6715053137577</v>
          </cell>
          <cell r="Y91">
            <v>9578.6715053137577</v>
          </cell>
          <cell r="Z91">
            <v>9578.6715053137577</v>
          </cell>
          <cell r="AA91">
            <v>9578.6715053137577</v>
          </cell>
        </row>
        <row r="92">
          <cell r="D92">
            <v>9302.1784063074228</v>
          </cell>
          <cell r="E92">
            <v>9302.1784063074228</v>
          </cell>
          <cell r="F92">
            <v>9302.1784063074228</v>
          </cell>
          <cell r="G92">
            <v>9302.1784063074228</v>
          </cell>
          <cell r="H92">
            <v>9302.1784063074228</v>
          </cell>
          <cell r="I92">
            <v>9302.1784063074228</v>
          </cell>
          <cell r="J92">
            <v>9302.1784063074228</v>
          </cell>
          <cell r="K92">
            <v>9302.1784063074228</v>
          </cell>
          <cell r="L92">
            <v>9302.1784063074228</v>
          </cell>
          <cell r="M92">
            <v>9302.1784063074228</v>
          </cell>
          <cell r="N92">
            <v>9302.1784063074228</v>
          </cell>
          <cell r="O92">
            <v>9302.1784063074228</v>
          </cell>
          <cell r="P92">
            <v>9302.1784063074228</v>
          </cell>
          <cell r="Q92">
            <v>9302.1784063074228</v>
          </cell>
          <cell r="R92">
            <v>9302.1784063074228</v>
          </cell>
          <cell r="S92">
            <v>9302.1784063074228</v>
          </cell>
          <cell r="T92">
            <v>9302.1784063074228</v>
          </cell>
          <cell r="U92">
            <v>9302.1784063074228</v>
          </cell>
          <cell r="V92">
            <v>9302.1784063074228</v>
          </cell>
          <cell r="W92">
            <v>9302.1784063074228</v>
          </cell>
          <cell r="X92">
            <v>9302.1784063074228</v>
          </cell>
          <cell r="Y92">
            <v>9302.1784063074228</v>
          </cell>
          <cell r="Z92">
            <v>9302.1784063074228</v>
          </cell>
          <cell r="AA92">
            <v>9302.1784063074228</v>
          </cell>
        </row>
        <row r="93">
          <cell r="D93">
            <v>10530.39189460846</v>
          </cell>
          <cell r="E93">
            <v>10530.39189460846</v>
          </cell>
          <cell r="F93">
            <v>10530.39189460846</v>
          </cell>
          <cell r="G93">
            <v>10530.39189460846</v>
          </cell>
          <cell r="H93">
            <v>10530.39189460846</v>
          </cell>
          <cell r="I93">
            <v>10530.39189460846</v>
          </cell>
          <cell r="J93">
            <v>10530.39189460846</v>
          </cell>
          <cell r="K93">
            <v>10530.39189460846</v>
          </cell>
          <cell r="L93">
            <v>10530.39189460846</v>
          </cell>
          <cell r="M93">
            <v>10530.39189460846</v>
          </cell>
          <cell r="N93">
            <v>10530.39189460846</v>
          </cell>
          <cell r="O93">
            <v>10530.39189460846</v>
          </cell>
          <cell r="P93">
            <v>10530.39189460846</v>
          </cell>
          <cell r="Q93">
            <v>10530.39189460846</v>
          </cell>
          <cell r="R93">
            <v>10530.39189460846</v>
          </cell>
          <cell r="S93">
            <v>10530.39189460846</v>
          </cell>
          <cell r="T93">
            <v>10530.39189460846</v>
          </cell>
          <cell r="U93">
            <v>10530.39189460846</v>
          </cell>
          <cell r="V93">
            <v>10530.39189460846</v>
          </cell>
          <cell r="W93">
            <v>10530.39189460846</v>
          </cell>
          <cell r="X93">
            <v>10530.39189460846</v>
          </cell>
          <cell r="Y93">
            <v>10530.39189460846</v>
          </cell>
          <cell r="Z93">
            <v>10530.39189460846</v>
          </cell>
          <cell r="AA93">
            <v>10530.39189460846</v>
          </cell>
        </row>
        <row r="94">
          <cell r="D94">
            <v>9029.9426110910099</v>
          </cell>
          <cell r="E94">
            <v>9029.9426110910099</v>
          </cell>
          <cell r="F94">
            <v>9029.9426110910099</v>
          </cell>
          <cell r="G94">
            <v>9029.9426110910099</v>
          </cell>
          <cell r="H94">
            <v>9029.9426110910099</v>
          </cell>
          <cell r="I94">
            <v>9029.9426110910099</v>
          </cell>
          <cell r="J94">
            <v>9029.9426110910099</v>
          </cell>
          <cell r="K94">
            <v>9029.9426110910099</v>
          </cell>
          <cell r="L94">
            <v>9029.9426110910099</v>
          </cell>
          <cell r="M94">
            <v>9029.9426110910099</v>
          </cell>
          <cell r="N94">
            <v>9029.9426110910099</v>
          </cell>
          <cell r="O94">
            <v>9029.9426110910099</v>
          </cell>
          <cell r="P94">
            <v>9029.9426110910099</v>
          </cell>
          <cell r="Q94">
            <v>9029.9426110910099</v>
          </cell>
          <cell r="R94">
            <v>9029.9426110910099</v>
          </cell>
          <cell r="S94">
            <v>9029.9426110910099</v>
          </cell>
          <cell r="T94">
            <v>9029.9426110910099</v>
          </cell>
          <cell r="U94">
            <v>9029.9426110910099</v>
          </cell>
          <cell r="V94">
            <v>9029.9426110910099</v>
          </cell>
          <cell r="W94">
            <v>9029.9426110910099</v>
          </cell>
          <cell r="X94">
            <v>9029.9426110910099</v>
          </cell>
          <cell r="Y94">
            <v>9029.9426110910099</v>
          </cell>
          <cell r="Z94">
            <v>9029.9426110910099</v>
          </cell>
          <cell r="AA94">
            <v>9029.9426110910099</v>
          </cell>
        </row>
        <row r="95">
          <cell r="D95">
            <v>9799.799656694986</v>
          </cell>
          <cell r="E95">
            <v>9799.799656694986</v>
          </cell>
          <cell r="F95">
            <v>9799.799656694986</v>
          </cell>
          <cell r="G95">
            <v>9799.799656694986</v>
          </cell>
          <cell r="H95">
            <v>9799.799656694986</v>
          </cell>
          <cell r="I95">
            <v>9799.799656694986</v>
          </cell>
          <cell r="J95">
            <v>9799.799656694986</v>
          </cell>
          <cell r="K95">
            <v>9799.799656694986</v>
          </cell>
          <cell r="L95">
            <v>9799.799656694986</v>
          </cell>
          <cell r="M95">
            <v>9799.799656694986</v>
          </cell>
          <cell r="N95">
            <v>9799.799656694986</v>
          </cell>
          <cell r="O95">
            <v>9799.799656694986</v>
          </cell>
          <cell r="P95">
            <v>9799.799656694986</v>
          </cell>
          <cell r="Q95">
            <v>9799.799656694986</v>
          </cell>
          <cell r="R95">
            <v>9799.799656694986</v>
          </cell>
          <cell r="S95">
            <v>9799.799656694986</v>
          </cell>
          <cell r="T95">
            <v>9799.799656694986</v>
          </cell>
          <cell r="U95">
            <v>9799.799656694986</v>
          </cell>
          <cell r="V95">
            <v>9799.799656694986</v>
          </cell>
          <cell r="W95">
            <v>9799.799656694986</v>
          </cell>
          <cell r="X95">
            <v>9799.799656694986</v>
          </cell>
          <cell r="Y95">
            <v>9799.799656694986</v>
          </cell>
          <cell r="Z95">
            <v>9799.799656694986</v>
          </cell>
          <cell r="AA95">
            <v>9799.799656694986</v>
          </cell>
        </row>
        <row r="96">
          <cell r="D96">
            <v>12260.890804571109</v>
          </cell>
          <cell r="E96">
            <v>12260.890804571109</v>
          </cell>
          <cell r="F96">
            <v>12260.890804571109</v>
          </cell>
          <cell r="G96">
            <v>12260.890804571109</v>
          </cell>
          <cell r="H96">
            <v>12260.890804571109</v>
          </cell>
          <cell r="I96">
            <v>12260.890804571109</v>
          </cell>
          <cell r="J96">
            <v>12260.890804571109</v>
          </cell>
          <cell r="K96">
            <v>12260.890804571109</v>
          </cell>
          <cell r="L96">
            <v>12260.890804571109</v>
          </cell>
          <cell r="M96">
            <v>12260.890804571109</v>
          </cell>
          <cell r="N96">
            <v>12260.890804571109</v>
          </cell>
          <cell r="O96">
            <v>12260.890804571109</v>
          </cell>
          <cell r="P96">
            <v>12260.890804571109</v>
          </cell>
          <cell r="Q96">
            <v>12260.890804571109</v>
          </cell>
          <cell r="R96">
            <v>12260.890804571109</v>
          </cell>
          <cell r="S96">
            <v>12260.890804571109</v>
          </cell>
          <cell r="T96">
            <v>12260.890804571109</v>
          </cell>
          <cell r="U96">
            <v>12260.890804571109</v>
          </cell>
          <cell r="V96">
            <v>12260.890804571109</v>
          </cell>
          <cell r="W96">
            <v>12260.890804571109</v>
          </cell>
          <cell r="X96">
            <v>12260.890804571109</v>
          </cell>
          <cell r="Y96">
            <v>12260.890804571109</v>
          </cell>
          <cell r="Z96">
            <v>12260.890804571109</v>
          </cell>
          <cell r="AA96">
            <v>12260.890804571109</v>
          </cell>
        </row>
        <row r="97">
          <cell r="D97">
            <v>12839.249150023015</v>
          </cell>
          <cell r="E97">
            <v>12839.249150023015</v>
          </cell>
          <cell r="F97">
            <v>12839.249150023015</v>
          </cell>
          <cell r="G97">
            <v>12839.249150023015</v>
          </cell>
          <cell r="H97">
            <v>12839.249150023015</v>
          </cell>
          <cell r="I97">
            <v>12839.249150023015</v>
          </cell>
          <cell r="J97">
            <v>12839.249150023015</v>
          </cell>
          <cell r="K97">
            <v>12839.249150023015</v>
          </cell>
          <cell r="L97">
            <v>12839.249150023015</v>
          </cell>
          <cell r="M97">
            <v>12839.249150023015</v>
          </cell>
          <cell r="N97">
            <v>12839.249150023015</v>
          </cell>
          <cell r="O97">
            <v>12839.249150023015</v>
          </cell>
          <cell r="P97">
            <v>12839.249150023015</v>
          </cell>
          <cell r="Q97">
            <v>12839.249150023015</v>
          </cell>
          <cell r="R97">
            <v>12839.249150023015</v>
          </cell>
          <cell r="S97">
            <v>12839.249150023015</v>
          </cell>
          <cell r="T97">
            <v>12839.249150023015</v>
          </cell>
          <cell r="U97">
            <v>12839.249150023015</v>
          </cell>
          <cell r="V97">
            <v>12839.249150023015</v>
          </cell>
          <cell r="W97">
            <v>12839.249150023015</v>
          </cell>
          <cell r="X97">
            <v>12839.249150023015</v>
          </cell>
          <cell r="Y97">
            <v>12839.249150023015</v>
          </cell>
          <cell r="Z97">
            <v>12839.249150023015</v>
          </cell>
          <cell r="AA97">
            <v>12839.249150023015</v>
          </cell>
        </row>
        <row r="98">
          <cell r="D98">
            <v>8908.1835843630161</v>
          </cell>
          <cell r="E98">
            <v>8908.1835843630161</v>
          </cell>
          <cell r="F98">
            <v>8908.1835843630161</v>
          </cell>
          <cell r="G98">
            <v>8908.1835843630161</v>
          </cell>
          <cell r="H98">
            <v>8908.1835843630161</v>
          </cell>
          <cell r="I98">
            <v>8908.1835843630161</v>
          </cell>
          <cell r="J98">
            <v>8908.1835843630161</v>
          </cell>
          <cell r="K98">
            <v>8908.1835843630161</v>
          </cell>
          <cell r="L98">
            <v>8908.1835843630161</v>
          </cell>
          <cell r="M98">
            <v>8908.1835843630161</v>
          </cell>
          <cell r="N98">
            <v>8908.1835843630161</v>
          </cell>
          <cell r="O98">
            <v>8908.1835843630161</v>
          </cell>
          <cell r="P98">
            <v>8908.1835843630161</v>
          </cell>
          <cell r="Q98">
            <v>8908.1835843630161</v>
          </cell>
          <cell r="R98">
            <v>8908.1835843630161</v>
          </cell>
          <cell r="S98">
            <v>8908.1835843630161</v>
          </cell>
          <cell r="T98">
            <v>8908.1835843630161</v>
          </cell>
          <cell r="U98">
            <v>8908.1835843630161</v>
          </cell>
          <cell r="V98">
            <v>8908.1835843630161</v>
          </cell>
          <cell r="W98">
            <v>8908.1835843630161</v>
          </cell>
          <cell r="X98">
            <v>8908.1835843630161</v>
          </cell>
          <cell r="Y98">
            <v>8908.1835843630161</v>
          </cell>
          <cell r="Z98">
            <v>8908.1835843630161</v>
          </cell>
          <cell r="AA98">
            <v>8908.1835843630161</v>
          </cell>
        </row>
        <row r="99">
          <cell r="D99">
            <v>13825.385658390971</v>
          </cell>
          <cell r="E99">
            <v>13825.385658390971</v>
          </cell>
          <cell r="F99">
            <v>13825.385658390971</v>
          </cell>
          <cell r="G99">
            <v>13825.385658390971</v>
          </cell>
          <cell r="H99">
            <v>13825.385658390971</v>
          </cell>
          <cell r="I99">
            <v>13825.385658390971</v>
          </cell>
          <cell r="J99">
            <v>13825.385658390971</v>
          </cell>
          <cell r="K99">
            <v>13825.385658390971</v>
          </cell>
          <cell r="L99">
            <v>13825.385658390971</v>
          </cell>
          <cell r="M99">
            <v>13825.385658390971</v>
          </cell>
          <cell r="N99">
            <v>13825.385658390971</v>
          </cell>
          <cell r="O99">
            <v>13825.385658390971</v>
          </cell>
          <cell r="P99">
            <v>13825.385658390971</v>
          </cell>
          <cell r="Q99">
            <v>13825.385658390971</v>
          </cell>
          <cell r="R99">
            <v>13825.385658390971</v>
          </cell>
          <cell r="S99">
            <v>13825.385658390971</v>
          </cell>
          <cell r="T99">
            <v>13825.385658390971</v>
          </cell>
          <cell r="U99">
            <v>13825.385658390971</v>
          </cell>
          <cell r="V99">
            <v>13825.385658390971</v>
          </cell>
          <cell r="W99">
            <v>13825.385658390971</v>
          </cell>
          <cell r="X99">
            <v>13825.385658390971</v>
          </cell>
          <cell r="Y99">
            <v>13825.385658390971</v>
          </cell>
          <cell r="Z99">
            <v>13825.385658390971</v>
          </cell>
          <cell r="AA99">
            <v>13825.385658390971</v>
          </cell>
        </row>
        <row r="100">
          <cell r="D100">
            <v>12935.936662052636</v>
          </cell>
          <cell r="E100">
            <v>12935.936662052636</v>
          </cell>
          <cell r="F100">
            <v>12935.936662052636</v>
          </cell>
          <cell r="G100">
            <v>12935.936662052636</v>
          </cell>
          <cell r="H100">
            <v>12935.936662052636</v>
          </cell>
          <cell r="I100">
            <v>12935.936662052636</v>
          </cell>
          <cell r="J100">
            <v>12935.936662052636</v>
          </cell>
          <cell r="K100">
            <v>12935.936662052636</v>
          </cell>
          <cell r="L100">
            <v>12935.936662052636</v>
          </cell>
          <cell r="M100">
            <v>12935.936662052636</v>
          </cell>
          <cell r="N100">
            <v>12935.936662052636</v>
          </cell>
          <cell r="O100">
            <v>12935.936662052636</v>
          </cell>
          <cell r="P100">
            <v>12935.936662052636</v>
          </cell>
          <cell r="Q100">
            <v>12935.936662052636</v>
          </cell>
          <cell r="R100">
            <v>12935.936662052636</v>
          </cell>
          <cell r="S100">
            <v>12935.936662052636</v>
          </cell>
          <cell r="T100">
            <v>12935.936662052636</v>
          </cell>
          <cell r="U100">
            <v>12935.936662052636</v>
          </cell>
          <cell r="V100">
            <v>12935.936662052636</v>
          </cell>
          <cell r="W100">
            <v>12935.936662052636</v>
          </cell>
          <cell r="X100">
            <v>12935.936662052636</v>
          </cell>
          <cell r="Y100">
            <v>12935.936662052636</v>
          </cell>
          <cell r="Z100">
            <v>12935.936662052636</v>
          </cell>
          <cell r="AA100">
            <v>12935.936662052636</v>
          </cell>
        </row>
        <row r="101">
          <cell r="D101">
            <v>11003.823431616283</v>
          </cell>
          <cell r="E101">
            <v>11003.823431616283</v>
          </cell>
          <cell r="F101">
            <v>11003.823431616283</v>
          </cell>
          <cell r="G101">
            <v>11003.823431616283</v>
          </cell>
          <cell r="H101">
            <v>11003.823431616283</v>
          </cell>
          <cell r="I101">
            <v>11003.823431616283</v>
          </cell>
          <cell r="J101">
            <v>11003.823431616283</v>
          </cell>
          <cell r="K101">
            <v>11003.823431616283</v>
          </cell>
          <cell r="L101">
            <v>11003.823431616283</v>
          </cell>
          <cell r="M101">
            <v>11003.823431616283</v>
          </cell>
          <cell r="N101">
            <v>11003.823431616283</v>
          </cell>
          <cell r="O101">
            <v>11003.823431616283</v>
          </cell>
          <cell r="P101">
            <v>11003.823431616283</v>
          </cell>
          <cell r="Q101">
            <v>11003.823431616283</v>
          </cell>
          <cell r="R101">
            <v>11003.823431616283</v>
          </cell>
          <cell r="S101">
            <v>11003.823431616283</v>
          </cell>
          <cell r="T101">
            <v>11003.823431616283</v>
          </cell>
          <cell r="U101">
            <v>11003.823431616283</v>
          </cell>
          <cell r="V101">
            <v>11003.823431616283</v>
          </cell>
          <cell r="W101">
            <v>11003.823431616283</v>
          </cell>
          <cell r="X101">
            <v>11003.823431616283</v>
          </cell>
          <cell r="Y101">
            <v>11003.823431616283</v>
          </cell>
          <cell r="Z101">
            <v>11003.823431616283</v>
          </cell>
          <cell r="AA101">
            <v>11003.823431616283</v>
          </cell>
        </row>
        <row r="102">
          <cell r="D102">
            <v>14443.543494763933</v>
          </cell>
          <cell r="E102">
            <v>14443.543494763933</v>
          </cell>
          <cell r="F102">
            <v>14443.543494763933</v>
          </cell>
          <cell r="G102">
            <v>14443.543494763933</v>
          </cell>
          <cell r="H102">
            <v>14443.543494763933</v>
          </cell>
          <cell r="I102">
            <v>14443.543494763933</v>
          </cell>
          <cell r="J102">
            <v>14443.543494763933</v>
          </cell>
          <cell r="K102">
            <v>14443.543494763933</v>
          </cell>
          <cell r="L102">
            <v>14443.543494763933</v>
          </cell>
          <cell r="M102">
            <v>14443.543494763933</v>
          </cell>
          <cell r="N102">
            <v>14443.543494763933</v>
          </cell>
          <cell r="O102">
            <v>14443.543494763933</v>
          </cell>
          <cell r="P102">
            <v>14443.543494763933</v>
          </cell>
          <cell r="Q102">
            <v>14443.543494763933</v>
          </cell>
          <cell r="R102">
            <v>14443.543494763933</v>
          </cell>
          <cell r="S102">
            <v>14443.543494763933</v>
          </cell>
          <cell r="T102">
            <v>14443.543494763933</v>
          </cell>
          <cell r="U102">
            <v>14443.543494763933</v>
          </cell>
          <cell r="V102">
            <v>14443.543494763933</v>
          </cell>
          <cell r="W102">
            <v>14443.543494763933</v>
          </cell>
          <cell r="X102">
            <v>14443.543494763933</v>
          </cell>
          <cell r="Y102">
            <v>14443.543494763933</v>
          </cell>
          <cell r="Z102">
            <v>14443.543494763933</v>
          </cell>
          <cell r="AA102">
            <v>14443.543494763933</v>
          </cell>
        </row>
        <row r="103">
          <cell r="D103">
            <v>11352.361523601228</v>
          </cell>
          <cell r="E103">
            <v>11352.361523601228</v>
          </cell>
          <cell r="F103">
            <v>11352.361523601228</v>
          </cell>
          <cell r="G103">
            <v>11352.361523601228</v>
          </cell>
          <cell r="H103">
            <v>11352.361523601228</v>
          </cell>
          <cell r="I103">
            <v>11352.361523601228</v>
          </cell>
          <cell r="J103">
            <v>11352.361523601228</v>
          </cell>
          <cell r="K103">
            <v>11352.361523601228</v>
          </cell>
          <cell r="L103">
            <v>11352.361523601228</v>
          </cell>
          <cell r="M103">
            <v>11352.361523601228</v>
          </cell>
          <cell r="N103">
            <v>11352.361523601228</v>
          </cell>
          <cell r="O103">
            <v>11352.361523601228</v>
          </cell>
          <cell r="P103">
            <v>11352.361523601228</v>
          </cell>
          <cell r="Q103">
            <v>11352.361523601228</v>
          </cell>
          <cell r="R103">
            <v>11352.361523601228</v>
          </cell>
          <cell r="S103">
            <v>11352.361523601228</v>
          </cell>
          <cell r="T103">
            <v>11352.361523601228</v>
          </cell>
          <cell r="U103">
            <v>11352.361523601228</v>
          </cell>
          <cell r="V103">
            <v>11352.361523601228</v>
          </cell>
          <cell r="W103">
            <v>11352.361523601228</v>
          </cell>
          <cell r="X103">
            <v>11352.361523601228</v>
          </cell>
          <cell r="Y103">
            <v>11352.361523601228</v>
          </cell>
          <cell r="Z103">
            <v>11352.361523601228</v>
          </cell>
          <cell r="AA103">
            <v>11352.361523601228</v>
          </cell>
        </row>
        <row r="104">
          <cell r="D104">
            <v>11182.415386464609</v>
          </cell>
          <cell r="E104">
            <v>11182.415386464609</v>
          </cell>
          <cell r="F104">
            <v>11182.415386464609</v>
          </cell>
          <cell r="G104">
            <v>11182.415386464609</v>
          </cell>
          <cell r="H104">
            <v>11182.415386464609</v>
          </cell>
          <cell r="I104">
            <v>11182.415386464609</v>
          </cell>
          <cell r="J104">
            <v>11182.415386464609</v>
          </cell>
          <cell r="K104">
            <v>11182.415386464609</v>
          </cell>
          <cell r="L104">
            <v>11182.415386464609</v>
          </cell>
          <cell r="M104">
            <v>11182.415386464609</v>
          </cell>
          <cell r="N104">
            <v>11182.415386464609</v>
          </cell>
          <cell r="O104">
            <v>11182.415386464609</v>
          </cell>
          <cell r="P104">
            <v>11182.415386464609</v>
          </cell>
          <cell r="Q104">
            <v>11182.415386464609</v>
          </cell>
          <cell r="R104">
            <v>11182.415386464609</v>
          </cell>
          <cell r="S104">
            <v>11182.415386464609</v>
          </cell>
          <cell r="T104">
            <v>11182.415386464609</v>
          </cell>
          <cell r="U104">
            <v>11182.415386464609</v>
          </cell>
          <cell r="V104">
            <v>11182.415386464609</v>
          </cell>
          <cell r="W104">
            <v>11182.415386464609</v>
          </cell>
          <cell r="X104">
            <v>11182.415386464609</v>
          </cell>
          <cell r="Y104">
            <v>11182.415386464609</v>
          </cell>
          <cell r="Z104">
            <v>11182.415386464609</v>
          </cell>
          <cell r="AA104">
            <v>11182.415386464609</v>
          </cell>
        </row>
        <row r="105">
          <cell r="D105">
            <v>14699.784577522632</v>
          </cell>
          <cell r="E105">
            <v>14699.784577522632</v>
          </cell>
          <cell r="F105">
            <v>14699.784577522632</v>
          </cell>
          <cell r="G105">
            <v>14699.784577522632</v>
          </cell>
          <cell r="H105">
            <v>14699.784577522632</v>
          </cell>
          <cell r="I105">
            <v>14699.784577522632</v>
          </cell>
          <cell r="J105">
            <v>14699.784577522632</v>
          </cell>
          <cell r="K105">
            <v>14699.784577522632</v>
          </cell>
          <cell r="L105">
            <v>14699.784577522632</v>
          </cell>
          <cell r="M105">
            <v>14699.784577522632</v>
          </cell>
          <cell r="N105">
            <v>14699.784577522632</v>
          </cell>
          <cell r="O105">
            <v>14699.784577522632</v>
          </cell>
          <cell r="P105">
            <v>14699.784577522632</v>
          </cell>
          <cell r="Q105">
            <v>14699.784577522632</v>
          </cell>
          <cell r="R105">
            <v>14699.784577522632</v>
          </cell>
          <cell r="S105">
            <v>14699.784577522632</v>
          </cell>
          <cell r="T105">
            <v>14699.784577522632</v>
          </cell>
          <cell r="U105">
            <v>14699.784577522632</v>
          </cell>
          <cell r="V105">
            <v>14699.784577522632</v>
          </cell>
          <cell r="W105">
            <v>14699.784577522632</v>
          </cell>
          <cell r="X105">
            <v>14699.784577522632</v>
          </cell>
          <cell r="Y105">
            <v>14699.784577522632</v>
          </cell>
          <cell r="Z105">
            <v>14699.784577522632</v>
          </cell>
          <cell r="AA105">
            <v>14699.784577522632</v>
          </cell>
        </row>
        <row r="106">
          <cell r="D106">
            <v>12463.370917243705</v>
          </cell>
          <cell r="E106">
            <v>12463.370917243705</v>
          </cell>
          <cell r="F106">
            <v>12463.370917243705</v>
          </cell>
          <cell r="G106">
            <v>12463.370917243705</v>
          </cell>
          <cell r="H106">
            <v>12463.370917243705</v>
          </cell>
          <cell r="I106">
            <v>12463.370917243705</v>
          </cell>
          <cell r="J106">
            <v>12463.370917243705</v>
          </cell>
          <cell r="K106">
            <v>12463.370917243705</v>
          </cell>
          <cell r="L106">
            <v>12463.370917243705</v>
          </cell>
          <cell r="M106">
            <v>12463.370917243705</v>
          </cell>
          <cell r="N106">
            <v>12463.370917243705</v>
          </cell>
          <cell r="O106">
            <v>12463.370917243705</v>
          </cell>
          <cell r="P106">
            <v>12463.370917243705</v>
          </cell>
          <cell r="Q106">
            <v>12463.370917243705</v>
          </cell>
          <cell r="R106">
            <v>12463.370917243705</v>
          </cell>
          <cell r="S106">
            <v>12463.370917243705</v>
          </cell>
          <cell r="T106">
            <v>12463.370917243705</v>
          </cell>
          <cell r="U106">
            <v>12463.370917243705</v>
          </cell>
          <cell r="V106">
            <v>12463.370917243705</v>
          </cell>
          <cell r="W106">
            <v>12463.370917243705</v>
          </cell>
          <cell r="X106">
            <v>12463.370917243705</v>
          </cell>
          <cell r="Y106">
            <v>12463.370917243705</v>
          </cell>
          <cell r="Z106">
            <v>12463.370917243705</v>
          </cell>
          <cell r="AA106">
            <v>12463.370917243705</v>
          </cell>
        </row>
        <row r="107">
          <cell r="D107">
            <v>12083.95650424777</v>
          </cell>
          <cell r="E107">
            <v>12083.95650424777</v>
          </cell>
          <cell r="F107">
            <v>12083.95650424777</v>
          </cell>
          <cell r="G107">
            <v>12083.95650424777</v>
          </cell>
          <cell r="H107">
            <v>12083.95650424777</v>
          </cell>
          <cell r="I107">
            <v>12083.95650424777</v>
          </cell>
          <cell r="J107">
            <v>12083.95650424777</v>
          </cell>
          <cell r="K107">
            <v>12083.95650424777</v>
          </cell>
          <cell r="L107">
            <v>12083.95650424777</v>
          </cell>
          <cell r="M107">
            <v>12083.95650424777</v>
          </cell>
          <cell r="N107">
            <v>12083.95650424777</v>
          </cell>
          <cell r="O107">
            <v>12083.95650424777</v>
          </cell>
          <cell r="P107">
            <v>12083.95650424777</v>
          </cell>
          <cell r="Q107">
            <v>12083.95650424777</v>
          </cell>
          <cell r="R107">
            <v>12083.95650424777</v>
          </cell>
          <cell r="S107">
            <v>12083.95650424777</v>
          </cell>
          <cell r="T107">
            <v>12083.95650424777</v>
          </cell>
          <cell r="U107">
            <v>12083.95650424777</v>
          </cell>
          <cell r="V107">
            <v>12083.95650424777</v>
          </cell>
          <cell r="W107">
            <v>12083.95650424777</v>
          </cell>
          <cell r="X107">
            <v>12083.95650424777</v>
          </cell>
          <cell r="Y107">
            <v>12083.95650424777</v>
          </cell>
          <cell r="Z107">
            <v>12083.95650424777</v>
          </cell>
          <cell r="AA107">
            <v>12083.95650424777</v>
          </cell>
        </row>
        <row r="108">
          <cell r="D108">
            <v>14485.336562606033</v>
          </cell>
          <cell r="E108">
            <v>14485.336562606033</v>
          </cell>
          <cell r="F108">
            <v>14485.336562606033</v>
          </cell>
          <cell r="G108">
            <v>14485.336562606033</v>
          </cell>
          <cell r="H108">
            <v>14485.336562606033</v>
          </cell>
          <cell r="I108">
            <v>14485.336562606033</v>
          </cell>
          <cell r="J108">
            <v>14485.336562606033</v>
          </cell>
          <cell r="K108">
            <v>14485.336562606033</v>
          </cell>
          <cell r="L108">
            <v>14485.336562606033</v>
          </cell>
          <cell r="M108">
            <v>14485.336562606033</v>
          </cell>
          <cell r="N108">
            <v>14485.336562606033</v>
          </cell>
          <cell r="O108">
            <v>14485.336562606033</v>
          </cell>
          <cell r="P108">
            <v>14485.336562606033</v>
          </cell>
          <cell r="Q108">
            <v>14485.336562606033</v>
          </cell>
          <cell r="R108">
            <v>14485.336562606033</v>
          </cell>
          <cell r="S108">
            <v>14485.336562606033</v>
          </cell>
          <cell r="T108">
            <v>14485.336562606033</v>
          </cell>
          <cell r="U108">
            <v>14485.336562606033</v>
          </cell>
          <cell r="V108">
            <v>14485.336562606033</v>
          </cell>
          <cell r="W108">
            <v>14485.336562606033</v>
          </cell>
          <cell r="X108">
            <v>14485.336562606033</v>
          </cell>
          <cell r="Y108">
            <v>14485.336562606033</v>
          </cell>
          <cell r="Z108">
            <v>14485.336562606033</v>
          </cell>
          <cell r="AA108">
            <v>14485.336562606033</v>
          </cell>
        </row>
        <row r="109">
          <cell r="D109">
            <v>14128.557135600673</v>
          </cell>
          <cell r="E109">
            <v>14128.557135600673</v>
          </cell>
          <cell r="F109">
            <v>14128.557135600673</v>
          </cell>
          <cell r="G109">
            <v>14128.557135600673</v>
          </cell>
          <cell r="H109">
            <v>14128.557135600673</v>
          </cell>
          <cell r="I109">
            <v>14128.557135600673</v>
          </cell>
          <cell r="J109">
            <v>14128.557135600673</v>
          </cell>
          <cell r="K109">
            <v>14128.557135600673</v>
          </cell>
          <cell r="L109">
            <v>14128.557135600673</v>
          </cell>
          <cell r="M109">
            <v>14128.557135600673</v>
          </cell>
          <cell r="N109">
            <v>14128.557135600673</v>
          </cell>
          <cell r="O109">
            <v>14128.557135600673</v>
          </cell>
          <cell r="P109">
            <v>14128.557135600673</v>
          </cell>
          <cell r="Q109">
            <v>14128.557135600673</v>
          </cell>
          <cell r="R109">
            <v>14128.557135600673</v>
          </cell>
          <cell r="S109">
            <v>14128.557135600673</v>
          </cell>
          <cell r="T109">
            <v>14128.557135600673</v>
          </cell>
          <cell r="U109">
            <v>14128.557135600673</v>
          </cell>
          <cell r="V109">
            <v>14128.557135600673</v>
          </cell>
          <cell r="W109">
            <v>14128.557135600673</v>
          </cell>
          <cell r="X109">
            <v>14128.557135600673</v>
          </cell>
          <cell r="Y109">
            <v>14128.557135600673</v>
          </cell>
          <cell r="Z109">
            <v>14128.557135600673</v>
          </cell>
          <cell r="AA109">
            <v>14128.557135600673</v>
          </cell>
        </row>
        <row r="110">
          <cell r="D110">
            <v>12913.156339135818</v>
          </cell>
          <cell r="E110">
            <v>12913.156339135818</v>
          </cell>
          <cell r="F110">
            <v>12913.156339135818</v>
          </cell>
          <cell r="G110">
            <v>12913.156339135818</v>
          </cell>
          <cell r="H110">
            <v>12913.156339135818</v>
          </cell>
          <cell r="I110">
            <v>12913.156339135818</v>
          </cell>
          <cell r="J110">
            <v>12913.156339135818</v>
          </cell>
          <cell r="K110">
            <v>12913.156339135818</v>
          </cell>
          <cell r="L110">
            <v>12913.156339135818</v>
          </cell>
          <cell r="M110">
            <v>12913.156339135818</v>
          </cell>
          <cell r="N110">
            <v>12913.156339135818</v>
          </cell>
          <cell r="O110">
            <v>12913.156339135818</v>
          </cell>
          <cell r="P110">
            <v>12913.156339135818</v>
          </cell>
          <cell r="Q110">
            <v>12913.156339135818</v>
          </cell>
          <cell r="R110">
            <v>12913.156339135818</v>
          </cell>
          <cell r="S110">
            <v>12913.156339135818</v>
          </cell>
          <cell r="T110">
            <v>12913.156339135818</v>
          </cell>
          <cell r="U110">
            <v>12913.156339135818</v>
          </cell>
          <cell r="V110">
            <v>12913.156339135818</v>
          </cell>
          <cell r="W110">
            <v>12913.156339135818</v>
          </cell>
          <cell r="X110">
            <v>12913.156339135818</v>
          </cell>
          <cell r="Y110">
            <v>12913.156339135818</v>
          </cell>
          <cell r="Z110">
            <v>12913.156339135818</v>
          </cell>
          <cell r="AA110">
            <v>12913.156339135818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  <pageSetUpPr fitToPage="1"/>
  </sheetPr>
  <dimension ref="A1:M58"/>
  <sheetViews>
    <sheetView showGridLines="0" topLeftCell="A4" zoomScale="70" zoomScaleNormal="70" workbookViewId="0">
      <selection activeCell="D13" sqref="D13:H13"/>
    </sheetView>
  </sheetViews>
  <sheetFormatPr baseColWidth="10" defaultRowHeight="15" x14ac:dyDescent="0.25"/>
  <cols>
    <col min="4" max="4" width="70.28515625" customWidth="1"/>
    <col min="5" max="5" width="25.5703125" bestFit="1" customWidth="1"/>
    <col min="6" max="8" width="17.7109375" customWidth="1"/>
    <col min="10" max="10" width="16.7109375" customWidth="1"/>
    <col min="13" max="13" width="14" bestFit="1" customWidth="1"/>
  </cols>
  <sheetData>
    <row r="1" spans="1:13" ht="24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66" customHeight="1" x14ac:dyDescent="0.25">
      <c r="A2" s="2"/>
      <c r="B2" s="37" t="s">
        <v>0</v>
      </c>
      <c r="C2" s="37"/>
      <c r="D2" s="37"/>
      <c r="E2" s="37"/>
      <c r="F2" s="37"/>
      <c r="G2" s="37"/>
      <c r="H2" s="37"/>
      <c r="I2" s="2"/>
      <c r="J2" s="3"/>
      <c r="K2" s="4"/>
    </row>
    <row r="3" spans="1:13" ht="60.75" customHeight="1" x14ac:dyDescent="0.25">
      <c r="A3" s="38" t="s">
        <v>25</v>
      </c>
      <c r="B3" s="38"/>
      <c r="C3" s="38"/>
      <c r="D3" s="38"/>
      <c r="E3" s="38"/>
      <c r="F3" s="38"/>
      <c r="G3" s="38"/>
      <c r="H3" s="38"/>
      <c r="I3" s="38"/>
      <c r="J3" s="5"/>
      <c r="K3" s="4"/>
    </row>
    <row r="4" spans="1:13" ht="25.5" x14ac:dyDescent="0.25">
      <c r="A4" s="2"/>
      <c r="B4" s="39"/>
      <c r="C4" s="39"/>
      <c r="D4" s="39"/>
      <c r="E4" s="39"/>
      <c r="F4" s="39"/>
      <c r="G4" s="39"/>
      <c r="H4" s="39"/>
      <c r="I4" s="2"/>
      <c r="J4" s="5"/>
      <c r="K4" s="4"/>
    </row>
    <row r="5" spans="1:13" ht="25.5" x14ac:dyDescent="0.35">
      <c r="A5" s="6"/>
      <c r="B5" s="7"/>
      <c r="C5" s="8"/>
      <c r="D5" s="8"/>
      <c r="E5" s="8"/>
      <c r="F5" s="8"/>
      <c r="G5" s="8"/>
      <c r="H5" s="9"/>
      <c r="I5" s="10"/>
      <c r="J5" s="11"/>
      <c r="K5" s="12"/>
    </row>
    <row r="6" spans="1:13" ht="25.5" x14ac:dyDescent="0.35">
      <c r="A6" s="13" t="s">
        <v>1</v>
      </c>
      <c r="B6" s="6"/>
      <c r="C6" s="6"/>
      <c r="D6" s="14"/>
      <c r="E6" s="6"/>
      <c r="F6" s="6"/>
      <c r="G6" s="6"/>
      <c r="H6" s="6"/>
      <c r="I6" s="10"/>
      <c r="J6" s="11"/>
      <c r="K6" s="12"/>
    </row>
    <row r="7" spans="1:13" ht="25.5" x14ac:dyDescent="0.35">
      <c r="A7" s="13" t="s">
        <v>2</v>
      </c>
      <c r="B7" s="6"/>
      <c r="C7" s="6"/>
      <c r="D7" s="14"/>
      <c r="E7" s="6"/>
      <c r="F7" s="6"/>
      <c r="G7" s="6"/>
      <c r="H7" s="6"/>
      <c r="I7" s="10"/>
      <c r="J7" s="11"/>
      <c r="K7" s="12"/>
    </row>
    <row r="8" spans="1:13" ht="26.25" x14ac:dyDescent="0.35">
      <c r="A8" s="13" t="s">
        <v>3</v>
      </c>
      <c r="B8" s="6"/>
      <c r="C8" s="6"/>
      <c r="D8" s="14"/>
      <c r="E8" s="15"/>
      <c r="F8" s="15"/>
      <c r="G8" s="15"/>
      <c r="H8" s="15"/>
      <c r="I8" s="16"/>
      <c r="J8" s="14"/>
      <c r="K8" s="1"/>
    </row>
    <row r="9" spans="1:13" ht="26.25" x14ac:dyDescent="0.35">
      <c r="A9" s="17" t="str">
        <f>"PRODUCTO OFERTADO: "&amp;B4</f>
        <v xml:space="preserve">PRODUCTO OFERTADO: </v>
      </c>
      <c r="B9" s="6"/>
      <c r="C9" s="6"/>
      <c r="D9" s="14"/>
      <c r="E9" s="15"/>
      <c r="F9" s="15"/>
      <c r="G9" s="15"/>
      <c r="H9" s="15"/>
      <c r="I9" s="16"/>
      <c r="J9" s="14"/>
      <c r="K9" s="1"/>
    </row>
    <row r="10" spans="1:13" ht="26.25" x14ac:dyDescent="0.35">
      <c r="A10" s="17"/>
      <c r="B10" s="6"/>
      <c r="C10" s="6"/>
      <c r="D10" s="14"/>
      <c r="E10" s="15"/>
      <c r="F10" s="15"/>
      <c r="G10" s="15"/>
      <c r="H10" s="15"/>
      <c r="I10" s="16"/>
      <c r="J10" s="14"/>
      <c r="K10" s="1"/>
    </row>
    <row r="11" spans="1:13" ht="26.25" x14ac:dyDescent="0.35">
      <c r="A11" s="18" t="s">
        <v>21</v>
      </c>
      <c r="B11" s="19"/>
      <c r="C11" s="19"/>
      <c r="D11" s="20"/>
      <c r="E11" s="15"/>
      <c r="F11" s="15"/>
      <c r="G11" s="15"/>
      <c r="H11" s="15"/>
      <c r="I11" s="16"/>
      <c r="J11" s="14"/>
      <c r="K11" s="1"/>
    </row>
    <row r="12" spans="1:13" ht="26.25" thickBot="1" x14ac:dyDescent="0.4">
      <c r="A12" s="20"/>
      <c r="B12" s="14"/>
      <c r="C12" s="14"/>
      <c r="D12" s="14"/>
      <c r="E12" s="14"/>
      <c r="F12" s="14"/>
      <c r="G12" s="14"/>
      <c r="H12" s="14"/>
      <c r="I12" s="14"/>
      <c r="J12" s="14"/>
      <c r="K12" s="1"/>
    </row>
    <row r="13" spans="1:13" ht="25.5" x14ac:dyDescent="0.35">
      <c r="A13" s="14"/>
      <c r="B13" s="14"/>
      <c r="C13" s="14"/>
      <c r="D13" s="40" t="str">
        <f>"Oferta Producto 1 " &amp; PROPER(B4)</f>
        <v xml:space="preserve">Oferta Producto 1 </v>
      </c>
      <c r="E13" s="41"/>
      <c r="F13" s="41"/>
      <c r="G13" s="41"/>
      <c r="H13" s="42"/>
      <c r="I13" s="14"/>
      <c r="J13" s="14"/>
      <c r="K13" s="1"/>
    </row>
    <row r="14" spans="1:13" ht="60.75" x14ac:dyDescent="0.35">
      <c r="A14" s="14"/>
      <c r="B14" s="14"/>
      <c r="C14" s="14"/>
      <c r="D14" s="24" t="s">
        <v>4</v>
      </c>
      <c r="E14" s="21" t="s">
        <v>5</v>
      </c>
      <c r="F14" s="21" t="s">
        <v>6</v>
      </c>
      <c r="G14" s="21" t="s">
        <v>7</v>
      </c>
      <c r="H14" s="25" t="s">
        <v>8</v>
      </c>
      <c r="I14" s="14"/>
      <c r="J14" s="14"/>
      <c r="K14" s="1"/>
    </row>
    <row r="15" spans="1:13" ht="25.5" x14ac:dyDescent="0.35">
      <c r="A15" s="14"/>
      <c r="B15" s="14"/>
      <c r="C15" s="14"/>
      <c r="D15" s="68">
        <v>46388</v>
      </c>
      <c r="E15" s="69">
        <v>7829073.8479090584</v>
      </c>
      <c r="F15" s="21"/>
      <c r="G15" s="21"/>
      <c r="H15" s="71"/>
      <c r="I15" s="14"/>
      <c r="J15" s="32"/>
      <c r="K15" s="35"/>
      <c r="L15" s="30"/>
      <c r="M15" s="31"/>
    </row>
    <row r="16" spans="1:13" ht="25.5" x14ac:dyDescent="0.35">
      <c r="A16" s="14"/>
      <c r="B16" s="14"/>
      <c r="C16" s="14"/>
      <c r="D16" s="68">
        <v>46419</v>
      </c>
      <c r="E16" s="69">
        <v>9216850.5968775116</v>
      </c>
      <c r="F16" s="21"/>
      <c r="G16" s="21"/>
      <c r="H16" s="72"/>
      <c r="I16" s="14"/>
      <c r="J16" s="32"/>
      <c r="K16" s="35"/>
      <c r="L16" s="30"/>
      <c r="M16" s="31"/>
    </row>
    <row r="17" spans="1:13" ht="25.5" x14ac:dyDescent="0.35">
      <c r="A17" s="14"/>
      <c r="B17" s="14"/>
      <c r="C17" s="14"/>
      <c r="D17" s="68">
        <v>46447</v>
      </c>
      <c r="E17" s="69">
        <v>10762660.330941439</v>
      </c>
      <c r="F17" s="21"/>
      <c r="G17" s="21"/>
      <c r="H17" s="72"/>
      <c r="I17" s="14"/>
      <c r="J17" s="32"/>
      <c r="K17" s="35"/>
      <c r="L17" s="30"/>
      <c r="M17" s="31"/>
    </row>
    <row r="18" spans="1:13" ht="25.5" x14ac:dyDescent="0.35">
      <c r="A18" s="14"/>
      <c r="B18" s="14"/>
      <c r="C18" s="14"/>
      <c r="D18" s="68">
        <v>46478</v>
      </c>
      <c r="E18" s="69">
        <v>9326731.5378364939</v>
      </c>
      <c r="F18" s="21"/>
      <c r="G18" s="21"/>
      <c r="H18" s="72"/>
      <c r="I18" s="14"/>
      <c r="J18" s="32"/>
      <c r="K18" s="35"/>
      <c r="L18" s="30"/>
      <c r="M18" s="31"/>
    </row>
    <row r="19" spans="1:13" ht="25.5" x14ac:dyDescent="0.35">
      <c r="A19" s="14"/>
      <c r="B19" s="14"/>
      <c r="C19" s="14"/>
      <c r="D19" s="68">
        <v>46508</v>
      </c>
      <c r="E19" s="69">
        <v>8062875.5876237778</v>
      </c>
      <c r="F19" s="21"/>
      <c r="G19" s="21"/>
      <c r="H19" s="72"/>
      <c r="I19" s="14"/>
      <c r="J19" s="32"/>
      <c r="K19" s="35"/>
      <c r="L19" s="30"/>
      <c r="M19" s="31"/>
    </row>
    <row r="20" spans="1:13" ht="25.5" x14ac:dyDescent="0.35">
      <c r="A20" s="14"/>
      <c r="B20" s="14"/>
      <c r="C20" s="14"/>
      <c r="D20" s="68">
        <v>46539</v>
      </c>
      <c r="E20" s="69">
        <v>6524766.0528190797</v>
      </c>
      <c r="F20" s="21"/>
      <c r="G20" s="21"/>
      <c r="H20" s="72"/>
      <c r="I20" s="14"/>
      <c r="J20" s="32"/>
      <c r="K20" s="35"/>
      <c r="L20" s="30"/>
      <c r="M20" s="31"/>
    </row>
    <row r="21" spans="1:13" ht="25.5" x14ac:dyDescent="0.35">
      <c r="A21" s="14"/>
      <c r="B21" s="14"/>
      <c r="C21" s="14"/>
      <c r="D21" s="68">
        <v>46569</v>
      </c>
      <c r="E21" s="69">
        <v>6520470.9507753951</v>
      </c>
      <c r="F21" s="21"/>
      <c r="G21" s="21"/>
      <c r="H21" s="72"/>
      <c r="I21" s="14"/>
      <c r="J21" s="32"/>
      <c r="K21" s="35"/>
      <c r="L21" s="30"/>
      <c r="M21" s="31"/>
    </row>
    <row r="22" spans="1:13" ht="25.5" x14ac:dyDescent="0.35">
      <c r="A22" s="14"/>
      <c r="B22" s="14"/>
      <c r="C22" s="14"/>
      <c r="D22" s="68">
        <v>46600</v>
      </c>
      <c r="E22" s="69">
        <v>7489983.3658982953</v>
      </c>
      <c r="F22" s="21"/>
      <c r="G22" s="21"/>
      <c r="H22" s="72"/>
      <c r="I22" s="14"/>
      <c r="J22" s="32"/>
      <c r="K22" s="35"/>
      <c r="L22" s="30"/>
      <c r="M22" s="31"/>
    </row>
    <row r="23" spans="1:13" ht="25.5" x14ac:dyDescent="0.35">
      <c r="A23" s="14"/>
      <c r="B23" s="14"/>
      <c r="C23" s="14"/>
      <c r="D23" s="68">
        <v>46631</v>
      </c>
      <c r="E23" s="69">
        <v>8920213.0941721536</v>
      </c>
      <c r="F23" s="21"/>
      <c r="G23" s="21"/>
      <c r="H23" s="72"/>
      <c r="I23" s="14"/>
      <c r="J23" s="32"/>
      <c r="K23" s="35"/>
      <c r="L23" s="30"/>
      <c r="M23" s="31"/>
    </row>
    <row r="24" spans="1:13" ht="25.5" x14ac:dyDescent="0.35">
      <c r="A24" s="14"/>
      <c r="B24" s="14"/>
      <c r="C24" s="14"/>
      <c r="D24" s="68">
        <v>46661</v>
      </c>
      <c r="E24" s="69">
        <v>9361145.3922507539</v>
      </c>
      <c r="F24" s="21"/>
      <c r="G24" s="21"/>
      <c r="H24" s="72"/>
      <c r="I24" s="14"/>
      <c r="J24" s="32"/>
      <c r="K24" s="35"/>
      <c r="L24" s="30"/>
      <c r="M24" s="31"/>
    </row>
    <row r="25" spans="1:13" ht="25.5" x14ac:dyDescent="0.35">
      <c r="A25" s="14"/>
      <c r="B25" s="14"/>
      <c r="C25" s="14"/>
      <c r="D25" s="68">
        <v>46692</v>
      </c>
      <c r="E25" s="69">
        <v>9415662.1414587963</v>
      </c>
      <c r="F25" s="21"/>
      <c r="G25" s="21"/>
      <c r="H25" s="72"/>
      <c r="I25" s="14"/>
      <c r="J25" s="32"/>
      <c r="K25" s="35"/>
      <c r="L25" s="30"/>
      <c r="M25" s="31"/>
    </row>
    <row r="26" spans="1:13" ht="25.5" x14ac:dyDescent="0.35">
      <c r="A26" s="14"/>
      <c r="B26" s="14"/>
      <c r="C26" s="14"/>
      <c r="D26" s="68">
        <v>46722</v>
      </c>
      <c r="E26" s="69">
        <v>11315587.049650099</v>
      </c>
      <c r="F26" s="21"/>
      <c r="G26" s="21"/>
      <c r="H26" s="73"/>
      <c r="I26" s="14"/>
      <c r="J26" s="32"/>
      <c r="K26" s="35"/>
      <c r="L26" s="30"/>
      <c r="M26" s="31"/>
    </row>
    <row r="27" spans="1:13" ht="25.5" x14ac:dyDescent="0.35">
      <c r="A27" s="14"/>
      <c r="B27" s="14"/>
      <c r="C27" s="14"/>
      <c r="D27" s="68">
        <v>46753</v>
      </c>
      <c r="E27" s="69">
        <v>7597749.7648000531</v>
      </c>
      <c r="F27" s="21"/>
      <c r="G27" s="21"/>
      <c r="H27" s="71"/>
      <c r="I27" s="14"/>
      <c r="J27" s="32"/>
      <c r="K27" s="35"/>
      <c r="L27" s="30"/>
      <c r="M27" s="31"/>
    </row>
    <row r="28" spans="1:13" ht="25.5" x14ac:dyDescent="0.35">
      <c r="A28" s="14"/>
      <c r="B28" s="14"/>
      <c r="C28" s="14"/>
      <c r="D28" s="68">
        <v>46784</v>
      </c>
      <c r="E28" s="69">
        <v>8963494.9022513572</v>
      </c>
      <c r="F28" s="21"/>
      <c r="G28" s="21"/>
      <c r="H28" s="72"/>
      <c r="I28" s="14"/>
      <c r="J28" s="32"/>
      <c r="K28" s="35"/>
      <c r="L28" s="30"/>
      <c r="M28" s="31"/>
    </row>
    <row r="29" spans="1:13" ht="25.5" x14ac:dyDescent="0.35">
      <c r="A29" s="14"/>
      <c r="B29" s="14"/>
      <c r="C29" s="14"/>
      <c r="D29" s="68">
        <v>46813</v>
      </c>
      <c r="E29" s="69">
        <v>9995438.4397379626</v>
      </c>
      <c r="F29" s="21"/>
      <c r="G29" s="21"/>
      <c r="H29" s="72"/>
      <c r="I29" s="14"/>
      <c r="J29" s="32"/>
      <c r="K29" s="35"/>
      <c r="L29" s="30"/>
      <c r="M29" s="31"/>
    </row>
    <row r="30" spans="1:13" ht="25.5" x14ac:dyDescent="0.35">
      <c r="A30" s="14"/>
      <c r="B30" s="14"/>
      <c r="C30" s="14"/>
      <c r="D30" s="68">
        <v>46844</v>
      </c>
      <c r="E30" s="69">
        <v>8724405.8409821615</v>
      </c>
      <c r="F30" s="21"/>
      <c r="G30" s="21"/>
      <c r="H30" s="72"/>
      <c r="I30" s="14"/>
      <c r="J30" s="32"/>
      <c r="K30" s="35"/>
      <c r="L30" s="30"/>
      <c r="M30" s="31"/>
    </row>
    <row r="31" spans="1:13" ht="25.5" x14ac:dyDescent="0.35">
      <c r="A31" s="14"/>
      <c r="B31" s="14"/>
      <c r="C31" s="14"/>
      <c r="D31" s="68">
        <v>46874</v>
      </c>
      <c r="E31" s="69">
        <v>6888386.8468657695</v>
      </c>
      <c r="F31" s="21"/>
      <c r="G31" s="21"/>
      <c r="H31" s="72"/>
      <c r="I31" s="14"/>
      <c r="J31" s="32"/>
      <c r="K31" s="35"/>
      <c r="L31" s="30"/>
      <c r="M31" s="31"/>
    </row>
    <row r="32" spans="1:13" ht="25.5" x14ac:dyDescent="0.35">
      <c r="A32" s="14"/>
      <c r="B32" s="14"/>
      <c r="C32" s="14"/>
      <c r="D32" s="68">
        <v>46905</v>
      </c>
      <c r="E32" s="69">
        <v>5593215.3894080501</v>
      </c>
      <c r="F32" s="21"/>
      <c r="G32" s="21"/>
      <c r="H32" s="72"/>
      <c r="I32" s="14"/>
      <c r="J32" s="32"/>
      <c r="K32" s="35"/>
      <c r="L32" s="30"/>
      <c r="M32" s="31"/>
    </row>
    <row r="33" spans="1:13" ht="25.5" x14ac:dyDescent="0.35">
      <c r="A33" s="14"/>
      <c r="B33" s="14"/>
      <c r="C33" s="14"/>
      <c r="D33" s="68">
        <v>46935</v>
      </c>
      <c r="E33" s="69">
        <v>5918359.7087017428</v>
      </c>
      <c r="F33" s="21"/>
      <c r="G33" s="21"/>
      <c r="H33" s="72"/>
      <c r="I33" s="14"/>
      <c r="J33" s="32"/>
      <c r="K33" s="35"/>
      <c r="L33" s="30"/>
      <c r="M33" s="31"/>
    </row>
    <row r="34" spans="1:13" ht="25.5" x14ac:dyDescent="0.35">
      <c r="A34" s="14"/>
      <c r="B34" s="14"/>
      <c r="C34" s="14"/>
      <c r="D34" s="68">
        <v>46966</v>
      </c>
      <c r="E34" s="69">
        <v>6041279.1791162994</v>
      </c>
      <c r="F34" s="21"/>
      <c r="G34" s="21"/>
      <c r="H34" s="72"/>
      <c r="I34" s="14"/>
      <c r="J34" s="32"/>
      <c r="K34" s="35"/>
      <c r="L34" s="30"/>
      <c r="M34" s="31"/>
    </row>
    <row r="35" spans="1:13" ht="25.5" x14ac:dyDescent="0.35">
      <c r="A35" s="14"/>
      <c r="B35" s="14"/>
      <c r="C35" s="14"/>
      <c r="D35" s="68">
        <v>46997</v>
      </c>
      <c r="E35" s="69">
        <v>7516358.88570021</v>
      </c>
      <c r="F35" s="21"/>
      <c r="G35" s="21"/>
      <c r="H35" s="72"/>
      <c r="I35" s="14"/>
      <c r="J35" s="32"/>
      <c r="K35" s="35"/>
      <c r="L35" s="30"/>
      <c r="M35" s="31"/>
    </row>
    <row r="36" spans="1:13" ht="25.5" x14ac:dyDescent="0.35">
      <c r="A36" s="14"/>
      <c r="B36" s="14"/>
      <c r="C36" s="14"/>
      <c r="D36" s="68">
        <v>47027</v>
      </c>
      <c r="E36" s="69">
        <v>7662951.2793595511</v>
      </c>
      <c r="F36" s="21"/>
      <c r="G36" s="21"/>
      <c r="H36" s="72"/>
      <c r="I36" s="14"/>
      <c r="J36" s="32"/>
      <c r="K36" s="35"/>
      <c r="L36" s="30"/>
      <c r="M36" s="31"/>
    </row>
    <row r="37" spans="1:13" ht="25.5" x14ac:dyDescent="0.35">
      <c r="A37" s="14"/>
      <c r="B37" s="14"/>
      <c r="C37" s="14"/>
      <c r="D37" s="68">
        <v>47058</v>
      </c>
      <c r="E37" s="69">
        <v>7029777.1786209475</v>
      </c>
      <c r="F37" s="21"/>
      <c r="G37" s="21"/>
      <c r="H37" s="72"/>
      <c r="I37" s="14"/>
      <c r="J37" s="32"/>
      <c r="K37" s="35"/>
      <c r="L37" s="30"/>
      <c r="M37" s="31"/>
    </row>
    <row r="38" spans="1:13" ht="25.5" x14ac:dyDescent="0.35">
      <c r="A38" s="14"/>
      <c r="B38" s="14"/>
      <c r="C38" s="14"/>
      <c r="D38" s="68">
        <v>47088</v>
      </c>
      <c r="E38" s="69">
        <v>8628823.4257194176</v>
      </c>
      <c r="F38" s="21"/>
      <c r="G38" s="21"/>
      <c r="H38" s="73"/>
      <c r="I38" s="14"/>
      <c r="J38" s="32"/>
      <c r="K38" s="35"/>
      <c r="L38" s="30"/>
      <c r="M38" s="31"/>
    </row>
    <row r="39" spans="1:13" ht="25.5" x14ac:dyDescent="0.35">
      <c r="A39" s="14"/>
      <c r="B39" s="14"/>
      <c r="C39" s="14"/>
      <c r="D39" s="68">
        <v>47119</v>
      </c>
      <c r="E39" s="69">
        <v>6787140.2440451682</v>
      </c>
      <c r="F39" s="21"/>
      <c r="G39" s="21"/>
      <c r="H39" s="71"/>
      <c r="I39" s="14"/>
      <c r="J39" s="32"/>
      <c r="K39" s="35"/>
      <c r="L39" s="30"/>
      <c r="M39" s="31"/>
    </row>
    <row r="40" spans="1:13" ht="25.5" x14ac:dyDescent="0.35">
      <c r="A40" s="14"/>
      <c r="B40" s="14"/>
      <c r="C40" s="14"/>
      <c r="D40" s="68">
        <v>47150</v>
      </c>
      <c r="E40" s="69">
        <v>8456526.6347948071</v>
      </c>
      <c r="F40" s="21"/>
      <c r="G40" s="21"/>
      <c r="H40" s="72"/>
      <c r="I40" s="14"/>
      <c r="J40" s="32"/>
      <c r="K40" s="35"/>
      <c r="L40" s="30"/>
      <c r="M40" s="31"/>
    </row>
    <row r="41" spans="1:13" ht="25.5" x14ac:dyDescent="0.35">
      <c r="A41" s="14"/>
      <c r="B41" s="14"/>
      <c r="C41" s="14"/>
      <c r="D41" s="68">
        <v>47178</v>
      </c>
      <c r="E41" s="69">
        <v>9756996.8474098817</v>
      </c>
      <c r="F41" s="21"/>
      <c r="G41" s="21"/>
      <c r="H41" s="72"/>
      <c r="I41" s="14"/>
      <c r="J41" s="32"/>
      <c r="K41" s="35"/>
      <c r="L41" s="30"/>
      <c r="M41" s="31"/>
    </row>
    <row r="42" spans="1:13" ht="25.5" x14ac:dyDescent="0.35">
      <c r="A42" s="14"/>
      <c r="B42" s="14"/>
      <c r="C42" s="14"/>
      <c r="D42" s="68">
        <v>47209</v>
      </c>
      <c r="E42" s="69">
        <v>8883522.2181271724</v>
      </c>
      <c r="F42" s="21"/>
      <c r="G42" s="21"/>
      <c r="H42" s="72"/>
      <c r="I42" s="14"/>
      <c r="J42" s="32"/>
      <c r="K42" s="35"/>
      <c r="L42" s="30"/>
      <c r="M42" s="31"/>
    </row>
    <row r="43" spans="1:13" ht="25.5" x14ac:dyDescent="0.35">
      <c r="A43" s="14"/>
      <c r="B43" s="14"/>
      <c r="C43" s="14"/>
      <c r="D43" s="68">
        <v>47239</v>
      </c>
      <c r="E43" s="69">
        <v>8599314.3079527263</v>
      </c>
      <c r="F43" s="21"/>
      <c r="G43" s="21"/>
      <c r="H43" s="72"/>
      <c r="I43" s="14"/>
      <c r="J43" s="32"/>
      <c r="K43" s="35"/>
      <c r="L43" s="30"/>
      <c r="M43" s="31"/>
    </row>
    <row r="44" spans="1:13" ht="25.5" x14ac:dyDescent="0.35">
      <c r="A44" s="14"/>
      <c r="B44" s="14"/>
      <c r="C44" s="14"/>
      <c r="D44" s="68">
        <v>47270</v>
      </c>
      <c r="E44" s="69">
        <v>6971614.2478799485</v>
      </c>
      <c r="F44" s="21"/>
      <c r="G44" s="21"/>
      <c r="H44" s="72"/>
      <c r="I44" s="14"/>
      <c r="J44" s="32"/>
      <c r="K44" s="35"/>
      <c r="L44" s="30"/>
      <c r="M44" s="31"/>
    </row>
    <row r="45" spans="1:13" ht="25.5" x14ac:dyDescent="0.35">
      <c r="A45" s="14"/>
      <c r="B45" s="14"/>
      <c r="C45" s="14"/>
      <c r="D45" s="68">
        <v>47300</v>
      </c>
      <c r="E45" s="69">
        <v>7567828.9424015526</v>
      </c>
      <c r="F45" s="21"/>
      <c r="G45" s="21"/>
      <c r="H45" s="72"/>
      <c r="I45" s="14"/>
      <c r="J45" s="32"/>
      <c r="K45" s="35"/>
      <c r="L45" s="30"/>
      <c r="M45" s="31"/>
    </row>
    <row r="46" spans="1:13" ht="25.5" x14ac:dyDescent="0.35">
      <c r="A46" s="14"/>
      <c r="B46" s="14"/>
      <c r="C46" s="14"/>
      <c r="D46" s="68">
        <v>47331</v>
      </c>
      <c r="E46" s="69">
        <v>8694835.3200543206</v>
      </c>
      <c r="F46" s="21"/>
      <c r="G46" s="21"/>
      <c r="H46" s="72"/>
      <c r="I46" s="14"/>
      <c r="J46" s="32"/>
      <c r="K46" s="35"/>
      <c r="L46" s="30"/>
      <c r="M46" s="31"/>
    </row>
    <row r="47" spans="1:13" ht="25.5" x14ac:dyDescent="0.35">
      <c r="A47" s="14"/>
      <c r="B47" s="14"/>
      <c r="C47" s="14"/>
      <c r="D47" s="68">
        <v>47362</v>
      </c>
      <c r="E47" s="69">
        <v>9508956.3272679374</v>
      </c>
      <c r="F47" s="21"/>
      <c r="G47" s="21"/>
      <c r="H47" s="72"/>
      <c r="I47" s="14"/>
      <c r="J47" s="32"/>
      <c r="K47" s="35"/>
      <c r="L47" s="30"/>
      <c r="M47" s="31"/>
    </row>
    <row r="48" spans="1:13" ht="25.5" x14ac:dyDescent="0.35">
      <c r="A48" s="14"/>
      <c r="B48" s="14"/>
      <c r="C48" s="14"/>
      <c r="D48" s="68">
        <v>47392</v>
      </c>
      <c r="E48" s="69">
        <v>10057907.517876832</v>
      </c>
      <c r="F48" s="21"/>
      <c r="G48" s="21"/>
      <c r="H48" s="72"/>
      <c r="I48" s="14"/>
      <c r="J48" s="32"/>
      <c r="K48" s="35"/>
      <c r="L48" s="30"/>
      <c r="M48" s="31"/>
    </row>
    <row r="49" spans="1:13" ht="25.5" x14ac:dyDescent="0.35">
      <c r="A49" s="14"/>
      <c r="B49" s="14"/>
      <c r="C49" s="14"/>
      <c r="D49" s="68">
        <v>47423</v>
      </c>
      <c r="E49" s="69">
        <v>9992469.9418779425</v>
      </c>
      <c r="F49" s="21"/>
      <c r="G49" s="21"/>
      <c r="H49" s="72"/>
      <c r="I49" s="14"/>
      <c r="J49" s="32"/>
      <c r="K49" s="35"/>
      <c r="L49" s="30"/>
      <c r="M49" s="31"/>
    </row>
    <row r="50" spans="1:13" ht="25.5" x14ac:dyDescent="0.35">
      <c r="A50" s="14"/>
      <c r="B50" s="14"/>
      <c r="C50" s="14"/>
      <c r="D50" s="68">
        <v>47453</v>
      </c>
      <c r="E50" s="69">
        <v>10507882.919158537</v>
      </c>
      <c r="F50" s="21"/>
      <c r="G50" s="21"/>
      <c r="H50" s="73"/>
      <c r="I50" s="14"/>
      <c r="J50" s="32"/>
      <c r="K50" s="35"/>
      <c r="L50" s="30"/>
      <c r="M50" s="31"/>
    </row>
    <row r="51" spans="1:13" ht="26.25" thickBot="1" x14ac:dyDescent="0.4">
      <c r="A51" s="22"/>
      <c r="B51" s="22"/>
      <c r="C51" s="22"/>
      <c r="D51" s="26" t="s">
        <v>9</v>
      </c>
      <c r="E51" s="27">
        <f>SUM(E15:E50)</f>
        <v>301091256.25832313</v>
      </c>
      <c r="F51" s="28"/>
      <c r="G51" s="27"/>
      <c r="H51" s="29"/>
      <c r="I51" s="14"/>
      <c r="J51" s="22"/>
      <c r="K51" s="1"/>
    </row>
    <row r="52" spans="1:13" ht="24.75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1"/>
    </row>
    <row r="53" spans="1:13" ht="25.5" x14ac:dyDescent="0.35">
      <c r="A53" s="23" t="s">
        <v>10</v>
      </c>
      <c r="B53" s="22"/>
      <c r="C53" s="22"/>
      <c r="D53" s="22"/>
      <c r="E53" s="70"/>
      <c r="F53" s="22"/>
      <c r="G53" s="14"/>
      <c r="H53" s="14"/>
      <c r="I53" s="14"/>
      <c r="J53" s="14"/>
      <c r="K53" s="22"/>
    </row>
    <row r="54" spans="1:13" ht="20.25" x14ac:dyDescent="0.3">
      <c r="A54" s="23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3" ht="20.25" customHeight="1" x14ac:dyDescent="0.25">
      <c r="A55" s="43" t="s">
        <v>11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</row>
    <row r="56" spans="1:13" ht="20.25" x14ac:dyDescent="0.25">
      <c r="A56" s="44" t="s">
        <v>19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</row>
    <row r="57" spans="1:13" ht="42.75" customHeight="1" x14ac:dyDescent="0.25">
      <c r="A57" s="36" t="s">
        <v>12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spans="1:13" ht="20.100000000000001" customHeight="1" x14ac:dyDescent="0.25">
      <c r="A58" s="36" t="s">
        <v>20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</row>
  </sheetData>
  <mergeCells count="11">
    <mergeCell ref="A57:K57"/>
    <mergeCell ref="A58:K58"/>
    <mergeCell ref="B2:H2"/>
    <mergeCell ref="A3:I3"/>
    <mergeCell ref="B4:H4"/>
    <mergeCell ref="D13:H13"/>
    <mergeCell ref="A55:K55"/>
    <mergeCell ref="A56:K56"/>
    <mergeCell ref="H15:H26"/>
    <mergeCell ref="H27:H38"/>
    <mergeCell ref="H39:H50"/>
  </mergeCells>
  <pageMargins left="0.70866141732283472" right="0.70866141732283472" top="0.74803149606299213" bottom="0.74803149606299213" header="0.31496062992125984" footer="0.31496062992125984"/>
  <pageSetup scale="42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10"/>
  <sheetViews>
    <sheetView topLeftCell="A73" zoomScale="70" zoomScaleNormal="70" workbookViewId="0">
      <selection activeCell="AC3" sqref="AC3:AC110"/>
    </sheetView>
  </sheetViews>
  <sheetFormatPr baseColWidth="10" defaultRowHeight="15.75" x14ac:dyDescent="0.25"/>
  <cols>
    <col min="1" max="1" width="8.7109375" style="33" bestFit="1" customWidth="1"/>
    <col min="2" max="2" width="8.85546875" style="33" bestFit="1" customWidth="1"/>
    <col min="3" max="3" width="9.140625" style="33" bestFit="1" customWidth="1"/>
    <col min="4" max="27" width="7.140625" style="61" bestFit="1" customWidth="1"/>
    <col min="28" max="28" width="17.85546875" style="34" bestFit="1" customWidth="1"/>
    <col min="29" max="29" width="21" style="34" bestFit="1" customWidth="1"/>
    <col min="30" max="30" width="15.42578125" style="33" customWidth="1"/>
    <col min="31" max="31" width="16.28515625" style="33" bestFit="1" customWidth="1"/>
    <col min="32" max="16384" width="11.42578125" style="33"/>
  </cols>
  <sheetData>
    <row r="1" spans="1:29" x14ac:dyDescent="0.25">
      <c r="A1" s="45"/>
      <c r="B1" s="45"/>
      <c r="C1" s="46"/>
      <c r="D1" s="47" t="s">
        <v>22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9"/>
      <c r="AB1" s="45"/>
      <c r="AC1" s="45"/>
    </row>
    <row r="2" spans="1:29" x14ac:dyDescent="0.25">
      <c r="A2" s="50" t="s">
        <v>13</v>
      </c>
      <c r="B2" s="50" t="s">
        <v>14</v>
      </c>
      <c r="C2" s="50" t="s">
        <v>15</v>
      </c>
      <c r="D2" s="50">
        <v>1</v>
      </c>
      <c r="E2" s="50">
        <v>2</v>
      </c>
      <c r="F2" s="50">
        <v>3</v>
      </c>
      <c r="G2" s="50">
        <v>4</v>
      </c>
      <c r="H2" s="50">
        <v>5</v>
      </c>
      <c r="I2" s="50">
        <v>6</v>
      </c>
      <c r="J2" s="50">
        <v>7</v>
      </c>
      <c r="K2" s="50">
        <v>8</v>
      </c>
      <c r="L2" s="50">
        <v>9</v>
      </c>
      <c r="M2" s="50">
        <v>10</v>
      </c>
      <c r="N2" s="50">
        <v>11</v>
      </c>
      <c r="O2" s="50">
        <v>12</v>
      </c>
      <c r="P2" s="50">
        <v>13</v>
      </c>
      <c r="Q2" s="50">
        <v>14</v>
      </c>
      <c r="R2" s="50">
        <v>15</v>
      </c>
      <c r="S2" s="50">
        <v>16</v>
      </c>
      <c r="T2" s="50">
        <v>17</v>
      </c>
      <c r="U2" s="50">
        <v>18</v>
      </c>
      <c r="V2" s="50">
        <v>19</v>
      </c>
      <c r="W2" s="50">
        <v>20</v>
      </c>
      <c r="X2" s="50">
        <v>21</v>
      </c>
      <c r="Y2" s="50">
        <v>22</v>
      </c>
      <c r="Z2" s="50">
        <v>23</v>
      </c>
      <c r="AA2" s="50">
        <v>24</v>
      </c>
      <c r="AB2" s="51" t="s">
        <v>23</v>
      </c>
      <c r="AC2" s="52" t="s">
        <v>24</v>
      </c>
    </row>
    <row r="3" spans="1:29" x14ac:dyDescent="0.25">
      <c r="A3" s="65">
        <v>46388</v>
      </c>
      <c r="B3" s="54" t="s">
        <v>16</v>
      </c>
      <c r="C3" s="55">
        <v>19</v>
      </c>
      <c r="D3" s="60">
        <f>MIN('[9]Total 2027 - 2029'!$D3:$AA3)</f>
        <v>10880.455099634872</v>
      </c>
      <c r="E3" s="60">
        <f>MIN('[9]Total 2027 - 2029'!$D3:$AA3)</f>
        <v>10880.455099634872</v>
      </c>
      <c r="F3" s="60">
        <f>MIN('[9]Total 2027 - 2029'!$D3:$AA3)</f>
        <v>10880.455099634872</v>
      </c>
      <c r="G3" s="60">
        <f>MIN('[9]Total 2027 - 2029'!$D3:$AA3)</f>
        <v>10880.455099634872</v>
      </c>
      <c r="H3" s="60">
        <f>MIN('[9]Total 2027 - 2029'!$D3:$AA3)</f>
        <v>10880.455099634872</v>
      </c>
      <c r="I3" s="60">
        <f>MIN('[9]Total 2027 - 2029'!$D3:$AA3)</f>
        <v>10880.455099634872</v>
      </c>
      <c r="J3" s="60">
        <f>MIN('[9]Total 2027 - 2029'!$D3:$AA3)</f>
        <v>10880.455099634872</v>
      </c>
      <c r="K3" s="60">
        <f>MIN('[9]Total 2027 - 2029'!$D3:$AA3)</f>
        <v>10880.455099634872</v>
      </c>
      <c r="L3" s="60">
        <f>MIN('[9]Total 2027 - 2029'!$D3:$AA3)</f>
        <v>10880.455099634872</v>
      </c>
      <c r="M3" s="60">
        <f>MIN('[9]Total 2027 - 2029'!$D3:$AA3)</f>
        <v>10880.455099634872</v>
      </c>
      <c r="N3" s="60">
        <f>MIN('[9]Total 2027 - 2029'!$D3:$AA3)</f>
        <v>10880.455099634872</v>
      </c>
      <c r="O3" s="60">
        <f>MIN('[9]Total 2027 - 2029'!$D3:$AA3)</f>
        <v>10880.455099634872</v>
      </c>
      <c r="P3" s="60">
        <f>MIN('[9]Total 2027 - 2029'!$D3:$AA3)</f>
        <v>10880.455099634872</v>
      </c>
      <c r="Q3" s="60">
        <f>MIN('[9]Total 2027 - 2029'!$D3:$AA3)</f>
        <v>10880.455099634872</v>
      </c>
      <c r="R3" s="60">
        <f>MIN('[9]Total 2027 - 2029'!$D3:$AA3)</f>
        <v>10880.455099634872</v>
      </c>
      <c r="S3" s="60">
        <f>MIN('[9]Total 2027 - 2029'!$D3:$AA3)</f>
        <v>10880.455099634872</v>
      </c>
      <c r="T3" s="60">
        <f>MIN('[9]Total 2027 - 2029'!$D3:$AA3)</f>
        <v>10880.455099634872</v>
      </c>
      <c r="U3" s="60">
        <f>MIN('[9]Total 2027 - 2029'!$D3:$AA3)</f>
        <v>10880.455099634872</v>
      </c>
      <c r="V3" s="60">
        <f>MIN('[9]Total 2027 - 2029'!$D3:$AA3)</f>
        <v>10880.455099634872</v>
      </c>
      <c r="W3" s="60">
        <f>MIN('[9]Total 2027 - 2029'!$D3:$AA3)</f>
        <v>10880.455099634872</v>
      </c>
      <c r="X3" s="60">
        <f>MIN('[9]Total 2027 - 2029'!$D3:$AA3)</f>
        <v>10880.455099634872</v>
      </c>
      <c r="Y3" s="60">
        <f>MIN('[9]Total 2027 - 2029'!$D3:$AA3)</f>
        <v>10880.455099634872</v>
      </c>
      <c r="Z3" s="60">
        <f>MIN('[9]Total 2027 - 2029'!$D3:$AA3)</f>
        <v>10880.455099634872</v>
      </c>
      <c r="AA3" s="60">
        <f>MIN('[9]Total 2027 - 2029'!$D3:$AA3)</f>
        <v>10880.455099634872</v>
      </c>
      <c r="AB3" s="57">
        <f>SUM(D3:AA3)*C3</f>
        <v>4961487.525433504</v>
      </c>
      <c r="AC3" s="62">
        <f>SUM(AB3:AB5)</f>
        <v>7829073.8479090584</v>
      </c>
    </row>
    <row r="4" spans="1:29" x14ac:dyDescent="0.25">
      <c r="A4" s="66"/>
      <c r="B4" s="59" t="s">
        <v>17</v>
      </c>
      <c r="C4" s="55">
        <v>5</v>
      </c>
      <c r="D4" s="60">
        <f>MIN('[9]Total 2027 - 2029'!$D4:$AA4)</f>
        <v>10639.309339875137</v>
      </c>
      <c r="E4" s="60">
        <f>MIN('[9]Total 2027 - 2029'!$D4:$AA4)</f>
        <v>10639.309339875137</v>
      </c>
      <c r="F4" s="60">
        <f>MIN('[9]Total 2027 - 2029'!$D4:$AA4)</f>
        <v>10639.309339875137</v>
      </c>
      <c r="G4" s="60">
        <f>MIN('[9]Total 2027 - 2029'!$D4:$AA4)</f>
        <v>10639.309339875137</v>
      </c>
      <c r="H4" s="60">
        <f>MIN('[9]Total 2027 - 2029'!$D4:$AA4)</f>
        <v>10639.309339875137</v>
      </c>
      <c r="I4" s="60">
        <f>MIN('[9]Total 2027 - 2029'!$D4:$AA4)</f>
        <v>10639.309339875137</v>
      </c>
      <c r="J4" s="60">
        <f>MIN('[9]Total 2027 - 2029'!$D4:$AA4)</f>
        <v>10639.309339875137</v>
      </c>
      <c r="K4" s="60">
        <f>MIN('[9]Total 2027 - 2029'!$D4:$AA4)</f>
        <v>10639.309339875137</v>
      </c>
      <c r="L4" s="60">
        <f>MIN('[9]Total 2027 - 2029'!$D4:$AA4)</f>
        <v>10639.309339875137</v>
      </c>
      <c r="M4" s="60">
        <f>MIN('[9]Total 2027 - 2029'!$D4:$AA4)</f>
        <v>10639.309339875137</v>
      </c>
      <c r="N4" s="60">
        <f>MIN('[9]Total 2027 - 2029'!$D4:$AA4)</f>
        <v>10639.309339875137</v>
      </c>
      <c r="O4" s="60">
        <f>MIN('[9]Total 2027 - 2029'!$D4:$AA4)</f>
        <v>10639.309339875137</v>
      </c>
      <c r="P4" s="60">
        <f>MIN('[9]Total 2027 - 2029'!$D4:$AA4)</f>
        <v>10639.309339875137</v>
      </c>
      <c r="Q4" s="60">
        <f>MIN('[9]Total 2027 - 2029'!$D4:$AA4)</f>
        <v>10639.309339875137</v>
      </c>
      <c r="R4" s="60">
        <f>MIN('[9]Total 2027 - 2029'!$D4:$AA4)</f>
        <v>10639.309339875137</v>
      </c>
      <c r="S4" s="60">
        <f>MIN('[9]Total 2027 - 2029'!$D4:$AA4)</f>
        <v>10639.309339875137</v>
      </c>
      <c r="T4" s="60">
        <f>MIN('[9]Total 2027 - 2029'!$D4:$AA4)</f>
        <v>10639.309339875137</v>
      </c>
      <c r="U4" s="60">
        <f>MIN('[9]Total 2027 - 2029'!$D4:$AA4)</f>
        <v>10639.309339875137</v>
      </c>
      <c r="V4" s="60">
        <f>MIN('[9]Total 2027 - 2029'!$D4:$AA4)</f>
        <v>10639.309339875137</v>
      </c>
      <c r="W4" s="60">
        <f>MIN('[9]Total 2027 - 2029'!$D4:$AA4)</f>
        <v>10639.309339875137</v>
      </c>
      <c r="X4" s="60">
        <f>MIN('[9]Total 2027 - 2029'!$D4:$AA4)</f>
        <v>10639.309339875137</v>
      </c>
      <c r="Y4" s="60">
        <f>MIN('[9]Total 2027 - 2029'!$D4:$AA4)</f>
        <v>10639.309339875137</v>
      </c>
      <c r="Z4" s="60">
        <f>MIN('[9]Total 2027 - 2029'!$D4:$AA4)</f>
        <v>10639.309339875137</v>
      </c>
      <c r="AA4" s="60">
        <f>MIN('[9]Total 2027 - 2029'!$D4:$AA4)</f>
        <v>10639.309339875137</v>
      </c>
      <c r="AB4" s="57">
        <f>SUM(D4:AA4)*C4</f>
        <v>1276717.1207850156</v>
      </c>
      <c r="AC4" s="63"/>
    </row>
    <row r="5" spans="1:29" x14ac:dyDescent="0.25">
      <c r="A5" s="67"/>
      <c r="B5" s="59" t="s">
        <v>18</v>
      </c>
      <c r="C5" s="55">
        <v>7</v>
      </c>
      <c r="D5" s="60">
        <f>MIN('[9]Total 2027 - 2029'!$D5:$AA5)</f>
        <v>9469.4595338722502</v>
      </c>
      <c r="E5" s="60">
        <f>MIN('[9]Total 2027 - 2029'!$D5:$AA5)</f>
        <v>9469.4595338722502</v>
      </c>
      <c r="F5" s="60">
        <f>MIN('[9]Total 2027 - 2029'!$D5:$AA5)</f>
        <v>9469.4595338722502</v>
      </c>
      <c r="G5" s="60">
        <f>MIN('[9]Total 2027 - 2029'!$D5:$AA5)</f>
        <v>9469.4595338722502</v>
      </c>
      <c r="H5" s="60">
        <f>MIN('[9]Total 2027 - 2029'!$D5:$AA5)</f>
        <v>9469.4595338722502</v>
      </c>
      <c r="I5" s="60">
        <f>MIN('[9]Total 2027 - 2029'!$D5:$AA5)</f>
        <v>9469.4595338722502</v>
      </c>
      <c r="J5" s="60">
        <f>MIN('[9]Total 2027 - 2029'!$D5:$AA5)</f>
        <v>9469.4595338722502</v>
      </c>
      <c r="K5" s="60">
        <f>MIN('[9]Total 2027 - 2029'!$D5:$AA5)</f>
        <v>9469.4595338722502</v>
      </c>
      <c r="L5" s="60">
        <f>MIN('[9]Total 2027 - 2029'!$D5:$AA5)</f>
        <v>9469.4595338722502</v>
      </c>
      <c r="M5" s="60">
        <f>MIN('[9]Total 2027 - 2029'!$D5:$AA5)</f>
        <v>9469.4595338722502</v>
      </c>
      <c r="N5" s="60">
        <f>MIN('[9]Total 2027 - 2029'!$D5:$AA5)</f>
        <v>9469.4595338722502</v>
      </c>
      <c r="O5" s="60">
        <f>MIN('[9]Total 2027 - 2029'!$D5:$AA5)</f>
        <v>9469.4595338722502</v>
      </c>
      <c r="P5" s="60">
        <f>MIN('[9]Total 2027 - 2029'!$D5:$AA5)</f>
        <v>9469.4595338722502</v>
      </c>
      <c r="Q5" s="60">
        <f>MIN('[9]Total 2027 - 2029'!$D5:$AA5)</f>
        <v>9469.4595338722502</v>
      </c>
      <c r="R5" s="60">
        <f>MIN('[9]Total 2027 - 2029'!$D5:$AA5)</f>
        <v>9469.4595338722502</v>
      </c>
      <c r="S5" s="60">
        <f>MIN('[9]Total 2027 - 2029'!$D5:$AA5)</f>
        <v>9469.4595338722502</v>
      </c>
      <c r="T5" s="60">
        <f>MIN('[9]Total 2027 - 2029'!$D5:$AA5)</f>
        <v>9469.4595338722502</v>
      </c>
      <c r="U5" s="60">
        <f>MIN('[9]Total 2027 - 2029'!$D5:$AA5)</f>
        <v>9469.4595338722502</v>
      </c>
      <c r="V5" s="60">
        <f>MIN('[9]Total 2027 - 2029'!$D5:$AA5)</f>
        <v>9469.4595338722502</v>
      </c>
      <c r="W5" s="60">
        <f>MIN('[9]Total 2027 - 2029'!$D5:$AA5)</f>
        <v>9469.4595338722502</v>
      </c>
      <c r="X5" s="60">
        <f>MIN('[9]Total 2027 - 2029'!$D5:$AA5)</f>
        <v>9469.4595338722502</v>
      </c>
      <c r="Y5" s="60">
        <f>MIN('[9]Total 2027 - 2029'!$D5:$AA5)</f>
        <v>9469.4595338722502</v>
      </c>
      <c r="Z5" s="60">
        <f>MIN('[9]Total 2027 - 2029'!$D5:$AA5)</f>
        <v>9469.4595338722502</v>
      </c>
      <c r="AA5" s="60">
        <f>MIN('[9]Total 2027 - 2029'!$D5:$AA5)</f>
        <v>9469.4595338722502</v>
      </c>
      <c r="AB5" s="57">
        <f t="shared" ref="AB5:AB38" si="0">SUM(D5:AA5)*C5</f>
        <v>1590869.2016905388</v>
      </c>
      <c r="AC5" s="64"/>
    </row>
    <row r="6" spans="1:29" x14ac:dyDescent="0.25">
      <c r="A6" s="65">
        <v>46419</v>
      </c>
      <c r="B6" s="54" t="s">
        <v>16</v>
      </c>
      <c r="C6" s="55">
        <v>20</v>
      </c>
      <c r="D6" s="60">
        <f>MIN('[9]Total 2027 - 2029'!$D6:$AA6)</f>
        <v>14089.880108144151</v>
      </c>
      <c r="E6" s="60">
        <f>MIN('[9]Total 2027 - 2029'!$D6:$AA6)</f>
        <v>14089.880108144151</v>
      </c>
      <c r="F6" s="60">
        <f>MIN('[9]Total 2027 - 2029'!$D6:$AA6)</f>
        <v>14089.880108144151</v>
      </c>
      <c r="G6" s="60">
        <f>MIN('[9]Total 2027 - 2029'!$D6:$AA6)</f>
        <v>14089.880108144151</v>
      </c>
      <c r="H6" s="60">
        <f>MIN('[9]Total 2027 - 2029'!$D6:$AA6)</f>
        <v>14089.880108144151</v>
      </c>
      <c r="I6" s="60">
        <f>MIN('[9]Total 2027 - 2029'!$D6:$AA6)</f>
        <v>14089.880108144151</v>
      </c>
      <c r="J6" s="60">
        <f>MIN('[9]Total 2027 - 2029'!$D6:$AA6)</f>
        <v>14089.880108144151</v>
      </c>
      <c r="K6" s="60">
        <f>MIN('[9]Total 2027 - 2029'!$D6:$AA6)</f>
        <v>14089.880108144151</v>
      </c>
      <c r="L6" s="60">
        <f>MIN('[9]Total 2027 - 2029'!$D6:$AA6)</f>
        <v>14089.880108144151</v>
      </c>
      <c r="M6" s="60">
        <f>MIN('[9]Total 2027 - 2029'!$D6:$AA6)</f>
        <v>14089.880108144151</v>
      </c>
      <c r="N6" s="60">
        <f>MIN('[9]Total 2027 - 2029'!$D6:$AA6)</f>
        <v>14089.880108144151</v>
      </c>
      <c r="O6" s="60">
        <f>MIN('[9]Total 2027 - 2029'!$D6:$AA6)</f>
        <v>14089.880108144151</v>
      </c>
      <c r="P6" s="60">
        <f>MIN('[9]Total 2027 - 2029'!$D6:$AA6)</f>
        <v>14089.880108144151</v>
      </c>
      <c r="Q6" s="60">
        <f>MIN('[9]Total 2027 - 2029'!$D6:$AA6)</f>
        <v>14089.880108144151</v>
      </c>
      <c r="R6" s="60">
        <f>MIN('[9]Total 2027 - 2029'!$D6:$AA6)</f>
        <v>14089.880108144151</v>
      </c>
      <c r="S6" s="60">
        <f>MIN('[9]Total 2027 - 2029'!$D6:$AA6)</f>
        <v>14089.880108144151</v>
      </c>
      <c r="T6" s="60">
        <f>MIN('[9]Total 2027 - 2029'!$D6:$AA6)</f>
        <v>14089.880108144151</v>
      </c>
      <c r="U6" s="60">
        <f>MIN('[9]Total 2027 - 2029'!$D6:$AA6)</f>
        <v>14089.880108144151</v>
      </c>
      <c r="V6" s="60">
        <f>MIN('[9]Total 2027 - 2029'!$D6:$AA6)</f>
        <v>14089.880108144151</v>
      </c>
      <c r="W6" s="60">
        <f>MIN('[9]Total 2027 - 2029'!$D6:$AA6)</f>
        <v>14089.880108144151</v>
      </c>
      <c r="X6" s="60">
        <f>MIN('[9]Total 2027 - 2029'!$D6:$AA6)</f>
        <v>14089.880108144151</v>
      </c>
      <c r="Y6" s="60">
        <f>MIN('[9]Total 2027 - 2029'!$D6:$AA6)</f>
        <v>14089.880108144151</v>
      </c>
      <c r="Z6" s="60">
        <f>MIN('[9]Total 2027 - 2029'!$D6:$AA6)</f>
        <v>14089.880108144151</v>
      </c>
      <c r="AA6" s="60">
        <f>MIN('[9]Total 2027 - 2029'!$D6:$AA6)</f>
        <v>14089.880108144151</v>
      </c>
      <c r="AB6" s="57">
        <f t="shared" si="0"/>
        <v>6763142.4519091928</v>
      </c>
      <c r="AC6" s="62">
        <f>SUM(AB6:AB8)</f>
        <v>9216850.5968775116</v>
      </c>
    </row>
    <row r="7" spans="1:29" x14ac:dyDescent="0.25">
      <c r="A7" s="66"/>
      <c r="B7" s="59" t="s">
        <v>17</v>
      </c>
      <c r="C7" s="55">
        <v>4</v>
      </c>
      <c r="D7" s="60">
        <f>MIN('[9]Total 2027 - 2029'!$D7:$AA7)</f>
        <v>12943.662090017611</v>
      </c>
      <c r="E7" s="60">
        <f>MIN('[9]Total 2027 - 2029'!$D7:$AA7)</f>
        <v>12943.662090017611</v>
      </c>
      <c r="F7" s="60">
        <f>MIN('[9]Total 2027 - 2029'!$D7:$AA7)</f>
        <v>12943.662090017611</v>
      </c>
      <c r="G7" s="60">
        <f>MIN('[9]Total 2027 - 2029'!$D7:$AA7)</f>
        <v>12943.662090017611</v>
      </c>
      <c r="H7" s="60">
        <f>MIN('[9]Total 2027 - 2029'!$D7:$AA7)</f>
        <v>12943.662090017611</v>
      </c>
      <c r="I7" s="60">
        <f>MIN('[9]Total 2027 - 2029'!$D7:$AA7)</f>
        <v>12943.662090017611</v>
      </c>
      <c r="J7" s="60">
        <f>MIN('[9]Total 2027 - 2029'!$D7:$AA7)</f>
        <v>12943.662090017611</v>
      </c>
      <c r="K7" s="60">
        <f>MIN('[9]Total 2027 - 2029'!$D7:$AA7)</f>
        <v>12943.662090017611</v>
      </c>
      <c r="L7" s="60">
        <f>MIN('[9]Total 2027 - 2029'!$D7:$AA7)</f>
        <v>12943.662090017611</v>
      </c>
      <c r="M7" s="60">
        <f>MIN('[9]Total 2027 - 2029'!$D7:$AA7)</f>
        <v>12943.662090017611</v>
      </c>
      <c r="N7" s="60">
        <f>MIN('[9]Total 2027 - 2029'!$D7:$AA7)</f>
        <v>12943.662090017611</v>
      </c>
      <c r="O7" s="60">
        <f>MIN('[9]Total 2027 - 2029'!$D7:$AA7)</f>
        <v>12943.662090017611</v>
      </c>
      <c r="P7" s="60">
        <f>MIN('[9]Total 2027 - 2029'!$D7:$AA7)</f>
        <v>12943.662090017611</v>
      </c>
      <c r="Q7" s="60">
        <f>MIN('[9]Total 2027 - 2029'!$D7:$AA7)</f>
        <v>12943.662090017611</v>
      </c>
      <c r="R7" s="60">
        <f>MIN('[9]Total 2027 - 2029'!$D7:$AA7)</f>
        <v>12943.662090017611</v>
      </c>
      <c r="S7" s="60">
        <f>MIN('[9]Total 2027 - 2029'!$D7:$AA7)</f>
        <v>12943.662090017611</v>
      </c>
      <c r="T7" s="60">
        <f>MIN('[9]Total 2027 - 2029'!$D7:$AA7)</f>
        <v>12943.662090017611</v>
      </c>
      <c r="U7" s="60">
        <f>MIN('[9]Total 2027 - 2029'!$D7:$AA7)</f>
        <v>12943.662090017611</v>
      </c>
      <c r="V7" s="60">
        <f>MIN('[9]Total 2027 - 2029'!$D7:$AA7)</f>
        <v>12943.662090017611</v>
      </c>
      <c r="W7" s="60">
        <f>MIN('[9]Total 2027 - 2029'!$D7:$AA7)</f>
        <v>12943.662090017611</v>
      </c>
      <c r="X7" s="60">
        <f>MIN('[9]Total 2027 - 2029'!$D7:$AA7)</f>
        <v>12943.662090017611</v>
      </c>
      <c r="Y7" s="60">
        <f>MIN('[9]Total 2027 - 2029'!$D7:$AA7)</f>
        <v>12943.662090017611</v>
      </c>
      <c r="Z7" s="60">
        <f>MIN('[9]Total 2027 - 2029'!$D7:$AA7)</f>
        <v>12943.662090017611</v>
      </c>
      <c r="AA7" s="60">
        <f>MIN('[9]Total 2027 - 2029'!$D7:$AA7)</f>
        <v>12943.662090017611</v>
      </c>
      <c r="AB7" s="57">
        <f t="shared" si="0"/>
        <v>1242591.5606416906</v>
      </c>
      <c r="AC7" s="63"/>
    </row>
    <row r="8" spans="1:29" x14ac:dyDescent="0.25">
      <c r="A8" s="67"/>
      <c r="B8" s="59" t="s">
        <v>18</v>
      </c>
      <c r="C8" s="55">
        <v>4</v>
      </c>
      <c r="D8" s="60">
        <f>MIN('[9]Total 2027 - 2029'!$D8:$AA8)</f>
        <v>12615.797753402379</v>
      </c>
      <c r="E8" s="60">
        <f>MIN('[9]Total 2027 - 2029'!$D8:$AA8)</f>
        <v>12615.797753402379</v>
      </c>
      <c r="F8" s="60">
        <f>MIN('[9]Total 2027 - 2029'!$D8:$AA8)</f>
        <v>12615.797753402379</v>
      </c>
      <c r="G8" s="60">
        <f>MIN('[9]Total 2027 - 2029'!$D8:$AA8)</f>
        <v>12615.797753402379</v>
      </c>
      <c r="H8" s="60">
        <f>MIN('[9]Total 2027 - 2029'!$D8:$AA8)</f>
        <v>12615.797753402379</v>
      </c>
      <c r="I8" s="60">
        <f>MIN('[9]Total 2027 - 2029'!$D8:$AA8)</f>
        <v>12615.797753402379</v>
      </c>
      <c r="J8" s="60">
        <f>MIN('[9]Total 2027 - 2029'!$D8:$AA8)</f>
        <v>12615.797753402379</v>
      </c>
      <c r="K8" s="60">
        <f>MIN('[9]Total 2027 - 2029'!$D8:$AA8)</f>
        <v>12615.797753402379</v>
      </c>
      <c r="L8" s="60">
        <f>MIN('[9]Total 2027 - 2029'!$D8:$AA8)</f>
        <v>12615.797753402379</v>
      </c>
      <c r="M8" s="60">
        <f>MIN('[9]Total 2027 - 2029'!$D8:$AA8)</f>
        <v>12615.797753402379</v>
      </c>
      <c r="N8" s="60">
        <f>MIN('[9]Total 2027 - 2029'!$D8:$AA8)</f>
        <v>12615.797753402379</v>
      </c>
      <c r="O8" s="60">
        <f>MIN('[9]Total 2027 - 2029'!$D8:$AA8)</f>
        <v>12615.797753402379</v>
      </c>
      <c r="P8" s="60">
        <f>MIN('[9]Total 2027 - 2029'!$D8:$AA8)</f>
        <v>12615.797753402379</v>
      </c>
      <c r="Q8" s="60">
        <f>MIN('[9]Total 2027 - 2029'!$D8:$AA8)</f>
        <v>12615.797753402379</v>
      </c>
      <c r="R8" s="60">
        <f>MIN('[9]Total 2027 - 2029'!$D8:$AA8)</f>
        <v>12615.797753402379</v>
      </c>
      <c r="S8" s="60">
        <f>MIN('[9]Total 2027 - 2029'!$D8:$AA8)</f>
        <v>12615.797753402379</v>
      </c>
      <c r="T8" s="60">
        <f>MIN('[9]Total 2027 - 2029'!$D8:$AA8)</f>
        <v>12615.797753402379</v>
      </c>
      <c r="U8" s="60">
        <f>MIN('[9]Total 2027 - 2029'!$D8:$AA8)</f>
        <v>12615.797753402379</v>
      </c>
      <c r="V8" s="60">
        <f>MIN('[9]Total 2027 - 2029'!$D8:$AA8)</f>
        <v>12615.797753402379</v>
      </c>
      <c r="W8" s="60">
        <f>MIN('[9]Total 2027 - 2029'!$D8:$AA8)</f>
        <v>12615.797753402379</v>
      </c>
      <c r="X8" s="60">
        <f>MIN('[9]Total 2027 - 2029'!$D8:$AA8)</f>
        <v>12615.797753402379</v>
      </c>
      <c r="Y8" s="60">
        <f>MIN('[9]Total 2027 - 2029'!$D8:$AA8)</f>
        <v>12615.797753402379</v>
      </c>
      <c r="Z8" s="60">
        <f>MIN('[9]Total 2027 - 2029'!$D8:$AA8)</f>
        <v>12615.797753402379</v>
      </c>
      <c r="AA8" s="60">
        <f>MIN('[9]Total 2027 - 2029'!$D8:$AA8)</f>
        <v>12615.797753402379</v>
      </c>
      <c r="AB8" s="57">
        <f t="shared" si="0"/>
        <v>1211116.5843266284</v>
      </c>
      <c r="AC8" s="64"/>
    </row>
    <row r="9" spans="1:29" x14ac:dyDescent="0.25">
      <c r="A9" s="65">
        <v>46447</v>
      </c>
      <c r="B9" s="54" t="s">
        <v>16</v>
      </c>
      <c r="C9" s="55">
        <v>20</v>
      </c>
      <c r="D9" s="60">
        <f>MIN('[9]Total 2027 - 2029'!$D9:$AA9)</f>
        <v>15038.086539734988</v>
      </c>
      <c r="E9" s="60">
        <f>MIN('[9]Total 2027 - 2029'!$D9:$AA9)</f>
        <v>15038.086539734988</v>
      </c>
      <c r="F9" s="60">
        <f>MIN('[9]Total 2027 - 2029'!$D9:$AA9)</f>
        <v>15038.086539734988</v>
      </c>
      <c r="G9" s="60">
        <f>MIN('[9]Total 2027 - 2029'!$D9:$AA9)</f>
        <v>15038.086539734988</v>
      </c>
      <c r="H9" s="60">
        <f>MIN('[9]Total 2027 - 2029'!$D9:$AA9)</f>
        <v>15038.086539734988</v>
      </c>
      <c r="I9" s="60">
        <f>MIN('[9]Total 2027 - 2029'!$D9:$AA9)</f>
        <v>15038.086539734988</v>
      </c>
      <c r="J9" s="60">
        <f>MIN('[9]Total 2027 - 2029'!$D9:$AA9)</f>
        <v>15038.086539734988</v>
      </c>
      <c r="K9" s="60">
        <f>MIN('[9]Total 2027 - 2029'!$D9:$AA9)</f>
        <v>15038.086539734988</v>
      </c>
      <c r="L9" s="60">
        <f>MIN('[9]Total 2027 - 2029'!$D9:$AA9)</f>
        <v>15038.086539734988</v>
      </c>
      <c r="M9" s="60">
        <f>MIN('[9]Total 2027 - 2029'!$D9:$AA9)</f>
        <v>15038.086539734988</v>
      </c>
      <c r="N9" s="60">
        <f>MIN('[9]Total 2027 - 2029'!$D9:$AA9)</f>
        <v>15038.086539734988</v>
      </c>
      <c r="O9" s="60">
        <f>MIN('[9]Total 2027 - 2029'!$D9:$AA9)</f>
        <v>15038.086539734988</v>
      </c>
      <c r="P9" s="60">
        <f>MIN('[9]Total 2027 - 2029'!$D9:$AA9)</f>
        <v>15038.086539734988</v>
      </c>
      <c r="Q9" s="60">
        <f>MIN('[9]Total 2027 - 2029'!$D9:$AA9)</f>
        <v>15038.086539734988</v>
      </c>
      <c r="R9" s="60">
        <f>MIN('[9]Total 2027 - 2029'!$D9:$AA9)</f>
        <v>15038.086539734988</v>
      </c>
      <c r="S9" s="60">
        <f>MIN('[9]Total 2027 - 2029'!$D9:$AA9)</f>
        <v>15038.086539734988</v>
      </c>
      <c r="T9" s="60">
        <f>MIN('[9]Total 2027 - 2029'!$D9:$AA9)</f>
        <v>15038.086539734988</v>
      </c>
      <c r="U9" s="60">
        <f>MIN('[9]Total 2027 - 2029'!$D9:$AA9)</f>
        <v>15038.086539734988</v>
      </c>
      <c r="V9" s="60">
        <f>MIN('[9]Total 2027 - 2029'!$D9:$AA9)</f>
        <v>15038.086539734988</v>
      </c>
      <c r="W9" s="60">
        <f>MIN('[9]Total 2027 - 2029'!$D9:$AA9)</f>
        <v>15038.086539734988</v>
      </c>
      <c r="X9" s="60">
        <f>MIN('[9]Total 2027 - 2029'!$D9:$AA9)</f>
        <v>15038.086539734988</v>
      </c>
      <c r="Y9" s="60">
        <f>MIN('[9]Total 2027 - 2029'!$D9:$AA9)</f>
        <v>15038.086539734988</v>
      </c>
      <c r="Z9" s="60">
        <f>MIN('[9]Total 2027 - 2029'!$D9:$AA9)</f>
        <v>15038.086539734988</v>
      </c>
      <c r="AA9" s="60">
        <f>MIN('[9]Total 2027 - 2029'!$D9:$AA9)</f>
        <v>15038.086539734988</v>
      </c>
      <c r="AB9" s="57">
        <f t="shared" si="0"/>
        <v>7218281.5390727939</v>
      </c>
      <c r="AC9" s="62">
        <f>SUM(AB9:AB11)</f>
        <v>10762660.330941439</v>
      </c>
    </row>
    <row r="10" spans="1:29" x14ac:dyDescent="0.25">
      <c r="A10" s="66"/>
      <c r="B10" s="59" t="s">
        <v>17</v>
      </c>
      <c r="C10" s="55">
        <v>4</v>
      </c>
      <c r="D10" s="60">
        <f>MIN('[9]Total 2027 - 2029'!$D10:$AA10)</f>
        <v>13730.879493376769</v>
      </c>
      <c r="E10" s="60">
        <f>MIN('[9]Total 2027 - 2029'!$D10:$AA10)</f>
        <v>13730.879493376769</v>
      </c>
      <c r="F10" s="60">
        <f>MIN('[9]Total 2027 - 2029'!$D10:$AA10)</f>
        <v>13730.879493376769</v>
      </c>
      <c r="G10" s="60">
        <f>MIN('[9]Total 2027 - 2029'!$D10:$AA10)</f>
        <v>13730.879493376769</v>
      </c>
      <c r="H10" s="60">
        <f>MIN('[9]Total 2027 - 2029'!$D10:$AA10)</f>
        <v>13730.879493376769</v>
      </c>
      <c r="I10" s="60">
        <f>MIN('[9]Total 2027 - 2029'!$D10:$AA10)</f>
        <v>13730.879493376769</v>
      </c>
      <c r="J10" s="60">
        <f>MIN('[9]Total 2027 - 2029'!$D10:$AA10)</f>
        <v>13730.879493376769</v>
      </c>
      <c r="K10" s="60">
        <f>MIN('[9]Total 2027 - 2029'!$D10:$AA10)</f>
        <v>13730.879493376769</v>
      </c>
      <c r="L10" s="60">
        <f>MIN('[9]Total 2027 - 2029'!$D10:$AA10)</f>
        <v>13730.879493376769</v>
      </c>
      <c r="M10" s="60">
        <f>MIN('[9]Total 2027 - 2029'!$D10:$AA10)</f>
        <v>13730.879493376769</v>
      </c>
      <c r="N10" s="60">
        <f>MIN('[9]Total 2027 - 2029'!$D10:$AA10)</f>
        <v>13730.879493376769</v>
      </c>
      <c r="O10" s="60">
        <f>MIN('[9]Total 2027 - 2029'!$D10:$AA10)</f>
        <v>13730.879493376769</v>
      </c>
      <c r="P10" s="60">
        <f>MIN('[9]Total 2027 - 2029'!$D10:$AA10)</f>
        <v>13730.879493376769</v>
      </c>
      <c r="Q10" s="60">
        <f>MIN('[9]Total 2027 - 2029'!$D10:$AA10)</f>
        <v>13730.879493376769</v>
      </c>
      <c r="R10" s="60">
        <f>MIN('[9]Total 2027 - 2029'!$D10:$AA10)</f>
        <v>13730.879493376769</v>
      </c>
      <c r="S10" s="60">
        <f>MIN('[9]Total 2027 - 2029'!$D10:$AA10)</f>
        <v>13730.879493376769</v>
      </c>
      <c r="T10" s="60">
        <f>MIN('[9]Total 2027 - 2029'!$D10:$AA10)</f>
        <v>13730.879493376769</v>
      </c>
      <c r="U10" s="60">
        <f>MIN('[9]Total 2027 - 2029'!$D10:$AA10)</f>
        <v>13730.879493376769</v>
      </c>
      <c r="V10" s="60">
        <f>MIN('[9]Total 2027 - 2029'!$D10:$AA10)</f>
        <v>13730.879493376769</v>
      </c>
      <c r="W10" s="60">
        <f>MIN('[9]Total 2027 - 2029'!$D10:$AA10)</f>
        <v>13730.879493376769</v>
      </c>
      <c r="X10" s="60">
        <f>MIN('[9]Total 2027 - 2029'!$D10:$AA10)</f>
        <v>13730.879493376769</v>
      </c>
      <c r="Y10" s="60">
        <f>MIN('[9]Total 2027 - 2029'!$D10:$AA10)</f>
        <v>13730.879493376769</v>
      </c>
      <c r="Z10" s="60">
        <f>MIN('[9]Total 2027 - 2029'!$D10:$AA10)</f>
        <v>13730.879493376769</v>
      </c>
      <c r="AA10" s="60">
        <f>MIN('[9]Total 2027 - 2029'!$D10:$AA10)</f>
        <v>13730.879493376769</v>
      </c>
      <c r="AB10" s="57">
        <f t="shared" si="0"/>
        <v>1318164.4313641696</v>
      </c>
      <c r="AC10" s="63"/>
    </row>
    <row r="11" spans="1:29" x14ac:dyDescent="0.25">
      <c r="A11" s="67"/>
      <c r="B11" s="59" t="s">
        <v>18</v>
      </c>
      <c r="C11" s="55">
        <v>7</v>
      </c>
      <c r="D11" s="60">
        <f>MIN('[9]Total 2027 - 2029'!$D11:$AA11)</f>
        <v>13251.275955383771</v>
      </c>
      <c r="E11" s="60">
        <f>MIN('[9]Total 2027 - 2029'!$D11:$AA11)</f>
        <v>13251.275955383771</v>
      </c>
      <c r="F11" s="60">
        <f>MIN('[9]Total 2027 - 2029'!$D11:$AA11)</f>
        <v>13251.275955383771</v>
      </c>
      <c r="G11" s="60">
        <f>MIN('[9]Total 2027 - 2029'!$D11:$AA11)</f>
        <v>13251.275955383771</v>
      </c>
      <c r="H11" s="60">
        <f>MIN('[9]Total 2027 - 2029'!$D11:$AA11)</f>
        <v>13251.275955383771</v>
      </c>
      <c r="I11" s="60">
        <f>MIN('[9]Total 2027 - 2029'!$D11:$AA11)</f>
        <v>13251.275955383771</v>
      </c>
      <c r="J11" s="60">
        <f>MIN('[9]Total 2027 - 2029'!$D11:$AA11)</f>
        <v>13251.275955383771</v>
      </c>
      <c r="K11" s="60">
        <f>MIN('[9]Total 2027 - 2029'!$D11:$AA11)</f>
        <v>13251.275955383771</v>
      </c>
      <c r="L11" s="60">
        <f>MIN('[9]Total 2027 - 2029'!$D11:$AA11)</f>
        <v>13251.275955383771</v>
      </c>
      <c r="M11" s="60">
        <f>MIN('[9]Total 2027 - 2029'!$D11:$AA11)</f>
        <v>13251.275955383771</v>
      </c>
      <c r="N11" s="60">
        <f>MIN('[9]Total 2027 - 2029'!$D11:$AA11)</f>
        <v>13251.275955383771</v>
      </c>
      <c r="O11" s="60">
        <f>MIN('[9]Total 2027 - 2029'!$D11:$AA11)</f>
        <v>13251.275955383771</v>
      </c>
      <c r="P11" s="60">
        <f>MIN('[9]Total 2027 - 2029'!$D11:$AA11)</f>
        <v>13251.275955383771</v>
      </c>
      <c r="Q11" s="60">
        <f>MIN('[9]Total 2027 - 2029'!$D11:$AA11)</f>
        <v>13251.275955383771</v>
      </c>
      <c r="R11" s="60">
        <f>MIN('[9]Total 2027 - 2029'!$D11:$AA11)</f>
        <v>13251.275955383771</v>
      </c>
      <c r="S11" s="60">
        <f>MIN('[9]Total 2027 - 2029'!$D11:$AA11)</f>
        <v>13251.275955383771</v>
      </c>
      <c r="T11" s="60">
        <f>MIN('[9]Total 2027 - 2029'!$D11:$AA11)</f>
        <v>13251.275955383771</v>
      </c>
      <c r="U11" s="60">
        <f>MIN('[9]Total 2027 - 2029'!$D11:$AA11)</f>
        <v>13251.275955383771</v>
      </c>
      <c r="V11" s="60">
        <f>MIN('[9]Total 2027 - 2029'!$D11:$AA11)</f>
        <v>13251.275955383771</v>
      </c>
      <c r="W11" s="60">
        <f>MIN('[9]Total 2027 - 2029'!$D11:$AA11)</f>
        <v>13251.275955383771</v>
      </c>
      <c r="X11" s="60">
        <f>MIN('[9]Total 2027 - 2029'!$D11:$AA11)</f>
        <v>13251.275955383771</v>
      </c>
      <c r="Y11" s="60">
        <f>MIN('[9]Total 2027 - 2029'!$D11:$AA11)</f>
        <v>13251.275955383771</v>
      </c>
      <c r="Z11" s="60">
        <f>MIN('[9]Total 2027 - 2029'!$D11:$AA11)</f>
        <v>13251.275955383771</v>
      </c>
      <c r="AA11" s="60">
        <f>MIN('[9]Total 2027 - 2029'!$D11:$AA11)</f>
        <v>13251.275955383771</v>
      </c>
      <c r="AB11" s="57">
        <f t="shared" si="0"/>
        <v>2226214.3605044745</v>
      </c>
      <c r="AC11" s="64"/>
    </row>
    <row r="12" spans="1:29" x14ac:dyDescent="0.25">
      <c r="A12" s="65">
        <v>46478</v>
      </c>
      <c r="B12" s="54" t="s">
        <v>16</v>
      </c>
      <c r="C12" s="55">
        <v>22</v>
      </c>
      <c r="D12" s="60">
        <f>MIN('[9]Total 2027 - 2029'!$D12:$AA12)</f>
        <v>13020.497545261594</v>
      </c>
      <c r="E12" s="60">
        <f>MIN('[9]Total 2027 - 2029'!$D12:$AA12)</f>
        <v>13020.497545261594</v>
      </c>
      <c r="F12" s="60">
        <f>MIN('[9]Total 2027 - 2029'!$D12:$AA12)</f>
        <v>13020.497545261594</v>
      </c>
      <c r="G12" s="60">
        <f>MIN('[9]Total 2027 - 2029'!$D12:$AA12)</f>
        <v>13020.497545261594</v>
      </c>
      <c r="H12" s="60">
        <f>MIN('[9]Total 2027 - 2029'!$D12:$AA12)</f>
        <v>13020.497545261594</v>
      </c>
      <c r="I12" s="60">
        <f>MIN('[9]Total 2027 - 2029'!$D12:$AA12)</f>
        <v>13020.497545261594</v>
      </c>
      <c r="J12" s="60">
        <f>MIN('[9]Total 2027 - 2029'!$D12:$AA12)</f>
        <v>13020.497545261594</v>
      </c>
      <c r="K12" s="60">
        <f>MIN('[9]Total 2027 - 2029'!$D12:$AA12)</f>
        <v>13020.497545261594</v>
      </c>
      <c r="L12" s="60">
        <f>MIN('[9]Total 2027 - 2029'!$D12:$AA12)</f>
        <v>13020.497545261594</v>
      </c>
      <c r="M12" s="60">
        <f>MIN('[9]Total 2027 - 2029'!$D12:$AA12)</f>
        <v>13020.497545261594</v>
      </c>
      <c r="N12" s="60">
        <f>MIN('[9]Total 2027 - 2029'!$D12:$AA12)</f>
        <v>13020.497545261594</v>
      </c>
      <c r="O12" s="60">
        <f>MIN('[9]Total 2027 - 2029'!$D12:$AA12)</f>
        <v>13020.497545261594</v>
      </c>
      <c r="P12" s="60">
        <f>MIN('[9]Total 2027 - 2029'!$D12:$AA12)</f>
        <v>13020.497545261594</v>
      </c>
      <c r="Q12" s="60">
        <f>MIN('[9]Total 2027 - 2029'!$D12:$AA12)</f>
        <v>13020.497545261594</v>
      </c>
      <c r="R12" s="60">
        <f>MIN('[9]Total 2027 - 2029'!$D12:$AA12)</f>
        <v>13020.497545261594</v>
      </c>
      <c r="S12" s="60">
        <f>MIN('[9]Total 2027 - 2029'!$D12:$AA12)</f>
        <v>13020.497545261594</v>
      </c>
      <c r="T12" s="60">
        <f>MIN('[9]Total 2027 - 2029'!$D12:$AA12)</f>
        <v>13020.497545261594</v>
      </c>
      <c r="U12" s="60">
        <f>MIN('[9]Total 2027 - 2029'!$D12:$AA12)</f>
        <v>13020.497545261594</v>
      </c>
      <c r="V12" s="60">
        <f>MIN('[9]Total 2027 - 2029'!$D12:$AA12)</f>
        <v>13020.497545261594</v>
      </c>
      <c r="W12" s="60">
        <f>MIN('[9]Total 2027 - 2029'!$D12:$AA12)</f>
        <v>13020.497545261594</v>
      </c>
      <c r="X12" s="60">
        <f>MIN('[9]Total 2027 - 2029'!$D12:$AA12)</f>
        <v>13020.497545261594</v>
      </c>
      <c r="Y12" s="60">
        <f>MIN('[9]Total 2027 - 2029'!$D12:$AA12)</f>
        <v>13020.497545261594</v>
      </c>
      <c r="Z12" s="60">
        <f>MIN('[9]Total 2027 - 2029'!$D12:$AA12)</f>
        <v>13020.497545261594</v>
      </c>
      <c r="AA12" s="60">
        <f>MIN('[9]Total 2027 - 2029'!$D12:$AA12)</f>
        <v>13020.497545261594</v>
      </c>
      <c r="AB12" s="57">
        <f t="shared" si="0"/>
        <v>6874822.7038981225</v>
      </c>
      <c r="AC12" s="62">
        <f>SUM(AB12:AB14)</f>
        <v>9326731.5378364939</v>
      </c>
    </row>
    <row r="13" spans="1:29" x14ac:dyDescent="0.25">
      <c r="A13" s="66"/>
      <c r="B13" s="59" t="s">
        <v>17</v>
      </c>
      <c r="C13" s="55">
        <v>4</v>
      </c>
      <c r="D13" s="60">
        <f>MIN('[9]Total 2027 - 2029'!$D13:$AA13)</f>
        <v>11886.256352534221</v>
      </c>
      <c r="E13" s="60">
        <f>MIN('[9]Total 2027 - 2029'!$D13:$AA13)</f>
        <v>11886.256352534221</v>
      </c>
      <c r="F13" s="60">
        <f>MIN('[9]Total 2027 - 2029'!$D13:$AA13)</f>
        <v>11886.256352534221</v>
      </c>
      <c r="G13" s="60">
        <f>MIN('[9]Total 2027 - 2029'!$D13:$AA13)</f>
        <v>11886.256352534221</v>
      </c>
      <c r="H13" s="60">
        <f>MIN('[9]Total 2027 - 2029'!$D13:$AA13)</f>
        <v>11886.256352534221</v>
      </c>
      <c r="I13" s="60">
        <f>MIN('[9]Total 2027 - 2029'!$D13:$AA13)</f>
        <v>11886.256352534221</v>
      </c>
      <c r="J13" s="60">
        <f>MIN('[9]Total 2027 - 2029'!$D13:$AA13)</f>
        <v>11886.256352534221</v>
      </c>
      <c r="K13" s="60">
        <f>MIN('[9]Total 2027 - 2029'!$D13:$AA13)</f>
        <v>11886.256352534221</v>
      </c>
      <c r="L13" s="60">
        <f>MIN('[9]Total 2027 - 2029'!$D13:$AA13)</f>
        <v>11886.256352534221</v>
      </c>
      <c r="M13" s="60">
        <f>MIN('[9]Total 2027 - 2029'!$D13:$AA13)</f>
        <v>11886.256352534221</v>
      </c>
      <c r="N13" s="60">
        <f>MIN('[9]Total 2027 - 2029'!$D13:$AA13)</f>
        <v>11886.256352534221</v>
      </c>
      <c r="O13" s="60">
        <f>MIN('[9]Total 2027 - 2029'!$D13:$AA13)</f>
        <v>11886.256352534221</v>
      </c>
      <c r="P13" s="60">
        <f>MIN('[9]Total 2027 - 2029'!$D13:$AA13)</f>
        <v>11886.256352534221</v>
      </c>
      <c r="Q13" s="60">
        <f>MIN('[9]Total 2027 - 2029'!$D13:$AA13)</f>
        <v>11886.256352534221</v>
      </c>
      <c r="R13" s="60">
        <f>MIN('[9]Total 2027 - 2029'!$D13:$AA13)</f>
        <v>11886.256352534221</v>
      </c>
      <c r="S13" s="60">
        <f>MIN('[9]Total 2027 - 2029'!$D13:$AA13)</f>
        <v>11886.256352534221</v>
      </c>
      <c r="T13" s="60">
        <f>MIN('[9]Total 2027 - 2029'!$D13:$AA13)</f>
        <v>11886.256352534221</v>
      </c>
      <c r="U13" s="60">
        <f>MIN('[9]Total 2027 - 2029'!$D13:$AA13)</f>
        <v>11886.256352534221</v>
      </c>
      <c r="V13" s="60">
        <f>MIN('[9]Total 2027 - 2029'!$D13:$AA13)</f>
        <v>11886.256352534221</v>
      </c>
      <c r="W13" s="60">
        <f>MIN('[9]Total 2027 - 2029'!$D13:$AA13)</f>
        <v>11886.256352534221</v>
      </c>
      <c r="X13" s="60">
        <f>MIN('[9]Total 2027 - 2029'!$D13:$AA13)</f>
        <v>11886.256352534221</v>
      </c>
      <c r="Y13" s="60">
        <f>MIN('[9]Total 2027 - 2029'!$D13:$AA13)</f>
        <v>11886.256352534221</v>
      </c>
      <c r="Z13" s="60">
        <f>MIN('[9]Total 2027 - 2029'!$D13:$AA13)</f>
        <v>11886.256352534221</v>
      </c>
      <c r="AA13" s="60">
        <f>MIN('[9]Total 2027 - 2029'!$D13:$AA13)</f>
        <v>11886.256352534221</v>
      </c>
      <c r="AB13" s="57">
        <f t="shared" si="0"/>
        <v>1141080.6098432855</v>
      </c>
      <c r="AC13" s="63"/>
    </row>
    <row r="14" spans="1:29" x14ac:dyDescent="0.25">
      <c r="A14" s="67"/>
      <c r="B14" s="59" t="s">
        <v>18</v>
      </c>
      <c r="C14" s="55">
        <v>4</v>
      </c>
      <c r="D14" s="60">
        <f>MIN('[9]Total 2027 - 2029'!$D14:$AA14)</f>
        <v>13654.460667657144</v>
      </c>
      <c r="E14" s="60">
        <f>MIN('[9]Total 2027 - 2029'!$D14:$AA14)</f>
        <v>13654.460667657144</v>
      </c>
      <c r="F14" s="60">
        <f>MIN('[9]Total 2027 - 2029'!$D14:$AA14)</f>
        <v>13654.460667657144</v>
      </c>
      <c r="G14" s="60">
        <f>MIN('[9]Total 2027 - 2029'!$D14:$AA14)</f>
        <v>13654.460667657144</v>
      </c>
      <c r="H14" s="60">
        <f>MIN('[9]Total 2027 - 2029'!$D14:$AA14)</f>
        <v>13654.460667657144</v>
      </c>
      <c r="I14" s="60">
        <f>MIN('[9]Total 2027 - 2029'!$D14:$AA14)</f>
        <v>13654.460667657144</v>
      </c>
      <c r="J14" s="60">
        <f>MIN('[9]Total 2027 - 2029'!$D14:$AA14)</f>
        <v>13654.460667657144</v>
      </c>
      <c r="K14" s="60">
        <f>MIN('[9]Total 2027 - 2029'!$D14:$AA14)</f>
        <v>13654.460667657144</v>
      </c>
      <c r="L14" s="60">
        <f>MIN('[9]Total 2027 - 2029'!$D14:$AA14)</f>
        <v>13654.460667657144</v>
      </c>
      <c r="M14" s="60">
        <f>MIN('[9]Total 2027 - 2029'!$D14:$AA14)</f>
        <v>13654.460667657144</v>
      </c>
      <c r="N14" s="60">
        <f>MIN('[9]Total 2027 - 2029'!$D14:$AA14)</f>
        <v>13654.460667657144</v>
      </c>
      <c r="O14" s="60">
        <f>MIN('[9]Total 2027 - 2029'!$D14:$AA14)</f>
        <v>13654.460667657144</v>
      </c>
      <c r="P14" s="60">
        <f>MIN('[9]Total 2027 - 2029'!$D14:$AA14)</f>
        <v>13654.460667657144</v>
      </c>
      <c r="Q14" s="60">
        <f>MIN('[9]Total 2027 - 2029'!$D14:$AA14)</f>
        <v>13654.460667657144</v>
      </c>
      <c r="R14" s="60">
        <f>MIN('[9]Total 2027 - 2029'!$D14:$AA14)</f>
        <v>13654.460667657144</v>
      </c>
      <c r="S14" s="60">
        <f>MIN('[9]Total 2027 - 2029'!$D14:$AA14)</f>
        <v>13654.460667657144</v>
      </c>
      <c r="T14" s="60">
        <f>MIN('[9]Total 2027 - 2029'!$D14:$AA14)</f>
        <v>13654.460667657144</v>
      </c>
      <c r="U14" s="60">
        <f>MIN('[9]Total 2027 - 2029'!$D14:$AA14)</f>
        <v>13654.460667657144</v>
      </c>
      <c r="V14" s="60">
        <f>MIN('[9]Total 2027 - 2029'!$D14:$AA14)</f>
        <v>13654.460667657144</v>
      </c>
      <c r="W14" s="60">
        <f>MIN('[9]Total 2027 - 2029'!$D14:$AA14)</f>
        <v>13654.460667657144</v>
      </c>
      <c r="X14" s="60">
        <f>MIN('[9]Total 2027 - 2029'!$D14:$AA14)</f>
        <v>13654.460667657144</v>
      </c>
      <c r="Y14" s="60">
        <f>MIN('[9]Total 2027 - 2029'!$D14:$AA14)</f>
        <v>13654.460667657144</v>
      </c>
      <c r="Z14" s="60">
        <f>MIN('[9]Total 2027 - 2029'!$D14:$AA14)</f>
        <v>13654.460667657144</v>
      </c>
      <c r="AA14" s="60">
        <f>MIN('[9]Total 2027 - 2029'!$D14:$AA14)</f>
        <v>13654.460667657144</v>
      </c>
      <c r="AB14" s="57">
        <f t="shared" si="0"/>
        <v>1310828.2240950859</v>
      </c>
      <c r="AC14" s="64"/>
    </row>
    <row r="15" spans="1:29" x14ac:dyDescent="0.25">
      <c r="A15" s="65">
        <v>46508</v>
      </c>
      <c r="B15" s="54" t="s">
        <v>16</v>
      </c>
      <c r="C15" s="55">
        <v>19</v>
      </c>
      <c r="D15" s="60">
        <f>MIN('[9]Total 2027 - 2029'!$D15:$AA15)</f>
        <v>11627.53769102801</v>
      </c>
      <c r="E15" s="60">
        <f>MIN('[9]Total 2027 - 2029'!$D15:$AA15)</f>
        <v>11627.53769102801</v>
      </c>
      <c r="F15" s="60">
        <f>MIN('[9]Total 2027 - 2029'!$D15:$AA15)</f>
        <v>11627.53769102801</v>
      </c>
      <c r="G15" s="60">
        <f>MIN('[9]Total 2027 - 2029'!$D15:$AA15)</f>
        <v>11627.53769102801</v>
      </c>
      <c r="H15" s="60">
        <f>MIN('[9]Total 2027 - 2029'!$D15:$AA15)</f>
        <v>11627.53769102801</v>
      </c>
      <c r="I15" s="60">
        <f>MIN('[9]Total 2027 - 2029'!$D15:$AA15)</f>
        <v>11627.53769102801</v>
      </c>
      <c r="J15" s="60">
        <f>MIN('[9]Total 2027 - 2029'!$D15:$AA15)</f>
        <v>11627.53769102801</v>
      </c>
      <c r="K15" s="60">
        <f>MIN('[9]Total 2027 - 2029'!$D15:$AA15)</f>
        <v>11627.53769102801</v>
      </c>
      <c r="L15" s="60">
        <f>MIN('[9]Total 2027 - 2029'!$D15:$AA15)</f>
        <v>11627.53769102801</v>
      </c>
      <c r="M15" s="60">
        <f>MIN('[9]Total 2027 - 2029'!$D15:$AA15)</f>
        <v>11627.53769102801</v>
      </c>
      <c r="N15" s="60">
        <f>MIN('[9]Total 2027 - 2029'!$D15:$AA15)</f>
        <v>11627.53769102801</v>
      </c>
      <c r="O15" s="60">
        <f>MIN('[9]Total 2027 - 2029'!$D15:$AA15)</f>
        <v>11627.53769102801</v>
      </c>
      <c r="P15" s="60">
        <f>MIN('[9]Total 2027 - 2029'!$D15:$AA15)</f>
        <v>11627.53769102801</v>
      </c>
      <c r="Q15" s="60">
        <f>MIN('[9]Total 2027 - 2029'!$D15:$AA15)</f>
        <v>11627.53769102801</v>
      </c>
      <c r="R15" s="60">
        <f>MIN('[9]Total 2027 - 2029'!$D15:$AA15)</f>
        <v>11627.53769102801</v>
      </c>
      <c r="S15" s="60">
        <f>MIN('[9]Total 2027 - 2029'!$D15:$AA15)</f>
        <v>11627.53769102801</v>
      </c>
      <c r="T15" s="60">
        <f>MIN('[9]Total 2027 - 2029'!$D15:$AA15)</f>
        <v>11627.53769102801</v>
      </c>
      <c r="U15" s="60">
        <f>MIN('[9]Total 2027 - 2029'!$D15:$AA15)</f>
        <v>11627.53769102801</v>
      </c>
      <c r="V15" s="60">
        <f>MIN('[9]Total 2027 - 2029'!$D15:$AA15)</f>
        <v>11627.53769102801</v>
      </c>
      <c r="W15" s="60">
        <f>MIN('[9]Total 2027 - 2029'!$D15:$AA15)</f>
        <v>11627.53769102801</v>
      </c>
      <c r="X15" s="60">
        <f>MIN('[9]Total 2027 - 2029'!$D15:$AA15)</f>
        <v>11627.53769102801</v>
      </c>
      <c r="Y15" s="60">
        <f>MIN('[9]Total 2027 - 2029'!$D15:$AA15)</f>
        <v>11627.53769102801</v>
      </c>
      <c r="Z15" s="60">
        <f>MIN('[9]Total 2027 - 2029'!$D15:$AA15)</f>
        <v>11627.53769102801</v>
      </c>
      <c r="AA15" s="60">
        <f>MIN('[9]Total 2027 - 2029'!$D15:$AA15)</f>
        <v>11627.53769102801</v>
      </c>
      <c r="AB15" s="57">
        <f t="shared" si="0"/>
        <v>5302157.1871087719</v>
      </c>
      <c r="AC15" s="62">
        <f>SUM(AB15:AB17)</f>
        <v>8062875.5876237778</v>
      </c>
    </row>
    <row r="16" spans="1:29" x14ac:dyDescent="0.25">
      <c r="A16" s="66"/>
      <c r="B16" s="59" t="s">
        <v>17</v>
      </c>
      <c r="C16" s="55">
        <v>5</v>
      </c>
      <c r="D16" s="60">
        <f>MIN('[9]Total 2027 - 2029'!$D16:$AA16)</f>
        <v>10129.535816826838</v>
      </c>
      <c r="E16" s="60">
        <f>MIN('[9]Total 2027 - 2029'!$D16:$AA16)</f>
        <v>10129.535816826838</v>
      </c>
      <c r="F16" s="60">
        <f>MIN('[9]Total 2027 - 2029'!$D16:$AA16)</f>
        <v>10129.535816826838</v>
      </c>
      <c r="G16" s="60">
        <f>MIN('[9]Total 2027 - 2029'!$D16:$AA16)</f>
        <v>10129.535816826838</v>
      </c>
      <c r="H16" s="60">
        <f>MIN('[9]Total 2027 - 2029'!$D16:$AA16)</f>
        <v>10129.535816826838</v>
      </c>
      <c r="I16" s="60">
        <f>MIN('[9]Total 2027 - 2029'!$D16:$AA16)</f>
        <v>10129.535816826838</v>
      </c>
      <c r="J16" s="60">
        <f>MIN('[9]Total 2027 - 2029'!$D16:$AA16)</f>
        <v>10129.535816826838</v>
      </c>
      <c r="K16" s="60">
        <f>MIN('[9]Total 2027 - 2029'!$D16:$AA16)</f>
        <v>10129.535816826838</v>
      </c>
      <c r="L16" s="60">
        <f>MIN('[9]Total 2027 - 2029'!$D16:$AA16)</f>
        <v>10129.535816826838</v>
      </c>
      <c r="M16" s="60">
        <f>MIN('[9]Total 2027 - 2029'!$D16:$AA16)</f>
        <v>10129.535816826838</v>
      </c>
      <c r="N16" s="60">
        <f>MIN('[9]Total 2027 - 2029'!$D16:$AA16)</f>
        <v>10129.535816826838</v>
      </c>
      <c r="O16" s="60">
        <f>MIN('[9]Total 2027 - 2029'!$D16:$AA16)</f>
        <v>10129.535816826838</v>
      </c>
      <c r="P16" s="60">
        <f>MIN('[9]Total 2027 - 2029'!$D16:$AA16)</f>
        <v>10129.535816826838</v>
      </c>
      <c r="Q16" s="60">
        <f>MIN('[9]Total 2027 - 2029'!$D16:$AA16)</f>
        <v>10129.535816826838</v>
      </c>
      <c r="R16" s="60">
        <f>MIN('[9]Total 2027 - 2029'!$D16:$AA16)</f>
        <v>10129.535816826838</v>
      </c>
      <c r="S16" s="60">
        <f>MIN('[9]Total 2027 - 2029'!$D16:$AA16)</f>
        <v>10129.535816826838</v>
      </c>
      <c r="T16" s="60">
        <f>MIN('[9]Total 2027 - 2029'!$D16:$AA16)</f>
        <v>10129.535816826838</v>
      </c>
      <c r="U16" s="60">
        <f>MIN('[9]Total 2027 - 2029'!$D16:$AA16)</f>
        <v>10129.535816826838</v>
      </c>
      <c r="V16" s="60">
        <f>MIN('[9]Total 2027 - 2029'!$D16:$AA16)</f>
        <v>10129.535816826838</v>
      </c>
      <c r="W16" s="60">
        <f>MIN('[9]Total 2027 - 2029'!$D16:$AA16)</f>
        <v>10129.535816826838</v>
      </c>
      <c r="X16" s="60">
        <f>MIN('[9]Total 2027 - 2029'!$D16:$AA16)</f>
        <v>10129.535816826838</v>
      </c>
      <c r="Y16" s="60">
        <f>MIN('[9]Total 2027 - 2029'!$D16:$AA16)</f>
        <v>10129.535816826838</v>
      </c>
      <c r="Z16" s="60">
        <f>MIN('[9]Total 2027 - 2029'!$D16:$AA16)</f>
        <v>10129.535816826838</v>
      </c>
      <c r="AA16" s="60">
        <f>MIN('[9]Total 2027 - 2029'!$D16:$AA16)</f>
        <v>10129.535816826838</v>
      </c>
      <c r="AB16" s="57">
        <f t="shared" si="0"/>
        <v>1215544.2980192201</v>
      </c>
      <c r="AC16" s="63"/>
    </row>
    <row r="17" spans="1:29" x14ac:dyDescent="0.25">
      <c r="A17" s="67"/>
      <c r="B17" s="59" t="s">
        <v>18</v>
      </c>
      <c r="C17" s="55">
        <v>7</v>
      </c>
      <c r="D17" s="60">
        <f>MIN('[9]Total 2027 - 2029'!$D17:$AA17)</f>
        <v>9197.4648958082453</v>
      </c>
      <c r="E17" s="60">
        <f>MIN('[9]Total 2027 - 2029'!$D17:$AA17)</f>
        <v>9197.4648958082453</v>
      </c>
      <c r="F17" s="60">
        <f>MIN('[9]Total 2027 - 2029'!$D17:$AA17)</f>
        <v>9197.4648958082453</v>
      </c>
      <c r="G17" s="60">
        <f>MIN('[9]Total 2027 - 2029'!$D17:$AA17)</f>
        <v>9197.4648958082453</v>
      </c>
      <c r="H17" s="60">
        <f>MIN('[9]Total 2027 - 2029'!$D17:$AA17)</f>
        <v>9197.4648958082453</v>
      </c>
      <c r="I17" s="60">
        <f>MIN('[9]Total 2027 - 2029'!$D17:$AA17)</f>
        <v>9197.4648958082453</v>
      </c>
      <c r="J17" s="60">
        <f>MIN('[9]Total 2027 - 2029'!$D17:$AA17)</f>
        <v>9197.4648958082453</v>
      </c>
      <c r="K17" s="60">
        <f>MIN('[9]Total 2027 - 2029'!$D17:$AA17)</f>
        <v>9197.4648958082453</v>
      </c>
      <c r="L17" s="60">
        <f>MIN('[9]Total 2027 - 2029'!$D17:$AA17)</f>
        <v>9197.4648958082453</v>
      </c>
      <c r="M17" s="60">
        <f>MIN('[9]Total 2027 - 2029'!$D17:$AA17)</f>
        <v>9197.4648958082453</v>
      </c>
      <c r="N17" s="60">
        <f>MIN('[9]Total 2027 - 2029'!$D17:$AA17)</f>
        <v>9197.4648958082453</v>
      </c>
      <c r="O17" s="60">
        <f>MIN('[9]Total 2027 - 2029'!$D17:$AA17)</f>
        <v>9197.4648958082453</v>
      </c>
      <c r="P17" s="60">
        <f>MIN('[9]Total 2027 - 2029'!$D17:$AA17)</f>
        <v>9197.4648958082453</v>
      </c>
      <c r="Q17" s="60">
        <f>MIN('[9]Total 2027 - 2029'!$D17:$AA17)</f>
        <v>9197.4648958082453</v>
      </c>
      <c r="R17" s="60">
        <f>MIN('[9]Total 2027 - 2029'!$D17:$AA17)</f>
        <v>9197.4648958082453</v>
      </c>
      <c r="S17" s="60">
        <f>MIN('[9]Total 2027 - 2029'!$D17:$AA17)</f>
        <v>9197.4648958082453</v>
      </c>
      <c r="T17" s="60">
        <f>MIN('[9]Total 2027 - 2029'!$D17:$AA17)</f>
        <v>9197.4648958082453</v>
      </c>
      <c r="U17" s="60">
        <f>MIN('[9]Total 2027 - 2029'!$D17:$AA17)</f>
        <v>9197.4648958082453</v>
      </c>
      <c r="V17" s="60">
        <f>MIN('[9]Total 2027 - 2029'!$D17:$AA17)</f>
        <v>9197.4648958082453</v>
      </c>
      <c r="W17" s="60">
        <f>MIN('[9]Total 2027 - 2029'!$D17:$AA17)</f>
        <v>9197.4648958082453</v>
      </c>
      <c r="X17" s="60">
        <f>MIN('[9]Total 2027 - 2029'!$D17:$AA17)</f>
        <v>9197.4648958082453</v>
      </c>
      <c r="Y17" s="60">
        <f>MIN('[9]Total 2027 - 2029'!$D17:$AA17)</f>
        <v>9197.4648958082453</v>
      </c>
      <c r="Z17" s="60">
        <f>MIN('[9]Total 2027 - 2029'!$D17:$AA17)</f>
        <v>9197.4648958082453</v>
      </c>
      <c r="AA17" s="60">
        <f>MIN('[9]Total 2027 - 2029'!$D17:$AA17)</f>
        <v>9197.4648958082453</v>
      </c>
      <c r="AB17" s="57">
        <f t="shared" si="0"/>
        <v>1545174.1024957856</v>
      </c>
      <c r="AC17" s="64"/>
    </row>
    <row r="18" spans="1:29" x14ac:dyDescent="0.25">
      <c r="A18" s="65">
        <v>46539</v>
      </c>
      <c r="B18" s="54" t="s">
        <v>16</v>
      </c>
      <c r="C18" s="55">
        <v>21</v>
      </c>
      <c r="D18" s="60">
        <f>MIN('[9]Total 2027 - 2029'!$D18:$AA18)</f>
        <v>9236.3958146218756</v>
      </c>
      <c r="E18" s="60">
        <f>MIN('[9]Total 2027 - 2029'!$D18:$AA18)</f>
        <v>9236.3958146218756</v>
      </c>
      <c r="F18" s="60">
        <f>MIN('[9]Total 2027 - 2029'!$D18:$AA18)</f>
        <v>9236.3958146218756</v>
      </c>
      <c r="G18" s="60">
        <f>MIN('[9]Total 2027 - 2029'!$D18:$AA18)</f>
        <v>9236.3958146218756</v>
      </c>
      <c r="H18" s="60">
        <f>MIN('[9]Total 2027 - 2029'!$D18:$AA18)</f>
        <v>9236.3958146218756</v>
      </c>
      <c r="I18" s="60">
        <f>MIN('[9]Total 2027 - 2029'!$D18:$AA18)</f>
        <v>9236.3958146218756</v>
      </c>
      <c r="J18" s="60">
        <f>MIN('[9]Total 2027 - 2029'!$D18:$AA18)</f>
        <v>9236.3958146218756</v>
      </c>
      <c r="K18" s="60">
        <f>MIN('[9]Total 2027 - 2029'!$D18:$AA18)</f>
        <v>9236.3958146218756</v>
      </c>
      <c r="L18" s="60">
        <f>MIN('[9]Total 2027 - 2029'!$D18:$AA18)</f>
        <v>9236.3958146218756</v>
      </c>
      <c r="M18" s="60">
        <f>MIN('[9]Total 2027 - 2029'!$D18:$AA18)</f>
        <v>9236.3958146218756</v>
      </c>
      <c r="N18" s="60">
        <f>MIN('[9]Total 2027 - 2029'!$D18:$AA18)</f>
        <v>9236.3958146218756</v>
      </c>
      <c r="O18" s="60">
        <f>MIN('[9]Total 2027 - 2029'!$D18:$AA18)</f>
        <v>9236.3958146218756</v>
      </c>
      <c r="P18" s="60">
        <f>MIN('[9]Total 2027 - 2029'!$D18:$AA18)</f>
        <v>9236.3958146218756</v>
      </c>
      <c r="Q18" s="60">
        <f>MIN('[9]Total 2027 - 2029'!$D18:$AA18)</f>
        <v>9236.3958146218756</v>
      </c>
      <c r="R18" s="60">
        <f>MIN('[9]Total 2027 - 2029'!$D18:$AA18)</f>
        <v>9236.3958146218756</v>
      </c>
      <c r="S18" s="60">
        <f>MIN('[9]Total 2027 - 2029'!$D18:$AA18)</f>
        <v>9236.3958146218756</v>
      </c>
      <c r="T18" s="60">
        <f>MIN('[9]Total 2027 - 2029'!$D18:$AA18)</f>
        <v>9236.3958146218756</v>
      </c>
      <c r="U18" s="60">
        <f>MIN('[9]Total 2027 - 2029'!$D18:$AA18)</f>
        <v>9236.3958146218756</v>
      </c>
      <c r="V18" s="60">
        <f>MIN('[9]Total 2027 - 2029'!$D18:$AA18)</f>
        <v>9236.3958146218756</v>
      </c>
      <c r="W18" s="60">
        <f>MIN('[9]Total 2027 - 2029'!$D18:$AA18)</f>
        <v>9236.3958146218756</v>
      </c>
      <c r="X18" s="60">
        <f>MIN('[9]Total 2027 - 2029'!$D18:$AA18)</f>
        <v>9236.3958146218756</v>
      </c>
      <c r="Y18" s="60">
        <f>MIN('[9]Total 2027 - 2029'!$D18:$AA18)</f>
        <v>9236.3958146218756</v>
      </c>
      <c r="Z18" s="60">
        <f>MIN('[9]Total 2027 - 2029'!$D18:$AA18)</f>
        <v>9236.3958146218756</v>
      </c>
      <c r="AA18" s="60">
        <f>MIN('[9]Total 2027 - 2029'!$D18:$AA18)</f>
        <v>9236.3958146218756</v>
      </c>
      <c r="AB18" s="57">
        <f t="shared" si="0"/>
        <v>4655143.4905694267</v>
      </c>
      <c r="AC18" s="62">
        <f>SUM(AB18:AB20)</f>
        <v>6524766.0528190797</v>
      </c>
    </row>
    <row r="19" spans="1:29" x14ac:dyDescent="0.25">
      <c r="A19" s="66"/>
      <c r="B19" s="59" t="s">
        <v>17</v>
      </c>
      <c r="C19" s="55">
        <v>4</v>
      </c>
      <c r="D19" s="60">
        <f>MIN('[9]Total 2027 - 2029'!$D19:$AA19)</f>
        <v>9565.7195688000375</v>
      </c>
      <c r="E19" s="60">
        <f>MIN('[9]Total 2027 - 2029'!$D19:$AA19)</f>
        <v>9565.7195688000375</v>
      </c>
      <c r="F19" s="60">
        <f>MIN('[9]Total 2027 - 2029'!$D19:$AA19)</f>
        <v>9565.7195688000375</v>
      </c>
      <c r="G19" s="60">
        <f>MIN('[9]Total 2027 - 2029'!$D19:$AA19)</f>
        <v>9565.7195688000375</v>
      </c>
      <c r="H19" s="60">
        <f>MIN('[9]Total 2027 - 2029'!$D19:$AA19)</f>
        <v>9565.7195688000375</v>
      </c>
      <c r="I19" s="60">
        <f>MIN('[9]Total 2027 - 2029'!$D19:$AA19)</f>
        <v>9565.7195688000375</v>
      </c>
      <c r="J19" s="60">
        <f>MIN('[9]Total 2027 - 2029'!$D19:$AA19)</f>
        <v>9565.7195688000375</v>
      </c>
      <c r="K19" s="60">
        <f>MIN('[9]Total 2027 - 2029'!$D19:$AA19)</f>
        <v>9565.7195688000375</v>
      </c>
      <c r="L19" s="60">
        <f>MIN('[9]Total 2027 - 2029'!$D19:$AA19)</f>
        <v>9565.7195688000375</v>
      </c>
      <c r="M19" s="60">
        <f>MIN('[9]Total 2027 - 2029'!$D19:$AA19)</f>
        <v>9565.7195688000375</v>
      </c>
      <c r="N19" s="60">
        <f>MIN('[9]Total 2027 - 2029'!$D19:$AA19)</f>
        <v>9565.7195688000375</v>
      </c>
      <c r="O19" s="60">
        <f>MIN('[9]Total 2027 - 2029'!$D19:$AA19)</f>
        <v>9565.7195688000375</v>
      </c>
      <c r="P19" s="60">
        <f>MIN('[9]Total 2027 - 2029'!$D19:$AA19)</f>
        <v>9565.7195688000375</v>
      </c>
      <c r="Q19" s="60">
        <f>MIN('[9]Total 2027 - 2029'!$D19:$AA19)</f>
        <v>9565.7195688000375</v>
      </c>
      <c r="R19" s="60">
        <f>MIN('[9]Total 2027 - 2029'!$D19:$AA19)</f>
        <v>9565.7195688000375</v>
      </c>
      <c r="S19" s="60">
        <f>MIN('[9]Total 2027 - 2029'!$D19:$AA19)</f>
        <v>9565.7195688000375</v>
      </c>
      <c r="T19" s="60">
        <f>MIN('[9]Total 2027 - 2029'!$D19:$AA19)</f>
        <v>9565.7195688000375</v>
      </c>
      <c r="U19" s="60">
        <f>MIN('[9]Total 2027 - 2029'!$D19:$AA19)</f>
        <v>9565.7195688000375</v>
      </c>
      <c r="V19" s="60">
        <f>MIN('[9]Total 2027 - 2029'!$D19:$AA19)</f>
        <v>9565.7195688000375</v>
      </c>
      <c r="W19" s="60">
        <f>MIN('[9]Total 2027 - 2029'!$D19:$AA19)</f>
        <v>9565.7195688000375</v>
      </c>
      <c r="X19" s="60">
        <f>MIN('[9]Total 2027 - 2029'!$D19:$AA19)</f>
        <v>9565.7195688000375</v>
      </c>
      <c r="Y19" s="60">
        <f>MIN('[9]Total 2027 - 2029'!$D19:$AA19)</f>
        <v>9565.7195688000375</v>
      </c>
      <c r="Z19" s="60">
        <f>MIN('[9]Total 2027 - 2029'!$D19:$AA19)</f>
        <v>9565.7195688000375</v>
      </c>
      <c r="AA19" s="60">
        <f>MIN('[9]Total 2027 - 2029'!$D19:$AA19)</f>
        <v>9565.7195688000375</v>
      </c>
      <c r="AB19" s="57">
        <f t="shared" si="0"/>
        <v>918309.07860480354</v>
      </c>
      <c r="AC19" s="63"/>
    </row>
    <row r="20" spans="1:29" x14ac:dyDescent="0.25">
      <c r="A20" s="67"/>
      <c r="B20" s="59" t="s">
        <v>18</v>
      </c>
      <c r="C20" s="55">
        <v>5</v>
      </c>
      <c r="D20" s="60">
        <f>MIN('[9]Total 2027 - 2029'!$D20:$AA20)</f>
        <v>7927.6123637070841</v>
      </c>
      <c r="E20" s="60">
        <f>MIN('[9]Total 2027 - 2029'!$D20:$AA20)</f>
        <v>7927.6123637070841</v>
      </c>
      <c r="F20" s="60">
        <f>MIN('[9]Total 2027 - 2029'!$D20:$AA20)</f>
        <v>7927.6123637070841</v>
      </c>
      <c r="G20" s="60">
        <f>MIN('[9]Total 2027 - 2029'!$D20:$AA20)</f>
        <v>7927.6123637070841</v>
      </c>
      <c r="H20" s="60">
        <f>MIN('[9]Total 2027 - 2029'!$D20:$AA20)</f>
        <v>7927.6123637070841</v>
      </c>
      <c r="I20" s="60">
        <f>MIN('[9]Total 2027 - 2029'!$D20:$AA20)</f>
        <v>7927.6123637070841</v>
      </c>
      <c r="J20" s="60">
        <f>MIN('[9]Total 2027 - 2029'!$D20:$AA20)</f>
        <v>7927.6123637070841</v>
      </c>
      <c r="K20" s="60">
        <f>MIN('[9]Total 2027 - 2029'!$D20:$AA20)</f>
        <v>7927.6123637070841</v>
      </c>
      <c r="L20" s="60">
        <f>MIN('[9]Total 2027 - 2029'!$D20:$AA20)</f>
        <v>7927.6123637070841</v>
      </c>
      <c r="M20" s="60">
        <f>MIN('[9]Total 2027 - 2029'!$D20:$AA20)</f>
        <v>7927.6123637070841</v>
      </c>
      <c r="N20" s="60">
        <f>MIN('[9]Total 2027 - 2029'!$D20:$AA20)</f>
        <v>7927.6123637070841</v>
      </c>
      <c r="O20" s="60">
        <f>MIN('[9]Total 2027 - 2029'!$D20:$AA20)</f>
        <v>7927.6123637070841</v>
      </c>
      <c r="P20" s="60">
        <f>MIN('[9]Total 2027 - 2029'!$D20:$AA20)</f>
        <v>7927.6123637070841</v>
      </c>
      <c r="Q20" s="60">
        <f>MIN('[9]Total 2027 - 2029'!$D20:$AA20)</f>
        <v>7927.6123637070841</v>
      </c>
      <c r="R20" s="60">
        <f>MIN('[9]Total 2027 - 2029'!$D20:$AA20)</f>
        <v>7927.6123637070841</v>
      </c>
      <c r="S20" s="60">
        <f>MIN('[9]Total 2027 - 2029'!$D20:$AA20)</f>
        <v>7927.6123637070841</v>
      </c>
      <c r="T20" s="60">
        <f>MIN('[9]Total 2027 - 2029'!$D20:$AA20)</f>
        <v>7927.6123637070841</v>
      </c>
      <c r="U20" s="60">
        <f>MIN('[9]Total 2027 - 2029'!$D20:$AA20)</f>
        <v>7927.6123637070841</v>
      </c>
      <c r="V20" s="60">
        <f>MIN('[9]Total 2027 - 2029'!$D20:$AA20)</f>
        <v>7927.6123637070841</v>
      </c>
      <c r="W20" s="60">
        <f>MIN('[9]Total 2027 - 2029'!$D20:$AA20)</f>
        <v>7927.6123637070841</v>
      </c>
      <c r="X20" s="60">
        <f>MIN('[9]Total 2027 - 2029'!$D20:$AA20)</f>
        <v>7927.6123637070841</v>
      </c>
      <c r="Y20" s="60">
        <f>MIN('[9]Total 2027 - 2029'!$D20:$AA20)</f>
        <v>7927.6123637070841</v>
      </c>
      <c r="Z20" s="60">
        <f>MIN('[9]Total 2027 - 2029'!$D20:$AA20)</f>
        <v>7927.6123637070841</v>
      </c>
      <c r="AA20" s="60">
        <f>MIN('[9]Total 2027 - 2029'!$D20:$AA20)</f>
        <v>7927.6123637070841</v>
      </c>
      <c r="AB20" s="57">
        <f t="shared" si="0"/>
        <v>951313.48364484962</v>
      </c>
      <c r="AC20" s="64"/>
    </row>
    <row r="21" spans="1:29" x14ac:dyDescent="0.25">
      <c r="A21" s="65">
        <v>46569</v>
      </c>
      <c r="B21" s="54" t="s">
        <v>16</v>
      </c>
      <c r="C21" s="55">
        <v>20</v>
      </c>
      <c r="D21" s="60">
        <f>MIN('[9]Total 2027 - 2029'!$D21:$AA21)</f>
        <v>8987.4382485651022</v>
      </c>
      <c r="E21" s="60">
        <f>MIN('[9]Total 2027 - 2029'!$D21:$AA21)</f>
        <v>8987.4382485651022</v>
      </c>
      <c r="F21" s="60">
        <f>MIN('[9]Total 2027 - 2029'!$D21:$AA21)</f>
        <v>8987.4382485651022</v>
      </c>
      <c r="G21" s="60">
        <f>MIN('[9]Total 2027 - 2029'!$D21:$AA21)</f>
        <v>8987.4382485651022</v>
      </c>
      <c r="H21" s="60">
        <f>MIN('[9]Total 2027 - 2029'!$D21:$AA21)</f>
        <v>8987.4382485651022</v>
      </c>
      <c r="I21" s="60">
        <f>MIN('[9]Total 2027 - 2029'!$D21:$AA21)</f>
        <v>8987.4382485651022</v>
      </c>
      <c r="J21" s="60">
        <f>MIN('[9]Total 2027 - 2029'!$D21:$AA21)</f>
        <v>8987.4382485651022</v>
      </c>
      <c r="K21" s="60">
        <f>MIN('[9]Total 2027 - 2029'!$D21:$AA21)</f>
        <v>8987.4382485651022</v>
      </c>
      <c r="L21" s="60">
        <f>MIN('[9]Total 2027 - 2029'!$D21:$AA21)</f>
        <v>8987.4382485651022</v>
      </c>
      <c r="M21" s="60">
        <f>MIN('[9]Total 2027 - 2029'!$D21:$AA21)</f>
        <v>8987.4382485651022</v>
      </c>
      <c r="N21" s="60">
        <f>MIN('[9]Total 2027 - 2029'!$D21:$AA21)</f>
        <v>8987.4382485651022</v>
      </c>
      <c r="O21" s="60">
        <f>MIN('[9]Total 2027 - 2029'!$D21:$AA21)</f>
        <v>8987.4382485651022</v>
      </c>
      <c r="P21" s="60">
        <f>MIN('[9]Total 2027 - 2029'!$D21:$AA21)</f>
        <v>8987.4382485651022</v>
      </c>
      <c r="Q21" s="60">
        <f>MIN('[9]Total 2027 - 2029'!$D21:$AA21)</f>
        <v>8987.4382485651022</v>
      </c>
      <c r="R21" s="60">
        <f>MIN('[9]Total 2027 - 2029'!$D21:$AA21)</f>
        <v>8987.4382485651022</v>
      </c>
      <c r="S21" s="60">
        <f>MIN('[9]Total 2027 - 2029'!$D21:$AA21)</f>
        <v>8987.4382485651022</v>
      </c>
      <c r="T21" s="60">
        <f>MIN('[9]Total 2027 - 2029'!$D21:$AA21)</f>
        <v>8987.4382485651022</v>
      </c>
      <c r="U21" s="60">
        <f>MIN('[9]Total 2027 - 2029'!$D21:$AA21)</f>
        <v>8987.4382485651022</v>
      </c>
      <c r="V21" s="60">
        <f>MIN('[9]Total 2027 - 2029'!$D21:$AA21)</f>
        <v>8987.4382485651022</v>
      </c>
      <c r="W21" s="60">
        <f>MIN('[9]Total 2027 - 2029'!$D21:$AA21)</f>
        <v>8987.4382485651022</v>
      </c>
      <c r="X21" s="60">
        <f>MIN('[9]Total 2027 - 2029'!$D21:$AA21)</f>
        <v>8987.4382485651022</v>
      </c>
      <c r="Y21" s="60">
        <f>MIN('[9]Total 2027 - 2029'!$D21:$AA21)</f>
        <v>8987.4382485651022</v>
      </c>
      <c r="Z21" s="60">
        <f>MIN('[9]Total 2027 - 2029'!$D21:$AA21)</f>
        <v>8987.4382485651022</v>
      </c>
      <c r="AA21" s="60">
        <f>MIN('[9]Total 2027 - 2029'!$D21:$AA21)</f>
        <v>8987.4382485651022</v>
      </c>
      <c r="AB21" s="57">
        <f t="shared" si="0"/>
        <v>4313970.3593112491</v>
      </c>
      <c r="AC21" s="62">
        <f>SUM(AB21:AB23)</f>
        <v>6520470.9507753951</v>
      </c>
    </row>
    <row r="22" spans="1:29" x14ac:dyDescent="0.25">
      <c r="A22" s="66"/>
      <c r="B22" s="59" t="s">
        <v>17</v>
      </c>
      <c r="C22" s="55">
        <v>5</v>
      </c>
      <c r="D22" s="60">
        <f>MIN('[9]Total 2027 - 2029'!$D22:$AA22)</f>
        <v>7734.9899721368729</v>
      </c>
      <c r="E22" s="60">
        <f>MIN('[9]Total 2027 - 2029'!$D22:$AA22)</f>
        <v>7734.9899721368729</v>
      </c>
      <c r="F22" s="60">
        <f>MIN('[9]Total 2027 - 2029'!$D22:$AA22)</f>
        <v>7734.9899721368729</v>
      </c>
      <c r="G22" s="60">
        <f>MIN('[9]Total 2027 - 2029'!$D22:$AA22)</f>
        <v>7734.9899721368729</v>
      </c>
      <c r="H22" s="60">
        <f>MIN('[9]Total 2027 - 2029'!$D22:$AA22)</f>
        <v>7734.9899721368729</v>
      </c>
      <c r="I22" s="60">
        <f>MIN('[9]Total 2027 - 2029'!$D22:$AA22)</f>
        <v>7734.9899721368729</v>
      </c>
      <c r="J22" s="60">
        <f>MIN('[9]Total 2027 - 2029'!$D22:$AA22)</f>
        <v>7734.9899721368729</v>
      </c>
      <c r="K22" s="60">
        <f>MIN('[9]Total 2027 - 2029'!$D22:$AA22)</f>
        <v>7734.9899721368729</v>
      </c>
      <c r="L22" s="60">
        <f>MIN('[9]Total 2027 - 2029'!$D22:$AA22)</f>
        <v>7734.9899721368729</v>
      </c>
      <c r="M22" s="60">
        <f>MIN('[9]Total 2027 - 2029'!$D22:$AA22)</f>
        <v>7734.9899721368729</v>
      </c>
      <c r="N22" s="60">
        <f>MIN('[9]Total 2027 - 2029'!$D22:$AA22)</f>
        <v>7734.9899721368729</v>
      </c>
      <c r="O22" s="60">
        <f>MIN('[9]Total 2027 - 2029'!$D22:$AA22)</f>
        <v>7734.9899721368729</v>
      </c>
      <c r="P22" s="60">
        <f>MIN('[9]Total 2027 - 2029'!$D22:$AA22)</f>
        <v>7734.9899721368729</v>
      </c>
      <c r="Q22" s="60">
        <f>MIN('[9]Total 2027 - 2029'!$D22:$AA22)</f>
        <v>7734.9899721368729</v>
      </c>
      <c r="R22" s="60">
        <f>MIN('[9]Total 2027 - 2029'!$D22:$AA22)</f>
        <v>7734.9899721368729</v>
      </c>
      <c r="S22" s="60">
        <f>MIN('[9]Total 2027 - 2029'!$D22:$AA22)</f>
        <v>7734.9899721368729</v>
      </c>
      <c r="T22" s="60">
        <f>MIN('[9]Total 2027 - 2029'!$D22:$AA22)</f>
        <v>7734.9899721368729</v>
      </c>
      <c r="U22" s="60">
        <f>MIN('[9]Total 2027 - 2029'!$D22:$AA22)</f>
        <v>7734.9899721368729</v>
      </c>
      <c r="V22" s="60">
        <f>MIN('[9]Total 2027 - 2029'!$D22:$AA22)</f>
        <v>7734.9899721368729</v>
      </c>
      <c r="W22" s="60">
        <f>MIN('[9]Total 2027 - 2029'!$D22:$AA22)</f>
        <v>7734.9899721368729</v>
      </c>
      <c r="X22" s="60">
        <f>MIN('[9]Total 2027 - 2029'!$D22:$AA22)</f>
        <v>7734.9899721368729</v>
      </c>
      <c r="Y22" s="60">
        <f>MIN('[9]Total 2027 - 2029'!$D22:$AA22)</f>
        <v>7734.9899721368729</v>
      </c>
      <c r="Z22" s="60">
        <f>MIN('[9]Total 2027 - 2029'!$D22:$AA22)</f>
        <v>7734.9899721368729</v>
      </c>
      <c r="AA22" s="60">
        <f>MIN('[9]Total 2027 - 2029'!$D22:$AA22)</f>
        <v>7734.9899721368729</v>
      </c>
      <c r="AB22" s="57">
        <f t="shared" si="0"/>
        <v>928198.79665642511</v>
      </c>
      <c r="AC22" s="63"/>
    </row>
    <row r="23" spans="1:29" x14ac:dyDescent="0.25">
      <c r="A23" s="67"/>
      <c r="B23" s="59" t="s">
        <v>18</v>
      </c>
      <c r="C23" s="55">
        <v>6</v>
      </c>
      <c r="D23" s="60">
        <f>MIN('[9]Total 2027 - 2029'!$D23:$AA23)</f>
        <v>8877.0957972758461</v>
      </c>
      <c r="E23" s="60">
        <f>MIN('[9]Total 2027 - 2029'!$D23:$AA23)</f>
        <v>8877.0957972758461</v>
      </c>
      <c r="F23" s="60">
        <f>MIN('[9]Total 2027 - 2029'!$D23:$AA23)</f>
        <v>8877.0957972758461</v>
      </c>
      <c r="G23" s="60">
        <f>MIN('[9]Total 2027 - 2029'!$D23:$AA23)</f>
        <v>8877.0957972758461</v>
      </c>
      <c r="H23" s="60">
        <f>MIN('[9]Total 2027 - 2029'!$D23:$AA23)</f>
        <v>8877.0957972758461</v>
      </c>
      <c r="I23" s="60">
        <f>MIN('[9]Total 2027 - 2029'!$D23:$AA23)</f>
        <v>8877.0957972758461</v>
      </c>
      <c r="J23" s="60">
        <f>MIN('[9]Total 2027 - 2029'!$D23:$AA23)</f>
        <v>8877.0957972758461</v>
      </c>
      <c r="K23" s="60">
        <f>MIN('[9]Total 2027 - 2029'!$D23:$AA23)</f>
        <v>8877.0957972758461</v>
      </c>
      <c r="L23" s="60">
        <f>MIN('[9]Total 2027 - 2029'!$D23:$AA23)</f>
        <v>8877.0957972758461</v>
      </c>
      <c r="M23" s="60">
        <f>MIN('[9]Total 2027 - 2029'!$D23:$AA23)</f>
        <v>8877.0957972758461</v>
      </c>
      <c r="N23" s="60">
        <f>MIN('[9]Total 2027 - 2029'!$D23:$AA23)</f>
        <v>8877.0957972758461</v>
      </c>
      <c r="O23" s="60">
        <f>MIN('[9]Total 2027 - 2029'!$D23:$AA23)</f>
        <v>8877.0957972758461</v>
      </c>
      <c r="P23" s="60">
        <f>MIN('[9]Total 2027 - 2029'!$D23:$AA23)</f>
        <v>8877.0957972758461</v>
      </c>
      <c r="Q23" s="60">
        <f>MIN('[9]Total 2027 - 2029'!$D23:$AA23)</f>
        <v>8877.0957972758461</v>
      </c>
      <c r="R23" s="60">
        <f>MIN('[9]Total 2027 - 2029'!$D23:$AA23)</f>
        <v>8877.0957972758461</v>
      </c>
      <c r="S23" s="60">
        <f>MIN('[9]Total 2027 - 2029'!$D23:$AA23)</f>
        <v>8877.0957972758461</v>
      </c>
      <c r="T23" s="60">
        <f>MIN('[9]Total 2027 - 2029'!$D23:$AA23)</f>
        <v>8877.0957972758461</v>
      </c>
      <c r="U23" s="60">
        <f>MIN('[9]Total 2027 - 2029'!$D23:$AA23)</f>
        <v>8877.0957972758461</v>
      </c>
      <c r="V23" s="60">
        <f>MIN('[9]Total 2027 - 2029'!$D23:$AA23)</f>
        <v>8877.0957972758461</v>
      </c>
      <c r="W23" s="60">
        <f>MIN('[9]Total 2027 - 2029'!$D23:$AA23)</f>
        <v>8877.0957972758461</v>
      </c>
      <c r="X23" s="60">
        <f>MIN('[9]Total 2027 - 2029'!$D23:$AA23)</f>
        <v>8877.0957972758461</v>
      </c>
      <c r="Y23" s="60">
        <f>MIN('[9]Total 2027 - 2029'!$D23:$AA23)</f>
        <v>8877.0957972758461</v>
      </c>
      <c r="Z23" s="60">
        <f>MIN('[9]Total 2027 - 2029'!$D23:$AA23)</f>
        <v>8877.0957972758461</v>
      </c>
      <c r="AA23" s="60">
        <f>MIN('[9]Total 2027 - 2029'!$D23:$AA23)</f>
        <v>8877.0957972758461</v>
      </c>
      <c r="AB23" s="57">
        <f t="shared" si="0"/>
        <v>1278301.7948077212</v>
      </c>
      <c r="AC23" s="64"/>
    </row>
    <row r="24" spans="1:29" x14ac:dyDescent="0.25">
      <c r="A24" s="65">
        <v>46600</v>
      </c>
      <c r="B24" s="54" t="s">
        <v>16</v>
      </c>
      <c r="C24" s="55">
        <v>21</v>
      </c>
      <c r="D24" s="60">
        <f>MIN('[9]Total 2027 - 2029'!$D24:$AA24)</f>
        <v>10384.172686405442</v>
      </c>
      <c r="E24" s="60">
        <f>MIN('[9]Total 2027 - 2029'!$D24:$AA24)</f>
        <v>10384.172686405442</v>
      </c>
      <c r="F24" s="60">
        <f>MIN('[9]Total 2027 - 2029'!$D24:$AA24)</f>
        <v>10384.172686405442</v>
      </c>
      <c r="G24" s="60">
        <f>MIN('[9]Total 2027 - 2029'!$D24:$AA24)</f>
        <v>10384.172686405442</v>
      </c>
      <c r="H24" s="60">
        <f>MIN('[9]Total 2027 - 2029'!$D24:$AA24)</f>
        <v>10384.172686405442</v>
      </c>
      <c r="I24" s="60">
        <f>MIN('[9]Total 2027 - 2029'!$D24:$AA24)</f>
        <v>10384.172686405442</v>
      </c>
      <c r="J24" s="60">
        <f>MIN('[9]Total 2027 - 2029'!$D24:$AA24)</f>
        <v>10384.172686405442</v>
      </c>
      <c r="K24" s="60">
        <f>MIN('[9]Total 2027 - 2029'!$D24:$AA24)</f>
        <v>10384.172686405442</v>
      </c>
      <c r="L24" s="60">
        <f>MIN('[9]Total 2027 - 2029'!$D24:$AA24)</f>
        <v>10384.172686405442</v>
      </c>
      <c r="M24" s="60">
        <f>MIN('[9]Total 2027 - 2029'!$D24:$AA24)</f>
        <v>10384.172686405442</v>
      </c>
      <c r="N24" s="60">
        <f>MIN('[9]Total 2027 - 2029'!$D24:$AA24)</f>
        <v>10384.172686405442</v>
      </c>
      <c r="O24" s="60">
        <f>MIN('[9]Total 2027 - 2029'!$D24:$AA24)</f>
        <v>10384.172686405442</v>
      </c>
      <c r="P24" s="60">
        <f>MIN('[9]Total 2027 - 2029'!$D24:$AA24)</f>
        <v>10384.172686405442</v>
      </c>
      <c r="Q24" s="60">
        <f>MIN('[9]Total 2027 - 2029'!$D24:$AA24)</f>
        <v>10384.172686405442</v>
      </c>
      <c r="R24" s="60">
        <f>MIN('[9]Total 2027 - 2029'!$D24:$AA24)</f>
        <v>10384.172686405442</v>
      </c>
      <c r="S24" s="60">
        <f>MIN('[9]Total 2027 - 2029'!$D24:$AA24)</f>
        <v>10384.172686405442</v>
      </c>
      <c r="T24" s="60">
        <f>MIN('[9]Total 2027 - 2029'!$D24:$AA24)</f>
        <v>10384.172686405442</v>
      </c>
      <c r="U24" s="60">
        <f>MIN('[9]Total 2027 - 2029'!$D24:$AA24)</f>
        <v>10384.172686405442</v>
      </c>
      <c r="V24" s="60">
        <f>MIN('[9]Total 2027 - 2029'!$D24:$AA24)</f>
        <v>10384.172686405442</v>
      </c>
      <c r="W24" s="60">
        <f>MIN('[9]Total 2027 - 2029'!$D24:$AA24)</f>
        <v>10384.172686405442</v>
      </c>
      <c r="X24" s="60">
        <f>MIN('[9]Total 2027 - 2029'!$D24:$AA24)</f>
        <v>10384.172686405442</v>
      </c>
      <c r="Y24" s="60">
        <f>MIN('[9]Total 2027 - 2029'!$D24:$AA24)</f>
        <v>10384.172686405442</v>
      </c>
      <c r="Z24" s="60">
        <f>MIN('[9]Total 2027 - 2029'!$D24:$AA24)</f>
        <v>10384.172686405442</v>
      </c>
      <c r="AA24" s="60">
        <f>MIN('[9]Total 2027 - 2029'!$D24:$AA24)</f>
        <v>10384.172686405442</v>
      </c>
      <c r="AB24" s="57">
        <f t="shared" si="0"/>
        <v>5233623.0339483442</v>
      </c>
      <c r="AC24" s="62">
        <f>SUM(AB24:AB26)</f>
        <v>7489983.3658982953</v>
      </c>
    </row>
    <row r="25" spans="1:29" x14ac:dyDescent="0.25">
      <c r="A25" s="66"/>
      <c r="B25" s="59" t="s">
        <v>17</v>
      </c>
      <c r="C25" s="55">
        <v>4</v>
      </c>
      <c r="D25" s="60">
        <f>MIN('[9]Total 2027 - 2029'!$D25:$AA25)</f>
        <v>11876.747947506392</v>
      </c>
      <c r="E25" s="60">
        <f>MIN('[9]Total 2027 - 2029'!$D25:$AA25)</f>
        <v>11876.747947506392</v>
      </c>
      <c r="F25" s="60">
        <f>MIN('[9]Total 2027 - 2029'!$D25:$AA25)</f>
        <v>11876.747947506392</v>
      </c>
      <c r="G25" s="60">
        <f>MIN('[9]Total 2027 - 2029'!$D25:$AA25)</f>
        <v>11876.747947506392</v>
      </c>
      <c r="H25" s="60">
        <f>MIN('[9]Total 2027 - 2029'!$D25:$AA25)</f>
        <v>11876.747947506392</v>
      </c>
      <c r="I25" s="60">
        <f>MIN('[9]Total 2027 - 2029'!$D25:$AA25)</f>
        <v>11876.747947506392</v>
      </c>
      <c r="J25" s="60">
        <f>MIN('[9]Total 2027 - 2029'!$D25:$AA25)</f>
        <v>11876.747947506392</v>
      </c>
      <c r="K25" s="60">
        <f>MIN('[9]Total 2027 - 2029'!$D25:$AA25)</f>
        <v>11876.747947506392</v>
      </c>
      <c r="L25" s="60">
        <f>MIN('[9]Total 2027 - 2029'!$D25:$AA25)</f>
        <v>11876.747947506392</v>
      </c>
      <c r="M25" s="60">
        <f>MIN('[9]Total 2027 - 2029'!$D25:$AA25)</f>
        <v>11876.747947506392</v>
      </c>
      <c r="N25" s="60">
        <f>MIN('[9]Total 2027 - 2029'!$D25:$AA25)</f>
        <v>11876.747947506392</v>
      </c>
      <c r="O25" s="60">
        <f>MIN('[9]Total 2027 - 2029'!$D25:$AA25)</f>
        <v>11876.747947506392</v>
      </c>
      <c r="P25" s="60">
        <f>MIN('[9]Total 2027 - 2029'!$D25:$AA25)</f>
        <v>11876.747947506392</v>
      </c>
      <c r="Q25" s="60">
        <f>MIN('[9]Total 2027 - 2029'!$D25:$AA25)</f>
        <v>11876.747947506392</v>
      </c>
      <c r="R25" s="60">
        <f>MIN('[9]Total 2027 - 2029'!$D25:$AA25)</f>
        <v>11876.747947506392</v>
      </c>
      <c r="S25" s="60">
        <f>MIN('[9]Total 2027 - 2029'!$D25:$AA25)</f>
        <v>11876.747947506392</v>
      </c>
      <c r="T25" s="60">
        <f>MIN('[9]Total 2027 - 2029'!$D25:$AA25)</f>
        <v>11876.747947506392</v>
      </c>
      <c r="U25" s="60">
        <f>MIN('[9]Total 2027 - 2029'!$D25:$AA25)</f>
        <v>11876.747947506392</v>
      </c>
      <c r="V25" s="60">
        <f>MIN('[9]Total 2027 - 2029'!$D25:$AA25)</f>
        <v>11876.747947506392</v>
      </c>
      <c r="W25" s="60">
        <f>MIN('[9]Total 2027 - 2029'!$D25:$AA25)</f>
        <v>11876.747947506392</v>
      </c>
      <c r="X25" s="60">
        <f>MIN('[9]Total 2027 - 2029'!$D25:$AA25)</f>
        <v>11876.747947506392</v>
      </c>
      <c r="Y25" s="60">
        <f>MIN('[9]Total 2027 - 2029'!$D25:$AA25)</f>
        <v>11876.747947506392</v>
      </c>
      <c r="Z25" s="60">
        <f>MIN('[9]Total 2027 - 2029'!$D25:$AA25)</f>
        <v>11876.747947506392</v>
      </c>
      <c r="AA25" s="60">
        <f>MIN('[9]Total 2027 - 2029'!$D25:$AA25)</f>
        <v>11876.747947506392</v>
      </c>
      <c r="AB25" s="57">
        <f t="shared" si="0"/>
        <v>1140167.802960614</v>
      </c>
      <c r="AC25" s="63"/>
    </row>
    <row r="26" spans="1:29" x14ac:dyDescent="0.25">
      <c r="A26" s="67"/>
      <c r="B26" s="59" t="s">
        <v>18</v>
      </c>
      <c r="C26" s="55">
        <v>6</v>
      </c>
      <c r="D26" s="60">
        <f>MIN('[9]Total 2027 - 2029'!$D26:$AA26)</f>
        <v>7751.3370068704007</v>
      </c>
      <c r="E26" s="60">
        <f>MIN('[9]Total 2027 - 2029'!$D26:$AA26)</f>
        <v>7751.3370068704007</v>
      </c>
      <c r="F26" s="60">
        <f>MIN('[9]Total 2027 - 2029'!$D26:$AA26)</f>
        <v>7751.3370068704007</v>
      </c>
      <c r="G26" s="60">
        <f>MIN('[9]Total 2027 - 2029'!$D26:$AA26)</f>
        <v>7751.3370068704007</v>
      </c>
      <c r="H26" s="60">
        <f>MIN('[9]Total 2027 - 2029'!$D26:$AA26)</f>
        <v>7751.3370068704007</v>
      </c>
      <c r="I26" s="60">
        <f>MIN('[9]Total 2027 - 2029'!$D26:$AA26)</f>
        <v>7751.3370068704007</v>
      </c>
      <c r="J26" s="60">
        <f>MIN('[9]Total 2027 - 2029'!$D26:$AA26)</f>
        <v>7751.3370068704007</v>
      </c>
      <c r="K26" s="60">
        <f>MIN('[9]Total 2027 - 2029'!$D26:$AA26)</f>
        <v>7751.3370068704007</v>
      </c>
      <c r="L26" s="60">
        <f>MIN('[9]Total 2027 - 2029'!$D26:$AA26)</f>
        <v>7751.3370068704007</v>
      </c>
      <c r="M26" s="60">
        <f>MIN('[9]Total 2027 - 2029'!$D26:$AA26)</f>
        <v>7751.3370068704007</v>
      </c>
      <c r="N26" s="60">
        <f>MIN('[9]Total 2027 - 2029'!$D26:$AA26)</f>
        <v>7751.3370068704007</v>
      </c>
      <c r="O26" s="60">
        <f>MIN('[9]Total 2027 - 2029'!$D26:$AA26)</f>
        <v>7751.3370068704007</v>
      </c>
      <c r="P26" s="60">
        <f>MIN('[9]Total 2027 - 2029'!$D26:$AA26)</f>
        <v>7751.3370068704007</v>
      </c>
      <c r="Q26" s="60">
        <f>MIN('[9]Total 2027 - 2029'!$D26:$AA26)</f>
        <v>7751.3370068704007</v>
      </c>
      <c r="R26" s="60">
        <f>MIN('[9]Total 2027 - 2029'!$D26:$AA26)</f>
        <v>7751.3370068704007</v>
      </c>
      <c r="S26" s="60">
        <f>MIN('[9]Total 2027 - 2029'!$D26:$AA26)</f>
        <v>7751.3370068704007</v>
      </c>
      <c r="T26" s="60">
        <f>MIN('[9]Total 2027 - 2029'!$D26:$AA26)</f>
        <v>7751.3370068704007</v>
      </c>
      <c r="U26" s="60">
        <f>MIN('[9]Total 2027 - 2029'!$D26:$AA26)</f>
        <v>7751.3370068704007</v>
      </c>
      <c r="V26" s="60">
        <f>MIN('[9]Total 2027 - 2029'!$D26:$AA26)</f>
        <v>7751.3370068704007</v>
      </c>
      <c r="W26" s="60">
        <f>MIN('[9]Total 2027 - 2029'!$D26:$AA26)</f>
        <v>7751.3370068704007</v>
      </c>
      <c r="X26" s="60">
        <f>MIN('[9]Total 2027 - 2029'!$D26:$AA26)</f>
        <v>7751.3370068704007</v>
      </c>
      <c r="Y26" s="60">
        <f>MIN('[9]Total 2027 - 2029'!$D26:$AA26)</f>
        <v>7751.3370068704007</v>
      </c>
      <c r="Z26" s="60">
        <f>MIN('[9]Total 2027 - 2029'!$D26:$AA26)</f>
        <v>7751.3370068704007</v>
      </c>
      <c r="AA26" s="60">
        <f>MIN('[9]Total 2027 - 2029'!$D26:$AA26)</f>
        <v>7751.3370068704007</v>
      </c>
      <c r="AB26" s="57">
        <f t="shared" si="0"/>
        <v>1116192.5289893374</v>
      </c>
      <c r="AC26" s="64"/>
    </row>
    <row r="27" spans="1:29" x14ac:dyDescent="0.25">
      <c r="A27" s="65">
        <v>46631</v>
      </c>
      <c r="B27" s="54" t="s">
        <v>16</v>
      </c>
      <c r="C27" s="55">
        <v>22</v>
      </c>
      <c r="D27" s="60">
        <f>MIN('[9]Total 2027 - 2029'!$D27:$AA27)</f>
        <v>12724.345722876136</v>
      </c>
      <c r="E27" s="60">
        <f>MIN('[9]Total 2027 - 2029'!$D27:$AA27)</f>
        <v>12724.345722876136</v>
      </c>
      <c r="F27" s="60">
        <f>MIN('[9]Total 2027 - 2029'!$D27:$AA27)</f>
        <v>12724.345722876136</v>
      </c>
      <c r="G27" s="60">
        <f>MIN('[9]Total 2027 - 2029'!$D27:$AA27)</f>
        <v>12724.345722876136</v>
      </c>
      <c r="H27" s="60">
        <f>MIN('[9]Total 2027 - 2029'!$D27:$AA27)</f>
        <v>12724.345722876136</v>
      </c>
      <c r="I27" s="60">
        <f>MIN('[9]Total 2027 - 2029'!$D27:$AA27)</f>
        <v>12724.345722876136</v>
      </c>
      <c r="J27" s="60">
        <f>MIN('[9]Total 2027 - 2029'!$D27:$AA27)</f>
        <v>12724.345722876136</v>
      </c>
      <c r="K27" s="60">
        <f>MIN('[9]Total 2027 - 2029'!$D27:$AA27)</f>
        <v>12724.345722876136</v>
      </c>
      <c r="L27" s="60">
        <f>MIN('[9]Total 2027 - 2029'!$D27:$AA27)</f>
        <v>12724.345722876136</v>
      </c>
      <c r="M27" s="60">
        <f>MIN('[9]Total 2027 - 2029'!$D27:$AA27)</f>
        <v>12724.345722876136</v>
      </c>
      <c r="N27" s="60">
        <f>MIN('[9]Total 2027 - 2029'!$D27:$AA27)</f>
        <v>12724.345722876136</v>
      </c>
      <c r="O27" s="60">
        <f>MIN('[9]Total 2027 - 2029'!$D27:$AA27)</f>
        <v>12724.345722876136</v>
      </c>
      <c r="P27" s="60">
        <f>MIN('[9]Total 2027 - 2029'!$D27:$AA27)</f>
        <v>12724.345722876136</v>
      </c>
      <c r="Q27" s="60">
        <f>MIN('[9]Total 2027 - 2029'!$D27:$AA27)</f>
        <v>12724.345722876136</v>
      </c>
      <c r="R27" s="60">
        <f>MIN('[9]Total 2027 - 2029'!$D27:$AA27)</f>
        <v>12724.345722876136</v>
      </c>
      <c r="S27" s="60">
        <f>MIN('[9]Total 2027 - 2029'!$D27:$AA27)</f>
        <v>12724.345722876136</v>
      </c>
      <c r="T27" s="60">
        <f>MIN('[9]Total 2027 - 2029'!$D27:$AA27)</f>
        <v>12724.345722876136</v>
      </c>
      <c r="U27" s="60">
        <f>MIN('[9]Total 2027 - 2029'!$D27:$AA27)</f>
        <v>12724.345722876136</v>
      </c>
      <c r="V27" s="60">
        <f>MIN('[9]Total 2027 - 2029'!$D27:$AA27)</f>
        <v>12724.345722876136</v>
      </c>
      <c r="W27" s="60">
        <f>MIN('[9]Total 2027 - 2029'!$D27:$AA27)</f>
        <v>12724.345722876136</v>
      </c>
      <c r="X27" s="60">
        <f>MIN('[9]Total 2027 - 2029'!$D27:$AA27)</f>
        <v>12724.345722876136</v>
      </c>
      <c r="Y27" s="60">
        <f>MIN('[9]Total 2027 - 2029'!$D27:$AA27)</f>
        <v>12724.345722876136</v>
      </c>
      <c r="Z27" s="60">
        <f>MIN('[9]Total 2027 - 2029'!$D27:$AA27)</f>
        <v>12724.345722876136</v>
      </c>
      <c r="AA27" s="60">
        <f>MIN('[9]Total 2027 - 2029'!$D27:$AA27)</f>
        <v>12724.345722876136</v>
      </c>
      <c r="AB27" s="57">
        <f t="shared" si="0"/>
        <v>6718454.5416786009</v>
      </c>
      <c r="AC27" s="62">
        <f>SUM(AB27:AB29)</f>
        <v>8920213.0941721536</v>
      </c>
    </row>
    <row r="28" spans="1:29" x14ac:dyDescent="0.25">
      <c r="A28" s="66"/>
      <c r="B28" s="59" t="s">
        <v>17</v>
      </c>
      <c r="C28" s="55">
        <v>4</v>
      </c>
      <c r="D28" s="60">
        <f>MIN('[9]Total 2027 - 2029'!$D28:$AA28)</f>
        <v>12461.494115289202</v>
      </c>
      <c r="E28" s="60">
        <f>MIN('[9]Total 2027 - 2029'!$D28:$AA28)</f>
        <v>12461.494115289202</v>
      </c>
      <c r="F28" s="60">
        <f>MIN('[9]Total 2027 - 2029'!$D28:$AA28)</f>
        <v>12461.494115289202</v>
      </c>
      <c r="G28" s="60">
        <f>MIN('[9]Total 2027 - 2029'!$D28:$AA28)</f>
        <v>12461.494115289202</v>
      </c>
      <c r="H28" s="60">
        <f>MIN('[9]Total 2027 - 2029'!$D28:$AA28)</f>
        <v>12461.494115289202</v>
      </c>
      <c r="I28" s="60">
        <f>MIN('[9]Total 2027 - 2029'!$D28:$AA28)</f>
        <v>12461.494115289202</v>
      </c>
      <c r="J28" s="60">
        <f>MIN('[9]Total 2027 - 2029'!$D28:$AA28)</f>
        <v>12461.494115289202</v>
      </c>
      <c r="K28" s="60">
        <f>MIN('[9]Total 2027 - 2029'!$D28:$AA28)</f>
        <v>12461.494115289202</v>
      </c>
      <c r="L28" s="60">
        <f>MIN('[9]Total 2027 - 2029'!$D28:$AA28)</f>
        <v>12461.494115289202</v>
      </c>
      <c r="M28" s="60">
        <f>MIN('[9]Total 2027 - 2029'!$D28:$AA28)</f>
        <v>12461.494115289202</v>
      </c>
      <c r="N28" s="60">
        <f>MIN('[9]Total 2027 - 2029'!$D28:$AA28)</f>
        <v>12461.494115289202</v>
      </c>
      <c r="O28" s="60">
        <f>MIN('[9]Total 2027 - 2029'!$D28:$AA28)</f>
        <v>12461.494115289202</v>
      </c>
      <c r="P28" s="60">
        <f>MIN('[9]Total 2027 - 2029'!$D28:$AA28)</f>
        <v>12461.494115289202</v>
      </c>
      <c r="Q28" s="60">
        <f>MIN('[9]Total 2027 - 2029'!$D28:$AA28)</f>
        <v>12461.494115289202</v>
      </c>
      <c r="R28" s="60">
        <f>MIN('[9]Total 2027 - 2029'!$D28:$AA28)</f>
        <v>12461.494115289202</v>
      </c>
      <c r="S28" s="60">
        <f>MIN('[9]Total 2027 - 2029'!$D28:$AA28)</f>
        <v>12461.494115289202</v>
      </c>
      <c r="T28" s="60">
        <f>MIN('[9]Total 2027 - 2029'!$D28:$AA28)</f>
        <v>12461.494115289202</v>
      </c>
      <c r="U28" s="60">
        <f>MIN('[9]Total 2027 - 2029'!$D28:$AA28)</f>
        <v>12461.494115289202</v>
      </c>
      <c r="V28" s="60">
        <f>MIN('[9]Total 2027 - 2029'!$D28:$AA28)</f>
        <v>12461.494115289202</v>
      </c>
      <c r="W28" s="60">
        <f>MIN('[9]Total 2027 - 2029'!$D28:$AA28)</f>
        <v>12461.494115289202</v>
      </c>
      <c r="X28" s="60">
        <f>MIN('[9]Total 2027 - 2029'!$D28:$AA28)</f>
        <v>12461.494115289202</v>
      </c>
      <c r="Y28" s="60">
        <f>MIN('[9]Total 2027 - 2029'!$D28:$AA28)</f>
        <v>12461.494115289202</v>
      </c>
      <c r="Z28" s="60">
        <f>MIN('[9]Total 2027 - 2029'!$D28:$AA28)</f>
        <v>12461.494115289202</v>
      </c>
      <c r="AA28" s="60">
        <f>MIN('[9]Total 2027 - 2029'!$D28:$AA28)</f>
        <v>12461.494115289202</v>
      </c>
      <c r="AB28" s="57">
        <f t="shared" si="0"/>
        <v>1196303.4350677636</v>
      </c>
      <c r="AC28" s="63"/>
    </row>
    <row r="29" spans="1:29" x14ac:dyDescent="0.25">
      <c r="A29" s="67"/>
      <c r="B29" s="59" t="s">
        <v>18</v>
      </c>
      <c r="C29" s="55">
        <v>4</v>
      </c>
      <c r="D29" s="60">
        <f>MIN('[9]Total 2027 - 2029'!$D29:$AA29)</f>
        <v>10473.490806518634</v>
      </c>
      <c r="E29" s="60">
        <f>MIN('[9]Total 2027 - 2029'!$D29:$AA29)</f>
        <v>10473.490806518634</v>
      </c>
      <c r="F29" s="60">
        <f>MIN('[9]Total 2027 - 2029'!$D29:$AA29)</f>
        <v>10473.490806518634</v>
      </c>
      <c r="G29" s="60">
        <f>MIN('[9]Total 2027 - 2029'!$D29:$AA29)</f>
        <v>10473.490806518634</v>
      </c>
      <c r="H29" s="60">
        <f>MIN('[9]Total 2027 - 2029'!$D29:$AA29)</f>
        <v>10473.490806518634</v>
      </c>
      <c r="I29" s="60">
        <f>MIN('[9]Total 2027 - 2029'!$D29:$AA29)</f>
        <v>10473.490806518634</v>
      </c>
      <c r="J29" s="60">
        <f>MIN('[9]Total 2027 - 2029'!$D29:$AA29)</f>
        <v>10473.490806518634</v>
      </c>
      <c r="K29" s="60">
        <f>MIN('[9]Total 2027 - 2029'!$D29:$AA29)</f>
        <v>10473.490806518634</v>
      </c>
      <c r="L29" s="60">
        <f>MIN('[9]Total 2027 - 2029'!$D29:$AA29)</f>
        <v>10473.490806518634</v>
      </c>
      <c r="M29" s="60">
        <f>MIN('[9]Total 2027 - 2029'!$D29:$AA29)</f>
        <v>10473.490806518634</v>
      </c>
      <c r="N29" s="60">
        <f>MIN('[9]Total 2027 - 2029'!$D29:$AA29)</f>
        <v>10473.490806518634</v>
      </c>
      <c r="O29" s="60">
        <f>MIN('[9]Total 2027 - 2029'!$D29:$AA29)</f>
        <v>10473.490806518634</v>
      </c>
      <c r="P29" s="60">
        <f>MIN('[9]Total 2027 - 2029'!$D29:$AA29)</f>
        <v>10473.490806518634</v>
      </c>
      <c r="Q29" s="60">
        <f>MIN('[9]Total 2027 - 2029'!$D29:$AA29)</f>
        <v>10473.490806518634</v>
      </c>
      <c r="R29" s="60">
        <f>MIN('[9]Total 2027 - 2029'!$D29:$AA29)</f>
        <v>10473.490806518634</v>
      </c>
      <c r="S29" s="60">
        <f>MIN('[9]Total 2027 - 2029'!$D29:$AA29)</f>
        <v>10473.490806518634</v>
      </c>
      <c r="T29" s="60">
        <f>MIN('[9]Total 2027 - 2029'!$D29:$AA29)</f>
        <v>10473.490806518634</v>
      </c>
      <c r="U29" s="60">
        <f>MIN('[9]Total 2027 - 2029'!$D29:$AA29)</f>
        <v>10473.490806518634</v>
      </c>
      <c r="V29" s="60">
        <f>MIN('[9]Total 2027 - 2029'!$D29:$AA29)</f>
        <v>10473.490806518634</v>
      </c>
      <c r="W29" s="60">
        <f>MIN('[9]Total 2027 - 2029'!$D29:$AA29)</f>
        <v>10473.490806518634</v>
      </c>
      <c r="X29" s="60">
        <f>MIN('[9]Total 2027 - 2029'!$D29:$AA29)</f>
        <v>10473.490806518634</v>
      </c>
      <c r="Y29" s="60">
        <f>MIN('[9]Total 2027 - 2029'!$D29:$AA29)</f>
        <v>10473.490806518634</v>
      </c>
      <c r="Z29" s="60">
        <f>MIN('[9]Total 2027 - 2029'!$D29:$AA29)</f>
        <v>10473.490806518634</v>
      </c>
      <c r="AA29" s="60">
        <f>MIN('[9]Total 2027 - 2029'!$D29:$AA29)</f>
        <v>10473.490806518634</v>
      </c>
      <c r="AB29" s="57">
        <f t="shared" si="0"/>
        <v>1005455.1174257894</v>
      </c>
      <c r="AC29" s="64"/>
    </row>
    <row r="30" spans="1:29" x14ac:dyDescent="0.25">
      <c r="A30" s="65">
        <v>46661</v>
      </c>
      <c r="B30" s="54" t="s">
        <v>16</v>
      </c>
      <c r="C30" s="55">
        <v>20</v>
      </c>
      <c r="D30" s="60">
        <f>MIN('[9]Total 2027 - 2029'!$D30:$AA30)</f>
        <v>13488.817391095508</v>
      </c>
      <c r="E30" s="60">
        <f>MIN('[9]Total 2027 - 2029'!$D30:$AA30)</f>
        <v>13488.817391095508</v>
      </c>
      <c r="F30" s="60">
        <f>MIN('[9]Total 2027 - 2029'!$D30:$AA30)</f>
        <v>13488.817391095508</v>
      </c>
      <c r="G30" s="60">
        <f>MIN('[9]Total 2027 - 2029'!$D30:$AA30)</f>
        <v>13488.817391095508</v>
      </c>
      <c r="H30" s="60">
        <f>MIN('[9]Total 2027 - 2029'!$D30:$AA30)</f>
        <v>13488.817391095508</v>
      </c>
      <c r="I30" s="60">
        <f>MIN('[9]Total 2027 - 2029'!$D30:$AA30)</f>
        <v>13488.817391095508</v>
      </c>
      <c r="J30" s="60">
        <f>MIN('[9]Total 2027 - 2029'!$D30:$AA30)</f>
        <v>13488.817391095508</v>
      </c>
      <c r="K30" s="60">
        <f>MIN('[9]Total 2027 - 2029'!$D30:$AA30)</f>
        <v>13488.817391095508</v>
      </c>
      <c r="L30" s="60">
        <f>MIN('[9]Total 2027 - 2029'!$D30:$AA30)</f>
        <v>13488.817391095508</v>
      </c>
      <c r="M30" s="60">
        <f>MIN('[9]Total 2027 - 2029'!$D30:$AA30)</f>
        <v>13488.817391095508</v>
      </c>
      <c r="N30" s="60">
        <f>MIN('[9]Total 2027 - 2029'!$D30:$AA30)</f>
        <v>13488.817391095508</v>
      </c>
      <c r="O30" s="60">
        <f>MIN('[9]Total 2027 - 2029'!$D30:$AA30)</f>
        <v>13488.817391095508</v>
      </c>
      <c r="P30" s="60">
        <f>MIN('[9]Total 2027 - 2029'!$D30:$AA30)</f>
        <v>13488.817391095508</v>
      </c>
      <c r="Q30" s="60">
        <f>MIN('[9]Total 2027 - 2029'!$D30:$AA30)</f>
        <v>13488.817391095508</v>
      </c>
      <c r="R30" s="60">
        <f>MIN('[9]Total 2027 - 2029'!$D30:$AA30)</f>
        <v>13488.817391095508</v>
      </c>
      <c r="S30" s="60">
        <f>MIN('[9]Total 2027 - 2029'!$D30:$AA30)</f>
        <v>13488.817391095508</v>
      </c>
      <c r="T30" s="60">
        <f>MIN('[9]Total 2027 - 2029'!$D30:$AA30)</f>
        <v>13488.817391095508</v>
      </c>
      <c r="U30" s="60">
        <f>MIN('[9]Total 2027 - 2029'!$D30:$AA30)</f>
        <v>13488.817391095508</v>
      </c>
      <c r="V30" s="60">
        <f>MIN('[9]Total 2027 - 2029'!$D30:$AA30)</f>
        <v>13488.817391095508</v>
      </c>
      <c r="W30" s="60">
        <f>MIN('[9]Total 2027 - 2029'!$D30:$AA30)</f>
        <v>13488.817391095508</v>
      </c>
      <c r="X30" s="60">
        <f>MIN('[9]Total 2027 - 2029'!$D30:$AA30)</f>
        <v>13488.817391095508</v>
      </c>
      <c r="Y30" s="60">
        <f>MIN('[9]Total 2027 - 2029'!$D30:$AA30)</f>
        <v>13488.817391095508</v>
      </c>
      <c r="Z30" s="60">
        <f>MIN('[9]Total 2027 - 2029'!$D30:$AA30)</f>
        <v>13488.817391095508</v>
      </c>
      <c r="AA30" s="60">
        <f>MIN('[9]Total 2027 - 2029'!$D30:$AA30)</f>
        <v>13488.817391095508</v>
      </c>
      <c r="AB30" s="57">
        <f t="shared" si="0"/>
        <v>6474632.347725844</v>
      </c>
      <c r="AC30" s="62">
        <f>SUM(AB30:AB32)</f>
        <v>9361145.3922507539</v>
      </c>
    </row>
    <row r="31" spans="1:29" x14ac:dyDescent="0.25">
      <c r="A31" s="66"/>
      <c r="B31" s="59" t="s">
        <v>17</v>
      </c>
      <c r="C31" s="55">
        <v>5</v>
      </c>
      <c r="D31" s="60">
        <f>MIN('[9]Total 2027 - 2029'!$D31:$AA31)</f>
        <v>10882.023561276896</v>
      </c>
      <c r="E31" s="60">
        <f>MIN('[9]Total 2027 - 2029'!$D31:$AA31)</f>
        <v>10882.023561276896</v>
      </c>
      <c r="F31" s="60">
        <f>MIN('[9]Total 2027 - 2029'!$D31:$AA31)</f>
        <v>10882.023561276896</v>
      </c>
      <c r="G31" s="60">
        <f>MIN('[9]Total 2027 - 2029'!$D31:$AA31)</f>
        <v>10882.023561276896</v>
      </c>
      <c r="H31" s="60">
        <f>MIN('[9]Total 2027 - 2029'!$D31:$AA31)</f>
        <v>10882.023561276896</v>
      </c>
      <c r="I31" s="60">
        <f>MIN('[9]Total 2027 - 2029'!$D31:$AA31)</f>
        <v>10882.023561276896</v>
      </c>
      <c r="J31" s="60">
        <f>MIN('[9]Total 2027 - 2029'!$D31:$AA31)</f>
        <v>10882.023561276896</v>
      </c>
      <c r="K31" s="60">
        <f>MIN('[9]Total 2027 - 2029'!$D31:$AA31)</f>
        <v>10882.023561276896</v>
      </c>
      <c r="L31" s="60">
        <f>MIN('[9]Total 2027 - 2029'!$D31:$AA31)</f>
        <v>10882.023561276896</v>
      </c>
      <c r="M31" s="60">
        <f>MIN('[9]Total 2027 - 2029'!$D31:$AA31)</f>
        <v>10882.023561276896</v>
      </c>
      <c r="N31" s="60">
        <f>MIN('[9]Total 2027 - 2029'!$D31:$AA31)</f>
        <v>10882.023561276896</v>
      </c>
      <c r="O31" s="60">
        <f>MIN('[9]Total 2027 - 2029'!$D31:$AA31)</f>
        <v>10882.023561276896</v>
      </c>
      <c r="P31" s="60">
        <f>MIN('[9]Total 2027 - 2029'!$D31:$AA31)</f>
        <v>10882.023561276896</v>
      </c>
      <c r="Q31" s="60">
        <f>MIN('[9]Total 2027 - 2029'!$D31:$AA31)</f>
        <v>10882.023561276896</v>
      </c>
      <c r="R31" s="60">
        <f>MIN('[9]Total 2027 - 2029'!$D31:$AA31)</f>
        <v>10882.023561276896</v>
      </c>
      <c r="S31" s="60">
        <f>MIN('[9]Total 2027 - 2029'!$D31:$AA31)</f>
        <v>10882.023561276896</v>
      </c>
      <c r="T31" s="60">
        <f>MIN('[9]Total 2027 - 2029'!$D31:$AA31)</f>
        <v>10882.023561276896</v>
      </c>
      <c r="U31" s="60">
        <f>MIN('[9]Total 2027 - 2029'!$D31:$AA31)</f>
        <v>10882.023561276896</v>
      </c>
      <c r="V31" s="60">
        <f>MIN('[9]Total 2027 - 2029'!$D31:$AA31)</f>
        <v>10882.023561276896</v>
      </c>
      <c r="W31" s="60">
        <f>MIN('[9]Total 2027 - 2029'!$D31:$AA31)</f>
        <v>10882.023561276896</v>
      </c>
      <c r="X31" s="60">
        <f>MIN('[9]Total 2027 - 2029'!$D31:$AA31)</f>
        <v>10882.023561276896</v>
      </c>
      <c r="Y31" s="60">
        <f>MIN('[9]Total 2027 - 2029'!$D31:$AA31)</f>
        <v>10882.023561276896</v>
      </c>
      <c r="Z31" s="60">
        <f>MIN('[9]Total 2027 - 2029'!$D31:$AA31)</f>
        <v>10882.023561276896</v>
      </c>
      <c r="AA31" s="60">
        <f>MIN('[9]Total 2027 - 2029'!$D31:$AA31)</f>
        <v>10882.023561276896</v>
      </c>
      <c r="AB31" s="57">
        <f t="shared" si="0"/>
        <v>1305842.8273532281</v>
      </c>
      <c r="AC31" s="63"/>
    </row>
    <row r="32" spans="1:29" x14ac:dyDescent="0.25">
      <c r="A32" s="67"/>
      <c r="B32" s="59" t="s">
        <v>18</v>
      </c>
      <c r="C32" s="55">
        <v>6</v>
      </c>
      <c r="D32" s="60">
        <f>MIN('[9]Total 2027 - 2029'!$D32:$AA32)</f>
        <v>10976.876508136687</v>
      </c>
      <c r="E32" s="60">
        <f>MIN('[9]Total 2027 - 2029'!$D32:$AA32)</f>
        <v>10976.876508136687</v>
      </c>
      <c r="F32" s="60">
        <f>MIN('[9]Total 2027 - 2029'!$D32:$AA32)</f>
        <v>10976.876508136687</v>
      </c>
      <c r="G32" s="60">
        <f>MIN('[9]Total 2027 - 2029'!$D32:$AA32)</f>
        <v>10976.876508136687</v>
      </c>
      <c r="H32" s="60">
        <f>MIN('[9]Total 2027 - 2029'!$D32:$AA32)</f>
        <v>10976.876508136687</v>
      </c>
      <c r="I32" s="60">
        <f>MIN('[9]Total 2027 - 2029'!$D32:$AA32)</f>
        <v>10976.876508136687</v>
      </c>
      <c r="J32" s="60">
        <f>MIN('[9]Total 2027 - 2029'!$D32:$AA32)</f>
        <v>10976.876508136687</v>
      </c>
      <c r="K32" s="60">
        <f>MIN('[9]Total 2027 - 2029'!$D32:$AA32)</f>
        <v>10976.876508136687</v>
      </c>
      <c r="L32" s="60">
        <f>MIN('[9]Total 2027 - 2029'!$D32:$AA32)</f>
        <v>10976.876508136687</v>
      </c>
      <c r="M32" s="60">
        <f>MIN('[9]Total 2027 - 2029'!$D32:$AA32)</f>
        <v>10976.876508136687</v>
      </c>
      <c r="N32" s="60">
        <f>MIN('[9]Total 2027 - 2029'!$D32:$AA32)</f>
        <v>10976.876508136687</v>
      </c>
      <c r="O32" s="60">
        <f>MIN('[9]Total 2027 - 2029'!$D32:$AA32)</f>
        <v>10976.876508136687</v>
      </c>
      <c r="P32" s="60">
        <f>MIN('[9]Total 2027 - 2029'!$D32:$AA32)</f>
        <v>10976.876508136687</v>
      </c>
      <c r="Q32" s="60">
        <f>MIN('[9]Total 2027 - 2029'!$D32:$AA32)</f>
        <v>10976.876508136687</v>
      </c>
      <c r="R32" s="60">
        <f>MIN('[9]Total 2027 - 2029'!$D32:$AA32)</f>
        <v>10976.876508136687</v>
      </c>
      <c r="S32" s="60">
        <f>MIN('[9]Total 2027 - 2029'!$D32:$AA32)</f>
        <v>10976.876508136687</v>
      </c>
      <c r="T32" s="60">
        <f>MIN('[9]Total 2027 - 2029'!$D32:$AA32)</f>
        <v>10976.876508136687</v>
      </c>
      <c r="U32" s="60">
        <f>MIN('[9]Total 2027 - 2029'!$D32:$AA32)</f>
        <v>10976.876508136687</v>
      </c>
      <c r="V32" s="60">
        <f>MIN('[9]Total 2027 - 2029'!$D32:$AA32)</f>
        <v>10976.876508136687</v>
      </c>
      <c r="W32" s="60">
        <f>MIN('[9]Total 2027 - 2029'!$D32:$AA32)</f>
        <v>10976.876508136687</v>
      </c>
      <c r="X32" s="60">
        <f>MIN('[9]Total 2027 - 2029'!$D32:$AA32)</f>
        <v>10976.876508136687</v>
      </c>
      <c r="Y32" s="60">
        <f>MIN('[9]Total 2027 - 2029'!$D32:$AA32)</f>
        <v>10976.876508136687</v>
      </c>
      <c r="Z32" s="60">
        <f>MIN('[9]Total 2027 - 2029'!$D32:$AA32)</f>
        <v>10976.876508136687</v>
      </c>
      <c r="AA32" s="60">
        <f>MIN('[9]Total 2027 - 2029'!$D32:$AA32)</f>
        <v>10976.876508136687</v>
      </c>
      <c r="AB32" s="57">
        <f t="shared" si="0"/>
        <v>1580670.217171683</v>
      </c>
      <c r="AC32" s="64"/>
    </row>
    <row r="33" spans="1:29" x14ac:dyDescent="0.25">
      <c r="A33" s="65">
        <v>46692</v>
      </c>
      <c r="B33" s="54" t="s">
        <v>16</v>
      </c>
      <c r="C33" s="55">
        <v>20</v>
      </c>
      <c r="D33" s="60">
        <f>MIN('[9]Total 2027 - 2029'!$D33:$AA33)</f>
        <v>13659.347411529399</v>
      </c>
      <c r="E33" s="60">
        <f>MIN('[9]Total 2027 - 2029'!$D33:$AA33)</f>
        <v>13659.347411529399</v>
      </c>
      <c r="F33" s="60">
        <f>MIN('[9]Total 2027 - 2029'!$D33:$AA33)</f>
        <v>13659.347411529399</v>
      </c>
      <c r="G33" s="60">
        <f>MIN('[9]Total 2027 - 2029'!$D33:$AA33)</f>
        <v>13659.347411529399</v>
      </c>
      <c r="H33" s="60">
        <f>MIN('[9]Total 2027 - 2029'!$D33:$AA33)</f>
        <v>13659.347411529399</v>
      </c>
      <c r="I33" s="60">
        <f>MIN('[9]Total 2027 - 2029'!$D33:$AA33)</f>
        <v>13659.347411529399</v>
      </c>
      <c r="J33" s="60">
        <f>MIN('[9]Total 2027 - 2029'!$D33:$AA33)</f>
        <v>13659.347411529399</v>
      </c>
      <c r="K33" s="60">
        <f>MIN('[9]Total 2027 - 2029'!$D33:$AA33)</f>
        <v>13659.347411529399</v>
      </c>
      <c r="L33" s="60">
        <f>MIN('[9]Total 2027 - 2029'!$D33:$AA33)</f>
        <v>13659.347411529399</v>
      </c>
      <c r="M33" s="60">
        <f>MIN('[9]Total 2027 - 2029'!$D33:$AA33)</f>
        <v>13659.347411529399</v>
      </c>
      <c r="N33" s="60">
        <f>MIN('[9]Total 2027 - 2029'!$D33:$AA33)</f>
        <v>13659.347411529399</v>
      </c>
      <c r="O33" s="60">
        <f>MIN('[9]Total 2027 - 2029'!$D33:$AA33)</f>
        <v>13659.347411529399</v>
      </c>
      <c r="P33" s="60">
        <f>MIN('[9]Total 2027 - 2029'!$D33:$AA33)</f>
        <v>13659.347411529399</v>
      </c>
      <c r="Q33" s="60">
        <f>MIN('[9]Total 2027 - 2029'!$D33:$AA33)</f>
        <v>13659.347411529399</v>
      </c>
      <c r="R33" s="60">
        <f>MIN('[9]Total 2027 - 2029'!$D33:$AA33)</f>
        <v>13659.347411529399</v>
      </c>
      <c r="S33" s="60">
        <f>MIN('[9]Total 2027 - 2029'!$D33:$AA33)</f>
        <v>13659.347411529399</v>
      </c>
      <c r="T33" s="60">
        <f>MIN('[9]Total 2027 - 2029'!$D33:$AA33)</f>
        <v>13659.347411529399</v>
      </c>
      <c r="U33" s="60">
        <f>MIN('[9]Total 2027 - 2029'!$D33:$AA33)</f>
        <v>13659.347411529399</v>
      </c>
      <c r="V33" s="60">
        <f>MIN('[9]Total 2027 - 2029'!$D33:$AA33)</f>
        <v>13659.347411529399</v>
      </c>
      <c r="W33" s="60">
        <f>MIN('[9]Total 2027 - 2029'!$D33:$AA33)</f>
        <v>13659.347411529399</v>
      </c>
      <c r="X33" s="60">
        <f>MIN('[9]Total 2027 - 2029'!$D33:$AA33)</f>
        <v>13659.347411529399</v>
      </c>
      <c r="Y33" s="60">
        <f>MIN('[9]Total 2027 - 2029'!$D33:$AA33)</f>
        <v>13659.347411529399</v>
      </c>
      <c r="Z33" s="60">
        <f>MIN('[9]Total 2027 - 2029'!$D33:$AA33)</f>
        <v>13659.347411529399</v>
      </c>
      <c r="AA33" s="60">
        <f>MIN('[9]Total 2027 - 2029'!$D33:$AA33)</f>
        <v>13659.347411529399</v>
      </c>
      <c r="AB33" s="57">
        <f t="shared" si="0"/>
        <v>6556486.75753411</v>
      </c>
      <c r="AC33" s="62">
        <f>SUM(AB33:AB35)</f>
        <v>9415662.1414587963</v>
      </c>
    </row>
    <row r="34" spans="1:29" x14ac:dyDescent="0.25">
      <c r="A34" s="66"/>
      <c r="B34" s="59" t="s">
        <v>17</v>
      </c>
      <c r="C34" s="55">
        <v>4</v>
      </c>
      <c r="D34" s="60">
        <f>MIN('[9]Total 2027 - 2029'!$D34:$AA34)</f>
        <v>12561.501197273632</v>
      </c>
      <c r="E34" s="60">
        <f>MIN('[9]Total 2027 - 2029'!$D34:$AA34)</f>
        <v>12561.501197273632</v>
      </c>
      <c r="F34" s="60">
        <f>MIN('[9]Total 2027 - 2029'!$D34:$AA34)</f>
        <v>12561.501197273632</v>
      </c>
      <c r="G34" s="60">
        <f>MIN('[9]Total 2027 - 2029'!$D34:$AA34)</f>
        <v>12561.501197273632</v>
      </c>
      <c r="H34" s="60">
        <f>MIN('[9]Total 2027 - 2029'!$D34:$AA34)</f>
        <v>12561.501197273632</v>
      </c>
      <c r="I34" s="60">
        <f>MIN('[9]Total 2027 - 2029'!$D34:$AA34)</f>
        <v>12561.501197273632</v>
      </c>
      <c r="J34" s="60">
        <f>MIN('[9]Total 2027 - 2029'!$D34:$AA34)</f>
        <v>12561.501197273632</v>
      </c>
      <c r="K34" s="60">
        <f>MIN('[9]Total 2027 - 2029'!$D34:$AA34)</f>
        <v>12561.501197273632</v>
      </c>
      <c r="L34" s="60">
        <f>MIN('[9]Total 2027 - 2029'!$D34:$AA34)</f>
        <v>12561.501197273632</v>
      </c>
      <c r="M34" s="60">
        <f>MIN('[9]Total 2027 - 2029'!$D34:$AA34)</f>
        <v>12561.501197273632</v>
      </c>
      <c r="N34" s="60">
        <f>MIN('[9]Total 2027 - 2029'!$D34:$AA34)</f>
        <v>12561.501197273632</v>
      </c>
      <c r="O34" s="60">
        <f>MIN('[9]Total 2027 - 2029'!$D34:$AA34)</f>
        <v>12561.501197273632</v>
      </c>
      <c r="P34" s="60">
        <f>MIN('[9]Total 2027 - 2029'!$D34:$AA34)</f>
        <v>12561.501197273632</v>
      </c>
      <c r="Q34" s="60">
        <f>MIN('[9]Total 2027 - 2029'!$D34:$AA34)</f>
        <v>12561.501197273632</v>
      </c>
      <c r="R34" s="60">
        <f>MIN('[9]Total 2027 - 2029'!$D34:$AA34)</f>
        <v>12561.501197273632</v>
      </c>
      <c r="S34" s="60">
        <f>MIN('[9]Total 2027 - 2029'!$D34:$AA34)</f>
        <v>12561.501197273632</v>
      </c>
      <c r="T34" s="60">
        <f>MIN('[9]Total 2027 - 2029'!$D34:$AA34)</f>
        <v>12561.501197273632</v>
      </c>
      <c r="U34" s="60">
        <f>MIN('[9]Total 2027 - 2029'!$D34:$AA34)</f>
        <v>12561.501197273632</v>
      </c>
      <c r="V34" s="60">
        <f>MIN('[9]Total 2027 - 2029'!$D34:$AA34)</f>
        <v>12561.501197273632</v>
      </c>
      <c r="W34" s="60">
        <f>MIN('[9]Total 2027 - 2029'!$D34:$AA34)</f>
        <v>12561.501197273632</v>
      </c>
      <c r="X34" s="60">
        <f>MIN('[9]Total 2027 - 2029'!$D34:$AA34)</f>
        <v>12561.501197273632</v>
      </c>
      <c r="Y34" s="60">
        <f>MIN('[9]Total 2027 - 2029'!$D34:$AA34)</f>
        <v>12561.501197273632</v>
      </c>
      <c r="Z34" s="60">
        <f>MIN('[9]Total 2027 - 2029'!$D34:$AA34)</f>
        <v>12561.501197273632</v>
      </c>
      <c r="AA34" s="60">
        <f>MIN('[9]Total 2027 - 2029'!$D34:$AA34)</f>
        <v>12561.501197273632</v>
      </c>
      <c r="AB34" s="57">
        <f t="shared" si="0"/>
        <v>1205904.1149382687</v>
      </c>
      <c r="AC34" s="63"/>
    </row>
    <row r="35" spans="1:29" x14ac:dyDescent="0.25">
      <c r="A35" s="67"/>
      <c r="B35" s="59" t="s">
        <v>18</v>
      </c>
      <c r="C35" s="55">
        <v>6</v>
      </c>
      <c r="D35" s="60">
        <f>MIN('[9]Total 2027 - 2029'!$D35:$AA35)</f>
        <v>11481.050479072348</v>
      </c>
      <c r="E35" s="60">
        <f>MIN('[9]Total 2027 - 2029'!$D35:$AA35)</f>
        <v>11481.050479072348</v>
      </c>
      <c r="F35" s="60">
        <f>MIN('[9]Total 2027 - 2029'!$D35:$AA35)</f>
        <v>11481.050479072348</v>
      </c>
      <c r="G35" s="60">
        <f>MIN('[9]Total 2027 - 2029'!$D35:$AA35)</f>
        <v>11481.050479072348</v>
      </c>
      <c r="H35" s="60">
        <f>MIN('[9]Total 2027 - 2029'!$D35:$AA35)</f>
        <v>11481.050479072348</v>
      </c>
      <c r="I35" s="60">
        <f>MIN('[9]Total 2027 - 2029'!$D35:$AA35)</f>
        <v>11481.050479072348</v>
      </c>
      <c r="J35" s="60">
        <f>MIN('[9]Total 2027 - 2029'!$D35:$AA35)</f>
        <v>11481.050479072348</v>
      </c>
      <c r="K35" s="60">
        <f>MIN('[9]Total 2027 - 2029'!$D35:$AA35)</f>
        <v>11481.050479072348</v>
      </c>
      <c r="L35" s="60">
        <f>MIN('[9]Total 2027 - 2029'!$D35:$AA35)</f>
        <v>11481.050479072348</v>
      </c>
      <c r="M35" s="60">
        <f>MIN('[9]Total 2027 - 2029'!$D35:$AA35)</f>
        <v>11481.050479072348</v>
      </c>
      <c r="N35" s="60">
        <f>MIN('[9]Total 2027 - 2029'!$D35:$AA35)</f>
        <v>11481.050479072348</v>
      </c>
      <c r="O35" s="60">
        <f>MIN('[9]Total 2027 - 2029'!$D35:$AA35)</f>
        <v>11481.050479072348</v>
      </c>
      <c r="P35" s="60">
        <f>MIN('[9]Total 2027 - 2029'!$D35:$AA35)</f>
        <v>11481.050479072348</v>
      </c>
      <c r="Q35" s="60">
        <f>MIN('[9]Total 2027 - 2029'!$D35:$AA35)</f>
        <v>11481.050479072348</v>
      </c>
      <c r="R35" s="60">
        <f>MIN('[9]Total 2027 - 2029'!$D35:$AA35)</f>
        <v>11481.050479072348</v>
      </c>
      <c r="S35" s="60">
        <f>MIN('[9]Total 2027 - 2029'!$D35:$AA35)</f>
        <v>11481.050479072348</v>
      </c>
      <c r="T35" s="60">
        <f>MIN('[9]Total 2027 - 2029'!$D35:$AA35)</f>
        <v>11481.050479072348</v>
      </c>
      <c r="U35" s="60">
        <f>MIN('[9]Total 2027 - 2029'!$D35:$AA35)</f>
        <v>11481.050479072348</v>
      </c>
      <c r="V35" s="60">
        <f>MIN('[9]Total 2027 - 2029'!$D35:$AA35)</f>
        <v>11481.050479072348</v>
      </c>
      <c r="W35" s="60">
        <f>MIN('[9]Total 2027 - 2029'!$D35:$AA35)</f>
        <v>11481.050479072348</v>
      </c>
      <c r="X35" s="60">
        <f>MIN('[9]Total 2027 - 2029'!$D35:$AA35)</f>
        <v>11481.050479072348</v>
      </c>
      <c r="Y35" s="60">
        <f>MIN('[9]Total 2027 - 2029'!$D35:$AA35)</f>
        <v>11481.050479072348</v>
      </c>
      <c r="Z35" s="60">
        <f>MIN('[9]Total 2027 - 2029'!$D35:$AA35)</f>
        <v>11481.050479072348</v>
      </c>
      <c r="AA35" s="60">
        <f>MIN('[9]Total 2027 - 2029'!$D35:$AA35)</f>
        <v>11481.050479072348</v>
      </c>
      <c r="AB35" s="57">
        <f t="shared" si="0"/>
        <v>1653271.2689864179</v>
      </c>
      <c r="AC35" s="64"/>
    </row>
    <row r="36" spans="1:29" x14ac:dyDescent="0.25">
      <c r="A36" s="65">
        <v>46722</v>
      </c>
      <c r="B36" s="54" t="s">
        <v>16</v>
      </c>
      <c r="C36" s="55">
        <v>22</v>
      </c>
      <c r="D36" s="60">
        <f>MIN('[9]Total 2027 - 2029'!$D36:$AA36)</f>
        <v>15482.466121227986</v>
      </c>
      <c r="E36" s="60">
        <f>MIN('[9]Total 2027 - 2029'!$D36:$AA36)</f>
        <v>15482.466121227986</v>
      </c>
      <c r="F36" s="60">
        <f>MIN('[9]Total 2027 - 2029'!$D36:$AA36)</f>
        <v>15482.466121227986</v>
      </c>
      <c r="G36" s="60">
        <f>MIN('[9]Total 2027 - 2029'!$D36:$AA36)</f>
        <v>15482.466121227986</v>
      </c>
      <c r="H36" s="60">
        <f>MIN('[9]Total 2027 - 2029'!$D36:$AA36)</f>
        <v>15482.466121227986</v>
      </c>
      <c r="I36" s="60">
        <f>MIN('[9]Total 2027 - 2029'!$D36:$AA36)</f>
        <v>15482.466121227986</v>
      </c>
      <c r="J36" s="60">
        <f>MIN('[9]Total 2027 - 2029'!$D36:$AA36)</f>
        <v>15482.466121227986</v>
      </c>
      <c r="K36" s="60">
        <f>MIN('[9]Total 2027 - 2029'!$D36:$AA36)</f>
        <v>15482.466121227986</v>
      </c>
      <c r="L36" s="60">
        <f>MIN('[9]Total 2027 - 2029'!$D36:$AA36)</f>
        <v>15482.466121227986</v>
      </c>
      <c r="M36" s="60">
        <f>MIN('[9]Total 2027 - 2029'!$D36:$AA36)</f>
        <v>15482.466121227986</v>
      </c>
      <c r="N36" s="60">
        <f>MIN('[9]Total 2027 - 2029'!$D36:$AA36)</f>
        <v>15482.466121227986</v>
      </c>
      <c r="O36" s="60">
        <f>MIN('[9]Total 2027 - 2029'!$D36:$AA36)</f>
        <v>15482.466121227986</v>
      </c>
      <c r="P36" s="60">
        <f>MIN('[9]Total 2027 - 2029'!$D36:$AA36)</f>
        <v>15482.466121227986</v>
      </c>
      <c r="Q36" s="60">
        <f>MIN('[9]Total 2027 - 2029'!$D36:$AA36)</f>
        <v>15482.466121227986</v>
      </c>
      <c r="R36" s="60">
        <f>MIN('[9]Total 2027 - 2029'!$D36:$AA36)</f>
        <v>15482.466121227986</v>
      </c>
      <c r="S36" s="60">
        <f>MIN('[9]Total 2027 - 2029'!$D36:$AA36)</f>
        <v>15482.466121227986</v>
      </c>
      <c r="T36" s="60">
        <f>MIN('[9]Total 2027 - 2029'!$D36:$AA36)</f>
        <v>15482.466121227986</v>
      </c>
      <c r="U36" s="60">
        <f>MIN('[9]Total 2027 - 2029'!$D36:$AA36)</f>
        <v>15482.466121227986</v>
      </c>
      <c r="V36" s="60">
        <f>MIN('[9]Total 2027 - 2029'!$D36:$AA36)</f>
        <v>15482.466121227986</v>
      </c>
      <c r="W36" s="60">
        <f>MIN('[9]Total 2027 - 2029'!$D36:$AA36)</f>
        <v>15482.466121227986</v>
      </c>
      <c r="X36" s="60">
        <f>MIN('[9]Total 2027 - 2029'!$D36:$AA36)</f>
        <v>15482.466121227986</v>
      </c>
      <c r="Y36" s="60">
        <f>MIN('[9]Total 2027 - 2029'!$D36:$AA36)</f>
        <v>15482.466121227986</v>
      </c>
      <c r="Z36" s="60">
        <f>MIN('[9]Total 2027 - 2029'!$D36:$AA36)</f>
        <v>15482.466121227986</v>
      </c>
      <c r="AA36" s="60">
        <f>MIN('[9]Total 2027 - 2029'!$D36:$AA36)</f>
        <v>15482.466121227986</v>
      </c>
      <c r="AB36" s="57">
        <f t="shared" si="0"/>
        <v>8174742.1120083788</v>
      </c>
      <c r="AC36" s="62">
        <f>SUM(AB36:AB38)</f>
        <v>11315587.049650099</v>
      </c>
    </row>
    <row r="37" spans="1:29" x14ac:dyDescent="0.25">
      <c r="A37" s="66"/>
      <c r="B37" s="59" t="s">
        <v>17</v>
      </c>
      <c r="C37" s="55">
        <v>4</v>
      </c>
      <c r="D37" s="60">
        <f>MIN('[9]Total 2027 - 2029'!$D37:$AA37)</f>
        <v>15148.095559339459</v>
      </c>
      <c r="E37" s="60">
        <f>MIN('[9]Total 2027 - 2029'!$D37:$AA37)</f>
        <v>15148.095559339459</v>
      </c>
      <c r="F37" s="60">
        <f>MIN('[9]Total 2027 - 2029'!$D37:$AA37)</f>
        <v>15148.095559339459</v>
      </c>
      <c r="G37" s="60">
        <f>MIN('[9]Total 2027 - 2029'!$D37:$AA37)</f>
        <v>15148.095559339459</v>
      </c>
      <c r="H37" s="60">
        <f>MIN('[9]Total 2027 - 2029'!$D37:$AA37)</f>
        <v>15148.095559339459</v>
      </c>
      <c r="I37" s="60">
        <f>MIN('[9]Total 2027 - 2029'!$D37:$AA37)</f>
        <v>15148.095559339459</v>
      </c>
      <c r="J37" s="60">
        <f>MIN('[9]Total 2027 - 2029'!$D37:$AA37)</f>
        <v>15148.095559339459</v>
      </c>
      <c r="K37" s="60">
        <f>MIN('[9]Total 2027 - 2029'!$D37:$AA37)</f>
        <v>15148.095559339459</v>
      </c>
      <c r="L37" s="60">
        <f>MIN('[9]Total 2027 - 2029'!$D37:$AA37)</f>
        <v>15148.095559339459</v>
      </c>
      <c r="M37" s="60">
        <f>MIN('[9]Total 2027 - 2029'!$D37:$AA37)</f>
        <v>15148.095559339459</v>
      </c>
      <c r="N37" s="60">
        <f>MIN('[9]Total 2027 - 2029'!$D37:$AA37)</f>
        <v>15148.095559339459</v>
      </c>
      <c r="O37" s="60">
        <f>MIN('[9]Total 2027 - 2029'!$D37:$AA37)</f>
        <v>15148.095559339459</v>
      </c>
      <c r="P37" s="60">
        <f>MIN('[9]Total 2027 - 2029'!$D37:$AA37)</f>
        <v>15148.095559339459</v>
      </c>
      <c r="Q37" s="60">
        <f>MIN('[9]Total 2027 - 2029'!$D37:$AA37)</f>
        <v>15148.095559339459</v>
      </c>
      <c r="R37" s="60">
        <f>MIN('[9]Total 2027 - 2029'!$D37:$AA37)</f>
        <v>15148.095559339459</v>
      </c>
      <c r="S37" s="60">
        <f>MIN('[9]Total 2027 - 2029'!$D37:$AA37)</f>
        <v>15148.095559339459</v>
      </c>
      <c r="T37" s="60">
        <f>MIN('[9]Total 2027 - 2029'!$D37:$AA37)</f>
        <v>15148.095559339459</v>
      </c>
      <c r="U37" s="60">
        <f>MIN('[9]Total 2027 - 2029'!$D37:$AA37)</f>
        <v>15148.095559339459</v>
      </c>
      <c r="V37" s="60">
        <f>MIN('[9]Total 2027 - 2029'!$D37:$AA37)</f>
        <v>15148.095559339459</v>
      </c>
      <c r="W37" s="60">
        <f>MIN('[9]Total 2027 - 2029'!$D37:$AA37)</f>
        <v>15148.095559339459</v>
      </c>
      <c r="X37" s="60">
        <f>MIN('[9]Total 2027 - 2029'!$D37:$AA37)</f>
        <v>15148.095559339459</v>
      </c>
      <c r="Y37" s="60">
        <f>MIN('[9]Total 2027 - 2029'!$D37:$AA37)</f>
        <v>15148.095559339459</v>
      </c>
      <c r="Z37" s="60">
        <f>MIN('[9]Total 2027 - 2029'!$D37:$AA37)</f>
        <v>15148.095559339459</v>
      </c>
      <c r="AA37" s="60">
        <f>MIN('[9]Total 2027 - 2029'!$D37:$AA37)</f>
        <v>15148.095559339459</v>
      </c>
      <c r="AB37" s="57">
        <f t="shared" si="0"/>
        <v>1454217.1736965873</v>
      </c>
      <c r="AC37" s="63"/>
    </row>
    <row r="38" spans="1:29" x14ac:dyDescent="0.25">
      <c r="A38" s="67"/>
      <c r="B38" s="59" t="s">
        <v>18</v>
      </c>
      <c r="C38" s="55">
        <v>5</v>
      </c>
      <c r="D38" s="60">
        <f>MIN('[9]Total 2027 - 2029'!$D38:$AA38)</f>
        <v>14055.231366209426</v>
      </c>
      <c r="E38" s="60">
        <f>MIN('[9]Total 2027 - 2029'!$D38:$AA38)</f>
        <v>14055.231366209426</v>
      </c>
      <c r="F38" s="60">
        <f>MIN('[9]Total 2027 - 2029'!$D38:$AA38)</f>
        <v>14055.231366209426</v>
      </c>
      <c r="G38" s="60">
        <f>MIN('[9]Total 2027 - 2029'!$D38:$AA38)</f>
        <v>14055.231366209426</v>
      </c>
      <c r="H38" s="60">
        <f>MIN('[9]Total 2027 - 2029'!$D38:$AA38)</f>
        <v>14055.231366209426</v>
      </c>
      <c r="I38" s="60">
        <f>MIN('[9]Total 2027 - 2029'!$D38:$AA38)</f>
        <v>14055.231366209426</v>
      </c>
      <c r="J38" s="60">
        <f>MIN('[9]Total 2027 - 2029'!$D38:$AA38)</f>
        <v>14055.231366209426</v>
      </c>
      <c r="K38" s="60">
        <f>MIN('[9]Total 2027 - 2029'!$D38:$AA38)</f>
        <v>14055.231366209426</v>
      </c>
      <c r="L38" s="60">
        <f>MIN('[9]Total 2027 - 2029'!$D38:$AA38)</f>
        <v>14055.231366209426</v>
      </c>
      <c r="M38" s="60">
        <f>MIN('[9]Total 2027 - 2029'!$D38:$AA38)</f>
        <v>14055.231366209426</v>
      </c>
      <c r="N38" s="60">
        <f>MIN('[9]Total 2027 - 2029'!$D38:$AA38)</f>
        <v>14055.231366209426</v>
      </c>
      <c r="O38" s="60">
        <f>MIN('[9]Total 2027 - 2029'!$D38:$AA38)</f>
        <v>14055.231366209426</v>
      </c>
      <c r="P38" s="60">
        <f>MIN('[9]Total 2027 - 2029'!$D38:$AA38)</f>
        <v>14055.231366209426</v>
      </c>
      <c r="Q38" s="60">
        <f>MIN('[9]Total 2027 - 2029'!$D38:$AA38)</f>
        <v>14055.231366209426</v>
      </c>
      <c r="R38" s="60">
        <f>MIN('[9]Total 2027 - 2029'!$D38:$AA38)</f>
        <v>14055.231366209426</v>
      </c>
      <c r="S38" s="60">
        <f>MIN('[9]Total 2027 - 2029'!$D38:$AA38)</f>
        <v>14055.231366209426</v>
      </c>
      <c r="T38" s="60">
        <f>MIN('[9]Total 2027 - 2029'!$D38:$AA38)</f>
        <v>14055.231366209426</v>
      </c>
      <c r="U38" s="60">
        <f>MIN('[9]Total 2027 - 2029'!$D38:$AA38)</f>
        <v>14055.231366209426</v>
      </c>
      <c r="V38" s="60">
        <f>MIN('[9]Total 2027 - 2029'!$D38:$AA38)</f>
        <v>14055.231366209426</v>
      </c>
      <c r="W38" s="60">
        <f>MIN('[9]Total 2027 - 2029'!$D38:$AA38)</f>
        <v>14055.231366209426</v>
      </c>
      <c r="X38" s="60">
        <f>MIN('[9]Total 2027 - 2029'!$D38:$AA38)</f>
        <v>14055.231366209426</v>
      </c>
      <c r="Y38" s="60">
        <f>MIN('[9]Total 2027 - 2029'!$D38:$AA38)</f>
        <v>14055.231366209426</v>
      </c>
      <c r="Z38" s="60">
        <f>MIN('[9]Total 2027 - 2029'!$D38:$AA38)</f>
        <v>14055.231366209426</v>
      </c>
      <c r="AA38" s="60">
        <f>MIN('[9]Total 2027 - 2029'!$D38:$AA38)</f>
        <v>14055.231366209426</v>
      </c>
      <c r="AB38" s="57">
        <f t="shared" si="0"/>
        <v>1686627.7639451318</v>
      </c>
      <c r="AC38" s="64"/>
    </row>
    <row r="39" spans="1:29" x14ac:dyDescent="0.25">
      <c r="A39" s="65">
        <v>46753</v>
      </c>
      <c r="B39" s="54" t="s">
        <v>16</v>
      </c>
      <c r="C39" s="55">
        <v>20</v>
      </c>
      <c r="D39" s="60">
        <f>MIN('[9]Total 2027 - 2029'!$D39:$AA39)</f>
        <v>10531.475774491593</v>
      </c>
      <c r="E39" s="60">
        <f>MIN('[9]Total 2027 - 2029'!$D39:$AA39)</f>
        <v>10531.475774491593</v>
      </c>
      <c r="F39" s="60">
        <f>MIN('[9]Total 2027 - 2029'!$D39:$AA39)</f>
        <v>10531.475774491593</v>
      </c>
      <c r="G39" s="60">
        <f>MIN('[9]Total 2027 - 2029'!$D39:$AA39)</f>
        <v>10531.475774491593</v>
      </c>
      <c r="H39" s="60">
        <f>MIN('[9]Total 2027 - 2029'!$D39:$AA39)</f>
        <v>10531.475774491593</v>
      </c>
      <c r="I39" s="60">
        <f>MIN('[9]Total 2027 - 2029'!$D39:$AA39)</f>
        <v>10531.475774491593</v>
      </c>
      <c r="J39" s="60">
        <f>MIN('[9]Total 2027 - 2029'!$D39:$AA39)</f>
        <v>10531.475774491593</v>
      </c>
      <c r="K39" s="60">
        <f>MIN('[9]Total 2027 - 2029'!$D39:$AA39)</f>
        <v>10531.475774491593</v>
      </c>
      <c r="L39" s="60">
        <f>MIN('[9]Total 2027 - 2029'!$D39:$AA39)</f>
        <v>10531.475774491593</v>
      </c>
      <c r="M39" s="60">
        <f>MIN('[9]Total 2027 - 2029'!$D39:$AA39)</f>
        <v>10531.475774491593</v>
      </c>
      <c r="N39" s="60">
        <f>MIN('[9]Total 2027 - 2029'!$D39:$AA39)</f>
        <v>10531.475774491593</v>
      </c>
      <c r="O39" s="60">
        <f>MIN('[9]Total 2027 - 2029'!$D39:$AA39)</f>
        <v>10531.475774491593</v>
      </c>
      <c r="P39" s="60">
        <f>MIN('[9]Total 2027 - 2029'!$D39:$AA39)</f>
        <v>10531.475774491593</v>
      </c>
      <c r="Q39" s="60">
        <f>MIN('[9]Total 2027 - 2029'!$D39:$AA39)</f>
        <v>10531.475774491593</v>
      </c>
      <c r="R39" s="60">
        <f>MIN('[9]Total 2027 - 2029'!$D39:$AA39)</f>
        <v>10531.475774491593</v>
      </c>
      <c r="S39" s="60">
        <f>MIN('[9]Total 2027 - 2029'!$D39:$AA39)</f>
        <v>10531.475774491593</v>
      </c>
      <c r="T39" s="60">
        <f>MIN('[9]Total 2027 - 2029'!$D39:$AA39)</f>
        <v>10531.475774491593</v>
      </c>
      <c r="U39" s="60">
        <f>MIN('[9]Total 2027 - 2029'!$D39:$AA39)</f>
        <v>10531.475774491593</v>
      </c>
      <c r="V39" s="60">
        <f>MIN('[9]Total 2027 - 2029'!$D39:$AA39)</f>
        <v>10531.475774491593</v>
      </c>
      <c r="W39" s="60">
        <f>MIN('[9]Total 2027 - 2029'!$D39:$AA39)</f>
        <v>10531.475774491593</v>
      </c>
      <c r="X39" s="60">
        <f>MIN('[9]Total 2027 - 2029'!$D39:$AA39)</f>
        <v>10531.475774491593</v>
      </c>
      <c r="Y39" s="60">
        <f>MIN('[9]Total 2027 - 2029'!$D39:$AA39)</f>
        <v>10531.475774491593</v>
      </c>
      <c r="Z39" s="60">
        <f>MIN('[9]Total 2027 - 2029'!$D39:$AA39)</f>
        <v>10531.475774491593</v>
      </c>
      <c r="AA39" s="60">
        <f>MIN('[9]Total 2027 - 2029'!$D39:$AA39)</f>
        <v>10531.475774491593</v>
      </c>
      <c r="AB39" s="57">
        <f>SUM(D39:AA39)*C39</f>
        <v>5055108.3717559632</v>
      </c>
      <c r="AC39" s="62">
        <f>SUM(AB39:AB41)</f>
        <v>7597749.7648000531</v>
      </c>
    </row>
    <row r="40" spans="1:29" x14ac:dyDescent="0.25">
      <c r="A40" s="66"/>
      <c r="B40" s="59" t="s">
        <v>17</v>
      </c>
      <c r="C40" s="55">
        <v>5</v>
      </c>
      <c r="D40" s="60">
        <f>MIN('[9]Total 2027 - 2029'!$D40:$AA40)</f>
        <v>10285.060329145363</v>
      </c>
      <c r="E40" s="60">
        <f>MIN('[9]Total 2027 - 2029'!$D40:$AA40)</f>
        <v>10285.060329145363</v>
      </c>
      <c r="F40" s="60">
        <f>MIN('[9]Total 2027 - 2029'!$D40:$AA40)</f>
        <v>10285.060329145363</v>
      </c>
      <c r="G40" s="60">
        <f>MIN('[9]Total 2027 - 2029'!$D40:$AA40)</f>
        <v>10285.060329145363</v>
      </c>
      <c r="H40" s="60">
        <f>MIN('[9]Total 2027 - 2029'!$D40:$AA40)</f>
        <v>10285.060329145363</v>
      </c>
      <c r="I40" s="60">
        <f>MIN('[9]Total 2027 - 2029'!$D40:$AA40)</f>
        <v>10285.060329145363</v>
      </c>
      <c r="J40" s="60">
        <f>MIN('[9]Total 2027 - 2029'!$D40:$AA40)</f>
        <v>10285.060329145363</v>
      </c>
      <c r="K40" s="60">
        <f>MIN('[9]Total 2027 - 2029'!$D40:$AA40)</f>
        <v>10285.060329145363</v>
      </c>
      <c r="L40" s="60">
        <f>MIN('[9]Total 2027 - 2029'!$D40:$AA40)</f>
        <v>10285.060329145363</v>
      </c>
      <c r="M40" s="60">
        <f>MIN('[9]Total 2027 - 2029'!$D40:$AA40)</f>
        <v>10285.060329145363</v>
      </c>
      <c r="N40" s="60">
        <f>MIN('[9]Total 2027 - 2029'!$D40:$AA40)</f>
        <v>10285.060329145363</v>
      </c>
      <c r="O40" s="60">
        <f>MIN('[9]Total 2027 - 2029'!$D40:$AA40)</f>
        <v>10285.060329145363</v>
      </c>
      <c r="P40" s="60">
        <f>MIN('[9]Total 2027 - 2029'!$D40:$AA40)</f>
        <v>10285.060329145363</v>
      </c>
      <c r="Q40" s="60">
        <f>MIN('[9]Total 2027 - 2029'!$D40:$AA40)</f>
        <v>10285.060329145363</v>
      </c>
      <c r="R40" s="60">
        <f>MIN('[9]Total 2027 - 2029'!$D40:$AA40)</f>
        <v>10285.060329145363</v>
      </c>
      <c r="S40" s="60">
        <f>MIN('[9]Total 2027 - 2029'!$D40:$AA40)</f>
        <v>10285.060329145363</v>
      </c>
      <c r="T40" s="60">
        <f>MIN('[9]Total 2027 - 2029'!$D40:$AA40)</f>
        <v>10285.060329145363</v>
      </c>
      <c r="U40" s="60">
        <f>MIN('[9]Total 2027 - 2029'!$D40:$AA40)</f>
        <v>10285.060329145363</v>
      </c>
      <c r="V40" s="60">
        <f>MIN('[9]Total 2027 - 2029'!$D40:$AA40)</f>
        <v>10285.060329145363</v>
      </c>
      <c r="W40" s="60">
        <f>MIN('[9]Total 2027 - 2029'!$D40:$AA40)</f>
        <v>10285.060329145363</v>
      </c>
      <c r="X40" s="60">
        <f>MIN('[9]Total 2027 - 2029'!$D40:$AA40)</f>
        <v>10285.060329145363</v>
      </c>
      <c r="Y40" s="60">
        <f>MIN('[9]Total 2027 - 2029'!$D40:$AA40)</f>
        <v>10285.060329145363</v>
      </c>
      <c r="Z40" s="60">
        <f>MIN('[9]Total 2027 - 2029'!$D40:$AA40)</f>
        <v>10285.060329145363</v>
      </c>
      <c r="AA40" s="60">
        <f>MIN('[9]Total 2027 - 2029'!$D40:$AA40)</f>
        <v>10285.060329145363</v>
      </c>
      <c r="AB40" s="57">
        <f>SUM(D40:AA40)*C40</f>
        <v>1234207.2394974439</v>
      </c>
      <c r="AC40" s="63"/>
    </row>
    <row r="41" spans="1:29" x14ac:dyDescent="0.25">
      <c r="A41" s="67"/>
      <c r="B41" s="59" t="s">
        <v>18</v>
      </c>
      <c r="C41" s="55">
        <v>6</v>
      </c>
      <c r="D41" s="60">
        <f>MIN('[9]Total 2027 - 2029'!$D41:$AA41)</f>
        <v>9086.3482885183803</v>
      </c>
      <c r="E41" s="60">
        <f>MIN('[9]Total 2027 - 2029'!$D41:$AA41)</f>
        <v>9086.3482885183803</v>
      </c>
      <c r="F41" s="60">
        <f>MIN('[9]Total 2027 - 2029'!$D41:$AA41)</f>
        <v>9086.3482885183803</v>
      </c>
      <c r="G41" s="60">
        <f>MIN('[9]Total 2027 - 2029'!$D41:$AA41)</f>
        <v>9086.3482885183803</v>
      </c>
      <c r="H41" s="60">
        <f>MIN('[9]Total 2027 - 2029'!$D41:$AA41)</f>
        <v>9086.3482885183803</v>
      </c>
      <c r="I41" s="60">
        <f>MIN('[9]Total 2027 - 2029'!$D41:$AA41)</f>
        <v>9086.3482885183803</v>
      </c>
      <c r="J41" s="60">
        <f>MIN('[9]Total 2027 - 2029'!$D41:$AA41)</f>
        <v>9086.3482885183803</v>
      </c>
      <c r="K41" s="60">
        <f>MIN('[9]Total 2027 - 2029'!$D41:$AA41)</f>
        <v>9086.3482885183803</v>
      </c>
      <c r="L41" s="60">
        <f>MIN('[9]Total 2027 - 2029'!$D41:$AA41)</f>
        <v>9086.3482885183803</v>
      </c>
      <c r="M41" s="60">
        <f>MIN('[9]Total 2027 - 2029'!$D41:$AA41)</f>
        <v>9086.3482885183803</v>
      </c>
      <c r="N41" s="60">
        <f>MIN('[9]Total 2027 - 2029'!$D41:$AA41)</f>
        <v>9086.3482885183803</v>
      </c>
      <c r="O41" s="60">
        <f>MIN('[9]Total 2027 - 2029'!$D41:$AA41)</f>
        <v>9086.3482885183803</v>
      </c>
      <c r="P41" s="60">
        <f>MIN('[9]Total 2027 - 2029'!$D41:$AA41)</f>
        <v>9086.3482885183803</v>
      </c>
      <c r="Q41" s="60">
        <f>MIN('[9]Total 2027 - 2029'!$D41:$AA41)</f>
        <v>9086.3482885183803</v>
      </c>
      <c r="R41" s="60">
        <f>MIN('[9]Total 2027 - 2029'!$D41:$AA41)</f>
        <v>9086.3482885183803</v>
      </c>
      <c r="S41" s="60">
        <f>MIN('[9]Total 2027 - 2029'!$D41:$AA41)</f>
        <v>9086.3482885183803</v>
      </c>
      <c r="T41" s="60">
        <f>MIN('[9]Total 2027 - 2029'!$D41:$AA41)</f>
        <v>9086.3482885183803</v>
      </c>
      <c r="U41" s="60">
        <f>MIN('[9]Total 2027 - 2029'!$D41:$AA41)</f>
        <v>9086.3482885183803</v>
      </c>
      <c r="V41" s="60">
        <f>MIN('[9]Total 2027 - 2029'!$D41:$AA41)</f>
        <v>9086.3482885183803</v>
      </c>
      <c r="W41" s="60">
        <f>MIN('[9]Total 2027 - 2029'!$D41:$AA41)</f>
        <v>9086.3482885183803</v>
      </c>
      <c r="X41" s="60">
        <f>MIN('[9]Total 2027 - 2029'!$D41:$AA41)</f>
        <v>9086.3482885183803</v>
      </c>
      <c r="Y41" s="60">
        <f>MIN('[9]Total 2027 - 2029'!$D41:$AA41)</f>
        <v>9086.3482885183803</v>
      </c>
      <c r="Z41" s="60">
        <f>MIN('[9]Total 2027 - 2029'!$D41:$AA41)</f>
        <v>9086.3482885183803</v>
      </c>
      <c r="AA41" s="60">
        <f>MIN('[9]Total 2027 - 2029'!$D41:$AA41)</f>
        <v>9086.3482885183803</v>
      </c>
      <c r="AB41" s="57">
        <f t="shared" ref="AB41:AB74" si="1">SUM(D41:AA41)*C41</f>
        <v>1308434.1535466465</v>
      </c>
      <c r="AC41" s="64"/>
    </row>
    <row r="42" spans="1:29" x14ac:dyDescent="0.25">
      <c r="A42" s="65">
        <v>46784</v>
      </c>
      <c r="B42" s="54" t="s">
        <v>16</v>
      </c>
      <c r="C42" s="55">
        <v>21</v>
      </c>
      <c r="D42" s="60">
        <f>MIN('[9]Total 2027 - 2029'!$D42:$AA42)</f>
        <v>12884.345721243335</v>
      </c>
      <c r="E42" s="60">
        <f>MIN('[9]Total 2027 - 2029'!$D42:$AA42)</f>
        <v>12884.345721243335</v>
      </c>
      <c r="F42" s="60">
        <f>MIN('[9]Total 2027 - 2029'!$D42:$AA42)</f>
        <v>12884.345721243335</v>
      </c>
      <c r="G42" s="60">
        <f>MIN('[9]Total 2027 - 2029'!$D42:$AA42)</f>
        <v>12884.345721243335</v>
      </c>
      <c r="H42" s="60">
        <f>MIN('[9]Total 2027 - 2029'!$D42:$AA42)</f>
        <v>12884.345721243335</v>
      </c>
      <c r="I42" s="60">
        <f>MIN('[9]Total 2027 - 2029'!$D42:$AA42)</f>
        <v>12884.345721243335</v>
      </c>
      <c r="J42" s="60">
        <f>MIN('[9]Total 2027 - 2029'!$D42:$AA42)</f>
        <v>12884.345721243335</v>
      </c>
      <c r="K42" s="60">
        <f>MIN('[9]Total 2027 - 2029'!$D42:$AA42)</f>
        <v>12884.345721243335</v>
      </c>
      <c r="L42" s="60">
        <f>MIN('[9]Total 2027 - 2029'!$D42:$AA42)</f>
        <v>12884.345721243335</v>
      </c>
      <c r="M42" s="60">
        <f>MIN('[9]Total 2027 - 2029'!$D42:$AA42)</f>
        <v>12884.345721243335</v>
      </c>
      <c r="N42" s="60">
        <f>MIN('[9]Total 2027 - 2029'!$D42:$AA42)</f>
        <v>12884.345721243335</v>
      </c>
      <c r="O42" s="60">
        <f>MIN('[9]Total 2027 - 2029'!$D42:$AA42)</f>
        <v>12884.345721243335</v>
      </c>
      <c r="P42" s="60">
        <f>MIN('[9]Total 2027 - 2029'!$D42:$AA42)</f>
        <v>12884.345721243335</v>
      </c>
      <c r="Q42" s="60">
        <f>MIN('[9]Total 2027 - 2029'!$D42:$AA42)</f>
        <v>12884.345721243335</v>
      </c>
      <c r="R42" s="60">
        <f>MIN('[9]Total 2027 - 2029'!$D42:$AA42)</f>
        <v>12884.345721243335</v>
      </c>
      <c r="S42" s="60">
        <f>MIN('[9]Total 2027 - 2029'!$D42:$AA42)</f>
        <v>12884.345721243335</v>
      </c>
      <c r="T42" s="60">
        <f>MIN('[9]Total 2027 - 2029'!$D42:$AA42)</f>
        <v>12884.345721243335</v>
      </c>
      <c r="U42" s="60">
        <f>MIN('[9]Total 2027 - 2029'!$D42:$AA42)</f>
        <v>12884.345721243335</v>
      </c>
      <c r="V42" s="60">
        <f>MIN('[9]Total 2027 - 2029'!$D42:$AA42)</f>
        <v>12884.345721243335</v>
      </c>
      <c r="W42" s="60">
        <f>MIN('[9]Total 2027 - 2029'!$D42:$AA42)</f>
        <v>12884.345721243335</v>
      </c>
      <c r="X42" s="60">
        <f>MIN('[9]Total 2027 - 2029'!$D42:$AA42)</f>
        <v>12884.345721243335</v>
      </c>
      <c r="Y42" s="60">
        <f>MIN('[9]Total 2027 - 2029'!$D42:$AA42)</f>
        <v>12884.345721243335</v>
      </c>
      <c r="Z42" s="60">
        <f>MIN('[9]Total 2027 - 2029'!$D42:$AA42)</f>
        <v>12884.345721243335</v>
      </c>
      <c r="AA42" s="60">
        <f>MIN('[9]Total 2027 - 2029'!$D42:$AA42)</f>
        <v>12884.345721243335</v>
      </c>
      <c r="AB42" s="57">
        <f t="shared" si="1"/>
        <v>6493710.2435066411</v>
      </c>
      <c r="AC42" s="62">
        <f>SUM(AB42:AB44)</f>
        <v>8963494.9022513572</v>
      </c>
    </row>
    <row r="43" spans="1:29" x14ac:dyDescent="0.25">
      <c r="A43" s="66"/>
      <c r="B43" s="59" t="s">
        <v>17</v>
      </c>
      <c r="C43" s="55">
        <v>4</v>
      </c>
      <c r="D43" s="60">
        <f>MIN('[9]Total 2027 - 2029'!$D43:$AA43)</f>
        <v>13031.647543636798</v>
      </c>
      <c r="E43" s="60">
        <f>MIN('[9]Total 2027 - 2029'!$D43:$AA43)</f>
        <v>13031.647543636798</v>
      </c>
      <c r="F43" s="60">
        <f>MIN('[9]Total 2027 - 2029'!$D43:$AA43)</f>
        <v>13031.647543636798</v>
      </c>
      <c r="G43" s="60">
        <f>MIN('[9]Total 2027 - 2029'!$D43:$AA43)</f>
        <v>13031.647543636798</v>
      </c>
      <c r="H43" s="60">
        <f>MIN('[9]Total 2027 - 2029'!$D43:$AA43)</f>
        <v>13031.647543636798</v>
      </c>
      <c r="I43" s="60">
        <f>MIN('[9]Total 2027 - 2029'!$D43:$AA43)</f>
        <v>13031.647543636798</v>
      </c>
      <c r="J43" s="60">
        <f>MIN('[9]Total 2027 - 2029'!$D43:$AA43)</f>
        <v>13031.647543636798</v>
      </c>
      <c r="K43" s="60">
        <f>MIN('[9]Total 2027 - 2029'!$D43:$AA43)</f>
        <v>13031.647543636798</v>
      </c>
      <c r="L43" s="60">
        <f>MIN('[9]Total 2027 - 2029'!$D43:$AA43)</f>
        <v>13031.647543636798</v>
      </c>
      <c r="M43" s="60">
        <f>MIN('[9]Total 2027 - 2029'!$D43:$AA43)</f>
        <v>13031.647543636798</v>
      </c>
      <c r="N43" s="60">
        <f>MIN('[9]Total 2027 - 2029'!$D43:$AA43)</f>
        <v>13031.647543636798</v>
      </c>
      <c r="O43" s="60">
        <f>MIN('[9]Total 2027 - 2029'!$D43:$AA43)</f>
        <v>13031.647543636798</v>
      </c>
      <c r="P43" s="60">
        <f>MIN('[9]Total 2027 - 2029'!$D43:$AA43)</f>
        <v>13031.647543636798</v>
      </c>
      <c r="Q43" s="60">
        <f>MIN('[9]Total 2027 - 2029'!$D43:$AA43)</f>
        <v>13031.647543636798</v>
      </c>
      <c r="R43" s="60">
        <f>MIN('[9]Total 2027 - 2029'!$D43:$AA43)</f>
        <v>13031.647543636798</v>
      </c>
      <c r="S43" s="60">
        <f>MIN('[9]Total 2027 - 2029'!$D43:$AA43)</f>
        <v>13031.647543636798</v>
      </c>
      <c r="T43" s="60">
        <f>MIN('[9]Total 2027 - 2029'!$D43:$AA43)</f>
        <v>13031.647543636798</v>
      </c>
      <c r="U43" s="60">
        <f>MIN('[9]Total 2027 - 2029'!$D43:$AA43)</f>
        <v>13031.647543636798</v>
      </c>
      <c r="V43" s="60">
        <f>MIN('[9]Total 2027 - 2029'!$D43:$AA43)</f>
        <v>13031.647543636798</v>
      </c>
      <c r="W43" s="60">
        <f>MIN('[9]Total 2027 - 2029'!$D43:$AA43)</f>
        <v>13031.647543636798</v>
      </c>
      <c r="X43" s="60">
        <f>MIN('[9]Total 2027 - 2029'!$D43:$AA43)</f>
        <v>13031.647543636798</v>
      </c>
      <c r="Y43" s="60">
        <f>MIN('[9]Total 2027 - 2029'!$D43:$AA43)</f>
        <v>13031.647543636798</v>
      </c>
      <c r="Z43" s="60">
        <f>MIN('[9]Total 2027 - 2029'!$D43:$AA43)</f>
        <v>13031.647543636798</v>
      </c>
      <c r="AA43" s="60">
        <f>MIN('[9]Total 2027 - 2029'!$D43:$AA43)</f>
        <v>13031.647543636798</v>
      </c>
      <c r="AB43" s="57">
        <f t="shared" si="1"/>
        <v>1251038.1641891322</v>
      </c>
      <c r="AC43" s="63"/>
    </row>
    <row r="44" spans="1:29" x14ac:dyDescent="0.25">
      <c r="A44" s="67"/>
      <c r="B44" s="59" t="s">
        <v>18</v>
      </c>
      <c r="C44" s="55">
        <v>4</v>
      </c>
      <c r="D44" s="60">
        <f>MIN('[9]Total 2027 - 2029'!$D44:$AA44)</f>
        <v>12695.275984953994</v>
      </c>
      <c r="E44" s="60">
        <f>MIN('[9]Total 2027 - 2029'!$D44:$AA44)</f>
        <v>12695.275984953994</v>
      </c>
      <c r="F44" s="60">
        <f>MIN('[9]Total 2027 - 2029'!$D44:$AA44)</f>
        <v>12695.275984953994</v>
      </c>
      <c r="G44" s="60">
        <f>MIN('[9]Total 2027 - 2029'!$D44:$AA44)</f>
        <v>12695.275984953994</v>
      </c>
      <c r="H44" s="60">
        <f>MIN('[9]Total 2027 - 2029'!$D44:$AA44)</f>
        <v>12695.275984953994</v>
      </c>
      <c r="I44" s="60">
        <f>MIN('[9]Total 2027 - 2029'!$D44:$AA44)</f>
        <v>12695.275984953994</v>
      </c>
      <c r="J44" s="60">
        <f>MIN('[9]Total 2027 - 2029'!$D44:$AA44)</f>
        <v>12695.275984953994</v>
      </c>
      <c r="K44" s="60">
        <f>MIN('[9]Total 2027 - 2029'!$D44:$AA44)</f>
        <v>12695.275984953994</v>
      </c>
      <c r="L44" s="60">
        <f>MIN('[9]Total 2027 - 2029'!$D44:$AA44)</f>
        <v>12695.275984953994</v>
      </c>
      <c r="M44" s="60">
        <f>MIN('[9]Total 2027 - 2029'!$D44:$AA44)</f>
        <v>12695.275984953994</v>
      </c>
      <c r="N44" s="60">
        <f>MIN('[9]Total 2027 - 2029'!$D44:$AA44)</f>
        <v>12695.275984953994</v>
      </c>
      <c r="O44" s="60">
        <f>MIN('[9]Total 2027 - 2029'!$D44:$AA44)</f>
        <v>12695.275984953994</v>
      </c>
      <c r="P44" s="60">
        <f>MIN('[9]Total 2027 - 2029'!$D44:$AA44)</f>
        <v>12695.275984953994</v>
      </c>
      <c r="Q44" s="60">
        <f>MIN('[9]Total 2027 - 2029'!$D44:$AA44)</f>
        <v>12695.275984953994</v>
      </c>
      <c r="R44" s="60">
        <f>MIN('[9]Total 2027 - 2029'!$D44:$AA44)</f>
        <v>12695.275984953994</v>
      </c>
      <c r="S44" s="60">
        <f>MIN('[9]Total 2027 - 2029'!$D44:$AA44)</f>
        <v>12695.275984953994</v>
      </c>
      <c r="T44" s="60">
        <f>MIN('[9]Total 2027 - 2029'!$D44:$AA44)</f>
        <v>12695.275984953994</v>
      </c>
      <c r="U44" s="60">
        <f>MIN('[9]Total 2027 - 2029'!$D44:$AA44)</f>
        <v>12695.275984953994</v>
      </c>
      <c r="V44" s="60">
        <f>MIN('[9]Total 2027 - 2029'!$D44:$AA44)</f>
        <v>12695.275984953994</v>
      </c>
      <c r="W44" s="60">
        <f>MIN('[9]Total 2027 - 2029'!$D44:$AA44)</f>
        <v>12695.275984953994</v>
      </c>
      <c r="X44" s="60">
        <f>MIN('[9]Total 2027 - 2029'!$D44:$AA44)</f>
        <v>12695.275984953994</v>
      </c>
      <c r="Y44" s="60">
        <f>MIN('[9]Total 2027 - 2029'!$D44:$AA44)</f>
        <v>12695.275984953994</v>
      </c>
      <c r="Z44" s="60">
        <f>MIN('[9]Total 2027 - 2029'!$D44:$AA44)</f>
        <v>12695.275984953994</v>
      </c>
      <c r="AA44" s="60">
        <f>MIN('[9]Total 2027 - 2029'!$D44:$AA44)</f>
        <v>12695.275984953994</v>
      </c>
      <c r="AB44" s="57">
        <f t="shared" si="1"/>
        <v>1218746.4945555835</v>
      </c>
      <c r="AC44" s="64"/>
    </row>
    <row r="45" spans="1:29" x14ac:dyDescent="0.25">
      <c r="A45" s="65">
        <v>46813</v>
      </c>
      <c r="B45" s="54" t="s">
        <v>16</v>
      </c>
      <c r="C45" s="55">
        <v>22</v>
      </c>
      <c r="D45" s="60">
        <f>MIN('[9]Total 2027 - 2029'!$D45:$AA45)</f>
        <v>13497.394120716521</v>
      </c>
      <c r="E45" s="60">
        <f>MIN('[9]Total 2027 - 2029'!$D45:$AA45)</f>
        <v>13497.394120716521</v>
      </c>
      <c r="F45" s="60">
        <f>MIN('[9]Total 2027 - 2029'!$D45:$AA45)</f>
        <v>13497.394120716521</v>
      </c>
      <c r="G45" s="60">
        <f>MIN('[9]Total 2027 - 2029'!$D45:$AA45)</f>
        <v>13497.394120716521</v>
      </c>
      <c r="H45" s="60">
        <f>MIN('[9]Total 2027 - 2029'!$D45:$AA45)</f>
        <v>13497.394120716521</v>
      </c>
      <c r="I45" s="60">
        <f>MIN('[9]Total 2027 - 2029'!$D45:$AA45)</f>
        <v>13497.394120716521</v>
      </c>
      <c r="J45" s="60">
        <f>MIN('[9]Total 2027 - 2029'!$D45:$AA45)</f>
        <v>13497.394120716521</v>
      </c>
      <c r="K45" s="60">
        <f>MIN('[9]Total 2027 - 2029'!$D45:$AA45)</f>
        <v>13497.394120716521</v>
      </c>
      <c r="L45" s="60">
        <f>MIN('[9]Total 2027 - 2029'!$D45:$AA45)</f>
        <v>13497.394120716521</v>
      </c>
      <c r="M45" s="60">
        <f>MIN('[9]Total 2027 - 2029'!$D45:$AA45)</f>
        <v>13497.394120716521</v>
      </c>
      <c r="N45" s="60">
        <f>MIN('[9]Total 2027 - 2029'!$D45:$AA45)</f>
        <v>13497.394120716521</v>
      </c>
      <c r="O45" s="60">
        <f>MIN('[9]Total 2027 - 2029'!$D45:$AA45)</f>
        <v>13497.394120716521</v>
      </c>
      <c r="P45" s="60">
        <f>MIN('[9]Total 2027 - 2029'!$D45:$AA45)</f>
        <v>13497.394120716521</v>
      </c>
      <c r="Q45" s="60">
        <f>MIN('[9]Total 2027 - 2029'!$D45:$AA45)</f>
        <v>13497.394120716521</v>
      </c>
      <c r="R45" s="60">
        <f>MIN('[9]Total 2027 - 2029'!$D45:$AA45)</f>
        <v>13497.394120716521</v>
      </c>
      <c r="S45" s="60">
        <f>MIN('[9]Total 2027 - 2029'!$D45:$AA45)</f>
        <v>13497.394120716521</v>
      </c>
      <c r="T45" s="60">
        <f>MIN('[9]Total 2027 - 2029'!$D45:$AA45)</f>
        <v>13497.394120716521</v>
      </c>
      <c r="U45" s="60">
        <f>MIN('[9]Total 2027 - 2029'!$D45:$AA45)</f>
        <v>13497.394120716521</v>
      </c>
      <c r="V45" s="60">
        <f>MIN('[9]Total 2027 - 2029'!$D45:$AA45)</f>
        <v>13497.394120716521</v>
      </c>
      <c r="W45" s="60">
        <f>MIN('[9]Total 2027 - 2029'!$D45:$AA45)</f>
        <v>13497.394120716521</v>
      </c>
      <c r="X45" s="60">
        <f>MIN('[9]Total 2027 - 2029'!$D45:$AA45)</f>
        <v>13497.394120716521</v>
      </c>
      <c r="Y45" s="60">
        <f>MIN('[9]Total 2027 - 2029'!$D45:$AA45)</f>
        <v>13497.394120716521</v>
      </c>
      <c r="Z45" s="60">
        <f>MIN('[9]Total 2027 - 2029'!$D45:$AA45)</f>
        <v>13497.394120716521</v>
      </c>
      <c r="AA45" s="60">
        <f>MIN('[9]Total 2027 - 2029'!$D45:$AA45)</f>
        <v>13497.394120716521</v>
      </c>
      <c r="AB45" s="57">
        <f t="shared" si="1"/>
        <v>7126624.0957383262</v>
      </c>
      <c r="AC45" s="62">
        <f>SUM(AB45:AB47)</f>
        <v>9995438.4397379626</v>
      </c>
    </row>
    <row r="46" spans="1:29" x14ac:dyDescent="0.25">
      <c r="A46" s="66"/>
      <c r="B46" s="59" t="s">
        <v>17</v>
      </c>
      <c r="C46" s="55">
        <v>4</v>
      </c>
      <c r="D46" s="60">
        <f>MIN('[9]Total 2027 - 2029'!$D46:$AA46)</f>
        <v>13542.459981721766</v>
      </c>
      <c r="E46" s="60">
        <f>MIN('[9]Total 2027 - 2029'!$D46:$AA46)</f>
        <v>13542.459981721766</v>
      </c>
      <c r="F46" s="60">
        <f>MIN('[9]Total 2027 - 2029'!$D46:$AA46)</f>
        <v>13542.459981721766</v>
      </c>
      <c r="G46" s="60">
        <f>MIN('[9]Total 2027 - 2029'!$D46:$AA46)</f>
        <v>13542.459981721766</v>
      </c>
      <c r="H46" s="60">
        <f>MIN('[9]Total 2027 - 2029'!$D46:$AA46)</f>
        <v>13542.459981721766</v>
      </c>
      <c r="I46" s="60">
        <f>MIN('[9]Total 2027 - 2029'!$D46:$AA46)</f>
        <v>13542.459981721766</v>
      </c>
      <c r="J46" s="60">
        <f>MIN('[9]Total 2027 - 2029'!$D46:$AA46)</f>
        <v>13542.459981721766</v>
      </c>
      <c r="K46" s="60">
        <f>MIN('[9]Total 2027 - 2029'!$D46:$AA46)</f>
        <v>13542.459981721766</v>
      </c>
      <c r="L46" s="60">
        <f>MIN('[9]Total 2027 - 2029'!$D46:$AA46)</f>
        <v>13542.459981721766</v>
      </c>
      <c r="M46" s="60">
        <f>MIN('[9]Total 2027 - 2029'!$D46:$AA46)</f>
        <v>13542.459981721766</v>
      </c>
      <c r="N46" s="60">
        <f>MIN('[9]Total 2027 - 2029'!$D46:$AA46)</f>
        <v>13542.459981721766</v>
      </c>
      <c r="O46" s="60">
        <f>MIN('[9]Total 2027 - 2029'!$D46:$AA46)</f>
        <v>13542.459981721766</v>
      </c>
      <c r="P46" s="60">
        <f>MIN('[9]Total 2027 - 2029'!$D46:$AA46)</f>
        <v>13542.459981721766</v>
      </c>
      <c r="Q46" s="60">
        <f>MIN('[9]Total 2027 - 2029'!$D46:$AA46)</f>
        <v>13542.459981721766</v>
      </c>
      <c r="R46" s="60">
        <f>MIN('[9]Total 2027 - 2029'!$D46:$AA46)</f>
        <v>13542.459981721766</v>
      </c>
      <c r="S46" s="60">
        <f>MIN('[9]Total 2027 - 2029'!$D46:$AA46)</f>
        <v>13542.459981721766</v>
      </c>
      <c r="T46" s="60">
        <f>MIN('[9]Total 2027 - 2029'!$D46:$AA46)</f>
        <v>13542.459981721766</v>
      </c>
      <c r="U46" s="60">
        <f>MIN('[9]Total 2027 - 2029'!$D46:$AA46)</f>
        <v>13542.459981721766</v>
      </c>
      <c r="V46" s="60">
        <f>MIN('[9]Total 2027 - 2029'!$D46:$AA46)</f>
        <v>13542.459981721766</v>
      </c>
      <c r="W46" s="60">
        <f>MIN('[9]Total 2027 - 2029'!$D46:$AA46)</f>
        <v>13542.459981721766</v>
      </c>
      <c r="X46" s="60">
        <f>MIN('[9]Total 2027 - 2029'!$D46:$AA46)</f>
        <v>13542.459981721766</v>
      </c>
      <c r="Y46" s="60">
        <f>MIN('[9]Total 2027 - 2029'!$D46:$AA46)</f>
        <v>13542.459981721766</v>
      </c>
      <c r="Z46" s="60">
        <f>MIN('[9]Total 2027 - 2029'!$D46:$AA46)</f>
        <v>13542.459981721766</v>
      </c>
      <c r="AA46" s="60">
        <f>MIN('[9]Total 2027 - 2029'!$D46:$AA46)</f>
        <v>13542.459981721766</v>
      </c>
      <c r="AB46" s="57">
        <f t="shared" si="1"/>
        <v>1300076.1582452895</v>
      </c>
      <c r="AC46" s="63"/>
    </row>
    <row r="47" spans="1:29" x14ac:dyDescent="0.25">
      <c r="A47" s="67"/>
      <c r="B47" s="59" t="s">
        <v>18</v>
      </c>
      <c r="C47" s="55">
        <v>5</v>
      </c>
      <c r="D47" s="60">
        <f>MIN('[9]Total 2027 - 2029'!$D47:$AA47)</f>
        <v>13072.818214619567</v>
      </c>
      <c r="E47" s="60">
        <f>MIN('[9]Total 2027 - 2029'!$D47:$AA47)</f>
        <v>13072.818214619567</v>
      </c>
      <c r="F47" s="60">
        <f>MIN('[9]Total 2027 - 2029'!$D47:$AA47)</f>
        <v>13072.818214619567</v>
      </c>
      <c r="G47" s="60">
        <f>MIN('[9]Total 2027 - 2029'!$D47:$AA47)</f>
        <v>13072.818214619567</v>
      </c>
      <c r="H47" s="60">
        <f>MIN('[9]Total 2027 - 2029'!$D47:$AA47)</f>
        <v>13072.818214619567</v>
      </c>
      <c r="I47" s="60">
        <f>MIN('[9]Total 2027 - 2029'!$D47:$AA47)</f>
        <v>13072.818214619567</v>
      </c>
      <c r="J47" s="60">
        <f>MIN('[9]Total 2027 - 2029'!$D47:$AA47)</f>
        <v>13072.818214619567</v>
      </c>
      <c r="K47" s="60">
        <f>MIN('[9]Total 2027 - 2029'!$D47:$AA47)</f>
        <v>13072.818214619567</v>
      </c>
      <c r="L47" s="60">
        <f>MIN('[9]Total 2027 - 2029'!$D47:$AA47)</f>
        <v>13072.818214619567</v>
      </c>
      <c r="M47" s="60">
        <f>MIN('[9]Total 2027 - 2029'!$D47:$AA47)</f>
        <v>13072.818214619567</v>
      </c>
      <c r="N47" s="60">
        <f>MIN('[9]Total 2027 - 2029'!$D47:$AA47)</f>
        <v>13072.818214619567</v>
      </c>
      <c r="O47" s="60">
        <f>MIN('[9]Total 2027 - 2029'!$D47:$AA47)</f>
        <v>13072.818214619567</v>
      </c>
      <c r="P47" s="60">
        <f>MIN('[9]Total 2027 - 2029'!$D47:$AA47)</f>
        <v>13072.818214619567</v>
      </c>
      <c r="Q47" s="60">
        <f>MIN('[9]Total 2027 - 2029'!$D47:$AA47)</f>
        <v>13072.818214619567</v>
      </c>
      <c r="R47" s="60">
        <f>MIN('[9]Total 2027 - 2029'!$D47:$AA47)</f>
        <v>13072.818214619567</v>
      </c>
      <c r="S47" s="60">
        <f>MIN('[9]Total 2027 - 2029'!$D47:$AA47)</f>
        <v>13072.818214619567</v>
      </c>
      <c r="T47" s="60">
        <f>MIN('[9]Total 2027 - 2029'!$D47:$AA47)</f>
        <v>13072.818214619567</v>
      </c>
      <c r="U47" s="60">
        <f>MIN('[9]Total 2027 - 2029'!$D47:$AA47)</f>
        <v>13072.818214619567</v>
      </c>
      <c r="V47" s="60">
        <f>MIN('[9]Total 2027 - 2029'!$D47:$AA47)</f>
        <v>13072.818214619567</v>
      </c>
      <c r="W47" s="60">
        <f>MIN('[9]Total 2027 - 2029'!$D47:$AA47)</f>
        <v>13072.818214619567</v>
      </c>
      <c r="X47" s="60">
        <f>MIN('[9]Total 2027 - 2029'!$D47:$AA47)</f>
        <v>13072.818214619567</v>
      </c>
      <c r="Y47" s="60">
        <f>MIN('[9]Total 2027 - 2029'!$D47:$AA47)</f>
        <v>13072.818214619567</v>
      </c>
      <c r="Z47" s="60">
        <f>MIN('[9]Total 2027 - 2029'!$D47:$AA47)</f>
        <v>13072.818214619567</v>
      </c>
      <c r="AA47" s="60">
        <f>MIN('[9]Total 2027 - 2029'!$D47:$AA47)</f>
        <v>13072.818214619567</v>
      </c>
      <c r="AB47" s="57">
        <f t="shared" si="1"/>
        <v>1568738.1857543481</v>
      </c>
      <c r="AC47" s="64"/>
    </row>
    <row r="48" spans="1:29" x14ac:dyDescent="0.25">
      <c r="A48" s="65">
        <v>46844</v>
      </c>
      <c r="B48" s="54" t="s">
        <v>16</v>
      </c>
      <c r="C48" s="55">
        <v>18</v>
      </c>
      <c r="D48" s="60">
        <f>MIN('[9]Total 2027 - 2029'!$D48:$AA48)</f>
        <v>12225.948828247041</v>
      </c>
      <c r="E48" s="60">
        <f>MIN('[9]Total 2027 - 2029'!$D48:$AA48)</f>
        <v>12225.948828247041</v>
      </c>
      <c r="F48" s="60">
        <f>MIN('[9]Total 2027 - 2029'!$D48:$AA48)</f>
        <v>12225.948828247041</v>
      </c>
      <c r="G48" s="60">
        <f>MIN('[9]Total 2027 - 2029'!$D48:$AA48)</f>
        <v>12225.948828247041</v>
      </c>
      <c r="H48" s="60">
        <f>MIN('[9]Total 2027 - 2029'!$D48:$AA48)</f>
        <v>12225.948828247041</v>
      </c>
      <c r="I48" s="60">
        <f>MIN('[9]Total 2027 - 2029'!$D48:$AA48)</f>
        <v>12225.948828247041</v>
      </c>
      <c r="J48" s="60">
        <f>MIN('[9]Total 2027 - 2029'!$D48:$AA48)</f>
        <v>12225.948828247041</v>
      </c>
      <c r="K48" s="60">
        <f>MIN('[9]Total 2027 - 2029'!$D48:$AA48)</f>
        <v>12225.948828247041</v>
      </c>
      <c r="L48" s="60">
        <f>MIN('[9]Total 2027 - 2029'!$D48:$AA48)</f>
        <v>12225.948828247041</v>
      </c>
      <c r="M48" s="60">
        <f>MIN('[9]Total 2027 - 2029'!$D48:$AA48)</f>
        <v>12225.948828247041</v>
      </c>
      <c r="N48" s="60">
        <f>MIN('[9]Total 2027 - 2029'!$D48:$AA48)</f>
        <v>12225.948828247041</v>
      </c>
      <c r="O48" s="60">
        <f>MIN('[9]Total 2027 - 2029'!$D48:$AA48)</f>
        <v>12225.948828247041</v>
      </c>
      <c r="P48" s="60">
        <f>MIN('[9]Total 2027 - 2029'!$D48:$AA48)</f>
        <v>12225.948828247041</v>
      </c>
      <c r="Q48" s="60">
        <f>MIN('[9]Total 2027 - 2029'!$D48:$AA48)</f>
        <v>12225.948828247041</v>
      </c>
      <c r="R48" s="60">
        <f>MIN('[9]Total 2027 - 2029'!$D48:$AA48)</f>
        <v>12225.948828247041</v>
      </c>
      <c r="S48" s="60">
        <f>MIN('[9]Total 2027 - 2029'!$D48:$AA48)</f>
        <v>12225.948828247041</v>
      </c>
      <c r="T48" s="60">
        <f>MIN('[9]Total 2027 - 2029'!$D48:$AA48)</f>
        <v>12225.948828247041</v>
      </c>
      <c r="U48" s="60">
        <f>MIN('[9]Total 2027 - 2029'!$D48:$AA48)</f>
        <v>12225.948828247041</v>
      </c>
      <c r="V48" s="60">
        <f>MIN('[9]Total 2027 - 2029'!$D48:$AA48)</f>
        <v>12225.948828247041</v>
      </c>
      <c r="W48" s="60">
        <f>MIN('[9]Total 2027 - 2029'!$D48:$AA48)</f>
        <v>12225.948828247041</v>
      </c>
      <c r="X48" s="60">
        <f>MIN('[9]Total 2027 - 2029'!$D48:$AA48)</f>
        <v>12225.948828247041</v>
      </c>
      <c r="Y48" s="60">
        <f>MIN('[9]Total 2027 - 2029'!$D48:$AA48)</f>
        <v>12225.948828247041</v>
      </c>
      <c r="Z48" s="60">
        <f>MIN('[9]Total 2027 - 2029'!$D48:$AA48)</f>
        <v>12225.948828247041</v>
      </c>
      <c r="AA48" s="60">
        <f>MIN('[9]Total 2027 - 2029'!$D48:$AA48)</f>
        <v>12225.948828247041</v>
      </c>
      <c r="AB48" s="57">
        <f t="shared" si="1"/>
        <v>5281609.8938027183</v>
      </c>
      <c r="AC48" s="62">
        <f>SUM(AB48:AB50)</f>
        <v>8724405.8409821615</v>
      </c>
    </row>
    <row r="49" spans="1:29" x14ac:dyDescent="0.25">
      <c r="A49" s="66"/>
      <c r="B49" s="59" t="s">
        <v>17</v>
      </c>
      <c r="C49" s="55">
        <v>5</v>
      </c>
      <c r="D49" s="60">
        <f>MIN('[9]Total 2027 - 2029'!$D49:$AA49)</f>
        <v>11378.743856882913</v>
      </c>
      <c r="E49" s="60">
        <f>MIN('[9]Total 2027 - 2029'!$D49:$AA49)</f>
        <v>11378.743856882913</v>
      </c>
      <c r="F49" s="60">
        <f>MIN('[9]Total 2027 - 2029'!$D49:$AA49)</f>
        <v>11378.743856882913</v>
      </c>
      <c r="G49" s="60">
        <f>MIN('[9]Total 2027 - 2029'!$D49:$AA49)</f>
        <v>11378.743856882913</v>
      </c>
      <c r="H49" s="60">
        <f>MIN('[9]Total 2027 - 2029'!$D49:$AA49)</f>
        <v>11378.743856882913</v>
      </c>
      <c r="I49" s="60">
        <f>MIN('[9]Total 2027 - 2029'!$D49:$AA49)</f>
        <v>11378.743856882913</v>
      </c>
      <c r="J49" s="60">
        <f>MIN('[9]Total 2027 - 2029'!$D49:$AA49)</f>
        <v>11378.743856882913</v>
      </c>
      <c r="K49" s="60">
        <f>MIN('[9]Total 2027 - 2029'!$D49:$AA49)</f>
        <v>11378.743856882913</v>
      </c>
      <c r="L49" s="60">
        <f>MIN('[9]Total 2027 - 2029'!$D49:$AA49)</f>
        <v>11378.743856882913</v>
      </c>
      <c r="M49" s="60">
        <f>MIN('[9]Total 2027 - 2029'!$D49:$AA49)</f>
        <v>11378.743856882913</v>
      </c>
      <c r="N49" s="60">
        <f>MIN('[9]Total 2027 - 2029'!$D49:$AA49)</f>
        <v>11378.743856882913</v>
      </c>
      <c r="O49" s="60">
        <f>MIN('[9]Total 2027 - 2029'!$D49:$AA49)</f>
        <v>11378.743856882913</v>
      </c>
      <c r="P49" s="60">
        <f>MIN('[9]Total 2027 - 2029'!$D49:$AA49)</f>
        <v>11378.743856882913</v>
      </c>
      <c r="Q49" s="60">
        <f>MIN('[9]Total 2027 - 2029'!$D49:$AA49)</f>
        <v>11378.743856882913</v>
      </c>
      <c r="R49" s="60">
        <f>MIN('[9]Total 2027 - 2029'!$D49:$AA49)</f>
        <v>11378.743856882913</v>
      </c>
      <c r="S49" s="60">
        <f>MIN('[9]Total 2027 - 2029'!$D49:$AA49)</f>
        <v>11378.743856882913</v>
      </c>
      <c r="T49" s="60">
        <f>MIN('[9]Total 2027 - 2029'!$D49:$AA49)</f>
        <v>11378.743856882913</v>
      </c>
      <c r="U49" s="60">
        <f>MIN('[9]Total 2027 - 2029'!$D49:$AA49)</f>
        <v>11378.743856882913</v>
      </c>
      <c r="V49" s="60">
        <f>MIN('[9]Total 2027 - 2029'!$D49:$AA49)</f>
        <v>11378.743856882913</v>
      </c>
      <c r="W49" s="60">
        <f>MIN('[9]Total 2027 - 2029'!$D49:$AA49)</f>
        <v>11378.743856882913</v>
      </c>
      <c r="X49" s="60">
        <f>MIN('[9]Total 2027 - 2029'!$D49:$AA49)</f>
        <v>11378.743856882913</v>
      </c>
      <c r="Y49" s="60">
        <f>MIN('[9]Total 2027 - 2029'!$D49:$AA49)</f>
        <v>11378.743856882913</v>
      </c>
      <c r="Z49" s="60">
        <f>MIN('[9]Total 2027 - 2029'!$D49:$AA49)</f>
        <v>11378.743856882913</v>
      </c>
      <c r="AA49" s="60">
        <f>MIN('[9]Total 2027 - 2029'!$D49:$AA49)</f>
        <v>11378.743856882913</v>
      </c>
      <c r="AB49" s="57">
        <f t="shared" si="1"/>
        <v>1365449.2628259494</v>
      </c>
      <c r="AC49" s="63"/>
    </row>
    <row r="50" spans="1:29" x14ac:dyDescent="0.25">
      <c r="A50" s="67"/>
      <c r="B50" s="59" t="s">
        <v>18</v>
      </c>
      <c r="C50" s="55">
        <v>7</v>
      </c>
      <c r="D50" s="60">
        <f>MIN('[9]Total 2027 - 2029'!$D50:$AA50)</f>
        <v>12365.158835437469</v>
      </c>
      <c r="E50" s="60">
        <f>MIN('[9]Total 2027 - 2029'!$D50:$AA50)</f>
        <v>12365.158835437469</v>
      </c>
      <c r="F50" s="60">
        <f>MIN('[9]Total 2027 - 2029'!$D50:$AA50)</f>
        <v>12365.158835437469</v>
      </c>
      <c r="G50" s="60">
        <f>MIN('[9]Total 2027 - 2029'!$D50:$AA50)</f>
        <v>12365.158835437469</v>
      </c>
      <c r="H50" s="60">
        <f>MIN('[9]Total 2027 - 2029'!$D50:$AA50)</f>
        <v>12365.158835437469</v>
      </c>
      <c r="I50" s="60">
        <f>MIN('[9]Total 2027 - 2029'!$D50:$AA50)</f>
        <v>12365.158835437469</v>
      </c>
      <c r="J50" s="60">
        <f>MIN('[9]Total 2027 - 2029'!$D50:$AA50)</f>
        <v>12365.158835437469</v>
      </c>
      <c r="K50" s="60">
        <f>MIN('[9]Total 2027 - 2029'!$D50:$AA50)</f>
        <v>12365.158835437469</v>
      </c>
      <c r="L50" s="60">
        <f>MIN('[9]Total 2027 - 2029'!$D50:$AA50)</f>
        <v>12365.158835437469</v>
      </c>
      <c r="M50" s="60">
        <f>MIN('[9]Total 2027 - 2029'!$D50:$AA50)</f>
        <v>12365.158835437469</v>
      </c>
      <c r="N50" s="60">
        <f>MIN('[9]Total 2027 - 2029'!$D50:$AA50)</f>
        <v>12365.158835437469</v>
      </c>
      <c r="O50" s="60">
        <f>MIN('[9]Total 2027 - 2029'!$D50:$AA50)</f>
        <v>12365.158835437469</v>
      </c>
      <c r="P50" s="60">
        <f>MIN('[9]Total 2027 - 2029'!$D50:$AA50)</f>
        <v>12365.158835437469</v>
      </c>
      <c r="Q50" s="60">
        <f>MIN('[9]Total 2027 - 2029'!$D50:$AA50)</f>
        <v>12365.158835437469</v>
      </c>
      <c r="R50" s="60">
        <f>MIN('[9]Total 2027 - 2029'!$D50:$AA50)</f>
        <v>12365.158835437469</v>
      </c>
      <c r="S50" s="60">
        <f>MIN('[9]Total 2027 - 2029'!$D50:$AA50)</f>
        <v>12365.158835437469</v>
      </c>
      <c r="T50" s="60">
        <f>MIN('[9]Total 2027 - 2029'!$D50:$AA50)</f>
        <v>12365.158835437469</v>
      </c>
      <c r="U50" s="60">
        <f>MIN('[9]Total 2027 - 2029'!$D50:$AA50)</f>
        <v>12365.158835437469</v>
      </c>
      <c r="V50" s="60">
        <f>MIN('[9]Total 2027 - 2029'!$D50:$AA50)</f>
        <v>12365.158835437469</v>
      </c>
      <c r="W50" s="60">
        <f>MIN('[9]Total 2027 - 2029'!$D50:$AA50)</f>
        <v>12365.158835437469</v>
      </c>
      <c r="X50" s="60">
        <f>MIN('[9]Total 2027 - 2029'!$D50:$AA50)</f>
        <v>12365.158835437469</v>
      </c>
      <c r="Y50" s="60">
        <f>MIN('[9]Total 2027 - 2029'!$D50:$AA50)</f>
        <v>12365.158835437469</v>
      </c>
      <c r="Z50" s="60">
        <f>MIN('[9]Total 2027 - 2029'!$D50:$AA50)</f>
        <v>12365.158835437469</v>
      </c>
      <c r="AA50" s="60">
        <f>MIN('[9]Total 2027 - 2029'!$D50:$AA50)</f>
        <v>12365.158835437469</v>
      </c>
      <c r="AB50" s="57">
        <f t="shared" si="1"/>
        <v>2077346.6843534948</v>
      </c>
      <c r="AC50" s="64"/>
    </row>
    <row r="51" spans="1:29" x14ac:dyDescent="0.25">
      <c r="A51" s="65">
        <v>46874</v>
      </c>
      <c r="B51" s="54" t="s">
        <v>16</v>
      </c>
      <c r="C51" s="55">
        <v>21</v>
      </c>
      <c r="D51" s="60">
        <f>MIN('[9]Total 2027 - 2029'!$D51:$AA51)</f>
        <v>9344.5203545025488</v>
      </c>
      <c r="E51" s="60">
        <f>MIN('[9]Total 2027 - 2029'!$D51:$AA51)</f>
        <v>9344.5203545025488</v>
      </c>
      <c r="F51" s="60">
        <f>MIN('[9]Total 2027 - 2029'!$D51:$AA51)</f>
        <v>9344.5203545025488</v>
      </c>
      <c r="G51" s="60">
        <f>MIN('[9]Total 2027 - 2029'!$D51:$AA51)</f>
        <v>9344.5203545025488</v>
      </c>
      <c r="H51" s="60">
        <f>MIN('[9]Total 2027 - 2029'!$D51:$AA51)</f>
        <v>9344.5203545025488</v>
      </c>
      <c r="I51" s="60">
        <f>MIN('[9]Total 2027 - 2029'!$D51:$AA51)</f>
        <v>9344.5203545025488</v>
      </c>
      <c r="J51" s="60">
        <f>MIN('[9]Total 2027 - 2029'!$D51:$AA51)</f>
        <v>9344.5203545025488</v>
      </c>
      <c r="K51" s="60">
        <f>MIN('[9]Total 2027 - 2029'!$D51:$AA51)</f>
        <v>9344.5203545025488</v>
      </c>
      <c r="L51" s="60">
        <f>MIN('[9]Total 2027 - 2029'!$D51:$AA51)</f>
        <v>9344.5203545025488</v>
      </c>
      <c r="M51" s="60">
        <f>MIN('[9]Total 2027 - 2029'!$D51:$AA51)</f>
        <v>9344.5203545025488</v>
      </c>
      <c r="N51" s="60">
        <f>MIN('[9]Total 2027 - 2029'!$D51:$AA51)</f>
        <v>9344.5203545025488</v>
      </c>
      <c r="O51" s="60">
        <f>MIN('[9]Total 2027 - 2029'!$D51:$AA51)</f>
        <v>9344.5203545025488</v>
      </c>
      <c r="P51" s="60">
        <f>MIN('[9]Total 2027 - 2029'!$D51:$AA51)</f>
        <v>9344.5203545025488</v>
      </c>
      <c r="Q51" s="60">
        <f>MIN('[9]Total 2027 - 2029'!$D51:$AA51)</f>
        <v>9344.5203545025488</v>
      </c>
      <c r="R51" s="60">
        <f>MIN('[9]Total 2027 - 2029'!$D51:$AA51)</f>
        <v>9344.5203545025488</v>
      </c>
      <c r="S51" s="60">
        <f>MIN('[9]Total 2027 - 2029'!$D51:$AA51)</f>
        <v>9344.5203545025488</v>
      </c>
      <c r="T51" s="60">
        <f>MIN('[9]Total 2027 - 2029'!$D51:$AA51)</f>
        <v>9344.5203545025488</v>
      </c>
      <c r="U51" s="60">
        <f>MIN('[9]Total 2027 - 2029'!$D51:$AA51)</f>
        <v>9344.5203545025488</v>
      </c>
      <c r="V51" s="60">
        <f>MIN('[9]Total 2027 - 2029'!$D51:$AA51)</f>
        <v>9344.5203545025488</v>
      </c>
      <c r="W51" s="60">
        <f>MIN('[9]Total 2027 - 2029'!$D51:$AA51)</f>
        <v>9344.5203545025488</v>
      </c>
      <c r="X51" s="60">
        <f>MIN('[9]Total 2027 - 2029'!$D51:$AA51)</f>
        <v>9344.5203545025488</v>
      </c>
      <c r="Y51" s="60">
        <f>MIN('[9]Total 2027 - 2029'!$D51:$AA51)</f>
        <v>9344.5203545025488</v>
      </c>
      <c r="Z51" s="60">
        <f>MIN('[9]Total 2027 - 2029'!$D51:$AA51)</f>
        <v>9344.5203545025488</v>
      </c>
      <c r="AA51" s="60">
        <f>MIN('[9]Total 2027 - 2029'!$D51:$AA51)</f>
        <v>9344.5203545025488</v>
      </c>
      <c r="AB51" s="57">
        <f t="shared" si="1"/>
        <v>4709638.2586692832</v>
      </c>
      <c r="AC51" s="62">
        <f>SUM(AB51:AB53)</f>
        <v>6888386.8468657695</v>
      </c>
    </row>
    <row r="52" spans="1:29" x14ac:dyDescent="0.25">
      <c r="A52" s="66"/>
      <c r="B52" s="59" t="s">
        <v>17</v>
      </c>
      <c r="C52" s="55">
        <v>4</v>
      </c>
      <c r="D52" s="60">
        <f>MIN('[9]Total 2027 - 2029'!$D52:$AA52)</f>
        <v>9524.7783852032553</v>
      </c>
      <c r="E52" s="60">
        <f>MIN('[9]Total 2027 - 2029'!$D52:$AA52)</f>
        <v>9524.7783852032553</v>
      </c>
      <c r="F52" s="60">
        <f>MIN('[9]Total 2027 - 2029'!$D52:$AA52)</f>
        <v>9524.7783852032553</v>
      </c>
      <c r="G52" s="60">
        <f>MIN('[9]Total 2027 - 2029'!$D52:$AA52)</f>
        <v>9524.7783852032553</v>
      </c>
      <c r="H52" s="60">
        <f>MIN('[9]Total 2027 - 2029'!$D52:$AA52)</f>
        <v>9524.7783852032553</v>
      </c>
      <c r="I52" s="60">
        <f>MIN('[9]Total 2027 - 2029'!$D52:$AA52)</f>
        <v>9524.7783852032553</v>
      </c>
      <c r="J52" s="60">
        <f>MIN('[9]Total 2027 - 2029'!$D52:$AA52)</f>
        <v>9524.7783852032553</v>
      </c>
      <c r="K52" s="60">
        <f>MIN('[9]Total 2027 - 2029'!$D52:$AA52)</f>
        <v>9524.7783852032553</v>
      </c>
      <c r="L52" s="60">
        <f>MIN('[9]Total 2027 - 2029'!$D52:$AA52)</f>
        <v>9524.7783852032553</v>
      </c>
      <c r="M52" s="60">
        <f>MIN('[9]Total 2027 - 2029'!$D52:$AA52)</f>
        <v>9524.7783852032553</v>
      </c>
      <c r="N52" s="60">
        <f>MIN('[9]Total 2027 - 2029'!$D52:$AA52)</f>
        <v>9524.7783852032553</v>
      </c>
      <c r="O52" s="60">
        <f>MIN('[9]Total 2027 - 2029'!$D52:$AA52)</f>
        <v>9524.7783852032553</v>
      </c>
      <c r="P52" s="60">
        <f>MIN('[9]Total 2027 - 2029'!$D52:$AA52)</f>
        <v>9524.7783852032553</v>
      </c>
      <c r="Q52" s="60">
        <f>MIN('[9]Total 2027 - 2029'!$D52:$AA52)</f>
        <v>9524.7783852032553</v>
      </c>
      <c r="R52" s="60">
        <f>MIN('[9]Total 2027 - 2029'!$D52:$AA52)</f>
        <v>9524.7783852032553</v>
      </c>
      <c r="S52" s="60">
        <f>MIN('[9]Total 2027 - 2029'!$D52:$AA52)</f>
        <v>9524.7783852032553</v>
      </c>
      <c r="T52" s="60">
        <f>MIN('[9]Total 2027 - 2029'!$D52:$AA52)</f>
        <v>9524.7783852032553</v>
      </c>
      <c r="U52" s="60">
        <f>MIN('[9]Total 2027 - 2029'!$D52:$AA52)</f>
        <v>9524.7783852032553</v>
      </c>
      <c r="V52" s="60">
        <f>MIN('[9]Total 2027 - 2029'!$D52:$AA52)</f>
        <v>9524.7783852032553</v>
      </c>
      <c r="W52" s="60">
        <f>MIN('[9]Total 2027 - 2029'!$D52:$AA52)</f>
        <v>9524.7783852032553</v>
      </c>
      <c r="X52" s="60">
        <f>MIN('[9]Total 2027 - 2029'!$D52:$AA52)</f>
        <v>9524.7783852032553</v>
      </c>
      <c r="Y52" s="60">
        <f>MIN('[9]Total 2027 - 2029'!$D52:$AA52)</f>
        <v>9524.7783852032553</v>
      </c>
      <c r="Z52" s="60">
        <f>MIN('[9]Total 2027 - 2029'!$D52:$AA52)</f>
        <v>9524.7783852032553</v>
      </c>
      <c r="AA52" s="60">
        <f>MIN('[9]Total 2027 - 2029'!$D52:$AA52)</f>
        <v>9524.7783852032553</v>
      </c>
      <c r="AB52" s="57">
        <f t="shared" si="1"/>
        <v>914378.72497951216</v>
      </c>
      <c r="AC52" s="63"/>
    </row>
    <row r="53" spans="1:29" x14ac:dyDescent="0.25">
      <c r="A53" s="67"/>
      <c r="B53" s="59" t="s">
        <v>18</v>
      </c>
      <c r="C53" s="55">
        <v>6</v>
      </c>
      <c r="D53" s="60">
        <f>MIN('[9]Total 2027 - 2029'!$D53:$AA53)</f>
        <v>8780.3462723400971</v>
      </c>
      <c r="E53" s="60">
        <f>MIN('[9]Total 2027 - 2029'!$D53:$AA53)</f>
        <v>8780.3462723400971</v>
      </c>
      <c r="F53" s="60">
        <f>MIN('[9]Total 2027 - 2029'!$D53:$AA53)</f>
        <v>8780.3462723400971</v>
      </c>
      <c r="G53" s="60">
        <f>MIN('[9]Total 2027 - 2029'!$D53:$AA53)</f>
        <v>8780.3462723400971</v>
      </c>
      <c r="H53" s="60">
        <f>MIN('[9]Total 2027 - 2029'!$D53:$AA53)</f>
        <v>8780.3462723400971</v>
      </c>
      <c r="I53" s="60">
        <f>MIN('[9]Total 2027 - 2029'!$D53:$AA53)</f>
        <v>8780.3462723400971</v>
      </c>
      <c r="J53" s="60">
        <f>MIN('[9]Total 2027 - 2029'!$D53:$AA53)</f>
        <v>8780.3462723400971</v>
      </c>
      <c r="K53" s="60">
        <f>MIN('[9]Total 2027 - 2029'!$D53:$AA53)</f>
        <v>8780.3462723400971</v>
      </c>
      <c r="L53" s="60">
        <f>MIN('[9]Total 2027 - 2029'!$D53:$AA53)</f>
        <v>8780.3462723400971</v>
      </c>
      <c r="M53" s="60">
        <f>MIN('[9]Total 2027 - 2029'!$D53:$AA53)</f>
        <v>8780.3462723400971</v>
      </c>
      <c r="N53" s="60">
        <f>MIN('[9]Total 2027 - 2029'!$D53:$AA53)</f>
        <v>8780.3462723400971</v>
      </c>
      <c r="O53" s="60">
        <f>MIN('[9]Total 2027 - 2029'!$D53:$AA53)</f>
        <v>8780.3462723400971</v>
      </c>
      <c r="P53" s="60">
        <f>MIN('[9]Total 2027 - 2029'!$D53:$AA53)</f>
        <v>8780.3462723400971</v>
      </c>
      <c r="Q53" s="60">
        <f>MIN('[9]Total 2027 - 2029'!$D53:$AA53)</f>
        <v>8780.3462723400971</v>
      </c>
      <c r="R53" s="60">
        <f>MIN('[9]Total 2027 - 2029'!$D53:$AA53)</f>
        <v>8780.3462723400971</v>
      </c>
      <c r="S53" s="60">
        <f>MIN('[9]Total 2027 - 2029'!$D53:$AA53)</f>
        <v>8780.3462723400971</v>
      </c>
      <c r="T53" s="60">
        <f>MIN('[9]Total 2027 - 2029'!$D53:$AA53)</f>
        <v>8780.3462723400971</v>
      </c>
      <c r="U53" s="60">
        <f>MIN('[9]Total 2027 - 2029'!$D53:$AA53)</f>
        <v>8780.3462723400971</v>
      </c>
      <c r="V53" s="60">
        <f>MIN('[9]Total 2027 - 2029'!$D53:$AA53)</f>
        <v>8780.3462723400971</v>
      </c>
      <c r="W53" s="60">
        <f>MIN('[9]Total 2027 - 2029'!$D53:$AA53)</f>
        <v>8780.3462723400971</v>
      </c>
      <c r="X53" s="60">
        <f>MIN('[9]Total 2027 - 2029'!$D53:$AA53)</f>
        <v>8780.3462723400971</v>
      </c>
      <c r="Y53" s="60">
        <f>MIN('[9]Total 2027 - 2029'!$D53:$AA53)</f>
        <v>8780.3462723400971</v>
      </c>
      <c r="Z53" s="60">
        <f>MIN('[9]Total 2027 - 2029'!$D53:$AA53)</f>
        <v>8780.3462723400971</v>
      </c>
      <c r="AA53" s="60">
        <f>MIN('[9]Total 2027 - 2029'!$D53:$AA53)</f>
        <v>8780.3462723400971</v>
      </c>
      <c r="AB53" s="57">
        <f t="shared" si="1"/>
        <v>1264369.8632169743</v>
      </c>
      <c r="AC53" s="64"/>
    </row>
    <row r="54" spans="1:29" x14ac:dyDescent="0.25">
      <c r="A54" s="65">
        <v>46905</v>
      </c>
      <c r="B54" s="54" t="s">
        <v>16</v>
      </c>
      <c r="C54" s="55">
        <v>20</v>
      </c>
      <c r="D54" s="60">
        <f>MIN('[9]Total 2027 - 2029'!$D54:$AA54)</f>
        <v>7856.9621130456608</v>
      </c>
      <c r="E54" s="60">
        <f>MIN('[9]Total 2027 - 2029'!$D54:$AA54)</f>
        <v>7856.9621130456608</v>
      </c>
      <c r="F54" s="60">
        <f>MIN('[9]Total 2027 - 2029'!$D54:$AA54)</f>
        <v>7856.9621130456608</v>
      </c>
      <c r="G54" s="60">
        <f>MIN('[9]Total 2027 - 2029'!$D54:$AA54)</f>
        <v>7856.9621130456608</v>
      </c>
      <c r="H54" s="60">
        <f>MIN('[9]Total 2027 - 2029'!$D54:$AA54)</f>
        <v>7856.9621130456608</v>
      </c>
      <c r="I54" s="60">
        <f>MIN('[9]Total 2027 - 2029'!$D54:$AA54)</f>
        <v>7856.9621130456608</v>
      </c>
      <c r="J54" s="60">
        <f>MIN('[9]Total 2027 - 2029'!$D54:$AA54)</f>
        <v>7856.9621130456608</v>
      </c>
      <c r="K54" s="60">
        <f>MIN('[9]Total 2027 - 2029'!$D54:$AA54)</f>
        <v>7856.9621130456608</v>
      </c>
      <c r="L54" s="60">
        <f>MIN('[9]Total 2027 - 2029'!$D54:$AA54)</f>
        <v>7856.9621130456608</v>
      </c>
      <c r="M54" s="60">
        <f>MIN('[9]Total 2027 - 2029'!$D54:$AA54)</f>
        <v>7856.9621130456608</v>
      </c>
      <c r="N54" s="60">
        <f>MIN('[9]Total 2027 - 2029'!$D54:$AA54)</f>
        <v>7856.9621130456608</v>
      </c>
      <c r="O54" s="60">
        <f>MIN('[9]Total 2027 - 2029'!$D54:$AA54)</f>
        <v>7856.9621130456608</v>
      </c>
      <c r="P54" s="60">
        <f>MIN('[9]Total 2027 - 2029'!$D54:$AA54)</f>
        <v>7856.9621130456608</v>
      </c>
      <c r="Q54" s="60">
        <f>MIN('[9]Total 2027 - 2029'!$D54:$AA54)</f>
        <v>7856.9621130456608</v>
      </c>
      <c r="R54" s="60">
        <f>MIN('[9]Total 2027 - 2029'!$D54:$AA54)</f>
        <v>7856.9621130456608</v>
      </c>
      <c r="S54" s="60">
        <f>MIN('[9]Total 2027 - 2029'!$D54:$AA54)</f>
        <v>7856.9621130456608</v>
      </c>
      <c r="T54" s="60">
        <f>MIN('[9]Total 2027 - 2029'!$D54:$AA54)</f>
        <v>7856.9621130456608</v>
      </c>
      <c r="U54" s="60">
        <f>MIN('[9]Total 2027 - 2029'!$D54:$AA54)</f>
        <v>7856.9621130456608</v>
      </c>
      <c r="V54" s="60">
        <f>MIN('[9]Total 2027 - 2029'!$D54:$AA54)</f>
        <v>7856.9621130456608</v>
      </c>
      <c r="W54" s="60">
        <f>MIN('[9]Total 2027 - 2029'!$D54:$AA54)</f>
        <v>7856.9621130456608</v>
      </c>
      <c r="X54" s="60">
        <f>MIN('[9]Total 2027 - 2029'!$D54:$AA54)</f>
        <v>7856.9621130456608</v>
      </c>
      <c r="Y54" s="60">
        <f>MIN('[9]Total 2027 - 2029'!$D54:$AA54)</f>
        <v>7856.9621130456608</v>
      </c>
      <c r="Z54" s="60">
        <f>MIN('[9]Total 2027 - 2029'!$D54:$AA54)</f>
        <v>7856.9621130456608</v>
      </c>
      <c r="AA54" s="60">
        <f>MIN('[9]Total 2027 - 2029'!$D54:$AA54)</f>
        <v>7856.9621130456608</v>
      </c>
      <c r="AB54" s="57">
        <f t="shared" si="1"/>
        <v>3771341.8142619166</v>
      </c>
      <c r="AC54" s="62">
        <f>SUM(AB54:AB56)</f>
        <v>5593215.3894080501</v>
      </c>
    </row>
    <row r="55" spans="1:29" x14ac:dyDescent="0.25">
      <c r="A55" s="66"/>
      <c r="B55" s="59" t="s">
        <v>17</v>
      </c>
      <c r="C55" s="55">
        <v>4</v>
      </c>
      <c r="D55" s="60">
        <f>MIN('[9]Total 2027 - 2029'!$D55:$AA55)</f>
        <v>7887.5247758388623</v>
      </c>
      <c r="E55" s="60">
        <f>MIN('[9]Total 2027 - 2029'!$D55:$AA55)</f>
        <v>7887.5247758388623</v>
      </c>
      <c r="F55" s="60">
        <f>MIN('[9]Total 2027 - 2029'!$D55:$AA55)</f>
        <v>7887.5247758388623</v>
      </c>
      <c r="G55" s="60">
        <f>MIN('[9]Total 2027 - 2029'!$D55:$AA55)</f>
        <v>7887.5247758388623</v>
      </c>
      <c r="H55" s="60">
        <f>MIN('[9]Total 2027 - 2029'!$D55:$AA55)</f>
        <v>7887.5247758388623</v>
      </c>
      <c r="I55" s="60">
        <f>MIN('[9]Total 2027 - 2029'!$D55:$AA55)</f>
        <v>7887.5247758388623</v>
      </c>
      <c r="J55" s="60">
        <f>MIN('[9]Total 2027 - 2029'!$D55:$AA55)</f>
        <v>7887.5247758388623</v>
      </c>
      <c r="K55" s="60">
        <f>MIN('[9]Total 2027 - 2029'!$D55:$AA55)</f>
        <v>7887.5247758388623</v>
      </c>
      <c r="L55" s="60">
        <f>MIN('[9]Total 2027 - 2029'!$D55:$AA55)</f>
        <v>7887.5247758388623</v>
      </c>
      <c r="M55" s="60">
        <f>MIN('[9]Total 2027 - 2029'!$D55:$AA55)</f>
        <v>7887.5247758388623</v>
      </c>
      <c r="N55" s="60">
        <f>MIN('[9]Total 2027 - 2029'!$D55:$AA55)</f>
        <v>7887.5247758388623</v>
      </c>
      <c r="O55" s="60">
        <f>MIN('[9]Total 2027 - 2029'!$D55:$AA55)</f>
        <v>7887.5247758388623</v>
      </c>
      <c r="P55" s="60">
        <f>MIN('[9]Total 2027 - 2029'!$D55:$AA55)</f>
        <v>7887.5247758388623</v>
      </c>
      <c r="Q55" s="60">
        <f>MIN('[9]Total 2027 - 2029'!$D55:$AA55)</f>
        <v>7887.5247758388623</v>
      </c>
      <c r="R55" s="60">
        <f>MIN('[9]Total 2027 - 2029'!$D55:$AA55)</f>
        <v>7887.5247758388623</v>
      </c>
      <c r="S55" s="60">
        <f>MIN('[9]Total 2027 - 2029'!$D55:$AA55)</f>
        <v>7887.5247758388623</v>
      </c>
      <c r="T55" s="60">
        <f>MIN('[9]Total 2027 - 2029'!$D55:$AA55)</f>
        <v>7887.5247758388623</v>
      </c>
      <c r="U55" s="60">
        <f>MIN('[9]Total 2027 - 2029'!$D55:$AA55)</f>
        <v>7887.5247758388623</v>
      </c>
      <c r="V55" s="60">
        <f>MIN('[9]Total 2027 - 2029'!$D55:$AA55)</f>
        <v>7887.5247758388623</v>
      </c>
      <c r="W55" s="60">
        <f>MIN('[9]Total 2027 - 2029'!$D55:$AA55)</f>
        <v>7887.5247758388623</v>
      </c>
      <c r="X55" s="60">
        <f>MIN('[9]Total 2027 - 2029'!$D55:$AA55)</f>
        <v>7887.5247758388623</v>
      </c>
      <c r="Y55" s="60">
        <f>MIN('[9]Total 2027 - 2029'!$D55:$AA55)</f>
        <v>7887.5247758388623</v>
      </c>
      <c r="Z55" s="60">
        <f>MIN('[9]Total 2027 - 2029'!$D55:$AA55)</f>
        <v>7887.5247758388623</v>
      </c>
      <c r="AA55" s="60">
        <f>MIN('[9]Total 2027 - 2029'!$D55:$AA55)</f>
        <v>7887.5247758388623</v>
      </c>
      <c r="AB55" s="57">
        <f t="shared" si="1"/>
        <v>757202.37848053058</v>
      </c>
      <c r="AC55" s="63"/>
    </row>
    <row r="56" spans="1:29" x14ac:dyDescent="0.25">
      <c r="A56" s="67"/>
      <c r="B56" s="59" t="s">
        <v>18</v>
      </c>
      <c r="C56" s="55">
        <v>6</v>
      </c>
      <c r="D56" s="60">
        <f>MIN('[9]Total 2027 - 2029'!$D56:$AA56)</f>
        <v>7393.5499768444615</v>
      </c>
      <c r="E56" s="60">
        <f>MIN('[9]Total 2027 - 2029'!$D56:$AA56)</f>
        <v>7393.5499768444615</v>
      </c>
      <c r="F56" s="60">
        <f>MIN('[9]Total 2027 - 2029'!$D56:$AA56)</f>
        <v>7393.5499768444615</v>
      </c>
      <c r="G56" s="60">
        <f>MIN('[9]Total 2027 - 2029'!$D56:$AA56)</f>
        <v>7393.5499768444615</v>
      </c>
      <c r="H56" s="60">
        <f>MIN('[9]Total 2027 - 2029'!$D56:$AA56)</f>
        <v>7393.5499768444615</v>
      </c>
      <c r="I56" s="60">
        <f>MIN('[9]Total 2027 - 2029'!$D56:$AA56)</f>
        <v>7393.5499768444615</v>
      </c>
      <c r="J56" s="60">
        <f>MIN('[9]Total 2027 - 2029'!$D56:$AA56)</f>
        <v>7393.5499768444615</v>
      </c>
      <c r="K56" s="60">
        <f>MIN('[9]Total 2027 - 2029'!$D56:$AA56)</f>
        <v>7393.5499768444615</v>
      </c>
      <c r="L56" s="60">
        <f>MIN('[9]Total 2027 - 2029'!$D56:$AA56)</f>
        <v>7393.5499768444615</v>
      </c>
      <c r="M56" s="60">
        <f>MIN('[9]Total 2027 - 2029'!$D56:$AA56)</f>
        <v>7393.5499768444615</v>
      </c>
      <c r="N56" s="60">
        <f>MIN('[9]Total 2027 - 2029'!$D56:$AA56)</f>
        <v>7393.5499768444615</v>
      </c>
      <c r="O56" s="60">
        <f>MIN('[9]Total 2027 - 2029'!$D56:$AA56)</f>
        <v>7393.5499768444615</v>
      </c>
      <c r="P56" s="60">
        <f>MIN('[9]Total 2027 - 2029'!$D56:$AA56)</f>
        <v>7393.5499768444615</v>
      </c>
      <c r="Q56" s="60">
        <f>MIN('[9]Total 2027 - 2029'!$D56:$AA56)</f>
        <v>7393.5499768444615</v>
      </c>
      <c r="R56" s="60">
        <f>MIN('[9]Total 2027 - 2029'!$D56:$AA56)</f>
        <v>7393.5499768444615</v>
      </c>
      <c r="S56" s="60">
        <f>MIN('[9]Total 2027 - 2029'!$D56:$AA56)</f>
        <v>7393.5499768444615</v>
      </c>
      <c r="T56" s="60">
        <f>MIN('[9]Total 2027 - 2029'!$D56:$AA56)</f>
        <v>7393.5499768444615</v>
      </c>
      <c r="U56" s="60">
        <f>MIN('[9]Total 2027 - 2029'!$D56:$AA56)</f>
        <v>7393.5499768444615</v>
      </c>
      <c r="V56" s="60">
        <f>MIN('[9]Total 2027 - 2029'!$D56:$AA56)</f>
        <v>7393.5499768444615</v>
      </c>
      <c r="W56" s="60">
        <f>MIN('[9]Total 2027 - 2029'!$D56:$AA56)</f>
        <v>7393.5499768444615</v>
      </c>
      <c r="X56" s="60">
        <f>MIN('[9]Total 2027 - 2029'!$D56:$AA56)</f>
        <v>7393.5499768444615</v>
      </c>
      <c r="Y56" s="60">
        <f>MIN('[9]Total 2027 - 2029'!$D56:$AA56)</f>
        <v>7393.5499768444615</v>
      </c>
      <c r="Z56" s="60">
        <f>MIN('[9]Total 2027 - 2029'!$D56:$AA56)</f>
        <v>7393.5499768444615</v>
      </c>
      <c r="AA56" s="60">
        <f>MIN('[9]Total 2027 - 2029'!$D56:$AA56)</f>
        <v>7393.5499768444615</v>
      </c>
      <c r="AB56" s="57">
        <f t="shared" si="1"/>
        <v>1064671.1966656023</v>
      </c>
      <c r="AC56" s="64"/>
    </row>
    <row r="57" spans="1:29" x14ac:dyDescent="0.25">
      <c r="A57" s="65">
        <v>46935</v>
      </c>
      <c r="B57" s="54" t="s">
        <v>16</v>
      </c>
      <c r="C57" s="55">
        <v>19</v>
      </c>
      <c r="D57" s="60">
        <f>MIN('[9]Total 2027 - 2029'!$D57:$AA57)</f>
        <v>8079.9588513190702</v>
      </c>
      <c r="E57" s="60">
        <f>MIN('[9]Total 2027 - 2029'!$D57:$AA57)</f>
        <v>8079.9588513190702</v>
      </c>
      <c r="F57" s="60">
        <f>MIN('[9]Total 2027 - 2029'!$D57:$AA57)</f>
        <v>8079.9588513190702</v>
      </c>
      <c r="G57" s="60">
        <f>MIN('[9]Total 2027 - 2029'!$D57:$AA57)</f>
        <v>8079.9588513190702</v>
      </c>
      <c r="H57" s="60">
        <f>MIN('[9]Total 2027 - 2029'!$D57:$AA57)</f>
        <v>8079.9588513190702</v>
      </c>
      <c r="I57" s="60">
        <f>MIN('[9]Total 2027 - 2029'!$D57:$AA57)</f>
        <v>8079.9588513190702</v>
      </c>
      <c r="J57" s="60">
        <f>MIN('[9]Total 2027 - 2029'!$D57:$AA57)</f>
        <v>8079.9588513190702</v>
      </c>
      <c r="K57" s="60">
        <f>MIN('[9]Total 2027 - 2029'!$D57:$AA57)</f>
        <v>8079.9588513190702</v>
      </c>
      <c r="L57" s="60">
        <f>MIN('[9]Total 2027 - 2029'!$D57:$AA57)</f>
        <v>8079.9588513190702</v>
      </c>
      <c r="M57" s="60">
        <f>MIN('[9]Total 2027 - 2029'!$D57:$AA57)</f>
        <v>8079.9588513190702</v>
      </c>
      <c r="N57" s="60">
        <f>MIN('[9]Total 2027 - 2029'!$D57:$AA57)</f>
        <v>8079.9588513190702</v>
      </c>
      <c r="O57" s="60">
        <f>MIN('[9]Total 2027 - 2029'!$D57:$AA57)</f>
        <v>8079.9588513190702</v>
      </c>
      <c r="P57" s="60">
        <f>MIN('[9]Total 2027 - 2029'!$D57:$AA57)</f>
        <v>8079.9588513190702</v>
      </c>
      <c r="Q57" s="60">
        <f>MIN('[9]Total 2027 - 2029'!$D57:$AA57)</f>
        <v>8079.9588513190702</v>
      </c>
      <c r="R57" s="60">
        <f>MIN('[9]Total 2027 - 2029'!$D57:$AA57)</f>
        <v>8079.9588513190702</v>
      </c>
      <c r="S57" s="60">
        <f>MIN('[9]Total 2027 - 2029'!$D57:$AA57)</f>
        <v>8079.9588513190702</v>
      </c>
      <c r="T57" s="60">
        <f>MIN('[9]Total 2027 - 2029'!$D57:$AA57)</f>
        <v>8079.9588513190702</v>
      </c>
      <c r="U57" s="60">
        <f>MIN('[9]Total 2027 - 2029'!$D57:$AA57)</f>
        <v>8079.9588513190702</v>
      </c>
      <c r="V57" s="60">
        <f>MIN('[9]Total 2027 - 2029'!$D57:$AA57)</f>
        <v>8079.9588513190702</v>
      </c>
      <c r="W57" s="60">
        <f>MIN('[9]Total 2027 - 2029'!$D57:$AA57)</f>
        <v>8079.9588513190702</v>
      </c>
      <c r="X57" s="60">
        <f>MIN('[9]Total 2027 - 2029'!$D57:$AA57)</f>
        <v>8079.9588513190702</v>
      </c>
      <c r="Y57" s="60">
        <f>MIN('[9]Total 2027 - 2029'!$D57:$AA57)</f>
        <v>8079.9588513190702</v>
      </c>
      <c r="Z57" s="60">
        <f>MIN('[9]Total 2027 - 2029'!$D57:$AA57)</f>
        <v>8079.9588513190702</v>
      </c>
      <c r="AA57" s="60">
        <f>MIN('[9]Total 2027 - 2029'!$D57:$AA57)</f>
        <v>8079.9588513190702</v>
      </c>
      <c r="AB57" s="57">
        <f t="shared" si="1"/>
        <v>3684461.2362014959</v>
      </c>
      <c r="AC57" s="62">
        <f>SUM(AB57:AB59)</f>
        <v>5918359.7087017428</v>
      </c>
    </row>
    <row r="58" spans="1:29" x14ac:dyDescent="0.25">
      <c r="A58" s="66"/>
      <c r="B58" s="59" t="s">
        <v>17</v>
      </c>
      <c r="C58" s="55">
        <v>5</v>
      </c>
      <c r="D58" s="60">
        <f>MIN('[9]Total 2027 - 2029'!$D58:$AA58)</f>
        <v>7182.8074676955894</v>
      </c>
      <c r="E58" s="60">
        <f>MIN('[9]Total 2027 - 2029'!$D58:$AA58)</f>
        <v>7182.8074676955894</v>
      </c>
      <c r="F58" s="60">
        <f>MIN('[9]Total 2027 - 2029'!$D58:$AA58)</f>
        <v>7182.8074676955894</v>
      </c>
      <c r="G58" s="60">
        <f>MIN('[9]Total 2027 - 2029'!$D58:$AA58)</f>
        <v>7182.8074676955894</v>
      </c>
      <c r="H58" s="60">
        <f>MIN('[9]Total 2027 - 2029'!$D58:$AA58)</f>
        <v>7182.8074676955894</v>
      </c>
      <c r="I58" s="60">
        <f>MIN('[9]Total 2027 - 2029'!$D58:$AA58)</f>
        <v>7182.8074676955894</v>
      </c>
      <c r="J58" s="60">
        <f>MIN('[9]Total 2027 - 2029'!$D58:$AA58)</f>
        <v>7182.8074676955894</v>
      </c>
      <c r="K58" s="60">
        <f>MIN('[9]Total 2027 - 2029'!$D58:$AA58)</f>
        <v>7182.8074676955894</v>
      </c>
      <c r="L58" s="60">
        <f>MIN('[9]Total 2027 - 2029'!$D58:$AA58)</f>
        <v>7182.8074676955894</v>
      </c>
      <c r="M58" s="60">
        <f>MIN('[9]Total 2027 - 2029'!$D58:$AA58)</f>
        <v>7182.8074676955894</v>
      </c>
      <c r="N58" s="60">
        <f>MIN('[9]Total 2027 - 2029'!$D58:$AA58)</f>
        <v>7182.8074676955894</v>
      </c>
      <c r="O58" s="60">
        <f>MIN('[9]Total 2027 - 2029'!$D58:$AA58)</f>
        <v>7182.8074676955894</v>
      </c>
      <c r="P58" s="60">
        <f>MIN('[9]Total 2027 - 2029'!$D58:$AA58)</f>
        <v>7182.8074676955894</v>
      </c>
      <c r="Q58" s="60">
        <f>MIN('[9]Total 2027 - 2029'!$D58:$AA58)</f>
        <v>7182.8074676955894</v>
      </c>
      <c r="R58" s="60">
        <f>MIN('[9]Total 2027 - 2029'!$D58:$AA58)</f>
        <v>7182.8074676955894</v>
      </c>
      <c r="S58" s="60">
        <f>MIN('[9]Total 2027 - 2029'!$D58:$AA58)</f>
        <v>7182.8074676955894</v>
      </c>
      <c r="T58" s="60">
        <f>MIN('[9]Total 2027 - 2029'!$D58:$AA58)</f>
        <v>7182.8074676955894</v>
      </c>
      <c r="U58" s="60">
        <f>MIN('[9]Total 2027 - 2029'!$D58:$AA58)</f>
        <v>7182.8074676955894</v>
      </c>
      <c r="V58" s="60">
        <f>MIN('[9]Total 2027 - 2029'!$D58:$AA58)</f>
        <v>7182.8074676955894</v>
      </c>
      <c r="W58" s="60">
        <f>MIN('[9]Total 2027 - 2029'!$D58:$AA58)</f>
        <v>7182.8074676955894</v>
      </c>
      <c r="X58" s="60">
        <f>MIN('[9]Total 2027 - 2029'!$D58:$AA58)</f>
        <v>7182.8074676955894</v>
      </c>
      <c r="Y58" s="60">
        <f>MIN('[9]Total 2027 - 2029'!$D58:$AA58)</f>
        <v>7182.8074676955894</v>
      </c>
      <c r="Z58" s="60">
        <f>MIN('[9]Total 2027 - 2029'!$D58:$AA58)</f>
        <v>7182.8074676955894</v>
      </c>
      <c r="AA58" s="60">
        <f>MIN('[9]Total 2027 - 2029'!$D58:$AA58)</f>
        <v>7182.8074676955894</v>
      </c>
      <c r="AB58" s="57">
        <f t="shared" si="1"/>
        <v>861936.89612347062</v>
      </c>
      <c r="AC58" s="63"/>
    </row>
    <row r="59" spans="1:29" x14ac:dyDescent="0.25">
      <c r="A59" s="67"/>
      <c r="B59" s="59" t="s">
        <v>18</v>
      </c>
      <c r="C59" s="55">
        <v>7</v>
      </c>
      <c r="D59" s="60">
        <f>MIN('[9]Total 2027 - 2029'!$D59:$AA59)</f>
        <v>8166.4379546236678</v>
      </c>
      <c r="E59" s="60">
        <f>MIN('[9]Total 2027 - 2029'!$D59:$AA59)</f>
        <v>8166.4379546236678</v>
      </c>
      <c r="F59" s="60">
        <f>MIN('[9]Total 2027 - 2029'!$D59:$AA59)</f>
        <v>8166.4379546236678</v>
      </c>
      <c r="G59" s="60">
        <f>MIN('[9]Total 2027 - 2029'!$D59:$AA59)</f>
        <v>8166.4379546236678</v>
      </c>
      <c r="H59" s="60">
        <f>MIN('[9]Total 2027 - 2029'!$D59:$AA59)</f>
        <v>8166.4379546236678</v>
      </c>
      <c r="I59" s="60">
        <f>MIN('[9]Total 2027 - 2029'!$D59:$AA59)</f>
        <v>8166.4379546236678</v>
      </c>
      <c r="J59" s="60">
        <f>MIN('[9]Total 2027 - 2029'!$D59:$AA59)</f>
        <v>8166.4379546236678</v>
      </c>
      <c r="K59" s="60">
        <f>MIN('[9]Total 2027 - 2029'!$D59:$AA59)</f>
        <v>8166.4379546236678</v>
      </c>
      <c r="L59" s="60">
        <f>MIN('[9]Total 2027 - 2029'!$D59:$AA59)</f>
        <v>8166.4379546236678</v>
      </c>
      <c r="M59" s="60">
        <f>MIN('[9]Total 2027 - 2029'!$D59:$AA59)</f>
        <v>8166.4379546236678</v>
      </c>
      <c r="N59" s="60">
        <f>MIN('[9]Total 2027 - 2029'!$D59:$AA59)</f>
        <v>8166.4379546236678</v>
      </c>
      <c r="O59" s="60">
        <f>MIN('[9]Total 2027 - 2029'!$D59:$AA59)</f>
        <v>8166.4379546236678</v>
      </c>
      <c r="P59" s="60">
        <f>MIN('[9]Total 2027 - 2029'!$D59:$AA59)</f>
        <v>8166.4379546236678</v>
      </c>
      <c r="Q59" s="60">
        <f>MIN('[9]Total 2027 - 2029'!$D59:$AA59)</f>
        <v>8166.4379546236678</v>
      </c>
      <c r="R59" s="60">
        <f>MIN('[9]Total 2027 - 2029'!$D59:$AA59)</f>
        <v>8166.4379546236678</v>
      </c>
      <c r="S59" s="60">
        <f>MIN('[9]Total 2027 - 2029'!$D59:$AA59)</f>
        <v>8166.4379546236678</v>
      </c>
      <c r="T59" s="60">
        <f>MIN('[9]Total 2027 - 2029'!$D59:$AA59)</f>
        <v>8166.4379546236678</v>
      </c>
      <c r="U59" s="60">
        <f>MIN('[9]Total 2027 - 2029'!$D59:$AA59)</f>
        <v>8166.4379546236678</v>
      </c>
      <c r="V59" s="60">
        <f>MIN('[9]Total 2027 - 2029'!$D59:$AA59)</f>
        <v>8166.4379546236678</v>
      </c>
      <c r="W59" s="60">
        <f>MIN('[9]Total 2027 - 2029'!$D59:$AA59)</f>
        <v>8166.4379546236678</v>
      </c>
      <c r="X59" s="60">
        <f>MIN('[9]Total 2027 - 2029'!$D59:$AA59)</f>
        <v>8166.4379546236678</v>
      </c>
      <c r="Y59" s="60">
        <f>MIN('[9]Total 2027 - 2029'!$D59:$AA59)</f>
        <v>8166.4379546236678</v>
      </c>
      <c r="Z59" s="60">
        <f>MIN('[9]Total 2027 - 2029'!$D59:$AA59)</f>
        <v>8166.4379546236678</v>
      </c>
      <c r="AA59" s="60">
        <f>MIN('[9]Total 2027 - 2029'!$D59:$AA59)</f>
        <v>8166.4379546236678</v>
      </c>
      <c r="AB59" s="57">
        <f t="shared" si="1"/>
        <v>1371961.576376776</v>
      </c>
      <c r="AC59" s="64"/>
    </row>
    <row r="60" spans="1:29" x14ac:dyDescent="0.25">
      <c r="A60" s="65">
        <v>46966</v>
      </c>
      <c r="B60" s="54" t="s">
        <v>16</v>
      </c>
      <c r="C60" s="55">
        <v>21</v>
      </c>
      <c r="D60" s="60">
        <f>MIN('[9]Total 2027 - 2029'!$D60:$AA60)</f>
        <v>8334.4021636657581</v>
      </c>
      <c r="E60" s="60">
        <f>MIN('[9]Total 2027 - 2029'!$D60:$AA60)</f>
        <v>8334.4021636657581</v>
      </c>
      <c r="F60" s="60">
        <f>MIN('[9]Total 2027 - 2029'!$D60:$AA60)</f>
        <v>8334.4021636657581</v>
      </c>
      <c r="G60" s="60">
        <f>MIN('[9]Total 2027 - 2029'!$D60:$AA60)</f>
        <v>8334.4021636657581</v>
      </c>
      <c r="H60" s="60">
        <f>MIN('[9]Total 2027 - 2029'!$D60:$AA60)</f>
        <v>8334.4021636657581</v>
      </c>
      <c r="I60" s="60">
        <f>MIN('[9]Total 2027 - 2029'!$D60:$AA60)</f>
        <v>8334.4021636657581</v>
      </c>
      <c r="J60" s="60">
        <f>MIN('[9]Total 2027 - 2029'!$D60:$AA60)</f>
        <v>8334.4021636657581</v>
      </c>
      <c r="K60" s="60">
        <f>MIN('[9]Total 2027 - 2029'!$D60:$AA60)</f>
        <v>8334.4021636657581</v>
      </c>
      <c r="L60" s="60">
        <f>MIN('[9]Total 2027 - 2029'!$D60:$AA60)</f>
        <v>8334.4021636657581</v>
      </c>
      <c r="M60" s="60">
        <f>MIN('[9]Total 2027 - 2029'!$D60:$AA60)</f>
        <v>8334.4021636657581</v>
      </c>
      <c r="N60" s="60">
        <f>MIN('[9]Total 2027 - 2029'!$D60:$AA60)</f>
        <v>8334.4021636657581</v>
      </c>
      <c r="O60" s="60">
        <f>MIN('[9]Total 2027 - 2029'!$D60:$AA60)</f>
        <v>8334.4021636657581</v>
      </c>
      <c r="P60" s="60">
        <f>MIN('[9]Total 2027 - 2029'!$D60:$AA60)</f>
        <v>8334.4021636657581</v>
      </c>
      <c r="Q60" s="60">
        <f>MIN('[9]Total 2027 - 2029'!$D60:$AA60)</f>
        <v>8334.4021636657581</v>
      </c>
      <c r="R60" s="60">
        <f>MIN('[9]Total 2027 - 2029'!$D60:$AA60)</f>
        <v>8334.4021636657581</v>
      </c>
      <c r="S60" s="60">
        <f>MIN('[9]Total 2027 - 2029'!$D60:$AA60)</f>
        <v>8334.4021636657581</v>
      </c>
      <c r="T60" s="60">
        <f>MIN('[9]Total 2027 - 2029'!$D60:$AA60)</f>
        <v>8334.4021636657581</v>
      </c>
      <c r="U60" s="60">
        <f>MIN('[9]Total 2027 - 2029'!$D60:$AA60)</f>
        <v>8334.4021636657581</v>
      </c>
      <c r="V60" s="60">
        <f>MIN('[9]Total 2027 - 2029'!$D60:$AA60)</f>
        <v>8334.4021636657581</v>
      </c>
      <c r="W60" s="60">
        <f>MIN('[9]Total 2027 - 2029'!$D60:$AA60)</f>
        <v>8334.4021636657581</v>
      </c>
      <c r="X60" s="60">
        <f>MIN('[9]Total 2027 - 2029'!$D60:$AA60)</f>
        <v>8334.4021636657581</v>
      </c>
      <c r="Y60" s="60">
        <f>MIN('[9]Total 2027 - 2029'!$D60:$AA60)</f>
        <v>8334.4021636657581</v>
      </c>
      <c r="Z60" s="60">
        <f>MIN('[9]Total 2027 - 2029'!$D60:$AA60)</f>
        <v>8334.4021636657581</v>
      </c>
      <c r="AA60" s="60">
        <f>MIN('[9]Total 2027 - 2029'!$D60:$AA60)</f>
        <v>8334.4021636657581</v>
      </c>
      <c r="AB60" s="57">
        <f t="shared" si="1"/>
        <v>4200538.6904875441</v>
      </c>
      <c r="AC60" s="62">
        <f>SUM(AB60:AB62)</f>
        <v>6041279.1791162994</v>
      </c>
    </row>
    <row r="61" spans="1:29" x14ac:dyDescent="0.25">
      <c r="A61" s="66"/>
      <c r="B61" s="59" t="s">
        <v>17</v>
      </c>
      <c r="C61" s="55">
        <v>4</v>
      </c>
      <c r="D61" s="60">
        <f>MIN('[9]Total 2027 - 2029'!$D61:$AA61)</f>
        <v>8399.1480381025376</v>
      </c>
      <c r="E61" s="60">
        <f>MIN('[9]Total 2027 - 2029'!$D61:$AA61)</f>
        <v>8399.1480381025376</v>
      </c>
      <c r="F61" s="60">
        <f>MIN('[9]Total 2027 - 2029'!$D61:$AA61)</f>
        <v>8399.1480381025376</v>
      </c>
      <c r="G61" s="60">
        <f>MIN('[9]Total 2027 - 2029'!$D61:$AA61)</f>
        <v>8399.1480381025376</v>
      </c>
      <c r="H61" s="60">
        <f>MIN('[9]Total 2027 - 2029'!$D61:$AA61)</f>
        <v>8399.1480381025376</v>
      </c>
      <c r="I61" s="60">
        <f>MIN('[9]Total 2027 - 2029'!$D61:$AA61)</f>
        <v>8399.1480381025376</v>
      </c>
      <c r="J61" s="60">
        <f>MIN('[9]Total 2027 - 2029'!$D61:$AA61)</f>
        <v>8399.1480381025376</v>
      </c>
      <c r="K61" s="60">
        <f>MIN('[9]Total 2027 - 2029'!$D61:$AA61)</f>
        <v>8399.1480381025376</v>
      </c>
      <c r="L61" s="60">
        <f>MIN('[9]Total 2027 - 2029'!$D61:$AA61)</f>
        <v>8399.1480381025376</v>
      </c>
      <c r="M61" s="60">
        <f>MIN('[9]Total 2027 - 2029'!$D61:$AA61)</f>
        <v>8399.1480381025376</v>
      </c>
      <c r="N61" s="60">
        <f>MIN('[9]Total 2027 - 2029'!$D61:$AA61)</f>
        <v>8399.1480381025376</v>
      </c>
      <c r="O61" s="60">
        <f>MIN('[9]Total 2027 - 2029'!$D61:$AA61)</f>
        <v>8399.1480381025376</v>
      </c>
      <c r="P61" s="60">
        <f>MIN('[9]Total 2027 - 2029'!$D61:$AA61)</f>
        <v>8399.1480381025376</v>
      </c>
      <c r="Q61" s="60">
        <f>MIN('[9]Total 2027 - 2029'!$D61:$AA61)</f>
        <v>8399.1480381025376</v>
      </c>
      <c r="R61" s="60">
        <f>MIN('[9]Total 2027 - 2029'!$D61:$AA61)</f>
        <v>8399.1480381025376</v>
      </c>
      <c r="S61" s="60">
        <f>MIN('[9]Total 2027 - 2029'!$D61:$AA61)</f>
        <v>8399.1480381025376</v>
      </c>
      <c r="T61" s="60">
        <f>MIN('[9]Total 2027 - 2029'!$D61:$AA61)</f>
        <v>8399.1480381025376</v>
      </c>
      <c r="U61" s="60">
        <f>MIN('[9]Total 2027 - 2029'!$D61:$AA61)</f>
        <v>8399.1480381025376</v>
      </c>
      <c r="V61" s="60">
        <f>MIN('[9]Total 2027 - 2029'!$D61:$AA61)</f>
        <v>8399.1480381025376</v>
      </c>
      <c r="W61" s="60">
        <f>MIN('[9]Total 2027 - 2029'!$D61:$AA61)</f>
        <v>8399.1480381025376</v>
      </c>
      <c r="X61" s="60">
        <f>MIN('[9]Total 2027 - 2029'!$D61:$AA61)</f>
        <v>8399.1480381025376</v>
      </c>
      <c r="Y61" s="60">
        <f>MIN('[9]Total 2027 - 2029'!$D61:$AA61)</f>
        <v>8399.1480381025376</v>
      </c>
      <c r="Z61" s="60">
        <f>MIN('[9]Total 2027 - 2029'!$D61:$AA61)</f>
        <v>8399.1480381025376</v>
      </c>
      <c r="AA61" s="60">
        <f>MIN('[9]Total 2027 - 2029'!$D61:$AA61)</f>
        <v>8399.1480381025376</v>
      </c>
      <c r="AB61" s="57">
        <f t="shared" si="1"/>
        <v>806318.21165784379</v>
      </c>
      <c r="AC61" s="63"/>
    </row>
    <row r="62" spans="1:29" x14ac:dyDescent="0.25">
      <c r="A62" s="67"/>
      <c r="B62" s="59" t="s">
        <v>18</v>
      </c>
      <c r="C62" s="55">
        <v>6</v>
      </c>
      <c r="D62" s="60">
        <f>MIN('[9]Total 2027 - 2029'!$D62:$AA62)</f>
        <v>7183.4880345202237</v>
      </c>
      <c r="E62" s="60">
        <f>MIN('[9]Total 2027 - 2029'!$D62:$AA62)</f>
        <v>7183.4880345202237</v>
      </c>
      <c r="F62" s="60">
        <f>MIN('[9]Total 2027 - 2029'!$D62:$AA62)</f>
        <v>7183.4880345202237</v>
      </c>
      <c r="G62" s="60">
        <f>MIN('[9]Total 2027 - 2029'!$D62:$AA62)</f>
        <v>7183.4880345202237</v>
      </c>
      <c r="H62" s="60">
        <f>MIN('[9]Total 2027 - 2029'!$D62:$AA62)</f>
        <v>7183.4880345202237</v>
      </c>
      <c r="I62" s="60">
        <f>MIN('[9]Total 2027 - 2029'!$D62:$AA62)</f>
        <v>7183.4880345202237</v>
      </c>
      <c r="J62" s="60">
        <f>MIN('[9]Total 2027 - 2029'!$D62:$AA62)</f>
        <v>7183.4880345202237</v>
      </c>
      <c r="K62" s="60">
        <f>MIN('[9]Total 2027 - 2029'!$D62:$AA62)</f>
        <v>7183.4880345202237</v>
      </c>
      <c r="L62" s="60">
        <f>MIN('[9]Total 2027 - 2029'!$D62:$AA62)</f>
        <v>7183.4880345202237</v>
      </c>
      <c r="M62" s="60">
        <f>MIN('[9]Total 2027 - 2029'!$D62:$AA62)</f>
        <v>7183.4880345202237</v>
      </c>
      <c r="N62" s="60">
        <f>MIN('[9]Total 2027 - 2029'!$D62:$AA62)</f>
        <v>7183.4880345202237</v>
      </c>
      <c r="O62" s="60">
        <f>MIN('[9]Total 2027 - 2029'!$D62:$AA62)</f>
        <v>7183.4880345202237</v>
      </c>
      <c r="P62" s="60">
        <f>MIN('[9]Total 2027 - 2029'!$D62:$AA62)</f>
        <v>7183.4880345202237</v>
      </c>
      <c r="Q62" s="60">
        <f>MIN('[9]Total 2027 - 2029'!$D62:$AA62)</f>
        <v>7183.4880345202237</v>
      </c>
      <c r="R62" s="60">
        <f>MIN('[9]Total 2027 - 2029'!$D62:$AA62)</f>
        <v>7183.4880345202237</v>
      </c>
      <c r="S62" s="60">
        <f>MIN('[9]Total 2027 - 2029'!$D62:$AA62)</f>
        <v>7183.4880345202237</v>
      </c>
      <c r="T62" s="60">
        <f>MIN('[9]Total 2027 - 2029'!$D62:$AA62)</f>
        <v>7183.4880345202237</v>
      </c>
      <c r="U62" s="60">
        <f>MIN('[9]Total 2027 - 2029'!$D62:$AA62)</f>
        <v>7183.4880345202237</v>
      </c>
      <c r="V62" s="60">
        <f>MIN('[9]Total 2027 - 2029'!$D62:$AA62)</f>
        <v>7183.4880345202237</v>
      </c>
      <c r="W62" s="60">
        <f>MIN('[9]Total 2027 - 2029'!$D62:$AA62)</f>
        <v>7183.4880345202237</v>
      </c>
      <c r="X62" s="60">
        <f>MIN('[9]Total 2027 - 2029'!$D62:$AA62)</f>
        <v>7183.4880345202237</v>
      </c>
      <c r="Y62" s="60">
        <f>MIN('[9]Total 2027 - 2029'!$D62:$AA62)</f>
        <v>7183.4880345202237</v>
      </c>
      <c r="Z62" s="60">
        <f>MIN('[9]Total 2027 - 2029'!$D62:$AA62)</f>
        <v>7183.4880345202237</v>
      </c>
      <c r="AA62" s="60">
        <f>MIN('[9]Total 2027 - 2029'!$D62:$AA62)</f>
        <v>7183.4880345202237</v>
      </c>
      <c r="AB62" s="57">
        <f t="shared" si="1"/>
        <v>1034422.276970912</v>
      </c>
      <c r="AC62" s="64"/>
    </row>
    <row r="63" spans="1:29" x14ac:dyDescent="0.25">
      <c r="A63" s="65">
        <v>46997</v>
      </c>
      <c r="B63" s="54" t="s">
        <v>16</v>
      </c>
      <c r="C63" s="55">
        <v>21</v>
      </c>
      <c r="D63" s="60">
        <f>MIN('[9]Total 2027 - 2029'!$D63:$AA63)</f>
        <v>10469.323874592605</v>
      </c>
      <c r="E63" s="60">
        <f>MIN('[9]Total 2027 - 2029'!$D63:$AA63)</f>
        <v>10469.323874592605</v>
      </c>
      <c r="F63" s="60">
        <f>MIN('[9]Total 2027 - 2029'!$D63:$AA63)</f>
        <v>10469.323874592605</v>
      </c>
      <c r="G63" s="60">
        <f>MIN('[9]Total 2027 - 2029'!$D63:$AA63)</f>
        <v>10469.323874592605</v>
      </c>
      <c r="H63" s="60">
        <f>MIN('[9]Total 2027 - 2029'!$D63:$AA63)</f>
        <v>10469.323874592605</v>
      </c>
      <c r="I63" s="60">
        <f>MIN('[9]Total 2027 - 2029'!$D63:$AA63)</f>
        <v>10469.323874592605</v>
      </c>
      <c r="J63" s="60">
        <f>MIN('[9]Total 2027 - 2029'!$D63:$AA63)</f>
        <v>10469.323874592605</v>
      </c>
      <c r="K63" s="60">
        <f>MIN('[9]Total 2027 - 2029'!$D63:$AA63)</f>
        <v>10469.323874592605</v>
      </c>
      <c r="L63" s="60">
        <f>MIN('[9]Total 2027 - 2029'!$D63:$AA63)</f>
        <v>10469.323874592605</v>
      </c>
      <c r="M63" s="60">
        <f>MIN('[9]Total 2027 - 2029'!$D63:$AA63)</f>
        <v>10469.323874592605</v>
      </c>
      <c r="N63" s="60">
        <f>MIN('[9]Total 2027 - 2029'!$D63:$AA63)</f>
        <v>10469.323874592605</v>
      </c>
      <c r="O63" s="60">
        <f>MIN('[9]Total 2027 - 2029'!$D63:$AA63)</f>
        <v>10469.323874592605</v>
      </c>
      <c r="P63" s="60">
        <f>MIN('[9]Total 2027 - 2029'!$D63:$AA63)</f>
        <v>10469.323874592605</v>
      </c>
      <c r="Q63" s="60">
        <f>MIN('[9]Total 2027 - 2029'!$D63:$AA63)</f>
        <v>10469.323874592605</v>
      </c>
      <c r="R63" s="60">
        <f>MIN('[9]Total 2027 - 2029'!$D63:$AA63)</f>
        <v>10469.323874592605</v>
      </c>
      <c r="S63" s="60">
        <f>MIN('[9]Total 2027 - 2029'!$D63:$AA63)</f>
        <v>10469.323874592605</v>
      </c>
      <c r="T63" s="60">
        <f>MIN('[9]Total 2027 - 2029'!$D63:$AA63)</f>
        <v>10469.323874592605</v>
      </c>
      <c r="U63" s="60">
        <f>MIN('[9]Total 2027 - 2029'!$D63:$AA63)</f>
        <v>10469.323874592605</v>
      </c>
      <c r="V63" s="60">
        <f>MIN('[9]Total 2027 - 2029'!$D63:$AA63)</f>
        <v>10469.323874592605</v>
      </c>
      <c r="W63" s="60">
        <f>MIN('[9]Total 2027 - 2029'!$D63:$AA63)</f>
        <v>10469.323874592605</v>
      </c>
      <c r="X63" s="60">
        <f>MIN('[9]Total 2027 - 2029'!$D63:$AA63)</f>
        <v>10469.323874592605</v>
      </c>
      <c r="Y63" s="60">
        <f>MIN('[9]Total 2027 - 2029'!$D63:$AA63)</f>
        <v>10469.323874592605</v>
      </c>
      <c r="Z63" s="60">
        <f>MIN('[9]Total 2027 - 2029'!$D63:$AA63)</f>
        <v>10469.323874592605</v>
      </c>
      <c r="AA63" s="60">
        <f>MIN('[9]Total 2027 - 2029'!$D63:$AA63)</f>
        <v>10469.323874592605</v>
      </c>
      <c r="AB63" s="57">
        <f t="shared" si="1"/>
        <v>5276539.2327946732</v>
      </c>
      <c r="AC63" s="62">
        <f>SUM(AB63:AB65)</f>
        <v>7516358.88570021</v>
      </c>
    </row>
    <row r="64" spans="1:29" x14ac:dyDescent="0.25">
      <c r="A64" s="66"/>
      <c r="B64" s="59" t="s">
        <v>17</v>
      </c>
      <c r="C64" s="55">
        <v>5</v>
      </c>
      <c r="D64" s="60">
        <f>MIN('[9]Total 2027 - 2029'!$D64:$AA64)</f>
        <v>10618.895970677195</v>
      </c>
      <c r="E64" s="60">
        <f>MIN('[9]Total 2027 - 2029'!$D64:$AA64)</f>
        <v>10618.895970677195</v>
      </c>
      <c r="F64" s="60">
        <f>MIN('[9]Total 2027 - 2029'!$D64:$AA64)</f>
        <v>10618.895970677195</v>
      </c>
      <c r="G64" s="60">
        <f>MIN('[9]Total 2027 - 2029'!$D64:$AA64)</f>
        <v>10618.895970677195</v>
      </c>
      <c r="H64" s="60">
        <f>MIN('[9]Total 2027 - 2029'!$D64:$AA64)</f>
        <v>10618.895970677195</v>
      </c>
      <c r="I64" s="60">
        <f>MIN('[9]Total 2027 - 2029'!$D64:$AA64)</f>
        <v>10618.895970677195</v>
      </c>
      <c r="J64" s="60">
        <f>MIN('[9]Total 2027 - 2029'!$D64:$AA64)</f>
        <v>10618.895970677195</v>
      </c>
      <c r="K64" s="60">
        <f>MIN('[9]Total 2027 - 2029'!$D64:$AA64)</f>
        <v>10618.895970677195</v>
      </c>
      <c r="L64" s="60">
        <f>MIN('[9]Total 2027 - 2029'!$D64:$AA64)</f>
        <v>10618.895970677195</v>
      </c>
      <c r="M64" s="60">
        <f>MIN('[9]Total 2027 - 2029'!$D64:$AA64)</f>
        <v>10618.895970677195</v>
      </c>
      <c r="N64" s="60">
        <f>MIN('[9]Total 2027 - 2029'!$D64:$AA64)</f>
        <v>10618.895970677195</v>
      </c>
      <c r="O64" s="60">
        <f>MIN('[9]Total 2027 - 2029'!$D64:$AA64)</f>
        <v>10618.895970677195</v>
      </c>
      <c r="P64" s="60">
        <f>MIN('[9]Total 2027 - 2029'!$D64:$AA64)</f>
        <v>10618.895970677195</v>
      </c>
      <c r="Q64" s="60">
        <f>MIN('[9]Total 2027 - 2029'!$D64:$AA64)</f>
        <v>10618.895970677195</v>
      </c>
      <c r="R64" s="60">
        <f>MIN('[9]Total 2027 - 2029'!$D64:$AA64)</f>
        <v>10618.895970677195</v>
      </c>
      <c r="S64" s="60">
        <f>MIN('[9]Total 2027 - 2029'!$D64:$AA64)</f>
        <v>10618.895970677195</v>
      </c>
      <c r="T64" s="60">
        <f>MIN('[9]Total 2027 - 2029'!$D64:$AA64)</f>
        <v>10618.895970677195</v>
      </c>
      <c r="U64" s="60">
        <f>MIN('[9]Total 2027 - 2029'!$D64:$AA64)</f>
        <v>10618.895970677195</v>
      </c>
      <c r="V64" s="60">
        <f>MIN('[9]Total 2027 - 2029'!$D64:$AA64)</f>
        <v>10618.895970677195</v>
      </c>
      <c r="W64" s="60">
        <f>MIN('[9]Total 2027 - 2029'!$D64:$AA64)</f>
        <v>10618.895970677195</v>
      </c>
      <c r="X64" s="60">
        <f>MIN('[9]Total 2027 - 2029'!$D64:$AA64)</f>
        <v>10618.895970677195</v>
      </c>
      <c r="Y64" s="60">
        <f>MIN('[9]Total 2027 - 2029'!$D64:$AA64)</f>
        <v>10618.895970677195</v>
      </c>
      <c r="Z64" s="60">
        <f>MIN('[9]Total 2027 - 2029'!$D64:$AA64)</f>
        <v>10618.895970677195</v>
      </c>
      <c r="AA64" s="60">
        <f>MIN('[9]Total 2027 - 2029'!$D64:$AA64)</f>
        <v>10618.895970677195</v>
      </c>
      <c r="AB64" s="57">
        <f t="shared" si="1"/>
        <v>1274267.5164812638</v>
      </c>
      <c r="AC64" s="63"/>
    </row>
    <row r="65" spans="1:29" x14ac:dyDescent="0.25">
      <c r="A65" s="67"/>
      <c r="B65" s="59" t="s">
        <v>18</v>
      </c>
      <c r="C65" s="55">
        <v>4</v>
      </c>
      <c r="D65" s="60">
        <f>MIN('[9]Total 2027 - 2029'!$D65:$AA65)</f>
        <v>10057.834754419517</v>
      </c>
      <c r="E65" s="60">
        <f>MIN('[9]Total 2027 - 2029'!$D65:$AA65)</f>
        <v>10057.834754419517</v>
      </c>
      <c r="F65" s="60">
        <f>MIN('[9]Total 2027 - 2029'!$D65:$AA65)</f>
        <v>10057.834754419517</v>
      </c>
      <c r="G65" s="60">
        <f>MIN('[9]Total 2027 - 2029'!$D65:$AA65)</f>
        <v>10057.834754419517</v>
      </c>
      <c r="H65" s="60">
        <f>MIN('[9]Total 2027 - 2029'!$D65:$AA65)</f>
        <v>10057.834754419517</v>
      </c>
      <c r="I65" s="60">
        <f>MIN('[9]Total 2027 - 2029'!$D65:$AA65)</f>
        <v>10057.834754419517</v>
      </c>
      <c r="J65" s="60">
        <f>MIN('[9]Total 2027 - 2029'!$D65:$AA65)</f>
        <v>10057.834754419517</v>
      </c>
      <c r="K65" s="60">
        <f>MIN('[9]Total 2027 - 2029'!$D65:$AA65)</f>
        <v>10057.834754419517</v>
      </c>
      <c r="L65" s="60">
        <f>MIN('[9]Total 2027 - 2029'!$D65:$AA65)</f>
        <v>10057.834754419517</v>
      </c>
      <c r="M65" s="60">
        <f>MIN('[9]Total 2027 - 2029'!$D65:$AA65)</f>
        <v>10057.834754419517</v>
      </c>
      <c r="N65" s="60">
        <f>MIN('[9]Total 2027 - 2029'!$D65:$AA65)</f>
        <v>10057.834754419517</v>
      </c>
      <c r="O65" s="60">
        <f>MIN('[9]Total 2027 - 2029'!$D65:$AA65)</f>
        <v>10057.834754419517</v>
      </c>
      <c r="P65" s="60">
        <f>MIN('[9]Total 2027 - 2029'!$D65:$AA65)</f>
        <v>10057.834754419517</v>
      </c>
      <c r="Q65" s="60">
        <f>MIN('[9]Total 2027 - 2029'!$D65:$AA65)</f>
        <v>10057.834754419517</v>
      </c>
      <c r="R65" s="60">
        <f>MIN('[9]Total 2027 - 2029'!$D65:$AA65)</f>
        <v>10057.834754419517</v>
      </c>
      <c r="S65" s="60">
        <f>MIN('[9]Total 2027 - 2029'!$D65:$AA65)</f>
        <v>10057.834754419517</v>
      </c>
      <c r="T65" s="60">
        <f>MIN('[9]Total 2027 - 2029'!$D65:$AA65)</f>
        <v>10057.834754419517</v>
      </c>
      <c r="U65" s="60">
        <f>MIN('[9]Total 2027 - 2029'!$D65:$AA65)</f>
        <v>10057.834754419517</v>
      </c>
      <c r="V65" s="60">
        <f>MIN('[9]Total 2027 - 2029'!$D65:$AA65)</f>
        <v>10057.834754419517</v>
      </c>
      <c r="W65" s="60">
        <f>MIN('[9]Total 2027 - 2029'!$D65:$AA65)</f>
        <v>10057.834754419517</v>
      </c>
      <c r="X65" s="60">
        <f>MIN('[9]Total 2027 - 2029'!$D65:$AA65)</f>
        <v>10057.834754419517</v>
      </c>
      <c r="Y65" s="60">
        <f>MIN('[9]Total 2027 - 2029'!$D65:$AA65)</f>
        <v>10057.834754419517</v>
      </c>
      <c r="Z65" s="60">
        <f>MIN('[9]Total 2027 - 2029'!$D65:$AA65)</f>
        <v>10057.834754419517</v>
      </c>
      <c r="AA65" s="60">
        <f>MIN('[9]Total 2027 - 2029'!$D65:$AA65)</f>
        <v>10057.834754419517</v>
      </c>
      <c r="AB65" s="57">
        <f t="shared" si="1"/>
        <v>965552.13642427337</v>
      </c>
      <c r="AC65" s="64"/>
    </row>
    <row r="66" spans="1:29" x14ac:dyDescent="0.25">
      <c r="A66" s="65">
        <v>47027</v>
      </c>
      <c r="B66" s="54" t="s">
        <v>16</v>
      </c>
      <c r="C66" s="55">
        <v>21</v>
      </c>
      <c r="D66" s="60">
        <f>MIN('[9]Total 2027 - 2029'!$D66:$AA66)</f>
        <v>10184.028601749567</v>
      </c>
      <c r="E66" s="60">
        <f>MIN('[9]Total 2027 - 2029'!$D66:$AA66)</f>
        <v>10184.028601749567</v>
      </c>
      <c r="F66" s="60">
        <f>MIN('[9]Total 2027 - 2029'!$D66:$AA66)</f>
        <v>10184.028601749567</v>
      </c>
      <c r="G66" s="60">
        <f>MIN('[9]Total 2027 - 2029'!$D66:$AA66)</f>
        <v>10184.028601749567</v>
      </c>
      <c r="H66" s="60">
        <f>MIN('[9]Total 2027 - 2029'!$D66:$AA66)</f>
        <v>10184.028601749567</v>
      </c>
      <c r="I66" s="60">
        <f>MIN('[9]Total 2027 - 2029'!$D66:$AA66)</f>
        <v>10184.028601749567</v>
      </c>
      <c r="J66" s="60">
        <f>MIN('[9]Total 2027 - 2029'!$D66:$AA66)</f>
        <v>10184.028601749567</v>
      </c>
      <c r="K66" s="60">
        <f>MIN('[9]Total 2027 - 2029'!$D66:$AA66)</f>
        <v>10184.028601749567</v>
      </c>
      <c r="L66" s="60">
        <f>MIN('[9]Total 2027 - 2029'!$D66:$AA66)</f>
        <v>10184.028601749567</v>
      </c>
      <c r="M66" s="60">
        <f>MIN('[9]Total 2027 - 2029'!$D66:$AA66)</f>
        <v>10184.028601749567</v>
      </c>
      <c r="N66" s="60">
        <f>MIN('[9]Total 2027 - 2029'!$D66:$AA66)</f>
        <v>10184.028601749567</v>
      </c>
      <c r="O66" s="60">
        <f>MIN('[9]Total 2027 - 2029'!$D66:$AA66)</f>
        <v>10184.028601749567</v>
      </c>
      <c r="P66" s="60">
        <f>MIN('[9]Total 2027 - 2029'!$D66:$AA66)</f>
        <v>10184.028601749567</v>
      </c>
      <c r="Q66" s="60">
        <f>MIN('[9]Total 2027 - 2029'!$D66:$AA66)</f>
        <v>10184.028601749567</v>
      </c>
      <c r="R66" s="60">
        <f>MIN('[9]Total 2027 - 2029'!$D66:$AA66)</f>
        <v>10184.028601749567</v>
      </c>
      <c r="S66" s="60">
        <f>MIN('[9]Total 2027 - 2029'!$D66:$AA66)</f>
        <v>10184.028601749567</v>
      </c>
      <c r="T66" s="60">
        <f>MIN('[9]Total 2027 - 2029'!$D66:$AA66)</f>
        <v>10184.028601749567</v>
      </c>
      <c r="U66" s="60">
        <f>MIN('[9]Total 2027 - 2029'!$D66:$AA66)</f>
        <v>10184.028601749567</v>
      </c>
      <c r="V66" s="60">
        <f>MIN('[9]Total 2027 - 2029'!$D66:$AA66)</f>
        <v>10184.028601749567</v>
      </c>
      <c r="W66" s="60">
        <f>MIN('[9]Total 2027 - 2029'!$D66:$AA66)</f>
        <v>10184.028601749567</v>
      </c>
      <c r="X66" s="60">
        <f>MIN('[9]Total 2027 - 2029'!$D66:$AA66)</f>
        <v>10184.028601749567</v>
      </c>
      <c r="Y66" s="60">
        <f>MIN('[9]Total 2027 - 2029'!$D66:$AA66)</f>
        <v>10184.028601749567</v>
      </c>
      <c r="Z66" s="60">
        <f>MIN('[9]Total 2027 - 2029'!$D66:$AA66)</f>
        <v>10184.028601749567</v>
      </c>
      <c r="AA66" s="60">
        <f>MIN('[9]Total 2027 - 2029'!$D66:$AA66)</f>
        <v>10184.028601749567</v>
      </c>
      <c r="AB66" s="57">
        <f t="shared" si="1"/>
        <v>5132750.4152817819</v>
      </c>
      <c r="AC66" s="62">
        <f>SUM(AB66:AB68)</f>
        <v>7662951.2793595511</v>
      </c>
    </row>
    <row r="67" spans="1:29" x14ac:dyDescent="0.25">
      <c r="A67" s="66"/>
      <c r="B67" s="59" t="s">
        <v>17</v>
      </c>
      <c r="C67" s="55">
        <v>4</v>
      </c>
      <c r="D67" s="60">
        <f>MIN('[9]Total 2027 - 2029'!$D67:$AA67)</f>
        <v>10480.539200050358</v>
      </c>
      <c r="E67" s="60">
        <f>MIN('[9]Total 2027 - 2029'!$D67:$AA67)</f>
        <v>10480.539200050358</v>
      </c>
      <c r="F67" s="60">
        <f>MIN('[9]Total 2027 - 2029'!$D67:$AA67)</f>
        <v>10480.539200050358</v>
      </c>
      <c r="G67" s="60">
        <f>MIN('[9]Total 2027 - 2029'!$D67:$AA67)</f>
        <v>10480.539200050358</v>
      </c>
      <c r="H67" s="60">
        <f>MIN('[9]Total 2027 - 2029'!$D67:$AA67)</f>
        <v>10480.539200050358</v>
      </c>
      <c r="I67" s="60">
        <f>MIN('[9]Total 2027 - 2029'!$D67:$AA67)</f>
        <v>10480.539200050358</v>
      </c>
      <c r="J67" s="60">
        <f>MIN('[9]Total 2027 - 2029'!$D67:$AA67)</f>
        <v>10480.539200050358</v>
      </c>
      <c r="K67" s="60">
        <f>MIN('[9]Total 2027 - 2029'!$D67:$AA67)</f>
        <v>10480.539200050358</v>
      </c>
      <c r="L67" s="60">
        <f>MIN('[9]Total 2027 - 2029'!$D67:$AA67)</f>
        <v>10480.539200050358</v>
      </c>
      <c r="M67" s="60">
        <f>MIN('[9]Total 2027 - 2029'!$D67:$AA67)</f>
        <v>10480.539200050358</v>
      </c>
      <c r="N67" s="60">
        <f>MIN('[9]Total 2027 - 2029'!$D67:$AA67)</f>
        <v>10480.539200050358</v>
      </c>
      <c r="O67" s="60">
        <f>MIN('[9]Total 2027 - 2029'!$D67:$AA67)</f>
        <v>10480.539200050358</v>
      </c>
      <c r="P67" s="60">
        <f>MIN('[9]Total 2027 - 2029'!$D67:$AA67)</f>
        <v>10480.539200050358</v>
      </c>
      <c r="Q67" s="60">
        <f>MIN('[9]Total 2027 - 2029'!$D67:$AA67)</f>
        <v>10480.539200050358</v>
      </c>
      <c r="R67" s="60">
        <f>MIN('[9]Total 2027 - 2029'!$D67:$AA67)</f>
        <v>10480.539200050358</v>
      </c>
      <c r="S67" s="60">
        <f>MIN('[9]Total 2027 - 2029'!$D67:$AA67)</f>
        <v>10480.539200050358</v>
      </c>
      <c r="T67" s="60">
        <f>MIN('[9]Total 2027 - 2029'!$D67:$AA67)</f>
        <v>10480.539200050358</v>
      </c>
      <c r="U67" s="60">
        <f>MIN('[9]Total 2027 - 2029'!$D67:$AA67)</f>
        <v>10480.539200050358</v>
      </c>
      <c r="V67" s="60">
        <f>MIN('[9]Total 2027 - 2029'!$D67:$AA67)</f>
        <v>10480.539200050358</v>
      </c>
      <c r="W67" s="60">
        <f>MIN('[9]Total 2027 - 2029'!$D67:$AA67)</f>
        <v>10480.539200050358</v>
      </c>
      <c r="X67" s="60">
        <f>MIN('[9]Total 2027 - 2029'!$D67:$AA67)</f>
        <v>10480.539200050358</v>
      </c>
      <c r="Y67" s="60">
        <f>MIN('[9]Total 2027 - 2029'!$D67:$AA67)</f>
        <v>10480.539200050358</v>
      </c>
      <c r="Z67" s="60">
        <f>MIN('[9]Total 2027 - 2029'!$D67:$AA67)</f>
        <v>10480.539200050358</v>
      </c>
      <c r="AA67" s="60">
        <f>MIN('[9]Total 2027 - 2029'!$D67:$AA67)</f>
        <v>10480.539200050358</v>
      </c>
      <c r="AB67" s="57">
        <f t="shared" si="1"/>
        <v>1006131.7632048341</v>
      </c>
      <c r="AC67" s="63"/>
    </row>
    <row r="68" spans="1:29" x14ac:dyDescent="0.25">
      <c r="A68" s="67"/>
      <c r="B68" s="59" t="s">
        <v>18</v>
      </c>
      <c r="C68" s="55">
        <v>6</v>
      </c>
      <c r="D68" s="60">
        <f>MIN('[9]Total 2027 - 2029'!$D68:$AA68)</f>
        <v>10583.813200506484</v>
      </c>
      <c r="E68" s="60">
        <f>MIN('[9]Total 2027 - 2029'!$D68:$AA68)</f>
        <v>10583.813200506484</v>
      </c>
      <c r="F68" s="60">
        <f>MIN('[9]Total 2027 - 2029'!$D68:$AA68)</f>
        <v>10583.813200506484</v>
      </c>
      <c r="G68" s="60">
        <f>MIN('[9]Total 2027 - 2029'!$D68:$AA68)</f>
        <v>10583.813200506484</v>
      </c>
      <c r="H68" s="60">
        <f>MIN('[9]Total 2027 - 2029'!$D68:$AA68)</f>
        <v>10583.813200506484</v>
      </c>
      <c r="I68" s="60">
        <f>MIN('[9]Total 2027 - 2029'!$D68:$AA68)</f>
        <v>10583.813200506484</v>
      </c>
      <c r="J68" s="60">
        <f>MIN('[9]Total 2027 - 2029'!$D68:$AA68)</f>
        <v>10583.813200506484</v>
      </c>
      <c r="K68" s="60">
        <f>MIN('[9]Total 2027 - 2029'!$D68:$AA68)</f>
        <v>10583.813200506484</v>
      </c>
      <c r="L68" s="60">
        <f>MIN('[9]Total 2027 - 2029'!$D68:$AA68)</f>
        <v>10583.813200506484</v>
      </c>
      <c r="M68" s="60">
        <f>MIN('[9]Total 2027 - 2029'!$D68:$AA68)</f>
        <v>10583.813200506484</v>
      </c>
      <c r="N68" s="60">
        <f>MIN('[9]Total 2027 - 2029'!$D68:$AA68)</f>
        <v>10583.813200506484</v>
      </c>
      <c r="O68" s="60">
        <f>MIN('[9]Total 2027 - 2029'!$D68:$AA68)</f>
        <v>10583.813200506484</v>
      </c>
      <c r="P68" s="60">
        <f>MIN('[9]Total 2027 - 2029'!$D68:$AA68)</f>
        <v>10583.813200506484</v>
      </c>
      <c r="Q68" s="60">
        <f>MIN('[9]Total 2027 - 2029'!$D68:$AA68)</f>
        <v>10583.813200506484</v>
      </c>
      <c r="R68" s="60">
        <f>MIN('[9]Total 2027 - 2029'!$D68:$AA68)</f>
        <v>10583.813200506484</v>
      </c>
      <c r="S68" s="60">
        <f>MIN('[9]Total 2027 - 2029'!$D68:$AA68)</f>
        <v>10583.813200506484</v>
      </c>
      <c r="T68" s="60">
        <f>MIN('[9]Total 2027 - 2029'!$D68:$AA68)</f>
        <v>10583.813200506484</v>
      </c>
      <c r="U68" s="60">
        <f>MIN('[9]Total 2027 - 2029'!$D68:$AA68)</f>
        <v>10583.813200506484</v>
      </c>
      <c r="V68" s="60">
        <f>MIN('[9]Total 2027 - 2029'!$D68:$AA68)</f>
        <v>10583.813200506484</v>
      </c>
      <c r="W68" s="60">
        <f>MIN('[9]Total 2027 - 2029'!$D68:$AA68)</f>
        <v>10583.813200506484</v>
      </c>
      <c r="X68" s="60">
        <f>MIN('[9]Total 2027 - 2029'!$D68:$AA68)</f>
        <v>10583.813200506484</v>
      </c>
      <c r="Y68" s="60">
        <f>MIN('[9]Total 2027 - 2029'!$D68:$AA68)</f>
        <v>10583.813200506484</v>
      </c>
      <c r="Z68" s="60">
        <f>MIN('[9]Total 2027 - 2029'!$D68:$AA68)</f>
        <v>10583.813200506484</v>
      </c>
      <c r="AA68" s="60">
        <f>MIN('[9]Total 2027 - 2029'!$D68:$AA68)</f>
        <v>10583.813200506484</v>
      </c>
      <c r="AB68" s="57">
        <f t="shared" si="1"/>
        <v>1524069.1008729348</v>
      </c>
      <c r="AC68" s="64"/>
    </row>
    <row r="69" spans="1:29" x14ac:dyDescent="0.25">
      <c r="A69" s="65">
        <v>47058</v>
      </c>
      <c r="B69" s="54" t="s">
        <v>16</v>
      </c>
      <c r="C69" s="55">
        <v>20</v>
      </c>
      <c r="D69" s="60">
        <f>MIN('[9]Total 2027 - 2029'!$D69:$AA69)</f>
        <v>9669.9976889578065</v>
      </c>
      <c r="E69" s="60">
        <f>MIN('[9]Total 2027 - 2029'!$D69:$AA69)</f>
        <v>9669.9976889578065</v>
      </c>
      <c r="F69" s="60">
        <f>MIN('[9]Total 2027 - 2029'!$D69:$AA69)</f>
        <v>9669.9976889578065</v>
      </c>
      <c r="G69" s="60">
        <f>MIN('[9]Total 2027 - 2029'!$D69:$AA69)</f>
        <v>9669.9976889578065</v>
      </c>
      <c r="H69" s="60">
        <f>MIN('[9]Total 2027 - 2029'!$D69:$AA69)</f>
        <v>9669.9976889578065</v>
      </c>
      <c r="I69" s="60">
        <f>MIN('[9]Total 2027 - 2029'!$D69:$AA69)</f>
        <v>9669.9976889578065</v>
      </c>
      <c r="J69" s="60">
        <f>MIN('[9]Total 2027 - 2029'!$D69:$AA69)</f>
        <v>9669.9976889578065</v>
      </c>
      <c r="K69" s="60">
        <f>MIN('[9]Total 2027 - 2029'!$D69:$AA69)</f>
        <v>9669.9976889578065</v>
      </c>
      <c r="L69" s="60">
        <f>MIN('[9]Total 2027 - 2029'!$D69:$AA69)</f>
        <v>9669.9976889578065</v>
      </c>
      <c r="M69" s="60">
        <f>MIN('[9]Total 2027 - 2029'!$D69:$AA69)</f>
        <v>9669.9976889578065</v>
      </c>
      <c r="N69" s="60">
        <f>MIN('[9]Total 2027 - 2029'!$D69:$AA69)</f>
        <v>9669.9976889578065</v>
      </c>
      <c r="O69" s="60">
        <f>MIN('[9]Total 2027 - 2029'!$D69:$AA69)</f>
        <v>9669.9976889578065</v>
      </c>
      <c r="P69" s="60">
        <f>MIN('[9]Total 2027 - 2029'!$D69:$AA69)</f>
        <v>9669.9976889578065</v>
      </c>
      <c r="Q69" s="60">
        <f>MIN('[9]Total 2027 - 2029'!$D69:$AA69)</f>
        <v>9669.9976889578065</v>
      </c>
      <c r="R69" s="60">
        <f>MIN('[9]Total 2027 - 2029'!$D69:$AA69)</f>
        <v>9669.9976889578065</v>
      </c>
      <c r="S69" s="60">
        <f>MIN('[9]Total 2027 - 2029'!$D69:$AA69)</f>
        <v>9669.9976889578065</v>
      </c>
      <c r="T69" s="60">
        <f>MIN('[9]Total 2027 - 2029'!$D69:$AA69)</f>
        <v>9669.9976889578065</v>
      </c>
      <c r="U69" s="60">
        <f>MIN('[9]Total 2027 - 2029'!$D69:$AA69)</f>
        <v>9669.9976889578065</v>
      </c>
      <c r="V69" s="60">
        <f>MIN('[9]Total 2027 - 2029'!$D69:$AA69)</f>
        <v>9669.9976889578065</v>
      </c>
      <c r="W69" s="60">
        <f>MIN('[9]Total 2027 - 2029'!$D69:$AA69)</f>
        <v>9669.9976889578065</v>
      </c>
      <c r="X69" s="60">
        <f>MIN('[9]Total 2027 - 2029'!$D69:$AA69)</f>
        <v>9669.9976889578065</v>
      </c>
      <c r="Y69" s="60">
        <f>MIN('[9]Total 2027 - 2029'!$D69:$AA69)</f>
        <v>9669.9976889578065</v>
      </c>
      <c r="Z69" s="60">
        <f>MIN('[9]Total 2027 - 2029'!$D69:$AA69)</f>
        <v>9669.9976889578065</v>
      </c>
      <c r="AA69" s="60">
        <f>MIN('[9]Total 2027 - 2029'!$D69:$AA69)</f>
        <v>9669.9976889578065</v>
      </c>
      <c r="AB69" s="57">
        <f t="shared" si="1"/>
        <v>4641598.8906997479</v>
      </c>
      <c r="AC69" s="62">
        <f>SUM(AB69:AB71)</f>
        <v>7029777.1786209475</v>
      </c>
    </row>
    <row r="70" spans="1:29" x14ac:dyDescent="0.25">
      <c r="A70" s="66"/>
      <c r="B70" s="59" t="s">
        <v>17</v>
      </c>
      <c r="C70" s="55">
        <v>4</v>
      </c>
      <c r="D70" s="60">
        <f>MIN('[9]Total 2027 - 2029'!$D70:$AA70)</f>
        <v>9897.234396447353</v>
      </c>
      <c r="E70" s="60">
        <f>MIN('[9]Total 2027 - 2029'!$D70:$AA70)</f>
        <v>9897.234396447353</v>
      </c>
      <c r="F70" s="60">
        <f>MIN('[9]Total 2027 - 2029'!$D70:$AA70)</f>
        <v>9897.234396447353</v>
      </c>
      <c r="G70" s="60">
        <f>MIN('[9]Total 2027 - 2029'!$D70:$AA70)</f>
        <v>9897.234396447353</v>
      </c>
      <c r="H70" s="60">
        <f>MIN('[9]Total 2027 - 2029'!$D70:$AA70)</f>
        <v>9897.234396447353</v>
      </c>
      <c r="I70" s="60">
        <f>MIN('[9]Total 2027 - 2029'!$D70:$AA70)</f>
        <v>9897.234396447353</v>
      </c>
      <c r="J70" s="60">
        <f>MIN('[9]Total 2027 - 2029'!$D70:$AA70)</f>
        <v>9897.234396447353</v>
      </c>
      <c r="K70" s="60">
        <f>MIN('[9]Total 2027 - 2029'!$D70:$AA70)</f>
        <v>9897.234396447353</v>
      </c>
      <c r="L70" s="60">
        <f>MIN('[9]Total 2027 - 2029'!$D70:$AA70)</f>
        <v>9897.234396447353</v>
      </c>
      <c r="M70" s="60">
        <f>MIN('[9]Total 2027 - 2029'!$D70:$AA70)</f>
        <v>9897.234396447353</v>
      </c>
      <c r="N70" s="60">
        <f>MIN('[9]Total 2027 - 2029'!$D70:$AA70)</f>
        <v>9897.234396447353</v>
      </c>
      <c r="O70" s="60">
        <f>MIN('[9]Total 2027 - 2029'!$D70:$AA70)</f>
        <v>9897.234396447353</v>
      </c>
      <c r="P70" s="60">
        <f>MIN('[9]Total 2027 - 2029'!$D70:$AA70)</f>
        <v>9897.234396447353</v>
      </c>
      <c r="Q70" s="60">
        <f>MIN('[9]Total 2027 - 2029'!$D70:$AA70)</f>
        <v>9897.234396447353</v>
      </c>
      <c r="R70" s="60">
        <f>MIN('[9]Total 2027 - 2029'!$D70:$AA70)</f>
        <v>9897.234396447353</v>
      </c>
      <c r="S70" s="60">
        <f>MIN('[9]Total 2027 - 2029'!$D70:$AA70)</f>
        <v>9897.234396447353</v>
      </c>
      <c r="T70" s="60">
        <f>MIN('[9]Total 2027 - 2029'!$D70:$AA70)</f>
        <v>9897.234396447353</v>
      </c>
      <c r="U70" s="60">
        <f>MIN('[9]Total 2027 - 2029'!$D70:$AA70)</f>
        <v>9897.234396447353</v>
      </c>
      <c r="V70" s="60">
        <f>MIN('[9]Total 2027 - 2029'!$D70:$AA70)</f>
        <v>9897.234396447353</v>
      </c>
      <c r="W70" s="60">
        <f>MIN('[9]Total 2027 - 2029'!$D70:$AA70)</f>
        <v>9897.234396447353</v>
      </c>
      <c r="X70" s="60">
        <f>MIN('[9]Total 2027 - 2029'!$D70:$AA70)</f>
        <v>9897.234396447353</v>
      </c>
      <c r="Y70" s="60">
        <f>MIN('[9]Total 2027 - 2029'!$D70:$AA70)</f>
        <v>9897.234396447353</v>
      </c>
      <c r="Z70" s="60">
        <f>MIN('[9]Total 2027 - 2029'!$D70:$AA70)</f>
        <v>9897.234396447353</v>
      </c>
      <c r="AA70" s="60">
        <f>MIN('[9]Total 2027 - 2029'!$D70:$AA70)</f>
        <v>9897.234396447353</v>
      </c>
      <c r="AB70" s="57">
        <f t="shared" si="1"/>
        <v>950134.50205894536</v>
      </c>
      <c r="AC70" s="63"/>
    </row>
    <row r="71" spans="1:29" x14ac:dyDescent="0.25">
      <c r="A71" s="67"/>
      <c r="B71" s="59" t="s">
        <v>18</v>
      </c>
      <c r="C71" s="55">
        <v>6</v>
      </c>
      <c r="D71" s="60">
        <f>MIN('[9]Total 2027 - 2029'!$D71:$AA71)</f>
        <v>9986.4151795989856</v>
      </c>
      <c r="E71" s="60">
        <f>MIN('[9]Total 2027 - 2029'!$D71:$AA71)</f>
        <v>9986.4151795989856</v>
      </c>
      <c r="F71" s="60">
        <f>MIN('[9]Total 2027 - 2029'!$D71:$AA71)</f>
        <v>9986.4151795989856</v>
      </c>
      <c r="G71" s="60">
        <f>MIN('[9]Total 2027 - 2029'!$D71:$AA71)</f>
        <v>9986.4151795989856</v>
      </c>
      <c r="H71" s="60">
        <f>MIN('[9]Total 2027 - 2029'!$D71:$AA71)</f>
        <v>9986.4151795989856</v>
      </c>
      <c r="I71" s="60">
        <f>MIN('[9]Total 2027 - 2029'!$D71:$AA71)</f>
        <v>9986.4151795989856</v>
      </c>
      <c r="J71" s="60">
        <f>MIN('[9]Total 2027 - 2029'!$D71:$AA71)</f>
        <v>9986.4151795989856</v>
      </c>
      <c r="K71" s="60">
        <f>MIN('[9]Total 2027 - 2029'!$D71:$AA71)</f>
        <v>9986.4151795989856</v>
      </c>
      <c r="L71" s="60">
        <f>MIN('[9]Total 2027 - 2029'!$D71:$AA71)</f>
        <v>9986.4151795989856</v>
      </c>
      <c r="M71" s="60">
        <f>MIN('[9]Total 2027 - 2029'!$D71:$AA71)</f>
        <v>9986.4151795989856</v>
      </c>
      <c r="N71" s="60">
        <f>MIN('[9]Total 2027 - 2029'!$D71:$AA71)</f>
        <v>9986.4151795989856</v>
      </c>
      <c r="O71" s="60">
        <f>MIN('[9]Total 2027 - 2029'!$D71:$AA71)</f>
        <v>9986.4151795989856</v>
      </c>
      <c r="P71" s="60">
        <f>MIN('[9]Total 2027 - 2029'!$D71:$AA71)</f>
        <v>9986.4151795989856</v>
      </c>
      <c r="Q71" s="60">
        <f>MIN('[9]Total 2027 - 2029'!$D71:$AA71)</f>
        <v>9986.4151795989856</v>
      </c>
      <c r="R71" s="60">
        <f>MIN('[9]Total 2027 - 2029'!$D71:$AA71)</f>
        <v>9986.4151795989856</v>
      </c>
      <c r="S71" s="60">
        <f>MIN('[9]Total 2027 - 2029'!$D71:$AA71)</f>
        <v>9986.4151795989856</v>
      </c>
      <c r="T71" s="60">
        <f>MIN('[9]Total 2027 - 2029'!$D71:$AA71)</f>
        <v>9986.4151795989856</v>
      </c>
      <c r="U71" s="60">
        <f>MIN('[9]Total 2027 - 2029'!$D71:$AA71)</f>
        <v>9986.4151795989856</v>
      </c>
      <c r="V71" s="60">
        <f>MIN('[9]Total 2027 - 2029'!$D71:$AA71)</f>
        <v>9986.4151795989856</v>
      </c>
      <c r="W71" s="60">
        <f>MIN('[9]Total 2027 - 2029'!$D71:$AA71)</f>
        <v>9986.4151795989856</v>
      </c>
      <c r="X71" s="60">
        <f>MIN('[9]Total 2027 - 2029'!$D71:$AA71)</f>
        <v>9986.4151795989856</v>
      </c>
      <c r="Y71" s="60">
        <f>MIN('[9]Total 2027 - 2029'!$D71:$AA71)</f>
        <v>9986.4151795989856</v>
      </c>
      <c r="Z71" s="60">
        <f>MIN('[9]Total 2027 - 2029'!$D71:$AA71)</f>
        <v>9986.4151795989856</v>
      </c>
      <c r="AA71" s="60">
        <f>MIN('[9]Total 2027 - 2029'!$D71:$AA71)</f>
        <v>9986.4151795989856</v>
      </c>
      <c r="AB71" s="57">
        <f t="shared" si="1"/>
        <v>1438043.7858622542</v>
      </c>
      <c r="AC71" s="64"/>
    </row>
    <row r="72" spans="1:29" x14ac:dyDescent="0.25">
      <c r="A72" s="65">
        <v>47088</v>
      </c>
      <c r="B72" s="54" t="s">
        <v>16</v>
      </c>
      <c r="C72" s="55">
        <v>19</v>
      </c>
      <c r="D72" s="60">
        <f>MIN('[9]Total 2027 - 2029'!$D72:$AA72)</f>
        <v>11546.879306890369</v>
      </c>
      <c r="E72" s="60">
        <f>MIN('[9]Total 2027 - 2029'!$D72:$AA72)</f>
        <v>11546.879306890369</v>
      </c>
      <c r="F72" s="60">
        <f>MIN('[9]Total 2027 - 2029'!$D72:$AA72)</f>
        <v>11546.879306890369</v>
      </c>
      <c r="G72" s="60">
        <f>MIN('[9]Total 2027 - 2029'!$D72:$AA72)</f>
        <v>11546.879306890369</v>
      </c>
      <c r="H72" s="60">
        <f>MIN('[9]Total 2027 - 2029'!$D72:$AA72)</f>
        <v>11546.879306890369</v>
      </c>
      <c r="I72" s="60">
        <f>MIN('[9]Total 2027 - 2029'!$D72:$AA72)</f>
        <v>11546.879306890369</v>
      </c>
      <c r="J72" s="60">
        <f>MIN('[9]Total 2027 - 2029'!$D72:$AA72)</f>
        <v>11546.879306890369</v>
      </c>
      <c r="K72" s="60">
        <f>MIN('[9]Total 2027 - 2029'!$D72:$AA72)</f>
        <v>11546.879306890369</v>
      </c>
      <c r="L72" s="60">
        <f>MIN('[9]Total 2027 - 2029'!$D72:$AA72)</f>
        <v>11546.879306890369</v>
      </c>
      <c r="M72" s="60">
        <f>MIN('[9]Total 2027 - 2029'!$D72:$AA72)</f>
        <v>11546.879306890369</v>
      </c>
      <c r="N72" s="60">
        <f>MIN('[9]Total 2027 - 2029'!$D72:$AA72)</f>
        <v>11546.879306890369</v>
      </c>
      <c r="O72" s="60">
        <f>MIN('[9]Total 2027 - 2029'!$D72:$AA72)</f>
        <v>11546.879306890369</v>
      </c>
      <c r="P72" s="60">
        <f>MIN('[9]Total 2027 - 2029'!$D72:$AA72)</f>
        <v>11546.879306890369</v>
      </c>
      <c r="Q72" s="60">
        <f>MIN('[9]Total 2027 - 2029'!$D72:$AA72)</f>
        <v>11546.879306890369</v>
      </c>
      <c r="R72" s="60">
        <f>MIN('[9]Total 2027 - 2029'!$D72:$AA72)</f>
        <v>11546.879306890369</v>
      </c>
      <c r="S72" s="60">
        <f>MIN('[9]Total 2027 - 2029'!$D72:$AA72)</f>
        <v>11546.879306890369</v>
      </c>
      <c r="T72" s="60">
        <f>MIN('[9]Total 2027 - 2029'!$D72:$AA72)</f>
        <v>11546.879306890369</v>
      </c>
      <c r="U72" s="60">
        <f>MIN('[9]Total 2027 - 2029'!$D72:$AA72)</f>
        <v>11546.879306890369</v>
      </c>
      <c r="V72" s="60">
        <f>MIN('[9]Total 2027 - 2029'!$D72:$AA72)</f>
        <v>11546.879306890369</v>
      </c>
      <c r="W72" s="60">
        <f>MIN('[9]Total 2027 - 2029'!$D72:$AA72)</f>
        <v>11546.879306890369</v>
      </c>
      <c r="X72" s="60">
        <f>MIN('[9]Total 2027 - 2029'!$D72:$AA72)</f>
        <v>11546.879306890369</v>
      </c>
      <c r="Y72" s="60">
        <f>MIN('[9]Total 2027 - 2029'!$D72:$AA72)</f>
        <v>11546.879306890369</v>
      </c>
      <c r="Z72" s="60">
        <f>MIN('[9]Total 2027 - 2029'!$D72:$AA72)</f>
        <v>11546.879306890369</v>
      </c>
      <c r="AA72" s="60">
        <f>MIN('[9]Total 2027 - 2029'!$D72:$AA72)</f>
        <v>11546.879306890369</v>
      </c>
      <c r="AB72" s="57">
        <f t="shared" si="1"/>
        <v>5265376.9639420062</v>
      </c>
      <c r="AC72" s="62">
        <f>SUM(AB72:AB74)</f>
        <v>8628823.4257194176</v>
      </c>
    </row>
    <row r="73" spans="1:29" x14ac:dyDescent="0.25">
      <c r="A73" s="66"/>
      <c r="B73" s="59" t="s">
        <v>17</v>
      </c>
      <c r="C73" s="55">
        <v>5</v>
      </c>
      <c r="D73" s="60">
        <f>MIN('[9]Total 2027 - 2029'!$D73:$AA73)</f>
        <v>11618.411854802496</v>
      </c>
      <c r="E73" s="60">
        <f>MIN('[9]Total 2027 - 2029'!$D73:$AA73)</f>
        <v>11618.411854802496</v>
      </c>
      <c r="F73" s="60">
        <f>MIN('[9]Total 2027 - 2029'!$D73:$AA73)</f>
        <v>11618.411854802496</v>
      </c>
      <c r="G73" s="60">
        <f>MIN('[9]Total 2027 - 2029'!$D73:$AA73)</f>
        <v>11618.411854802496</v>
      </c>
      <c r="H73" s="60">
        <f>MIN('[9]Total 2027 - 2029'!$D73:$AA73)</f>
        <v>11618.411854802496</v>
      </c>
      <c r="I73" s="60">
        <f>MIN('[9]Total 2027 - 2029'!$D73:$AA73)</f>
        <v>11618.411854802496</v>
      </c>
      <c r="J73" s="60">
        <f>MIN('[9]Total 2027 - 2029'!$D73:$AA73)</f>
        <v>11618.411854802496</v>
      </c>
      <c r="K73" s="60">
        <f>MIN('[9]Total 2027 - 2029'!$D73:$AA73)</f>
        <v>11618.411854802496</v>
      </c>
      <c r="L73" s="60">
        <f>MIN('[9]Total 2027 - 2029'!$D73:$AA73)</f>
        <v>11618.411854802496</v>
      </c>
      <c r="M73" s="60">
        <f>MIN('[9]Total 2027 - 2029'!$D73:$AA73)</f>
        <v>11618.411854802496</v>
      </c>
      <c r="N73" s="60">
        <f>MIN('[9]Total 2027 - 2029'!$D73:$AA73)</f>
        <v>11618.411854802496</v>
      </c>
      <c r="O73" s="60">
        <f>MIN('[9]Total 2027 - 2029'!$D73:$AA73)</f>
        <v>11618.411854802496</v>
      </c>
      <c r="P73" s="60">
        <f>MIN('[9]Total 2027 - 2029'!$D73:$AA73)</f>
        <v>11618.411854802496</v>
      </c>
      <c r="Q73" s="60">
        <f>MIN('[9]Total 2027 - 2029'!$D73:$AA73)</f>
        <v>11618.411854802496</v>
      </c>
      <c r="R73" s="60">
        <f>MIN('[9]Total 2027 - 2029'!$D73:$AA73)</f>
        <v>11618.411854802496</v>
      </c>
      <c r="S73" s="60">
        <f>MIN('[9]Total 2027 - 2029'!$D73:$AA73)</f>
        <v>11618.411854802496</v>
      </c>
      <c r="T73" s="60">
        <f>MIN('[9]Total 2027 - 2029'!$D73:$AA73)</f>
        <v>11618.411854802496</v>
      </c>
      <c r="U73" s="60">
        <f>MIN('[9]Total 2027 - 2029'!$D73:$AA73)</f>
        <v>11618.411854802496</v>
      </c>
      <c r="V73" s="60">
        <f>MIN('[9]Total 2027 - 2029'!$D73:$AA73)</f>
        <v>11618.411854802496</v>
      </c>
      <c r="W73" s="60">
        <f>MIN('[9]Total 2027 - 2029'!$D73:$AA73)</f>
        <v>11618.411854802496</v>
      </c>
      <c r="X73" s="60">
        <f>MIN('[9]Total 2027 - 2029'!$D73:$AA73)</f>
        <v>11618.411854802496</v>
      </c>
      <c r="Y73" s="60">
        <f>MIN('[9]Total 2027 - 2029'!$D73:$AA73)</f>
        <v>11618.411854802496</v>
      </c>
      <c r="Z73" s="60">
        <f>MIN('[9]Total 2027 - 2029'!$D73:$AA73)</f>
        <v>11618.411854802496</v>
      </c>
      <c r="AA73" s="60">
        <f>MIN('[9]Total 2027 - 2029'!$D73:$AA73)</f>
        <v>11618.411854802496</v>
      </c>
      <c r="AB73" s="57">
        <f t="shared" si="1"/>
        <v>1394209.4225762992</v>
      </c>
      <c r="AC73" s="63"/>
    </row>
    <row r="74" spans="1:29" x14ac:dyDescent="0.25">
      <c r="A74" s="67"/>
      <c r="B74" s="59" t="s">
        <v>18</v>
      </c>
      <c r="C74" s="55">
        <v>7</v>
      </c>
      <c r="D74" s="60">
        <f>MIN('[9]Total 2027 - 2029'!$D74:$AA74)</f>
        <v>11721.649042863766</v>
      </c>
      <c r="E74" s="60">
        <f>MIN('[9]Total 2027 - 2029'!$D74:$AA74)</f>
        <v>11721.649042863766</v>
      </c>
      <c r="F74" s="60">
        <f>MIN('[9]Total 2027 - 2029'!$D74:$AA74)</f>
        <v>11721.649042863766</v>
      </c>
      <c r="G74" s="60">
        <f>MIN('[9]Total 2027 - 2029'!$D74:$AA74)</f>
        <v>11721.649042863766</v>
      </c>
      <c r="H74" s="60">
        <f>MIN('[9]Total 2027 - 2029'!$D74:$AA74)</f>
        <v>11721.649042863766</v>
      </c>
      <c r="I74" s="60">
        <f>MIN('[9]Total 2027 - 2029'!$D74:$AA74)</f>
        <v>11721.649042863766</v>
      </c>
      <c r="J74" s="60">
        <f>MIN('[9]Total 2027 - 2029'!$D74:$AA74)</f>
        <v>11721.649042863766</v>
      </c>
      <c r="K74" s="60">
        <f>MIN('[9]Total 2027 - 2029'!$D74:$AA74)</f>
        <v>11721.649042863766</v>
      </c>
      <c r="L74" s="60">
        <f>MIN('[9]Total 2027 - 2029'!$D74:$AA74)</f>
        <v>11721.649042863766</v>
      </c>
      <c r="M74" s="60">
        <f>MIN('[9]Total 2027 - 2029'!$D74:$AA74)</f>
        <v>11721.649042863766</v>
      </c>
      <c r="N74" s="60">
        <f>MIN('[9]Total 2027 - 2029'!$D74:$AA74)</f>
        <v>11721.649042863766</v>
      </c>
      <c r="O74" s="60">
        <f>MIN('[9]Total 2027 - 2029'!$D74:$AA74)</f>
        <v>11721.649042863766</v>
      </c>
      <c r="P74" s="60">
        <f>MIN('[9]Total 2027 - 2029'!$D74:$AA74)</f>
        <v>11721.649042863766</v>
      </c>
      <c r="Q74" s="60">
        <f>MIN('[9]Total 2027 - 2029'!$D74:$AA74)</f>
        <v>11721.649042863766</v>
      </c>
      <c r="R74" s="60">
        <f>MIN('[9]Total 2027 - 2029'!$D74:$AA74)</f>
        <v>11721.649042863766</v>
      </c>
      <c r="S74" s="60">
        <f>MIN('[9]Total 2027 - 2029'!$D74:$AA74)</f>
        <v>11721.649042863766</v>
      </c>
      <c r="T74" s="60">
        <f>MIN('[9]Total 2027 - 2029'!$D74:$AA74)</f>
        <v>11721.649042863766</v>
      </c>
      <c r="U74" s="60">
        <f>MIN('[9]Total 2027 - 2029'!$D74:$AA74)</f>
        <v>11721.649042863766</v>
      </c>
      <c r="V74" s="60">
        <f>MIN('[9]Total 2027 - 2029'!$D74:$AA74)</f>
        <v>11721.649042863766</v>
      </c>
      <c r="W74" s="60">
        <f>MIN('[9]Total 2027 - 2029'!$D74:$AA74)</f>
        <v>11721.649042863766</v>
      </c>
      <c r="X74" s="60">
        <f>MIN('[9]Total 2027 - 2029'!$D74:$AA74)</f>
        <v>11721.649042863766</v>
      </c>
      <c r="Y74" s="60">
        <f>MIN('[9]Total 2027 - 2029'!$D74:$AA74)</f>
        <v>11721.649042863766</v>
      </c>
      <c r="Z74" s="60">
        <f>MIN('[9]Total 2027 - 2029'!$D74:$AA74)</f>
        <v>11721.649042863766</v>
      </c>
      <c r="AA74" s="60">
        <f>MIN('[9]Total 2027 - 2029'!$D74:$AA74)</f>
        <v>11721.649042863766</v>
      </c>
      <c r="AB74" s="57">
        <f t="shared" si="1"/>
        <v>1969237.0392011134</v>
      </c>
      <c r="AC74" s="64"/>
    </row>
    <row r="75" spans="1:29" x14ac:dyDescent="0.25">
      <c r="A75" s="65">
        <v>47119</v>
      </c>
      <c r="B75" s="54" t="s">
        <v>16</v>
      </c>
      <c r="C75" s="55">
        <v>21</v>
      </c>
      <c r="D75" s="60">
        <f>MIN('[9]Total 2027 - 2029'!$D75:$AA75)</f>
        <v>9597.9740984958189</v>
      </c>
      <c r="E75" s="60">
        <f>MIN('[9]Total 2027 - 2029'!$D75:$AA75)</f>
        <v>9597.9740984958189</v>
      </c>
      <c r="F75" s="60">
        <f>MIN('[9]Total 2027 - 2029'!$D75:$AA75)</f>
        <v>9597.9740984958189</v>
      </c>
      <c r="G75" s="60">
        <f>MIN('[9]Total 2027 - 2029'!$D75:$AA75)</f>
        <v>9597.9740984958189</v>
      </c>
      <c r="H75" s="60">
        <f>MIN('[9]Total 2027 - 2029'!$D75:$AA75)</f>
        <v>9597.9740984958189</v>
      </c>
      <c r="I75" s="60">
        <f>MIN('[9]Total 2027 - 2029'!$D75:$AA75)</f>
        <v>9597.9740984958189</v>
      </c>
      <c r="J75" s="60">
        <f>MIN('[9]Total 2027 - 2029'!$D75:$AA75)</f>
        <v>9597.9740984958189</v>
      </c>
      <c r="K75" s="60">
        <f>MIN('[9]Total 2027 - 2029'!$D75:$AA75)</f>
        <v>9597.9740984958189</v>
      </c>
      <c r="L75" s="60">
        <f>MIN('[9]Total 2027 - 2029'!$D75:$AA75)</f>
        <v>9597.9740984958189</v>
      </c>
      <c r="M75" s="60">
        <f>MIN('[9]Total 2027 - 2029'!$D75:$AA75)</f>
        <v>9597.9740984958189</v>
      </c>
      <c r="N75" s="60">
        <f>MIN('[9]Total 2027 - 2029'!$D75:$AA75)</f>
        <v>9597.9740984958189</v>
      </c>
      <c r="O75" s="60">
        <f>MIN('[9]Total 2027 - 2029'!$D75:$AA75)</f>
        <v>9597.9740984958189</v>
      </c>
      <c r="P75" s="60">
        <f>MIN('[9]Total 2027 - 2029'!$D75:$AA75)</f>
        <v>9597.9740984958189</v>
      </c>
      <c r="Q75" s="60">
        <f>MIN('[9]Total 2027 - 2029'!$D75:$AA75)</f>
        <v>9597.9740984958189</v>
      </c>
      <c r="R75" s="60">
        <f>MIN('[9]Total 2027 - 2029'!$D75:$AA75)</f>
        <v>9597.9740984958189</v>
      </c>
      <c r="S75" s="60">
        <f>MIN('[9]Total 2027 - 2029'!$D75:$AA75)</f>
        <v>9597.9740984958189</v>
      </c>
      <c r="T75" s="60">
        <f>MIN('[9]Total 2027 - 2029'!$D75:$AA75)</f>
        <v>9597.9740984958189</v>
      </c>
      <c r="U75" s="60">
        <f>MIN('[9]Total 2027 - 2029'!$D75:$AA75)</f>
        <v>9597.9740984958189</v>
      </c>
      <c r="V75" s="60">
        <f>MIN('[9]Total 2027 - 2029'!$D75:$AA75)</f>
        <v>9597.9740984958189</v>
      </c>
      <c r="W75" s="60">
        <f>MIN('[9]Total 2027 - 2029'!$D75:$AA75)</f>
        <v>9597.9740984958189</v>
      </c>
      <c r="X75" s="60">
        <f>MIN('[9]Total 2027 - 2029'!$D75:$AA75)</f>
        <v>9597.9740984958189</v>
      </c>
      <c r="Y75" s="60">
        <f>MIN('[9]Total 2027 - 2029'!$D75:$AA75)</f>
        <v>9597.9740984958189</v>
      </c>
      <c r="Z75" s="60">
        <f>MIN('[9]Total 2027 - 2029'!$D75:$AA75)</f>
        <v>9597.9740984958189</v>
      </c>
      <c r="AA75" s="60">
        <f>MIN('[9]Total 2027 - 2029'!$D75:$AA75)</f>
        <v>9597.9740984958189</v>
      </c>
      <c r="AB75" s="57">
        <f>SUM(D75:AA75)*C75</f>
        <v>4837378.945641893</v>
      </c>
      <c r="AC75" s="62">
        <f>SUM(AB75:AB77)</f>
        <v>6787140.2440451682</v>
      </c>
    </row>
    <row r="76" spans="1:29" x14ac:dyDescent="0.25">
      <c r="A76" s="66"/>
      <c r="B76" s="59" t="s">
        <v>17</v>
      </c>
      <c r="C76" s="55">
        <v>4</v>
      </c>
      <c r="D76" s="60">
        <f>MIN('[9]Total 2027 - 2029'!$D76:$AA76)</f>
        <v>8808.0406228936754</v>
      </c>
      <c r="E76" s="60">
        <f>MIN('[9]Total 2027 - 2029'!$D76:$AA76)</f>
        <v>8808.0406228936754</v>
      </c>
      <c r="F76" s="60">
        <f>MIN('[9]Total 2027 - 2029'!$D76:$AA76)</f>
        <v>8808.0406228936754</v>
      </c>
      <c r="G76" s="60">
        <f>MIN('[9]Total 2027 - 2029'!$D76:$AA76)</f>
        <v>8808.0406228936754</v>
      </c>
      <c r="H76" s="60">
        <f>MIN('[9]Total 2027 - 2029'!$D76:$AA76)</f>
        <v>8808.0406228936754</v>
      </c>
      <c r="I76" s="60">
        <f>MIN('[9]Total 2027 - 2029'!$D76:$AA76)</f>
        <v>8808.0406228936754</v>
      </c>
      <c r="J76" s="60">
        <f>MIN('[9]Total 2027 - 2029'!$D76:$AA76)</f>
        <v>8808.0406228936754</v>
      </c>
      <c r="K76" s="60">
        <f>MIN('[9]Total 2027 - 2029'!$D76:$AA76)</f>
        <v>8808.0406228936754</v>
      </c>
      <c r="L76" s="60">
        <f>MIN('[9]Total 2027 - 2029'!$D76:$AA76)</f>
        <v>8808.0406228936754</v>
      </c>
      <c r="M76" s="60">
        <f>MIN('[9]Total 2027 - 2029'!$D76:$AA76)</f>
        <v>8808.0406228936754</v>
      </c>
      <c r="N76" s="60">
        <f>MIN('[9]Total 2027 - 2029'!$D76:$AA76)</f>
        <v>8808.0406228936754</v>
      </c>
      <c r="O76" s="60">
        <f>MIN('[9]Total 2027 - 2029'!$D76:$AA76)</f>
        <v>8808.0406228936754</v>
      </c>
      <c r="P76" s="60">
        <f>MIN('[9]Total 2027 - 2029'!$D76:$AA76)</f>
        <v>8808.0406228936754</v>
      </c>
      <c r="Q76" s="60">
        <f>MIN('[9]Total 2027 - 2029'!$D76:$AA76)</f>
        <v>8808.0406228936754</v>
      </c>
      <c r="R76" s="60">
        <f>MIN('[9]Total 2027 - 2029'!$D76:$AA76)</f>
        <v>8808.0406228936754</v>
      </c>
      <c r="S76" s="60">
        <f>MIN('[9]Total 2027 - 2029'!$D76:$AA76)</f>
        <v>8808.0406228936754</v>
      </c>
      <c r="T76" s="60">
        <f>MIN('[9]Total 2027 - 2029'!$D76:$AA76)</f>
        <v>8808.0406228936754</v>
      </c>
      <c r="U76" s="60">
        <f>MIN('[9]Total 2027 - 2029'!$D76:$AA76)</f>
        <v>8808.0406228936754</v>
      </c>
      <c r="V76" s="60">
        <f>MIN('[9]Total 2027 - 2029'!$D76:$AA76)</f>
        <v>8808.0406228936754</v>
      </c>
      <c r="W76" s="60">
        <f>MIN('[9]Total 2027 - 2029'!$D76:$AA76)</f>
        <v>8808.0406228936754</v>
      </c>
      <c r="X76" s="60">
        <f>MIN('[9]Total 2027 - 2029'!$D76:$AA76)</f>
        <v>8808.0406228936754</v>
      </c>
      <c r="Y76" s="60">
        <f>MIN('[9]Total 2027 - 2029'!$D76:$AA76)</f>
        <v>8808.0406228936754</v>
      </c>
      <c r="Z76" s="60">
        <f>MIN('[9]Total 2027 - 2029'!$D76:$AA76)</f>
        <v>8808.0406228936754</v>
      </c>
      <c r="AA76" s="60">
        <f>MIN('[9]Total 2027 - 2029'!$D76:$AA76)</f>
        <v>8808.0406228936754</v>
      </c>
      <c r="AB76" s="57">
        <f>SUM(D76:AA76)*C76</f>
        <v>845571.89979779243</v>
      </c>
      <c r="AC76" s="63"/>
    </row>
    <row r="77" spans="1:29" x14ac:dyDescent="0.25">
      <c r="A77" s="67"/>
      <c r="B77" s="59" t="s">
        <v>18</v>
      </c>
      <c r="C77" s="55">
        <v>6</v>
      </c>
      <c r="D77" s="60">
        <f>MIN('[9]Total 2027 - 2029'!$D77:$AA77)</f>
        <v>7667.9819347602952</v>
      </c>
      <c r="E77" s="60">
        <f>MIN('[9]Total 2027 - 2029'!$D77:$AA77)</f>
        <v>7667.9819347602952</v>
      </c>
      <c r="F77" s="60">
        <f>MIN('[9]Total 2027 - 2029'!$D77:$AA77)</f>
        <v>7667.9819347602952</v>
      </c>
      <c r="G77" s="60">
        <f>MIN('[9]Total 2027 - 2029'!$D77:$AA77)</f>
        <v>7667.9819347602952</v>
      </c>
      <c r="H77" s="60">
        <f>MIN('[9]Total 2027 - 2029'!$D77:$AA77)</f>
        <v>7667.9819347602952</v>
      </c>
      <c r="I77" s="60">
        <f>MIN('[9]Total 2027 - 2029'!$D77:$AA77)</f>
        <v>7667.9819347602952</v>
      </c>
      <c r="J77" s="60">
        <f>MIN('[9]Total 2027 - 2029'!$D77:$AA77)</f>
        <v>7667.9819347602952</v>
      </c>
      <c r="K77" s="60">
        <f>MIN('[9]Total 2027 - 2029'!$D77:$AA77)</f>
        <v>7667.9819347602952</v>
      </c>
      <c r="L77" s="60">
        <f>MIN('[9]Total 2027 - 2029'!$D77:$AA77)</f>
        <v>7667.9819347602952</v>
      </c>
      <c r="M77" s="60">
        <f>MIN('[9]Total 2027 - 2029'!$D77:$AA77)</f>
        <v>7667.9819347602952</v>
      </c>
      <c r="N77" s="60">
        <f>MIN('[9]Total 2027 - 2029'!$D77:$AA77)</f>
        <v>7667.9819347602952</v>
      </c>
      <c r="O77" s="60">
        <f>MIN('[9]Total 2027 - 2029'!$D77:$AA77)</f>
        <v>7667.9819347602952</v>
      </c>
      <c r="P77" s="60">
        <f>MIN('[9]Total 2027 - 2029'!$D77:$AA77)</f>
        <v>7667.9819347602952</v>
      </c>
      <c r="Q77" s="60">
        <f>MIN('[9]Total 2027 - 2029'!$D77:$AA77)</f>
        <v>7667.9819347602952</v>
      </c>
      <c r="R77" s="60">
        <f>MIN('[9]Total 2027 - 2029'!$D77:$AA77)</f>
        <v>7667.9819347602952</v>
      </c>
      <c r="S77" s="60">
        <f>MIN('[9]Total 2027 - 2029'!$D77:$AA77)</f>
        <v>7667.9819347602952</v>
      </c>
      <c r="T77" s="60">
        <f>MIN('[9]Total 2027 - 2029'!$D77:$AA77)</f>
        <v>7667.9819347602952</v>
      </c>
      <c r="U77" s="60">
        <f>MIN('[9]Total 2027 - 2029'!$D77:$AA77)</f>
        <v>7667.9819347602952</v>
      </c>
      <c r="V77" s="60">
        <f>MIN('[9]Total 2027 - 2029'!$D77:$AA77)</f>
        <v>7667.9819347602952</v>
      </c>
      <c r="W77" s="60">
        <f>MIN('[9]Total 2027 - 2029'!$D77:$AA77)</f>
        <v>7667.9819347602952</v>
      </c>
      <c r="X77" s="60">
        <f>MIN('[9]Total 2027 - 2029'!$D77:$AA77)</f>
        <v>7667.9819347602952</v>
      </c>
      <c r="Y77" s="60">
        <f>MIN('[9]Total 2027 - 2029'!$D77:$AA77)</f>
        <v>7667.9819347602952</v>
      </c>
      <c r="Z77" s="60">
        <f>MIN('[9]Total 2027 - 2029'!$D77:$AA77)</f>
        <v>7667.9819347602952</v>
      </c>
      <c r="AA77" s="60">
        <f>MIN('[9]Total 2027 - 2029'!$D77:$AA77)</f>
        <v>7667.9819347602952</v>
      </c>
      <c r="AB77" s="57">
        <f t="shared" ref="AB77:AB110" si="2">SUM(D77:AA77)*C77</f>
        <v>1104189.3986054822</v>
      </c>
      <c r="AC77" s="64"/>
    </row>
    <row r="78" spans="1:29" x14ac:dyDescent="0.25">
      <c r="A78" s="65">
        <v>47150</v>
      </c>
      <c r="B78" s="54" t="s">
        <v>16</v>
      </c>
      <c r="C78" s="55">
        <v>20</v>
      </c>
      <c r="D78" s="60">
        <f>MIN('[9]Total 2027 - 2029'!$D78:$AA78)</f>
        <v>13068.717638758151</v>
      </c>
      <c r="E78" s="60">
        <f>MIN('[9]Total 2027 - 2029'!$D78:$AA78)</f>
        <v>13068.717638758151</v>
      </c>
      <c r="F78" s="60">
        <f>MIN('[9]Total 2027 - 2029'!$D78:$AA78)</f>
        <v>13068.717638758151</v>
      </c>
      <c r="G78" s="60">
        <f>MIN('[9]Total 2027 - 2029'!$D78:$AA78)</f>
        <v>13068.717638758151</v>
      </c>
      <c r="H78" s="60">
        <f>MIN('[9]Total 2027 - 2029'!$D78:$AA78)</f>
        <v>13068.717638758151</v>
      </c>
      <c r="I78" s="60">
        <f>MIN('[9]Total 2027 - 2029'!$D78:$AA78)</f>
        <v>13068.717638758151</v>
      </c>
      <c r="J78" s="60">
        <f>MIN('[9]Total 2027 - 2029'!$D78:$AA78)</f>
        <v>13068.717638758151</v>
      </c>
      <c r="K78" s="60">
        <f>MIN('[9]Total 2027 - 2029'!$D78:$AA78)</f>
        <v>13068.717638758151</v>
      </c>
      <c r="L78" s="60">
        <f>MIN('[9]Total 2027 - 2029'!$D78:$AA78)</f>
        <v>13068.717638758151</v>
      </c>
      <c r="M78" s="60">
        <f>MIN('[9]Total 2027 - 2029'!$D78:$AA78)</f>
        <v>13068.717638758151</v>
      </c>
      <c r="N78" s="60">
        <f>MIN('[9]Total 2027 - 2029'!$D78:$AA78)</f>
        <v>13068.717638758151</v>
      </c>
      <c r="O78" s="60">
        <f>MIN('[9]Total 2027 - 2029'!$D78:$AA78)</f>
        <v>13068.717638758151</v>
      </c>
      <c r="P78" s="60">
        <f>MIN('[9]Total 2027 - 2029'!$D78:$AA78)</f>
        <v>13068.717638758151</v>
      </c>
      <c r="Q78" s="60">
        <f>MIN('[9]Total 2027 - 2029'!$D78:$AA78)</f>
        <v>13068.717638758151</v>
      </c>
      <c r="R78" s="60">
        <f>MIN('[9]Total 2027 - 2029'!$D78:$AA78)</f>
        <v>13068.717638758151</v>
      </c>
      <c r="S78" s="60">
        <f>MIN('[9]Total 2027 - 2029'!$D78:$AA78)</f>
        <v>13068.717638758151</v>
      </c>
      <c r="T78" s="60">
        <f>MIN('[9]Total 2027 - 2029'!$D78:$AA78)</f>
        <v>13068.717638758151</v>
      </c>
      <c r="U78" s="60">
        <f>MIN('[9]Total 2027 - 2029'!$D78:$AA78)</f>
        <v>13068.717638758151</v>
      </c>
      <c r="V78" s="60">
        <f>MIN('[9]Total 2027 - 2029'!$D78:$AA78)</f>
        <v>13068.717638758151</v>
      </c>
      <c r="W78" s="60">
        <f>MIN('[9]Total 2027 - 2029'!$D78:$AA78)</f>
        <v>13068.717638758151</v>
      </c>
      <c r="X78" s="60">
        <f>MIN('[9]Total 2027 - 2029'!$D78:$AA78)</f>
        <v>13068.717638758151</v>
      </c>
      <c r="Y78" s="60">
        <f>MIN('[9]Total 2027 - 2029'!$D78:$AA78)</f>
        <v>13068.717638758151</v>
      </c>
      <c r="Z78" s="60">
        <f>MIN('[9]Total 2027 - 2029'!$D78:$AA78)</f>
        <v>13068.717638758151</v>
      </c>
      <c r="AA78" s="60">
        <f>MIN('[9]Total 2027 - 2029'!$D78:$AA78)</f>
        <v>13068.717638758151</v>
      </c>
      <c r="AB78" s="57">
        <f t="shared" si="2"/>
        <v>6272984.4666039124</v>
      </c>
      <c r="AC78" s="62">
        <f>SUM(AB78:AB80)</f>
        <v>8456526.6347948071</v>
      </c>
    </row>
    <row r="79" spans="1:29" x14ac:dyDescent="0.25">
      <c r="A79" s="66"/>
      <c r="B79" s="59" t="s">
        <v>17</v>
      </c>
      <c r="C79" s="55">
        <v>4</v>
      </c>
      <c r="D79" s="60">
        <f>MIN('[9]Total 2027 - 2029'!$D79:$AA79)</f>
        <v>11504.96479055959</v>
      </c>
      <c r="E79" s="60">
        <f>MIN('[9]Total 2027 - 2029'!$D79:$AA79)</f>
        <v>11504.96479055959</v>
      </c>
      <c r="F79" s="60">
        <f>MIN('[9]Total 2027 - 2029'!$D79:$AA79)</f>
        <v>11504.96479055959</v>
      </c>
      <c r="G79" s="60">
        <f>MIN('[9]Total 2027 - 2029'!$D79:$AA79)</f>
        <v>11504.96479055959</v>
      </c>
      <c r="H79" s="60">
        <f>MIN('[9]Total 2027 - 2029'!$D79:$AA79)</f>
        <v>11504.96479055959</v>
      </c>
      <c r="I79" s="60">
        <f>MIN('[9]Total 2027 - 2029'!$D79:$AA79)</f>
        <v>11504.96479055959</v>
      </c>
      <c r="J79" s="60">
        <f>MIN('[9]Total 2027 - 2029'!$D79:$AA79)</f>
        <v>11504.96479055959</v>
      </c>
      <c r="K79" s="60">
        <f>MIN('[9]Total 2027 - 2029'!$D79:$AA79)</f>
        <v>11504.96479055959</v>
      </c>
      <c r="L79" s="60">
        <f>MIN('[9]Total 2027 - 2029'!$D79:$AA79)</f>
        <v>11504.96479055959</v>
      </c>
      <c r="M79" s="60">
        <f>MIN('[9]Total 2027 - 2029'!$D79:$AA79)</f>
        <v>11504.96479055959</v>
      </c>
      <c r="N79" s="60">
        <f>MIN('[9]Total 2027 - 2029'!$D79:$AA79)</f>
        <v>11504.96479055959</v>
      </c>
      <c r="O79" s="60">
        <f>MIN('[9]Total 2027 - 2029'!$D79:$AA79)</f>
        <v>11504.96479055959</v>
      </c>
      <c r="P79" s="60">
        <f>MIN('[9]Total 2027 - 2029'!$D79:$AA79)</f>
        <v>11504.96479055959</v>
      </c>
      <c r="Q79" s="60">
        <f>MIN('[9]Total 2027 - 2029'!$D79:$AA79)</f>
        <v>11504.96479055959</v>
      </c>
      <c r="R79" s="60">
        <f>MIN('[9]Total 2027 - 2029'!$D79:$AA79)</f>
        <v>11504.96479055959</v>
      </c>
      <c r="S79" s="60">
        <f>MIN('[9]Total 2027 - 2029'!$D79:$AA79)</f>
        <v>11504.96479055959</v>
      </c>
      <c r="T79" s="60">
        <f>MIN('[9]Total 2027 - 2029'!$D79:$AA79)</f>
        <v>11504.96479055959</v>
      </c>
      <c r="U79" s="60">
        <f>MIN('[9]Total 2027 - 2029'!$D79:$AA79)</f>
        <v>11504.96479055959</v>
      </c>
      <c r="V79" s="60">
        <f>MIN('[9]Total 2027 - 2029'!$D79:$AA79)</f>
        <v>11504.96479055959</v>
      </c>
      <c r="W79" s="60">
        <f>MIN('[9]Total 2027 - 2029'!$D79:$AA79)</f>
        <v>11504.96479055959</v>
      </c>
      <c r="X79" s="60">
        <f>MIN('[9]Total 2027 - 2029'!$D79:$AA79)</f>
        <v>11504.96479055959</v>
      </c>
      <c r="Y79" s="60">
        <f>MIN('[9]Total 2027 - 2029'!$D79:$AA79)</f>
        <v>11504.96479055959</v>
      </c>
      <c r="Z79" s="60">
        <f>MIN('[9]Total 2027 - 2029'!$D79:$AA79)</f>
        <v>11504.96479055959</v>
      </c>
      <c r="AA79" s="60">
        <f>MIN('[9]Total 2027 - 2029'!$D79:$AA79)</f>
        <v>11504.96479055959</v>
      </c>
      <c r="AB79" s="57">
        <f t="shared" si="2"/>
        <v>1104476.6198937201</v>
      </c>
      <c r="AC79" s="63"/>
    </row>
    <row r="80" spans="1:29" x14ac:dyDescent="0.25">
      <c r="A80" s="67"/>
      <c r="B80" s="59" t="s">
        <v>18</v>
      </c>
      <c r="C80" s="55">
        <v>4</v>
      </c>
      <c r="D80" s="60">
        <f>MIN('[9]Total 2027 - 2029'!$D80:$AA80)</f>
        <v>11240.26612809558</v>
      </c>
      <c r="E80" s="60">
        <f>MIN('[9]Total 2027 - 2029'!$D80:$AA80)</f>
        <v>11240.26612809558</v>
      </c>
      <c r="F80" s="60">
        <f>MIN('[9]Total 2027 - 2029'!$D80:$AA80)</f>
        <v>11240.26612809558</v>
      </c>
      <c r="G80" s="60">
        <f>MIN('[9]Total 2027 - 2029'!$D80:$AA80)</f>
        <v>11240.26612809558</v>
      </c>
      <c r="H80" s="60">
        <f>MIN('[9]Total 2027 - 2029'!$D80:$AA80)</f>
        <v>11240.26612809558</v>
      </c>
      <c r="I80" s="60">
        <f>MIN('[9]Total 2027 - 2029'!$D80:$AA80)</f>
        <v>11240.26612809558</v>
      </c>
      <c r="J80" s="60">
        <f>MIN('[9]Total 2027 - 2029'!$D80:$AA80)</f>
        <v>11240.26612809558</v>
      </c>
      <c r="K80" s="60">
        <f>MIN('[9]Total 2027 - 2029'!$D80:$AA80)</f>
        <v>11240.26612809558</v>
      </c>
      <c r="L80" s="60">
        <f>MIN('[9]Total 2027 - 2029'!$D80:$AA80)</f>
        <v>11240.26612809558</v>
      </c>
      <c r="M80" s="60">
        <f>MIN('[9]Total 2027 - 2029'!$D80:$AA80)</f>
        <v>11240.26612809558</v>
      </c>
      <c r="N80" s="60">
        <f>MIN('[9]Total 2027 - 2029'!$D80:$AA80)</f>
        <v>11240.26612809558</v>
      </c>
      <c r="O80" s="60">
        <f>MIN('[9]Total 2027 - 2029'!$D80:$AA80)</f>
        <v>11240.26612809558</v>
      </c>
      <c r="P80" s="60">
        <f>MIN('[9]Total 2027 - 2029'!$D80:$AA80)</f>
        <v>11240.26612809558</v>
      </c>
      <c r="Q80" s="60">
        <f>MIN('[9]Total 2027 - 2029'!$D80:$AA80)</f>
        <v>11240.26612809558</v>
      </c>
      <c r="R80" s="60">
        <f>MIN('[9]Total 2027 - 2029'!$D80:$AA80)</f>
        <v>11240.26612809558</v>
      </c>
      <c r="S80" s="60">
        <f>MIN('[9]Total 2027 - 2029'!$D80:$AA80)</f>
        <v>11240.26612809558</v>
      </c>
      <c r="T80" s="60">
        <f>MIN('[9]Total 2027 - 2029'!$D80:$AA80)</f>
        <v>11240.26612809558</v>
      </c>
      <c r="U80" s="60">
        <f>MIN('[9]Total 2027 - 2029'!$D80:$AA80)</f>
        <v>11240.26612809558</v>
      </c>
      <c r="V80" s="60">
        <f>MIN('[9]Total 2027 - 2029'!$D80:$AA80)</f>
        <v>11240.26612809558</v>
      </c>
      <c r="W80" s="60">
        <f>MIN('[9]Total 2027 - 2029'!$D80:$AA80)</f>
        <v>11240.26612809558</v>
      </c>
      <c r="X80" s="60">
        <f>MIN('[9]Total 2027 - 2029'!$D80:$AA80)</f>
        <v>11240.26612809558</v>
      </c>
      <c r="Y80" s="60">
        <f>MIN('[9]Total 2027 - 2029'!$D80:$AA80)</f>
        <v>11240.26612809558</v>
      </c>
      <c r="Z80" s="60">
        <f>MIN('[9]Total 2027 - 2029'!$D80:$AA80)</f>
        <v>11240.26612809558</v>
      </c>
      <c r="AA80" s="60">
        <f>MIN('[9]Total 2027 - 2029'!$D80:$AA80)</f>
        <v>11240.26612809558</v>
      </c>
      <c r="AB80" s="57">
        <f t="shared" si="2"/>
        <v>1079065.548297175</v>
      </c>
      <c r="AC80" s="64"/>
    </row>
    <row r="81" spans="1:29" x14ac:dyDescent="0.25">
      <c r="A81" s="65">
        <v>47178</v>
      </c>
      <c r="B81" s="54" t="s">
        <v>16</v>
      </c>
      <c r="C81" s="55">
        <v>19</v>
      </c>
      <c r="D81" s="60">
        <f>MIN('[9]Total 2027 - 2029'!$D81:$AA81)</f>
        <v>14016.632461842593</v>
      </c>
      <c r="E81" s="60">
        <f>MIN('[9]Total 2027 - 2029'!$D81:$AA81)</f>
        <v>14016.632461842593</v>
      </c>
      <c r="F81" s="60">
        <f>MIN('[9]Total 2027 - 2029'!$D81:$AA81)</f>
        <v>14016.632461842593</v>
      </c>
      <c r="G81" s="60">
        <f>MIN('[9]Total 2027 - 2029'!$D81:$AA81)</f>
        <v>14016.632461842593</v>
      </c>
      <c r="H81" s="60">
        <f>MIN('[9]Total 2027 - 2029'!$D81:$AA81)</f>
        <v>14016.632461842593</v>
      </c>
      <c r="I81" s="60">
        <f>MIN('[9]Total 2027 - 2029'!$D81:$AA81)</f>
        <v>14016.632461842593</v>
      </c>
      <c r="J81" s="60">
        <f>MIN('[9]Total 2027 - 2029'!$D81:$AA81)</f>
        <v>14016.632461842593</v>
      </c>
      <c r="K81" s="60">
        <f>MIN('[9]Total 2027 - 2029'!$D81:$AA81)</f>
        <v>14016.632461842593</v>
      </c>
      <c r="L81" s="60">
        <f>MIN('[9]Total 2027 - 2029'!$D81:$AA81)</f>
        <v>14016.632461842593</v>
      </c>
      <c r="M81" s="60">
        <f>MIN('[9]Total 2027 - 2029'!$D81:$AA81)</f>
        <v>14016.632461842593</v>
      </c>
      <c r="N81" s="60">
        <f>MIN('[9]Total 2027 - 2029'!$D81:$AA81)</f>
        <v>14016.632461842593</v>
      </c>
      <c r="O81" s="60">
        <f>MIN('[9]Total 2027 - 2029'!$D81:$AA81)</f>
        <v>14016.632461842593</v>
      </c>
      <c r="P81" s="60">
        <f>MIN('[9]Total 2027 - 2029'!$D81:$AA81)</f>
        <v>14016.632461842593</v>
      </c>
      <c r="Q81" s="60">
        <f>MIN('[9]Total 2027 - 2029'!$D81:$AA81)</f>
        <v>14016.632461842593</v>
      </c>
      <c r="R81" s="60">
        <f>MIN('[9]Total 2027 - 2029'!$D81:$AA81)</f>
        <v>14016.632461842593</v>
      </c>
      <c r="S81" s="60">
        <f>MIN('[9]Total 2027 - 2029'!$D81:$AA81)</f>
        <v>14016.632461842593</v>
      </c>
      <c r="T81" s="60">
        <f>MIN('[9]Total 2027 - 2029'!$D81:$AA81)</f>
        <v>14016.632461842593</v>
      </c>
      <c r="U81" s="60">
        <f>MIN('[9]Total 2027 - 2029'!$D81:$AA81)</f>
        <v>14016.632461842593</v>
      </c>
      <c r="V81" s="60">
        <f>MIN('[9]Total 2027 - 2029'!$D81:$AA81)</f>
        <v>14016.632461842593</v>
      </c>
      <c r="W81" s="60">
        <f>MIN('[9]Total 2027 - 2029'!$D81:$AA81)</f>
        <v>14016.632461842593</v>
      </c>
      <c r="X81" s="60">
        <f>MIN('[9]Total 2027 - 2029'!$D81:$AA81)</f>
        <v>14016.632461842593</v>
      </c>
      <c r="Y81" s="60">
        <f>MIN('[9]Total 2027 - 2029'!$D81:$AA81)</f>
        <v>14016.632461842593</v>
      </c>
      <c r="Z81" s="60">
        <f>MIN('[9]Total 2027 - 2029'!$D81:$AA81)</f>
        <v>14016.632461842593</v>
      </c>
      <c r="AA81" s="60">
        <f>MIN('[9]Total 2027 - 2029'!$D81:$AA81)</f>
        <v>14016.632461842593</v>
      </c>
      <c r="AB81" s="57">
        <f t="shared" si="2"/>
        <v>6391584.4026002223</v>
      </c>
      <c r="AC81" s="62">
        <f>SUM(AB81:AB83)</f>
        <v>9756996.8474098817</v>
      </c>
    </row>
    <row r="82" spans="1:29" x14ac:dyDescent="0.25">
      <c r="A82" s="66"/>
      <c r="B82" s="59" t="s">
        <v>17</v>
      </c>
      <c r="C82" s="55">
        <v>5</v>
      </c>
      <c r="D82" s="60">
        <f>MIN('[9]Total 2027 - 2029'!$D82:$AA82)</f>
        <v>11749.187658004146</v>
      </c>
      <c r="E82" s="60">
        <f>MIN('[9]Total 2027 - 2029'!$D82:$AA82)</f>
        <v>11749.187658004146</v>
      </c>
      <c r="F82" s="60">
        <f>MIN('[9]Total 2027 - 2029'!$D82:$AA82)</f>
        <v>11749.187658004146</v>
      </c>
      <c r="G82" s="60">
        <f>MIN('[9]Total 2027 - 2029'!$D82:$AA82)</f>
        <v>11749.187658004146</v>
      </c>
      <c r="H82" s="60">
        <f>MIN('[9]Total 2027 - 2029'!$D82:$AA82)</f>
        <v>11749.187658004146</v>
      </c>
      <c r="I82" s="60">
        <f>MIN('[9]Total 2027 - 2029'!$D82:$AA82)</f>
        <v>11749.187658004146</v>
      </c>
      <c r="J82" s="60">
        <f>MIN('[9]Total 2027 - 2029'!$D82:$AA82)</f>
        <v>11749.187658004146</v>
      </c>
      <c r="K82" s="60">
        <f>MIN('[9]Total 2027 - 2029'!$D82:$AA82)</f>
        <v>11749.187658004146</v>
      </c>
      <c r="L82" s="60">
        <f>MIN('[9]Total 2027 - 2029'!$D82:$AA82)</f>
        <v>11749.187658004146</v>
      </c>
      <c r="M82" s="60">
        <f>MIN('[9]Total 2027 - 2029'!$D82:$AA82)</f>
        <v>11749.187658004146</v>
      </c>
      <c r="N82" s="60">
        <f>MIN('[9]Total 2027 - 2029'!$D82:$AA82)</f>
        <v>11749.187658004146</v>
      </c>
      <c r="O82" s="60">
        <f>MIN('[9]Total 2027 - 2029'!$D82:$AA82)</f>
        <v>11749.187658004146</v>
      </c>
      <c r="P82" s="60">
        <f>MIN('[9]Total 2027 - 2029'!$D82:$AA82)</f>
        <v>11749.187658004146</v>
      </c>
      <c r="Q82" s="60">
        <f>MIN('[9]Total 2027 - 2029'!$D82:$AA82)</f>
        <v>11749.187658004146</v>
      </c>
      <c r="R82" s="60">
        <f>MIN('[9]Total 2027 - 2029'!$D82:$AA82)</f>
        <v>11749.187658004146</v>
      </c>
      <c r="S82" s="60">
        <f>MIN('[9]Total 2027 - 2029'!$D82:$AA82)</f>
        <v>11749.187658004146</v>
      </c>
      <c r="T82" s="60">
        <f>MIN('[9]Total 2027 - 2029'!$D82:$AA82)</f>
        <v>11749.187658004146</v>
      </c>
      <c r="U82" s="60">
        <f>MIN('[9]Total 2027 - 2029'!$D82:$AA82)</f>
        <v>11749.187658004146</v>
      </c>
      <c r="V82" s="60">
        <f>MIN('[9]Total 2027 - 2029'!$D82:$AA82)</f>
        <v>11749.187658004146</v>
      </c>
      <c r="W82" s="60">
        <f>MIN('[9]Total 2027 - 2029'!$D82:$AA82)</f>
        <v>11749.187658004146</v>
      </c>
      <c r="X82" s="60">
        <f>MIN('[9]Total 2027 - 2029'!$D82:$AA82)</f>
        <v>11749.187658004146</v>
      </c>
      <c r="Y82" s="60">
        <f>MIN('[9]Total 2027 - 2029'!$D82:$AA82)</f>
        <v>11749.187658004146</v>
      </c>
      <c r="Z82" s="60">
        <f>MIN('[9]Total 2027 - 2029'!$D82:$AA82)</f>
        <v>11749.187658004146</v>
      </c>
      <c r="AA82" s="60">
        <f>MIN('[9]Total 2027 - 2029'!$D82:$AA82)</f>
        <v>11749.187658004146</v>
      </c>
      <c r="AB82" s="57">
        <f t="shared" si="2"/>
        <v>1409902.5189604973</v>
      </c>
      <c r="AC82" s="63"/>
    </row>
    <row r="83" spans="1:29" x14ac:dyDescent="0.25">
      <c r="A83" s="67"/>
      <c r="B83" s="59" t="s">
        <v>18</v>
      </c>
      <c r="C83" s="55">
        <v>7</v>
      </c>
      <c r="D83" s="60">
        <f>MIN('[9]Total 2027 - 2029'!$D83:$AA83)</f>
        <v>11639.94003481644</v>
      </c>
      <c r="E83" s="60">
        <f>MIN('[9]Total 2027 - 2029'!$D83:$AA83)</f>
        <v>11639.94003481644</v>
      </c>
      <c r="F83" s="60">
        <f>MIN('[9]Total 2027 - 2029'!$D83:$AA83)</f>
        <v>11639.94003481644</v>
      </c>
      <c r="G83" s="60">
        <f>MIN('[9]Total 2027 - 2029'!$D83:$AA83)</f>
        <v>11639.94003481644</v>
      </c>
      <c r="H83" s="60">
        <f>MIN('[9]Total 2027 - 2029'!$D83:$AA83)</f>
        <v>11639.94003481644</v>
      </c>
      <c r="I83" s="60">
        <f>MIN('[9]Total 2027 - 2029'!$D83:$AA83)</f>
        <v>11639.94003481644</v>
      </c>
      <c r="J83" s="60">
        <f>MIN('[9]Total 2027 - 2029'!$D83:$AA83)</f>
        <v>11639.94003481644</v>
      </c>
      <c r="K83" s="60">
        <f>MIN('[9]Total 2027 - 2029'!$D83:$AA83)</f>
        <v>11639.94003481644</v>
      </c>
      <c r="L83" s="60">
        <f>MIN('[9]Total 2027 - 2029'!$D83:$AA83)</f>
        <v>11639.94003481644</v>
      </c>
      <c r="M83" s="60">
        <f>MIN('[9]Total 2027 - 2029'!$D83:$AA83)</f>
        <v>11639.94003481644</v>
      </c>
      <c r="N83" s="60">
        <f>MIN('[9]Total 2027 - 2029'!$D83:$AA83)</f>
        <v>11639.94003481644</v>
      </c>
      <c r="O83" s="60">
        <f>MIN('[9]Total 2027 - 2029'!$D83:$AA83)</f>
        <v>11639.94003481644</v>
      </c>
      <c r="P83" s="60">
        <f>MIN('[9]Total 2027 - 2029'!$D83:$AA83)</f>
        <v>11639.94003481644</v>
      </c>
      <c r="Q83" s="60">
        <f>MIN('[9]Total 2027 - 2029'!$D83:$AA83)</f>
        <v>11639.94003481644</v>
      </c>
      <c r="R83" s="60">
        <f>MIN('[9]Total 2027 - 2029'!$D83:$AA83)</f>
        <v>11639.94003481644</v>
      </c>
      <c r="S83" s="60">
        <f>MIN('[9]Total 2027 - 2029'!$D83:$AA83)</f>
        <v>11639.94003481644</v>
      </c>
      <c r="T83" s="60">
        <f>MIN('[9]Total 2027 - 2029'!$D83:$AA83)</f>
        <v>11639.94003481644</v>
      </c>
      <c r="U83" s="60">
        <f>MIN('[9]Total 2027 - 2029'!$D83:$AA83)</f>
        <v>11639.94003481644</v>
      </c>
      <c r="V83" s="60">
        <f>MIN('[9]Total 2027 - 2029'!$D83:$AA83)</f>
        <v>11639.94003481644</v>
      </c>
      <c r="W83" s="60">
        <f>MIN('[9]Total 2027 - 2029'!$D83:$AA83)</f>
        <v>11639.94003481644</v>
      </c>
      <c r="X83" s="60">
        <f>MIN('[9]Total 2027 - 2029'!$D83:$AA83)</f>
        <v>11639.94003481644</v>
      </c>
      <c r="Y83" s="60">
        <f>MIN('[9]Total 2027 - 2029'!$D83:$AA83)</f>
        <v>11639.94003481644</v>
      </c>
      <c r="Z83" s="60">
        <f>MIN('[9]Total 2027 - 2029'!$D83:$AA83)</f>
        <v>11639.94003481644</v>
      </c>
      <c r="AA83" s="60">
        <f>MIN('[9]Total 2027 - 2029'!$D83:$AA83)</f>
        <v>11639.94003481644</v>
      </c>
      <c r="AB83" s="57">
        <f t="shared" si="2"/>
        <v>1955509.9258491623</v>
      </c>
      <c r="AC83" s="64"/>
    </row>
    <row r="84" spans="1:29" x14ac:dyDescent="0.25">
      <c r="A84" s="65">
        <v>47209</v>
      </c>
      <c r="B84" s="54" t="s">
        <v>16</v>
      </c>
      <c r="C84" s="55">
        <v>21</v>
      </c>
      <c r="D84" s="60">
        <f>MIN('[9]Total 2027 - 2029'!$D84:$AA84)</f>
        <v>12605.649653576425</v>
      </c>
      <c r="E84" s="60">
        <f>MIN('[9]Total 2027 - 2029'!$D84:$AA84)</f>
        <v>12605.649653576425</v>
      </c>
      <c r="F84" s="60">
        <f>MIN('[9]Total 2027 - 2029'!$D84:$AA84)</f>
        <v>12605.649653576425</v>
      </c>
      <c r="G84" s="60">
        <f>MIN('[9]Total 2027 - 2029'!$D84:$AA84)</f>
        <v>12605.649653576425</v>
      </c>
      <c r="H84" s="60">
        <f>MIN('[9]Total 2027 - 2029'!$D84:$AA84)</f>
        <v>12605.649653576425</v>
      </c>
      <c r="I84" s="60">
        <f>MIN('[9]Total 2027 - 2029'!$D84:$AA84)</f>
        <v>12605.649653576425</v>
      </c>
      <c r="J84" s="60">
        <f>MIN('[9]Total 2027 - 2029'!$D84:$AA84)</f>
        <v>12605.649653576425</v>
      </c>
      <c r="K84" s="60">
        <f>MIN('[9]Total 2027 - 2029'!$D84:$AA84)</f>
        <v>12605.649653576425</v>
      </c>
      <c r="L84" s="60">
        <f>MIN('[9]Total 2027 - 2029'!$D84:$AA84)</f>
        <v>12605.649653576425</v>
      </c>
      <c r="M84" s="60">
        <f>MIN('[9]Total 2027 - 2029'!$D84:$AA84)</f>
        <v>12605.649653576425</v>
      </c>
      <c r="N84" s="60">
        <f>MIN('[9]Total 2027 - 2029'!$D84:$AA84)</f>
        <v>12605.649653576425</v>
      </c>
      <c r="O84" s="60">
        <f>MIN('[9]Total 2027 - 2029'!$D84:$AA84)</f>
        <v>12605.649653576425</v>
      </c>
      <c r="P84" s="60">
        <f>MIN('[9]Total 2027 - 2029'!$D84:$AA84)</f>
        <v>12605.649653576425</v>
      </c>
      <c r="Q84" s="60">
        <f>MIN('[9]Total 2027 - 2029'!$D84:$AA84)</f>
        <v>12605.649653576425</v>
      </c>
      <c r="R84" s="60">
        <f>MIN('[9]Total 2027 - 2029'!$D84:$AA84)</f>
        <v>12605.649653576425</v>
      </c>
      <c r="S84" s="60">
        <f>MIN('[9]Total 2027 - 2029'!$D84:$AA84)</f>
        <v>12605.649653576425</v>
      </c>
      <c r="T84" s="60">
        <f>MIN('[9]Total 2027 - 2029'!$D84:$AA84)</f>
        <v>12605.649653576425</v>
      </c>
      <c r="U84" s="60">
        <f>MIN('[9]Total 2027 - 2029'!$D84:$AA84)</f>
        <v>12605.649653576425</v>
      </c>
      <c r="V84" s="60">
        <f>MIN('[9]Total 2027 - 2029'!$D84:$AA84)</f>
        <v>12605.649653576425</v>
      </c>
      <c r="W84" s="60">
        <f>MIN('[9]Total 2027 - 2029'!$D84:$AA84)</f>
        <v>12605.649653576425</v>
      </c>
      <c r="X84" s="60">
        <f>MIN('[9]Total 2027 - 2029'!$D84:$AA84)</f>
        <v>12605.649653576425</v>
      </c>
      <c r="Y84" s="60">
        <f>MIN('[9]Total 2027 - 2029'!$D84:$AA84)</f>
        <v>12605.649653576425</v>
      </c>
      <c r="Z84" s="60">
        <f>MIN('[9]Total 2027 - 2029'!$D84:$AA84)</f>
        <v>12605.649653576425</v>
      </c>
      <c r="AA84" s="60">
        <f>MIN('[9]Total 2027 - 2029'!$D84:$AA84)</f>
        <v>12605.649653576425</v>
      </c>
      <c r="AB84" s="57">
        <f t="shared" si="2"/>
        <v>6353247.4254025202</v>
      </c>
      <c r="AC84" s="62">
        <f>SUM(AB84:AB86)</f>
        <v>8883522.2181271724</v>
      </c>
    </row>
    <row r="85" spans="1:29" x14ac:dyDescent="0.25">
      <c r="A85" s="66"/>
      <c r="B85" s="59" t="s">
        <v>17</v>
      </c>
      <c r="C85" s="55">
        <v>4</v>
      </c>
      <c r="D85" s="60">
        <f>MIN('[9]Total 2027 - 2029'!$D85:$AA85)</f>
        <v>10846.577360022404</v>
      </c>
      <c r="E85" s="60">
        <f>MIN('[9]Total 2027 - 2029'!$D85:$AA85)</f>
        <v>10846.577360022404</v>
      </c>
      <c r="F85" s="60">
        <f>MIN('[9]Total 2027 - 2029'!$D85:$AA85)</f>
        <v>10846.577360022404</v>
      </c>
      <c r="G85" s="60">
        <f>MIN('[9]Total 2027 - 2029'!$D85:$AA85)</f>
        <v>10846.577360022404</v>
      </c>
      <c r="H85" s="60">
        <f>MIN('[9]Total 2027 - 2029'!$D85:$AA85)</f>
        <v>10846.577360022404</v>
      </c>
      <c r="I85" s="60">
        <f>MIN('[9]Total 2027 - 2029'!$D85:$AA85)</f>
        <v>10846.577360022404</v>
      </c>
      <c r="J85" s="60">
        <f>MIN('[9]Total 2027 - 2029'!$D85:$AA85)</f>
        <v>10846.577360022404</v>
      </c>
      <c r="K85" s="60">
        <f>MIN('[9]Total 2027 - 2029'!$D85:$AA85)</f>
        <v>10846.577360022404</v>
      </c>
      <c r="L85" s="60">
        <f>MIN('[9]Total 2027 - 2029'!$D85:$AA85)</f>
        <v>10846.577360022404</v>
      </c>
      <c r="M85" s="60">
        <f>MIN('[9]Total 2027 - 2029'!$D85:$AA85)</f>
        <v>10846.577360022404</v>
      </c>
      <c r="N85" s="60">
        <f>MIN('[9]Total 2027 - 2029'!$D85:$AA85)</f>
        <v>10846.577360022404</v>
      </c>
      <c r="O85" s="60">
        <f>MIN('[9]Total 2027 - 2029'!$D85:$AA85)</f>
        <v>10846.577360022404</v>
      </c>
      <c r="P85" s="60">
        <f>MIN('[9]Total 2027 - 2029'!$D85:$AA85)</f>
        <v>10846.577360022404</v>
      </c>
      <c r="Q85" s="60">
        <f>MIN('[9]Total 2027 - 2029'!$D85:$AA85)</f>
        <v>10846.577360022404</v>
      </c>
      <c r="R85" s="60">
        <f>MIN('[9]Total 2027 - 2029'!$D85:$AA85)</f>
        <v>10846.577360022404</v>
      </c>
      <c r="S85" s="60">
        <f>MIN('[9]Total 2027 - 2029'!$D85:$AA85)</f>
        <v>10846.577360022404</v>
      </c>
      <c r="T85" s="60">
        <f>MIN('[9]Total 2027 - 2029'!$D85:$AA85)</f>
        <v>10846.577360022404</v>
      </c>
      <c r="U85" s="60">
        <f>MIN('[9]Total 2027 - 2029'!$D85:$AA85)</f>
        <v>10846.577360022404</v>
      </c>
      <c r="V85" s="60">
        <f>MIN('[9]Total 2027 - 2029'!$D85:$AA85)</f>
        <v>10846.577360022404</v>
      </c>
      <c r="W85" s="60">
        <f>MIN('[9]Total 2027 - 2029'!$D85:$AA85)</f>
        <v>10846.577360022404</v>
      </c>
      <c r="X85" s="60">
        <f>MIN('[9]Total 2027 - 2029'!$D85:$AA85)</f>
        <v>10846.577360022404</v>
      </c>
      <c r="Y85" s="60">
        <f>MIN('[9]Total 2027 - 2029'!$D85:$AA85)</f>
        <v>10846.577360022404</v>
      </c>
      <c r="Z85" s="60">
        <f>MIN('[9]Total 2027 - 2029'!$D85:$AA85)</f>
        <v>10846.577360022404</v>
      </c>
      <c r="AA85" s="60">
        <f>MIN('[9]Total 2027 - 2029'!$D85:$AA85)</f>
        <v>10846.577360022404</v>
      </c>
      <c r="AB85" s="57">
        <f t="shared" si="2"/>
        <v>1041271.4265621508</v>
      </c>
      <c r="AC85" s="63"/>
    </row>
    <row r="86" spans="1:29" x14ac:dyDescent="0.25">
      <c r="A86" s="67"/>
      <c r="B86" s="59" t="s">
        <v>18</v>
      </c>
      <c r="C86" s="55">
        <v>5</v>
      </c>
      <c r="D86" s="60">
        <f>MIN('[9]Total 2027 - 2029'!$D86:$AA86)</f>
        <v>12408.361384687509</v>
      </c>
      <c r="E86" s="60">
        <f>MIN('[9]Total 2027 - 2029'!$D86:$AA86)</f>
        <v>12408.361384687509</v>
      </c>
      <c r="F86" s="60">
        <f>MIN('[9]Total 2027 - 2029'!$D86:$AA86)</f>
        <v>12408.361384687509</v>
      </c>
      <c r="G86" s="60">
        <f>MIN('[9]Total 2027 - 2029'!$D86:$AA86)</f>
        <v>12408.361384687509</v>
      </c>
      <c r="H86" s="60">
        <f>MIN('[9]Total 2027 - 2029'!$D86:$AA86)</f>
        <v>12408.361384687509</v>
      </c>
      <c r="I86" s="60">
        <f>MIN('[9]Total 2027 - 2029'!$D86:$AA86)</f>
        <v>12408.361384687509</v>
      </c>
      <c r="J86" s="60">
        <f>MIN('[9]Total 2027 - 2029'!$D86:$AA86)</f>
        <v>12408.361384687509</v>
      </c>
      <c r="K86" s="60">
        <f>MIN('[9]Total 2027 - 2029'!$D86:$AA86)</f>
        <v>12408.361384687509</v>
      </c>
      <c r="L86" s="60">
        <f>MIN('[9]Total 2027 - 2029'!$D86:$AA86)</f>
        <v>12408.361384687509</v>
      </c>
      <c r="M86" s="60">
        <f>MIN('[9]Total 2027 - 2029'!$D86:$AA86)</f>
        <v>12408.361384687509</v>
      </c>
      <c r="N86" s="60">
        <f>MIN('[9]Total 2027 - 2029'!$D86:$AA86)</f>
        <v>12408.361384687509</v>
      </c>
      <c r="O86" s="60">
        <f>MIN('[9]Total 2027 - 2029'!$D86:$AA86)</f>
        <v>12408.361384687509</v>
      </c>
      <c r="P86" s="60">
        <f>MIN('[9]Total 2027 - 2029'!$D86:$AA86)</f>
        <v>12408.361384687509</v>
      </c>
      <c r="Q86" s="60">
        <f>MIN('[9]Total 2027 - 2029'!$D86:$AA86)</f>
        <v>12408.361384687509</v>
      </c>
      <c r="R86" s="60">
        <f>MIN('[9]Total 2027 - 2029'!$D86:$AA86)</f>
        <v>12408.361384687509</v>
      </c>
      <c r="S86" s="60">
        <f>MIN('[9]Total 2027 - 2029'!$D86:$AA86)</f>
        <v>12408.361384687509</v>
      </c>
      <c r="T86" s="60">
        <f>MIN('[9]Total 2027 - 2029'!$D86:$AA86)</f>
        <v>12408.361384687509</v>
      </c>
      <c r="U86" s="60">
        <f>MIN('[9]Total 2027 - 2029'!$D86:$AA86)</f>
        <v>12408.361384687509</v>
      </c>
      <c r="V86" s="60">
        <f>MIN('[9]Total 2027 - 2029'!$D86:$AA86)</f>
        <v>12408.361384687509</v>
      </c>
      <c r="W86" s="60">
        <f>MIN('[9]Total 2027 - 2029'!$D86:$AA86)</f>
        <v>12408.361384687509</v>
      </c>
      <c r="X86" s="60">
        <f>MIN('[9]Total 2027 - 2029'!$D86:$AA86)</f>
        <v>12408.361384687509</v>
      </c>
      <c r="Y86" s="60">
        <f>MIN('[9]Total 2027 - 2029'!$D86:$AA86)</f>
        <v>12408.361384687509</v>
      </c>
      <c r="Z86" s="60">
        <f>MIN('[9]Total 2027 - 2029'!$D86:$AA86)</f>
        <v>12408.361384687509</v>
      </c>
      <c r="AA86" s="60">
        <f>MIN('[9]Total 2027 - 2029'!$D86:$AA86)</f>
        <v>12408.361384687509</v>
      </c>
      <c r="AB86" s="57">
        <f t="shared" si="2"/>
        <v>1489003.366162501</v>
      </c>
      <c r="AC86" s="64"/>
    </row>
    <row r="87" spans="1:29" x14ac:dyDescent="0.25">
      <c r="A87" s="65">
        <v>47239</v>
      </c>
      <c r="B87" s="54" t="s">
        <v>16</v>
      </c>
      <c r="C87" s="55">
        <v>21</v>
      </c>
      <c r="D87" s="60">
        <f>MIN('[9]Total 2027 - 2029'!$D87:$AA87)</f>
        <v>12407.355944573465</v>
      </c>
      <c r="E87" s="60">
        <f>MIN('[9]Total 2027 - 2029'!$D87:$AA87)</f>
        <v>12407.355944573465</v>
      </c>
      <c r="F87" s="60">
        <f>MIN('[9]Total 2027 - 2029'!$D87:$AA87)</f>
        <v>12407.355944573465</v>
      </c>
      <c r="G87" s="60">
        <f>MIN('[9]Total 2027 - 2029'!$D87:$AA87)</f>
        <v>12407.355944573465</v>
      </c>
      <c r="H87" s="60">
        <f>MIN('[9]Total 2027 - 2029'!$D87:$AA87)</f>
        <v>12407.355944573465</v>
      </c>
      <c r="I87" s="60">
        <f>MIN('[9]Total 2027 - 2029'!$D87:$AA87)</f>
        <v>12407.355944573465</v>
      </c>
      <c r="J87" s="60">
        <f>MIN('[9]Total 2027 - 2029'!$D87:$AA87)</f>
        <v>12407.355944573465</v>
      </c>
      <c r="K87" s="60">
        <f>MIN('[9]Total 2027 - 2029'!$D87:$AA87)</f>
        <v>12407.355944573465</v>
      </c>
      <c r="L87" s="60">
        <f>MIN('[9]Total 2027 - 2029'!$D87:$AA87)</f>
        <v>12407.355944573465</v>
      </c>
      <c r="M87" s="60">
        <f>MIN('[9]Total 2027 - 2029'!$D87:$AA87)</f>
        <v>12407.355944573465</v>
      </c>
      <c r="N87" s="60">
        <f>MIN('[9]Total 2027 - 2029'!$D87:$AA87)</f>
        <v>12407.355944573465</v>
      </c>
      <c r="O87" s="60">
        <f>MIN('[9]Total 2027 - 2029'!$D87:$AA87)</f>
        <v>12407.355944573465</v>
      </c>
      <c r="P87" s="60">
        <f>MIN('[9]Total 2027 - 2029'!$D87:$AA87)</f>
        <v>12407.355944573465</v>
      </c>
      <c r="Q87" s="60">
        <f>MIN('[9]Total 2027 - 2029'!$D87:$AA87)</f>
        <v>12407.355944573465</v>
      </c>
      <c r="R87" s="60">
        <f>MIN('[9]Total 2027 - 2029'!$D87:$AA87)</f>
        <v>12407.355944573465</v>
      </c>
      <c r="S87" s="60">
        <f>MIN('[9]Total 2027 - 2029'!$D87:$AA87)</f>
        <v>12407.355944573465</v>
      </c>
      <c r="T87" s="60">
        <f>MIN('[9]Total 2027 - 2029'!$D87:$AA87)</f>
        <v>12407.355944573465</v>
      </c>
      <c r="U87" s="60">
        <f>MIN('[9]Total 2027 - 2029'!$D87:$AA87)</f>
        <v>12407.355944573465</v>
      </c>
      <c r="V87" s="60">
        <f>MIN('[9]Total 2027 - 2029'!$D87:$AA87)</f>
        <v>12407.355944573465</v>
      </c>
      <c r="W87" s="60">
        <f>MIN('[9]Total 2027 - 2029'!$D87:$AA87)</f>
        <v>12407.355944573465</v>
      </c>
      <c r="X87" s="60">
        <f>MIN('[9]Total 2027 - 2029'!$D87:$AA87)</f>
        <v>12407.355944573465</v>
      </c>
      <c r="Y87" s="60">
        <f>MIN('[9]Total 2027 - 2029'!$D87:$AA87)</f>
        <v>12407.355944573465</v>
      </c>
      <c r="Z87" s="60">
        <f>MIN('[9]Total 2027 - 2029'!$D87:$AA87)</f>
        <v>12407.355944573465</v>
      </c>
      <c r="AA87" s="60">
        <f>MIN('[9]Total 2027 - 2029'!$D87:$AA87)</f>
        <v>12407.355944573465</v>
      </c>
      <c r="AB87" s="57">
        <f t="shared" si="2"/>
        <v>6253307.3960650284</v>
      </c>
      <c r="AC87" s="62">
        <f>SUM(AB87:AB89)</f>
        <v>8599314.3079527263</v>
      </c>
    </row>
    <row r="88" spans="1:29" x14ac:dyDescent="0.25">
      <c r="A88" s="66"/>
      <c r="B88" s="59" t="s">
        <v>17</v>
      </c>
      <c r="C88" s="55">
        <v>4</v>
      </c>
      <c r="D88" s="60">
        <f>MIN('[9]Total 2027 - 2029'!$D88:$AA88)</f>
        <v>9721.5843966048069</v>
      </c>
      <c r="E88" s="60">
        <f>MIN('[9]Total 2027 - 2029'!$D88:$AA88)</f>
        <v>9721.5843966048069</v>
      </c>
      <c r="F88" s="60">
        <f>MIN('[9]Total 2027 - 2029'!$D88:$AA88)</f>
        <v>9721.5843966048069</v>
      </c>
      <c r="G88" s="60">
        <f>MIN('[9]Total 2027 - 2029'!$D88:$AA88)</f>
        <v>9721.5843966048069</v>
      </c>
      <c r="H88" s="60">
        <f>MIN('[9]Total 2027 - 2029'!$D88:$AA88)</f>
        <v>9721.5843966048069</v>
      </c>
      <c r="I88" s="60">
        <f>MIN('[9]Total 2027 - 2029'!$D88:$AA88)</f>
        <v>9721.5843966048069</v>
      </c>
      <c r="J88" s="60">
        <f>MIN('[9]Total 2027 - 2029'!$D88:$AA88)</f>
        <v>9721.5843966048069</v>
      </c>
      <c r="K88" s="60">
        <f>MIN('[9]Total 2027 - 2029'!$D88:$AA88)</f>
        <v>9721.5843966048069</v>
      </c>
      <c r="L88" s="60">
        <f>MIN('[9]Total 2027 - 2029'!$D88:$AA88)</f>
        <v>9721.5843966048069</v>
      </c>
      <c r="M88" s="60">
        <f>MIN('[9]Total 2027 - 2029'!$D88:$AA88)</f>
        <v>9721.5843966048069</v>
      </c>
      <c r="N88" s="60">
        <f>MIN('[9]Total 2027 - 2029'!$D88:$AA88)</f>
        <v>9721.5843966048069</v>
      </c>
      <c r="O88" s="60">
        <f>MIN('[9]Total 2027 - 2029'!$D88:$AA88)</f>
        <v>9721.5843966048069</v>
      </c>
      <c r="P88" s="60">
        <f>MIN('[9]Total 2027 - 2029'!$D88:$AA88)</f>
        <v>9721.5843966048069</v>
      </c>
      <c r="Q88" s="60">
        <f>MIN('[9]Total 2027 - 2029'!$D88:$AA88)</f>
        <v>9721.5843966048069</v>
      </c>
      <c r="R88" s="60">
        <f>MIN('[9]Total 2027 - 2029'!$D88:$AA88)</f>
        <v>9721.5843966048069</v>
      </c>
      <c r="S88" s="60">
        <f>MIN('[9]Total 2027 - 2029'!$D88:$AA88)</f>
        <v>9721.5843966048069</v>
      </c>
      <c r="T88" s="60">
        <f>MIN('[9]Total 2027 - 2029'!$D88:$AA88)</f>
        <v>9721.5843966048069</v>
      </c>
      <c r="U88" s="60">
        <f>MIN('[9]Total 2027 - 2029'!$D88:$AA88)</f>
        <v>9721.5843966048069</v>
      </c>
      <c r="V88" s="60">
        <f>MIN('[9]Total 2027 - 2029'!$D88:$AA88)</f>
        <v>9721.5843966048069</v>
      </c>
      <c r="W88" s="60">
        <f>MIN('[9]Total 2027 - 2029'!$D88:$AA88)</f>
        <v>9721.5843966048069</v>
      </c>
      <c r="X88" s="60">
        <f>MIN('[9]Total 2027 - 2029'!$D88:$AA88)</f>
        <v>9721.5843966048069</v>
      </c>
      <c r="Y88" s="60">
        <f>MIN('[9]Total 2027 - 2029'!$D88:$AA88)</f>
        <v>9721.5843966048069</v>
      </c>
      <c r="Z88" s="60">
        <f>MIN('[9]Total 2027 - 2029'!$D88:$AA88)</f>
        <v>9721.5843966048069</v>
      </c>
      <c r="AA88" s="60">
        <f>MIN('[9]Total 2027 - 2029'!$D88:$AA88)</f>
        <v>9721.5843966048069</v>
      </c>
      <c r="AB88" s="57">
        <f t="shared" si="2"/>
        <v>933272.10207406117</v>
      </c>
      <c r="AC88" s="63"/>
    </row>
    <row r="89" spans="1:29" x14ac:dyDescent="0.25">
      <c r="A89" s="67"/>
      <c r="B89" s="59" t="s">
        <v>18</v>
      </c>
      <c r="C89" s="55">
        <v>6</v>
      </c>
      <c r="D89" s="60">
        <f>MIN('[9]Total 2027 - 2029'!$D89:$AA89)</f>
        <v>9810.6584014835862</v>
      </c>
      <c r="E89" s="60">
        <f>MIN('[9]Total 2027 - 2029'!$D89:$AA89)</f>
        <v>9810.6584014835862</v>
      </c>
      <c r="F89" s="60">
        <f>MIN('[9]Total 2027 - 2029'!$D89:$AA89)</f>
        <v>9810.6584014835862</v>
      </c>
      <c r="G89" s="60">
        <f>MIN('[9]Total 2027 - 2029'!$D89:$AA89)</f>
        <v>9810.6584014835862</v>
      </c>
      <c r="H89" s="60">
        <f>MIN('[9]Total 2027 - 2029'!$D89:$AA89)</f>
        <v>9810.6584014835862</v>
      </c>
      <c r="I89" s="60">
        <f>MIN('[9]Total 2027 - 2029'!$D89:$AA89)</f>
        <v>9810.6584014835862</v>
      </c>
      <c r="J89" s="60">
        <f>MIN('[9]Total 2027 - 2029'!$D89:$AA89)</f>
        <v>9810.6584014835862</v>
      </c>
      <c r="K89" s="60">
        <f>MIN('[9]Total 2027 - 2029'!$D89:$AA89)</f>
        <v>9810.6584014835862</v>
      </c>
      <c r="L89" s="60">
        <f>MIN('[9]Total 2027 - 2029'!$D89:$AA89)</f>
        <v>9810.6584014835862</v>
      </c>
      <c r="M89" s="60">
        <f>MIN('[9]Total 2027 - 2029'!$D89:$AA89)</f>
        <v>9810.6584014835862</v>
      </c>
      <c r="N89" s="60">
        <f>MIN('[9]Total 2027 - 2029'!$D89:$AA89)</f>
        <v>9810.6584014835862</v>
      </c>
      <c r="O89" s="60">
        <f>MIN('[9]Total 2027 - 2029'!$D89:$AA89)</f>
        <v>9810.6584014835862</v>
      </c>
      <c r="P89" s="60">
        <f>MIN('[9]Total 2027 - 2029'!$D89:$AA89)</f>
        <v>9810.6584014835862</v>
      </c>
      <c r="Q89" s="60">
        <f>MIN('[9]Total 2027 - 2029'!$D89:$AA89)</f>
        <v>9810.6584014835862</v>
      </c>
      <c r="R89" s="60">
        <f>MIN('[9]Total 2027 - 2029'!$D89:$AA89)</f>
        <v>9810.6584014835862</v>
      </c>
      <c r="S89" s="60">
        <f>MIN('[9]Total 2027 - 2029'!$D89:$AA89)</f>
        <v>9810.6584014835862</v>
      </c>
      <c r="T89" s="60">
        <f>MIN('[9]Total 2027 - 2029'!$D89:$AA89)</f>
        <v>9810.6584014835862</v>
      </c>
      <c r="U89" s="60">
        <f>MIN('[9]Total 2027 - 2029'!$D89:$AA89)</f>
        <v>9810.6584014835862</v>
      </c>
      <c r="V89" s="60">
        <f>MIN('[9]Total 2027 - 2029'!$D89:$AA89)</f>
        <v>9810.6584014835862</v>
      </c>
      <c r="W89" s="60">
        <f>MIN('[9]Total 2027 - 2029'!$D89:$AA89)</f>
        <v>9810.6584014835862</v>
      </c>
      <c r="X89" s="60">
        <f>MIN('[9]Total 2027 - 2029'!$D89:$AA89)</f>
        <v>9810.6584014835862</v>
      </c>
      <c r="Y89" s="60">
        <f>MIN('[9]Total 2027 - 2029'!$D89:$AA89)</f>
        <v>9810.6584014835862</v>
      </c>
      <c r="Z89" s="60">
        <f>MIN('[9]Total 2027 - 2029'!$D89:$AA89)</f>
        <v>9810.6584014835862</v>
      </c>
      <c r="AA89" s="60">
        <f>MIN('[9]Total 2027 - 2029'!$D89:$AA89)</f>
        <v>9810.6584014835862</v>
      </c>
      <c r="AB89" s="57">
        <f t="shared" si="2"/>
        <v>1412734.8098136361</v>
      </c>
      <c r="AC89" s="64"/>
    </row>
    <row r="90" spans="1:29" x14ac:dyDescent="0.25">
      <c r="A90" s="65">
        <v>47270</v>
      </c>
      <c r="B90" s="54" t="s">
        <v>16</v>
      </c>
      <c r="C90" s="55">
        <v>19</v>
      </c>
      <c r="D90" s="60">
        <f>MIN('[9]Total 2027 - 2029'!$D90:$AA90)</f>
        <v>9830.3946858202453</v>
      </c>
      <c r="E90" s="60">
        <f>MIN('[9]Total 2027 - 2029'!$D90:$AA90)</f>
        <v>9830.3946858202453</v>
      </c>
      <c r="F90" s="60">
        <f>MIN('[9]Total 2027 - 2029'!$D90:$AA90)</f>
        <v>9830.3946858202453</v>
      </c>
      <c r="G90" s="60">
        <f>MIN('[9]Total 2027 - 2029'!$D90:$AA90)</f>
        <v>9830.3946858202453</v>
      </c>
      <c r="H90" s="60">
        <f>MIN('[9]Total 2027 - 2029'!$D90:$AA90)</f>
        <v>9830.3946858202453</v>
      </c>
      <c r="I90" s="60">
        <f>MIN('[9]Total 2027 - 2029'!$D90:$AA90)</f>
        <v>9830.3946858202453</v>
      </c>
      <c r="J90" s="60">
        <f>MIN('[9]Total 2027 - 2029'!$D90:$AA90)</f>
        <v>9830.3946858202453</v>
      </c>
      <c r="K90" s="60">
        <f>MIN('[9]Total 2027 - 2029'!$D90:$AA90)</f>
        <v>9830.3946858202453</v>
      </c>
      <c r="L90" s="60">
        <f>MIN('[9]Total 2027 - 2029'!$D90:$AA90)</f>
        <v>9830.3946858202453</v>
      </c>
      <c r="M90" s="60">
        <f>MIN('[9]Total 2027 - 2029'!$D90:$AA90)</f>
        <v>9830.3946858202453</v>
      </c>
      <c r="N90" s="60">
        <f>MIN('[9]Total 2027 - 2029'!$D90:$AA90)</f>
        <v>9830.3946858202453</v>
      </c>
      <c r="O90" s="60">
        <f>MIN('[9]Total 2027 - 2029'!$D90:$AA90)</f>
        <v>9830.3946858202453</v>
      </c>
      <c r="P90" s="60">
        <f>MIN('[9]Total 2027 - 2029'!$D90:$AA90)</f>
        <v>9830.3946858202453</v>
      </c>
      <c r="Q90" s="60">
        <f>MIN('[9]Total 2027 - 2029'!$D90:$AA90)</f>
        <v>9830.3946858202453</v>
      </c>
      <c r="R90" s="60">
        <f>MIN('[9]Total 2027 - 2029'!$D90:$AA90)</f>
        <v>9830.3946858202453</v>
      </c>
      <c r="S90" s="60">
        <f>MIN('[9]Total 2027 - 2029'!$D90:$AA90)</f>
        <v>9830.3946858202453</v>
      </c>
      <c r="T90" s="60">
        <f>MIN('[9]Total 2027 - 2029'!$D90:$AA90)</f>
        <v>9830.3946858202453</v>
      </c>
      <c r="U90" s="60">
        <f>MIN('[9]Total 2027 - 2029'!$D90:$AA90)</f>
        <v>9830.3946858202453</v>
      </c>
      <c r="V90" s="60">
        <f>MIN('[9]Total 2027 - 2029'!$D90:$AA90)</f>
        <v>9830.3946858202453</v>
      </c>
      <c r="W90" s="60">
        <f>MIN('[9]Total 2027 - 2029'!$D90:$AA90)</f>
        <v>9830.3946858202453</v>
      </c>
      <c r="X90" s="60">
        <f>MIN('[9]Total 2027 - 2029'!$D90:$AA90)</f>
        <v>9830.3946858202453</v>
      </c>
      <c r="Y90" s="60">
        <f>MIN('[9]Total 2027 - 2029'!$D90:$AA90)</f>
        <v>9830.3946858202453</v>
      </c>
      <c r="Z90" s="60">
        <f>MIN('[9]Total 2027 - 2029'!$D90:$AA90)</f>
        <v>9830.3946858202453</v>
      </c>
      <c r="AA90" s="60">
        <f>MIN('[9]Total 2027 - 2029'!$D90:$AA90)</f>
        <v>9830.3946858202453</v>
      </c>
      <c r="AB90" s="57">
        <f t="shared" si="2"/>
        <v>4482659.9767340301</v>
      </c>
      <c r="AC90" s="62">
        <f>SUM(AB90:AB92)</f>
        <v>6971614.2478799485</v>
      </c>
    </row>
    <row r="91" spans="1:29" x14ac:dyDescent="0.25">
      <c r="A91" s="66"/>
      <c r="B91" s="59" t="s">
        <v>17</v>
      </c>
      <c r="C91" s="55">
        <v>5</v>
      </c>
      <c r="D91" s="60">
        <f>MIN('[9]Total 2027 - 2029'!$D91:$AA91)</f>
        <v>9578.6715053137577</v>
      </c>
      <c r="E91" s="60">
        <f>MIN('[9]Total 2027 - 2029'!$D91:$AA91)</f>
        <v>9578.6715053137577</v>
      </c>
      <c r="F91" s="60">
        <f>MIN('[9]Total 2027 - 2029'!$D91:$AA91)</f>
        <v>9578.6715053137577</v>
      </c>
      <c r="G91" s="60">
        <f>MIN('[9]Total 2027 - 2029'!$D91:$AA91)</f>
        <v>9578.6715053137577</v>
      </c>
      <c r="H91" s="60">
        <f>MIN('[9]Total 2027 - 2029'!$D91:$AA91)</f>
        <v>9578.6715053137577</v>
      </c>
      <c r="I91" s="60">
        <f>MIN('[9]Total 2027 - 2029'!$D91:$AA91)</f>
        <v>9578.6715053137577</v>
      </c>
      <c r="J91" s="60">
        <f>MIN('[9]Total 2027 - 2029'!$D91:$AA91)</f>
        <v>9578.6715053137577</v>
      </c>
      <c r="K91" s="60">
        <f>MIN('[9]Total 2027 - 2029'!$D91:$AA91)</f>
        <v>9578.6715053137577</v>
      </c>
      <c r="L91" s="60">
        <f>MIN('[9]Total 2027 - 2029'!$D91:$AA91)</f>
        <v>9578.6715053137577</v>
      </c>
      <c r="M91" s="60">
        <f>MIN('[9]Total 2027 - 2029'!$D91:$AA91)</f>
        <v>9578.6715053137577</v>
      </c>
      <c r="N91" s="60">
        <f>MIN('[9]Total 2027 - 2029'!$D91:$AA91)</f>
        <v>9578.6715053137577</v>
      </c>
      <c r="O91" s="60">
        <f>MIN('[9]Total 2027 - 2029'!$D91:$AA91)</f>
        <v>9578.6715053137577</v>
      </c>
      <c r="P91" s="60">
        <f>MIN('[9]Total 2027 - 2029'!$D91:$AA91)</f>
        <v>9578.6715053137577</v>
      </c>
      <c r="Q91" s="60">
        <f>MIN('[9]Total 2027 - 2029'!$D91:$AA91)</f>
        <v>9578.6715053137577</v>
      </c>
      <c r="R91" s="60">
        <f>MIN('[9]Total 2027 - 2029'!$D91:$AA91)</f>
        <v>9578.6715053137577</v>
      </c>
      <c r="S91" s="60">
        <f>MIN('[9]Total 2027 - 2029'!$D91:$AA91)</f>
        <v>9578.6715053137577</v>
      </c>
      <c r="T91" s="60">
        <f>MIN('[9]Total 2027 - 2029'!$D91:$AA91)</f>
        <v>9578.6715053137577</v>
      </c>
      <c r="U91" s="60">
        <f>MIN('[9]Total 2027 - 2029'!$D91:$AA91)</f>
        <v>9578.6715053137577</v>
      </c>
      <c r="V91" s="60">
        <f>MIN('[9]Total 2027 - 2029'!$D91:$AA91)</f>
        <v>9578.6715053137577</v>
      </c>
      <c r="W91" s="60">
        <f>MIN('[9]Total 2027 - 2029'!$D91:$AA91)</f>
        <v>9578.6715053137577</v>
      </c>
      <c r="X91" s="60">
        <f>MIN('[9]Total 2027 - 2029'!$D91:$AA91)</f>
        <v>9578.6715053137577</v>
      </c>
      <c r="Y91" s="60">
        <f>MIN('[9]Total 2027 - 2029'!$D91:$AA91)</f>
        <v>9578.6715053137577</v>
      </c>
      <c r="Z91" s="60">
        <f>MIN('[9]Total 2027 - 2029'!$D91:$AA91)</f>
        <v>9578.6715053137577</v>
      </c>
      <c r="AA91" s="60">
        <f>MIN('[9]Total 2027 - 2029'!$D91:$AA91)</f>
        <v>9578.6715053137577</v>
      </c>
      <c r="AB91" s="57">
        <f t="shared" si="2"/>
        <v>1149440.5806376503</v>
      </c>
      <c r="AC91" s="63"/>
    </row>
    <row r="92" spans="1:29" x14ac:dyDescent="0.25">
      <c r="A92" s="67"/>
      <c r="B92" s="59" t="s">
        <v>18</v>
      </c>
      <c r="C92" s="55">
        <v>6</v>
      </c>
      <c r="D92" s="60">
        <f>MIN('[9]Total 2027 - 2029'!$D92:$AA92)</f>
        <v>9302.1784063074228</v>
      </c>
      <c r="E92" s="60">
        <f>MIN('[9]Total 2027 - 2029'!$D92:$AA92)</f>
        <v>9302.1784063074228</v>
      </c>
      <c r="F92" s="60">
        <f>MIN('[9]Total 2027 - 2029'!$D92:$AA92)</f>
        <v>9302.1784063074228</v>
      </c>
      <c r="G92" s="60">
        <f>MIN('[9]Total 2027 - 2029'!$D92:$AA92)</f>
        <v>9302.1784063074228</v>
      </c>
      <c r="H92" s="60">
        <f>MIN('[9]Total 2027 - 2029'!$D92:$AA92)</f>
        <v>9302.1784063074228</v>
      </c>
      <c r="I92" s="60">
        <f>MIN('[9]Total 2027 - 2029'!$D92:$AA92)</f>
        <v>9302.1784063074228</v>
      </c>
      <c r="J92" s="60">
        <f>MIN('[9]Total 2027 - 2029'!$D92:$AA92)</f>
        <v>9302.1784063074228</v>
      </c>
      <c r="K92" s="60">
        <f>MIN('[9]Total 2027 - 2029'!$D92:$AA92)</f>
        <v>9302.1784063074228</v>
      </c>
      <c r="L92" s="60">
        <f>MIN('[9]Total 2027 - 2029'!$D92:$AA92)</f>
        <v>9302.1784063074228</v>
      </c>
      <c r="M92" s="60">
        <f>MIN('[9]Total 2027 - 2029'!$D92:$AA92)</f>
        <v>9302.1784063074228</v>
      </c>
      <c r="N92" s="60">
        <f>MIN('[9]Total 2027 - 2029'!$D92:$AA92)</f>
        <v>9302.1784063074228</v>
      </c>
      <c r="O92" s="60">
        <f>MIN('[9]Total 2027 - 2029'!$D92:$AA92)</f>
        <v>9302.1784063074228</v>
      </c>
      <c r="P92" s="60">
        <f>MIN('[9]Total 2027 - 2029'!$D92:$AA92)</f>
        <v>9302.1784063074228</v>
      </c>
      <c r="Q92" s="60">
        <f>MIN('[9]Total 2027 - 2029'!$D92:$AA92)</f>
        <v>9302.1784063074228</v>
      </c>
      <c r="R92" s="60">
        <f>MIN('[9]Total 2027 - 2029'!$D92:$AA92)</f>
        <v>9302.1784063074228</v>
      </c>
      <c r="S92" s="60">
        <f>MIN('[9]Total 2027 - 2029'!$D92:$AA92)</f>
        <v>9302.1784063074228</v>
      </c>
      <c r="T92" s="60">
        <f>MIN('[9]Total 2027 - 2029'!$D92:$AA92)</f>
        <v>9302.1784063074228</v>
      </c>
      <c r="U92" s="60">
        <f>MIN('[9]Total 2027 - 2029'!$D92:$AA92)</f>
        <v>9302.1784063074228</v>
      </c>
      <c r="V92" s="60">
        <f>MIN('[9]Total 2027 - 2029'!$D92:$AA92)</f>
        <v>9302.1784063074228</v>
      </c>
      <c r="W92" s="60">
        <f>MIN('[9]Total 2027 - 2029'!$D92:$AA92)</f>
        <v>9302.1784063074228</v>
      </c>
      <c r="X92" s="60">
        <f>MIN('[9]Total 2027 - 2029'!$D92:$AA92)</f>
        <v>9302.1784063074228</v>
      </c>
      <c r="Y92" s="60">
        <f>MIN('[9]Total 2027 - 2029'!$D92:$AA92)</f>
        <v>9302.1784063074228</v>
      </c>
      <c r="Z92" s="60">
        <f>MIN('[9]Total 2027 - 2029'!$D92:$AA92)</f>
        <v>9302.1784063074228</v>
      </c>
      <c r="AA92" s="60">
        <f>MIN('[9]Total 2027 - 2029'!$D92:$AA92)</f>
        <v>9302.1784063074228</v>
      </c>
      <c r="AB92" s="57">
        <f t="shared" si="2"/>
        <v>1339513.6905082683</v>
      </c>
      <c r="AC92" s="64"/>
    </row>
    <row r="93" spans="1:29" x14ac:dyDescent="0.25">
      <c r="A93" s="65">
        <v>47300</v>
      </c>
      <c r="B93" s="54" t="s">
        <v>16</v>
      </c>
      <c r="C93" s="55">
        <v>20</v>
      </c>
      <c r="D93" s="60">
        <f>MIN('[9]Total 2027 - 2029'!$D93:$AA93)</f>
        <v>10530.39189460846</v>
      </c>
      <c r="E93" s="60">
        <f>MIN('[9]Total 2027 - 2029'!$D93:$AA93)</f>
        <v>10530.39189460846</v>
      </c>
      <c r="F93" s="60">
        <f>MIN('[9]Total 2027 - 2029'!$D93:$AA93)</f>
        <v>10530.39189460846</v>
      </c>
      <c r="G93" s="60">
        <f>MIN('[9]Total 2027 - 2029'!$D93:$AA93)</f>
        <v>10530.39189460846</v>
      </c>
      <c r="H93" s="60">
        <f>MIN('[9]Total 2027 - 2029'!$D93:$AA93)</f>
        <v>10530.39189460846</v>
      </c>
      <c r="I93" s="60">
        <f>MIN('[9]Total 2027 - 2029'!$D93:$AA93)</f>
        <v>10530.39189460846</v>
      </c>
      <c r="J93" s="60">
        <f>MIN('[9]Total 2027 - 2029'!$D93:$AA93)</f>
        <v>10530.39189460846</v>
      </c>
      <c r="K93" s="60">
        <f>MIN('[9]Total 2027 - 2029'!$D93:$AA93)</f>
        <v>10530.39189460846</v>
      </c>
      <c r="L93" s="60">
        <f>MIN('[9]Total 2027 - 2029'!$D93:$AA93)</f>
        <v>10530.39189460846</v>
      </c>
      <c r="M93" s="60">
        <f>MIN('[9]Total 2027 - 2029'!$D93:$AA93)</f>
        <v>10530.39189460846</v>
      </c>
      <c r="N93" s="60">
        <f>MIN('[9]Total 2027 - 2029'!$D93:$AA93)</f>
        <v>10530.39189460846</v>
      </c>
      <c r="O93" s="60">
        <f>MIN('[9]Total 2027 - 2029'!$D93:$AA93)</f>
        <v>10530.39189460846</v>
      </c>
      <c r="P93" s="60">
        <f>MIN('[9]Total 2027 - 2029'!$D93:$AA93)</f>
        <v>10530.39189460846</v>
      </c>
      <c r="Q93" s="60">
        <f>MIN('[9]Total 2027 - 2029'!$D93:$AA93)</f>
        <v>10530.39189460846</v>
      </c>
      <c r="R93" s="60">
        <f>MIN('[9]Total 2027 - 2029'!$D93:$AA93)</f>
        <v>10530.39189460846</v>
      </c>
      <c r="S93" s="60">
        <f>MIN('[9]Total 2027 - 2029'!$D93:$AA93)</f>
        <v>10530.39189460846</v>
      </c>
      <c r="T93" s="60">
        <f>MIN('[9]Total 2027 - 2029'!$D93:$AA93)</f>
        <v>10530.39189460846</v>
      </c>
      <c r="U93" s="60">
        <f>MIN('[9]Total 2027 - 2029'!$D93:$AA93)</f>
        <v>10530.39189460846</v>
      </c>
      <c r="V93" s="60">
        <f>MIN('[9]Total 2027 - 2029'!$D93:$AA93)</f>
        <v>10530.39189460846</v>
      </c>
      <c r="W93" s="60">
        <f>MIN('[9]Total 2027 - 2029'!$D93:$AA93)</f>
        <v>10530.39189460846</v>
      </c>
      <c r="X93" s="60">
        <f>MIN('[9]Total 2027 - 2029'!$D93:$AA93)</f>
        <v>10530.39189460846</v>
      </c>
      <c r="Y93" s="60">
        <f>MIN('[9]Total 2027 - 2029'!$D93:$AA93)</f>
        <v>10530.39189460846</v>
      </c>
      <c r="Z93" s="60">
        <f>MIN('[9]Total 2027 - 2029'!$D93:$AA93)</f>
        <v>10530.39189460846</v>
      </c>
      <c r="AA93" s="60">
        <f>MIN('[9]Total 2027 - 2029'!$D93:$AA93)</f>
        <v>10530.39189460846</v>
      </c>
      <c r="AB93" s="57">
        <f t="shared" si="2"/>
        <v>5054588.1094120573</v>
      </c>
      <c r="AC93" s="62">
        <f>SUM(AB93:AB95)</f>
        <v>7567828.9424015526</v>
      </c>
    </row>
    <row r="94" spans="1:29" x14ac:dyDescent="0.25">
      <c r="A94" s="66"/>
      <c r="B94" s="59" t="s">
        <v>17</v>
      </c>
      <c r="C94" s="55">
        <v>4</v>
      </c>
      <c r="D94" s="60">
        <f>MIN('[9]Total 2027 - 2029'!$D94:$AA94)</f>
        <v>9029.9426110910099</v>
      </c>
      <c r="E94" s="60">
        <f>MIN('[9]Total 2027 - 2029'!$D94:$AA94)</f>
        <v>9029.9426110910099</v>
      </c>
      <c r="F94" s="60">
        <f>MIN('[9]Total 2027 - 2029'!$D94:$AA94)</f>
        <v>9029.9426110910099</v>
      </c>
      <c r="G94" s="60">
        <f>MIN('[9]Total 2027 - 2029'!$D94:$AA94)</f>
        <v>9029.9426110910099</v>
      </c>
      <c r="H94" s="60">
        <f>MIN('[9]Total 2027 - 2029'!$D94:$AA94)</f>
        <v>9029.9426110910099</v>
      </c>
      <c r="I94" s="60">
        <f>MIN('[9]Total 2027 - 2029'!$D94:$AA94)</f>
        <v>9029.9426110910099</v>
      </c>
      <c r="J94" s="60">
        <f>MIN('[9]Total 2027 - 2029'!$D94:$AA94)</f>
        <v>9029.9426110910099</v>
      </c>
      <c r="K94" s="60">
        <f>MIN('[9]Total 2027 - 2029'!$D94:$AA94)</f>
        <v>9029.9426110910099</v>
      </c>
      <c r="L94" s="60">
        <f>MIN('[9]Total 2027 - 2029'!$D94:$AA94)</f>
        <v>9029.9426110910099</v>
      </c>
      <c r="M94" s="60">
        <f>MIN('[9]Total 2027 - 2029'!$D94:$AA94)</f>
        <v>9029.9426110910099</v>
      </c>
      <c r="N94" s="60">
        <f>MIN('[9]Total 2027 - 2029'!$D94:$AA94)</f>
        <v>9029.9426110910099</v>
      </c>
      <c r="O94" s="60">
        <f>MIN('[9]Total 2027 - 2029'!$D94:$AA94)</f>
        <v>9029.9426110910099</v>
      </c>
      <c r="P94" s="60">
        <f>MIN('[9]Total 2027 - 2029'!$D94:$AA94)</f>
        <v>9029.9426110910099</v>
      </c>
      <c r="Q94" s="60">
        <f>MIN('[9]Total 2027 - 2029'!$D94:$AA94)</f>
        <v>9029.9426110910099</v>
      </c>
      <c r="R94" s="60">
        <f>MIN('[9]Total 2027 - 2029'!$D94:$AA94)</f>
        <v>9029.9426110910099</v>
      </c>
      <c r="S94" s="60">
        <f>MIN('[9]Total 2027 - 2029'!$D94:$AA94)</f>
        <v>9029.9426110910099</v>
      </c>
      <c r="T94" s="60">
        <f>MIN('[9]Total 2027 - 2029'!$D94:$AA94)</f>
        <v>9029.9426110910099</v>
      </c>
      <c r="U94" s="60">
        <f>MIN('[9]Total 2027 - 2029'!$D94:$AA94)</f>
        <v>9029.9426110910099</v>
      </c>
      <c r="V94" s="60">
        <f>MIN('[9]Total 2027 - 2029'!$D94:$AA94)</f>
        <v>9029.9426110910099</v>
      </c>
      <c r="W94" s="60">
        <f>MIN('[9]Total 2027 - 2029'!$D94:$AA94)</f>
        <v>9029.9426110910099</v>
      </c>
      <c r="X94" s="60">
        <f>MIN('[9]Total 2027 - 2029'!$D94:$AA94)</f>
        <v>9029.9426110910099</v>
      </c>
      <c r="Y94" s="60">
        <f>MIN('[9]Total 2027 - 2029'!$D94:$AA94)</f>
        <v>9029.9426110910099</v>
      </c>
      <c r="Z94" s="60">
        <f>MIN('[9]Total 2027 - 2029'!$D94:$AA94)</f>
        <v>9029.9426110910099</v>
      </c>
      <c r="AA94" s="60">
        <f>MIN('[9]Total 2027 - 2029'!$D94:$AA94)</f>
        <v>9029.9426110910099</v>
      </c>
      <c r="AB94" s="57">
        <f t="shared" si="2"/>
        <v>866874.49066473718</v>
      </c>
      <c r="AC94" s="63"/>
    </row>
    <row r="95" spans="1:29" x14ac:dyDescent="0.25">
      <c r="A95" s="67"/>
      <c r="B95" s="59" t="s">
        <v>18</v>
      </c>
      <c r="C95" s="55">
        <v>7</v>
      </c>
      <c r="D95" s="60">
        <f>MIN('[9]Total 2027 - 2029'!$D95:$AA95)</f>
        <v>9799.799656694986</v>
      </c>
      <c r="E95" s="60">
        <f>MIN('[9]Total 2027 - 2029'!$D95:$AA95)</f>
        <v>9799.799656694986</v>
      </c>
      <c r="F95" s="60">
        <f>MIN('[9]Total 2027 - 2029'!$D95:$AA95)</f>
        <v>9799.799656694986</v>
      </c>
      <c r="G95" s="60">
        <f>MIN('[9]Total 2027 - 2029'!$D95:$AA95)</f>
        <v>9799.799656694986</v>
      </c>
      <c r="H95" s="60">
        <f>MIN('[9]Total 2027 - 2029'!$D95:$AA95)</f>
        <v>9799.799656694986</v>
      </c>
      <c r="I95" s="60">
        <f>MIN('[9]Total 2027 - 2029'!$D95:$AA95)</f>
        <v>9799.799656694986</v>
      </c>
      <c r="J95" s="60">
        <f>MIN('[9]Total 2027 - 2029'!$D95:$AA95)</f>
        <v>9799.799656694986</v>
      </c>
      <c r="K95" s="60">
        <f>MIN('[9]Total 2027 - 2029'!$D95:$AA95)</f>
        <v>9799.799656694986</v>
      </c>
      <c r="L95" s="60">
        <f>MIN('[9]Total 2027 - 2029'!$D95:$AA95)</f>
        <v>9799.799656694986</v>
      </c>
      <c r="M95" s="60">
        <f>MIN('[9]Total 2027 - 2029'!$D95:$AA95)</f>
        <v>9799.799656694986</v>
      </c>
      <c r="N95" s="60">
        <f>MIN('[9]Total 2027 - 2029'!$D95:$AA95)</f>
        <v>9799.799656694986</v>
      </c>
      <c r="O95" s="60">
        <f>MIN('[9]Total 2027 - 2029'!$D95:$AA95)</f>
        <v>9799.799656694986</v>
      </c>
      <c r="P95" s="60">
        <f>MIN('[9]Total 2027 - 2029'!$D95:$AA95)</f>
        <v>9799.799656694986</v>
      </c>
      <c r="Q95" s="60">
        <f>MIN('[9]Total 2027 - 2029'!$D95:$AA95)</f>
        <v>9799.799656694986</v>
      </c>
      <c r="R95" s="60">
        <f>MIN('[9]Total 2027 - 2029'!$D95:$AA95)</f>
        <v>9799.799656694986</v>
      </c>
      <c r="S95" s="60">
        <f>MIN('[9]Total 2027 - 2029'!$D95:$AA95)</f>
        <v>9799.799656694986</v>
      </c>
      <c r="T95" s="60">
        <f>MIN('[9]Total 2027 - 2029'!$D95:$AA95)</f>
        <v>9799.799656694986</v>
      </c>
      <c r="U95" s="60">
        <f>MIN('[9]Total 2027 - 2029'!$D95:$AA95)</f>
        <v>9799.799656694986</v>
      </c>
      <c r="V95" s="60">
        <f>MIN('[9]Total 2027 - 2029'!$D95:$AA95)</f>
        <v>9799.799656694986</v>
      </c>
      <c r="W95" s="60">
        <f>MIN('[9]Total 2027 - 2029'!$D95:$AA95)</f>
        <v>9799.799656694986</v>
      </c>
      <c r="X95" s="60">
        <f>MIN('[9]Total 2027 - 2029'!$D95:$AA95)</f>
        <v>9799.799656694986</v>
      </c>
      <c r="Y95" s="60">
        <f>MIN('[9]Total 2027 - 2029'!$D95:$AA95)</f>
        <v>9799.799656694986</v>
      </c>
      <c r="Z95" s="60">
        <f>MIN('[9]Total 2027 - 2029'!$D95:$AA95)</f>
        <v>9799.799656694986</v>
      </c>
      <c r="AA95" s="60">
        <f>MIN('[9]Total 2027 - 2029'!$D95:$AA95)</f>
        <v>9799.799656694986</v>
      </c>
      <c r="AB95" s="57">
        <f t="shared" si="2"/>
        <v>1646366.3423247577</v>
      </c>
      <c r="AC95" s="64"/>
    </row>
    <row r="96" spans="1:29" x14ac:dyDescent="0.25">
      <c r="A96" s="65">
        <v>47331</v>
      </c>
      <c r="B96" s="54" t="s">
        <v>16</v>
      </c>
      <c r="C96" s="55">
        <v>21</v>
      </c>
      <c r="D96" s="60">
        <f>MIN('[9]Total 2027 - 2029'!$D96:$AA96)</f>
        <v>12260.890804571109</v>
      </c>
      <c r="E96" s="60">
        <f>MIN('[9]Total 2027 - 2029'!$D96:$AA96)</f>
        <v>12260.890804571109</v>
      </c>
      <c r="F96" s="60">
        <f>MIN('[9]Total 2027 - 2029'!$D96:$AA96)</f>
        <v>12260.890804571109</v>
      </c>
      <c r="G96" s="60">
        <f>MIN('[9]Total 2027 - 2029'!$D96:$AA96)</f>
        <v>12260.890804571109</v>
      </c>
      <c r="H96" s="60">
        <f>MIN('[9]Total 2027 - 2029'!$D96:$AA96)</f>
        <v>12260.890804571109</v>
      </c>
      <c r="I96" s="60">
        <f>MIN('[9]Total 2027 - 2029'!$D96:$AA96)</f>
        <v>12260.890804571109</v>
      </c>
      <c r="J96" s="60">
        <f>MIN('[9]Total 2027 - 2029'!$D96:$AA96)</f>
        <v>12260.890804571109</v>
      </c>
      <c r="K96" s="60">
        <f>MIN('[9]Total 2027 - 2029'!$D96:$AA96)</f>
        <v>12260.890804571109</v>
      </c>
      <c r="L96" s="60">
        <f>MIN('[9]Total 2027 - 2029'!$D96:$AA96)</f>
        <v>12260.890804571109</v>
      </c>
      <c r="M96" s="60">
        <f>MIN('[9]Total 2027 - 2029'!$D96:$AA96)</f>
        <v>12260.890804571109</v>
      </c>
      <c r="N96" s="60">
        <f>MIN('[9]Total 2027 - 2029'!$D96:$AA96)</f>
        <v>12260.890804571109</v>
      </c>
      <c r="O96" s="60">
        <f>MIN('[9]Total 2027 - 2029'!$D96:$AA96)</f>
        <v>12260.890804571109</v>
      </c>
      <c r="P96" s="60">
        <f>MIN('[9]Total 2027 - 2029'!$D96:$AA96)</f>
        <v>12260.890804571109</v>
      </c>
      <c r="Q96" s="60">
        <f>MIN('[9]Total 2027 - 2029'!$D96:$AA96)</f>
        <v>12260.890804571109</v>
      </c>
      <c r="R96" s="60">
        <f>MIN('[9]Total 2027 - 2029'!$D96:$AA96)</f>
        <v>12260.890804571109</v>
      </c>
      <c r="S96" s="60">
        <f>MIN('[9]Total 2027 - 2029'!$D96:$AA96)</f>
        <v>12260.890804571109</v>
      </c>
      <c r="T96" s="60">
        <f>MIN('[9]Total 2027 - 2029'!$D96:$AA96)</f>
        <v>12260.890804571109</v>
      </c>
      <c r="U96" s="60">
        <f>MIN('[9]Total 2027 - 2029'!$D96:$AA96)</f>
        <v>12260.890804571109</v>
      </c>
      <c r="V96" s="60">
        <f>MIN('[9]Total 2027 - 2029'!$D96:$AA96)</f>
        <v>12260.890804571109</v>
      </c>
      <c r="W96" s="60">
        <f>MIN('[9]Total 2027 - 2029'!$D96:$AA96)</f>
        <v>12260.890804571109</v>
      </c>
      <c r="X96" s="60">
        <f>MIN('[9]Total 2027 - 2029'!$D96:$AA96)</f>
        <v>12260.890804571109</v>
      </c>
      <c r="Y96" s="60">
        <f>MIN('[9]Total 2027 - 2029'!$D96:$AA96)</f>
        <v>12260.890804571109</v>
      </c>
      <c r="Z96" s="60">
        <f>MIN('[9]Total 2027 - 2029'!$D96:$AA96)</f>
        <v>12260.890804571109</v>
      </c>
      <c r="AA96" s="60">
        <f>MIN('[9]Total 2027 - 2029'!$D96:$AA96)</f>
        <v>12260.890804571109</v>
      </c>
      <c r="AB96" s="57">
        <f t="shared" si="2"/>
        <v>6179488.965503837</v>
      </c>
      <c r="AC96" s="62">
        <f>SUM(AB96:AB98)</f>
        <v>8694835.3200543206</v>
      </c>
    </row>
    <row r="97" spans="1:29" x14ac:dyDescent="0.25">
      <c r="A97" s="66"/>
      <c r="B97" s="59" t="s">
        <v>17</v>
      </c>
      <c r="C97" s="55">
        <v>4</v>
      </c>
      <c r="D97" s="60">
        <f>MIN('[9]Total 2027 - 2029'!$D97:$AA97)</f>
        <v>12839.249150023015</v>
      </c>
      <c r="E97" s="60">
        <f>MIN('[9]Total 2027 - 2029'!$D97:$AA97)</f>
        <v>12839.249150023015</v>
      </c>
      <c r="F97" s="60">
        <f>MIN('[9]Total 2027 - 2029'!$D97:$AA97)</f>
        <v>12839.249150023015</v>
      </c>
      <c r="G97" s="60">
        <f>MIN('[9]Total 2027 - 2029'!$D97:$AA97)</f>
        <v>12839.249150023015</v>
      </c>
      <c r="H97" s="60">
        <f>MIN('[9]Total 2027 - 2029'!$D97:$AA97)</f>
        <v>12839.249150023015</v>
      </c>
      <c r="I97" s="60">
        <f>MIN('[9]Total 2027 - 2029'!$D97:$AA97)</f>
        <v>12839.249150023015</v>
      </c>
      <c r="J97" s="60">
        <f>MIN('[9]Total 2027 - 2029'!$D97:$AA97)</f>
        <v>12839.249150023015</v>
      </c>
      <c r="K97" s="60">
        <f>MIN('[9]Total 2027 - 2029'!$D97:$AA97)</f>
        <v>12839.249150023015</v>
      </c>
      <c r="L97" s="60">
        <f>MIN('[9]Total 2027 - 2029'!$D97:$AA97)</f>
        <v>12839.249150023015</v>
      </c>
      <c r="M97" s="60">
        <f>MIN('[9]Total 2027 - 2029'!$D97:$AA97)</f>
        <v>12839.249150023015</v>
      </c>
      <c r="N97" s="60">
        <f>MIN('[9]Total 2027 - 2029'!$D97:$AA97)</f>
        <v>12839.249150023015</v>
      </c>
      <c r="O97" s="60">
        <f>MIN('[9]Total 2027 - 2029'!$D97:$AA97)</f>
        <v>12839.249150023015</v>
      </c>
      <c r="P97" s="60">
        <f>MIN('[9]Total 2027 - 2029'!$D97:$AA97)</f>
        <v>12839.249150023015</v>
      </c>
      <c r="Q97" s="60">
        <f>MIN('[9]Total 2027 - 2029'!$D97:$AA97)</f>
        <v>12839.249150023015</v>
      </c>
      <c r="R97" s="60">
        <f>MIN('[9]Total 2027 - 2029'!$D97:$AA97)</f>
        <v>12839.249150023015</v>
      </c>
      <c r="S97" s="60">
        <f>MIN('[9]Total 2027 - 2029'!$D97:$AA97)</f>
        <v>12839.249150023015</v>
      </c>
      <c r="T97" s="60">
        <f>MIN('[9]Total 2027 - 2029'!$D97:$AA97)</f>
        <v>12839.249150023015</v>
      </c>
      <c r="U97" s="60">
        <f>MIN('[9]Total 2027 - 2029'!$D97:$AA97)</f>
        <v>12839.249150023015</v>
      </c>
      <c r="V97" s="60">
        <f>MIN('[9]Total 2027 - 2029'!$D97:$AA97)</f>
        <v>12839.249150023015</v>
      </c>
      <c r="W97" s="60">
        <f>MIN('[9]Total 2027 - 2029'!$D97:$AA97)</f>
        <v>12839.249150023015</v>
      </c>
      <c r="X97" s="60">
        <f>MIN('[9]Total 2027 - 2029'!$D97:$AA97)</f>
        <v>12839.249150023015</v>
      </c>
      <c r="Y97" s="60">
        <f>MIN('[9]Total 2027 - 2029'!$D97:$AA97)</f>
        <v>12839.249150023015</v>
      </c>
      <c r="Z97" s="60">
        <f>MIN('[9]Total 2027 - 2029'!$D97:$AA97)</f>
        <v>12839.249150023015</v>
      </c>
      <c r="AA97" s="60">
        <f>MIN('[9]Total 2027 - 2029'!$D97:$AA97)</f>
        <v>12839.249150023015</v>
      </c>
      <c r="AB97" s="57">
        <f t="shared" si="2"/>
        <v>1232567.9184022094</v>
      </c>
      <c r="AC97" s="63"/>
    </row>
    <row r="98" spans="1:29" x14ac:dyDescent="0.25">
      <c r="A98" s="67"/>
      <c r="B98" s="59" t="s">
        <v>18</v>
      </c>
      <c r="C98" s="55">
        <v>6</v>
      </c>
      <c r="D98" s="60">
        <f>MIN('[9]Total 2027 - 2029'!$D98:$AA98)</f>
        <v>8908.1835843630161</v>
      </c>
      <c r="E98" s="60">
        <f>MIN('[9]Total 2027 - 2029'!$D98:$AA98)</f>
        <v>8908.1835843630161</v>
      </c>
      <c r="F98" s="60">
        <f>MIN('[9]Total 2027 - 2029'!$D98:$AA98)</f>
        <v>8908.1835843630161</v>
      </c>
      <c r="G98" s="60">
        <f>MIN('[9]Total 2027 - 2029'!$D98:$AA98)</f>
        <v>8908.1835843630161</v>
      </c>
      <c r="H98" s="60">
        <f>MIN('[9]Total 2027 - 2029'!$D98:$AA98)</f>
        <v>8908.1835843630161</v>
      </c>
      <c r="I98" s="60">
        <f>MIN('[9]Total 2027 - 2029'!$D98:$AA98)</f>
        <v>8908.1835843630161</v>
      </c>
      <c r="J98" s="60">
        <f>MIN('[9]Total 2027 - 2029'!$D98:$AA98)</f>
        <v>8908.1835843630161</v>
      </c>
      <c r="K98" s="60">
        <f>MIN('[9]Total 2027 - 2029'!$D98:$AA98)</f>
        <v>8908.1835843630161</v>
      </c>
      <c r="L98" s="60">
        <f>MIN('[9]Total 2027 - 2029'!$D98:$AA98)</f>
        <v>8908.1835843630161</v>
      </c>
      <c r="M98" s="60">
        <f>MIN('[9]Total 2027 - 2029'!$D98:$AA98)</f>
        <v>8908.1835843630161</v>
      </c>
      <c r="N98" s="60">
        <f>MIN('[9]Total 2027 - 2029'!$D98:$AA98)</f>
        <v>8908.1835843630161</v>
      </c>
      <c r="O98" s="60">
        <f>MIN('[9]Total 2027 - 2029'!$D98:$AA98)</f>
        <v>8908.1835843630161</v>
      </c>
      <c r="P98" s="60">
        <f>MIN('[9]Total 2027 - 2029'!$D98:$AA98)</f>
        <v>8908.1835843630161</v>
      </c>
      <c r="Q98" s="60">
        <f>MIN('[9]Total 2027 - 2029'!$D98:$AA98)</f>
        <v>8908.1835843630161</v>
      </c>
      <c r="R98" s="60">
        <f>MIN('[9]Total 2027 - 2029'!$D98:$AA98)</f>
        <v>8908.1835843630161</v>
      </c>
      <c r="S98" s="60">
        <f>MIN('[9]Total 2027 - 2029'!$D98:$AA98)</f>
        <v>8908.1835843630161</v>
      </c>
      <c r="T98" s="60">
        <f>MIN('[9]Total 2027 - 2029'!$D98:$AA98)</f>
        <v>8908.1835843630161</v>
      </c>
      <c r="U98" s="60">
        <f>MIN('[9]Total 2027 - 2029'!$D98:$AA98)</f>
        <v>8908.1835843630161</v>
      </c>
      <c r="V98" s="60">
        <f>MIN('[9]Total 2027 - 2029'!$D98:$AA98)</f>
        <v>8908.1835843630161</v>
      </c>
      <c r="W98" s="60">
        <f>MIN('[9]Total 2027 - 2029'!$D98:$AA98)</f>
        <v>8908.1835843630161</v>
      </c>
      <c r="X98" s="60">
        <f>MIN('[9]Total 2027 - 2029'!$D98:$AA98)</f>
        <v>8908.1835843630161</v>
      </c>
      <c r="Y98" s="60">
        <f>MIN('[9]Total 2027 - 2029'!$D98:$AA98)</f>
        <v>8908.1835843630161</v>
      </c>
      <c r="Z98" s="60">
        <f>MIN('[9]Total 2027 - 2029'!$D98:$AA98)</f>
        <v>8908.1835843630161</v>
      </c>
      <c r="AA98" s="60">
        <f>MIN('[9]Total 2027 - 2029'!$D98:$AA98)</f>
        <v>8908.1835843630161</v>
      </c>
      <c r="AB98" s="57">
        <f t="shared" si="2"/>
        <v>1282778.4361482747</v>
      </c>
      <c r="AC98" s="64"/>
    </row>
    <row r="99" spans="1:29" x14ac:dyDescent="0.25">
      <c r="A99" s="65">
        <v>47362</v>
      </c>
      <c r="B99" s="54" t="s">
        <v>16</v>
      </c>
      <c r="C99" s="55">
        <v>20</v>
      </c>
      <c r="D99" s="60">
        <f>MIN('[9]Total 2027 - 2029'!$D99:$AA99)</f>
        <v>13825.385658390971</v>
      </c>
      <c r="E99" s="60">
        <f>MIN('[9]Total 2027 - 2029'!$D99:$AA99)</f>
        <v>13825.385658390971</v>
      </c>
      <c r="F99" s="60">
        <f>MIN('[9]Total 2027 - 2029'!$D99:$AA99)</f>
        <v>13825.385658390971</v>
      </c>
      <c r="G99" s="60">
        <f>MIN('[9]Total 2027 - 2029'!$D99:$AA99)</f>
        <v>13825.385658390971</v>
      </c>
      <c r="H99" s="60">
        <f>MIN('[9]Total 2027 - 2029'!$D99:$AA99)</f>
        <v>13825.385658390971</v>
      </c>
      <c r="I99" s="60">
        <f>MIN('[9]Total 2027 - 2029'!$D99:$AA99)</f>
        <v>13825.385658390971</v>
      </c>
      <c r="J99" s="60">
        <f>MIN('[9]Total 2027 - 2029'!$D99:$AA99)</f>
        <v>13825.385658390971</v>
      </c>
      <c r="K99" s="60">
        <f>MIN('[9]Total 2027 - 2029'!$D99:$AA99)</f>
        <v>13825.385658390971</v>
      </c>
      <c r="L99" s="60">
        <f>MIN('[9]Total 2027 - 2029'!$D99:$AA99)</f>
        <v>13825.385658390971</v>
      </c>
      <c r="M99" s="60">
        <f>MIN('[9]Total 2027 - 2029'!$D99:$AA99)</f>
        <v>13825.385658390971</v>
      </c>
      <c r="N99" s="60">
        <f>MIN('[9]Total 2027 - 2029'!$D99:$AA99)</f>
        <v>13825.385658390971</v>
      </c>
      <c r="O99" s="60">
        <f>MIN('[9]Total 2027 - 2029'!$D99:$AA99)</f>
        <v>13825.385658390971</v>
      </c>
      <c r="P99" s="60">
        <f>MIN('[9]Total 2027 - 2029'!$D99:$AA99)</f>
        <v>13825.385658390971</v>
      </c>
      <c r="Q99" s="60">
        <f>MIN('[9]Total 2027 - 2029'!$D99:$AA99)</f>
        <v>13825.385658390971</v>
      </c>
      <c r="R99" s="60">
        <f>MIN('[9]Total 2027 - 2029'!$D99:$AA99)</f>
        <v>13825.385658390971</v>
      </c>
      <c r="S99" s="60">
        <f>MIN('[9]Total 2027 - 2029'!$D99:$AA99)</f>
        <v>13825.385658390971</v>
      </c>
      <c r="T99" s="60">
        <f>MIN('[9]Total 2027 - 2029'!$D99:$AA99)</f>
        <v>13825.385658390971</v>
      </c>
      <c r="U99" s="60">
        <f>MIN('[9]Total 2027 - 2029'!$D99:$AA99)</f>
        <v>13825.385658390971</v>
      </c>
      <c r="V99" s="60">
        <f>MIN('[9]Total 2027 - 2029'!$D99:$AA99)</f>
        <v>13825.385658390971</v>
      </c>
      <c r="W99" s="60">
        <f>MIN('[9]Total 2027 - 2029'!$D99:$AA99)</f>
        <v>13825.385658390971</v>
      </c>
      <c r="X99" s="60">
        <f>MIN('[9]Total 2027 - 2029'!$D99:$AA99)</f>
        <v>13825.385658390971</v>
      </c>
      <c r="Y99" s="60">
        <f>MIN('[9]Total 2027 - 2029'!$D99:$AA99)</f>
        <v>13825.385658390971</v>
      </c>
      <c r="Z99" s="60">
        <f>MIN('[9]Total 2027 - 2029'!$D99:$AA99)</f>
        <v>13825.385658390971</v>
      </c>
      <c r="AA99" s="60">
        <f>MIN('[9]Total 2027 - 2029'!$D99:$AA99)</f>
        <v>13825.385658390971</v>
      </c>
      <c r="AB99" s="57">
        <f t="shared" si="2"/>
        <v>6636185.1160276672</v>
      </c>
      <c r="AC99" s="62">
        <f>SUM(AB99:AB101)</f>
        <v>9508956.3272679374</v>
      </c>
    </row>
    <row r="100" spans="1:29" x14ac:dyDescent="0.25">
      <c r="A100" s="66"/>
      <c r="B100" s="59" t="s">
        <v>17</v>
      </c>
      <c r="C100" s="55">
        <v>5</v>
      </c>
      <c r="D100" s="60">
        <f>MIN('[9]Total 2027 - 2029'!$D100:$AA100)</f>
        <v>12935.936662052636</v>
      </c>
      <c r="E100" s="60">
        <f>MIN('[9]Total 2027 - 2029'!$D100:$AA100)</f>
        <v>12935.936662052636</v>
      </c>
      <c r="F100" s="60">
        <f>MIN('[9]Total 2027 - 2029'!$D100:$AA100)</f>
        <v>12935.936662052636</v>
      </c>
      <c r="G100" s="60">
        <f>MIN('[9]Total 2027 - 2029'!$D100:$AA100)</f>
        <v>12935.936662052636</v>
      </c>
      <c r="H100" s="60">
        <f>MIN('[9]Total 2027 - 2029'!$D100:$AA100)</f>
        <v>12935.936662052636</v>
      </c>
      <c r="I100" s="60">
        <f>MIN('[9]Total 2027 - 2029'!$D100:$AA100)</f>
        <v>12935.936662052636</v>
      </c>
      <c r="J100" s="60">
        <f>MIN('[9]Total 2027 - 2029'!$D100:$AA100)</f>
        <v>12935.936662052636</v>
      </c>
      <c r="K100" s="60">
        <f>MIN('[9]Total 2027 - 2029'!$D100:$AA100)</f>
        <v>12935.936662052636</v>
      </c>
      <c r="L100" s="60">
        <f>MIN('[9]Total 2027 - 2029'!$D100:$AA100)</f>
        <v>12935.936662052636</v>
      </c>
      <c r="M100" s="60">
        <f>MIN('[9]Total 2027 - 2029'!$D100:$AA100)</f>
        <v>12935.936662052636</v>
      </c>
      <c r="N100" s="60">
        <f>MIN('[9]Total 2027 - 2029'!$D100:$AA100)</f>
        <v>12935.936662052636</v>
      </c>
      <c r="O100" s="60">
        <f>MIN('[9]Total 2027 - 2029'!$D100:$AA100)</f>
        <v>12935.936662052636</v>
      </c>
      <c r="P100" s="60">
        <f>MIN('[9]Total 2027 - 2029'!$D100:$AA100)</f>
        <v>12935.936662052636</v>
      </c>
      <c r="Q100" s="60">
        <f>MIN('[9]Total 2027 - 2029'!$D100:$AA100)</f>
        <v>12935.936662052636</v>
      </c>
      <c r="R100" s="60">
        <f>MIN('[9]Total 2027 - 2029'!$D100:$AA100)</f>
        <v>12935.936662052636</v>
      </c>
      <c r="S100" s="60">
        <f>MIN('[9]Total 2027 - 2029'!$D100:$AA100)</f>
        <v>12935.936662052636</v>
      </c>
      <c r="T100" s="60">
        <f>MIN('[9]Total 2027 - 2029'!$D100:$AA100)</f>
        <v>12935.936662052636</v>
      </c>
      <c r="U100" s="60">
        <f>MIN('[9]Total 2027 - 2029'!$D100:$AA100)</f>
        <v>12935.936662052636</v>
      </c>
      <c r="V100" s="60">
        <f>MIN('[9]Total 2027 - 2029'!$D100:$AA100)</f>
        <v>12935.936662052636</v>
      </c>
      <c r="W100" s="60">
        <f>MIN('[9]Total 2027 - 2029'!$D100:$AA100)</f>
        <v>12935.936662052636</v>
      </c>
      <c r="X100" s="60">
        <f>MIN('[9]Total 2027 - 2029'!$D100:$AA100)</f>
        <v>12935.936662052636</v>
      </c>
      <c r="Y100" s="60">
        <f>MIN('[9]Total 2027 - 2029'!$D100:$AA100)</f>
        <v>12935.936662052636</v>
      </c>
      <c r="Z100" s="60">
        <f>MIN('[9]Total 2027 - 2029'!$D100:$AA100)</f>
        <v>12935.936662052636</v>
      </c>
      <c r="AA100" s="60">
        <f>MIN('[9]Total 2027 - 2029'!$D100:$AA100)</f>
        <v>12935.936662052636</v>
      </c>
      <c r="AB100" s="57">
        <f t="shared" si="2"/>
        <v>1552312.3994463168</v>
      </c>
      <c r="AC100" s="63"/>
    </row>
    <row r="101" spans="1:29" x14ac:dyDescent="0.25">
      <c r="A101" s="67"/>
      <c r="B101" s="59" t="s">
        <v>18</v>
      </c>
      <c r="C101" s="55">
        <v>5</v>
      </c>
      <c r="D101" s="60">
        <f>MIN('[9]Total 2027 - 2029'!$D101:$AA101)</f>
        <v>11003.823431616283</v>
      </c>
      <c r="E101" s="60">
        <f>MIN('[9]Total 2027 - 2029'!$D101:$AA101)</f>
        <v>11003.823431616283</v>
      </c>
      <c r="F101" s="60">
        <f>MIN('[9]Total 2027 - 2029'!$D101:$AA101)</f>
        <v>11003.823431616283</v>
      </c>
      <c r="G101" s="60">
        <f>MIN('[9]Total 2027 - 2029'!$D101:$AA101)</f>
        <v>11003.823431616283</v>
      </c>
      <c r="H101" s="60">
        <f>MIN('[9]Total 2027 - 2029'!$D101:$AA101)</f>
        <v>11003.823431616283</v>
      </c>
      <c r="I101" s="60">
        <f>MIN('[9]Total 2027 - 2029'!$D101:$AA101)</f>
        <v>11003.823431616283</v>
      </c>
      <c r="J101" s="60">
        <f>MIN('[9]Total 2027 - 2029'!$D101:$AA101)</f>
        <v>11003.823431616283</v>
      </c>
      <c r="K101" s="60">
        <f>MIN('[9]Total 2027 - 2029'!$D101:$AA101)</f>
        <v>11003.823431616283</v>
      </c>
      <c r="L101" s="60">
        <f>MIN('[9]Total 2027 - 2029'!$D101:$AA101)</f>
        <v>11003.823431616283</v>
      </c>
      <c r="M101" s="60">
        <f>MIN('[9]Total 2027 - 2029'!$D101:$AA101)</f>
        <v>11003.823431616283</v>
      </c>
      <c r="N101" s="60">
        <f>MIN('[9]Total 2027 - 2029'!$D101:$AA101)</f>
        <v>11003.823431616283</v>
      </c>
      <c r="O101" s="60">
        <f>MIN('[9]Total 2027 - 2029'!$D101:$AA101)</f>
        <v>11003.823431616283</v>
      </c>
      <c r="P101" s="60">
        <f>MIN('[9]Total 2027 - 2029'!$D101:$AA101)</f>
        <v>11003.823431616283</v>
      </c>
      <c r="Q101" s="60">
        <f>MIN('[9]Total 2027 - 2029'!$D101:$AA101)</f>
        <v>11003.823431616283</v>
      </c>
      <c r="R101" s="60">
        <f>MIN('[9]Total 2027 - 2029'!$D101:$AA101)</f>
        <v>11003.823431616283</v>
      </c>
      <c r="S101" s="60">
        <f>MIN('[9]Total 2027 - 2029'!$D101:$AA101)</f>
        <v>11003.823431616283</v>
      </c>
      <c r="T101" s="60">
        <f>MIN('[9]Total 2027 - 2029'!$D101:$AA101)</f>
        <v>11003.823431616283</v>
      </c>
      <c r="U101" s="60">
        <f>MIN('[9]Total 2027 - 2029'!$D101:$AA101)</f>
        <v>11003.823431616283</v>
      </c>
      <c r="V101" s="60">
        <f>MIN('[9]Total 2027 - 2029'!$D101:$AA101)</f>
        <v>11003.823431616283</v>
      </c>
      <c r="W101" s="60">
        <f>MIN('[9]Total 2027 - 2029'!$D101:$AA101)</f>
        <v>11003.823431616283</v>
      </c>
      <c r="X101" s="60">
        <f>MIN('[9]Total 2027 - 2029'!$D101:$AA101)</f>
        <v>11003.823431616283</v>
      </c>
      <c r="Y101" s="60">
        <f>MIN('[9]Total 2027 - 2029'!$D101:$AA101)</f>
        <v>11003.823431616283</v>
      </c>
      <c r="Z101" s="60">
        <f>MIN('[9]Total 2027 - 2029'!$D101:$AA101)</f>
        <v>11003.823431616283</v>
      </c>
      <c r="AA101" s="60">
        <f>MIN('[9]Total 2027 - 2029'!$D101:$AA101)</f>
        <v>11003.823431616283</v>
      </c>
      <c r="AB101" s="57">
        <f t="shared" si="2"/>
        <v>1320458.8117939534</v>
      </c>
      <c r="AC101" s="64"/>
    </row>
    <row r="102" spans="1:29" x14ac:dyDescent="0.25">
      <c r="A102" s="65">
        <v>47392</v>
      </c>
      <c r="B102" s="54" t="s">
        <v>16</v>
      </c>
      <c r="C102" s="55">
        <v>22</v>
      </c>
      <c r="D102" s="60">
        <f>MIN('[9]Total 2027 - 2029'!$D102:$AA102)</f>
        <v>14443.543494763933</v>
      </c>
      <c r="E102" s="60">
        <f>MIN('[9]Total 2027 - 2029'!$D102:$AA102)</f>
        <v>14443.543494763933</v>
      </c>
      <c r="F102" s="60">
        <f>MIN('[9]Total 2027 - 2029'!$D102:$AA102)</f>
        <v>14443.543494763933</v>
      </c>
      <c r="G102" s="60">
        <f>MIN('[9]Total 2027 - 2029'!$D102:$AA102)</f>
        <v>14443.543494763933</v>
      </c>
      <c r="H102" s="60">
        <f>MIN('[9]Total 2027 - 2029'!$D102:$AA102)</f>
        <v>14443.543494763933</v>
      </c>
      <c r="I102" s="60">
        <f>MIN('[9]Total 2027 - 2029'!$D102:$AA102)</f>
        <v>14443.543494763933</v>
      </c>
      <c r="J102" s="60">
        <f>MIN('[9]Total 2027 - 2029'!$D102:$AA102)</f>
        <v>14443.543494763933</v>
      </c>
      <c r="K102" s="60">
        <f>MIN('[9]Total 2027 - 2029'!$D102:$AA102)</f>
        <v>14443.543494763933</v>
      </c>
      <c r="L102" s="60">
        <f>MIN('[9]Total 2027 - 2029'!$D102:$AA102)</f>
        <v>14443.543494763933</v>
      </c>
      <c r="M102" s="60">
        <f>MIN('[9]Total 2027 - 2029'!$D102:$AA102)</f>
        <v>14443.543494763933</v>
      </c>
      <c r="N102" s="60">
        <f>MIN('[9]Total 2027 - 2029'!$D102:$AA102)</f>
        <v>14443.543494763933</v>
      </c>
      <c r="O102" s="60">
        <f>MIN('[9]Total 2027 - 2029'!$D102:$AA102)</f>
        <v>14443.543494763933</v>
      </c>
      <c r="P102" s="60">
        <f>MIN('[9]Total 2027 - 2029'!$D102:$AA102)</f>
        <v>14443.543494763933</v>
      </c>
      <c r="Q102" s="60">
        <f>MIN('[9]Total 2027 - 2029'!$D102:$AA102)</f>
        <v>14443.543494763933</v>
      </c>
      <c r="R102" s="60">
        <f>MIN('[9]Total 2027 - 2029'!$D102:$AA102)</f>
        <v>14443.543494763933</v>
      </c>
      <c r="S102" s="60">
        <f>MIN('[9]Total 2027 - 2029'!$D102:$AA102)</f>
        <v>14443.543494763933</v>
      </c>
      <c r="T102" s="60">
        <f>MIN('[9]Total 2027 - 2029'!$D102:$AA102)</f>
        <v>14443.543494763933</v>
      </c>
      <c r="U102" s="60">
        <f>MIN('[9]Total 2027 - 2029'!$D102:$AA102)</f>
        <v>14443.543494763933</v>
      </c>
      <c r="V102" s="60">
        <f>MIN('[9]Total 2027 - 2029'!$D102:$AA102)</f>
        <v>14443.543494763933</v>
      </c>
      <c r="W102" s="60">
        <f>MIN('[9]Total 2027 - 2029'!$D102:$AA102)</f>
        <v>14443.543494763933</v>
      </c>
      <c r="X102" s="60">
        <f>MIN('[9]Total 2027 - 2029'!$D102:$AA102)</f>
        <v>14443.543494763933</v>
      </c>
      <c r="Y102" s="60">
        <f>MIN('[9]Total 2027 - 2029'!$D102:$AA102)</f>
        <v>14443.543494763933</v>
      </c>
      <c r="Z102" s="60">
        <f>MIN('[9]Total 2027 - 2029'!$D102:$AA102)</f>
        <v>14443.543494763933</v>
      </c>
      <c r="AA102" s="60">
        <f>MIN('[9]Total 2027 - 2029'!$D102:$AA102)</f>
        <v>14443.543494763933</v>
      </c>
      <c r="AB102" s="57">
        <f t="shared" si="2"/>
        <v>7626190.965235359</v>
      </c>
      <c r="AC102" s="62">
        <f>SUM(AB102:AB104)</f>
        <v>10057907.517876832</v>
      </c>
    </row>
    <row r="103" spans="1:29" x14ac:dyDescent="0.25">
      <c r="A103" s="66"/>
      <c r="B103" s="59" t="s">
        <v>17</v>
      </c>
      <c r="C103" s="55">
        <v>4</v>
      </c>
      <c r="D103" s="60">
        <f>MIN('[9]Total 2027 - 2029'!$D103:$AA103)</f>
        <v>11352.361523601228</v>
      </c>
      <c r="E103" s="60">
        <f>MIN('[9]Total 2027 - 2029'!$D103:$AA103)</f>
        <v>11352.361523601228</v>
      </c>
      <c r="F103" s="60">
        <f>MIN('[9]Total 2027 - 2029'!$D103:$AA103)</f>
        <v>11352.361523601228</v>
      </c>
      <c r="G103" s="60">
        <f>MIN('[9]Total 2027 - 2029'!$D103:$AA103)</f>
        <v>11352.361523601228</v>
      </c>
      <c r="H103" s="60">
        <f>MIN('[9]Total 2027 - 2029'!$D103:$AA103)</f>
        <v>11352.361523601228</v>
      </c>
      <c r="I103" s="60">
        <f>MIN('[9]Total 2027 - 2029'!$D103:$AA103)</f>
        <v>11352.361523601228</v>
      </c>
      <c r="J103" s="60">
        <f>MIN('[9]Total 2027 - 2029'!$D103:$AA103)</f>
        <v>11352.361523601228</v>
      </c>
      <c r="K103" s="60">
        <f>MIN('[9]Total 2027 - 2029'!$D103:$AA103)</f>
        <v>11352.361523601228</v>
      </c>
      <c r="L103" s="60">
        <f>MIN('[9]Total 2027 - 2029'!$D103:$AA103)</f>
        <v>11352.361523601228</v>
      </c>
      <c r="M103" s="60">
        <f>MIN('[9]Total 2027 - 2029'!$D103:$AA103)</f>
        <v>11352.361523601228</v>
      </c>
      <c r="N103" s="60">
        <f>MIN('[9]Total 2027 - 2029'!$D103:$AA103)</f>
        <v>11352.361523601228</v>
      </c>
      <c r="O103" s="60">
        <f>MIN('[9]Total 2027 - 2029'!$D103:$AA103)</f>
        <v>11352.361523601228</v>
      </c>
      <c r="P103" s="60">
        <f>MIN('[9]Total 2027 - 2029'!$D103:$AA103)</f>
        <v>11352.361523601228</v>
      </c>
      <c r="Q103" s="60">
        <f>MIN('[9]Total 2027 - 2029'!$D103:$AA103)</f>
        <v>11352.361523601228</v>
      </c>
      <c r="R103" s="60">
        <f>MIN('[9]Total 2027 - 2029'!$D103:$AA103)</f>
        <v>11352.361523601228</v>
      </c>
      <c r="S103" s="60">
        <f>MIN('[9]Total 2027 - 2029'!$D103:$AA103)</f>
        <v>11352.361523601228</v>
      </c>
      <c r="T103" s="60">
        <f>MIN('[9]Total 2027 - 2029'!$D103:$AA103)</f>
        <v>11352.361523601228</v>
      </c>
      <c r="U103" s="60">
        <f>MIN('[9]Total 2027 - 2029'!$D103:$AA103)</f>
        <v>11352.361523601228</v>
      </c>
      <c r="V103" s="60">
        <f>MIN('[9]Total 2027 - 2029'!$D103:$AA103)</f>
        <v>11352.361523601228</v>
      </c>
      <c r="W103" s="60">
        <f>MIN('[9]Total 2027 - 2029'!$D103:$AA103)</f>
        <v>11352.361523601228</v>
      </c>
      <c r="X103" s="60">
        <f>MIN('[9]Total 2027 - 2029'!$D103:$AA103)</f>
        <v>11352.361523601228</v>
      </c>
      <c r="Y103" s="60">
        <f>MIN('[9]Total 2027 - 2029'!$D103:$AA103)</f>
        <v>11352.361523601228</v>
      </c>
      <c r="Z103" s="60">
        <f>MIN('[9]Total 2027 - 2029'!$D103:$AA103)</f>
        <v>11352.361523601228</v>
      </c>
      <c r="AA103" s="60">
        <f>MIN('[9]Total 2027 - 2029'!$D103:$AA103)</f>
        <v>11352.361523601228</v>
      </c>
      <c r="AB103" s="57">
        <f t="shared" si="2"/>
        <v>1089826.706265718</v>
      </c>
      <c r="AC103" s="63"/>
    </row>
    <row r="104" spans="1:29" x14ac:dyDescent="0.25">
      <c r="A104" s="67"/>
      <c r="B104" s="59" t="s">
        <v>18</v>
      </c>
      <c r="C104" s="55">
        <v>5</v>
      </c>
      <c r="D104" s="60">
        <f>MIN('[9]Total 2027 - 2029'!$D104:$AA104)</f>
        <v>11182.415386464609</v>
      </c>
      <c r="E104" s="60">
        <f>MIN('[9]Total 2027 - 2029'!$D104:$AA104)</f>
        <v>11182.415386464609</v>
      </c>
      <c r="F104" s="60">
        <f>MIN('[9]Total 2027 - 2029'!$D104:$AA104)</f>
        <v>11182.415386464609</v>
      </c>
      <c r="G104" s="60">
        <f>MIN('[9]Total 2027 - 2029'!$D104:$AA104)</f>
        <v>11182.415386464609</v>
      </c>
      <c r="H104" s="60">
        <f>MIN('[9]Total 2027 - 2029'!$D104:$AA104)</f>
        <v>11182.415386464609</v>
      </c>
      <c r="I104" s="60">
        <f>MIN('[9]Total 2027 - 2029'!$D104:$AA104)</f>
        <v>11182.415386464609</v>
      </c>
      <c r="J104" s="60">
        <f>MIN('[9]Total 2027 - 2029'!$D104:$AA104)</f>
        <v>11182.415386464609</v>
      </c>
      <c r="K104" s="60">
        <f>MIN('[9]Total 2027 - 2029'!$D104:$AA104)</f>
        <v>11182.415386464609</v>
      </c>
      <c r="L104" s="60">
        <f>MIN('[9]Total 2027 - 2029'!$D104:$AA104)</f>
        <v>11182.415386464609</v>
      </c>
      <c r="M104" s="60">
        <f>MIN('[9]Total 2027 - 2029'!$D104:$AA104)</f>
        <v>11182.415386464609</v>
      </c>
      <c r="N104" s="60">
        <f>MIN('[9]Total 2027 - 2029'!$D104:$AA104)</f>
        <v>11182.415386464609</v>
      </c>
      <c r="O104" s="60">
        <f>MIN('[9]Total 2027 - 2029'!$D104:$AA104)</f>
        <v>11182.415386464609</v>
      </c>
      <c r="P104" s="60">
        <f>MIN('[9]Total 2027 - 2029'!$D104:$AA104)</f>
        <v>11182.415386464609</v>
      </c>
      <c r="Q104" s="60">
        <f>MIN('[9]Total 2027 - 2029'!$D104:$AA104)</f>
        <v>11182.415386464609</v>
      </c>
      <c r="R104" s="60">
        <f>MIN('[9]Total 2027 - 2029'!$D104:$AA104)</f>
        <v>11182.415386464609</v>
      </c>
      <c r="S104" s="60">
        <f>MIN('[9]Total 2027 - 2029'!$D104:$AA104)</f>
        <v>11182.415386464609</v>
      </c>
      <c r="T104" s="60">
        <f>MIN('[9]Total 2027 - 2029'!$D104:$AA104)</f>
        <v>11182.415386464609</v>
      </c>
      <c r="U104" s="60">
        <f>MIN('[9]Total 2027 - 2029'!$D104:$AA104)</f>
        <v>11182.415386464609</v>
      </c>
      <c r="V104" s="60">
        <f>MIN('[9]Total 2027 - 2029'!$D104:$AA104)</f>
        <v>11182.415386464609</v>
      </c>
      <c r="W104" s="60">
        <f>MIN('[9]Total 2027 - 2029'!$D104:$AA104)</f>
        <v>11182.415386464609</v>
      </c>
      <c r="X104" s="60">
        <f>MIN('[9]Total 2027 - 2029'!$D104:$AA104)</f>
        <v>11182.415386464609</v>
      </c>
      <c r="Y104" s="60">
        <f>MIN('[9]Total 2027 - 2029'!$D104:$AA104)</f>
        <v>11182.415386464609</v>
      </c>
      <c r="Z104" s="60">
        <f>MIN('[9]Total 2027 - 2029'!$D104:$AA104)</f>
        <v>11182.415386464609</v>
      </c>
      <c r="AA104" s="60">
        <f>MIN('[9]Total 2027 - 2029'!$D104:$AA104)</f>
        <v>11182.415386464609</v>
      </c>
      <c r="AB104" s="57">
        <f t="shared" si="2"/>
        <v>1341889.8463757536</v>
      </c>
      <c r="AC104" s="64"/>
    </row>
    <row r="105" spans="1:29" x14ac:dyDescent="0.25">
      <c r="A105" s="65">
        <v>47423</v>
      </c>
      <c r="B105" s="54" t="s">
        <v>16</v>
      </c>
      <c r="C105" s="55">
        <v>20</v>
      </c>
      <c r="D105" s="60">
        <f>MIN('[9]Total 2027 - 2029'!$D105:$AA105)</f>
        <v>14699.784577522632</v>
      </c>
      <c r="E105" s="60">
        <f>MIN('[9]Total 2027 - 2029'!$D105:$AA105)</f>
        <v>14699.784577522632</v>
      </c>
      <c r="F105" s="60">
        <f>MIN('[9]Total 2027 - 2029'!$D105:$AA105)</f>
        <v>14699.784577522632</v>
      </c>
      <c r="G105" s="60">
        <f>MIN('[9]Total 2027 - 2029'!$D105:$AA105)</f>
        <v>14699.784577522632</v>
      </c>
      <c r="H105" s="60">
        <f>MIN('[9]Total 2027 - 2029'!$D105:$AA105)</f>
        <v>14699.784577522632</v>
      </c>
      <c r="I105" s="60">
        <f>MIN('[9]Total 2027 - 2029'!$D105:$AA105)</f>
        <v>14699.784577522632</v>
      </c>
      <c r="J105" s="60">
        <f>MIN('[9]Total 2027 - 2029'!$D105:$AA105)</f>
        <v>14699.784577522632</v>
      </c>
      <c r="K105" s="60">
        <f>MIN('[9]Total 2027 - 2029'!$D105:$AA105)</f>
        <v>14699.784577522632</v>
      </c>
      <c r="L105" s="60">
        <f>MIN('[9]Total 2027 - 2029'!$D105:$AA105)</f>
        <v>14699.784577522632</v>
      </c>
      <c r="M105" s="60">
        <f>MIN('[9]Total 2027 - 2029'!$D105:$AA105)</f>
        <v>14699.784577522632</v>
      </c>
      <c r="N105" s="60">
        <f>MIN('[9]Total 2027 - 2029'!$D105:$AA105)</f>
        <v>14699.784577522632</v>
      </c>
      <c r="O105" s="60">
        <f>MIN('[9]Total 2027 - 2029'!$D105:$AA105)</f>
        <v>14699.784577522632</v>
      </c>
      <c r="P105" s="60">
        <f>MIN('[9]Total 2027 - 2029'!$D105:$AA105)</f>
        <v>14699.784577522632</v>
      </c>
      <c r="Q105" s="60">
        <f>MIN('[9]Total 2027 - 2029'!$D105:$AA105)</f>
        <v>14699.784577522632</v>
      </c>
      <c r="R105" s="60">
        <f>MIN('[9]Total 2027 - 2029'!$D105:$AA105)</f>
        <v>14699.784577522632</v>
      </c>
      <c r="S105" s="60">
        <f>MIN('[9]Total 2027 - 2029'!$D105:$AA105)</f>
        <v>14699.784577522632</v>
      </c>
      <c r="T105" s="60">
        <f>MIN('[9]Total 2027 - 2029'!$D105:$AA105)</f>
        <v>14699.784577522632</v>
      </c>
      <c r="U105" s="60">
        <f>MIN('[9]Total 2027 - 2029'!$D105:$AA105)</f>
        <v>14699.784577522632</v>
      </c>
      <c r="V105" s="60">
        <f>MIN('[9]Total 2027 - 2029'!$D105:$AA105)</f>
        <v>14699.784577522632</v>
      </c>
      <c r="W105" s="60">
        <f>MIN('[9]Total 2027 - 2029'!$D105:$AA105)</f>
        <v>14699.784577522632</v>
      </c>
      <c r="X105" s="60">
        <f>MIN('[9]Total 2027 - 2029'!$D105:$AA105)</f>
        <v>14699.784577522632</v>
      </c>
      <c r="Y105" s="60">
        <f>MIN('[9]Total 2027 - 2029'!$D105:$AA105)</f>
        <v>14699.784577522632</v>
      </c>
      <c r="Z105" s="60">
        <f>MIN('[9]Total 2027 - 2029'!$D105:$AA105)</f>
        <v>14699.784577522632</v>
      </c>
      <c r="AA105" s="60">
        <f>MIN('[9]Total 2027 - 2029'!$D105:$AA105)</f>
        <v>14699.784577522632</v>
      </c>
      <c r="AB105" s="57">
        <f t="shared" si="2"/>
        <v>7055896.5972108673</v>
      </c>
      <c r="AC105" s="62">
        <f>SUM(AB105:AB107)</f>
        <v>9992469.9418779425</v>
      </c>
    </row>
    <row r="106" spans="1:29" x14ac:dyDescent="0.25">
      <c r="A106" s="66"/>
      <c r="B106" s="59" t="s">
        <v>17</v>
      </c>
      <c r="C106" s="55">
        <v>4</v>
      </c>
      <c r="D106" s="60">
        <f>MIN('[9]Total 2027 - 2029'!$D106:$AA106)</f>
        <v>12463.370917243705</v>
      </c>
      <c r="E106" s="60">
        <f>MIN('[9]Total 2027 - 2029'!$D106:$AA106)</f>
        <v>12463.370917243705</v>
      </c>
      <c r="F106" s="60">
        <f>MIN('[9]Total 2027 - 2029'!$D106:$AA106)</f>
        <v>12463.370917243705</v>
      </c>
      <c r="G106" s="60">
        <f>MIN('[9]Total 2027 - 2029'!$D106:$AA106)</f>
        <v>12463.370917243705</v>
      </c>
      <c r="H106" s="60">
        <f>MIN('[9]Total 2027 - 2029'!$D106:$AA106)</f>
        <v>12463.370917243705</v>
      </c>
      <c r="I106" s="60">
        <f>MIN('[9]Total 2027 - 2029'!$D106:$AA106)</f>
        <v>12463.370917243705</v>
      </c>
      <c r="J106" s="60">
        <f>MIN('[9]Total 2027 - 2029'!$D106:$AA106)</f>
        <v>12463.370917243705</v>
      </c>
      <c r="K106" s="60">
        <f>MIN('[9]Total 2027 - 2029'!$D106:$AA106)</f>
        <v>12463.370917243705</v>
      </c>
      <c r="L106" s="60">
        <f>MIN('[9]Total 2027 - 2029'!$D106:$AA106)</f>
        <v>12463.370917243705</v>
      </c>
      <c r="M106" s="60">
        <f>MIN('[9]Total 2027 - 2029'!$D106:$AA106)</f>
        <v>12463.370917243705</v>
      </c>
      <c r="N106" s="60">
        <f>MIN('[9]Total 2027 - 2029'!$D106:$AA106)</f>
        <v>12463.370917243705</v>
      </c>
      <c r="O106" s="60">
        <f>MIN('[9]Total 2027 - 2029'!$D106:$AA106)</f>
        <v>12463.370917243705</v>
      </c>
      <c r="P106" s="60">
        <f>MIN('[9]Total 2027 - 2029'!$D106:$AA106)</f>
        <v>12463.370917243705</v>
      </c>
      <c r="Q106" s="60">
        <f>MIN('[9]Total 2027 - 2029'!$D106:$AA106)</f>
        <v>12463.370917243705</v>
      </c>
      <c r="R106" s="60">
        <f>MIN('[9]Total 2027 - 2029'!$D106:$AA106)</f>
        <v>12463.370917243705</v>
      </c>
      <c r="S106" s="60">
        <f>MIN('[9]Total 2027 - 2029'!$D106:$AA106)</f>
        <v>12463.370917243705</v>
      </c>
      <c r="T106" s="60">
        <f>MIN('[9]Total 2027 - 2029'!$D106:$AA106)</f>
        <v>12463.370917243705</v>
      </c>
      <c r="U106" s="60">
        <f>MIN('[9]Total 2027 - 2029'!$D106:$AA106)</f>
        <v>12463.370917243705</v>
      </c>
      <c r="V106" s="60">
        <f>MIN('[9]Total 2027 - 2029'!$D106:$AA106)</f>
        <v>12463.370917243705</v>
      </c>
      <c r="W106" s="60">
        <f>MIN('[9]Total 2027 - 2029'!$D106:$AA106)</f>
        <v>12463.370917243705</v>
      </c>
      <c r="X106" s="60">
        <f>MIN('[9]Total 2027 - 2029'!$D106:$AA106)</f>
        <v>12463.370917243705</v>
      </c>
      <c r="Y106" s="60">
        <f>MIN('[9]Total 2027 - 2029'!$D106:$AA106)</f>
        <v>12463.370917243705</v>
      </c>
      <c r="Z106" s="60">
        <f>MIN('[9]Total 2027 - 2029'!$D106:$AA106)</f>
        <v>12463.370917243705</v>
      </c>
      <c r="AA106" s="60">
        <f>MIN('[9]Total 2027 - 2029'!$D106:$AA106)</f>
        <v>12463.370917243705</v>
      </c>
      <c r="AB106" s="57">
        <f t="shared" si="2"/>
        <v>1196483.6080553958</v>
      </c>
      <c r="AC106" s="63"/>
    </row>
    <row r="107" spans="1:29" x14ac:dyDescent="0.25">
      <c r="A107" s="67"/>
      <c r="B107" s="59" t="s">
        <v>18</v>
      </c>
      <c r="C107" s="55">
        <v>6</v>
      </c>
      <c r="D107" s="60">
        <f>MIN('[9]Total 2027 - 2029'!$D107:$AA107)</f>
        <v>12083.95650424777</v>
      </c>
      <c r="E107" s="60">
        <f>MIN('[9]Total 2027 - 2029'!$D107:$AA107)</f>
        <v>12083.95650424777</v>
      </c>
      <c r="F107" s="60">
        <f>MIN('[9]Total 2027 - 2029'!$D107:$AA107)</f>
        <v>12083.95650424777</v>
      </c>
      <c r="G107" s="60">
        <f>MIN('[9]Total 2027 - 2029'!$D107:$AA107)</f>
        <v>12083.95650424777</v>
      </c>
      <c r="H107" s="60">
        <f>MIN('[9]Total 2027 - 2029'!$D107:$AA107)</f>
        <v>12083.95650424777</v>
      </c>
      <c r="I107" s="60">
        <f>MIN('[9]Total 2027 - 2029'!$D107:$AA107)</f>
        <v>12083.95650424777</v>
      </c>
      <c r="J107" s="60">
        <f>MIN('[9]Total 2027 - 2029'!$D107:$AA107)</f>
        <v>12083.95650424777</v>
      </c>
      <c r="K107" s="60">
        <f>MIN('[9]Total 2027 - 2029'!$D107:$AA107)</f>
        <v>12083.95650424777</v>
      </c>
      <c r="L107" s="60">
        <f>MIN('[9]Total 2027 - 2029'!$D107:$AA107)</f>
        <v>12083.95650424777</v>
      </c>
      <c r="M107" s="60">
        <f>MIN('[9]Total 2027 - 2029'!$D107:$AA107)</f>
        <v>12083.95650424777</v>
      </c>
      <c r="N107" s="60">
        <f>MIN('[9]Total 2027 - 2029'!$D107:$AA107)</f>
        <v>12083.95650424777</v>
      </c>
      <c r="O107" s="60">
        <f>MIN('[9]Total 2027 - 2029'!$D107:$AA107)</f>
        <v>12083.95650424777</v>
      </c>
      <c r="P107" s="60">
        <f>MIN('[9]Total 2027 - 2029'!$D107:$AA107)</f>
        <v>12083.95650424777</v>
      </c>
      <c r="Q107" s="60">
        <f>MIN('[9]Total 2027 - 2029'!$D107:$AA107)</f>
        <v>12083.95650424777</v>
      </c>
      <c r="R107" s="60">
        <f>MIN('[9]Total 2027 - 2029'!$D107:$AA107)</f>
        <v>12083.95650424777</v>
      </c>
      <c r="S107" s="60">
        <f>MIN('[9]Total 2027 - 2029'!$D107:$AA107)</f>
        <v>12083.95650424777</v>
      </c>
      <c r="T107" s="60">
        <f>MIN('[9]Total 2027 - 2029'!$D107:$AA107)</f>
        <v>12083.95650424777</v>
      </c>
      <c r="U107" s="60">
        <f>MIN('[9]Total 2027 - 2029'!$D107:$AA107)</f>
        <v>12083.95650424777</v>
      </c>
      <c r="V107" s="60">
        <f>MIN('[9]Total 2027 - 2029'!$D107:$AA107)</f>
        <v>12083.95650424777</v>
      </c>
      <c r="W107" s="60">
        <f>MIN('[9]Total 2027 - 2029'!$D107:$AA107)</f>
        <v>12083.95650424777</v>
      </c>
      <c r="X107" s="60">
        <f>MIN('[9]Total 2027 - 2029'!$D107:$AA107)</f>
        <v>12083.95650424777</v>
      </c>
      <c r="Y107" s="60">
        <f>MIN('[9]Total 2027 - 2029'!$D107:$AA107)</f>
        <v>12083.95650424777</v>
      </c>
      <c r="Z107" s="60">
        <f>MIN('[9]Total 2027 - 2029'!$D107:$AA107)</f>
        <v>12083.95650424777</v>
      </c>
      <c r="AA107" s="60">
        <f>MIN('[9]Total 2027 - 2029'!$D107:$AA107)</f>
        <v>12083.95650424777</v>
      </c>
      <c r="AB107" s="57">
        <f t="shared" si="2"/>
        <v>1740089.7366116785</v>
      </c>
      <c r="AC107" s="64"/>
    </row>
    <row r="108" spans="1:29" x14ac:dyDescent="0.25">
      <c r="A108" s="65">
        <v>47453</v>
      </c>
      <c r="B108" s="54" t="s">
        <v>16</v>
      </c>
      <c r="C108" s="55">
        <v>20</v>
      </c>
      <c r="D108" s="60">
        <f>MIN('[9]Total 2027 - 2029'!$D108:$AA108)</f>
        <v>14485.336562606033</v>
      </c>
      <c r="E108" s="60">
        <f>MIN('[9]Total 2027 - 2029'!$D108:$AA108)</f>
        <v>14485.336562606033</v>
      </c>
      <c r="F108" s="60">
        <f>MIN('[9]Total 2027 - 2029'!$D108:$AA108)</f>
        <v>14485.336562606033</v>
      </c>
      <c r="G108" s="60">
        <f>MIN('[9]Total 2027 - 2029'!$D108:$AA108)</f>
        <v>14485.336562606033</v>
      </c>
      <c r="H108" s="60">
        <f>MIN('[9]Total 2027 - 2029'!$D108:$AA108)</f>
        <v>14485.336562606033</v>
      </c>
      <c r="I108" s="60">
        <f>MIN('[9]Total 2027 - 2029'!$D108:$AA108)</f>
        <v>14485.336562606033</v>
      </c>
      <c r="J108" s="60">
        <f>MIN('[9]Total 2027 - 2029'!$D108:$AA108)</f>
        <v>14485.336562606033</v>
      </c>
      <c r="K108" s="60">
        <f>MIN('[9]Total 2027 - 2029'!$D108:$AA108)</f>
        <v>14485.336562606033</v>
      </c>
      <c r="L108" s="60">
        <f>MIN('[9]Total 2027 - 2029'!$D108:$AA108)</f>
        <v>14485.336562606033</v>
      </c>
      <c r="M108" s="60">
        <f>MIN('[9]Total 2027 - 2029'!$D108:$AA108)</f>
        <v>14485.336562606033</v>
      </c>
      <c r="N108" s="60">
        <f>MIN('[9]Total 2027 - 2029'!$D108:$AA108)</f>
        <v>14485.336562606033</v>
      </c>
      <c r="O108" s="60">
        <f>MIN('[9]Total 2027 - 2029'!$D108:$AA108)</f>
        <v>14485.336562606033</v>
      </c>
      <c r="P108" s="60">
        <f>MIN('[9]Total 2027 - 2029'!$D108:$AA108)</f>
        <v>14485.336562606033</v>
      </c>
      <c r="Q108" s="60">
        <f>MIN('[9]Total 2027 - 2029'!$D108:$AA108)</f>
        <v>14485.336562606033</v>
      </c>
      <c r="R108" s="60">
        <f>MIN('[9]Total 2027 - 2029'!$D108:$AA108)</f>
        <v>14485.336562606033</v>
      </c>
      <c r="S108" s="60">
        <f>MIN('[9]Total 2027 - 2029'!$D108:$AA108)</f>
        <v>14485.336562606033</v>
      </c>
      <c r="T108" s="60">
        <f>MIN('[9]Total 2027 - 2029'!$D108:$AA108)</f>
        <v>14485.336562606033</v>
      </c>
      <c r="U108" s="60">
        <f>MIN('[9]Total 2027 - 2029'!$D108:$AA108)</f>
        <v>14485.336562606033</v>
      </c>
      <c r="V108" s="60">
        <f>MIN('[9]Total 2027 - 2029'!$D108:$AA108)</f>
        <v>14485.336562606033</v>
      </c>
      <c r="W108" s="60">
        <f>MIN('[9]Total 2027 - 2029'!$D108:$AA108)</f>
        <v>14485.336562606033</v>
      </c>
      <c r="X108" s="60">
        <f>MIN('[9]Total 2027 - 2029'!$D108:$AA108)</f>
        <v>14485.336562606033</v>
      </c>
      <c r="Y108" s="60">
        <f>MIN('[9]Total 2027 - 2029'!$D108:$AA108)</f>
        <v>14485.336562606033</v>
      </c>
      <c r="Z108" s="60">
        <f>MIN('[9]Total 2027 - 2029'!$D108:$AA108)</f>
        <v>14485.336562606033</v>
      </c>
      <c r="AA108" s="60">
        <f>MIN('[9]Total 2027 - 2029'!$D108:$AA108)</f>
        <v>14485.336562606033</v>
      </c>
      <c r="AB108" s="57">
        <f t="shared" si="2"/>
        <v>6952961.5500508985</v>
      </c>
      <c r="AC108" s="62">
        <f>SUM(AB108:AB110)</f>
        <v>10507882.919158537</v>
      </c>
    </row>
    <row r="109" spans="1:29" x14ac:dyDescent="0.25">
      <c r="A109" s="66"/>
      <c r="B109" s="59" t="s">
        <v>17</v>
      </c>
      <c r="C109" s="55">
        <v>5</v>
      </c>
      <c r="D109" s="60">
        <f>MIN('[9]Total 2027 - 2029'!$D109:$AA109)</f>
        <v>14128.557135600673</v>
      </c>
      <c r="E109" s="60">
        <f>MIN('[9]Total 2027 - 2029'!$D109:$AA109)</f>
        <v>14128.557135600673</v>
      </c>
      <c r="F109" s="60">
        <f>MIN('[9]Total 2027 - 2029'!$D109:$AA109)</f>
        <v>14128.557135600673</v>
      </c>
      <c r="G109" s="60">
        <f>MIN('[9]Total 2027 - 2029'!$D109:$AA109)</f>
        <v>14128.557135600673</v>
      </c>
      <c r="H109" s="60">
        <f>MIN('[9]Total 2027 - 2029'!$D109:$AA109)</f>
        <v>14128.557135600673</v>
      </c>
      <c r="I109" s="60">
        <f>MIN('[9]Total 2027 - 2029'!$D109:$AA109)</f>
        <v>14128.557135600673</v>
      </c>
      <c r="J109" s="60">
        <f>MIN('[9]Total 2027 - 2029'!$D109:$AA109)</f>
        <v>14128.557135600673</v>
      </c>
      <c r="K109" s="60">
        <f>MIN('[9]Total 2027 - 2029'!$D109:$AA109)</f>
        <v>14128.557135600673</v>
      </c>
      <c r="L109" s="60">
        <f>MIN('[9]Total 2027 - 2029'!$D109:$AA109)</f>
        <v>14128.557135600673</v>
      </c>
      <c r="M109" s="60">
        <f>MIN('[9]Total 2027 - 2029'!$D109:$AA109)</f>
        <v>14128.557135600673</v>
      </c>
      <c r="N109" s="60">
        <f>MIN('[9]Total 2027 - 2029'!$D109:$AA109)</f>
        <v>14128.557135600673</v>
      </c>
      <c r="O109" s="60">
        <f>MIN('[9]Total 2027 - 2029'!$D109:$AA109)</f>
        <v>14128.557135600673</v>
      </c>
      <c r="P109" s="60">
        <f>MIN('[9]Total 2027 - 2029'!$D109:$AA109)</f>
        <v>14128.557135600673</v>
      </c>
      <c r="Q109" s="60">
        <f>MIN('[9]Total 2027 - 2029'!$D109:$AA109)</f>
        <v>14128.557135600673</v>
      </c>
      <c r="R109" s="60">
        <f>MIN('[9]Total 2027 - 2029'!$D109:$AA109)</f>
        <v>14128.557135600673</v>
      </c>
      <c r="S109" s="60">
        <f>MIN('[9]Total 2027 - 2029'!$D109:$AA109)</f>
        <v>14128.557135600673</v>
      </c>
      <c r="T109" s="60">
        <f>MIN('[9]Total 2027 - 2029'!$D109:$AA109)</f>
        <v>14128.557135600673</v>
      </c>
      <c r="U109" s="60">
        <f>MIN('[9]Total 2027 - 2029'!$D109:$AA109)</f>
        <v>14128.557135600673</v>
      </c>
      <c r="V109" s="60">
        <f>MIN('[9]Total 2027 - 2029'!$D109:$AA109)</f>
        <v>14128.557135600673</v>
      </c>
      <c r="W109" s="60">
        <f>MIN('[9]Total 2027 - 2029'!$D109:$AA109)</f>
        <v>14128.557135600673</v>
      </c>
      <c r="X109" s="60">
        <f>MIN('[9]Total 2027 - 2029'!$D109:$AA109)</f>
        <v>14128.557135600673</v>
      </c>
      <c r="Y109" s="60">
        <f>MIN('[9]Total 2027 - 2029'!$D109:$AA109)</f>
        <v>14128.557135600673</v>
      </c>
      <c r="Z109" s="60">
        <f>MIN('[9]Total 2027 - 2029'!$D109:$AA109)</f>
        <v>14128.557135600673</v>
      </c>
      <c r="AA109" s="60">
        <f>MIN('[9]Total 2027 - 2029'!$D109:$AA109)</f>
        <v>14128.557135600673</v>
      </c>
      <c r="AB109" s="57">
        <f t="shared" si="2"/>
        <v>1695426.8562720807</v>
      </c>
      <c r="AC109" s="63"/>
    </row>
    <row r="110" spans="1:29" x14ac:dyDescent="0.25">
      <c r="A110" s="67"/>
      <c r="B110" s="59" t="s">
        <v>18</v>
      </c>
      <c r="C110" s="55">
        <v>6</v>
      </c>
      <c r="D110" s="60">
        <f>MIN('[9]Total 2027 - 2029'!$D110:$AA110)</f>
        <v>12913.156339135818</v>
      </c>
      <c r="E110" s="60">
        <f>MIN('[9]Total 2027 - 2029'!$D110:$AA110)</f>
        <v>12913.156339135818</v>
      </c>
      <c r="F110" s="60">
        <f>MIN('[9]Total 2027 - 2029'!$D110:$AA110)</f>
        <v>12913.156339135818</v>
      </c>
      <c r="G110" s="60">
        <f>MIN('[9]Total 2027 - 2029'!$D110:$AA110)</f>
        <v>12913.156339135818</v>
      </c>
      <c r="H110" s="60">
        <f>MIN('[9]Total 2027 - 2029'!$D110:$AA110)</f>
        <v>12913.156339135818</v>
      </c>
      <c r="I110" s="60">
        <f>MIN('[9]Total 2027 - 2029'!$D110:$AA110)</f>
        <v>12913.156339135818</v>
      </c>
      <c r="J110" s="60">
        <f>MIN('[9]Total 2027 - 2029'!$D110:$AA110)</f>
        <v>12913.156339135818</v>
      </c>
      <c r="K110" s="60">
        <f>MIN('[9]Total 2027 - 2029'!$D110:$AA110)</f>
        <v>12913.156339135818</v>
      </c>
      <c r="L110" s="60">
        <f>MIN('[9]Total 2027 - 2029'!$D110:$AA110)</f>
        <v>12913.156339135818</v>
      </c>
      <c r="M110" s="60">
        <f>MIN('[9]Total 2027 - 2029'!$D110:$AA110)</f>
        <v>12913.156339135818</v>
      </c>
      <c r="N110" s="60">
        <f>MIN('[9]Total 2027 - 2029'!$D110:$AA110)</f>
        <v>12913.156339135818</v>
      </c>
      <c r="O110" s="60">
        <f>MIN('[9]Total 2027 - 2029'!$D110:$AA110)</f>
        <v>12913.156339135818</v>
      </c>
      <c r="P110" s="60">
        <f>MIN('[9]Total 2027 - 2029'!$D110:$AA110)</f>
        <v>12913.156339135818</v>
      </c>
      <c r="Q110" s="60">
        <f>MIN('[9]Total 2027 - 2029'!$D110:$AA110)</f>
        <v>12913.156339135818</v>
      </c>
      <c r="R110" s="60">
        <f>MIN('[9]Total 2027 - 2029'!$D110:$AA110)</f>
        <v>12913.156339135818</v>
      </c>
      <c r="S110" s="60">
        <f>MIN('[9]Total 2027 - 2029'!$D110:$AA110)</f>
        <v>12913.156339135818</v>
      </c>
      <c r="T110" s="60">
        <f>MIN('[9]Total 2027 - 2029'!$D110:$AA110)</f>
        <v>12913.156339135818</v>
      </c>
      <c r="U110" s="60">
        <f>MIN('[9]Total 2027 - 2029'!$D110:$AA110)</f>
        <v>12913.156339135818</v>
      </c>
      <c r="V110" s="60">
        <f>MIN('[9]Total 2027 - 2029'!$D110:$AA110)</f>
        <v>12913.156339135818</v>
      </c>
      <c r="W110" s="60">
        <f>MIN('[9]Total 2027 - 2029'!$D110:$AA110)</f>
        <v>12913.156339135818</v>
      </c>
      <c r="X110" s="60">
        <f>MIN('[9]Total 2027 - 2029'!$D110:$AA110)</f>
        <v>12913.156339135818</v>
      </c>
      <c r="Y110" s="60">
        <f>MIN('[9]Total 2027 - 2029'!$D110:$AA110)</f>
        <v>12913.156339135818</v>
      </c>
      <c r="Z110" s="60">
        <f>MIN('[9]Total 2027 - 2029'!$D110:$AA110)</f>
        <v>12913.156339135818</v>
      </c>
      <c r="AA110" s="60">
        <f>MIN('[9]Total 2027 - 2029'!$D110:$AA110)</f>
        <v>12913.156339135818</v>
      </c>
      <c r="AB110" s="57">
        <f t="shared" si="2"/>
        <v>1859494.5128355576</v>
      </c>
      <c r="AC110" s="64"/>
    </row>
  </sheetData>
  <mergeCells count="73">
    <mergeCell ref="A108:A110"/>
    <mergeCell ref="A93:A95"/>
    <mergeCell ref="A96:A98"/>
    <mergeCell ref="A99:A101"/>
    <mergeCell ref="A102:A104"/>
    <mergeCell ref="A105:A107"/>
    <mergeCell ref="A78:A80"/>
    <mergeCell ref="A81:A83"/>
    <mergeCell ref="A84:A86"/>
    <mergeCell ref="A87:A89"/>
    <mergeCell ref="A90:A92"/>
    <mergeCell ref="A63:A65"/>
    <mergeCell ref="A66:A68"/>
    <mergeCell ref="A69:A71"/>
    <mergeCell ref="A72:A74"/>
    <mergeCell ref="A75:A77"/>
    <mergeCell ref="A48:A50"/>
    <mergeCell ref="A51:A53"/>
    <mergeCell ref="A54:A56"/>
    <mergeCell ref="A57:A59"/>
    <mergeCell ref="A60:A62"/>
    <mergeCell ref="AC108:AC110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C93:AC95"/>
    <mergeCell ref="AC96:AC98"/>
    <mergeCell ref="AC99:AC101"/>
    <mergeCell ref="AC102:AC104"/>
    <mergeCell ref="AC105:AC107"/>
    <mergeCell ref="AC78:AC80"/>
    <mergeCell ref="AC81:AC83"/>
    <mergeCell ref="AC84:AC86"/>
    <mergeCell ref="AC87:AC89"/>
    <mergeCell ref="AC90:AC92"/>
    <mergeCell ref="AC63:AC65"/>
    <mergeCell ref="AC66:AC68"/>
    <mergeCell ref="AC69:AC71"/>
    <mergeCell ref="AC72:AC74"/>
    <mergeCell ref="AC75:AC77"/>
    <mergeCell ref="AC48:AC50"/>
    <mergeCell ref="AC51:AC53"/>
    <mergeCell ref="AC54:AC56"/>
    <mergeCell ref="AC57:AC59"/>
    <mergeCell ref="AC60:AC62"/>
    <mergeCell ref="AC36:AC38"/>
    <mergeCell ref="AC39:AC41"/>
    <mergeCell ref="AC42:AC44"/>
    <mergeCell ref="AC45:AC47"/>
    <mergeCell ref="AC21:AC23"/>
    <mergeCell ref="AC24:AC26"/>
    <mergeCell ref="AC27:AC29"/>
    <mergeCell ref="AC30:AC32"/>
    <mergeCell ref="AC33:AC35"/>
    <mergeCell ref="D1:AA1"/>
    <mergeCell ref="AC3:AC5"/>
    <mergeCell ref="AC6:AC8"/>
    <mergeCell ref="AC9:AC11"/>
    <mergeCell ref="AC12:AC14"/>
    <mergeCell ref="AC15:AC17"/>
    <mergeCell ref="AC18:AC2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7D43A-2993-4D14-B158-E03BEA54B69B}">
  <sheetPr>
    <tabColor theme="8" tint="0.39997558519241921"/>
    <pageSetUpPr fitToPage="1"/>
  </sheetPr>
  <dimension ref="A1:M58"/>
  <sheetViews>
    <sheetView showGridLines="0" tabSelected="1" zoomScale="70" zoomScaleNormal="70" workbookViewId="0">
      <selection activeCell="D14" sqref="D14"/>
    </sheetView>
  </sheetViews>
  <sheetFormatPr baseColWidth="10" defaultRowHeight="15" x14ac:dyDescent="0.25"/>
  <cols>
    <col min="4" max="4" width="70.28515625" customWidth="1"/>
    <col min="5" max="5" width="25.5703125" bestFit="1" customWidth="1"/>
    <col min="6" max="8" width="17.7109375" customWidth="1"/>
    <col min="10" max="10" width="16.7109375" customWidth="1"/>
    <col min="13" max="13" width="14" bestFit="1" customWidth="1"/>
  </cols>
  <sheetData>
    <row r="1" spans="1:13" ht="24.7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3" ht="66" customHeight="1" x14ac:dyDescent="0.25">
      <c r="A2" s="2"/>
      <c r="B2" s="37" t="s">
        <v>0</v>
      </c>
      <c r="C2" s="37"/>
      <c r="D2" s="37"/>
      <c r="E2" s="37"/>
      <c r="F2" s="37"/>
      <c r="G2" s="37"/>
      <c r="H2" s="37"/>
      <c r="I2" s="2"/>
      <c r="J2" s="3"/>
      <c r="K2" s="4"/>
    </row>
    <row r="3" spans="1:13" ht="60.75" customHeight="1" x14ac:dyDescent="0.25">
      <c r="A3" s="38" t="s">
        <v>25</v>
      </c>
      <c r="B3" s="38"/>
      <c r="C3" s="38"/>
      <c r="D3" s="38"/>
      <c r="E3" s="38"/>
      <c r="F3" s="38"/>
      <c r="G3" s="38"/>
      <c r="H3" s="38"/>
      <c r="I3" s="38"/>
      <c r="J3" s="5"/>
      <c r="K3" s="4"/>
    </row>
    <row r="4" spans="1:13" ht="25.5" x14ac:dyDescent="0.25">
      <c r="A4" s="2"/>
      <c r="B4" s="39"/>
      <c r="C4" s="39"/>
      <c r="D4" s="39"/>
      <c r="E4" s="39"/>
      <c r="F4" s="39"/>
      <c r="G4" s="39"/>
      <c r="H4" s="39"/>
      <c r="I4" s="2"/>
      <c r="J4" s="5"/>
      <c r="K4" s="4"/>
    </row>
    <row r="5" spans="1:13" ht="25.5" x14ac:dyDescent="0.35">
      <c r="A5" s="6"/>
      <c r="B5" s="7"/>
      <c r="C5" s="8"/>
      <c r="D5" s="8"/>
      <c r="E5" s="8"/>
      <c r="F5" s="8"/>
      <c r="G5" s="8"/>
      <c r="H5" s="9"/>
      <c r="I5" s="10"/>
      <c r="J5" s="11"/>
      <c r="K5" s="12"/>
    </row>
    <row r="6" spans="1:13" ht="25.5" x14ac:dyDescent="0.35">
      <c r="A6" s="13" t="s">
        <v>1</v>
      </c>
      <c r="B6" s="6"/>
      <c r="C6" s="6"/>
      <c r="D6" s="14"/>
      <c r="E6" s="6"/>
      <c r="F6" s="6"/>
      <c r="G6" s="6"/>
      <c r="H6" s="6"/>
      <c r="I6" s="10"/>
      <c r="J6" s="11"/>
      <c r="K6" s="12"/>
    </row>
    <row r="7" spans="1:13" ht="25.5" x14ac:dyDescent="0.35">
      <c r="A7" s="13" t="s">
        <v>2</v>
      </c>
      <c r="B7" s="6"/>
      <c r="C7" s="6"/>
      <c r="D7" s="14"/>
      <c r="E7" s="6"/>
      <c r="F7" s="6"/>
      <c r="G7" s="6"/>
      <c r="H7" s="6"/>
      <c r="I7" s="10"/>
      <c r="J7" s="11"/>
      <c r="K7" s="12"/>
    </row>
    <row r="8" spans="1:13" ht="26.25" x14ac:dyDescent="0.35">
      <c r="A8" s="13" t="s">
        <v>3</v>
      </c>
      <c r="B8" s="6"/>
      <c r="C8" s="6"/>
      <c r="D8" s="14"/>
      <c r="E8" s="15"/>
      <c r="F8" s="15"/>
      <c r="G8" s="15"/>
      <c r="H8" s="15"/>
      <c r="I8" s="16"/>
      <c r="J8" s="14"/>
      <c r="K8" s="1"/>
    </row>
    <row r="9" spans="1:13" ht="26.25" x14ac:dyDescent="0.35">
      <c r="A9" s="17" t="str">
        <f>"PRODUCTO OFERTADO: "&amp;B4</f>
        <v xml:space="preserve">PRODUCTO OFERTADO: </v>
      </c>
      <c r="B9" s="6"/>
      <c r="C9" s="6"/>
      <c r="D9" s="14"/>
      <c r="E9" s="15"/>
      <c r="F9" s="15"/>
      <c r="G9" s="15"/>
      <c r="H9" s="15"/>
      <c r="I9" s="16"/>
      <c r="J9" s="14"/>
      <c r="K9" s="1"/>
    </row>
    <row r="10" spans="1:13" ht="26.25" x14ac:dyDescent="0.35">
      <c r="A10" s="17"/>
      <c r="B10" s="6"/>
      <c r="C10" s="6"/>
      <c r="D10" s="14"/>
      <c r="E10" s="15"/>
      <c r="F10" s="15"/>
      <c r="G10" s="15"/>
      <c r="H10" s="15"/>
      <c r="I10" s="16"/>
      <c r="J10" s="14"/>
      <c r="K10" s="1"/>
    </row>
    <row r="11" spans="1:13" ht="26.25" x14ac:dyDescent="0.35">
      <c r="A11" s="18" t="s">
        <v>21</v>
      </c>
      <c r="B11" s="19"/>
      <c r="C11" s="19"/>
      <c r="D11" s="20"/>
      <c r="E11" s="15"/>
      <c r="F11" s="15"/>
      <c r="G11" s="15"/>
      <c r="H11" s="15"/>
      <c r="I11" s="16"/>
      <c r="J11" s="14"/>
      <c r="K11" s="1"/>
    </row>
    <row r="12" spans="1:13" ht="26.25" thickBot="1" x14ac:dyDescent="0.4">
      <c r="A12" s="20"/>
      <c r="B12" s="14"/>
      <c r="C12" s="14"/>
      <c r="D12" s="14"/>
      <c r="E12" s="14"/>
      <c r="F12" s="14"/>
      <c r="G12" s="14"/>
      <c r="H12" s="14"/>
      <c r="I12" s="14"/>
      <c r="J12" s="14"/>
      <c r="K12" s="1"/>
    </row>
    <row r="13" spans="1:13" ht="25.5" x14ac:dyDescent="0.35">
      <c r="A13" s="14"/>
      <c r="B13" s="14"/>
      <c r="C13" s="14"/>
      <c r="D13" s="40" t="str">
        <f>"Oferta Producto 2 " &amp; PROPER(B4)</f>
        <v xml:space="preserve">Oferta Producto 2 </v>
      </c>
      <c r="E13" s="41"/>
      <c r="F13" s="41"/>
      <c r="G13" s="41"/>
      <c r="H13" s="42"/>
      <c r="I13" s="14"/>
      <c r="J13" s="14"/>
      <c r="K13" s="1"/>
    </row>
    <row r="14" spans="1:13" ht="60.75" x14ac:dyDescent="0.35">
      <c r="A14" s="14"/>
      <c r="B14" s="14"/>
      <c r="C14" s="14"/>
      <c r="D14" s="24" t="s">
        <v>4</v>
      </c>
      <c r="E14" s="21" t="s">
        <v>5</v>
      </c>
      <c r="F14" s="21" t="s">
        <v>6</v>
      </c>
      <c r="G14" s="21" t="s">
        <v>7</v>
      </c>
      <c r="H14" s="25" t="s">
        <v>8</v>
      </c>
      <c r="I14" s="14"/>
      <c r="J14" s="14"/>
      <c r="K14" s="1"/>
    </row>
    <row r="15" spans="1:13" ht="25.5" x14ac:dyDescent="0.35">
      <c r="A15" s="14"/>
      <c r="B15" s="14"/>
      <c r="C15" s="14"/>
      <c r="D15" s="68">
        <v>46388</v>
      </c>
      <c r="E15" s="69">
        <v>3110784.4274939531</v>
      </c>
      <c r="F15" s="21"/>
      <c r="G15" s="21"/>
      <c r="H15" s="71"/>
      <c r="I15" s="14"/>
      <c r="J15" s="32"/>
      <c r="K15" s="35"/>
      <c r="L15" s="30"/>
      <c r="M15" s="31"/>
    </row>
    <row r="16" spans="1:13" ht="25.5" x14ac:dyDescent="0.35">
      <c r="A16" s="14"/>
      <c r="B16" s="14"/>
      <c r="C16" s="14"/>
      <c r="D16" s="68">
        <v>46419</v>
      </c>
      <c r="E16" s="69">
        <v>3304335.9740285627</v>
      </c>
      <c r="F16" s="21"/>
      <c r="G16" s="21"/>
      <c r="H16" s="72"/>
      <c r="I16" s="14"/>
      <c r="J16" s="32"/>
      <c r="K16" s="35"/>
      <c r="L16" s="30"/>
      <c r="M16" s="31"/>
    </row>
    <row r="17" spans="1:13" ht="25.5" x14ac:dyDescent="0.35">
      <c r="A17" s="14"/>
      <c r="B17" s="14"/>
      <c r="C17" s="14"/>
      <c r="D17" s="68">
        <v>46447</v>
      </c>
      <c r="E17" s="69">
        <v>3702288.8107653232</v>
      </c>
      <c r="F17" s="21"/>
      <c r="G17" s="21"/>
      <c r="H17" s="72"/>
      <c r="I17" s="14"/>
      <c r="J17" s="32"/>
      <c r="K17" s="35"/>
      <c r="L17" s="30"/>
      <c r="M17" s="31"/>
    </row>
    <row r="18" spans="1:13" ht="25.5" x14ac:dyDescent="0.35">
      <c r="A18" s="14"/>
      <c r="B18" s="14"/>
      <c r="C18" s="14"/>
      <c r="D18" s="68">
        <v>46478</v>
      </c>
      <c r="E18" s="69">
        <v>3206706.6112795277</v>
      </c>
      <c r="F18" s="21"/>
      <c r="G18" s="21"/>
      <c r="H18" s="72"/>
      <c r="I18" s="14"/>
      <c r="J18" s="32"/>
      <c r="K18" s="35"/>
      <c r="L18" s="30"/>
      <c r="M18" s="31"/>
    </row>
    <row r="19" spans="1:13" ht="25.5" x14ac:dyDescent="0.35">
      <c r="A19" s="14"/>
      <c r="B19" s="14"/>
      <c r="C19" s="14"/>
      <c r="D19" s="68">
        <v>46508</v>
      </c>
      <c r="E19" s="69">
        <v>3550788.6764545692</v>
      </c>
      <c r="F19" s="21"/>
      <c r="G19" s="21"/>
      <c r="H19" s="72"/>
      <c r="I19" s="14"/>
      <c r="J19" s="32"/>
      <c r="K19" s="35"/>
      <c r="L19" s="30"/>
      <c r="M19" s="31"/>
    </row>
    <row r="20" spans="1:13" ht="25.5" x14ac:dyDescent="0.35">
      <c r="A20" s="14"/>
      <c r="B20" s="14"/>
      <c r="C20" s="14"/>
      <c r="D20" s="68">
        <v>46539</v>
      </c>
      <c r="E20" s="69">
        <v>2664784.9301970578</v>
      </c>
      <c r="F20" s="21"/>
      <c r="G20" s="21"/>
      <c r="H20" s="72"/>
      <c r="I20" s="14"/>
      <c r="J20" s="32"/>
      <c r="K20" s="35"/>
      <c r="L20" s="30"/>
      <c r="M20" s="31"/>
    </row>
    <row r="21" spans="1:13" ht="25.5" x14ac:dyDescent="0.35">
      <c r="A21" s="14"/>
      <c r="B21" s="14"/>
      <c r="C21" s="14"/>
      <c r="D21" s="68">
        <v>46569</v>
      </c>
      <c r="E21" s="69">
        <v>2727596.8431699579</v>
      </c>
      <c r="F21" s="21"/>
      <c r="G21" s="21"/>
      <c r="H21" s="72"/>
      <c r="I21" s="14"/>
      <c r="J21" s="32"/>
      <c r="K21" s="35"/>
      <c r="L21" s="30"/>
      <c r="M21" s="31"/>
    </row>
    <row r="22" spans="1:13" ht="25.5" x14ac:dyDescent="0.35">
      <c r="A22" s="14"/>
      <c r="B22" s="14"/>
      <c r="C22" s="14"/>
      <c r="D22" s="68">
        <v>46600</v>
      </c>
      <c r="E22" s="69">
        <v>3643105.8357218304</v>
      </c>
      <c r="F22" s="21"/>
      <c r="G22" s="21"/>
      <c r="H22" s="72"/>
      <c r="I22" s="14"/>
      <c r="J22" s="32"/>
      <c r="K22" s="35"/>
      <c r="L22" s="30"/>
      <c r="M22" s="31"/>
    </row>
    <row r="23" spans="1:13" ht="25.5" x14ac:dyDescent="0.35">
      <c r="A23" s="14"/>
      <c r="B23" s="14"/>
      <c r="C23" s="14"/>
      <c r="D23" s="68">
        <v>46631</v>
      </c>
      <c r="E23" s="69">
        <v>4026537.6923117675</v>
      </c>
      <c r="F23" s="21"/>
      <c r="G23" s="21"/>
      <c r="H23" s="72"/>
      <c r="I23" s="14"/>
      <c r="J23" s="32"/>
      <c r="K23" s="35"/>
      <c r="L23" s="30"/>
      <c r="M23" s="31"/>
    </row>
    <row r="24" spans="1:13" ht="25.5" x14ac:dyDescent="0.35">
      <c r="A24" s="14"/>
      <c r="B24" s="14"/>
      <c r="C24" s="14"/>
      <c r="D24" s="68">
        <v>46661</v>
      </c>
      <c r="E24" s="69">
        <v>3585088.68186964</v>
      </c>
      <c r="F24" s="21"/>
      <c r="G24" s="21"/>
      <c r="H24" s="72"/>
      <c r="I24" s="14"/>
      <c r="J24" s="32"/>
      <c r="K24" s="35"/>
      <c r="L24" s="30"/>
      <c r="M24" s="31"/>
    </row>
    <row r="25" spans="1:13" ht="25.5" x14ac:dyDescent="0.35">
      <c r="A25" s="14"/>
      <c r="B25" s="14"/>
      <c r="C25" s="14"/>
      <c r="D25" s="68">
        <v>46692</v>
      </c>
      <c r="E25" s="69">
        <v>3673830.5023923516</v>
      </c>
      <c r="F25" s="21"/>
      <c r="G25" s="21"/>
      <c r="H25" s="72"/>
      <c r="I25" s="14"/>
      <c r="J25" s="32"/>
      <c r="K25" s="35"/>
      <c r="L25" s="30"/>
      <c r="M25" s="31"/>
    </row>
    <row r="26" spans="1:13" ht="25.5" x14ac:dyDescent="0.35">
      <c r="A26" s="14"/>
      <c r="B26" s="14"/>
      <c r="C26" s="14"/>
      <c r="D26" s="68">
        <v>46722</v>
      </c>
      <c r="E26" s="69">
        <v>3835730.0570282782</v>
      </c>
      <c r="F26" s="21"/>
      <c r="G26" s="21"/>
      <c r="H26" s="73"/>
      <c r="I26" s="14"/>
      <c r="J26" s="32"/>
      <c r="K26" s="35"/>
      <c r="L26" s="30"/>
      <c r="M26" s="31"/>
    </row>
    <row r="27" spans="1:13" ht="25.5" x14ac:dyDescent="0.35">
      <c r="A27" s="14"/>
      <c r="B27" s="14"/>
      <c r="C27" s="14"/>
      <c r="D27" s="68">
        <v>46753</v>
      </c>
      <c r="E27" s="69">
        <v>1625720.7245805806</v>
      </c>
      <c r="F27" s="21"/>
      <c r="G27" s="21"/>
      <c r="H27" s="71"/>
      <c r="I27" s="14"/>
      <c r="J27" s="32"/>
      <c r="K27" s="35"/>
      <c r="L27" s="30"/>
      <c r="M27" s="31"/>
    </row>
    <row r="28" spans="1:13" ht="25.5" x14ac:dyDescent="0.35">
      <c r="A28" s="14"/>
      <c r="B28" s="14"/>
      <c r="C28" s="14"/>
      <c r="D28" s="68">
        <v>46784</v>
      </c>
      <c r="E28" s="69">
        <v>422276.74662716221</v>
      </c>
      <c r="F28" s="21"/>
      <c r="G28" s="21"/>
      <c r="H28" s="72"/>
      <c r="I28" s="14"/>
      <c r="J28" s="32"/>
      <c r="K28" s="35"/>
      <c r="L28" s="30"/>
      <c r="M28" s="31"/>
    </row>
    <row r="29" spans="1:13" ht="25.5" x14ac:dyDescent="0.35">
      <c r="A29" s="14"/>
      <c r="B29" s="14"/>
      <c r="C29" s="14"/>
      <c r="D29" s="68">
        <v>46813</v>
      </c>
      <c r="E29" s="69">
        <v>447109.41716952471</v>
      </c>
      <c r="F29" s="21"/>
      <c r="G29" s="21"/>
      <c r="H29" s="72"/>
      <c r="I29" s="14"/>
      <c r="J29" s="32"/>
      <c r="K29" s="35"/>
      <c r="L29" s="30"/>
      <c r="M29" s="31"/>
    </row>
    <row r="30" spans="1:13" ht="25.5" x14ac:dyDescent="0.35">
      <c r="A30" s="14"/>
      <c r="B30" s="14"/>
      <c r="C30" s="14"/>
      <c r="D30" s="68">
        <v>46844</v>
      </c>
      <c r="E30" s="69">
        <v>525030.37243089289</v>
      </c>
      <c r="F30" s="21"/>
      <c r="G30" s="21"/>
      <c r="H30" s="72"/>
      <c r="I30" s="14"/>
      <c r="J30" s="32"/>
      <c r="K30" s="35"/>
      <c r="L30" s="30"/>
      <c r="M30" s="31"/>
    </row>
    <row r="31" spans="1:13" ht="25.5" x14ac:dyDescent="0.35">
      <c r="A31" s="14"/>
      <c r="B31" s="14"/>
      <c r="C31" s="14"/>
      <c r="D31" s="68">
        <v>46874</v>
      </c>
      <c r="E31" s="69">
        <v>608067.37149590533</v>
      </c>
      <c r="F31" s="21"/>
      <c r="G31" s="21"/>
      <c r="H31" s="72"/>
      <c r="I31" s="14"/>
      <c r="J31" s="32"/>
      <c r="K31" s="35"/>
      <c r="L31" s="30"/>
      <c r="M31" s="31"/>
    </row>
    <row r="32" spans="1:13" ht="25.5" x14ac:dyDescent="0.35">
      <c r="A32" s="14"/>
      <c r="B32" s="14"/>
      <c r="C32" s="14"/>
      <c r="D32" s="68">
        <v>46905</v>
      </c>
      <c r="E32" s="69">
        <v>583453.37520172261</v>
      </c>
      <c r="F32" s="21"/>
      <c r="G32" s="21"/>
      <c r="H32" s="72"/>
      <c r="I32" s="14"/>
      <c r="J32" s="32"/>
      <c r="K32" s="35"/>
      <c r="L32" s="30"/>
      <c r="M32" s="31"/>
    </row>
    <row r="33" spans="1:13" ht="25.5" x14ac:dyDescent="0.35">
      <c r="A33" s="14"/>
      <c r="B33" s="14"/>
      <c r="C33" s="14"/>
      <c r="D33" s="68">
        <v>46935</v>
      </c>
      <c r="E33" s="69">
        <v>651562.41394650051</v>
      </c>
      <c r="F33" s="21"/>
      <c r="G33" s="21"/>
      <c r="H33" s="72"/>
      <c r="I33" s="14"/>
      <c r="J33" s="32"/>
      <c r="K33" s="35"/>
      <c r="L33" s="30"/>
      <c r="M33" s="31"/>
    </row>
    <row r="34" spans="1:13" ht="25.5" x14ac:dyDescent="0.35">
      <c r="A34" s="14"/>
      <c r="B34" s="14"/>
      <c r="C34" s="14"/>
      <c r="D34" s="68">
        <v>46966</v>
      </c>
      <c r="E34" s="69">
        <v>722000.64554147935</v>
      </c>
      <c r="F34" s="21"/>
      <c r="G34" s="21"/>
      <c r="H34" s="72"/>
      <c r="I34" s="14"/>
      <c r="J34" s="32"/>
      <c r="K34" s="35"/>
      <c r="L34" s="30"/>
      <c r="M34" s="31"/>
    </row>
    <row r="35" spans="1:13" ht="25.5" x14ac:dyDescent="0.35">
      <c r="A35" s="14"/>
      <c r="B35" s="14"/>
      <c r="C35" s="14"/>
      <c r="D35" s="68">
        <v>46997</v>
      </c>
      <c r="E35" s="69">
        <v>567363.8642013513</v>
      </c>
      <c r="F35" s="21"/>
      <c r="G35" s="21"/>
      <c r="H35" s="72"/>
      <c r="I35" s="14"/>
      <c r="J35" s="32"/>
      <c r="K35" s="35"/>
      <c r="L35" s="30"/>
      <c r="M35" s="31"/>
    </row>
    <row r="36" spans="1:13" ht="25.5" x14ac:dyDescent="0.35">
      <c r="A36" s="14"/>
      <c r="B36" s="14"/>
      <c r="C36" s="14"/>
      <c r="D36" s="68">
        <v>47027</v>
      </c>
      <c r="E36" s="69">
        <v>511021.91808855953</v>
      </c>
      <c r="F36" s="21"/>
      <c r="G36" s="21"/>
      <c r="H36" s="72"/>
      <c r="I36" s="14"/>
      <c r="J36" s="32"/>
      <c r="K36" s="35"/>
      <c r="L36" s="30"/>
      <c r="M36" s="31"/>
    </row>
    <row r="37" spans="1:13" ht="25.5" x14ac:dyDescent="0.35">
      <c r="A37" s="14"/>
      <c r="B37" s="14"/>
      <c r="C37" s="14"/>
      <c r="D37" s="68">
        <v>47058</v>
      </c>
      <c r="E37" s="69">
        <v>520743.77771677257</v>
      </c>
      <c r="F37" s="21"/>
      <c r="G37" s="21"/>
      <c r="H37" s="72"/>
      <c r="I37" s="14"/>
      <c r="J37" s="32"/>
      <c r="K37" s="35"/>
      <c r="L37" s="30"/>
      <c r="M37" s="31"/>
    </row>
    <row r="38" spans="1:13" ht="25.5" x14ac:dyDescent="0.35">
      <c r="A38" s="14"/>
      <c r="B38" s="14"/>
      <c r="C38" s="14"/>
      <c r="D38" s="68">
        <v>47088</v>
      </c>
      <c r="E38" s="69">
        <v>491616.89652299217</v>
      </c>
      <c r="F38" s="21"/>
      <c r="G38" s="21"/>
      <c r="H38" s="73"/>
      <c r="I38" s="14"/>
      <c r="J38" s="32"/>
      <c r="K38" s="35"/>
      <c r="L38" s="30"/>
      <c r="M38" s="31"/>
    </row>
    <row r="39" spans="1:13" ht="25.5" x14ac:dyDescent="0.35">
      <c r="A39" s="14"/>
      <c r="B39" s="14"/>
      <c r="C39" s="14"/>
      <c r="D39" s="68">
        <v>47119</v>
      </c>
      <c r="E39" s="69">
        <v>5579101.6220463365</v>
      </c>
      <c r="F39" s="21"/>
      <c r="G39" s="21"/>
      <c r="H39" s="71"/>
      <c r="I39" s="14"/>
      <c r="J39" s="32"/>
      <c r="K39" s="35"/>
      <c r="L39" s="30"/>
      <c r="M39" s="31"/>
    </row>
    <row r="40" spans="1:13" ht="25.5" x14ac:dyDescent="0.35">
      <c r="A40" s="14"/>
      <c r="B40" s="14"/>
      <c r="C40" s="14"/>
      <c r="D40" s="68">
        <v>47150</v>
      </c>
      <c r="E40" s="69">
        <v>5351792.7571696341</v>
      </c>
      <c r="F40" s="21"/>
      <c r="G40" s="21"/>
      <c r="H40" s="72"/>
      <c r="I40" s="14"/>
      <c r="J40" s="32"/>
      <c r="K40" s="35"/>
      <c r="L40" s="30"/>
      <c r="M40" s="31"/>
    </row>
    <row r="41" spans="1:13" ht="25.5" x14ac:dyDescent="0.35">
      <c r="A41" s="14"/>
      <c r="B41" s="14"/>
      <c r="C41" s="14"/>
      <c r="D41" s="68">
        <v>47178</v>
      </c>
      <c r="E41" s="69">
        <v>5766500.8037174866</v>
      </c>
      <c r="F41" s="21"/>
      <c r="G41" s="21"/>
      <c r="H41" s="72"/>
      <c r="I41" s="14"/>
      <c r="J41" s="32"/>
      <c r="K41" s="35"/>
      <c r="L41" s="30"/>
      <c r="M41" s="31"/>
    </row>
    <row r="42" spans="1:13" ht="25.5" x14ac:dyDescent="0.35">
      <c r="A42" s="14"/>
      <c r="B42" s="14"/>
      <c r="C42" s="14"/>
      <c r="D42" s="68">
        <v>47209</v>
      </c>
      <c r="E42" s="69">
        <v>5011831.5838547731</v>
      </c>
      <c r="F42" s="21"/>
      <c r="G42" s="21"/>
      <c r="H42" s="72"/>
      <c r="I42" s="14"/>
      <c r="J42" s="32"/>
      <c r="K42" s="35"/>
      <c r="L42" s="30"/>
      <c r="M42" s="31"/>
    </row>
    <row r="43" spans="1:13" ht="25.5" x14ac:dyDescent="0.35">
      <c r="A43" s="14"/>
      <c r="B43" s="14"/>
      <c r="C43" s="14"/>
      <c r="D43" s="68">
        <v>47239</v>
      </c>
      <c r="E43" s="69">
        <v>5870856.5244577285</v>
      </c>
      <c r="F43" s="21"/>
      <c r="G43" s="21"/>
      <c r="H43" s="72"/>
      <c r="I43" s="14"/>
      <c r="J43" s="32"/>
      <c r="K43" s="35"/>
      <c r="L43" s="30"/>
      <c r="M43" s="31"/>
    </row>
    <row r="44" spans="1:13" ht="25.5" x14ac:dyDescent="0.35">
      <c r="A44" s="14"/>
      <c r="B44" s="14"/>
      <c r="C44" s="14"/>
      <c r="D44" s="68">
        <v>47270</v>
      </c>
      <c r="E44" s="69">
        <v>5011974.3060221169</v>
      </c>
      <c r="F44" s="21"/>
      <c r="G44" s="21"/>
      <c r="H44" s="72"/>
      <c r="I44" s="14"/>
      <c r="J44" s="32"/>
      <c r="K44" s="35"/>
      <c r="L44" s="30"/>
      <c r="M44" s="31"/>
    </row>
    <row r="45" spans="1:13" ht="25.5" x14ac:dyDescent="0.35">
      <c r="A45" s="14"/>
      <c r="B45" s="14"/>
      <c r="C45" s="14"/>
      <c r="D45" s="68">
        <v>47300</v>
      </c>
      <c r="E45" s="69">
        <v>5091961.8007940203</v>
      </c>
      <c r="F45" s="21"/>
      <c r="G45" s="21"/>
      <c r="H45" s="72"/>
      <c r="I45" s="14"/>
      <c r="J45" s="32"/>
      <c r="K45" s="35"/>
      <c r="L45" s="30"/>
      <c r="M45" s="31"/>
    </row>
    <row r="46" spans="1:13" ht="25.5" x14ac:dyDescent="0.35">
      <c r="A46" s="14"/>
      <c r="B46" s="14"/>
      <c r="C46" s="14"/>
      <c r="D46" s="68">
        <v>47331</v>
      </c>
      <c r="E46" s="69">
        <v>6206760.0643696301</v>
      </c>
      <c r="F46" s="21"/>
      <c r="G46" s="21"/>
      <c r="H46" s="72"/>
      <c r="I46" s="14"/>
      <c r="J46" s="32"/>
      <c r="K46" s="35"/>
      <c r="L46" s="30"/>
      <c r="M46" s="31"/>
    </row>
    <row r="47" spans="1:13" ht="25.5" x14ac:dyDescent="0.35">
      <c r="A47" s="14"/>
      <c r="B47" s="14"/>
      <c r="C47" s="14"/>
      <c r="D47" s="68">
        <v>47362</v>
      </c>
      <c r="E47" s="69">
        <v>6845713.5500201238</v>
      </c>
      <c r="F47" s="21"/>
      <c r="G47" s="21"/>
      <c r="H47" s="72"/>
      <c r="I47" s="14"/>
      <c r="J47" s="32"/>
      <c r="K47" s="35"/>
      <c r="L47" s="30"/>
      <c r="M47" s="31"/>
    </row>
    <row r="48" spans="1:13" ht="25.5" x14ac:dyDescent="0.35">
      <c r="A48" s="14"/>
      <c r="B48" s="14"/>
      <c r="C48" s="14"/>
      <c r="D48" s="68">
        <v>47392</v>
      </c>
      <c r="E48" s="69">
        <v>6341491.0082112057</v>
      </c>
      <c r="F48" s="21"/>
      <c r="G48" s="21"/>
      <c r="H48" s="72"/>
      <c r="I48" s="14"/>
      <c r="J48" s="32"/>
      <c r="K48" s="35"/>
      <c r="L48" s="30"/>
      <c r="M48" s="31"/>
    </row>
    <row r="49" spans="1:13" ht="25.5" x14ac:dyDescent="0.35">
      <c r="A49" s="14"/>
      <c r="B49" s="14"/>
      <c r="C49" s="14"/>
      <c r="D49" s="68">
        <v>47423</v>
      </c>
      <c r="E49" s="69">
        <v>6137839.2920724954</v>
      </c>
      <c r="F49" s="21"/>
      <c r="G49" s="21"/>
      <c r="H49" s="72"/>
      <c r="I49" s="14"/>
      <c r="J49" s="32"/>
      <c r="K49" s="35"/>
      <c r="L49" s="30"/>
      <c r="M49" s="31"/>
    </row>
    <row r="50" spans="1:13" ht="25.5" x14ac:dyDescent="0.35">
      <c r="A50" s="14"/>
      <c r="B50" s="14"/>
      <c r="C50" s="14"/>
      <c r="D50" s="68">
        <v>47453</v>
      </c>
      <c r="E50" s="69">
        <v>6199615.8991137259</v>
      </c>
      <c r="F50" s="21"/>
      <c r="G50" s="21"/>
      <c r="H50" s="72"/>
      <c r="I50" s="14"/>
      <c r="J50" s="32"/>
      <c r="K50" s="35"/>
      <c r="L50" s="30"/>
      <c r="M50" s="31"/>
    </row>
    <row r="51" spans="1:13" ht="26.25" thickBot="1" x14ac:dyDescent="0.4">
      <c r="A51" s="22"/>
      <c r="B51" s="22"/>
      <c r="C51" s="22"/>
      <c r="D51" s="26" t="s">
        <v>9</v>
      </c>
      <c r="E51" s="27">
        <f>SUM(E15:E50)</f>
        <v>118122985.77808556</v>
      </c>
      <c r="F51" s="28"/>
      <c r="G51" s="27"/>
      <c r="H51" s="74"/>
      <c r="I51" s="14"/>
      <c r="J51" s="22"/>
      <c r="K51" s="1"/>
    </row>
    <row r="52" spans="1:13" ht="24.75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1"/>
    </row>
    <row r="53" spans="1:13" ht="25.5" x14ac:dyDescent="0.35">
      <c r="A53" s="23" t="s">
        <v>10</v>
      </c>
      <c r="B53" s="22"/>
      <c r="C53" s="22"/>
      <c r="D53" s="22"/>
      <c r="E53" s="22"/>
      <c r="F53" s="22"/>
      <c r="G53" s="14"/>
      <c r="H53" s="14"/>
      <c r="I53" s="14"/>
      <c r="J53" s="14"/>
      <c r="K53" s="22"/>
    </row>
    <row r="54" spans="1:13" ht="20.25" x14ac:dyDescent="0.3">
      <c r="A54" s="23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spans="1:13" ht="20.25" customHeight="1" x14ac:dyDescent="0.25">
      <c r="A55" s="43" t="s">
        <v>11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</row>
    <row r="56" spans="1:13" ht="20.25" x14ac:dyDescent="0.25">
      <c r="A56" s="44" t="s">
        <v>19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</row>
    <row r="57" spans="1:13" ht="42.75" customHeight="1" x14ac:dyDescent="0.25">
      <c r="A57" s="36" t="s">
        <v>12</v>
      </c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spans="1:13" ht="20.100000000000001" customHeight="1" x14ac:dyDescent="0.25">
      <c r="A58" s="36" t="s">
        <v>20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</row>
  </sheetData>
  <mergeCells count="11">
    <mergeCell ref="A57:K57"/>
    <mergeCell ref="A58:K58"/>
    <mergeCell ref="H15:H26"/>
    <mergeCell ref="H27:H38"/>
    <mergeCell ref="H39:H50"/>
    <mergeCell ref="B2:H2"/>
    <mergeCell ref="A3:I3"/>
    <mergeCell ref="B4:H4"/>
    <mergeCell ref="D13:H13"/>
    <mergeCell ref="A55:K55"/>
    <mergeCell ref="A56:K56"/>
  </mergeCells>
  <pageMargins left="0.70866141732283472" right="0.70866141732283472" top="0.74803149606299213" bottom="0.74803149606299213" header="0.31496062992125984" footer="0.31496062992125984"/>
  <pageSetup scale="42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C9D2-A6D2-4CBF-AE5A-C32A7A26699F}">
  <dimension ref="A1:AC110"/>
  <sheetViews>
    <sheetView zoomScale="70" zoomScaleNormal="70" workbookViewId="0">
      <selection activeCell="AC30" sqref="AC30:AC32"/>
    </sheetView>
  </sheetViews>
  <sheetFormatPr baseColWidth="10" defaultRowHeight="15.75" x14ac:dyDescent="0.25"/>
  <cols>
    <col min="1" max="1" width="8.7109375" style="33" bestFit="1" customWidth="1"/>
    <col min="2" max="2" width="8.85546875" style="33" bestFit="1" customWidth="1"/>
    <col min="3" max="3" width="9.140625" style="33" bestFit="1" customWidth="1"/>
    <col min="4" max="27" width="7.140625" style="61" bestFit="1" customWidth="1"/>
    <col min="28" max="28" width="17.85546875" style="34" bestFit="1" customWidth="1"/>
    <col min="29" max="29" width="21" style="34" bestFit="1" customWidth="1"/>
    <col min="30" max="30" width="15.42578125" style="33" customWidth="1"/>
    <col min="31" max="31" width="16.28515625" style="33" bestFit="1" customWidth="1"/>
    <col min="32" max="16384" width="11.42578125" style="33"/>
  </cols>
  <sheetData>
    <row r="1" spans="1:29" x14ac:dyDescent="0.25">
      <c r="A1" s="45"/>
      <c r="B1" s="45"/>
      <c r="C1" s="46"/>
      <c r="D1" s="47" t="s">
        <v>22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9"/>
      <c r="AB1" s="45"/>
      <c r="AC1" s="45"/>
    </row>
    <row r="2" spans="1:29" x14ac:dyDescent="0.25">
      <c r="A2" s="50" t="s">
        <v>13</v>
      </c>
      <c r="B2" s="50" t="s">
        <v>14</v>
      </c>
      <c r="C2" s="50" t="s">
        <v>15</v>
      </c>
      <c r="D2" s="50">
        <v>1</v>
      </c>
      <c r="E2" s="50">
        <v>2</v>
      </c>
      <c r="F2" s="50">
        <v>3</v>
      </c>
      <c r="G2" s="50">
        <v>4</v>
      </c>
      <c r="H2" s="50">
        <v>5</v>
      </c>
      <c r="I2" s="50">
        <v>6</v>
      </c>
      <c r="J2" s="50">
        <v>7</v>
      </c>
      <c r="K2" s="50">
        <v>8</v>
      </c>
      <c r="L2" s="50">
        <v>9</v>
      </c>
      <c r="M2" s="50">
        <v>10</v>
      </c>
      <c r="N2" s="50">
        <v>11</v>
      </c>
      <c r="O2" s="50">
        <v>12</v>
      </c>
      <c r="P2" s="50">
        <v>13</v>
      </c>
      <c r="Q2" s="50">
        <v>14</v>
      </c>
      <c r="R2" s="50">
        <v>15</v>
      </c>
      <c r="S2" s="50">
        <v>16</v>
      </c>
      <c r="T2" s="50">
        <v>17</v>
      </c>
      <c r="U2" s="50">
        <v>18</v>
      </c>
      <c r="V2" s="50">
        <v>19</v>
      </c>
      <c r="W2" s="50">
        <v>20</v>
      </c>
      <c r="X2" s="50">
        <v>21</v>
      </c>
      <c r="Y2" s="50">
        <v>22</v>
      </c>
      <c r="Z2" s="50">
        <v>23</v>
      </c>
      <c r="AA2" s="50">
        <v>24</v>
      </c>
      <c r="AB2" s="51" t="s">
        <v>23</v>
      </c>
      <c r="AC2" s="52" t="s">
        <v>24</v>
      </c>
    </row>
    <row r="3" spans="1:29" x14ac:dyDescent="0.25">
      <c r="A3" s="53">
        <v>46388</v>
      </c>
      <c r="B3" s="54" t="s">
        <v>16</v>
      </c>
      <c r="C3" s="55">
        <v>19</v>
      </c>
      <c r="D3" s="56">
        <f>'[9]Total 2027 - 2029'!D3-'[9]Plana 2027 - 2029'!D3</f>
        <v>2908.1910929075148</v>
      </c>
      <c r="E3" s="56">
        <f>'[9]Total 2027 - 2029'!E3-'[9]Plana 2027 - 2029'!E3</f>
        <v>1992.2363723705384</v>
      </c>
      <c r="F3" s="56">
        <f>'[9]Total 2027 - 2029'!F3-'[9]Plana 2027 - 2029'!F3</f>
        <v>1432.4088729111045</v>
      </c>
      <c r="G3" s="56">
        <f>'[9]Total 2027 - 2029'!G3-'[9]Plana 2027 - 2029'!G3</f>
        <v>941.58709787174666</v>
      </c>
      <c r="H3" s="56">
        <f>'[9]Total 2027 - 2029'!H3-'[9]Plana 2027 - 2029'!H3</f>
        <v>562.10688998708974</v>
      </c>
      <c r="I3" s="56">
        <f>'[9]Total 2027 - 2029'!I3-'[9]Plana 2027 - 2029'!I3</f>
        <v>164.19824857223102</v>
      </c>
      <c r="J3" s="56">
        <f>'[9]Total 2027 - 2029'!J3-'[9]Plana 2027 - 2029'!J3</f>
        <v>0</v>
      </c>
      <c r="K3" s="56">
        <f>'[9]Total 2027 - 2029'!K3-'[9]Plana 2027 - 2029'!K3</f>
        <v>1141.1025395907836</v>
      </c>
      <c r="L3" s="56">
        <f>'[9]Total 2027 - 2029'!L3-'[9]Plana 2027 - 2029'!L3</f>
        <v>1969.7835249119853</v>
      </c>
      <c r="M3" s="56">
        <f>'[9]Total 2027 - 2029'!M3-'[9]Plana 2027 - 2029'!M3</f>
        <v>2746.4297966301292</v>
      </c>
      <c r="N3" s="56">
        <f>'[9]Total 2027 - 2029'!N3-'[9]Plana 2027 - 2029'!N3</f>
        <v>3546.6874633130665</v>
      </c>
      <c r="O3" s="56">
        <f>'[9]Total 2027 - 2029'!O3-'[9]Plana 2027 - 2029'!O3</f>
        <v>4471.8383412809326</v>
      </c>
      <c r="P3" s="56">
        <f>'[9]Total 2027 - 2029'!P3-'[9]Plana 2027 - 2029'!P3</f>
        <v>4282.1041367736943</v>
      </c>
      <c r="Q3" s="56">
        <f>'[9]Total 2027 - 2029'!Q3-'[9]Plana 2027 - 2029'!Q3</f>
        <v>5471.6837988136722</v>
      </c>
      <c r="R3" s="56">
        <f>'[9]Total 2027 - 2029'!R3-'[9]Plana 2027 - 2029'!R3</f>
        <v>6465.4243184075549</v>
      </c>
      <c r="S3" s="56">
        <f>'[9]Total 2027 - 2029'!S3-'[9]Plana 2027 - 2029'!S3</f>
        <v>6134.4270218714319</v>
      </c>
      <c r="T3" s="56">
        <f>'[9]Total 2027 - 2029'!T3-'[9]Plana 2027 - 2029'!T3</f>
        <v>5486.1001525204192</v>
      </c>
      <c r="U3" s="56">
        <f>'[9]Total 2027 - 2029'!U3-'[9]Plana 2027 - 2029'!U3</f>
        <v>6030.2986590697565</v>
      </c>
      <c r="V3" s="56">
        <f>'[9]Total 2027 - 2029'!V3-'[9]Plana 2027 - 2029'!V3</f>
        <v>7360.0335026286575</v>
      </c>
      <c r="W3" s="56">
        <f>'[9]Total 2027 - 2029'!W3-'[9]Plana 2027 - 2029'!W3</f>
        <v>7600.85219097138</v>
      </c>
      <c r="X3" s="56">
        <f>'[9]Total 2027 - 2029'!X3-'[9]Plana 2027 - 2029'!X3</f>
        <v>7477.7991726001364</v>
      </c>
      <c r="Y3" s="56">
        <f>'[9]Total 2027 - 2029'!Y3-'[9]Plana 2027 - 2029'!Y3</f>
        <v>7208.7191373094192</v>
      </c>
      <c r="Z3" s="56">
        <f>'[9]Total 2027 - 2029'!Z3-'[9]Plana 2027 - 2029'!Z3</f>
        <v>6383.4284232075825</v>
      </c>
      <c r="AA3" s="56">
        <f>'[9]Total 2027 - 2029'!AA3-'[9]Plana 2027 - 2029'!AA3</f>
        <v>5296.3070568636758</v>
      </c>
      <c r="AB3" s="57">
        <f>SUM(D3:AA3)*C3</f>
        <v>1844401.2084163055</v>
      </c>
      <c r="AC3" s="62">
        <f>SUM(AB3:AB5)</f>
        <v>3110784.4274939531</v>
      </c>
    </row>
    <row r="4" spans="1:29" x14ac:dyDescent="0.25">
      <c r="A4" s="58"/>
      <c r="B4" s="59" t="s">
        <v>17</v>
      </c>
      <c r="C4" s="55">
        <v>5</v>
      </c>
      <c r="D4" s="56">
        <f>'[9]Total 2027 - 2029'!D4-'[9]Plana 2027 - 2029'!D4</f>
        <v>2363.8487238605412</v>
      </c>
      <c r="E4" s="56">
        <f>'[9]Total 2027 - 2029'!E4-'[9]Plana 2027 - 2029'!E4</f>
        <v>1431.8631939208426</v>
      </c>
      <c r="F4" s="56">
        <f>'[9]Total 2027 - 2029'!F4-'[9]Plana 2027 - 2029'!F4</f>
        <v>867.50867013703828</v>
      </c>
      <c r="G4" s="56">
        <f>'[9]Total 2027 - 2029'!G4-'[9]Plana 2027 - 2029'!G4</f>
        <v>400.26296160335914</v>
      </c>
      <c r="H4" s="56">
        <f>'[9]Total 2027 - 2029'!H4-'[9]Plana 2027 - 2029'!H4</f>
        <v>158.65162138279084</v>
      </c>
      <c r="I4" s="56">
        <f>'[9]Total 2027 - 2029'!I4-'[9]Plana 2027 - 2029'!I4</f>
        <v>170.8259466013933</v>
      </c>
      <c r="J4" s="56">
        <f>'[9]Total 2027 - 2029'!J4-'[9]Plana 2027 - 2029'!J4</f>
        <v>0</v>
      </c>
      <c r="K4" s="56">
        <f>'[9]Total 2027 - 2029'!K4-'[9]Plana 2027 - 2029'!K4</f>
        <v>1407.983469628778</v>
      </c>
      <c r="L4" s="56">
        <f>'[9]Total 2027 - 2029'!L4-'[9]Plana 2027 - 2029'!L4</f>
        <v>2590.7194214783358</v>
      </c>
      <c r="M4" s="56">
        <f>'[9]Total 2027 - 2029'!M4-'[9]Plana 2027 - 2029'!M4</f>
        <v>3357.9818574483397</v>
      </c>
      <c r="N4" s="56">
        <f>'[9]Total 2027 - 2029'!N4-'[9]Plana 2027 - 2029'!N4</f>
        <v>4335.9862869774552</v>
      </c>
      <c r="O4" s="56">
        <f>'[9]Total 2027 - 2029'!O4-'[9]Plana 2027 - 2029'!O4</f>
        <v>5347.5336687822764</v>
      </c>
      <c r="P4" s="56">
        <f>'[9]Total 2027 - 2029'!P4-'[9]Plana 2027 - 2029'!P4</f>
        <v>4490.511513831887</v>
      </c>
      <c r="Q4" s="56">
        <f>'[9]Total 2027 - 2029'!Q4-'[9]Plana 2027 - 2029'!Q4</f>
        <v>6224.8518732034754</v>
      </c>
      <c r="R4" s="56">
        <f>'[9]Total 2027 - 2029'!R4-'[9]Plana 2027 - 2029'!R4</f>
        <v>7800.8815505510538</v>
      </c>
      <c r="S4" s="56">
        <f>'[9]Total 2027 - 2029'!S4-'[9]Plana 2027 - 2029'!S4</f>
        <v>7575.7309444576749</v>
      </c>
      <c r="T4" s="56">
        <f>'[9]Total 2027 - 2029'!T4-'[9]Plana 2027 - 2029'!T4</f>
        <v>6832.9597760374745</v>
      </c>
      <c r="U4" s="56">
        <f>'[9]Total 2027 - 2029'!U4-'[9]Plana 2027 - 2029'!U4</f>
        <v>6896.5615297629993</v>
      </c>
      <c r="V4" s="56">
        <f>'[9]Total 2027 - 2029'!V4-'[9]Plana 2027 - 2029'!V4</f>
        <v>7612.0520423863527</v>
      </c>
      <c r="W4" s="56">
        <f>'[9]Total 2027 - 2029'!W4-'[9]Plana 2027 - 2029'!W4</f>
        <v>7520.9605672041871</v>
      </c>
      <c r="X4" s="56">
        <f>'[9]Total 2027 - 2029'!X4-'[9]Plana 2027 - 2029'!X4</f>
        <v>7318.8045800408727</v>
      </c>
      <c r="Y4" s="56">
        <f>'[9]Total 2027 - 2029'!Y4-'[9]Plana 2027 - 2029'!Y4</f>
        <v>7019.2159918790494</v>
      </c>
      <c r="Z4" s="56">
        <f>'[9]Total 2027 - 2029'!Z4-'[9]Plana 2027 - 2029'!Z4</f>
        <v>5881.28174926266</v>
      </c>
      <c r="AA4" s="56">
        <f>'[9]Total 2027 - 2029'!AA4-'[9]Plana 2027 - 2029'!AA4</f>
        <v>4608.0196346528937</v>
      </c>
      <c r="AB4" s="57">
        <f>SUM(D4:AA4)*C4</f>
        <v>511074.98787545878</v>
      </c>
      <c r="AC4" s="63"/>
    </row>
    <row r="5" spans="1:29" x14ac:dyDescent="0.25">
      <c r="A5" s="58"/>
      <c r="B5" s="59" t="s">
        <v>18</v>
      </c>
      <c r="C5" s="55">
        <v>7</v>
      </c>
      <c r="D5" s="56">
        <f>'[9]Total 2027 - 2029'!D5-'[9]Plana 2027 - 2029'!D5</f>
        <v>2053.3869651241857</v>
      </c>
      <c r="E5" s="56">
        <f>'[9]Total 2027 - 2029'!E5-'[9]Plana 2027 - 2029'!E5</f>
        <v>1192.9968274978928</v>
      </c>
      <c r="F5" s="56">
        <f>'[9]Total 2027 - 2029'!F5-'[9]Plana 2027 - 2029'!F5</f>
        <v>789.79586011186257</v>
      </c>
      <c r="G5" s="56">
        <f>'[9]Total 2027 - 2029'!G5-'[9]Plana 2027 - 2029'!G5</f>
        <v>258.26416499609149</v>
      </c>
      <c r="H5" s="56">
        <f>'[9]Total 2027 - 2029'!H5-'[9]Plana 2027 - 2029'!H5</f>
        <v>0</v>
      </c>
      <c r="I5" s="56">
        <f>'[9]Total 2027 - 2029'!I5-'[9]Plana 2027 - 2029'!I5</f>
        <v>74.892439863166146</v>
      </c>
      <c r="J5" s="56">
        <f>'[9]Total 2027 - 2029'!J5-'[9]Plana 2027 - 2029'!J5</f>
        <v>62.523001867677522</v>
      </c>
      <c r="K5" s="56">
        <f>'[9]Total 2027 - 2029'!K5-'[9]Plana 2027 - 2029'!K5</f>
        <v>1533.830933611629</v>
      </c>
      <c r="L5" s="56">
        <f>'[9]Total 2027 - 2029'!L5-'[9]Plana 2027 - 2029'!L5</f>
        <v>3054.2638701711403</v>
      </c>
      <c r="M5" s="56">
        <f>'[9]Total 2027 - 2029'!M5-'[9]Plana 2027 - 2029'!M5</f>
        <v>4179.0914157608549</v>
      </c>
      <c r="N5" s="56">
        <f>'[9]Total 2027 - 2029'!N5-'[9]Plana 2027 - 2029'!N5</f>
        <v>5353.9033416546154</v>
      </c>
      <c r="O5" s="56">
        <f>'[9]Total 2027 - 2029'!O5-'[9]Plana 2027 - 2029'!O5</f>
        <v>6534.9766114415888</v>
      </c>
      <c r="P5" s="56">
        <f>'[9]Total 2027 - 2029'!P5-'[9]Plana 2027 - 2029'!P5</f>
        <v>5271.1435268202185</v>
      </c>
      <c r="Q5" s="56">
        <f>'[9]Total 2027 - 2029'!Q5-'[9]Plana 2027 - 2029'!Q5</f>
        <v>7029.1424124215046</v>
      </c>
      <c r="R5" s="56">
        <f>'[9]Total 2027 - 2029'!R5-'[9]Plana 2027 - 2029'!R5</f>
        <v>8668.0843538995141</v>
      </c>
      <c r="S5" s="56">
        <f>'[9]Total 2027 - 2029'!S5-'[9]Plana 2027 - 2029'!S5</f>
        <v>8046.8904977672973</v>
      </c>
      <c r="T5" s="56">
        <f>'[9]Total 2027 - 2029'!T5-'[9]Plana 2027 - 2029'!T5</f>
        <v>7250.455681767522</v>
      </c>
      <c r="U5" s="56">
        <f>'[9]Total 2027 - 2029'!U5-'[9]Plana 2027 - 2029'!U5</f>
        <v>7314.1462480131486</v>
      </c>
      <c r="V5" s="56">
        <f>'[9]Total 2027 - 2029'!V5-'[9]Plana 2027 - 2029'!V5</f>
        <v>7825.7351656368483</v>
      </c>
      <c r="W5" s="56">
        <f>'[9]Total 2027 - 2029'!W5-'[9]Plana 2027 - 2029'!W5</f>
        <v>7334.881969204147</v>
      </c>
      <c r="X5" s="56">
        <f>'[9]Total 2027 - 2029'!X5-'[9]Plana 2027 - 2029'!X5</f>
        <v>6900.2996398949454</v>
      </c>
      <c r="Y5" s="56">
        <f>'[9]Total 2027 - 2029'!Y5-'[9]Plana 2027 - 2029'!Y5</f>
        <v>6705.9597474613856</v>
      </c>
      <c r="Z5" s="56">
        <f>'[9]Total 2027 - 2029'!Z5-'[9]Plana 2027 - 2029'!Z5</f>
        <v>5811.2485449444048</v>
      </c>
      <c r="AA5" s="56">
        <f>'[9]Total 2027 - 2029'!AA5-'[9]Plana 2027 - 2029'!AA5</f>
        <v>4655.262666095392</v>
      </c>
      <c r="AB5" s="57">
        <f t="shared" ref="AB5:AB38" si="0">SUM(D5:AA5)*C5</f>
        <v>755308.23120218911</v>
      </c>
      <c r="AC5" s="64"/>
    </row>
    <row r="6" spans="1:29" x14ac:dyDescent="0.25">
      <c r="A6" s="53">
        <v>46419</v>
      </c>
      <c r="B6" s="54" t="s">
        <v>16</v>
      </c>
      <c r="C6" s="55">
        <v>20</v>
      </c>
      <c r="D6" s="56">
        <f>'[9]Total 2027 - 2029'!D6-'[9]Plana 2027 - 2029'!D6</f>
        <v>3030.5651773066584</v>
      </c>
      <c r="E6" s="56">
        <f>'[9]Total 2027 - 2029'!E6-'[9]Plana 2027 - 2029'!E6</f>
        <v>2068.7857910342937</v>
      </c>
      <c r="F6" s="56">
        <f>'[9]Total 2027 - 2029'!F6-'[9]Plana 2027 - 2029'!F6</f>
        <v>1273.2275652008448</v>
      </c>
      <c r="G6" s="56">
        <f>'[9]Total 2027 - 2029'!G6-'[9]Plana 2027 - 2029'!G6</f>
        <v>720.58986072701737</v>
      </c>
      <c r="H6" s="56">
        <f>'[9]Total 2027 - 2029'!H6-'[9]Plana 2027 - 2029'!H6</f>
        <v>403.51374545069484</v>
      </c>
      <c r="I6" s="56">
        <f>'[9]Total 2027 - 2029'!I6-'[9]Plana 2027 - 2029'!I6</f>
        <v>153.95851225310798</v>
      </c>
      <c r="J6" s="56">
        <f>'[9]Total 2027 - 2029'!J6-'[9]Plana 2027 - 2029'!J6</f>
        <v>0</v>
      </c>
      <c r="K6" s="56">
        <f>'[9]Total 2027 - 2029'!K6-'[9]Plana 2027 - 2029'!K6</f>
        <v>1507.201150908053</v>
      </c>
      <c r="L6" s="56">
        <f>'[9]Total 2027 - 2029'!L6-'[9]Plana 2027 - 2029'!L6</f>
        <v>2694.0353513984755</v>
      </c>
      <c r="M6" s="56">
        <f>'[9]Total 2027 - 2029'!M6-'[9]Plana 2027 - 2029'!M6</f>
        <v>3516.3150678323236</v>
      </c>
      <c r="N6" s="56">
        <f>'[9]Total 2027 - 2029'!N6-'[9]Plana 2027 - 2029'!N6</f>
        <v>4629.591396121692</v>
      </c>
      <c r="O6" s="56">
        <f>'[9]Total 2027 - 2029'!O6-'[9]Plana 2027 - 2029'!O6</f>
        <v>5603.82530375018</v>
      </c>
      <c r="P6" s="56">
        <f>'[9]Total 2027 - 2029'!P6-'[9]Plana 2027 - 2029'!P6</f>
        <v>4577.1628313347192</v>
      </c>
      <c r="Q6" s="56">
        <f>'[9]Total 2027 - 2029'!Q6-'[9]Plana 2027 - 2029'!Q6</f>
        <v>6349.4065945389139</v>
      </c>
      <c r="R6" s="56">
        <f>'[9]Total 2027 - 2029'!R6-'[9]Plana 2027 - 2029'!R6</f>
        <v>8208.38479101952</v>
      </c>
      <c r="S6" s="56">
        <f>'[9]Total 2027 - 2029'!S6-'[9]Plana 2027 - 2029'!S6</f>
        <v>8088.6069986375242</v>
      </c>
      <c r="T6" s="56">
        <f>'[9]Total 2027 - 2029'!T6-'[9]Plana 2027 - 2029'!T6</f>
        <v>7179.5647796018584</v>
      </c>
      <c r="U6" s="56">
        <f>'[9]Total 2027 - 2029'!U6-'[9]Plana 2027 - 2029'!U6</f>
        <v>7356.1130945519926</v>
      </c>
      <c r="V6" s="56">
        <f>'[9]Total 2027 - 2029'!V6-'[9]Plana 2027 - 2029'!V6</f>
        <v>8787.5667922348021</v>
      </c>
      <c r="W6" s="56">
        <f>'[9]Total 2027 - 2029'!W6-'[9]Plana 2027 - 2029'!W6</f>
        <v>9063.9208420038394</v>
      </c>
      <c r="X6" s="56">
        <f>'[9]Total 2027 - 2029'!X6-'[9]Plana 2027 - 2029'!X6</f>
        <v>8782.4326833084397</v>
      </c>
      <c r="Y6" s="56">
        <f>'[9]Total 2027 - 2029'!Y6-'[9]Plana 2027 - 2029'!Y6</f>
        <v>8095.518244101544</v>
      </c>
      <c r="Z6" s="56">
        <f>'[9]Total 2027 - 2029'!Z6-'[9]Plana 2027 - 2029'!Z6</f>
        <v>6825.6413313250359</v>
      </c>
      <c r="AA6" s="56">
        <f>'[9]Total 2027 - 2029'!AA6-'[9]Plana 2027 - 2029'!AA6</f>
        <v>5440.8007789444146</v>
      </c>
      <c r="AB6" s="57">
        <f t="shared" si="0"/>
        <v>2287134.5736717191</v>
      </c>
      <c r="AC6" s="62">
        <f>SUM(AB6:AB8)</f>
        <v>3304335.9740285627</v>
      </c>
    </row>
    <row r="7" spans="1:29" x14ac:dyDescent="0.25">
      <c r="A7" s="58"/>
      <c r="B7" s="59" t="s">
        <v>17</v>
      </c>
      <c r="C7" s="55">
        <v>4</v>
      </c>
      <c r="D7" s="56">
        <f>'[9]Total 2027 - 2029'!D7-'[9]Plana 2027 - 2029'!D7</f>
        <v>2432.1384993691954</v>
      </c>
      <c r="E7" s="56">
        <f>'[9]Total 2027 - 2029'!E7-'[9]Plana 2027 - 2029'!E7</f>
        <v>1517.5218190074447</v>
      </c>
      <c r="F7" s="56">
        <f>'[9]Total 2027 - 2029'!F7-'[9]Plana 2027 - 2029'!F7</f>
        <v>750.64726169794631</v>
      </c>
      <c r="G7" s="56">
        <f>'[9]Total 2027 - 2029'!G7-'[9]Plana 2027 - 2029'!G7</f>
        <v>240.602655441975</v>
      </c>
      <c r="H7" s="56">
        <f>'[9]Total 2027 - 2029'!H7-'[9]Plana 2027 - 2029'!H7</f>
        <v>0</v>
      </c>
      <c r="I7" s="56">
        <f>'[9]Total 2027 - 2029'!I7-'[9]Plana 2027 - 2029'!I7</f>
        <v>249.52735571113408</v>
      </c>
      <c r="J7" s="56">
        <f>'[9]Total 2027 - 2029'!J7-'[9]Plana 2027 - 2029'!J7</f>
        <v>161.70509111078172</v>
      </c>
      <c r="K7" s="56">
        <f>'[9]Total 2027 - 2029'!K7-'[9]Plana 2027 - 2029'!K7</f>
        <v>1861.4214958580524</v>
      </c>
      <c r="L7" s="56">
        <f>'[9]Total 2027 - 2029'!L7-'[9]Plana 2027 - 2029'!L7</f>
        <v>3373.0575973539617</v>
      </c>
      <c r="M7" s="56">
        <f>'[9]Total 2027 - 2029'!M7-'[9]Plana 2027 - 2029'!M7</f>
        <v>4242.3118721451374</v>
      </c>
      <c r="N7" s="56">
        <f>'[9]Total 2027 - 2029'!N7-'[9]Plana 2027 - 2029'!N7</f>
        <v>5529.9717460674055</v>
      </c>
      <c r="O7" s="56">
        <f>'[9]Total 2027 - 2029'!O7-'[9]Plana 2027 - 2029'!O7</f>
        <v>6604.1453751208592</v>
      </c>
      <c r="P7" s="56">
        <f>'[9]Total 2027 - 2029'!P7-'[9]Plana 2027 - 2029'!P7</f>
        <v>5114.5069981701799</v>
      </c>
      <c r="Q7" s="56">
        <f>'[9]Total 2027 - 2029'!Q7-'[9]Plana 2027 - 2029'!Q7</f>
        <v>7390.6914453845729</v>
      </c>
      <c r="R7" s="56">
        <f>'[9]Total 2027 - 2029'!R7-'[9]Plana 2027 - 2029'!R7</f>
        <v>9533.7251824725881</v>
      </c>
      <c r="S7" s="56">
        <f>'[9]Total 2027 - 2029'!S7-'[9]Plana 2027 - 2029'!S7</f>
        <v>9423.1348051094847</v>
      </c>
      <c r="T7" s="56">
        <f>'[9]Total 2027 - 2029'!T7-'[9]Plana 2027 - 2029'!T7</f>
        <v>8546.5804109640394</v>
      </c>
      <c r="U7" s="56">
        <f>'[9]Total 2027 - 2029'!U7-'[9]Plana 2027 - 2029'!U7</f>
        <v>8415.9018446606624</v>
      </c>
      <c r="V7" s="56">
        <f>'[9]Total 2027 - 2029'!V7-'[9]Plana 2027 - 2029'!V7</f>
        <v>9249.6031931495145</v>
      </c>
      <c r="W7" s="56">
        <f>'[9]Total 2027 - 2029'!W7-'[9]Plana 2027 - 2029'!W7</f>
        <v>9273.794168078226</v>
      </c>
      <c r="X7" s="56">
        <f>'[9]Total 2027 - 2029'!X7-'[9]Plana 2027 - 2029'!X7</f>
        <v>9072.3018057806275</v>
      </c>
      <c r="Y7" s="56">
        <f>'[9]Total 2027 - 2029'!Y7-'[9]Plana 2027 - 2029'!Y7</f>
        <v>8341.3195643207928</v>
      </c>
      <c r="Z7" s="56">
        <f>'[9]Total 2027 - 2029'!Z7-'[9]Plana 2027 - 2029'!Z7</f>
        <v>6744.7778236727117</v>
      </c>
      <c r="AA7" s="56">
        <f>'[9]Total 2027 - 2029'!AA7-'[9]Plana 2027 - 2029'!AA7</f>
        <v>5059.302989533373</v>
      </c>
      <c r="AB7" s="57">
        <f t="shared" si="0"/>
        <v>492514.76400072267</v>
      </c>
      <c r="AC7" s="63"/>
    </row>
    <row r="8" spans="1:29" x14ac:dyDescent="0.25">
      <c r="A8" s="58"/>
      <c r="B8" s="59" t="s">
        <v>18</v>
      </c>
      <c r="C8" s="55">
        <v>4</v>
      </c>
      <c r="D8" s="56">
        <f>'[9]Total 2027 - 2029'!D8-'[9]Plana 2027 - 2029'!D8</f>
        <v>2487.244758886085</v>
      </c>
      <c r="E8" s="56">
        <f>'[9]Total 2027 - 2029'!E8-'[9]Plana 2027 - 2029'!E8</f>
        <v>1553.8994332530438</v>
      </c>
      <c r="F8" s="56">
        <f>'[9]Total 2027 - 2029'!F8-'[9]Plana 2027 - 2029'!F8</f>
        <v>825.62997446512236</v>
      </c>
      <c r="G8" s="56">
        <f>'[9]Total 2027 - 2029'!G8-'[9]Plana 2027 - 2029'!G8</f>
        <v>265.82462890927127</v>
      </c>
      <c r="H8" s="56">
        <f>'[9]Total 2027 - 2029'!H8-'[9]Plana 2027 - 2029'!H8</f>
        <v>0</v>
      </c>
      <c r="I8" s="56">
        <f>'[9]Total 2027 - 2029'!I8-'[9]Plana 2027 - 2029'!I8</f>
        <v>418.36741084445384</v>
      </c>
      <c r="J8" s="56">
        <f>'[9]Total 2027 - 2029'!J8-'[9]Plana 2027 - 2029'!J8</f>
        <v>394.31467651771891</v>
      </c>
      <c r="K8" s="56">
        <f>'[9]Total 2027 - 2029'!K8-'[9]Plana 2027 - 2029'!K8</f>
        <v>2163.4848914675076</v>
      </c>
      <c r="L8" s="56">
        <f>'[9]Total 2027 - 2029'!L8-'[9]Plana 2027 - 2029'!L8</f>
        <v>4057.3071146713755</v>
      </c>
      <c r="M8" s="56">
        <f>'[9]Total 2027 - 2029'!M8-'[9]Plana 2027 - 2029'!M8</f>
        <v>5400.9449407141092</v>
      </c>
      <c r="N8" s="56">
        <f>'[9]Total 2027 - 2029'!N8-'[9]Plana 2027 - 2029'!N8</f>
        <v>6817.1104976121187</v>
      </c>
      <c r="O8" s="56">
        <f>'[9]Total 2027 - 2029'!O8-'[9]Plana 2027 - 2029'!O8</f>
        <v>7850.1580262533262</v>
      </c>
      <c r="P8" s="56">
        <f>'[9]Total 2027 - 2029'!P8-'[9]Plana 2027 - 2029'!P8</f>
        <v>5859.8011879541427</v>
      </c>
      <c r="Q8" s="56">
        <f>'[9]Total 2027 - 2029'!Q8-'[9]Plana 2027 - 2029'!Q8</f>
        <v>8085.5049759463745</v>
      </c>
      <c r="R8" s="56">
        <f>'[9]Total 2027 - 2029'!R8-'[9]Plana 2027 - 2029'!R8</f>
        <v>10208.233365646685</v>
      </c>
      <c r="S8" s="56">
        <f>'[9]Total 2027 - 2029'!S8-'[9]Plana 2027 - 2029'!S8</f>
        <v>10070.657651441355</v>
      </c>
      <c r="T8" s="56">
        <f>'[9]Total 2027 - 2029'!T8-'[9]Plana 2027 - 2029'!T8</f>
        <v>9090.3610387291901</v>
      </c>
      <c r="U8" s="56">
        <f>'[9]Total 2027 - 2029'!U8-'[9]Plana 2027 - 2029'!U8</f>
        <v>8827.9672446178865</v>
      </c>
      <c r="V8" s="56">
        <f>'[9]Total 2027 - 2029'!V8-'[9]Plana 2027 - 2029'!V8</f>
        <v>9403.4092654745964</v>
      </c>
      <c r="W8" s="56">
        <f>'[9]Total 2027 - 2029'!W8-'[9]Plana 2027 - 2029'!W8</f>
        <v>9161.1526839610251</v>
      </c>
      <c r="X8" s="56">
        <f>'[9]Total 2027 - 2029'!X8-'[9]Plana 2027 - 2029'!X8</f>
        <v>8649.0635553791162</v>
      </c>
      <c r="Y8" s="56">
        <f>'[9]Total 2027 - 2029'!Y8-'[9]Plana 2027 - 2029'!Y8</f>
        <v>7901.7637066996922</v>
      </c>
      <c r="Z8" s="56">
        <f>'[9]Total 2027 - 2029'!Z8-'[9]Plana 2027 - 2029'!Z8</f>
        <v>6585.4622170778002</v>
      </c>
      <c r="AA8" s="56">
        <f>'[9]Total 2027 - 2029'!AA8-'[9]Plana 2027 - 2029'!AA8</f>
        <v>5093.9958425082095</v>
      </c>
      <c r="AB8" s="57">
        <f t="shared" si="0"/>
        <v>524686.63635612081</v>
      </c>
      <c r="AC8" s="64"/>
    </row>
    <row r="9" spans="1:29" x14ac:dyDescent="0.25">
      <c r="A9" s="53">
        <v>46447</v>
      </c>
      <c r="B9" s="54" t="s">
        <v>16</v>
      </c>
      <c r="C9" s="55">
        <v>20</v>
      </c>
      <c r="D9" s="56">
        <f>'[9]Total 2027 - 2029'!D9-'[9]Plana 2027 - 2029'!D9</f>
        <v>3281.7935074821253</v>
      </c>
      <c r="E9" s="56">
        <f>'[9]Total 2027 - 2029'!E9-'[9]Plana 2027 - 2029'!E9</f>
        <v>2257.4394904375658</v>
      </c>
      <c r="F9" s="56">
        <f>'[9]Total 2027 - 2029'!F9-'[9]Plana 2027 - 2029'!F9</f>
        <v>1390.3597009075893</v>
      </c>
      <c r="G9" s="56">
        <f>'[9]Total 2027 - 2029'!G9-'[9]Plana 2027 - 2029'!G9</f>
        <v>861.64570164436918</v>
      </c>
      <c r="H9" s="56">
        <f>'[9]Total 2027 - 2029'!H9-'[9]Plana 2027 - 2029'!H9</f>
        <v>436.83845098490747</v>
      </c>
      <c r="I9" s="56">
        <f>'[9]Total 2027 - 2029'!I9-'[9]Plana 2027 - 2029'!I9</f>
        <v>0</v>
      </c>
      <c r="J9" s="56">
        <f>'[9]Total 2027 - 2029'!J9-'[9]Plana 2027 - 2029'!J9</f>
        <v>4.9480750171878753</v>
      </c>
      <c r="K9" s="56">
        <f>'[9]Total 2027 - 2029'!K9-'[9]Plana 2027 - 2029'!K9</f>
        <v>2076.8926461962583</v>
      </c>
      <c r="L9" s="56">
        <f>'[9]Total 2027 - 2029'!L9-'[9]Plana 2027 - 2029'!L9</f>
        <v>2742.3641315359382</v>
      </c>
      <c r="M9" s="56">
        <f>'[9]Total 2027 - 2029'!M9-'[9]Plana 2027 - 2029'!M9</f>
        <v>3823.9196396799853</v>
      </c>
      <c r="N9" s="56">
        <f>'[9]Total 2027 - 2029'!N9-'[9]Plana 2027 - 2029'!N9</f>
        <v>4920.2590456239013</v>
      </c>
      <c r="O9" s="56">
        <f>'[9]Total 2027 - 2029'!O9-'[9]Plana 2027 - 2029'!O9</f>
        <v>5717.8587370509813</v>
      </c>
      <c r="P9" s="56">
        <f>'[9]Total 2027 - 2029'!P9-'[9]Plana 2027 - 2029'!P9</f>
        <v>4999.2126848349799</v>
      </c>
      <c r="Q9" s="56">
        <f>'[9]Total 2027 - 2029'!Q9-'[9]Plana 2027 - 2029'!Q9</f>
        <v>6608.9712529217722</v>
      </c>
      <c r="R9" s="56">
        <f>'[9]Total 2027 - 2029'!R9-'[9]Plana 2027 - 2029'!R9</f>
        <v>8153.0899486430462</v>
      </c>
      <c r="S9" s="56">
        <f>'[9]Total 2027 - 2029'!S9-'[9]Plana 2027 - 2029'!S9</f>
        <v>8032.4258408268106</v>
      </c>
      <c r="T9" s="56">
        <f>'[9]Total 2027 - 2029'!T9-'[9]Plana 2027 - 2029'!T9</f>
        <v>7209.1663237080538</v>
      </c>
      <c r="U9" s="56">
        <f>'[9]Total 2027 - 2029'!U9-'[9]Plana 2027 - 2029'!U9</f>
        <v>7750.213779836693</v>
      </c>
      <c r="V9" s="56">
        <f>'[9]Total 2027 - 2029'!V9-'[9]Plana 2027 - 2029'!V9</f>
        <v>10265.320609845832</v>
      </c>
      <c r="W9" s="56">
        <f>'[9]Total 2027 - 2029'!W9-'[9]Plana 2027 - 2029'!W9</f>
        <v>9427.9936648983894</v>
      </c>
      <c r="X9" s="56">
        <f>'[9]Total 2027 - 2029'!X9-'[9]Plana 2027 - 2029'!X9</f>
        <v>9245.6420180756286</v>
      </c>
      <c r="Y9" s="56">
        <f>'[9]Total 2027 - 2029'!Y9-'[9]Plana 2027 - 2029'!Y9</f>
        <v>8623.2117123419339</v>
      </c>
      <c r="Z9" s="56">
        <f>'[9]Total 2027 - 2029'!Z9-'[9]Plana 2027 - 2029'!Z9</f>
        <v>7506.3765252875346</v>
      </c>
      <c r="AA9" s="56">
        <f>'[9]Total 2027 - 2029'!AA9-'[9]Plana 2027 - 2029'!AA9</f>
        <v>5865.5362851463142</v>
      </c>
      <c r="AB9" s="57">
        <f t="shared" si="0"/>
        <v>2424029.5954585555</v>
      </c>
      <c r="AC9" s="62">
        <f>SUM(AB9:AB11)</f>
        <v>3702288.8107653232</v>
      </c>
    </row>
    <row r="10" spans="1:29" x14ac:dyDescent="0.25">
      <c r="A10" s="58"/>
      <c r="B10" s="59" t="s">
        <v>17</v>
      </c>
      <c r="C10" s="55">
        <v>4</v>
      </c>
      <c r="D10" s="56">
        <f>'[9]Total 2027 - 2029'!D10-'[9]Plana 2027 - 2029'!D10</f>
        <v>2484.1251913997039</v>
      </c>
      <c r="E10" s="56">
        <f>'[9]Total 2027 - 2029'!E10-'[9]Plana 2027 - 2029'!E10</f>
        <v>1504.4530441315965</v>
      </c>
      <c r="F10" s="56">
        <f>'[9]Total 2027 - 2029'!F10-'[9]Plana 2027 - 2029'!F10</f>
        <v>696.42821771958188</v>
      </c>
      <c r="G10" s="56">
        <f>'[9]Total 2027 - 2029'!G10-'[9]Plana 2027 - 2029'!G10</f>
        <v>254.5755662901247</v>
      </c>
      <c r="H10" s="56">
        <f>'[9]Total 2027 - 2029'!H10-'[9]Plana 2027 - 2029'!H10</f>
        <v>0</v>
      </c>
      <c r="I10" s="56">
        <f>'[9]Total 2027 - 2029'!I10-'[9]Plana 2027 - 2029'!I10</f>
        <v>35.224061212995366</v>
      </c>
      <c r="J10" s="56">
        <f>'[9]Total 2027 - 2029'!J10-'[9]Plana 2027 - 2029'!J10</f>
        <v>6.610596572072609</v>
      </c>
      <c r="K10" s="56">
        <f>'[9]Total 2027 - 2029'!K10-'[9]Plana 2027 - 2029'!K10</f>
        <v>1520.8532868798229</v>
      </c>
      <c r="L10" s="56">
        <f>'[9]Total 2027 - 2029'!L10-'[9]Plana 2027 - 2029'!L10</f>
        <v>2966.7338214185602</v>
      </c>
      <c r="M10" s="56">
        <f>'[9]Total 2027 - 2029'!M10-'[9]Plana 2027 - 2029'!M10</f>
        <v>4023.1665701292204</v>
      </c>
      <c r="N10" s="56">
        <f>'[9]Total 2027 - 2029'!N10-'[9]Plana 2027 - 2029'!N10</f>
        <v>5038.9325943521271</v>
      </c>
      <c r="O10" s="56">
        <f>'[9]Total 2027 - 2029'!O10-'[9]Plana 2027 - 2029'!O10</f>
        <v>5727.3662622911161</v>
      </c>
      <c r="P10" s="56">
        <f>'[9]Total 2027 - 2029'!P10-'[9]Plana 2027 - 2029'!P10</f>
        <v>4399.4751514933396</v>
      </c>
      <c r="Q10" s="56">
        <f>'[9]Total 2027 - 2029'!Q10-'[9]Plana 2027 - 2029'!Q10</f>
        <v>6205.7670230975873</v>
      </c>
      <c r="R10" s="56">
        <f>'[9]Total 2027 - 2029'!R10-'[9]Plana 2027 - 2029'!R10</f>
        <v>7960.9606855139118</v>
      </c>
      <c r="S10" s="56">
        <f>'[9]Total 2027 - 2029'!S10-'[9]Plana 2027 - 2029'!S10</f>
        <v>7880.4370618622943</v>
      </c>
      <c r="T10" s="56">
        <f>'[9]Total 2027 - 2029'!T10-'[9]Plana 2027 - 2029'!T10</f>
        <v>7161.0340161667609</v>
      </c>
      <c r="U10" s="56">
        <f>'[9]Total 2027 - 2029'!U10-'[9]Plana 2027 - 2029'!U10</f>
        <v>7471.2139889547416</v>
      </c>
      <c r="V10" s="56">
        <f>'[9]Total 2027 - 2029'!V10-'[9]Plana 2027 - 2029'!V10</f>
        <v>8251.0741454993604</v>
      </c>
      <c r="W10" s="56">
        <f>'[9]Total 2027 - 2029'!W10-'[9]Plana 2027 - 2029'!W10</f>
        <v>8326.8969933496792</v>
      </c>
      <c r="X10" s="56">
        <f>'[9]Total 2027 - 2029'!X10-'[9]Plana 2027 - 2029'!X10</f>
        <v>8215.8486697611461</v>
      </c>
      <c r="Y10" s="56">
        <f>'[9]Total 2027 - 2029'!Y10-'[9]Plana 2027 - 2029'!Y10</f>
        <v>7514.501448922385</v>
      </c>
      <c r="Z10" s="56">
        <f>'[9]Total 2027 - 2029'!Z10-'[9]Plana 2027 - 2029'!Z10</f>
        <v>6173.7458694772558</v>
      </c>
      <c r="AA10" s="56">
        <f>'[9]Total 2027 - 2029'!AA10-'[9]Plana 2027 - 2029'!AA10</f>
        <v>4420.6059301579608</v>
      </c>
      <c r="AB10" s="57">
        <f t="shared" si="0"/>
        <v>432960.12078661338</v>
      </c>
      <c r="AC10" s="63"/>
    </row>
    <row r="11" spans="1:29" x14ac:dyDescent="0.25">
      <c r="A11" s="58"/>
      <c r="B11" s="59" t="s">
        <v>18</v>
      </c>
      <c r="C11" s="55">
        <v>7</v>
      </c>
      <c r="D11" s="56">
        <f>'[9]Total 2027 - 2029'!D11-'[9]Plana 2027 - 2029'!D11</f>
        <v>2513.4800071690552</v>
      </c>
      <c r="E11" s="56">
        <f>'[9]Total 2027 - 2029'!E11-'[9]Plana 2027 - 2029'!E11</f>
        <v>1553.4025884237089</v>
      </c>
      <c r="F11" s="56">
        <f>'[9]Total 2027 - 2029'!F11-'[9]Plana 2027 - 2029'!F11</f>
        <v>748.04627148139298</v>
      </c>
      <c r="G11" s="56">
        <f>'[9]Total 2027 - 2029'!G11-'[9]Plana 2027 - 2029'!G11</f>
        <v>253.53634827850146</v>
      </c>
      <c r="H11" s="56">
        <f>'[9]Total 2027 - 2029'!H11-'[9]Plana 2027 - 2029'!H11</f>
        <v>0</v>
      </c>
      <c r="I11" s="56">
        <f>'[9]Total 2027 - 2029'!I11-'[9]Plana 2027 - 2029'!I11</f>
        <v>171.77338564089769</v>
      </c>
      <c r="J11" s="56">
        <f>'[9]Total 2027 - 2029'!J11-'[9]Plana 2027 - 2029'!J11</f>
        <v>199.16015891373172</v>
      </c>
      <c r="K11" s="56">
        <f>'[9]Total 2027 - 2029'!K11-'[9]Plana 2027 - 2029'!K11</f>
        <v>1873.183537383853</v>
      </c>
      <c r="L11" s="56">
        <f>'[9]Total 2027 - 2029'!L11-'[9]Plana 2027 - 2029'!L11</f>
        <v>3696.131871466976</v>
      </c>
      <c r="M11" s="56">
        <f>'[9]Total 2027 - 2029'!M11-'[9]Plana 2027 - 2029'!M11</f>
        <v>5021.8103113139405</v>
      </c>
      <c r="N11" s="56">
        <f>'[9]Total 2027 - 2029'!N11-'[9]Plana 2027 - 2029'!N11</f>
        <v>6279.5529498060132</v>
      </c>
      <c r="O11" s="56">
        <f>'[9]Total 2027 - 2029'!O11-'[9]Plana 2027 - 2029'!O11</f>
        <v>7074.4747081859787</v>
      </c>
      <c r="P11" s="56">
        <f>'[9]Total 2027 - 2029'!P11-'[9]Plana 2027 - 2029'!P11</f>
        <v>5395.3367491512872</v>
      </c>
      <c r="Q11" s="56">
        <f>'[9]Total 2027 - 2029'!Q11-'[9]Plana 2027 - 2029'!Q11</f>
        <v>7278.5004412726339</v>
      </c>
      <c r="R11" s="56">
        <f>'[9]Total 2027 - 2029'!R11-'[9]Plana 2027 - 2029'!R11</f>
        <v>9002.0263688952145</v>
      </c>
      <c r="S11" s="56">
        <f>'[9]Total 2027 - 2029'!S11-'[9]Plana 2027 - 2029'!S11</f>
        <v>8867.3906024523712</v>
      </c>
      <c r="T11" s="56">
        <f>'[9]Total 2027 - 2029'!T11-'[9]Plana 2027 - 2029'!T11</f>
        <v>8068.5756445850602</v>
      </c>
      <c r="U11" s="56">
        <f>'[9]Total 2027 - 2029'!U11-'[9]Plana 2027 - 2029'!U11</f>
        <v>8217.3467941720119</v>
      </c>
      <c r="V11" s="56">
        <f>'[9]Total 2027 - 2029'!V11-'[9]Plana 2027 - 2029'!V11</f>
        <v>8989.9164783874148</v>
      </c>
      <c r="W11" s="56">
        <f>'[9]Total 2027 - 2029'!W11-'[9]Plana 2027 - 2029'!W11</f>
        <v>8763.815114594152</v>
      </c>
      <c r="X11" s="56">
        <f>'[9]Total 2027 - 2029'!X11-'[9]Plana 2027 - 2029'!X11</f>
        <v>8189.9259124794153</v>
      </c>
      <c r="Y11" s="56">
        <f>'[9]Total 2027 - 2029'!Y11-'[9]Plana 2027 - 2029'!Y11</f>
        <v>7518.4649011394431</v>
      </c>
      <c r="Z11" s="56">
        <f>'[9]Total 2027 - 2029'!Z11-'[9]Plana 2027 - 2029'!Z11</f>
        <v>6373.3629543110692</v>
      </c>
      <c r="AA11" s="56">
        <f>'[9]Total 2027 - 2029'!AA11-'[9]Plana 2027 - 2029'!AA11</f>
        <v>4707.7994033750729</v>
      </c>
      <c r="AB11" s="57">
        <f t="shared" si="0"/>
        <v>845299.09452015453</v>
      </c>
      <c r="AC11" s="64"/>
    </row>
    <row r="12" spans="1:29" x14ac:dyDescent="0.25">
      <c r="A12" s="53">
        <v>46478</v>
      </c>
      <c r="B12" s="54" t="s">
        <v>16</v>
      </c>
      <c r="C12" s="55">
        <v>22</v>
      </c>
      <c r="D12" s="56">
        <f>'[9]Total 2027 - 2029'!D12-'[9]Plana 2027 - 2029'!D12</f>
        <v>3016.8147138660261</v>
      </c>
      <c r="E12" s="56">
        <f>'[9]Total 2027 - 2029'!E12-'[9]Plana 2027 - 2029'!E12</f>
        <v>2199.7650534051372</v>
      </c>
      <c r="F12" s="56">
        <f>'[9]Total 2027 - 2029'!F12-'[9]Plana 2027 - 2029'!F12</f>
        <v>1481.1298982897588</v>
      </c>
      <c r="G12" s="56">
        <f>'[9]Total 2027 - 2029'!G12-'[9]Plana 2027 - 2029'!G12</f>
        <v>918.76558016343733</v>
      </c>
      <c r="H12" s="56">
        <f>'[9]Total 2027 - 2029'!H12-'[9]Plana 2027 - 2029'!H12</f>
        <v>587.51828088087859</v>
      </c>
      <c r="I12" s="56">
        <f>'[9]Total 2027 - 2029'!I12-'[9]Plana 2027 - 2029'!I12</f>
        <v>0</v>
      </c>
      <c r="J12" s="56">
        <f>'[9]Total 2027 - 2029'!J12-'[9]Plana 2027 - 2029'!J12</f>
        <v>513.17514673335245</v>
      </c>
      <c r="K12" s="56">
        <f>'[9]Total 2027 - 2029'!K12-'[9]Plana 2027 - 2029'!K12</f>
        <v>1902.4569833544301</v>
      </c>
      <c r="L12" s="56">
        <f>'[9]Total 2027 - 2029'!L12-'[9]Plana 2027 - 2029'!L12</f>
        <v>2858.3253410803445</v>
      </c>
      <c r="M12" s="56">
        <f>'[9]Total 2027 - 2029'!M12-'[9]Plana 2027 - 2029'!M12</f>
        <v>3607.6615806083246</v>
      </c>
      <c r="N12" s="56">
        <f>'[9]Total 2027 - 2029'!N12-'[9]Plana 2027 - 2029'!N12</f>
        <v>4371.8822715247152</v>
      </c>
      <c r="O12" s="56">
        <f>'[9]Total 2027 - 2029'!O12-'[9]Plana 2027 - 2029'!O12</f>
        <v>5259.8282247450697</v>
      </c>
      <c r="P12" s="56">
        <f>'[9]Total 2027 - 2029'!P12-'[9]Plana 2027 - 2029'!P12</f>
        <v>4903.9863614111564</v>
      </c>
      <c r="Q12" s="56">
        <f>'[9]Total 2027 - 2029'!Q12-'[9]Plana 2027 - 2029'!Q12</f>
        <v>6047.0401714073269</v>
      </c>
      <c r="R12" s="56">
        <f>'[9]Total 2027 - 2029'!R12-'[9]Plana 2027 - 2029'!R12</f>
        <v>6944.7905631950234</v>
      </c>
      <c r="S12" s="56">
        <f>'[9]Total 2027 - 2029'!S12-'[9]Plana 2027 - 2029'!S12</f>
        <v>6289.9314526076269</v>
      </c>
      <c r="T12" s="56">
        <f>'[9]Total 2027 - 2029'!T12-'[9]Plana 2027 - 2029'!T12</f>
        <v>4911.5842960051596</v>
      </c>
      <c r="U12" s="56">
        <f>'[9]Total 2027 - 2029'!U12-'[9]Plana 2027 - 2029'!U12</f>
        <v>5522.1197057868012</v>
      </c>
      <c r="V12" s="56">
        <f>'[9]Total 2027 - 2029'!V12-'[9]Plana 2027 - 2029'!V12</f>
        <v>7816.9802480287399</v>
      </c>
      <c r="W12" s="56">
        <f>'[9]Total 2027 - 2029'!W12-'[9]Plana 2027 - 2029'!W12</f>
        <v>8275.9156277796646</v>
      </c>
      <c r="X12" s="56">
        <f>'[9]Total 2027 - 2029'!X12-'[9]Plana 2027 - 2029'!X12</f>
        <v>7889.4839182568176</v>
      </c>
      <c r="Y12" s="56">
        <f>'[9]Total 2027 - 2029'!Y12-'[9]Plana 2027 - 2029'!Y12</f>
        <v>7214.5955602165159</v>
      </c>
      <c r="Z12" s="56">
        <f>'[9]Total 2027 - 2029'!Z12-'[9]Plana 2027 - 2029'!Z12</f>
        <v>5897.928974344155</v>
      </c>
      <c r="AA12" s="56">
        <f>'[9]Total 2027 - 2029'!AA12-'[9]Plana 2027 - 2029'!AA12</f>
        <v>4491.4852113632442</v>
      </c>
      <c r="AB12" s="57">
        <f t="shared" si="0"/>
        <v>2264309.6336311814</v>
      </c>
      <c r="AC12" s="62">
        <f>SUM(AB12:AB14)</f>
        <v>3206706.6112795277</v>
      </c>
    </row>
    <row r="13" spans="1:29" x14ac:dyDescent="0.25">
      <c r="A13" s="58"/>
      <c r="B13" s="59" t="s">
        <v>17</v>
      </c>
      <c r="C13" s="55">
        <v>4</v>
      </c>
      <c r="D13" s="56">
        <f>'[9]Total 2027 - 2029'!D13-'[9]Plana 2027 - 2029'!D13</f>
        <v>2321.253524105121</v>
      </c>
      <c r="E13" s="56">
        <f>'[9]Total 2027 - 2029'!E13-'[9]Plana 2027 - 2029'!E13</f>
        <v>1524.1509657510014</v>
      </c>
      <c r="F13" s="56">
        <f>'[9]Total 2027 - 2029'!F13-'[9]Plana 2027 - 2029'!F13</f>
        <v>832.33952617197792</v>
      </c>
      <c r="G13" s="56">
        <f>'[9]Total 2027 - 2029'!G13-'[9]Plana 2027 - 2029'!G13</f>
        <v>345.98920435642503</v>
      </c>
      <c r="H13" s="56">
        <f>'[9]Total 2027 - 2029'!H13-'[9]Plana 2027 - 2029'!H13</f>
        <v>126.59262520815173</v>
      </c>
      <c r="I13" s="56">
        <f>'[9]Total 2027 - 2029'!I13-'[9]Plana 2027 - 2029'!I13</f>
        <v>0</v>
      </c>
      <c r="J13" s="56">
        <f>'[9]Total 2027 - 2029'!J13-'[9]Plana 2027 - 2029'!J13</f>
        <v>294.02755387884463</v>
      </c>
      <c r="K13" s="56">
        <f>'[9]Total 2027 - 2029'!K13-'[9]Plana 2027 - 2029'!K13</f>
        <v>1950.9296024600826</v>
      </c>
      <c r="L13" s="56">
        <f>'[9]Total 2027 - 2029'!L13-'[9]Plana 2027 - 2029'!L13</f>
        <v>3300.7167919614531</v>
      </c>
      <c r="M13" s="56">
        <f>'[9]Total 2027 - 2029'!M13-'[9]Plana 2027 - 2029'!M13</f>
        <v>4165.9262825980331</v>
      </c>
      <c r="N13" s="56">
        <f>'[9]Total 2027 - 2029'!N13-'[9]Plana 2027 - 2029'!N13</f>
        <v>5392.6038537843651</v>
      </c>
      <c r="O13" s="56">
        <f>'[9]Total 2027 - 2029'!O13-'[9]Plana 2027 - 2029'!O13</f>
        <v>6403.8105601272273</v>
      </c>
      <c r="P13" s="56">
        <f>'[9]Total 2027 - 2029'!P13-'[9]Plana 2027 - 2029'!P13</f>
        <v>5527.0468163029091</v>
      </c>
      <c r="Q13" s="56">
        <f>'[9]Total 2027 - 2029'!Q13-'[9]Plana 2027 - 2029'!Q13</f>
        <v>7624.2451601678858</v>
      </c>
      <c r="R13" s="56">
        <f>'[9]Total 2027 - 2029'!R13-'[9]Plana 2027 - 2029'!R13</f>
        <v>9298.1629040238931</v>
      </c>
      <c r="S13" s="56">
        <f>'[9]Total 2027 - 2029'!S13-'[9]Plana 2027 - 2029'!S13</f>
        <v>8769.8628939567152</v>
      </c>
      <c r="T13" s="56">
        <f>'[9]Total 2027 - 2029'!T13-'[9]Plana 2027 - 2029'!T13</f>
        <v>7097.8277611184512</v>
      </c>
      <c r="U13" s="56">
        <f>'[9]Total 2027 - 2029'!U13-'[9]Plana 2027 - 2029'!U13</f>
        <v>7013.1188782616755</v>
      </c>
      <c r="V13" s="56">
        <f>'[9]Total 2027 - 2029'!V13-'[9]Plana 2027 - 2029'!V13</f>
        <v>8677.5483276259747</v>
      </c>
      <c r="W13" s="56">
        <f>'[9]Total 2027 - 2029'!W13-'[9]Plana 2027 - 2029'!W13</f>
        <v>9056.0936081017589</v>
      </c>
      <c r="X13" s="56">
        <f>'[9]Total 2027 - 2029'!X13-'[9]Plana 2027 - 2029'!X13</f>
        <v>8897.0237370723644</v>
      </c>
      <c r="Y13" s="56">
        <f>'[9]Total 2027 - 2029'!Y13-'[9]Plana 2027 - 2029'!Y13</f>
        <v>8243.8001430960448</v>
      </c>
      <c r="Z13" s="56">
        <f>'[9]Total 2027 - 2029'!Z13-'[9]Plana 2027 - 2029'!Z13</f>
        <v>6630.7889009586415</v>
      </c>
      <c r="AA13" s="56">
        <f>'[9]Total 2027 - 2029'!AA13-'[9]Plana 2027 - 2029'!AA13</f>
        <v>4891.2059057436327</v>
      </c>
      <c r="AB13" s="57">
        <f t="shared" si="0"/>
        <v>473540.26210733043</v>
      </c>
      <c r="AC13" s="63"/>
    </row>
    <row r="14" spans="1:29" x14ac:dyDescent="0.25">
      <c r="A14" s="58"/>
      <c r="B14" s="59" t="s">
        <v>18</v>
      </c>
      <c r="C14" s="55">
        <v>4</v>
      </c>
      <c r="D14" s="56">
        <f>'[9]Total 2027 - 2029'!D14-'[9]Plana 2027 - 2029'!D14</f>
        <v>2692.7301192432478</v>
      </c>
      <c r="E14" s="56">
        <f>'[9]Total 2027 - 2029'!E14-'[9]Plana 2027 - 2029'!E14</f>
        <v>1761.9729283891102</v>
      </c>
      <c r="F14" s="56">
        <f>'[9]Total 2027 - 2029'!F14-'[9]Plana 2027 - 2029'!F14</f>
        <v>990.78765522475078</v>
      </c>
      <c r="G14" s="56">
        <f>'[9]Total 2027 - 2029'!G14-'[9]Plana 2027 - 2029'!G14</f>
        <v>404.9463107391839</v>
      </c>
      <c r="H14" s="56">
        <f>'[9]Total 2027 - 2029'!H14-'[9]Plana 2027 - 2029'!H14</f>
        <v>171.97700701005306</v>
      </c>
      <c r="I14" s="56">
        <f>'[9]Total 2027 - 2029'!I14-'[9]Plana 2027 - 2029'!I14</f>
        <v>0</v>
      </c>
      <c r="J14" s="56">
        <f>'[9]Total 2027 - 2029'!J14-'[9]Plana 2027 - 2029'!J14</f>
        <v>386.82779407622547</v>
      </c>
      <c r="K14" s="56">
        <f>'[9]Total 2027 - 2029'!K14-'[9]Plana 2027 - 2029'!K14</f>
        <v>2294.3240342680256</v>
      </c>
      <c r="L14" s="56">
        <f>'[9]Total 2027 - 2029'!L14-'[9]Plana 2027 - 2029'!L14</f>
        <v>4022.0903345090901</v>
      </c>
      <c r="M14" s="56">
        <f>'[9]Total 2027 - 2029'!M14-'[9]Plana 2027 - 2029'!M14</f>
        <v>5169.9498707218463</v>
      </c>
      <c r="N14" s="56">
        <f>'[9]Total 2027 - 2029'!N14-'[9]Plana 2027 - 2029'!N14</f>
        <v>6363.9666763504083</v>
      </c>
      <c r="O14" s="56">
        <f>'[9]Total 2027 - 2029'!O14-'[9]Plana 2027 - 2029'!O14</f>
        <v>7334.5842482452699</v>
      </c>
      <c r="P14" s="56">
        <f>'[9]Total 2027 - 2029'!P14-'[9]Plana 2027 - 2029'!P14</f>
        <v>5661.6369516673349</v>
      </c>
      <c r="Q14" s="56">
        <f>'[9]Total 2027 - 2029'!Q14-'[9]Plana 2027 - 2029'!Q14</f>
        <v>7263.247635911508</v>
      </c>
      <c r="R14" s="56">
        <f>'[9]Total 2027 - 2029'!R14-'[9]Plana 2027 - 2029'!R14</f>
        <v>8685.316511453706</v>
      </c>
      <c r="S14" s="56">
        <f>'[9]Total 2027 - 2029'!S14-'[9]Plana 2027 - 2029'!S14</f>
        <v>8163.2040372286447</v>
      </c>
      <c r="T14" s="56">
        <f>'[9]Total 2027 - 2029'!T14-'[9]Plana 2027 - 2029'!T14</f>
        <v>6737.6235995753723</v>
      </c>
      <c r="U14" s="56">
        <f>'[9]Total 2027 - 2029'!U14-'[9]Plana 2027 - 2029'!U14</f>
        <v>6973.8758445967851</v>
      </c>
      <c r="V14" s="56">
        <f>'[9]Total 2027 - 2029'!V14-'[9]Plana 2027 - 2029'!V14</f>
        <v>8651.2021077502595</v>
      </c>
      <c r="W14" s="56">
        <f>'[9]Total 2027 - 2029'!W14-'[9]Plana 2027 - 2029'!W14</f>
        <v>8561.7791468711603</v>
      </c>
      <c r="X14" s="56">
        <f>'[9]Total 2027 - 2029'!X14-'[9]Plana 2027 - 2029'!X14</f>
        <v>7928.4673066852683</v>
      </c>
      <c r="Y14" s="56">
        <f>'[9]Total 2027 - 2029'!Y14-'[9]Plana 2027 - 2029'!Y14</f>
        <v>7142.5458916400039</v>
      </c>
      <c r="Z14" s="56">
        <f>'[9]Total 2027 - 2029'!Z14-'[9]Plana 2027 - 2029'!Z14</f>
        <v>5726.5131956438472</v>
      </c>
      <c r="AA14" s="56">
        <f>'[9]Total 2027 - 2029'!AA14-'[9]Plana 2027 - 2029'!AA14</f>
        <v>4124.6096774527996</v>
      </c>
      <c r="AB14" s="57">
        <f t="shared" si="0"/>
        <v>468856.71554101561</v>
      </c>
      <c r="AC14" s="64"/>
    </row>
    <row r="15" spans="1:29" x14ac:dyDescent="0.25">
      <c r="A15" s="53">
        <v>46508</v>
      </c>
      <c r="B15" s="54" t="s">
        <v>16</v>
      </c>
      <c r="C15" s="55">
        <v>19</v>
      </c>
      <c r="D15" s="56">
        <f>'[9]Total 2027 - 2029'!D15-'[9]Plana 2027 - 2029'!D15</f>
        <v>3336.7660405565584</v>
      </c>
      <c r="E15" s="56">
        <f>'[9]Total 2027 - 2029'!E15-'[9]Plana 2027 - 2029'!E15</f>
        <v>2262.3992798164854</v>
      </c>
      <c r="F15" s="56">
        <f>'[9]Total 2027 - 2029'!F15-'[9]Plana 2027 - 2029'!F15</f>
        <v>1588.7617093475328</v>
      </c>
      <c r="G15" s="56">
        <f>'[9]Total 2027 - 2029'!G15-'[9]Plana 2027 - 2029'!G15</f>
        <v>1176.1672078227439</v>
      </c>
      <c r="H15" s="56">
        <f>'[9]Total 2027 - 2029'!H15-'[9]Plana 2027 - 2029'!H15</f>
        <v>764.76697673701892</v>
      </c>
      <c r="I15" s="56">
        <f>'[9]Total 2027 - 2029'!I15-'[9]Plana 2027 - 2029'!I15</f>
        <v>0</v>
      </c>
      <c r="J15" s="56">
        <f>'[9]Total 2027 - 2029'!J15-'[9]Plana 2027 - 2029'!J15</f>
        <v>667.69603714063305</v>
      </c>
      <c r="K15" s="56">
        <f>'[9]Total 2027 - 2029'!K15-'[9]Plana 2027 - 2029'!K15</f>
        <v>2299.7642726273607</v>
      </c>
      <c r="L15" s="56">
        <f>'[9]Total 2027 - 2029'!L15-'[9]Plana 2027 - 2029'!L15</f>
        <v>4053.1902445661963</v>
      </c>
      <c r="M15" s="56">
        <f>'[9]Total 2027 - 2029'!M15-'[9]Plana 2027 - 2029'!M15</f>
        <v>5527.2529429269125</v>
      </c>
      <c r="N15" s="56">
        <f>'[9]Total 2027 - 2029'!N15-'[9]Plana 2027 - 2029'!N15</f>
        <v>6989.9244714008419</v>
      </c>
      <c r="O15" s="56">
        <f>'[9]Total 2027 - 2029'!O15-'[9]Plana 2027 - 2029'!O15</f>
        <v>7184.7849622303002</v>
      </c>
      <c r="P15" s="56">
        <f>'[9]Total 2027 - 2029'!P15-'[9]Plana 2027 - 2029'!P15</f>
        <v>6227.4062687367914</v>
      </c>
      <c r="Q15" s="56">
        <f>'[9]Total 2027 - 2029'!Q15-'[9]Plana 2027 - 2029'!Q15</f>
        <v>7036.5699674925308</v>
      </c>
      <c r="R15" s="56">
        <f>'[9]Total 2027 - 2029'!R15-'[9]Plana 2027 - 2029'!R15</f>
        <v>7618.4394210487881</v>
      </c>
      <c r="S15" s="56">
        <f>'[9]Total 2027 - 2029'!S15-'[9]Plana 2027 - 2029'!S15</f>
        <v>7174.4768434051039</v>
      </c>
      <c r="T15" s="56">
        <f>'[9]Total 2027 - 2029'!T15-'[9]Plana 2027 - 2029'!T15</f>
        <v>6485.8128870600594</v>
      </c>
      <c r="U15" s="56">
        <f>'[9]Total 2027 - 2029'!U15-'[9]Plana 2027 - 2029'!U15</f>
        <v>6317.1896200762203</v>
      </c>
      <c r="V15" s="56">
        <f>'[9]Total 2027 - 2029'!V15-'[9]Plana 2027 - 2029'!V15</f>
        <v>7901.9824453524416</v>
      </c>
      <c r="W15" s="56">
        <f>'[9]Total 2027 - 2029'!W15-'[9]Plana 2027 - 2029'!W15</f>
        <v>8519.1695947701119</v>
      </c>
      <c r="X15" s="56">
        <f>'[9]Total 2027 - 2029'!X15-'[9]Plana 2027 - 2029'!X15</f>
        <v>8188.4827310503024</v>
      </c>
      <c r="Y15" s="56">
        <f>'[9]Total 2027 - 2029'!Y15-'[9]Plana 2027 - 2029'!Y15</f>
        <v>7439.3803339390979</v>
      </c>
      <c r="Z15" s="56">
        <f>'[9]Total 2027 - 2029'!Z15-'[9]Plana 2027 - 2029'!Z15</f>
        <v>5991.7574497825772</v>
      </c>
      <c r="AA15" s="56">
        <f>'[9]Total 2027 - 2029'!AA15-'[9]Plana 2027 - 2029'!AA15</f>
        <v>3517.6194173430849</v>
      </c>
      <c r="AB15" s="57">
        <f t="shared" si="0"/>
        <v>2247125.4613793646</v>
      </c>
      <c r="AC15" s="62">
        <f>SUM(AB15:AB17)</f>
        <v>3550788.6764545692</v>
      </c>
    </row>
    <row r="16" spans="1:29" x14ac:dyDescent="0.25">
      <c r="A16" s="58"/>
      <c r="B16" s="59" t="s">
        <v>17</v>
      </c>
      <c r="C16" s="55">
        <v>5</v>
      </c>
      <c r="D16" s="56">
        <f>'[9]Total 2027 - 2029'!D16-'[9]Plana 2027 - 2029'!D16</f>
        <v>2083.2459068132466</v>
      </c>
      <c r="E16" s="56">
        <f>'[9]Total 2027 - 2029'!E16-'[9]Plana 2027 - 2029'!E16</f>
        <v>1051.3094451982397</v>
      </c>
      <c r="F16" s="56">
        <f>'[9]Total 2027 - 2029'!F16-'[9]Plana 2027 - 2029'!F16</f>
        <v>424.81474889222773</v>
      </c>
      <c r="G16" s="56">
        <f>'[9]Total 2027 - 2029'!G16-'[9]Plana 2027 - 2029'!G16</f>
        <v>221.61235595680046</v>
      </c>
      <c r="H16" s="56">
        <f>'[9]Total 2027 - 2029'!H16-'[9]Plana 2027 - 2029'!H16</f>
        <v>28.030887363531292</v>
      </c>
      <c r="I16" s="56">
        <f>'[9]Total 2027 - 2029'!I16-'[9]Plana 2027 - 2029'!I16</f>
        <v>0</v>
      </c>
      <c r="J16" s="56">
        <f>'[9]Total 2027 - 2029'!J16-'[9]Plana 2027 - 2029'!J16</f>
        <v>477.93612472187124</v>
      </c>
      <c r="K16" s="56">
        <f>'[9]Total 2027 - 2029'!K16-'[9]Plana 2027 - 2029'!K16</f>
        <v>2176.3695526567517</v>
      </c>
      <c r="L16" s="56">
        <f>'[9]Total 2027 - 2029'!L16-'[9]Plana 2027 - 2029'!L16</f>
        <v>4153.818463131518</v>
      </c>
      <c r="M16" s="56">
        <f>'[9]Total 2027 - 2029'!M16-'[9]Plana 2027 - 2029'!M16</f>
        <v>5260.082161428536</v>
      </c>
      <c r="N16" s="56">
        <f>'[9]Total 2027 - 2029'!N16-'[9]Plana 2027 - 2029'!N16</f>
        <v>6179.2603754404863</v>
      </c>
      <c r="O16" s="56">
        <f>'[9]Total 2027 - 2029'!O16-'[9]Plana 2027 - 2029'!O16</f>
        <v>6157.3968354324788</v>
      </c>
      <c r="P16" s="56">
        <f>'[9]Total 2027 - 2029'!P16-'[9]Plana 2027 - 2029'!P16</f>
        <v>4197.234752798302</v>
      </c>
      <c r="Q16" s="56">
        <f>'[9]Total 2027 - 2029'!Q16-'[9]Plana 2027 - 2029'!Q16</f>
        <v>5209.2316682834116</v>
      </c>
      <c r="R16" s="56">
        <f>'[9]Total 2027 - 2029'!R16-'[9]Plana 2027 - 2029'!R16</f>
        <v>6406.7972234752979</v>
      </c>
      <c r="S16" s="56">
        <f>'[9]Total 2027 - 2029'!S16-'[9]Plana 2027 - 2029'!S16</f>
        <v>6195.3740005569398</v>
      </c>
      <c r="T16" s="56">
        <f>'[9]Total 2027 - 2029'!T16-'[9]Plana 2027 - 2029'!T16</f>
        <v>5785.7723112704316</v>
      </c>
      <c r="U16" s="56">
        <f>'[9]Total 2027 - 2029'!U16-'[9]Plana 2027 - 2029'!U16</f>
        <v>5608.1740687763067</v>
      </c>
      <c r="V16" s="56">
        <f>'[9]Total 2027 - 2029'!V16-'[9]Plana 2027 - 2029'!V16</f>
        <v>6351.9854777179662</v>
      </c>
      <c r="W16" s="56">
        <f>'[9]Total 2027 - 2029'!W16-'[9]Plana 2027 - 2029'!W16</f>
        <v>6491.7616498770931</v>
      </c>
      <c r="X16" s="56">
        <f>'[9]Total 2027 - 2029'!X16-'[9]Plana 2027 - 2029'!X16</f>
        <v>6088.8769641208673</v>
      </c>
      <c r="Y16" s="56">
        <f>'[9]Total 2027 - 2029'!Y16-'[9]Plana 2027 - 2029'!Y16</f>
        <v>5124.3504263767154</v>
      </c>
      <c r="Z16" s="56">
        <f>'[9]Total 2027 - 2029'!Z16-'[9]Plana 2027 - 2029'!Z16</f>
        <v>3483.6061273313662</v>
      </c>
      <c r="AA16" s="56">
        <f>'[9]Total 2027 - 2029'!AA16-'[9]Plana 2027 - 2029'!AA16</f>
        <v>1054.8161182123658</v>
      </c>
      <c r="AB16" s="57">
        <f t="shared" si="0"/>
        <v>451059.28822916379</v>
      </c>
      <c r="AC16" s="63"/>
    </row>
    <row r="17" spans="1:29" x14ac:dyDescent="0.25">
      <c r="A17" s="58"/>
      <c r="B17" s="59" t="s">
        <v>18</v>
      </c>
      <c r="C17" s="55">
        <v>7</v>
      </c>
      <c r="D17" s="56">
        <f>'[9]Total 2027 - 2029'!D17-'[9]Plana 2027 - 2029'!D17</f>
        <v>1599.0560759119853</v>
      </c>
      <c r="E17" s="56">
        <f>'[9]Total 2027 - 2029'!E17-'[9]Plana 2027 - 2029'!E17</f>
        <v>763.26976348360222</v>
      </c>
      <c r="F17" s="56">
        <f>'[9]Total 2027 - 2029'!F17-'[9]Plana 2027 - 2029'!F17</f>
        <v>363.80468179935815</v>
      </c>
      <c r="G17" s="56">
        <f>'[9]Total 2027 - 2029'!G17-'[9]Plana 2027 - 2029'!G17</f>
        <v>390.18512472959083</v>
      </c>
      <c r="H17" s="56">
        <f>'[9]Total 2027 - 2029'!H17-'[9]Plana 2027 - 2029'!H17</f>
        <v>0</v>
      </c>
      <c r="I17" s="56">
        <f>'[9]Total 2027 - 2029'!I17-'[9]Plana 2027 - 2029'!I17</f>
        <v>125.02441435265609</v>
      </c>
      <c r="J17" s="56">
        <f>'[9]Total 2027 - 2029'!J17-'[9]Plana 2027 - 2029'!J17</f>
        <v>917.33795209596974</v>
      </c>
      <c r="K17" s="56">
        <f>'[9]Total 2027 - 2029'!K17-'[9]Plana 2027 - 2029'!K17</f>
        <v>2904.6898783184934</v>
      </c>
      <c r="L17" s="56">
        <f>'[9]Total 2027 - 2029'!L17-'[9]Plana 2027 - 2029'!L17</f>
        <v>5057.0788671455448</v>
      </c>
      <c r="M17" s="56">
        <f>'[9]Total 2027 - 2029'!M17-'[9]Plana 2027 - 2029'!M17</f>
        <v>6449.6439513773748</v>
      </c>
      <c r="N17" s="56">
        <f>'[9]Total 2027 - 2029'!N17-'[9]Plana 2027 - 2029'!N17</f>
        <v>7731.5519377587643</v>
      </c>
      <c r="O17" s="56">
        <f>'[9]Total 2027 - 2029'!O17-'[9]Plana 2027 - 2029'!O17</f>
        <v>7870.3110949290513</v>
      </c>
      <c r="P17" s="56">
        <f>'[9]Total 2027 - 2029'!P17-'[9]Plana 2027 - 2029'!P17</f>
        <v>6364.6771366238427</v>
      </c>
      <c r="Q17" s="56">
        <f>'[9]Total 2027 - 2029'!Q17-'[9]Plana 2027 - 2029'!Q17</f>
        <v>7930.6988995746924</v>
      </c>
      <c r="R17" s="56">
        <f>'[9]Total 2027 - 2029'!R17-'[9]Plana 2027 - 2029'!R17</f>
        <v>9527.6621502681719</v>
      </c>
      <c r="S17" s="56">
        <f>'[9]Total 2027 - 2029'!S17-'[9]Plana 2027 - 2029'!S17</f>
        <v>9274.3213244716917</v>
      </c>
      <c r="T17" s="56">
        <f>'[9]Total 2027 - 2029'!T17-'[9]Plana 2027 - 2029'!T17</f>
        <v>8195.7458866364304</v>
      </c>
      <c r="U17" s="56">
        <f>'[9]Total 2027 - 2029'!U17-'[9]Plana 2027 - 2029'!U17</f>
        <v>7814.8681889158051</v>
      </c>
      <c r="V17" s="56">
        <f>'[9]Total 2027 - 2029'!V17-'[9]Plana 2027 - 2029'!V17</f>
        <v>8548.982090423151</v>
      </c>
      <c r="W17" s="56">
        <f>'[9]Total 2027 - 2029'!W17-'[9]Plana 2027 - 2029'!W17</f>
        <v>8306.0101944070757</v>
      </c>
      <c r="X17" s="56">
        <f>'[9]Total 2027 - 2029'!X17-'[9]Plana 2027 - 2029'!X17</f>
        <v>7545.9064493675342</v>
      </c>
      <c r="Y17" s="56">
        <f>'[9]Total 2027 - 2029'!Y17-'[9]Plana 2027 - 2029'!Y17</f>
        <v>6606.6847039270942</v>
      </c>
      <c r="Z17" s="56">
        <f>'[9]Total 2027 - 2029'!Z17-'[9]Plana 2027 - 2029'!Z17</f>
        <v>4944.417957105361</v>
      </c>
      <c r="AA17" s="56">
        <f>'[9]Total 2027 - 2029'!AA17-'[9]Plana 2027 - 2029'!AA17</f>
        <v>2568.6322543825863</v>
      </c>
      <c r="AB17" s="57">
        <f t="shared" si="0"/>
        <v>852603.92684604076</v>
      </c>
      <c r="AC17" s="64"/>
    </row>
    <row r="18" spans="1:29" x14ac:dyDescent="0.25">
      <c r="A18" s="53">
        <v>46539</v>
      </c>
      <c r="B18" s="54" t="s">
        <v>16</v>
      </c>
      <c r="C18" s="55">
        <v>21</v>
      </c>
      <c r="D18" s="56">
        <f>'[9]Total 2027 - 2029'!D18-'[9]Plana 2027 - 2029'!D18</f>
        <v>2072.7760098007275</v>
      </c>
      <c r="E18" s="56">
        <f>'[9]Total 2027 - 2029'!E18-'[9]Plana 2027 - 2029'!E18</f>
        <v>1570.0879356020323</v>
      </c>
      <c r="F18" s="56">
        <f>'[9]Total 2027 - 2029'!F18-'[9]Plana 2027 - 2029'!F18</f>
        <v>996.27672045017607</v>
      </c>
      <c r="G18" s="56">
        <f>'[9]Total 2027 - 2029'!G18-'[9]Plana 2027 - 2029'!G18</f>
        <v>586.62714062388295</v>
      </c>
      <c r="H18" s="56">
        <f>'[9]Total 2027 - 2029'!H18-'[9]Plana 2027 - 2029'!H18</f>
        <v>484.42542356162448</v>
      </c>
      <c r="I18" s="56">
        <f>'[9]Total 2027 - 2029'!I18-'[9]Plana 2027 - 2029'!I18</f>
        <v>0</v>
      </c>
      <c r="J18" s="56">
        <f>'[9]Total 2027 - 2029'!J18-'[9]Plana 2027 - 2029'!J18</f>
        <v>533.80798439114551</v>
      </c>
      <c r="K18" s="56">
        <f>'[9]Total 2027 - 2029'!K18-'[9]Plana 2027 - 2029'!K18</f>
        <v>1796.8652950125088</v>
      </c>
      <c r="L18" s="56">
        <f>'[9]Total 2027 - 2029'!L18-'[9]Plana 2027 - 2029'!L18</f>
        <v>2763.5577771258286</v>
      </c>
      <c r="M18" s="56">
        <f>'[9]Total 2027 - 2029'!M18-'[9]Plana 2027 - 2029'!M18</f>
        <v>3685.3279829499752</v>
      </c>
      <c r="N18" s="56">
        <f>'[9]Total 2027 - 2029'!N18-'[9]Plana 2027 - 2029'!N18</f>
        <v>4285.2342358024307</v>
      </c>
      <c r="O18" s="56">
        <f>'[9]Total 2027 - 2029'!O18-'[9]Plana 2027 - 2029'!O18</f>
        <v>5046.3645725156221</v>
      </c>
      <c r="P18" s="56">
        <f>'[9]Total 2027 - 2029'!P18-'[9]Plana 2027 - 2029'!P18</f>
        <v>4710.2512060896916</v>
      </c>
      <c r="Q18" s="56">
        <f>'[9]Total 2027 - 2029'!Q18-'[9]Plana 2027 - 2029'!Q18</f>
        <v>5712.1150190202698</v>
      </c>
      <c r="R18" s="56">
        <f>'[9]Total 2027 - 2029'!R18-'[9]Plana 2027 - 2029'!R18</f>
        <v>6307.1352873514988</v>
      </c>
      <c r="S18" s="56">
        <f>'[9]Total 2027 - 2029'!S18-'[9]Plana 2027 - 2029'!S18</f>
        <v>5486.0554263030208</v>
      </c>
      <c r="T18" s="56">
        <f>'[9]Total 2027 - 2029'!T18-'[9]Plana 2027 - 2029'!T18</f>
        <v>4904.8849778000276</v>
      </c>
      <c r="U18" s="56">
        <f>'[9]Total 2027 - 2029'!U18-'[9]Plana 2027 - 2029'!U18</f>
        <v>5265.2453978234389</v>
      </c>
      <c r="V18" s="56">
        <f>'[9]Total 2027 - 2029'!V18-'[9]Plana 2027 - 2029'!V18</f>
        <v>6120.5801706128477</v>
      </c>
      <c r="W18" s="56">
        <f>'[9]Total 2027 - 2029'!W18-'[9]Plana 2027 - 2029'!W18</f>
        <v>6411.9400003446117</v>
      </c>
      <c r="X18" s="56">
        <f>'[9]Total 2027 - 2029'!X18-'[9]Plana 2027 - 2029'!X18</f>
        <v>6013.8899922778855</v>
      </c>
      <c r="Y18" s="56">
        <f>'[9]Total 2027 - 2029'!Y18-'[9]Plana 2027 - 2029'!Y18</f>
        <v>6017.2294178274769</v>
      </c>
      <c r="Z18" s="56">
        <f>'[9]Total 2027 - 2029'!Z18-'[9]Plana 2027 - 2029'!Z18</f>
        <v>5109.7485514369127</v>
      </c>
      <c r="AA18" s="56">
        <f>'[9]Total 2027 - 2029'!AA18-'[9]Plana 2027 - 2029'!AA18</f>
        <v>4194.2723161475533</v>
      </c>
      <c r="AB18" s="57">
        <f t="shared" si="0"/>
        <v>1891568.6756582949</v>
      </c>
      <c r="AC18" s="62">
        <f>SUM(AB18:AB20)</f>
        <v>2664784.9301970578</v>
      </c>
    </row>
    <row r="19" spans="1:29" x14ac:dyDescent="0.25">
      <c r="A19" s="58"/>
      <c r="B19" s="59" t="s">
        <v>17</v>
      </c>
      <c r="C19" s="55">
        <v>4</v>
      </c>
      <c r="D19" s="56">
        <f>'[9]Total 2027 - 2029'!D19-'[9]Plana 2027 - 2029'!D19</f>
        <v>1708.3240022811951</v>
      </c>
      <c r="E19" s="56">
        <f>'[9]Total 2027 - 2029'!E19-'[9]Plana 2027 - 2029'!E19</f>
        <v>1082.1173441797037</v>
      </c>
      <c r="F19" s="56">
        <f>'[9]Total 2027 - 2029'!F19-'[9]Plana 2027 - 2029'!F19</f>
        <v>475.78097223780424</v>
      </c>
      <c r="G19" s="56">
        <f>'[9]Total 2027 - 2029'!G19-'[9]Plana 2027 - 2029'!G19</f>
        <v>73.00666689913669</v>
      </c>
      <c r="H19" s="56">
        <f>'[9]Total 2027 - 2029'!H19-'[9]Plana 2027 - 2029'!H19</f>
        <v>56.312465280027027</v>
      </c>
      <c r="I19" s="56">
        <f>'[9]Total 2027 - 2029'!I19-'[9]Plana 2027 - 2029'!I19</f>
        <v>0</v>
      </c>
      <c r="J19" s="56">
        <f>'[9]Total 2027 - 2029'!J19-'[9]Plana 2027 - 2029'!J19</f>
        <v>530.24755841824299</v>
      </c>
      <c r="K19" s="56">
        <f>'[9]Total 2027 - 2029'!K19-'[9]Plana 2027 - 2029'!K19</f>
        <v>2150.4588265062994</v>
      </c>
      <c r="L19" s="56">
        <f>'[9]Total 2027 - 2029'!L19-'[9]Plana 2027 - 2029'!L19</f>
        <v>3348.8932498050453</v>
      </c>
      <c r="M19" s="56">
        <f>'[9]Total 2027 - 2029'!M19-'[9]Plana 2027 - 2029'!M19</f>
        <v>4003.1776021536989</v>
      </c>
      <c r="N19" s="56">
        <f>'[9]Total 2027 - 2029'!N19-'[9]Plana 2027 - 2029'!N19</f>
        <v>4968.8577480567747</v>
      </c>
      <c r="O19" s="56">
        <f>'[9]Total 2027 - 2029'!O19-'[9]Plana 2027 - 2029'!O19</f>
        <v>5549.0025869936489</v>
      </c>
      <c r="P19" s="56">
        <f>'[9]Total 2027 - 2029'!P19-'[9]Plana 2027 - 2029'!P19</f>
        <v>4255.8376276999443</v>
      </c>
      <c r="Q19" s="56">
        <f>'[9]Total 2027 - 2029'!Q19-'[9]Plana 2027 - 2029'!Q19</f>
        <v>5372.2184692360988</v>
      </c>
      <c r="R19" s="56">
        <f>'[9]Total 2027 - 2029'!R19-'[9]Plana 2027 - 2029'!R19</f>
        <v>6629.2726901339556</v>
      </c>
      <c r="S19" s="56">
        <f>'[9]Total 2027 - 2029'!S19-'[9]Plana 2027 - 2029'!S19</f>
        <v>6151.3597952811997</v>
      </c>
      <c r="T19" s="56">
        <f>'[9]Total 2027 - 2029'!T19-'[9]Plana 2027 - 2029'!T19</f>
        <v>5662.8463386964268</v>
      </c>
      <c r="U19" s="56">
        <f>'[9]Total 2027 - 2029'!U19-'[9]Plana 2027 - 2029'!U19</f>
        <v>5568.0170535737016</v>
      </c>
      <c r="V19" s="56">
        <f>'[9]Total 2027 - 2029'!V19-'[9]Plana 2027 - 2029'!V19</f>
        <v>5749.8292379610302</v>
      </c>
      <c r="W19" s="56">
        <f>'[9]Total 2027 - 2029'!W19-'[9]Plana 2027 - 2029'!W19</f>
        <v>5857.7773691611528</v>
      </c>
      <c r="X19" s="56">
        <f>'[9]Total 2027 - 2029'!X19-'[9]Plana 2027 - 2029'!X19</f>
        <v>5260.9933959931441</v>
      </c>
      <c r="Y19" s="56">
        <f>'[9]Total 2027 - 2029'!Y19-'[9]Plana 2027 - 2029'!Y19</f>
        <v>5067.8675370590154</v>
      </c>
      <c r="Z19" s="56">
        <f>'[9]Total 2027 - 2029'!Z19-'[9]Plana 2027 - 2029'!Z19</f>
        <v>3935.0978970077467</v>
      </c>
      <c r="AA19" s="56">
        <f>'[9]Total 2027 - 2029'!AA19-'[9]Plana 2027 - 2029'!AA19</f>
        <v>3086.4790976503336</v>
      </c>
      <c r="AB19" s="57">
        <f t="shared" si="0"/>
        <v>346175.1021290613</v>
      </c>
      <c r="AC19" s="63"/>
    </row>
    <row r="20" spans="1:29" x14ac:dyDescent="0.25">
      <c r="A20" s="58"/>
      <c r="B20" s="59" t="s">
        <v>18</v>
      </c>
      <c r="C20" s="55">
        <v>5</v>
      </c>
      <c r="D20" s="56">
        <f>'[9]Total 2027 - 2029'!D20-'[9]Plana 2027 - 2029'!D20</f>
        <v>895.08353602720763</v>
      </c>
      <c r="E20" s="56">
        <f>'[9]Total 2027 - 2029'!E20-'[9]Plana 2027 - 2029'!E20</f>
        <v>494.16610820303958</v>
      </c>
      <c r="F20" s="56">
        <f>'[9]Total 2027 - 2029'!F20-'[9]Plana 2027 - 2029'!F20</f>
        <v>103.70597074260604</v>
      </c>
      <c r="G20" s="56">
        <f>'[9]Total 2027 - 2029'!G20-'[9]Plana 2027 - 2029'!G20</f>
        <v>0</v>
      </c>
      <c r="H20" s="56">
        <f>'[9]Total 2027 - 2029'!H20-'[9]Plana 2027 - 2029'!H20</f>
        <v>237.32930372025476</v>
      </c>
      <c r="I20" s="56">
        <f>'[9]Total 2027 - 2029'!I20-'[9]Plana 2027 - 2029'!I20</f>
        <v>521.69274289033001</v>
      </c>
      <c r="J20" s="56">
        <f>'[9]Total 2027 - 2029'!J20-'[9]Plana 2027 - 2029'!J20</f>
        <v>1303.7802215006059</v>
      </c>
      <c r="K20" s="56">
        <f>'[9]Total 2027 - 2029'!K20-'[9]Plana 2027 - 2029'!K20</f>
        <v>3124.2744168569761</v>
      </c>
      <c r="L20" s="56">
        <f>'[9]Total 2027 - 2029'!L20-'[9]Plana 2027 - 2029'!L20</f>
        <v>4565.8768878516685</v>
      </c>
      <c r="M20" s="56">
        <f>'[9]Total 2027 - 2029'!M20-'[9]Plana 2027 - 2029'!M20</f>
        <v>5044.5313566405266</v>
      </c>
      <c r="N20" s="56">
        <f>'[9]Total 2027 - 2029'!N20-'[9]Plana 2027 - 2029'!N20</f>
        <v>5369.5009283729078</v>
      </c>
      <c r="O20" s="56">
        <f>'[9]Total 2027 - 2029'!O20-'[9]Plana 2027 - 2029'!O20</f>
        <v>5648.1659283416293</v>
      </c>
      <c r="P20" s="56">
        <f>'[9]Total 2027 - 2029'!P20-'[9]Plana 2027 - 2029'!P20</f>
        <v>3897.2397873436357</v>
      </c>
      <c r="Q20" s="56">
        <f>'[9]Total 2027 - 2029'!Q20-'[9]Plana 2027 - 2029'!Q20</f>
        <v>4838.7743305775684</v>
      </c>
      <c r="R20" s="56">
        <f>'[9]Total 2027 - 2029'!R20-'[9]Plana 2027 - 2029'!R20</f>
        <v>6215.9263605275182</v>
      </c>
      <c r="S20" s="56">
        <f>'[9]Total 2027 - 2029'!S20-'[9]Plana 2027 - 2029'!S20</f>
        <v>6162.9971581906166</v>
      </c>
      <c r="T20" s="56">
        <f>'[9]Total 2027 - 2029'!T20-'[9]Plana 2027 - 2029'!T20</f>
        <v>6100.9009541878559</v>
      </c>
      <c r="U20" s="56">
        <f>'[9]Total 2027 - 2029'!U20-'[9]Plana 2027 - 2029'!U20</f>
        <v>6517.7182760394035</v>
      </c>
      <c r="V20" s="56">
        <f>'[9]Total 2027 - 2029'!V20-'[9]Plana 2027 - 2029'!V20</f>
        <v>6258.1289951933531</v>
      </c>
      <c r="W20" s="56">
        <f>'[9]Total 2027 - 2029'!W20-'[9]Plana 2027 - 2029'!W20</f>
        <v>5218.3356069977517</v>
      </c>
      <c r="X20" s="56">
        <f>'[9]Total 2027 - 2029'!X20-'[9]Plana 2027 - 2029'!X20</f>
        <v>4035.9370448996224</v>
      </c>
      <c r="Y20" s="56">
        <f>'[9]Total 2027 - 2029'!Y20-'[9]Plana 2027 - 2029'!Y20</f>
        <v>3765.3335050603155</v>
      </c>
      <c r="Z20" s="56">
        <f>'[9]Total 2027 - 2029'!Z20-'[9]Plana 2027 - 2029'!Z20</f>
        <v>2814.9895436418146</v>
      </c>
      <c r="AA20" s="56">
        <f>'[9]Total 2027 - 2029'!AA20-'[9]Plana 2027 - 2029'!AA20</f>
        <v>2273.841518133092</v>
      </c>
      <c r="AB20" s="57">
        <f t="shared" si="0"/>
        <v>427041.15240970149</v>
      </c>
      <c r="AC20" s="64"/>
    </row>
    <row r="21" spans="1:29" x14ac:dyDescent="0.25">
      <c r="A21" s="53">
        <v>46569</v>
      </c>
      <c r="B21" s="54" t="s">
        <v>16</v>
      </c>
      <c r="C21" s="55">
        <v>20</v>
      </c>
      <c r="D21" s="56">
        <f>'[9]Total 2027 - 2029'!D21-'[9]Plana 2027 - 2029'!D21</f>
        <v>3022.3272160000288</v>
      </c>
      <c r="E21" s="56">
        <f>'[9]Total 2027 - 2029'!E21-'[9]Plana 2027 - 2029'!E21</f>
        <v>2237.4140972672649</v>
      </c>
      <c r="F21" s="56">
        <f>'[9]Total 2027 - 2029'!F21-'[9]Plana 2027 - 2029'!F21</f>
        <v>1905.5340887655493</v>
      </c>
      <c r="G21" s="56">
        <f>'[9]Total 2027 - 2029'!G21-'[9]Plana 2027 - 2029'!G21</f>
        <v>1354.4403453724062</v>
      </c>
      <c r="H21" s="56">
        <f>'[9]Total 2027 - 2029'!H21-'[9]Plana 2027 - 2029'!H21</f>
        <v>989.92303147600978</v>
      </c>
      <c r="I21" s="56">
        <f>'[9]Total 2027 - 2029'!I21-'[9]Plana 2027 - 2029'!I21</f>
        <v>0</v>
      </c>
      <c r="J21" s="56">
        <f>'[9]Total 2027 - 2029'!J21-'[9]Plana 2027 - 2029'!J21</f>
        <v>587.79564877527628</v>
      </c>
      <c r="K21" s="56">
        <f>'[9]Total 2027 - 2029'!K21-'[9]Plana 2027 - 2029'!K21</f>
        <v>1176.5137218956352</v>
      </c>
      <c r="L21" s="56">
        <f>'[9]Total 2027 - 2029'!L21-'[9]Plana 2027 - 2029'!L21</f>
        <v>2108.5954709820162</v>
      </c>
      <c r="M21" s="56">
        <f>'[9]Total 2027 - 2029'!M21-'[9]Plana 2027 - 2029'!M21</f>
        <v>2738.5479015601959</v>
      </c>
      <c r="N21" s="56">
        <f>'[9]Total 2027 - 2029'!N21-'[9]Plana 2027 - 2029'!N21</f>
        <v>3487.024030363802</v>
      </c>
      <c r="O21" s="56">
        <f>'[9]Total 2027 - 2029'!O21-'[9]Plana 2027 - 2029'!O21</f>
        <v>4400.4352426306396</v>
      </c>
      <c r="P21" s="56">
        <f>'[9]Total 2027 - 2029'!P21-'[9]Plana 2027 - 2029'!P21</f>
        <v>4200.1838250055389</v>
      </c>
      <c r="Q21" s="56">
        <f>'[9]Total 2027 - 2029'!Q21-'[9]Plana 2027 - 2029'!Q21</f>
        <v>5178.4202771620257</v>
      </c>
      <c r="R21" s="56">
        <f>'[9]Total 2027 - 2029'!R21-'[9]Plana 2027 - 2029'!R21</f>
        <v>5743.0951044359008</v>
      </c>
      <c r="S21" s="56">
        <f>'[9]Total 2027 - 2029'!S21-'[9]Plana 2027 - 2029'!S21</f>
        <v>5217.2917087923124</v>
      </c>
      <c r="T21" s="56">
        <f>'[9]Total 2027 - 2029'!T21-'[9]Plana 2027 - 2029'!T21</f>
        <v>4310.4396356037814</v>
      </c>
      <c r="U21" s="56">
        <f>'[9]Total 2027 - 2029'!U21-'[9]Plana 2027 - 2029'!U21</f>
        <v>4535.5896976200183</v>
      </c>
      <c r="V21" s="56">
        <f>'[9]Total 2027 - 2029'!V21-'[9]Plana 2027 - 2029'!V21</f>
        <v>5731.62064832541</v>
      </c>
      <c r="W21" s="56">
        <f>'[9]Total 2027 - 2029'!W21-'[9]Plana 2027 - 2029'!W21</f>
        <v>6351.5308142371014</v>
      </c>
      <c r="X21" s="56">
        <f>'[9]Total 2027 - 2029'!X21-'[9]Plana 2027 - 2029'!X21</f>
        <v>5967.9705079596988</v>
      </c>
      <c r="Y21" s="56">
        <f>'[9]Total 2027 - 2029'!Y21-'[9]Plana 2027 - 2029'!Y21</f>
        <v>5825.22909310871</v>
      </c>
      <c r="Z21" s="56">
        <f>'[9]Total 2027 - 2029'!Z21-'[9]Plana 2027 - 2029'!Z21</f>
        <v>5432.1024109309346</v>
      </c>
      <c r="AA21" s="56">
        <f>'[9]Total 2027 - 2029'!AA21-'[9]Plana 2027 - 2029'!AA21</f>
        <v>4482.0626609943829</v>
      </c>
      <c r="AB21" s="57">
        <f t="shared" si="0"/>
        <v>1739681.7435852927</v>
      </c>
      <c r="AC21" s="62">
        <f>SUM(AB21:AB23)</f>
        <v>2727596.8431699579</v>
      </c>
    </row>
    <row r="22" spans="1:29" x14ac:dyDescent="0.25">
      <c r="A22" s="58"/>
      <c r="B22" s="59" t="s">
        <v>17</v>
      </c>
      <c r="C22" s="55">
        <v>5</v>
      </c>
      <c r="D22" s="56">
        <f>'[9]Total 2027 - 2029'!D22-'[9]Plana 2027 - 2029'!D22</f>
        <v>1307.7170742874678</v>
      </c>
      <c r="E22" s="56">
        <f>'[9]Total 2027 - 2029'!E22-'[9]Plana 2027 - 2029'!E22</f>
        <v>691.02926892263349</v>
      </c>
      <c r="F22" s="56">
        <f>'[9]Total 2027 - 2029'!F22-'[9]Plana 2027 - 2029'!F22</f>
        <v>394.74105289600539</v>
      </c>
      <c r="G22" s="56">
        <f>'[9]Total 2027 - 2029'!G22-'[9]Plana 2027 - 2029'!G22</f>
        <v>10.753937123488868</v>
      </c>
      <c r="H22" s="56">
        <f>'[9]Total 2027 - 2029'!H22-'[9]Plana 2027 - 2029'!H22</f>
        <v>0</v>
      </c>
      <c r="I22" s="56">
        <f>'[9]Total 2027 - 2029'!I22-'[9]Plana 2027 - 2029'!I22</f>
        <v>17.904531707155911</v>
      </c>
      <c r="J22" s="56">
        <f>'[9]Total 2027 - 2029'!J22-'[9]Plana 2027 - 2029'!J22</f>
        <v>636.24974670454321</v>
      </c>
      <c r="K22" s="56">
        <f>'[9]Total 2027 - 2029'!K22-'[9]Plana 2027 - 2029'!K22</f>
        <v>1405.9737938888866</v>
      </c>
      <c r="L22" s="56">
        <f>'[9]Total 2027 - 2029'!L22-'[9]Plana 2027 - 2029'!L22</f>
        <v>2789.5109973641611</v>
      </c>
      <c r="M22" s="56">
        <f>'[9]Total 2027 - 2029'!M22-'[9]Plana 2027 - 2029'!M22</f>
        <v>3269.1821105614672</v>
      </c>
      <c r="N22" s="56">
        <f>'[9]Total 2027 - 2029'!N22-'[9]Plana 2027 - 2029'!N22</f>
        <v>4034.7792150837231</v>
      </c>
      <c r="O22" s="56">
        <f>'[9]Total 2027 - 2029'!O22-'[9]Plana 2027 - 2029'!O22</f>
        <v>4886.9665203152763</v>
      </c>
      <c r="P22" s="56">
        <f>'[9]Total 2027 - 2029'!P22-'[9]Plana 2027 - 2029'!P22</f>
        <v>3636.1663166634735</v>
      </c>
      <c r="Q22" s="56">
        <f>'[9]Total 2027 - 2029'!Q22-'[9]Plana 2027 - 2029'!Q22</f>
        <v>4983.8331956821985</v>
      </c>
      <c r="R22" s="56">
        <f>'[9]Total 2027 - 2029'!R22-'[9]Plana 2027 - 2029'!R22</f>
        <v>6694.0523256861943</v>
      </c>
      <c r="S22" s="56">
        <f>'[9]Total 2027 - 2029'!S22-'[9]Plana 2027 - 2029'!S22</f>
        <v>7001.9833568374997</v>
      </c>
      <c r="T22" s="56">
        <f>'[9]Total 2027 - 2029'!T22-'[9]Plana 2027 - 2029'!T22</f>
        <v>6277.9597321247747</v>
      </c>
      <c r="U22" s="56">
        <f>'[9]Total 2027 - 2029'!U22-'[9]Plana 2027 - 2029'!U22</f>
        <v>5785.3422125526286</v>
      </c>
      <c r="V22" s="56">
        <f>'[9]Total 2027 - 2029'!V22-'[9]Plana 2027 - 2029'!V22</f>
        <v>6142.2119679661719</v>
      </c>
      <c r="W22" s="56">
        <f>'[9]Total 2027 - 2029'!W22-'[9]Plana 2027 - 2029'!W22</f>
        <v>7005.8262183181305</v>
      </c>
      <c r="X22" s="56">
        <f>'[9]Total 2027 - 2029'!X22-'[9]Plana 2027 - 2029'!X22</f>
        <v>6669.6468542886469</v>
      </c>
      <c r="Y22" s="56">
        <f>'[9]Total 2027 - 2029'!Y22-'[9]Plana 2027 - 2029'!Y22</f>
        <v>6393.5474222732228</v>
      </c>
      <c r="Z22" s="56">
        <f>'[9]Total 2027 - 2029'!Z22-'[9]Plana 2027 - 2029'!Z22</f>
        <v>5396.3502337952104</v>
      </c>
      <c r="AA22" s="56">
        <f>'[9]Total 2027 - 2029'!AA22-'[9]Plana 2027 - 2029'!AA22</f>
        <v>4179.7204817141701</v>
      </c>
      <c r="AB22" s="57">
        <f t="shared" si="0"/>
        <v>448057.24283378571</v>
      </c>
      <c r="AC22" s="63"/>
    </row>
    <row r="23" spans="1:29" x14ac:dyDescent="0.25">
      <c r="A23" s="58"/>
      <c r="B23" s="59" t="s">
        <v>18</v>
      </c>
      <c r="C23" s="55">
        <v>6</v>
      </c>
      <c r="D23" s="56">
        <f>'[9]Total 2027 - 2029'!D23-'[9]Plana 2027 - 2029'!D23</f>
        <v>1391.6050183718617</v>
      </c>
      <c r="E23" s="56">
        <f>'[9]Total 2027 - 2029'!E23-'[9]Plana 2027 - 2029'!E23</f>
        <v>772.5133372415421</v>
      </c>
      <c r="F23" s="56">
        <f>'[9]Total 2027 - 2029'!F23-'[9]Plana 2027 - 2029'!F23</f>
        <v>545.85059320498112</v>
      </c>
      <c r="G23" s="56">
        <f>'[9]Total 2027 - 2029'!G23-'[9]Plana 2027 - 2029'!G23</f>
        <v>101.04484670295096</v>
      </c>
      <c r="H23" s="56">
        <f>'[9]Total 2027 - 2029'!H23-'[9]Plana 2027 - 2029'!H23</f>
        <v>0</v>
      </c>
      <c r="I23" s="56">
        <f>'[9]Total 2027 - 2029'!I23-'[9]Plana 2027 - 2029'!I23</f>
        <v>10.816253709368539</v>
      </c>
      <c r="J23" s="56">
        <f>'[9]Total 2027 - 2029'!J23-'[9]Plana 2027 - 2029'!J23</f>
        <v>764.55343322595218</v>
      </c>
      <c r="K23" s="56">
        <f>'[9]Total 2027 - 2029'!K23-'[9]Plana 2027 - 2029'!K23</f>
        <v>1829.8372175234999</v>
      </c>
      <c r="L23" s="56">
        <f>'[9]Total 2027 - 2029'!L23-'[9]Plana 2027 - 2029'!L23</f>
        <v>3523.7829500295175</v>
      </c>
      <c r="M23" s="56">
        <f>'[9]Total 2027 - 2029'!M23-'[9]Plana 2027 - 2029'!M23</f>
        <v>4119.7839061911563</v>
      </c>
      <c r="N23" s="56">
        <f>'[9]Total 2027 - 2029'!N23-'[9]Plana 2027 - 2029'!N23</f>
        <v>4961.0136277851416</v>
      </c>
      <c r="O23" s="56">
        <f>'[9]Total 2027 - 2029'!O23-'[9]Plana 2027 - 2029'!O23</f>
        <v>5669.2711094650367</v>
      </c>
      <c r="P23" s="56">
        <f>'[9]Total 2027 - 2029'!P23-'[9]Plana 2027 - 2029'!P23</f>
        <v>4082.7283685354978</v>
      </c>
      <c r="Q23" s="56">
        <f>'[9]Total 2027 - 2029'!Q23-'[9]Plana 2027 - 2029'!Q23</f>
        <v>5157.4438104779529</v>
      </c>
      <c r="R23" s="56">
        <f>'[9]Total 2027 - 2029'!R23-'[9]Plana 2027 - 2029'!R23</f>
        <v>6854.0450348019058</v>
      </c>
      <c r="S23" s="56">
        <f>'[9]Total 2027 - 2029'!S23-'[9]Plana 2027 - 2029'!S23</f>
        <v>6767.1201974635442</v>
      </c>
      <c r="T23" s="56">
        <f>'[9]Total 2027 - 2029'!T23-'[9]Plana 2027 - 2029'!T23</f>
        <v>5931.7355376967535</v>
      </c>
      <c r="U23" s="56">
        <f>'[9]Total 2027 - 2029'!U23-'[9]Plana 2027 - 2029'!U23</f>
        <v>5756.6597579976351</v>
      </c>
      <c r="V23" s="56">
        <f>'[9]Total 2027 - 2029'!V23-'[9]Plana 2027 - 2029'!V23</f>
        <v>6030.8520625912824</v>
      </c>
      <c r="W23" s="56">
        <f>'[9]Total 2027 - 2029'!W23-'[9]Plana 2027 - 2029'!W23</f>
        <v>5863.0838344486201</v>
      </c>
      <c r="X23" s="56">
        <f>'[9]Total 2027 - 2029'!X23-'[9]Plana 2027 - 2029'!X23</f>
        <v>5418.3539302334866</v>
      </c>
      <c r="Y23" s="56">
        <f>'[9]Total 2027 - 2029'!Y23-'[9]Plana 2027 - 2029'!Y23</f>
        <v>5535.189068362708</v>
      </c>
      <c r="Z23" s="56">
        <f>'[9]Total 2027 - 2029'!Z23-'[9]Plana 2027 - 2029'!Z23</f>
        <v>4995.09258978658</v>
      </c>
      <c r="AA23" s="56">
        <f>'[9]Total 2027 - 2029'!AA23-'[9]Plana 2027 - 2029'!AA23</f>
        <v>3893.9329726328851</v>
      </c>
      <c r="AB23" s="57">
        <f t="shared" si="0"/>
        <v>539857.85675087932</v>
      </c>
      <c r="AC23" s="64"/>
    </row>
    <row r="24" spans="1:29" x14ac:dyDescent="0.25">
      <c r="A24" s="53">
        <v>46600</v>
      </c>
      <c r="B24" s="54" t="s">
        <v>16</v>
      </c>
      <c r="C24" s="55">
        <v>21</v>
      </c>
      <c r="D24" s="56">
        <f>'[9]Total 2027 - 2029'!D24-'[9]Plana 2027 - 2029'!D24</f>
        <v>2784.0786017514711</v>
      </c>
      <c r="E24" s="56">
        <f>'[9]Total 2027 - 2029'!E24-'[9]Plana 2027 - 2029'!E24</f>
        <v>2153.4940416380559</v>
      </c>
      <c r="F24" s="56">
        <f>'[9]Total 2027 - 2029'!F24-'[9]Plana 2027 - 2029'!F24</f>
        <v>1515.0922173199178</v>
      </c>
      <c r="G24" s="56">
        <f>'[9]Total 2027 - 2029'!G24-'[9]Plana 2027 - 2029'!G24</f>
        <v>846.29841128203952</v>
      </c>
      <c r="H24" s="56">
        <f>'[9]Total 2027 - 2029'!H24-'[9]Plana 2027 - 2029'!H24</f>
        <v>679.16877312182078</v>
      </c>
      <c r="I24" s="56">
        <f>'[9]Total 2027 - 2029'!I24-'[9]Plana 2027 - 2029'!I24</f>
        <v>0</v>
      </c>
      <c r="J24" s="56">
        <f>'[9]Total 2027 - 2029'!J24-'[9]Plana 2027 - 2029'!J24</f>
        <v>420.98989330848781</v>
      </c>
      <c r="K24" s="56">
        <f>'[9]Total 2027 - 2029'!K24-'[9]Plana 2027 - 2029'!K24</f>
        <v>2067.944934244033</v>
      </c>
      <c r="L24" s="56">
        <f>'[9]Total 2027 - 2029'!L24-'[9]Plana 2027 - 2029'!L24</f>
        <v>3880.7957017066965</v>
      </c>
      <c r="M24" s="56">
        <f>'[9]Total 2027 - 2029'!M24-'[9]Plana 2027 - 2029'!M24</f>
        <v>4725.6292373083361</v>
      </c>
      <c r="N24" s="56">
        <f>'[9]Total 2027 - 2029'!N24-'[9]Plana 2027 - 2029'!N24</f>
        <v>6005.1688176642765</v>
      </c>
      <c r="O24" s="56">
        <f>'[9]Total 2027 - 2029'!O24-'[9]Plana 2027 - 2029'!O24</f>
        <v>7035.0096845632015</v>
      </c>
      <c r="P24" s="56">
        <f>'[9]Total 2027 - 2029'!P24-'[9]Plana 2027 - 2029'!P24</f>
        <v>6109.0574306861436</v>
      </c>
      <c r="Q24" s="56">
        <f>'[9]Total 2027 - 2029'!Q24-'[9]Plana 2027 - 2029'!Q24</f>
        <v>7383.8448630184666</v>
      </c>
      <c r="R24" s="56">
        <f>'[9]Total 2027 - 2029'!R24-'[9]Plana 2027 - 2029'!R24</f>
        <v>8421.0645225628414</v>
      </c>
      <c r="S24" s="56">
        <f>'[9]Total 2027 - 2029'!S24-'[9]Plana 2027 - 2029'!S24</f>
        <v>7908.8558888693351</v>
      </c>
      <c r="T24" s="56">
        <f>'[9]Total 2027 - 2029'!T24-'[9]Plana 2027 - 2029'!T24</f>
        <v>7046.7895421100129</v>
      </c>
      <c r="U24" s="56">
        <f>'[9]Total 2027 - 2029'!U24-'[9]Plana 2027 - 2029'!U24</f>
        <v>7421.8239354754351</v>
      </c>
      <c r="V24" s="56">
        <f>'[9]Total 2027 - 2029'!V24-'[9]Plana 2027 - 2029'!V24</f>
        <v>7987.113243605856</v>
      </c>
      <c r="W24" s="56">
        <f>'[9]Total 2027 - 2029'!W24-'[9]Plana 2027 - 2029'!W24</f>
        <v>8414.6363189803033</v>
      </c>
      <c r="X24" s="56">
        <f>'[9]Total 2027 - 2029'!X24-'[9]Plana 2027 - 2029'!X24</f>
        <v>8101.2099595187738</v>
      </c>
      <c r="Y24" s="56">
        <f>'[9]Total 2027 - 2029'!Y24-'[9]Plana 2027 - 2029'!Y24</f>
        <v>7842.4399879036337</v>
      </c>
      <c r="Z24" s="56">
        <f>'[9]Total 2027 - 2029'!Z24-'[9]Plana 2027 - 2029'!Z24</f>
        <v>7016.4017682817594</v>
      </c>
      <c r="AA24" s="56">
        <f>'[9]Total 2027 - 2029'!AA24-'[9]Plana 2027 - 2029'!AA24</f>
        <v>5644.8725340409783</v>
      </c>
      <c r="AB24" s="57">
        <f t="shared" si="0"/>
        <v>2549647.3864881997</v>
      </c>
      <c r="AC24" s="62">
        <f>SUM(AB24:AB26)</f>
        <v>3643105.8357218304</v>
      </c>
    </row>
    <row r="25" spans="1:29" x14ac:dyDescent="0.25">
      <c r="A25" s="58"/>
      <c r="B25" s="59" t="s">
        <v>17</v>
      </c>
      <c r="C25" s="55">
        <v>4</v>
      </c>
      <c r="D25" s="56">
        <f>'[9]Total 2027 - 2029'!D25-'[9]Plana 2027 - 2029'!D25</f>
        <v>2387.6702990975682</v>
      </c>
      <c r="E25" s="56">
        <f>'[9]Total 2027 - 2029'!E25-'[9]Plana 2027 - 2029'!E25</f>
        <v>1658.3714966931057</v>
      </c>
      <c r="F25" s="56">
        <f>'[9]Total 2027 - 2029'!F25-'[9]Plana 2027 - 2029'!F25</f>
        <v>1046.0881931147687</v>
      </c>
      <c r="G25" s="56">
        <f>'[9]Total 2027 - 2029'!G25-'[9]Plana 2027 - 2029'!G25</f>
        <v>323.7081074396574</v>
      </c>
      <c r="H25" s="56">
        <f>'[9]Total 2027 - 2029'!H25-'[9]Plana 2027 - 2029'!H25</f>
        <v>195.12463337606823</v>
      </c>
      <c r="I25" s="56">
        <f>'[9]Total 2027 - 2029'!I25-'[9]Plana 2027 - 2029'!I25</f>
        <v>0</v>
      </c>
      <c r="J25" s="56">
        <f>'[9]Total 2027 - 2029'!J25-'[9]Plana 2027 - 2029'!J25</f>
        <v>257.23441235692917</v>
      </c>
      <c r="K25" s="56">
        <f>'[9]Total 2027 - 2029'!K25-'[9]Plana 2027 - 2029'!K25</f>
        <v>2184.6302056710829</v>
      </c>
      <c r="L25" s="56">
        <f>'[9]Total 2027 - 2029'!L25-'[9]Plana 2027 - 2029'!L25</f>
        <v>4119.7684781627468</v>
      </c>
      <c r="M25" s="56">
        <f>'[9]Total 2027 - 2029'!M25-'[9]Plana 2027 - 2029'!M25</f>
        <v>5028.9323627890008</v>
      </c>
      <c r="N25" s="56">
        <f>'[9]Total 2027 - 2029'!N25-'[9]Plana 2027 - 2029'!N25</f>
        <v>6213.9387121952168</v>
      </c>
      <c r="O25" s="56">
        <f>'[9]Total 2027 - 2029'!O25-'[9]Plana 2027 - 2029'!O25</f>
        <v>7018.6118355898252</v>
      </c>
      <c r="P25" s="56">
        <f>'[9]Total 2027 - 2029'!P25-'[9]Plana 2027 - 2029'!P25</f>
        <v>5332.9904278461618</v>
      </c>
      <c r="Q25" s="56">
        <f>'[9]Total 2027 - 2029'!Q25-'[9]Plana 2027 - 2029'!Q25</f>
        <v>6795.0701384344466</v>
      </c>
      <c r="R25" s="56">
        <f>'[9]Total 2027 - 2029'!R25-'[9]Plana 2027 - 2029'!R25</f>
        <v>8016.4862742292244</v>
      </c>
      <c r="S25" s="56">
        <f>'[9]Total 2027 - 2029'!S25-'[9]Plana 2027 - 2029'!S25</f>
        <v>7904.8260493721318</v>
      </c>
      <c r="T25" s="56">
        <f>'[9]Total 2027 - 2029'!T25-'[9]Plana 2027 - 2029'!T25</f>
        <v>7229.3997608106947</v>
      </c>
      <c r="U25" s="56">
        <f>'[9]Total 2027 - 2029'!U25-'[9]Plana 2027 - 2029'!U25</f>
        <v>7428.5549837150647</v>
      </c>
      <c r="V25" s="56">
        <f>'[9]Total 2027 - 2029'!V25-'[9]Plana 2027 - 2029'!V25</f>
        <v>8088.2639575972789</v>
      </c>
      <c r="W25" s="56">
        <f>'[9]Total 2027 - 2029'!W25-'[9]Plana 2027 - 2029'!W25</f>
        <v>8496.4172773208411</v>
      </c>
      <c r="X25" s="56">
        <f>'[9]Total 2027 - 2029'!X25-'[9]Plana 2027 - 2029'!X25</f>
        <v>8089.0783557463328</v>
      </c>
      <c r="Y25" s="56">
        <f>'[9]Total 2027 - 2029'!Y25-'[9]Plana 2027 - 2029'!Y25</f>
        <v>7644.5728263785059</v>
      </c>
      <c r="Z25" s="56">
        <f>'[9]Total 2027 - 2029'!Z25-'[9]Plana 2027 - 2029'!Z25</f>
        <v>6248.4711674606515</v>
      </c>
      <c r="AA25" s="56">
        <f>'[9]Total 2027 - 2029'!AA25-'[9]Plana 2027 - 2029'!AA25</f>
        <v>4510.2391269772525</v>
      </c>
      <c r="AB25" s="57">
        <f t="shared" si="0"/>
        <v>464873.79632949812</v>
      </c>
      <c r="AC25" s="63"/>
    </row>
    <row r="26" spans="1:29" x14ac:dyDescent="0.25">
      <c r="A26" s="58"/>
      <c r="B26" s="59" t="s">
        <v>18</v>
      </c>
      <c r="C26" s="55">
        <v>6</v>
      </c>
      <c r="D26" s="56">
        <f>'[9]Total 2027 - 2029'!D26-'[9]Plana 2027 - 2029'!D26</f>
        <v>1540.0481820994537</v>
      </c>
      <c r="E26" s="56">
        <f>'[9]Total 2027 - 2029'!E26-'[9]Plana 2027 - 2029'!E26</f>
        <v>1024.1263052138402</v>
      </c>
      <c r="F26" s="56">
        <f>'[9]Total 2027 - 2029'!F26-'[9]Plana 2027 - 2029'!F26</f>
        <v>533.55973707080375</v>
      </c>
      <c r="G26" s="56">
        <f>'[9]Total 2027 - 2029'!G26-'[9]Plana 2027 - 2029'!G26</f>
        <v>0</v>
      </c>
      <c r="H26" s="56">
        <f>'[9]Total 2027 - 2029'!H26-'[9]Plana 2027 - 2029'!H26</f>
        <v>11.634963597909518</v>
      </c>
      <c r="I26" s="56">
        <f>'[9]Total 2027 - 2029'!I26-'[9]Plana 2027 - 2029'!I26</f>
        <v>98.967331896013093</v>
      </c>
      <c r="J26" s="56">
        <f>'[9]Total 2027 - 2029'!J26-'[9]Plana 2027 - 2029'!J26</f>
        <v>526.3840832858059</v>
      </c>
      <c r="K26" s="56">
        <f>'[9]Total 2027 - 2029'!K26-'[9]Plana 2027 - 2029'!K26</f>
        <v>2315.285234783647</v>
      </c>
      <c r="L26" s="56">
        <f>'[9]Total 2027 - 2029'!L26-'[9]Plana 2027 - 2029'!L26</f>
        <v>4316.7198690535042</v>
      </c>
      <c r="M26" s="56">
        <f>'[9]Total 2027 - 2029'!M26-'[9]Plana 2027 - 2029'!M26</f>
        <v>5232.687934644975</v>
      </c>
      <c r="N26" s="56">
        <f>'[9]Total 2027 - 2029'!N26-'[9]Plana 2027 - 2029'!N26</f>
        <v>6431.5074955126966</v>
      </c>
      <c r="O26" s="56">
        <f>'[9]Total 2027 - 2029'!O26-'[9]Plana 2027 - 2029'!O26</f>
        <v>7117.3095073505683</v>
      </c>
      <c r="P26" s="56">
        <f>'[9]Total 2027 - 2029'!P26-'[9]Plana 2027 - 2029'!P26</f>
        <v>5044.041338141873</v>
      </c>
      <c r="Q26" s="56">
        <f>'[9]Total 2027 - 2029'!Q26-'[9]Plana 2027 - 2029'!Q26</f>
        <v>6587.5095626499515</v>
      </c>
      <c r="R26" s="56">
        <f>'[9]Total 2027 - 2029'!R26-'[9]Plana 2027 - 2029'!R26</f>
        <v>8201.019309717356</v>
      </c>
      <c r="S26" s="56">
        <f>'[9]Total 2027 - 2029'!S26-'[9]Plana 2027 - 2029'!S26</f>
        <v>8022.512826316628</v>
      </c>
      <c r="T26" s="56">
        <f>'[9]Total 2027 - 2029'!T26-'[9]Plana 2027 - 2029'!T26</f>
        <v>7284.9484905221725</v>
      </c>
      <c r="U26" s="56">
        <f>'[9]Total 2027 - 2029'!U26-'[9]Plana 2027 - 2029'!U26</f>
        <v>7307.5190877129971</v>
      </c>
      <c r="V26" s="56">
        <f>'[9]Total 2027 - 2029'!V26-'[9]Plana 2027 - 2029'!V26</f>
        <v>6989.9186587799177</v>
      </c>
      <c r="W26" s="56">
        <f>'[9]Total 2027 - 2029'!W26-'[9]Plana 2027 - 2029'!W26</f>
        <v>6649.9507508131719</v>
      </c>
      <c r="X26" s="56">
        <f>'[9]Total 2027 - 2029'!X26-'[9]Plana 2027 - 2029'!X26</f>
        <v>5817.4716108288503</v>
      </c>
      <c r="Y26" s="56">
        <f>'[9]Total 2027 - 2029'!Y26-'[9]Plana 2027 - 2029'!Y26</f>
        <v>5441.4630464340335</v>
      </c>
      <c r="Z26" s="56">
        <f>'[9]Total 2027 - 2029'!Z26-'[9]Plana 2027 - 2029'!Z26</f>
        <v>4710.9302002022778</v>
      </c>
      <c r="AA26" s="56">
        <f>'[9]Total 2027 - 2029'!AA26-'[9]Plana 2027 - 2029'!AA26</f>
        <v>3558.5932907269926</v>
      </c>
      <c r="AB26" s="57">
        <f t="shared" si="0"/>
        <v>628584.6529041325</v>
      </c>
      <c r="AC26" s="64"/>
    </row>
    <row r="27" spans="1:29" x14ac:dyDescent="0.25">
      <c r="A27" s="53">
        <v>46631</v>
      </c>
      <c r="B27" s="54" t="s">
        <v>16</v>
      </c>
      <c r="C27" s="55">
        <v>22</v>
      </c>
      <c r="D27" s="56">
        <f>'[9]Total 2027 - 2029'!D27-'[9]Plana 2027 - 2029'!D27</f>
        <v>3259.8686455383267</v>
      </c>
      <c r="E27" s="56">
        <f>'[9]Total 2027 - 2029'!E27-'[9]Plana 2027 - 2029'!E27</f>
        <v>2439.8151772986948</v>
      </c>
      <c r="F27" s="56">
        <f>'[9]Total 2027 - 2029'!F27-'[9]Plana 2027 - 2029'!F27</f>
        <v>1523.0258791748183</v>
      </c>
      <c r="G27" s="56">
        <f>'[9]Total 2027 - 2029'!G27-'[9]Plana 2027 - 2029'!G27</f>
        <v>932.64631697452023</v>
      </c>
      <c r="H27" s="56">
        <f>'[9]Total 2027 - 2029'!H27-'[9]Plana 2027 - 2029'!H27</f>
        <v>577.94324581499313</v>
      </c>
      <c r="I27" s="56">
        <f>'[9]Total 2027 - 2029'!I27-'[9]Plana 2027 - 2029'!I27</f>
        <v>69.643538905102105</v>
      </c>
      <c r="J27" s="56">
        <f>'[9]Total 2027 - 2029'!J27-'[9]Plana 2027 - 2029'!J27</f>
        <v>0</v>
      </c>
      <c r="K27" s="56">
        <f>'[9]Total 2027 - 2029'!K27-'[9]Plana 2027 - 2029'!K27</f>
        <v>2032.219398194753</v>
      </c>
      <c r="L27" s="56">
        <f>'[9]Total 2027 - 2029'!L27-'[9]Plana 2027 - 2029'!L27</f>
        <v>4416.0220321401393</v>
      </c>
      <c r="M27" s="56">
        <f>'[9]Total 2027 - 2029'!M27-'[9]Plana 2027 - 2029'!M27</f>
        <v>5936.3814653582158</v>
      </c>
      <c r="N27" s="56">
        <f>'[9]Total 2027 - 2029'!N27-'[9]Plana 2027 - 2029'!N27</f>
        <v>7218.5678397410738</v>
      </c>
      <c r="O27" s="56">
        <f>'[9]Total 2027 - 2029'!O27-'[9]Plana 2027 - 2029'!O27</f>
        <v>8131.856227141554</v>
      </c>
      <c r="P27" s="56">
        <f>'[9]Total 2027 - 2029'!P27-'[9]Plana 2027 - 2029'!P27</f>
        <v>7103.7859276855888</v>
      </c>
      <c r="Q27" s="56">
        <f>'[9]Total 2027 - 2029'!Q27-'[9]Plana 2027 - 2029'!Q27</f>
        <v>8739.5751630076338</v>
      </c>
      <c r="R27" s="56">
        <f>'[9]Total 2027 - 2029'!R27-'[9]Plana 2027 - 2029'!R27</f>
        <v>9471.3513123457888</v>
      </c>
      <c r="S27" s="56">
        <f>'[9]Total 2027 - 2029'!S27-'[9]Plana 2027 - 2029'!S27</f>
        <v>8777.8576031315642</v>
      </c>
      <c r="T27" s="56">
        <f>'[9]Total 2027 - 2029'!T27-'[9]Plana 2027 - 2029'!T27</f>
        <v>7318.9120088948948</v>
      </c>
      <c r="U27" s="56">
        <f>'[9]Total 2027 - 2029'!U27-'[9]Plana 2027 - 2029'!U27</f>
        <v>7297.3576276773056</v>
      </c>
      <c r="V27" s="56">
        <f>'[9]Total 2027 - 2029'!V27-'[9]Plana 2027 - 2029'!V27</f>
        <v>8436.263655737268</v>
      </c>
      <c r="W27" s="56">
        <f>'[9]Total 2027 - 2029'!W27-'[9]Plana 2027 - 2029'!W27</f>
        <v>8684.7044622044959</v>
      </c>
      <c r="X27" s="56">
        <f>'[9]Total 2027 - 2029'!X27-'[9]Plana 2027 - 2029'!X27</f>
        <v>8476.4296076314422</v>
      </c>
      <c r="Y27" s="56">
        <f>'[9]Total 2027 - 2029'!Y27-'[9]Plana 2027 - 2029'!Y27</f>
        <v>8519.6260429175418</v>
      </c>
      <c r="Z27" s="56">
        <f>'[9]Total 2027 - 2029'!Z27-'[9]Plana 2027 - 2029'!Z27</f>
        <v>7057.3547126771628</v>
      </c>
      <c r="AA27" s="56">
        <f>'[9]Total 2027 - 2029'!AA27-'[9]Plana 2027 - 2029'!AA27</f>
        <v>5452.7417771181608</v>
      </c>
      <c r="AB27" s="57">
        <f t="shared" si="0"/>
        <v>2901226.8926808429</v>
      </c>
      <c r="AC27" s="62">
        <f>SUM(AB27:AB29)</f>
        <v>4026537.6923117675</v>
      </c>
    </row>
    <row r="28" spans="1:29" x14ac:dyDescent="0.25">
      <c r="A28" s="58"/>
      <c r="B28" s="59" t="s">
        <v>17</v>
      </c>
      <c r="C28" s="55">
        <v>4</v>
      </c>
      <c r="D28" s="56">
        <f>'[9]Total 2027 - 2029'!D28-'[9]Plana 2027 - 2029'!D28</f>
        <v>2414.8355178771999</v>
      </c>
      <c r="E28" s="56">
        <f>'[9]Total 2027 - 2029'!E28-'[9]Plana 2027 - 2029'!E28</f>
        <v>1600.3156571917316</v>
      </c>
      <c r="F28" s="56">
        <f>'[9]Total 2027 - 2029'!F28-'[9]Plana 2027 - 2029'!F28</f>
        <v>682.87420267100242</v>
      </c>
      <c r="G28" s="56">
        <f>'[9]Total 2027 - 2029'!G28-'[9]Plana 2027 - 2029'!G28</f>
        <v>117.50031175148433</v>
      </c>
      <c r="H28" s="56">
        <f>'[9]Total 2027 - 2029'!H28-'[9]Plana 2027 - 2029'!H28</f>
        <v>0</v>
      </c>
      <c r="I28" s="56">
        <f>'[9]Total 2027 - 2029'!I28-'[9]Plana 2027 - 2029'!I28</f>
        <v>0.94134980046328565</v>
      </c>
      <c r="J28" s="56">
        <f>'[9]Total 2027 - 2029'!J28-'[9]Plana 2027 - 2029'!J28</f>
        <v>48.102925951488942</v>
      </c>
      <c r="K28" s="56">
        <f>'[9]Total 2027 - 2029'!K28-'[9]Plana 2027 - 2029'!K28</f>
        <v>2680.9731406248175</v>
      </c>
      <c r="L28" s="56">
        <f>'[9]Total 2027 - 2029'!L28-'[9]Plana 2027 - 2029'!L28</f>
        <v>5268.2494646163468</v>
      </c>
      <c r="M28" s="56">
        <f>'[9]Total 2027 - 2029'!M28-'[9]Plana 2027 - 2029'!M28</f>
        <v>6875.0061694778851</v>
      </c>
      <c r="N28" s="56">
        <f>'[9]Total 2027 - 2029'!N28-'[9]Plana 2027 - 2029'!N28</f>
        <v>8063.5981314097917</v>
      </c>
      <c r="O28" s="56">
        <f>'[9]Total 2027 - 2029'!O28-'[9]Plana 2027 - 2029'!O28</f>
        <v>9201.7897019222401</v>
      </c>
      <c r="P28" s="56">
        <f>'[9]Total 2027 - 2029'!P28-'[9]Plana 2027 - 2029'!P28</f>
        <v>7505.4324598631028</v>
      </c>
      <c r="Q28" s="56">
        <f>'[9]Total 2027 - 2029'!Q28-'[9]Plana 2027 - 2029'!Q28</f>
        <v>9573.6123556507846</v>
      </c>
      <c r="R28" s="56">
        <f>'[9]Total 2027 - 2029'!R28-'[9]Plana 2027 - 2029'!R28</f>
        <v>10836.130839773061</v>
      </c>
      <c r="S28" s="56">
        <f>'[9]Total 2027 - 2029'!S28-'[9]Plana 2027 - 2029'!S28</f>
        <v>10239.481709258456</v>
      </c>
      <c r="T28" s="56">
        <f>'[9]Total 2027 - 2029'!T28-'[9]Plana 2027 - 2029'!T28</f>
        <v>8720.7582082472654</v>
      </c>
      <c r="U28" s="56">
        <f>'[9]Total 2027 - 2029'!U28-'[9]Plana 2027 - 2029'!U28</f>
        <v>8199.7679840083219</v>
      </c>
      <c r="V28" s="56">
        <f>'[9]Total 2027 - 2029'!V28-'[9]Plana 2027 - 2029'!V28</f>
        <v>8761.0777186163687</v>
      </c>
      <c r="W28" s="56">
        <f>'[9]Total 2027 - 2029'!W28-'[9]Plana 2027 - 2029'!W28</f>
        <v>8767.2163375543314</v>
      </c>
      <c r="X28" s="56">
        <f>'[9]Total 2027 - 2029'!X28-'[9]Plana 2027 - 2029'!X28</f>
        <v>8617.0167883707254</v>
      </c>
      <c r="Y28" s="56">
        <f>'[9]Total 2027 - 2029'!Y28-'[9]Plana 2027 - 2029'!Y28</f>
        <v>8547.2211445523571</v>
      </c>
      <c r="Z28" s="56">
        <f>'[9]Total 2027 - 2029'!Z28-'[9]Plana 2027 - 2029'!Z28</f>
        <v>6682.3695016249076</v>
      </c>
      <c r="AA28" s="56">
        <f>'[9]Total 2027 - 2029'!AA28-'[9]Plana 2027 - 2029'!AA28</f>
        <v>4823.0567995312304</v>
      </c>
      <c r="AB28" s="57">
        <f t="shared" si="0"/>
        <v>552909.31368138152</v>
      </c>
      <c r="AC28" s="63"/>
    </row>
    <row r="29" spans="1:29" x14ac:dyDescent="0.25">
      <c r="A29" s="58"/>
      <c r="B29" s="59" t="s">
        <v>18</v>
      </c>
      <c r="C29" s="55">
        <v>4</v>
      </c>
      <c r="D29" s="56">
        <f>'[9]Total 2027 - 2029'!D29-'[9]Plana 2027 - 2029'!D29</f>
        <v>2344.357093897479</v>
      </c>
      <c r="E29" s="56">
        <f>'[9]Total 2027 - 2029'!E29-'[9]Plana 2027 - 2029'!E29</f>
        <v>1578.7315267535068</v>
      </c>
      <c r="F29" s="56">
        <f>'[9]Total 2027 - 2029'!F29-'[9]Plana 2027 - 2029'!F29</f>
        <v>735.78511805053313</v>
      </c>
      <c r="G29" s="56">
        <f>'[9]Total 2027 - 2029'!G29-'[9]Plana 2027 - 2029'!G29</f>
        <v>258.33487765344944</v>
      </c>
      <c r="H29" s="56">
        <f>'[9]Total 2027 - 2029'!H29-'[9]Plana 2027 - 2029'!H29</f>
        <v>83.063415668937523</v>
      </c>
      <c r="I29" s="56">
        <f>'[9]Total 2027 - 2029'!I29-'[9]Plana 2027 - 2029'!I29</f>
        <v>0</v>
      </c>
      <c r="J29" s="56">
        <f>'[9]Total 2027 - 2029'!J29-'[9]Plana 2027 - 2029'!J29</f>
        <v>280.76764073894265</v>
      </c>
      <c r="K29" s="56">
        <f>'[9]Total 2027 - 2029'!K29-'[9]Plana 2027 - 2029'!K29</f>
        <v>2632.9359636573881</v>
      </c>
      <c r="L29" s="56">
        <f>'[9]Total 2027 - 2029'!L29-'[9]Plana 2027 - 2029'!L29</f>
        <v>5475.5833639552475</v>
      </c>
      <c r="M29" s="56">
        <f>'[9]Total 2027 - 2029'!M29-'[9]Plana 2027 - 2029'!M29</f>
        <v>7293.5196842169153</v>
      </c>
      <c r="N29" s="56">
        <f>'[9]Total 2027 - 2029'!N29-'[9]Plana 2027 - 2029'!N29</f>
        <v>8675.3065508695054</v>
      </c>
      <c r="O29" s="56">
        <f>'[9]Total 2027 - 2029'!O29-'[9]Plana 2027 - 2029'!O29</f>
        <v>9807.3846739188903</v>
      </c>
      <c r="P29" s="56">
        <f>'[9]Total 2027 - 2029'!P29-'[9]Plana 2027 - 2029'!P29</f>
        <v>8218.6182463426649</v>
      </c>
      <c r="Q29" s="56">
        <f>'[9]Total 2027 - 2029'!Q29-'[9]Plana 2027 - 2029'!Q29</f>
        <v>10277.624712487204</v>
      </c>
      <c r="R29" s="56">
        <f>'[9]Total 2027 - 2029'!R29-'[9]Plana 2027 - 2029'!R29</f>
        <v>11575.509175022669</v>
      </c>
      <c r="S29" s="56">
        <f>'[9]Total 2027 - 2029'!S29-'[9]Plana 2027 - 2029'!S29</f>
        <v>10906.352954268839</v>
      </c>
      <c r="T29" s="56">
        <f>'[9]Total 2027 - 2029'!T29-'[9]Plana 2027 - 2029'!T29</f>
        <v>9229.7866598405144</v>
      </c>
      <c r="U29" s="56">
        <f>'[9]Total 2027 - 2029'!U29-'[9]Plana 2027 - 2029'!U29</f>
        <v>8850.1476076049385</v>
      </c>
      <c r="V29" s="56">
        <f>'[9]Total 2027 - 2029'!V29-'[9]Plana 2027 - 2029'!V29</f>
        <v>8903.0847267504414</v>
      </c>
      <c r="W29" s="56">
        <f>'[9]Total 2027 - 2029'!W29-'[9]Plana 2027 - 2029'!W29</f>
        <v>8500.6716696171152</v>
      </c>
      <c r="X29" s="56">
        <f>'[9]Total 2027 - 2029'!X29-'[9]Plana 2027 - 2029'!X29</f>
        <v>8048.4003082259387</v>
      </c>
      <c r="Y29" s="56">
        <f>'[9]Total 2027 - 2029'!Y29-'[9]Plana 2027 - 2029'!Y29</f>
        <v>7866.4611357517006</v>
      </c>
      <c r="Z29" s="56">
        <f>'[9]Total 2027 - 2029'!Z29-'[9]Plana 2027 - 2029'!Z29</f>
        <v>6602.4414006016068</v>
      </c>
      <c r="AA29" s="56">
        <f>'[9]Total 2027 - 2029'!AA29-'[9]Plana 2027 - 2029'!AA29</f>
        <v>4955.5029814913887</v>
      </c>
      <c r="AB29" s="57">
        <f t="shared" si="0"/>
        <v>572401.4859495433</v>
      </c>
      <c r="AC29" s="64"/>
    </row>
    <row r="30" spans="1:29" x14ac:dyDescent="0.25">
      <c r="A30" s="53">
        <v>46661</v>
      </c>
      <c r="B30" s="54" t="s">
        <v>16</v>
      </c>
      <c r="C30" s="55">
        <v>20</v>
      </c>
      <c r="D30" s="56">
        <f>'[9]Total 2027 - 2029'!D30-'[9]Plana 2027 - 2029'!D30</f>
        <v>3950.3840589047213</v>
      </c>
      <c r="E30" s="56">
        <f>'[9]Total 2027 - 2029'!E30-'[9]Plana 2027 - 2029'!E30</f>
        <v>2673.7838678295138</v>
      </c>
      <c r="F30" s="56">
        <f>'[9]Total 2027 - 2029'!F30-'[9]Plana 2027 - 2029'!F30</f>
        <v>1959.7852555084755</v>
      </c>
      <c r="G30" s="56">
        <f>'[9]Total 2027 - 2029'!G30-'[9]Plana 2027 - 2029'!G30</f>
        <v>865.13990229293086</v>
      </c>
      <c r="H30" s="56">
        <f>'[9]Total 2027 - 2029'!H30-'[9]Plana 2027 - 2029'!H30</f>
        <v>969.43043817016405</v>
      </c>
      <c r="I30" s="56">
        <f>'[9]Total 2027 - 2029'!I30-'[9]Plana 2027 - 2029'!I30</f>
        <v>0</v>
      </c>
      <c r="J30" s="56">
        <f>'[9]Total 2027 - 2029'!J30-'[9]Plana 2027 - 2029'!J30</f>
        <v>712.49732042544929</v>
      </c>
      <c r="K30" s="56">
        <f>'[9]Total 2027 - 2029'!K30-'[9]Plana 2027 - 2029'!K30</f>
        <v>733.81893358284651</v>
      </c>
      <c r="L30" s="56">
        <f>'[9]Total 2027 - 2029'!L30-'[9]Plana 2027 - 2029'!L30</f>
        <v>2142.5588066551245</v>
      </c>
      <c r="M30" s="56">
        <f>'[9]Total 2027 - 2029'!M30-'[9]Plana 2027 - 2029'!M30</f>
        <v>3172.0935834112606</v>
      </c>
      <c r="N30" s="56">
        <f>'[9]Total 2027 - 2029'!N30-'[9]Plana 2027 - 2029'!N30</f>
        <v>4338.573389005709</v>
      </c>
      <c r="O30" s="56">
        <f>'[9]Total 2027 - 2029'!O30-'[9]Plana 2027 - 2029'!O30</f>
        <v>5505.9772859176519</v>
      </c>
      <c r="P30" s="56">
        <f>'[9]Total 2027 - 2029'!P30-'[9]Plana 2027 - 2029'!P30</f>
        <v>4922.2613394623841</v>
      </c>
      <c r="Q30" s="56">
        <f>'[9]Total 2027 - 2029'!Q30-'[9]Plana 2027 - 2029'!Q30</f>
        <v>5744.7742479757071</v>
      </c>
      <c r="R30" s="56">
        <f>'[9]Total 2027 - 2029'!R30-'[9]Plana 2027 - 2029'!R30</f>
        <v>6713.3866983371736</v>
      </c>
      <c r="S30" s="56">
        <f>'[9]Total 2027 - 2029'!S30-'[9]Plana 2027 - 2029'!S30</f>
        <v>5963.8906867403712</v>
      </c>
      <c r="T30" s="56">
        <f>'[9]Total 2027 - 2029'!T30-'[9]Plana 2027 - 2029'!T30</f>
        <v>4930.203043958154</v>
      </c>
      <c r="U30" s="56">
        <f>'[9]Total 2027 - 2029'!U30-'[9]Plana 2027 - 2029'!U30</f>
        <v>6017.9850203404421</v>
      </c>
      <c r="V30" s="56">
        <f>'[9]Total 2027 - 2029'!V30-'[9]Plana 2027 - 2029'!V30</f>
        <v>8386.6995145116416</v>
      </c>
      <c r="W30" s="56">
        <f>'[9]Total 2027 - 2029'!W30-'[9]Plana 2027 - 2029'!W30</f>
        <v>9305.901570838585</v>
      </c>
      <c r="X30" s="56">
        <f>'[9]Total 2027 - 2029'!X30-'[9]Plana 2027 - 2029'!X30</f>
        <v>9258.9655464122843</v>
      </c>
      <c r="Y30" s="56">
        <f>'[9]Total 2027 - 2029'!Y30-'[9]Plana 2027 - 2029'!Y30</f>
        <v>8504.126393687271</v>
      </c>
      <c r="Z30" s="56">
        <f>'[9]Total 2027 - 2029'!Z30-'[9]Plana 2027 - 2029'!Z30</f>
        <v>7262.2064803519715</v>
      </c>
      <c r="AA30" s="56">
        <f>'[9]Total 2027 - 2029'!AA30-'[9]Plana 2027 - 2029'!AA30</f>
        <v>5590.444856642127</v>
      </c>
      <c r="AB30" s="57">
        <f t="shared" si="0"/>
        <v>2192497.7648192393</v>
      </c>
      <c r="AC30" s="62">
        <f>SUM(AB30:AB32)</f>
        <v>3585088.68186964</v>
      </c>
    </row>
    <row r="31" spans="1:29" x14ac:dyDescent="0.25">
      <c r="A31" s="58"/>
      <c r="B31" s="59" t="s">
        <v>17</v>
      </c>
      <c r="C31" s="55">
        <v>5</v>
      </c>
      <c r="D31" s="56">
        <f>'[9]Total 2027 - 2029'!D31-'[9]Plana 2027 - 2029'!D31</f>
        <v>2438.2920917233623</v>
      </c>
      <c r="E31" s="56">
        <f>'[9]Total 2027 - 2029'!E31-'[9]Plana 2027 - 2029'!E31</f>
        <v>1371.2453601252746</v>
      </c>
      <c r="F31" s="56">
        <f>'[9]Total 2027 - 2029'!F31-'[9]Plana 2027 - 2029'!F31</f>
        <v>830.96082995850702</v>
      </c>
      <c r="G31" s="56">
        <f>'[9]Total 2027 - 2029'!G31-'[9]Plana 2027 - 2029'!G31</f>
        <v>1.0291475738667941</v>
      </c>
      <c r="H31" s="56">
        <f>'[9]Total 2027 - 2029'!H31-'[9]Plana 2027 - 2029'!H31</f>
        <v>565.15006615418133</v>
      </c>
      <c r="I31" s="56">
        <f>'[9]Total 2027 - 2029'!I31-'[9]Plana 2027 - 2029'!I31</f>
        <v>0</v>
      </c>
      <c r="J31" s="56">
        <f>'[9]Total 2027 - 2029'!J31-'[9]Plana 2027 - 2029'!J31</f>
        <v>785.12942142736756</v>
      </c>
      <c r="K31" s="56">
        <f>'[9]Total 2027 - 2029'!K31-'[9]Plana 2027 - 2029'!K31</f>
        <v>1378.1349851627201</v>
      </c>
      <c r="L31" s="56">
        <f>'[9]Total 2027 - 2029'!L31-'[9]Plana 2027 - 2029'!L31</f>
        <v>3498.2963157787726</v>
      </c>
      <c r="M31" s="56">
        <f>'[9]Total 2027 - 2029'!M31-'[9]Plana 2027 - 2029'!M31</f>
        <v>4639.6146868235173</v>
      </c>
      <c r="N31" s="56">
        <f>'[9]Total 2027 - 2029'!N31-'[9]Plana 2027 - 2029'!N31</f>
        <v>6160.2522809444345</v>
      </c>
      <c r="O31" s="56">
        <f>'[9]Total 2027 - 2029'!O31-'[9]Plana 2027 - 2029'!O31</f>
        <v>7293.0306585187172</v>
      </c>
      <c r="P31" s="56">
        <f>'[9]Total 2027 - 2029'!P31-'[9]Plana 2027 - 2029'!P31</f>
        <v>6027.004784306795</v>
      </c>
      <c r="Q31" s="56">
        <f>'[9]Total 2027 - 2029'!Q31-'[9]Plana 2027 - 2029'!Q31</f>
        <v>7526.9484189642972</v>
      </c>
      <c r="R31" s="56">
        <f>'[9]Total 2027 - 2029'!R31-'[9]Plana 2027 - 2029'!R31</f>
        <v>8623.2843284054325</v>
      </c>
      <c r="S31" s="56">
        <f>'[9]Total 2027 - 2029'!S31-'[9]Plana 2027 - 2029'!S31</f>
        <v>7737.6882961172487</v>
      </c>
      <c r="T31" s="56">
        <f>'[9]Total 2027 - 2029'!T31-'[9]Plana 2027 - 2029'!T31</f>
        <v>6653.1888556857812</v>
      </c>
      <c r="U31" s="56">
        <f>'[9]Total 2027 - 2029'!U31-'[9]Plana 2027 - 2029'!U31</f>
        <v>7283.7516976858678</v>
      </c>
      <c r="V31" s="56">
        <f>'[9]Total 2027 - 2029'!V31-'[9]Plana 2027 - 2029'!V31</f>
        <v>8577.9647445656628</v>
      </c>
      <c r="W31" s="56">
        <f>'[9]Total 2027 - 2029'!W31-'[9]Plana 2027 - 2029'!W31</f>
        <v>8926.0204814779754</v>
      </c>
      <c r="X31" s="56">
        <f>'[9]Total 2027 - 2029'!X31-'[9]Plana 2027 - 2029'!X31</f>
        <v>9613.5869500918416</v>
      </c>
      <c r="Y31" s="56">
        <f>'[9]Total 2027 - 2029'!Y31-'[9]Plana 2027 - 2029'!Y31</f>
        <v>8592.2605905745622</v>
      </c>
      <c r="Z31" s="56">
        <f>'[9]Total 2027 - 2029'!Z31-'[9]Plana 2027 - 2029'!Z31</f>
        <v>7338.4498641938117</v>
      </c>
      <c r="AA31" s="56">
        <f>'[9]Total 2027 - 2029'!AA31-'[9]Plana 2027 - 2029'!AA31</f>
        <v>5477.984708268501</v>
      </c>
      <c r="AB31" s="57">
        <f t="shared" si="0"/>
        <v>606696.34782264242</v>
      </c>
      <c r="AC31" s="63"/>
    </row>
    <row r="32" spans="1:29" x14ac:dyDescent="0.25">
      <c r="A32" s="58"/>
      <c r="B32" s="59" t="s">
        <v>18</v>
      </c>
      <c r="C32" s="55">
        <v>6</v>
      </c>
      <c r="D32" s="56">
        <f>'[9]Total 2027 - 2029'!D32-'[9]Plana 2027 - 2029'!D32</f>
        <v>3005.7672966882128</v>
      </c>
      <c r="E32" s="56">
        <f>'[9]Total 2027 - 2029'!E32-'[9]Plana 2027 - 2029'!E32</f>
        <v>1816.8070603236429</v>
      </c>
      <c r="F32" s="56">
        <f>'[9]Total 2027 - 2029'!F32-'[9]Plana 2027 - 2029'!F32</f>
        <v>1104.2737634956629</v>
      </c>
      <c r="G32" s="56">
        <f>'[9]Total 2027 - 2029'!G32-'[9]Plana 2027 - 2029'!G32</f>
        <v>139.1764863521239</v>
      </c>
      <c r="H32" s="56">
        <f>'[9]Total 2027 - 2029'!H32-'[9]Plana 2027 - 2029'!H32</f>
        <v>380.707302141318</v>
      </c>
      <c r="I32" s="56">
        <f>'[9]Total 2027 - 2029'!I32-'[9]Plana 2027 - 2029'!I32</f>
        <v>0</v>
      </c>
      <c r="J32" s="56">
        <f>'[9]Total 2027 - 2029'!J32-'[9]Plana 2027 - 2029'!J32</f>
        <v>711.22668819803584</v>
      </c>
      <c r="K32" s="56">
        <f>'[9]Total 2027 - 2029'!K32-'[9]Plana 2027 - 2029'!K32</f>
        <v>1297.044479542019</v>
      </c>
      <c r="L32" s="56">
        <f>'[9]Total 2027 - 2029'!L32-'[9]Plana 2027 - 2029'!L32</f>
        <v>3686.7144922315347</v>
      </c>
      <c r="M32" s="56">
        <f>'[9]Total 2027 - 2029'!M32-'[9]Plana 2027 - 2029'!M32</f>
        <v>5246.1104043948126</v>
      </c>
      <c r="N32" s="56">
        <f>'[9]Total 2027 - 2029'!N32-'[9]Plana 2027 - 2029'!N32</f>
        <v>6862.0589017173006</v>
      </c>
      <c r="O32" s="56">
        <f>'[9]Total 2027 - 2029'!O32-'[9]Plana 2027 - 2029'!O32</f>
        <v>7913.8220838405032</v>
      </c>
      <c r="P32" s="56">
        <f>'[9]Total 2027 - 2029'!P32-'[9]Plana 2027 - 2029'!P32</f>
        <v>6227.5027773734182</v>
      </c>
      <c r="Q32" s="56">
        <f>'[9]Total 2027 - 2029'!Q32-'[9]Plana 2027 - 2029'!Q32</f>
        <v>7717.7667799259689</v>
      </c>
      <c r="R32" s="56">
        <f>'[9]Total 2027 - 2029'!R32-'[9]Plana 2027 - 2029'!R32</f>
        <v>9056.5953965259723</v>
      </c>
      <c r="S32" s="56">
        <f>'[9]Total 2027 - 2029'!S32-'[9]Plana 2027 - 2029'!S32</f>
        <v>8355.2109523456165</v>
      </c>
      <c r="T32" s="56">
        <f>'[9]Total 2027 - 2029'!T32-'[9]Plana 2027 - 2029'!T32</f>
        <v>7744.6505033808899</v>
      </c>
      <c r="U32" s="56">
        <f>'[9]Total 2027 - 2029'!U32-'[9]Plana 2027 - 2029'!U32</f>
        <v>8084.5968515445893</v>
      </c>
      <c r="V32" s="56">
        <f>'[9]Total 2027 - 2029'!V32-'[9]Plana 2027 - 2029'!V32</f>
        <v>9529.3450972854989</v>
      </c>
      <c r="W32" s="56">
        <f>'[9]Total 2027 - 2029'!W32-'[9]Plana 2027 - 2029'!W32</f>
        <v>9660.3219058369505</v>
      </c>
      <c r="X32" s="56">
        <f>'[9]Total 2027 - 2029'!X32-'[9]Plana 2027 - 2029'!X32</f>
        <v>9955.2794988654059</v>
      </c>
      <c r="Y32" s="56">
        <f>'[9]Total 2027 - 2029'!Y32-'[9]Plana 2027 - 2029'!Y32</f>
        <v>8875.5269724006939</v>
      </c>
      <c r="Z32" s="56">
        <f>'[9]Total 2027 - 2029'!Z32-'[9]Plana 2027 - 2029'!Z32</f>
        <v>7744.9324511132472</v>
      </c>
      <c r="AA32" s="56">
        <f>'[9]Total 2027 - 2029'!AA32-'[9]Plana 2027 - 2029'!AA32</f>
        <v>5866.9900591029473</v>
      </c>
      <c r="AB32" s="57">
        <f t="shared" si="0"/>
        <v>785894.5692277581</v>
      </c>
      <c r="AC32" s="64"/>
    </row>
    <row r="33" spans="1:29" x14ac:dyDescent="0.25">
      <c r="A33" s="53">
        <v>46692</v>
      </c>
      <c r="B33" s="54" t="s">
        <v>16</v>
      </c>
      <c r="C33" s="55">
        <v>20</v>
      </c>
      <c r="D33" s="56">
        <f>'[9]Total 2027 - 2029'!D33-'[9]Plana 2027 - 2029'!D33</f>
        <v>3395.1649037520929</v>
      </c>
      <c r="E33" s="56">
        <f>'[9]Total 2027 - 2029'!E33-'[9]Plana 2027 - 2029'!E33</f>
        <v>2197.9348059165495</v>
      </c>
      <c r="F33" s="56">
        <f>'[9]Total 2027 - 2029'!F33-'[9]Plana 2027 - 2029'!F33</f>
        <v>1449.2512857768033</v>
      </c>
      <c r="G33" s="56">
        <f>'[9]Total 2027 - 2029'!G33-'[9]Plana 2027 - 2029'!G33</f>
        <v>913.69705801491182</v>
      </c>
      <c r="H33" s="56">
        <f>'[9]Total 2027 - 2029'!H33-'[9]Plana 2027 - 2029'!H33</f>
        <v>508.3036913733431</v>
      </c>
      <c r="I33" s="56">
        <f>'[9]Total 2027 - 2029'!I33-'[9]Plana 2027 - 2029'!I33</f>
        <v>0</v>
      </c>
      <c r="J33" s="56">
        <f>'[9]Total 2027 - 2029'!J33-'[9]Plana 2027 - 2029'!J33</f>
        <v>297.66489851432743</v>
      </c>
      <c r="K33" s="56">
        <f>'[9]Total 2027 - 2029'!K33-'[9]Plana 2027 - 2029'!K33</f>
        <v>1928.5293219524883</v>
      </c>
      <c r="L33" s="56">
        <f>'[9]Total 2027 - 2029'!L33-'[9]Plana 2027 - 2029'!L33</f>
        <v>3255.5763874144995</v>
      </c>
      <c r="M33" s="56">
        <f>'[9]Total 2027 - 2029'!M33-'[9]Plana 2027 - 2029'!M33</f>
        <v>4267.8577560301801</v>
      </c>
      <c r="N33" s="56">
        <f>'[9]Total 2027 - 2029'!N33-'[9]Plana 2027 - 2029'!N33</f>
        <v>5308.3585751071787</v>
      </c>
      <c r="O33" s="56">
        <f>'[9]Total 2027 - 2029'!O33-'[9]Plana 2027 - 2029'!O33</f>
        <v>6480.8451217661477</v>
      </c>
      <c r="P33" s="56">
        <f>'[9]Total 2027 - 2029'!P33-'[9]Plana 2027 - 2029'!P33</f>
        <v>5871.8835001550269</v>
      </c>
      <c r="Q33" s="56">
        <f>'[9]Total 2027 - 2029'!Q33-'[9]Plana 2027 - 2029'!Q33</f>
        <v>6773.6436054962996</v>
      </c>
      <c r="R33" s="56">
        <f>'[9]Total 2027 - 2029'!R33-'[9]Plana 2027 - 2029'!R33</f>
        <v>7511.7834012257608</v>
      </c>
      <c r="S33" s="56">
        <f>'[9]Total 2027 - 2029'!S33-'[9]Plana 2027 - 2029'!S33</f>
        <v>7410.0448001422865</v>
      </c>
      <c r="T33" s="56">
        <f>'[9]Total 2027 - 2029'!T33-'[9]Plana 2027 - 2029'!T33</f>
        <v>6309.4840660740792</v>
      </c>
      <c r="U33" s="56">
        <f>'[9]Total 2027 - 2029'!U33-'[9]Plana 2027 - 2029'!U33</f>
        <v>7865.013265935484</v>
      </c>
      <c r="V33" s="56">
        <f>'[9]Total 2027 - 2029'!V33-'[9]Plana 2027 - 2029'!V33</f>
        <v>8953.2752323093282</v>
      </c>
      <c r="W33" s="56">
        <f>'[9]Total 2027 - 2029'!W33-'[9]Plana 2027 - 2029'!W33</f>
        <v>8645.1014811633304</v>
      </c>
      <c r="X33" s="56">
        <f>'[9]Total 2027 - 2029'!X33-'[9]Plana 2027 - 2029'!X33</f>
        <v>8707.3630870682337</v>
      </c>
      <c r="Y33" s="56">
        <f>'[9]Total 2027 - 2029'!Y33-'[9]Plana 2027 - 2029'!Y33</f>
        <v>8074.3833580389382</v>
      </c>
      <c r="Z33" s="56">
        <f>'[9]Total 2027 - 2029'!Z33-'[9]Plana 2027 - 2029'!Z33</f>
        <v>6774.6935683838146</v>
      </c>
      <c r="AA33" s="56">
        <f>'[9]Total 2027 - 2029'!AA33-'[9]Plana 2027 - 2029'!AA33</f>
        <v>5705.6281378554468</v>
      </c>
      <c r="AB33" s="57">
        <f t="shared" si="0"/>
        <v>2372109.6261893311</v>
      </c>
      <c r="AC33" s="62">
        <f>SUM(AB33:AB35)</f>
        <v>3673830.5023923516</v>
      </c>
    </row>
    <row r="34" spans="1:29" x14ac:dyDescent="0.25">
      <c r="A34" s="58"/>
      <c r="B34" s="59" t="s">
        <v>17</v>
      </c>
      <c r="C34" s="55">
        <v>4</v>
      </c>
      <c r="D34" s="56">
        <f>'[9]Total 2027 - 2029'!D34-'[9]Plana 2027 - 2029'!D34</f>
        <v>3191.748303935974</v>
      </c>
      <c r="E34" s="56">
        <f>'[9]Total 2027 - 2029'!E34-'[9]Plana 2027 - 2029'!E34</f>
        <v>1865.0091253166174</v>
      </c>
      <c r="F34" s="56">
        <f>'[9]Total 2027 - 2029'!F34-'[9]Plana 2027 - 2029'!F34</f>
        <v>1055.8419377052523</v>
      </c>
      <c r="G34" s="56">
        <f>'[9]Total 2027 - 2029'!G34-'[9]Plana 2027 - 2029'!G34</f>
        <v>509.6890501350008</v>
      </c>
      <c r="H34" s="56">
        <f>'[9]Total 2027 - 2029'!H34-'[9]Plana 2027 - 2029'!H34</f>
        <v>201.01173194041075</v>
      </c>
      <c r="I34" s="56">
        <f>'[9]Total 2027 - 2029'!I34-'[9]Plana 2027 - 2029'!I34</f>
        <v>0</v>
      </c>
      <c r="J34" s="56">
        <f>'[9]Total 2027 - 2029'!J34-'[9]Plana 2027 - 2029'!J34</f>
        <v>300.74704583197308</v>
      </c>
      <c r="K34" s="56">
        <f>'[9]Total 2027 - 2029'!K34-'[9]Plana 2027 - 2029'!K34</f>
        <v>2202.1262148394344</v>
      </c>
      <c r="L34" s="56">
        <f>'[9]Total 2027 - 2029'!L34-'[9]Plana 2027 - 2029'!L34</f>
        <v>3971.6422948741347</v>
      </c>
      <c r="M34" s="56">
        <f>'[9]Total 2027 - 2029'!M34-'[9]Plana 2027 - 2029'!M34</f>
        <v>4932.8022796317382</v>
      </c>
      <c r="N34" s="56">
        <f>'[9]Total 2027 - 2029'!N34-'[9]Plana 2027 - 2029'!N34</f>
        <v>5722.7005247543311</v>
      </c>
      <c r="O34" s="56">
        <f>'[9]Total 2027 - 2029'!O34-'[9]Plana 2027 - 2029'!O34</f>
        <v>6653.603836473776</v>
      </c>
      <c r="P34" s="56">
        <f>'[9]Total 2027 - 2029'!P34-'[9]Plana 2027 - 2029'!P34</f>
        <v>5214.9276338959535</v>
      </c>
      <c r="Q34" s="56">
        <f>'[9]Total 2027 - 2029'!Q34-'[9]Plana 2027 - 2029'!Q34</f>
        <v>6602.2753798846315</v>
      </c>
      <c r="R34" s="56">
        <f>'[9]Total 2027 - 2029'!R34-'[9]Plana 2027 - 2029'!R34</f>
        <v>7840.398314214508</v>
      </c>
      <c r="S34" s="56">
        <f>'[9]Total 2027 - 2029'!S34-'[9]Plana 2027 - 2029'!S34</f>
        <v>7655.751913482909</v>
      </c>
      <c r="T34" s="56">
        <f>'[9]Total 2027 - 2029'!T34-'[9]Plana 2027 - 2029'!T34</f>
        <v>6694.5231645733838</v>
      </c>
      <c r="U34" s="56">
        <f>'[9]Total 2027 - 2029'!U34-'[9]Plana 2027 - 2029'!U34</f>
        <v>7727.5181162438312</v>
      </c>
      <c r="V34" s="56">
        <f>'[9]Total 2027 - 2029'!V34-'[9]Plana 2027 - 2029'!V34</f>
        <v>8063.909912665702</v>
      </c>
      <c r="W34" s="56">
        <f>'[9]Total 2027 - 2029'!W34-'[9]Plana 2027 - 2029'!W34</f>
        <v>7546.583177772678</v>
      </c>
      <c r="X34" s="56">
        <f>'[9]Total 2027 - 2029'!X34-'[9]Plana 2027 - 2029'!X34</f>
        <v>7480.6573349864593</v>
      </c>
      <c r="Y34" s="56">
        <f>'[9]Total 2027 - 2029'!Y34-'[9]Plana 2027 - 2029'!Y34</f>
        <v>6627.4181660157083</v>
      </c>
      <c r="Z34" s="56">
        <f>'[9]Total 2027 - 2029'!Z34-'[9]Plana 2027 - 2029'!Z34</f>
        <v>5170.1921163451152</v>
      </c>
      <c r="AA34" s="56">
        <f>'[9]Total 2027 - 2029'!AA34-'[9]Plana 2027 - 2029'!AA34</f>
        <v>3853.3448713129219</v>
      </c>
      <c r="AB34" s="57">
        <f t="shared" si="0"/>
        <v>444337.68978732976</v>
      </c>
      <c r="AC34" s="63"/>
    </row>
    <row r="35" spans="1:29" x14ac:dyDescent="0.25">
      <c r="A35" s="58"/>
      <c r="B35" s="59" t="s">
        <v>18</v>
      </c>
      <c r="C35" s="55">
        <v>6</v>
      </c>
      <c r="D35" s="56">
        <f>'[9]Total 2027 - 2029'!D35-'[9]Plana 2027 - 2029'!D35</f>
        <v>2462.8140846875613</v>
      </c>
      <c r="E35" s="56">
        <f>'[9]Total 2027 - 2029'!E35-'[9]Plana 2027 - 2029'!E35</f>
        <v>1365.8628906853664</v>
      </c>
      <c r="F35" s="56">
        <f>'[9]Total 2027 - 2029'!F35-'[9]Plana 2027 - 2029'!F35</f>
        <v>740.0540247049139</v>
      </c>
      <c r="G35" s="56">
        <f>'[9]Total 2027 - 2029'!G35-'[9]Plana 2027 - 2029'!G35</f>
        <v>270.60068395477174</v>
      </c>
      <c r="H35" s="56">
        <f>'[9]Total 2027 - 2029'!H35-'[9]Plana 2027 - 2029'!H35</f>
        <v>0</v>
      </c>
      <c r="I35" s="56">
        <f>'[9]Total 2027 - 2029'!I35-'[9]Plana 2027 - 2029'!I35</f>
        <v>115.31741986219458</v>
      </c>
      <c r="J35" s="56">
        <f>'[9]Total 2027 - 2029'!J35-'[9]Plana 2027 - 2029'!J35</f>
        <v>624.9611984450421</v>
      </c>
      <c r="K35" s="56">
        <f>'[9]Total 2027 - 2029'!K35-'[9]Plana 2027 - 2029'!K35</f>
        <v>3025.4366492017089</v>
      </c>
      <c r="L35" s="56">
        <f>'[9]Total 2027 - 2029'!L35-'[9]Plana 2027 - 2029'!L35</f>
        <v>5224.3382953819801</v>
      </c>
      <c r="M35" s="56">
        <f>'[9]Total 2027 - 2029'!M35-'[9]Plana 2027 - 2029'!M35</f>
        <v>6796.2858769565264</v>
      </c>
      <c r="N35" s="56">
        <f>'[9]Total 2027 - 2029'!N35-'[9]Plana 2027 - 2029'!N35</f>
        <v>8128.541648931905</v>
      </c>
      <c r="O35" s="56">
        <f>'[9]Total 2027 - 2029'!O35-'[9]Plana 2027 - 2029'!O35</f>
        <v>9255.3961491318896</v>
      </c>
      <c r="P35" s="56">
        <f>'[9]Total 2027 - 2029'!P35-'[9]Plana 2027 - 2029'!P35</f>
        <v>7412.9899640924432</v>
      </c>
      <c r="Q35" s="56">
        <f>'[9]Total 2027 - 2029'!Q35-'[9]Plana 2027 - 2029'!Q35</f>
        <v>8752.7212059956819</v>
      </c>
      <c r="R35" s="56">
        <f>'[9]Total 2027 - 2029'!R35-'[9]Plana 2027 - 2029'!R35</f>
        <v>9910.2596513676381</v>
      </c>
      <c r="S35" s="56">
        <f>'[9]Total 2027 - 2029'!S35-'[9]Plana 2027 - 2029'!S35</f>
        <v>9623.9606985261944</v>
      </c>
      <c r="T35" s="56">
        <f>'[9]Total 2027 - 2029'!T35-'[9]Plana 2027 - 2029'!T35</f>
        <v>8293.2650695973371</v>
      </c>
      <c r="U35" s="56">
        <f>'[9]Total 2027 - 2029'!U35-'[9]Plana 2027 - 2029'!U35</f>
        <v>9313.3617279006521</v>
      </c>
      <c r="V35" s="56">
        <f>'[9]Total 2027 - 2029'!V35-'[9]Plana 2027 - 2029'!V35</f>
        <v>9691.0771245751221</v>
      </c>
      <c r="W35" s="56">
        <f>'[9]Total 2027 - 2029'!W35-'[9]Plana 2027 - 2029'!W35</f>
        <v>9143.1580888234257</v>
      </c>
      <c r="X35" s="56">
        <f>'[9]Total 2027 - 2029'!X35-'[9]Plana 2027 - 2029'!X35</f>
        <v>9082.8126068438269</v>
      </c>
      <c r="Y35" s="56">
        <f>'[9]Total 2027 - 2029'!Y35-'[9]Plana 2027 - 2029'!Y35</f>
        <v>9113.8861293157588</v>
      </c>
      <c r="Z35" s="56">
        <f>'[9]Total 2027 - 2029'!Z35-'[9]Plana 2027 - 2029'!Z35</f>
        <v>8166.3782414090147</v>
      </c>
      <c r="AA35" s="56">
        <f>'[9]Total 2027 - 2029'!AA35-'[9]Plana 2027 - 2029'!AA35</f>
        <v>6383.7183055575206</v>
      </c>
      <c r="AB35" s="57">
        <f t="shared" si="0"/>
        <v>857383.18641569093</v>
      </c>
      <c r="AC35" s="64"/>
    </row>
    <row r="36" spans="1:29" x14ac:dyDescent="0.25">
      <c r="A36" s="53">
        <v>46722</v>
      </c>
      <c r="B36" s="54" t="s">
        <v>16</v>
      </c>
      <c r="C36" s="55">
        <v>22</v>
      </c>
      <c r="D36" s="56">
        <f>'[9]Total 2027 - 2029'!D36-'[9]Plana 2027 - 2029'!D36</f>
        <v>3384.0524245638262</v>
      </c>
      <c r="E36" s="56">
        <f>'[9]Total 2027 - 2029'!E36-'[9]Plana 2027 - 2029'!E36</f>
        <v>2434.3278586015113</v>
      </c>
      <c r="F36" s="56">
        <f>'[9]Total 2027 - 2029'!F36-'[9]Plana 2027 - 2029'!F36</f>
        <v>1611.6980784983098</v>
      </c>
      <c r="G36" s="56">
        <f>'[9]Total 2027 - 2029'!G36-'[9]Plana 2027 - 2029'!G36</f>
        <v>832.6058891066732</v>
      </c>
      <c r="H36" s="56">
        <f>'[9]Total 2027 - 2029'!H36-'[9]Plana 2027 - 2029'!H36</f>
        <v>223.31850309082984</v>
      </c>
      <c r="I36" s="56">
        <f>'[9]Total 2027 - 2029'!I36-'[9]Plana 2027 - 2029'!I36</f>
        <v>35.920385442768747</v>
      </c>
      <c r="J36" s="56">
        <f>'[9]Total 2027 - 2029'!J36-'[9]Plana 2027 - 2029'!J36</f>
        <v>0</v>
      </c>
      <c r="K36" s="56">
        <f>'[9]Total 2027 - 2029'!K36-'[9]Plana 2027 - 2029'!K36</f>
        <v>1328.8060211561533</v>
      </c>
      <c r="L36" s="56">
        <f>'[9]Total 2027 - 2029'!L36-'[9]Plana 2027 - 2029'!L36</f>
        <v>2822.6722270946229</v>
      </c>
      <c r="M36" s="56">
        <f>'[9]Total 2027 - 2029'!M36-'[9]Plana 2027 - 2029'!M36</f>
        <v>4008.9849733059382</v>
      </c>
      <c r="N36" s="56">
        <f>'[9]Total 2027 - 2029'!N36-'[9]Plana 2027 - 2029'!N36</f>
        <v>5126.878126097934</v>
      </c>
      <c r="O36" s="56">
        <f>'[9]Total 2027 - 2029'!O36-'[9]Plana 2027 - 2029'!O36</f>
        <v>6393.742189763685</v>
      </c>
      <c r="P36" s="56">
        <f>'[9]Total 2027 - 2029'!P36-'[9]Plana 2027 - 2029'!P36</f>
        <v>5613.3226814238333</v>
      </c>
      <c r="Q36" s="56">
        <f>'[9]Total 2027 - 2029'!Q36-'[9]Plana 2027 - 2029'!Q36</f>
        <v>7061.4496549201976</v>
      </c>
      <c r="R36" s="56">
        <f>'[9]Total 2027 - 2029'!R36-'[9]Plana 2027 - 2029'!R36</f>
        <v>8498.6313127258181</v>
      </c>
      <c r="S36" s="56">
        <f>'[9]Total 2027 - 2029'!S36-'[9]Plana 2027 - 2029'!S36</f>
        <v>8166.348035515166</v>
      </c>
      <c r="T36" s="56">
        <f>'[9]Total 2027 - 2029'!T36-'[9]Plana 2027 - 2029'!T36</f>
        <v>6795.2745573318716</v>
      </c>
      <c r="U36" s="56">
        <f>'[9]Total 2027 - 2029'!U36-'[9]Plana 2027 - 2029'!U36</f>
        <v>8241.2301762330935</v>
      </c>
      <c r="V36" s="56">
        <f>'[9]Total 2027 - 2029'!V36-'[9]Plana 2027 - 2029'!V36</f>
        <v>9263.2404927893695</v>
      </c>
      <c r="W36" s="56">
        <f>'[9]Total 2027 - 2029'!W36-'[9]Plana 2027 - 2029'!W36</f>
        <v>8945.0732107762669</v>
      </c>
      <c r="X36" s="56">
        <f>'[9]Total 2027 - 2029'!X36-'[9]Plana 2027 - 2029'!X36</f>
        <v>8336.2152758730699</v>
      </c>
      <c r="Y36" s="56">
        <f>'[9]Total 2027 - 2029'!Y36-'[9]Plana 2027 - 2029'!Y36</f>
        <v>7767.9228441538435</v>
      </c>
      <c r="Z36" s="56">
        <f>'[9]Total 2027 - 2029'!Z36-'[9]Plana 2027 - 2029'!Z36</f>
        <v>6951.9071651171798</v>
      </c>
      <c r="AA36" s="56">
        <f>'[9]Total 2027 - 2029'!AA36-'[9]Plana 2027 - 2029'!AA36</f>
        <v>5824.2171790304419</v>
      </c>
      <c r="AB36" s="57">
        <f t="shared" si="0"/>
        <v>2632692.4637774727</v>
      </c>
      <c r="AC36" s="62">
        <f>SUM(AB36:AB38)</f>
        <v>3835730.0570282782</v>
      </c>
    </row>
    <row r="37" spans="1:29" x14ac:dyDescent="0.25">
      <c r="A37" s="58"/>
      <c r="B37" s="59" t="s">
        <v>17</v>
      </c>
      <c r="C37" s="55">
        <v>4</v>
      </c>
      <c r="D37" s="56">
        <f>'[9]Total 2027 - 2029'!D37-'[9]Plana 2027 - 2029'!D37</f>
        <v>3248.9801675502877</v>
      </c>
      <c r="E37" s="56">
        <f>'[9]Total 2027 - 2029'!E37-'[9]Plana 2027 - 2029'!E37</f>
        <v>2335.7208310494589</v>
      </c>
      <c r="F37" s="56">
        <f>'[9]Total 2027 - 2029'!F37-'[9]Plana 2027 - 2029'!F37</f>
        <v>1493.4388436464524</v>
      </c>
      <c r="G37" s="56">
        <f>'[9]Total 2027 - 2029'!G37-'[9]Plana 2027 - 2029'!G37</f>
        <v>724.67384611005036</v>
      </c>
      <c r="H37" s="56">
        <f>'[9]Total 2027 - 2029'!H37-'[9]Plana 2027 - 2029'!H37</f>
        <v>152.99547710400293</v>
      </c>
      <c r="I37" s="56">
        <f>'[9]Total 2027 - 2029'!I37-'[9]Plana 2027 - 2029'!I37</f>
        <v>93.98083250216223</v>
      </c>
      <c r="J37" s="56">
        <f>'[9]Total 2027 - 2029'!J37-'[9]Plana 2027 - 2029'!J37</f>
        <v>0</v>
      </c>
      <c r="K37" s="56">
        <f>'[9]Total 2027 - 2029'!K37-'[9]Plana 2027 - 2029'!K37</f>
        <v>1718.7829327085983</v>
      </c>
      <c r="L37" s="56">
        <f>'[9]Total 2027 - 2029'!L37-'[9]Plana 2027 - 2029'!L37</f>
        <v>3566.8095808041271</v>
      </c>
      <c r="M37" s="56">
        <f>'[9]Total 2027 - 2029'!M37-'[9]Plana 2027 - 2029'!M37</f>
        <v>4861.7068983411464</v>
      </c>
      <c r="N37" s="56">
        <f>'[9]Total 2027 - 2029'!N37-'[9]Plana 2027 - 2029'!N37</f>
        <v>6088.2341846222207</v>
      </c>
      <c r="O37" s="56">
        <f>'[9]Total 2027 - 2029'!O37-'[9]Plana 2027 - 2029'!O37</f>
        <v>7464.4315969388936</v>
      </c>
      <c r="P37" s="56">
        <f>'[9]Total 2027 - 2029'!P37-'[9]Plana 2027 - 2029'!P37</f>
        <v>6130.0679700872915</v>
      </c>
      <c r="Q37" s="56">
        <f>'[9]Total 2027 - 2029'!Q37-'[9]Plana 2027 - 2029'!Q37</f>
        <v>8032.585048002953</v>
      </c>
      <c r="R37" s="56">
        <f>'[9]Total 2027 - 2029'!R37-'[9]Plana 2027 - 2029'!R37</f>
        <v>9987.4100442810759</v>
      </c>
      <c r="S37" s="56">
        <f>'[9]Total 2027 - 2029'!S37-'[9]Plana 2027 - 2029'!S37</f>
        <v>9628.4732546224059</v>
      </c>
      <c r="T37" s="56">
        <f>'[9]Total 2027 - 2029'!T37-'[9]Plana 2027 - 2029'!T37</f>
        <v>8085.600923004271</v>
      </c>
      <c r="U37" s="56">
        <f>'[9]Total 2027 - 2029'!U37-'[9]Plana 2027 - 2029'!U37</f>
        <v>9018.0076600077464</v>
      </c>
      <c r="V37" s="56">
        <f>'[9]Total 2027 - 2029'!V37-'[9]Plana 2027 - 2029'!V37</f>
        <v>9718.5131547829897</v>
      </c>
      <c r="W37" s="56">
        <f>'[9]Total 2027 - 2029'!W37-'[9]Plana 2027 - 2029'!W37</f>
        <v>9246.3368719752307</v>
      </c>
      <c r="X37" s="56">
        <f>'[9]Total 2027 - 2029'!X37-'[9]Plana 2027 - 2029'!X37</f>
        <v>8869.6225599324152</v>
      </c>
      <c r="Y37" s="56">
        <f>'[9]Total 2027 - 2029'!Y37-'[9]Plana 2027 - 2029'!Y37</f>
        <v>8379.3675823300418</v>
      </c>
      <c r="Z37" s="56">
        <f>'[9]Total 2027 - 2029'!Z37-'[9]Plana 2027 - 2029'!Z37</f>
        <v>7332.0996007133344</v>
      </c>
      <c r="AA37" s="56">
        <f>'[9]Total 2027 - 2029'!AA37-'[9]Plana 2027 - 2029'!AA37</f>
        <v>5881.0667889675624</v>
      </c>
      <c r="AB37" s="57">
        <f t="shared" si="0"/>
        <v>528235.62660033884</v>
      </c>
      <c r="AC37" s="63"/>
    </row>
    <row r="38" spans="1:29" x14ac:dyDescent="0.25">
      <c r="A38" s="58"/>
      <c r="B38" s="59" t="s">
        <v>18</v>
      </c>
      <c r="C38" s="55">
        <v>5</v>
      </c>
      <c r="D38" s="56">
        <f>'[9]Total 2027 - 2029'!D38-'[9]Plana 2027 - 2029'!D38</f>
        <v>3026.4750246430831</v>
      </c>
      <c r="E38" s="56">
        <f>'[9]Total 2027 - 2029'!E38-'[9]Plana 2027 - 2029'!E38</f>
        <v>2050.6198734198024</v>
      </c>
      <c r="F38" s="56">
        <f>'[9]Total 2027 - 2029'!F38-'[9]Plana 2027 - 2029'!F38</f>
        <v>1219.1304463785655</v>
      </c>
      <c r="G38" s="56">
        <f>'[9]Total 2027 - 2029'!G38-'[9]Plana 2027 - 2029'!G38</f>
        <v>455.45722756141186</v>
      </c>
      <c r="H38" s="56">
        <f>'[9]Total 2027 - 2029'!H38-'[9]Plana 2027 - 2029'!H38</f>
        <v>0</v>
      </c>
      <c r="I38" s="56">
        <f>'[9]Total 2027 - 2029'!I38-'[9]Plana 2027 - 2029'!I38</f>
        <v>169.35183442627749</v>
      </c>
      <c r="J38" s="56">
        <f>'[9]Total 2027 - 2029'!J38-'[9]Plana 2027 - 2029'!J38</f>
        <v>377.73196964853742</v>
      </c>
      <c r="K38" s="56">
        <f>'[9]Total 2027 - 2029'!K38-'[9]Plana 2027 - 2029'!K38</f>
        <v>2055.0459364043199</v>
      </c>
      <c r="L38" s="56">
        <f>'[9]Total 2027 - 2029'!L38-'[9]Plana 2027 - 2029'!L38</f>
        <v>4067.5557069365877</v>
      </c>
      <c r="M38" s="56">
        <f>'[9]Total 2027 - 2029'!M38-'[9]Plana 2027 - 2029'!M38</f>
        <v>5488.9119755817137</v>
      </c>
      <c r="N38" s="56">
        <f>'[9]Total 2027 - 2029'!N38-'[9]Plana 2027 - 2029'!N38</f>
        <v>6842.0744264539589</v>
      </c>
      <c r="O38" s="56">
        <f>'[9]Total 2027 - 2029'!O38-'[9]Plana 2027 - 2029'!O38</f>
        <v>8189.4118872388481</v>
      </c>
      <c r="P38" s="56">
        <f>'[9]Total 2027 - 2029'!P38-'[9]Plana 2027 - 2029'!P38</f>
        <v>6717.1269663213188</v>
      </c>
      <c r="Q38" s="56">
        <f>'[9]Total 2027 - 2029'!Q38-'[9]Plana 2027 - 2029'!Q38</f>
        <v>8582.595130396001</v>
      </c>
      <c r="R38" s="56">
        <f>'[9]Total 2027 - 2029'!R38-'[9]Plana 2027 - 2029'!R38</f>
        <v>10374.428251533967</v>
      </c>
      <c r="S38" s="56">
        <f>'[9]Total 2027 - 2029'!S38-'[9]Plana 2027 - 2029'!S38</f>
        <v>9906.6615582996474</v>
      </c>
      <c r="T38" s="56">
        <f>'[9]Total 2027 - 2029'!T38-'[9]Plana 2027 - 2029'!T38</f>
        <v>8426.6428348130739</v>
      </c>
      <c r="U38" s="56">
        <f>'[9]Total 2027 - 2029'!U38-'[9]Plana 2027 - 2029'!U38</f>
        <v>9550.6292531611125</v>
      </c>
      <c r="V38" s="56">
        <f>'[9]Total 2027 - 2029'!V38-'[9]Plana 2027 - 2029'!V38</f>
        <v>9771.1410587568917</v>
      </c>
      <c r="W38" s="56">
        <f>'[9]Total 2027 - 2029'!W38-'[9]Plana 2027 - 2029'!W38</f>
        <v>9028.5788476471116</v>
      </c>
      <c r="X38" s="56">
        <f>'[9]Total 2027 - 2029'!X38-'[9]Plana 2027 - 2029'!X38</f>
        <v>8280.7968397378809</v>
      </c>
      <c r="Y38" s="56">
        <f>'[9]Total 2027 - 2029'!Y38-'[9]Plana 2027 - 2029'!Y38</f>
        <v>7811.847212680228</v>
      </c>
      <c r="Z38" s="56">
        <f>'[9]Total 2027 - 2029'!Z38-'[9]Plana 2027 - 2029'!Z38</f>
        <v>6966.9155685717578</v>
      </c>
      <c r="AA38" s="56">
        <f>'[9]Total 2027 - 2029'!AA38-'[9]Plana 2027 - 2029'!AA38</f>
        <v>5601.2634994812634</v>
      </c>
      <c r="AB38" s="57">
        <f t="shared" si="0"/>
        <v>674801.96665046678</v>
      </c>
      <c r="AC38" s="64"/>
    </row>
    <row r="39" spans="1:29" x14ac:dyDescent="0.25">
      <c r="A39" s="53">
        <v>46753</v>
      </c>
      <c r="B39" s="54" t="s">
        <v>16</v>
      </c>
      <c r="C39" s="55">
        <v>20</v>
      </c>
      <c r="D39" s="56">
        <f>'[9]Total 2027 - 2029'!D39-'[9]Plana 2027 - 2029'!D39</f>
        <v>2817.3374588242223</v>
      </c>
      <c r="E39" s="56">
        <f>'[9]Total 2027 - 2029'!E39-'[9]Plana 2027 - 2029'!E39</f>
        <v>2070.7747240303252</v>
      </c>
      <c r="F39" s="56">
        <f>'[9]Total 2027 - 2029'!F39-'[9]Plana 2027 - 2029'!F39</f>
        <v>1497.7474448340035</v>
      </c>
      <c r="G39" s="56">
        <f>'[9]Total 2027 - 2029'!G39-'[9]Plana 2027 - 2029'!G39</f>
        <v>999.47467017637973</v>
      </c>
      <c r="H39" s="56">
        <f>'[9]Total 2027 - 2029'!H39-'[9]Plana 2027 - 2029'!H39</f>
        <v>602.10170744739298</v>
      </c>
      <c r="I39" s="56">
        <f>'[9]Total 2027 - 2029'!I39-'[9]Plana 2027 - 2029'!I39</f>
        <v>176.98204722351511</v>
      </c>
      <c r="J39" s="56">
        <f>'[9]Total 2027 - 2029'!J39-'[9]Plana 2027 - 2029'!J39</f>
        <v>0</v>
      </c>
      <c r="K39" s="56">
        <f>'[9]Total 2027 - 2029'!K39-'[9]Plana 2027 - 2029'!K39</f>
        <v>1190.2819955226496</v>
      </c>
      <c r="L39" s="56">
        <f>'[9]Total 2027 - 2029'!L39-'[9]Plana 2027 - 2029'!L39</f>
        <v>2052.0001342406504</v>
      </c>
      <c r="M39" s="56">
        <f>'[9]Total 2027 - 2029'!M39-'[9]Plana 2027 - 2029'!M39</f>
        <v>2747.0556460714906</v>
      </c>
      <c r="N39" s="56">
        <f>'[9]Total 2027 - 2029'!N39-'[9]Plana 2027 - 2029'!N39</f>
        <v>2614.0357681037476</v>
      </c>
      <c r="O39" s="56">
        <f>'[9]Total 2027 - 2029'!O39-'[9]Plana 2027 - 2029'!O39</f>
        <v>2505.6755114866792</v>
      </c>
      <c r="P39" s="56">
        <f>'[9]Total 2027 - 2029'!P39-'[9]Plana 2027 - 2029'!P39</f>
        <v>2618.4390153440127</v>
      </c>
      <c r="Q39" s="56">
        <f>'[9]Total 2027 - 2029'!Q39-'[9]Plana 2027 - 2029'!Q39</f>
        <v>2457.5784505125466</v>
      </c>
      <c r="R39" s="56">
        <f>'[9]Total 2027 - 2029'!R39-'[9]Plana 2027 - 2029'!R39</f>
        <v>2312.0845888170152</v>
      </c>
      <c r="S39" s="56">
        <f>'[9]Total 2027 - 2029'!S39-'[9]Plana 2027 - 2029'!S39</f>
        <v>2337.6056820366484</v>
      </c>
      <c r="T39" s="56">
        <f>'[9]Total 2027 - 2029'!T39-'[9]Plana 2027 - 2029'!T39</f>
        <v>2428.8629369377359</v>
      </c>
      <c r="U39" s="56">
        <f>'[9]Total 2027 - 2029'!U39-'[9]Plana 2027 - 2029'!U39</f>
        <v>2445.6592646921854</v>
      </c>
      <c r="V39" s="56">
        <f>'[9]Total 2027 - 2029'!V39-'[9]Plana 2027 - 2029'!V39</f>
        <v>2051.7021566004096</v>
      </c>
      <c r="W39" s="56">
        <f>'[9]Total 2027 - 2029'!W39-'[9]Plana 2027 - 2029'!W39</f>
        <v>1992.7083261230036</v>
      </c>
      <c r="X39" s="56">
        <f>'[9]Total 2027 - 2029'!X39-'[9]Plana 2027 - 2029'!X39</f>
        <v>2056.5396316744991</v>
      </c>
      <c r="Y39" s="56">
        <f>'[9]Total 2027 - 2029'!Y39-'[9]Plana 2027 - 2029'!Y39</f>
        <v>2183.514014672237</v>
      </c>
      <c r="Z39" s="56">
        <f>'[9]Total 2027 - 2029'!Z39-'[9]Plana 2027 - 2029'!Z39</f>
        <v>2428.6511059861132</v>
      </c>
      <c r="AA39" s="56">
        <f>'[9]Total 2027 - 2029'!AA39-'[9]Plana 2027 - 2029'!AA39</f>
        <v>2649.6145393609295</v>
      </c>
      <c r="AB39" s="57">
        <f>SUM(D39:AA39)*C39</f>
        <v>944728.53641436808</v>
      </c>
      <c r="AC39" s="62">
        <f>SUM(AB39:AB41)</f>
        <v>1625720.7245805806</v>
      </c>
    </row>
    <row r="40" spans="1:29" x14ac:dyDescent="0.25">
      <c r="A40" s="58"/>
      <c r="B40" s="59" t="s">
        <v>17</v>
      </c>
      <c r="C40" s="55">
        <v>5</v>
      </c>
      <c r="D40" s="56">
        <f>'[9]Total 2027 - 2029'!D40-'[9]Plana 2027 - 2029'!D40</f>
        <v>2460.6036284271795</v>
      </c>
      <c r="E40" s="56">
        <f>'[9]Total 2027 - 2029'!E40-'[9]Plana 2027 - 2029'!E40</f>
        <v>1479.8063048721306</v>
      </c>
      <c r="F40" s="56">
        <f>'[9]Total 2027 - 2029'!F40-'[9]Plana 2027 - 2029'!F40</f>
        <v>934.86937576013042</v>
      </c>
      <c r="G40" s="56">
        <f>'[9]Total 2027 - 2029'!G40-'[9]Plana 2027 - 2029'!G40</f>
        <v>429.76482762785417</v>
      </c>
      <c r="H40" s="56">
        <f>'[9]Total 2027 - 2029'!H40-'[9]Plana 2027 - 2029'!H40</f>
        <v>169.74363121889655</v>
      </c>
      <c r="I40" s="56">
        <f>'[9]Total 2027 - 2029'!I40-'[9]Plana 2027 - 2029'!I40</f>
        <v>182.39414596556344</v>
      </c>
      <c r="J40" s="56">
        <f>'[9]Total 2027 - 2029'!J40-'[9]Plana 2027 - 2029'!J40</f>
        <v>0</v>
      </c>
      <c r="K40" s="56">
        <f>'[9]Total 2027 - 2029'!K40-'[9]Plana 2027 - 2029'!K40</f>
        <v>1483.9937956850063</v>
      </c>
      <c r="L40" s="56">
        <f>'[9]Total 2027 - 2029'!L40-'[9]Plana 2027 - 2029'!L40</f>
        <v>2694.0222252547737</v>
      </c>
      <c r="M40" s="56">
        <f>'[9]Total 2027 - 2029'!M40-'[9]Plana 2027 - 2029'!M40</f>
        <v>3147.071631867726</v>
      </c>
      <c r="N40" s="56">
        <f>'[9]Total 2027 - 2029'!N40-'[9]Plana 2027 - 2029'!N40</f>
        <v>3024.8974813559071</v>
      </c>
      <c r="O40" s="56">
        <f>'[9]Total 2027 - 2029'!O40-'[9]Plana 2027 - 2029'!O40</f>
        <v>2931.5433246298107</v>
      </c>
      <c r="P40" s="56">
        <f>'[9]Total 2027 - 2029'!P40-'[9]Plana 2027 - 2029'!P40</f>
        <v>2985.525212504388</v>
      </c>
      <c r="Q40" s="56">
        <f>'[9]Total 2027 - 2029'!Q40-'[9]Plana 2027 - 2029'!Q40</f>
        <v>2873.4213508588346</v>
      </c>
      <c r="R40" s="56">
        <f>'[9]Total 2027 - 2029'!R40-'[9]Plana 2027 - 2029'!R40</f>
        <v>2787.4453223041583</v>
      </c>
      <c r="S40" s="56">
        <f>'[9]Total 2027 - 2029'!S40-'[9]Plana 2027 - 2029'!S40</f>
        <v>2813.0887091947134</v>
      </c>
      <c r="T40" s="56">
        <f>'[9]Total 2027 - 2029'!T40-'[9]Plana 2027 - 2029'!T40</f>
        <v>2903.8665032607205</v>
      </c>
      <c r="U40" s="56">
        <f>'[9]Total 2027 - 2029'!U40-'[9]Plana 2027 - 2029'!U40</f>
        <v>2874.7256776093873</v>
      </c>
      <c r="V40" s="56">
        <f>'[9]Total 2027 - 2029'!V40-'[9]Plana 2027 - 2029'!V40</f>
        <v>2435.0463140096144</v>
      </c>
      <c r="W40" s="56">
        <f>'[9]Total 2027 - 2029'!W40-'[9]Plana 2027 - 2029'!W40</f>
        <v>2356.118271714704</v>
      </c>
      <c r="X40" s="56">
        <f>'[9]Total 2027 - 2029'!X40-'[9]Plana 2027 - 2029'!X40</f>
        <v>2411.2770657020919</v>
      </c>
      <c r="Y40" s="56">
        <f>'[9]Total 2027 - 2029'!Y40-'[9]Plana 2027 - 2029'!Y40</f>
        <v>2536.9396413587328</v>
      </c>
      <c r="Z40" s="56">
        <f>'[9]Total 2027 - 2029'!Z40-'[9]Plana 2027 - 2029'!Z40</f>
        <v>2744.8720379582919</v>
      </c>
      <c r="AA40" s="56">
        <f>'[9]Total 2027 - 2029'!AA40-'[9]Plana 2027 - 2029'!AA40</f>
        <v>2934.9630530333925</v>
      </c>
      <c r="AB40" s="57">
        <f>SUM(D40:AA40)*C40</f>
        <v>257979.99766086999</v>
      </c>
      <c r="AC40" s="63"/>
    </row>
    <row r="41" spans="1:29" x14ac:dyDescent="0.25">
      <c r="A41" s="58"/>
      <c r="B41" s="59" t="s">
        <v>18</v>
      </c>
      <c r="C41" s="55">
        <v>6</v>
      </c>
      <c r="D41" s="56">
        <f>'[9]Total 2027 - 2029'!D41-'[9]Plana 2027 - 2029'!D41</f>
        <v>2121.4727448718204</v>
      </c>
      <c r="E41" s="56">
        <f>'[9]Total 2027 - 2029'!E41-'[9]Plana 2027 - 2029'!E41</f>
        <v>1226.6999983546175</v>
      </c>
      <c r="F41" s="56">
        <f>'[9]Total 2027 - 2029'!F41-'[9]Plana 2027 - 2029'!F41</f>
        <v>811.99067843714329</v>
      </c>
      <c r="G41" s="56">
        <f>'[9]Total 2027 - 2029'!G41-'[9]Plana 2027 - 2029'!G41</f>
        <v>244.60976486694381</v>
      </c>
      <c r="H41" s="56">
        <f>'[9]Total 2027 - 2029'!H41-'[9]Plana 2027 - 2029'!H41</f>
        <v>0</v>
      </c>
      <c r="I41" s="56">
        <f>'[9]Total 2027 - 2029'!I41-'[9]Plana 2027 - 2029'!I41</f>
        <v>74.772127664469735</v>
      </c>
      <c r="J41" s="56">
        <f>'[9]Total 2027 - 2029'!J41-'[9]Plana 2027 - 2029'!J41</f>
        <v>51.133050115946389</v>
      </c>
      <c r="K41" s="56">
        <f>'[9]Total 2027 - 2029'!K41-'[9]Plana 2027 - 2029'!K41</f>
        <v>1594.8184584988994</v>
      </c>
      <c r="L41" s="56">
        <f>'[9]Total 2027 - 2029'!L41-'[9]Plana 2027 - 2029'!L41</f>
        <v>3167.4997581510415</v>
      </c>
      <c r="M41" s="56">
        <f>'[9]Total 2027 - 2029'!M41-'[9]Plana 2027 - 2029'!M41</f>
        <v>4352.8572864431681</v>
      </c>
      <c r="N41" s="56">
        <f>'[9]Total 2027 - 2029'!N41-'[9]Plana 2027 - 2029'!N41</f>
        <v>4372.3991329760629</v>
      </c>
      <c r="O41" s="56">
        <f>'[9]Total 2027 - 2029'!O41-'[9]Plana 2027 - 2029'!O41</f>
        <v>4295.4378843934792</v>
      </c>
      <c r="P41" s="56">
        <f>'[9]Total 2027 - 2029'!P41-'[9]Plana 2027 - 2029'!P41</f>
        <v>4310.6444541978599</v>
      </c>
      <c r="Q41" s="56">
        <f>'[9]Total 2027 - 2029'!Q41-'[9]Plana 2027 - 2029'!Q41</f>
        <v>4213.7203852374078</v>
      </c>
      <c r="R41" s="56">
        <f>'[9]Total 2027 - 2029'!R41-'[9]Plana 2027 - 2029'!R41</f>
        <v>4133.7780397257902</v>
      </c>
      <c r="S41" s="56">
        <f>'[9]Total 2027 - 2029'!S41-'[9]Plana 2027 - 2029'!S41</f>
        <v>4131.8001211420742</v>
      </c>
      <c r="T41" s="56">
        <f>'[9]Total 2027 - 2029'!T41-'[9]Plana 2027 - 2029'!T41</f>
        <v>4202.6901558179688</v>
      </c>
      <c r="U41" s="56">
        <f>'[9]Total 2027 - 2029'!U41-'[9]Plana 2027 - 2029'!U41</f>
        <v>4176.5360620643823</v>
      </c>
      <c r="V41" s="56">
        <f>'[9]Total 2027 - 2029'!V41-'[9]Plana 2027 - 2029'!V41</f>
        <v>3739.8293200815606</v>
      </c>
      <c r="W41" s="56">
        <f>'[9]Total 2027 - 2029'!W41-'[9]Plana 2027 - 2029'!W41</f>
        <v>3630.7216103670507</v>
      </c>
      <c r="X41" s="56">
        <f>'[9]Total 2027 - 2029'!X41-'[9]Plana 2027 - 2029'!X41</f>
        <v>3662.0415750160118</v>
      </c>
      <c r="Y41" s="56">
        <f>'[9]Total 2027 - 2029'!Y41-'[9]Plana 2027 - 2029'!Y41</f>
        <v>3785.7798962033685</v>
      </c>
      <c r="Z41" s="56">
        <f>'[9]Total 2027 - 2029'!Z41-'[9]Plana 2027 - 2029'!Z41</f>
        <v>3999.885025972766</v>
      </c>
      <c r="AA41" s="56">
        <f>'[9]Total 2027 - 2029'!AA41-'[9]Plana 2027 - 2029'!AA41</f>
        <v>4200.9142202905987</v>
      </c>
      <c r="AB41" s="57">
        <f t="shared" ref="AB41:AB74" si="1">SUM(D41:AA41)*C41</f>
        <v>423012.19050534256</v>
      </c>
      <c r="AC41" s="64"/>
    </row>
    <row r="42" spans="1:29" x14ac:dyDescent="0.25">
      <c r="A42" s="53">
        <v>46784</v>
      </c>
      <c r="B42" s="54" t="s">
        <v>16</v>
      </c>
      <c r="C42" s="55">
        <v>21</v>
      </c>
      <c r="D42" s="56">
        <f>'[9]Total 2027 - 2029'!D42-'[9]Plana 2027 - 2029'!D42</f>
        <v>791.16221650372245</v>
      </c>
      <c r="E42" s="56">
        <f>'[9]Total 2027 - 2029'!E42-'[9]Plana 2027 - 2029'!E42</f>
        <v>902.48869557562284</v>
      </c>
      <c r="F42" s="56">
        <f>'[9]Total 2027 - 2029'!F42-'[9]Plana 2027 - 2029'!F42</f>
        <v>988.40703021978698</v>
      </c>
      <c r="G42" s="56">
        <f>'[9]Total 2027 - 2029'!G42-'[9]Plana 2027 - 2029'!G42</f>
        <v>1059.772758644076</v>
      </c>
      <c r="H42" s="56">
        <f>'[9]Total 2027 - 2029'!H42-'[9]Plana 2027 - 2029'!H42</f>
        <v>1082.0401724241583</v>
      </c>
      <c r="I42" s="56">
        <f>'[9]Total 2027 - 2029'!I42-'[9]Plana 2027 - 2029'!I42</f>
        <v>1027.3942253472505</v>
      </c>
      <c r="J42" s="56">
        <f>'[9]Total 2027 - 2029'!J42-'[9]Plana 2027 - 2029'!J42</f>
        <v>1109.8072897039874</v>
      </c>
      <c r="K42" s="56">
        <f>'[9]Total 2027 - 2029'!K42-'[9]Plana 2027 - 2029'!K42</f>
        <v>1017.1555359722115</v>
      </c>
      <c r="L42" s="56">
        <f>'[9]Total 2027 - 2029'!L42-'[9]Plana 2027 - 2029'!L42</f>
        <v>842.21542514263638</v>
      </c>
      <c r="M42" s="56">
        <f>'[9]Total 2027 - 2029'!M42-'[9]Plana 2027 - 2029'!M42</f>
        <v>732.27444366837699</v>
      </c>
      <c r="N42" s="56">
        <f>'[9]Total 2027 - 2029'!N42-'[9]Plana 2027 - 2029'!N42</f>
        <v>608.11873902744264</v>
      </c>
      <c r="O42" s="56">
        <f>'[9]Total 2027 - 2029'!O42-'[9]Plana 2027 - 2029'!O42</f>
        <v>496.13818730946878</v>
      </c>
      <c r="P42" s="56">
        <f>'[9]Total 2027 - 2029'!P42-'[9]Plana 2027 - 2029'!P42</f>
        <v>625.77652480033976</v>
      </c>
      <c r="Q42" s="56">
        <f>'[9]Total 2027 - 2029'!Q42-'[9]Plana 2027 - 2029'!Q42</f>
        <v>434.98955082526481</v>
      </c>
      <c r="R42" s="56">
        <f>'[9]Total 2027 - 2029'!R42-'[9]Plana 2027 - 2029'!R42</f>
        <v>284.11367039863944</v>
      </c>
      <c r="S42" s="56">
        <f>'[9]Total 2027 - 2029'!S42-'[9]Plana 2027 - 2029'!S42</f>
        <v>292.61524921116688</v>
      </c>
      <c r="T42" s="56">
        <f>'[9]Total 2027 - 2029'!T42-'[9]Plana 2027 - 2029'!T42</f>
        <v>385.30902628240619</v>
      </c>
      <c r="U42" s="56">
        <f>'[9]Total 2027 - 2029'!U42-'[9]Plana 2027 - 2029'!U42</f>
        <v>430.96183460650718</v>
      </c>
      <c r="V42" s="56">
        <f>'[9]Total 2027 - 2029'!V42-'[9]Plana 2027 - 2029'!V42</f>
        <v>108.94022853333445</v>
      </c>
      <c r="W42" s="56">
        <f>'[9]Total 2027 - 2029'!W42-'[9]Plana 2027 - 2029'!W42</f>
        <v>0</v>
      </c>
      <c r="X42" s="56">
        <f>'[9]Total 2027 - 2029'!X42-'[9]Plana 2027 - 2029'!X42</f>
        <v>35.092696858555428</v>
      </c>
      <c r="Y42" s="56">
        <f>'[9]Total 2027 - 2029'!Y42-'[9]Plana 2027 - 2029'!Y42</f>
        <v>163.02377667346263</v>
      </c>
      <c r="Z42" s="56">
        <f>'[9]Total 2027 - 2029'!Z42-'[9]Plana 2027 - 2029'!Z42</f>
        <v>395.44896516152767</v>
      </c>
      <c r="AA42" s="56">
        <f>'[9]Total 2027 - 2029'!AA42-'[9]Plana 2027 - 2029'!AA42</f>
        <v>621.58423789983863</v>
      </c>
      <c r="AB42" s="57">
        <f t="shared" si="1"/>
        <v>303131.44009658549</v>
      </c>
      <c r="AC42" s="62">
        <f>SUM(AB42:AB44)</f>
        <v>422276.74662716221</v>
      </c>
    </row>
    <row r="43" spans="1:29" x14ac:dyDescent="0.25">
      <c r="A43" s="58"/>
      <c r="B43" s="59" t="s">
        <v>17</v>
      </c>
      <c r="C43" s="55">
        <v>4</v>
      </c>
      <c r="D43" s="56">
        <f>'[9]Total 2027 - 2029'!D43-'[9]Plana 2027 - 2029'!D43</f>
        <v>712.23710631593167</v>
      </c>
      <c r="E43" s="56">
        <f>'[9]Total 2027 - 2029'!E43-'[9]Plana 2027 - 2029'!E43</f>
        <v>817.41743438881895</v>
      </c>
      <c r="F43" s="56">
        <f>'[9]Total 2027 - 2029'!F43-'[9]Plana 2027 - 2029'!F43</f>
        <v>795.86004494916779</v>
      </c>
      <c r="G43" s="56">
        <f>'[9]Total 2027 - 2029'!G43-'[9]Plana 2027 - 2029'!G43</f>
        <v>235.47486843097249</v>
      </c>
      <c r="H43" s="56">
        <f>'[9]Total 2027 - 2029'!H43-'[9]Plana 2027 - 2029'!H43</f>
        <v>0</v>
      </c>
      <c r="I43" s="56">
        <f>'[9]Total 2027 - 2029'!I43-'[9]Plana 2027 - 2029'!I43</f>
        <v>238.21304060545845</v>
      </c>
      <c r="J43" s="56">
        <f>'[9]Total 2027 - 2029'!J43-'[9]Plana 2027 - 2029'!J43</f>
        <v>147.76133685223249</v>
      </c>
      <c r="K43" s="56">
        <f>'[9]Total 2027 - 2029'!K43-'[9]Plana 2027 - 2029'!K43</f>
        <v>995.91864292337777</v>
      </c>
      <c r="L43" s="56">
        <f>'[9]Total 2027 - 2029'!L43-'[9]Plana 2027 - 2029'!L43</f>
        <v>853.89597665024121</v>
      </c>
      <c r="M43" s="56">
        <f>'[9]Total 2027 - 2029'!M43-'[9]Plana 2027 - 2029'!M43</f>
        <v>756.10225835194433</v>
      </c>
      <c r="N43" s="56">
        <f>'[9]Total 2027 - 2029'!N43-'[9]Plana 2027 - 2029'!N43</f>
        <v>649.54414691275451</v>
      </c>
      <c r="O43" s="56">
        <f>'[9]Total 2027 - 2029'!O43-'[9]Plana 2027 - 2029'!O43</f>
        <v>560.53037899298215</v>
      </c>
      <c r="P43" s="56">
        <f>'[9]Total 2027 - 2029'!P43-'[9]Plana 2027 - 2029'!P43</f>
        <v>642.22736622094999</v>
      </c>
      <c r="Q43" s="56">
        <f>'[9]Total 2027 - 2029'!Q43-'[9]Plana 2027 - 2029'!Q43</f>
        <v>506.31321736736572</v>
      </c>
      <c r="R43" s="56">
        <f>'[9]Total 2027 - 2029'!R43-'[9]Plana 2027 - 2029'!R43</f>
        <v>386.2333253938632</v>
      </c>
      <c r="S43" s="56">
        <f>'[9]Total 2027 - 2029'!S43-'[9]Plana 2027 - 2029'!S43</f>
        <v>395.27167801876931</v>
      </c>
      <c r="T43" s="56">
        <f>'[9]Total 2027 - 2029'!T43-'[9]Plana 2027 - 2029'!T43</f>
        <v>481.94229293062563</v>
      </c>
      <c r="U43" s="56">
        <f>'[9]Total 2027 - 2029'!U43-'[9]Plana 2027 - 2029'!U43</f>
        <v>494.51316644374856</v>
      </c>
      <c r="V43" s="56">
        <f>'[9]Total 2027 - 2029'!V43-'[9]Plana 2027 - 2029'!V43</f>
        <v>152.45741717446981</v>
      </c>
      <c r="W43" s="56">
        <f>'[9]Total 2027 - 2029'!W43-'[9]Plana 2027 - 2029'!W43</f>
        <v>29.181226266106023</v>
      </c>
      <c r="X43" s="56">
        <f>'[9]Total 2027 - 2029'!X43-'[9]Plana 2027 - 2029'!X43</f>
        <v>66.071751009121726</v>
      </c>
      <c r="Y43" s="56">
        <f>'[9]Total 2027 - 2029'!Y43-'[9]Plana 2027 - 2029'!Y43</f>
        <v>186.8556281777619</v>
      </c>
      <c r="Z43" s="56">
        <f>'[9]Total 2027 - 2029'!Z43-'[9]Plana 2027 - 2029'!Z43</f>
        <v>379.13546336285981</v>
      </c>
      <c r="AA43" s="56">
        <f>'[9]Total 2027 - 2029'!AA43-'[9]Plana 2027 - 2029'!AA43</f>
        <v>569.87699123433777</v>
      </c>
      <c r="AB43" s="57">
        <f t="shared" si="1"/>
        <v>44212.139035895445</v>
      </c>
      <c r="AC43" s="63"/>
    </row>
    <row r="44" spans="1:29" x14ac:dyDescent="0.25">
      <c r="A44" s="58"/>
      <c r="B44" s="59" t="s">
        <v>18</v>
      </c>
      <c r="C44" s="55">
        <v>4</v>
      </c>
      <c r="D44" s="56">
        <f>'[9]Total 2027 - 2029'!D44-'[9]Plana 2027 - 2029'!D44</f>
        <v>1062.8113277803241</v>
      </c>
      <c r="E44" s="56">
        <f>'[9]Total 2027 - 2029'!E44-'[9]Plana 2027 - 2029'!E44</f>
        <v>1164.9009878981997</v>
      </c>
      <c r="F44" s="56">
        <f>'[9]Total 2027 - 2029'!F44-'[9]Plana 2027 - 2029'!F44</f>
        <v>839.74003884571903</v>
      </c>
      <c r="G44" s="56">
        <f>'[9]Total 2027 - 2029'!G44-'[9]Plana 2027 - 2029'!G44</f>
        <v>259.48510408641232</v>
      </c>
      <c r="H44" s="56">
        <f>'[9]Total 2027 - 2029'!H44-'[9]Plana 2027 - 2029'!H44</f>
        <v>0</v>
      </c>
      <c r="I44" s="56">
        <f>'[9]Total 2027 - 2029'!I44-'[9]Plana 2027 - 2029'!I44</f>
        <v>400.69592486650072</v>
      </c>
      <c r="J44" s="56">
        <f>'[9]Total 2027 - 2029'!J44-'[9]Plana 2027 - 2029'!J44</f>
        <v>372.06032245504139</v>
      </c>
      <c r="K44" s="56">
        <f>'[9]Total 2027 - 2029'!K44-'[9]Plana 2027 - 2029'!K44</f>
        <v>1365.4728521561283</v>
      </c>
      <c r="L44" s="56">
        <f>'[9]Total 2027 - 2029'!L44-'[9]Plana 2027 - 2029'!L44</f>
        <v>1252.6946677947417</v>
      </c>
      <c r="M44" s="56">
        <f>'[9]Total 2027 - 2029'!M44-'[9]Plana 2027 - 2029'!M44</f>
        <v>1187.9338738573006</v>
      </c>
      <c r="N44" s="56">
        <f>'[9]Total 2027 - 2029'!N44-'[9]Plana 2027 - 2029'!N44</f>
        <v>1096.5345111400493</v>
      </c>
      <c r="O44" s="56">
        <f>'[9]Total 2027 - 2029'!O44-'[9]Plana 2027 - 2029'!O44</f>
        <v>1001.4050850016247</v>
      </c>
      <c r="P44" s="56">
        <f>'[9]Total 2027 - 2029'!P44-'[9]Plana 2027 - 2029'!P44</f>
        <v>1043.3228350510999</v>
      </c>
      <c r="Q44" s="56">
        <f>'[9]Total 2027 - 2029'!Q44-'[9]Plana 2027 - 2029'!Q44</f>
        <v>912.79257267243338</v>
      </c>
      <c r="R44" s="56">
        <f>'[9]Total 2027 - 2029'!R44-'[9]Plana 2027 - 2029'!R44</f>
        <v>789.99271385500651</v>
      </c>
      <c r="S44" s="56">
        <f>'[9]Total 2027 - 2029'!S44-'[9]Plana 2027 - 2029'!S44</f>
        <v>800.698494824097</v>
      </c>
      <c r="T44" s="56">
        <f>'[9]Total 2027 - 2029'!T44-'[9]Plana 2027 - 2029'!T44</f>
        <v>871.23415337597362</v>
      </c>
      <c r="U44" s="56">
        <f>'[9]Total 2027 - 2029'!U44-'[9]Plana 2027 - 2029'!U44</f>
        <v>877.30080327259748</v>
      </c>
      <c r="V44" s="56">
        <f>'[9]Total 2027 - 2029'!V44-'[9]Plana 2027 - 2029'!V44</f>
        <v>516.77266475497345</v>
      </c>
      <c r="W44" s="56">
        <f>'[9]Total 2027 - 2029'!W44-'[9]Plana 2027 - 2029'!W44</f>
        <v>373.52385564601354</v>
      </c>
      <c r="X44" s="56">
        <f>'[9]Total 2027 - 2029'!X44-'[9]Plana 2027 - 2029'!X44</f>
        <v>394.12341528048273</v>
      </c>
      <c r="Y44" s="56">
        <f>'[9]Total 2027 - 2029'!Y44-'[9]Plana 2027 - 2029'!Y44</f>
        <v>504.67010173860399</v>
      </c>
      <c r="Z44" s="56">
        <f>'[9]Total 2027 - 2029'!Z44-'[9]Plana 2027 - 2029'!Z44</f>
        <v>724.63434938816499</v>
      </c>
      <c r="AA44" s="56">
        <f>'[9]Total 2027 - 2029'!AA44-'[9]Plana 2027 - 2029'!AA44</f>
        <v>920.4912179288167</v>
      </c>
      <c r="AB44" s="57">
        <f t="shared" si="1"/>
        <v>74933.167494681227</v>
      </c>
      <c r="AC44" s="64"/>
    </row>
    <row r="45" spans="1:29" x14ac:dyDescent="0.25">
      <c r="A45" s="53">
        <v>46813</v>
      </c>
      <c r="B45" s="54" t="s">
        <v>16</v>
      </c>
      <c r="C45" s="55">
        <v>22</v>
      </c>
      <c r="D45" s="56">
        <f>'[9]Total 2027 - 2029'!D45-'[9]Plana 2027 - 2029'!D45</f>
        <v>655.92599005606644</v>
      </c>
      <c r="E45" s="56">
        <f>'[9]Total 2027 - 2029'!E45-'[9]Plana 2027 - 2029'!E45</f>
        <v>767.24837527183445</v>
      </c>
      <c r="F45" s="56">
        <f>'[9]Total 2027 - 2029'!F45-'[9]Plana 2027 - 2029'!F45</f>
        <v>856.6531847917613</v>
      </c>
      <c r="G45" s="56">
        <f>'[9]Total 2027 - 2029'!G45-'[9]Plana 2027 - 2029'!G45</f>
        <v>925.84746956658455</v>
      </c>
      <c r="H45" s="56">
        <f>'[9]Total 2027 - 2029'!H45-'[9]Plana 2027 - 2029'!H45</f>
        <v>953.96996953021335</v>
      </c>
      <c r="I45" s="56">
        <f>'[9]Total 2027 - 2029'!I45-'[9]Plana 2027 - 2029'!I45</f>
        <v>933.99175426806687</v>
      </c>
      <c r="J45" s="56">
        <f>'[9]Total 2027 - 2029'!J45-'[9]Plana 2027 - 2029'!J45</f>
        <v>1021.992942989873</v>
      </c>
      <c r="K45" s="56">
        <f>'[9]Total 2027 - 2029'!K45-'[9]Plana 2027 - 2029'!K45</f>
        <v>993.7507253271433</v>
      </c>
      <c r="L45" s="56">
        <f>'[9]Total 2027 - 2029'!L45-'[9]Plana 2027 - 2029'!L45</f>
        <v>785.04749496299155</v>
      </c>
      <c r="M45" s="56">
        <f>'[9]Total 2027 - 2029'!M45-'[9]Plana 2027 - 2029'!M45</f>
        <v>672.94130341022355</v>
      </c>
      <c r="N45" s="56">
        <f>'[9]Total 2027 - 2029'!N45-'[9]Plana 2027 - 2029'!N45</f>
        <v>559.18766178672377</v>
      </c>
      <c r="O45" s="56">
        <f>'[9]Total 2027 - 2029'!O45-'[9]Plana 2027 - 2029'!O45</f>
        <v>477.49431036338319</v>
      </c>
      <c r="P45" s="56">
        <f>'[9]Total 2027 - 2029'!P45-'[9]Plana 2027 - 2029'!P45</f>
        <v>597.49016280904834</v>
      </c>
      <c r="Q45" s="56">
        <f>'[9]Total 2027 - 2029'!Q45-'[9]Plana 2027 - 2029'!Q45</f>
        <v>434.81827297297605</v>
      </c>
      <c r="R45" s="56">
        <f>'[9]Total 2027 - 2029'!R45-'[9]Plana 2027 - 2029'!R45</f>
        <v>294.83231330628769</v>
      </c>
      <c r="S45" s="56">
        <f>'[9]Total 2027 - 2029'!S45-'[9]Plana 2027 - 2029'!S45</f>
        <v>308.39053952998802</v>
      </c>
      <c r="T45" s="56">
        <f>'[9]Total 2027 - 2029'!T45-'[9]Plana 2027 - 2029'!T45</f>
        <v>385.79424432335691</v>
      </c>
      <c r="U45" s="56">
        <f>'[9]Total 2027 - 2029'!U45-'[9]Plana 2027 - 2029'!U45</f>
        <v>413.0996349559482</v>
      </c>
      <c r="V45" s="56">
        <f>'[9]Total 2027 - 2029'!V45-'[9]Plana 2027 - 2029'!V45</f>
        <v>180.58150688566639</v>
      </c>
      <c r="W45" s="56">
        <f>'[9]Total 2027 - 2029'!W45-'[9]Plana 2027 - 2029'!W45</f>
        <v>0</v>
      </c>
      <c r="X45" s="56">
        <f>'[9]Total 2027 - 2029'!X45-'[9]Plana 2027 - 2029'!X45</f>
        <v>14.337434617573308</v>
      </c>
      <c r="Y45" s="56">
        <f>'[9]Total 2027 - 2029'!Y45-'[9]Plana 2027 - 2029'!Y45</f>
        <v>119.15253777772341</v>
      </c>
      <c r="Z45" s="56">
        <f>'[9]Total 2027 - 2029'!Z45-'[9]Plana 2027 - 2029'!Z45</f>
        <v>318.43829479652959</v>
      </c>
      <c r="AA45" s="56">
        <f>'[9]Total 2027 - 2029'!AA45-'[9]Plana 2027 - 2029'!AA45</f>
        <v>529.98544577187204</v>
      </c>
      <c r="AB45" s="57">
        <f t="shared" si="1"/>
        <v>290421.37454158039</v>
      </c>
      <c r="AC45" s="62">
        <f>SUM(AB45:AB47)</f>
        <v>447109.41716952471</v>
      </c>
    </row>
    <row r="46" spans="1:29" x14ac:dyDescent="0.25">
      <c r="A46" s="58"/>
      <c r="B46" s="59" t="s">
        <v>17</v>
      </c>
      <c r="C46" s="55">
        <v>4</v>
      </c>
      <c r="D46" s="56">
        <f>'[9]Total 2027 - 2029'!D46-'[9]Plana 2027 - 2029'!D46</f>
        <v>747.19700916790498</v>
      </c>
      <c r="E46" s="56">
        <f>'[9]Total 2027 - 2029'!E46-'[9]Plana 2027 - 2029'!E46</f>
        <v>849.87425179518141</v>
      </c>
      <c r="F46" s="56">
        <f>'[9]Total 2027 - 2029'!F46-'[9]Plana 2027 - 2029'!F46</f>
        <v>739.06056011033252</v>
      </c>
      <c r="G46" s="56">
        <f>'[9]Total 2027 - 2029'!G46-'[9]Plana 2027 - 2029'!G46</f>
        <v>258.18784552781472</v>
      </c>
      <c r="H46" s="56">
        <f>'[9]Total 2027 - 2029'!H46-'[9]Plana 2027 - 2029'!H46</f>
        <v>8.3696331875562464</v>
      </c>
      <c r="I46" s="56">
        <f>'[9]Total 2027 - 2029'!I46-'[9]Plana 2027 - 2029'!I46</f>
        <v>63.764713451952048</v>
      </c>
      <c r="J46" s="56">
        <f>'[9]Total 2027 - 2029'!J46-'[9]Plana 2027 - 2029'!J46</f>
        <v>0</v>
      </c>
      <c r="K46" s="56">
        <f>'[9]Total 2027 - 2029'!K46-'[9]Plana 2027 - 2029'!K46</f>
        <v>1078.9691446749603</v>
      </c>
      <c r="L46" s="56">
        <f>'[9]Total 2027 - 2029'!L46-'[9]Plana 2027 - 2029'!L46</f>
        <v>942.91290355407364</v>
      </c>
      <c r="M46" s="56">
        <f>'[9]Total 2027 - 2029'!M46-'[9]Plana 2027 - 2029'!M46</f>
        <v>842.53292308545679</v>
      </c>
      <c r="N46" s="56">
        <f>'[9]Total 2027 - 2029'!N46-'[9]Plana 2027 - 2029'!N46</f>
        <v>735.7580785287355</v>
      </c>
      <c r="O46" s="56">
        <f>'[9]Total 2027 - 2029'!O46-'[9]Plana 2027 - 2029'!O46</f>
        <v>648.99501142326335</v>
      </c>
      <c r="P46" s="56">
        <f>'[9]Total 2027 - 2029'!P46-'[9]Plana 2027 - 2029'!P46</f>
        <v>720.35434557061672</v>
      </c>
      <c r="Q46" s="56">
        <f>'[9]Total 2027 - 2029'!Q46-'[9]Plana 2027 - 2029'!Q46</f>
        <v>586.22326960889404</v>
      </c>
      <c r="R46" s="56">
        <f>'[9]Total 2027 - 2029'!R46-'[9]Plana 2027 - 2029'!R46</f>
        <v>474.81974658429135</v>
      </c>
      <c r="S46" s="56">
        <f>'[9]Total 2027 - 2029'!S46-'[9]Plana 2027 - 2029'!S46</f>
        <v>495.6118762315964</v>
      </c>
      <c r="T46" s="56">
        <f>'[9]Total 2027 - 2029'!T46-'[9]Plana 2027 - 2029'!T46</f>
        <v>570.65845666926725</v>
      </c>
      <c r="U46" s="56">
        <f>'[9]Total 2027 - 2029'!U46-'[9]Plana 2027 - 2029'!U46</f>
        <v>574.04299838504267</v>
      </c>
      <c r="V46" s="56">
        <f>'[9]Total 2027 - 2029'!V46-'[9]Plana 2027 - 2029'!V46</f>
        <v>239.45071594165529</v>
      </c>
      <c r="W46" s="56">
        <f>'[9]Total 2027 - 2029'!W46-'[9]Plana 2027 - 2029'!W46</f>
        <v>131.52648715491887</v>
      </c>
      <c r="X46" s="56">
        <f>'[9]Total 2027 - 2029'!X46-'[9]Plana 2027 - 2029'!X46</f>
        <v>148.3841031505508</v>
      </c>
      <c r="Y46" s="56">
        <f>'[9]Total 2027 - 2029'!Y46-'[9]Plana 2027 - 2029'!Y46</f>
        <v>243.28265034514698</v>
      </c>
      <c r="Z46" s="56">
        <f>'[9]Total 2027 - 2029'!Z46-'[9]Plana 2027 - 2029'!Z46</f>
        <v>407.01475134623979</v>
      </c>
      <c r="AA46" s="56">
        <f>'[9]Total 2027 - 2029'!AA46-'[9]Plana 2027 - 2029'!AA46</f>
        <v>586.80652681668835</v>
      </c>
      <c r="AB46" s="57">
        <f t="shared" si="1"/>
        <v>48375.19200924856</v>
      </c>
      <c r="AC46" s="63"/>
    </row>
    <row r="47" spans="1:29" x14ac:dyDescent="0.25">
      <c r="A47" s="58"/>
      <c r="B47" s="59" t="s">
        <v>18</v>
      </c>
      <c r="C47" s="55">
        <v>5</v>
      </c>
      <c r="D47" s="56">
        <f>'[9]Total 2027 - 2029'!D47-'[9]Plana 2027 - 2029'!D47</f>
        <v>1191.9981747670008</v>
      </c>
      <c r="E47" s="56">
        <f>'[9]Total 2027 - 2029'!E47-'[9]Plana 2027 - 2029'!E47</f>
        <v>1292.7566698779883</v>
      </c>
      <c r="F47" s="56">
        <f>'[9]Total 2027 - 2029'!F47-'[9]Plana 2027 - 2029'!F47</f>
        <v>754.70586439356339</v>
      </c>
      <c r="G47" s="56">
        <f>'[9]Total 2027 - 2029'!G47-'[9]Plana 2027 - 2029'!G47</f>
        <v>248.82795495923165</v>
      </c>
      <c r="H47" s="56">
        <f>'[9]Total 2027 - 2029'!H47-'[9]Plana 2027 - 2029'!H47</f>
        <v>0</v>
      </c>
      <c r="I47" s="56">
        <f>'[9]Total 2027 - 2029'!I47-'[9]Plana 2027 - 2029'!I47</f>
        <v>136.5649391136958</v>
      </c>
      <c r="J47" s="56">
        <f>'[9]Total 2027 - 2029'!J47-'[9]Plana 2027 - 2029'!J47</f>
        <v>182.17875310499221</v>
      </c>
      <c r="K47" s="56">
        <f>'[9]Total 2027 - 2029'!K47-'[9]Plana 2027 - 2029'!K47</f>
        <v>1546.1415433015409</v>
      </c>
      <c r="L47" s="56">
        <f>'[9]Total 2027 - 2029'!L47-'[9]Plana 2027 - 2029'!L47</f>
        <v>1438.7362192726632</v>
      </c>
      <c r="M47" s="56">
        <f>'[9]Total 2027 - 2029'!M47-'[9]Plana 2027 - 2029'!M47</f>
        <v>1358.4826843969531</v>
      </c>
      <c r="N47" s="56">
        <f>'[9]Total 2027 - 2029'!N47-'[9]Plana 2027 - 2029'!N47</f>
        <v>1272.8640712463166</v>
      </c>
      <c r="O47" s="56">
        <f>'[9]Total 2027 - 2029'!O47-'[9]Plana 2027 - 2029'!O47</f>
        <v>1193.2900608533564</v>
      </c>
      <c r="P47" s="56">
        <f>'[9]Total 2027 - 2029'!P47-'[9]Plana 2027 - 2029'!P47</f>
        <v>1236.3927507719363</v>
      </c>
      <c r="Q47" s="56">
        <f>'[9]Total 2027 - 2029'!Q47-'[9]Plana 2027 - 2029'!Q47</f>
        <v>1108.0926890243736</v>
      </c>
      <c r="R47" s="56">
        <f>'[9]Total 2027 - 2029'!R47-'[9]Plana 2027 - 2029'!R47</f>
        <v>999.08824370659386</v>
      </c>
      <c r="S47" s="56">
        <f>'[9]Total 2027 - 2029'!S47-'[9]Plana 2027 - 2029'!S47</f>
        <v>1011.4937924466503</v>
      </c>
      <c r="T47" s="56">
        <f>'[9]Total 2027 - 2029'!T47-'[9]Plana 2027 - 2029'!T47</f>
        <v>1080.0010866778503</v>
      </c>
      <c r="U47" s="56">
        <f>'[9]Total 2027 - 2029'!U47-'[9]Plana 2027 - 2029'!U47</f>
        <v>1075.9201645620924</v>
      </c>
      <c r="V47" s="56">
        <f>'[9]Total 2027 - 2029'!V47-'[9]Plana 2027 - 2029'!V47</f>
        <v>740.63185733291357</v>
      </c>
      <c r="W47" s="56">
        <f>'[9]Total 2027 - 2029'!W47-'[9]Plana 2027 - 2029'!W47</f>
        <v>610.13111225479042</v>
      </c>
      <c r="X47" s="56">
        <f>'[9]Total 2027 - 2029'!X47-'[9]Plana 2027 - 2029'!X47</f>
        <v>592.14815476823787</v>
      </c>
      <c r="Y47" s="56">
        <f>'[9]Total 2027 - 2029'!Y47-'[9]Plana 2027 - 2029'!Y47</f>
        <v>681.86524251852643</v>
      </c>
      <c r="Z47" s="56">
        <f>'[9]Total 2027 - 2029'!Z47-'[9]Plana 2027 - 2029'!Z47</f>
        <v>859.29160459208288</v>
      </c>
      <c r="AA47" s="56">
        <f>'[9]Total 2027 - 2029'!AA47-'[9]Plana 2027 - 2029'!AA47</f>
        <v>1050.9664897958119</v>
      </c>
      <c r="AB47" s="57">
        <f t="shared" si="1"/>
        <v>108312.85061869581</v>
      </c>
      <c r="AC47" s="64"/>
    </row>
    <row r="48" spans="1:29" x14ac:dyDescent="0.25">
      <c r="A48" s="53">
        <v>46844</v>
      </c>
      <c r="B48" s="54" t="s">
        <v>16</v>
      </c>
      <c r="C48" s="55">
        <v>18</v>
      </c>
      <c r="D48" s="56">
        <f>'[9]Total 2027 - 2029'!D48-'[9]Plana 2027 - 2029'!D48</f>
        <v>839.85877578895088</v>
      </c>
      <c r="E48" s="56">
        <f>'[9]Total 2027 - 2029'!E48-'[9]Plana 2027 - 2029'!E48</f>
        <v>948.34625020762905</v>
      </c>
      <c r="F48" s="56">
        <f>'[9]Total 2027 - 2029'!F48-'[9]Plana 2027 - 2029'!F48</f>
        <v>1033.4304150115659</v>
      </c>
      <c r="G48" s="56">
        <f>'[9]Total 2027 - 2029'!G48-'[9]Plana 2027 - 2029'!G48</f>
        <v>1092.5814300378715</v>
      </c>
      <c r="H48" s="56">
        <f>'[9]Total 2027 - 2029'!H48-'[9]Plana 2027 - 2029'!H48</f>
        <v>951.37764304154007</v>
      </c>
      <c r="I48" s="56">
        <f>'[9]Total 2027 - 2029'!I48-'[9]Plana 2027 - 2029'!I48</f>
        <v>316.39583272709206</v>
      </c>
      <c r="J48" s="56">
        <f>'[9]Total 2027 - 2029'!J48-'[9]Plana 2027 - 2029'!J48</f>
        <v>896.70881289365752</v>
      </c>
      <c r="K48" s="56">
        <f>'[9]Total 2027 - 2029'!K48-'[9]Plana 2027 - 2029'!K48</f>
        <v>1016.2980664408333</v>
      </c>
      <c r="L48" s="56">
        <f>'[9]Total 2027 - 2029'!L48-'[9]Plana 2027 - 2029'!L48</f>
        <v>818.23765168875434</v>
      </c>
      <c r="M48" s="56">
        <f>'[9]Total 2027 - 2029'!M48-'[9]Plana 2027 - 2029'!M48</f>
        <v>694.57253769034833</v>
      </c>
      <c r="N48" s="56">
        <f>'[9]Total 2027 - 2029'!N48-'[9]Plana 2027 - 2029'!N48</f>
        <v>568.4243818245468</v>
      </c>
      <c r="O48" s="56">
        <f>'[9]Total 2027 - 2029'!O48-'[9]Plana 2027 - 2029'!O48</f>
        <v>475.26308786498157</v>
      </c>
      <c r="P48" s="56">
        <f>'[9]Total 2027 - 2029'!P48-'[9]Plana 2027 - 2029'!P48</f>
        <v>655.73028358509328</v>
      </c>
      <c r="Q48" s="56">
        <f>'[9]Total 2027 - 2029'!Q48-'[9]Plana 2027 - 2029'!Q48</f>
        <v>517.27161023877306</v>
      </c>
      <c r="R48" s="56">
        <f>'[9]Total 2027 - 2029'!R48-'[9]Plana 2027 - 2029'!R48</f>
        <v>393.95466091141134</v>
      </c>
      <c r="S48" s="56">
        <f>'[9]Total 2027 - 2029'!S48-'[9]Plana 2027 - 2029'!S48</f>
        <v>418.40232620140341</v>
      </c>
      <c r="T48" s="56">
        <f>'[9]Total 2027 - 2029'!T48-'[9]Plana 2027 - 2029'!T48</f>
        <v>518.8032470231683</v>
      </c>
      <c r="U48" s="56">
        <f>'[9]Total 2027 - 2029'!U48-'[9]Plana 2027 - 2029'!U48</f>
        <v>506.03009797922823</v>
      </c>
      <c r="V48" s="56">
        <f>'[9]Total 2027 - 2029'!V48-'[9]Plana 2027 - 2029'!V48</f>
        <v>82.94088406681476</v>
      </c>
      <c r="W48" s="56">
        <f>'[9]Total 2027 - 2029'!W48-'[9]Plana 2027 - 2029'!W48</f>
        <v>0</v>
      </c>
      <c r="X48" s="56">
        <f>'[9]Total 2027 - 2029'!X48-'[9]Plana 2027 - 2029'!X48</f>
        <v>59.014390801587069</v>
      </c>
      <c r="Y48" s="56">
        <f>'[9]Total 2027 - 2029'!Y48-'[9]Plana 2027 - 2029'!Y48</f>
        <v>210.52224221134747</v>
      </c>
      <c r="Z48" s="56">
        <f>'[9]Total 2027 - 2029'!Z48-'[9]Plana 2027 - 2029'!Z48</f>
        <v>468.18347606814132</v>
      </c>
      <c r="AA48" s="56">
        <f>'[9]Total 2027 - 2029'!AA48-'[9]Plana 2027 - 2029'!AA48</f>
        <v>707.33136275842116</v>
      </c>
      <c r="AB48" s="57">
        <f t="shared" si="1"/>
        <v>255414.2304071369</v>
      </c>
      <c r="AC48" s="62">
        <f>SUM(AB48:AB50)</f>
        <v>525030.37243089289</v>
      </c>
    </row>
    <row r="49" spans="1:29" x14ac:dyDescent="0.25">
      <c r="A49" s="58"/>
      <c r="B49" s="59" t="s">
        <v>17</v>
      </c>
      <c r="C49" s="55">
        <v>5</v>
      </c>
      <c r="D49" s="56">
        <f>'[9]Total 2027 - 2029'!D49-'[9]Plana 2027 - 2029'!D49</f>
        <v>1769.6438848132202</v>
      </c>
      <c r="E49" s="56">
        <f>'[9]Total 2027 - 2029'!E49-'[9]Plana 2027 - 2029'!E49</f>
        <v>1582.9837250459605</v>
      </c>
      <c r="F49" s="56">
        <f>'[9]Total 2027 - 2029'!F49-'[9]Plana 2027 - 2029'!F49</f>
        <v>851.80188970732161</v>
      </c>
      <c r="G49" s="56">
        <f>'[9]Total 2027 - 2029'!G49-'[9]Plana 2027 - 2029'!G49</f>
        <v>368.09942722720734</v>
      </c>
      <c r="H49" s="56">
        <f>'[9]Total 2027 - 2029'!H49-'[9]Plana 2027 - 2029'!H49</f>
        <v>169.24881412386094</v>
      </c>
      <c r="I49" s="56">
        <f>'[9]Total 2027 - 2029'!I49-'[9]Plana 2027 - 2029'!I49</f>
        <v>0</v>
      </c>
      <c r="J49" s="56">
        <f>'[9]Total 2027 - 2029'!J49-'[9]Plana 2027 - 2029'!J49</f>
        <v>327.19930391598245</v>
      </c>
      <c r="K49" s="56">
        <f>'[9]Total 2027 - 2029'!K49-'[9]Plana 2027 - 2029'!K49</f>
        <v>1998.5865212787139</v>
      </c>
      <c r="L49" s="56">
        <f>'[9]Total 2027 - 2029'!L49-'[9]Plana 2027 - 2029'!L49</f>
        <v>1849.7303410534769</v>
      </c>
      <c r="M49" s="56">
        <f>'[9]Total 2027 - 2029'!M49-'[9]Plana 2027 - 2029'!M49</f>
        <v>1746.855376429512</v>
      </c>
      <c r="N49" s="56">
        <f>'[9]Total 2027 - 2029'!N49-'[9]Plana 2027 - 2029'!N49</f>
        <v>1669.1192225778268</v>
      </c>
      <c r="O49" s="56">
        <f>'[9]Total 2027 - 2029'!O49-'[9]Plana 2027 - 2029'!O49</f>
        <v>1597.444927705943</v>
      </c>
      <c r="P49" s="56">
        <f>'[9]Total 2027 - 2029'!P49-'[9]Plana 2027 - 2029'!P49</f>
        <v>1714.5704968320133</v>
      </c>
      <c r="Q49" s="56">
        <f>'[9]Total 2027 - 2029'!Q49-'[9]Plana 2027 - 2029'!Q49</f>
        <v>1679.3702531250292</v>
      </c>
      <c r="R49" s="56">
        <f>'[9]Total 2027 - 2029'!R49-'[9]Plana 2027 - 2029'!R49</f>
        <v>1633.0077227825932</v>
      </c>
      <c r="S49" s="56">
        <f>'[9]Total 2027 - 2029'!S49-'[9]Plana 2027 - 2029'!S49</f>
        <v>1656.1718583894526</v>
      </c>
      <c r="T49" s="56">
        <f>'[9]Total 2027 - 2029'!T49-'[9]Plana 2027 - 2029'!T49</f>
        <v>1720.6970390831957</v>
      </c>
      <c r="U49" s="56">
        <f>'[9]Total 2027 - 2029'!U49-'[9]Plana 2027 - 2029'!U49</f>
        <v>1652.2845683513169</v>
      </c>
      <c r="V49" s="56">
        <f>'[9]Total 2027 - 2029'!V49-'[9]Plana 2027 - 2029'!V49</f>
        <v>1197.395436356117</v>
      </c>
      <c r="W49" s="56">
        <f>'[9]Total 2027 - 2029'!W49-'[9]Plana 2027 - 2029'!W49</f>
        <v>1118.880758871881</v>
      </c>
      <c r="X49" s="56">
        <f>'[9]Total 2027 - 2029'!X49-'[9]Plana 2027 - 2029'!X49</f>
        <v>1189.4554605363446</v>
      </c>
      <c r="Y49" s="56">
        <f>'[9]Total 2027 - 2029'!Y49-'[9]Plana 2027 - 2029'!Y49</f>
        <v>1336.4368845237568</v>
      </c>
      <c r="Z49" s="56">
        <f>'[9]Total 2027 - 2029'!Z49-'[9]Plana 2027 - 2029'!Z49</f>
        <v>1549.3235829788318</v>
      </c>
      <c r="AA49" s="56">
        <f>'[9]Total 2027 - 2029'!AA49-'[9]Plana 2027 - 2029'!AA49</f>
        <v>1739.4742612377286</v>
      </c>
      <c r="AB49" s="57">
        <f t="shared" si="1"/>
        <v>160588.90878473644</v>
      </c>
      <c r="AC49" s="63"/>
    </row>
    <row r="50" spans="1:29" x14ac:dyDescent="0.25">
      <c r="A50" s="58"/>
      <c r="B50" s="59" t="s">
        <v>18</v>
      </c>
      <c r="C50" s="55">
        <v>7</v>
      </c>
      <c r="D50" s="56">
        <f>'[9]Total 2027 - 2029'!D50-'[9]Plana 2027 - 2029'!D50</f>
        <v>772.1408336218301</v>
      </c>
      <c r="E50" s="56">
        <f>'[9]Total 2027 - 2029'!E50-'[9]Plana 2027 - 2029'!E50</f>
        <v>863.92600883854357</v>
      </c>
      <c r="F50" s="56">
        <f>'[9]Total 2027 - 2029'!F50-'[9]Plana 2027 - 2029'!F50</f>
        <v>943.23678737897899</v>
      </c>
      <c r="G50" s="56">
        <f>'[9]Total 2027 - 2029'!G50-'[9]Plana 2027 - 2029'!G50</f>
        <v>1007.0635848713791</v>
      </c>
      <c r="H50" s="56">
        <f>'[9]Total 2027 - 2029'!H50-'[9]Plana 2027 - 2029'!H50</f>
        <v>1028.0593603251382</v>
      </c>
      <c r="I50" s="56">
        <f>'[9]Total 2027 - 2029'!I50-'[9]Plana 2027 - 2029'!I50</f>
        <v>871.70130129197423</v>
      </c>
      <c r="J50" s="56">
        <f>'[9]Total 2027 - 2029'!J50-'[9]Plana 2027 - 2029'!J50</f>
        <v>1092.3981540420227</v>
      </c>
      <c r="K50" s="56">
        <f>'[9]Total 2027 - 2029'!K50-'[9]Plana 2027 - 2029'!K50</f>
        <v>1010.4578462795835</v>
      </c>
      <c r="L50" s="56">
        <f>'[9]Total 2027 - 2029'!L50-'[9]Plana 2027 - 2029'!L50</f>
        <v>878.87724501858611</v>
      </c>
      <c r="M50" s="56">
        <f>'[9]Total 2027 - 2029'!M50-'[9]Plana 2027 - 2029'!M50</f>
        <v>797.11265094450573</v>
      </c>
      <c r="N50" s="56">
        <f>'[9]Total 2027 - 2029'!N50-'[9]Plana 2027 - 2029'!N50</f>
        <v>708.27073298804498</v>
      </c>
      <c r="O50" s="56">
        <f>'[9]Total 2027 - 2029'!O50-'[9]Plana 2027 - 2029'!O50</f>
        <v>623.18219296527059</v>
      </c>
      <c r="P50" s="56">
        <f>'[9]Total 2027 - 2029'!P50-'[9]Plana 2027 - 2029'!P50</f>
        <v>681.71023514628723</v>
      </c>
      <c r="Q50" s="56">
        <f>'[9]Total 2027 - 2029'!Q50-'[9]Plana 2027 - 2029'!Q50</f>
        <v>592.63281079134322</v>
      </c>
      <c r="R50" s="56">
        <f>'[9]Total 2027 - 2029'!R50-'[9]Plana 2027 - 2029'!R50</f>
        <v>516.96874567785744</v>
      </c>
      <c r="S50" s="56">
        <f>'[9]Total 2027 - 2029'!S50-'[9]Plana 2027 - 2029'!S50</f>
        <v>549.6017340918952</v>
      </c>
      <c r="T50" s="56">
        <f>'[9]Total 2027 - 2029'!T50-'[9]Plana 2027 - 2029'!T50</f>
        <v>640.78328742351368</v>
      </c>
      <c r="U50" s="56">
        <f>'[9]Total 2027 - 2029'!U50-'[9]Plana 2027 - 2029'!U50</f>
        <v>602.55757213665856</v>
      </c>
      <c r="V50" s="56">
        <f>'[9]Total 2027 - 2029'!V50-'[9]Plana 2027 - 2029'!V50</f>
        <v>129.76392598560778</v>
      </c>
      <c r="W50" s="56">
        <f>'[9]Total 2027 - 2029'!W50-'[9]Plana 2027 - 2029'!W50</f>
        <v>0</v>
      </c>
      <c r="X50" s="56">
        <f>'[9]Total 2027 - 2029'!X50-'[9]Plana 2027 - 2029'!X50</f>
        <v>31.034143311864682</v>
      </c>
      <c r="Y50" s="56">
        <f>'[9]Total 2027 - 2029'!Y50-'[9]Plana 2027 - 2029'!Y50</f>
        <v>177.94917005528623</v>
      </c>
      <c r="Z50" s="56">
        <f>'[9]Total 2027 - 2029'!Z50-'[9]Plana 2027 - 2029'!Z50</f>
        <v>418.15126107729157</v>
      </c>
      <c r="AA50" s="56">
        <f>'[9]Total 2027 - 2029'!AA50-'[9]Plana 2027 - 2029'!AA50</f>
        <v>637.73944988218318</v>
      </c>
      <c r="AB50" s="57">
        <f t="shared" si="1"/>
        <v>109027.23323901952</v>
      </c>
      <c r="AC50" s="64"/>
    </row>
    <row r="51" spans="1:29" x14ac:dyDescent="0.25">
      <c r="A51" s="53">
        <v>46874</v>
      </c>
      <c r="B51" s="54" t="s">
        <v>16</v>
      </c>
      <c r="C51" s="55">
        <v>21</v>
      </c>
      <c r="D51" s="56">
        <f>'[9]Total 2027 - 2029'!D51-'[9]Plana 2027 - 2029'!D51</f>
        <v>1063.3838513844912</v>
      </c>
      <c r="E51" s="56">
        <f>'[9]Total 2027 - 2029'!E51-'[9]Plana 2027 - 2029'!E51</f>
        <v>1185.4449271414396</v>
      </c>
      <c r="F51" s="56">
        <f>'[9]Total 2027 - 2029'!F51-'[9]Plana 2027 - 2029'!F51</f>
        <v>1271.6141673110251</v>
      </c>
      <c r="G51" s="56">
        <f>'[9]Total 2027 - 2029'!G51-'[9]Plana 2027 - 2029'!G51</f>
        <v>1322.9133248196304</v>
      </c>
      <c r="H51" s="56">
        <f>'[9]Total 2027 - 2029'!H51-'[9]Plana 2027 - 2029'!H51</f>
        <v>1321.9735486722366</v>
      </c>
      <c r="I51" s="56">
        <f>'[9]Total 2027 - 2029'!I51-'[9]Plana 2027 - 2029'!I51</f>
        <v>1310.4751996241866</v>
      </c>
      <c r="J51" s="56">
        <f>'[9]Total 2027 - 2029'!J51-'[9]Plana 2027 - 2029'!J51</f>
        <v>1317.8135345501869</v>
      </c>
      <c r="K51" s="56">
        <f>'[9]Total 2027 - 2029'!K51-'[9]Plana 2027 - 2029'!K51</f>
        <v>1150.8901907382951</v>
      </c>
      <c r="L51" s="56">
        <f>'[9]Total 2027 - 2029'!L51-'[9]Plana 2027 - 2029'!L51</f>
        <v>901.66018876032831</v>
      </c>
      <c r="M51" s="56">
        <f>'[9]Total 2027 - 2029'!M51-'[9]Plana 2027 - 2029'!M51</f>
        <v>750.68640132077053</v>
      </c>
      <c r="N51" s="56">
        <f>'[9]Total 2027 - 2029'!N51-'[9]Plana 2027 - 2029'!N51</f>
        <v>624.11097673010227</v>
      </c>
      <c r="O51" s="56">
        <f>'[9]Total 2027 - 2029'!O51-'[9]Plana 2027 - 2029'!O51</f>
        <v>532.21360830914273</v>
      </c>
      <c r="P51" s="56">
        <f>'[9]Total 2027 - 2029'!P51-'[9]Plana 2027 - 2029'!P51</f>
        <v>732.50713102395093</v>
      </c>
      <c r="Q51" s="56">
        <f>'[9]Total 2027 - 2029'!Q51-'[9]Plana 2027 - 2029'!Q51</f>
        <v>618.94097614099155</v>
      </c>
      <c r="R51" s="56">
        <f>'[9]Total 2027 - 2029'!R51-'[9]Plana 2027 - 2029'!R51</f>
        <v>462.20449848578937</v>
      </c>
      <c r="S51" s="56">
        <f>'[9]Total 2027 - 2029'!S51-'[9]Plana 2027 - 2029'!S51</f>
        <v>486.02237812771455</v>
      </c>
      <c r="T51" s="56">
        <f>'[9]Total 2027 - 2029'!T51-'[9]Plana 2027 - 2029'!T51</f>
        <v>567.53176878812155</v>
      </c>
      <c r="U51" s="56">
        <f>'[9]Total 2027 - 2029'!U51-'[9]Plana 2027 - 2029'!U51</f>
        <v>578.21986867598753</v>
      </c>
      <c r="V51" s="56">
        <f>'[9]Total 2027 - 2029'!V51-'[9]Plana 2027 - 2029'!V51</f>
        <v>98.749503727212868</v>
      </c>
      <c r="W51" s="56">
        <f>'[9]Total 2027 - 2029'!W51-'[9]Plana 2027 - 2029'!W51</f>
        <v>0</v>
      </c>
      <c r="X51" s="56">
        <f>'[9]Total 2027 - 2029'!X51-'[9]Plana 2027 - 2029'!X51</f>
        <v>117.34190354763996</v>
      </c>
      <c r="Y51" s="56">
        <f>'[9]Total 2027 - 2029'!Y51-'[9]Plana 2027 - 2029'!Y51</f>
        <v>335.99677380060893</v>
      </c>
      <c r="Z51" s="56">
        <f>'[9]Total 2027 - 2029'!Z51-'[9]Plana 2027 - 2029'!Z51</f>
        <v>671.80873623519255</v>
      </c>
      <c r="AA51" s="56">
        <f>'[9]Total 2027 - 2029'!AA51-'[9]Plana 2027 - 2029'!AA51</f>
        <v>980.02205114668686</v>
      </c>
      <c r="AB51" s="57">
        <f t="shared" si="1"/>
        <v>386453.03569029638</v>
      </c>
      <c r="AC51" s="62">
        <f>SUM(AB51:AB53)</f>
        <v>608067.37149590533</v>
      </c>
    </row>
    <row r="52" spans="1:29" x14ac:dyDescent="0.25">
      <c r="A52" s="58"/>
      <c r="B52" s="59" t="s">
        <v>17</v>
      </c>
      <c r="C52" s="55">
        <v>4</v>
      </c>
      <c r="D52" s="56">
        <f>'[9]Total 2027 - 2029'!D52-'[9]Plana 2027 - 2029'!D52</f>
        <v>1018.673017937288</v>
      </c>
      <c r="E52" s="56">
        <f>'[9]Total 2027 - 2029'!E52-'[9]Plana 2027 - 2029'!E52</f>
        <v>1124.4586581647691</v>
      </c>
      <c r="F52" s="56">
        <f>'[9]Total 2027 - 2029'!F52-'[9]Plana 2027 - 2029'!F52</f>
        <v>672.5790124754094</v>
      </c>
      <c r="G52" s="56">
        <f>'[9]Total 2027 - 2029'!G52-'[9]Plana 2027 - 2029'!G52</f>
        <v>440.95453767712206</v>
      </c>
      <c r="H52" s="56">
        <f>'[9]Total 2027 - 2029'!H52-'[9]Plana 2027 - 2029'!H52</f>
        <v>274.73349437419711</v>
      </c>
      <c r="I52" s="56">
        <f>'[9]Total 2027 - 2029'!I52-'[9]Plana 2027 - 2029'!I52</f>
        <v>227.07572597873877</v>
      </c>
      <c r="J52" s="56">
        <f>'[9]Total 2027 - 2029'!J52-'[9]Plana 2027 - 2029'!J52</f>
        <v>720.00817903747156</v>
      </c>
      <c r="K52" s="56">
        <f>'[9]Total 2027 - 2029'!K52-'[9]Plana 2027 - 2029'!K52</f>
        <v>1194.0774419374848</v>
      </c>
      <c r="L52" s="56">
        <f>'[9]Total 2027 - 2029'!L52-'[9]Plana 2027 - 2029'!L52</f>
        <v>1003.5750015741451</v>
      </c>
      <c r="M52" s="56">
        <f>'[9]Total 2027 - 2029'!M52-'[9]Plana 2027 - 2029'!M52</f>
        <v>840.02548895742621</v>
      </c>
      <c r="N52" s="56">
        <f>'[9]Total 2027 - 2029'!N52-'[9]Plana 2027 - 2029'!N52</f>
        <v>683.60928495339431</v>
      </c>
      <c r="O52" s="56">
        <f>'[9]Total 2027 - 2029'!O52-'[9]Plana 2027 - 2029'!O52</f>
        <v>585.53645285243147</v>
      </c>
      <c r="P52" s="56">
        <f>'[9]Total 2027 - 2029'!P52-'[9]Plana 2027 - 2029'!P52</f>
        <v>661.70411208886981</v>
      </c>
      <c r="Q52" s="56">
        <f>'[9]Total 2027 - 2029'!Q52-'[9]Plana 2027 - 2029'!Q52</f>
        <v>581.71254086018052</v>
      </c>
      <c r="R52" s="56">
        <f>'[9]Total 2027 - 2029'!R52-'[9]Plana 2027 - 2029'!R52</f>
        <v>502.09837754711407</v>
      </c>
      <c r="S52" s="56">
        <f>'[9]Total 2027 - 2029'!S52-'[9]Plana 2027 - 2029'!S52</f>
        <v>544.92136710394698</v>
      </c>
      <c r="T52" s="56">
        <f>'[9]Total 2027 - 2029'!T52-'[9]Plana 2027 - 2029'!T52</f>
        <v>639.04809741816098</v>
      </c>
      <c r="U52" s="56">
        <f>'[9]Total 2027 - 2029'!U52-'[9]Plana 2027 - 2029'!U52</f>
        <v>631.33223640315009</v>
      </c>
      <c r="V52" s="56">
        <f>'[9]Total 2027 - 2029'!V52-'[9]Plana 2027 - 2029'!V52</f>
        <v>121.68435869794848</v>
      </c>
      <c r="W52" s="56">
        <f>'[9]Total 2027 - 2029'!W52-'[9]Plana 2027 - 2029'!W52</f>
        <v>0</v>
      </c>
      <c r="X52" s="56">
        <f>'[9]Total 2027 - 2029'!X52-'[9]Plana 2027 - 2029'!X52</f>
        <v>85.476855502491162</v>
      </c>
      <c r="Y52" s="56">
        <f>'[9]Total 2027 - 2029'!Y52-'[9]Plana 2027 - 2029'!Y52</f>
        <v>270.52112448288972</v>
      </c>
      <c r="Z52" s="56">
        <f>'[9]Total 2027 - 2029'!Z52-'[9]Plana 2027 - 2029'!Z52</f>
        <v>551.35573868821484</v>
      </c>
      <c r="AA52" s="56">
        <f>'[9]Total 2027 - 2029'!AA52-'[9]Plana 2027 - 2029'!AA52</f>
        <v>815.02924064456238</v>
      </c>
      <c r="AB52" s="57">
        <f t="shared" si="1"/>
        <v>56760.761381429627</v>
      </c>
      <c r="AC52" s="63"/>
    </row>
    <row r="53" spans="1:29" x14ac:dyDescent="0.25">
      <c r="A53" s="58"/>
      <c r="B53" s="59" t="s">
        <v>18</v>
      </c>
      <c r="C53" s="55">
        <v>6</v>
      </c>
      <c r="D53" s="56">
        <f>'[9]Total 2027 - 2029'!D53-'[9]Plana 2027 - 2029'!D53</f>
        <v>1600.234160386246</v>
      </c>
      <c r="E53" s="56">
        <f>'[9]Total 2027 - 2029'!E53-'[9]Plana 2027 - 2029'!E53</f>
        <v>771.53512320948175</v>
      </c>
      <c r="F53" s="56">
        <f>'[9]Total 2027 - 2029'!F53-'[9]Plana 2027 - 2029'!F53</f>
        <v>365.44105592059896</v>
      </c>
      <c r="G53" s="56">
        <f>'[9]Total 2027 - 2029'!G53-'[9]Plana 2027 - 2029'!G53</f>
        <v>399.89524808558781</v>
      </c>
      <c r="H53" s="56">
        <f>'[9]Total 2027 - 2029'!H53-'[9]Plana 2027 - 2029'!H53</f>
        <v>0</v>
      </c>
      <c r="I53" s="56">
        <f>'[9]Total 2027 - 2029'!I53-'[9]Plana 2027 - 2029'!I53</f>
        <v>142.52900309481447</v>
      </c>
      <c r="J53" s="56">
        <f>'[9]Total 2027 - 2029'!J53-'[9]Plana 2027 - 2029'!J53</f>
        <v>947.30281187652145</v>
      </c>
      <c r="K53" s="56">
        <f>'[9]Total 2027 - 2029'!K53-'[9]Plana 2027 - 2029'!K53</f>
        <v>1892.16338279499</v>
      </c>
      <c r="L53" s="56">
        <f>'[9]Total 2027 - 2029'!L53-'[9]Plana 2027 - 2029'!L53</f>
        <v>1710.3977147680416</v>
      </c>
      <c r="M53" s="56">
        <f>'[9]Total 2027 - 2029'!M53-'[9]Plana 2027 - 2029'!M53</f>
        <v>1575.0200314456033</v>
      </c>
      <c r="N53" s="56">
        <f>'[9]Total 2027 - 2029'!N53-'[9]Plana 2027 - 2029'!N53</f>
        <v>1443.8453086909813</v>
      </c>
      <c r="O53" s="56">
        <f>'[9]Total 2027 - 2029'!O53-'[9]Plana 2027 - 2029'!O53</f>
        <v>1368.9118542106371</v>
      </c>
      <c r="P53" s="56">
        <f>'[9]Total 2027 - 2029'!P53-'[9]Plana 2027 - 2029'!P53</f>
        <v>1488.6982969527198</v>
      </c>
      <c r="Q53" s="56">
        <f>'[9]Total 2027 - 2029'!Q53-'[9]Plana 2027 - 2029'!Q53</f>
        <v>1460.9954072966993</v>
      </c>
      <c r="R53" s="56">
        <f>'[9]Total 2027 - 2029'!R53-'[9]Plana 2027 - 2029'!R53</f>
        <v>1414.880995511141</v>
      </c>
      <c r="S53" s="56">
        <f>'[9]Total 2027 - 2029'!S53-'[9]Plana 2027 - 2029'!S53</f>
        <v>1448.2606977890027</v>
      </c>
      <c r="T53" s="56">
        <f>'[9]Total 2027 - 2029'!T53-'[9]Plana 2027 - 2029'!T53</f>
        <v>1478.1953789219024</v>
      </c>
      <c r="U53" s="56">
        <f>'[9]Total 2027 - 2029'!U53-'[9]Plana 2027 - 2029'!U53</f>
        <v>1464.2491774839073</v>
      </c>
      <c r="V53" s="56">
        <f>'[9]Total 2027 - 2029'!V53-'[9]Plana 2027 - 2029'!V53</f>
        <v>941.75876376333872</v>
      </c>
      <c r="W53" s="56">
        <f>'[9]Total 2027 - 2029'!W53-'[9]Plana 2027 - 2029'!W53</f>
        <v>785.87551845130474</v>
      </c>
      <c r="X53" s="56">
        <f>'[9]Total 2027 - 2029'!X53-'[9]Plana 2027 - 2029'!X53</f>
        <v>846.92676202475741</v>
      </c>
      <c r="Y53" s="56">
        <f>'[9]Total 2027 - 2029'!Y53-'[9]Plana 2027 - 2029'!Y53</f>
        <v>1034.4117101821048</v>
      </c>
      <c r="Z53" s="56">
        <f>'[9]Total 2027 - 2029'!Z53-'[9]Plana 2027 - 2029'!Z53</f>
        <v>1309.1524334780443</v>
      </c>
      <c r="AA53" s="56">
        <f>'[9]Total 2027 - 2029'!AA53-'[9]Plana 2027 - 2029'!AA53</f>
        <v>1584.9149010247911</v>
      </c>
      <c r="AB53" s="57">
        <f t="shared" si="1"/>
        <v>164853.57442417933</v>
      </c>
      <c r="AC53" s="64"/>
    </row>
    <row r="54" spans="1:29" x14ac:dyDescent="0.25">
      <c r="A54" s="53">
        <v>46905</v>
      </c>
      <c r="B54" s="54" t="s">
        <v>16</v>
      </c>
      <c r="C54" s="55">
        <v>20</v>
      </c>
      <c r="D54" s="56">
        <f>'[9]Total 2027 - 2029'!D54-'[9]Plana 2027 - 2029'!D54</f>
        <v>1054.9379826421582</v>
      </c>
      <c r="E54" s="56">
        <f>'[9]Total 2027 - 2029'!E54-'[9]Plana 2027 - 2029'!E54</f>
        <v>1166.1664111600594</v>
      </c>
      <c r="F54" s="56">
        <f>'[9]Total 2027 - 2029'!F54-'[9]Plana 2027 - 2029'!F54</f>
        <v>1248.962889108082</v>
      </c>
      <c r="G54" s="56">
        <f>'[9]Total 2027 - 2029'!G54-'[9]Plana 2027 - 2029'!G54</f>
        <v>1309.2905733753314</v>
      </c>
      <c r="H54" s="56">
        <f>'[9]Total 2027 - 2029'!H54-'[9]Plana 2027 - 2029'!H54</f>
        <v>1312.0913134068787</v>
      </c>
      <c r="I54" s="56">
        <f>'[9]Total 2027 - 2029'!I54-'[9]Plana 2027 - 2029'!I54</f>
        <v>950.82241082437668</v>
      </c>
      <c r="J54" s="56">
        <f>'[9]Total 2027 - 2029'!J54-'[9]Plana 2027 - 2029'!J54</f>
        <v>1345.5088014731164</v>
      </c>
      <c r="K54" s="56">
        <f>'[9]Total 2027 - 2029'!K54-'[9]Plana 2027 - 2029'!K54</f>
        <v>1178.3838721588154</v>
      </c>
      <c r="L54" s="56">
        <f>'[9]Total 2027 - 2029'!L54-'[9]Plana 2027 - 2029'!L54</f>
        <v>956.73214489503607</v>
      </c>
      <c r="M54" s="56">
        <f>'[9]Total 2027 - 2029'!M54-'[9]Plana 2027 - 2029'!M54</f>
        <v>853.46035527591357</v>
      </c>
      <c r="N54" s="56">
        <f>'[9]Total 2027 - 2029'!N54-'[9]Plana 2027 - 2029'!N54</f>
        <v>709.61990334898746</v>
      </c>
      <c r="O54" s="56">
        <f>'[9]Total 2027 - 2029'!O54-'[9]Plana 2027 - 2029'!O54</f>
        <v>615.41196961542937</v>
      </c>
      <c r="P54" s="56">
        <f>'[9]Total 2027 - 2029'!P54-'[9]Plana 2027 - 2029'!P54</f>
        <v>795.37376505883458</v>
      </c>
      <c r="Q54" s="56">
        <f>'[9]Total 2027 - 2029'!Q54-'[9]Plana 2027 - 2029'!Q54</f>
        <v>716.46135800035245</v>
      </c>
      <c r="R54" s="56">
        <f>'[9]Total 2027 - 2029'!R54-'[9]Plana 2027 - 2029'!R54</f>
        <v>576.50123314884604</v>
      </c>
      <c r="S54" s="56">
        <f>'[9]Total 2027 - 2029'!S54-'[9]Plana 2027 - 2029'!S54</f>
        <v>576.11505626447706</v>
      </c>
      <c r="T54" s="56">
        <f>'[9]Total 2027 - 2029'!T54-'[9]Plana 2027 - 2029'!T54</f>
        <v>631.30553954564402</v>
      </c>
      <c r="U54" s="56">
        <f>'[9]Total 2027 - 2029'!U54-'[9]Plana 2027 - 2029'!U54</f>
        <v>636.57263018164031</v>
      </c>
      <c r="V54" s="56">
        <f>'[9]Total 2027 - 2029'!V54-'[9]Plana 2027 - 2029'!V54</f>
        <v>171.49544175266146</v>
      </c>
      <c r="W54" s="56">
        <f>'[9]Total 2027 - 2029'!W54-'[9]Plana 2027 - 2029'!W54</f>
        <v>0</v>
      </c>
      <c r="X54" s="56">
        <f>'[9]Total 2027 - 2029'!X54-'[9]Plana 2027 - 2029'!X54</f>
        <v>129.63175999711075</v>
      </c>
      <c r="Y54" s="56">
        <f>'[9]Total 2027 - 2029'!Y54-'[9]Plana 2027 - 2029'!Y54</f>
        <v>344.37121656375803</v>
      </c>
      <c r="Z54" s="56">
        <f>'[9]Total 2027 - 2029'!Z54-'[9]Plana 2027 - 2029'!Z54</f>
        <v>649.85364219244821</v>
      </c>
      <c r="AA54" s="56">
        <f>'[9]Total 2027 - 2029'!AA54-'[9]Plana 2027 - 2029'!AA54</f>
        <v>903.98311313400063</v>
      </c>
      <c r="AB54" s="57">
        <f t="shared" si="1"/>
        <v>376661.06766247912</v>
      </c>
      <c r="AC54" s="62">
        <f>SUM(AB54:AB56)</f>
        <v>583453.37520172261</v>
      </c>
    </row>
    <row r="55" spans="1:29" x14ac:dyDescent="0.25">
      <c r="A55" s="58"/>
      <c r="B55" s="59" t="s">
        <v>17</v>
      </c>
      <c r="C55" s="55">
        <v>4</v>
      </c>
      <c r="D55" s="56">
        <f>'[9]Total 2027 - 2029'!D55-'[9]Plana 2027 - 2029'!D55</f>
        <v>1067.3625426721856</v>
      </c>
      <c r="E55" s="56">
        <f>'[9]Total 2027 - 2029'!E55-'[9]Plana 2027 - 2029'!E55</f>
        <v>1170.7104704749863</v>
      </c>
      <c r="F55" s="56">
        <f>'[9]Total 2027 - 2029'!F55-'[9]Plana 2027 - 2029'!F55</f>
        <v>1248.7521715238936</v>
      </c>
      <c r="G55" s="56">
        <f>'[9]Total 2027 - 2029'!G55-'[9]Plana 2027 - 2029'!G55</f>
        <v>1302.2844425856101</v>
      </c>
      <c r="H55" s="56">
        <f>'[9]Total 2027 - 2029'!H55-'[9]Plana 2027 - 2029'!H55</f>
        <v>1273.0817151228212</v>
      </c>
      <c r="I55" s="56">
        <f>'[9]Total 2027 - 2029'!I55-'[9]Plana 2027 - 2029'!I55</f>
        <v>1232.6129705874819</v>
      </c>
      <c r="J55" s="56">
        <f>'[9]Total 2027 - 2029'!J55-'[9]Plana 2027 - 2029'!J55</f>
        <v>1389.5596718928018</v>
      </c>
      <c r="K55" s="56">
        <f>'[9]Total 2027 - 2029'!K55-'[9]Plana 2027 - 2029'!K55</f>
        <v>1256.7033600881432</v>
      </c>
      <c r="L55" s="56">
        <f>'[9]Total 2027 - 2029'!L55-'[9]Plana 2027 - 2029'!L55</f>
        <v>1067.9005682744782</v>
      </c>
      <c r="M55" s="56">
        <f>'[9]Total 2027 - 2029'!M55-'[9]Plana 2027 - 2029'!M55</f>
        <v>943.48744366317351</v>
      </c>
      <c r="N55" s="56">
        <f>'[9]Total 2027 - 2029'!N55-'[9]Plana 2027 - 2029'!N55</f>
        <v>826.93309823661275</v>
      </c>
      <c r="O55" s="56">
        <f>'[9]Total 2027 - 2029'!O55-'[9]Plana 2027 - 2029'!O55</f>
        <v>720.61164532622297</v>
      </c>
      <c r="P55" s="56">
        <f>'[9]Total 2027 - 2029'!P55-'[9]Plana 2027 - 2029'!P55</f>
        <v>798.93184983768606</v>
      </c>
      <c r="Q55" s="56">
        <f>'[9]Total 2027 - 2029'!Q55-'[9]Plana 2027 - 2029'!Q55</f>
        <v>737.91720567098946</v>
      </c>
      <c r="R55" s="56">
        <f>'[9]Total 2027 - 2029'!R55-'[9]Plana 2027 - 2029'!R55</f>
        <v>670.04124171605599</v>
      </c>
      <c r="S55" s="56">
        <f>'[9]Total 2027 - 2029'!S55-'[9]Plana 2027 - 2029'!S55</f>
        <v>691.49256843455532</v>
      </c>
      <c r="T55" s="56">
        <f>'[9]Total 2027 - 2029'!T55-'[9]Plana 2027 - 2029'!T55</f>
        <v>755.95870706432379</v>
      </c>
      <c r="U55" s="56">
        <f>'[9]Total 2027 - 2029'!U55-'[9]Plana 2027 - 2029'!U55</f>
        <v>723.94238311518984</v>
      </c>
      <c r="V55" s="56">
        <f>'[9]Total 2027 - 2029'!V55-'[9]Plana 2027 - 2029'!V55</f>
        <v>196.9900606933661</v>
      </c>
      <c r="W55" s="56">
        <f>'[9]Total 2027 - 2029'!W55-'[9]Plana 2027 - 2029'!W55</f>
        <v>0</v>
      </c>
      <c r="X55" s="56">
        <f>'[9]Total 2027 - 2029'!X55-'[9]Plana 2027 - 2029'!X55</f>
        <v>121.87852356705571</v>
      </c>
      <c r="Y55" s="56">
        <f>'[9]Total 2027 - 2029'!Y55-'[9]Plana 2027 - 2029'!Y55</f>
        <v>306.51216204860521</v>
      </c>
      <c r="Z55" s="56">
        <f>'[9]Total 2027 - 2029'!Z55-'[9]Plana 2027 - 2029'!Z55</f>
        <v>582.89044823664426</v>
      </c>
      <c r="AA55" s="56">
        <f>'[9]Total 2027 - 2029'!AA55-'[9]Plana 2027 - 2029'!AA55</f>
        <v>843.44985636527872</v>
      </c>
      <c r="AB55" s="57">
        <f t="shared" si="1"/>
        <v>79720.020428792646</v>
      </c>
      <c r="AC55" s="63"/>
    </row>
    <row r="56" spans="1:29" x14ac:dyDescent="0.25">
      <c r="A56" s="58"/>
      <c r="B56" s="59" t="s">
        <v>18</v>
      </c>
      <c r="C56" s="55">
        <v>6</v>
      </c>
      <c r="D56" s="56">
        <f>'[9]Total 2027 - 2029'!D56-'[9]Plana 2027 - 2029'!D56</f>
        <v>951.10845668244747</v>
      </c>
      <c r="E56" s="56">
        <f>'[9]Total 2027 - 2029'!E56-'[9]Plana 2027 - 2029'!E56</f>
        <v>527.13305985251282</v>
      </c>
      <c r="F56" s="56">
        <f>'[9]Total 2027 - 2029'!F56-'[9]Plana 2027 - 2029'!F56</f>
        <v>135.57155590510229</v>
      </c>
      <c r="G56" s="56">
        <f>'[9]Total 2027 - 2029'!G56-'[9]Plana 2027 - 2029'!G56</f>
        <v>0</v>
      </c>
      <c r="H56" s="56">
        <f>'[9]Total 2027 - 2029'!H56-'[9]Plana 2027 - 2029'!H56</f>
        <v>272.54929867998726</v>
      </c>
      <c r="I56" s="56">
        <f>'[9]Total 2027 - 2029'!I56-'[9]Plana 2027 - 2029'!I56</f>
        <v>612.14956000477378</v>
      </c>
      <c r="J56" s="56">
        <f>'[9]Total 2027 - 2029'!J56-'[9]Plana 2027 - 2029'!J56</f>
        <v>1405.0400753080221</v>
      </c>
      <c r="K56" s="56">
        <f>'[9]Total 2027 - 2029'!K56-'[9]Plana 2027 - 2029'!K56</f>
        <v>1705.3569397271594</v>
      </c>
      <c r="L56" s="56">
        <f>'[9]Total 2027 - 2029'!L56-'[9]Plana 2027 - 2029'!L56</f>
        <v>1546.1972868203511</v>
      </c>
      <c r="M56" s="56">
        <f>'[9]Total 2027 - 2029'!M56-'[9]Plana 2027 - 2029'!M56</f>
        <v>1392.455346907941</v>
      </c>
      <c r="N56" s="56">
        <f>'[9]Total 2027 - 2029'!N56-'[9]Plana 2027 - 2029'!N56</f>
        <v>1233.6809077107382</v>
      </c>
      <c r="O56" s="56">
        <f>'[9]Total 2027 - 2029'!O56-'[9]Plana 2027 - 2029'!O56</f>
        <v>1088.1474532244802</v>
      </c>
      <c r="P56" s="56">
        <f>'[9]Total 2027 - 2029'!P56-'[9]Plana 2027 - 2029'!P56</f>
        <v>1127.6317940884937</v>
      </c>
      <c r="Q56" s="56">
        <f>'[9]Total 2027 - 2029'!Q56-'[9]Plana 2027 - 2029'!Q56</f>
        <v>1043.9833515081527</v>
      </c>
      <c r="R56" s="56">
        <f>'[9]Total 2027 - 2029'!R56-'[9]Plana 2027 - 2029'!R56</f>
        <v>985.04421890005051</v>
      </c>
      <c r="S56" s="56">
        <f>'[9]Total 2027 - 2029'!S56-'[9]Plana 2027 - 2029'!S56</f>
        <v>1055.0644301774801</v>
      </c>
      <c r="T56" s="56">
        <f>'[9]Total 2027 - 2029'!T56-'[9]Plana 2027 - 2029'!T56</f>
        <v>1160.6990860506621</v>
      </c>
      <c r="U56" s="56">
        <f>'[9]Total 2027 - 2029'!U56-'[9]Plana 2027 - 2029'!U56</f>
        <v>1172.5279884555885</v>
      </c>
      <c r="V56" s="56">
        <f>'[9]Total 2027 - 2029'!V56-'[9]Plana 2027 - 2029'!V56</f>
        <v>603.85723113047607</v>
      </c>
      <c r="W56" s="56">
        <f>'[9]Total 2027 - 2029'!W56-'[9]Plana 2027 - 2029'!W56</f>
        <v>300.78844132435006</v>
      </c>
      <c r="X56" s="56">
        <f>'[9]Total 2027 - 2029'!X56-'[9]Plana 2027 - 2029'!X56</f>
        <v>359.1253173634359</v>
      </c>
      <c r="Y56" s="56">
        <f>'[9]Total 2027 - 2029'!Y56-'[9]Plana 2027 - 2029'!Y56</f>
        <v>534.24633878529403</v>
      </c>
      <c r="Z56" s="56">
        <f>'[9]Total 2027 - 2029'!Z56-'[9]Plana 2027 - 2029'!Z56</f>
        <v>838.14465659216421</v>
      </c>
      <c r="AA56" s="56">
        <f>'[9]Total 2027 - 2029'!AA56-'[9]Plana 2027 - 2029'!AA56</f>
        <v>1128.211723208814</v>
      </c>
      <c r="AB56" s="57">
        <f t="shared" si="1"/>
        <v>127072.28711045088</v>
      </c>
      <c r="AC56" s="64"/>
    </row>
    <row r="57" spans="1:29" x14ac:dyDescent="0.25">
      <c r="A57" s="53">
        <v>46935</v>
      </c>
      <c r="B57" s="54" t="s">
        <v>16</v>
      </c>
      <c r="C57" s="55">
        <v>19</v>
      </c>
      <c r="D57" s="56">
        <f>'[9]Total 2027 - 2029'!D57-'[9]Plana 2027 - 2029'!D57</f>
        <v>1222.1985635115852</v>
      </c>
      <c r="E57" s="56">
        <f>'[9]Total 2027 - 2029'!E57-'[9]Plana 2027 - 2029'!E57</f>
        <v>1332.9330737355467</v>
      </c>
      <c r="F57" s="56">
        <f>'[9]Total 2027 - 2029'!F57-'[9]Plana 2027 - 2029'!F57</f>
        <v>1405.6615599170927</v>
      </c>
      <c r="G57" s="56">
        <f>'[9]Total 2027 - 2029'!G57-'[9]Plana 2027 - 2029'!G57</f>
        <v>1475.0042236306763</v>
      </c>
      <c r="H57" s="56">
        <f>'[9]Total 2027 - 2029'!H57-'[9]Plana 2027 - 2029'!H57</f>
        <v>1440.6521647882619</v>
      </c>
      <c r="I57" s="56">
        <f>'[9]Total 2027 - 2029'!I57-'[9]Plana 2027 - 2029'!I57</f>
        <v>396.86277728463938</v>
      </c>
      <c r="J57" s="56">
        <f>'[9]Total 2027 - 2029'!J57-'[9]Plana 2027 - 2029'!J57</f>
        <v>994.65163082790241</v>
      </c>
      <c r="K57" s="56">
        <f>'[9]Total 2027 - 2029'!K57-'[9]Plana 2027 - 2029'!K57</f>
        <v>1275.6128815574848</v>
      </c>
      <c r="L57" s="56">
        <f>'[9]Total 2027 - 2029'!L57-'[9]Plana 2027 - 2029'!L57</f>
        <v>1034.878798407497</v>
      </c>
      <c r="M57" s="56">
        <f>'[9]Total 2027 - 2029'!M57-'[9]Plana 2027 - 2029'!M57</f>
        <v>889.7477602515155</v>
      </c>
      <c r="N57" s="56">
        <f>'[9]Total 2027 - 2029'!N57-'[9]Plana 2027 - 2029'!N57</f>
        <v>748.6559940397583</v>
      </c>
      <c r="O57" s="56">
        <f>'[9]Total 2027 - 2029'!O57-'[9]Plana 2027 - 2029'!O57</f>
        <v>651.21525620785542</v>
      </c>
      <c r="P57" s="56">
        <f>'[9]Total 2027 - 2029'!P57-'[9]Plana 2027 - 2029'!P57</f>
        <v>854.96956449183926</v>
      </c>
      <c r="Q57" s="56">
        <f>'[9]Total 2027 - 2029'!Q57-'[9]Plana 2027 - 2029'!Q57</f>
        <v>761.03148603060981</v>
      </c>
      <c r="R57" s="56">
        <f>'[9]Total 2027 - 2029'!R57-'[9]Plana 2027 - 2029'!R57</f>
        <v>622.817731236295</v>
      </c>
      <c r="S57" s="56">
        <f>'[9]Total 2027 - 2029'!S57-'[9]Plana 2027 - 2029'!S57</f>
        <v>607.72878711101475</v>
      </c>
      <c r="T57" s="56">
        <f>'[9]Total 2027 - 2029'!T57-'[9]Plana 2027 - 2029'!T57</f>
        <v>682.42868517026545</v>
      </c>
      <c r="U57" s="56">
        <f>'[9]Total 2027 - 2029'!U57-'[9]Plana 2027 - 2029'!U57</f>
        <v>733.41755202967397</v>
      </c>
      <c r="V57" s="56">
        <f>'[9]Total 2027 - 2029'!V57-'[9]Plana 2027 - 2029'!V57</f>
        <v>258.64150949966825</v>
      </c>
      <c r="W57" s="56">
        <f>'[9]Total 2027 - 2029'!W57-'[9]Plana 2027 - 2029'!W57</f>
        <v>0</v>
      </c>
      <c r="X57" s="56">
        <f>'[9]Total 2027 - 2029'!X57-'[9]Plana 2027 - 2029'!X57</f>
        <v>112.83550761059814</v>
      </c>
      <c r="Y57" s="56">
        <f>'[9]Total 2027 - 2029'!Y57-'[9]Plana 2027 - 2029'!Y57</f>
        <v>351.35130124879106</v>
      </c>
      <c r="Z57" s="56">
        <f>'[9]Total 2027 - 2029'!Z57-'[9]Plana 2027 - 2029'!Z57</f>
        <v>716.44256124603271</v>
      </c>
      <c r="AA57" s="56">
        <f>'[9]Total 2027 - 2029'!AA57-'[9]Plana 2027 - 2029'!AA57</f>
        <v>998.47681412902421</v>
      </c>
      <c r="AB57" s="57">
        <f t="shared" si="1"/>
        <v>371796.10749530903</v>
      </c>
      <c r="AC57" s="62">
        <f>SUM(AB57:AB59)</f>
        <v>651562.41394650051</v>
      </c>
    </row>
    <row r="58" spans="1:29" x14ac:dyDescent="0.25">
      <c r="A58" s="58"/>
      <c r="B58" s="59" t="s">
        <v>17</v>
      </c>
      <c r="C58" s="55">
        <v>5</v>
      </c>
      <c r="D58" s="56">
        <f>'[9]Total 2027 - 2029'!D58-'[9]Plana 2027 - 2029'!D58</f>
        <v>1327.3647877164058</v>
      </c>
      <c r="E58" s="56">
        <f>'[9]Total 2027 - 2029'!E58-'[9]Plana 2027 - 2029'!E58</f>
        <v>678.36419033934817</v>
      </c>
      <c r="F58" s="56">
        <f>'[9]Total 2027 - 2029'!F58-'[9]Plana 2027 - 2029'!F58</f>
        <v>393.0662239115245</v>
      </c>
      <c r="G58" s="56">
        <f>'[9]Total 2027 - 2029'!G58-'[9]Plana 2027 - 2029'!G58</f>
        <v>18.59764348470344</v>
      </c>
      <c r="H58" s="56">
        <f>'[9]Total 2027 - 2029'!H58-'[9]Plana 2027 - 2029'!H58</f>
        <v>0</v>
      </c>
      <c r="I58" s="56">
        <f>'[9]Total 2027 - 2029'!I58-'[9]Plana 2027 - 2029'!I58</f>
        <v>3.759096593295908</v>
      </c>
      <c r="J58" s="56">
        <f>'[9]Total 2027 - 2029'!J58-'[9]Plana 2027 - 2029'!J58</f>
        <v>631.44465991640755</v>
      </c>
      <c r="K58" s="56">
        <f>'[9]Total 2027 - 2029'!K58-'[9]Plana 2027 - 2029'!K58</f>
        <v>1428.3523807703386</v>
      </c>
      <c r="L58" s="56">
        <f>'[9]Total 2027 - 2029'!L58-'[9]Plana 2027 - 2029'!L58</f>
        <v>2092.6946973481226</v>
      </c>
      <c r="M58" s="56">
        <f>'[9]Total 2027 - 2029'!M58-'[9]Plana 2027 - 2029'!M58</f>
        <v>1948.0005432317921</v>
      </c>
      <c r="N58" s="56">
        <f>'[9]Total 2027 - 2029'!N58-'[9]Plana 2027 - 2029'!N58</f>
        <v>1822.103476355529</v>
      </c>
      <c r="O58" s="56">
        <f>'[9]Total 2027 - 2029'!O58-'[9]Plana 2027 - 2029'!O58</f>
        <v>1718.0337135028203</v>
      </c>
      <c r="P58" s="56">
        <f>'[9]Total 2027 - 2029'!P58-'[9]Plana 2027 - 2029'!P58</f>
        <v>1811.3322099742672</v>
      </c>
      <c r="Q58" s="56">
        <f>'[9]Total 2027 - 2029'!Q58-'[9]Plana 2027 - 2029'!Q58</f>
        <v>1760.7120602325631</v>
      </c>
      <c r="R58" s="56">
        <f>'[9]Total 2027 - 2029'!R58-'[9]Plana 2027 - 2029'!R58</f>
        <v>1739.9689702320265</v>
      </c>
      <c r="S58" s="56">
        <f>'[9]Total 2027 - 2029'!S58-'[9]Plana 2027 - 2029'!S58</f>
        <v>1810.9493177688946</v>
      </c>
      <c r="T58" s="56">
        <f>'[9]Total 2027 - 2029'!T58-'[9]Plana 2027 - 2029'!T58</f>
        <v>1895.1435662538643</v>
      </c>
      <c r="U58" s="56">
        <f>'[9]Total 2027 - 2029'!U58-'[9]Plana 2027 - 2029'!U58</f>
        <v>1864.6289447987911</v>
      </c>
      <c r="V58" s="56">
        <f>'[9]Total 2027 - 2029'!V58-'[9]Plana 2027 - 2029'!V58</f>
        <v>1337.6118950647888</v>
      </c>
      <c r="W58" s="56">
        <f>'[9]Total 2027 - 2029'!W58-'[9]Plana 2027 - 2029'!W58</f>
        <v>1114.450622567012</v>
      </c>
      <c r="X58" s="56">
        <f>'[9]Total 2027 - 2029'!X58-'[9]Plana 2027 - 2029'!X58</f>
        <v>1227.5203421651931</v>
      </c>
      <c r="Y58" s="56">
        <f>'[9]Total 2027 - 2029'!Y58-'[9]Plana 2027 - 2029'!Y58</f>
        <v>1439.743165620157</v>
      </c>
      <c r="Z58" s="56">
        <f>'[9]Total 2027 - 2029'!Z58-'[9]Plana 2027 - 2029'!Z58</f>
        <v>1724.685843543004</v>
      </c>
      <c r="AA58" s="56">
        <f>'[9]Total 2027 - 2029'!AA58-'[9]Plana 2027 - 2029'!AA58</f>
        <v>1975.3069471231975</v>
      </c>
      <c r="AB58" s="57">
        <f t="shared" si="1"/>
        <v>158819.17649257023</v>
      </c>
      <c r="AC58" s="63"/>
    </row>
    <row r="59" spans="1:29" x14ac:dyDescent="0.25">
      <c r="A59" s="58"/>
      <c r="B59" s="59" t="s">
        <v>18</v>
      </c>
      <c r="C59" s="55">
        <v>7</v>
      </c>
      <c r="D59" s="56">
        <f>'[9]Total 2027 - 2029'!D59-'[9]Plana 2027 - 2029'!D59</f>
        <v>1079.326116881869</v>
      </c>
      <c r="E59" s="56">
        <f>'[9]Total 2027 - 2029'!E59-'[9]Plana 2027 - 2029'!E59</f>
        <v>986.90455903432576</v>
      </c>
      <c r="F59" s="56">
        <f>'[9]Total 2027 - 2029'!F59-'[9]Plana 2027 - 2029'!F59</f>
        <v>770.34907075325555</v>
      </c>
      <c r="G59" s="56">
        <f>'[9]Total 2027 - 2029'!G59-'[9]Plana 2027 - 2029'!G59</f>
        <v>291.44115560450973</v>
      </c>
      <c r="H59" s="56">
        <f>'[9]Total 2027 - 2029'!H59-'[9]Plana 2027 - 2029'!H59</f>
        <v>182.72728341383936</v>
      </c>
      <c r="I59" s="56">
        <f>'[9]Total 2027 - 2029'!I59-'[9]Plana 2027 - 2029'!I59</f>
        <v>222.11084937366377</v>
      </c>
      <c r="J59" s="56">
        <f>'[9]Total 2027 - 2029'!J59-'[9]Plana 2027 - 2029'!J59</f>
        <v>984.92961923914936</v>
      </c>
      <c r="K59" s="56">
        <f>'[9]Total 2027 - 2029'!K59-'[9]Plana 2027 - 2029'!K59</f>
        <v>1352.9078659719753</v>
      </c>
      <c r="L59" s="56">
        <f>'[9]Total 2027 - 2029'!L59-'[9]Plana 2027 - 2029'!L59</f>
        <v>1186.6710819023892</v>
      </c>
      <c r="M59" s="56">
        <f>'[9]Total 2027 - 2029'!M59-'[9]Plana 2027 - 2029'!M59</f>
        <v>1050.1505830727883</v>
      </c>
      <c r="N59" s="56">
        <f>'[9]Total 2027 - 2029'!N59-'[9]Plana 2027 - 2029'!N59</f>
        <v>920.98588399575146</v>
      </c>
      <c r="O59" s="56">
        <f>'[9]Total 2027 - 2029'!O59-'[9]Plana 2027 - 2029'!O59</f>
        <v>811.69005672535332</v>
      </c>
      <c r="P59" s="56">
        <f>'[9]Total 2027 - 2029'!P59-'[9]Plana 2027 - 2029'!P59</f>
        <v>868.0908957895108</v>
      </c>
      <c r="Q59" s="56">
        <f>'[9]Total 2027 - 2029'!Q59-'[9]Plana 2027 - 2029'!Q59</f>
        <v>784.84060640353437</v>
      </c>
      <c r="R59" s="56">
        <f>'[9]Total 2027 - 2029'!R59-'[9]Plana 2027 - 2029'!R59</f>
        <v>765.80551855317117</v>
      </c>
      <c r="S59" s="56">
        <f>'[9]Total 2027 - 2029'!S59-'[9]Plana 2027 - 2029'!S59</f>
        <v>797.18904575428587</v>
      </c>
      <c r="T59" s="56">
        <f>'[9]Total 2027 - 2029'!T59-'[9]Plana 2027 - 2029'!T59</f>
        <v>874.39358031303254</v>
      </c>
      <c r="U59" s="56">
        <f>'[9]Total 2027 - 2029'!U59-'[9]Plana 2027 - 2029'!U59</f>
        <v>883.07495536924489</v>
      </c>
      <c r="V59" s="56">
        <f>'[9]Total 2027 - 2029'!V59-'[9]Plana 2027 - 2029'!V59</f>
        <v>324.4692719217137</v>
      </c>
      <c r="W59" s="56">
        <f>'[9]Total 2027 - 2029'!W59-'[9]Plana 2027 - 2029'!W59</f>
        <v>0</v>
      </c>
      <c r="X59" s="56">
        <f>'[9]Total 2027 - 2029'!X59-'[9]Plana 2027 - 2029'!X59</f>
        <v>103.88964863775345</v>
      </c>
      <c r="Y59" s="56">
        <f>'[9]Total 2027 - 2029'!Y59-'[9]Plana 2027 - 2029'!Y59</f>
        <v>365.84389089181695</v>
      </c>
      <c r="Z59" s="56">
        <f>'[9]Total 2027 - 2029'!Z59-'[9]Plana 2027 - 2029'!Z59</f>
        <v>707.58759587419718</v>
      </c>
      <c r="AA59" s="56">
        <f>'[9]Total 2027 - 2029'!AA59-'[9]Plana 2027 - 2029'!AA59</f>
        <v>962.78228718304217</v>
      </c>
      <c r="AB59" s="57">
        <f t="shared" si="1"/>
        <v>120947.12995862123</v>
      </c>
      <c r="AC59" s="64"/>
    </row>
    <row r="60" spans="1:29" x14ac:dyDescent="0.25">
      <c r="A60" s="53">
        <v>46966</v>
      </c>
      <c r="B60" s="54" t="s">
        <v>16</v>
      </c>
      <c r="C60" s="55">
        <v>21</v>
      </c>
      <c r="D60" s="56">
        <f>'[9]Total 2027 - 2029'!D60-'[9]Plana 2027 - 2029'!D60</f>
        <v>1137.568679514372</v>
      </c>
      <c r="E60" s="56">
        <f>'[9]Total 2027 - 2029'!E60-'[9]Plana 2027 - 2029'!E60</f>
        <v>1253.7868163360563</v>
      </c>
      <c r="F60" s="56">
        <f>'[9]Total 2027 - 2029'!F60-'[9]Plana 2027 - 2029'!F60</f>
        <v>1345.4427764445809</v>
      </c>
      <c r="G60" s="56">
        <f>'[9]Total 2027 - 2029'!G60-'[9]Plana 2027 - 2029'!G60</f>
        <v>1408.1685323751426</v>
      </c>
      <c r="H60" s="56">
        <f>'[9]Total 2027 - 2029'!H60-'[9]Plana 2027 - 2029'!H60</f>
        <v>1417.5017447555256</v>
      </c>
      <c r="I60" s="56">
        <f>'[9]Total 2027 - 2029'!I60-'[9]Plana 2027 - 2029'!I60</f>
        <v>1397.6288723382095</v>
      </c>
      <c r="J60" s="56">
        <f>'[9]Total 2027 - 2029'!J60-'[9]Plana 2027 - 2029'!J60</f>
        <v>1448.0138562890934</v>
      </c>
      <c r="K60" s="56">
        <f>'[9]Total 2027 - 2029'!K60-'[9]Plana 2027 - 2029'!K60</f>
        <v>1265.533259628739</v>
      </c>
      <c r="L60" s="56">
        <f>'[9]Total 2027 - 2029'!L60-'[9]Plana 2027 - 2029'!L60</f>
        <v>1023.8585596796165</v>
      </c>
      <c r="M60" s="56">
        <f>'[9]Total 2027 - 2029'!M60-'[9]Plana 2027 - 2029'!M60</f>
        <v>865.2507331354318</v>
      </c>
      <c r="N60" s="56">
        <f>'[9]Total 2027 - 2029'!N60-'[9]Plana 2027 - 2029'!N60</f>
        <v>700.42356248272517</v>
      </c>
      <c r="O60" s="56">
        <f>'[9]Total 2027 - 2029'!O60-'[9]Plana 2027 - 2029'!O60</f>
        <v>598.77475518870597</v>
      </c>
      <c r="P60" s="56">
        <f>'[9]Total 2027 - 2029'!P60-'[9]Plana 2027 - 2029'!P60</f>
        <v>786.44082032142251</v>
      </c>
      <c r="Q60" s="56">
        <f>'[9]Total 2027 - 2029'!Q60-'[9]Plana 2027 - 2029'!Q60</f>
        <v>660.98001513956297</v>
      </c>
      <c r="R60" s="56">
        <f>'[9]Total 2027 - 2029'!R60-'[9]Plana 2027 - 2029'!R60</f>
        <v>539.19915332023993</v>
      </c>
      <c r="S60" s="56">
        <f>'[9]Total 2027 - 2029'!S60-'[9]Plana 2027 - 2029'!S60</f>
        <v>558.95586611042199</v>
      </c>
      <c r="T60" s="56">
        <f>'[9]Total 2027 - 2029'!T60-'[9]Plana 2027 - 2029'!T60</f>
        <v>653.96195821701622</v>
      </c>
      <c r="U60" s="56">
        <f>'[9]Total 2027 - 2029'!U60-'[9]Plana 2027 - 2029'!U60</f>
        <v>660.99464894559605</v>
      </c>
      <c r="V60" s="56">
        <f>'[9]Total 2027 - 2029'!V60-'[9]Plana 2027 - 2029'!V60</f>
        <v>172.53585128290797</v>
      </c>
      <c r="W60" s="56">
        <f>'[9]Total 2027 - 2029'!W60-'[9]Plana 2027 - 2029'!W60</f>
        <v>0</v>
      </c>
      <c r="X60" s="56">
        <f>'[9]Total 2027 - 2029'!X60-'[9]Plana 2027 - 2029'!X60</f>
        <v>100.14244882609091</v>
      </c>
      <c r="Y60" s="56">
        <f>'[9]Total 2027 - 2029'!Y60-'[9]Plana 2027 - 2029'!Y60</f>
        <v>303.01371211074729</v>
      </c>
      <c r="Z60" s="56">
        <f>'[9]Total 2027 - 2029'!Z60-'[9]Plana 2027 - 2029'!Z60</f>
        <v>638.03577401578332</v>
      </c>
      <c r="AA60" s="56">
        <f>'[9]Total 2027 - 2029'!AA60-'[9]Plana 2027 - 2029'!AA60</f>
        <v>923.05430428913678</v>
      </c>
      <c r="AB60" s="57">
        <f t="shared" si="1"/>
        <v>417044.60071568959</v>
      </c>
      <c r="AC60" s="62">
        <f>SUM(AB60:AB62)</f>
        <v>722000.64554147935</v>
      </c>
    </row>
    <row r="61" spans="1:29" x14ac:dyDescent="0.25">
      <c r="A61" s="58"/>
      <c r="B61" s="59" t="s">
        <v>17</v>
      </c>
      <c r="C61" s="55">
        <v>4</v>
      </c>
      <c r="D61" s="56">
        <f>'[9]Total 2027 - 2029'!D61-'[9]Plana 2027 - 2029'!D61</f>
        <v>1108.4060897736945</v>
      </c>
      <c r="E61" s="56">
        <f>'[9]Total 2027 - 2029'!E61-'[9]Plana 2027 - 2029'!E61</f>
        <v>1218.7839242326936</v>
      </c>
      <c r="F61" s="56">
        <f>'[9]Total 2027 - 2029'!F61-'[9]Plana 2027 - 2029'!F61</f>
        <v>1308.267670399804</v>
      </c>
      <c r="G61" s="56">
        <f>'[9]Total 2027 - 2029'!G61-'[9]Plana 2027 - 2029'!G61</f>
        <v>1379.6135007486009</v>
      </c>
      <c r="H61" s="56">
        <f>'[9]Total 2027 - 2029'!H61-'[9]Plana 2027 - 2029'!H61</f>
        <v>1390.158240419958</v>
      </c>
      <c r="I61" s="56">
        <f>'[9]Total 2027 - 2029'!I61-'[9]Plana 2027 - 2029'!I61</f>
        <v>1415.280526433542</v>
      </c>
      <c r="J61" s="56">
        <f>'[9]Total 2027 - 2029'!J61-'[9]Plana 2027 - 2029'!J61</f>
        <v>1450.7157856572485</v>
      </c>
      <c r="K61" s="56">
        <f>'[9]Total 2027 - 2029'!K61-'[9]Plana 2027 - 2029'!K61</f>
        <v>1288.8291684427004</v>
      </c>
      <c r="L61" s="56">
        <f>'[9]Total 2027 - 2029'!L61-'[9]Plana 2027 - 2029'!L61</f>
        <v>1045.1804750890769</v>
      </c>
      <c r="M61" s="56">
        <f>'[9]Total 2027 - 2029'!M61-'[9]Plana 2027 - 2029'!M61</f>
        <v>891.64571623909796</v>
      </c>
      <c r="N61" s="56">
        <f>'[9]Total 2027 - 2029'!N61-'[9]Plana 2027 - 2029'!N61</f>
        <v>712.96630596678187</v>
      </c>
      <c r="O61" s="56">
        <f>'[9]Total 2027 - 2029'!O61-'[9]Plana 2027 - 2029'!O61</f>
        <v>596.59809891875557</v>
      </c>
      <c r="P61" s="56">
        <f>'[9]Total 2027 - 2029'!P61-'[9]Plana 2027 - 2029'!P61</f>
        <v>711.12873725168538</v>
      </c>
      <c r="Q61" s="56">
        <f>'[9]Total 2027 - 2029'!Q61-'[9]Plana 2027 - 2029'!Q61</f>
        <v>601.06507813593998</v>
      </c>
      <c r="R61" s="56">
        <f>'[9]Total 2027 - 2029'!R61-'[9]Plana 2027 - 2029'!R61</f>
        <v>496.93525270682039</v>
      </c>
      <c r="S61" s="56">
        <f>'[9]Total 2027 - 2029'!S61-'[9]Plana 2027 - 2029'!S61</f>
        <v>546.52098465803101</v>
      </c>
      <c r="T61" s="56">
        <f>'[9]Total 2027 - 2029'!T61-'[9]Plana 2027 - 2029'!T61</f>
        <v>665.04375965934196</v>
      </c>
      <c r="U61" s="56">
        <f>'[9]Total 2027 - 2029'!U61-'[9]Plana 2027 - 2029'!U61</f>
        <v>664.00882720066875</v>
      </c>
      <c r="V61" s="56">
        <f>'[9]Total 2027 - 2029'!V61-'[9]Plana 2027 - 2029'!V61</f>
        <v>174.81050826525279</v>
      </c>
      <c r="W61" s="56">
        <f>'[9]Total 2027 - 2029'!W61-'[9]Plana 2027 - 2029'!W61</f>
        <v>0</v>
      </c>
      <c r="X61" s="56">
        <f>'[9]Total 2027 - 2029'!X61-'[9]Plana 2027 - 2029'!X61</f>
        <v>91.151249589502186</v>
      </c>
      <c r="Y61" s="56">
        <f>'[9]Total 2027 - 2029'!Y61-'[9]Plana 2027 - 2029'!Y61</f>
        <v>277.69297725703291</v>
      </c>
      <c r="Z61" s="56">
        <f>'[9]Total 2027 - 2029'!Z61-'[9]Plana 2027 - 2029'!Z61</f>
        <v>565.06795103695185</v>
      </c>
      <c r="AA61" s="56">
        <f>'[9]Total 2027 - 2029'!AA61-'[9]Plana 2027 - 2029'!AA61</f>
        <v>827.93183700869122</v>
      </c>
      <c r="AB61" s="57">
        <f t="shared" si="1"/>
        <v>77711.210660367491</v>
      </c>
      <c r="AC61" s="63"/>
    </row>
    <row r="62" spans="1:29" x14ac:dyDescent="0.25">
      <c r="A62" s="58"/>
      <c r="B62" s="59" t="s">
        <v>18</v>
      </c>
      <c r="C62" s="55">
        <v>6</v>
      </c>
      <c r="D62" s="56">
        <f>'[9]Total 2027 - 2029'!D62-'[9]Plana 2027 - 2029'!D62</f>
        <v>1608.5391204206735</v>
      </c>
      <c r="E62" s="56">
        <f>'[9]Total 2027 - 2029'!E62-'[9]Plana 2027 - 2029'!E62</f>
        <v>1058.212860710988</v>
      </c>
      <c r="F62" s="56">
        <f>'[9]Total 2027 - 2029'!F62-'[9]Plana 2027 - 2029'!F62</f>
        <v>565.62380926895639</v>
      </c>
      <c r="G62" s="56">
        <f>'[9]Total 2027 - 2029'!G62-'[9]Plana 2027 - 2029'!G62</f>
        <v>35.580871671268142</v>
      </c>
      <c r="H62" s="56">
        <f>'[9]Total 2027 - 2029'!H62-'[9]Plana 2027 - 2029'!H62</f>
        <v>0</v>
      </c>
      <c r="I62" s="56">
        <f>'[9]Total 2027 - 2029'!I62-'[9]Plana 2027 - 2029'!I62</f>
        <v>153.93216110691174</v>
      </c>
      <c r="J62" s="56">
        <f>'[9]Total 2027 - 2029'!J62-'[9]Plana 2027 - 2029'!J62</f>
        <v>576.53538483473494</v>
      </c>
      <c r="K62" s="56">
        <f>'[9]Total 2027 - 2029'!K62-'[9]Plana 2027 - 2029'!K62</f>
        <v>2428.0764756478875</v>
      </c>
      <c r="L62" s="56">
        <f>'[9]Total 2027 - 2029'!L62-'[9]Plana 2027 - 2029'!L62</f>
        <v>2460.9511293878513</v>
      </c>
      <c r="M62" s="56">
        <f>'[9]Total 2027 - 2029'!M62-'[9]Plana 2027 - 2029'!M62</f>
        <v>2328.4442052314771</v>
      </c>
      <c r="N62" s="56">
        <f>'[9]Total 2027 - 2029'!N62-'[9]Plana 2027 - 2029'!N62</f>
        <v>2181.3715164900714</v>
      </c>
      <c r="O62" s="56">
        <f>'[9]Total 2027 - 2029'!O62-'[9]Plana 2027 - 2029'!O62</f>
        <v>2077.6503033378976</v>
      </c>
      <c r="P62" s="56">
        <f>'[9]Total 2027 - 2029'!P62-'[9]Plana 2027 - 2029'!P62</f>
        <v>2131.2510858745245</v>
      </c>
      <c r="Q62" s="56">
        <f>'[9]Total 2027 - 2029'!Q62-'[9]Plana 2027 - 2029'!Q62</f>
        <v>2051.3014401728506</v>
      </c>
      <c r="R62" s="56">
        <f>'[9]Total 2027 - 2029'!R62-'[9]Plana 2027 - 2029'!R62</f>
        <v>1997.0042052502777</v>
      </c>
      <c r="S62" s="56">
        <f>'[9]Total 2027 - 2029'!S62-'[9]Plana 2027 - 2029'!S62</f>
        <v>2043.4972338419466</v>
      </c>
      <c r="T62" s="56">
        <f>'[9]Total 2027 - 2029'!T62-'[9]Plana 2027 - 2029'!T62</f>
        <v>2129.4251389582823</v>
      </c>
      <c r="U62" s="56">
        <f>'[9]Total 2027 - 2029'!U62-'[9]Plana 2027 - 2029'!U62</f>
        <v>2100.4465573399812</v>
      </c>
      <c r="V62" s="56">
        <f>'[9]Total 2027 - 2029'!V62-'[9]Plana 2027 - 2029'!V62</f>
        <v>1587.9960687439125</v>
      </c>
      <c r="W62" s="56">
        <f>'[9]Total 2027 - 2029'!W62-'[9]Plana 2027 - 2029'!W62</f>
        <v>1358.8188201830744</v>
      </c>
      <c r="X62" s="56">
        <f>'[9]Total 2027 - 2029'!X62-'[9]Plana 2027 - 2029'!X62</f>
        <v>1403.4955470525783</v>
      </c>
      <c r="Y62" s="56">
        <f>'[9]Total 2027 - 2029'!Y62-'[9]Plana 2027 - 2029'!Y62</f>
        <v>1570.5608604710542</v>
      </c>
      <c r="Z62" s="56">
        <f>'[9]Total 2027 - 2029'!Z62-'[9]Plana 2027 - 2029'!Z62</f>
        <v>1876.787185203093</v>
      </c>
      <c r="AA62" s="56">
        <f>'[9]Total 2027 - 2029'!AA62-'[9]Plana 2027 - 2029'!AA62</f>
        <v>2148.6370463700769</v>
      </c>
      <c r="AB62" s="57">
        <f t="shared" si="1"/>
        <v>227244.83416542225</v>
      </c>
      <c r="AC62" s="64"/>
    </row>
    <row r="63" spans="1:29" x14ac:dyDescent="0.25">
      <c r="A63" s="53">
        <v>46997</v>
      </c>
      <c r="B63" s="54" t="s">
        <v>16</v>
      </c>
      <c r="C63" s="55">
        <v>21</v>
      </c>
      <c r="D63" s="56">
        <f>'[9]Total 2027 - 2029'!D63-'[9]Plana 2027 - 2029'!D63</f>
        <v>1070.3468136808133</v>
      </c>
      <c r="E63" s="56">
        <f>'[9]Total 2027 - 2029'!E63-'[9]Plana 2027 - 2029'!E63</f>
        <v>1193.3180934295142</v>
      </c>
      <c r="F63" s="56">
        <f>'[9]Total 2027 - 2029'!F63-'[9]Plana 2027 - 2029'!F63</f>
        <v>1297.1842388045388</v>
      </c>
      <c r="G63" s="56">
        <f>'[9]Total 2027 - 2029'!G63-'[9]Plana 2027 - 2029'!G63</f>
        <v>1365.8039287098909</v>
      </c>
      <c r="H63" s="56">
        <f>'[9]Total 2027 - 2029'!H63-'[9]Plana 2027 - 2029'!H63</f>
        <v>1378.2269150503944</v>
      </c>
      <c r="I63" s="56">
        <f>'[9]Total 2027 - 2029'!I63-'[9]Plana 2027 - 2029'!I63</f>
        <v>1407.9223756482334</v>
      </c>
      <c r="J63" s="56">
        <f>'[9]Total 2027 - 2029'!J63-'[9]Plana 2027 - 2029'!J63</f>
        <v>1418.8076588042786</v>
      </c>
      <c r="K63" s="56">
        <f>'[9]Total 2027 - 2029'!K63-'[9]Plana 2027 - 2029'!K63</f>
        <v>1214.9411619241218</v>
      </c>
      <c r="L63" s="56">
        <f>'[9]Total 2027 - 2029'!L63-'[9]Plana 2027 - 2029'!L63</f>
        <v>929.92725089921805</v>
      </c>
      <c r="M63" s="56">
        <f>'[9]Total 2027 - 2029'!M63-'[9]Plana 2027 - 2029'!M63</f>
        <v>744.90812505244685</v>
      </c>
      <c r="N63" s="56">
        <f>'[9]Total 2027 - 2029'!N63-'[9]Plana 2027 - 2029'!N63</f>
        <v>585.01266040295923</v>
      </c>
      <c r="O63" s="56">
        <f>'[9]Total 2027 - 2029'!O63-'[9]Plana 2027 - 2029'!O63</f>
        <v>460.7959896398188</v>
      </c>
      <c r="P63" s="56">
        <f>'[9]Total 2027 - 2029'!P63-'[9]Plana 2027 - 2029'!P63</f>
        <v>638.7334253079116</v>
      </c>
      <c r="Q63" s="56">
        <f>'[9]Total 2027 - 2029'!Q63-'[9]Plana 2027 - 2029'!Q63</f>
        <v>475.53114181201272</v>
      </c>
      <c r="R63" s="56">
        <f>'[9]Total 2027 - 2029'!R63-'[9]Plana 2027 - 2029'!R63</f>
        <v>346.46310739859837</v>
      </c>
      <c r="S63" s="56">
        <f>'[9]Total 2027 - 2029'!S63-'[9]Plana 2027 - 2029'!S63</f>
        <v>387.09371872472002</v>
      </c>
      <c r="T63" s="56">
        <f>'[9]Total 2027 - 2029'!T63-'[9]Plana 2027 - 2029'!T63</f>
        <v>525.9165547563498</v>
      </c>
      <c r="U63" s="56">
        <f>'[9]Total 2027 - 2029'!U63-'[9]Plana 2027 - 2029'!U63</f>
        <v>539.37361335076821</v>
      </c>
      <c r="V63" s="56">
        <f>'[9]Total 2027 - 2029'!V63-'[9]Plana 2027 - 2029'!V63</f>
        <v>48.956977566467685</v>
      </c>
      <c r="W63" s="56">
        <f>'[9]Total 2027 - 2029'!W63-'[9]Plana 2027 - 2029'!W63</f>
        <v>0</v>
      </c>
      <c r="X63" s="56">
        <f>'[9]Total 2027 - 2029'!X63-'[9]Plana 2027 - 2029'!X63</f>
        <v>78.566472242755481</v>
      </c>
      <c r="Y63" s="56">
        <f>'[9]Total 2027 - 2029'!Y63-'[9]Plana 2027 - 2029'!Y63</f>
        <v>274.90334519128373</v>
      </c>
      <c r="Z63" s="56">
        <f>'[9]Total 2027 - 2029'!Z63-'[9]Plana 2027 - 2029'!Z63</f>
        <v>594.48179171329866</v>
      </c>
      <c r="AA63" s="56">
        <f>'[9]Total 2027 - 2029'!AA63-'[9]Plana 2027 - 2029'!AA63</f>
        <v>884.91569024768069</v>
      </c>
      <c r="AB63" s="57">
        <f t="shared" si="1"/>
        <v>375104.75205751957</v>
      </c>
      <c r="AC63" s="62">
        <f>SUM(AB63:AB65)</f>
        <v>567363.8642013513</v>
      </c>
    </row>
    <row r="64" spans="1:29" x14ac:dyDescent="0.25">
      <c r="A64" s="58"/>
      <c r="B64" s="59" t="s">
        <v>17</v>
      </c>
      <c r="C64" s="55">
        <v>5</v>
      </c>
      <c r="D64" s="56">
        <f>'[9]Total 2027 - 2029'!D64-'[9]Plana 2027 - 2029'!D64</f>
        <v>954.1380073673572</v>
      </c>
      <c r="E64" s="56">
        <f>'[9]Total 2027 - 2029'!E64-'[9]Plana 2027 - 2029'!E64</f>
        <v>1074.0478269790183</v>
      </c>
      <c r="F64" s="56">
        <f>'[9]Total 2027 - 2029'!F64-'[9]Plana 2027 - 2029'!F64</f>
        <v>1169.8326486276037</v>
      </c>
      <c r="G64" s="56">
        <f>'[9]Total 2027 - 2029'!G64-'[9]Plana 2027 - 2029'!G64</f>
        <v>1245.3264788859451</v>
      </c>
      <c r="H64" s="56">
        <f>'[9]Total 2027 - 2029'!H64-'[9]Plana 2027 - 2029'!H64</f>
        <v>1275.7298367575095</v>
      </c>
      <c r="I64" s="56">
        <f>'[9]Total 2027 - 2029'!I64-'[9]Plana 2027 - 2029'!I64</f>
        <v>1348.6754559139335</v>
      </c>
      <c r="J64" s="56">
        <f>'[9]Total 2027 - 2029'!J64-'[9]Plana 2027 - 2029'!J64</f>
        <v>1367.3044006537402</v>
      </c>
      <c r="K64" s="56">
        <f>'[9]Total 2027 - 2029'!K64-'[9]Plana 2027 - 2029'!K64</f>
        <v>1227.7107570955286</v>
      </c>
      <c r="L64" s="56">
        <f>'[9]Total 2027 - 2029'!L64-'[9]Plana 2027 - 2029'!L64</f>
        <v>972.35422292628027</v>
      </c>
      <c r="M64" s="56">
        <f>'[9]Total 2027 - 2029'!M64-'[9]Plana 2027 - 2029'!M64</f>
        <v>800.73480302419739</v>
      </c>
      <c r="N64" s="56">
        <f>'[9]Total 2027 - 2029'!N64-'[9]Plana 2027 - 2029'!N64</f>
        <v>640.20078364830988</v>
      </c>
      <c r="O64" s="56">
        <f>'[9]Total 2027 - 2029'!O64-'[9]Plana 2027 - 2029'!O64</f>
        <v>535.57669593109131</v>
      </c>
      <c r="P64" s="56">
        <f>'[9]Total 2027 - 2029'!P64-'[9]Plana 2027 - 2029'!P64</f>
        <v>646.47673976681108</v>
      </c>
      <c r="Q64" s="56">
        <f>'[9]Total 2027 - 2029'!Q64-'[9]Plana 2027 - 2029'!Q64</f>
        <v>534.67944685600196</v>
      </c>
      <c r="R64" s="56">
        <f>'[9]Total 2027 - 2029'!R64-'[9]Plana 2027 - 2029'!R64</f>
        <v>460.20117276367455</v>
      </c>
      <c r="S64" s="56">
        <f>'[9]Total 2027 - 2029'!S64-'[9]Plana 2027 - 2029'!S64</f>
        <v>503.22050930100158</v>
      </c>
      <c r="T64" s="56">
        <f>'[9]Total 2027 - 2029'!T64-'[9]Plana 2027 - 2029'!T64</f>
        <v>627.70785931663522</v>
      </c>
      <c r="U64" s="56">
        <f>'[9]Total 2027 - 2029'!U64-'[9]Plana 2027 - 2029'!U64</f>
        <v>595.57983783783129</v>
      </c>
      <c r="V64" s="56">
        <f>'[9]Total 2027 - 2029'!V64-'[9]Plana 2027 - 2029'!V64</f>
        <v>66.356237494936067</v>
      </c>
      <c r="W64" s="56">
        <f>'[9]Total 2027 - 2029'!W64-'[9]Plana 2027 - 2029'!W64</f>
        <v>0</v>
      </c>
      <c r="X64" s="56">
        <f>'[9]Total 2027 - 2029'!X64-'[9]Plana 2027 - 2029'!X64</f>
        <v>84.396616884652758</v>
      </c>
      <c r="Y64" s="56">
        <f>'[9]Total 2027 - 2029'!Y64-'[9]Plana 2027 - 2029'!Y64</f>
        <v>259.71913177974602</v>
      </c>
      <c r="Z64" s="56">
        <f>'[9]Total 2027 - 2029'!Z64-'[9]Plana 2027 - 2029'!Z64</f>
        <v>537.73933585670602</v>
      </c>
      <c r="AA64" s="56">
        <f>'[9]Total 2027 - 2029'!AA64-'[9]Plana 2027 - 2029'!AA64</f>
        <v>788.03245306293866</v>
      </c>
      <c r="AB64" s="57">
        <f t="shared" si="1"/>
        <v>88578.706293657233</v>
      </c>
      <c r="AC64" s="63"/>
    </row>
    <row r="65" spans="1:29" x14ac:dyDescent="0.25">
      <c r="A65" s="58"/>
      <c r="B65" s="59" t="s">
        <v>18</v>
      </c>
      <c r="C65" s="55">
        <v>4</v>
      </c>
      <c r="D65" s="56">
        <f>'[9]Total 2027 - 2029'!D65-'[9]Plana 2027 - 2029'!D65</f>
        <v>1595.5088022082018</v>
      </c>
      <c r="E65" s="56">
        <f>'[9]Total 2027 - 2029'!E65-'[9]Plana 2027 - 2029'!E65</f>
        <v>1590.5348428552315</v>
      </c>
      <c r="F65" s="56">
        <f>'[9]Total 2027 - 2029'!F65-'[9]Plana 2027 - 2029'!F65</f>
        <v>731.73891886861566</v>
      </c>
      <c r="G65" s="56">
        <f>'[9]Total 2027 - 2029'!G65-'[9]Plana 2027 - 2029'!G65</f>
        <v>218.08834321622271</v>
      </c>
      <c r="H65" s="56">
        <f>'[9]Total 2027 - 2029'!H65-'[9]Plana 2027 - 2029'!H65</f>
        <v>67.463949676221091</v>
      </c>
      <c r="I65" s="56">
        <f>'[9]Total 2027 - 2029'!I65-'[9]Plana 2027 - 2029'!I65</f>
        <v>0</v>
      </c>
      <c r="J65" s="56">
        <f>'[9]Total 2027 - 2029'!J65-'[9]Plana 2027 - 2029'!J65</f>
        <v>275.75154830923384</v>
      </c>
      <c r="K65" s="56">
        <f>'[9]Total 2027 - 2029'!K65-'[9]Plana 2027 - 2029'!K65</f>
        <v>1860.3267679413693</v>
      </c>
      <c r="L65" s="56">
        <f>'[9]Total 2027 - 2029'!L65-'[9]Plana 2027 - 2029'!L65</f>
        <v>1647.2087765365868</v>
      </c>
      <c r="M65" s="56">
        <f>'[9]Total 2027 - 2029'!M65-'[9]Plana 2027 - 2029'!M65</f>
        <v>1513.5069467295034</v>
      </c>
      <c r="N65" s="56">
        <f>'[9]Total 2027 - 2029'!N65-'[9]Plana 2027 - 2029'!N65</f>
        <v>1380.9906453931053</v>
      </c>
      <c r="O65" s="56">
        <f>'[9]Total 2027 - 2029'!O65-'[9]Plana 2027 - 2029'!O65</f>
        <v>1297.7201313594906</v>
      </c>
      <c r="P65" s="56">
        <f>'[9]Total 2027 - 2029'!P65-'[9]Plana 2027 - 2029'!P65</f>
        <v>1400.4393230561764</v>
      </c>
      <c r="Q65" s="56">
        <f>'[9]Total 2027 - 2029'!Q65-'[9]Plana 2027 - 2029'!Q65</f>
        <v>1296.4795914841216</v>
      </c>
      <c r="R65" s="56">
        <f>'[9]Total 2027 - 2029'!R65-'[9]Plana 2027 - 2029'!R65</f>
        <v>1236.7600209221546</v>
      </c>
      <c r="S65" s="56">
        <f>'[9]Total 2027 - 2029'!S65-'[9]Plana 2027 - 2029'!S65</f>
        <v>1272.2864044474136</v>
      </c>
      <c r="T65" s="56">
        <f>'[9]Total 2027 - 2029'!T65-'[9]Plana 2027 - 2029'!T65</f>
        <v>1368.914968704772</v>
      </c>
      <c r="U65" s="56">
        <f>'[9]Total 2027 - 2029'!U65-'[9]Plana 2027 - 2029'!U65</f>
        <v>1336.5431074944354</v>
      </c>
      <c r="V65" s="56">
        <f>'[9]Total 2027 - 2029'!V65-'[9]Plana 2027 - 2029'!V65</f>
        <v>798.16979918988545</v>
      </c>
      <c r="W65" s="56">
        <f>'[9]Total 2027 - 2029'!W65-'[9]Plana 2027 - 2029'!W65</f>
        <v>694.44058439121</v>
      </c>
      <c r="X65" s="56">
        <f>'[9]Total 2027 - 2029'!X65-'[9]Plana 2027 - 2029'!X65</f>
        <v>745.3410613755259</v>
      </c>
      <c r="Y65" s="56">
        <f>'[9]Total 2027 - 2029'!Y65-'[9]Plana 2027 - 2029'!Y65</f>
        <v>911.98769149246982</v>
      </c>
      <c r="Z65" s="56">
        <f>'[9]Total 2027 - 2029'!Z65-'[9]Plana 2027 - 2029'!Z65</f>
        <v>1211.8356592183591</v>
      </c>
      <c r="AA65" s="56">
        <f>'[9]Total 2027 - 2029'!AA65-'[9]Plana 2027 - 2029'!AA65</f>
        <v>1468.0635776733161</v>
      </c>
      <c r="AB65" s="57">
        <f t="shared" si="1"/>
        <v>103680.40585017449</v>
      </c>
      <c r="AC65" s="64"/>
    </row>
    <row r="66" spans="1:29" x14ac:dyDescent="0.25">
      <c r="A66" s="53">
        <v>47027</v>
      </c>
      <c r="B66" s="54" t="s">
        <v>16</v>
      </c>
      <c r="C66" s="55">
        <v>21</v>
      </c>
      <c r="D66" s="56">
        <f>'[9]Total 2027 - 2029'!D66-'[9]Plana 2027 - 2029'!D66</f>
        <v>1016.1561261007282</v>
      </c>
      <c r="E66" s="56">
        <f>'[9]Total 2027 - 2029'!E66-'[9]Plana 2027 - 2029'!E66</f>
        <v>1147.0448568822703</v>
      </c>
      <c r="F66" s="56">
        <f>'[9]Total 2027 - 2029'!F66-'[9]Plana 2027 - 2029'!F66</f>
        <v>1241.3028149299516</v>
      </c>
      <c r="G66" s="56">
        <f>'[9]Total 2027 - 2029'!G66-'[9]Plana 2027 - 2029'!G66</f>
        <v>1334.8372645895124</v>
      </c>
      <c r="H66" s="56">
        <f>'[9]Total 2027 - 2029'!H66-'[9]Plana 2027 - 2029'!H66</f>
        <v>1334.5263648615346</v>
      </c>
      <c r="I66" s="56">
        <f>'[9]Total 2027 - 2029'!I66-'[9]Plana 2027 - 2029'!I66</f>
        <v>1376.4970979797872</v>
      </c>
      <c r="J66" s="56">
        <f>'[9]Total 2027 - 2029'!J66-'[9]Plana 2027 - 2029'!J66</f>
        <v>1386.8801107117615</v>
      </c>
      <c r="K66" s="56">
        <f>'[9]Total 2027 - 2029'!K66-'[9]Plana 2027 - 2029'!K66</f>
        <v>1254.4521670184004</v>
      </c>
      <c r="L66" s="56">
        <f>'[9]Total 2027 - 2029'!L66-'[9]Plana 2027 - 2029'!L66</f>
        <v>987.78283719869432</v>
      </c>
      <c r="M66" s="56">
        <f>'[9]Total 2027 - 2029'!M66-'[9]Plana 2027 - 2029'!M66</f>
        <v>809.79920571345974</v>
      </c>
      <c r="N66" s="56">
        <f>'[9]Total 2027 - 2029'!N66-'[9]Plana 2027 - 2029'!N66</f>
        <v>635.06681441162254</v>
      </c>
      <c r="O66" s="56">
        <f>'[9]Total 2027 - 2029'!O66-'[9]Plana 2027 - 2029'!O66</f>
        <v>520.6394270022156</v>
      </c>
      <c r="P66" s="56">
        <f>'[9]Total 2027 - 2029'!P66-'[9]Plana 2027 - 2029'!P66</f>
        <v>684.09907425019082</v>
      </c>
      <c r="Q66" s="56">
        <f>'[9]Total 2027 - 2029'!Q66-'[9]Plana 2027 - 2029'!Q66</f>
        <v>534.81451974437186</v>
      </c>
      <c r="R66" s="56">
        <f>'[9]Total 2027 - 2029'!R66-'[9]Plana 2027 - 2029'!R66</f>
        <v>430.12942754344112</v>
      </c>
      <c r="S66" s="56">
        <f>'[9]Total 2027 - 2029'!S66-'[9]Plana 2027 - 2029'!S66</f>
        <v>490.69531524474223</v>
      </c>
      <c r="T66" s="56">
        <f>'[9]Total 2027 - 2029'!T66-'[9]Plana 2027 - 2029'!T66</f>
        <v>593.22984806524983</v>
      </c>
      <c r="U66" s="56">
        <f>'[9]Total 2027 - 2029'!U66-'[9]Plana 2027 - 2029'!U66</f>
        <v>442.96332999264268</v>
      </c>
      <c r="V66" s="56">
        <f>'[9]Total 2027 - 2029'!V66-'[9]Plana 2027 - 2029'!V66</f>
        <v>0</v>
      </c>
      <c r="W66" s="56">
        <f>'[9]Total 2027 - 2029'!W66-'[9]Plana 2027 - 2029'!W66</f>
        <v>25.020717355218949</v>
      </c>
      <c r="X66" s="56">
        <f>'[9]Total 2027 - 2029'!X66-'[9]Plana 2027 - 2029'!X66</f>
        <v>51.396984981416608</v>
      </c>
      <c r="Y66" s="56">
        <f>'[9]Total 2027 - 2029'!Y66-'[9]Plana 2027 - 2029'!Y66</f>
        <v>285.69415746368759</v>
      </c>
      <c r="Z66" s="56">
        <f>'[9]Total 2027 - 2029'!Z66-'[9]Plana 2027 - 2029'!Z66</f>
        <v>535.8691647227115</v>
      </c>
      <c r="AA66" s="56">
        <f>'[9]Total 2027 - 2029'!AA66-'[9]Plana 2027 - 2029'!AA66</f>
        <v>812.33923809546104</v>
      </c>
      <c r="AB66" s="57">
        <f t="shared" si="1"/>
        <v>376555.97416204051</v>
      </c>
      <c r="AC66" s="62">
        <f>SUM(AB66:AB68)</f>
        <v>511021.91808855953</v>
      </c>
    </row>
    <row r="67" spans="1:29" x14ac:dyDescent="0.25">
      <c r="A67" s="58"/>
      <c r="B67" s="59" t="s">
        <v>17</v>
      </c>
      <c r="C67" s="55">
        <v>4</v>
      </c>
      <c r="D67" s="56">
        <f>'[9]Total 2027 - 2029'!D67-'[9]Plana 2027 - 2029'!D67</f>
        <v>788.21078679742277</v>
      </c>
      <c r="E67" s="56">
        <f>'[9]Total 2027 - 2029'!E67-'[9]Plana 2027 - 2029'!E67</f>
        <v>915.58909630400376</v>
      </c>
      <c r="F67" s="56">
        <f>'[9]Total 2027 - 2029'!F67-'[9]Plana 2027 - 2029'!F67</f>
        <v>892.0052516389751</v>
      </c>
      <c r="G67" s="56">
        <f>'[9]Total 2027 - 2029'!G67-'[9]Plana 2027 - 2029'!G67</f>
        <v>39.795505224054068</v>
      </c>
      <c r="H67" s="56">
        <f>'[9]Total 2027 - 2029'!H67-'[9]Plana 2027 - 2029'!H67</f>
        <v>637.84635454391173</v>
      </c>
      <c r="I67" s="56">
        <f>'[9]Total 2027 - 2029'!I67-'[9]Plana 2027 - 2029'!I67</f>
        <v>33.72679795573822</v>
      </c>
      <c r="J67" s="56">
        <f>'[9]Total 2027 - 2029'!J67-'[9]Plana 2027 - 2029'!J67</f>
        <v>866.55160045975936</v>
      </c>
      <c r="K67" s="56">
        <f>'[9]Total 2027 - 2029'!K67-'[9]Plana 2027 - 2029'!K67</f>
        <v>1168.071519531286</v>
      </c>
      <c r="L67" s="56">
        <f>'[9]Total 2027 - 2029'!L67-'[9]Plana 2027 - 2029'!L67</f>
        <v>989.60940232314715</v>
      </c>
      <c r="M67" s="56">
        <f>'[9]Total 2027 - 2029'!M67-'[9]Plana 2027 - 2029'!M67</f>
        <v>850.33898527134625</v>
      </c>
      <c r="N67" s="56">
        <f>'[9]Total 2027 - 2029'!N67-'[9]Plana 2027 - 2029'!N67</f>
        <v>725.27108303917157</v>
      </c>
      <c r="O67" s="56">
        <f>'[9]Total 2027 - 2029'!O67-'[9]Plana 2027 - 2029'!O67</f>
        <v>620.8221731787944</v>
      </c>
      <c r="P67" s="56">
        <f>'[9]Total 2027 - 2029'!P67-'[9]Plana 2027 - 2029'!P67</f>
        <v>709.09326218966999</v>
      </c>
      <c r="Q67" s="56">
        <f>'[9]Total 2027 - 2029'!Q67-'[9]Plana 2027 - 2029'!Q67</f>
        <v>634.39721802569147</v>
      </c>
      <c r="R67" s="56">
        <f>'[9]Total 2027 - 2029'!R67-'[9]Plana 2027 - 2029'!R67</f>
        <v>559.12857960673682</v>
      </c>
      <c r="S67" s="56">
        <f>'[9]Total 2027 - 2029'!S67-'[9]Plana 2027 - 2029'!S67</f>
        <v>592.89312795856858</v>
      </c>
      <c r="T67" s="56">
        <f>'[9]Total 2027 - 2029'!T67-'[9]Plana 2027 - 2029'!T67</f>
        <v>673.11063004917378</v>
      </c>
      <c r="U67" s="56">
        <f>'[9]Total 2027 - 2029'!U67-'[9]Plana 2027 - 2029'!U67</f>
        <v>499.29595066279944</v>
      </c>
      <c r="V67" s="56">
        <f>'[9]Total 2027 - 2029'!V67-'[9]Plana 2027 - 2029'!V67</f>
        <v>17.660036103983657</v>
      </c>
      <c r="W67" s="56">
        <f>'[9]Total 2027 - 2029'!W67-'[9]Plana 2027 - 2029'!W67</f>
        <v>0</v>
      </c>
      <c r="X67" s="56">
        <f>'[9]Total 2027 - 2029'!X67-'[9]Plana 2027 - 2029'!X67</f>
        <v>77.770124840521021</v>
      </c>
      <c r="Y67" s="56">
        <f>'[9]Total 2027 - 2029'!Y67-'[9]Plana 2027 - 2029'!Y67</f>
        <v>269.16236978618144</v>
      </c>
      <c r="Z67" s="56">
        <f>'[9]Total 2027 - 2029'!Z67-'[9]Plana 2027 - 2029'!Z67</f>
        <v>492.81388454399894</v>
      </c>
      <c r="AA67" s="56">
        <f>'[9]Total 2027 - 2029'!AA67-'[9]Plana 2027 - 2029'!AA67</f>
        <v>723.08437230459822</v>
      </c>
      <c r="AB67" s="57">
        <f t="shared" si="1"/>
        <v>55104.992449358135</v>
      </c>
      <c r="AC67" s="63"/>
    </row>
    <row r="68" spans="1:29" x14ac:dyDescent="0.25">
      <c r="A68" s="58"/>
      <c r="B68" s="59" t="s">
        <v>18</v>
      </c>
      <c r="C68" s="55">
        <v>6</v>
      </c>
      <c r="D68" s="56">
        <f>'[9]Total 2027 - 2029'!D68-'[9]Plana 2027 - 2029'!D68</f>
        <v>766.65189483344511</v>
      </c>
      <c r="E68" s="56">
        <f>'[9]Total 2027 - 2029'!E68-'[9]Plana 2027 - 2029'!E68</f>
        <v>888.42960890470567</v>
      </c>
      <c r="F68" s="56">
        <f>'[9]Total 2027 - 2029'!F68-'[9]Plana 2027 - 2029'!F68</f>
        <v>970.33145810952374</v>
      </c>
      <c r="G68" s="56">
        <f>'[9]Total 2027 - 2029'!G68-'[9]Plana 2027 - 2029'!G68</f>
        <v>158.32076776576832</v>
      </c>
      <c r="H68" s="56">
        <f>'[9]Total 2027 - 2029'!H68-'[9]Plana 2027 - 2029'!H68</f>
        <v>436.44703800358911</v>
      </c>
      <c r="I68" s="56">
        <f>'[9]Total 2027 - 2029'!I68-'[9]Plana 2027 - 2029'!I68</f>
        <v>51.03274388589125</v>
      </c>
      <c r="J68" s="56">
        <f>'[9]Total 2027 - 2029'!J68-'[9]Plana 2027 - 2029'!J68</f>
        <v>774.88474349100034</v>
      </c>
      <c r="K68" s="56">
        <f>'[9]Total 2027 - 2029'!K68-'[9]Plana 2027 - 2029'!K68</f>
        <v>1089.9357458874802</v>
      </c>
      <c r="L68" s="56">
        <f>'[9]Total 2027 - 2029'!L68-'[9]Plana 2027 - 2029'!L68</f>
        <v>937.55122847820894</v>
      </c>
      <c r="M68" s="56">
        <f>'[9]Total 2027 - 2029'!M68-'[9]Plana 2027 - 2029'!M68</f>
        <v>826.95609570612214</v>
      </c>
      <c r="N68" s="56">
        <f>'[9]Total 2027 - 2029'!N68-'[9]Plana 2027 - 2029'!N68</f>
        <v>713.41545850782131</v>
      </c>
      <c r="O68" s="56">
        <f>'[9]Total 2027 - 2029'!O68-'[9]Plana 2027 - 2029'!O68</f>
        <v>605.1334760858972</v>
      </c>
      <c r="P68" s="56">
        <f>'[9]Total 2027 - 2029'!P68-'[9]Plana 2027 - 2029'!P68</f>
        <v>658.8967167736464</v>
      </c>
      <c r="Q68" s="56">
        <f>'[9]Total 2027 - 2029'!Q68-'[9]Plana 2027 - 2029'!Q68</f>
        <v>585.16282015443721</v>
      </c>
      <c r="R68" s="56">
        <f>'[9]Total 2027 - 2029'!R68-'[9]Plana 2027 - 2029'!R68</f>
        <v>528.11860483605233</v>
      </c>
      <c r="S68" s="56">
        <f>'[9]Total 2027 - 2029'!S68-'[9]Plana 2027 - 2029'!S68</f>
        <v>574.8285886249887</v>
      </c>
      <c r="T68" s="56">
        <f>'[9]Total 2027 - 2029'!T68-'[9]Plana 2027 - 2029'!T68</f>
        <v>701.04712266651222</v>
      </c>
      <c r="U68" s="56">
        <f>'[9]Total 2027 - 2029'!U68-'[9]Plana 2027 - 2029'!U68</f>
        <v>502.76180675957221</v>
      </c>
      <c r="V68" s="56">
        <f>'[9]Total 2027 - 2029'!V68-'[9]Plana 2027 - 2029'!V68</f>
        <v>34.067320740114155</v>
      </c>
      <c r="W68" s="56">
        <f>'[9]Total 2027 - 2029'!W68-'[9]Plana 2027 - 2029'!W68</f>
        <v>0</v>
      </c>
      <c r="X68" s="56">
        <f>'[9]Total 2027 - 2029'!X68-'[9]Plana 2027 - 2029'!X68</f>
        <v>44.919012613512677</v>
      </c>
      <c r="Y68" s="56">
        <f>'[9]Total 2027 - 2029'!Y68-'[9]Plana 2027 - 2029'!Y68</f>
        <v>227.95037513318312</v>
      </c>
      <c r="Z68" s="56">
        <f>'[9]Total 2027 - 2029'!Z68-'[9]Plana 2027 - 2029'!Z68</f>
        <v>467.1263427482445</v>
      </c>
      <c r="AA68" s="56">
        <f>'[9]Total 2027 - 2029'!AA68-'[9]Plana 2027 - 2029'!AA68</f>
        <v>682.8562754837676</v>
      </c>
      <c r="AB68" s="57">
        <f t="shared" si="1"/>
        <v>79360.95147716091</v>
      </c>
      <c r="AC68" s="64"/>
    </row>
    <row r="69" spans="1:29" x14ac:dyDescent="0.25">
      <c r="A69" s="53">
        <v>47058</v>
      </c>
      <c r="B69" s="54" t="s">
        <v>16</v>
      </c>
      <c r="C69" s="55">
        <v>20</v>
      </c>
      <c r="D69" s="56">
        <f>'[9]Total 2027 - 2029'!D69-'[9]Plana 2027 - 2029'!D69</f>
        <v>989.45496443575757</v>
      </c>
      <c r="E69" s="56">
        <f>'[9]Total 2027 - 2029'!E69-'[9]Plana 2027 - 2029'!E69</f>
        <v>1122.8652079930016</v>
      </c>
      <c r="F69" s="56">
        <f>'[9]Total 2027 - 2029'!F69-'[9]Plana 2027 - 2029'!F69</f>
        <v>1209.8488070433123</v>
      </c>
      <c r="G69" s="56">
        <f>'[9]Total 2027 - 2029'!G69-'[9]Plana 2027 - 2029'!G69</f>
        <v>1284.3857495783195</v>
      </c>
      <c r="H69" s="56">
        <f>'[9]Total 2027 - 2029'!H69-'[9]Plana 2027 - 2029'!H69</f>
        <v>1304.5965078653371</v>
      </c>
      <c r="I69" s="56">
        <f>'[9]Total 2027 - 2029'!I69-'[9]Plana 2027 - 2029'!I69</f>
        <v>1320.9501218243568</v>
      </c>
      <c r="J69" s="56">
        <f>'[9]Total 2027 - 2029'!J69-'[9]Plana 2027 - 2029'!J69</f>
        <v>1354.4653668731607</v>
      </c>
      <c r="K69" s="56">
        <f>'[9]Total 2027 - 2029'!K69-'[9]Plana 2027 - 2029'!K69</f>
        <v>1166.3688975703262</v>
      </c>
      <c r="L69" s="56">
        <f>'[9]Total 2027 - 2029'!L69-'[9]Plana 2027 - 2029'!L69</f>
        <v>909.45730955913677</v>
      </c>
      <c r="M69" s="56">
        <f>'[9]Total 2027 - 2029'!M69-'[9]Plana 2027 - 2029'!M69</f>
        <v>758.34302049033613</v>
      </c>
      <c r="N69" s="56">
        <f>'[9]Total 2027 - 2029'!N69-'[9]Plana 2027 - 2029'!N69</f>
        <v>624.78586444763096</v>
      </c>
      <c r="O69" s="56">
        <f>'[9]Total 2027 - 2029'!O69-'[9]Plana 2027 - 2029'!O69</f>
        <v>524.74280695447851</v>
      </c>
      <c r="P69" s="56">
        <f>'[9]Total 2027 - 2029'!P69-'[9]Plana 2027 - 2029'!P69</f>
        <v>684.71667902062472</v>
      </c>
      <c r="Q69" s="56">
        <f>'[9]Total 2027 - 2029'!Q69-'[9]Plana 2027 - 2029'!Q69</f>
        <v>553.52129108345616</v>
      </c>
      <c r="R69" s="56">
        <f>'[9]Total 2027 - 2029'!R69-'[9]Plana 2027 - 2029'!R69</f>
        <v>437.32687770273151</v>
      </c>
      <c r="S69" s="56">
        <f>'[9]Total 2027 - 2029'!S69-'[9]Plana 2027 - 2029'!S69</f>
        <v>466.85430827292112</v>
      </c>
      <c r="T69" s="56">
        <f>'[9]Total 2027 - 2029'!T69-'[9]Plana 2027 - 2029'!T69</f>
        <v>582.59884220093772</v>
      </c>
      <c r="U69" s="56">
        <f>'[9]Total 2027 - 2029'!U69-'[9]Plana 2027 - 2029'!U69</f>
        <v>362.39881513649379</v>
      </c>
      <c r="V69" s="56">
        <f>'[9]Total 2027 - 2029'!V69-'[9]Plana 2027 - 2029'!V69</f>
        <v>0</v>
      </c>
      <c r="W69" s="56">
        <f>'[9]Total 2027 - 2029'!W69-'[9]Plana 2027 - 2029'!W69</f>
        <v>44.497725662175071</v>
      </c>
      <c r="X69" s="56">
        <f>'[9]Total 2027 - 2029'!X69-'[9]Plana 2027 - 2029'!X69</f>
        <v>138.42180535411353</v>
      </c>
      <c r="Y69" s="56">
        <f>'[9]Total 2027 - 2029'!Y69-'[9]Plana 2027 - 2029'!Y69</f>
        <v>335.63436003306197</v>
      </c>
      <c r="Z69" s="56">
        <f>'[9]Total 2027 - 2029'!Z69-'[9]Plana 2027 - 2029'!Z69</f>
        <v>597.79679423012749</v>
      </c>
      <c r="AA69" s="56">
        <f>'[9]Total 2027 - 2029'!AA69-'[9]Plana 2027 - 2029'!AA69</f>
        <v>843.77116268688405</v>
      </c>
      <c r="AB69" s="57">
        <f t="shared" si="1"/>
        <v>352356.06572037359</v>
      </c>
      <c r="AC69" s="62">
        <f>SUM(AB69:AB71)</f>
        <v>520743.77771677257</v>
      </c>
    </row>
    <row r="70" spans="1:29" x14ac:dyDescent="0.25">
      <c r="A70" s="58"/>
      <c r="B70" s="59" t="s">
        <v>17</v>
      </c>
      <c r="C70" s="55">
        <v>4</v>
      </c>
      <c r="D70" s="56">
        <f>'[9]Total 2027 - 2029'!D70-'[9]Plana 2027 - 2029'!D70</f>
        <v>960.71793234506549</v>
      </c>
      <c r="E70" s="56">
        <f>'[9]Total 2027 - 2029'!E70-'[9]Plana 2027 - 2029'!E70</f>
        <v>1065.3441027635781</v>
      </c>
      <c r="F70" s="56">
        <f>'[9]Total 2027 - 2029'!F70-'[9]Plana 2027 - 2029'!F70</f>
        <v>1145.2055324791982</v>
      </c>
      <c r="G70" s="56">
        <f>'[9]Total 2027 - 2029'!G70-'[9]Plana 2027 - 2029'!G70</f>
        <v>1212.8976966025311</v>
      </c>
      <c r="H70" s="56">
        <f>'[9]Total 2027 - 2029'!H70-'[9]Plana 2027 - 2029'!H70</f>
        <v>1230.9690384982823</v>
      </c>
      <c r="I70" s="56">
        <f>'[9]Total 2027 - 2029'!I70-'[9]Plana 2027 - 2029'!I70</f>
        <v>1271.7999535985273</v>
      </c>
      <c r="J70" s="56">
        <f>'[9]Total 2027 - 2029'!J70-'[9]Plana 2027 - 2029'!J70</f>
        <v>1298.9479018274396</v>
      </c>
      <c r="K70" s="56">
        <f>'[9]Total 2027 - 2029'!K70-'[9]Plana 2027 - 2029'!K70</f>
        <v>1157.5569069744161</v>
      </c>
      <c r="L70" s="56">
        <f>'[9]Total 2027 - 2029'!L70-'[9]Plana 2027 - 2029'!L70</f>
        <v>964.79443261348752</v>
      </c>
      <c r="M70" s="56">
        <f>'[9]Total 2027 - 2029'!M70-'[9]Plana 2027 - 2029'!M70</f>
        <v>825.50113658000009</v>
      </c>
      <c r="N70" s="56">
        <f>'[9]Total 2027 - 2029'!N70-'[9]Plana 2027 - 2029'!N70</f>
        <v>680.08576512325817</v>
      </c>
      <c r="O70" s="56">
        <f>'[9]Total 2027 - 2029'!O70-'[9]Plana 2027 - 2029'!O70</f>
        <v>568.58700700099871</v>
      </c>
      <c r="P70" s="56">
        <f>'[9]Total 2027 - 2029'!P70-'[9]Plana 2027 - 2029'!P70</f>
        <v>652.99275239876624</v>
      </c>
      <c r="Q70" s="56">
        <f>'[9]Total 2027 - 2029'!Q70-'[9]Plana 2027 - 2029'!Q70</f>
        <v>573.82087663276616</v>
      </c>
      <c r="R70" s="56">
        <f>'[9]Total 2027 - 2029'!R70-'[9]Plana 2027 - 2029'!R70</f>
        <v>507.95932468162755</v>
      </c>
      <c r="S70" s="56">
        <f>'[9]Total 2027 - 2029'!S70-'[9]Plana 2027 - 2029'!S70</f>
        <v>527.93334849492567</v>
      </c>
      <c r="T70" s="56">
        <f>'[9]Total 2027 - 2029'!T70-'[9]Plana 2027 - 2029'!T70</f>
        <v>646.50051287513452</v>
      </c>
      <c r="U70" s="56">
        <f>'[9]Total 2027 - 2029'!U70-'[9]Plana 2027 - 2029'!U70</f>
        <v>396.28873642000326</v>
      </c>
      <c r="V70" s="56">
        <f>'[9]Total 2027 - 2029'!V70-'[9]Plana 2027 - 2029'!V70</f>
        <v>0</v>
      </c>
      <c r="W70" s="56">
        <f>'[9]Total 2027 - 2029'!W70-'[9]Plana 2027 - 2029'!W70</f>
        <v>14.968420931132641</v>
      </c>
      <c r="X70" s="56">
        <f>'[9]Total 2027 - 2029'!X70-'[9]Plana 2027 - 2029'!X70</f>
        <v>96.857587827023963</v>
      </c>
      <c r="Y70" s="56">
        <f>'[9]Total 2027 - 2029'!Y70-'[9]Plana 2027 - 2029'!Y70</f>
        <v>259.07762088704112</v>
      </c>
      <c r="Z70" s="56">
        <f>'[9]Total 2027 - 2029'!Z70-'[9]Plana 2027 - 2029'!Z70</f>
        <v>494.4636920176381</v>
      </c>
      <c r="AA70" s="56">
        <f>'[9]Total 2027 - 2029'!AA70-'[9]Plana 2027 - 2029'!AA70</f>
        <v>694.8462608075406</v>
      </c>
      <c r="AB70" s="57">
        <f t="shared" si="1"/>
        <v>68992.46616152153</v>
      </c>
      <c r="AC70" s="63"/>
    </row>
    <row r="71" spans="1:29" x14ac:dyDescent="0.25">
      <c r="A71" s="58"/>
      <c r="B71" s="59" t="s">
        <v>18</v>
      </c>
      <c r="C71" s="55">
        <v>6</v>
      </c>
      <c r="D71" s="56">
        <f>'[9]Total 2027 - 2029'!D71-'[9]Plana 2027 - 2029'!D71</f>
        <v>760.96935544943335</v>
      </c>
      <c r="E71" s="56">
        <f>'[9]Total 2027 - 2029'!E71-'[9]Plana 2027 - 2029'!E71</f>
        <v>883.59393877253751</v>
      </c>
      <c r="F71" s="56">
        <f>'[9]Total 2027 - 2029'!F71-'[9]Plana 2027 - 2029'!F71</f>
        <v>976.29912121407688</v>
      </c>
      <c r="G71" s="56">
        <f>'[9]Total 2027 - 2029'!G71-'[9]Plana 2027 - 2029'!G71</f>
        <v>1042.0424369890789</v>
      </c>
      <c r="H71" s="56">
        <f>'[9]Total 2027 - 2029'!H71-'[9]Plana 2027 - 2029'!H71</f>
        <v>1072.2805319082509</v>
      </c>
      <c r="I71" s="56">
        <f>'[9]Total 2027 - 2029'!I71-'[9]Plana 2027 - 2029'!I71</f>
        <v>1137.0005946282981</v>
      </c>
      <c r="J71" s="56">
        <f>'[9]Total 2027 - 2029'!J71-'[9]Plana 2027 - 2029'!J71</f>
        <v>1184.5500112248537</v>
      </c>
      <c r="K71" s="56">
        <f>'[9]Total 2027 - 2029'!K71-'[9]Plana 2027 - 2029'!K71</f>
        <v>1083.6387721781757</v>
      </c>
      <c r="L71" s="56">
        <f>'[9]Total 2027 - 2029'!L71-'[9]Plana 2027 - 2029'!L71</f>
        <v>929.55670489596923</v>
      </c>
      <c r="M71" s="56">
        <f>'[9]Total 2027 - 2029'!M71-'[9]Plana 2027 - 2029'!M71</f>
        <v>839.84436772305708</v>
      </c>
      <c r="N71" s="56">
        <f>'[9]Total 2027 - 2029'!N71-'[9]Plana 2027 - 2029'!N71</f>
        <v>745.00290809459875</v>
      </c>
      <c r="O71" s="56">
        <f>'[9]Total 2027 - 2029'!O71-'[9]Plana 2027 - 2029'!O71</f>
        <v>647.80489231868887</v>
      </c>
      <c r="P71" s="56">
        <f>'[9]Total 2027 - 2029'!P71-'[9]Plana 2027 - 2029'!P71</f>
        <v>700.12970195971684</v>
      </c>
      <c r="Q71" s="56">
        <f>'[9]Total 2027 - 2029'!Q71-'[9]Plana 2027 - 2029'!Q71</f>
        <v>615.54844966951168</v>
      </c>
      <c r="R71" s="56">
        <f>'[9]Total 2027 - 2029'!R71-'[9]Plana 2027 - 2029'!R71</f>
        <v>546.57845621144952</v>
      </c>
      <c r="S71" s="56">
        <f>'[9]Total 2027 - 2029'!S71-'[9]Plana 2027 - 2029'!S71</f>
        <v>554.97191626810127</v>
      </c>
      <c r="T71" s="56">
        <f>'[9]Total 2027 - 2029'!T71-'[9]Plana 2027 - 2029'!T71</f>
        <v>641.04220270394944</v>
      </c>
      <c r="U71" s="56">
        <f>'[9]Total 2027 - 2029'!U71-'[9]Plana 2027 - 2029'!U71</f>
        <v>391.32762588676633</v>
      </c>
      <c r="V71" s="56">
        <f>'[9]Total 2027 - 2029'!V71-'[9]Plana 2027 - 2029'!V71</f>
        <v>0</v>
      </c>
      <c r="W71" s="56">
        <f>'[9]Total 2027 - 2029'!W71-'[9]Plana 2027 - 2029'!W71</f>
        <v>19.189136473911276</v>
      </c>
      <c r="X71" s="56">
        <f>'[9]Total 2027 - 2029'!X71-'[9]Plana 2027 - 2029'!X71</f>
        <v>97.296544628612537</v>
      </c>
      <c r="Y71" s="56">
        <f>'[9]Total 2027 - 2029'!Y71-'[9]Plana 2027 - 2029'!Y71</f>
        <v>331.15760090044751</v>
      </c>
      <c r="Z71" s="56">
        <f>'[9]Total 2027 - 2029'!Z71-'[9]Plana 2027 - 2029'!Z71</f>
        <v>600.59999464110842</v>
      </c>
      <c r="AA71" s="56">
        <f>'[9]Total 2027 - 2029'!AA71-'[9]Plana 2027 - 2029'!AA71</f>
        <v>765.44904107230832</v>
      </c>
      <c r="AB71" s="57">
        <f t="shared" si="1"/>
        <v>99395.245834877423</v>
      </c>
      <c r="AC71" s="64"/>
    </row>
    <row r="72" spans="1:29" x14ac:dyDescent="0.25">
      <c r="A72" s="53">
        <v>47088</v>
      </c>
      <c r="B72" s="54" t="s">
        <v>16</v>
      </c>
      <c r="C72" s="55">
        <v>19</v>
      </c>
      <c r="D72" s="56">
        <f>'[9]Total 2027 - 2029'!D72-'[9]Plana 2027 - 2029'!D72</f>
        <v>859.37232277641851</v>
      </c>
      <c r="E72" s="56">
        <f>'[9]Total 2027 - 2029'!E72-'[9]Plana 2027 - 2029'!E72</f>
        <v>970.61986883772624</v>
      </c>
      <c r="F72" s="56">
        <f>'[9]Total 2027 - 2029'!F72-'[9]Plana 2027 - 2029'!F72</f>
        <v>1054.0711394249265</v>
      </c>
      <c r="G72" s="56">
        <f>'[9]Total 2027 - 2029'!G72-'[9]Plana 2027 - 2029'!G72</f>
        <v>1125.3538519849917</v>
      </c>
      <c r="H72" s="56">
        <f>'[9]Total 2027 - 2029'!H72-'[9]Plana 2027 - 2029'!H72</f>
        <v>1154.0094226119454</v>
      </c>
      <c r="I72" s="56">
        <f>'[9]Total 2027 - 2029'!I72-'[9]Plana 2027 - 2029'!I72</f>
        <v>1164.9561414228119</v>
      </c>
      <c r="J72" s="56">
        <f>'[9]Total 2027 - 2029'!J72-'[9]Plana 2027 - 2029'!J72</f>
        <v>1223.3482854369377</v>
      </c>
      <c r="K72" s="56">
        <f>'[9]Total 2027 - 2029'!K72-'[9]Plana 2027 - 2029'!K72</f>
        <v>1102.9855499047426</v>
      </c>
      <c r="L72" s="56">
        <f>'[9]Total 2027 - 2029'!L72-'[9]Plana 2027 - 2029'!L72</f>
        <v>903.8994493330556</v>
      </c>
      <c r="M72" s="56">
        <f>'[9]Total 2027 - 2029'!M72-'[9]Plana 2027 - 2029'!M72</f>
        <v>772.06776063776306</v>
      </c>
      <c r="N72" s="56">
        <f>'[9]Total 2027 - 2029'!N72-'[9]Plana 2027 - 2029'!N72</f>
        <v>635.59075350241255</v>
      </c>
      <c r="O72" s="56">
        <f>'[9]Total 2027 - 2029'!O72-'[9]Plana 2027 - 2029'!O72</f>
        <v>517.03533815591254</v>
      </c>
      <c r="P72" s="56">
        <f>'[9]Total 2027 - 2029'!P72-'[9]Plana 2027 - 2029'!P72</f>
        <v>644.17562509941308</v>
      </c>
      <c r="Q72" s="56">
        <f>'[9]Total 2027 - 2029'!Q72-'[9]Plana 2027 - 2029'!Q72</f>
        <v>511.53353693650388</v>
      </c>
      <c r="R72" s="56">
        <f>'[9]Total 2027 - 2029'!R72-'[9]Plana 2027 - 2029'!R72</f>
        <v>381.50762419100101</v>
      </c>
      <c r="S72" s="56">
        <f>'[9]Total 2027 - 2029'!S72-'[9]Plana 2027 - 2029'!S72</f>
        <v>415.58675309032333</v>
      </c>
      <c r="T72" s="56">
        <f>'[9]Total 2027 - 2029'!T72-'[9]Plana 2027 - 2029'!T72</f>
        <v>530.17151813026612</v>
      </c>
      <c r="U72" s="56">
        <f>'[9]Total 2027 - 2029'!U72-'[9]Plana 2027 - 2029'!U72</f>
        <v>400.55302818501514</v>
      </c>
      <c r="V72" s="56">
        <f>'[9]Total 2027 - 2029'!V72-'[9]Plana 2027 - 2029'!V72</f>
        <v>0</v>
      </c>
      <c r="W72" s="56">
        <f>'[9]Total 2027 - 2029'!W72-'[9]Plana 2027 - 2029'!W72</f>
        <v>22.491770634893328</v>
      </c>
      <c r="X72" s="56">
        <f>'[9]Total 2027 - 2029'!X72-'[9]Plana 2027 - 2029'!X72</f>
        <v>120.06589038260427</v>
      </c>
      <c r="Y72" s="56">
        <f>'[9]Total 2027 - 2029'!Y72-'[9]Plana 2027 - 2029'!Y72</f>
        <v>264.43940385830319</v>
      </c>
      <c r="Z72" s="56">
        <f>'[9]Total 2027 - 2029'!Z72-'[9]Plana 2027 - 2029'!Z72</f>
        <v>476.15814629389752</v>
      </c>
      <c r="AA72" s="56">
        <f>'[9]Total 2027 - 2029'!AA72-'[9]Plana 2027 - 2029'!AA72</f>
        <v>696.91651344660204</v>
      </c>
      <c r="AB72" s="57">
        <f t="shared" si="1"/>
        <v>302991.28419129085</v>
      </c>
      <c r="AC72" s="62">
        <f>SUM(AB72:AB74)</f>
        <v>491616.89652299217</v>
      </c>
    </row>
    <row r="73" spans="1:29" x14ac:dyDescent="0.25">
      <c r="A73" s="58"/>
      <c r="B73" s="59" t="s">
        <v>17</v>
      </c>
      <c r="C73" s="55">
        <v>5</v>
      </c>
      <c r="D73" s="56">
        <f>'[9]Total 2027 - 2029'!D73-'[9]Plana 2027 - 2029'!D73</f>
        <v>795.27032655619223</v>
      </c>
      <c r="E73" s="56">
        <f>'[9]Total 2027 - 2029'!E73-'[9]Plana 2027 - 2029'!E73</f>
        <v>904.25498717035407</v>
      </c>
      <c r="F73" s="56">
        <f>'[9]Total 2027 - 2029'!F73-'[9]Plana 2027 - 2029'!F73</f>
        <v>988.98020591025852</v>
      </c>
      <c r="G73" s="56">
        <f>'[9]Total 2027 - 2029'!G73-'[9]Plana 2027 - 2029'!G73</f>
        <v>1058.9836594859771</v>
      </c>
      <c r="H73" s="56">
        <f>'[9]Total 2027 - 2029'!H73-'[9]Plana 2027 - 2029'!H73</f>
        <v>1091.5044587080338</v>
      </c>
      <c r="I73" s="56">
        <f>'[9]Total 2027 - 2029'!I73-'[9]Plana 2027 - 2029'!I73</f>
        <v>1111.7553617534941</v>
      </c>
      <c r="J73" s="56">
        <f>'[9]Total 2027 - 2029'!J73-'[9]Plana 2027 - 2029'!J73</f>
        <v>1169.8565238666197</v>
      </c>
      <c r="K73" s="56">
        <f>'[9]Total 2027 - 2029'!K73-'[9]Plana 2027 - 2029'!K73</f>
        <v>1080.3071725112568</v>
      </c>
      <c r="L73" s="56">
        <f>'[9]Total 2027 - 2029'!L73-'[9]Plana 2027 - 2029'!L73</f>
        <v>916.51188928062402</v>
      </c>
      <c r="M73" s="56">
        <f>'[9]Total 2027 - 2029'!M73-'[9]Plana 2027 - 2029'!M73</f>
        <v>789.83145516750119</v>
      </c>
      <c r="N73" s="56">
        <f>'[9]Total 2027 - 2029'!N73-'[9]Plana 2027 - 2029'!N73</f>
        <v>664.24720336425344</v>
      </c>
      <c r="O73" s="56">
        <f>'[9]Total 2027 - 2029'!O73-'[9]Plana 2027 - 2029'!O73</f>
        <v>564.68032549933014</v>
      </c>
      <c r="P73" s="56">
        <f>'[9]Total 2027 - 2029'!P73-'[9]Plana 2027 - 2029'!P73</f>
        <v>636.58348937771916</v>
      </c>
      <c r="Q73" s="56">
        <f>'[9]Total 2027 - 2029'!Q73-'[9]Plana 2027 - 2029'!Q73</f>
        <v>543.02660480771374</v>
      </c>
      <c r="R73" s="56">
        <f>'[9]Total 2027 - 2029'!R73-'[9]Plana 2027 - 2029'!R73</f>
        <v>464.343167630268</v>
      </c>
      <c r="S73" s="56">
        <f>'[9]Total 2027 - 2029'!S73-'[9]Plana 2027 - 2029'!S73</f>
        <v>496.05108877568637</v>
      </c>
      <c r="T73" s="56">
        <f>'[9]Total 2027 - 2029'!T73-'[9]Plana 2027 - 2029'!T73</f>
        <v>594.17858506308221</v>
      </c>
      <c r="U73" s="56">
        <f>'[9]Total 2027 - 2029'!U73-'[9]Plana 2027 - 2029'!U73</f>
        <v>421.73699987043256</v>
      </c>
      <c r="V73" s="56">
        <f>'[9]Total 2027 - 2029'!V73-'[9]Plana 2027 - 2029'!V73</f>
        <v>0</v>
      </c>
      <c r="W73" s="56">
        <f>'[9]Total 2027 - 2029'!W73-'[9]Plana 2027 - 2029'!W73</f>
        <v>7.4049633328522759</v>
      </c>
      <c r="X73" s="56">
        <f>'[9]Total 2027 - 2029'!X73-'[9]Plana 2027 - 2029'!X73</f>
        <v>124.2266246132076</v>
      </c>
      <c r="Y73" s="56">
        <f>'[9]Total 2027 - 2029'!Y73-'[9]Plana 2027 - 2029'!Y73</f>
        <v>271.13951257731242</v>
      </c>
      <c r="Z73" s="56">
        <f>'[9]Total 2027 - 2029'!Z73-'[9]Plana 2027 - 2029'!Z73</f>
        <v>466.34212490753271</v>
      </c>
      <c r="AA73" s="56">
        <f>'[9]Total 2027 - 2029'!AA73-'[9]Plana 2027 - 2029'!AA73</f>
        <v>652.89708002040425</v>
      </c>
      <c r="AB73" s="57">
        <f t="shared" si="1"/>
        <v>79070.569051250524</v>
      </c>
      <c r="AC73" s="63"/>
    </row>
    <row r="74" spans="1:29" x14ac:dyDescent="0.25">
      <c r="A74" s="58"/>
      <c r="B74" s="59" t="s">
        <v>18</v>
      </c>
      <c r="C74" s="55">
        <v>7</v>
      </c>
      <c r="D74" s="56">
        <f>'[9]Total 2027 - 2029'!D74-'[9]Plana 2027 - 2029'!D74</f>
        <v>750.19807358661819</v>
      </c>
      <c r="E74" s="56">
        <f>'[9]Total 2027 - 2029'!E74-'[9]Plana 2027 - 2029'!E74</f>
        <v>851.18464762726762</v>
      </c>
      <c r="F74" s="56">
        <f>'[9]Total 2027 - 2029'!F74-'[9]Plana 2027 - 2029'!F74</f>
        <v>929.96979739708513</v>
      </c>
      <c r="G74" s="56">
        <f>'[9]Total 2027 - 2029'!G74-'[9]Plana 2027 - 2029'!G74</f>
        <v>992.00980973802689</v>
      </c>
      <c r="H74" s="56">
        <f>'[9]Total 2027 - 2029'!H74-'[9]Plana 2027 - 2029'!H74</f>
        <v>1027.3015778717763</v>
      </c>
      <c r="I74" s="56">
        <f>'[9]Total 2027 - 2029'!I74-'[9]Plana 2027 - 2029'!I74</f>
        <v>1070.6859207767266</v>
      </c>
      <c r="J74" s="56">
        <f>'[9]Total 2027 - 2029'!J74-'[9]Plana 2027 - 2029'!J74</f>
        <v>1150.5272297111878</v>
      </c>
      <c r="K74" s="56">
        <f>'[9]Total 2027 - 2029'!K74-'[9]Plana 2027 - 2029'!K74</f>
        <v>1066.4820484616412</v>
      </c>
      <c r="L74" s="56">
        <f>'[9]Total 2027 - 2029'!L74-'[9]Plana 2027 - 2029'!L74</f>
        <v>923.51248032661169</v>
      </c>
      <c r="M74" s="56">
        <f>'[9]Total 2027 - 2029'!M74-'[9]Plana 2027 - 2029'!M74</f>
        <v>822.65597663329027</v>
      </c>
      <c r="N74" s="56">
        <f>'[9]Total 2027 - 2029'!N74-'[9]Plana 2027 - 2029'!N74</f>
        <v>716.00876119009263</v>
      </c>
      <c r="O74" s="56">
        <f>'[9]Total 2027 - 2029'!O74-'[9]Plana 2027 - 2029'!O74</f>
        <v>619.33825991965205</v>
      </c>
      <c r="P74" s="56">
        <f>'[9]Total 2027 - 2029'!P74-'[9]Plana 2027 - 2029'!P74</f>
        <v>675.46602725540106</v>
      </c>
      <c r="Q74" s="56">
        <f>'[9]Total 2027 - 2029'!Q74-'[9]Plana 2027 - 2029'!Q74</f>
        <v>587.18625190018611</v>
      </c>
      <c r="R74" s="56">
        <f>'[9]Total 2027 - 2029'!R74-'[9]Plana 2027 - 2029'!R74</f>
        <v>498.42131907967632</v>
      </c>
      <c r="S74" s="56">
        <f>'[9]Total 2027 - 2029'!S74-'[9]Plana 2027 - 2029'!S74</f>
        <v>526.62305740746342</v>
      </c>
      <c r="T74" s="56">
        <f>'[9]Total 2027 - 2029'!T74-'[9]Plana 2027 - 2029'!T74</f>
        <v>618.97302433840923</v>
      </c>
      <c r="U74" s="56">
        <f>'[9]Total 2027 - 2029'!U74-'[9]Plana 2027 - 2029'!U74</f>
        <v>465.83841125341496</v>
      </c>
      <c r="V74" s="56">
        <f>'[9]Total 2027 - 2029'!V74-'[9]Plana 2027 - 2029'!V74</f>
        <v>19.709855712208082</v>
      </c>
      <c r="W74" s="56">
        <f>'[9]Total 2027 - 2029'!W74-'[9]Plana 2027 - 2029'!W74</f>
        <v>0</v>
      </c>
      <c r="X74" s="56">
        <f>'[9]Total 2027 - 2029'!X74-'[9]Plana 2027 - 2029'!X74</f>
        <v>81.846721324753162</v>
      </c>
      <c r="Y74" s="56">
        <f>'[9]Total 2027 - 2029'!Y74-'[9]Plana 2027 - 2029'!Y74</f>
        <v>227.13392148530511</v>
      </c>
      <c r="Z74" s="56">
        <f>'[9]Total 2027 - 2029'!Z74-'[9]Plana 2027 - 2029'!Z74</f>
        <v>421.88580176040341</v>
      </c>
      <c r="AA74" s="56">
        <f>'[9]Total 2027 - 2029'!AA74-'[9]Plana 2027 - 2029'!AA74</f>
        <v>607.76149387863552</v>
      </c>
      <c r="AB74" s="57">
        <f t="shared" si="1"/>
        <v>109555.04328045083</v>
      </c>
      <c r="AC74" s="64"/>
    </row>
    <row r="75" spans="1:29" x14ac:dyDescent="0.25">
      <c r="A75" s="53">
        <v>47119</v>
      </c>
      <c r="B75" s="54" t="s">
        <v>16</v>
      </c>
      <c r="C75" s="55">
        <v>21</v>
      </c>
      <c r="D75" s="56">
        <f>'[9]Total 2027 - 2029'!D75-'[9]Plana 2027 - 2029'!D75</f>
        <v>4976.8670715087064</v>
      </c>
      <c r="E75" s="56">
        <f>'[9]Total 2027 - 2029'!E75-'[9]Plana 2027 - 2029'!E75</f>
        <v>3385.3296489551776</v>
      </c>
      <c r="F75" s="56">
        <f>'[9]Total 2027 - 2029'!F75-'[9]Plana 2027 - 2029'!F75</f>
        <v>2340.9716008918367</v>
      </c>
      <c r="G75" s="56">
        <f>'[9]Total 2027 - 2029'!G75-'[9]Plana 2027 - 2029'!G75</f>
        <v>1426.6890104129488</v>
      </c>
      <c r="H75" s="56">
        <f>'[9]Total 2027 - 2029'!H75-'[9]Plana 2027 - 2029'!H75</f>
        <v>961.37611752100929</v>
      </c>
      <c r="I75" s="56">
        <f>'[9]Total 2027 - 2029'!I75-'[9]Plana 2027 - 2029'!I75</f>
        <v>911.83456461776586</v>
      </c>
      <c r="J75" s="56">
        <f>'[9]Total 2027 - 2029'!J75-'[9]Plana 2027 - 2029'!J75</f>
        <v>0</v>
      </c>
      <c r="K75" s="56">
        <f>'[9]Total 2027 - 2029'!K75-'[9]Plana 2027 - 2029'!K75</f>
        <v>2043.5959877063851</v>
      </c>
      <c r="L75" s="56">
        <f>'[9]Total 2027 - 2029'!L75-'[9]Plana 2027 - 2029'!L75</f>
        <v>4176.7877169692038</v>
      </c>
      <c r="M75" s="56">
        <f>'[9]Total 2027 - 2029'!M75-'[9]Plana 2027 - 2029'!M75</f>
        <v>5745.7181866400006</v>
      </c>
      <c r="N75" s="56">
        <f>'[9]Total 2027 - 2029'!N75-'[9]Plana 2027 - 2029'!N75</f>
        <v>7408.3192047978046</v>
      </c>
      <c r="O75" s="56">
        <f>'[9]Total 2027 - 2029'!O75-'[9]Plana 2027 - 2029'!O75</f>
        <v>8962.4909338765247</v>
      </c>
      <c r="P75" s="56">
        <f>'[9]Total 2027 - 2029'!P75-'[9]Plana 2027 - 2029'!P75</f>
        <v>7967.5077598742901</v>
      </c>
      <c r="Q75" s="56">
        <f>'[9]Total 2027 - 2029'!Q75-'[9]Plana 2027 - 2029'!Q75</f>
        <v>10101.847626154715</v>
      </c>
      <c r="R75" s="56">
        <f>'[9]Total 2027 - 2029'!R75-'[9]Plana 2027 - 2029'!R75</f>
        <v>12003.262153026371</v>
      </c>
      <c r="S75" s="56">
        <f>'[9]Total 2027 - 2029'!S75-'[9]Plana 2027 - 2029'!S75</f>
        <v>11556.190320854406</v>
      </c>
      <c r="T75" s="56">
        <f>'[9]Total 2027 - 2029'!T75-'[9]Plana 2027 - 2029'!T75</f>
        <v>10322.420414449007</v>
      </c>
      <c r="U75" s="56">
        <f>'[9]Total 2027 - 2029'!U75-'[9]Plana 2027 - 2029'!U75</f>
        <v>10499.179767713918</v>
      </c>
      <c r="V75" s="56">
        <f>'[9]Total 2027 - 2029'!V75-'[9]Plana 2027 - 2029'!V75</f>
        <v>14582.692120555177</v>
      </c>
      <c r="W75" s="56">
        <f>'[9]Total 2027 - 2029'!W75-'[9]Plana 2027 - 2029'!W75</f>
        <v>15197.133802012318</v>
      </c>
      <c r="X75" s="56">
        <f>'[9]Total 2027 - 2029'!X75-'[9]Plana 2027 - 2029'!X75</f>
        <v>14624.386674156765</v>
      </c>
      <c r="Y75" s="56">
        <f>'[9]Total 2027 - 2029'!Y75-'[9]Plana 2027 - 2029'!Y75</f>
        <v>13419.976482007616</v>
      </c>
      <c r="Z75" s="56">
        <f>'[9]Total 2027 - 2029'!Z75-'[9]Plana 2027 - 2029'!Z75</f>
        <v>10936.040547303906</v>
      </c>
      <c r="AA75" s="56">
        <f>'[9]Total 2027 - 2029'!AA75-'[9]Plana 2027 - 2029'!AA75</f>
        <v>8412.6637502707126</v>
      </c>
      <c r="AB75" s="57">
        <f>SUM(D75:AA75)*C75</f>
        <v>3821228.9107078076</v>
      </c>
      <c r="AC75" s="62">
        <f>SUM(AB75:AB77)</f>
        <v>5579101.6220463365</v>
      </c>
    </row>
    <row r="76" spans="1:29" x14ac:dyDescent="0.25">
      <c r="A76" s="58"/>
      <c r="B76" s="59" t="s">
        <v>17</v>
      </c>
      <c r="C76" s="55">
        <v>4</v>
      </c>
      <c r="D76" s="56">
        <f>'[9]Total 2027 - 2029'!D76-'[9]Plana 2027 - 2029'!D76</f>
        <v>4777.3165425240568</v>
      </c>
      <c r="E76" s="56">
        <f>'[9]Total 2027 - 2029'!E76-'[9]Plana 2027 - 2029'!E76</f>
        <v>3224.373186814737</v>
      </c>
      <c r="F76" s="56">
        <f>'[9]Total 2027 - 2029'!F76-'[9]Plana 2027 - 2029'!F76</f>
        <v>2204.9942216451036</v>
      </c>
      <c r="G76" s="56">
        <f>'[9]Total 2027 - 2029'!G76-'[9]Plana 2027 - 2029'!G76</f>
        <v>1316.1780873032985</v>
      </c>
      <c r="H76" s="56">
        <f>'[9]Total 2027 - 2029'!H76-'[9]Plana 2027 - 2029'!H76</f>
        <v>875.96757417590925</v>
      </c>
      <c r="I76" s="56">
        <f>'[9]Total 2027 - 2029'!I76-'[9]Plana 2027 - 2029'!I76</f>
        <v>889.11290424407161</v>
      </c>
      <c r="J76" s="56">
        <f>'[9]Total 2027 - 2029'!J76-'[9]Plana 2027 - 2029'!J76</f>
        <v>0</v>
      </c>
      <c r="K76" s="56">
        <f>'[9]Total 2027 - 2029'!K76-'[9]Plana 2027 - 2029'!K76</f>
        <v>2041.3339838211778</v>
      </c>
      <c r="L76" s="56">
        <f>'[9]Total 2027 - 2029'!L76-'[9]Plana 2027 - 2029'!L76</f>
        <v>4168.285094036657</v>
      </c>
      <c r="M76" s="56">
        <f>'[9]Total 2027 - 2029'!M76-'[9]Plana 2027 - 2029'!M76</f>
        <v>5701.3945174606979</v>
      </c>
      <c r="N76" s="56">
        <f>'[9]Total 2027 - 2029'!N76-'[9]Plana 2027 - 2029'!N76</f>
        <v>7346.7340841131791</v>
      </c>
      <c r="O76" s="56">
        <f>'[9]Total 2027 - 2029'!O76-'[9]Plana 2027 - 2029'!O76</f>
        <v>8883.0404751160913</v>
      </c>
      <c r="P76" s="56">
        <f>'[9]Total 2027 - 2029'!P76-'[9]Plana 2027 - 2029'!P76</f>
        <v>7804.0337284578436</v>
      </c>
      <c r="Q76" s="56">
        <f>'[9]Total 2027 - 2029'!Q76-'[9]Plana 2027 - 2029'!Q76</f>
        <v>9975.5620519257409</v>
      </c>
      <c r="R76" s="56">
        <f>'[9]Total 2027 - 2029'!R76-'[9]Plana 2027 - 2029'!R76</f>
        <v>11912.187936165532</v>
      </c>
      <c r="S76" s="56">
        <f>'[9]Total 2027 - 2029'!S76-'[9]Plana 2027 - 2029'!S76</f>
        <v>11489.751039183649</v>
      </c>
      <c r="T76" s="56">
        <f>'[9]Total 2027 - 2029'!T76-'[9]Plana 2027 - 2029'!T76</f>
        <v>10281.935201083799</v>
      </c>
      <c r="U76" s="56">
        <f>'[9]Total 2027 - 2029'!U76-'[9]Plana 2027 - 2029'!U76</f>
        <v>10405.334534366828</v>
      </c>
      <c r="V76" s="56">
        <f>'[9]Total 2027 - 2029'!V76-'[9]Plana 2027 - 2029'!V76</f>
        <v>14295.389770484222</v>
      </c>
      <c r="W76" s="56">
        <f>'[9]Total 2027 - 2029'!W76-'[9]Plana 2027 - 2029'!W76</f>
        <v>14841.90839151155</v>
      </c>
      <c r="X76" s="56">
        <f>'[9]Total 2027 - 2029'!X76-'[9]Plana 2027 - 2029'!X76</f>
        <v>14273.403086892888</v>
      </c>
      <c r="Y76" s="56">
        <f>'[9]Total 2027 - 2029'!Y76-'[9]Plana 2027 - 2029'!Y76</f>
        <v>13095.837771868924</v>
      </c>
      <c r="Z76" s="56">
        <f>'[9]Total 2027 - 2029'!Z76-'[9]Plana 2027 - 2029'!Z76</f>
        <v>10632.937236528263</v>
      </c>
      <c r="AA76" s="56">
        <f>'[9]Total 2027 - 2029'!AA76-'[9]Plana 2027 - 2029'!AA76</f>
        <v>8135.0579828739847</v>
      </c>
      <c r="AB76" s="57">
        <f>SUM(D76:AA76)*C76</f>
        <v>714288.27761039289</v>
      </c>
      <c r="AC76" s="63"/>
    </row>
    <row r="77" spans="1:29" x14ac:dyDescent="0.25">
      <c r="A77" s="58"/>
      <c r="B77" s="59" t="s">
        <v>18</v>
      </c>
      <c r="C77" s="55">
        <v>6</v>
      </c>
      <c r="D77" s="56">
        <f>'[9]Total 2027 - 2029'!D77-'[9]Plana 2027 - 2029'!D77</f>
        <v>4572.2415723984686</v>
      </c>
      <c r="E77" s="56">
        <f>'[9]Total 2027 - 2029'!E77-'[9]Plana 2027 - 2029'!E77</f>
        <v>3078.2325219053455</v>
      </c>
      <c r="F77" s="56">
        <f>'[9]Total 2027 - 2029'!F77-'[9]Plana 2027 - 2029'!F77</f>
        <v>2113.3285726210252</v>
      </c>
      <c r="G77" s="56">
        <f>'[9]Total 2027 - 2029'!G77-'[9]Plana 2027 - 2029'!G77</f>
        <v>1244.7422251172538</v>
      </c>
      <c r="H77" s="56">
        <f>'[9]Total 2027 - 2029'!H77-'[9]Plana 2027 - 2029'!H77</f>
        <v>820.66025259363232</v>
      </c>
      <c r="I77" s="56">
        <f>'[9]Total 2027 - 2029'!I77-'[9]Plana 2027 - 2029'!I77</f>
        <v>841.76004840025416</v>
      </c>
      <c r="J77" s="56">
        <f>'[9]Total 2027 - 2029'!J77-'[9]Plana 2027 - 2029'!J77</f>
        <v>0</v>
      </c>
      <c r="K77" s="56">
        <f>'[9]Total 2027 - 2029'!K77-'[9]Plana 2027 - 2029'!K77</f>
        <v>1994.3464146086717</v>
      </c>
      <c r="L77" s="56">
        <f>'[9]Total 2027 - 2029'!L77-'[9]Plana 2027 - 2029'!L77</f>
        <v>4101.6250348852209</v>
      </c>
      <c r="M77" s="56">
        <f>'[9]Total 2027 - 2029'!M77-'[9]Plana 2027 - 2029'!M77</f>
        <v>5644.9047433770975</v>
      </c>
      <c r="N77" s="56">
        <f>'[9]Total 2027 - 2029'!N77-'[9]Plana 2027 - 2029'!N77</f>
        <v>7267.843480057496</v>
      </c>
      <c r="O77" s="56">
        <f>'[9]Total 2027 - 2029'!O77-'[9]Plana 2027 - 2029'!O77</f>
        <v>8773.801063180561</v>
      </c>
      <c r="P77" s="56">
        <f>'[9]Total 2027 - 2029'!P77-'[9]Plana 2027 - 2029'!P77</f>
        <v>7673.938416060806</v>
      </c>
      <c r="Q77" s="56">
        <f>'[9]Total 2027 - 2029'!Q77-'[9]Plana 2027 - 2029'!Q77</f>
        <v>9777.1591106071264</v>
      </c>
      <c r="R77" s="56">
        <f>'[9]Total 2027 - 2029'!R77-'[9]Plana 2027 - 2029'!R77</f>
        <v>11666.373148976991</v>
      </c>
      <c r="S77" s="56">
        <f>'[9]Total 2027 - 2029'!S77-'[9]Plana 2027 - 2029'!S77</f>
        <v>11204.818871122259</v>
      </c>
      <c r="T77" s="56">
        <f>'[9]Total 2027 - 2029'!T77-'[9]Plana 2027 - 2029'!T77</f>
        <v>10020.32397492436</v>
      </c>
      <c r="U77" s="56">
        <f>'[9]Total 2027 - 2029'!U77-'[9]Plana 2027 - 2029'!U77</f>
        <v>10173.696379763454</v>
      </c>
      <c r="V77" s="56">
        <f>'[9]Total 2027 - 2029'!V77-'[9]Plana 2027 - 2029'!V77</f>
        <v>13899.153099559311</v>
      </c>
      <c r="W77" s="56">
        <f>'[9]Total 2027 - 2029'!W77-'[9]Plana 2027 - 2029'!W77</f>
        <v>14372.672113651895</v>
      </c>
      <c r="X77" s="56">
        <f>'[9]Total 2027 - 2029'!X77-'[9]Plana 2027 - 2029'!X77</f>
        <v>13788.086295470419</v>
      </c>
      <c r="Y77" s="56">
        <f>'[9]Total 2027 - 2029'!Y77-'[9]Plana 2027 - 2029'!Y77</f>
        <v>12664.388198887607</v>
      </c>
      <c r="Z77" s="56">
        <f>'[9]Total 2027 - 2029'!Z77-'[9]Plana 2027 - 2029'!Z77</f>
        <v>10314.690719357111</v>
      </c>
      <c r="AA77" s="56">
        <f>'[9]Total 2027 - 2029'!AA77-'[9]Plana 2027 - 2029'!AA77</f>
        <v>7921.9526971630148</v>
      </c>
      <c r="AB77" s="57">
        <f t="shared" ref="AB77:AB110" si="2">SUM(D77:AA77)*C77</f>
        <v>1043584.4337281361</v>
      </c>
      <c r="AC77" s="64"/>
    </row>
    <row r="78" spans="1:29" x14ac:dyDescent="0.25">
      <c r="A78" s="53">
        <v>47150</v>
      </c>
      <c r="B78" s="54" t="s">
        <v>16</v>
      </c>
      <c r="C78" s="55">
        <v>20</v>
      </c>
      <c r="D78" s="56">
        <f>'[9]Total 2027 - 2029'!D78-'[9]Plana 2027 - 2029'!D78</f>
        <v>4902.5576352704102</v>
      </c>
      <c r="E78" s="56">
        <f>'[9]Total 2027 - 2029'!E78-'[9]Plana 2027 - 2029'!E78</f>
        <v>3239.1847203330071</v>
      </c>
      <c r="F78" s="56">
        <f>'[9]Total 2027 - 2029'!F78-'[9]Plana 2027 - 2029'!F78</f>
        <v>1933.3886838649269</v>
      </c>
      <c r="G78" s="56">
        <f>'[9]Total 2027 - 2029'!G78-'[9]Plana 2027 - 2029'!G78</f>
        <v>966.86980044338452</v>
      </c>
      <c r="H78" s="56">
        <f>'[9]Total 2027 - 2029'!H78-'[9]Plana 2027 - 2029'!H78</f>
        <v>512.72063287622041</v>
      </c>
      <c r="I78" s="56">
        <f>'[9]Total 2027 - 2029'!I78-'[9]Plana 2027 - 2029'!I78</f>
        <v>805.75098256830643</v>
      </c>
      <c r="J78" s="56">
        <f>'[9]Total 2027 - 2029'!J78-'[9]Plana 2027 - 2029'!J78</f>
        <v>0</v>
      </c>
      <c r="K78" s="56">
        <f>'[9]Total 2027 - 2029'!K78-'[9]Plana 2027 - 2029'!K78</f>
        <v>2304.2551643235001</v>
      </c>
      <c r="L78" s="56">
        <f>'[9]Total 2027 - 2029'!L78-'[9]Plana 2027 - 2029'!L78</f>
        <v>4648.9866191723468</v>
      </c>
      <c r="M78" s="56">
        <f>'[9]Total 2027 - 2029'!M78-'[9]Plana 2027 - 2029'!M78</f>
        <v>6176.3630440347824</v>
      </c>
      <c r="N78" s="56">
        <f>'[9]Total 2027 - 2029'!N78-'[9]Plana 2027 - 2029'!N78</f>
        <v>8064.0560944942717</v>
      </c>
      <c r="O78" s="56">
        <f>'[9]Total 2027 - 2029'!O78-'[9]Plana 2027 - 2029'!O78</f>
        <v>9701.5541543943455</v>
      </c>
      <c r="P78" s="56">
        <f>'[9]Total 2027 - 2029'!P78-'[9]Plana 2027 - 2029'!P78</f>
        <v>7876.4912552572077</v>
      </c>
      <c r="Q78" s="56">
        <f>'[9]Total 2027 - 2029'!Q78-'[9]Plana 2027 - 2029'!Q78</f>
        <v>10745.440045276975</v>
      </c>
      <c r="R78" s="56">
        <f>'[9]Total 2027 - 2029'!R78-'[9]Plana 2027 - 2029'!R78</f>
        <v>13442.231758524949</v>
      </c>
      <c r="S78" s="56">
        <f>'[9]Total 2027 - 2029'!S78-'[9]Plana 2027 - 2029'!S78</f>
        <v>13231.988205414391</v>
      </c>
      <c r="T78" s="56">
        <f>'[9]Total 2027 - 2029'!T78-'[9]Plana 2027 - 2029'!T78</f>
        <v>11830.617165637386</v>
      </c>
      <c r="U78" s="56">
        <f>'[9]Total 2027 - 2029'!U78-'[9]Plana 2027 - 2029'!U78</f>
        <v>11476.124688300062</v>
      </c>
      <c r="V78" s="56">
        <f>'[9]Total 2027 - 2029'!V78-'[9]Plana 2027 - 2029'!V78</f>
        <v>15198.255527153478</v>
      </c>
      <c r="W78" s="56">
        <f>'[9]Total 2027 - 2029'!W78-'[9]Plana 2027 - 2029'!W78</f>
        <v>16321.050159938231</v>
      </c>
      <c r="X78" s="56">
        <f>'[9]Total 2027 - 2029'!X78-'[9]Plana 2027 - 2029'!X78</f>
        <v>15801.333025503312</v>
      </c>
      <c r="Y78" s="56">
        <f>'[9]Total 2027 - 2029'!Y78-'[9]Plana 2027 - 2029'!Y78</f>
        <v>14239.142358489507</v>
      </c>
      <c r="Z78" s="56">
        <f>'[9]Total 2027 - 2029'!Z78-'[9]Plana 2027 - 2029'!Z78</f>
        <v>11327.08919377257</v>
      </c>
      <c r="AA78" s="56">
        <f>'[9]Total 2027 - 2029'!AA78-'[9]Plana 2027 - 2029'!AA78</f>
        <v>8456.6064252953893</v>
      </c>
      <c r="AB78" s="57">
        <f t="shared" si="2"/>
        <v>3864041.1468067802</v>
      </c>
      <c r="AC78" s="62">
        <f>SUM(AB78:AB80)</f>
        <v>5351792.7571696341</v>
      </c>
    </row>
    <row r="79" spans="1:29" x14ac:dyDescent="0.25">
      <c r="A79" s="58"/>
      <c r="B79" s="59" t="s">
        <v>17</v>
      </c>
      <c r="C79" s="55">
        <v>4</v>
      </c>
      <c r="D79" s="56">
        <f>'[9]Total 2027 - 2029'!D79-'[9]Plana 2027 - 2029'!D79</f>
        <v>4585.2138055787891</v>
      </c>
      <c r="E79" s="56">
        <f>'[9]Total 2027 - 2029'!E79-'[9]Plana 2027 - 2029'!E79</f>
        <v>3000.9374030394792</v>
      </c>
      <c r="F79" s="56">
        <f>'[9]Total 2027 - 2029'!F79-'[9]Plana 2027 - 2029'!F79</f>
        <v>1749.1738895442486</v>
      </c>
      <c r="G79" s="56">
        <f>'[9]Total 2027 - 2029'!G79-'[9]Plana 2027 - 2029'!G79</f>
        <v>824.74526222689383</v>
      </c>
      <c r="H79" s="56">
        <f>'[9]Total 2027 - 2029'!H79-'[9]Plana 2027 - 2029'!H79</f>
        <v>407.0375726330185</v>
      </c>
      <c r="I79" s="56">
        <f>'[9]Total 2027 - 2029'!I79-'[9]Plana 2027 - 2029'!I79</f>
        <v>757.37930823298484</v>
      </c>
      <c r="J79" s="56">
        <f>'[9]Total 2027 - 2029'!J79-'[9]Plana 2027 - 2029'!J79</f>
        <v>0</v>
      </c>
      <c r="K79" s="56">
        <f>'[9]Total 2027 - 2029'!K79-'[9]Plana 2027 - 2029'!K79</f>
        <v>2246.2950208241782</v>
      </c>
      <c r="L79" s="56">
        <f>'[9]Total 2027 - 2029'!L79-'[9]Plana 2027 - 2029'!L79</f>
        <v>4537.1600944964011</v>
      </c>
      <c r="M79" s="56">
        <f>'[9]Total 2027 - 2029'!M79-'[9]Plana 2027 - 2029'!M79</f>
        <v>6007.3633315459974</v>
      </c>
      <c r="N79" s="56">
        <f>'[9]Total 2027 - 2029'!N79-'[9]Plana 2027 - 2029'!N79</f>
        <v>7848.4310598004395</v>
      </c>
      <c r="O79" s="56">
        <f>'[9]Total 2027 - 2029'!O79-'[9]Plana 2027 - 2029'!O79</f>
        <v>9435.9133310854832</v>
      </c>
      <c r="P79" s="56">
        <f>'[9]Total 2027 - 2029'!P79-'[9]Plana 2027 - 2029'!P79</f>
        <v>7615.5966328210652</v>
      </c>
      <c r="Q79" s="56">
        <f>'[9]Total 2027 - 2029'!Q79-'[9]Plana 2027 - 2029'!Q79</f>
        <v>10443.108813025605</v>
      </c>
      <c r="R79" s="56">
        <f>'[9]Total 2027 - 2029'!R79-'[9]Plana 2027 - 2029'!R79</f>
        <v>13076.829010279003</v>
      </c>
      <c r="S79" s="56">
        <f>'[9]Total 2027 - 2029'!S79-'[9]Plana 2027 - 2029'!S79</f>
        <v>12876.505645821859</v>
      </c>
      <c r="T79" s="56">
        <f>'[9]Total 2027 - 2029'!T79-'[9]Plana 2027 - 2029'!T79</f>
        <v>11533.273901271523</v>
      </c>
      <c r="U79" s="56">
        <f>'[9]Total 2027 - 2029'!U79-'[9]Plana 2027 - 2029'!U79</f>
        <v>11193.783196937204</v>
      </c>
      <c r="V79" s="56">
        <f>'[9]Total 2027 - 2029'!V79-'[9]Plana 2027 - 2029'!V79</f>
        <v>14671.149874410419</v>
      </c>
      <c r="W79" s="56">
        <f>'[9]Total 2027 - 2029'!W79-'[9]Plana 2027 - 2029'!W79</f>
        <v>15706.566142426227</v>
      </c>
      <c r="X79" s="56">
        <f>'[9]Total 2027 - 2029'!X79-'[9]Plana 2027 - 2029'!X79</f>
        <v>15223.193758499727</v>
      </c>
      <c r="Y79" s="56">
        <f>'[9]Total 2027 - 2029'!Y79-'[9]Plana 2027 - 2029'!Y79</f>
        <v>13717.394076070688</v>
      </c>
      <c r="Z79" s="56">
        <f>'[9]Total 2027 - 2029'!Z79-'[9]Plana 2027 - 2029'!Z79</f>
        <v>10876.335276997203</v>
      </c>
      <c r="AA79" s="56">
        <f>'[9]Total 2027 - 2029'!AA79-'[9]Plana 2027 - 2029'!AA79</f>
        <v>8074.1156750504615</v>
      </c>
      <c r="AB79" s="57">
        <f t="shared" si="2"/>
        <v>745630.00833047566</v>
      </c>
      <c r="AC79" s="63"/>
    </row>
    <row r="80" spans="1:29" x14ac:dyDescent="0.25">
      <c r="A80" s="58"/>
      <c r="B80" s="59" t="s">
        <v>18</v>
      </c>
      <c r="C80" s="55">
        <v>4</v>
      </c>
      <c r="D80" s="56">
        <f>'[9]Total 2027 - 2029'!D80-'[9]Plana 2027 - 2029'!D80</f>
        <v>4526.1104401396642</v>
      </c>
      <c r="E80" s="56">
        <f>'[9]Total 2027 - 2029'!E80-'[9]Plana 2027 - 2029'!E80</f>
        <v>2950.9008249679136</v>
      </c>
      <c r="F80" s="56">
        <f>'[9]Total 2027 - 2029'!F80-'[9]Plana 2027 - 2029'!F80</f>
        <v>1713.8504007666779</v>
      </c>
      <c r="G80" s="56">
        <f>'[9]Total 2027 - 2029'!G80-'[9]Plana 2027 - 2029'!G80</f>
        <v>789.63437777113722</v>
      </c>
      <c r="H80" s="56">
        <f>'[9]Total 2027 - 2029'!H80-'[9]Plana 2027 - 2029'!H80</f>
        <v>371.66334315860149</v>
      </c>
      <c r="I80" s="56">
        <f>'[9]Total 2027 - 2029'!I80-'[9]Plana 2027 - 2029'!I80</f>
        <v>742.4866002396866</v>
      </c>
      <c r="J80" s="56">
        <f>'[9]Total 2027 - 2029'!J80-'[9]Plana 2027 - 2029'!J80</f>
        <v>0</v>
      </c>
      <c r="K80" s="56">
        <f>'[9]Total 2027 - 2029'!K80-'[9]Plana 2027 - 2029'!K80</f>
        <v>2244.3066800504894</v>
      </c>
      <c r="L80" s="56">
        <f>'[9]Total 2027 - 2029'!L80-'[9]Plana 2027 - 2029'!L80</f>
        <v>4581.9467605855571</v>
      </c>
      <c r="M80" s="56">
        <f>'[9]Total 2027 - 2029'!M80-'[9]Plana 2027 - 2029'!M80</f>
        <v>6109.7642780326823</v>
      </c>
      <c r="N80" s="56">
        <f>'[9]Total 2027 - 2029'!N80-'[9]Plana 2027 - 2029'!N80</f>
        <v>7954.7216455504749</v>
      </c>
      <c r="O80" s="56">
        <f>'[9]Total 2027 - 2029'!O80-'[9]Plana 2027 - 2029'!O80</f>
        <v>9520.8695521269292</v>
      </c>
      <c r="P80" s="56">
        <f>'[9]Total 2027 - 2029'!P80-'[9]Plana 2027 - 2029'!P80</f>
        <v>7641.4743233422814</v>
      </c>
      <c r="Q80" s="56">
        <f>'[9]Total 2027 - 2029'!Q80-'[9]Plana 2027 - 2029'!Q80</f>
        <v>10441.471475270409</v>
      </c>
      <c r="R80" s="56">
        <f>'[9]Total 2027 - 2029'!R80-'[9]Plana 2027 - 2029'!R80</f>
        <v>13049.346005284307</v>
      </c>
      <c r="S80" s="56">
        <f>'[9]Total 2027 - 2029'!S80-'[9]Plana 2027 - 2029'!S80</f>
        <v>12846.84528937058</v>
      </c>
      <c r="T80" s="56">
        <f>'[9]Total 2027 - 2029'!T80-'[9]Plana 2027 - 2029'!T80</f>
        <v>11499.502171562803</v>
      </c>
      <c r="U80" s="56">
        <f>'[9]Total 2027 - 2029'!U80-'[9]Plana 2027 - 2029'!U80</f>
        <v>11152.645497348993</v>
      </c>
      <c r="V80" s="56">
        <f>'[9]Total 2027 - 2029'!V80-'[9]Plana 2027 - 2029'!V80</f>
        <v>14559.111622824152</v>
      </c>
      <c r="W80" s="56">
        <f>'[9]Total 2027 - 2029'!W80-'[9]Plana 2027 - 2029'!W80</f>
        <v>15545.656322908781</v>
      </c>
      <c r="X80" s="56">
        <f>'[9]Total 2027 - 2029'!X80-'[9]Plana 2027 - 2029'!X80</f>
        <v>15019.694869094725</v>
      </c>
      <c r="Y80" s="56">
        <f>'[9]Total 2027 - 2029'!Y80-'[9]Plana 2027 - 2029'!Y80</f>
        <v>13523.257203592806</v>
      </c>
      <c r="Z80" s="56">
        <f>'[9]Total 2027 - 2029'!Z80-'[9]Plana 2027 - 2029'!Z80</f>
        <v>10749.85195287082</v>
      </c>
      <c r="AA80" s="56">
        <f>'[9]Total 2027 - 2029'!AA80-'[9]Plana 2027 - 2029'!AA80</f>
        <v>7995.2888712340355</v>
      </c>
      <c r="AB80" s="57">
        <f t="shared" si="2"/>
        <v>742121.60203237808</v>
      </c>
      <c r="AC80" s="64"/>
    </row>
    <row r="81" spans="1:29" x14ac:dyDescent="0.25">
      <c r="A81" s="53">
        <v>47178</v>
      </c>
      <c r="B81" s="54" t="s">
        <v>16</v>
      </c>
      <c r="C81" s="55">
        <v>19</v>
      </c>
      <c r="D81" s="56">
        <f>'[9]Total 2027 - 2029'!D81-'[9]Plana 2027 - 2029'!D81</f>
        <v>5466.3965153326208</v>
      </c>
      <c r="E81" s="56">
        <f>'[9]Total 2027 - 2029'!E81-'[9]Plana 2027 - 2029'!E81</f>
        <v>3785.86737819466</v>
      </c>
      <c r="F81" s="56">
        <f>'[9]Total 2027 - 2029'!F81-'[9]Plana 2027 - 2029'!F81</f>
        <v>2397.0896091499453</v>
      </c>
      <c r="G81" s="56">
        <f>'[9]Total 2027 - 2029'!G81-'[9]Plana 2027 - 2029'!G81</f>
        <v>1450.3877915139728</v>
      </c>
      <c r="H81" s="56">
        <f>'[9]Total 2027 - 2029'!H81-'[9]Plana 2027 - 2029'!H81</f>
        <v>889.43332693018965</v>
      </c>
      <c r="I81" s="56">
        <f>'[9]Total 2027 - 2029'!I81-'[9]Plana 2027 - 2029'!I81</f>
        <v>695.14570426268256</v>
      </c>
      <c r="J81" s="56">
        <f>'[9]Total 2027 - 2029'!J81-'[9]Plana 2027 - 2029'!J81</f>
        <v>0</v>
      </c>
      <c r="K81" s="56">
        <f>'[9]Total 2027 - 2029'!K81-'[9]Plana 2027 - 2029'!K81</f>
        <v>2224.4972556968478</v>
      </c>
      <c r="L81" s="56">
        <f>'[9]Total 2027 - 2029'!L81-'[9]Plana 2027 - 2029'!L81</f>
        <v>4450.1694071445381</v>
      </c>
      <c r="M81" s="56">
        <f>'[9]Total 2027 - 2029'!M81-'[9]Plana 2027 - 2029'!M81</f>
        <v>6172.7936021030728</v>
      </c>
      <c r="N81" s="56">
        <f>'[9]Total 2027 - 2029'!N81-'[9]Plana 2027 - 2029'!N81</f>
        <v>7907.5216326608897</v>
      </c>
      <c r="O81" s="56">
        <f>'[9]Total 2027 - 2029'!O81-'[9]Plana 2027 - 2029'!O81</f>
        <v>9221.256086127345</v>
      </c>
      <c r="P81" s="56">
        <f>'[9]Total 2027 - 2029'!P81-'[9]Plana 2027 - 2029'!P81</f>
        <v>7664.2316905663574</v>
      </c>
      <c r="Q81" s="56">
        <f>'[9]Total 2027 - 2029'!Q81-'[9]Plana 2027 - 2029'!Q81</f>
        <v>10209.016535711049</v>
      </c>
      <c r="R81" s="56">
        <f>'[9]Total 2027 - 2029'!R81-'[9]Plana 2027 - 2029'!R81</f>
        <v>12529.502485752437</v>
      </c>
      <c r="S81" s="56">
        <f>'[9]Total 2027 - 2029'!S81-'[9]Plana 2027 - 2029'!S81</f>
        <v>12322.51335249719</v>
      </c>
      <c r="T81" s="56">
        <f>'[9]Total 2027 - 2029'!T81-'[9]Plana 2027 - 2029'!T81</f>
        <v>11083.336950902019</v>
      </c>
      <c r="U81" s="56">
        <f>'[9]Total 2027 - 2029'!U81-'[9]Plana 2027 - 2029'!U81</f>
        <v>11120.641360156966</v>
      </c>
      <c r="V81" s="56">
        <f>'[9]Total 2027 - 2029'!V81-'[9]Plana 2027 - 2029'!V81</f>
        <v>14945.960988597588</v>
      </c>
      <c r="W81" s="56">
        <f>'[9]Total 2027 - 2029'!W81-'[9]Plana 2027 - 2029'!W81</f>
        <v>15800.812845878878</v>
      </c>
      <c r="X81" s="56">
        <f>'[9]Total 2027 - 2029'!X81-'[9]Plana 2027 - 2029'!X81</f>
        <v>15531.065275866677</v>
      </c>
      <c r="Y81" s="56">
        <f>'[9]Total 2027 - 2029'!Y81-'[9]Plana 2027 - 2029'!Y81</f>
        <v>14201.909320796418</v>
      </c>
      <c r="Z81" s="56">
        <f>'[9]Total 2027 - 2029'!Z81-'[9]Plana 2027 - 2029'!Z81</f>
        <v>11740.702368282178</v>
      </c>
      <c r="AA81" s="56">
        <f>'[9]Total 2027 - 2029'!AA81-'[9]Plana 2027 - 2029'!AA81</f>
        <v>8760.9749802753686</v>
      </c>
      <c r="AB81" s="57">
        <f t="shared" si="2"/>
        <v>3620853.302823599</v>
      </c>
      <c r="AC81" s="62">
        <f>SUM(AB81:AB83)</f>
        <v>5766500.8037174866</v>
      </c>
    </row>
    <row r="82" spans="1:29" x14ac:dyDescent="0.25">
      <c r="A82" s="58"/>
      <c r="B82" s="59" t="s">
        <v>17</v>
      </c>
      <c r="C82" s="55">
        <v>5</v>
      </c>
      <c r="D82" s="56">
        <f>'[9]Total 2027 - 2029'!D82-'[9]Plana 2027 - 2029'!D82</f>
        <v>5028.6228986106617</v>
      </c>
      <c r="E82" s="56">
        <f>'[9]Total 2027 - 2029'!E82-'[9]Plana 2027 - 2029'!E82</f>
        <v>3452.9717006366063</v>
      </c>
      <c r="F82" s="56">
        <f>'[9]Total 2027 - 2029'!F82-'[9]Plana 2027 - 2029'!F82</f>
        <v>2153.5440367050069</v>
      </c>
      <c r="G82" s="56">
        <f>'[9]Total 2027 - 2029'!G82-'[9]Plana 2027 - 2029'!G82</f>
        <v>1271.2080733576586</v>
      </c>
      <c r="H82" s="56">
        <f>'[9]Total 2027 - 2029'!H82-'[9]Plana 2027 - 2029'!H82</f>
        <v>770.06242799733445</v>
      </c>
      <c r="I82" s="56">
        <f>'[9]Total 2027 - 2029'!I82-'[9]Plana 2027 - 2029'!I82</f>
        <v>662.40221366728838</v>
      </c>
      <c r="J82" s="56">
        <f>'[9]Total 2027 - 2029'!J82-'[9]Plana 2027 - 2029'!J82</f>
        <v>0</v>
      </c>
      <c r="K82" s="56">
        <f>'[9]Total 2027 - 2029'!K82-'[9]Plana 2027 - 2029'!K82</f>
        <v>2027.5558042974244</v>
      </c>
      <c r="L82" s="56">
        <f>'[9]Total 2027 - 2029'!L82-'[9]Plana 2027 - 2029'!L82</f>
        <v>4241.9790709828576</v>
      </c>
      <c r="M82" s="56">
        <f>'[9]Total 2027 - 2029'!M82-'[9]Plana 2027 - 2029'!M82</f>
        <v>5860.7649097354042</v>
      </c>
      <c r="N82" s="56">
        <f>'[9]Total 2027 - 2029'!N82-'[9]Plana 2027 - 2029'!N82</f>
        <v>7482.9189392594126</v>
      </c>
      <c r="O82" s="56">
        <f>'[9]Total 2027 - 2029'!O82-'[9]Plana 2027 - 2029'!O82</f>
        <v>8704.3546748512781</v>
      </c>
      <c r="P82" s="56">
        <f>'[9]Total 2027 - 2029'!P82-'[9]Plana 2027 - 2029'!P82</f>
        <v>7146.5743985891932</v>
      </c>
      <c r="Q82" s="56">
        <f>'[9]Total 2027 - 2029'!Q82-'[9]Plana 2027 - 2029'!Q82</f>
        <v>9571.1561356986786</v>
      </c>
      <c r="R82" s="56">
        <f>'[9]Total 2027 - 2029'!R82-'[9]Plana 2027 - 2029'!R82</f>
        <v>11794.892853601228</v>
      </c>
      <c r="S82" s="56">
        <f>'[9]Total 2027 - 2029'!S82-'[9]Plana 2027 - 2029'!S82</f>
        <v>11605.660733892353</v>
      </c>
      <c r="T82" s="56">
        <f>'[9]Total 2027 - 2029'!T82-'[9]Plana 2027 - 2029'!T82</f>
        <v>10453.060814248624</v>
      </c>
      <c r="U82" s="56">
        <f>'[9]Total 2027 - 2029'!U82-'[9]Plana 2027 - 2029'!U82</f>
        <v>10522.346485827642</v>
      </c>
      <c r="V82" s="56">
        <f>'[9]Total 2027 - 2029'!V82-'[9]Plana 2027 - 2029'!V82</f>
        <v>13853.293161903654</v>
      </c>
      <c r="W82" s="56">
        <f>'[9]Total 2027 - 2029'!W82-'[9]Plana 2027 - 2029'!W82</f>
        <v>14789.075640335242</v>
      </c>
      <c r="X82" s="56">
        <f>'[9]Total 2027 - 2029'!X82-'[9]Plana 2027 - 2029'!X82</f>
        <v>14545.180802354716</v>
      </c>
      <c r="Y82" s="56">
        <f>'[9]Total 2027 - 2029'!Y82-'[9]Plana 2027 - 2029'!Y82</f>
        <v>13284.248132653771</v>
      </c>
      <c r="Z82" s="56">
        <f>'[9]Total 2027 - 2029'!Z82-'[9]Plana 2027 - 2029'!Z82</f>
        <v>10931.495467726476</v>
      </c>
      <c r="AA82" s="56">
        <f>'[9]Total 2027 - 2029'!AA82-'[9]Plana 2027 - 2029'!AA82</f>
        <v>8107.913904414243</v>
      </c>
      <c r="AB82" s="57">
        <f t="shared" si="2"/>
        <v>891306.4164067338</v>
      </c>
      <c r="AC82" s="63"/>
    </row>
    <row r="83" spans="1:29" x14ac:dyDescent="0.25">
      <c r="A83" s="58"/>
      <c r="B83" s="59" t="s">
        <v>18</v>
      </c>
      <c r="C83" s="55">
        <v>7</v>
      </c>
      <c r="D83" s="56">
        <f>'[9]Total 2027 - 2029'!D83-'[9]Plana 2027 - 2029'!D83</f>
        <v>4993.6663222101215</v>
      </c>
      <c r="E83" s="56">
        <f>'[9]Total 2027 - 2029'!E83-'[9]Plana 2027 - 2029'!E83</f>
        <v>3425.7578495698344</v>
      </c>
      <c r="F83" s="56">
        <f>'[9]Total 2027 - 2029'!F83-'[9]Plana 2027 - 2029'!F83</f>
        <v>2129.2115311862963</v>
      </c>
      <c r="G83" s="56">
        <f>'[9]Total 2027 - 2029'!G83-'[9]Plana 2027 - 2029'!G83</f>
        <v>1241.1452691430623</v>
      </c>
      <c r="H83" s="56">
        <f>'[9]Total 2027 - 2029'!H83-'[9]Plana 2027 - 2029'!H83</f>
        <v>741.13252575707156</v>
      </c>
      <c r="I83" s="56">
        <f>'[9]Total 2027 - 2029'!I83-'[9]Plana 2027 - 2029'!I83</f>
        <v>649.20311674367076</v>
      </c>
      <c r="J83" s="56">
        <f>'[9]Total 2027 - 2029'!J83-'[9]Plana 2027 - 2029'!J83</f>
        <v>0</v>
      </c>
      <c r="K83" s="56">
        <f>'[9]Total 2027 - 2029'!K83-'[9]Plana 2027 - 2029'!K83</f>
        <v>2050.5166557164976</v>
      </c>
      <c r="L83" s="56">
        <f>'[9]Total 2027 - 2029'!L83-'[9]Plana 2027 - 2029'!L83</f>
        <v>4317.9670384181463</v>
      </c>
      <c r="M83" s="56">
        <f>'[9]Total 2027 - 2029'!M83-'[9]Plana 2027 - 2029'!M83</f>
        <v>5975.6450218784685</v>
      </c>
      <c r="N83" s="56">
        <f>'[9]Total 2027 - 2029'!N83-'[9]Plana 2027 - 2029'!N83</f>
        <v>7632.8198001183573</v>
      </c>
      <c r="O83" s="56">
        <f>'[9]Total 2027 - 2029'!O83-'[9]Plana 2027 - 2029'!O83</f>
        <v>8870.8116850648275</v>
      </c>
      <c r="P83" s="56">
        <f>'[9]Total 2027 - 2029'!P83-'[9]Plana 2027 - 2029'!P83</f>
        <v>7258.4496702710367</v>
      </c>
      <c r="Q83" s="56">
        <f>'[9]Total 2027 - 2029'!Q83-'[9]Plana 2027 - 2029'!Q83</f>
        <v>9693.2041520474249</v>
      </c>
      <c r="R83" s="56">
        <f>'[9]Total 2027 - 2029'!R83-'[9]Plana 2027 - 2029'!R83</f>
        <v>11908.299986059252</v>
      </c>
      <c r="S83" s="56">
        <f>'[9]Total 2027 - 2029'!S83-'[9]Plana 2027 - 2029'!S83</f>
        <v>11711.777456018432</v>
      </c>
      <c r="T83" s="56">
        <f>'[9]Total 2027 - 2029'!T83-'[9]Plana 2027 - 2029'!T83</f>
        <v>10550.154499128146</v>
      </c>
      <c r="U83" s="56">
        <f>'[9]Total 2027 - 2029'!U83-'[9]Plana 2027 - 2029'!U83</f>
        <v>10590.851326783841</v>
      </c>
      <c r="V83" s="56">
        <f>'[9]Total 2027 - 2029'!V83-'[9]Plana 2027 - 2029'!V83</f>
        <v>13917.775256449031</v>
      </c>
      <c r="W83" s="56">
        <f>'[9]Total 2027 - 2029'!W83-'[9]Plana 2027 - 2029'!W83</f>
        <v>14801.095694657326</v>
      </c>
      <c r="X83" s="56">
        <f>'[9]Total 2027 - 2029'!X83-'[9]Plana 2027 - 2029'!X83</f>
        <v>14480.551382455096</v>
      </c>
      <c r="Y83" s="56">
        <f>'[9]Total 2027 - 2029'!Y83-'[9]Plana 2027 - 2029'!Y83</f>
        <v>13230.163586968678</v>
      </c>
      <c r="Z83" s="56">
        <f>'[9]Total 2027 - 2029'!Z83-'[9]Plana 2027 - 2029'!Z83</f>
        <v>10909.703267857503</v>
      </c>
      <c r="AA83" s="56">
        <f>'[9]Total 2027 - 2029'!AA83-'[9]Plana 2027 - 2029'!AA83</f>
        <v>8111.6804036627527</v>
      </c>
      <c r="AB83" s="57">
        <f t="shared" si="2"/>
        <v>1254341.0844871541</v>
      </c>
      <c r="AC83" s="64"/>
    </row>
    <row r="84" spans="1:29" x14ac:dyDescent="0.25">
      <c r="A84" s="53">
        <v>47209</v>
      </c>
      <c r="B84" s="54" t="s">
        <v>16</v>
      </c>
      <c r="C84" s="55">
        <v>21</v>
      </c>
      <c r="D84" s="56">
        <f>'[9]Total 2027 - 2029'!D84-'[9]Plana 2027 - 2029'!D84</f>
        <v>4277.5110645839395</v>
      </c>
      <c r="E84" s="56">
        <f>'[9]Total 2027 - 2029'!E84-'[9]Plana 2027 - 2029'!E84</f>
        <v>2850.3777986729183</v>
      </c>
      <c r="F84" s="56">
        <f>'[9]Total 2027 - 2029'!F84-'[9]Plana 2027 - 2029'!F84</f>
        <v>1663.472340974753</v>
      </c>
      <c r="G84" s="56">
        <f>'[9]Total 2027 - 2029'!G84-'[9]Plana 2027 - 2029'!G84</f>
        <v>760.89297661724231</v>
      </c>
      <c r="H84" s="56">
        <f>'[9]Total 2027 - 2029'!H84-'[9]Plana 2027 - 2029'!H84</f>
        <v>403.22591868432755</v>
      </c>
      <c r="I84" s="56">
        <f>'[9]Total 2027 - 2029'!I84-'[9]Plana 2027 - 2029'!I84</f>
        <v>0</v>
      </c>
      <c r="J84" s="56">
        <f>'[9]Total 2027 - 2029'!J84-'[9]Plana 2027 - 2029'!J84</f>
        <v>27.592330664534529</v>
      </c>
      <c r="K84" s="56">
        <f>'[9]Total 2027 - 2029'!K84-'[9]Plana 2027 - 2029'!K84</f>
        <v>2456.713913017611</v>
      </c>
      <c r="L84" s="56">
        <f>'[9]Total 2027 - 2029'!L84-'[9]Plana 2027 - 2029'!L84</f>
        <v>4700.2469969833201</v>
      </c>
      <c r="M84" s="56">
        <f>'[9]Total 2027 - 2029'!M84-'[9]Plana 2027 - 2029'!M84</f>
        <v>6185.6932355361805</v>
      </c>
      <c r="N84" s="56">
        <f>'[9]Total 2027 - 2029'!N84-'[9]Plana 2027 - 2029'!N84</f>
        <v>7721.45022493947</v>
      </c>
      <c r="O84" s="56">
        <f>'[9]Total 2027 - 2029'!O84-'[9]Plana 2027 - 2029'!O84</f>
        <v>9091.1596435908414</v>
      </c>
      <c r="P84" s="56">
        <f>'[9]Total 2027 - 2029'!P84-'[9]Plana 2027 - 2029'!P84</f>
        <v>7529.7701513495358</v>
      </c>
      <c r="Q84" s="56">
        <f>'[9]Total 2027 - 2029'!Q84-'[9]Plana 2027 - 2029'!Q84</f>
        <v>9410.3555142425994</v>
      </c>
      <c r="R84" s="56">
        <f>'[9]Total 2027 - 2029'!R84-'[9]Plana 2027 - 2029'!R84</f>
        <v>11030.372447773245</v>
      </c>
      <c r="S84" s="56">
        <f>'[9]Total 2027 - 2029'!S84-'[9]Plana 2027 - 2029'!S84</f>
        <v>10348.973548703378</v>
      </c>
      <c r="T84" s="56">
        <f>'[9]Total 2027 - 2029'!T84-'[9]Plana 2027 - 2029'!T84</f>
        <v>8539.6399134194817</v>
      </c>
      <c r="U84" s="56">
        <f>'[9]Total 2027 - 2029'!U84-'[9]Plana 2027 - 2029'!U84</f>
        <v>8958.5335204611201</v>
      </c>
      <c r="V84" s="56">
        <f>'[9]Total 2027 - 2029'!V84-'[9]Plana 2027 - 2029'!V84</f>
        <v>13910.642332140576</v>
      </c>
      <c r="W84" s="56">
        <f>'[9]Total 2027 - 2029'!W84-'[9]Plana 2027 - 2029'!W84</f>
        <v>14881.333848820048</v>
      </c>
      <c r="X84" s="56">
        <f>'[9]Total 2027 - 2029'!X84-'[9]Plana 2027 - 2029'!X84</f>
        <v>14138.759261753561</v>
      </c>
      <c r="Y84" s="56">
        <f>'[9]Total 2027 - 2029'!Y84-'[9]Plana 2027 - 2029'!Y84</f>
        <v>12464.007722815457</v>
      </c>
      <c r="Z84" s="56">
        <f>'[9]Total 2027 - 2029'!Z84-'[9]Plana 2027 - 2029'!Z84</f>
        <v>9539.8171581866754</v>
      </c>
      <c r="AA84" s="56">
        <f>'[9]Total 2027 - 2029'!AA84-'[9]Plana 2027 - 2029'!AA84</f>
        <v>6694.2009451179129</v>
      </c>
      <c r="AB84" s="57">
        <f t="shared" si="2"/>
        <v>3519279.5989900236</v>
      </c>
      <c r="AC84" s="62">
        <f>SUM(AB84:AB86)</f>
        <v>5011831.5838547731</v>
      </c>
    </row>
    <row r="85" spans="1:29" x14ac:dyDescent="0.25">
      <c r="A85" s="58"/>
      <c r="B85" s="59" t="s">
        <v>17</v>
      </c>
      <c r="C85" s="55">
        <v>4</v>
      </c>
      <c r="D85" s="56">
        <f>'[9]Total 2027 - 2029'!D85-'[9]Plana 2027 - 2029'!D85</f>
        <v>3984.2103690632994</v>
      </c>
      <c r="E85" s="56">
        <f>'[9]Total 2027 - 2029'!E85-'[9]Plana 2027 - 2029'!E85</f>
        <v>2625.2728938732307</v>
      </c>
      <c r="F85" s="56">
        <f>'[9]Total 2027 - 2029'!F85-'[9]Plana 2027 - 2029'!F85</f>
        <v>1493.0113030934826</v>
      </c>
      <c r="G85" s="56">
        <f>'[9]Total 2027 - 2029'!G85-'[9]Plana 2027 - 2029'!G85</f>
        <v>646.8287538643599</v>
      </c>
      <c r="H85" s="56">
        <f>'[9]Total 2027 - 2029'!H85-'[9]Plana 2027 - 2029'!H85</f>
        <v>320.04284381869911</v>
      </c>
      <c r="I85" s="56">
        <f>'[9]Total 2027 - 2029'!I85-'[9]Plana 2027 - 2029'!I85</f>
        <v>7.8529732202641753</v>
      </c>
      <c r="J85" s="56">
        <f>'[9]Total 2027 - 2029'!J85-'[9]Plana 2027 - 2029'!J85</f>
        <v>0</v>
      </c>
      <c r="K85" s="56">
        <f>'[9]Total 2027 - 2029'!K85-'[9]Plana 2027 - 2029'!K85</f>
        <v>2367.0743251307267</v>
      </c>
      <c r="L85" s="56">
        <f>'[9]Total 2027 - 2029'!L85-'[9]Plana 2027 - 2029'!L85</f>
        <v>4560.8031993130571</v>
      </c>
      <c r="M85" s="56">
        <f>'[9]Total 2027 - 2029'!M85-'[9]Plana 2027 - 2029'!M85</f>
        <v>5995.8425417339586</v>
      </c>
      <c r="N85" s="56">
        <f>'[9]Total 2027 - 2029'!N85-'[9]Plana 2027 - 2029'!N85</f>
        <v>7525.8291213540233</v>
      </c>
      <c r="O85" s="56">
        <f>'[9]Total 2027 - 2029'!O85-'[9]Plana 2027 - 2029'!O85</f>
        <v>8857.4091589025284</v>
      </c>
      <c r="P85" s="56">
        <f>'[9]Total 2027 - 2029'!P85-'[9]Plana 2027 - 2029'!P85</f>
        <v>7290.0334694755602</v>
      </c>
      <c r="Q85" s="56">
        <f>'[9]Total 2027 - 2029'!Q85-'[9]Plana 2027 - 2029'!Q85</f>
        <v>9229.1693254526017</v>
      </c>
      <c r="R85" s="56">
        <f>'[9]Total 2027 - 2029'!R85-'[9]Plana 2027 - 2029'!R85</f>
        <v>10886.764811433064</v>
      </c>
      <c r="S85" s="56">
        <f>'[9]Total 2027 - 2029'!S85-'[9]Plana 2027 - 2029'!S85</f>
        <v>10256.387760118503</v>
      </c>
      <c r="T85" s="56">
        <f>'[9]Total 2027 - 2029'!T85-'[9]Plana 2027 - 2029'!T85</f>
        <v>8485.2436967078811</v>
      </c>
      <c r="U85" s="56">
        <f>'[9]Total 2027 - 2029'!U85-'[9]Plana 2027 - 2029'!U85</f>
        <v>8829.7855605340974</v>
      </c>
      <c r="V85" s="56">
        <f>'[9]Total 2027 - 2029'!V85-'[9]Plana 2027 - 2029'!V85</f>
        <v>13460.773528712185</v>
      </c>
      <c r="W85" s="56">
        <f>'[9]Total 2027 - 2029'!W85-'[9]Plana 2027 - 2029'!W85</f>
        <v>14370.343096274648</v>
      </c>
      <c r="X85" s="56">
        <f>'[9]Total 2027 - 2029'!X85-'[9]Plana 2027 - 2029'!X85</f>
        <v>13697.753948342264</v>
      </c>
      <c r="Y85" s="56">
        <f>'[9]Total 2027 - 2029'!Y85-'[9]Plana 2027 - 2029'!Y85</f>
        <v>12106.324994324152</v>
      </c>
      <c r="Z85" s="56">
        <f>'[9]Total 2027 - 2029'!Z85-'[9]Plana 2027 - 2029'!Z85</f>
        <v>9273.0961002152089</v>
      </c>
      <c r="AA85" s="56">
        <f>'[9]Total 2027 - 2029'!AA85-'[9]Plana 2027 - 2029'!AA85</f>
        <v>6508.6830391592503</v>
      </c>
      <c r="AB85" s="57">
        <f t="shared" si="2"/>
        <v>651114.14725646831</v>
      </c>
      <c r="AC85" s="63"/>
    </row>
    <row r="86" spans="1:29" x14ac:dyDescent="0.25">
      <c r="A86" s="58"/>
      <c r="B86" s="59" t="s">
        <v>18</v>
      </c>
      <c r="C86" s="55">
        <v>5</v>
      </c>
      <c r="D86" s="56">
        <f>'[9]Total 2027 - 2029'!D86-'[9]Plana 2027 - 2029'!D86</f>
        <v>4190.4098215411541</v>
      </c>
      <c r="E86" s="56">
        <f>'[9]Total 2027 - 2029'!E86-'[9]Plana 2027 - 2029'!E86</f>
        <v>2758.629640498033</v>
      </c>
      <c r="F86" s="56">
        <f>'[9]Total 2027 - 2029'!F86-'[9]Plana 2027 - 2029'!F86</f>
        <v>1570.6442196130483</v>
      </c>
      <c r="G86" s="56">
        <f>'[9]Total 2027 - 2029'!G86-'[9]Plana 2027 - 2029'!G86</f>
        <v>672.68607297016024</v>
      </c>
      <c r="H86" s="56">
        <f>'[9]Total 2027 - 2029'!H86-'[9]Plana 2027 - 2029'!H86</f>
        <v>331.23489938125931</v>
      </c>
      <c r="I86" s="56">
        <f>'[9]Total 2027 - 2029'!I86-'[9]Plana 2027 - 2029'!I86</f>
        <v>0</v>
      </c>
      <c r="J86" s="56">
        <f>'[9]Total 2027 - 2029'!J86-'[9]Plana 2027 - 2029'!J86</f>
        <v>6.7382586978765175</v>
      </c>
      <c r="K86" s="56">
        <f>'[9]Total 2027 - 2029'!K86-'[9]Plana 2027 - 2029'!K86</f>
        <v>2494.5840860975477</v>
      </c>
      <c r="L86" s="56">
        <f>'[9]Total 2027 - 2029'!L86-'[9]Plana 2027 - 2029'!L86</f>
        <v>4831.0164628895109</v>
      </c>
      <c r="M86" s="56">
        <f>'[9]Total 2027 - 2029'!M86-'[9]Plana 2027 - 2029'!M86</f>
        <v>6365.7992143035553</v>
      </c>
      <c r="N86" s="56">
        <f>'[9]Total 2027 - 2029'!N86-'[9]Plana 2027 - 2029'!N86</f>
        <v>7946.130665655448</v>
      </c>
      <c r="O86" s="56">
        <f>'[9]Total 2027 - 2029'!O86-'[9]Plana 2027 - 2029'!O86</f>
        <v>9319.4948519312093</v>
      </c>
      <c r="P86" s="56">
        <f>'[9]Total 2027 - 2029'!P86-'[9]Plana 2027 - 2029'!P86</f>
        <v>7573.0358088856519</v>
      </c>
      <c r="Q86" s="56">
        <f>'[9]Total 2027 - 2029'!Q86-'[9]Plana 2027 - 2029'!Q86</f>
        <v>9507.8703689422728</v>
      </c>
      <c r="R86" s="56">
        <f>'[9]Total 2027 - 2029'!R86-'[9]Plana 2027 - 2029'!R86</f>
        <v>11193.181681862821</v>
      </c>
      <c r="S86" s="56">
        <f>'[9]Total 2027 - 2029'!S86-'[9]Plana 2027 - 2029'!S86</f>
        <v>10539.525737588512</v>
      </c>
      <c r="T86" s="56">
        <f>'[9]Total 2027 - 2029'!T86-'[9]Plana 2027 - 2029'!T86</f>
        <v>8734.8414434248589</v>
      </c>
      <c r="U86" s="56">
        <f>'[9]Total 2027 - 2029'!U86-'[9]Plana 2027 - 2029'!U86</f>
        <v>9104.9128847124848</v>
      </c>
      <c r="V86" s="56">
        <f>'[9]Total 2027 - 2029'!V86-'[9]Plana 2027 - 2029'!V86</f>
        <v>13925.315917088541</v>
      </c>
      <c r="W86" s="56">
        <f>'[9]Total 2027 - 2029'!W86-'[9]Plana 2027 - 2029'!W86</f>
        <v>14804.745816687668</v>
      </c>
      <c r="X86" s="56">
        <f>'[9]Total 2027 - 2029'!X86-'[9]Plana 2027 - 2029'!X86</f>
        <v>14031.021421581125</v>
      </c>
      <c r="Y86" s="56">
        <f>'[9]Total 2027 - 2029'!Y86-'[9]Plana 2027 - 2029'!Y86</f>
        <v>12356.251550234363</v>
      </c>
      <c r="Z86" s="56">
        <f>'[9]Total 2027 - 2029'!Z86-'[9]Plana 2027 - 2029'!Z86</f>
        <v>9440.3509348211846</v>
      </c>
      <c r="AA86" s="56">
        <f>'[9]Total 2027 - 2029'!AA86-'[9]Plana 2027 - 2029'!AA86</f>
        <v>6589.1457622478483</v>
      </c>
      <c r="AB86" s="57">
        <f t="shared" si="2"/>
        <v>841437.83760828071</v>
      </c>
      <c r="AC86" s="64"/>
    </row>
    <row r="87" spans="1:29" x14ac:dyDescent="0.25">
      <c r="A87" s="53">
        <v>47239</v>
      </c>
      <c r="B87" s="54" t="s">
        <v>16</v>
      </c>
      <c r="C87" s="55">
        <v>21</v>
      </c>
      <c r="D87" s="56">
        <f>'[9]Total 2027 - 2029'!D87-'[9]Plana 2027 - 2029'!D87</f>
        <v>4448.5253850753616</v>
      </c>
      <c r="E87" s="56">
        <f>'[9]Total 2027 - 2029'!E87-'[9]Plana 2027 - 2029'!E87</f>
        <v>2705.1587611721061</v>
      </c>
      <c r="F87" s="56">
        <f>'[9]Total 2027 - 2029'!F87-'[9]Plana 2027 - 2029'!F87</f>
        <v>1570.1884721686383</v>
      </c>
      <c r="G87" s="56">
        <f>'[9]Total 2027 - 2029'!G87-'[9]Plana 2027 - 2029'!G87</f>
        <v>866.99277894728039</v>
      </c>
      <c r="H87" s="56">
        <f>'[9]Total 2027 - 2029'!H87-'[9]Plana 2027 - 2029'!H87</f>
        <v>535.19287944102325</v>
      </c>
      <c r="I87" s="56">
        <f>'[9]Total 2027 - 2029'!I87-'[9]Plana 2027 - 2029'!I87</f>
        <v>0</v>
      </c>
      <c r="J87" s="56">
        <f>'[9]Total 2027 - 2029'!J87-'[9]Plana 2027 - 2029'!J87</f>
        <v>500.71449130947622</v>
      </c>
      <c r="K87" s="56">
        <f>'[9]Total 2027 - 2029'!K87-'[9]Plana 2027 - 2029'!K87</f>
        <v>3360.6211812662987</v>
      </c>
      <c r="L87" s="56">
        <f>'[9]Total 2027 - 2029'!L87-'[9]Plana 2027 - 2029'!L87</f>
        <v>6547.0041714865256</v>
      </c>
      <c r="M87" s="56">
        <f>'[9]Total 2027 - 2029'!M87-'[9]Plana 2027 - 2029'!M87</f>
        <v>8841.411720381413</v>
      </c>
      <c r="N87" s="56">
        <f>'[9]Total 2027 - 2029'!N87-'[9]Plana 2027 - 2029'!N87</f>
        <v>10903.272040983476</v>
      </c>
      <c r="O87" s="56">
        <f>'[9]Total 2027 - 2029'!O87-'[9]Plana 2027 - 2029'!O87</f>
        <v>11666.559099205344</v>
      </c>
      <c r="P87" s="56">
        <f>'[9]Total 2027 - 2029'!P87-'[9]Plana 2027 - 2029'!P87</f>
        <v>9527.0517931339491</v>
      </c>
      <c r="Q87" s="56">
        <f>'[9]Total 2027 - 2029'!Q87-'[9]Plana 2027 - 2029'!Q87</f>
        <v>10949.037907781709</v>
      </c>
      <c r="R87" s="56">
        <f>'[9]Total 2027 - 2029'!R87-'[9]Plana 2027 - 2029'!R87</f>
        <v>12542.395604608126</v>
      </c>
      <c r="S87" s="56">
        <f>'[9]Total 2027 - 2029'!S87-'[9]Plana 2027 - 2029'!S87</f>
        <v>12025.545091351454</v>
      </c>
      <c r="T87" s="56">
        <f>'[9]Total 2027 - 2029'!T87-'[9]Plana 2027 - 2029'!T87</f>
        <v>10911.838121117748</v>
      </c>
      <c r="U87" s="56">
        <f>'[9]Total 2027 - 2029'!U87-'[9]Plana 2027 - 2029'!U87</f>
        <v>10564.30429873403</v>
      </c>
      <c r="V87" s="56">
        <f>'[9]Total 2027 - 2029'!V87-'[9]Plana 2027 - 2029'!V87</f>
        <v>15306.793417849542</v>
      </c>
      <c r="W87" s="56">
        <f>'[9]Total 2027 - 2029'!W87-'[9]Plana 2027 - 2029'!W87</f>
        <v>16451.156462914314</v>
      </c>
      <c r="X87" s="56">
        <f>'[9]Total 2027 - 2029'!X87-'[9]Plana 2027 - 2029'!X87</f>
        <v>15395.918589827626</v>
      </c>
      <c r="Y87" s="56">
        <f>'[9]Total 2027 - 2029'!Y87-'[9]Plana 2027 - 2029'!Y87</f>
        <v>13176.939467333883</v>
      </c>
      <c r="Z87" s="56">
        <f>'[9]Total 2027 - 2029'!Z87-'[9]Plana 2027 - 2029'!Z87</f>
        <v>9660.052168794231</v>
      </c>
      <c r="AA87" s="56">
        <f>'[9]Total 2027 - 2029'!AA87-'[9]Plana 2027 - 2029'!AA87</f>
        <v>5470.6275492457207</v>
      </c>
      <c r="AB87" s="57">
        <f t="shared" si="2"/>
        <v>4072473.3305367157</v>
      </c>
      <c r="AC87" s="62">
        <f>SUM(AB87:AB89)</f>
        <v>5870856.5244577285</v>
      </c>
    </row>
    <row r="88" spans="1:29" x14ac:dyDescent="0.25">
      <c r="A88" s="58"/>
      <c r="B88" s="59" t="s">
        <v>17</v>
      </c>
      <c r="C88" s="55">
        <v>4</v>
      </c>
      <c r="D88" s="56">
        <f>'[9]Total 2027 - 2029'!D88-'[9]Plana 2027 - 2029'!D88</f>
        <v>3967.4777863678028</v>
      </c>
      <c r="E88" s="56">
        <f>'[9]Total 2027 - 2029'!E88-'[9]Plana 2027 - 2029'!E88</f>
        <v>2357.93198861573</v>
      </c>
      <c r="F88" s="56">
        <f>'[9]Total 2027 - 2029'!F88-'[9]Plana 2027 - 2029'!F88</f>
        <v>1311.352799892049</v>
      </c>
      <c r="G88" s="56">
        <f>'[9]Total 2027 - 2029'!G88-'[9]Plana 2027 - 2029'!G88</f>
        <v>684.35964882927328</v>
      </c>
      <c r="H88" s="56">
        <f>'[9]Total 2027 - 2029'!H88-'[9]Plana 2027 - 2029'!H88</f>
        <v>400.40365417951762</v>
      </c>
      <c r="I88" s="56">
        <f>'[9]Total 2027 - 2029'!I88-'[9]Plana 2027 - 2029'!I88</f>
        <v>0</v>
      </c>
      <c r="J88" s="56">
        <f>'[9]Total 2027 - 2029'!J88-'[9]Plana 2027 - 2029'!J88</f>
        <v>441.12077570104884</v>
      </c>
      <c r="K88" s="56">
        <f>'[9]Total 2027 - 2029'!K88-'[9]Plana 2027 - 2029'!K88</f>
        <v>3110.3717335447327</v>
      </c>
      <c r="L88" s="56">
        <f>'[9]Total 2027 - 2029'!L88-'[9]Plana 2027 - 2029'!L88</f>
        <v>6102.7943305404515</v>
      </c>
      <c r="M88" s="56">
        <f>'[9]Total 2027 - 2029'!M88-'[9]Plana 2027 - 2029'!M88</f>
        <v>8182.8047538070405</v>
      </c>
      <c r="N88" s="56">
        <f>'[9]Total 2027 - 2029'!N88-'[9]Plana 2027 - 2029'!N88</f>
        <v>10018.761461451535</v>
      </c>
      <c r="O88" s="56">
        <f>'[9]Total 2027 - 2029'!O88-'[9]Plana 2027 - 2029'!O88</f>
        <v>10702.518475205421</v>
      </c>
      <c r="P88" s="56">
        <f>'[9]Total 2027 - 2029'!P88-'[9]Plana 2027 - 2029'!P88</f>
        <v>8586.0169771225865</v>
      </c>
      <c r="Q88" s="56">
        <f>'[9]Total 2027 - 2029'!Q88-'[9]Plana 2027 - 2029'!Q88</f>
        <v>9936.4224691359796</v>
      </c>
      <c r="R88" s="56">
        <f>'[9]Total 2027 - 2029'!R88-'[9]Plana 2027 - 2029'!R88</f>
        <v>11487.218058505272</v>
      </c>
      <c r="S88" s="56">
        <f>'[9]Total 2027 - 2029'!S88-'[9]Plana 2027 - 2029'!S88</f>
        <v>11038.706133401751</v>
      </c>
      <c r="T88" s="56">
        <f>'[9]Total 2027 - 2029'!T88-'[9]Plana 2027 - 2029'!T88</f>
        <v>10043.550459690878</v>
      </c>
      <c r="U88" s="56">
        <f>'[9]Total 2027 - 2029'!U88-'[9]Plana 2027 - 2029'!U88</f>
        <v>9794.1487928072802</v>
      </c>
      <c r="V88" s="56">
        <f>'[9]Total 2027 - 2029'!V88-'[9]Plana 2027 - 2029'!V88</f>
        <v>14069.042996324069</v>
      </c>
      <c r="W88" s="56">
        <f>'[9]Total 2027 - 2029'!W88-'[9]Plana 2027 - 2029'!W88</f>
        <v>15072.622995174946</v>
      </c>
      <c r="X88" s="56">
        <f>'[9]Total 2027 - 2029'!X88-'[9]Plana 2027 - 2029'!X88</f>
        <v>14084.730860115085</v>
      </c>
      <c r="Y88" s="56">
        <f>'[9]Total 2027 - 2029'!Y88-'[9]Plana 2027 - 2029'!Y88</f>
        <v>12007.861182150702</v>
      </c>
      <c r="Z88" s="56">
        <f>'[9]Total 2027 - 2029'!Z88-'[9]Plana 2027 - 2029'!Z88</f>
        <v>8722.900456944617</v>
      </c>
      <c r="AA88" s="56">
        <f>'[9]Total 2027 - 2029'!AA88-'[9]Plana 2027 - 2029'!AA88</f>
        <v>4844.7548539940872</v>
      </c>
      <c r="AB88" s="57">
        <f t="shared" si="2"/>
        <v>707871.49457400735</v>
      </c>
      <c r="AC88" s="63"/>
    </row>
    <row r="89" spans="1:29" x14ac:dyDescent="0.25">
      <c r="A89" s="58"/>
      <c r="B89" s="59" t="s">
        <v>18</v>
      </c>
      <c r="C89" s="55">
        <v>6</v>
      </c>
      <c r="D89" s="56">
        <f>'[9]Total 2027 - 2029'!D89-'[9]Plana 2027 - 2029'!D89</f>
        <v>3912.6273502280037</v>
      </c>
      <c r="E89" s="56">
        <f>'[9]Total 2027 - 2029'!E89-'[9]Plana 2027 - 2029'!E89</f>
        <v>2314.9062139947309</v>
      </c>
      <c r="F89" s="56">
        <f>'[9]Total 2027 - 2029'!F89-'[9]Plana 2027 - 2029'!F89</f>
        <v>1293.2282398730313</v>
      </c>
      <c r="G89" s="56">
        <f>'[9]Total 2027 - 2029'!G89-'[9]Plana 2027 - 2029'!G89</f>
        <v>693.89316552863238</v>
      </c>
      <c r="H89" s="56">
        <f>'[9]Total 2027 - 2029'!H89-'[9]Plana 2027 - 2029'!H89</f>
        <v>380.38965799290054</v>
      </c>
      <c r="I89" s="56">
        <f>'[9]Total 2027 - 2029'!I89-'[9]Plana 2027 - 2029'!I89</f>
        <v>0</v>
      </c>
      <c r="J89" s="56">
        <f>'[9]Total 2027 - 2029'!J89-'[9]Plana 2027 - 2029'!J89</f>
        <v>485.37013976575508</v>
      </c>
      <c r="K89" s="56">
        <f>'[9]Total 2027 - 2029'!K89-'[9]Plana 2027 - 2029'!K89</f>
        <v>3208.8799672329696</v>
      </c>
      <c r="L89" s="56">
        <f>'[9]Total 2027 - 2029'!L89-'[9]Plana 2027 - 2029'!L89</f>
        <v>6235.7152369199339</v>
      </c>
      <c r="M89" s="56">
        <f>'[9]Total 2027 - 2029'!M89-'[9]Plana 2027 - 2029'!M89</f>
        <v>8371.7586807312946</v>
      </c>
      <c r="N89" s="56">
        <f>'[9]Total 2027 - 2029'!N89-'[9]Plana 2027 - 2029'!N89</f>
        <v>10271.327029041437</v>
      </c>
      <c r="O89" s="56">
        <f>'[9]Total 2027 - 2029'!O89-'[9]Plana 2027 - 2029'!O89</f>
        <v>10974.027402722655</v>
      </c>
      <c r="P89" s="56">
        <f>'[9]Total 2027 - 2029'!P89-'[9]Plana 2027 - 2029'!P89</f>
        <v>8907.8554248408582</v>
      </c>
      <c r="Q89" s="56">
        <f>'[9]Total 2027 - 2029'!Q89-'[9]Plana 2027 - 2029'!Q89</f>
        <v>10336.466490202594</v>
      </c>
      <c r="R89" s="56">
        <f>'[9]Total 2027 - 2029'!R89-'[9]Plana 2027 - 2029'!R89</f>
        <v>11952.988830957947</v>
      </c>
      <c r="S89" s="56">
        <f>'[9]Total 2027 - 2029'!S89-'[9]Plana 2027 - 2029'!S89</f>
        <v>11492.083409266703</v>
      </c>
      <c r="T89" s="56">
        <f>'[9]Total 2027 - 2029'!T89-'[9]Plana 2027 - 2029'!T89</f>
        <v>10402.417282507973</v>
      </c>
      <c r="U89" s="56">
        <f>'[9]Total 2027 - 2029'!U89-'[9]Plana 2027 - 2029'!U89</f>
        <v>10120.891447680584</v>
      </c>
      <c r="V89" s="56">
        <f>'[9]Total 2027 - 2029'!V89-'[9]Plana 2027 - 2029'!V89</f>
        <v>14427.392871292464</v>
      </c>
      <c r="W89" s="56">
        <f>'[9]Total 2027 - 2029'!W89-'[9]Plana 2027 - 2029'!W89</f>
        <v>15383.213693923652</v>
      </c>
      <c r="X89" s="56">
        <f>'[9]Total 2027 - 2029'!X89-'[9]Plana 2027 - 2029'!X89</f>
        <v>14337.659359426234</v>
      </c>
      <c r="Y89" s="56">
        <f>'[9]Total 2027 - 2029'!Y89-'[9]Plana 2027 - 2029'!Y89</f>
        <v>12255.235356080866</v>
      </c>
      <c r="Z89" s="56">
        <f>'[9]Total 2027 - 2029'!Z89-'[9]Plana 2027 - 2029'!Z89</f>
        <v>8942.4463844203055</v>
      </c>
      <c r="AA89" s="56">
        <f>'[9]Total 2027 - 2029'!AA89-'[9]Plana 2027 - 2029'!AA89</f>
        <v>5051.1762565359986</v>
      </c>
      <c r="AB89" s="57">
        <f t="shared" si="2"/>
        <v>1090511.6993470052</v>
      </c>
      <c r="AC89" s="64"/>
    </row>
    <row r="90" spans="1:29" x14ac:dyDescent="0.25">
      <c r="A90" s="53">
        <v>47270</v>
      </c>
      <c r="B90" s="54" t="s">
        <v>16</v>
      </c>
      <c r="C90" s="55">
        <v>19</v>
      </c>
      <c r="D90" s="56">
        <f>'[9]Total 2027 - 2029'!D90-'[9]Plana 2027 - 2029'!D90</f>
        <v>3665.1513323131439</v>
      </c>
      <c r="E90" s="56">
        <f>'[9]Total 2027 - 2029'!E90-'[9]Plana 2027 - 2029'!E90</f>
        <v>2456.2404952795332</v>
      </c>
      <c r="F90" s="56">
        <f>'[9]Total 2027 - 2029'!F90-'[9]Plana 2027 - 2029'!F90</f>
        <v>1433.3802940031292</v>
      </c>
      <c r="G90" s="56">
        <f>'[9]Total 2027 - 2029'!G90-'[9]Plana 2027 - 2029'!G90</f>
        <v>715.02597335694372</v>
      </c>
      <c r="H90" s="56">
        <f>'[9]Total 2027 - 2029'!H90-'[9]Plana 2027 - 2029'!H90</f>
        <v>604.67280961335382</v>
      </c>
      <c r="I90" s="56">
        <f>'[9]Total 2027 - 2029'!I90-'[9]Plana 2027 - 2029'!I90</f>
        <v>0</v>
      </c>
      <c r="J90" s="56">
        <f>'[9]Total 2027 - 2029'!J90-'[9]Plana 2027 - 2029'!J90</f>
        <v>413.14289483127868</v>
      </c>
      <c r="K90" s="56">
        <f>'[9]Total 2027 - 2029'!K90-'[9]Plana 2027 - 2029'!K90</f>
        <v>2974.0538752484445</v>
      </c>
      <c r="L90" s="56">
        <f>'[9]Total 2027 - 2029'!L90-'[9]Plana 2027 - 2029'!L90</f>
        <v>5222.8663588932304</v>
      </c>
      <c r="M90" s="56">
        <f>'[9]Total 2027 - 2029'!M90-'[9]Plana 2027 - 2029'!M90</f>
        <v>6703.048590882021</v>
      </c>
      <c r="N90" s="56">
        <f>'[9]Total 2027 - 2029'!N90-'[9]Plana 2027 - 2029'!N90</f>
        <v>8198.1568386436902</v>
      </c>
      <c r="O90" s="56">
        <f>'[9]Total 2027 - 2029'!O90-'[9]Plana 2027 - 2029'!O90</f>
        <v>9459.2562301170274</v>
      </c>
      <c r="P90" s="56">
        <f>'[9]Total 2027 - 2029'!P90-'[9]Plana 2027 - 2029'!P90</f>
        <v>7968.1388298069196</v>
      </c>
      <c r="Q90" s="56">
        <f>'[9]Total 2027 - 2029'!Q90-'[9]Plana 2027 - 2029'!Q90</f>
        <v>9289.9408599957842</v>
      </c>
      <c r="R90" s="56">
        <f>'[9]Total 2027 - 2029'!R90-'[9]Plana 2027 - 2029'!R90</f>
        <v>10738.97363195133</v>
      </c>
      <c r="S90" s="56">
        <f>'[9]Total 2027 - 2029'!S90-'[9]Plana 2027 - 2029'!S90</f>
        <v>10138.067485618592</v>
      </c>
      <c r="T90" s="56">
        <f>'[9]Total 2027 - 2029'!T90-'[9]Plana 2027 - 2029'!T90</f>
        <v>9270.5018570608572</v>
      </c>
      <c r="U90" s="56">
        <f>'[9]Total 2027 - 2029'!U90-'[9]Plana 2027 - 2029'!U90</f>
        <v>9365.0576339738309</v>
      </c>
      <c r="V90" s="56">
        <f>'[9]Total 2027 - 2029'!V90-'[9]Plana 2027 - 2029'!V90</f>
        <v>13351.56031042012</v>
      </c>
      <c r="W90" s="56">
        <f>'[9]Total 2027 - 2029'!W90-'[9]Plana 2027 - 2029'!W90</f>
        <v>14794.365500591224</v>
      </c>
      <c r="X90" s="56">
        <f>'[9]Total 2027 - 2029'!X90-'[9]Plana 2027 - 2029'!X90</f>
        <v>13517.212433616483</v>
      </c>
      <c r="Y90" s="56">
        <f>'[9]Total 2027 - 2029'!Y90-'[9]Plana 2027 - 2029'!Y90</f>
        <v>12070.959709742574</v>
      </c>
      <c r="Z90" s="56">
        <f>'[9]Total 2027 - 2029'!Z90-'[9]Plana 2027 - 2029'!Z90</f>
        <v>9197.1586060108111</v>
      </c>
      <c r="AA90" s="56">
        <f>'[9]Total 2027 - 2029'!AA90-'[9]Plana 2027 - 2029'!AA90</f>
        <v>6682.0065596273835</v>
      </c>
      <c r="AB90" s="57">
        <f t="shared" si="2"/>
        <v>3196349.8431203561</v>
      </c>
      <c r="AC90" s="62">
        <f>SUM(AB90:AB92)</f>
        <v>5011974.3060221169</v>
      </c>
    </row>
    <row r="91" spans="1:29" x14ac:dyDescent="0.25">
      <c r="A91" s="58"/>
      <c r="B91" s="59" t="s">
        <v>17</v>
      </c>
      <c r="C91" s="55">
        <v>5</v>
      </c>
      <c r="D91" s="56">
        <f>'[9]Total 2027 - 2029'!D91-'[9]Plana 2027 - 2029'!D91</f>
        <v>3589.437988842159</v>
      </c>
      <c r="E91" s="56">
        <f>'[9]Total 2027 - 2029'!E91-'[9]Plana 2027 - 2029'!E91</f>
        <v>2373.4326518587623</v>
      </c>
      <c r="F91" s="56">
        <f>'[9]Total 2027 - 2029'!F91-'[9]Plana 2027 - 2029'!F91</f>
        <v>1361.0729318460599</v>
      </c>
      <c r="G91" s="56">
        <f>'[9]Total 2027 - 2029'!G91-'[9]Plana 2027 - 2029'!G91</f>
        <v>645.33304424848393</v>
      </c>
      <c r="H91" s="56">
        <f>'[9]Total 2027 - 2029'!H91-'[9]Plana 2027 - 2029'!H91</f>
        <v>540.8769561959798</v>
      </c>
      <c r="I91" s="56">
        <f>'[9]Total 2027 - 2029'!I91-'[9]Plana 2027 - 2029'!I91</f>
        <v>0</v>
      </c>
      <c r="J91" s="56">
        <f>'[9]Total 2027 - 2029'!J91-'[9]Plana 2027 - 2029'!J91</f>
        <v>414.11849493587579</v>
      </c>
      <c r="K91" s="56">
        <f>'[9]Total 2027 - 2029'!K91-'[9]Plana 2027 - 2029'!K91</f>
        <v>2998.197341217583</v>
      </c>
      <c r="L91" s="56">
        <f>'[9]Total 2027 - 2029'!L91-'[9]Plana 2027 - 2029'!L91</f>
        <v>5252.37238990265</v>
      </c>
      <c r="M91" s="56">
        <f>'[9]Total 2027 - 2029'!M91-'[9]Plana 2027 - 2029'!M91</f>
        <v>6688.596469285374</v>
      </c>
      <c r="N91" s="56">
        <f>'[9]Total 2027 - 2029'!N91-'[9]Plana 2027 - 2029'!N91</f>
        <v>8211.3708284554468</v>
      </c>
      <c r="O91" s="56">
        <f>'[9]Total 2027 - 2029'!O91-'[9]Plana 2027 - 2029'!O91</f>
        <v>9445.1003730481443</v>
      </c>
      <c r="P91" s="56">
        <f>'[9]Total 2027 - 2029'!P91-'[9]Plana 2027 - 2029'!P91</f>
        <v>7844.7640700792163</v>
      </c>
      <c r="Q91" s="56">
        <f>'[9]Total 2027 - 2029'!Q91-'[9]Plana 2027 - 2029'!Q91</f>
        <v>9172.605851329974</v>
      </c>
      <c r="R91" s="56">
        <f>'[9]Total 2027 - 2029'!R91-'[9]Plana 2027 - 2029'!R91</f>
        <v>10688.331487826459</v>
      </c>
      <c r="S91" s="56">
        <f>'[9]Total 2027 - 2029'!S91-'[9]Plana 2027 - 2029'!S91</f>
        <v>10136.321226372844</v>
      </c>
      <c r="T91" s="56">
        <f>'[9]Total 2027 - 2029'!T91-'[9]Plana 2027 - 2029'!T91</f>
        <v>9282.3623808732755</v>
      </c>
      <c r="U91" s="56">
        <f>'[9]Total 2027 - 2029'!U91-'[9]Plana 2027 - 2029'!U91</f>
        <v>9334.3257520829557</v>
      </c>
      <c r="V91" s="56">
        <f>'[9]Total 2027 - 2029'!V91-'[9]Plana 2027 - 2029'!V91</f>
        <v>13196.090022298436</v>
      </c>
      <c r="W91" s="56">
        <f>'[9]Total 2027 - 2029'!W91-'[9]Plana 2027 - 2029'!W91</f>
        <v>14599.275654913528</v>
      </c>
      <c r="X91" s="56">
        <f>'[9]Total 2027 - 2029'!X91-'[9]Plana 2027 - 2029'!X91</f>
        <v>13311.579274660975</v>
      </c>
      <c r="Y91" s="56">
        <f>'[9]Total 2027 - 2029'!Y91-'[9]Plana 2027 - 2029'!Y91</f>
        <v>11852.422864490743</v>
      </c>
      <c r="Z91" s="56">
        <f>'[9]Total 2027 - 2029'!Z91-'[9]Plana 2027 - 2029'!Z91</f>
        <v>8980.2154624708837</v>
      </c>
      <c r="AA91" s="56">
        <f>'[9]Total 2027 - 2029'!AA91-'[9]Plana 2027 - 2029'!AA91</f>
        <v>6491.6335020386796</v>
      </c>
      <c r="AB91" s="57">
        <f t="shared" si="2"/>
        <v>832049.1850963725</v>
      </c>
      <c r="AC91" s="63"/>
    </row>
    <row r="92" spans="1:29" x14ac:dyDescent="0.25">
      <c r="A92" s="58"/>
      <c r="B92" s="59" t="s">
        <v>18</v>
      </c>
      <c r="C92" s="55">
        <v>6</v>
      </c>
      <c r="D92" s="56">
        <f>'[9]Total 2027 - 2029'!D92-'[9]Plana 2027 - 2029'!D92</f>
        <v>3402.0245220189699</v>
      </c>
      <c r="E92" s="56">
        <f>'[9]Total 2027 - 2029'!E92-'[9]Plana 2027 - 2029'!E92</f>
        <v>2221.8718106931101</v>
      </c>
      <c r="F92" s="56">
        <f>'[9]Total 2027 - 2029'!F92-'[9]Plana 2027 - 2029'!F92</f>
        <v>1238.5865086946451</v>
      </c>
      <c r="G92" s="56">
        <f>'[9]Total 2027 - 2029'!G92-'[9]Plana 2027 - 2029'!G92</f>
        <v>560.09563287119272</v>
      </c>
      <c r="H92" s="56">
        <f>'[9]Total 2027 - 2029'!H92-'[9]Plana 2027 - 2029'!H92</f>
        <v>494.68081619211262</v>
      </c>
      <c r="I92" s="56">
        <f>'[9]Total 2027 - 2029'!I92-'[9]Plana 2027 - 2029'!I92</f>
        <v>0</v>
      </c>
      <c r="J92" s="56">
        <f>'[9]Total 2027 - 2029'!J92-'[9]Plana 2027 - 2029'!J92</f>
        <v>441.19361704587209</v>
      </c>
      <c r="K92" s="56">
        <f>'[9]Total 2027 - 2029'!K92-'[9]Plana 2027 - 2029'!K92</f>
        <v>3037.4990791196124</v>
      </c>
      <c r="L92" s="56">
        <f>'[9]Total 2027 - 2029'!L92-'[9]Plana 2027 - 2029'!L92</f>
        <v>5319.0165202212502</v>
      </c>
      <c r="M92" s="56">
        <f>'[9]Total 2027 - 2029'!M92-'[9]Plana 2027 - 2029'!M92</f>
        <v>6719.2027246422185</v>
      </c>
      <c r="N92" s="56">
        <f>'[9]Total 2027 - 2029'!N92-'[9]Plana 2027 - 2029'!N92</f>
        <v>8162.2869283863001</v>
      </c>
      <c r="O92" s="56">
        <f>'[9]Total 2027 - 2029'!O92-'[9]Plana 2027 - 2029'!O92</f>
        <v>9346.5336190729504</v>
      </c>
      <c r="P92" s="56">
        <f>'[9]Total 2027 - 2029'!P92-'[9]Plana 2027 - 2029'!P92</f>
        <v>7695.9875393710645</v>
      </c>
      <c r="Q92" s="56">
        <f>'[9]Total 2027 - 2029'!Q92-'[9]Plana 2027 - 2029'!Q92</f>
        <v>8993.469123601888</v>
      </c>
      <c r="R92" s="56">
        <f>'[9]Total 2027 - 2029'!R92-'[9]Plana 2027 - 2029'!R92</f>
        <v>10521.260405794288</v>
      </c>
      <c r="S92" s="56">
        <f>'[9]Total 2027 - 2029'!S92-'[9]Plana 2027 - 2029'!S92</f>
        <v>10020.037944307463</v>
      </c>
      <c r="T92" s="56">
        <f>'[9]Total 2027 - 2029'!T92-'[9]Plana 2027 - 2029'!T92</f>
        <v>9232.8847973155935</v>
      </c>
      <c r="U92" s="56">
        <f>'[9]Total 2027 - 2029'!U92-'[9]Plana 2027 - 2029'!U92</f>
        <v>9352.3890008211529</v>
      </c>
      <c r="V92" s="56">
        <f>'[9]Total 2027 - 2029'!V92-'[9]Plana 2027 - 2029'!V92</f>
        <v>13136.009040451903</v>
      </c>
      <c r="W92" s="56">
        <f>'[9]Total 2027 - 2029'!W92-'[9]Plana 2027 - 2029'!W92</f>
        <v>14392.128282531077</v>
      </c>
      <c r="X92" s="56">
        <f>'[9]Total 2027 - 2029'!X92-'[9]Plana 2027 - 2029'!X92</f>
        <v>13033.802307479578</v>
      </c>
      <c r="Y92" s="56">
        <f>'[9]Total 2027 - 2029'!Y92-'[9]Plana 2027 - 2029'!Y92</f>
        <v>11572.599103009561</v>
      </c>
      <c r="Z92" s="56">
        <f>'[9]Total 2027 - 2029'!Z92-'[9]Plana 2027 - 2029'!Z92</f>
        <v>8734.1365952652486</v>
      </c>
      <c r="AA92" s="56">
        <f>'[9]Total 2027 - 2029'!AA92-'[9]Plana 2027 - 2029'!AA92</f>
        <v>6301.517048657679</v>
      </c>
      <c r="AB92" s="57">
        <f t="shared" si="2"/>
        <v>983575.27780538821</v>
      </c>
      <c r="AC92" s="64"/>
    </row>
    <row r="93" spans="1:29" x14ac:dyDescent="0.25">
      <c r="A93" s="53">
        <v>47300</v>
      </c>
      <c r="B93" s="54" t="s">
        <v>16</v>
      </c>
      <c r="C93" s="55">
        <v>20</v>
      </c>
      <c r="D93" s="56">
        <f>'[9]Total 2027 - 2029'!D93-'[9]Plana 2027 - 2029'!D93</f>
        <v>3778.5236970140904</v>
      </c>
      <c r="E93" s="56">
        <f>'[9]Total 2027 - 2029'!E93-'[9]Plana 2027 - 2029'!E93</f>
        <v>2373.9935225375648</v>
      </c>
      <c r="F93" s="56">
        <f>'[9]Total 2027 - 2029'!F93-'[9]Plana 2027 - 2029'!F93</f>
        <v>1559.9663901224339</v>
      </c>
      <c r="G93" s="56">
        <f>'[9]Total 2027 - 2029'!G93-'[9]Plana 2027 - 2029'!G93</f>
        <v>671.90007808461269</v>
      </c>
      <c r="H93" s="56">
        <f>'[9]Total 2027 - 2029'!H93-'[9]Plana 2027 - 2029'!H93</f>
        <v>445.74973187063188</v>
      </c>
      <c r="I93" s="56">
        <f>'[9]Total 2027 - 2029'!I93-'[9]Plana 2027 - 2029'!I93</f>
        <v>0</v>
      </c>
      <c r="J93" s="56">
        <f>'[9]Total 2027 - 2029'!J93-'[9]Plana 2027 - 2029'!J93</f>
        <v>341.65908976967512</v>
      </c>
      <c r="K93" s="56">
        <f>'[9]Total 2027 - 2029'!K93-'[9]Plana 2027 - 2029'!K93</f>
        <v>2247.9876100912479</v>
      </c>
      <c r="L93" s="56">
        <f>'[9]Total 2027 - 2029'!L93-'[9]Plana 2027 - 2029'!L93</f>
        <v>4742.3109356753557</v>
      </c>
      <c r="M93" s="56">
        <f>'[9]Total 2027 - 2029'!M93-'[9]Plana 2027 - 2029'!M93</f>
        <v>6208.3148530323197</v>
      </c>
      <c r="N93" s="56">
        <f>'[9]Total 2027 - 2029'!N93-'[9]Plana 2027 - 2029'!N93</f>
        <v>7797.5349330141471</v>
      </c>
      <c r="O93" s="56">
        <f>'[9]Total 2027 - 2029'!O93-'[9]Plana 2027 - 2029'!O93</f>
        <v>9244.236072260228</v>
      </c>
      <c r="P93" s="56">
        <f>'[9]Total 2027 - 2029'!P93-'[9]Plana 2027 - 2029'!P93</f>
        <v>7665.6906202068458</v>
      </c>
      <c r="Q93" s="56">
        <f>'[9]Total 2027 - 2029'!Q93-'[9]Plana 2027 - 2029'!Q93</f>
        <v>9135.7849844770462</v>
      </c>
      <c r="R93" s="56">
        <f>'[9]Total 2027 - 2029'!R93-'[9]Plana 2027 - 2029'!R93</f>
        <v>10568.417233607543</v>
      </c>
      <c r="S93" s="56">
        <f>'[9]Total 2027 - 2029'!S93-'[9]Plana 2027 - 2029'!S93</f>
        <v>10209.958459337664</v>
      </c>
      <c r="T93" s="56">
        <f>'[9]Total 2027 - 2029'!T93-'[9]Plana 2027 - 2029'!T93</f>
        <v>8937.7806931462146</v>
      </c>
      <c r="U93" s="56">
        <f>'[9]Total 2027 - 2029'!U93-'[9]Plana 2027 - 2029'!U93</f>
        <v>8681.2863848568959</v>
      </c>
      <c r="V93" s="56">
        <f>'[9]Total 2027 - 2029'!V93-'[9]Plana 2027 - 2029'!V93</f>
        <v>12985.613670476669</v>
      </c>
      <c r="W93" s="56">
        <f>'[9]Total 2027 - 2029'!W93-'[9]Plana 2027 - 2029'!W93</f>
        <v>15268.434222282031</v>
      </c>
      <c r="X93" s="56">
        <f>'[9]Total 2027 - 2029'!X93-'[9]Plana 2027 - 2029'!X93</f>
        <v>14194.062190650377</v>
      </c>
      <c r="Y93" s="56">
        <f>'[9]Total 2027 - 2029'!Y93-'[9]Plana 2027 - 2029'!Y93</f>
        <v>12389.345441205503</v>
      </c>
      <c r="Z93" s="56">
        <f>'[9]Total 2027 - 2029'!Z93-'[9]Plana 2027 - 2029'!Z93</f>
        <v>9523.7472071035882</v>
      </c>
      <c r="AA93" s="56">
        <f>'[9]Total 2027 - 2029'!AA93-'[9]Plana 2027 - 2029'!AA93</f>
        <v>6758.8785430160351</v>
      </c>
      <c r="AB93" s="57">
        <f t="shared" si="2"/>
        <v>3314623.5312767746</v>
      </c>
      <c r="AC93" s="62">
        <f>SUM(AB93:AB95)</f>
        <v>5091961.8007940203</v>
      </c>
    </row>
    <row r="94" spans="1:29" x14ac:dyDescent="0.25">
      <c r="A94" s="58"/>
      <c r="B94" s="59" t="s">
        <v>17</v>
      </c>
      <c r="C94" s="55">
        <v>4</v>
      </c>
      <c r="D94" s="56">
        <f>'[9]Total 2027 - 2029'!D94-'[9]Plana 2027 - 2029'!D94</f>
        <v>3419.037806702423</v>
      </c>
      <c r="E94" s="56">
        <f>'[9]Total 2027 - 2029'!E94-'[9]Plana 2027 - 2029'!E94</f>
        <v>2093.8843968060773</v>
      </c>
      <c r="F94" s="56">
        <f>'[9]Total 2027 - 2029'!F94-'[9]Plana 2027 - 2029'!F94</f>
        <v>1318.2670041385863</v>
      </c>
      <c r="G94" s="56">
        <f>'[9]Total 2027 - 2029'!G94-'[9]Plana 2027 - 2029'!G94</f>
        <v>489.82915738257543</v>
      </c>
      <c r="H94" s="56">
        <f>'[9]Total 2027 - 2029'!H94-'[9]Plana 2027 - 2029'!H94</f>
        <v>310.78721343511097</v>
      </c>
      <c r="I94" s="56">
        <f>'[9]Total 2027 - 2029'!I94-'[9]Plana 2027 - 2029'!I94</f>
        <v>0</v>
      </c>
      <c r="J94" s="56">
        <f>'[9]Total 2027 - 2029'!J94-'[9]Plana 2027 - 2029'!J94</f>
        <v>337.55366540007526</v>
      </c>
      <c r="K94" s="56">
        <f>'[9]Total 2027 - 2029'!K94-'[9]Plana 2027 - 2029'!K94</f>
        <v>2188.1698728649608</v>
      </c>
      <c r="L94" s="56">
        <f>'[9]Total 2027 - 2029'!L94-'[9]Plana 2027 - 2029'!L94</f>
        <v>4635.2927803848579</v>
      </c>
      <c r="M94" s="56">
        <f>'[9]Total 2027 - 2029'!M94-'[9]Plana 2027 - 2029'!M94</f>
        <v>6022.7339272417194</v>
      </c>
      <c r="N94" s="56">
        <f>'[9]Total 2027 - 2029'!N94-'[9]Plana 2027 - 2029'!N94</f>
        <v>7546.746576220914</v>
      </c>
      <c r="O94" s="56">
        <f>'[9]Total 2027 - 2029'!O94-'[9]Plana 2027 - 2029'!O94</f>
        <v>8922.5798892311795</v>
      </c>
      <c r="P94" s="56">
        <f>'[9]Total 2027 - 2029'!P94-'[9]Plana 2027 - 2029'!P94</f>
        <v>7288.5212357969704</v>
      </c>
      <c r="Q94" s="56">
        <f>'[9]Total 2027 - 2029'!Q94-'[9]Plana 2027 - 2029'!Q94</f>
        <v>8738.9258853179017</v>
      </c>
      <c r="R94" s="56">
        <f>'[9]Total 2027 - 2029'!R94-'[9]Plana 2027 - 2029'!R94</f>
        <v>10250.678797970282</v>
      </c>
      <c r="S94" s="56">
        <f>'[9]Total 2027 - 2029'!S94-'[9]Plana 2027 - 2029'!S94</f>
        <v>10011.405101064796</v>
      </c>
      <c r="T94" s="56">
        <f>'[9]Total 2027 - 2029'!T94-'[9]Plana 2027 - 2029'!T94</f>
        <v>8811.0491757269338</v>
      </c>
      <c r="U94" s="56">
        <f>'[9]Total 2027 - 2029'!U94-'[9]Plana 2027 - 2029'!U94</f>
        <v>8523.5059864061659</v>
      </c>
      <c r="V94" s="56">
        <f>'[9]Total 2027 - 2029'!V94-'[9]Plana 2027 - 2029'!V94</f>
        <v>12544.869103436144</v>
      </c>
      <c r="W94" s="56">
        <f>'[9]Total 2027 - 2029'!W94-'[9]Plana 2027 - 2029'!W94</f>
        <v>14755.960610766419</v>
      </c>
      <c r="X94" s="56">
        <f>'[9]Total 2027 - 2029'!X94-'[9]Plana 2027 - 2029'!X94</f>
        <v>13737.488550106929</v>
      </c>
      <c r="Y94" s="56">
        <f>'[9]Total 2027 - 2029'!Y94-'[9]Plana 2027 - 2029'!Y94</f>
        <v>11988.580022734823</v>
      </c>
      <c r="Z94" s="56">
        <f>'[9]Total 2027 - 2029'!Z94-'[9]Plana 2027 - 2029'!Z94</f>
        <v>9177.5535152664452</v>
      </c>
      <c r="AA94" s="56">
        <f>'[9]Total 2027 - 2029'!AA94-'[9]Plana 2027 - 2029'!AA94</f>
        <v>6501.5650065633345</v>
      </c>
      <c r="AB94" s="57">
        <f t="shared" si="2"/>
        <v>638459.9411238624</v>
      </c>
      <c r="AC94" s="63"/>
    </row>
    <row r="95" spans="1:29" x14ac:dyDescent="0.25">
      <c r="A95" s="58"/>
      <c r="B95" s="59" t="s">
        <v>18</v>
      </c>
      <c r="C95" s="55">
        <v>7</v>
      </c>
      <c r="D95" s="56">
        <f>'[9]Total 2027 - 2029'!D95-'[9]Plana 2027 - 2029'!D95</f>
        <v>3501.4735176143931</v>
      </c>
      <c r="E95" s="56">
        <f>'[9]Total 2027 - 2029'!E95-'[9]Plana 2027 - 2029'!E95</f>
        <v>2147.6587597611997</v>
      </c>
      <c r="F95" s="56">
        <f>'[9]Total 2027 - 2029'!F95-'[9]Plana 2027 - 2029'!F95</f>
        <v>1363.5153100365769</v>
      </c>
      <c r="G95" s="56">
        <f>'[9]Total 2027 - 2029'!G95-'[9]Plana 2027 - 2029'!G95</f>
        <v>511.26040820168237</v>
      </c>
      <c r="H95" s="56">
        <f>'[9]Total 2027 - 2029'!H95-'[9]Plana 2027 - 2029'!H95</f>
        <v>323.18084123153676</v>
      </c>
      <c r="I95" s="56">
        <f>'[9]Total 2027 - 2029'!I95-'[9]Plana 2027 - 2029'!I95</f>
        <v>0</v>
      </c>
      <c r="J95" s="56">
        <f>'[9]Total 2027 - 2029'!J95-'[9]Plana 2027 - 2029'!J95</f>
        <v>358.16715882256722</v>
      </c>
      <c r="K95" s="56">
        <f>'[9]Total 2027 - 2029'!K95-'[9]Plana 2027 - 2029'!K95</f>
        <v>2281.510645153041</v>
      </c>
      <c r="L95" s="56">
        <f>'[9]Total 2027 - 2029'!L95-'[9]Plana 2027 - 2029'!L95</f>
        <v>4812.6555346913919</v>
      </c>
      <c r="M95" s="56">
        <f>'[9]Total 2027 - 2029'!M95-'[9]Plana 2027 - 2029'!M95</f>
        <v>6242.000061939063</v>
      </c>
      <c r="N95" s="56">
        <f>'[9]Total 2027 - 2029'!N95-'[9]Plana 2027 - 2029'!N95</f>
        <v>7815.2944947848464</v>
      </c>
      <c r="O95" s="56">
        <f>'[9]Total 2027 - 2029'!O95-'[9]Plana 2027 - 2029'!O95</f>
        <v>9198.4294575004296</v>
      </c>
      <c r="P95" s="56">
        <f>'[9]Total 2027 - 2029'!P95-'[9]Plana 2027 - 2029'!P95</f>
        <v>7485.3465865996495</v>
      </c>
      <c r="Q95" s="56">
        <f>'[9]Total 2027 - 2029'!Q95-'[9]Plana 2027 - 2029'!Q95</f>
        <v>8934.0370348946253</v>
      </c>
      <c r="R95" s="56">
        <f>'[9]Total 2027 - 2029'!R95-'[9]Plana 2027 - 2029'!R95</f>
        <v>10477.699069988366</v>
      </c>
      <c r="S95" s="56">
        <f>'[9]Total 2027 - 2029'!S95-'[9]Plana 2027 - 2029'!S95</f>
        <v>10174.537785109316</v>
      </c>
      <c r="T95" s="56">
        <f>'[9]Total 2027 - 2029'!T95-'[9]Plana 2027 - 2029'!T95</f>
        <v>8942.4251866888062</v>
      </c>
      <c r="U95" s="56">
        <f>'[9]Total 2027 - 2029'!U95-'[9]Plana 2027 - 2029'!U95</f>
        <v>8667.6197824867286</v>
      </c>
      <c r="V95" s="56">
        <f>'[9]Total 2027 - 2029'!V95-'[9]Plana 2027 - 2029'!V95</f>
        <v>12762.390718780696</v>
      </c>
      <c r="W95" s="56">
        <f>'[9]Total 2027 - 2029'!W95-'[9]Plana 2027 - 2029'!W95</f>
        <v>14896.801633447141</v>
      </c>
      <c r="X95" s="56">
        <f>'[9]Total 2027 - 2029'!X95-'[9]Plana 2027 - 2029'!X95</f>
        <v>13835.33596001351</v>
      </c>
      <c r="Y95" s="56">
        <f>'[9]Total 2027 - 2029'!Y95-'[9]Plana 2027 - 2029'!Y95</f>
        <v>12106.356514323883</v>
      </c>
      <c r="Z95" s="56">
        <f>'[9]Total 2027 - 2029'!Z95-'[9]Plana 2027 - 2029'!Z95</f>
        <v>9291.3482715771916</v>
      </c>
      <c r="AA95" s="56">
        <f>'[9]Total 2027 - 2029'!AA95-'[9]Plana 2027 - 2029'!AA95</f>
        <v>6567.8593225510085</v>
      </c>
      <c r="AB95" s="57">
        <f t="shared" si="2"/>
        <v>1138878.3283933834</v>
      </c>
      <c r="AC95" s="64"/>
    </row>
    <row r="96" spans="1:29" x14ac:dyDescent="0.25">
      <c r="A96" s="53">
        <v>47331</v>
      </c>
      <c r="B96" s="54" t="s">
        <v>16</v>
      </c>
      <c r="C96" s="55">
        <v>21</v>
      </c>
      <c r="D96" s="56">
        <f>'[9]Total 2027 - 2029'!D96-'[9]Plana 2027 - 2029'!D96</f>
        <v>4165.6890505955289</v>
      </c>
      <c r="E96" s="56">
        <f>'[9]Total 2027 - 2029'!E96-'[9]Plana 2027 - 2029'!E96</f>
        <v>2810.6274440152283</v>
      </c>
      <c r="F96" s="56">
        <f>'[9]Total 2027 - 2029'!F96-'[9]Plana 2027 - 2029'!F96</f>
        <v>1651.3369460110534</v>
      </c>
      <c r="G96" s="56">
        <f>'[9]Total 2027 - 2029'!G96-'[9]Plana 2027 - 2029'!G96</f>
        <v>617.36070268220828</v>
      </c>
      <c r="H96" s="56">
        <f>'[9]Total 2027 - 2029'!H96-'[9]Plana 2027 - 2029'!H96</f>
        <v>436.90106994368216</v>
      </c>
      <c r="I96" s="56">
        <f>'[9]Total 2027 - 2029'!I96-'[9]Plana 2027 - 2029'!I96</f>
        <v>15.40337903688669</v>
      </c>
      <c r="J96" s="56">
        <f>'[9]Total 2027 - 2029'!J96-'[9]Plana 2027 - 2029'!J96</f>
        <v>0</v>
      </c>
      <c r="K96" s="56">
        <f>'[9]Total 2027 - 2029'!K96-'[9]Plana 2027 - 2029'!K96</f>
        <v>3012.9632561168146</v>
      </c>
      <c r="L96" s="56">
        <f>'[9]Total 2027 - 2029'!L96-'[9]Plana 2027 - 2029'!L96</f>
        <v>6261.7123106183371</v>
      </c>
      <c r="M96" s="56">
        <f>'[9]Total 2027 - 2029'!M96-'[9]Plana 2027 - 2029'!M96</f>
        <v>8113.8807408243392</v>
      </c>
      <c r="N96" s="56">
        <f>'[9]Total 2027 - 2029'!N96-'[9]Plana 2027 - 2029'!N96</f>
        <v>10312.38259448276</v>
      </c>
      <c r="O96" s="56">
        <f>'[9]Total 2027 - 2029'!O96-'[9]Plana 2027 - 2029'!O96</f>
        <v>11854.804929047123</v>
      </c>
      <c r="P96" s="56">
        <f>'[9]Total 2027 - 2029'!P96-'[9]Plana 2027 - 2029'!P96</f>
        <v>9761.3484253751321</v>
      </c>
      <c r="Q96" s="56">
        <f>'[9]Total 2027 - 2029'!Q96-'[9]Plana 2027 - 2029'!Q96</f>
        <v>11726.384127118012</v>
      </c>
      <c r="R96" s="56">
        <f>'[9]Total 2027 - 2029'!R96-'[9]Plana 2027 - 2029'!R96</f>
        <v>13430.474027715421</v>
      </c>
      <c r="S96" s="56">
        <f>'[9]Total 2027 - 2029'!S96-'[9]Plana 2027 - 2029'!S96</f>
        <v>12877.412446661669</v>
      </c>
      <c r="T96" s="56">
        <f>'[9]Total 2027 - 2029'!T96-'[9]Plana 2027 - 2029'!T96</f>
        <v>11516.156859162091</v>
      </c>
      <c r="U96" s="56">
        <f>'[9]Total 2027 - 2029'!U96-'[9]Plana 2027 - 2029'!U96</f>
        <v>11593.391764291622</v>
      </c>
      <c r="V96" s="56">
        <f>'[9]Total 2027 - 2029'!V96-'[9]Plana 2027 - 2029'!V96</f>
        <v>15642.841612170118</v>
      </c>
      <c r="W96" s="56">
        <f>'[9]Total 2027 - 2029'!W96-'[9]Plana 2027 - 2029'!W96</f>
        <v>17277.169744955754</v>
      </c>
      <c r="X96" s="56">
        <f>'[9]Total 2027 - 2029'!X96-'[9]Plana 2027 - 2029'!X96</f>
        <v>16310.654783885095</v>
      </c>
      <c r="Y96" s="56">
        <f>'[9]Total 2027 - 2029'!Y96-'[9]Plana 2027 - 2029'!Y96</f>
        <v>14590.656491818261</v>
      </c>
      <c r="Z96" s="56">
        <f>'[9]Total 2027 - 2029'!Z96-'[9]Plana 2027 - 2029'!Z96</f>
        <v>11471.904273958547</v>
      </c>
      <c r="AA96" s="56">
        <f>'[9]Total 2027 - 2029'!AA96-'[9]Plana 2027 - 2029'!AA96</f>
        <v>8269.2212670295721</v>
      </c>
      <c r="AB96" s="57">
        <f t="shared" si="2"/>
        <v>4278134.2431978201</v>
      </c>
      <c r="AC96" s="62">
        <f>SUM(AB96:AB98)</f>
        <v>6206760.0643696301</v>
      </c>
    </row>
    <row r="97" spans="1:29" x14ac:dyDescent="0.25">
      <c r="A97" s="58"/>
      <c r="B97" s="59" t="s">
        <v>17</v>
      </c>
      <c r="C97" s="55">
        <v>4</v>
      </c>
      <c r="D97" s="56">
        <f>'[9]Total 2027 - 2029'!D97-'[9]Plana 2027 - 2029'!D97</f>
        <v>4185.4629518878119</v>
      </c>
      <c r="E97" s="56">
        <f>'[9]Total 2027 - 2029'!E97-'[9]Plana 2027 - 2029'!E97</f>
        <v>2804.1985392945207</v>
      </c>
      <c r="F97" s="56">
        <f>'[9]Total 2027 - 2029'!F97-'[9]Plana 2027 - 2029'!F97</f>
        <v>1633.5827688120971</v>
      </c>
      <c r="G97" s="56">
        <f>'[9]Total 2027 - 2029'!G97-'[9]Plana 2027 - 2029'!G97</f>
        <v>576.84325422655638</v>
      </c>
      <c r="H97" s="56">
        <f>'[9]Total 2027 - 2029'!H97-'[9]Plana 2027 - 2029'!H97</f>
        <v>398.47720146865504</v>
      </c>
      <c r="I97" s="56">
        <f>'[9]Total 2027 - 2029'!I97-'[9]Plana 2027 - 2029'!I97</f>
        <v>34.078686959088373</v>
      </c>
      <c r="J97" s="56">
        <f>'[9]Total 2027 - 2029'!J97-'[9]Plana 2027 - 2029'!J97</f>
        <v>0</v>
      </c>
      <c r="K97" s="56">
        <f>'[9]Total 2027 - 2029'!K97-'[9]Plana 2027 - 2029'!K97</f>
        <v>3082.9957399382656</v>
      </c>
      <c r="L97" s="56">
        <f>'[9]Total 2027 - 2029'!L97-'[9]Plana 2027 - 2029'!L97</f>
        <v>6384.7318267822138</v>
      </c>
      <c r="M97" s="56">
        <f>'[9]Total 2027 - 2029'!M97-'[9]Plana 2027 - 2029'!M97</f>
        <v>8262.3821347952708</v>
      </c>
      <c r="N97" s="56">
        <f>'[9]Total 2027 - 2029'!N97-'[9]Plana 2027 - 2029'!N97</f>
        <v>10477.425022322937</v>
      </c>
      <c r="O97" s="56">
        <f>'[9]Total 2027 - 2029'!O97-'[9]Plana 2027 - 2029'!O97</f>
        <v>12013.915571783686</v>
      </c>
      <c r="P97" s="56">
        <f>'[9]Total 2027 - 2029'!P97-'[9]Plana 2027 - 2029'!P97</f>
        <v>9802.9464442038534</v>
      </c>
      <c r="Q97" s="56">
        <f>'[9]Total 2027 - 2029'!Q97-'[9]Plana 2027 - 2029'!Q97</f>
        <v>11807.641508755611</v>
      </c>
      <c r="R97" s="56">
        <f>'[9]Total 2027 - 2029'!R97-'[9]Plana 2027 - 2029'!R97</f>
        <v>13561.349649072001</v>
      </c>
      <c r="S97" s="56">
        <f>'[9]Total 2027 - 2029'!S97-'[9]Plana 2027 - 2029'!S97</f>
        <v>13045.447551672814</v>
      </c>
      <c r="T97" s="56">
        <f>'[9]Total 2027 - 2029'!T97-'[9]Plana 2027 - 2029'!T97</f>
        <v>11692.46932434126</v>
      </c>
      <c r="U97" s="56">
        <f>'[9]Total 2027 - 2029'!U97-'[9]Plana 2027 - 2029'!U97</f>
        <v>11737.938265813302</v>
      </c>
      <c r="V97" s="56">
        <f>'[9]Total 2027 - 2029'!V97-'[9]Plana 2027 - 2029'!V97</f>
        <v>15849.811577106031</v>
      </c>
      <c r="W97" s="56">
        <f>'[9]Total 2027 - 2029'!W97-'[9]Plana 2027 - 2029'!W97</f>
        <v>17502.772815831042</v>
      </c>
      <c r="X97" s="56">
        <f>'[9]Total 2027 - 2029'!X97-'[9]Plana 2027 - 2029'!X97</f>
        <v>16513.898905728456</v>
      </c>
      <c r="Y97" s="56">
        <f>'[9]Total 2027 - 2029'!Y97-'[9]Plana 2027 - 2029'!Y97</f>
        <v>14747.062132911649</v>
      </c>
      <c r="Z97" s="56">
        <f>'[9]Total 2027 - 2029'!Z97-'[9]Plana 2027 - 2029'!Z97</f>
        <v>11517.846843728415</v>
      </c>
      <c r="AA97" s="56">
        <f>'[9]Total 2027 - 2029'!AA97-'[9]Plana 2027 - 2029'!AA97</f>
        <v>8239.924699754034</v>
      </c>
      <c r="AB97" s="57">
        <f t="shared" si="2"/>
        <v>823492.81366875826</v>
      </c>
      <c r="AC97" s="63"/>
    </row>
    <row r="98" spans="1:29" x14ac:dyDescent="0.25">
      <c r="A98" s="58"/>
      <c r="B98" s="59" t="s">
        <v>18</v>
      </c>
      <c r="C98" s="55">
        <v>6</v>
      </c>
      <c r="D98" s="56">
        <f>'[9]Total 2027 - 2029'!D98-'[9]Plana 2027 - 2029'!D98</f>
        <v>3633.1833444752519</v>
      </c>
      <c r="E98" s="56">
        <f>'[9]Total 2027 - 2029'!E98-'[9]Plana 2027 - 2029'!E98</f>
        <v>2412.904382478051</v>
      </c>
      <c r="F98" s="56">
        <f>'[9]Total 2027 - 2029'!F98-'[9]Plana 2027 - 2029'!F98</f>
        <v>1373.7024834084586</v>
      </c>
      <c r="G98" s="56">
        <f>'[9]Total 2027 - 2029'!G98-'[9]Plana 2027 - 2029'!G98</f>
        <v>450.6493987061931</v>
      </c>
      <c r="H98" s="56">
        <f>'[9]Total 2027 - 2029'!H98-'[9]Plana 2027 - 2029'!H98</f>
        <v>300.64129834112282</v>
      </c>
      <c r="I98" s="56">
        <f>'[9]Total 2027 - 2029'!I98-'[9]Plana 2027 - 2029'!I98</f>
        <v>8.4639249593183195</v>
      </c>
      <c r="J98" s="56">
        <f>'[9]Total 2027 - 2029'!J98-'[9]Plana 2027 - 2029'!J98</f>
        <v>0</v>
      </c>
      <c r="K98" s="56">
        <f>'[9]Total 2027 - 2029'!K98-'[9]Plana 2027 - 2029'!K98</f>
        <v>2779.7547327846805</v>
      </c>
      <c r="L98" s="56">
        <f>'[9]Total 2027 - 2029'!L98-'[9]Plana 2027 - 2029'!L98</f>
        <v>5762.1696412469628</v>
      </c>
      <c r="M98" s="56">
        <f>'[9]Total 2027 - 2029'!M98-'[9]Plana 2027 - 2029'!M98</f>
        <v>7453.9404009154605</v>
      </c>
      <c r="N98" s="56">
        <f>'[9]Total 2027 - 2029'!N98-'[9]Plana 2027 - 2029'!N98</f>
        <v>9446.6808468555701</v>
      </c>
      <c r="O98" s="56">
        <f>'[9]Total 2027 - 2029'!O98-'[9]Plana 2027 - 2029'!O98</f>
        <v>10810.862348677949</v>
      </c>
      <c r="P98" s="56">
        <f>'[9]Total 2027 - 2029'!P98-'[9]Plana 2027 - 2029'!P98</f>
        <v>8769.9016172888932</v>
      </c>
      <c r="Q98" s="56">
        <f>'[9]Total 2027 - 2029'!Q98-'[9]Plana 2027 - 2029'!Q98</f>
        <v>10594.604669332248</v>
      </c>
      <c r="R98" s="56">
        <f>'[9]Total 2027 - 2029'!R98-'[9]Plana 2027 - 2029'!R98</f>
        <v>12218.202104323858</v>
      </c>
      <c r="S98" s="56">
        <f>'[9]Total 2027 - 2029'!S98-'[9]Plana 2027 - 2029'!S98</f>
        <v>11753.15548457478</v>
      </c>
      <c r="T98" s="56">
        <f>'[9]Total 2027 - 2029'!T98-'[9]Plana 2027 - 2029'!T98</f>
        <v>10521.901990755619</v>
      </c>
      <c r="U98" s="56">
        <f>'[9]Total 2027 - 2029'!U98-'[9]Plana 2027 - 2029'!U98</f>
        <v>10653.43414221399</v>
      </c>
      <c r="V98" s="56">
        <f>'[9]Total 2027 - 2029'!V98-'[9]Plana 2027 - 2029'!V98</f>
        <v>14215.11712722144</v>
      </c>
      <c r="W98" s="56">
        <f>'[9]Total 2027 - 2029'!W98-'[9]Plana 2027 - 2029'!W98</f>
        <v>15604.883662285405</v>
      </c>
      <c r="X98" s="56">
        <f>'[9]Total 2027 - 2029'!X98-'[9]Plana 2027 - 2029'!X98</f>
        <v>14670.920342908632</v>
      </c>
      <c r="Y98" s="56">
        <f>'[9]Total 2027 - 2029'!Y98-'[9]Plana 2027 - 2029'!Y98</f>
        <v>13092.205436705795</v>
      </c>
      <c r="Z98" s="56">
        <f>'[9]Total 2027 - 2029'!Z98-'[9]Plana 2027 - 2029'!Z98</f>
        <v>10269.813964326839</v>
      </c>
      <c r="AA98" s="56">
        <f>'[9]Total 2027 - 2029'!AA98-'[9]Plana 2027 - 2029'!AA98</f>
        <v>7391.7412390554055</v>
      </c>
      <c r="AB98" s="57">
        <f t="shared" si="2"/>
        <v>1105133.0075030513</v>
      </c>
      <c r="AC98" s="64"/>
    </row>
    <row r="99" spans="1:29" x14ac:dyDescent="0.25">
      <c r="A99" s="53">
        <v>47362</v>
      </c>
      <c r="B99" s="54" t="s">
        <v>16</v>
      </c>
      <c r="C99" s="55">
        <v>20</v>
      </c>
      <c r="D99" s="56">
        <f>'[9]Total 2027 - 2029'!D99-'[9]Plana 2027 - 2029'!D99</f>
        <v>5186.4621645516836</v>
      </c>
      <c r="E99" s="56">
        <f>'[9]Total 2027 - 2029'!E99-'[9]Plana 2027 - 2029'!E99</f>
        <v>3610.0786156575687</v>
      </c>
      <c r="F99" s="56">
        <f>'[9]Total 2027 - 2029'!F99-'[9]Plana 2027 - 2029'!F99</f>
        <v>2113.9534220955829</v>
      </c>
      <c r="G99" s="56">
        <f>'[9]Total 2027 - 2029'!G99-'[9]Plana 2027 - 2029'!G99</f>
        <v>1108.7875581481185</v>
      </c>
      <c r="H99" s="56">
        <f>'[9]Total 2027 - 2029'!H99-'[9]Plana 2027 - 2029'!H99</f>
        <v>730.06393321540781</v>
      </c>
      <c r="I99" s="56">
        <f>'[9]Total 2027 - 2029'!I99-'[9]Plana 2027 - 2029'!I99</f>
        <v>107.70061182455902</v>
      </c>
      <c r="J99" s="56">
        <f>'[9]Total 2027 - 2029'!J99-'[9]Plana 2027 - 2029'!J99</f>
        <v>0</v>
      </c>
      <c r="K99" s="56">
        <f>'[9]Total 2027 - 2029'!K99-'[9]Plana 2027 - 2029'!K99</f>
        <v>3483.9066724699824</v>
      </c>
      <c r="L99" s="56">
        <f>'[9]Total 2027 - 2029'!L99-'[9]Plana 2027 - 2029'!L99</f>
        <v>7511.5194878285529</v>
      </c>
      <c r="M99" s="56">
        <f>'[9]Total 2027 - 2029'!M99-'[9]Plana 2027 - 2029'!M99</f>
        <v>10128.80802913047</v>
      </c>
      <c r="N99" s="56">
        <f>'[9]Total 2027 - 2029'!N99-'[9]Plana 2027 - 2029'!N99</f>
        <v>12350.389940004114</v>
      </c>
      <c r="O99" s="56">
        <f>'[9]Total 2027 - 2029'!O99-'[9]Plana 2027 - 2029'!O99</f>
        <v>13994.092262343451</v>
      </c>
      <c r="P99" s="56">
        <f>'[9]Total 2027 - 2029'!P99-'[9]Plana 2027 - 2029'!P99</f>
        <v>11867.326234811471</v>
      </c>
      <c r="Q99" s="56">
        <f>'[9]Total 2027 - 2029'!Q99-'[9]Plana 2027 - 2029'!Q99</f>
        <v>14356.128160045055</v>
      </c>
      <c r="R99" s="56">
        <f>'[9]Total 2027 - 2029'!R99-'[9]Plana 2027 - 2029'!R99</f>
        <v>15909.876765743777</v>
      </c>
      <c r="S99" s="56">
        <f>'[9]Total 2027 - 2029'!S99-'[9]Plana 2027 - 2029'!S99</f>
        <v>15050.766247634538</v>
      </c>
      <c r="T99" s="56">
        <f>'[9]Total 2027 - 2029'!T99-'[9]Plana 2027 - 2029'!T99</f>
        <v>12858.926785678343</v>
      </c>
      <c r="U99" s="56">
        <f>'[9]Total 2027 - 2029'!U99-'[9]Plana 2027 - 2029'!U99</f>
        <v>12634.831753613782</v>
      </c>
      <c r="V99" s="56">
        <f>'[9]Total 2027 - 2029'!V99-'[9]Plana 2027 - 2029'!V99</f>
        <v>17282.401496116669</v>
      </c>
      <c r="W99" s="56">
        <f>'[9]Total 2027 - 2029'!W99-'[9]Plana 2027 - 2029'!W99</f>
        <v>17836.262080006854</v>
      </c>
      <c r="X99" s="56">
        <f>'[9]Total 2027 - 2029'!X99-'[9]Plana 2027 - 2029'!X99</f>
        <v>17068.388902230676</v>
      </c>
      <c r="Y99" s="56">
        <f>'[9]Total 2027 - 2029'!Y99-'[9]Plana 2027 - 2029'!Y99</f>
        <v>15624.597928714064</v>
      </c>
      <c r="Z99" s="56">
        <f>'[9]Total 2027 - 2029'!Z99-'[9]Plana 2027 - 2029'!Z99</f>
        <v>12049.040436767425</v>
      </c>
      <c r="AA99" s="56">
        <f>'[9]Total 2027 - 2029'!AA99-'[9]Plana 2027 - 2029'!AA99</f>
        <v>8613.9429322288506</v>
      </c>
      <c r="AB99" s="57">
        <f t="shared" si="2"/>
        <v>4629565.0484172199</v>
      </c>
      <c r="AC99" s="62">
        <f>SUM(AB99:AB101)</f>
        <v>6845713.5500201238</v>
      </c>
    </row>
    <row r="100" spans="1:29" x14ac:dyDescent="0.25">
      <c r="A100" s="58"/>
      <c r="B100" s="59" t="s">
        <v>17</v>
      </c>
      <c r="C100" s="55">
        <v>5</v>
      </c>
      <c r="D100" s="56">
        <f>'[9]Total 2027 - 2029'!D100-'[9]Plana 2027 - 2029'!D100</f>
        <v>4956.0096146761625</v>
      </c>
      <c r="E100" s="56">
        <f>'[9]Total 2027 - 2029'!E100-'[9]Plana 2027 - 2029'!E100</f>
        <v>3419.5603579556355</v>
      </c>
      <c r="F100" s="56">
        <f>'[9]Total 2027 - 2029'!F100-'[9]Plana 2027 - 2029'!F100</f>
        <v>1959.491812703267</v>
      </c>
      <c r="G100" s="56">
        <f>'[9]Total 2027 - 2029'!G100-'[9]Plana 2027 - 2029'!G100</f>
        <v>985.60683025912294</v>
      </c>
      <c r="H100" s="56">
        <f>'[9]Total 2027 - 2029'!H100-'[9]Plana 2027 - 2029'!H100</f>
        <v>642.40517670834743</v>
      </c>
      <c r="I100" s="56">
        <f>'[9]Total 2027 - 2029'!I100-'[9]Plana 2027 - 2029'!I100</f>
        <v>96.154157997771108</v>
      </c>
      <c r="J100" s="56">
        <f>'[9]Total 2027 - 2029'!J100-'[9]Plana 2027 - 2029'!J100</f>
        <v>0</v>
      </c>
      <c r="K100" s="56">
        <f>'[9]Total 2027 - 2029'!K100-'[9]Plana 2027 - 2029'!K100</f>
        <v>3487.7337387267453</v>
      </c>
      <c r="L100" s="56">
        <f>'[9]Total 2027 - 2029'!L100-'[9]Plana 2027 - 2029'!L100</f>
        <v>7440.8736518356036</v>
      </c>
      <c r="M100" s="56">
        <f>'[9]Total 2027 - 2029'!M100-'[9]Plana 2027 - 2029'!M100</f>
        <v>10008.663904992014</v>
      </c>
      <c r="N100" s="56">
        <f>'[9]Total 2027 - 2029'!N100-'[9]Plana 2027 - 2029'!N100</f>
        <v>12165.958078932186</v>
      </c>
      <c r="O100" s="56">
        <f>'[9]Total 2027 - 2029'!O100-'[9]Plana 2027 - 2029'!O100</f>
        <v>13790.839386847305</v>
      </c>
      <c r="P100" s="56">
        <f>'[9]Total 2027 - 2029'!P100-'[9]Plana 2027 - 2029'!P100</f>
        <v>11632.538031737507</v>
      </c>
      <c r="Q100" s="56">
        <f>'[9]Total 2027 - 2029'!Q100-'[9]Plana 2027 - 2029'!Q100</f>
        <v>14123.054790574321</v>
      </c>
      <c r="R100" s="56">
        <f>'[9]Total 2027 - 2029'!R100-'[9]Plana 2027 - 2029'!R100</f>
        <v>15702.610245497001</v>
      </c>
      <c r="S100" s="56">
        <f>'[9]Total 2027 - 2029'!S100-'[9]Plana 2027 - 2029'!S100</f>
        <v>14878.804443835948</v>
      </c>
      <c r="T100" s="56">
        <f>'[9]Total 2027 - 2029'!T100-'[9]Plana 2027 - 2029'!T100</f>
        <v>12728.444933505851</v>
      </c>
      <c r="U100" s="56">
        <f>'[9]Total 2027 - 2029'!U100-'[9]Plana 2027 - 2029'!U100</f>
        <v>12475.595680390767</v>
      </c>
      <c r="V100" s="56">
        <f>'[9]Total 2027 - 2029'!V100-'[9]Plana 2027 - 2029'!V100</f>
        <v>16923.621968319174</v>
      </c>
      <c r="W100" s="56">
        <f>'[9]Total 2027 - 2029'!W100-'[9]Plana 2027 - 2029'!W100</f>
        <v>17445.014430415904</v>
      </c>
      <c r="X100" s="56">
        <f>'[9]Total 2027 - 2029'!X100-'[9]Plana 2027 - 2029'!X100</f>
        <v>16698.806934928172</v>
      </c>
      <c r="Y100" s="56">
        <f>'[9]Total 2027 - 2029'!Y100-'[9]Plana 2027 - 2029'!Y100</f>
        <v>15280.089080063224</v>
      </c>
      <c r="Z100" s="56">
        <f>'[9]Total 2027 - 2029'!Z100-'[9]Plana 2027 - 2029'!Z100</f>
        <v>11743.565525883261</v>
      </c>
      <c r="AA100" s="56">
        <f>'[9]Total 2027 - 2029'!AA100-'[9]Plana 2027 - 2029'!AA100</f>
        <v>8355.8299562449301</v>
      </c>
      <c r="AB100" s="57">
        <f t="shared" si="2"/>
        <v>1134706.3636651509</v>
      </c>
      <c r="AC100" s="63"/>
    </row>
    <row r="101" spans="1:29" x14ac:dyDescent="0.25">
      <c r="A101" s="58"/>
      <c r="B101" s="59" t="s">
        <v>18</v>
      </c>
      <c r="C101" s="55">
        <v>5</v>
      </c>
      <c r="D101" s="56">
        <f>'[9]Total 2027 - 2029'!D101-'[9]Plana 2027 - 2029'!D101</f>
        <v>4672.8160416611354</v>
      </c>
      <c r="E101" s="56">
        <f>'[9]Total 2027 - 2029'!E101-'[9]Plana 2027 - 2029'!E101</f>
        <v>3218.5762630189693</v>
      </c>
      <c r="F101" s="56">
        <f>'[9]Total 2027 - 2029'!F101-'[9]Plana 2027 - 2029'!F101</f>
        <v>1838.9551677428317</v>
      </c>
      <c r="G101" s="56">
        <f>'[9]Total 2027 - 2029'!G101-'[9]Plana 2027 - 2029'!G101</f>
        <v>918.95407175187938</v>
      </c>
      <c r="H101" s="56">
        <f>'[9]Total 2027 - 2029'!H101-'[9]Plana 2027 - 2029'!H101</f>
        <v>591.17596966662859</v>
      </c>
      <c r="I101" s="56">
        <f>'[9]Total 2027 - 2029'!I101-'[9]Plana 2027 - 2029'!I101</f>
        <v>64.536545688255501</v>
      </c>
      <c r="J101" s="56">
        <f>'[9]Total 2027 - 2029'!J101-'[9]Plana 2027 - 2029'!J101</f>
        <v>0</v>
      </c>
      <c r="K101" s="56">
        <f>'[9]Total 2027 - 2029'!K101-'[9]Plana 2027 - 2029'!K101</f>
        <v>3290.6783615200584</v>
      </c>
      <c r="L101" s="56">
        <f>'[9]Total 2027 - 2029'!L101-'[9]Plana 2027 - 2029'!L101</f>
        <v>7086.887137937947</v>
      </c>
      <c r="M101" s="56">
        <f>'[9]Total 2027 - 2029'!M101-'[9]Plana 2027 - 2029'!M101</f>
        <v>9560.302611736266</v>
      </c>
      <c r="N101" s="56">
        <f>'[9]Total 2027 - 2029'!N101-'[9]Plana 2027 - 2029'!N101</f>
        <v>11632.057671256296</v>
      </c>
      <c r="O101" s="56">
        <f>'[9]Total 2027 - 2029'!O101-'[9]Plana 2027 - 2029'!O101</f>
        <v>13181.073900762583</v>
      </c>
      <c r="P101" s="56">
        <f>'[9]Total 2027 - 2029'!P101-'[9]Plana 2027 - 2029'!P101</f>
        <v>11138.94463267072</v>
      </c>
      <c r="Q101" s="56">
        <f>'[9]Total 2027 - 2029'!Q101-'[9]Plana 2027 - 2029'!Q101</f>
        <v>13504.981451933238</v>
      </c>
      <c r="R101" s="56">
        <f>'[9]Total 2027 - 2029'!R101-'[9]Plana 2027 - 2029'!R101</f>
        <v>15016.687970222616</v>
      </c>
      <c r="S101" s="56">
        <f>'[9]Total 2027 - 2029'!S101-'[9]Plana 2027 - 2029'!S101</f>
        <v>14220.616879676543</v>
      </c>
      <c r="T101" s="56">
        <f>'[9]Total 2027 - 2029'!T101-'[9]Plana 2027 - 2029'!T101</f>
        <v>12157.218201256035</v>
      </c>
      <c r="U101" s="56">
        <f>'[9]Total 2027 - 2029'!U101-'[9]Plana 2027 - 2029'!U101</f>
        <v>11979.170033109118</v>
      </c>
      <c r="V101" s="56">
        <f>'[9]Total 2027 - 2029'!V101-'[9]Plana 2027 - 2029'!V101</f>
        <v>16139.938831267633</v>
      </c>
      <c r="W101" s="56">
        <f>'[9]Total 2027 - 2029'!W101-'[9]Plana 2027 - 2029'!W101</f>
        <v>16579.353547120489</v>
      </c>
      <c r="X101" s="56">
        <f>'[9]Total 2027 - 2029'!X101-'[9]Plana 2027 - 2029'!X101</f>
        <v>15833.616824128456</v>
      </c>
      <c r="Y101" s="56">
        <f>'[9]Total 2027 - 2029'!Y101-'[9]Plana 2027 - 2029'!Y101</f>
        <v>14477.659934649566</v>
      </c>
      <c r="Z101" s="56">
        <f>'[9]Total 2027 - 2029'!Z101-'[9]Plana 2027 - 2029'!Z101</f>
        <v>11189.6995047408</v>
      </c>
      <c r="AA101" s="56">
        <f>'[9]Total 2027 - 2029'!AA101-'[9]Plana 2027 - 2029'!AA101</f>
        <v>7994.5260340326149</v>
      </c>
      <c r="AB101" s="57">
        <f t="shared" si="2"/>
        <v>1081442.1379377535</v>
      </c>
      <c r="AC101" s="64"/>
    </row>
    <row r="102" spans="1:29" x14ac:dyDescent="0.25">
      <c r="A102" s="53">
        <v>47392</v>
      </c>
      <c r="B102" s="54" t="s">
        <v>16</v>
      </c>
      <c r="C102" s="55">
        <v>22</v>
      </c>
      <c r="D102" s="56">
        <f>'[9]Total 2027 - 2029'!D102-'[9]Plana 2027 - 2029'!D102</f>
        <v>5863.7167571074715</v>
      </c>
      <c r="E102" s="56">
        <f>'[9]Total 2027 - 2029'!E102-'[9]Plana 2027 - 2029'!E102</f>
        <v>3838.2760393275712</v>
      </c>
      <c r="F102" s="56">
        <f>'[9]Total 2027 - 2029'!F102-'[9]Plana 2027 - 2029'!F102</f>
        <v>2557.146573633876</v>
      </c>
      <c r="G102" s="56">
        <f>'[9]Total 2027 - 2029'!G102-'[9]Plana 2027 - 2029'!G102</f>
        <v>999.16358716803006</v>
      </c>
      <c r="H102" s="56">
        <f>'[9]Total 2027 - 2029'!H102-'[9]Plana 2027 - 2029'!H102</f>
        <v>1081.3060218563423</v>
      </c>
      <c r="I102" s="56">
        <f>'[9]Total 2027 - 2029'!I102-'[9]Plana 2027 - 2029'!I102</f>
        <v>0</v>
      </c>
      <c r="J102" s="56">
        <f>'[9]Total 2027 - 2029'!J102-'[9]Plana 2027 - 2029'!J102</f>
        <v>496.9505709950754</v>
      </c>
      <c r="K102" s="56">
        <f>'[9]Total 2027 - 2029'!K102-'[9]Plana 2027 - 2029'!K102</f>
        <v>1903.6678107612552</v>
      </c>
      <c r="L102" s="56">
        <f>'[9]Total 2027 - 2029'!L102-'[9]Plana 2027 - 2029'!L102</f>
        <v>5058.9937635632668</v>
      </c>
      <c r="M102" s="56">
        <f>'[9]Total 2027 - 2029'!M102-'[9]Plana 2027 - 2029'!M102</f>
        <v>7229.6648660413994</v>
      </c>
      <c r="N102" s="56">
        <f>'[9]Total 2027 - 2029'!N102-'[9]Plana 2027 - 2029'!N102</f>
        <v>9513.6381642642009</v>
      </c>
      <c r="O102" s="56">
        <f>'[9]Total 2027 - 2029'!O102-'[9]Plana 2027 - 2029'!O102</f>
        <v>11318.901948892486</v>
      </c>
      <c r="P102" s="56">
        <f>'[9]Total 2027 - 2029'!P102-'[9]Plana 2027 - 2029'!P102</f>
        <v>9599.1513300253864</v>
      </c>
      <c r="Q102" s="56">
        <f>'[9]Total 2027 - 2029'!Q102-'[9]Plana 2027 - 2029'!Q102</f>
        <v>11408.046626532963</v>
      </c>
      <c r="R102" s="56">
        <f>'[9]Total 2027 - 2029'!R102-'[9]Plana 2027 - 2029'!R102</f>
        <v>12964.097525724137</v>
      </c>
      <c r="S102" s="56">
        <f>'[9]Total 2027 - 2029'!S102-'[9]Plana 2027 - 2029'!S102</f>
        <v>11951.579997726578</v>
      </c>
      <c r="T102" s="56">
        <f>'[9]Total 2027 - 2029'!T102-'[9]Plana 2027 - 2029'!T102</f>
        <v>10321.163612090804</v>
      </c>
      <c r="U102" s="56">
        <f>'[9]Total 2027 - 2029'!U102-'[9]Plana 2027 - 2029'!U102</f>
        <v>12187.736558044184</v>
      </c>
      <c r="V102" s="56">
        <f>'[9]Total 2027 - 2029'!V102-'[9]Plana 2027 - 2029'!V102</f>
        <v>17507.736152413116</v>
      </c>
      <c r="W102" s="56">
        <f>'[9]Total 2027 - 2029'!W102-'[9]Plana 2027 - 2029'!W102</f>
        <v>18024.634996314388</v>
      </c>
      <c r="X102" s="56">
        <f>'[9]Total 2027 - 2029'!X102-'[9]Plana 2027 - 2029'!X102</f>
        <v>17805.257875727359</v>
      </c>
      <c r="Y102" s="56">
        <f>'[9]Total 2027 - 2029'!Y102-'[9]Plana 2027 - 2029'!Y102</f>
        <v>15386.452077649952</v>
      </c>
      <c r="Z102" s="56">
        <f>'[9]Total 2027 - 2029'!Z102-'[9]Plana 2027 - 2029'!Z102</f>
        <v>12441.717528446279</v>
      </c>
      <c r="AA102" s="56">
        <f>'[9]Total 2027 - 2029'!AA102-'[9]Plana 2027 - 2029'!AA102</f>
        <v>9002.4124253747505</v>
      </c>
      <c r="AB102" s="57">
        <f t="shared" si="2"/>
        <v>4586151.0818129797</v>
      </c>
      <c r="AC102" s="62">
        <f>SUM(AB102:AB104)</f>
        <v>6341491.0082112057</v>
      </c>
    </row>
    <row r="103" spans="1:29" x14ac:dyDescent="0.25">
      <c r="A103" s="58"/>
      <c r="B103" s="59" t="s">
        <v>17</v>
      </c>
      <c r="C103" s="55">
        <v>4</v>
      </c>
      <c r="D103" s="56">
        <f>'[9]Total 2027 - 2029'!D103-'[9]Plana 2027 - 2029'!D103</f>
        <v>5237.2056426014769</v>
      </c>
      <c r="E103" s="56">
        <f>'[9]Total 2027 - 2029'!E103-'[9]Plana 2027 - 2029'!E103</f>
        <v>3391.2945438849001</v>
      </c>
      <c r="F103" s="56">
        <f>'[9]Total 2027 - 2029'!F103-'[9]Plana 2027 - 2029'!F103</f>
        <v>2228.6236174056958</v>
      </c>
      <c r="G103" s="56">
        <f>'[9]Total 2027 - 2029'!G103-'[9]Plana 2027 - 2029'!G103</f>
        <v>822.31444405372713</v>
      </c>
      <c r="H103" s="56">
        <f>'[9]Total 2027 - 2029'!H103-'[9]Plana 2027 - 2029'!H103</f>
        <v>955.82144244447409</v>
      </c>
      <c r="I103" s="56">
        <f>'[9]Total 2027 - 2029'!I103-'[9]Plana 2027 - 2029'!I103</f>
        <v>0</v>
      </c>
      <c r="J103" s="56">
        <f>'[9]Total 2027 - 2029'!J103-'[9]Plana 2027 - 2029'!J103</f>
        <v>471.70884199178727</v>
      </c>
      <c r="K103" s="56">
        <f>'[9]Total 2027 - 2029'!K103-'[9]Plana 2027 - 2029'!K103</f>
        <v>1855.5017741947067</v>
      </c>
      <c r="L103" s="56">
        <f>'[9]Total 2027 - 2029'!L103-'[9]Plana 2027 - 2029'!L103</f>
        <v>4858.1901684828808</v>
      </c>
      <c r="M103" s="56">
        <f>'[9]Total 2027 - 2029'!M103-'[9]Plana 2027 - 2029'!M103</f>
        <v>6877.1969403944877</v>
      </c>
      <c r="N103" s="56">
        <f>'[9]Total 2027 - 2029'!N103-'[9]Plana 2027 - 2029'!N103</f>
        <v>9029.3016323292377</v>
      </c>
      <c r="O103" s="56">
        <f>'[9]Total 2027 - 2029'!O103-'[9]Plana 2027 - 2029'!O103</f>
        <v>10693.490572531349</v>
      </c>
      <c r="P103" s="56">
        <f>'[9]Total 2027 - 2029'!P103-'[9]Plana 2027 - 2029'!P103</f>
        <v>9019.5587291417487</v>
      </c>
      <c r="Q103" s="56">
        <f>'[9]Total 2027 - 2029'!Q103-'[9]Plana 2027 - 2029'!Q103</f>
        <v>10773.266891185734</v>
      </c>
      <c r="R103" s="56">
        <f>'[9]Total 2027 - 2029'!R103-'[9]Plana 2027 - 2029'!R103</f>
        <v>12233.509216482691</v>
      </c>
      <c r="S103" s="56">
        <f>'[9]Total 2027 - 2029'!S103-'[9]Plana 2027 - 2029'!S103</f>
        <v>11277.27945077103</v>
      </c>
      <c r="T103" s="56">
        <f>'[9]Total 2027 - 2029'!T103-'[9]Plana 2027 - 2029'!T103</f>
        <v>9764.7969501419557</v>
      </c>
      <c r="U103" s="56">
        <f>'[9]Total 2027 - 2029'!U103-'[9]Plana 2027 - 2029'!U103</f>
        <v>11513.745742585512</v>
      </c>
      <c r="V103" s="56">
        <f>'[9]Total 2027 - 2029'!V103-'[9]Plana 2027 - 2029'!V103</f>
        <v>16287.403669044537</v>
      </c>
      <c r="W103" s="56">
        <f>'[9]Total 2027 - 2029'!W103-'[9]Plana 2027 - 2029'!W103</f>
        <v>16697.775130063113</v>
      </c>
      <c r="X103" s="56">
        <f>'[9]Total 2027 - 2029'!X103-'[9]Plana 2027 - 2029'!X103</f>
        <v>16588.501446478927</v>
      </c>
      <c r="Y103" s="56">
        <f>'[9]Total 2027 - 2029'!Y103-'[9]Plana 2027 - 2029'!Y103</f>
        <v>14327.137398090812</v>
      </c>
      <c r="Z103" s="56">
        <f>'[9]Total 2027 - 2029'!Z103-'[9]Plana 2027 - 2029'!Z103</f>
        <v>11607.36189916498</v>
      </c>
      <c r="AA103" s="56">
        <f>'[9]Total 2027 - 2029'!AA103-'[9]Plana 2027 - 2029'!AA103</f>
        <v>8409.4545275739274</v>
      </c>
      <c r="AB103" s="57">
        <f t="shared" si="2"/>
        <v>779681.76268415875</v>
      </c>
      <c r="AC103" s="63"/>
    </row>
    <row r="104" spans="1:29" x14ac:dyDescent="0.25">
      <c r="A104" s="58"/>
      <c r="B104" s="59" t="s">
        <v>18</v>
      </c>
      <c r="C104" s="55">
        <v>5</v>
      </c>
      <c r="D104" s="56">
        <f>'[9]Total 2027 - 2029'!D104-'[9]Plana 2027 - 2029'!D104</f>
        <v>5279.784214221514</v>
      </c>
      <c r="E104" s="56">
        <f>'[9]Total 2027 - 2029'!E104-'[9]Plana 2027 - 2029'!E104</f>
        <v>3431.3315800371347</v>
      </c>
      <c r="F104" s="56">
        <f>'[9]Total 2027 - 2029'!F104-'[9]Plana 2027 - 2029'!F104</f>
        <v>2251.3611521326056</v>
      </c>
      <c r="G104" s="56">
        <f>'[9]Total 2027 - 2029'!G104-'[9]Plana 2027 - 2029'!G104</f>
        <v>833.24799301122039</v>
      </c>
      <c r="H104" s="56">
        <f>'[9]Total 2027 - 2029'!H104-'[9]Plana 2027 - 2029'!H104</f>
        <v>921.25536979985918</v>
      </c>
      <c r="I104" s="56">
        <f>'[9]Total 2027 - 2029'!I104-'[9]Plana 2027 - 2029'!I104</f>
        <v>0</v>
      </c>
      <c r="J104" s="56">
        <f>'[9]Total 2027 - 2029'!J104-'[9]Plana 2027 - 2029'!J104</f>
        <v>461.01244641625817</v>
      </c>
      <c r="K104" s="56">
        <f>'[9]Total 2027 - 2029'!K104-'[9]Plana 2027 - 2029'!K104</f>
        <v>1832.9443209143155</v>
      </c>
      <c r="L104" s="56">
        <f>'[9]Total 2027 - 2029'!L104-'[9]Plana 2027 - 2029'!L104</f>
        <v>4854.2833749933179</v>
      </c>
      <c r="M104" s="56">
        <f>'[9]Total 2027 - 2029'!M104-'[9]Plana 2027 - 2029'!M104</f>
        <v>6914.1054846614552</v>
      </c>
      <c r="N104" s="56">
        <f>'[9]Total 2027 - 2029'!N104-'[9]Plana 2027 - 2029'!N104</f>
        <v>9069.5252774634628</v>
      </c>
      <c r="O104" s="56">
        <f>'[9]Total 2027 - 2029'!O104-'[9]Plana 2027 - 2029'!O104</f>
        <v>10715.358878758479</v>
      </c>
      <c r="P104" s="56">
        <f>'[9]Total 2027 - 2029'!P104-'[9]Plana 2027 - 2029'!P104</f>
        <v>8998.2290705169453</v>
      </c>
      <c r="Q104" s="56">
        <f>'[9]Total 2027 - 2029'!Q104-'[9]Plana 2027 - 2029'!Q104</f>
        <v>10745.596365952328</v>
      </c>
      <c r="R104" s="56">
        <f>'[9]Total 2027 - 2029'!R104-'[9]Plana 2027 - 2029'!R104</f>
        <v>12225.752380851192</v>
      </c>
      <c r="S104" s="56">
        <f>'[9]Total 2027 - 2029'!S104-'[9]Plana 2027 - 2029'!S104</f>
        <v>11295.639871240101</v>
      </c>
      <c r="T104" s="56">
        <f>'[9]Total 2027 - 2029'!T104-'[9]Plana 2027 - 2029'!T104</f>
        <v>9849.723430558699</v>
      </c>
      <c r="U104" s="56">
        <f>'[9]Total 2027 - 2029'!U104-'[9]Plana 2027 - 2029'!U104</f>
        <v>11561.341023480492</v>
      </c>
      <c r="V104" s="56">
        <f>'[9]Total 2027 - 2029'!V104-'[9]Plana 2027 - 2029'!V104</f>
        <v>16324.753043872877</v>
      </c>
      <c r="W104" s="56">
        <f>'[9]Total 2027 - 2029'!W104-'[9]Plana 2027 - 2029'!W104</f>
        <v>16708.085407991159</v>
      </c>
      <c r="X104" s="56">
        <f>'[9]Total 2027 - 2029'!X104-'[9]Plana 2027 - 2029'!X104</f>
        <v>16546.840243766019</v>
      </c>
      <c r="Y104" s="56">
        <f>'[9]Total 2027 - 2029'!Y104-'[9]Plana 2027 - 2029'!Y104</f>
        <v>14291.500752437891</v>
      </c>
      <c r="Z104" s="56">
        <f>'[9]Total 2027 - 2029'!Z104-'[9]Plana 2027 - 2029'!Z104</f>
        <v>11605.192136427186</v>
      </c>
      <c r="AA104" s="56">
        <f>'[9]Total 2027 - 2029'!AA104-'[9]Plana 2027 - 2029'!AA104</f>
        <v>8414.768923308895</v>
      </c>
      <c r="AB104" s="57">
        <f t="shared" si="2"/>
        <v>975658.16371406708</v>
      </c>
      <c r="AC104" s="64"/>
    </row>
    <row r="105" spans="1:29" x14ac:dyDescent="0.25">
      <c r="A105" s="53">
        <v>47423</v>
      </c>
      <c r="B105" s="54" t="s">
        <v>16</v>
      </c>
      <c r="C105" s="55">
        <v>20</v>
      </c>
      <c r="D105" s="56">
        <f>'[9]Total 2027 - 2029'!D105-'[9]Plana 2027 - 2029'!D105</f>
        <v>5230.113912236573</v>
      </c>
      <c r="E105" s="56">
        <f>'[9]Total 2027 - 2029'!E105-'[9]Plana 2027 - 2029'!E105</f>
        <v>3273.4541893416736</v>
      </c>
      <c r="F105" s="56">
        <f>'[9]Total 2027 - 2029'!F105-'[9]Plana 2027 - 2029'!F105</f>
        <v>1971.3419903980594</v>
      </c>
      <c r="G105" s="56">
        <f>'[9]Total 2027 - 2029'!G105-'[9]Plana 2027 - 2029'!G105</f>
        <v>995.66275227096594</v>
      </c>
      <c r="H105" s="56">
        <f>'[9]Total 2027 - 2029'!H105-'[9]Plana 2027 - 2029'!H105</f>
        <v>524.48424954704024</v>
      </c>
      <c r="I105" s="56">
        <f>'[9]Total 2027 - 2029'!I105-'[9]Plana 2027 - 2029'!I105</f>
        <v>9.0906676382328442</v>
      </c>
      <c r="J105" s="56">
        <f>'[9]Total 2027 - 2029'!J105-'[9]Plana 2027 - 2029'!J105</f>
        <v>0</v>
      </c>
      <c r="K105" s="56">
        <f>'[9]Total 2027 - 2029'!K105-'[9]Plana 2027 - 2029'!K105</f>
        <v>3137.1370511206314</v>
      </c>
      <c r="L105" s="56">
        <f>'[9]Total 2027 - 2029'!L105-'[9]Plana 2027 - 2029'!L105</f>
        <v>6118.0859006262272</v>
      </c>
      <c r="M105" s="56">
        <f>'[9]Total 2027 - 2029'!M105-'[9]Plana 2027 - 2029'!M105</f>
        <v>8102.2301493999203</v>
      </c>
      <c r="N105" s="56">
        <f>'[9]Total 2027 - 2029'!N105-'[9]Plana 2027 - 2029'!N105</f>
        <v>9953.6365630709788</v>
      </c>
      <c r="O105" s="56">
        <f>'[9]Total 2027 - 2029'!O105-'[9]Plana 2027 - 2029'!O105</f>
        <v>11683.962040207092</v>
      </c>
      <c r="P105" s="56">
        <f>'[9]Total 2027 - 2029'!P105-'[9]Plana 2027 - 2029'!P105</f>
        <v>9930.4952545483739</v>
      </c>
      <c r="Q105" s="56">
        <f>'[9]Total 2027 - 2029'!Q105-'[9]Plana 2027 - 2029'!Q105</f>
        <v>11665.546820268193</v>
      </c>
      <c r="R105" s="56">
        <f>'[9]Total 2027 - 2029'!R105-'[9]Plana 2027 - 2029'!R105</f>
        <v>13157.003973035969</v>
      </c>
      <c r="S105" s="56">
        <f>'[9]Total 2027 - 2029'!S105-'[9]Plana 2027 - 2029'!S105</f>
        <v>12817.02962888836</v>
      </c>
      <c r="T105" s="56">
        <f>'[9]Total 2027 - 2029'!T105-'[9]Plana 2027 - 2029'!T105</f>
        <v>11068.061838478223</v>
      </c>
      <c r="U105" s="56">
        <f>'[9]Total 2027 - 2029'!U105-'[9]Plana 2027 - 2029'!U105</f>
        <v>13878.783490518223</v>
      </c>
      <c r="V105" s="56">
        <f>'[9]Total 2027 - 2029'!V105-'[9]Plana 2027 - 2029'!V105</f>
        <v>17563.989458086624</v>
      </c>
      <c r="W105" s="56">
        <f>'[9]Total 2027 - 2029'!W105-'[9]Plana 2027 - 2029'!W105</f>
        <v>17001.115024076484</v>
      </c>
      <c r="X105" s="56">
        <f>'[9]Total 2027 - 2029'!X105-'[9]Plana 2027 - 2029'!X105</f>
        <v>16306.974010659042</v>
      </c>
      <c r="Y105" s="56">
        <f>'[9]Total 2027 - 2029'!Y105-'[9]Plana 2027 - 2029'!Y105</f>
        <v>14268.060632866027</v>
      </c>
      <c r="Z105" s="56">
        <f>'[9]Total 2027 - 2029'!Z105-'[9]Plana 2027 - 2029'!Z105</f>
        <v>11178.775410331387</v>
      </c>
      <c r="AA105" s="56">
        <f>'[9]Total 2027 - 2029'!AA105-'[9]Plana 2027 - 2029'!AA105</f>
        <v>8442.9119989398987</v>
      </c>
      <c r="AB105" s="57">
        <f t="shared" si="2"/>
        <v>4165558.9401310831</v>
      </c>
      <c r="AC105" s="62">
        <f>SUM(AB105:AB107)</f>
        <v>6137839.2920724954</v>
      </c>
    </row>
    <row r="106" spans="1:29" x14ac:dyDescent="0.25">
      <c r="A106" s="58"/>
      <c r="B106" s="59" t="s">
        <v>17</v>
      </c>
      <c r="C106" s="55">
        <v>4</v>
      </c>
      <c r="D106" s="56">
        <f>'[9]Total 2027 - 2029'!D106-'[9]Plana 2027 - 2029'!D106</f>
        <v>4903.0127791505038</v>
      </c>
      <c r="E106" s="56">
        <f>'[9]Total 2027 - 2029'!E106-'[9]Plana 2027 - 2029'!E106</f>
        <v>3040.403329870056</v>
      </c>
      <c r="F106" s="56">
        <f>'[9]Total 2027 - 2029'!F106-'[9]Plana 2027 - 2029'!F106</f>
        <v>1806.8205990565002</v>
      </c>
      <c r="G106" s="56">
        <f>'[9]Total 2027 - 2029'!G106-'[9]Plana 2027 - 2029'!G106</f>
        <v>886.60057849369514</v>
      </c>
      <c r="H106" s="56">
        <f>'[9]Total 2027 - 2029'!H106-'[9]Plana 2027 - 2029'!H106</f>
        <v>452.93883302839458</v>
      </c>
      <c r="I106" s="56">
        <f>'[9]Total 2027 - 2029'!I106-'[9]Plana 2027 - 2029'!I106</f>
        <v>5.7626931442373461</v>
      </c>
      <c r="J106" s="56">
        <f>'[9]Total 2027 - 2029'!J106-'[9]Plana 2027 - 2029'!J106</f>
        <v>0</v>
      </c>
      <c r="K106" s="56">
        <f>'[9]Total 2027 - 2029'!K106-'[9]Plana 2027 - 2029'!K106</f>
        <v>2998.3559629700667</v>
      </c>
      <c r="L106" s="56">
        <f>'[9]Total 2027 - 2029'!L106-'[9]Plana 2027 - 2029'!L106</f>
        <v>5862.9739710912509</v>
      </c>
      <c r="M106" s="56">
        <f>'[9]Total 2027 - 2029'!M106-'[9]Plana 2027 - 2029'!M106</f>
        <v>7725.0270635320012</v>
      </c>
      <c r="N106" s="56">
        <f>'[9]Total 2027 - 2029'!N106-'[9]Plana 2027 - 2029'!N106</f>
        <v>9435.5788615637648</v>
      </c>
      <c r="O106" s="56">
        <f>'[9]Total 2027 - 2029'!O106-'[9]Plana 2027 - 2029'!O106</f>
        <v>11034.809227818885</v>
      </c>
      <c r="P106" s="56">
        <f>'[9]Total 2027 - 2029'!P106-'[9]Plana 2027 - 2029'!P106</f>
        <v>9284.7168666399884</v>
      </c>
      <c r="Q106" s="56">
        <f>'[9]Total 2027 - 2029'!Q106-'[9]Plana 2027 - 2029'!Q106</f>
        <v>10983.456895029336</v>
      </c>
      <c r="R106" s="56">
        <f>'[9]Total 2027 - 2029'!R106-'[9]Plana 2027 - 2029'!R106</f>
        <v>12450.097765648086</v>
      </c>
      <c r="S106" s="56">
        <f>'[9]Total 2027 - 2029'!S106-'[9]Plana 2027 - 2029'!S106</f>
        <v>12120.95704428204</v>
      </c>
      <c r="T106" s="56">
        <f>'[9]Total 2027 - 2029'!T106-'[9]Plana 2027 - 2029'!T106</f>
        <v>10488.982532116006</v>
      </c>
      <c r="U106" s="56">
        <f>'[9]Total 2027 - 2029'!U106-'[9]Plana 2027 - 2029'!U106</f>
        <v>13128.83348947627</v>
      </c>
      <c r="V106" s="56">
        <f>'[9]Total 2027 - 2029'!V106-'[9]Plana 2027 - 2029'!V106</f>
        <v>16495.926983674515</v>
      </c>
      <c r="W106" s="56">
        <f>'[9]Total 2027 - 2029'!W106-'[9]Plana 2027 - 2029'!W106</f>
        <v>15937.339089795878</v>
      </c>
      <c r="X106" s="56">
        <f>'[9]Total 2027 - 2029'!X106-'[9]Plana 2027 - 2029'!X106</f>
        <v>15272.075422021535</v>
      </c>
      <c r="Y106" s="56">
        <f>'[9]Total 2027 - 2029'!Y106-'[9]Plana 2027 - 2029'!Y106</f>
        <v>13325.821109330162</v>
      </c>
      <c r="Z106" s="56">
        <f>'[9]Total 2027 - 2029'!Z106-'[9]Plana 2027 - 2029'!Z106</f>
        <v>10400.980035480734</v>
      </c>
      <c r="AA106" s="56">
        <f>'[9]Total 2027 - 2029'!AA106-'[9]Plana 2027 - 2029'!AA106</f>
        <v>7795.0137761354999</v>
      </c>
      <c r="AB106" s="57">
        <f t="shared" si="2"/>
        <v>783345.93963739765</v>
      </c>
      <c r="AC106" s="63"/>
    </row>
    <row r="107" spans="1:29" x14ac:dyDescent="0.25">
      <c r="A107" s="58"/>
      <c r="B107" s="59" t="s">
        <v>18</v>
      </c>
      <c r="C107" s="55">
        <v>6</v>
      </c>
      <c r="D107" s="56">
        <f>'[9]Total 2027 - 2029'!D107-'[9]Plana 2027 - 2029'!D107</f>
        <v>4754.1351037452187</v>
      </c>
      <c r="E107" s="56">
        <f>'[9]Total 2027 - 2029'!E107-'[9]Plana 2027 - 2029'!E107</f>
        <v>2935.8564163856281</v>
      </c>
      <c r="F107" s="56">
        <f>'[9]Total 2027 - 2029'!F107-'[9]Plana 2027 - 2029'!F107</f>
        <v>1732.967554096469</v>
      </c>
      <c r="G107" s="56">
        <f>'[9]Total 2027 - 2029'!G107-'[9]Plana 2027 - 2029'!G107</f>
        <v>828.66130477699699</v>
      </c>
      <c r="H107" s="56">
        <f>'[9]Total 2027 - 2029'!H107-'[9]Plana 2027 - 2029'!H107</f>
        <v>406.72152061660017</v>
      </c>
      <c r="I107" s="56">
        <f>'[9]Total 2027 - 2029'!I107-'[9]Plana 2027 - 2029'!I107</f>
        <v>0</v>
      </c>
      <c r="J107" s="56">
        <f>'[9]Total 2027 - 2029'!J107-'[9]Plana 2027 - 2029'!J107</f>
        <v>23.104087212686863</v>
      </c>
      <c r="K107" s="56">
        <f>'[9]Total 2027 - 2029'!K107-'[9]Plana 2027 - 2029'!K107</f>
        <v>3066.6693865390152</v>
      </c>
      <c r="L107" s="56">
        <f>'[9]Total 2027 - 2029'!L107-'[9]Plana 2027 - 2029'!L107</f>
        <v>5968.1184114867137</v>
      </c>
      <c r="M107" s="56">
        <f>'[9]Total 2027 - 2029'!M107-'[9]Plana 2027 - 2029'!M107</f>
        <v>7895.563270073897</v>
      </c>
      <c r="N107" s="56">
        <f>'[9]Total 2027 - 2029'!N107-'[9]Plana 2027 - 2029'!N107</f>
        <v>9660.5144929611561</v>
      </c>
      <c r="O107" s="56">
        <f>'[9]Total 2027 - 2029'!O107-'[9]Plana 2027 - 2029'!O107</f>
        <v>11274.665971998616</v>
      </c>
      <c r="P107" s="56">
        <f>'[9]Total 2027 - 2029'!P107-'[9]Plana 2027 - 2029'!P107</f>
        <v>9486.0520238873833</v>
      </c>
      <c r="Q107" s="56">
        <f>'[9]Total 2027 - 2029'!Q107-'[9]Plana 2027 - 2029'!Q107</f>
        <v>11162.770133838454</v>
      </c>
      <c r="R107" s="56">
        <f>'[9]Total 2027 - 2029'!R107-'[9]Plana 2027 - 2029'!R107</f>
        <v>12613.361636675356</v>
      </c>
      <c r="S107" s="56">
        <f>'[9]Total 2027 - 2029'!S107-'[9]Plana 2027 - 2029'!S107</f>
        <v>12270.776329103192</v>
      </c>
      <c r="T107" s="56">
        <f>'[9]Total 2027 - 2029'!T107-'[9]Plana 2027 - 2029'!T107</f>
        <v>10603.814498270982</v>
      </c>
      <c r="U107" s="56">
        <f>'[9]Total 2027 - 2029'!U107-'[9]Plana 2027 - 2029'!U107</f>
        <v>13229.738414864518</v>
      </c>
      <c r="V107" s="56">
        <f>'[9]Total 2027 - 2029'!V107-'[9]Plana 2027 - 2029'!V107</f>
        <v>16574.527406824676</v>
      </c>
      <c r="W107" s="56">
        <f>'[9]Total 2027 - 2029'!W107-'[9]Plana 2027 - 2029'!W107</f>
        <v>16016.369621153575</v>
      </c>
      <c r="X107" s="56">
        <f>'[9]Total 2027 - 2029'!X107-'[9]Plana 2027 - 2029'!X107</f>
        <v>15353.060597319414</v>
      </c>
      <c r="Y107" s="56">
        <f>'[9]Total 2027 - 2029'!Y107-'[9]Plana 2027 - 2029'!Y107</f>
        <v>13541.519434046284</v>
      </c>
      <c r="Z107" s="56">
        <f>'[9]Total 2027 - 2029'!Z107-'[9]Plana 2027 - 2029'!Z107</f>
        <v>10702.728365678176</v>
      </c>
      <c r="AA107" s="56">
        <f>'[9]Total 2027 - 2029'!AA107-'[9]Plana 2027 - 2029'!AA107</f>
        <v>8054.0394024474735</v>
      </c>
      <c r="AB107" s="57">
        <f t="shared" si="2"/>
        <v>1188934.4123040149</v>
      </c>
      <c r="AC107" s="64"/>
    </row>
    <row r="108" spans="1:29" x14ac:dyDescent="0.25">
      <c r="A108" s="53">
        <v>47453</v>
      </c>
      <c r="B108" s="54" t="s">
        <v>16</v>
      </c>
      <c r="C108" s="55">
        <v>20</v>
      </c>
      <c r="D108" s="56">
        <f>'[9]Total 2027 - 2029'!D108-'[9]Plana 2027 - 2029'!D108</f>
        <v>5423.001409733115</v>
      </c>
      <c r="E108" s="56">
        <f>'[9]Total 2027 - 2029'!E108-'[9]Plana 2027 - 2029'!E108</f>
        <v>3864.3887680539738</v>
      </c>
      <c r="F108" s="56">
        <f>'[9]Total 2027 - 2029'!F108-'[9]Plana 2027 - 2029'!F108</f>
        <v>2562.7561487740677</v>
      </c>
      <c r="G108" s="56">
        <f>'[9]Total 2027 - 2029'!G108-'[9]Plana 2027 - 2029'!G108</f>
        <v>1427.4686919481846</v>
      </c>
      <c r="H108" s="56">
        <f>'[9]Total 2027 - 2029'!H108-'[9]Plana 2027 - 2029'!H108</f>
        <v>739.74674076578776</v>
      </c>
      <c r="I108" s="56">
        <f>'[9]Total 2027 - 2029'!I108-'[9]Plana 2027 - 2029'!I108</f>
        <v>507.57327613828056</v>
      </c>
      <c r="J108" s="56">
        <f>'[9]Total 2027 - 2029'!J108-'[9]Plana 2027 - 2029'!J108</f>
        <v>0</v>
      </c>
      <c r="K108" s="56">
        <f>'[9]Total 2027 - 2029'!K108-'[9]Plana 2027 - 2029'!K108</f>
        <v>2363.9338280030461</v>
      </c>
      <c r="L108" s="56">
        <f>'[9]Total 2027 - 2029'!L108-'[9]Plana 2027 - 2029'!L108</f>
        <v>5033.8701864192662</v>
      </c>
      <c r="M108" s="56">
        <f>'[9]Total 2027 - 2029'!M108-'[9]Plana 2027 - 2029'!M108</f>
        <v>6958.3219154284816</v>
      </c>
      <c r="N108" s="56">
        <f>'[9]Total 2027 - 2029'!N108-'[9]Plana 2027 - 2029'!N108</f>
        <v>8872.8345541982089</v>
      </c>
      <c r="O108" s="56">
        <f>'[9]Total 2027 - 2029'!O108-'[9]Plana 2027 - 2029'!O108</f>
        <v>10739.379190137104</v>
      </c>
      <c r="P108" s="56">
        <f>'[9]Total 2027 - 2029'!P108-'[9]Plana 2027 - 2029'!P108</f>
        <v>9189.2357602905613</v>
      </c>
      <c r="Q108" s="56">
        <f>'[9]Total 2027 - 2029'!Q108-'[9]Plana 2027 - 2029'!Q108</f>
        <v>11311.168089263829</v>
      </c>
      <c r="R108" s="56">
        <f>'[9]Total 2027 - 2029'!R108-'[9]Plana 2027 - 2029'!R108</f>
        <v>13421.261323961244</v>
      </c>
      <c r="S108" s="56">
        <f>'[9]Total 2027 - 2029'!S108-'[9]Plana 2027 - 2029'!S108</f>
        <v>12887.75463136211</v>
      </c>
      <c r="T108" s="56">
        <f>'[9]Total 2027 - 2029'!T108-'[9]Plana 2027 - 2029'!T108</f>
        <v>10938.526976537541</v>
      </c>
      <c r="U108" s="56">
        <f>'[9]Total 2027 - 2029'!U108-'[9]Plana 2027 - 2029'!U108</f>
        <v>12937.770138170061</v>
      </c>
      <c r="V108" s="56">
        <f>'[9]Total 2027 - 2029'!V108-'[9]Plana 2027 - 2029'!V108</f>
        <v>16768.830475111947</v>
      </c>
      <c r="W108" s="56">
        <f>'[9]Total 2027 - 2029'!W108-'[9]Plana 2027 - 2029'!W108</f>
        <v>16335.769566298037</v>
      </c>
      <c r="X108" s="56">
        <f>'[9]Total 2027 - 2029'!X108-'[9]Plana 2027 - 2029'!X108</f>
        <v>15154.164610123065</v>
      </c>
      <c r="Y108" s="56">
        <f>'[9]Total 2027 - 2029'!Y108-'[9]Plana 2027 - 2029'!Y108</f>
        <v>13602.948605621346</v>
      </c>
      <c r="Z108" s="56">
        <f>'[9]Total 2027 - 2029'!Z108-'[9]Plana 2027 - 2029'!Z108</f>
        <v>11366.610944452394</v>
      </c>
      <c r="AA108" s="56">
        <f>'[9]Total 2027 - 2029'!AA108-'[9]Plana 2027 - 2029'!AA108</f>
        <v>8832.0983014407793</v>
      </c>
      <c r="AB108" s="57">
        <f t="shared" si="2"/>
        <v>4024788.2826446486</v>
      </c>
      <c r="AC108" s="62">
        <f>SUM(AB108:AB110)</f>
        <v>6199615.8991137259</v>
      </c>
    </row>
    <row r="109" spans="1:29" x14ac:dyDescent="0.25">
      <c r="A109" s="58"/>
      <c r="B109" s="59" t="s">
        <v>17</v>
      </c>
      <c r="C109" s="55">
        <v>5</v>
      </c>
      <c r="D109" s="56">
        <f>'[9]Total 2027 - 2029'!D109-'[9]Plana 2027 - 2029'!D109</f>
        <v>5352.6070037740974</v>
      </c>
      <c r="E109" s="56">
        <f>'[9]Total 2027 - 2029'!E109-'[9]Plana 2027 - 2029'!E109</f>
        <v>3809.0753394497879</v>
      </c>
      <c r="F109" s="56">
        <f>'[9]Total 2027 - 2029'!F109-'[9]Plana 2027 - 2029'!F109</f>
        <v>2520.3010570932638</v>
      </c>
      <c r="G109" s="56">
        <f>'[9]Total 2027 - 2029'!G109-'[9]Plana 2027 - 2029'!G109</f>
        <v>1400.4236749638039</v>
      </c>
      <c r="H109" s="56">
        <f>'[9]Total 2027 - 2029'!H109-'[9]Plana 2027 - 2029'!H109</f>
        <v>719.22240319940283</v>
      </c>
      <c r="I109" s="56">
        <f>'[9]Total 2027 - 2029'!I109-'[9]Plana 2027 - 2029'!I109</f>
        <v>510.59699095199539</v>
      </c>
      <c r="J109" s="56">
        <f>'[9]Total 2027 - 2029'!J109-'[9]Plana 2027 - 2029'!J109</f>
        <v>0</v>
      </c>
      <c r="K109" s="56">
        <f>'[9]Total 2027 - 2029'!K109-'[9]Plana 2027 - 2029'!K109</f>
        <v>2401.4622554383714</v>
      </c>
      <c r="L109" s="56">
        <f>'[9]Total 2027 - 2029'!L109-'[9]Plana 2027 - 2029'!L109</f>
        <v>5100.0618802379104</v>
      </c>
      <c r="M109" s="56">
        <f>'[9]Total 2027 - 2029'!M109-'[9]Plana 2027 - 2029'!M109</f>
        <v>7026.7044285254415</v>
      </c>
      <c r="N109" s="56">
        <f>'[9]Total 2027 - 2029'!N109-'[9]Plana 2027 - 2029'!N109</f>
        <v>8934.9314017363358</v>
      </c>
      <c r="O109" s="56">
        <f>'[9]Total 2027 - 2029'!O109-'[9]Plana 2027 - 2029'!O109</f>
        <v>10804.433760401109</v>
      </c>
      <c r="P109" s="56">
        <f>'[9]Total 2027 - 2029'!P109-'[9]Plana 2027 - 2029'!P109</f>
        <v>9188.9323805343665</v>
      </c>
      <c r="Q109" s="56">
        <f>'[9]Total 2027 - 2029'!Q109-'[9]Plana 2027 - 2029'!Q109</f>
        <v>11358.245484898966</v>
      </c>
      <c r="R109" s="56">
        <f>'[9]Total 2027 - 2029'!R109-'[9]Plana 2027 - 2029'!R109</f>
        <v>13528.640962825095</v>
      </c>
      <c r="S109" s="56">
        <f>'[9]Total 2027 - 2029'!S109-'[9]Plana 2027 - 2029'!S109</f>
        <v>12991.922889018915</v>
      </c>
      <c r="T109" s="56">
        <f>'[9]Total 2027 - 2029'!T109-'[9]Plana 2027 - 2029'!T109</f>
        <v>11031.926600936156</v>
      </c>
      <c r="U109" s="56">
        <f>'[9]Total 2027 - 2029'!U109-'[9]Plana 2027 - 2029'!U109</f>
        <v>12945.449772611508</v>
      </c>
      <c r="V109" s="56">
        <f>'[9]Total 2027 - 2029'!V109-'[9]Plana 2027 - 2029'!V109</f>
        <v>16702.119914418116</v>
      </c>
      <c r="W109" s="56">
        <f>'[9]Total 2027 - 2029'!W109-'[9]Plana 2027 - 2029'!W109</f>
        <v>16247.6803447282</v>
      </c>
      <c r="X109" s="56">
        <f>'[9]Total 2027 - 2029'!X109-'[9]Plana 2027 - 2029'!X109</f>
        <v>15107.89382115897</v>
      </c>
      <c r="Y109" s="56">
        <f>'[9]Total 2027 - 2029'!Y109-'[9]Plana 2027 - 2029'!Y109</f>
        <v>13581.28187289268</v>
      </c>
      <c r="Z109" s="56">
        <f>'[9]Total 2027 - 2029'!Z109-'[9]Plana 2027 - 2029'!Z109</f>
        <v>11333.906960347293</v>
      </c>
      <c r="AA109" s="56">
        <f>'[9]Total 2027 - 2029'!AA109-'[9]Plana 2027 - 2029'!AA109</f>
        <v>8769.8770633686254</v>
      </c>
      <c r="AB109" s="57">
        <f t="shared" si="2"/>
        <v>1006838.4913175519</v>
      </c>
      <c r="AC109" s="63"/>
    </row>
    <row r="110" spans="1:29" x14ac:dyDescent="0.25">
      <c r="A110" s="58"/>
      <c r="B110" s="59" t="s">
        <v>18</v>
      </c>
      <c r="C110" s="55">
        <v>6</v>
      </c>
      <c r="D110" s="56">
        <f>'[9]Total 2027 - 2029'!D110-'[9]Plana 2027 - 2029'!D110</f>
        <v>5100.4272994605635</v>
      </c>
      <c r="E110" s="56">
        <f>'[9]Total 2027 - 2029'!E110-'[9]Plana 2027 - 2029'!E110</f>
        <v>3600.5234163381065</v>
      </c>
      <c r="F110" s="56">
        <f>'[9]Total 2027 - 2029'!F110-'[9]Plana 2027 - 2029'!F110</f>
        <v>2344.7212624804579</v>
      </c>
      <c r="G110" s="56">
        <f>'[9]Total 2027 - 2029'!G110-'[9]Plana 2027 - 2029'!G110</f>
        <v>1255.9113394991145</v>
      </c>
      <c r="H110" s="56">
        <f>'[9]Total 2027 - 2029'!H110-'[9]Plana 2027 - 2029'!H110</f>
        <v>619.22371333001502</v>
      </c>
      <c r="I110" s="56">
        <f>'[9]Total 2027 - 2029'!I110-'[9]Plana 2027 - 2029'!I110</f>
        <v>448.36992602944883</v>
      </c>
      <c r="J110" s="56">
        <f>'[9]Total 2027 - 2029'!J110-'[9]Plana 2027 - 2029'!J110</f>
        <v>0</v>
      </c>
      <c r="K110" s="56">
        <f>'[9]Total 2027 - 2029'!K110-'[9]Plana 2027 - 2029'!K110</f>
        <v>2326.8578175293187</v>
      </c>
      <c r="L110" s="56">
        <f>'[9]Total 2027 - 2029'!L110-'[9]Plana 2027 - 2029'!L110</f>
        <v>4968.6709073511556</v>
      </c>
      <c r="M110" s="56">
        <f>'[9]Total 2027 - 2029'!M110-'[9]Plana 2027 - 2029'!M110</f>
        <v>6857.115947949329</v>
      </c>
      <c r="N110" s="56">
        <f>'[9]Total 2027 - 2029'!N110-'[9]Plana 2027 - 2029'!N110</f>
        <v>8727.3356814615508</v>
      </c>
      <c r="O110" s="56">
        <f>'[9]Total 2027 - 2029'!O110-'[9]Plana 2027 - 2029'!O110</f>
        <v>10535.858291608478</v>
      </c>
      <c r="P110" s="56">
        <f>'[9]Total 2027 - 2029'!P110-'[9]Plana 2027 - 2029'!P110</f>
        <v>8950.4162630301398</v>
      </c>
      <c r="Q110" s="56">
        <f>'[9]Total 2027 - 2029'!Q110-'[9]Plana 2027 - 2029'!Q110</f>
        <v>11049.907517936008</v>
      </c>
      <c r="R110" s="56">
        <f>'[9]Total 2027 - 2029'!R110-'[9]Plana 2027 - 2029'!R110</f>
        <v>13129.547459528229</v>
      </c>
      <c r="S110" s="56">
        <f>'[9]Total 2027 - 2029'!S110-'[9]Plana 2027 - 2029'!S110</f>
        <v>12598.903666883049</v>
      </c>
      <c r="T110" s="56">
        <f>'[9]Total 2027 - 2029'!T110-'[9]Plana 2027 - 2029'!T110</f>
        <v>10706.784888504255</v>
      </c>
      <c r="U110" s="56">
        <f>'[9]Total 2027 - 2029'!U110-'[9]Plana 2027 - 2029'!U110</f>
        <v>12618.347235699934</v>
      </c>
      <c r="V110" s="56">
        <f>'[9]Total 2027 - 2029'!V110-'[9]Plana 2027 - 2029'!V110</f>
        <v>16176.355035868266</v>
      </c>
      <c r="W110" s="56">
        <f>'[9]Total 2027 - 2029'!W110-'[9]Plana 2027 - 2029'!W110</f>
        <v>15694.212921469803</v>
      </c>
      <c r="X110" s="56">
        <f>'[9]Total 2027 - 2029'!X110-'[9]Plana 2027 - 2029'!X110</f>
        <v>14537.314557587051</v>
      </c>
      <c r="Y110" s="56">
        <f>'[9]Total 2027 - 2029'!Y110-'[9]Plana 2027 - 2029'!Y110</f>
        <v>13059.27680903993</v>
      </c>
      <c r="Z110" s="56">
        <f>'[9]Total 2027 - 2029'!Z110-'[9]Plana 2027 - 2029'!Z110</f>
        <v>10915.300378802789</v>
      </c>
      <c r="AA110" s="56">
        <f>'[9]Total 2027 - 2029'!AA110-'[9]Plana 2027 - 2029'!AA110</f>
        <v>8443.4718545337928</v>
      </c>
      <c r="AB110" s="57">
        <f t="shared" si="2"/>
        <v>1167989.1251515248</v>
      </c>
      <c r="AC110" s="64"/>
    </row>
  </sheetData>
  <mergeCells count="37">
    <mergeCell ref="AC102:AC104"/>
    <mergeCell ref="AC105:AC107"/>
    <mergeCell ref="AC108:AC110"/>
    <mergeCell ref="AC93:AC95"/>
    <mergeCell ref="AC96:AC98"/>
    <mergeCell ref="AC99:AC101"/>
    <mergeCell ref="AC84:AC86"/>
    <mergeCell ref="AC87:AC89"/>
    <mergeCell ref="AC90:AC92"/>
    <mergeCell ref="AC75:AC77"/>
    <mergeCell ref="AC78:AC80"/>
    <mergeCell ref="AC81:AC83"/>
    <mergeCell ref="AC66:AC68"/>
    <mergeCell ref="AC69:AC71"/>
    <mergeCell ref="AC72:AC74"/>
    <mergeCell ref="AC57:AC59"/>
    <mergeCell ref="AC60:AC62"/>
    <mergeCell ref="AC63:AC65"/>
    <mergeCell ref="AC48:AC50"/>
    <mergeCell ref="AC51:AC53"/>
    <mergeCell ref="AC54:AC56"/>
    <mergeCell ref="AC39:AC41"/>
    <mergeCell ref="AC42:AC44"/>
    <mergeCell ref="AC45:AC47"/>
    <mergeCell ref="AC30:AC32"/>
    <mergeCell ref="AC33:AC35"/>
    <mergeCell ref="AC36:AC38"/>
    <mergeCell ref="AC21:AC23"/>
    <mergeCell ref="AC24:AC26"/>
    <mergeCell ref="AC27:AC29"/>
    <mergeCell ref="AC12:AC14"/>
    <mergeCell ref="AC15:AC17"/>
    <mergeCell ref="AC18:AC20"/>
    <mergeCell ref="D1:AA1"/>
    <mergeCell ref="AC3:AC5"/>
    <mergeCell ref="AC6:AC8"/>
    <mergeCell ref="AC9:AC1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OFERTA PRODUCTO 1</vt:lpstr>
      <vt:lpstr>Cantidades Producto 1</vt:lpstr>
      <vt:lpstr>OFERTA PRODUCTO 2</vt:lpstr>
      <vt:lpstr>Cantidades Producto 2</vt:lpstr>
      <vt:lpstr>'OFERTA PRODUCTO 1'!Área_de_impresión</vt:lpstr>
      <vt:lpstr>'OFERTA PRODUCTO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Anibal Fuentes Galvis</cp:lastModifiedBy>
  <cp:lastPrinted>2024-04-10T18:57:53Z</cp:lastPrinted>
  <dcterms:created xsi:type="dcterms:W3CDTF">2024-02-05T20:40:24Z</dcterms:created>
  <dcterms:modified xsi:type="dcterms:W3CDTF">2026-06-04T00:56:05Z</dcterms:modified>
</cp:coreProperties>
</file>